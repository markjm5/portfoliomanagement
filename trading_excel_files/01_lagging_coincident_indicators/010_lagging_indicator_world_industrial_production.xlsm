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74C6B1CE-F877-B441-916E-EC4B03676B11}" xr6:coauthVersionLast="47" xr6:coauthVersionMax="47" xr10:uidLastSave="{00000000-0000-0000-0000-000000000000}"/>
  <bookViews>
    <workbookView xWindow="-57360" yWindow="-640" windowWidth="50000" windowHeight="28300" activeTab="6" xr2:uid="{00000000-000D-0000-FFFF-FFFF00000000}"/>
  </bookViews>
  <sheets>
    <sheet name="Note" sheetId="1" r:id="rId1"/>
    <sheet name="World Production data" sheetId="3" r:id="rId2"/>
    <sheet name="Database" sheetId="4" r:id="rId3"/>
    <sheet name="Data World GDP" sheetId="5" r:id="rId4"/>
    <sheet name="China Production data" sheetId="6" r:id="rId5"/>
    <sheet name="Big Picture" sheetId="2" r:id="rId6"/>
    <sheet name="Industrial production yoy" sheetId="7" r:id="rId7"/>
    <sheet name="IP World" sheetId="8" r:id="rId8"/>
    <sheet name="Per country" sheetId="9" r:id="rId9"/>
    <sheet name="China" sheetId="10" r:id="rId10"/>
  </sheets>
  <definedNames>
    <definedName name="_xlnm._FilterDatabase" localSheetId="0" hidden="1">Note!$O$12:$P$12</definedName>
    <definedName name="_xlnm._FilterDatabase" localSheetId="1" hidden="1">'World Production data'!$A$1:$D$1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71" i="9" l="1"/>
  <c r="C371" i="9"/>
  <c r="D371" i="9"/>
  <c r="B372" i="9"/>
  <c r="C373" i="9" s="1"/>
  <c r="C372" i="9"/>
  <c r="D372" i="9"/>
  <c r="B373" i="9"/>
  <c r="D373" i="9"/>
  <c r="B374" i="9"/>
  <c r="C374" i="9"/>
  <c r="D374" i="9"/>
  <c r="B375" i="9"/>
  <c r="C376" i="9" s="1"/>
  <c r="C375" i="9"/>
  <c r="D375" i="9"/>
  <c r="B376" i="9"/>
  <c r="D376" i="9"/>
  <c r="B362" i="9"/>
  <c r="C363" i="9" s="1"/>
  <c r="C362" i="9"/>
  <c r="D362" i="9"/>
  <c r="B363" i="9"/>
  <c r="C364" i="9" s="1"/>
  <c r="D363" i="9"/>
  <c r="B364" i="9"/>
  <c r="D364" i="9"/>
  <c r="B365" i="9"/>
  <c r="C366" i="9" s="1"/>
  <c r="C365" i="9"/>
  <c r="D365" i="9"/>
  <c r="B366" i="9"/>
  <c r="C367" i="9" s="1"/>
  <c r="D366" i="9"/>
  <c r="B367" i="9"/>
  <c r="D367" i="9"/>
  <c r="B368" i="9"/>
  <c r="C369" i="9" s="1"/>
  <c r="C368" i="9"/>
  <c r="D368" i="9"/>
  <c r="B369" i="9"/>
  <c r="C370" i="9" s="1"/>
  <c r="D369" i="9"/>
  <c r="B370" i="9"/>
  <c r="D370" i="9"/>
  <c r="B352" i="9"/>
  <c r="C352" i="9"/>
  <c r="D352" i="9"/>
  <c r="B353" i="9"/>
  <c r="C354" i="9" s="1"/>
  <c r="C353" i="9"/>
  <c r="D353" i="9"/>
  <c r="B354" i="9"/>
  <c r="C355" i="9" s="1"/>
  <c r="D354" i="9"/>
  <c r="B355" i="9"/>
  <c r="D355" i="9"/>
  <c r="B356" i="9"/>
  <c r="C357" i="9" s="1"/>
  <c r="C356" i="9"/>
  <c r="D356" i="9"/>
  <c r="B357" i="9"/>
  <c r="D357" i="9"/>
  <c r="B358" i="9"/>
  <c r="C359" i="9" s="1"/>
  <c r="C358" i="9"/>
  <c r="D358" i="9"/>
  <c r="B359" i="9"/>
  <c r="C360" i="9" s="1"/>
  <c r="D359" i="9"/>
  <c r="B360" i="9"/>
  <c r="D360" i="9"/>
  <c r="B361" i="9"/>
  <c r="C361" i="9"/>
  <c r="D361" i="9"/>
  <c r="B379" i="8"/>
  <c r="C379" i="8"/>
  <c r="D379" i="8"/>
  <c r="E379" i="8"/>
  <c r="F379" i="8"/>
  <c r="G379" i="8"/>
  <c r="N379" i="8"/>
  <c r="P379" i="8"/>
  <c r="B380" i="8"/>
  <c r="C380" i="8"/>
  <c r="D380" i="8"/>
  <c r="E380" i="8"/>
  <c r="F380" i="8"/>
  <c r="G380" i="8"/>
  <c r="N380" i="8"/>
  <c r="P380" i="8"/>
  <c r="B381" i="8"/>
  <c r="C381" i="8"/>
  <c r="D381" i="8"/>
  <c r="E381" i="8"/>
  <c r="F381" i="8"/>
  <c r="G381" i="8"/>
  <c r="N381" i="8"/>
  <c r="P381" i="8"/>
  <c r="B382" i="8"/>
  <c r="C382" i="8"/>
  <c r="D382" i="8"/>
  <c r="E382" i="8"/>
  <c r="F382" i="8"/>
  <c r="G382" i="8"/>
  <c r="N382" i="8"/>
  <c r="P382" i="8"/>
  <c r="B383" i="8"/>
  <c r="C383" i="8"/>
  <c r="D383" i="8"/>
  <c r="E383" i="8"/>
  <c r="F383" i="8"/>
  <c r="G383" i="8"/>
  <c r="N383" i="8"/>
  <c r="P383" i="8"/>
  <c r="B384" i="8"/>
  <c r="C384" i="8"/>
  <c r="D384" i="8"/>
  <c r="E384" i="8"/>
  <c r="F384" i="8"/>
  <c r="G384" i="8"/>
  <c r="N384" i="8"/>
  <c r="P384" i="8"/>
  <c r="B360" i="8"/>
  <c r="C360" i="8"/>
  <c r="D360" i="8"/>
  <c r="E360" i="8"/>
  <c r="F360" i="8"/>
  <c r="G360" i="8"/>
  <c r="N360" i="8"/>
  <c r="P360" i="8"/>
  <c r="B361" i="8"/>
  <c r="C361" i="8"/>
  <c r="D361" i="8"/>
  <c r="E361" i="8"/>
  <c r="F361" i="8"/>
  <c r="G361" i="8"/>
  <c r="N361" i="8"/>
  <c r="P361" i="8"/>
  <c r="B362" i="8"/>
  <c r="C362" i="8"/>
  <c r="D362" i="8"/>
  <c r="E362" i="8"/>
  <c r="F362" i="8"/>
  <c r="G362" i="8"/>
  <c r="N362" i="8"/>
  <c r="P362" i="8"/>
  <c r="B363" i="8"/>
  <c r="C363" i="8"/>
  <c r="D363" i="8"/>
  <c r="E363" i="8"/>
  <c r="F363" i="8"/>
  <c r="G363" i="8"/>
  <c r="N363" i="8"/>
  <c r="P363" i="8"/>
  <c r="B364" i="8"/>
  <c r="C364" i="8"/>
  <c r="D364" i="8"/>
  <c r="E364" i="8"/>
  <c r="F364" i="8"/>
  <c r="G364" i="8"/>
  <c r="N364" i="8"/>
  <c r="P364" i="8"/>
  <c r="B365" i="8"/>
  <c r="C365" i="8"/>
  <c r="D365" i="8"/>
  <c r="E365" i="8"/>
  <c r="F365" i="8"/>
  <c r="G365" i="8"/>
  <c r="N365" i="8"/>
  <c r="P365" i="8"/>
  <c r="B366" i="8"/>
  <c r="C366" i="8"/>
  <c r="D366" i="8"/>
  <c r="E366" i="8"/>
  <c r="F366" i="8"/>
  <c r="G366" i="8"/>
  <c r="N366" i="8"/>
  <c r="P366" i="8"/>
  <c r="B367" i="8"/>
  <c r="C367" i="8"/>
  <c r="D367" i="8"/>
  <c r="E367" i="8"/>
  <c r="F367" i="8"/>
  <c r="G367" i="8"/>
  <c r="N367" i="8"/>
  <c r="P367" i="8"/>
  <c r="B368" i="8"/>
  <c r="C368" i="8"/>
  <c r="D368" i="8"/>
  <c r="E368" i="8"/>
  <c r="F368" i="8"/>
  <c r="G368" i="8"/>
  <c r="N368" i="8"/>
  <c r="P368" i="8"/>
  <c r="B369" i="8"/>
  <c r="C369" i="8"/>
  <c r="D369" i="8"/>
  <c r="E369" i="8"/>
  <c r="F369" i="8"/>
  <c r="G369" i="8"/>
  <c r="N369" i="8"/>
  <c r="P369" i="8"/>
  <c r="B370" i="8"/>
  <c r="C370" i="8"/>
  <c r="D370" i="8"/>
  <c r="E370" i="8"/>
  <c r="F370" i="8"/>
  <c r="G370" i="8"/>
  <c r="N370" i="8"/>
  <c r="P370" i="8"/>
  <c r="B371" i="8"/>
  <c r="C371" i="8"/>
  <c r="D371" i="8"/>
  <c r="E371" i="8"/>
  <c r="F371" i="8"/>
  <c r="G371" i="8"/>
  <c r="N371" i="8"/>
  <c r="P371" i="8"/>
  <c r="B372" i="8"/>
  <c r="C372" i="8"/>
  <c r="D372" i="8"/>
  <c r="E372" i="8"/>
  <c r="F372" i="8"/>
  <c r="G372" i="8"/>
  <c r="N372" i="8"/>
  <c r="P372" i="8"/>
  <c r="B373" i="8"/>
  <c r="C373" i="8"/>
  <c r="D373" i="8"/>
  <c r="E373" i="8"/>
  <c r="F373" i="8"/>
  <c r="G373" i="8"/>
  <c r="N373" i="8"/>
  <c r="P373" i="8"/>
  <c r="B374" i="8"/>
  <c r="C374" i="8"/>
  <c r="D374" i="8"/>
  <c r="E374" i="8"/>
  <c r="F374" i="8"/>
  <c r="G374" i="8"/>
  <c r="N374" i="8"/>
  <c r="P374" i="8"/>
  <c r="B375" i="8"/>
  <c r="C375" i="8"/>
  <c r="D375" i="8"/>
  <c r="E375" i="8"/>
  <c r="F375" i="8"/>
  <c r="G375" i="8"/>
  <c r="N375" i="8"/>
  <c r="P375" i="8"/>
  <c r="B376" i="8"/>
  <c r="C376" i="8"/>
  <c r="D376" i="8"/>
  <c r="E376" i="8"/>
  <c r="F376" i="8"/>
  <c r="G376" i="8"/>
  <c r="N376" i="8"/>
  <c r="P376" i="8"/>
  <c r="B377" i="8"/>
  <c r="C377" i="8"/>
  <c r="D377" i="8"/>
  <c r="E377" i="8"/>
  <c r="F377" i="8"/>
  <c r="G377" i="8"/>
  <c r="N377" i="8"/>
  <c r="P377" i="8"/>
  <c r="B378" i="8"/>
  <c r="C378" i="8"/>
  <c r="D378" i="8"/>
  <c r="E378" i="8"/>
  <c r="F378" i="8"/>
  <c r="G378" i="8"/>
  <c r="N378" i="8"/>
  <c r="P378" i="8"/>
  <c r="C406" i="7"/>
  <c r="D406" i="7"/>
  <c r="E406" i="7"/>
  <c r="F406" i="7"/>
  <c r="G406" i="7"/>
  <c r="H406" i="7"/>
  <c r="I406" i="7"/>
  <c r="J406" i="7"/>
  <c r="K406" i="7"/>
  <c r="O406" i="7"/>
  <c r="P406" i="7"/>
  <c r="Q406" i="7"/>
  <c r="R406" i="7"/>
  <c r="S406" i="7"/>
  <c r="T406" i="7"/>
  <c r="U406" i="7"/>
  <c r="V406" i="7"/>
  <c r="C394" i="7"/>
  <c r="D394" i="7"/>
  <c r="E394" i="7"/>
  <c r="F394" i="7"/>
  <c r="G394" i="7"/>
  <c r="H394" i="7"/>
  <c r="I394" i="7"/>
  <c r="J394" i="7"/>
  <c r="K394" i="7"/>
  <c r="O394" i="7"/>
  <c r="P394" i="7"/>
  <c r="Q394" i="7"/>
  <c r="R394" i="7"/>
  <c r="S394" i="7"/>
  <c r="T394" i="7"/>
  <c r="U394" i="7"/>
  <c r="V394" i="7"/>
  <c r="C395" i="7"/>
  <c r="D395" i="7"/>
  <c r="E395" i="7"/>
  <c r="F395" i="7"/>
  <c r="G395" i="7"/>
  <c r="H395" i="7"/>
  <c r="I395" i="7"/>
  <c r="J395" i="7"/>
  <c r="K395" i="7"/>
  <c r="O395" i="7"/>
  <c r="P395" i="7"/>
  <c r="Q395" i="7"/>
  <c r="R395" i="7"/>
  <c r="S395" i="7"/>
  <c r="T395" i="7"/>
  <c r="U395" i="7"/>
  <c r="V395" i="7"/>
  <c r="C396" i="7"/>
  <c r="D396" i="7"/>
  <c r="E396" i="7"/>
  <c r="F396" i="7"/>
  <c r="G396" i="7"/>
  <c r="H396" i="7"/>
  <c r="I396" i="7"/>
  <c r="J396" i="7"/>
  <c r="K396" i="7"/>
  <c r="O396" i="7"/>
  <c r="P396" i="7"/>
  <c r="Q396" i="7"/>
  <c r="R396" i="7"/>
  <c r="S396" i="7"/>
  <c r="T396" i="7"/>
  <c r="U396" i="7"/>
  <c r="V396" i="7"/>
  <c r="C397" i="7"/>
  <c r="D397" i="7"/>
  <c r="E397" i="7"/>
  <c r="F397" i="7"/>
  <c r="G397" i="7"/>
  <c r="H397" i="7"/>
  <c r="I397" i="7"/>
  <c r="J397" i="7"/>
  <c r="K397" i="7"/>
  <c r="O397" i="7"/>
  <c r="P397" i="7"/>
  <c r="Q397" i="7"/>
  <c r="R397" i="7"/>
  <c r="S397" i="7"/>
  <c r="T397" i="7"/>
  <c r="U397" i="7"/>
  <c r="V397" i="7"/>
  <c r="C398" i="7"/>
  <c r="D398" i="7"/>
  <c r="E398" i="7"/>
  <c r="F398" i="7"/>
  <c r="G398" i="7"/>
  <c r="H398" i="7"/>
  <c r="I398" i="7"/>
  <c r="J398" i="7"/>
  <c r="K398" i="7"/>
  <c r="O398" i="7"/>
  <c r="P398" i="7"/>
  <c r="Q398" i="7"/>
  <c r="R398" i="7"/>
  <c r="S398" i="7"/>
  <c r="T398" i="7"/>
  <c r="U398" i="7"/>
  <c r="V398" i="7"/>
  <c r="C399" i="7"/>
  <c r="D399" i="7"/>
  <c r="E399" i="7"/>
  <c r="F399" i="7"/>
  <c r="G399" i="7"/>
  <c r="H399" i="7"/>
  <c r="I399" i="7"/>
  <c r="J399" i="7"/>
  <c r="K399" i="7"/>
  <c r="O399" i="7"/>
  <c r="P399" i="7"/>
  <c r="Q399" i="7"/>
  <c r="R399" i="7"/>
  <c r="S399" i="7"/>
  <c r="T399" i="7"/>
  <c r="U399" i="7"/>
  <c r="V399" i="7"/>
  <c r="C400" i="7"/>
  <c r="D400" i="7"/>
  <c r="E400" i="7"/>
  <c r="F400" i="7"/>
  <c r="G400" i="7"/>
  <c r="H400" i="7"/>
  <c r="I400" i="7"/>
  <c r="J400" i="7"/>
  <c r="K400" i="7"/>
  <c r="O400" i="7"/>
  <c r="P400" i="7"/>
  <c r="Q400" i="7"/>
  <c r="R400" i="7"/>
  <c r="S400" i="7"/>
  <c r="T400" i="7"/>
  <c r="U400" i="7"/>
  <c r="V400" i="7"/>
  <c r="C401" i="7"/>
  <c r="D401" i="7"/>
  <c r="E401" i="7"/>
  <c r="F401" i="7"/>
  <c r="G401" i="7"/>
  <c r="H401" i="7"/>
  <c r="I401" i="7"/>
  <c r="J401" i="7"/>
  <c r="K401" i="7"/>
  <c r="O401" i="7"/>
  <c r="P401" i="7"/>
  <c r="Q401" i="7"/>
  <c r="R401" i="7"/>
  <c r="S401" i="7"/>
  <c r="T401" i="7"/>
  <c r="U401" i="7"/>
  <c r="V401" i="7"/>
  <c r="C402" i="7"/>
  <c r="D402" i="7"/>
  <c r="E402" i="7"/>
  <c r="F402" i="7"/>
  <c r="G402" i="7"/>
  <c r="H402" i="7"/>
  <c r="I402" i="7"/>
  <c r="J402" i="7"/>
  <c r="K402" i="7"/>
  <c r="O402" i="7"/>
  <c r="P402" i="7"/>
  <c r="Q402" i="7"/>
  <c r="R402" i="7"/>
  <c r="S402" i="7"/>
  <c r="T402" i="7"/>
  <c r="U402" i="7"/>
  <c r="V402" i="7"/>
  <c r="C403" i="7"/>
  <c r="D403" i="7"/>
  <c r="E403" i="7"/>
  <c r="F403" i="7"/>
  <c r="G403" i="7"/>
  <c r="H403" i="7"/>
  <c r="I403" i="7"/>
  <c r="J403" i="7"/>
  <c r="K403" i="7"/>
  <c r="O403" i="7"/>
  <c r="P403" i="7"/>
  <c r="Q403" i="7"/>
  <c r="R403" i="7"/>
  <c r="S403" i="7"/>
  <c r="T403" i="7"/>
  <c r="U403" i="7"/>
  <c r="V403" i="7"/>
  <c r="C404" i="7"/>
  <c r="D404" i="7"/>
  <c r="E404" i="7"/>
  <c r="F404" i="7"/>
  <c r="G404" i="7"/>
  <c r="H404" i="7"/>
  <c r="I404" i="7"/>
  <c r="J404" i="7"/>
  <c r="K404" i="7"/>
  <c r="O404" i="7"/>
  <c r="P404" i="7"/>
  <c r="Q404" i="7"/>
  <c r="R404" i="7"/>
  <c r="S404" i="7"/>
  <c r="T404" i="7"/>
  <c r="U404" i="7"/>
  <c r="V404" i="7"/>
  <c r="C405" i="7"/>
  <c r="D405" i="7"/>
  <c r="E405" i="7"/>
  <c r="F405" i="7"/>
  <c r="G405" i="7"/>
  <c r="H405" i="7"/>
  <c r="I405" i="7"/>
  <c r="J405" i="7"/>
  <c r="K405" i="7"/>
  <c r="O405" i="7"/>
  <c r="P405" i="7"/>
  <c r="Q405" i="7"/>
  <c r="R405" i="7"/>
  <c r="S405" i="7"/>
  <c r="T405" i="7"/>
  <c r="U405" i="7"/>
  <c r="V405" i="7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8" i="2"/>
  <c r="C374" i="10"/>
  <c r="B374" i="10"/>
  <c r="C373" i="10"/>
  <c r="B373" i="10"/>
  <c r="C372" i="10"/>
  <c r="B372" i="10"/>
  <c r="C371" i="10"/>
  <c r="B371" i="10"/>
  <c r="C370" i="10"/>
  <c r="B370" i="10"/>
  <c r="C369" i="10"/>
  <c r="B369" i="10"/>
  <c r="C368" i="10"/>
  <c r="B368" i="10"/>
  <c r="C367" i="10"/>
  <c r="B367" i="10"/>
  <c r="C366" i="10"/>
  <c r="B366" i="10"/>
  <c r="C365" i="10"/>
  <c r="B365" i="10"/>
  <c r="C364" i="10"/>
  <c r="B364" i="10"/>
  <c r="C363" i="10"/>
  <c r="B363" i="10"/>
  <c r="C362" i="10"/>
  <c r="B362" i="10"/>
  <c r="C361" i="10"/>
  <c r="B361" i="10"/>
  <c r="C360" i="10"/>
  <c r="B360" i="10"/>
  <c r="C359" i="10"/>
  <c r="B359" i="10"/>
  <c r="C358" i="10"/>
  <c r="B358" i="10"/>
  <c r="C357" i="10"/>
  <c r="B357" i="10"/>
  <c r="C356" i="10"/>
  <c r="B356" i="10"/>
  <c r="C355" i="10"/>
  <c r="B355" i="10"/>
  <c r="C354" i="10"/>
  <c r="B354" i="10"/>
  <c r="C353" i="10"/>
  <c r="B353" i="10"/>
  <c r="C352" i="10"/>
  <c r="B352" i="10"/>
  <c r="C351" i="10"/>
  <c r="B351" i="10"/>
  <c r="C350" i="10"/>
  <c r="B350" i="10"/>
  <c r="C349" i="10"/>
  <c r="B349" i="10"/>
  <c r="C348" i="10"/>
  <c r="B348" i="10"/>
  <c r="C347" i="10"/>
  <c r="B347" i="10"/>
  <c r="C346" i="10"/>
  <c r="B346" i="10"/>
  <c r="C345" i="10"/>
  <c r="B345" i="10"/>
  <c r="C344" i="10"/>
  <c r="B344" i="10"/>
  <c r="C343" i="10"/>
  <c r="B343" i="10"/>
  <c r="C342" i="10"/>
  <c r="B342" i="10"/>
  <c r="C341" i="10"/>
  <c r="B341" i="10"/>
  <c r="C340" i="10"/>
  <c r="B340" i="10"/>
  <c r="C339" i="10"/>
  <c r="B339" i="10"/>
  <c r="C338" i="10"/>
  <c r="B338" i="10"/>
  <c r="C337" i="10"/>
  <c r="B337" i="10"/>
  <c r="C336" i="10"/>
  <c r="B336" i="10"/>
  <c r="C335" i="10"/>
  <c r="B335" i="10"/>
  <c r="C334" i="10"/>
  <c r="B334" i="10"/>
  <c r="C333" i="10"/>
  <c r="B333" i="10"/>
  <c r="C332" i="10"/>
  <c r="B332" i="10"/>
  <c r="C331" i="10"/>
  <c r="B331" i="10"/>
  <c r="C330" i="10"/>
  <c r="B330" i="10"/>
  <c r="C329" i="10"/>
  <c r="B329" i="10"/>
  <c r="C328" i="10"/>
  <c r="B328" i="10"/>
  <c r="C327" i="10"/>
  <c r="B327" i="10"/>
  <c r="C326" i="10"/>
  <c r="B326" i="10"/>
  <c r="C325" i="10"/>
  <c r="B325" i="10"/>
  <c r="C324" i="10"/>
  <c r="B324" i="10"/>
  <c r="C323" i="10"/>
  <c r="B323" i="10"/>
  <c r="C322" i="10"/>
  <c r="B322" i="10"/>
  <c r="C321" i="10"/>
  <c r="B321" i="10"/>
  <c r="C320" i="10"/>
  <c r="B320" i="10"/>
  <c r="C319" i="10"/>
  <c r="B319" i="10"/>
  <c r="C318" i="10"/>
  <c r="B318" i="10"/>
  <c r="C317" i="10"/>
  <c r="B317" i="10"/>
  <c r="C316" i="10"/>
  <c r="B316" i="10"/>
  <c r="C315" i="10"/>
  <c r="B315" i="10"/>
  <c r="C314" i="10"/>
  <c r="B314" i="10"/>
  <c r="C313" i="10"/>
  <c r="B313" i="10"/>
  <c r="C312" i="10"/>
  <c r="B312" i="10"/>
  <c r="C311" i="10"/>
  <c r="B311" i="10"/>
  <c r="C310" i="10"/>
  <c r="B310" i="10"/>
  <c r="C309" i="10"/>
  <c r="B309" i="10"/>
  <c r="C308" i="10"/>
  <c r="B308" i="10"/>
  <c r="C307" i="10"/>
  <c r="B307" i="10"/>
  <c r="C306" i="10"/>
  <c r="B306" i="10"/>
  <c r="C305" i="10"/>
  <c r="B305" i="10"/>
  <c r="C304" i="10"/>
  <c r="B304" i="10"/>
  <c r="C303" i="10"/>
  <c r="B303" i="10"/>
  <c r="C302" i="10"/>
  <c r="B302" i="10"/>
  <c r="C301" i="10"/>
  <c r="B301" i="10"/>
  <c r="C300" i="10"/>
  <c r="B300" i="10"/>
  <c r="C299" i="10"/>
  <c r="B299" i="10"/>
  <c r="C298" i="10"/>
  <c r="B298" i="10"/>
  <c r="C297" i="10"/>
  <c r="B297" i="10"/>
  <c r="C296" i="10"/>
  <c r="B296" i="10"/>
  <c r="C295" i="10"/>
  <c r="B295" i="10"/>
  <c r="C294" i="10"/>
  <c r="B294" i="10"/>
  <c r="C293" i="10"/>
  <c r="B293" i="10"/>
  <c r="C292" i="10"/>
  <c r="B292" i="10"/>
  <c r="C291" i="10"/>
  <c r="B291" i="10"/>
  <c r="C290" i="10"/>
  <c r="B290" i="10"/>
  <c r="C289" i="10"/>
  <c r="B289" i="10"/>
  <c r="C288" i="10"/>
  <c r="B288" i="10"/>
  <c r="C287" i="10"/>
  <c r="B287" i="10"/>
  <c r="C286" i="10"/>
  <c r="B286" i="10"/>
  <c r="C285" i="10"/>
  <c r="B285" i="10"/>
  <c r="C284" i="10"/>
  <c r="B284" i="10"/>
  <c r="C283" i="10"/>
  <c r="B283" i="10"/>
  <c r="C282" i="10"/>
  <c r="B282" i="10"/>
  <c r="C281" i="10"/>
  <c r="B281" i="10"/>
  <c r="C280" i="10"/>
  <c r="B280" i="10"/>
  <c r="C279" i="10"/>
  <c r="B279" i="10"/>
  <c r="C278" i="10"/>
  <c r="B278" i="10"/>
  <c r="C277" i="10"/>
  <c r="B277" i="10"/>
  <c r="C276" i="10"/>
  <c r="B276" i="10"/>
  <c r="C275" i="10"/>
  <c r="B275" i="10"/>
  <c r="C274" i="10"/>
  <c r="B274" i="10"/>
  <c r="C273" i="10"/>
  <c r="B273" i="10"/>
  <c r="C272" i="10"/>
  <c r="B272" i="10"/>
  <c r="C271" i="10"/>
  <c r="B271" i="10"/>
  <c r="C270" i="10"/>
  <c r="B270" i="10"/>
  <c r="C269" i="10"/>
  <c r="B269" i="10"/>
  <c r="C268" i="10"/>
  <c r="B268" i="10"/>
  <c r="C267" i="10"/>
  <c r="B267" i="10"/>
  <c r="C266" i="10"/>
  <c r="B266" i="10"/>
  <c r="C265" i="10"/>
  <c r="B265" i="10"/>
  <c r="C264" i="10"/>
  <c r="B264" i="10"/>
  <c r="C263" i="10"/>
  <c r="B263" i="10"/>
  <c r="C262" i="10"/>
  <c r="B262" i="10"/>
  <c r="C261" i="10"/>
  <c r="B261" i="10"/>
  <c r="C260" i="10"/>
  <c r="B260" i="10"/>
  <c r="C259" i="10"/>
  <c r="B259" i="10"/>
  <c r="C258" i="10"/>
  <c r="B258" i="10"/>
  <c r="C257" i="10"/>
  <c r="B257" i="10"/>
  <c r="C256" i="10"/>
  <c r="B256" i="10"/>
  <c r="C255" i="10"/>
  <c r="B255" i="10"/>
  <c r="C254" i="10"/>
  <c r="B254" i="10"/>
  <c r="C253" i="10"/>
  <c r="B253" i="10"/>
  <c r="C252" i="10"/>
  <c r="B252" i="10"/>
  <c r="C251" i="10"/>
  <c r="B251" i="10"/>
  <c r="C250" i="10"/>
  <c r="B250" i="10"/>
  <c r="C249" i="10"/>
  <c r="B249" i="10"/>
  <c r="C248" i="10"/>
  <c r="B248" i="10"/>
  <c r="C247" i="10"/>
  <c r="B247" i="10"/>
  <c r="C246" i="10"/>
  <c r="B246" i="10"/>
  <c r="C245" i="10"/>
  <c r="B245" i="10"/>
  <c r="C244" i="10"/>
  <c r="B244" i="10"/>
  <c r="C243" i="10"/>
  <c r="B243" i="10"/>
  <c r="C242" i="10"/>
  <c r="B242" i="10"/>
  <c r="C241" i="10"/>
  <c r="B241" i="10"/>
  <c r="C240" i="10"/>
  <c r="B240" i="10"/>
  <c r="C239" i="10"/>
  <c r="B239" i="10"/>
  <c r="C238" i="10"/>
  <c r="B238" i="10"/>
  <c r="C237" i="10"/>
  <c r="B237" i="10"/>
  <c r="C236" i="10"/>
  <c r="B236" i="10"/>
  <c r="C235" i="10"/>
  <c r="B235" i="10"/>
  <c r="C234" i="10"/>
  <c r="B234" i="10"/>
  <c r="C233" i="10"/>
  <c r="B233" i="10"/>
  <c r="C232" i="10"/>
  <c r="B232" i="10"/>
  <c r="C231" i="10"/>
  <c r="B231" i="10"/>
  <c r="C230" i="10"/>
  <c r="B230" i="10"/>
  <c r="C229" i="10"/>
  <c r="B229" i="10"/>
  <c r="C228" i="10"/>
  <c r="B228" i="10"/>
  <c r="C227" i="10"/>
  <c r="B227" i="10"/>
  <c r="C226" i="10"/>
  <c r="B226" i="10"/>
  <c r="C225" i="10"/>
  <c r="B225" i="10"/>
  <c r="C224" i="10"/>
  <c r="B224" i="10"/>
  <c r="C223" i="10"/>
  <c r="B223" i="10"/>
  <c r="C222" i="10"/>
  <c r="B222" i="10"/>
  <c r="C221" i="10"/>
  <c r="B221" i="10"/>
  <c r="C220" i="10"/>
  <c r="B220" i="10"/>
  <c r="C219" i="10"/>
  <c r="B219" i="10"/>
  <c r="C218" i="10"/>
  <c r="B218" i="10"/>
  <c r="C217" i="10"/>
  <c r="B217" i="10"/>
  <c r="C216" i="10"/>
  <c r="B216" i="10"/>
  <c r="C215" i="10"/>
  <c r="B215" i="10"/>
  <c r="C214" i="10"/>
  <c r="B214" i="10"/>
  <c r="C213" i="10"/>
  <c r="B213" i="10"/>
  <c r="C212" i="10"/>
  <c r="B212" i="10"/>
  <c r="C211" i="10"/>
  <c r="B211" i="10"/>
  <c r="C210" i="10"/>
  <c r="B210" i="10"/>
  <c r="C209" i="10"/>
  <c r="B209" i="10"/>
  <c r="C208" i="10"/>
  <c r="B208" i="10"/>
  <c r="C207" i="10"/>
  <c r="B207" i="10"/>
  <c r="C206" i="10"/>
  <c r="B206" i="10"/>
  <c r="C205" i="10"/>
  <c r="B205" i="10"/>
  <c r="C204" i="10"/>
  <c r="B204" i="10"/>
  <c r="C203" i="10"/>
  <c r="B203" i="10"/>
  <c r="C202" i="10"/>
  <c r="B202" i="10"/>
  <c r="C201" i="10"/>
  <c r="B201" i="10"/>
  <c r="C200" i="10"/>
  <c r="B200" i="10"/>
  <c r="C199" i="10"/>
  <c r="B199" i="10"/>
  <c r="C198" i="10"/>
  <c r="B198" i="10"/>
  <c r="C197" i="10"/>
  <c r="B197" i="10"/>
  <c r="C196" i="10"/>
  <c r="B196" i="10"/>
  <c r="C195" i="10"/>
  <c r="B195" i="10"/>
  <c r="C194" i="10"/>
  <c r="B194" i="10"/>
  <c r="C193" i="10"/>
  <c r="B193" i="10"/>
  <c r="C192" i="10"/>
  <c r="B192" i="10"/>
  <c r="C191" i="10"/>
  <c r="B191" i="10"/>
  <c r="C190" i="10"/>
  <c r="B190" i="10"/>
  <c r="C189" i="10"/>
  <c r="B189" i="10"/>
  <c r="C188" i="10"/>
  <c r="B188" i="10"/>
  <c r="C187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D8" i="10"/>
  <c r="B8" i="10"/>
  <c r="D351" i="9"/>
  <c r="B351" i="9"/>
  <c r="B350" i="9"/>
  <c r="C351" i="9" s="1"/>
  <c r="B349" i="9"/>
  <c r="C350" i="9" s="1"/>
  <c r="B348" i="9"/>
  <c r="C348" i="9" s="1"/>
  <c r="C347" i="9"/>
  <c r="B347" i="9"/>
  <c r="C346" i="9"/>
  <c r="B346" i="9"/>
  <c r="B345" i="9"/>
  <c r="B344" i="9"/>
  <c r="C345" i="9" s="1"/>
  <c r="D343" i="9"/>
  <c r="B343" i="9"/>
  <c r="C344" i="9" s="1"/>
  <c r="B342" i="9"/>
  <c r="C343" i="9" s="1"/>
  <c r="B341" i="9"/>
  <c r="C342" i="9" s="1"/>
  <c r="B340" i="9"/>
  <c r="C340" i="9" s="1"/>
  <c r="C339" i="9"/>
  <c r="B339" i="9"/>
  <c r="C338" i="9"/>
  <c r="B338" i="9"/>
  <c r="B337" i="9"/>
  <c r="D349" i="9" s="1"/>
  <c r="B336" i="9"/>
  <c r="D348" i="9" s="1"/>
  <c r="D335" i="9"/>
  <c r="B335" i="9"/>
  <c r="D347" i="9" s="1"/>
  <c r="B334" i="9"/>
  <c r="D346" i="9" s="1"/>
  <c r="B333" i="9"/>
  <c r="C334" i="9" s="1"/>
  <c r="B332" i="9"/>
  <c r="D344" i="9" s="1"/>
  <c r="C331" i="9"/>
  <c r="B331" i="9"/>
  <c r="C330" i="9"/>
  <c r="B330" i="9"/>
  <c r="B329" i="9"/>
  <c r="D341" i="9" s="1"/>
  <c r="B328" i="9"/>
  <c r="D340" i="9" s="1"/>
  <c r="D327" i="9"/>
  <c r="B327" i="9"/>
  <c r="D339" i="9" s="1"/>
  <c r="B326" i="9"/>
  <c r="D338" i="9" s="1"/>
  <c r="B325" i="9"/>
  <c r="B324" i="9"/>
  <c r="D336" i="9" s="1"/>
  <c r="C323" i="9"/>
  <c r="B323" i="9"/>
  <c r="C322" i="9"/>
  <c r="B322" i="9"/>
  <c r="B321" i="9"/>
  <c r="D333" i="9" s="1"/>
  <c r="B320" i="9"/>
  <c r="D319" i="9"/>
  <c r="B319" i="9"/>
  <c r="D331" i="9" s="1"/>
  <c r="B318" i="9"/>
  <c r="D330" i="9" s="1"/>
  <c r="B317" i="9"/>
  <c r="B316" i="9"/>
  <c r="D328" i="9" s="1"/>
  <c r="C315" i="9"/>
  <c r="B315" i="9"/>
  <c r="C314" i="9"/>
  <c r="B314" i="9"/>
  <c r="B313" i="9"/>
  <c r="D325" i="9" s="1"/>
  <c r="B312" i="9"/>
  <c r="D311" i="9"/>
  <c r="B311" i="9"/>
  <c r="D323" i="9" s="1"/>
  <c r="B310" i="9"/>
  <c r="C311" i="9" s="1"/>
  <c r="B309" i="9"/>
  <c r="B308" i="9"/>
  <c r="C307" i="9"/>
  <c r="B307" i="9"/>
  <c r="C306" i="9"/>
  <c r="B306" i="9"/>
  <c r="B305" i="9"/>
  <c r="B304" i="9"/>
  <c r="D316" i="9" s="1"/>
  <c r="D303" i="9"/>
  <c r="B303" i="9"/>
  <c r="D315" i="9" s="1"/>
  <c r="B302" i="9"/>
  <c r="C303" i="9" s="1"/>
  <c r="B301" i="9"/>
  <c r="B300" i="9"/>
  <c r="C300" i="9" s="1"/>
  <c r="C299" i="9"/>
  <c r="B299" i="9"/>
  <c r="C298" i="9"/>
  <c r="B298" i="9"/>
  <c r="B297" i="9"/>
  <c r="D309" i="9" s="1"/>
  <c r="B296" i="9"/>
  <c r="D308" i="9" s="1"/>
  <c r="D295" i="9"/>
  <c r="B295" i="9"/>
  <c r="D307" i="9" s="1"/>
  <c r="B294" i="9"/>
  <c r="C295" i="9" s="1"/>
  <c r="B293" i="9"/>
  <c r="B292" i="9"/>
  <c r="C292" i="9" s="1"/>
  <c r="C291" i="9"/>
  <c r="B291" i="9"/>
  <c r="C290" i="9"/>
  <c r="B290" i="9"/>
  <c r="B289" i="9"/>
  <c r="D301" i="9" s="1"/>
  <c r="B288" i="9"/>
  <c r="D300" i="9" s="1"/>
  <c r="D287" i="9"/>
  <c r="B287" i="9"/>
  <c r="D299" i="9" s="1"/>
  <c r="B286" i="9"/>
  <c r="B285" i="9"/>
  <c r="B284" i="9"/>
  <c r="C284" i="9" s="1"/>
  <c r="C283" i="9"/>
  <c r="B283" i="9"/>
  <c r="C282" i="9"/>
  <c r="B282" i="9"/>
  <c r="B281" i="9"/>
  <c r="D293" i="9" s="1"/>
  <c r="B280" i="9"/>
  <c r="D292" i="9" s="1"/>
  <c r="D279" i="9"/>
  <c r="B279" i="9"/>
  <c r="D291" i="9" s="1"/>
  <c r="B278" i="9"/>
  <c r="B277" i="9"/>
  <c r="B276" i="9"/>
  <c r="C276" i="9" s="1"/>
  <c r="C275" i="9"/>
  <c r="B275" i="9"/>
  <c r="C274" i="9"/>
  <c r="B274" i="9"/>
  <c r="B273" i="9"/>
  <c r="D285" i="9" s="1"/>
  <c r="B272" i="9"/>
  <c r="D284" i="9" s="1"/>
  <c r="D271" i="9"/>
  <c r="B271" i="9"/>
  <c r="D283" i="9" s="1"/>
  <c r="B270" i="9"/>
  <c r="B269" i="9"/>
  <c r="B268" i="9"/>
  <c r="C268" i="9" s="1"/>
  <c r="C267" i="9"/>
  <c r="B267" i="9"/>
  <c r="C266" i="9"/>
  <c r="B266" i="9"/>
  <c r="B265" i="9"/>
  <c r="D277" i="9" s="1"/>
  <c r="B264" i="9"/>
  <c r="D276" i="9" s="1"/>
  <c r="D263" i="9"/>
  <c r="B263" i="9"/>
  <c r="D275" i="9" s="1"/>
  <c r="B262" i="9"/>
  <c r="B261" i="9"/>
  <c r="B260" i="9"/>
  <c r="C260" i="9" s="1"/>
  <c r="C259" i="9"/>
  <c r="B259" i="9"/>
  <c r="C258" i="9"/>
  <c r="B258" i="9"/>
  <c r="B257" i="9"/>
  <c r="D269" i="9" s="1"/>
  <c r="B256" i="9"/>
  <c r="D255" i="9"/>
  <c r="B255" i="9"/>
  <c r="D267" i="9" s="1"/>
  <c r="B254" i="9"/>
  <c r="B253" i="9"/>
  <c r="B252" i="9"/>
  <c r="C252" i="9" s="1"/>
  <c r="C251" i="9"/>
  <c r="B251" i="9"/>
  <c r="C250" i="9"/>
  <c r="B250" i="9"/>
  <c r="B249" i="9"/>
  <c r="D261" i="9" s="1"/>
  <c r="B248" i="9"/>
  <c r="D247" i="9"/>
  <c r="B247" i="9"/>
  <c r="D259" i="9" s="1"/>
  <c r="B246" i="9"/>
  <c r="B245" i="9"/>
  <c r="B244" i="9"/>
  <c r="C244" i="9" s="1"/>
  <c r="C243" i="9"/>
  <c r="B243" i="9"/>
  <c r="C242" i="9"/>
  <c r="B242" i="9"/>
  <c r="B241" i="9"/>
  <c r="D253" i="9" s="1"/>
  <c r="B240" i="9"/>
  <c r="D239" i="9"/>
  <c r="B239" i="9"/>
  <c r="D251" i="9" s="1"/>
  <c r="B238" i="9"/>
  <c r="B237" i="9"/>
  <c r="B236" i="9"/>
  <c r="C236" i="9" s="1"/>
  <c r="C235" i="9"/>
  <c r="B235" i="9"/>
  <c r="C234" i="9"/>
  <c r="B234" i="9"/>
  <c r="B233" i="9"/>
  <c r="D245" i="9" s="1"/>
  <c r="B232" i="9"/>
  <c r="D231" i="9"/>
  <c r="B231" i="9"/>
  <c r="D243" i="9" s="1"/>
  <c r="B230" i="9"/>
  <c r="B229" i="9"/>
  <c r="B228" i="9"/>
  <c r="C227" i="9"/>
  <c r="B227" i="9"/>
  <c r="C226" i="9"/>
  <c r="B226" i="9"/>
  <c r="C225" i="9"/>
  <c r="B225" i="9"/>
  <c r="D237" i="9" s="1"/>
  <c r="B224" i="9"/>
  <c r="B223" i="9"/>
  <c r="B222" i="9"/>
  <c r="D234" i="9" s="1"/>
  <c r="B221" i="9"/>
  <c r="B220" i="9"/>
  <c r="C219" i="9"/>
  <c r="B219" i="9"/>
  <c r="C218" i="9"/>
  <c r="B218" i="9"/>
  <c r="D217" i="9"/>
  <c r="B217" i="9"/>
  <c r="D229" i="9" s="1"/>
  <c r="B216" i="9"/>
  <c r="D215" i="9"/>
  <c r="C215" i="9"/>
  <c r="B215" i="9"/>
  <c r="D214" i="9"/>
  <c r="B214" i="9"/>
  <c r="D226" i="9" s="1"/>
  <c r="B213" i="9"/>
  <c r="D225" i="9" s="1"/>
  <c r="B212" i="9"/>
  <c r="D224" i="9" s="1"/>
  <c r="B211" i="9"/>
  <c r="B210" i="9"/>
  <c r="C209" i="9"/>
  <c r="B209" i="9"/>
  <c r="B208" i="9"/>
  <c r="D220" i="9" s="1"/>
  <c r="B207" i="9"/>
  <c r="B206" i="9"/>
  <c r="C207" i="9" s="1"/>
  <c r="B205" i="9"/>
  <c r="B204" i="9"/>
  <c r="C203" i="9"/>
  <c r="B203" i="9"/>
  <c r="D202" i="9"/>
  <c r="C202" i="9"/>
  <c r="B202" i="9"/>
  <c r="D201" i="9"/>
  <c r="B201" i="9"/>
  <c r="B200" i="9"/>
  <c r="C201" i="9" s="1"/>
  <c r="D199" i="9"/>
  <c r="C199" i="9"/>
  <c r="B199" i="9"/>
  <c r="D198" i="9"/>
  <c r="B198" i="9"/>
  <c r="B197" i="9"/>
  <c r="C196" i="9"/>
  <c r="B196" i="9"/>
  <c r="D208" i="9" s="1"/>
  <c r="B195" i="9"/>
  <c r="C194" i="9"/>
  <c r="B194" i="9"/>
  <c r="C195" i="9" s="1"/>
  <c r="C193" i="9"/>
  <c r="B193" i="9"/>
  <c r="B192" i="9"/>
  <c r="D204" i="9" s="1"/>
  <c r="C191" i="9"/>
  <c r="B191" i="9"/>
  <c r="D190" i="9"/>
  <c r="B190" i="9"/>
  <c r="B189" i="9"/>
  <c r="B188" i="9"/>
  <c r="C188" i="9" s="1"/>
  <c r="C187" i="9"/>
  <c r="B187" i="9"/>
  <c r="C186" i="9"/>
  <c r="B186" i="9"/>
  <c r="D185" i="9"/>
  <c r="B185" i="9"/>
  <c r="B184" i="9"/>
  <c r="C185" i="9" s="1"/>
  <c r="D183" i="9"/>
  <c r="C183" i="9"/>
  <c r="B183" i="9"/>
  <c r="D182" i="9"/>
  <c r="B182" i="9"/>
  <c r="D194" i="9" s="1"/>
  <c r="B181" i="9"/>
  <c r="D180" i="9"/>
  <c r="C180" i="9"/>
  <c r="B180" i="9"/>
  <c r="D192" i="9" s="1"/>
  <c r="B179" i="9"/>
  <c r="B178" i="9"/>
  <c r="C179" i="9" s="1"/>
  <c r="C177" i="9"/>
  <c r="B177" i="9"/>
  <c r="B176" i="9"/>
  <c r="B175" i="9"/>
  <c r="B174" i="9"/>
  <c r="D186" i="9" s="1"/>
  <c r="B173" i="9"/>
  <c r="B172" i="9"/>
  <c r="C172" i="9" s="1"/>
  <c r="C171" i="9"/>
  <c r="B171" i="9"/>
  <c r="D170" i="9"/>
  <c r="C170" i="9"/>
  <c r="B170" i="9"/>
  <c r="D169" i="9"/>
  <c r="B169" i="9"/>
  <c r="D168" i="9"/>
  <c r="B168" i="9"/>
  <c r="C169" i="9" s="1"/>
  <c r="D167" i="9"/>
  <c r="C167" i="9"/>
  <c r="B167" i="9"/>
  <c r="D166" i="9"/>
  <c r="B166" i="9"/>
  <c r="D178" i="9" s="1"/>
  <c r="B165" i="9"/>
  <c r="B164" i="9"/>
  <c r="D176" i="9" s="1"/>
  <c r="B163" i="9"/>
  <c r="C162" i="9"/>
  <c r="B162" i="9"/>
  <c r="C163" i="9" s="1"/>
  <c r="D161" i="9"/>
  <c r="C161" i="9"/>
  <c r="B161" i="9"/>
  <c r="B160" i="9"/>
  <c r="C159" i="9"/>
  <c r="B159" i="9"/>
  <c r="D158" i="9"/>
  <c r="B158" i="9"/>
  <c r="C157" i="9"/>
  <c r="B157" i="9"/>
  <c r="B156" i="9"/>
  <c r="C156" i="9" s="1"/>
  <c r="C155" i="9"/>
  <c r="B155" i="9"/>
  <c r="C154" i="9"/>
  <c r="B154" i="9"/>
  <c r="D153" i="9"/>
  <c r="B153" i="9"/>
  <c r="B152" i="9"/>
  <c r="C153" i="9" s="1"/>
  <c r="D151" i="9"/>
  <c r="C151" i="9"/>
  <c r="B151" i="9"/>
  <c r="D150" i="9"/>
  <c r="B150" i="9"/>
  <c r="D162" i="9" s="1"/>
  <c r="C149" i="9"/>
  <c r="B149" i="9"/>
  <c r="D148" i="9"/>
  <c r="C148" i="9"/>
  <c r="B148" i="9"/>
  <c r="D160" i="9" s="1"/>
  <c r="B147" i="9"/>
  <c r="B146" i="9"/>
  <c r="C147" i="9" s="1"/>
  <c r="C145" i="9"/>
  <c r="B145" i="9"/>
  <c r="B144" i="9"/>
  <c r="D156" i="9" s="1"/>
  <c r="B143" i="9"/>
  <c r="B142" i="9"/>
  <c r="D154" i="9" s="1"/>
  <c r="B141" i="9"/>
  <c r="B140" i="9"/>
  <c r="C140" i="9" s="1"/>
  <c r="C139" i="9"/>
  <c r="B139" i="9"/>
  <c r="C138" i="9"/>
  <c r="B138" i="9"/>
  <c r="D137" i="9"/>
  <c r="B137" i="9"/>
  <c r="D136" i="9"/>
  <c r="B136" i="9"/>
  <c r="C137" i="9" s="1"/>
  <c r="D135" i="9"/>
  <c r="C135" i="9"/>
  <c r="B135" i="9"/>
  <c r="D134" i="9"/>
  <c r="B134" i="9"/>
  <c r="B133" i="9"/>
  <c r="C132" i="9"/>
  <c r="B132" i="9"/>
  <c r="D144" i="9" s="1"/>
  <c r="B131" i="9"/>
  <c r="C130" i="9"/>
  <c r="B130" i="9"/>
  <c r="C131" i="9" s="1"/>
  <c r="C129" i="9"/>
  <c r="B129" i="9"/>
  <c r="B128" i="9"/>
  <c r="D140" i="9" s="1"/>
  <c r="B127" i="9"/>
  <c r="B126" i="9"/>
  <c r="D138" i="9" s="1"/>
  <c r="B125" i="9"/>
  <c r="B124" i="9"/>
  <c r="C124" i="9" s="1"/>
  <c r="C123" i="9"/>
  <c r="B123" i="9"/>
  <c r="C122" i="9"/>
  <c r="B122" i="9"/>
  <c r="D121" i="9"/>
  <c r="B121" i="9"/>
  <c r="B120" i="9"/>
  <c r="C121" i="9" s="1"/>
  <c r="D119" i="9"/>
  <c r="C119" i="9"/>
  <c r="B119" i="9"/>
  <c r="D118" i="9"/>
  <c r="B118" i="9"/>
  <c r="D130" i="9" s="1"/>
  <c r="B117" i="9"/>
  <c r="D129" i="9" s="1"/>
  <c r="C116" i="9"/>
  <c r="B116" i="9"/>
  <c r="B115" i="9"/>
  <c r="B114" i="9"/>
  <c r="C115" i="9" s="1"/>
  <c r="B113" i="9"/>
  <c r="B112" i="9"/>
  <c r="D124" i="9" s="1"/>
  <c r="B111" i="9"/>
  <c r="B110" i="9"/>
  <c r="D122" i="9" s="1"/>
  <c r="B109" i="9"/>
  <c r="B108" i="9"/>
  <c r="C108" i="9" s="1"/>
  <c r="C107" i="9"/>
  <c r="B107" i="9"/>
  <c r="C106" i="9"/>
  <c r="B106" i="9"/>
  <c r="D105" i="9"/>
  <c r="B105" i="9"/>
  <c r="D104" i="9"/>
  <c r="B104" i="9"/>
  <c r="C105" i="9" s="1"/>
  <c r="D103" i="9"/>
  <c r="C103" i="9"/>
  <c r="B103" i="9"/>
  <c r="D102" i="9"/>
  <c r="B102" i="9"/>
  <c r="B101" i="9"/>
  <c r="D100" i="9"/>
  <c r="C100" i="9"/>
  <c r="B100" i="9"/>
  <c r="B99" i="9"/>
  <c r="B98" i="9"/>
  <c r="C99" i="9" s="1"/>
  <c r="C97" i="9"/>
  <c r="B97" i="9"/>
  <c r="B96" i="9"/>
  <c r="D108" i="9" s="1"/>
  <c r="B95" i="9"/>
  <c r="B94" i="9"/>
  <c r="D106" i="9" s="1"/>
  <c r="B93" i="9"/>
  <c r="D92" i="9"/>
  <c r="B92" i="9"/>
  <c r="C92" i="9" s="1"/>
  <c r="C91" i="9"/>
  <c r="B91" i="9"/>
  <c r="C90" i="9"/>
  <c r="B90" i="9"/>
  <c r="D89" i="9"/>
  <c r="B89" i="9"/>
  <c r="B88" i="9"/>
  <c r="C89" i="9" s="1"/>
  <c r="D87" i="9"/>
  <c r="C87" i="9"/>
  <c r="B87" i="9"/>
  <c r="D86" i="9"/>
  <c r="B86" i="9"/>
  <c r="D98" i="9" s="1"/>
  <c r="C85" i="9"/>
  <c r="B85" i="9"/>
  <c r="D84" i="9"/>
  <c r="C84" i="9"/>
  <c r="B84" i="9"/>
  <c r="B83" i="9"/>
  <c r="B82" i="9"/>
  <c r="D81" i="9"/>
  <c r="B81" i="9"/>
  <c r="B80" i="9"/>
  <c r="C81" i="9" s="1"/>
  <c r="B79" i="9"/>
  <c r="B78" i="9"/>
  <c r="C77" i="9"/>
  <c r="B77" i="9"/>
  <c r="B76" i="9"/>
  <c r="C76" i="9" s="1"/>
  <c r="C75" i="9"/>
  <c r="B75" i="9"/>
  <c r="C74" i="9"/>
  <c r="B74" i="9"/>
  <c r="D73" i="9"/>
  <c r="B73" i="9"/>
  <c r="D72" i="9"/>
  <c r="B72" i="9"/>
  <c r="C73" i="9" s="1"/>
  <c r="D71" i="9"/>
  <c r="C71" i="9"/>
  <c r="B71" i="9"/>
  <c r="D70" i="9"/>
  <c r="B70" i="9"/>
  <c r="B69" i="9"/>
  <c r="C68" i="9"/>
  <c r="B68" i="9"/>
  <c r="B67" i="9"/>
  <c r="C66" i="9"/>
  <c r="B66" i="9"/>
  <c r="C67" i="9" s="1"/>
  <c r="C65" i="9"/>
  <c r="B65" i="9"/>
  <c r="B64" i="9"/>
  <c r="D76" i="9" s="1"/>
  <c r="B63" i="9"/>
  <c r="D62" i="9"/>
  <c r="B62" i="9"/>
  <c r="D74" i="9" s="1"/>
  <c r="B61" i="9"/>
  <c r="B60" i="9"/>
  <c r="C60" i="9" s="1"/>
  <c r="C59" i="9"/>
  <c r="B59" i="9"/>
  <c r="D58" i="9"/>
  <c r="C58" i="9"/>
  <c r="B58" i="9"/>
  <c r="D57" i="9"/>
  <c r="B57" i="9"/>
  <c r="B56" i="9"/>
  <c r="C57" i="9" s="1"/>
  <c r="D55" i="9"/>
  <c r="C55" i="9"/>
  <c r="B55" i="9"/>
  <c r="D54" i="9"/>
  <c r="B54" i="9"/>
  <c r="D66" i="9" s="1"/>
  <c r="B53" i="9"/>
  <c r="D65" i="9" s="1"/>
  <c r="B52" i="9"/>
  <c r="B51" i="9"/>
  <c r="B50" i="9"/>
  <c r="C51" i="9" s="1"/>
  <c r="B49" i="9"/>
  <c r="B48" i="9"/>
  <c r="C47" i="9"/>
  <c r="B47" i="9"/>
  <c r="B46" i="9"/>
  <c r="B45" i="9"/>
  <c r="B44" i="9"/>
  <c r="C43" i="9"/>
  <c r="B43" i="9"/>
  <c r="C42" i="9"/>
  <c r="B42" i="9"/>
  <c r="B41" i="9"/>
  <c r="D40" i="9"/>
  <c r="C40" i="9"/>
  <c r="B40" i="9"/>
  <c r="C41" i="9" s="1"/>
  <c r="B39" i="9"/>
  <c r="D51" i="9" s="1"/>
  <c r="B38" i="9"/>
  <c r="B37" i="9"/>
  <c r="D36" i="9"/>
  <c r="B36" i="9"/>
  <c r="B35" i="9"/>
  <c r="B34" i="9"/>
  <c r="C35" i="9" s="1"/>
  <c r="D33" i="9"/>
  <c r="B33" i="9"/>
  <c r="C32" i="9"/>
  <c r="B32" i="9"/>
  <c r="C33" i="9" s="1"/>
  <c r="C31" i="9"/>
  <c r="B31" i="9"/>
  <c r="D43" i="9" s="1"/>
  <c r="B30" i="9"/>
  <c r="D30" i="9" s="1"/>
  <c r="B29" i="9"/>
  <c r="D28" i="9"/>
  <c r="B28" i="9"/>
  <c r="B27" i="9"/>
  <c r="C28" i="9" s="1"/>
  <c r="B26" i="9"/>
  <c r="D25" i="9"/>
  <c r="C25" i="9"/>
  <c r="B25" i="9"/>
  <c r="B24" i="9"/>
  <c r="D23" i="9"/>
  <c r="B23" i="9"/>
  <c r="D35" i="9" s="1"/>
  <c r="B22" i="9"/>
  <c r="D21" i="9"/>
  <c r="B21" i="9"/>
  <c r="D20" i="9"/>
  <c r="B20" i="9"/>
  <c r="D32" i="9" s="1"/>
  <c r="B19" i="9"/>
  <c r="C18" i="9"/>
  <c r="B18" i="9"/>
  <c r="C17" i="9"/>
  <c r="B17" i="9"/>
  <c r="B16" i="9"/>
  <c r="B15" i="9"/>
  <c r="B14" i="9"/>
  <c r="C13" i="9"/>
  <c r="B13" i="9"/>
  <c r="C12" i="9"/>
  <c r="B12" i="9"/>
  <c r="D24" i="9" s="1"/>
  <c r="B11" i="9"/>
  <c r="B10" i="9"/>
  <c r="C9" i="9"/>
  <c r="B9" i="9"/>
  <c r="B8" i="9"/>
  <c r="B7" i="9"/>
  <c r="B6" i="9"/>
  <c r="B5" i="9"/>
  <c r="C6" i="9" s="1"/>
  <c r="O1" i="9"/>
  <c r="G1" i="9" s="1"/>
  <c r="P359" i="8"/>
  <c r="N359" i="8"/>
  <c r="G359" i="8"/>
  <c r="F359" i="8"/>
  <c r="E359" i="8"/>
  <c r="D359" i="8"/>
  <c r="C359" i="8"/>
  <c r="B359" i="8"/>
  <c r="P358" i="8"/>
  <c r="N358" i="8"/>
  <c r="G358" i="8"/>
  <c r="F358" i="8"/>
  <c r="E358" i="8"/>
  <c r="D358" i="8"/>
  <c r="C358" i="8"/>
  <c r="B358" i="8"/>
  <c r="P357" i="8"/>
  <c r="N357" i="8"/>
  <c r="G357" i="8"/>
  <c r="F357" i="8"/>
  <c r="E357" i="8"/>
  <c r="D357" i="8"/>
  <c r="C357" i="8"/>
  <c r="B357" i="8"/>
  <c r="P356" i="8"/>
  <c r="N356" i="8"/>
  <c r="G356" i="8"/>
  <c r="F356" i="8"/>
  <c r="E356" i="8"/>
  <c r="D356" i="8"/>
  <c r="C356" i="8"/>
  <c r="B356" i="8"/>
  <c r="P355" i="8"/>
  <c r="N355" i="8"/>
  <c r="G355" i="8"/>
  <c r="F355" i="8"/>
  <c r="E355" i="8"/>
  <c r="D355" i="8"/>
  <c r="C355" i="8"/>
  <c r="B355" i="8"/>
  <c r="P354" i="8"/>
  <c r="N354" i="8"/>
  <c r="G354" i="8"/>
  <c r="F354" i="8"/>
  <c r="E354" i="8"/>
  <c r="D354" i="8"/>
  <c r="C354" i="8"/>
  <c r="B354" i="8"/>
  <c r="P353" i="8"/>
  <c r="N353" i="8"/>
  <c r="G353" i="8"/>
  <c r="F353" i="8"/>
  <c r="E353" i="8"/>
  <c r="D353" i="8"/>
  <c r="C353" i="8"/>
  <c r="B353" i="8"/>
  <c r="P352" i="8"/>
  <c r="N352" i="8"/>
  <c r="G352" i="8"/>
  <c r="F352" i="8"/>
  <c r="E352" i="8"/>
  <c r="D352" i="8"/>
  <c r="C352" i="8"/>
  <c r="B352" i="8"/>
  <c r="P351" i="8"/>
  <c r="N351" i="8"/>
  <c r="G351" i="8"/>
  <c r="F351" i="8"/>
  <c r="E351" i="8"/>
  <c r="D351" i="8"/>
  <c r="C351" i="8"/>
  <c r="B351" i="8"/>
  <c r="P350" i="8"/>
  <c r="N350" i="8"/>
  <c r="G350" i="8"/>
  <c r="F350" i="8"/>
  <c r="E350" i="8"/>
  <c r="D350" i="8"/>
  <c r="C350" i="8"/>
  <c r="B350" i="8"/>
  <c r="P349" i="8"/>
  <c r="N349" i="8"/>
  <c r="G349" i="8"/>
  <c r="F349" i="8"/>
  <c r="E349" i="8"/>
  <c r="D349" i="8"/>
  <c r="C349" i="8"/>
  <c r="B349" i="8"/>
  <c r="P348" i="8"/>
  <c r="N348" i="8"/>
  <c r="G348" i="8"/>
  <c r="F348" i="8"/>
  <c r="E348" i="8"/>
  <c r="D348" i="8"/>
  <c r="C348" i="8"/>
  <c r="B348" i="8"/>
  <c r="P347" i="8"/>
  <c r="N347" i="8"/>
  <c r="G347" i="8"/>
  <c r="F347" i="8"/>
  <c r="E347" i="8"/>
  <c r="D347" i="8"/>
  <c r="C347" i="8"/>
  <c r="B347" i="8"/>
  <c r="P346" i="8"/>
  <c r="N346" i="8"/>
  <c r="G346" i="8"/>
  <c r="F346" i="8"/>
  <c r="E346" i="8"/>
  <c r="D346" i="8"/>
  <c r="C346" i="8"/>
  <c r="B346" i="8"/>
  <c r="P345" i="8"/>
  <c r="N345" i="8"/>
  <c r="G345" i="8"/>
  <c r="F345" i="8"/>
  <c r="E345" i="8"/>
  <c r="D345" i="8"/>
  <c r="C345" i="8"/>
  <c r="B345" i="8"/>
  <c r="P344" i="8"/>
  <c r="N344" i="8"/>
  <c r="G344" i="8"/>
  <c r="F344" i="8"/>
  <c r="E344" i="8"/>
  <c r="D344" i="8"/>
  <c r="C344" i="8"/>
  <c r="B344" i="8"/>
  <c r="P343" i="8"/>
  <c r="N343" i="8"/>
  <c r="G343" i="8"/>
  <c r="F343" i="8"/>
  <c r="E343" i="8"/>
  <c r="D343" i="8"/>
  <c r="C343" i="8"/>
  <c r="B343" i="8"/>
  <c r="P342" i="8"/>
  <c r="N342" i="8"/>
  <c r="G342" i="8"/>
  <c r="F342" i="8"/>
  <c r="E342" i="8"/>
  <c r="D342" i="8"/>
  <c r="C342" i="8"/>
  <c r="B342" i="8"/>
  <c r="P341" i="8"/>
  <c r="N341" i="8"/>
  <c r="G341" i="8"/>
  <c r="F341" i="8"/>
  <c r="E341" i="8"/>
  <c r="D341" i="8"/>
  <c r="C341" i="8"/>
  <c r="B341" i="8"/>
  <c r="P340" i="8"/>
  <c r="N340" i="8"/>
  <c r="G340" i="8"/>
  <c r="F340" i="8"/>
  <c r="E340" i="8"/>
  <c r="D340" i="8"/>
  <c r="C340" i="8"/>
  <c r="B340" i="8"/>
  <c r="P339" i="8"/>
  <c r="N339" i="8"/>
  <c r="G339" i="8"/>
  <c r="F339" i="8"/>
  <c r="E339" i="8"/>
  <c r="D339" i="8"/>
  <c r="C339" i="8"/>
  <c r="B339" i="8"/>
  <c r="P338" i="8"/>
  <c r="N338" i="8"/>
  <c r="G338" i="8"/>
  <c r="F338" i="8"/>
  <c r="E338" i="8"/>
  <c r="D338" i="8"/>
  <c r="C338" i="8"/>
  <c r="B338" i="8"/>
  <c r="P337" i="8"/>
  <c r="N337" i="8"/>
  <c r="G337" i="8"/>
  <c r="F337" i="8"/>
  <c r="E337" i="8"/>
  <c r="D337" i="8"/>
  <c r="C337" i="8"/>
  <c r="B337" i="8"/>
  <c r="P336" i="8"/>
  <c r="N336" i="8"/>
  <c r="G336" i="8"/>
  <c r="F336" i="8"/>
  <c r="E336" i="8"/>
  <c r="D336" i="8"/>
  <c r="C336" i="8"/>
  <c r="B336" i="8"/>
  <c r="P335" i="8"/>
  <c r="N335" i="8"/>
  <c r="G335" i="8"/>
  <c r="F335" i="8"/>
  <c r="E335" i="8"/>
  <c r="D335" i="8"/>
  <c r="C335" i="8"/>
  <c r="B335" i="8"/>
  <c r="P334" i="8"/>
  <c r="N334" i="8"/>
  <c r="G334" i="8"/>
  <c r="F334" i="8"/>
  <c r="E334" i="8"/>
  <c r="D334" i="8"/>
  <c r="C334" i="8"/>
  <c r="B334" i="8"/>
  <c r="P333" i="8"/>
  <c r="N333" i="8"/>
  <c r="G333" i="8"/>
  <c r="F333" i="8"/>
  <c r="E333" i="8"/>
  <c r="D333" i="8"/>
  <c r="C333" i="8"/>
  <c r="B333" i="8"/>
  <c r="P332" i="8"/>
  <c r="N332" i="8"/>
  <c r="G332" i="8"/>
  <c r="F332" i="8"/>
  <c r="E332" i="8"/>
  <c r="D332" i="8"/>
  <c r="C332" i="8"/>
  <c r="B332" i="8"/>
  <c r="P331" i="8"/>
  <c r="N331" i="8"/>
  <c r="G331" i="8"/>
  <c r="F331" i="8"/>
  <c r="E331" i="8"/>
  <c r="D331" i="8"/>
  <c r="C331" i="8"/>
  <c r="B331" i="8"/>
  <c r="P330" i="8"/>
  <c r="N330" i="8"/>
  <c r="G330" i="8"/>
  <c r="F330" i="8"/>
  <c r="E330" i="8"/>
  <c r="D330" i="8"/>
  <c r="C330" i="8"/>
  <c r="B330" i="8"/>
  <c r="P329" i="8"/>
  <c r="N329" i="8"/>
  <c r="G329" i="8"/>
  <c r="F329" i="8"/>
  <c r="E329" i="8"/>
  <c r="D329" i="8"/>
  <c r="C329" i="8"/>
  <c r="B329" i="8"/>
  <c r="P328" i="8"/>
  <c r="N328" i="8"/>
  <c r="G328" i="8"/>
  <c r="F328" i="8"/>
  <c r="E328" i="8"/>
  <c r="D328" i="8"/>
  <c r="C328" i="8"/>
  <c r="B328" i="8"/>
  <c r="P327" i="8"/>
  <c r="N327" i="8"/>
  <c r="G327" i="8"/>
  <c r="F327" i="8"/>
  <c r="E327" i="8"/>
  <c r="D327" i="8"/>
  <c r="C327" i="8"/>
  <c r="B327" i="8"/>
  <c r="P326" i="8"/>
  <c r="N326" i="8"/>
  <c r="G326" i="8"/>
  <c r="F326" i="8"/>
  <c r="E326" i="8"/>
  <c r="D326" i="8"/>
  <c r="C326" i="8"/>
  <c r="B326" i="8"/>
  <c r="P325" i="8"/>
  <c r="N325" i="8"/>
  <c r="G325" i="8"/>
  <c r="F325" i="8"/>
  <c r="E325" i="8"/>
  <c r="D325" i="8"/>
  <c r="C325" i="8"/>
  <c r="B325" i="8"/>
  <c r="P324" i="8"/>
  <c r="N324" i="8"/>
  <c r="G324" i="8"/>
  <c r="F324" i="8"/>
  <c r="E324" i="8"/>
  <c r="D324" i="8"/>
  <c r="C324" i="8"/>
  <c r="B324" i="8"/>
  <c r="P323" i="8"/>
  <c r="N323" i="8"/>
  <c r="G323" i="8"/>
  <c r="F323" i="8"/>
  <c r="E323" i="8"/>
  <c r="D323" i="8"/>
  <c r="C323" i="8"/>
  <c r="B323" i="8"/>
  <c r="P322" i="8"/>
  <c r="N322" i="8"/>
  <c r="G322" i="8"/>
  <c r="F322" i="8"/>
  <c r="E322" i="8"/>
  <c r="D322" i="8"/>
  <c r="C322" i="8"/>
  <c r="B322" i="8"/>
  <c r="P321" i="8"/>
  <c r="N321" i="8"/>
  <c r="G321" i="8"/>
  <c r="F321" i="8"/>
  <c r="E321" i="8"/>
  <c r="D321" i="8"/>
  <c r="C321" i="8"/>
  <c r="B321" i="8"/>
  <c r="P320" i="8"/>
  <c r="N320" i="8"/>
  <c r="G320" i="8"/>
  <c r="F320" i="8"/>
  <c r="E320" i="8"/>
  <c r="D320" i="8"/>
  <c r="C320" i="8"/>
  <c r="B320" i="8"/>
  <c r="P319" i="8"/>
  <c r="N319" i="8"/>
  <c r="G319" i="8"/>
  <c r="F319" i="8"/>
  <c r="E319" i="8"/>
  <c r="D319" i="8"/>
  <c r="C319" i="8"/>
  <c r="B319" i="8"/>
  <c r="P318" i="8"/>
  <c r="N318" i="8"/>
  <c r="G318" i="8"/>
  <c r="F318" i="8"/>
  <c r="E318" i="8"/>
  <c r="D318" i="8"/>
  <c r="C318" i="8"/>
  <c r="B318" i="8"/>
  <c r="P317" i="8"/>
  <c r="N317" i="8"/>
  <c r="G317" i="8"/>
  <c r="F317" i="8"/>
  <c r="E317" i="8"/>
  <c r="D317" i="8"/>
  <c r="C317" i="8"/>
  <c r="B317" i="8"/>
  <c r="P316" i="8"/>
  <c r="N316" i="8"/>
  <c r="G316" i="8"/>
  <c r="F316" i="8"/>
  <c r="E316" i="8"/>
  <c r="D316" i="8"/>
  <c r="C316" i="8"/>
  <c r="B316" i="8"/>
  <c r="P315" i="8"/>
  <c r="N315" i="8"/>
  <c r="G315" i="8"/>
  <c r="F315" i="8"/>
  <c r="E315" i="8"/>
  <c r="D315" i="8"/>
  <c r="C315" i="8"/>
  <c r="B315" i="8"/>
  <c r="P314" i="8"/>
  <c r="N314" i="8"/>
  <c r="G314" i="8"/>
  <c r="F314" i="8"/>
  <c r="E314" i="8"/>
  <c r="D314" i="8"/>
  <c r="C314" i="8"/>
  <c r="B314" i="8"/>
  <c r="P313" i="8"/>
  <c r="N313" i="8"/>
  <c r="G313" i="8"/>
  <c r="F313" i="8"/>
  <c r="E313" i="8"/>
  <c r="D313" i="8"/>
  <c r="C313" i="8"/>
  <c r="B313" i="8"/>
  <c r="P312" i="8"/>
  <c r="N312" i="8"/>
  <c r="G312" i="8"/>
  <c r="F312" i="8"/>
  <c r="E312" i="8"/>
  <c r="D312" i="8"/>
  <c r="C312" i="8"/>
  <c r="B312" i="8"/>
  <c r="P311" i="8"/>
  <c r="N311" i="8"/>
  <c r="G311" i="8"/>
  <c r="F311" i="8"/>
  <c r="E311" i="8"/>
  <c r="D311" i="8"/>
  <c r="C311" i="8"/>
  <c r="B311" i="8"/>
  <c r="P310" i="8"/>
  <c r="N310" i="8"/>
  <c r="G310" i="8"/>
  <c r="F310" i="8"/>
  <c r="E310" i="8"/>
  <c r="D310" i="8"/>
  <c r="C310" i="8"/>
  <c r="B310" i="8"/>
  <c r="P309" i="8"/>
  <c r="N309" i="8"/>
  <c r="G309" i="8"/>
  <c r="F309" i="8"/>
  <c r="E309" i="8"/>
  <c r="D309" i="8"/>
  <c r="C309" i="8"/>
  <c r="B309" i="8"/>
  <c r="P308" i="8"/>
  <c r="N308" i="8"/>
  <c r="G308" i="8"/>
  <c r="F308" i="8"/>
  <c r="E308" i="8"/>
  <c r="D308" i="8"/>
  <c r="C308" i="8"/>
  <c r="B308" i="8"/>
  <c r="P307" i="8"/>
  <c r="N307" i="8"/>
  <c r="G307" i="8"/>
  <c r="F307" i="8"/>
  <c r="E307" i="8"/>
  <c r="D307" i="8"/>
  <c r="C307" i="8"/>
  <c r="B307" i="8"/>
  <c r="P306" i="8"/>
  <c r="N306" i="8"/>
  <c r="G306" i="8"/>
  <c r="F306" i="8"/>
  <c r="E306" i="8"/>
  <c r="D306" i="8"/>
  <c r="C306" i="8"/>
  <c r="B306" i="8"/>
  <c r="P305" i="8"/>
  <c r="N305" i="8"/>
  <c r="G305" i="8"/>
  <c r="F305" i="8"/>
  <c r="E305" i="8"/>
  <c r="D305" i="8"/>
  <c r="C305" i="8"/>
  <c r="B305" i="8"/>
  <c r="P304" i="8"/>
  <c r="N304" i="8"/>
  <c r="G304" i="8"/>
  <c r="F304" i="8"/>
  <c r="E304" i="8"/>
  <c r="D304" i="8"/>
  <c r="C304" i="8"/>
  <c r="B304" i="8"/>
  <c r="P303" i="8"/>
  <c r="N303" i="8"/>
  <c r="G303" i="8"/>
  <c r="F303" i="8"/>
  <c r="E303" i="8"/>
  <c r="D303" i="8"/>
  <c r="C303" i="8"/>
  <c r="B303" i="8"/>
  <c r="P302" i="8"/>
  <c r="N302" i="8"/>
  <c r="G302" i="8"/>
  <c r="F302" i="8"/>
  <c r="E302" i="8"/>
  <c r="D302" i="8"/>
  <c r="C302" i="8"/>
  <c r="B302" i="8"/>
  <c r="P301" i="8"/>
  <c r="N301" i="8"/>
  <c r="G301" i="8"/>
  <c r="F301" i="8"/>
  <c r="E301" i="8"/>
  <c r="D301" i="8"/>
  <c r="C301" i="8"/>
  <c r="B301" i="8"/>
  <c r="P300" i="8"/>
  <c r="N300" i="8"/>
  <c r="G300" i="8"/>
  <c r="F300" i="8"/>
  <c r="E300" i="8"/>
  <c r="D300" i="8"/>
  <c r="C300" i="8"/>
  <c r="B300" i="8"/>
  <c r="P299" i="8"/>
  <c r="N299" i="8"/>
  <c r="G299" i="8"/>
  <c r="F299" i="8"/>
  <c r="E299" i="8"/>
  <c r="D299" i="8"/>
  <c r="C299" i="8"/>
  <c r="B299" i="8"/>
  <c r="P298" i="8"/>
  <c r="N298" i="8"/>
  <c r="G298" i="8"/>
  <c r="F298" i="8"/>
  <c r="E298" i="8"/>
  <c r="D298" i="8"/>
  <c r="C298" i="8"/>
  <c r="B298" i="8"/>
  <c r="P297" i="8"/>
  <c r="N297" i="8"/>
  <c r="G297" i="8"/>
  <c r="F297" i="8"/>
  <c r="E297" i="8"/>
  <c r="D297" i="8"/>
  <c r="C297" i="8"/>
  <c r="B297" i="8"/>
  <c r="P296" i="8"/>
  <c r="N296" i="8"/>
  <c r="G296" i="8"/>
  <c r="F296" i="8"/>
  <c r="E296" i="8"/>
  <c r="D296" i="8"/>
  <c r="C296" i="8"/>
  <c r="B296" i="8"/>
  <c r="P295" i="8"/>
  <c r="N295" i="8"/>
  <c r="G295" i="8"/>
  <c r="F295" i="8"/>
  <c r="E295" i="8"/>
  <c r="D295" i="8"/>
  <c r="C295" i="8"/>
  <c r="B295" i="8"/>
  <c r="P294" i="8"/>
  <c r="N294" i="8"/>
  <c r="G294" i="8"/>
  <c r="F294" i="8"/>
  <c r="E294" i="8"/>
  <c r="D294" i="8"/>
  <c r="C294" i="8"/>
  <c r="B294" i="8"/>
  <c r="P293" i="8"/>
  <c r="N293" i="8"/>
  <c r="G293" i="8"/>
  <c r="F293" i="8"/>
  <c r="E293" i="8"/>
  <c r="D293" i="8"/>
  <c r="C293" i="8"/>
  <c r="B293" i="8"/>
  <c r="P292" i="8"/>
  <c r="N292" i="8"/>
  <c r="G292" i="8"/>
  <c r="F292" i="8"/>
  <c r="E292" i="8"/>
  <c r="D292" i="8"/>
  <c r="C292" i="8"/>
  <c r="B292" i="8"/>
  <c r="P291" i="8"/>
  <c r="N291" i="8"/>
  <c r="G291" i="8"/>
  <c r="F291" i="8"/>
  <c r="E291" i="8"/>
  <c r="D291" i="8"/>
  <c r="C291" i="8"/>
  <c r="B291" i="8"/>
  <c r="P290" i="8"/>
  <c r="N290" i="8"/>
  <c r="G290" i="8"/>
  <c r="F290" i="8"/>
  <c r="E290" i="8"/>
  <c r="D290" i="8"/>
  <c r="C290" i="8"/>
  <c r="B290" i="8"/>
  <c r="P289" i="8"/>
  <c r="N289" i="8"/>
  <c r="G289" i="8"/>
  <c r="F289" i="8"/>
  <c r="E289" i="8"/>
  <c r="D289" i="8"/>
  <c r="C289" i="8"/>
  <c r="B289" i="8"/>
  <c r="P288" i="8"/>
  <c r="N288" i="8"/>
  <c r="G288" i="8"/>
  <c r="F288" i="8"/>
  <c r="E288" i="8"/>
  <c r="D288" i="8"/>
  <c r="C288" i="8"/>
  <c r="B288" i="8"/>
  <c r="P287" i="8"/>
  <c r="N287" i="8"/>
  <c r="G287" i="8"/>
  <c r="F287" i="8"/>
  <c r="E287" i="8"/>
  <c r="D287" i="8"/>
  <c r="C287" i="8"/>
  <c r="B287" i="8"/>
  <c r="P286" i="8"/>
  <c r="N286" i="8"/>
  <c r="G286" i="8"/>
  <c r="F286" i="8"/>
  <c r="E286" i="8"/>
  <c r="D286" i="8"/>
  <c r="C286" i="8"/>
  <c r="B286" i="8"/>
  <c r="P285" i="8"/>
  <c r="N285" i="8"/>
  <c r="G285" i="8"/>
  <c r="F285" i="8"/>
  <c r="E285" i="8"/>
  <c r="D285" i="8"/>
  <c r="C285" i="8"/>
  <c r="B285" i="8"/>
  <c r="P284" i="8"/>
  <c r="N284" i="8"/>
  <c r="G284" i="8"/>
  <c r="F284" i="8"/>
  <c r="E284" i="8"/>
  <c r="D284" i="8"/>
  <c r="C284" i="8"/>
  <c r="B284" i="8"/>
  <c r="P283" i="8"/>
  <c r="N283" i="8"/>
  <c r="G283" i="8"/>
  <c r="F283" i="8"/>
  <c r="E283" i="8"/>
  <c r="D283" i="8"/>
  <c r="C283" i="8"/>
  <c r="B283" i="8"/>
  <c r="P282" i="8"/>
  <c r="N282" i="8"/>
  <c r="G282" i="8"/>
  <c r="F282" i="8"/>
  <c r="E282" i="8"/>
  <c r="D282" i="8"/>
  <c r="C282" i="8"/>
  <c r="B282" i="8"/>
  <c r="P281" i="8"/>
  <c r="N281" i="8"/>
  <c r="G281" i="8"/>
  <c r="F281" i="8"/>
  <c r="E281" i="8"/>
  <c r="D281" i="8"/>
  <c r="C281" i="8"/>
  <c r="B281" i="8"/>
  <c r="P280" i="8"/>
  <c r="N280" i="8"/>
  <c r="G280" i="8"/>
  <c r="F280" i="8"/>
  <c r="E280" i="8"/>
  <c r="D280" i="8"/>
  <c r="C280" i="8"/>
  <c r="B280" i="8"/>
  <c r="P279" i="8"/>
  <c r="N279" i="8"/>
  <c r="G279" i="8"/>
  <c r="F279" i="8"/>
  <c r="E279" i="8"/>
  <c r="D279" i="8"/>
  <c r="C279" i="8"/>
  <c r="B279" i="8"/>
  <c r="P278" i="8"/>
  <c r="N278" i="8"/>
  <c r="G278" i="8"/>
  <c r="F278" i="8"/>
  <c r="E278" i="8"/>
  <c r="D278" i="8"/>
  <c r="C278" i="8"/>
  <c r="B278" i="8"/>
  <c r="P277" i="8"/>
  <c r="N277" i="8"/>
  <c r="G277" i="8"/>
  <c r="F277" i="8"/>
  <c r="E277" i="8"/>
  <c r="D277" i="8"/>
  <c r="C277" i="8"/>
  <c r="B277" i="8"/>
  <c r="P276" i="8"/>
  <c r="N276" i="8"/>
  <c r="G276" i="8"/>
  <c r="F276" i="8"/>
  <c r="E276" i="8"/>
  <c r="D276" i="8"/>
  <c r="C276" i="8"/>
  <c r="B276" i="8"/>
  <c r="P275" i="8"/>
  <c r="N275" i="8"/>
  <c r="G275" i="8"/>
  <c r="F275" i="8"/>
  <c r="E275" i="8"/>
  <c r="D275" i="8"/>
  <c r="C275" i="8"/>
  <c r="B275" i="8"/>
  <c r="P274" i="8"/>
  <c r="N274" i="8"/>
  <c r="G274" i="8"/>
  <c r="F274" i="8"/>
  <c r="E274" i="8"/>
  <c r="D274" i="8"/>
  <c r="C274" i="8"/>
  <c r="B274" i="8"/>
  <c r="P273" i="8"/>
  <c r="N273" i="8"/>
  <c r="G273" i="8"/>
  <c r="F273" i="8"/>
  <c r="E273" i="8"/>
  <c r="D273" i="8"/>
  <c r="C273" i="8"/>
  <c r="B273" i="8"/>
  <c r="P272" i="8"/>
  <c r="N272" i="8"/>
  <c r="G272" i="8"/>
  <c r="F272" i="8"/>
  <c r="E272" i="8"/>
  <c r="D272" i="8"/>
  <c r="C272" i="8"/>
  <c r="B272" i="8"/>
  <c r="P271" i="8"/>
  <c r="N271" i="8"/>
  <c r="G271" i="8"/>
  <c r="F271" i="8"/>
  <c r="E271" i="8"/>
  <c r="D271" i="8"/>
  <c r="C271" i="8"/>
  <c r="B271" i="8"/>
  <c r="P270" i="8"/>
  <c r="N270" i="8"/>
  <c r="G270" i="8"/>
  <c r="F270" i="8"/>
  <c r="E270" i="8"/>
  <c r="D270" i="8"/>
  <c r="C270" i="8"/>
  <c r="B270" i="8"/>
  <c r="P269" i="8"/>
  <c r="N269" i="8"/>
  <c r="G269" i="8"/>
  <c r="F269" i="8"/>
  <c r="E269" i="8"/>
  <c r="D269" i="8"/>
  <c r="C269" i="8"/>
  <c r="B269" i="8"/>
  <c r="P268" i="8"/>
  <c r="N268" i="8"/>
  <c r="G268" i="8"/>
  <c r="F268" i="8"/>
  <c r="E268" i="8"/>
  <c r="D268" i="8"/>
  <c r="C268" i="8"/>
  <c r="B268" i="8"/>
  <c r="P267" i="8"/>
  <c r="N267" i="8"/>
  <c r="G267" i="8"/>
  <c r="F267" i="8"/>
  <c r="E267" i="8"/>
  <c r="D267" i="8"/>
  <c r="C267" i="8"/>
  <c r="B267" i="8"/>
  <c r="P266" i="8"/>
  <c r="N266" i="8"/>
  <c r="G266" i="8"/>
  <c r="F266" i="8"/>
  <c r="E266" i="8"/>
  <c r="D266" i="8"/>
  <c r="C266" i="8"/>
  <c r="B266" i="8"/>
  <c r="P265" i="8"/>
  <c r="N265" i="8"/>
  <c r="G265" i="8"/>
  <c r="F265" i="8"/>
  <c r="E265" i="8"/>
  <c r="D265" i="8"/>
  <c r="C265" i="8"/>
  <c r="B265" i="8"/>
  <c r="P264" i="8"/>
  <c r="N264" i="8"/>
  <c r="G264" i="8"/>
  <c r="F264" i="8"/>
  <c r="E264" i="8"/>
  <c r="D264" i="8"/>
  <c r="C264" i="8"/>
  <c r="B264" i="8"/>
  <c r="P263" i="8"/>
  <c r="N263" i="8"/>
  <c r="G263" i="8"/>
  <c r="F263" i="8"/>
  <c r="E263" i="8"/>
  <c r="D263" i="8"/>
  <c r="C263" i="8"/>
  <c r="B263" i="8"/>
  <c r="P262" i="8"/>
  <c r="N262" i="8"/>
  <c r="G262" i="8"/>
  <c r="F262" i="8"/>
  <c r="E262" i="8"/>
  <c r="D262" i="8"/>
  <c r="C262" i="8"/>
  <c r="B262" i="8"/>
  <c r="P261" i="8"/>
  <c r="N261" i="8"/>
  <c r="G261" i="8"/>
  <c r="F261" i="8"/>
  <c r="E261" i="8"/>
  <c r="D261" i="8"/>
  <c r="C261" i="8"/>
  <c r="B261" i="8"/>
  <c r="P260" i="8"/>
  <c r="N260" i="8"/>
  <c r="G260" i="8"/>
  <c r="F260" i="8"/>
  <c r="E260" i="8"/>
  <c r="D260" i="8"/>
  <c r="C260" i="8"/>
  <c r="B260" i="8"/>
  <c r="P259" i="8"/>
  <c r="N259" i="8"/>
  <c r="G259" i="8"/>
  <c r="F259" i="8"/>
  <c r="E259" i="8"/>
  <c r="D259" i="8"/>
  <c r="C259" i="8"/>
  <c r="B259" i="8"/>
  <c r="P258" i="8"/>
  <c r="N258" i="8"/>
  <c r="G258" i="8"/>
  <c r="F258" i="8"/>
  <c r="E258" i="8"/>
  <c r="D258" i="8"/>
  <c r="C258" i="8"/>
  <c r="B258" i="8"/>
  <c r="P257" i="8"/>
  <c r="N257" i="8"/>
  <c r="G257" i="8"/>
  <c r="F257" i="8"/>
  <c r="E257" i="8"/>
  <c r="D257" i="8"/>
  <c r="C257" i="8"/>
  <c r="B257" i="8"/>
  <c r="P256" i="8"/>
  <c r="N256" i="8"/>
  <c r="G256" i="8"/>
  <c r="F256" i="8"/>
  <c r="E256" i="8"/>
  <c r="D256" i="8"/>
  <c r="C256" i="8"/>
  <c r="B256" i="8"/>
  <c r="P255" i="8"/>
  <c r="N255" i="8"/>
  <c r="G255" i="8"/>
  <c r="F255" i="8"/>
  <c r="E255" i="8"/>
  <c r="D255" i="8"/>
  <c r="C255" i="8"/>
  <c r="B255" i="8"/>
  <c r="P254" i="8"/>
  <c r="N254" i="8"/>
  <c r="G254" i="8"/>
  <c r="F254" i="8"/>
  <c r="E254" i="8"/>
  <c r="D254" i="8"/>
  <c r="C254" i="8"/>
  <c r="B254" i="8"/>
  <c r="P253" i="8"/>
  <c r="N253" i="8"/>
  <c r="G253" i="8"/>
  <c r="F253" i="8"/>
  <c r="E253" i="8"/>
  <c r="D253" i="8"/>
  <c r="C253" i="8"/>
  <c r="B253" i="8"/>
  <c r="P252" i="8"/>
  <c r="N252" i="8"/>
  <c r="G252" i="8"/>
  <c r="F252" i="8"/>
  <c r="E252" i="8"/>
  <c r="D252" i="8"/>
  <c r="C252" i="8"/>
  <c r="B252" i="8"/>
  <c r="P251" i="8"/>
  <c r="N251" i="8"/>
  <c r="G251" i="8"/>
  <c r="F251" i="8"/>
  <c r="E251" i="8"/>
  <c r="D251" i="8"/>
  <c r="C251" i="8"/>
  <c r="B251" i="8"/>
  <c r="P250" i="8"/>
  <c r="N250" i="8"/>
  <c r="G250" i="8"/>
  <c r="F250" i="8"/>
  <c r="E250" i="8"/>
  <c r="D250" i="8"/>
  <c r="C250" i="8"/>
  <c r="B250" i="8"/>
  <c r="P249" i="8"/>
  <c r="N249" i="8"/>
  <c r="G249" i="8"/>
  <c r="F249" i="8"/>
  <c r="E249" i="8"/>
  <c r="D249" i="8"/>
  <c r="C249" i="8"/>
  <c r="B249" i="8"/>
  <c r="P248" i="8"/>
  <c r="N248" i="8"/>
  <c r="G248" i="8"/>
  <c r="F248" i="8"/>
  <c r="E248" i="8"/>
  <c r="D248" i="8"/>
  <c r="C248" i="8"/>
  <c r="B248" i="8"/>
  <c r="P247" i="8"/>
  <c r="N247" i="8"/>
  <c r="G247" i="8"/>
  <c r="F247" i="8"/>
  <c r="E247" i="8"/>
  <c r="D247" i="8"/>
  <c r="C247" i="8"/>
  <c r="B247" i="8"/>
  <c r="P246" i="8"/>
  <c r="N246" i="8"/>
  <c r="G246" i="8"/>
  <c r="F246" i="8"/>
  <c r="E246" i="8"/>
  <c r="D246" i="8"/>
  <c r="C246" i="8"/>
  <c r="B246" i="8"/>
  <c r="P245" i="8"/>
  <c r="N245" i="8"/>
  <c r="G245" i="8"/>
  <c r="F245" i="8"/>
  <c r="E245" i="8"/>
  <c r="D245" i="8"/>
  <c r="C245" i="8"/>
  <c r="B245" i="8"/>
  <c r="P244" i="8"/>
  <c r="N244" i="8"/>
  <c r="G244" i="8"/>
  <c r="F244" i="8"/>
  <c r="E244" i="8"/>
  <c r="D244" i="8"/>
  <c r="C244" i="8"/>
  <c r="B244" i="8"/>
  <c r="P243" i="8"/>
  <c r="N243" i="8"/>
  <c r="G243" i="8"/>
  <c r="F243" i="8"/>
  <c r="E243" i="8"/>
  <c r="D243" i="8"/>
  <c r="C243" i="8"/>
  <c r="B243" i="8"/>
  <c r="P242" i="8"/>
  <c r="N242" i="8"/>
  <c r="G242" i="8"/>
  <c r="F242" i="8"/>
  <c r="E242" i="8"/>
  <c r="D242" i="8"/>
  <c r="C242" i="8"/>
  <c r="B242" i="8"/>
  <c r="P241" i="8"/>
  <c r="N241" i="8"/>
  <c r="G241" i="8"/>
  <c r="F241" i="8"/>
  <c r="E241" i="8"/>
  <c r="D241" i="8"/>
  <c r="C241" i="8"/>
  <c r="B241" i="8"/>
  <c r="P240" i="8"/>
  <c r="N240" i="8"/>
  <c r="G240" i="8"/>
  <c r="F240" i="8"/>
  <c r="E240" i="8"/>
  <c r="D240" i="8"/>
  <c r="C240" i="8"/>
  <c r="B240" i="8"/>
  <c r="P239" i="8"/>
  <c r="N239" i="8"/>
  <c r="G239" i="8"/>
  <c r="F239" i="8"/>
  <c r="E239" i="8"/>
  <c r="D239" i="8"/>
  <c r="C239" i="8"/>
  <c r="B239" i="8"/>
  <c r="P238" i="8"/>
  <c r="N238" i="8"/>
  <c r="G238" i="8"/>
  <c r="F238" i="8"/>
  <c r="E238" i="8"/>
  <c r="D238" i="8"/>
  <c r="C238" i="8"/>
  <c r="B238" i="8"/>
  <c r="P237" i="8"/>
  <c r="N237" i="8"/>
  <c r="G237" i="8"/>
  <c r="F237" i="8"/>
  <c r="E237" i="8"/>
  <c r="D237" i="8"/>
  <c r="C237" i="8"/>
  <c r="B237" i="8"/>
  <c r="P236" i="8"/>
  <c r="N236" i="8"/>
  <c r="G236" i="8"/>
  <c r="F236" i="8"/>
  <c r="E236" i="8"/>
  <c r="D236" i="8"/>
  <c r="C236" i="8"/>
  <c r="B236" i="8"/>
  <c r="P235" i="8"/>
  <c r="N235" i="8"/>
  <c r="G235" i="8"/>
  <c r="F235" i="8"/>
  <c r="E235" i="8"/>
  <c r="D235" i="8"/>
  <c r="C235" i="8"/>
  <c r="B235" i="8"/>
  <c r="P234" i="8"/>
  <c r="N234" i="8"/>
  <c r="G234" i="8"/>
  <c r="F234" i="8"/>
  <c r="E234" i="8"/>
  <c r="D234" i="8"/>
  <c r="C234" i="8"/>
  <c r="B234" i="8"/>
  <c r="P233" i="8"/>
  <c r="N233" i="8"/>
  <c r="G233" i="8"/>
  <c r="F233" i="8"/>
  <c r="E233" i="8"/>
  <c r="D233" i="8"/>
  <c r="C233" i="8"/>
  <c r="B233" i="8"/>
  <c r="P232" i="8"/>
  <c r="N232" i="8"/>
  <c r="G232" i="8"/>
  <c r="F232" i="8"/>
  <c r="E232" i="8"/>
  <c r="D232" i="8"/>
  <c r="C232" i="8"/>
  <c r="B232" i="8"/>
  <c r="P231" i="8"/>
  <c r="N231" i="8"/>
  <c r="G231" i="8"/>
  <c r="F231" i="8"/>
  <c r="E231" i="8"/>
  <c r="D231" i="8"/>
  <c r="C231" i="8"/>
  <c r="B231" i="8"/>
  <c r="P230" i="8"/>
  <c r="N230" i="8"/>
  <c r="G230" i="8"/>
  <c r="F230" i="8"/>
  <c r="E230" i="8"/>
  <c r="D230" i="8"/>
  <c r="C230" i="8"/>
  <c r="B230" i="8"/>
  <c r="P229" i="8"/>
  <c r="N229" i="8"/>
  <c r="G229" i="8"/>
  <c r="F229" i="8"/>
  <c r="E229" i="8"/>
  <c r="D229" i="8"/>
  <c r="C229" i="8"/>
  <c r="B229" i="8"/>
  <c r="P228" i="8"/>
  <c r="N228" i="8"/>
  <c r="G228" i="8"/>
  <c r="F228" i="8"/>
  <c r="E228" i="8"/>
  <c r="D228" i="8"/>
  <c r="C228" i="8"/>
  <c r="B228" i="8"/>
  <c r="P227" i="8"/>
  <c r="N227" i="8"/>
  <c r="G227" i="8"/>
  <c r="F227" i="8"/>
  <c r="E227" i="8"/>
  <c r="D227" i="8"/>
  <c r="C227" i="8"/>
  <c r="B227" i="8"/>
  <c r="P226" i="8"/>
  <c r="N226" i="8"/>
  <c r="G226" i="8"/>
  <c r="F226" i="8"/>
  <c r="E226" i="8"/>
  <c r="D226" i="8"/>
  <c r="C226" i="8"/>
  <c r="B226" i="8"/>
  <c r="P225" i="8"/>
  <c r="N225" i="8"/>
  <c r="G225" i="8"/>
  <c r="F225" i="8"/>
  <c r="E225" i="8"/>
  <c r="D225" i="8"/>
  <c r="C225" i="8"/>
  <c r="B225" i="8"/>
  <c r="P224" i="8"/>
  <c r="N224" i="8"/>
  <c r="G224" i="8"/>
  <c r="F224" i="8"/>
  <c r="E224" i="8"/>
  <c r="D224" i="8"/>
  <c r="C224" i="8"/>
  <c r="B224" i="8"/>
  <c r="P223" i="8"/>
  <c r="N223" i="8"/>
  <c r="G223" i="8"/>
  <c r="F223" i="8"/>
  <c r="E223" i="8"/>
  <c r="D223" i="8"/>
  <c r="C223" i="8"/>
  <c r="B223" i="8"/>
  <c r="P222" i="8"/>
  <c r="N222" i="8"/>
  <c r="G222" i="8"/>
  <c r="F222" i="8"/>
  <c r="E222" i="8"/>
  <c r="D222" i="8"/>
  <c r="C222" i="8"/>
  <c r="B222" i="8"/>
  <c r="P221" i="8"/>
  <c r="N221" i="8"/>
  <c r="G221" i="8"/>
  <c r="F221" i="8"/>
  <c r="E221" i="8"/>
  <c r="D221" i="8"/>
  <c r="C221" i="8"/>
  <c r="B221" i="8"/>
  <c r="P220" i="8"/>
  <c r="N220" i="8"/>
  <c r="G220" i="8"/>
  <c r="F220" i="8"/>
  <c r="E220" i="8"/>
  <c r="D220" i="8"/>
  <c r="C220" i="8"/>
  <c r="B220" i="8"/>
  <c r="P219" i="8"/>
  <c r="N219" i="8"/>
  <c r="G219" i="8"/>
  <c r="F219" i="8"/>
  <c r="E219" i="8"/>
  <c r="D219" i="8"/>
  <c r="C219" i="8"/>
  <c r="B219" i="8"/>
  <c r="P218" i="8"/>
  <c r="N218" i="8"/>
  <c r="G218" i="8"/>
  <c r="F218" i="8"/>
  <c r="E218" i="8"/>
  <c r="D218" i="8"/>
  <c r="C218" i="8"/>
  <c r="B218" i="8"/>
  <c r="P217" i="8"/>
  <c r="N217" i="8"/>
  <c r="G217" i="8"/>
  <c r="F217" i="8"/>
  <c r="E217" i="8"/>
  <c r="D217" i="8"/>
  <c r="C217" i="8"/>
  <c r="B217" i="8"/>
  <c r="P216" i="8"/>
  <c r="N216" i="8"/>
  <c r="G216" i="8"/>
  <c r="F216" i="8"/>
  <c r="E216" i="8"/>
  <c r="D216" i="8"/>
  <c r="C216" i="8"/>
  <c r="B216" i="8"/>
  <c r="P215" i="8"/>
  <c r="N215" i="8"/>
  <c r="G215" i="8"/>
  <c r="F215" i="8"/>
  <c r="E215" i="8"/>
  <c r="D215" i="8"/>
  <c r="C215" i="8"/>
  <c r="B215" i="8"/>
  <c r="P214" i="8"/>
  <c r="N214" i="8"/>
  <c r="G214" i="8"/>
  <c r="F214" i="8"/>
  <c r="E214" i="8"/>
  <c r="D214" i="8"/>
  <c r="C214" i="8"/>
  <c r="B214" i="8"/>
  <c r="P213" i="8"/>
  <c r="N213" i="8"/>
  <c r="G213" i="8"/>
  <c r="F213" i="8"/>
  <c r="E213" i="8"/>
  <c r="D213" i="8"/>
  <c r="C213" i="8"/>
  <c r="B213" i="8"/>
  <c r="P212" i="8"/>
  <c r="N212" i="8"/>
  <c r="G212" i="8"/>
  <c r="F212" i="8"/>
  <c r="E212" i="8"/>
  <c r="D212" i="8"/>
  <c r="C212" i="8"/>
  <c r="B212" i="8"/>
  <c r="P211" i="8"/>
  <c r="N211" i="8"/>
  <c r="G211" i="8"/>
  <c r="F211" i="8"/>
  <c r="E211" i="8"/>
  <c r="D211" i="8"/>
  <c r="C211" i="8"/>
  <c r="B211" i="8"/>
  <c r="P210" i="8"/>
  <c r="N210" i="8"/>
  <c r="G210" i="8"/>
  <c r="F210" i="8"/>
  <c r="E210" i="8"/>
  <c r="D210" i="8"/>
  <c r="C210" i="8"/>
  <c r="B210" i="8"/>
  <c r="P209" i="8"/>
  <c r="N209" i="8"/>
  <c r="G209" i="8"/>
  <c r="F209" i="8"/>
  <c r="E209" i="8"/>
  <c r="D209" i="8"/>
  <c r="C209" i="8"/>
  <c r="B209" i="8"/>
  <c r="P208" i="8"/>
  <c r="N208" i="8"/>
  <c r="G208" i="8"/>
  <c r="F208" i="8"/>
  <c r="E208" i="8"/>
  <c r="D208" i="8"/>
  <c r="C208" i="8"/>
  <c r="B208" i="8"/>
  <c r="P207" i="8"/>
  <c r="N207" i="8"/>
  <c r="G207" i="8"/>
  <c r="F207" i="8"/>
  <c r="E207" i="8"/>
  <c r="D207" i="8"/>
  <c r="C207" i="8"/>
  <c r="B207" i="8"/>
  <c r="P206" i="8"/>
  <c r="N206" i="8"/>
  <c r="G206" i="8"/>
  <c r="F206" i="8"/>
  <c r="E206" i="8"/>
  <c r="D206" i="8"/>
  <c r="C206" i="8"/>
  <c r="B206" i="8"/>
  <c r="P205" i="8"/>
  <c r="N205" i="8"/>
  <c r="G205" i="8"/>
  <c r="F205" i="8"/>
  <c r="E205" i="8"/>
  <c r="D205" i="8"/>
  <c r="C205" i="8"/>
  <c r="B205" i="8"/>
  <c r="P204" i="8"/>
  <c r="N204" i="8"/>
  <c r="G204" i="8"/>
  <c r="F204" i="8"/>
  <c r="E204" i="8"/>
  <c r="D204" i="8"/>
  <c r="C204" i="8"/>
  <c r="B204" i="8"/>
  <c r="P203" i="8"/>
  <c r="N203" i="8"/>
  <c r="G203" i="8"/>
  <c r="F203" i="8"/>
  <c r="E203" i="8"/>
  <c r="D203" i="8"/>
  <c r="C203" i="8"/>
  <c r="B203" i="8"/>
  <c r="P202" i="8"/>
  <c r="N202" i="8"/>
  <c r="G202" i="8"/>
  <c r="F202" i="8"/>
  <c r="E202" i="8"/>
  <c r="D202" i="8"/>
  <c r="C202" i="8"/>
  <c r="B202" i="8"/>
  <c r="P201" i="8"/>
  <c r="N201" i="8"/>
  <c r="G201" i="8"/>
  <c r="F201" i="8"/>
  <c r="E201" i="8"/>
  <c r="D201" i="8"/>
  <c r="C201" i="8"/>
  <c r="B201" i="8"/>
  <c r="P200" i="8"/>
  <c r="N200" i="8"/>
  <c r="G200" i="8"/>
  <c r="F200" i="8"/>
  <c r="E200" i="8"/>
  <c r="D200" i="8"/>
  <c r="C200" i="8"/>
  <c r="B200" i="8"/>
  <c r="P199" i="8"/>
  <c r="N199" i="8"/>
  <c r="G199" i="8"/>
  <c r="F199" i="8"/>
  <c r="E199" i="8"/>
  <c r="D199" i="8"/>
  <c r="C199" i="8"/>
  <c r="B199" i="8"/>
  <c r="P198" i="8"/>
  <c r="N198" i="8"/>
  <c r="G198" i="8"/>
  <c r="F198" i="8"/>
  <c r="E198" i="8"/>
  <c r="D198" i="8"/>
  <c r="C198" i="8"/>
  <c r="B198" i="8"/>
  <c r="P197" i="8"/>
  <c r="N197" i="8"/>
  <c r="G197" i="8"/>
  <c r="F197" i="8"/>
  <c r="E197" i="8"/>
  <c r="D197" i="8"/>
  <c r="C197" i="8"/>
  <c r="B197" i="8"/>
  <c r="P196" i="8"/>
  <c r="N196" i="8"/>
  <c r="G196" i="8"/>
  <c r="F196" i="8"/>
  <c r="E196" i="8"/>
  <c r="D196" i="8"/>
  <c r="C196" i="8"/>
  <c r="B196" i="8"/>
  <c r="P195" i="8"/>
  <c r="N195" i="8"/>
  <c r="G195" i="8"/>
  <c r="F195" i="8"/>
  <c r="E195" i="8"/>
  <c r="D195" i="8"/>
  <c r="C195" i="8"/>
  <c r="B195" i="8"/>
  <c r="P194" i="8"/>
  <c r="N194" i="8"/>
  <c r="G194" i="8"/>
  <c r="F194" i="8"/>
  <c r="E194" i="8"/>
  <c r="D194" i="8"/>
  <c r="C194" i="8"/>
  <c r="B194" i="8"/>
  <c r="P193" i="8"/>
  <c r="N193" i="8"/>
  <c r="G193" i="8"/>
  <c r="F193" i="8"/>
  <c r="E193" i="8"/>
  <c r="D193" i="8"/>
  <c r="C193" i="8"/>
  <c r="B193" i="8"/>
  <c r="P192" i="8"/>
  <c r="N192" i="8"/>
  <c r="G192" i="8"/>
  <c r="F192" i="8"/>
  <c r="E192" i="8"/>
  <c r="D192" i="8"/>
  <c r="C192" i="8"/>
  <c r="B192" i="8"/>
  <c r="P191" i="8"/>
  <c r="N191" i="8"/>
  <c r="G191" i="8"/>
  <c r="F191" i="8"/>
  <c r="E191" i="8"/>
  <c r="D191" i="8"/>
  <c r="C191" i="8"/>
  <c r="B191" i="8"/>
  <c r="P190" i="8"/>
  <c r="N190" i="8"/>
  <c r="G190" i="8"/>
  <c r="F190" i="8"/>
  <c r="E190" i="8"/>
  <c r="D190" i="8"/>
  <c r="C190" i="8"/>
  <c r="B190" i="8"/>
  <c r="P189" i="8"/>
  <c r="N189" i="8"/>
  <c r="G189" i="8"/>
  <c r="F189" i="8"/>
  <c r="E189" i="8"/>
  <c r="D189" i="8"/>
  <c r="C189" i="8"/>
  <c r="B189" i="8"/>
  <c r="P188" i="8"/>
  <c r="N188" i="8"/>
  <c r="G188" i="8"/>
  <c r="F188" i="8"/>
  <c r="E188" i="8"/>
  <c r="D188" i="8"/>
  <c r="C188" i="8"/>
  <c r="B188" i="8"/>
  <c r="P187" i="8"/>
  <c r="N187" i="8"/>
  <c r="G187" i="8"/>
  <c r="F187" i="8"/>
  <c r="E187" i="8"/>
  <c r="D187" i="8"/>
  <c r="C187" i="8"/>
  <c r="B187" i="8"/>
  <c r="P186" i="8"/>
  <c r="Q186" i="8" s="1"/>
  <c r="N186" i="8"/>
  <c r="G186" i="8"/>
  <c r="F186" i="8"/>
  <c r="E186" i="8"/>
  <c r="D186" i="8"/>
  <c r="C186" i="8"/>
  <c r="B186" i="8"/>
  <c r="P185" i="8"/>
  <c r="N185" i="8"/>
  <c r="G185" i="8"/>
  <c r="F185" i="8"/>
  <c r="E185" i="8"/>
  <c r="D185" i="8"/>
  <c r="C185" i="8"/>
  <c r="B185" i="8"/>
  <c r="P184" i="8"/>
  <c r="N184" i="8"/>
  <c r="G184" i="8"/>
  <c r="F184" i="8"/>
  <c r="E184" i="8"/>
  <c r="D184" i="8"/>
  <c r="C184" i="8"/>
  <c r="B184" i="8"/>
  <c r="P183" i="8"/>
  <c r="N183" i="8"/>
  <c r="G183" i="8"/>
  <c r="F183" i="8"/>
  <c r="E183" i="8"/>
  <c r="D183" i="8"/>
  <c r="C183" i="8"/>
  <c r="B183" i="8"/>
  <c r="P182" i="8"/>
  <c r="N182" i="8"/>
  <c r="G182" i="8"/>
  <c r="F182" i="8"/>
  <c r="E182" i="8"/>
  <c r="D182" i="8"/>
  <c r="C182" i="8"/>
  <c r="B182" i="8"/>
  <c r="P181" i="8"/>
  <c r="N181" i="8"/>
  <c r="G181" i="8"/>
  <c r="F181" i="8"/>
  <c r="E181" i="8"/>
  <c r="D181" i="8"/>
  <c r="C181" i="8"/>
  <c r="B181" i="8"/>
  <c r="P180" i="8"/>
  <c r="N180" i="8"/>
  <c r="G180" i="8"/>
  <c r="F180" i="8"/>
  <c r="E180" i="8"/>
  <c r="D180" i="8"/>
  <c r="C180" i="8"/>
  <c r="B180" i="8"/>
  <c r="P179" i="8"/>
  <c r="N179" i="8"/>
  <c r="G179" i="8"/>
  <c r="F179" i="8"/>
  <c r="E179" i="8"/>
  <c r="D179" i="8"/>
  <c r="C179" i="8"/>
  <c r="B179" i="8"/>
  <c r="P178" i="8"/>
  <c r="N178" i="8"/>
  <c r="G178" i="8"/>
  <c r="F178" i="8"/>
  <c r="E178" i="8"/>
  <c r="D178" i="8"/>
  <c r="C178" i="8"/>
  <c r="B178" i="8"/>
  <c r="P177" i="8"/>
  <c r="N177" i="8"/>
  <c r="G177" i="8"/>
  <c r="F177" i="8"/>
  <c r="E177" i="8"/>
  <c r="D177" i="8"/>
  <c r="C177" i="8"/>
  <c r="B177" i="8"/>
  <c r="P176" i="8"/>
  <c r="N176" i="8"/>
  <c r="G176" i="8"/>
  <c r="F176" i="8"/>
  <c r="E176" i="8"/>
  <c r="D176" i="8"/>
  <c r="C176" i="8"/>
  <c r="B176" i="8"/>
  <c r="P175" i="8"/>
  <c r="N175" i="8"/>
  <c r="G175" i="8"/>
  <c r="F175" i="8"/>
  <c r="E175" i="8"/>
  <c r="D175" i="8"/>
  <c r="C175" i="8"/>
  <c r="B175" i="8"/>
  <c r="P174" i="8"/>
  <c r="N174" i="8"/>
  <c r="G174" i="8"/>
  <c r="F174" i="8"/>
  <c r="E174" i="8"/>
  <c r="D174" i="8"/>
  <c r="C174" i="8"/>
  <c r="B174" i="8"/>
  <c r="P173" i="8"/>
  <c r="N173" i="8"/>
  <c r="G173" i="8"/>
  <c r="F173" i="8"/>
  <c r="E173" i="8"/>
  <c r="D173" i="8"/>
  <c r="C173" i="8"/>
  <c r="B173" i="8"/>
  <c r="P172" i="8"/>
  <c r="N172" i="8"/>
  <c r="G172" i="8"/>
  <c r="F172" i="8"/>
  <c r="E172" i="8"/>
  <c r="D172" i="8"/>
  <c r="C172" i="8"/>
  <c r="B172" i="8"/>
  <c r="P171" i="8"/>
  <c r="N171" i="8"/>
  <c r="G171" i="8"/>
  <c r="F171" i="8"/>
  <c r="L171" i="8" s="1"/>
  <c r="E171" i="8"/>
  <c r="D171" i="8"/>
  <c r="C171" i="8"/>
  <c r="B171" i="8"/>
  <c r="P170" i="8"/>
  <c r="N170" i="8"/>
  <c r="G170" i="8"/>
  <c r="F170" i="8"/>
  <c r="E170" i="8"/>
  <c r="D170" i="8"/>
  <c r="C170" i="8"/>
  <c r="B170" i="8"/>
  <c r="P169" i="8"/>
  <c r="N169" i="8"/>
  <c r="O169" i="8" s="1"/>
  <c r="G169" i="8"/>
  <c r="F169" i="8"/>
  <c r="E169" i="8"/>
  <c r="D169" i="8"/>
  <c r="C169" i="8"/>
  <c r="B169" i="8"/>
  <c r="P168" i="8"/>
  <c r="Q168" i="8" s="1"/>
  <c r="N168" i="8"/>
  <c r="O168" i="8" s="1"/>
  <c r="G168" i="8"/>
  <c r="F168" i="8"/>
  <c r="E168" i="8"/>
  <c r="D168" i="8"/>
  <c r="C168" i="8"/>
  <c r="B168" i="8"/>
  <c r="P167" i="8"/>
  <c r="N167" i="8"/>
  <c r="G167" i="8"/>
  <c r="F167" i="8"/>
  <c r="E167" i="8"/>
  <c r="D167" i="8"/>
  <c r="C167" i="8"/>
  <c r="B167" i="8"/>
  <c r="P166" i="8"/>
  <c r="N166" i="8"/>
  <c r="O166" i="8" s="1"/>
  <c r="G166" i="8"/>
  <c r="F166" i="8"/>
  <c r="E166" i="8"/>
  <c r="D166" i="8"/>
  <c r="C166" i="8"/>
  <c r="B166" i="8"/>
  <c r="P165" i="8"/>
  <c r="N165" i="8"/>
  <c r="O165" i="8" s="1"/>
  <c r="G165" i="8"/>
  <c r="F165" i="8"/>
  <c r="E165" i="8"/>
  <c r="D165" i="8"/>
  <c r="C165" i="8"/>
  <c r="B165" i="8"/>
  <c r="P164" i="8"/>
  <c r="N164" i="8"/>
  <c r="G164" i="8"/>
  <c r="F164" i="8"/>
  <c r="E164" i="8"/>
  <c r="D164" i="8"/>
  <c r="C164" i="8"/>
  <c r="B164" i="8"/>
  <c r="P163" i="8"/>
  <c r="Q163" i="8" s="1"/>
  <c r="N163" i="8"/>
  <c r="G163" i="8"/>
  <c r="F163" i="8"/>
  <c r="E163" i="8"/>
  <c r="D163" i="8"/>
  <c r="C163" i="8"/>
  <c r="B163" i="8"/>
  <c r="P162" i="8"/>
  <c r="Q162" i="8" s="1"/>
  <c r="N162" i="8"/>
  <c r="G162" i="8"/>
  <c r="F162" i="8"/>
  <c r="E162" i="8"/>
  <c r="D162" i="8"/>
  <c r="C162" i="8"/>
  <c r="B162" i="8"/>
  <c r="P161" i="8"/>
  <c r="N161" i="8"/>
  <c r="O161" i="8" s="1"/>
  <c r="G161" i="8"/>
  <c r="F161" i="8"/>
  <c r="E161" i="8"/>
  <c r="D161" i="8"/>
  <c r="C161" i="8"/>
  <c r="B161" i="8"/>
  <c r="P160" i="8"/>
  <c r="N160" i="8"/>
  <c r="G160" i="8"/>
  <c r="F160" i="8"/>
  <c r="E160" i="8"/>
  <c r="D160" i="8"/>
  <c r="C160" i="8"/>
  <c r="B160" i="8"/>
  <c r="P159" i="8"/>
  <c r="N159" i="8"/>
  <c r="G159" i="8"/>
  <c r="F159" i="8"/>
  <c r="E159" i="8"/>
  <c r="D159" i="8"/>
  <c r="C159" i="8"/>
  <c r="B159" i="8"/>
  <c r="P158" i="8"/>
  <c r="O158" i="8"/>
  <c r="N158" i="8"/>
  <c r="G158" i="8"/>
  <c r="F158" i="8"/>
  <c r="E158" i="8"/>
  <c r="D158" i="8"/>
  <c r="C158" i="8"/>
  <c r="B158" i="8"/>
  <c r="P157" i="8"/>
  <c r="N157" i="8"/>
  <c r="G157" i="8"/>
  <c r="F157" i="8"/>
  <c r="E157" i="8"/>
  <c r="D157" i="8"/>
  <c r="C157" i="8"/>
  <c r="B157" i="8"/>
  <c r="P156" i="8"/>
  <c r="N156" i="8"/>
  <c r="G156" i="8"/>
  <c r="F156" i="8"/>
  <c r="E156" i="8"/>
  <c r="D156" i="8"/>
  <c r="C156" i="8"/>
  <c r="I156" i="8" s="1"/>
  <c r="B156" i="8"/>
  <c r="P155" i="8"/>
  <c r="Q155" i="8" s="1"/>
  <c r="N155" i="8"/>
  <c r="G155" i="8"/>
  <c r="F155" i="8"/>
  <c r="E155" i="8"/>
  <c r="D155" i="8"/>
  <c r="C155" i="8"/>
  <c r="B155" i="8"/>
  <c r="P154" i="8"/>
  <c r="Q154" i="8" s="1"/>
  <c r="N154" i="8"/>
  <c r="G154" i="8"/>
  <c r="M154" i="8" s="1"/>
  <c r="F154" i="8"/>
  <c r="E154" i="8"/>
  <c r="D154" i="8"/>
  <c r="C154" i="8"/>
  <c r="B154" i="8"/>
  <c r="P153" i="8"/>
  <c r="N153" i="8"/>
  <c r="G153" i="8"/>
  <c r="F153" i="8"/>
  <c r="E153" i="8"/>
  <c r="D153" i="8"/>
  <c r="C153" i="8"/>
  <c r="B153" i="8"/>
  <c r="P152" i="8"/>
  <c r="N152" i="8"/>
  <c r="G152" i="8"/>
  <c r="F152" i="8"/>
  <c r="E152" i="8"/>
  <c r="D152" i="8"/>
  <c r="C152" i="8"/>
  <c r="I152" i="8" s="1"/>
  <c r="B152" i="8"/>
  <c r="P151" i="8"/>
  <c r="N151" i="8"/>
  <c r="I151" i="8"/>
  <c r="G151" i="8"/>
  <c r="M151" i="8" s="1"/>
  <c r="F151" i="8"/>
  <c r="E151" i="8"/>
  <c r="D151" i="8"/>
  <c r="C151" i="8"/>
  <c r="B151" i="8"/>
  <c r="P150" i="8"/>
  <c r="N150" i="8"/>
  <c r="G150" i="8"/>
  <c r="M150" i="8" s="1"/>
  <c r="F150" i="8"/>
  <c r="E150" i="8"/>
  <c r="D150" i="8"/>
  <c r="C150" i="8"/>
  <c r="B150" i="8"/>
  <c r="P149" i="8"/>
  <c r="N149" i="8"/>
  <c r="O149" i="8" s="1"/>
  <c r="G149" i="8"/>
  <c r="F149" i="8"/>
  <c r="E149" i="8"/>
  <c r="D149" i="8"/>
  <c r="C149" i="8"/>
  <c r="B149" i="8"/>
  <c r="P148" i="8"/>
  <c r="N148" i="8"/>
  <c r="G148" i="8"/>
  <c r="F148" i="8"/>
  <c r="E148" i="8"/>
  <c r="D148" i="8"/>
  <c r="C148" i="8"/>
  <c r="B148" i="8"/>
  <c r="P147" i="8"/>
  <c r="Q147" i="8" s="1"/>
  <c r="N147" i="8"/>
  <c r="G147" i="8"/>
  <c r="F147" i="8"/>
  <c r="E147" i="8"/>
  <c r="D147" i="8"/>
  <c r="C147" i="8"/>
  <c r="B147" i="8"/>
  <c r="P146" i="8"/>
  <c r="Q146" i="8" s="1"/>
  <c r="N146" i="8"/>
  <c r="O146" i="8" s="1"/>
  <c r="G146" i="8"/>
  <c r="F146" i="8"/>
  <c r="E146" i="8"/>
  <c r="D146" i="8"/>
  <c r="C146" i="8"/>
  <c r="B146" i="8"/>
  <c r="P145" i="8"/>
  <c r="N145" i="8"/>
  <c r="O145" i="8" s="1"/>
  <c r="G145" i="8"/>
  <c r="F145" i="8"/>
  <c r="E145" i="8"/>
  <c r="D145" i="8"/>
  <c r="C145" i="8"/>
  <c r="B145" i="8"/>
  <c r="P144" i="8"/>
  <c r="N144" i="8"/>
  <c r="O144" i="8" s="1"/>
  <c r="G144" i="8"/>
  <c r="F144" i="8"/>
  <c r="E144" i="8"/>
  <c r="D144" i="8"/>
  <c r="C144" i="8"/>
  <c r="B144" i="8"/>
  <c r="P143" i="8"/>
  <c r="N143" i="8"/>
  <c r="G143" i="8"/>
  <c r="F143" i="8"/>
  <c r="E143" i="8"/>
  <c r="D143" i="8"/>
  <c r="C143" i="8"/>
  <c r="B143" i="8"/>
  <c r="P142" i="8"/>
  <c r="N142" i="8"/>
  <c r="G142" i="8"/>
  <c r="F142" i="8"/>
  <c r="E142" i="8"/>
  <c r="D142" i="8"/>
  <c r="C142" i="8"/>
  <c r="B142" i="8"/>
  <c r="P141" i="8"/>
  <c r="N141" i="8"/>
  <c r="O141" i="8" s="1"/>
  <c r="I141" i="8"/>
  <c r="G141" i="8"/>
  <c r="F141" i="8"/>
  <c r="E141" i="8"/>
  <c r="D141" i="8"/>
  <c r="C141" i="8"/>
  <c r="B141" i="8"/>
  <c r="P140" i="8"/>
  <c r="O140" i="8"/>
  <c r="N140" i="8"/>
  <c r="G140" i="8"/>
  <c r="M140" i="8" s="1"/>
  <c r="F140" i="8"/>
  <c r="E140" i="8"/>
  <c r="D140" i="8"/>
  <c r="C140" i="8"/>
  <c r="B140" i="8"/>
  <c r="P139" i="8"/>
  <c r="Q139" i="8" s="1"/>
  <c r="N139" i="8"/>
  <c r="G139" i="8"/>
  <c r="F139" i="8"/>
  <c r="E139" i="8"/>
  <c r="D139" i="8"/>
  <c r="C139" i="8"/>
  <c r="B139" i="8"/>
  <c r="P138" i="8"/>
  <c r="N138" i="8"/>
  <c r="O138" i="8" s="1"/>
  <c r="G138" i="8"/>
  <c r="F138" i="8"/>
  <c r="E138" i="8"/>
  <c r="D138" i="8"/>
  <c r="C138" i="8"/>
  <c r="I138" i="8" s="1"/>
  <c r="B138" i="8"/>
  <c r="P137" i="8"/>
  <c r="N137" i="8"/>
  <c r="O137" i="8" s="1"/>
  <c r="G137" i="8"/>
  <c r="F137" i="8"/>
  <c r="E137" i="8"/>
  <c r="D137" i="8"/>
  <c r="C137" i="8"/>
  <c r="I137" i="8" s="1"/>
  <c r="B137" i="8"/>
  <c r="P136" i="8"/>
  <c r="N136" i="8"/>
  <c r="G136" i="8"/>
  <c r="M136" i="8" s="1"/>
  <c r="F136" i="8"/>
  <c r="E136" i="8"/>
  <c r="D136" i="8"/>
  <c r="C136" i="8"/>
  <c r="B136" i="8"/>
  <c r="P135" i="8"/>
  <c r="N135" i="8"/>
  <c r="M135" i="8"/>
  <c r="G135" i="8"/>
  <c r="F135" i="8"/>
  <c r="E135" i="8"/>
  <c r="D135" i="8"/>
  <c r="J135" i="8" s="1"/>
  <c r="C135" i="8"/>
  <c r="B135" i="8"/>
  <c r="P134" i="8"/>
  <c r="N134" i="8"/>
  <c r="J134" i="8"/>
  <c r="G134" i="8"/>
  <c r="M134" i="8" s="1"/>
  <c r="F134" i="8"/>
  <c r="E134" i="8"/>
  <c r="D134" i="8"/>
  <c r="C134" i="8"/>
  <c r="B134" i="8"/>
  <c r="P133" i="8"/>
  <c r="N133" i="8"/>
  <c r="O133" i="8" s="1"/>
  <c r="G133" i="8"/>
  <c r="M133" i="8" s="1"/>
  <c r="F133" i="8"/>
  <c r="E133" i="8"/>
  <c r="D133" i="8"/>
  <c r="C133" i="8"/>
  <c r="B133" i="8"/>
  <c r="P132" i="8"/>
  <c r="N132" i="8"/>
  <c r="O132" i="8" s="1"/>
  <c r="M132" i="8"/>
  <c r="G132" i="8"/>
  <c r="F132" i="8"/>
  <c r="E132" i="8"/>
  <c r="D132" i="8"/>
  <c r="C132" i="8"/>
  <c r="B132" i="8"/>
  <c r="P131" i="8"/>
  <c r="N131" i="8"/>
  <c r="G131" i="8"/>
  <c r="F131" i="8"/>
  <c r="E131" i="8"/>
  <c r="D131" i="8"/>
  <c r="C131" i="8"/>
  <c r="B131" i="8"/>
  <c r="P130" i="8"/>
  <c r="N130" i="8"/>
  <c r="O130" i="8" s="1"/>
  <c r="G130" i="8"/>
  <c r="M130" i="8" s="1"/>
  <c r="F130" i="8"/>
  <c r="E130" i="8"/>
  <c r="D130" i="8"/>
  <c r="C130" i="8"/>
  <c r="B130" i="8"/>
  <c r="P129" i="8"/>
  <c r="N129" i="8"/>
  <c r="M129" i="8"/>
  <c r="G129" i="8"/>
  <c r="F129" i="8"/>
  <c r="E129" i="8"/>
  <c r="D129" i="8"/>
  <c r="J129" i="8" s="1"/>
  <c r="C129" i="8"/>
  <c r="B129" i="8"/>
  <c r="P128" i="8"/>
  <c r="N128" i="8"/>
  <c r="G128" i="8"/>
  <c r="M128" i="8" s="1"/>
  <c r="F128" i="8"/>
  <c r="E128" i="8"/>
  <c r="D128" i="8"/>
  <c r="J128" i="8" s="1"/>
  <c r="C128" i="8"/>
  <c r="B128" i="8"/>
  <c r="P127" i="8"/>
  <c r="N127" i="8"/>
  <c r="M127" i="8"/>
  <c r="G127" i="8"/>
  <c r="F127" i="8"/>
  <c r="E127" i="8"/>
  <c r="D127" i="8"/>
  <c r="J127" i="8" s="1"/>
  <c r="C127" i="8"/>
  <c r="B127" i="8"/>
  <c r="P126" i="8"/>
  <c r="N126" i="8"/>
  <c r="G126" i="8"/>
  <c r="M126" i="8" s="1"/>
  <c r="F126" i="8"/>
  <c r="E126" i="8"/>
  <c r="D126" i="8"/>
  <c r="J126" i="8" s="1"/>
  <c r="C126" i="8"/>
  <c r="B126" i="8"/>
  <c r="P125" i="8"/>
  <c r="N125" i="8"/>
  <c r="G125" i="8"/>
  <c r="M125" i="8" s="1"/>
  <c r="F125" i="8"/>
  <c r="L125" i="8" s="1"/>
  <c r="E125" i="8"/>
  <c r="D125" i="8"/>
  <c r="C125" i="8"/>
  <c r="B125" i="8"/>
  <c r="P124" i="8"/>
  <c r="N124" i="8"/>
  <c r="G124" i="8"/>
  <c r="M124" i="8" s="1"/>
  <c r="F124" i="8"/>
  <c r="E124" i="8"/>
  <c r="D124" i="8"/>
  <c r="C124" i="8"/>
  <c r="B124" i="8"/>
  <c r="P123" i="8"/>
  <c r="N123" i="8"/>
  <c r="G123" i="8"/>
  <c r="M123" i="8" s="1"/>
  <c r="F123" i="8"/>
  <c r="E123" i="8"/>
  <c r="D123" i="8"/>
  <c r="C123" i="8"/>
  <c r="B123" i="8"/>
  <c r="P122" i="8"/>
  <c r="N122" i="8"/>
  <c r="O122" i="8" s="1"/>
  <c r="M122" i="8"/>
  <c r="G122" i="8"/>
  <c r="F122" i="8"/>
  <c r="E122" i="8"/>
  <c r="D122" i="8"/>
  <c r="C122" i="8"/>
  <c r="B122" i="8"/>
  <c r="P121" i="8"/>
  <c r="N121" i="8"/>
  <c r="G121" i="8"/>
  <c r="F121" i="8"/>
  <c r="L121" i="8" s="1"/>
  <c r="E121" i="8"/>
  <c r="D121" i="8"/>
  <c r="C121" i="8"/>
  <c r="B121" i="8"/>
  <c r="P120" i="8"/>
  <c r="N120" i="8"/>
  <c r="G120" i="8"/>
  <c r="M120" i="8" s="1"/>
  <c r="F120" i="8"/>
  <c r="E120" i="8"/>
  <c r="D120" i="8"/>
  <c r="C120" i="8"/>
  <c r="B120" i="8"/>
  <c r="P119" i="8"/>
  <c r="N119" i="8"/>
  <c r="M119" i="8"/>
  <c r="G119" i="8"/>
  <c r="F119" i="8"/>
  <c r="E119" i="8"/>
  <c r="D119" i="8"/>
  <c r="J119" i="8" s="1"/>
  <c r="C119" i="8"/>
  <c r="B119" i="8"/>
  <c r="P118" i="8"/>
  <c r="N118" i="8"/>
  <c r="G118" i="8"/>
  <c r="M118" i="8" s="1"/>
  <c r="F118" i="8"/>
  <c r="E118" i="8"/>
  <c r="D118" i="8"/>
  <c r="J118" i="8" s="1"/>
  <c r="C118" i="8"/>
  <c r="B118" i="8"/>
  <c r="P117" i="8"/>
  <c r="N117" i="8"/>
  <c r="M117" i="8"/>
  <c r="G117" i="8"/>
  <c r="F117" i="8"/>
  <c r="L117" i="8" s="1"/>
  <c r="E117" i="8"/>
  <c r="D117" i="8"/>
  <c r="C117" i="8"/>
  <c r="B117" i="8"/>
  <c r="Q116" i="8"/>
  <c r="P116" i="8"/>
  <c r="N116" i="8"/>
  <c r="M116" i="8"/>
  <c r="G116" i="8"/>
  <c r="F116" i="8"/>
  <c r="E116" i="8"/>
  <c r="D116" i="8"/>
  <c r="J116" i="8" s="1"/>
  <c r="C116" i="8"/>
  <c r="B116" i="8"/>
  <c r="P115" i="8"/>
  <c r="N115" i="8"/>
  <c r="O115" i="8" s="1"/>
  <c r="G115" i="8"/>
  <c r="M115" i="8" s="1"/>
  <c r="F115" i="8"/>
  <c r="E115" i="8"/>
  <c r="D115" i="8"/>
  <c r="J115" i="8" s="1"/>
  <c r="C115" i="8"/>
  <c r="B115" i="8"/>
  <c r="P114" i="8"/>
  <c r="Q114" i="8" s="1"/>
  <c r="N114" i="8"/>
  <c r="O114" i="8" s="1"/>
  <c r="G114" i="8"/>
  <c r="M114" i="8" s="1"/>
  <c r="F114" i="8"/>
  <c r="E114" i="8"/>
  <c r="D114" i="8"/>
  <c r="C114" i="8"/>
  <c r="B114" i="8"/>
  <c r="P113" i="8"/>
  <c r="N113" i="8"/>
  <c r="O113" i="8" s="1"/>
  <c r="G113" i="8"/>
  <c r="M113" i="8" s="1"/>
  <c r="F113" i="8"/>
  <c r="E113" i="8"/>
  <c r="D113" i="8"/>
  <c r="C113" i="8"/>
  <c r="I113" i="8" s="1"/>
  <c r="B113" i="8"/>
  <c r="P112" i="8"/>
  <c r="N112" i="8"/>
  <c r="O112" i="8" s="1"/>
  <c r="J112" i="8"/>
  <c r="G112" i="8"/>
  <c r="M112" i="8" s="1"/>
  <c r="F112" i="8"/>
  <c r="E112" i="8"/>
  <c r="D112" i="8"/>
  <c r="C112" i="8"/>
  <c r="B112" i="8"/>
  <c r="P111" i="8"/>
  <c r="Q111" i="8" s="1"/>
  <c r="N111" i="8"/>
  <c r="O111" i="8" s="1"/>
  <c r="G111" i="8"/>
  <c r="M111" i="8" s="1"/>
  <c r="F111" i="8"/>
  <c r="E111" i="8"/>
  <c r="D111" i="8"/>
  <c r="C111" i="8"/>
  <c r="B111" i="8"/>
  <c r="Q110" i="8"/>
  <c r="P110" i="8"/>
  <c r="Q158" i="8" s="1"/>
  <c r="N110" i="8"/>
  <c r="M110" i="8"/>
  <c r="G110" i="8"/>
  <c r="M378" i="8" s="1"/>
  <c r="F110" i="8"/>
  <c r="L133" i="8" s="1"/>
  <c r="E110" i="8"/>
  <c r="D110" i="8"/>
  <c r="C110" i="8"/>
  <c r="I379" i="8" s="1"/>
  <c r="B110" i="8"/>
  <c r="P109" i="8"/>
  <c r="Q109" i="8" s="1"/>
  <c r="N109" i="8"/>
  <c r="G109" i="8"/>
  <c r="M109" i="8" s="1"/>
  <c r="F109" i="8"/>
  <c r="L109" i="8" s="1"/>
  <c r="E109" i="8"/>
  <c r="D109" i="8"/>
  <c r="C109" i="8"/>
  <c r="B109" i="8"/>
  <c r="P108" i="8"/>
  <c r="Q108" i="8" s="1"/>
  <c r="N108" i="8"/>
  <c r="M108" i="8"/>
  <c r="G108" i="8"/>
  <c r="F108" i="8"/>
  <c r="L108" i="8" s="1"/>
  <c r="E108" i="8"/>
  <c r="D108" i="8"/>
  <c r="J108" i="8" s="1"/>
  <c r="C108" i="8"/>
  <c r="B108" i="8"/>
  <c r="P107" i="8"/>
  <c r="N107" i="8"/>
  <c r="O107" i="8" s="1"/>
  <c r="M107" i="8"/>
  <c r="G107" i="8"/>
  <c r="F107" i="8"/>
  <c r="L107" i="8" s="1"/>
  <c r="E107" i="8"/>
  <c r="D107" i="8"/>
  <c r="C107" i="8"/>
  <c r="B107" i="8"/>
  <c r="P106" i="8"/>
  <c r="Q106" i="8" s="1"/>
  <c r="N106" i="8"/>
  <c r="G106" i="8"/>
  <c r="M106" i="8" s="1"/>
  <c r="F106" i="8"/>
  <c r="E106" i="8"/>
  <c r="D106" i="8"/>
  <c r="C106" i="8"/>
  <c r="B106" i="8"/>
  <c r="P105" i="8"/>
  <c r="N105" i="8"/>
  <c r="L105" i="8"/>
  <c r="G105" i="8"/>
  <c r="M105" i="8" s="1"/>
  <c r="F105" i="8"/>
  <c r="E105" i="8"/>
  <c r="K105" i="8" s="1"/>
  <c r="D105" i="8"/>
  <c r="J105" i="8" s="1"/>
  <c r="C105" i="8"/>
  <c r="B105" i="8"/>
  <c r="Q104" i="8"/>
  <c r="P104" i="8"/>
  <c r="N104" i="8"/>
  <c r="G104" i="8"/>
  <c r="M104" i="8" s="1"/>
  <c r="F104" i="8"/>
  <c r="E104" i="8"/>
  <c r="D104" i="8"/>
  <c r="J104" i="8" s="1"/>
  <c r="C104" i="8"/>
  <c r="B104" i="8"/>
  <c r="P103" i="8"/>
  <c r="Q103" i="8" s="1"/>
  <c r="N103" i="8"/>
  <c r="G103" i="8"/>
  <c r="M103" i="8" s="1"/>
  <c r="F103" i="8"/>
  <c r="E103" i="8"/>
  <c r="D103" i="8"/>
  <c r="J103" i="8" s="1"/>
  <c r="C103" i="8"/>
  <c r="I103" i="8" s="1"/>
  <c r="B103" i="8"/>
  <c r="P102" i="8"/>
  <c r="Q102" i="8" s="1"/>
  <c r="N102" i="8"/>
  <c r="O102" i="8" s="1"/>
  <c r="J102" i="8"/>
  <c r="G102" i="8"/>
  <c r="M102" i="8" s="1"/>
  <c r="F102" i="8"/>
  <c r="L102" i="8" s="1"/>
  <c r="E102" i="8"/>
  <c r="D102" i="8"/>
  <c r="C102" i="8"/>
  <c r="B102" i="8"/>
  <c r="H102" i="8" s="1"/>
  <c r="P101" i="8"/>
  <c r="Q101" i="8" s="1"/>
  <c r="N101" i="8"/>
  <c r="O101" i="8" s="1"/>
  <c r="G101" i="8"/>
  <c r="M101" i="8" s="1"/>
  <c r="F101" i="8"/>
  <c r="E101" i="8"/>
  <c r="D101" i="8"/>
  <c r="C101" i="8"/>
  <c r="I101" i="8" s="1"/>
  <c r="B101" i="8"/>
  <c r="P100" i="8"/>
  <c r="Q100" i="8" s="1"/>
  <c r="N100" i="8"/>
  <c r="M100" i="8"/>
  <c r="G100" i="8"/>
  <c r="F100" i="8"/>
  <c r="E100" i="8"/>
  <c r="D100" i="8"/>
  <c r="J100" i="8" s="1"/>
  <c r="C100" i="8"/>
  <c r="B100" i="8"/>
  <c r="P99" i="8"/>
  <c r="N99" i="8"/>
  <c r="O99" i="8" s="1"/>
  <c r="G99" i="8"/>
  <c r="M99" i="8" s="1"/>
  <c r="F99" i="8"/>
  <c r="E99" i="8"/>
  <c r="D99" i="8"/>
  <c r="J99" i="8" s="1"/>
  <c r="C99" i="8"/>
  <c r="B99" i="8"/>
  <c r="P98" i="8"/>
  <c r="N98" i="8"/>
  <c r="O98" i="8" s="1"/>
  <c r="G98" i="8"/>
  <c r="M98" i="8" s="1"/>
  <c r="F98" i="8"/>
  <c r="E98" i="8"/>
  <c r="D98" i="8"/>
  <c r="J98" i="8" s="1"/>
  <c r="C98" i="8"/>
  <c r="B98" i="8"/>
  <c r="P97" i="8"/>
  <c r="N97" i="8"/>
  <c r="O97" i="8" s="1"/>
  <c r="M97" i="8"/>
  <c r="G97" i="8"/>
  <c r="F97" i="8"/>
  <c r="E97" i="8"/>
  <c r="D97" i="8"/>
  <c r="J97" i="8" s="1"/>
  <c r="C97" i="8"/>
  <c r="I97" i="8" s="1"/>
  <c r="B97" i="8"/>
  <c r="H97" i="8" s="1"/>
  <c r="Q96" i="8"/>
  <c r="P96" i="8"/>
  <c r="N96" i="8"/>
  <c r="G96" i="8"/>
  <c r="F96" i="8"/>
  <c r="E96" i="8"/>
  <c r="D96" i="8"/>
  <c r="J96" i="8" s="1"/>
  <c r="C96" i="8"/>
  <c r="B96" i="8"/>
  <c r="P95" i="8"/>
  <c r="N95" i="8"/>
  <c r="O95" i="8" s="1"/>
  <c r="G95" i="8"/>
  <c r="F95" i="8"/>
  <c r="L95" i="8" s="1"/>
  <c r="E95" i="8"/>
  <c r="D95" i="8"/>
  <c r="J95" i="8" s="1"/>
  <c r="C95" i="8"/>
  <c r="I95" i="8" s="1"/>
  <c r="B95" i="8"/>
  <c r="P94" i="8"/>
  <c r="N94" i="8"/>
  <c r="O94" i="8" s="1"/>
  <c r="M94" i="8"/>
  <c r="J94" i="8"/>
  <c r="G94" i="8"/>
  <c r="F94" i="8"/>
  <c r="L94" i="8" s="1"/>
  <c r="E94" i="8"/>
  <c r="D94" i="8"/>
  <c r="C94" i="8"/>
  <c r="B94" i="8"/>
  <c r="P93" i="8"/>
  <c r="Q93" i="8" s="1"/>
  <c r="N93" i="8"/>
  <c r="O93" i="8" s="1"/>
  <c r="G93" i="8"/>
  <c r="M93" i="8" s="1"/>
  <c r="F93" i="8"/>
  <c r="E93" i="8"/>
  <c r="D93" i="8"/>
  <c r="J93" i="8" s="1"/>
  <c r="C93" i="8"/>
  <c r="I93" i="8" s="1"/>
  <c r="B93" i="8"/>
  <c r="P92" i="8"/>
  <c r="Q92" i="8" s="1"/>
  <c r="N92" i="8"/>
  <c r="O92" i="8" s="1"/>
  <c r="G92" i="8"/>
  <c r="M92" i="8" s="1"/>
  <c r="F92" i="8"/>
  <c r="E92" i="8"/>
  <c r="D92" i="8"/>
  <c r="J92" i="8" s="1"/>
  <c r="C92" i="8"/>
  <c r="B92" i="8"/>
  <c r="H92" i="8" s="1"/>
  <c r="P91" i="8"/>
  <c r="N91" i="8"/>
  <c r="O91" i="8" s="1"/>
  <c r="M91" i="8"/>
  <c r="G91" i="8"/>
  <c r="F91" i="8"/>
  <c r="E91" i="8"/>
  <c r="D91" i="8"/>
  <c r="J91" i="8" s="1"/>
  <c r="C91" i="8"/>
  <c r="I91" i="8" s="1"/>
  <c r="B91" i="8"/>
  <c r="Q90" i="8"/>
  <c r="P90" i="8"/>
  <c r="N90" i="8"/>
  <c r="G90" i="8"/>
  <c r="M90" i="8" s="1"/>
  <c r="F90" i="8"/>
  <c r="E90" i="8"/>
  <c r="D90" i="8"/>
  <c r="J90" i="8" s="1"/>
  <c r="C90" i="8"/>
  <c r="I90" i="8" s="1"/>
  <c r="B90" i="8"/>
  <c r="P89" i="8"/>
  <c r="N89" i="8"/>
  <c r="O89" i="8" s="1"/>
  <c r="J89" i="8"/>
  <c r="G89" i="8"/>
  <c r="M89" i="8" s="1"/>
  <c r="F89" i="8"/>
  <c r="L89" i="8" s="1"/>
  <c r="E89" i="8"/>
  <c r="D89" i="8"/>
  <c r="C89" i="8"/>
  <c r="B89" i="8"/>
  <c r="H89" i="8" s="1"/>
  <c r="Q88" i="8"/>
  <c r="P88" i="8"/>
  <c r="N88" i="8"/>
  <c r="G88" i="8"/>
  <c r="M88" i="8" s="1"/>
  <c r="F88" i="8"/>
  <c r="E88" i="8"/>
  <c r="D88" i="8"/>
  <c r="C88" i="8"/>
  <c r="I88" i="8" s="1"/>
  <c r="B88" i="8"/>
  <c r="H88" i="8" s="1"/>
  <c r="P87" i="8"/>
  <c r="N87" i="8"/>
  <c r="M87" i="8"/>
  <c r="G87" i="8"/>
  <c r="F87" i="8"/>
  <c r="E87" i="8"/>
  <c r="K87" i="8" s="1"/>
  <c r="D87" i="8"/>
  <c r="J87" i="8" s="1"/>
  <c r="C87" i="8"/>
  <c r="I87" i="8" s="1"/>
  <c r="B87" i="8"/>
  <c r="P86" i="8"/>
  <c r="Q86" i="8" s="1"/>
  <c r="N86" i="8"/>
  <c r="G86" i="8"/>
  <c r="M86" i="8" s="1"/>
  <c r="F86" i="8"/>
  <c r="L86" i="8" s="1"/>
  <c r="E86" i="8"/>
  <c r="D86" i="8"/>
  <c r="J86" i="8" s="1"/>
  <c r="C86" i="8"/>
  <c r="I86" i="8" s="1"/>
  <c r="B86" i="8"/>
  <c r="P85" i="8"/>
  <c r="Q85" i="8" s="1"/>
  <c r="N85" i="8"/>
  <c r="G85" i="8"/>
  <c r="M85" i="8" s="1"/>
  <c r="F85" i="8"/>
  <c r="L85" i="8" s="1"/>
  <c r="E85" i="8"/>
  <c r="D85" i="8"/>
  <c r="J85" i="8" s="1"/>
  <c r="C85" i="8"/>
  <c r="B85" i="8"/>
  <c r="P84" i="8"/>
  <c r="N84" i="8"/>
  <c r="O84" i="8" s="1"/>
  <c r="K84" i="8"/>
  <c r="G84" i="8"/>
  <c r="M84" i="8" s="1"/>
  <c r="F84" i="8"/>
  <c r="E84" i="8"/>
  <c r="D84" i="8"/>
  <c r="C84" i="8"/>
  <c r="I84" i="8" s="1"/>
  <c r="B84" i="8"/>
  <c r="P83" i="8"/>
  <c r="N83" i="8"/>
  <c r="O83" i="8" s="1"/>
  <c r="M83" i="8"/>
  <c r="G83" i="8"/>
  <c r="F83" i="8"/>
  <c r="E83" i="8"/>
  <c r="D83" i="8"/>
  <c r="C83" i="8"/>
  <c r="I83" i="8" s="1"/>
  <c r="B83" i="8"/>
  <c r="Q82" i="8"/>
  <c r="P82" i="8"/>
  <c r="N82" i="8"/>
  <c r="O82" i="8" s="1"/>
  <c r="G82" i="8"/>
  <c r="M82" i="8" s="1"/>
  <c r="F82" i="8"/>
  <c r="E82" i="8"/>
  <c r="D82" i="8"/>
  <c r="J82" i="8" s="1"/>
  <c r="C82" i="8"/>
  <c r="I82" i="8" s="1"/>
  <c r="B82" i="8"/>
  <c r="P81" i="8"/>
  <c r="Q81" i="8" s="1"/>
  <c r="N81" i="8"/>
  <c r="G81" i="8"/>
  <c r="M81" i="8" s="1"/>
  <c r="F81" i="8"/>
  <c r="E81" i="8"/>
  <c r="D81" i="8"/>
  <c r="J81" i="8" s="1"/>
  <c r="C81" i="8"/>
  <c r="B81" i="8"/>
  <c r="H81" i="8" s="1"/>
  <c r="P80" i="8"/>
  <c r="Q80" i="8" s="1"/>
  <c r="N80" i="8"/>
  <c r="G80" i="8"/>
  <c r="M80" i="8" s="1"/>
  <c r="F80" i="8"/>
  <c r="E80" i="8"/>
  <c r="K80" i="8" s="1"/>
  <c r="D80" i="8"/>
  <c r="C80" i="8"/>
  <c r="I80" i="8" s="1"/>
  <c r="B80" i="8"/>
  <c r="Q79" i="8"/>
  <c r="P79" i="8"/>
  <c r="N79" i="8"/>
  <c r="O79" i="8" s="1"/>
  <c r="M79" i="8"/>
  <c r="I79" i="8"/>
  <c r="G79" i="8"/>
  <c r="F79" i="8"/>
  <c r="E79" i="8"/>
  <c r="D79" i="8"/>
  <c r="C79" i="8"/>
  <c r="B79" i="8"/>
  <c r="P78" i="8"/>
  <c r="Q78" i="8" s="1"/>
  <c r="N78" i="8"/>
  <c r="G78" i="8"/>
  <c r="M78" i="8" s="1"/>
  <c r="F78" i="8"/>
  <c r="E78" i="8"/>
  <c r="D78" i="8"/>
  <c r="J78" i="8" s="1"/>
  <c r="C78" i="8"/>
  <c r="I78" i="8" s="1"/>
  <c r="B78" i="8"/>
  <c r="P77" i="8"/>
  <c r="Q77" i="8" s="1"/>
  <c r="N77" i="8"/>
  <c r="O77" i="8" s="1"/>
  <c r="G77" i="8"/>
  <c r="M77" i="8" s="1"/>
  <c r="F77" i="8"/>
  <c r="L77" i="8" s="1"/>
  <c r="E77" i="8"/>
  <c r="K77" i="8" s="1"/>
  <c r="D77" i="8"/>
  <c r="J77" i="8" s="1"/>
  <c r="C77" i="8"/>
  <c r="B77" i="8"/>
  <c r="H77" i="8" s="1"/>
  <c r="Q76" i="8"/>
  <c r="P76" i="8"/>
  <c r="N76" i="8"/>
  <c r="G76" i="8"/>
  <c r="M76" i="8" s="1"/>
  <c r="F76" i="8"/>
  <c r="L76" i="8" s="1"/>
  <c r="E76" i="8"/>
  <c r="K76" i="8" s="1"/>
  <c r="D76" i="8"/>
  <c r="C76" i="8"/>
  <c r="I76" i="8" s="1"/>
  <c r="B76" i="8"/>
  <c r="Q75" i="8"/>
  <c r="P75" i="8"/>
  <c r="N75" i="8"/>
  <c r="O75" i="8" s="1"/>
  <c r="I75" i="8"/>
  <c r="G75" i="8"/>
  <c r="M75" i="8" s="1"/>
  <c r="F75" i="8"/>
  <c r="E75" i="8"/>
  <c r="K75" i="8" s="1"/>
  <c r="D75" i="8"/>
  <c r="C75" i="8"/>
  <c r="B75" i="8"/>
  <c r="Q74" i="8"/>
  <c r="P74" i="8"/>
  <c r="N74" i="8"/>
  <c r="O74" i="8" s="1"/>
  <c r="G74" i="8"/>
  <c r="M74" i="8" s="1"/>
  <c r="F74" i="8"/>
  <c r="E74" i="8"/>
  <c r="D74" i="8"/>
  <c r="C74" i="8"/>
  <c r="I74" i="8" s="1"/>
  <c r="B74" i="8"/>
  <c r="P73" i="8"/>
  <c r="Q73" i="8" s="1"/>
  <c r="N73" i="8"/>
  <c r="O73" i="8" s="1"/>
  <c r="G73" i="8"/>
  <c r="M73" i="8" s="1"/>
  <c r="F73" i="8"/>
  <c r="L73" i="8" s="1"/>
  <c r="E73" i="8"/>
  <c r="D73" i="8"/>
  <c r="C73" i="8"/>
  <c r="B73" i="8"/>
  <c r="H73" i="8" s="1"/>
  <c r="Q72" i="8"/>
  <c r="P72" i="8"/>
  <c r="N72" i="8"/>
  <c r="O72" i="8" s="1"/>
  <c r="I72" i="8"/>
  <c r="G72" i="8"/>
  <c r="M72" i="8" s="1"/>
  <c r="F72" i="8"/>
  <c r="E72" i="8"/>
  <c r="K72" i="8" s="1"/>
  <c r="D72" i="8"/>
  <c r="J72" i="8" s="1"/>
  <c r="C72" i="8"/>
  <c r="B72" i="8"/>
  <c r="H72" i="8" s="1"/>
  <c r="Q71" i="8"/>
  <c r="P71" i="8"/>
  <c r="N71" i="8"/>
  <c r="G71" i="8"/>
  <c r="M71" i="8" s="1"/>
  <c r="F71" i="8"/>
  <c r="E71" i="8"/>
  <c r="D71" i="8"/>
  <c r="J71" i="8" s="1"/>
  <c r="C71" i="8"/>
  <c r="I71" i="8" s="1"/>
  <c r="B71" i="8"/>
  <c r="P70" i="8"/>
  <c r="Q70" i="8" s="1"/>
  <c r="N70" i="8"/>
  <c r="O70" i="8" s="1"/>
  <c r="G70" i="8"/>
  <c r="M70" i="8" s="1"/>
  <c r="F70" i="8"/>
  <c r="E70" i="8"/>
  <c r="D70" i="8"/>
  <c r="C70" i="8"/>
  <c r="I70" i="8" s="1"/>
  <c r="B70" i="8"/>
  <c r="P69" i="8"/>
  <c r="Q69" i="8" s="1"/>
  <c r="N69" i="8"/>
  <c r="O69" i="8" s="1"/>
  <c r="G69" i="8"/>
  <c r="M69" i="8" s="1"/>
  <c r="F69" i="8"/>
  <c r="E69" i="8"/>
  <c r="K69" i="8" s="1"/>
  <c r="D69" i="8"/>
  <c r="C69" i="8"/>
  <c r="I69" i="8" s="1"/>
  <c r="B69" i="8"/>
  <c r="H69" i="8" s="1"/>
  <c r="Q68" i="8"/>
  <c r="P68" i="8"/>
  <c r="N68" i="8"/>
  <c r="O68" i="8" s="1"/>
  <c r="G68" i="8"/>
  <c r="M68" i="8" s="1"/>
  <c r="F68" i="8"/>
  <c r="L68" i="8" s="1"/>
  <c r="E68" i="8"/>
  <c r="D68" i="8"/>
  <c r="C68" i="8"/>
  <c r="I68" i="8" s="1"/>
  <c r="B68" i="8"/>
  <c r="Q67" i="8"/>
  <c r="P67" i="8"/>
  <c r="N67" i="8"/>
  <c r="O67" i="8" s="1"/>
  <c r="M67" i="8"/>
  <c r="G67" i="8"/>
  <c r="F67" i="8"/>
  <c r="E67" i="8"/>
  <c r="K67" i="8" s="1"/>
  <c r="D67" i="8"/>
  <c r="C67" i="8"/>
  <c r="I67" i="8" s="1"/>
  <c r="B67" i="8"/>
  <c r="P66" i="8"/>
  <c r="Q66" i="8" s="1"/>
  <c r="N66" i="8"/>
  <c r="O66" i="8" s="1"/>
  <c r="G66" i="8"/>
  <c r="M66" i="8" s="1"/>
  <c r="F66" i="8"/>
  <c r="L66" i="8" s="1"/>
  <c r="E66" i="8"/>
  <c r="D66" i="8"/>
  <c r="C66" i="8"/>
  <c r="I66" i="8" s="1"/>
  <c r="B66" i="8"/>
  <c r="P65" i="8"/>
  <c r="Q65" i="8" s="1"/>
  <c r="N65" i="8"/>
  <c r="O65" i="8" s="1"/>
  <c r="K65" i="8"/>
  <c r="G65" i="8"/>
  <c r="M65" i="8" s="1"/>
  <c r="F65" i="8"/>
  <c r="E65" i="8"/>
  <c r="D65" i="8"/>
  <c r="J65" i="8" s="1"/>
  <c r="C65" i="8"/>
  <c r="I65" i="8" s="1"/>
  <c r="B65" i="8"/>
  <c r="Q64" i="8"/>
  <c r="P64" i="8"/>
  <c r="N64" i="8"/>
  <c r="J64" i="8"/>
  <c r="I64" i="8"/>
  <c r="G64" i="8"/>
  <c r="M64" i="8" s="1"/>
  <c r="F64" i="8"/>
  <c r="E64" i="8"/>
  <c r="K64" i="8" s="1"/>
  <c r="D64" i="8"/>
  <c r="C64" i="8"/>
  <c r="B64" i="8"/>
  <c r="P63" i="8"/>
  <c r="Q63" i="8" s="1"/>
  <c r="N63" i="8"/>
  <c r="O63" i="8" s="1"/>
  <c r="M63" i="8"/>
  <c r="G63" i="8"/>
  <c r="F63" i="8"/>
  <c r="E63" i="8"/>
  <c r="D63" i="8"/>
  <c r="C63" i="8"/>
  <c r="I63" i="8" s="1"/>
  <c r="B63" i="8"/>
  <c r="P62" i="8"/>
  <c r="Q62" i="8" s="1"/>
  <c r="N62" i="8"/>
  <c r="L62" i="8"/>
  <c r="G62" i="8"/>
  <c r="M62" i="8" s="1"/>
  <c r="F62" i="8"/>
  <c r="E62" i="8"/>
  <c r="D62" i="8"/>
  <c r="J62" i="8" s="1"/>
  <c r="C62" i="8"/>
  <c r="I62" i="8" s="1"/>
  <c r="B62" i="8"/>
  <c r="P61" i="8"/>
  <c r="Q61" i="8" s="1"/>
  <c r="N61" i="8"/>
  <c r="O61" i="8" s="1"/>
  <c r="M61" i="8"/>
  <c r="G61" i="8"/>
  <c r="F61" i="8"/>
  <c r="L61" i="8" s="1"/>
  <c r="E61" i="8"/>
  <c r="D61" i="8"/>
  <c r="J61" i="8" s="1"/>
  <c r="C61" i="8"/>
  <c r="I61" i="8" s="1"/>
  <c r="B61" i="8"/>
  <c r="H61" i="8" s="1"/>
  <c r="P60" i="8"/>
  <c r="Q60" i="8" s="1"/>
  <c r="N60" i="8"/>
  <c r="K60" i="8"/>
  <c r="H60" i="8"/>
  <c r="G60" i="8"/>
  <c r="M60" i="8" s="1"/>
  <c r="F60" i="8"/>
  <c r="L60" i="8" s="1"/>
  <c r="E60" i="8"/>
  <c r="D60" i="8"/>
  <c r="J60" i="8" s="1"/>
  <c r="C60" i="8"/>
  <c r="I60" i="8" s="1"/>
  <c r="B60" i="8"/>
  <c r="P59" i="8"/>
  <c r="Q59" i="8" s="1"/>
  <c r="N59" i="8"/>
  <c r="O59" i="8" s="1"/>
  <c r="G59" i="8"/>
  <c r="M59" i="8" s="1"/>
  <c r="F59" i="8"/>
  <c r="E59" i="8"/>
  <c r="D59" i="8"/>
  <c r="J59" i="8" s="1"/>
  <c r="C59" i="8"/>
  <c r="I59" i="8" s="1"/>
  <c r="B59" i="8"/>
  <c r="H59" i="8" s="1"/>
  <c r="P58" i="8"/>
  <c r="Q58" i="8" s="1"/>
  <c r="N58" i="8"/>
  <c r="O58" i="8" s="1"/>
  <c r="M58" i="8"/>
  <c r="G58" i="8"/>
  <c r="F58" i="8"/>
  <c r="E58" i="8"/>
  <c r="K58" i="8" s="1"/>
  <c r="D58" i="8"/>
  <c r="C58" i="8"/>
  <c r="I58" i="8" s="1"/>
  <c r="B58" i="8"/>
  <c r="Q57" i="8"/>
  <c r="P57" i="8"/>
  <c r="N57" i="8"/>
  <c r="O57" i="8" s="1"/>
  <c r="I57" i="8"/>
  <c r="G57" i="8"/>
  <c r="M57" i="8" s="1"/>
  <c r="F57" i="8"/>
  <c r="E57" i="8"/>
  <c r="D57" i="8"/>
  <c r="C57" i="8"/>
  <c r="B57" i="8"/>
  <c r="H57" i="8" s="1"/>
  <c r="P56" i="8"/>
  <c r="Q56" i="8" s="1"/>
  <c r="N56" i="8"/>
  <c r="O56" i="8" s="1"/>
  <c r="G56" i="8"/>
  <c r="M56" i="8" s="1"/>
  <c r="F56" i="8"/>
  <c r="L56" i="8" s="1"/>
  <c r="E56" i="8"/>
  <c r="D56" i="8"/>
  <c r="C56" i="8"/>
  <c r="I56" i="8" s="1"/>
  <c r="B56" i="8"/>
  <c r="P55" i="8"/>
  <c r="Q55" i="8" s="1"/>
  <c r="N55" i="8"/>
  <c r="O55" i="8" s="1"/>
  <c r="L55" i="8"/>
  <c r="G55" i="8"/>
  <c r="M55" i="8" s="1"/>
  <c r="F55" i="8"/>
  <c r="E55" i="8"/>
  <c r="D55" i="8"/>
  <c r="J55" i="8" s="1"/>
  <c r="C55" i="8"/>
  <c r="I55" i="8" s="1"/>
  <c r="B55" i="8"/>
  <c r="H55" i="8" s="1"/>
  <c r="P54" i="8"/>
  <c r="Q54" i="8" s="1"/>
  <c r="N54" i="8"/>
  <c r="O54" i="8" s="1"/>
  <c r="L54" i="8"/>
  <c r="G54" i="8"/>
  <c r="M54" i="8" s="1"/>
  <c r="F54" i="8"/>
  <c r="E54" i="8"/>
  <c r="K54" i="8" s="1"/>
  <c r="D54" i="8"/>
  <c r="J54" i="8" s="1"/>
  <c r="C54" i="8"/>
  <c r="I54" i="8" s="1"/>
  <c r="B54" i="8"/>
  <c r="H54" i="8" s="1"/>
  <c r="Q53" i="8"/>
  <c r="P53" i="8"/>
  <c r="N53" i="8"/>
  <c r="O53" i="8" s="1"/>
  <c r="G53" i="8"/>
  <c r="M53" i="8" s="1"/>
  <c r="F53" i="8"/>
  <c r="E53" i="8"/>
  <c r="K53" i="8" s="1"/>
  <c r="D53" i="8"/>
  <c r="J53" i="8" s="1"/>
  <c r="C53" i="8"/>
  <c r="I53" i="8" s="1"/>
  <c r="B53" i="8"/>
  <c r="P52" i="8"/>
  <c r="Q52" i="8" s="1"/>
  <c r="N52" i="8"/>
  <c r="O52" i="8" s="1"/>
  <c r="M52" i="8"/>
  <c r="G52" i="8"/>
  <c r="F52" i="8"/>
  <c r="E52" i="8"/>
  <c r="D52" i="8"/>
  <c r="J52" i="8" s="1"/>
  <c r="C52" i="8"/>
  <c r="I52" i="8" s="1"/>
  <c r="B52" i="8"/>
  <c r="H52" i="8" s="1"/>
  <c r="P51" i="8"/>
  <c r="Q51" i="8" s="1"/>
  <c r="N51" i="8"/>
  <c r="O51" i="8" s="1"/>
  <c r="G51" i="8"/>
  <c r="M51" i="8" s="1"/>
  <c r="F51" i="8"/>
  <c r="E51" i="8"/>
  <c r="K51" i="8" s="1"/>
  <c r="D51" i="8"/>
  <c r="J51" i="8" s="1"/>
  <c r="C51" i="8"/>
  <c r="I51" i="8" s="1"/>
  <c r="B51" i="8"/>
  <c r="H51" i="8" s="1"/>
  <c r="P50" i="8"/>
  <c r="Q50" i="8" s="1"/>
  <c r="N50" i="8"/>
  <c r="G50" i="8"/>
  <c r="M50" i="8" s="1"/>
  <c r="F50" i="8"/>
  <c r="L50" i="8" s="1"/>
  <c r="E50" i="8"/>
  <c r="D50" i="8"/>
  <c r="C50" i="8"/>
  <c r="I50" i="8" s="1"/>
  <c r="B50" i="8"/>
  <c r="H50" i="8" s="1"/>
  <c r="P49" i="8"/>
  <c r="Q49" i="8" s="1"/>
  <c r="N49" i="8"/>
  <c r="G49" i="8"/>
  <c r="M49" i="8" s="1"/>
  <c r="F49" i="8"/>
  <c r="E49" i="8"/>
  <c r="D49" i="8"/>
  <c r="J49" i="8" s="1"/>
  <c r="C49" i="8"/>
  <c r="I49" i="8" s="1"/>
  <c r="B49" i="8"/>
  <c r="P48" i="8"/>
  <c r="Q48" i="8" s="1"/>
  <c r="N48" i="8"/>
  <c r="O48" i="8" s="1"/>
  <c r="M48" i="8"/>
  <c r="G48" i="8"/>
  <c r="F48" i="8"/>
  <c r="E48" i="8"/>
  <c r="D48" i="8"/>
  <c r="J48" i="8" s="1"/>
  <c r="C48" i="8"/>
  <c r="I48" i="8" s="1"/>
  <c r="B48" i="8"/>
  <c r="P47" i="8"/>
  <c r="Q47" i="8" s="1"/>
  <c r="N47" i="8"/>
  <c r="O47" i="8" s="1"/>
  <c r="G47" i="8"/>
  <c r="M47" i="8" s="1"/>
  <c r="F47" i="8"/>
  <c r="L47" i="8" s="1"/>
  <c r="E47" i="8"/>
  <c r="K47" i="8" s="1"/>
  <c r="D47" i="8"/>
  <c r="C47" i="8"/>
  <c r="I47" i="8" s="1"/>
  <c r="B47" i="8"/>
  <c r="H47" i="8" s="1"/>
  <c r="P46" i="8"/>
  <c r="Q46" i="8" s="1"/>
  <c r="N46" i="8"/>
  <c r="O46" i="8" s="1"/>
  <c r="G46" i="8"/>
  <c r="M46" i="8" s="1"/>
  <c r="F46" i="8"/>
  <c r="E46" i="8"/>
  <c r="D46" i="8"/>
  <c r="J46" i="8" s="1"/>
  <c r="C46" i="8"/>
  <c r="I46" i="8" s="1"/>
  <c r="B46" i="8"/>
  <c r="H46" i="8" s="1"/>
  <c r="P45" i="8"/>
  <c r="Q45" i="8" s="1"/>
  <c r="N45" i="8"/>
  <c r="O45" i="8" s="1"/>
  <c r="M45" i="8"/>
  <c r="G45" i="8"/>
  <c r="F45" i="8"/>
  <c r="L45" i="8" s="1"/>
  <c r="E45" i="8"/>
  <c r="K45" i="8" s="1"/>
  <c r="D45" i="8"/>
  <c r="J45" i="8" s="1"/>
  <c r="C45" i="8"/>
  <c r="I45" i="8" s="1"/>
  <c r="B45" i="8"/>
  <c r="H45" i="8" s="1"/>
  <c r="P44" i="8"/>
  <c r="Q44" i="8" s="1"/>
  <c r="N44" i="8"/>
  <c r="K44" i="8"/>
  <c r="G44" i="8"/>
  <c r="M44" i="8" s="1"/>
  <c r="F44" i="8"/>
  <c r="E44" i="8"/>
  <c r="D44" i="8"/>
  <c r="J44" i="8" s="1"/>
  <c r="C44" i="8"/>
  <c r="I44" i="8" s="1"/>
  <c r="B44" i="8"/>
  <c r="P43" i="8"/>
  <c r="Q43" i="8" s="1"/>
  <c r="N43" i="8"/>
  <c r="O43" i="8" s="1"/>
  <c r="J43" i="8"/>
  <c r="G43" i="8"/>
  <c r="M43" i="8" s="1"/>
  <c r="F43" i="8"/>
  <c r="L43" i="8" s="1"/>
  <c r="E43" i="8"/>
  <c r="D43" i="8"/>
  <c r="C43" i="8"/>
  <c r="I43" i="8" s="1"/>
  <c r="B43" i="8"/>
  <c r="H43" i="8" s="1"/>
  <c r="P42" i="8"/>
  <c r="Q42" i="8" s="1"/>
  <c r="N42" i="8"/>
  <c r="M42" i="8"/>
  <c r="I42" i="8"/>
  <c r="G42" i="8"/>
  <c r="F42" i="8"/>
  <c r="E42" i="8"/>
  <c r="K42" i="8" s="1"/>
  <c r="D42" i="8"/>
  <c r="J42" i="8" s="1"/>
  <c r="C42" i="8"/>
  <c r="B42" i="8"/>
  <c r="P41" i="8"/>
  <c r="Q41" i="8" s="1"/>
  <c r="N41" i="8"/>
  <c r="G41" i="8"/>
  <c r="M41" i="8" s="1"/>
  <c r="F41" i="8"/>
  <c r="L41" i="8" s="1"/>
  <c r="E41" i="8"/>
  <c r="D41" i="8"/>
  <c r="J41" i="8" s="1"/>
  <c r="C41" i="8"/>
  <c r="I41" i="8" s="1"/>
  <c r="B41" i="8"/>
  <c r="P40" i="8"/>
  <c r="Q40" i="8" s="1"/>
  <c r="N40" i="8"/>
  <c r="O40" i="8" s="1"/>
  <c r="L40" i="8"/>
  <c r="G40" i="8"/>
  <c r="M40" i="8" s="1"/>
  <c r="F40" i="8"/>
  <c r="E40" i="8"/>
  <c r="D40" i="8"/>
  <c r="J40" i="8" s="1"/>
  <c r="C40" i="8"/>
  <c r="I40" i="8" s="1"/>
  <c r="B40" i="8"/>
  <c r="P39" i="8"/>
  <c r="Q39" i="8" s="1"/>
  <c r="N39" i="8"/>
  <c r="O39" i="8" s="1"/>
  <c r="M39" i="8"/>
  <c r="G39" i="8"/>
  <c r="F39" i="8"/>
  <c r="L39" i="8" s="1"/>
  <c r="E39" i="8"/>
  <c r="K39" i="8" s="1"/>
  <c r="D39" i="8"/>
  <c r="J39" i="8" s="1"/>
  <c r="C39" i="8"/>
  <c r="I39" i="8" s="1"/>
  <c r="B39" i="8"/>
  <c r="H39" i="8" s="1"/>
  <c r="P38" i="8"/>
  <c r="Q38" i="8" s="1"/>
  <c r="N38" i="8"/>
  <c r="O38" i="8" s="1"/>
  <c r="G38" i="8"/>
  <c r="M38" i="8" s="1"/>
  <c r="F38" i="8"/>
  <c r="L38" i="8" s="1"/>
  <c r="E38" i="8"/>
  <c r="K38" i="8" s="1"/>
  <c r="D38" i="8"/>
  <c r="C38" i="8"/>
  <c r="I38" i="8" s="1"/>
  <c r="B38" i="8"/>
  <c r="H38" i="8" s="1"/>
  <c r="Q37" i="8"/>
  <c r="P37" i="8"/>
  <c r="N37" i="8"/>
  <c r="O37" i="8" s="1"/>
  <c r="M37" i="8"/>
  <c r="K37" i="8"/>
  <c r="G37" i="8"/>
  <c r="F37" i="8"/>
  <c r="L37" i="8" s="1"/>
  <c r="E37" i="8"/>
  <c r="D37" i="8"/>
  <c r="J37" i="8" s="1"/>
  <c r="C37" i="8"/>
  <c r="I37" i="8" s="1"/>
  <c r="B37" i="8"/>
  <c r="H37" i="8" s="1"/>
  <c r="Q36" i="8"/>
  <c r="P36" i="8"/>
  <c r="N36" i="8"/>
  <c r="J36" i="8"/>
  <c r="G36" i="8"/>
  <c r="M36" i="8" s="1"/>
  <c r="F36" i="8"/>
  <c r="L36" i="8" s="1"/>
  <c r="E36" i="8"/>
  <c r="D36" i="8"/>
  <c r="C36" i="8"/>
  <c r="I36" i="8" s="1"/>
  <c r="B36" i="8"/>
  <c r="H36" i="8" s="1"/>
  <c r="P35" i="8"/>
  <c r="Q35" i="8" s="1"/>
  <c r="N35" i="8"/>
  <c r="G35" i="8"/>
  <c r="M35" i="8" s="1"/>
  <c r="F35" i="8"/>
  <c r="L35" i="8" s="1"/>
  <c r="E35" i="8"/>
  <c r="K35" i="8" s="1"/>
  <c r="D35" i="8"/>
  <c r="C35" i="8"/>
  <c r="I35" i="8" s="1"/>
  <c r="B35" i="8"/>
  <c r="H35" i="8" s="1"/>
  <c r="P34" i="8"/>
  <c r="Q34" i="8" s="1"/>
  <c r="N34" i="8"/>
  <c r="J34" i="8"/>
  <c r="G34" i="8"/>
  <c r="M34" i="8" s="1"/>
  <c r="F34" i="8"/>
  <c r="L34" i="8" s="1"/>
  <c r="E34" i="8"/>
  <c r="D34" i="8"/>
  <c r="C34" i="8"/>
  <c r="I34" i="8" s="1"/>
  <c r="B34" i="8"/>
  <c r="H34" i="8" s="1"/>
  <c r="P33" i="8"/>
  <c r="Q33" i="8" s="1"/>
  <c r="N33" i="8"/>
  <c r="O33" i="8" s="1"/>
  <c r="G33" i="8"/>
  <c r="M33" i="8" s="1"/>
  <c r="F33" i="8"/>
  <c r="L33" i="8" s="1"/>
  <c r="E33" i="8"/>
  <c r="K33" i="8" s="1"/>
  <c r="D33" i="8"/>
  <c r="J33" i="8" s="1"/>
  <c r="C33" i="8"/>
  <c r="I33" i="8" s="1"/>
  <c r="B33" i="8"/>
  <c r="H33" i="8" s="1"/>
  <c r="P32" i="8"/>
  <c r="Q32" i="8" s="1"/>
  <c r="N32" i="8"/>
  <c r="O32" i="8" s="1"/>
  <c r="G32" i="8"/>
  <c r="M32" i="8" s="1"/>
  <c r="F32" i="8"/>
  <c r="L32" i="8" s="1"/>
  <c r="E32" i="8"/>
  <c r="D32" i="8"/>
  <c r="J32" i="8" s="1"/>
  <c r="C32" i="8"/>
  <c r="I32" i="8" s="1"/>
  <c r="B32" i="8"/>
  <c r="H32" i="8" s="1"/>
  <c r="P31" i="8"/>
  <c r="Q31" i="8" s="1"/>
  <c r="N31" i="8"/>
  <c r="J31" i="8"/>
  <c r="G31" i="8"/>
  <c r="M31" i="8" s="1"/>
  <c r="F31" i="8"/>
  <c r="L31" i="8" s="1"/>
  <c r="E31" i="8"/>
  <c r="K31" i="8" s="1"/>
  <c r="D31" i="8"/>
  <c r="C31" i="8"/>
  <c r="I31" i="8" s="1"/>
  <c r="B31" i="8"/>
  <c r="H31" i="8" s="1"/>
  <c r="P30" i="8"/>
  <c r="Q30" i="8" s="1"/>
  <c r="N30" i="8"/>
  <c r="O30" i="8" s="1"/>
  <c r="I30" i="8"/>
  <c r="H30" i="8"/>
  <c r="G30" i="8"/>
  <c r="M30" i="8" s="1"/>
  <c r="F30" i="8"/>
  <c r="L30" i="8" s="1"/>
  <c r="E30" i="8"/>
  <c r="D30" i="8"/>
  <c r="J30" i="8" s="1"/>
  <c r="C30" i="8"/>
  <c r="B30" i="8"/>
  <c r="P29" i="8"/>
  <c r="Q29" i="8" s="1"/>
  <c r="N29" i="8"/>
  <c r="O29" i="8" s="1"/>
  <c r="G29" i="8"/>
  <c r="M29" i="8" s="1"/>
  <c r="F29" i="8"/>
  <c r="L29" i="8" s="1"/>
  <c r="E29" i="8"/>
  <c r="D29" i="8"/>
  <c r="J29" i="8" s="1"/>
  <c r="C29" i="8"/>
  <c r="I29" i="8" s="1"/>
  <c r="B29" i="8"/>
  <c r="H29" i="8" s="1"/>
  <c r="P28" i="8"/>
  <c r="Q28" i="8" s="1"/>
  <c r="N28" i="8"/>
  <c r="O28" i="8" s="1"/>
  <c r="J28" i="8"/>
  <c r="G28" i="8"/>
  <c r="M28" i="8" s="1"/>
  <c r="F28" i="8"/>
  <c r="E28" i="8"/>
  <c r="D28" i="8"/>
  <c r="C28" i="8"/>
  <c r="I28" i="8" s="1"/>
  <c r="B28" i="8"/>
  <c r="H28" i="8" s="1"/>
  <c r="P27" i="8"/>
  <c r="Q27" i="8" s="1"/>
  <c r="N27" i="8"/>
  <c r="O27" i="8" s="1"/>
  <c r="G27" i="8"/>
  <c r="M27" i="8" s="1"/>
  <c r="F27" i="8"/>
  <c r="L27" i="8" s="1"/>
  <c r="E27" i="8"/>
  <c r="K27" i="8" s="1"/>
  <c r="D27" i="8"/>
  <c r="J27" i="8" s="1"/>
  <c r="C27" i="8"/>
  <c r="I27" i="8" s="1"/>
  <c r="B27" i="8"/>
  <c r="H27" i="8" s="1"/>
  <c r="P26" i="8"/>
  <c r="Q26" i="8" s="1"/>
  <c r="N26" i="8"/>
  <c r="H26" i="8"/>
  <c r="G26" i="8"/>
  <c r="M26" i="8" s="1"/>
  <c r="F26" i="8"/>
  <c r="L26" i="8" s="1"/>
  <c r="E26" i="8"/>
  <c r="D26" i="8"/>
  <c r="J26" i="8" s="1"/>
  <c r="C26" i="8"/>
  <c r="I26" i="8" s="1"/>
  <c r="B26" i="8"/>
  <c r="P25" i="8"/>
  <c r="Q25" i="8" s="1"/>
  <c r="N25" i="8"/>
  <c r="O25" i="8" s="1"/>
  <c r="H25" i="8"/>
  <c r="G25" i="8"/>
  <c r="M25" i="8" s="1"/>
  <c r="F25" i="8"/>
  <c r="L25" i="8" s="1"/>
  <c r="E25" i="8"/>
  <c r="K25" i="8" s="1"/>
  <c r="D25" i="8"/>
  <c r="C25" i="8"/>
  <c r="I25" i="8" s="1"/>
  <c r="B25" i="8"/>
  <c r="P24" i="8"/>
  <c r="Q24" i="8" s="1"/>
  <c r="N24" i="8"/>
  <c r="O24" i="8" s="1"/>
  <c r="J24" i="8"/>
  <c r="G24" i="8"/>
  <c r="M24" i="8" s="1"/>
  <c r="F24" i="8"/>
  <c r="L24" i="8" s="1"/>
  <c r="E24" i="8"/>
  <c r="D24" i="8"/>
  <c r="C24" i="8"/>
  <c r="I24" i="8" s="1"/>
  <c r="B24" i="8"/>
  <c r="H24" i="8" s="1"/>
  <c r="P23" i="8"/>
  <c r="Q23" i="8" s="1"/>
  <c r="N23" i="8"/>
  <c r="O23" i="8" s="1"/>
  <c r="G23" i="8"/>
  <c r="M23" i="8" s="1"/>
  <c r="F23" i="8"/>
  <c r="E23" i="8"/>
  <c r="K23" i="8" s="1"/>
  <c r="D23" i="8"/>
  <c r="J23" i="8" s="1"/>
  <c r="C23" i="8"/>
  <c r="I23" i="8" s="1"/>
  <c r="B23" i="8"/>
  <c r="H23" i="8" s="1"/>
  <c r="P22" i="8"/>
  <c r="Q22" i="8" s="1"/>
  <c r="N22" i="8"/>
  <c r="O22" i="8" s="1"/>
  <c r="G22" i="8"/>
  <c r="M22" i="8" s="1"/>
  <c r="F22" i="8"/>
  <c r="L22" i="8" s="1"/>
  <c r="E22" i="8"/>
  <c r="D22" i="8"/>
  <c r="J22" i="8" s="1"/>
  <c r="C22" i="8"/>
  <c r="I22" i="8" s="1"/>
  <c r="B22" i="8"/>
  <c r="H22" i="8" s="1"/>
  <c r="P21" i="8"/>
  <c r="Q21" i="8" s="1"/>
  <c r="N21" i="8"/>
  <c r="H21" i="8"/>
  <c r="G21" i="8"/>
  <c r="M21" i="8" s="1"/>
  <c r="F21" i="8"/>
  <c r="L21" i="8" s="1"/>
  <c r="E21" i="8"/>
  <c r="K21" i="8" s="1"/>
  <c r="D21" i="8"/>
  <c r="J21" i="8" s="1"/>
  <c r="C21" i="8"/>
  <c r="I21" i="8" s="1"/>
  <c r="B21" i="8"/>
  <c r="P20" i="8"/>
  <c r="Q20" i="8" s="1"/>
  <c r="N20" i="8"/>
  <c r="O20" i="8" s="1"/>
  <c r="G20" i="8"/>
  <c r="M20" i="8" s="1"/>
  <c r="F20" i="8"/>
  <c r="L20" i="8" s="1"/>
  <c r="E20" i="8"/>
  <c r="D20" i="8"/>
  <c r="J20" i="8" s="1"/>
  <c r="C20" i="8"/>
  <c r="I20" i="8" s="1"/>
  <c r="B20" i="8"/>
  <c r="Q19" i="8"/>
  <c r="P19" i="8"/>
  <c r="N19" i="8"/>
  <c r="O19" i="8" s="1"/>
  <c r="J19" i="8"/>
  <c r="G19" i="8"/>
  <c r="M19" i="8" s="1"/>
  <c r="F19" i="8"/>
  <c r="L19" i="8" s="1"/>
  <c r="E19" i="8"/>
  <c r="K19" i="8" s="1"/>
  <c r="D19" i="8"/>
  <c r="C19" i="8"/>
  <c r="I19" i="8" s="1"/>
  <c r="B19" i="8"/>
  <c r="H19" i="8" s="1"/>
  <c r="P18" i="8"/>
  <c r="Q18" i="8" s="1"/>
  <c r="N18" i="8"/>
  <c r="O18" i="8" s="1"/>
  <c r="I18" i="8"/>
  <c r="H18" i="8"/>
  <c r="G18" i="8"/>
  <c r="M18" i="8" s="1"/>
  <c r="F18" i="8"/>
  <c r="E18" i="8"/>
  <c r="D18" i="8"/>
  <c r="J18" i="8" s="1"/>
  <c r="C18" i="8"/>
  <c r="B18" i="8"/>
  <c r="Q17" i="8"/>
  <c r="P17" i="8"/>
  <c r="N17" i="8"/>
  <c r="O17" i="8" s="1"/>
  <c r="G17" i="8"/>
  <c r="M17" i="8" s="1"/>
  <c r="F17" i="8"/>
  <c r="L17" i="8" s="1"/>
  <c r="E17" i="8"/>
  <c r="K17" i="8" s="1"/>
  <c r="D17" i="8"/>
  <c r="J17" i="8" s="1"/>
  <c r="C17" i="8"/>
  <c r="I17" i="8" s="1"/>
  <c r="B17" i="8"/>
  <c r="H17" i="8" s="1"/>
  <c r="P16" i="8"/>
  <c r="Q16" i="8" s="1"/>
  <c r="N16" i="8"/>
  <c r="J16" i="8"/>
  <c r="G16" i="8"/>
  <c r="M16" i="8" s="1"/>
  <c r="F16" i="8"/>
  <c r="L16" i="8" s="1"/>
  <c r="E16" i="8"/>
  <c r="D16" i="8"/>
  <c r="C16" i="8"/>
  <c r="I16" i="8" s="1"/>
  <c r="B16" i="8"/>
  <c r="H16" i="8" s="1"/>
  <c r="P15" i="8"/>
  <c r="Q15" i="8" s="1"/>
  <c r="N15" i="8"/>
  <c r="O15" i="8" s="1"/>
  <c r="J15" i="8"/>
  <c r="G15" i="8"/>
  <c r="M15" i="8" s="1"/>
  <c r="F15" i="8"/>
  <c r="L15" i="8" s="1"/>
  <c r="E15" i="8"/>
  <c r="K15" i="8" s="1"/>
  <c r="D15" i="8"/>
  <c r="C15" i="8"/>
  <c r="I15" i="8" s="1"/>
  <c r="B15" i="8"/>
  <c r="P14" i="8"/>
  <c r="Q14" i="8" s="1"/>
  <c r="N14" i="8"/>
  <c r="O14" i="8" s="1"/>
  <c r="G14" i="8"/>
  <c r="M14" i="8" s="1"/>
  <c r="F14" i="8"/>
  <c r="L14" i="8" s="1"/>
  <c r="E14" i="8"/>
  <c r="D14" i="8"/>
  <c r="C14" i="8"/>
  <c r="I14" i="8" s="1"/>
  <c r="B14" i="8"/>
  <c r="H14" i="8" s="1"/>
  <c r="P13" i="8"/>
  <c r="Q13" i="8" s="1"/>
  <c r="N13" i="8"/>
  <c r="O13" i="8" s="1"/>
  <c r="G13" i="8"/>
  <c r="M13" i="8" s="1"/>
  <c r="F13" i="8"/>
  <c r="L13" i="8" s="1"/>
  <c r="E13" i="8"/>
  <c r="D13" i="8"/>
  <c r="J13" i="8" s="1"/>
  <c r="C13" i="8"/>
  <c r="I13" i="8" s="1"/>
  <c r="B13" i="8"/>
  <c r="H13" i="8" s="1"/>
  <c r="P12" i="8"/>
  <c r="Q12" i="8" s="1"/>
  <c r="N12" i="8"/>
  <c r="O12" i="8" s="1"/>
  <c r="G12" i="8"/>
  <c r="M12" i="8" s="1"/>
  <c r="F12" i="8"/>
  <c r="E12" i="8"/>
  <c r="D12" i="8"/>
  <c r="J12" i="8" s="1"/>
  <c r="C12" i="8"/>
  <c r="I12" i="8" s="1"/>
  <c r="B12" i="8"/>
  <c r="H12" i="8" s="1"/>
  <c r="P11" i="8"/>
  <c r="Q11" i="8" s="1"/>
  <c r="N11" i="8"/>
  <c r="O11" i="8" s="1"/>
  <c r="G11" i="8"/>
  <c r="M11" i="8" s="1"/>
  <c r="F11" i="8"/>
  <c r="L11" i="8" s="1"/>
  <c r="E11" i="8"/>
  <c r="K11" i="8" s="1"/>
  <c r="D11" i="8"/>
  <c r="J11" i="8" s="1"/>
  <c r="C11" i="8"/>
  <c r="I11" i="8" s="1"/>
  <c r="B11" i="8"/>
  <c r="H11" i="8" s="1"/>
  <c r="Q10" i="8"/>
  <c r="P10" i="8"/>
  <c r="N10" i="8"/>
  <c r="O10" i="8" s="1"/>
  <c r="I10" i="8"/>
  <c r="G10" i="8"/>
  <c r="M10" i="8" s="1"/>
  <c r="F10" i="8"/>
  <c r="L10" i="8" s="1"/>
  <c r="E10" i="8"/>
  <c r="K10" i="8" s="1"/>
  <c r="D10" i="8"/>
  <c r="J10" i="8" s="1"/>
  <c r="C10" i="8"/>
  <c r="B10" i="8"/>
  <c r="H10" i="8" s="1"/>
  <c r="P9" i="8"/>
  <c r="Q9" i="8" s="1"/>
  <c r="N9" i="8"/>
  <c r="O9" i="8" s="1"/>
  <c r="G9" i="8"/>
  <c r="M9" i="8" s="1"/>
  <c r="F9" i="8"/>
  <c r="E9" i="8"/>
  <c r="K9" i="8" s="1"/>
  <c r="D9" i="8"/>
  <c r="J9" i="8" s="1"/>
  <c r="C9" i="8"/>
  <c r="I9" i="8" s="1"/>
  <c r="B9" i="8"/>
  <c r="H9" i="8" s="1"/>
  <c r="Q8" i="8"/>
  <c r="P8" i="8"/>
  <c r="N8" i="8"/>
  <c r="O8" i="8" s="1"/>
  <c r="I8" i="8"/>
  <c r="G8" i="8"/>
  <c r="M8" i="8" s="1"/>
  <c r="F8" i="8"/>
  <c r="L8" i="8" s="1"/>
  <c r="E8" i="8"/>
  <c r="K8" i="8" s="1"/>
  <c r="D8" i="8"/>
  <c r="J8" i="8" s="1"/>
  <c r="C8" i="8"/>
  <c r="B8" i="8"/>
  <c r="H8" i="8" s="1"/>
  <c r="P7" i="8"/>
  <c r="Q7" i="8" s="1"/>
  <c r="N7" i="8"/>
  <c r="O7" i="8" s="1"/>
  <c r="J7" i="8"/>
  <c r="G7" i="8"/>
  <c r="M7" i="8" s="1"/>
  <c r="F7" i="8"/>
  <c r="L7" i="8" s="1"/>
  <c r="E7" i="8"/>
  <c r="K7" i="8" s="1"/>
  <c r="D7" i="8"/>
  <c r="C7" i="8"/>
  <c r="I7" i="8" s="1"/>
  <c r="B7" i="8"/>
  <c r="H7" i="8" s="1"/>
  <c r="P6" i="8"/>
  <c r="Q6" i="8" s="1"/>
  <c r="N6" i="8"/>
  <c r="O6" i="8" s="1"/>
  <c r="J6" i="8"/>
  <c r="G6" i="8"/>
  <c r="M6" i="8" s="1"/>
  <c r="F6" i="8"/>
  <c r="L6" i="8" s="1"/>
  <c r="E6" i="8"/>
  <c r="K6" i="8" s="1"/>
  <c r="D6" i="8"/>
  <c r="C6" i="8"/>
  <c r="I6" i="8" s="1"/>
  <c r="B6" i="8"/>
  <c r="H6" i="8" s="1"/>
  <c r="P5" i="8"/>
  <c r="Q5" i="8" s="1"/>
  <c r="N5" i="8"/>
  <c r="J5" i="8"/>
  <c r="I5" i="8"/>
  <c r="G5" i="8"/>
  <c r="M5" i="8" s="1"/>
  <c r="F5" i="8"/>
  <c r="L5" i="8" s="1"/>
  <c r="E5" i="8"/>
  <c r="K5" i="8" s="1"/>
  <c r="D5" i="8"/>
  <c r="C5" i="8"/>
  <c r="B5" i="8"/>
  <c r="H5" i="8" s="1"/>
  <c r="P4" i="8"/>
  <c r="Q4" i="8" s="1"/>
  <c r="N4" i="8"/>
  <c r="O4" i="8" s="1"/>
  <c r="I4" i="8"/>
  <c r="G4" i="8"/>
  <c r="M4" i="8" s="1"/>
  <c r="F4" i="8"/>
  <c r="L4" i="8" s="1"/>
  <c r="E4" i="8"/>
  <c r="K4" i="8" s="1"/>
  <c r="D4" i="8"/>
  <c r="J4" i="8" s="1"/>
  <c r="C4" i="8"/>
  <c r="B4" i="8"/>
  <c r="H4" i="8" s="1"/>
  <c r="P3" i="8"/>
  <c r="Q3" i="8" s="1"/>
  <c r="N3" i="8"/>
  <c r="O3" i="8" s="1"/>
  <c r="G3" i="8"/>
  <c r="M3" i="8" s="1"/>
  <c r="F3" i="8"/>
  <c r="L3" i="8" s="1"/>
  <c r="E3" i="8"/>
  <c r="K3" i="8" s="1"/>
  <c r="D3" i="8"/>
  <c r="J3" i="8" s="1"/>
  <c r="C3" i="8"/>
  <c r="I3" i="8" s="1"/>
  <c r="B3" i="8"/>
  <c r="H3" i="8" s="1"/>
  <c r="Q2" i="8"/>
  <c r="P2" i="8"/>
  <c r="N2" i="8"/>
  <c r="O2" i="8" s="1"/>
  <c r="J2" i="8"/>
  <c r="G2" i="8"/>
  <c r="M2" i="8" s="1"/>
  <c r="F2" i="8"/>
  <c r="L2" i="8" s="1"/>
  <c r="E2" i="8"/>
  <c r="K2" i="8" s="1"/>
  <c r="D2" i="8"/>
  <c r="C2" i="8"/>
  <c r="I2" i="8" s="1"/>
  <c r="B2" i="8"/>
  <c r="H2" i="8" s="1"/>
  <c r="V393" i="7"/>
  <c r="U393" i="7"/>
  <c r="T393" i="7"/>
  <c r="S393" i="7"/>
  <c r="R393" i="7"/>
  <c r="Q393" i="7"/>
  <c r="P393" i="7"/>
  <c r="O393" i="7"/>
  <c r="K393" i="7"/>
  <c r="J393" i="7"/>
  <c r="I393" i="7"/>
  <c r="H393" i="7"/>
  <c r="G393" i="7"/>
  <c r="F393" i="7"/>
  <c r="E393" i="7"/>
  <c r="D393" i="7"/>
  <c r="C393" i="7"/>
  <c r="V392" i="7"/>
  <c r="U392" i="7"/>
  <c r="T392" i="7"/>
  <c r="S392" i="7"/>
  <c r="R392" i="7"/>
  <c r="Q392" i="7"/>
  <c r="P392" i="7"/>
  <c r="O392" i="7"/>
  <c r="K392" i="7"/>
  <c r="J392" i="7"/>
  <c r="I392" i="7"/>
  <c r="H392" i="7"/>
  <c r="G392" i="7"/>
  <c r="F392" i="7"/>
  <c r="E392" i="7"/>
  <c r="D392" i="7"/>
  <c r="C392" i="7"/>
  <c r="V391" i="7"/>
  <c r="U391" i="7"/>
  <c r="T391" i="7"/>
  <c r="S391" i="7"/>
  <c r="R391" i="7"/>
  <c r="Q391" i="7"/>
  <c r="P391" i="7"/>
  <c r="O391" i="7"/>
  <c r="K391" i="7"/>
  <c r="J391" i="7"/>
  <c r="I391" i="7"/>
  <c r="H391" i="7"/>
  <c r="G391" i="7"/>
  <c r="F391" i="7"/>
  <c r="E391" i="7"/>
  <c r="D391" i="7"/>
  <c r="C391" i="7"/>
  <c r="V390" i="7"/>
  <c r="U390" i="7"/>
  <c r="T390" i="7"/>
  <c r="S390" i="7"/>
  <c r="R390" i="7"/>
  <c r="Q390" i="7"/>
  <c r="P390" i="7"/>
  <c r="O390" i="7"/>
  <c r="K390" i="7"/>
  <c r="J390" i="7"/>
  <c r="I390" i="7"/>
  <c r="H390" i="7"/>
  <c r="G390" i="7"/>
  <c r="F390" i="7"/>
  <c r="E390" i="7"/>
  <c r="D390" i="7"/>
  <c r="C390" i="7"/>
  <c r="V389" i="7"/>
  <c r="U389" i="7"/>
  <c r="T389" i="7"/>
  <c r="S389" i="7"/>
  <c r="R389" i="7"/>
  <c r="Q389" i="7"/>
  <c r="P389" i="7"/>
  <c r="O389" i="7"/>
  <c r="K389" i="7"/>
  <c r="J389" i="7"/>
  <c r="I389" i="7"/>
  <c r="H389" i="7"/>
  <c r="G389" i="7"/>
  <c r="F389" i="7"/>
  <c r="E389" i="7"/>
  <c r="D389" i="7"/>
  <c r="C389" i="7"/>
  <c r="V388" i="7"/>
  <c r="U388" i="7"/>
  <c r="T388" i="7"/>
  <c r="S388" i="7"/>
  <c r="R388" i="7"/>
  <c r="Q388" i="7"/>
  <c r="P388" i="7"/>
  <c r="O388" i="7"/>
  <c r="K388" i="7"/>
  <c r="J388" i="7"/>
  <c r="I388" i="7"/>
  <c r="H388" i="7"/>
  <c r="G388" i="7"/>
  <c r="F388" i="7"/>
  <c r="E388" i="7"/>
  <c r="D388" i="7"/>
  <c r="C388" i="7"/>
  <c r="V387" i="7"/>
  <c r="U387" i="7"/>
  <c r="T387" i="7"/>
  <c r="S387" i="7"/>
  <c r="R387" i="7"/>
  <c r="Q387" i="7"/>
  <c r="P387" i="7"/>
  <c r="O387" i="7"/>
  <c r="K387" i="7"/>
  <c r="J387" i="7"/>
  <c r="I387" i="7"/>
  <c r="H387" i="7"/>
  <c r="G387" i="7"/>
  <c r="F387" i="7"/>
  <c r="E387" i="7"/>
  <c r="D387" i="7"/>
  <c r="C387" i="7"/>
  <c r="V386" i="7"/>
  <c r="U386" i="7"/>
  <c r="T386" i="7"/>
  <c r="S386" i="7"/>
  <c r="R386" i="7"/>
  <c r="Q386" i="7"/>
  <c r="P386" i="7"/>
  <c r="O386" i="7"/>
  <c r="K386" i="7"/>
  <c r="J386" i="7"/>
  <c r="I386" i="7"/>
  <c r="H386" i="7"/>
  <c r="G386" i="7"/>
  <c r="F386" i="7"/>
  <c r="E386" i="7"/>
  <c r="D386" i="7"/>
  <c r="C386" i="7"/>
  <c r="V385" i="7"/>
  <c r="U385" i="7"/>
  <c r="T385" i="7"/>
  <c r="S385" i="7"/>
  <c r="R385" i="7"/>
  <c r="Q385" i="7"/>
  <c r="P385" i="7"/>
  <c r="O385" i="7"/>
  <c r="K385" i="7"/>
  <c r="J385" i="7"/>
  <c r="I385" i="7"/>
  <c r="H385" i="7"/>
  <c r="G385" i="7"/>
  <c r="F385" i="7"/>
  <c r="E385" i="7"/>
  <c r="D385" i="7"/>
  <c r="C385" i="7"/>
  <c r="V384" i="7"/>
  <c r="U384" i="7"/>
  <c r="T384" i="7"/>
  <c r="S384" i="7"/>
  <c r="R384" i="7"/>
  <c r="Q384" i="7"/>
  <c r="P384" i="7"/>
  <c r="O384" i="7"/>
  <c r="K384" i="7"/>
  <c r="J384" i="7"/>
  <c r="I384" i="7"/>
  <c r="H384" i="7"/>
  <c r="G384" i="7"/>
  <c r="F384" i="7"/>
  <c r="E384" i="7"/>
  <c r="D384" i="7"/>
  <c r="C384" i="7"/>
  <c r="V383" i="7"/>
  <c r="U383" i="7"/>
  <c r="T383" i="7"/>
  <c r="S383" i="7"/>
  <c r="R383" i="7"/>
  <c r="Q383" i="7"/>
  <c r="P383" i="7"/>
  <c r="O383" i="7"/>
  <c r="K383" i="7"/>
  <c r="J383" i="7"/>
  <c r="I383" i="7"/>
  <c r="H383" i="7"/>
  <c r="G383" i="7"/>
  <c r="F383" i="7"/>
  <c r="E383" i="7"/>
  <c r="D383" i="7"/>
  <c r="C383" i="7"/>
  <c r="V382" i="7"/>
  <c r="U382" i="7"/>
  <c r="T382" i="7"/>
  <c r="S382" i="7"/>
  <c r="R382" i="7"/>
  <c r="Q382" i="7"/>
  <c r="P382" i="7"/>
  <c r="O382" i="7"/>
  <c r="K382" i="7"/>
  <c r="J382" i="7"/>
  <c r="I382" i="7"/>
  <c r="H382" i="7"/>
  <c r="G382" i="7"/>
  <c r="F382" i="7"/>
  <c r="E382" i="7"/>
  <c r="D382" i="7"/>
  <c r="C382" i="7"/>
  <c r="V381" i="7"/>
  <c r="U381" i="7"/>
  <c r="T381" i="7"/>
  <c r="S381" i="7"/>
  <c r="R381" i="7"/>
  <c r="Q381" i="7"/>
  <c r="P381" i="7"/>
  <c r="O381" i="7"/>
  <c r="K381" i="7"/>
  <c r="J381" i="7"/>
  <c r="I381" i="7"/>
  <c r="H381" i="7"/>
  <c r="G381" i="7"/>
  <c r="F381" i="7"/>
  <c r="E381" i="7"/>
  <c r="D381" i="7"/>
  <c r="C381" i="7"/>
  <c r="V380" i="7"/>
  <c r="U380" i="7"/>
  <c r="T380" i="7"/>
  <c r="S380" i="7"/>
  <c r="R380" i="7"/>
  <c r="Q380" i="7"/>
  <c r="P380" i="7"/>
  <c r="O380" i="7"/>
  <c r="K380" i="7"/>
  <c r="J380" i="7"/>
  <c r="I380" i="7"/>
  <c r="H380" i="7"/>
  <c r="G380" i="7"/>
  <c r="F380" i="7"/>
  <c r="E380" i="7"/>
  <c r="D380" i="7"/>
  <c r="C380" i="7"/>
  <c r="V379" i="7"/>
  <c r="U379" i="7"/>
  <c r="T379" i="7"/>
  <c r="S379" i="7"/>
  <c r="R379" i="7"/>
  <c r="Q379" i="7"/>
  <c r="P379" i="7"/>
  <c r="O379" i="7"/>
  <c r="K379" i="7"/>
  <c r="J379" i="7"/>
  <c r="I379" i="7"/>
  <c r="H379" i="7"/>
  <c r="G379" i="7"/>
  <c r="F379" i="7"/>
  <c r="E379" i="7"/>
  <c r="D379" i="7"/>
  <c r="C379" i="7"/>
  <c r="V378" i="7"/>
  <c r="U378" i="7"/>
  <c r="T378" i="7"/>
  <c r="S378" i="7"/>
  <c r="R378" i="7"/>
  <c r="Q378" i="7"/>
  <c r="P378" i="7"/>
  <c r="O378" i="7"/>
  <c r="K378" i="7"/>
  <c r="J378" i="7"/>
  <c r="I378" i="7"/>
  <c r="H378" i="7"/>
  <c r="G378" i="7"/>
  <c r="F378" i="7"/>
  <c r="E378" i="7"/>
  <c r="D378" i="7"/>
  <c r="C378" i="7"/>
  <c r="V377" i="7"/>
  <c r="U377" i="7"/>
  <c r="T377" i="7"/>
  <c r="S377" i="7"/>
  <c r="R377" i="7"/>
  <c r="Q377" i="7"/>
  <c r="P377" i="7"/>
  <c r="O377" i="7"/>
  <c r="K377" i="7"/>
  <c r="J377" i="7"/>
  <c r="I377" i="7"/>
  <c r="H377" i="7"/>
  <c r="G377" i="7"/>
  <c r="F377" i="7"/>
  <c r="E377" i="7"/>
  <c r="D377" i="7"/>
  <c r="C377" i="7"/>
  <c r="V376" i="7"/>
  <c r="U376" i="7"/>
  <c r="T376" i="7"/>
  <c r="S376" i="7"/>
  <c r="R376" i="7"/>
  <c r="Q376" i="7"/>
  <c r="P376" i="7"/>
  <c r="O376" i="7"/>
  <c r="K376" i="7"/>
  <c r="J376" i="7"/>
  <c r="I376" i="7"/>
  <c r="H376" i="7"/>
  <c r="G376" i="7"/>
  <c r="F376" i="7"/>
  <c r="E376" i="7"/>
  <c r="D376" i="7"/>
  <c r="C376" i="7"/>
  <c r="V375" i="7"/>
  <c r="U375" i="7"/>
  <c r="T375" i="7"/>
  <c r="S375" i="7"/>
  <c r="R375" i="7"/>
  <c r="Q375" i="7"/>
  <c r="P375" i="7"/>
  <c r="O375" i="7"/>
  <c r="K375" i="7"/>
  <c r="J375" i="7"/>
  <c r="I375" i="7"/>
  <c r="H375" i="7"/>
  <c r="G375" i="7"/>
  <c r="F375" i="7"/>
  <c r="E375" i="7"/>
  <c r="D375" i="7"/>
  <c r="C375" i="7"/>
  <c r="V374" i="7"/>
  <c r="U374" i="7"/>
  <c r="T374" i="7"/>
  <c r="S374" i="7"/>
  <c r="R374" i="7"/>
  <c r="Q374" i="7"/>
  <c r="P374" i="7"/>
  <c r="O374" i="7"/>
  <c r="M374" i="7"/>
  <c r="K374" i="7"/>
  <c r="J374" i="7"/>
  <c r="I374" i="7"/>
  <c r="H374" i="7"/>
  <c r="G374" i="7"/>
  <c r="F374" i="7"/>
  <c r="E374" i="7"/>
  <c r="D374" i="7"/>
  <c r="C374" i="7"/>
  <c r="V373" i="7"/>
  <c r="U373" i="7"/>
  <c r="T373" i="7"/>
  <c r="S373" i="7"/>
  <c r="R373" i="7"/>
  <c r="Q373" i="7"/>
  <c r="P373" i="7"/>
  <c r="O373" i="7"/>
  <c r="N373" i="7"/>
  <c r="M373" i="7"/>
  <c r="K373" i="7"/>
  <c r="J373" i="7"/>
  <c r="I373" i="7"/>
  <c r="H373" i="7"/>
  <c r="G373" i="7"/>
  <c r="F373" i="7"/>
  <c r="E373" i="7"/>
  <c r="D373" i="7"/>
  <c r="C373" i="7"/>
  <c r="V372" i="7"/>
  <c r="U372" i="7"/>
  <c r="T372" i="7"/>
  <c r="S372" i="7"/>
  <c r="R372" i="7"/>
  <c r="Q372" i="7"/>
  <c r="P372" i="7"/>
  <c r="O372" i="7"/>
  <c r="N372" i="7"/>
  <c r="M372" i="7"/>
  <c r="K372" i="7"/>
  <c r="J372" i="7"/>
  <c r="I372" i="7"/>
  <c r="H372" i="7"/>
  <c r="G372" i="7"/>
  <c r="F372" i="7"/>
  <c r="E372" i="7"/>
  <c r="D372" i="7"/>
  <c r="C372" i="7"/>
  <c r="V371" i="7"/>
  <c r="U371" i="7"/>
  <c r="T371" i="7"/>
  <c r="S371" i="7"/>
  <c r="R371" i="7"/>
  <c r="Q371" i="7"/>
  <c r="P371" i="7"/>
  <c r="O371" i="7"/>
  <c r="N371" i="7"/>
  <c r="M371" i="7"/>
  <c r="K371" i="7"/>
  <c r="J371" i="7"/>
  <c r="I371" i="7"/>
  <c r="H371" i="7"/>
  <c r="G371" i="7"/>
  <c r="F371" i="7"/>
  <c r="E371" i="7"/>
  <c r="D371" i="7"/>
  <c r="C371" i="7"/>
  <c r="V370" i="7"/>
  <c r="U370" i="7"/>
  <c r="T370" i="7"/>
  <c r="S370" i="7"/>
  <c r="R370" i="7"/>
  <c r="Q370" i="7"/>
  <c r="P370" i="7"/>
  <c r="O370" i="7"/>
  <c r="N370" i="7"/>
  <c r="M370" i="7"/>
  <c r="K370" i="7"/>
  <c r="J370" i="7"/>
  <c r="I370" i="7"/>
  <c r="H370" i="7"/>
  <c r="G370" i="7"/>
  <c r="F370" i="7"/>
  <c r="E370" i="7"/>
  <c r="D370" i="7"/>
  <c r="C370" i="7"/>
  <c r="V369" i="7"/>
  <c r="U369" i="7"/>
  <c r="T369" i="7"/>
  <c r="S369" i="7"/>
  <c r="R369" i="7"/>
  <c r="Q369" i="7"/>
  <c r="P369" i="7"/>
  <c r="O369" i="7"/>
  <c r="N369" i="7"/>
  <c r="M369" i="7"/>
  <c r="K369" i="7"/>
  <c r="J369" i="7"/>
  <c r="I369" i="7"/>
  <c r="H369" i="7"/>
  <c r="G369" i="7"/>
  <c r="F369" i="7"/>
  <c r="E369" i="7"/>
  <c r="D369" i="7"/>
  <c r="C369" i="7"/>
  <c r="V368" i="7"/>
  <c r="U368" i="7"/>
  <c r="T368" i="7"/>
  <c r="S368" i="7"/>
  <c r="R368" i="7"/>
  <c r="Q368" i="7"/>
  <c r="P368" i="7"/>
  <c r="O368" i="7"/>
  <c r="N368" i="7"/>
  <c r="M368" i="7"/>
  <c r="L368" i="7"/>
  <c r="K368" i="7"/>
  <c r="J368" i="7"/>
  <c r="I368" i="7"/>
  <c r="H368" i="7"/>
  <c r="G368" i="7"/>
  <c r="F368" i="7"/>
  <c r="E368" i="7"/>
  <c r="D368" i="7"/>
  <c r="C368" i="7"/>
  <c r="V367" i="7"/>
  <c r="U367" i="7"/>
  <c r="T367" i="7"/>
  <c r="S367" i="7"/>
  <c r="R367" i="7"/>
  <c r="Q367" i="7"/>
  <c r="P367" i="7"/>
  <c r="O367" i="7"/>
  <c r="N367" i="7"/>
  <c r="M367" i="7"/>
  <c r="L367" i="7"/>
  <c r="K367" i="7"/>
  <c r="J367" i="7"/>
  <c r="I367" i="7"/>
  <c r="H367" i="7"/>
  <c r="G367" i="7"/>
  <c r="F367" i="7"/>
  <c r="E367" i="7"/>
  <c r="D367" i="7"/>
  <c r="C367" i="7"/>
  <c r="V366" i="7"/>
  <c r="U366" i="7"/>
  <c r="T366" i="7"/>
  <c r="S366" i="7"/>
  <c r="R366" i="7"/>
  <c r="Q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D366" i="7"/>
  <c r="C366" i="7"/>
  <c r="V365" i="7"/>
  <c r="U365" i="7"/>
  <c r="T365" i="7"/>
  <c r="S365" i="7"/>
  <c r="R365" i="7"/>
  <c r="Q365" i="7"/>
  <c r="P365" i="7"/>
  <c r="O365" i="7"/>
  <c r="N365" i="7"/>
  <c r="M365" i="7"/>
  <c r="L365" i="7"/>
  <c r="K365" i="7"/>
  <c r="J365" i="7"/>
  <c r="I365" i="7"/>
  <c r="H365" i="7"/>
  <c r="G365" i="7"/>
  <c r="F365" i="7"/>
  <c r="E365" i="7"/>
  <c r="D365" i="7"/>
  <c r="C365" i="7"/>
  <c r="V364" i="7"/>
  <c r="U364" i="7"/>
  <c r="T364" i="7"/>
  <c r="S364" i="7"/>
  <c r="R364" i="7"/>
  <c r="Q364" i="7"/>
  <c r="P364" i="7"/>
  <c r="O364" i="7"/>
  <c r="N364" i="7"/>
  <c r="M364" i="7"/>
  <c r="L364" i="7"/>
  <c r="K364" i="7"/>
  <c r="J364" i="7"/>
  <c r="I364" i="7"/>
  <c r="H364" i="7"/>
  <c r="G364" i="7"/>
  <c r="F364" i="7"/>
  <c r="E364" i="7"/>
  <c r="D364" i="7"/>
  <c r="C364" i="7"/>
  <c r="V363" i="7"/>
  <c r="U363" i="7"/>
  <c r="T363" i="7"/>
  <c r="S363" i="7"/>
  <c r="R363" i="7"/>
  <c r="Q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D363" i="7"/>
  <c r="C363" i="7"/>
  <c r="V362" i="7"/>
  <c r="U362" i="7"/>
  <c r="T362" i="7"/>
  <c r="S362" i="7"/>
  <c r="R362" i="7"/>
  <c r="Q362" i="7"/>
  <c r="P362" i="7"/>
  <c r="O362" i="7"/>
  <c r="N362" i="7"/>
  <c r="M362" i="7"/>
  <c r="L362" i="7"/>
  <c r="K362" i="7"/>
  <c r="J362" i="7"/>
  <c r="I362" i="7"/>
  <c r="H362" i="7"/>
  <c r="G362" i="7"/>
  <c r="F362" i="7"/>
  <c r="E362" i="7"/>
  <c r="D362" i="7"/>
  <c r="C362" i="7"/>
  <c r="V361" i="7"/>
  <c r="U361" i="7"/>
  <c r="T361" i="7"/>
  <c r="S361" i="7"/>
  <c r="R361" i="7"/>
  <c r="Q361" i="7"/>
  <c r="P361" i="7"/>
  <c r="O361" i="7"/>
  <c r="N361" i="7"/>
  <c r="M361" i="7"/>
  <c r="L361" i="7"/>
  <c r="K361" i="7"/>
  <c r="J361" i="7"/>
  <c r="I361" i="7"/>
  <c r="H361" i="7"/>
  <c r="G361" i="7"/>
  <c r="F361" i="7"/>
  <c r="E361" i="7"/>
  <c r="D361" i="7"/>
  <c r="C361" i="7"/>
  <c r="V360" i="7"/>
  <c r="U360" i="7"/>
  <c r="T360" i="7"/>
  <c r="S360" i="7"/>
  <c r="R360" i="7"/>
  <c r="Q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D360" i="7"/>
  <c r="C360" i="7"/>
  <c r="V359" i="7"/>
  <c r="U359" i="7"/>
  <c r="T359" i="7"/>
  <c r="S359" i="7"/>
  <c r="R359" i="7"/>
  <c r="Q359" i="7"/>
  <c r="P359" i="7"/>
  <c r="O359" i="7"/>
  <c r="N359" i="7"/>
  <c r="M359" i="7"/>
  <c r="L359" i="7"/>
  <c r="K359" i="7"/>
  <c r="J359" i="7"/>
  <c r="I359" i="7"/>
  <c r="H359" i="7"/>
  <c r="G359" i="7"/>
  <c r="F359" i="7"/>
  <c r="E359" i="7"/>
  <c r="D359" i="7"/>
  <c r="C359" i="7"/>
  <c r="V358" i="7"/>
  <c r="U358" i="7"/>
  <c r="T358" i="7"/>
  <c r="S358" i="7"/>
  <c r="R358" i="7"/>
  <c r="Q358" i="7"/>
  <c r="P358" i="7"/>
  <c r="O358" i="7"/>
  <c r="N358" i="7"/>
  <c r="M358" i="7"/>
  <c r="L358" i="7"/>
  <c r="K358" i="7"/>
  <c r="J358" i="7"/>
  <c r="I358" i="7"/>
  <c r="H358" i="7"/>
  <c r="G358" i="7"/>
  <c r="F358" i="7"/>
  <c r="E358" i="7"/>
  <c r="D358" i="7"/>
  <c r="C358" i="7"/>
  <c r="V357" i="7"/>
  <c r="U357" i="7"/>
  <c r="T357" i="7"/>
  <c r="S357" i="7"/>
  <c r="R357" i="7"/>
  <c r="Q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D357" i="7"/>
  <c r="C357" i="7"/>
  <c r="V356" i="7"/>
  <c r="U356" i="7"/>
  <c r="T356" i="7"/>
  <c r="S356" i="7"/>
  <c r="R356" i="7"/>
  <c r="Q356" i="7"/>
  <c r="P356" i="7"/>
  <c r="O356" i="7"/>
  <c r="N356" i="7"/>
  <c r="M356" i="7"/>
  <c r="L356" i="7"/>
  <c r="K356" i="7"/>
  <c r="J356" i="7"/>
  <c r="I356" i="7"/>
  <c r="H356" i="7"/>
  <c r="G356" i="7"/>
  <c r="F356" i="7"/>
  <c r="E356" i="7"/>
  <c r="D356" i="7"/>
  <c r="C356" i="7"/>
  <c r="V355" i="7"/>
  <c r="U355" i="7"/>
  <c r="T355" i="7"/>
  <c r="S355" i="7"/>
  <c r="R355" i="7"/>
  <c r="Q355" i="7"/>
  <c r="P355" i="7"/>
  <c r="O355" i="7"/>
  <c r="N355" i="7"/>
  <c r="M355" i="7"/>
  <c r="L355" i="7"/>
  <c r="K355" i="7"/>
  <c r="J355" i="7"/>
  <c r="I355" i="7"/>
  <c r="H355" i="7"/>
  <c r="G355" i="7"/>
  <c r="F355" i="7"/>
  <c r="E355" i="7"/>
  <c r="D355" i="7"/>
  <c r="C355" i="7"/>
  <c r="V354" i="7"/>
  <c r="U354" i="7"/>
  <c r="T354" i="7"/>
  <c r="S354" i="7"/>
  <c r="R354" i="7"/>
  <c r="Q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D354" i="7"/>
  <c r="C354" i="7"/>
  <c r="V353" i="7"/>
  <c r="U353" i="7"/>
  <c r="T353" i="7"/>
  <c r="S353" i="7"/>
  <c r="R353" i="7"/>
  <c r="Q353" i="7"/>
  <c r="P353" i="7"/>
  <c r="O353" i="7"/>
  <c r="N353" i="7"/>
  <c r="M353" i="7"/>
  <c r="L353" i="7"/>
  <c r="K353" i="7"/>
  <c r="J353" i="7"/>
  <c r="I353" i="7"/>
  <c r="H353" i="7"/>
  <c r="G353" i="7"/>
  <c r="F353" i="7"/>
  <c r="E353" i="7"/>
  <c r="D353" i="7"/>
  <c r="C353" i="7"/>
  <c r="V352" i="7"/>
  <c r="U352" i="7"/>
  <c r="T352" i="7"/>
  <c r="S352" i="7"/>
  <c r="R352" i="7"/>
  <c r="Q352" i="7"/>
  <c r="P352" i="7"/>
  <c r="O352" i="7"/>
  <c r="N352" i="7"/>
  <c r="M352" i="7"/>
  <c r="L352" i="7"/>
  <c r="K352" i="7"/>
  <c r="J352" i="7"/>
  <c r="I352" i="7"/>
  <c r="H352" i="7"/>
  <c r="G352" i="7"/>
  <c r="F352" i="7"/>
  <c r="E352" i="7"/>
  <c r="D352" i="7"/>
  <c r="C352" i="7"/>
  <c r="V351" i="7"/>
  <c r="U351" i="7"/>
  <c r="T351" i="7"/>
  <c r="S351" i="7"/>
  <c r="R351" i="7"/>
  <c r="Q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D351" i="7"/>
  <c r="C351" i="7"/>
  <c r="V350" i="7"/>
  <c r="U350" i="7"/>
  <c r="T350" i="7"/>
  <c r="S350" i="7"/>
  <c r="R350" i="7"/>
  <c r="Q350" i="7"/>
  <c r="P350" i="7"/>
  <c r="O350" i="7"/>
  <c r="N350" i="7"/>
  <c r="M350" i="7"/>
  <c r="L350" i="7"/>
  <c r="K350" i="7"/>
  <c r="J350" i="7"/>
  <c r="I350" i="7"/>
  <c r="H350" i="7"/>
  <c r="G350" i="7"/>
  <c r="F350" i="7"/>
  <c r="E350" i="7"/>
  <c r="D350" i="7"/>
  <c r="C350" i="7"/>
  <c r="V349" i="7"/>
  <c r="U349" i="7"/>
  <c r="T349" i="7"/>
  <c r="S349" i="7"/>
  <c r="R349" i="7"/>
  <c r="Q349" i="7"/>
  <c r="P349" i="7"/>
  <c r="O349" i="7"/>
  <c r="N349" i="7"/>
  <c r="M349" i="7"/>
  <c r="L349" i="7"/>
  <c r="K349" i="7"/>
  <c r="J349" i="7"/>
  <c r="I349" i="7"/>
  <c r="H349" i="7"/>
  <c r="G349" i="7"/>
  <c r="F349" i="7"/>
  <c r="E349" i="7"/>
  <c r="D349" i="7"/>
  <c r="C349" i="7"/>
  <c r="V348" i="7"/>
  <c r="U348" i="7"/>
  <c r="T348" i="7"/>
  <c r="S348" i="7"/>
  <c r="R348" i="7"/>
  <c r="Q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D348" i="7"/>
  <c r="C348" i="7"/>
  <c r="V347" i="7"/>
  <c r="U347" i="7"/>
  <c r="T347" i="7"/>
  <c r="S347" i="7"/>
  <c r="R347" i="7"/>
  <c r="Q347" i="7"/>
  <c r="P347" i="7"/>
  <c r="O347" i="7"/>
  <c r="N347" i="7"/>
  <c r="M347" i="7"/>
  <c r="L347" i="7"/>
  <c r="K347" i="7"/>
  <c r="J347" i="7"/>
  <c r="I347" i="7"/>
  <c r="H347" i="7"/>
  <c r="G347" i="7"/>
  <c r="F347" i="7"/>
  <c r="E347" i="7"/>
  <c r="D347" i="7"/>
  <c r="C347" i="7"/>
  <c r="V346" i="7"/>
  <c r="U346" i="7"/>
  <c r="T346" i="7"/>
  <c r="S346" i="7"/>
  <c r="R346" i="7"/>
  <c r="Q346" i="7"/>
  <c r="P346" i="7"/>
  <c r="O346" i="7"/>
  <c r="N346" i="7"/>
  <c r="M346" i="7"/>
  <c r="L346" i="7"/>
  <c r="K346" i="7"/>
  <c r="J346" i="7"/>
  <c r="I346" i="7"/>
  <c r="H346" i="7"/>
  <c r="G346" i="7"/>
  <c r="F346" i="7"/>
  <c r="E346" i="7"/>
  <c r="D346" i="7"/>
  <c r="C346" i="7"/>
  <c r="V345" i="7"/>
  <c r="U345" i="7"/>
  <c r="T345" i="7"/>
  <c r="S345" i="7"/>
  <c r="R345" i="7"/>
  <c r="Q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D345" i="7"/>
  <c r="C345" i="7"/>
  <c r="V344" i="7"/>
  <c r="U344" i="7"/>
  <c r="T344" i="7"/>
  <c r="S344" i="7"/>
  <c r="R344" i="7"/>
  <c r="Q344" i="7"/>
  <c r="P344" i="7"/>
  <c r="O344" i="7"/>
  <c r="N344" i="7"/>
  <c r="M344" i="7"/>
  <c r="L344" i="7"/>
  <c r="K344" i="7"/>
  <c r="J344" i="7"/>
  <c r="I344" i="7"/>
  <c r="H344" i="7"/>
  <c r="G344" i="7"/>
  <c r="F344" i="7"/>
  <c r="E344" i="7"/>
  <c r="D344" i="7"/>
  <c r="C344" i="7"/>
  <c r="V343" i="7"/>
  <c r="U343" i="7"/>
  <c r="T343" i="7"/>
  <c r="S343" i="7"/>
  <c r="R343" i="7"/>
  <c r="Q343" i="7"/>
  <c r="P343" i="7"/>
  <c r="O343" i="7"/>
  <c r="N343" i="7"/>
  <c r="M343" i="7"/>
  <c r="L343" i="7"/>
  <c r="K343" i="7"/>
  <c r="J343" i="7"/>
  <c r="I343" i="7"/>
  <c r="H343" i="7"/>
  <c r="G343" i="7"/>
  <c r="F343" i="7"/>
  <c r="E343" i="7"/>
  <c r="D343" i="7"/>
  <c r="C343" i="7"/>
  <c r="V342" i="7"/>
  <c r="U342" i="7"/>
  <c r="T342" i="7"/>
  <c r="S342" i="7"/>
  <c r="R342" i="7"/>
  <c r="Q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D342" i="7"/>
  <c r="C342" i="7"/>
  <c r="V341" i="7"/>
  <c r="U341" i="7"/>
  <c r="T341" i="7"/>
  <c r="S341" i="7"/>
  <c r="R341" i="7"/>
  <c r="Q341" i="7"/>
  <c r="P341" i="7"/>
  <c r="O341" i="7"/>
  <c r="N341" i="7"/>
  <c r="M341" i="7"/>
  <c r="L341" i="7"/>
  <c r="K341" i="7"/>
  <c r="J341" i="7"/>
  <c r="I341" i="7"/>
  <c r="H341" i="7"/>
  <c r="G341" i="7"/>
  <c r="F341" i="7"/>
  <c r="E341" i="7"/>
  <c r="D341" i="7"/>
  <c r="C341" i="7"/>
  <c r="V340" i="7"/>
  <c r="U340" i="7"/>
  <c r="T340" i="7"/>
  <c r="S340" i="7"/>
  <c r="R340" i="7"/>
  <c r="Q340" i="7"/>
  <c r="P340" i="7"/>
  <c r="O340" i="7"/>
  <c r="N340" i="7"/>
  <c r="M340" i="7"/>
  <c r="L340" i="7"/>
  <c r="K340" i="7"/>
  <c r="J340" i="7"/>
  <c r="I340" i="7"/>
  <c r="H340" i="7"/>
  <c r="G340" i="7"/>
  <c r="F340" i="7"/>
  <c r="E340" i="7"/>
  <c r="D340" i="7"/>
  <c r="C340" i="7"/>
  <c r="V339" i="7"/>
  <c r="U339" i="7"/>
  <c r="T339" i="7"/>
  <c r="S339" i="7"/>
  <c r="R339" i="7"/>
  <c r="Q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D339" i="7"/>
  <c r="C339" i="7"/>
  <c r="V338" i="7"/>
  <c r="U338" i="7"/>
  <c r="T338" i="7"/>
  <c r="S338" i="7"/>
  <c r="R338" i="7"/>
  <c r="Q338" i="7"/>
  <c r="P338" i="7"/>
  <c r="O338" i="7"/>
  <c r="N338" i="7"/>
  <c r="M338" i="7"/>
  <c r="L338" i="7"/>
  <c r="K338" i="7"/>
  <c r="J338" i="7"/>
  <c r="I338" i="7"/>
  <c r="H338" i="7"/>
  <c r="G338" i="7"/>
  <c r="F338" i="7"/>
  <c r="E338" i="7"/>
  <c r="D338" i="7"/>
  <c r="C338" i="7"/>
  <c r="V337" i="7"/>
  <c r="U337" i="7"/>
  <c r="T337" i="7"/>
  <c r="S337" i="7"/>
  <c r="R337" i="7"/>
  <c r="Q337" i="7"/>
  <c r="P337" i="7"/>
  <c r="O337" i="7"/>
  <c r="N337" i="7"/>
  <c r="M337" i="7"/>
  <c r="L337" i="7"/>
  <c r="K337" i="7"/>
  <c r="J337" i="7"/>
  <c r="I337" i="7"/>
  <c r="H337" i="7"/>
  <c r="G337" i="7"/>
  <c r="F337" i="7"/>
  <c r="E337" i="7"/>
  <c r="D337" i="7"/>
  <c r="C337" i="7"/>
  <c r="V336" i="7"/>
  <c r="U336" i="7"/>
  <c r="T336" i="7"/>
  <c r="S336" i="7"/>
  <c r="R336" i="7"/>
  <c r="Q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D336" i="7"/>
  <c r="C336" i="7"/>
  <c r="V335" i="7"/>
  <c r="U335" i="7"/>
  <c r="T335" i="7"/>
  <c r="S335" i="7"/>
  <c r="R335" i="7"/>
  <c r="Q335" i="7"/>
  <c r="P335" i="7"/>
  <c r="O335" i="7"/>
  <c r="N335" i="7"/>
  <c r="M335" i="7"/>
  <c r="L335" i="7"/>
  <c r="K335" i="7"/>
  <c r="J335" i="7"/>
  <c r="I335" i="7"/>
  <c r="H335" i="7"/>
  <c r="G335" i="7"/>
  <c r="F335" i="7"/>
  <c r="E335" i="7"/>
  <c r="D335" i="7"/>
  <c r="C335" i="7"/>
  <c r="V334" i="7"/>
  <c r="U334" i="7"/>
  <c r="T334" i="7"/>
  <c r="S334" i="7"/>
  <c r="R334" i="7"/>
  <c r="Q334" i="7"/>
  <c r="P334" i="7"/>
  <c r="O334" i="7"/>
  <c r="N334" i="7"/>
  <c r="M334" i="7"/>
  <c r="L334" i="7"/>
  <c r="K334" i="7"/>
  <c r="J334" i="7"/>
  <c r="I334" i="7"/>
  <c r="H334" i="7"/>
  <c r="G334" i="7"/>
  <c r="F334" i="7"/>
  <c r="E334" i="7"/>
  <c r="D334" i="7"/>
  <c r="C334" i="7"/>
  <c r="V333" i="7"/>
  <c r="U333" i="7"/>
  <c r="T333" i="7"/>
  <c r="S333" i="7"/>
  <c r="R333" i="7"/>
  <c r="Q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D333" i="7"/>
  <c r="C333" i="7"/>
  <c r="V332" i="7"/>
  <c r="U332" i="7"/>
  <c r="T332" i="7"/>
  <c r="S332" i="7"/>
  <c r="R332" i="7"/>
  <c r="Q332" i="7"/>
  <c r="P332" i="7"/>
  <c r="O332" i="7"/>
  <c r="N332" i="7"/>
  <c r="M332" i="7"/>
  <c r="L332" i="7"/>
  <c r="K332" i="7"/>
  <c r="J332" i="7"/>
  <c r="I332" i="7"/>
  <c r="H332" i="7"/>
  <c r="G332" i="7"/>
  <c r="F332" i="7"/>
  <c r="E332" i="7"/>
  <c r="D332" i="7"/>
  <c r="C332" i="7"/>
  <c r="V331" i="7"/>
  <c r="U331" i="7"/>
  <c r="T331" i="7"/>
  <c r="S331" i="7"/>
  <c r="R331" i="7"/>
  <c r="Q331" i="7"/>
  <c r="P331" i="7"/>
  <c r="O331" i="7"/>
  <c r="N331" i="7"/>
  <c r="M331" i="7"/>
  <c r="L331" i="7"/>
  <c r="K331" i="7"/>
  <c r="J331" i="7"/>
  <c r="I331" i="7"/>
  <c r="H331" i="7"/>
  <c r="G331" i="7"/>
  <c r="F331" i="7"/>
  <c r="E331" i="7"/>
  <c r="D331" i="7"/>
  <c r="C331" i="7"/>
  <c r="V330" i="7"/>
  <c r="U330" i="7"/>
  <c r="T330" i="7"/>
  <c r="S330" i="7"/>
  <c r="R330" i="7"/>
  <c r="Q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D330" i="7"/>
  <c r="C330" i="7"/>
  <c r="V329" i="7"/>
  <c r="U329" i="7"/>
  <c r="T329" i="7"/>
  <c r="S329" i="7"/>
  <c r="R329" i="7"/>
  <c r="Q329" i="7"/>
  <c r="P329" i="7"/>
  <c r="O329" i="7"/>
  <c r="N329" i="7"/>
  <c r="M329" i="7"/>
  <c r="L329" i="7"/>
  <c r="K329" i="7"/>
  <c r="J329" i="7"/>
  <c r="I329" i="7"/>
  <c r="H329" i="7"/>
  <c r="G329" i="7"/>
  <c r="F329" i="7"/>
  <c r="E329" i="7"/>
  <c r="D329" i="7"/>
  <c r="C329" i="7"/>
  <c r="V328" i="7"/>
  <c r="U328" i="7"/>
  <c r="T328" i="7"/>
  <c r="S328" i="7"/>
  <c r="R328" i="7"/>
  <c r="Q328" i="7"/>
  <c r="P328" i="7"/>
  <c r="O328" i="7"/>
  <c r="N328" i="7"/>
  <c r="M328" i="7"/>
  <c r="L328" i="7"/>
  <c r="K328" i="7"/>
  <c r="J328" i="7"/>
  <c r="I328" i="7"/>
  <c r="H328" i="7"/>
  <c r="G328" i="7"/>
  <c r="F328" i="7"/>
  <c r="E328" i="7"/>
  <c r="D328" i="7"/>
  <c r="C328" i="7"/>
  <c r="V327" i="7"/>
  <c r="U327" i="7"/>
  <c r="T327" i="7"/>
  <c r="S327" i="7"/>
  <c r="R327" i="7"/>
  <c r="Q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D327" i="7"/>
  <c r="C327" i="7"/>
  <c r="V326" i="7"/>
  <c r="U326" i="7"/>
  <c r="T326" i="7"/>
  <c r="S326" i="7"/>
  <c r="R326" i="7"/>
  <c r="Q326" i="7"/>
  <c r="P326" i="7"/>
  <c r="O326" i="7"/>
  <c r="N326" i="7"/>
  <c r="M326" i="7"/>
  <c r="L326" i="7"/>
  <c r="K326" i="7"/>
  <c r="J326" i="7"/>
  <c r="I326" i="7"/>
  <c r="H326" i="7"/>
  <c r="G326" i="7"/>
  <c r="F326" i="7"/>
  <c r="E326" i="7"/>
  <c r="D326" i="7"/>
  <c r="C326" i="7"/>
  <c r="V325" i="7"/>
  <c r="U325" i="7"/>
  <c r="T325" i="7"/>
  <c r="S325" i="7"/>
  <c r="R325" i="7"/>
  <c r="Q325" i="7"/>
  <c r="P325" i="7"/>
  <c r="O325" i="7"/>
  <c r="N325" i="7"/>
  <c r="M325" i="7"/>
  <c r="L325" i="7"/>
  <c r="K325" i="7"/>
  <c r="J325" i="7"/>
  <c r="I325" i="7"/>
  <c r="H325" i="7"/>
  <c r="G325" i="7"/>
  <c r="F325" i="7"/>
  <c r="E325" i="7"/>
  <c r="D325" i="7"/>
  <c r="C325" i="7"/>
  <c r="V324" i="7"/>
  <c r="U324" i="7"/>
  <c r="T324" i="7"/>
  <c r="S324" i="7"/>
  <c r="R324" i="7"/>
  <c r="Q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D324" i="7"/>
  <c r="C324" i="7"/>
  <c r="V323" i="7"/>
  <c r="U323" i="7"/>
  <c r="T323" i="7"/>
  <c r="S323" i="7"/>
  <c r="R323" i="7"/>
  <c r="Q323" i="7"/>
  <c r="P323" i="7"/>
  <c r="O323" i="7"/>
  <c r="N323" i="7"/>
  <c r="M323" i="7"/>
  <c r="L323" i="7"/>
  <c r="K323" i="7"/>
  <c r="J323" i="7"/>
  <c r="I323" i="7"/>
  <c r="H323" i="7"/>
  <c r="G323" i="7"/>
  <c r="F323" i="7"/>
  <c r="E323" i="7"/>
  <c r="D323" i="7"/>
  <c r="C323" i="7"/>
  <c r="V322" i="7"/>
  <c r="U322" i="7"/>
  <c r="T322" i="7"/>
  <c r="S322" i="7"/>
  <c r="R322" i="7"/>
  <c r="Q322" i="7"/>
  <c r="P322" i="7"/>
  <c r="O322" i="7"/>
  <c r="N322" i="7"/>
  <c r="M322" i="7"/>
  <c r="L322" i="7"/>
  <c r="K322" i="7"/>
  <c r="J322" i="7"/>
  <c r="I322" i="7"/>
  <c r="H322" i="7"/>
  <c r="G322" i="7"/>
  <c r="F322" i="7"/>
  <c r="E322" i="7"/>
  <c r="D322" i="7"/>
  <c r="C322" i="7"/>
  <c r="V321" i="7"/>
  <c r="U321" i="7"/>
  <c r="T321" i="7"/>
  <c r="S321" i="7"/>
  <c r="R321" i="7"/>
  <c r="Q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D321" i="7"/>
  <c r="C321" i="7"/>
  <c r="V320" i="7"/>
  <c r="U320" i="7"/>
  <c r="T320" i="7"/>
  <c r="S320" i="7"/>
  <c r="R320" i="7"/>
  <c r="Q320" i="7"/>
  <c r="P320" i="7"/>
  <c r="O320" i="7"/>
  <c r="N320" i="7"/>
  <c r="M320" i="7"/>
  <c r="L320" i="7"/>
  <c r="K320" i="7"/>
  <c r="J320" i="7"/>
  <c r="I320" i="7"/>
  <c r="H320" i="7"/>
  <c r="G320" i="7"/>
  <c r="F320" i="7"/>
  <c r="E320" i="7"/>
  <c r="D320" i="7"/>
  <c r="C320" i="7"/>
  <c r="V319" i="7"/>
  <c r="U319" i="7"/>
  <c r="T319" i="7"/>
  <c r="S319" i="7"/>
  <c r="R319" i="7"/>
  <c r="Q319" i="7"/>
  <c r="P319" i="7"/>
  <c r="O319" i="7"/>
  <c r="N319" i="7"/>
  <c r="M319" i="7"/>
  <c r="L319" i="7"/>
  <c r="K319" i="7"/>
  <c r="J319" i="7"/>
  <c r="I319" i="7"/>
  <c r="H319" i="7"/>
  <c r="G319" i="7"/>
  <c r="F319" i="7"/>
  <c r="E319" i="7"/>
  <c r="D319" i="7"/>
  <c r="C319" i="7"/>
  <c r="V318" i="7"/>
  <c r="U318" i="7"/>
  <c r="T318" i="7"/>
  <c r="S318" i="7"/>
  <c r="R318" i="7"/>
  <c r="Q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D318" i="7"/>
  <c r="C318" i="7"/>
  <c r="V317" i="7"/>
  <c r="U317" i="7"/>
  <c r="T317" i="7"/>
  <c r="S317" i="7"/>
  <c r="R317" i="7"/>
  <c r="Q317" i="7"/>
  <c r="P317" i="7"/>
  <c r="O317" i="7"/>
  <c r="N317" i="7"/>
  <c r="M317" i="7"/>
  <c r="L317" i="7"/>
  <c r="K317" i="7"/>
  <c r="J317" i="7"/>
  <c r="I317" i="7"/>
  <c r="H317" i="7"/>
  <c r="G317" i="7"/>
  <c r="F317" i="7"/>
  <c r="E317" i="7"/>
  <c r="D317" i="7"/>
  <c r="C317" i="7"/>
  <c r="V316" i="7"/>
  <c r="U316" i="7"/>
  <c r="T316" i="7"/>
  <c r="S316" i="7"/>
  <c r="R316" i="7"/>
  <c r="Q316" i="7"/>
  <c r="P316" i="7"/>
  <c r="O316" i="7"/>
  <c r="N316" i="7"/>
  <c r="M316" i="7"/>
  <c r="L316" i="7"/>
  <c r="K316" i="7"/>
  <c r="J316" i="7"/>
  <c r="I316" i="7"/>
  <c r="H316" i="7"/>
  <c r="G316" i="7"/>
  <c r="F316" i="7"/>
  <c r="E316" i="7"/>
  <c r="D316" i="7"/>
  <c r="C316" i="7"/>
  <c r="V315" i="7"/>
  <c r="U315" i="7"/>
  <c r="T315" i="7"/>
  <c r="S315" i="7"/>
  <c r="R315" i="7"/>
  <c r="Q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D315" i="7"/>
  <c r="C315" i="7"/>
  <c r="V314" i="7"/>
  <c r="U314" i="7"/>
  <c r="T314" i="7"/>
  <c r="S314" i="7"/>
  <c r="R314" i="7"/>
  <c r="Q314" i="7"/>
  <c r="P314" i="7"/>
  <c r="O314" i="7"/>
  <c r="N314" i="7"/>
  <c r="M314" i="7"/>
  <c r="L314" i="7"/>
  <c r="K314" i="7"/>
  <c r="J314" i="7"/>
  <c r="I314" i="7"/>
  <c r="H314" i="7"/>
  <c r="G314" i="7"/>
  <c r="F314" i="7"/>
  <c r="E314" i="7"/>
  <c r="D314" i="7"/>
  <c r="C314" i="7"/>
  <c r="V313" i="7"/>
  <c r="U313" i="7"/>
  <c r="T313" i="7"/>
  <c r="S313" i="7"/>
  <c r="R313" i="7"/>
  <c r="Q313" i="7"/>
  <c r="P313" i="7"/>
  <c r="O313" i="7"/>
  <c r="N313" i="7"/>
  <c r="M313" i="7"/>
  <c r="L313" i="7"/>
  <c r="K313" i="7"/>
  <c r="J313" i="7"/>
  <c r="I313" i="7"/>
  <c r="H313" i="7"/>
  <c r="G313" i="7"/>
  <c r="F313" i="7"/>
  <c r="E313" i="7"/>
  <c r="D313" i="7"/>
  <c r="C313" i="7"/>
  <c r="V312" i="7"/>
  <c r="U312" i="7"/>
  <c r="T312" i="7"/>
  <c r="S312" i="7"/>
  <c r="R312" i="7"/>
  <c r="Q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D312" i="7"/>
  <c r="C312" i="7"/>
  <c r="V311" i="7"/>
  <c r="U311" i="7"/>
  <c r="T311" i="7"/>
  <c r="S311" i="7"/>
  <c r="R311" i="7"/>
  <c r="Q311" i="7"/>
  <c r="P311" i="7"/>
  <c r="O311" i="7"/>
  <c r="N311" i="7"/>
  <c r="M311" i="7"/>
  <c r="L311" i="7"/>
  <c r="K311" i="7"/>
  <c r="J311" i="7"/>
  <c r="I311" i="7"/>
  <c r="H311" i="7"/>
  <c r="G311" i="7"/>
  <c r="F311" i="7"/>
  <c r="E311" i="7"/>
  <c r="D311" i="7"/>
  <c r="C311" i="7"/>
  <c r="V310" i="7"/>
  <c r="U310" i="7"/>
  <c r="T310" i="7"/>
  <c r="S310" i="7"/>
  <c r="R310" i="7"/>
  <c r="Q310" i="7"/>
  <c r="P310" i="7"/>
  <c r="O310" i="7"/>
  <c r="N310" i="7"/>
  <c r="M310" i="7"/>
  <c r="L310" i="7"/>
  <c r="K310" i="7"/>
  <c r="J310" i="7"/>
  <c r="I310" i="7"/>
  <c r="H310" i="7"/>
  <c r="G310" i="7"/>
  <c r="F310" i="7"/>
  <c r="E310" i="7"/>
  <c r="D310" i="7"/>
  <c r="C310" i="7"/>
  <c r="V309" i="7"/>
  <c r="U309" i="7"/>
  <c r="T309" i="7"/>
  <c r="S309" i="7"/>
  <c r="R309" i="7"/>
  <c r="Q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D309" i="7"/>
  <c r="C309" i="7"/>
  <c r="V308" i="7"/>
  <c r="U308" i="7"/>
  <c r="T308" i="7"/>
  <c r="S308" i="7"/>
  <c r="R308" i="7"/>
  <c r="Q308" i="7"/>
  <c r="P308" i="7"/>
  <c r="O308" i="7"/>
  <c r="N308" i="7"/>
  <c r="M308" i="7"/>
  <c r="L308" i="7"/>
  <c r="K308" i="7"/>
  <c r="J308" i="7"/>
  <c r="I308" i="7"/>
  <c r="H308" i="7"/>
  <c r="G308" i="7"/>
  <c r="F308" i="7"/>
  <c r="E308" i="7"/>
  <c r="D308" i="7"/>
  <c r="C308" i="7"/>
  <c r="V307" i="7"/>
  <c r="U307" i="7"/>
  <c r="T307" i="7"/>
  <c r="S307" i="7"/>
  <c r="R307" i="7"/>
  <c r="Q307" i="7"/>
  <c r="P307" i="7"/>
  <c r="O307" i="7"/>
  <c r="N307" i="7"/>
  <c r="M307" i="7"/>
  <c r="L307" i="7"/>
  <c r="K307" i="7"/>
  <c r="J307" i="7"/>
  <c r="I307" i="7"/>
  <c r="H307" i="7"/>
  <c r="G307" i="7"/>
  <c r="F307" i="7"/>
  <c r="E307" i="7"/>
  <c r="D307" i="7"/>
  <c r="C307" i="7"/>
  <c r="V306" i="7"/>
  <c r="U306" i="7"/>
  <c r="T306" i="7"/>
  <c r="S306" i="7"/>
  <c r="R306" i="7"/>
  <c r="Q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D306" i="7"/>
  <c r="C306" i="7"/>
  <c r="V305" i="7"/>
  <c r="U305" i="7"/>
  <c r="T305" i="7"/>
  <c r="S305" i="7"/>
  <c r="R305" i="7"/>
  <c r="Q305" i="7"/>
  <c r="P305" i="7"/>
  <c r="O305" i="7"/>
  <c r="N305" i="7"/>
  <c r="M305" i="7"/>
  <c r="L305" i="7"/>
  <c r="K305" i="7"/>
  <c r="J305" i="7"/>
  <c r="I305" i="7"/>
  <c r="H305" i="7"/>
  <c r="G305" i="7"/>
  <c r="F305" i="7"/>
  <c r="E305" i="7"/>
  <c r="D305" i="7"/>
  <c r="C305" i="7"/>
  <c r="V304" i="7"/>
  <c r="U304" i="7"/>
  <c r="T304" i="7"/>
  <c r="S304" i="7"/>
  <c r="R304" i="7"/>
  <c r="Q304" i="7"/>
  <c r="P304" i="7"/>
  <c r="O304" i="7"/>
  <c r="N304" i="7"/>
  <c r="M304" i="7"/>
  <c r="L304" i="7"/>
  <c r="K304" i="7"/>
  <c r="J304" i="7"/>
  <c r="I304" i="7"/>
  <c r="H304" i="7"/>
  <c r="G304" i="7"/>
  <c r="F304" i="7"/>
  <c r="E304" i="7"/>
  <c r="D304" i="7"/>
  <c r="C304" i="7"/>
  <c r="V303" i="7"/>
  <c r="U303" i="7"/>
  <c r="T303" i="7"/>
  <c r="S303" i="7"/>
  <c r="R303" i="7"/>
  <c r="Q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D303" i="7"/>
  <c r="C303" i="7"/>
  <c r="V302" i="7"/>
  <c r="U302" i="7"/>
  <c r="T302" i="7"/>
  <c r="S302" i="7"/>
  <c r="R302" i="7"/>
  <c r="Q302" i="7"/>
  <c r="P302" i="7"/>
  <c r="O302" i="7"/>
  <c r="N302" i="7"/>
  <c r="M302" i="7"/>
  <c r="L302" i="7"/>
  <c r="K302" i="7"/>
  <c r="J302" i="7"/>
  <c r="I302" i="7"/>
  <c r="H302" i="7"/>
  <c r="G302" i="7"/>
  <c r="F302" i="7"/>
  <c r="E302" i="7"/>
  <c r="D302" i="7"/>
  <c r="C302" i="7"/>
  <c r="V301" i="7"/>
  <c r="U301" i="7"/>
  <c r="T301" i="7"/>
  <c r="S301" i="7"/>
  <c r="R301" i="7"/>
  <c r="Q301" i="7"/>
  <c r="P301" i="7"/>
  <c r="O301" i="7"/>
  <c r="N301" i="7"/>
  <c r="M301" i="7"/>
  <c r="L301" i="7"/>
  <c r="K301" i="7"/>
  <c r="J301" i="7"/>
  <c r="I301" i="7"/>
  <c r="H301" i="7"/>
  <c r="G301" i="7"/>
  <c r="F301" i="7"/>
  <c r="E301" i="7"/>
  <c r="D301" i="7"/>
  <c r="C301" i="7"/>
  <c r="V300" i="7"/>
  <c r="U300" i="7"/>
  <c r="T300" i="7"/>
  <c r="S300" i="7"/>
  <c r="R300" i="7"/>
  <c r="Q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D300" i="7"/>
  <c r="C300" i="7"/>
  <c r="V299" i="7"/>
  <c r="U299" i="7"/>
  <c r="T299" i="7"/>
  <c r="S299" i="7"/>
  <c r="R299" i="7"/>
  <c r="Q299" i="7"/>
  <c r="P299" i="7"/>
  <c r="O299" i="7"/>
  <c r="N299" i="7"/>
  <c r="M299" i="7"/>
  <c r="L299" i="7"/>
  <c r="K299" i="7"/>
  <c r="J299" i="7"/>
  <c r="I299" i="7"/>
  <c r="H299" i="7"/>
  <c r="G299" i="7"/>
  <c r="F299" i="7"/>
  <c r="E299" i="7"/>
  <c r="D299" i="7"/>
  <c r="C299" i="7"/>
  <c r="V298" i="7"/>
  <c r="U298" i="7"/>
  <c r="T298" i="7"/>
  <c r="S298" i="7"/>
  <c r="R298" i="7"/>
  <c r="Q298" i="7"/>
  <c r="P298" i="7"/>
  <c r="O298" i="7"/>
  <c r="N298" i="7"/>
  <c r="M298" i="7"/>
  <c r="L298" i="7"/>
  <c r="K298" i="7"/>
  <c r="J298" i="7"/>
  <c r="I298" i="7"/>
  <c r="H298" i="7"/>
  <c r="G298" i="7"/>
  <c r="F298" i="7"/>
  <c r="E298" i="7"/>
  <c r="D298" i="7"/>
  <c r="C298" i="7"/>
  <c r="V297" i="7"/>
  <c r="U297" i="7"/>
  <c r="T297" i="7"/>
  <c r="S297" i="7"/>
  <c r="R297" i="7"/>
  <c r="Q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D297" i="7"/>
  <c r="C297" i="7"/>
  <c r="V296" i="7"/>
  <c r="U296" i="7"/>
  <c r="T296" i="7"/>
  <c r="S296" i="7"/>
  <c r="R296" i="7"/>
  <c r="Q296" i="7"/>
  <c r="P296" i="7"/>
  <c r="O296" i="7"/>
  <c r="N296" i="7"/>
  <c r="M296" i="7"/>
  <c r="L296" i="7"/>
  <c r="K296" i="7"/>
  <c r="J296" i="7"/>
  <c r="I296" i="7"/>
  <c r="H296" i="7"/>
  <c r="G296" i="7"/>
  <c r="F296" i="7"/>
  <c r="E296" i="7"/>
  <c r="D296" i="7"/>
  <c r="C296" i="7"/>
  <c r="V295" i="7"/>
  <c r="U295" i="7"/>
  <c r="T295" i="7"/>
  <c r="S295" i="7"/>
  <c r="R295" i="7"/>
  <c r="Q295" i="7"/>
  <c r="P295" i="7"/>
  <c r="O295" i="7"/>
  <c r="N295" i="7"/>
  <c r="M295" i="7"/>
  <c r="L295" i="7"/>
  <c r="K295" i="7"/>
  <c r="J295" i="7"/>
  <c r="I295" i="7"/>
  <c r="H295" i="7"/>
  <c r="G295" i="7"/>
  <c r="F295" i="7"/>
  <c r="E295" i="7"/>
  <c r="D295" i="7"/>
  <c r="C295" i="7"/>
  <c r="V294" i="7"/>
  <c r="U294" i="7"/>
  <c r="T294" i="7"/>
  <c r="S294" i="7"/>
  <c r="R294" i="7"/>
  <c r="Q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D294" i="7"/>
  <c r="C294" i="7"/>
  <c r="V293" i="7"/>
  <c r="U293" i="7"/>
  <c r="T293" i="7"/>
  <c r="S293" i="7"/>
  <c r="R293" i="7"/>
  <c r="Q293" i="7"/>
  <c r="P293" i="7"/>
  <c r="O293" i="7"/>
  <c r="N293" i="7"/>
  <c r="M293" i="7"/>
  <c r="L293" i="7"/>
  <c r="K293" i="7"/>
  <c r="J293" i="7"/>
  <c r="I293" i="7"/>
  <c r="H293" i="7"/>
  <c r="G293" i="7"/>
  <c r="F293" i="7"/>
  <c r="E293" i="7"/>
  <c r="D293" i="7"/>
  <c r="C293" i="7"/>
  <c r="V292" i="7"/>
  <c r="U292" i="7"/>
  <c r="T292" i="7"/>
  <c r="S292" i="7"/>
  <c r="R292" i="7"/>
  <c r="Q292" i="7"/>
  <c r="P292" i="7"/>
  <c r="O292" i="7"/>
  <c r="N292" i="7"/>
  <c r="M292" i="7"/>
  <c r="L292" i="7"/>
  <c r="K292" i="7"/>
  <c r="J292" i="7"/>
  <c r="I292" i="7"/>
  <c r="H292" i="7"/>
  <c r="G292" i="7"/>
  <c r="F292" i="7"/>
  <c r="E292" i="7"/>
  <c r="D292" i="7"/>
  <c r="C292" i="7"/>
  <c r="V291" i="7"/>
  <c r="U291" i="7"/>
  <c r="T291" i="7"/>
  <c r="S291" i="7"/>
  <c r="R291" i="7"/>
  <c r="Q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D291" i="7"/>
  <c r="C291" i="7"/>
  <c r="V290" i="7"/>
  <c r="U290" i="7"/>
  <c r="T290" i="7"/>
  <c r="S290" i="7"/>
  <c r="R290" i="7"/>
  <c r="Q290" i="7"/>
  <c r="P290" i="7"/>
  <c r="O290" i="7"/>
  <c r="N290" i="7"/>
  <c r="M290" i="7"/>
  <c r="L290" i="7"/>
  <c r="K290" i="7"/>
  <c r="J290" i="7"/>
  <c r="I290" i="7"/>
  <c r="H290" i="7"/>
  <c r="G290" i="7"/>
  <c r="F290" i="7"/>
  <c r="E290" i="7"/>
  <c r="D290" i="7"/>
  <c r="C290" i="7"/>
  <c r="V289" i="7"/>
  <c r="U289" i="7"/>
  <c r="T289" i="7"/>
  <c r="S289" i="7"/>
  <c r="R289" i="7"/>
  <c r="Q289" i="7"/>
  <c r="P289" i="7"/>
  <c r="O289" i="7"/>
  <c r="N289" i="7"/>
  <c r="M289" i="7"/>
  <c r="L289" i="7"/>
  <c r="K289" i="7"/>
  <c r="J289" i="7"/>
  <c r="I289" i="7"/>
  <c r="H289" i="7"/>
  <c r="G289" i="7"/>
  <c r="F289" i="7"/>
  <c r="E289" i="7"/>
  <c r="D289" i="7"/>
  <c r="C289" i="7"/>
  <c r="V288" i="7"/>
  <c r="U288" i="7"/>
  <c r="T288" i="7"/>
  <c r="S288" i="7"/>
  <c r="R288" i="7"/>
  <c r="Q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D288" i="7"/>
  <c r="C288" i="7"/>
  <c r="V287" i="7"/>
  <c r="U287" i="7"/>
  <c r="T287" i="7"/>
  <c r="S287" i="7"/>
  <c r="R287" i="7"/>
  <c r="Q287" i="7"/>
  <c r="P287" i="7"/>
  <c r="O287" i="7"/>
  <c r="N287" i="7"/>
  <c r="M287" i="7"/>
  <c r="L287" i="7"/>
  <c r="K287" i="7"/>
  <c r="J287" i="7"/>
  <c r="I287" i="7"/>
  <c r="H287" i="7"/>
  <c r="G287" i="7"/>
  <c r="F287" i="7"/>
  <c r="E287" i="7"/>
  <c r="D287" i="7"/>
  <c r="C287" i="7"/>
  <c r="V286" i="7"/>
  <c r="U286" i="7"/>
  <c r="T286" i="7"/>
  <c r="S286" i="7"/>
  <c r="R286" i="7"/>
  <c r="Q286" i="7"/>
  <c r="P286" i="7"/>
  <c r="O286" i="7"/>
  <c r="N286" i="7"/>
  <c r="M286" i="7"/>
  <c r="L286" i="7"/>
  <c r="K286" i="7"/>
  <c r="J286" i="7"/>
  <c r="I286" i="7"/>
  <c r="H286" i="7"/>
  <c r="G286" i="7"/>
  <c r="F286" i="7"/>
  <c r="E286" i="7"/>
  <c r="D286" i="7"/>
  <c r="C286" i="7"/>
  <c r="V285" i="7"/>
  <c r="U285" i="7"/>
  <c r="T285" i="7"/>
  <c r="S285" i="7"/>
  <c r="R285" i="7"/>
  <c r="Q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D285" i="7"/>
  <c r="C285" i="7"/>
  <c r="V284" i="7"/>
  <c r="U284" i="7"/>
  <c r="T284" i="7"/>
  <c r="S284" i="7"/>
  <c r="R284" i="7"/>
  <c r="Q284" i="7"/>
  <c r="P284" i="7"/>
  <c r="O284" i="7"/>
  <c r="N284" i="7"/>
  <c r="M284" i="7"/>
  <c r="L284" i="7"/>
  <c r="K284" i="7"/>
  <c r="J284" i="7"/>
  <c r="I284" i="7"/>
  <c r="H284" i="7"/>
  <c r="G284" i="7"/>
  <c r="F284" i="7"/>
  <c r="E284" i="7"/>
  <c r="D284" i="7"/>
  <c r="C284" i="7"/>
  <c r="V283" i="7"/>
  <c r="U283" i="7"/>
  <c r="T283" i="7"/>
  <c r="S283" i="7"/>
  <c r="R283" i="7"/>
  <c r="Q283" i="7"/>
  <c r="P283" i="7"/>
  <c r="O283" i="7"/>
  <c r="N283" i="7"/>
  <c r="M283" i="7"/>
  <c r="L283" i="7"/>
  <c r="K283" i="7"/>
  <c r="J283" i="7"/>
  <c r="I283" i="7"/>
  <c r="H283" i="7"/>
  <c r="G283" i="7"/>
  <c r="F283" i="7"/>
  <c r="E283" i="7"/>
  <c r="D283" i="7"/>
  <c r="C283" i="7"/>
  <c r="V282" i="7"/>
  <c r="U282" i="7"/>
  <c r="T282" i="7"/>
  <c r="S282" i="7"/>
  <c r="R282" i="7"/>
  <c r="Q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D282" i="7"/>
  <c r="C282" i="7"/>
  <c r="V281" i="7"/>
  <c r="U281" i="7"/>
  <c r="T281" i="7"/>
  <c r="S281" i="7"/>
  <c r="R281" i="7"/>
  <c r="Q281" i="7"/>
  <c r="P281" i="7"/>
  <c r="O281" i="7"/>
  <c r="N281" i="7"/>
  <c r="M281" i="7"/>
  <c r="L281" i="7"/>
  <c r="K281" i="7"/>
  <c r="J281" i="7"/>
  <c r="I281" i="7"/>
  <c r="H281" i="7"/>
  <c r="G281" i="7"/>
  <c r="F281" i="7"/>
  <c r="E281" i="7"/>
  <c r="D281" i="7"/>
  <c r="C281" i="7"/>
  <c r="V280" i="7"/>
  <c r="U280" i="7"/>
  <c r="T280" i="7"/>
  <c r="S280" i="7"/>
  <c r="R280" i="7"/>
  <c r="Q280" i="7"/>
  <c r="P280" i="7"/>
  <c r="O280" i="7"/>
  <c r="N280" i="7"/>
  <c r="M280" i="7"/>
  <c r="L280" i="7"/>
  <c r="K280" i="7"/>
  <c r="J280" i="7"/>
  <c r="I280" i="7"/>
  <c r="H280" i="7"/>
  <c r="G280" i="7"/>
  <c r="F280" i="7"/>
  <c r="E280" i="7"/>
  <c r="D280" i="7"/>
  <c r="C280" i="7"/>
  <c r="V279" i="7"/>
  <c r="U279" i="7"/>
  <c r="T279" i="7"/>
  <c r="S279" i="7"/>
  <c r="R279" i="7"/>
  <c r="Q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D279" i="7"/>
  <c r="C279" i="7"/>
  <c r="V278" i="7"/>
  <c r="U278" i="7"/>
  <c r="T278" i="7"/>
  <c r="S278" i="7"/>
  <c r="R278" i="7"/>
  <c r="Q278" i="7"/>
  <c r="P278" i="7"/>
  <c r="O278" i="7"/>
  <c r="N278" i="7"/>
  <c r="M278" i="7"/>
  <c r="L278" i="7"/>
  <c r="K278" i="7"/>
  <c r="J278" i="7"/>
  <c r="I278" i="7"/>
  <c r="H278" i="7"/>
  <c r="G278" i="7"/>
  <c r="F278" i="7"/>
  <c r="E278" i="7"/>
  <c r="D278" i="7"/>
  <c r="C278" i="7"/>
  <c r="V277" i="7"/>
  <c r="U277" i="7"/>
  <c r="T277" i="7"/>
  <c r="S277" i="7"/>
  <c r="R277" i="7"/>
  <c r="Q277" i="7"/>
  <c r="P277" i="7"/>
  <c r="O277" i="7"/>
  <c r="N277" i="7"/>
  <c r="M277" i="7"/>
  <c r="L277" i="7"/>
  <c r="K277" i="7"/>
  <c r="J277" i="7"/>
  <c r="I277" i="7"/>
  <c r="H277" i="7"/>
  <c r="G277" i="7"/>
  <c r="F277" i="7"/>
  <c r="E277" i="7"/>
  <c r="D277" i="7"/>
  <c r="C277" i="7"/>
  <c r="V276" i="7"/>
  <c r="U276" i="7"/>
  <c r="T276" i="7"/>
  <c r="S276" i="7"/>
  <c r="R276" i="7"/>
  <c r="Q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D276" i="7"/>
  <c r="C276" i="7"/>
  <c r="V275" i="7"/>
  <c r="U275" i="7"/>
  <c r="T275" i="7"/>
  <c r="S275" i="7"/>
  <c r="R275" i="7"/>
  <c r="Q275" i="7"/>
  <c r="P275" i="7"/>
  <c r="O275" i="7"/>
  <c r="N275" i="7"/>
  <c r="M275" i="7"/>
  <c r="L275" i="7"/>
  <c r="K275" i="7"/>
  <c r="J275" i="7"/>
  <c r="I275" i="7"/>
  <c r="H275" i="7"/>
  <c r="G275" i="7"/>
  <c r="F275" i="7"/>
  <c r="E275" i="7"/>
  <c r="D275" i="7"/>
  <c r="C275" i="7"/>
  <c r="V274" i="7"/>
  <c r="U274" i="7"/>
  <c r="T274" i="7"/>
  <c r="S274" i="7"/>
  <c r="R274" i="7"/>
  <c r="Q274" i="7"/>
  <c r="P274" i="7"/>
  <c r="O274" i="7"/>
  <c r="N274" i="7"/>
  <c r="M274" i="7"/>
  <c r="L274" i="7"/>
  <c r="K274" i="7"/>
  <c r="J274" i="7"/>
  <c r="I274" i="7"/>
  <c r="H274" i="7"/>
  <c r="G274" i="7"/>
  <c r="F274" i="7"/>
  <c r="E274" i="7"/>
  <c r="D274" i="7"/>
  <c r="C274" i="7"/>
  <c r="V273" i="7"/>
  <c r="U273" i="7"/>
  <c r="T273" i="7"/>
  <c r="S273" i="7"/>
  <c r="R273" i="7"/>
  <c r="Q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D273" i="7"/>
  <c r="C273" i="7"/>
  <c r="V272" i="7"/>
  <c r="U272" i="7"/>
  <c r="T272" i="7"/>
  <c r="S272" i="7"/>
  <c r="R272" i="7"/>
  <c r="Q272" i="7"/>
  <c r="P272" i="7"/>
  <c r="O272" i="7"/>
  <c r="N272" i="7"/>
  <c r="M272" i="7"/>
  <c r="L272" i="7"/>
  <c r="K272" i="7"/>
  <c r="J272" i="7"/>
  <c r="I272" i="7"/>
  <c r="H272" i="7"/>
  <c r="G272" i="7"/>
  <c r="F272" i="7"/>
  <c r="E272" i="7"/>
  <c r="D272" i="7"/>
  <c r="C272" i="7"/>
  <c r="V271" i="7"/>
  <c r="U271" i="7"/>
  <c r="T271" i="7"/>
  <c r="S271" i="7"/>
  <c r="R271" i="7"/>
  <c r="Q271" i="7"/>
  <c r="P271" i="7"/>
  <c r="O271" i="7"/>
  <c r="N271" i="7"/>
  <c r="M271" i="7"/>
  <c r="L271" i="7"/>
  <c r="K271" i="7"/>
  <c r="J271" i="7"/>
  <c r="I271" i="7"/>
  <c r="H271" i="7"/>
  <c r="G271" i="7"/>
  <c r="F271" i="7"/>
  <c r="E271" i="7"/>
  <c r="D271" i="7"/>
  <c r="C271" i="7"/>
  <c r="V270" i="7"/>
  <c r="U270" i="7"/>
  <c r="T270" i="7"/>
  <c r="S270" i="7"/>
  <c r="R270" i="7"/>
  <c r="Q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D270" i="7"/>
  <c r="C270" i="7"/>
  <c r="V269" i="7"/>
  <c r="U269" i="7"/>
  <c r="T269" i="7"/>
  <c r="S269" i="7"/>
  <c r="R269" i="7"/>
  <c r="Q269" i="7"/>
  <c r="P269" i="7"/>
  <c r="O269" i="7"/>
  <c r="N269" i="7"/>
  <c r="M269" i="7"/>
  <c r="L269" i="7"/>
  <c r="K269" i="7"/>
  <c r="J269" i="7"/>
  <c r="I269" i="7"/>
  <c r="H269" i="7"/>
  <c r="G269" i="7"/>
  <c r="F269" i="7"/>
  <c r="E269" i="7"/>
  <c r="D269" i="7"/>
  <c r="C269" i="7"/>
  <c r="V268" i="7"/>
  <c r="U268" i="7"/>
  <c r="T268" i="7"/>
  <c r="S268" i="7"/>
  <c r="R268" i="7"/>
  <c r="Q268" i="7"/>
  <c r="P268" i="7"/>
  <c r="O268" i="7"/>
  <c r="N268" i="7"/>
  <c r="M268" i="7"/>
  <c r="L268" i="7"/>
  <c r="K268" i="7"/>
  <c r="J268" i="7"/>
  <c r="I268" i="7"/>
  <c r="H268" i="7"/>
  <c r="G268" i="7"/>
  <c r="F268" i="7"/>
  <c r="E268" i="7"/>
  <c r="D268" i="7"/>
  <c r="C268" i="7"/>
  <c r="V267" i="7"/>
  <c r="U267" i="7"/>
  <c r="T267" i="7"/>
  <c r="S267" i="7"/>
  <c r="R267" i="7"/>
  <c r="Q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D267" i="7"/>
  <c r="C267" i="7"/>
  <c r="V266" i="7"/>
  <c r="U266" i="7"/>
  <c r="T266" i="7"/>
  <c r="S266" i="7"/>
  <c r="R266" i="7"/>
  <c r="Q266" i="7"/>
  <c r="P266" i="7"/>
  <c r="O266" i="7"/>
  <c r="N266" i="7"/>
  <c r="M266" i="7"/>
  <c r="L266" i="7"/>
  <c r="K266" i="7"/>
  <c r="J266" i="7"/>
  <c r="I266" i="7"/>
  <c r="H266" i="7"/>
  <c r="G266" i="7"/>
  <c r="F266" i="7"/>
  <c r="E266" i="7"/>
  <c r="D266" i="7"/>
  <c r="C266" i="7"/>
  <c r="V265" i="7"/>
  <c r="U265" i="7"/>
  <c r="T265" i="7"/>
  <c r="S265" i="7"/>
  <c r="R265" i="7"/>
  <c r="Q265" i="7"/>
  <c r="P265" i="7"/>
  <c r="O265" i="7"/>
  <c r="N265" i="7"/>
  <c r="M265" i="7"/>
  <c r="L265" i="7"/>
  <c r="K265" i="7"/>
  <c r="J265" i="7"/>
  <c r="I265" i="7"/>
  <c r="H265" i="7"/>
  <c r="G265" i="7"/>
  <c r="F265" i="7"/>
  <c r="E265" i="7"/>
  <c r="D265" i="7"/>
  <c r="C265" i="7"/>
  <c r="V264" i="7"/>
  <c r="U264" i="7"/>
  <c r="T264" i="7"/>
  <c r="S264" i="7"/>
  <c r="R264" i="7"/>
  <c r="Q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D264" i="7"/>
  <c r="C264" i="7"/>
  <c r="V263" i="7"/>
  <c r="U263" i="7"/>
  <c r="T263" i="7"/>
  <c r="S263" i="7"/>
  <c r="R263" i="7"/>
  <c r="Q263" i="7"/>
  <c r="P263" i="7"/>
  <c r="O263" i="7"/>
  <c r="N263" i="7"/>
  <c r="M263" i="7"/>
  <c r="L263" i="7"/>
  <c r="K263" i="7"/>
  <c r="J263" i="7"/>
  <c r="I263" i="7"/>
  <c r="H263" i="7"/>
  <c r="G263" i="7"/>
  <c r="F263" i="7"/>
  <c r="E263" i="7"/>
  <c r="D263" i="7"/>
  <c r="C263" i="7"/>
  <c r="V262" i="7"/>
  <c r="U262" i="7"/>
  <c r="T262" i="7"/>
  <c r="S262" i="7"/>
  <c r="R262" i="7"/>
  <c r="Q262" i="7"/>
  <c r="P262" i="7"/>
  <c r="O262" i="7"/>
  <c r="N262" i="7"/>
  <c r="M262" i="7"/>
  <c r="L262" i="7"/>
  <c r="K262" i="7"/>
  <c r="J262" i="7"/>
  <c r="I262" i="7"/>
  <c r="H262" i="7"/>
  <c r="G262" i="7"/>
  <c r="F262" i="7"/>
  <c r="E262" i="7"/>
  <c r="D262" i="7"/>
  <c r="C262" i="7"/>
  <c r="V261" i="7"/>
  <c r="U261" i="7"/>
  <c r="T261" i="7"/>
  <c r="S261" i="7"/>
  <c r="R261" i="7"/>
  <c r="Q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D261" i="7"/>
  <c r="C261" i="7"/>
  <c r="V260" i="7"/>
  <c r="U260" i="7"/>
  <c r="T260" i="7"/>
  <c r="S260" i="7"/>
  <c r="R260" i="7"/>
  <c r="Q260" i="7"/>
  <c r="P260" i="7"/>
  <c r="O260" i="7"/>
  <c r="N260" i="7"/>
  <c r="M260" i="7"/>
  <c r="L260" i="7"/>
  <c r="K260" i="7"/>
  <c r="J260" i="7"/>
  <c r="I260" i="7"/>
  <c r="H260" i="7"/>
  <c r="G260" i="7"/>
  <c r="F260" i="7"/>
  <c r="E260" i="7"/>
  <c r="D260" i="7"/>
  <c r="C260" i="7"/>
  <c r="V259" i="7"/>
  <c r="U259" i="7"/>
  <c r="T259" i="7"/>
  <c r="S259" i="7"/>
  <c r="R259" i="7"/>
  <c r="Q259" i="7"/>
  <c r="P259" i="7"/>
  <c r="O259" i="7"/>
  <c r="N259" i="7"/>
  <c r="M259" i="7"/>
  <c r="L259" i="7"/>
  <c r="K259" i="7"/>
  <c r="J259" i="7"/>
  <c r="I259" i="7"/>
  <c r="H259" i="7"/>
  <c r="G259" i="7"/>
  <c r="F259" i="7"/>
  <c r="E259" i="7"/>
  <c r="D259" i="7"/>
  <c r="C259" i="7"/>
  <c r="V258" i="7"/>
  <c r="U258" i="7"/>
  <c r="T258" i="7"/>
  <c r="S258" i="7"/>
  <c r="R258" i="7"/>
  <c r="Q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D258" i="7"/>
  <c r="C258" i="7"/>
  <c r="V257" i="7"/>
  <c r="U257" i="7"/>
  <c r="T257" i="7"/>
  <c r="S257" i="7"/>
  <c r="R257" i="7"/>
  <c r="Q257" i="7"/>
  <c r="P257" i="7"/>
  <c r="O257" i="7"/>
  <c r="N257" i="7"/>
  <c r="M257" i="7"/>
  <c r="L257" i="7"/>
  <c r="K257" i="7"/>
  <c r="J257" i="7"/>
  <c r="I257" i="7"/>
  <c r="H257" i="7"/>
  <c r="G257" i="7"/>
  <c r="F257" i="7"/>
  <c r="E257" i="7"/>
  <c r="D257" i="7"/>
  <c r="C257" i="7"/>
  <c r="V256" i="7"/>
  <c r="U256" i="7"/>
  <c r="T256" i="7"/>
  <c r="S256" i="7"/>
  <c r="R256" i="7"/>
  <c r="Q256" i="7"/>
  <c r="P256" i="7"/>
  <c r="O256" i="7"/>
  <c r="N256" i="7"/>
  <c r="M256" i="7"/>
  <c r="L256" i="7"/>
  <c r="K256" i="7"/>
  <c r="J256" i="7"/>
  <c r="I256" i="7"/>
  <c r="H256" i="7"/>
  <c r="G256" i="7"/>
  <c r="F256" i="7"/>
  <c r="E256" i="7"/>
  <c r="D256" i="7"/>
  <c r="C256" i="7"/>
  <c r="V255" i="7"/>
  <c r="U255" i="7"/>
  <c r="T255" i="7"/>
  <c r="S255" i="7"/>
  <c r="R255" i="7"/>
  <c r="Q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D255" i="7"/>
  <c r="C255" i="7"/>
  <c r="V254" i="7"/>
  <c r="U254" i="7"/>
  <c r="T254" i="7"/>
  <c r="S254" i="7"/>
  <c r="R254" i="7"/>
  <c r="Q254" i="7"/>
  <c r="P254" i="7"/>
  <c r="O254" i="7"/>
  <c r="N254" i="7"/>
  <c r="M254" i="7"/>
  <c r="L254" i="7"/>
  <c r="K254" i="7"/>
  <c r="J254" i="7"/>
  <c r="I254" i="7"/>
  <c r="H254" i="7"/>
  <c r="G254" i="7"/>
  <c r="F254" i="7"/>
  <c r="E254" i="7"/>
  <c r="D254" i="7"/>
  <c r="C254" i="7"/>
  <c r="V253" i="7"/>
  <c r="U253" i="7"/>
  <c r="T253" i="7"/>
  <c r="S253" i="7"/>
  <c r="R253" i="7"/>
  <c r="Q253" i="7"/>
  <c r="P253" i="7"/>
  <c r="O253" i="7"/>
  <c r="N253" i="7"/>
  <c r="M253" i="7"/>
  <c r="L253" i="7"/>
  <c r="K253" i="7"/>
  <c r="J253" i="7"/>
  <c r="I253" i="7"/>
  <c r="H253" i="7"/>
  <c r="G253" i="7"/>
  <c r="F253" i="7"/>
  <c r="E253" i="7"/>
  <c r="D253" i="7"/>
  <c r="C253" i="7"/>
  <c r="V252" i="7"/>
  <c r="U252" i="7"/>
  <c r="T252" i="7"/>
  <c r="S252" i="7"/>
  <c r="R252" i="7"/>
  <c r="Q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D252" i="7"/>
  <c r="C252" i="7"/>
  <c r="V251" i="7"/>
  <c r="U251" i="7"/>
  <c r="T251" i="7"/>
  <c r="S251" i="7"/>
  <c r="R251" i="7"/>
  <c r="Q251" i="7"/>
  <c r="P251" i="7"/>
  <c r="O251" i="7"/>
  <c r="N251" i="7"/>
  <c r="M251" i="7"/>
  <c r="L251" i="7"/>
  <c r="K251" i="7"/>
  <c r="J251" i="7"/>
  <c r="I251" i="7"/>
  <c r="H251" i="7"/>
  <c r="G251" i="7"/>
  <c r="F251" i="7"/>
  <c r="E251" i="7"/>
  <c r="D251" i="7"/>
  <c r="C251" i="7"/>
  <c r="V250" i="7"/>
  <c r="U250" i="7"/>
  <c r="T250" i="7"/>
  <c r="S250" i="7"/>
  <c r="R250" i="7"/>
  <c r="Q250" i="7"/>
  <c r="P250" i="7"/>
  <c r="O250" i="7"/>
  <c r="N250" i="7"/>
  <c r="M250" i="7"/>
  <c r="L250" i="7"/>
  <c r="K250" i="7"/>
  <c r="J250" i="7"/>
  <c r="I250" i="7"/>
  <c r="H250" i="7"/>
  <c r="G250" i="7"/>
  <c r="F250" i="7"/>
  <c r="E250" i="7"/>
  <c r="D250" i="7"/>
  <c r="C250" i="7"/>
  <c r="V249" i="7"/>
  <c r="U249" i="7"/>
  <c r="T249" i="7"/>
  <c r="S249" i="7"/>
  <c r="R249" i="7"/>
  <c r="Q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D249" i="7"/>
  <c r="C249" i="7"/>
  <c r="V248" i="7"/>
  <c r="U248" i="7"/>
  <c r="T248" i="7"/>
  <c r="S248" i="7"/>
  <c r="R248" i="7"/>
  <c r="Q248" i="7"/>
  <c r="P248" i="7"/>
  <c r="O248" i="7"/>
  <c r="N248" i="7"/>
  <c r="M248" i="7"/>
  <c r="L248" i="7"/>
  <c r="K248" i="7"/>
  <c r="J248" i="7"/>
  <c r="I248" i="7"/>
  <c r="H248" i="7"/>
  <c r="G248" i="7"/>
  <c r="F248" i="7"/>
  <c r="E248" i="7"/>
  <c r="D248" i="7"/>
  <c r="C248" i="7"/>
  <c r="V247" i="7"/>
  <c r="U247" i="7"/>
  <c r="T247" i="7"/>
  <c r="S247" i="7"/>
  <c r="R247" i="7"/>
  <c r="Q247" i="7"/>
  <c r="P247" i="7"/>
  <c r="O247" i="7"/>
  <c r="N247" i="7"/>
  <c r="M247" i="7"/>
  <c r="L247" i="7"/>
  <c r="K247" i="7"/>
  <c r="J247" i="7"/>
  <c r="I247" i="7"/>
  <c r="H247" i="7"/>
  <c r="G247" i="7"/>
  <c r="F247" i="7"/>
  <c r="E247" i="7"/>
  <c r="D247" i="7"/>
  <c r="C247" i="7"/>
  <c r="V246" i="7"/>
  <c r="U246" i="7"/>
  <c r="T246" i="7"/>
  <c r="S246" i="7"/>
  <c r="R246" i="7"/>
  <c r="Q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D246" i="7"/>
  <c r="C246" i="7"/>
  <c r="V245" i="7"/>
  <c r="U245" i="7"/>
  <c r="T245" i="7"/>
  <c r="S245" i="7"/>
  <c r="R245" i="7"/>
  <c r="Q245" i="7"/>
  <c r="P245" i="7"/>
  <c r="O245" i="7"/>
  <c r="N245" i="7"/>
  <c r="M245" i="7"/>
  <c r="L245" i="7"/>
  <c r="K245" i="7"/>
  <c r="J245" i="7"/>
  <c r="I245" i="7"/>
  <c r="H245" i="7"/>
  <c r="G245" i="7"/>
  <c r="F245" i="7"/>
  <c r="E245" i="7"/>
  <c r="D245" i="7"/>
  <c r="C245" i="7"/>
  <c r="V244" i="7"/>
  <c r="U244" i="7"/>
  <c r="T244" i="7"/>
  <c r="S244" i="7"/>
  <c r="R244" i="7"/>
  <c r="Q244" i="7"/>
  <c r="P244" i="7"/>
  <c r="O244" i="7"/>
  <c r="N244" i="7"/>
  <c r="M244" i="7"/>
  <c r="L244" i="7"/>
  <c r="K244" i="7"/>
  <c r="J244" i="7"/>
  <c r="I244" i="7"/>
  <c r="H244" i="7"/>
  <c r="G244" i="7"/>
  <c r="F244" i="7"/>
  <c r="E244" i="7"/>
  <c r="D244" i="7"/>
  <c r="C244" i="7"/>
  <c r="V243" i="7"/>
  <c r="U243" i="7"/>
  <c r="T243" i="7"/>
  <c r="S243" i="7"/>
  <c r="R243" i="7"/>
  <c r="Q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D243" i="7"/>
  <c r="C243" i="7"/>
  <c r="V242" i="7"/>
  <c r="U242" i="7"/>
  <c r="T242" i="7"/>
  <c r="S242" i="7"/>
  <c r="R242" i="7"/>
  <c r="Q242" i="7"/>
  <c r="P242" i="7"/>
  <c r="O242" i="7"/>
  <c r="N242" i="7"/>
  <c r="M242" i="7"/>
  <c r="L242" i="7"/>
  <c r="K242" i="7"/>
  <c r="J242" i="7"/>
  <c r="I242" i="7"/>
  <c r="H242" i="7"/>
  <c r="G242" i="7"/>
  <c r="F242" i="7"/>
  <c r="E242" i="7"/>
  <c r="D242" i="7"/>
  <c r="C242" i="7"/>
  <c r="V241" i="7"/>
  <c r="U241" i="7"/>
  <c r="T241" i="7"/>
  <c r="S241" i="7"/>
  <c r="R241" i="7"/>
  <c r="Q241" i="7"/>
  <c r="P241" i="7"/>
  <c r="O241" i="7"/>
  <c r="N241" i="7"/>
  <c r="M241" i="7"/>
  <c r="L241" i="7"/>
  <c r="K241" i="7"/>
  <c r="J241" i="7"/>
  <c r="I241" i="7"/>
  <c r="H241" i="7"/>
  <c r="G241" i="7"/>
  <c r="F241" i="7"/>
  <c r="E241" i="7"/>
  <c r="D241" i="7"/>
  <c r="C241" i="7"/>
  <c r="V240" i="7"/>
  <c r="U240" i="7"/>
  <c r="T240" i="7"/>
  <c r="S240" i="7"/>
  <c r="R240" i="7"/>
  <c r="Q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D240" i="7"/>
  <c r="C240" i="7"/>
  <c r="V239" i="7"/>
  <c r="U239" i="7"/>
  <c r="T239" i="7"/>
  <c r="S239" i="7"/>
  <c r="R239" i="7"/>
  <c r="Q239" i="7"/>
  <c r="P239" i="7"/>
  <c r="O239" i="7"/>
  <c r="N239" i="7"/>
  <c r="M239" i="7"/>
  <c r="L239" i="7"/>
  <c r="K239" i="7"/>
  <c r="J239" i="7"/>
  <c r="I239" i="7"/>
  <c r="H239" i="7"/>
  <c r="G239" i="7"/>
  <c r="F239" i="7"/>
  <c r="E239" i="7"/>
  <c r="D239" i="7"/>
  <c r="C239" i="7"/>
  <c r="V238" i="7"/>
  <c r="U238" i="7"/>
  <c r="T238" i="7"/>
  <c r="S238" i="7"/>
  <c r="R238" i="7"/>
  <c r="Q238" i="7"/>
  <c r="P238" i="7"/>
  <c r="O238" i="7"/>
  <c r="N238" i="7"/>
  <c r="M238" i="7"/>
  <c r="L238" i="7"/>
  <c r="K238" i="7"/>
  <c r="J238" i="7"/>
  <c r="I238" i="7"/>
  <c r="H238" i="7"/>
  <c r="G238" i="7"/>
  <c r="F238" i="7"/>
  <c r="E238" i="7"/>
  <c r="D238" i="7"/>
  <c r="C238" i="7"/>
  <c r="V237" i="7"/>
  <c r="U237" i="7"/>
  <c r="T237" i="7"/>
  <c r="S237" i="7"/>
  <c r="R237" i="7"/>
  <c r="Q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D237" i="7"/>
  <c r="C237" i="7"/>
  <c r="V236" i="7"/>
  <c r="U236" i="7"/>
  <c r="T236" i="7"/>
  <c r="S236" i="7"/>
  <c r="R236" i="7"/>
  <c r="Q236" i="7"/>
  <c r="P236" i="7"/>
  <c r="O236" i="7"/>
  <c r="N236" i="7"/>
  <c r="M236" i="7"/>
  <c r="L236" i="7"/>
  <c r="K236" i="7"/>
  <c r="J236" i="7"/>
  <c r="I236" i="7"/>
  <c r="H236" i="7"/>
  <c r="G236" i="7"/>
  <c r="F236" i="7"/>
  <c r="E236" i="7"/>
  <c r="D236" i="7"/>
  <c r="C236" i="7"/>
  <c r="V235" i="7"/>
  <c r="U235" i="7"/>
  <c r="T235" i="7"/>
  <c r="S235" i="7"/>
  <c r="R235" i="7"/>
  <c r="Q235" i="7"/>
  <c r="P235" i="7"/>
  <c r="O235" i="7"/>
  <c r="N235" i="7"/>
  <c r="M235" i="7"/>
  <c r="L235" i="7"/>
  <c r="K235" i="7"/>
  <c r="J235" i="7"/>
  <c r="I235" i="7"/>
  <c r="H235" i="7"/>
  <c r="G235" i="7"/>
  <c r="F235" i="7"/>
  <c r="E235" i="7"/>
  <c r="D235" i="7"/>
  <c r="C235" i="7"/>
  <c r="V234" i="7"/>
  <c r="U234" i="7"/>
  <c r="T234" i="7"/>
  <c r="S234" i="7"/>
  <c r="R234" i="7"/>
  <c r="Q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D234" i="7"/>
  <c r="C234" i="7"/>
  <c r="V233" i="7"/>
  <c r="U233" i="7"/>
  <c r="T233" i="7"/>
  <c r="S233" i="7"/>
  <c r="R233" i="7"/>
  <c r="Q233" i="7"/>
  <c r="P233" i="7"/>
  <c r="O233" i="7"/>
  <c r="N233" i="7"/>
  <c r="M233" i="7"/>
  <c r="L233" i="7"/>
  <c r="K233" i="7"/>
  <c r="J233" i="7"/>
  <c r="I233" i="7"/>
  <c r="H233" i="7"/>
  <c r="G233" i="7"/>
  <c r="F233" i="7"/>
  <c r="E233" i="7"/>
  <c r="D233" i="7"/>
  <c r="C233" i="7"/>
  <c r="V232" i="7"/>
  <c r="U232" i="7"/>
  <c r="T232" i="7"/>
  <c r="S232" i="7"/>
  <c r="R232" i="7"/>
  <c r="Q232" i="7"/>
  <c r="P232" i="7"/>
  <c r="O232" i="7"/>
  <c r="N232" i="7"/>
  <c r="M232" i="7"/>
  <c r="L232" i="7"/>
  <c r="K232" i="7"/>
  <c r="J232" i="7"/>
  <c r="I232" i="7"/>
  <c r="H232" i="7"/>
  <c r="G232" i="7"/>
  <c r="F232" i="7"/>
  <c r="E232" i="7"/>
  <c r="D232" i="7"/>
  <c r="C232" i="7"/>
  <c r="V231" i="7"/>
  <c r="U231" i="7"/>
  <c r="T231" i="7"/>
  <c r="S231" i="7"/>
  <c r="R231" i="7"/>
  <c r="Q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D231" i="7"/>
  <c r="C231" i="7"/>
  <c r="V230" i="7"/>
  <c r="U230" i="7"/>
  <c r="T230" i="7"/>
  <c r="S230" i="7"/>
  <c r="R230" i="7"/>
  <c r="Q230" i="7"/>
  <c r="P230" i="7"/>
  <c r="O230" i="7"/>
  <c r="N230" i="7"/>
  <c r="M230" i="7"/>
  <c r="L230" i="7"/>
  <c r="K230" i="7"/>
  <c r="J230" i="7"/>
  <c r="I230" i="7"/>
  <c r="H230" i="7"/>
  <c r="G230" i="7"/>
  <c r="F230" i="7"/>
  <c r="E230" i="7"/>
  <c r="D230" i="7"/>
  <c r="C230" i="7"/>
  <c r="V229" i="7"/>
  <c r="U229" i="7"/>
  <c r="T229" i="7"/>
  <c r="S229" i="7"/>
  <c r="R229" i="7"/>
  <c r="Q229" i="7"/>
  <c r="P229" i="7"/>
  <c r="O229" i="7"/>
  <c r="N229" i="7"/>
  <c r="M229" i="7"/>
  <c r="L229" i="7"/>
  <c r="K229" i="7"/>
  <c r="J229" i="7"/>
  <c r="I229" i="7"/>
  <c r="H229" i="7"/>
  <c r="G229" i="7"/>
  <c r="F229" i="7"/>
  <c r="E229" i="7"/>
  <c r="D229" i="7"/>
  <c r="C229" i="7"/>
  <c r="V228" i="7"/>
  <c r="U228" i="7"/>
  <c r="T228" i="7"/>
  <c r="S228" i="7"/>
  <c r="R228" i="7"/>
  <c r="Q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D228" i="7"/>
  <c r="C228" i="7"/>
  <c r="V227" i="7"/>
  <c r="U227" i="7"/>
  <c r="T227" i="7"/>
  <c r="S227" i="7"/>
  <c r="R227" i="7"/>
  <c r="Q227" i="7"/>
  <c r="P227" i="7"/>
  <c r="O227" i="7"/>
  <c r="N227" i="7"/>
  <c r="M227" i="7"/>
  <c r="L227" i="7"/>
  <c r="K227" i="7"/>
  <c r="J227" i="7"/>
  <c r="I227" i="7"/>
  <c r="H227" i="7"/>
  <c r="G227" i="7"/>
  <c r="F227" i="7"/>
  <c r="E227" i="7"/>
  <c r="D227" i="7"/>
  <c r="C227" i="7"/>
  <c r="V226" i="7"/>
  <c r="U226" i="7"/>
  <c r="T226" i="7"/>
  <c r="S226" i="7"/>
  <c r="R226" i="7"/>
  <c r="Q226" i="7"/>
  <c r="P226" i="7"/>
  <c r="O226" i="7"/>
  <c r="N226" i="7"/>
  <c r="M226" i="7"/>
  <c r="L226" i="7"/>
  <c r="K226" i="7"/>
  <c r="J226" i="7"/>
  <c r="I226" i="7"/>
  <c r="H226" i="7"/>
  <c r="G226" i="7"/>
  <c r="F226" i="7"/>
  <c r="E226" i="7"/>
  <c r="D226" i="7"/>
  <c r="C226" i="7"/>
  <c r="V225" i="7"/>
  <c r="U225" i="7"/>
  <c r="T225" i="7"/>
  <c r="S225" i="7"/>
  <c r="R225" i="7"/>
  <c r="Q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D225" i="7"/>
  <c r="C225" i="7"/>
  <c r="V224" i="7"/>
  <c r="U224" i="7"/>
  <c r="T224" i="7"/>
  <c r="S224" i="7"/>
  <c r="R224" i="7"/>
  <c r="Q224" i="7"/>
  <c r="P224" i="7"/>
  <c r="O224" i="7"/>
  <c r="N224" i="7"/>
  <c r="M224" i="7"/>
  <c r="L224" i="7"/>
  <c r="K224" i="7"/>
  <c r="J224" i="7"/>
  <c r="I224" i="7"/>
  <c r="H224" i="7"/>
  <c r="G224" i="7"/>
  <c r="F224" i="7"/>
  <c r="E224" i="7"/>
  <c r="D224" i="7"/>
  <c r="C224" i="7"/>
  <c r="V223" i="7"/>
  <c r="U223" i="7"/>
  <c r="T223" i="7"/>
  <c r="S223" i="7"/>
  <c r="R223" i="7"/>
  <c r="Q223" i="7"/>
  <c r="P223" i="7"/>
  <c r="O223" i="7"/>
  <c r="N223" i="7"/>
  <c r="M223" i="7"/>
  <c r="L223" i="7"/>
  <c r="K223" i="7"/>
  <c r="J223" i="7"/>
  <c r="I223" i="7"/>
  <c r="H223" i="7"/>
  <c r="G223" i="7"/>
  <c r="F223" i="7"/>
  <c r="E223" i="7"/>
  <c r="D223" i="7"/>
  <c r="C223" i="7"/>
  <c r="V222" i="7"/>
  <c r="U222" i="7"/>
  <c r="T222" i="7"/>
  <c r="S222" i="7"/>
  <c r="R222" i="7"/>
  <c r="Q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D222" i="7"/>
  <c r="C222" i="7"/>
  <c r="V221" i="7"/>
  <c r="U221" i="7"/>
  <c r="T221" i="7"/>
  <c r="S221" i="7"/>
  <c r="R221" i="7"/>
  <c r="Q221" i="7"/>
  <c r="P221" i="7"/>
  <c r="O221" i="7"/>
  <c r="N221" i="7"/>
  <c r="M221" i="7"/>
  <c r="L221" i="7"/>
  <c r="K221" i="7"/>
  <c r="J221" i="7"/>
  <c r="I221" i="7"/>
  <c r="H221" i="7"/>
  <c r="G221" i="7"/>
  <c r="F221" i="7"/>
  <c r="E221" i="7"/>
  <c r="D221" i="7"/>
  <c r="C221" i="7"/>
  <c r="V220" i="7"/>
  <c r="U220" i="7"/>
  <c r="T220" i="7"/>
  <c r="S220" i="7"/>
  <c r="R220" i="7"/>
  <c r="Q220" i="7"/>
  <c r="P220" i="7"/>
  <c r="O220" i="7"/>
  <c r="N220" i="7"/>
  <c r="M220" i="7"/>
  <c r="L220" i="7"/>
  <c r="K220" i="7"/>
  <c r="J220" i="7"/>
  <c r="I220" i="7"/>
  <c r="H220" i="7"/>
  <c r="G220" i="7"/>
  <c r="F220" i="7"/>
  <c r="E220" i="7"/>
  <c r="D220" i="7"/>
  <c r="C220" i="7"/>
  <c r="V219" i="7"/>
  <c r="U219" i="7"/>
  <c r="T219" i="7"/>
  <c r="S219" i="7"/>
  <c r="R219" i="7"/>
  <c r="Q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D219" i="7"/>
  <c r="C219" i="7"/>
  <c r="V218" i="7"/>
  <c r="U218" i="7"/>
  <c r="T218" i="7"/>
  <c r="S218" i="7"/>
  <c r="R218" i="7"/>
  <c r="Q218" i="7"/>
  <c r="P218" i="7"/>
  <c r="O218" i="7"/>
  <c r="N218" i="7"/>
  <c r="M218" i="7"/>
  <c r="L218" i="7"/>
  <c r="K218" i="7"/>
  <c r="J218" i="7"/>
  <c r="I218" i="7"/>
  <c r="H218" i="7"/>
  <c r="G218" i="7"/>
  <c r="F218" i="7"/>
  <c r="E218" i="7"/>
  <c r="D218" i="7"/>
  <c r="C218" i="7"/>
  <c r="V217" i="7"/>
  <c r="U217" i="7"/>
  <c r="T217" i="7"/>
  <c r="S217" i="7"/>
  <c r="R217" i="7"/>
  <c r="Q217" i="7"/>
  <c r="P217" i="7"/>
  <c r="O217" i="7"/>
  <c r="N217" i="7"/>
  <c r="M217" i="7"/>
  <c r="L217" i="7"/>
  <c r="K217" i="7"/>
  <c r="J217" i="7"/>
  <c r="I217" i="7"/>
  <c r="H217" i="7"/>
  <c r="G217" i="7"/>
  <c r="F217" i="7"/>
  <c r="E217" i="7"/>
  <c r="D217" i="7"/>
  <c r="C217" i="7"/>
  <c r="V216" i="7"/>
  <c r="U216" i="7"/>
  <c r="T216" i="7"/>
  <c r="S216" i="7"/>
  <c r="R216" i="7"/>
  <c r="Q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D216" i="7"/>
  <c r="C216" i="7"/>
  <c r="V215" i="7"/>
  <c r="U215" i="7"/>
  <c r="T215" i="7"/>
  <c r="S215" i="7"/>
  <c r="R215" i="7"/>
  <c r="Q215" i="7"/>
  <c r="P215" i="7"/>
  <c r="O215" i="7"/>
  <c r="N215" i="7"/>
  <c r="M215" i="7"/>
  <c r="L215" i="7"/>
  <c r="K215" i="7"/>
  <c r="J215" i="7"/>
  <c r="I215" i="7"/>
  <c r="H215" i="7"/>
  <c r="G215" i="7"/>
  <c r="F215" i="7"/>
  <c r="E215" i="7"/>
  <c r="D215" i="7"/>
  <c r="C215" i="7"/>
  <c r="V214" i="7"/>
  <c r="U214" i="7"/>
  <c r="T214" i="7"/>
  <c r="S214" i="7"/>
  <c r="R214" i="7"/>
  <c r="Q214" i="7"/>
  <c r="P214" i="7"/>
  <c r="O214" i="7"/>
  <c r="N214" i="7"/>
  <c r="M214" i="7"/>
  <c r="L214" i="7"/>
  <c r="K214" i="7"/>
  <c r="J214" i="7"/>
  <c r="I214" i="7"/>
  <c r="H214" i="7"/>
  <c r="G214" i="7"/>
  <c r="F214" i="7"/>
  <c r="E214" i="7"/>
  <c r="D214" i="7"/>
  <c r="C214" i="7"/>
  <c r="V213" i="7"/>
  <c r="U213" i="7"/>
  <c r="T213" i="7"/>
  <c r="S213" i="7"/>
  <c r="R213" i="7"/>
  <c r="Q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D213" i="7"/>
  <c r="C213" i="7"/>
  <c r="V212" i="7"/>
  <c r="U212" i="7"/>
  <c r="T212" i="7"/>
  <c r="S212" i="7"/>
  <c r="R212" i="7"/>
  <c r="Q212" i="7"/>
  <c r="P212" i="7"/>
  <c r="O212" i="7"/>
  <c r="N212" i="7"/>
  <c r="M212" i="7"/>
  <c r="L212" i="7"/>
  <c r="K212" i="7"/>
  <c r="J212" i="7"/>
  <c r="I212" i="7"/>
  <c r="H212" i="7"/>
  <c r="G212" i="7"/>
  <c r="F212" i="7"/>
  <c r="E212" i="7"/>
  <c r="D212" i="7"/>
  <c r="C212" i="7"/>
  <c r="V211" i="7"/>
  <c r="U211" i="7"/>
  <c r="T211" i="7"/>
  <c r="S211" i="7"/>
  <c r="R211" i="7"/>
  <c r="Q211" i="7"/>
  <c r="P211" i="7"/>
  <c r="O211" i="7"/>
  <c r="N211" i="7"/>
  <c r="M211" i="7"/>
  <c r="L211" i="7"/>
  <c r="K211" i="7"/>
  <c r="J211" i="7"/>
  <c r="I211" i="7"/>
  <c r="H211" i="7"/>
  <c r="G211" i="7"/>
  <c r="F211" i="7"/>
  <c r="E211" i="7"/>
  <c r="D211" i="7"/>
  <c r="C211" i="7"/>
  <c r="V210" i="7"/>
  <c r="U210" i="7"/>
  <c r="T210" i="7"/>
  <c r="S210" i="7"/>
  <c r="R210" i="7"/>
  <c r="Q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D210" i="7"/>
  <c r="C210" i="7"/>
  <c r="V209" i="7"/>
  <c r="U209" i="7"/>
  <c r="T209" i="7"/>
  <c r="S209" i="7"/>
  <c r="R209" i="7"/>
  <c r="Q209" i="7"/>
  <c r="P209" i="7"/>
  <c r="O209" i="7"/>
  <c r="N209" i="7"/>
  <c r="M209" i="7"/>
  <c r="L209" i="7"/>
  <c r="K209" i="7"/>
  <c r="J209" i="7"/>
  <c r="I209" i="7"/>
  <c r="H209" i="7"/>
  <c r="G209" i="7"/>
  <c r="F209" i="7"/>
  <c r="E209" i="7"/>
  <c r="D209" i="7"/>
  <c r="C209" i="7"/>
  <c r="V208" i="7"/>
  <c r="U208" i="7"/>
  <c r="T208" i="7"/>
  <c r="S208" i="7"/>
  <c r="R208" i="7"/>
  <c r="Q208" i="7"/>
  <c r="P208" i="7"/>
  <c r="O208" i="7"/>
  <c r="N208" i="7"/>
  <c r="M208" i="7"/>
  <c r="L208" i="7"/>
  <c r="K208" i="7"/>
  <c r="J208" i="7"/>
  <c r="I208" i="7"/>
  <c r="H208" i="7"/>
  <c r="G208" i="7"/>
  <c r="F208" i="7"/>
  <c r="E208" i="7"/>
  <c r="D208" i="7"/>
  <c r="C208" i="7"/>
  <c r="V207" i="7"/>
  <c r="U207" i="7"/>
  <c r="T207" i="7"/>
  <c r="S207" i="7"/>
  <c r="R207" i="7"/>
  <c r="Q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D207" i="7"/>
  <c r="C207" i="7"/>
  <c r="V206" i="7"/>
  <c r="U206" i="7"/>
  <c r="T206" i="7"/>
  <c r="S206" i="7"/>
  <c r="R206" i="7"/>
  <c r="Q206" i="7"/>
  <c r="P206" i="7"/>
  <c r="O206" i="7"/>
  <c r="N206" i="7"/>
  <c r="M206" i="7"/>
  <c r="L206" i="7"/>
  <c r="K206" i="7"/>
  <c r="J206" i="7"/>
  <c r="I206" i="7"/>
  <c r="H206" i="7"/>
  <c r="G206" i="7"/>
  <c r="F206" i="7"/>
  <c r="E206" i="7"/>
  <c r="D206" i="7"/>
  <c r="C206" i="7"/>
  <c r="V205" i="7"/>
  <c r="U205" i="7"/>
  <c r="T205" i="7"/>
  <c r="S205" i="7"/>
  <c r="R205" i="7"/>
  <c r="Q205" i="7"/>
  <c r="P205" i="7"/>
  <c r="O205" i="7"/>
  <c r="N205" i="7"/>
  <c r="M205" i="7"/>
  <c r="L205" i="7"/>
  <c r="K205" i="7"/>
  <c r="J205" i="7"/>
  <c r="I205" i="7"/>
  <c r="H205" i="7"/>
  <c r="G205" i="7"/>
  <c r="F205" i="7"/>
  <c r="E205" i="7"/>
  <c r="D205" i="7"/>
  <c r="C205" i="7"/>
  <c r="V204" i="7"/>
  <c r="U204" i="7"/>
  <c r="T204" i="7"/>
  <c r="S204" i="7"/>
  <c r="R204" i="7"/>
  <c r="Q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D204" i="7"/>
  <c r="C204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V106" i="7"/>
  <c r="U106" i="7"/>
  <c r="T106" i="7"/>
  <c r="S106" i="7"/>
  <c r="R106" i="7"/>
  <c r="Q106" i="7"/>
  <c r="P106" i="7"/>
  <c r="O106" i="7"/>
  <c r="N106" i="7"/>
  <c r="M106" i="7"/>
  <c r="L106" i="7"/>
  <c r="K106" i="7"/>
  <c r="J106" i="7"/>
  <c r="I106" i="7"/>
  <c r="H106" i="7"/>
  <c r="G106" i="7"/>
  <c r="F106" i="7"/>
  <c r="E106" i="7"/>
  <c r="D106" i="7"/>
  <c r="C106" i="7"/>
  <c r="V105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V103" i="7"/>
  <c r="U103" i="7"/>
  <c r="T103" i="7"/>
  <c r="S103" i="7"/>
  <c r="R103" i="7"/>
  <c r="Q103" i="7"/>
  <c r="P103" i="7"/>
  <c r="O103" i="7"/>
  <c r="N103" i="7"/>
  <c r="M103" i="7"/>
  <c r="L103" i="7"/>
  <c r="K103" i="7"/>
  <c r="J103" i="7"/>
  <c r="I103" i="7"/>
  <c r="H103" i="7"/>
  <c r="G103" i="7"/>
  <c r="F103" i="7"/>
  <c r="E103" i="7"/>
  <c r="D103" i="7"/>
  <c r="C103" i="7"/>
  <c r="V102" i="7"/>
  <c r="U102" i="7"/>
  <c r="T102" i="7"/>
  <c r="S102" i="7"/>
  <c r="R102" i="7"/>
  <c r="Q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D102" i="7"/>
  <c r="C102" i="7"/>
  <c r="V101" i="7"/>
  <c r="U101" i="7"/>
  <c r="T101" i="7"/>
  <c r="S101" i="7"/>
  <c r="R101" i="7"/>
  <c r="Q101" i="7"/>
  <c r="P101" i="7"/>
  <c r="O101" i="7"/>
  <c r="N101" i="7"/>
  <c r="M101" i="7"/>
  <c r="L101" i="7"/>
  <c r="K101" i="7"/>
  <c r="J101" i="7"/>
  <c r="I101" i="7"/>
  <c r="H101" i="7"/>
  <c r="G101" i="7"/>
  <c r="F101" i="7"/>
  <c r="E101" i="7"/>
  <c r="D101" i="7"/>
  <c r="C101" i="7"/>
  <c r="V100" i="7"/>
  <c r="U100" i="7"/>
  <c r="T100" i="7"/>
  <c r="S100" i="7"/>
  <c r="R100" i="7"/>
  <c r="Q100" i="7"/>
  <c r="P100" i="7"/>
  <c r="O100" i="7"/>
  <c r="N100" i="7"/>
  <c r="M100" i="7"/>
  <c r="L100" i="7"/>
  <c r="K100" i="7"/>
  <c r="J100" i="7"/>
  <c r="I100" i="7"/>
  <c r="H100" i="7"/>
  <c r="G100" i="7"/>
  <c r="F100" i="7"/>
  <c r="E100" i="7"/>
  <c r="D100" i="7"/>
  <c r="C100" i="7"/>
  <c r="V99" i="7"/>
  <c r="U99" i="7"/>
  <c r="T99" i="7"/>
  <c r="S99" i="7"/>
  <c r="R99" i="7"/>
  <c r="Q99" i="7"/>
  <c r="P99" i="7"/>
  <c r="O99" i="7"/>
  <c r="N99" i="7"/>
  <c r="M99" i="7"/>
  <c r="L99" i="7"/>
  <c r="K99" i="7"/>
  <c r="J99" i="7"/>
  <c r="I99" i="7"/>
  <c r="H99" i="7"/>
  <c r="G99" i="7"/>
  <c r="F99" i="7"/>
  <c r="E99" i="7"/>
  <c r="D99" i="7"/>
  <c r="C99" i="7"/>
  <c r="V98" i="7"/>
  <c r="U98" i="7"/>
  <c r="T98" i="7"/>
  <c r="S98" i="7"/>
  <c r="R98" i="7"/>
  <c r="Q98" i="7"/>
  <c r="P98" i="7"/>
  <c r="O98" i="7"/>
  <c r="N98" i="7"/>
  <c r="M98" i="7"/>
  <c r="L98" i="7"/>
  <c r="K98" i="7"/>
  <c r="J98" i="7"/>
  <c r="I98" i="7"/>
  <c r="H98" i="7"/>
  <c r="G98" i="7"/>
  <c r="F98" i="7"/>
  <c r="E98" i="7"/>
  <c r="D98" i="7"/>
  <c r="C98" i="7"/>
  <c r="V97" i="7"/>
  <c r="U97" i="7"/>
  <c r="T97" i="7"/>
  <c r="S97" i="7"/>
  <c r="R97" i="7"/>
  <c r="Q97" i="7"/>
  <c r="P97" i="7"/>
  <c r="O97" i="7"/>
  <c r="N97" i="7"/>
  <c r="M97" i="7"/>
  <c r="L97" i="7"/>
  <c r="K97" i="7"/>
  <c r="J97" i="7"/>
  <c r="I97" i="7"/>
  <c r="H97" i="7"/>
  <c r="G97" i="7"/>
  <c r="F97" i="7"/>
  <c r="E97" i="7"/>
  <c r="D97" i="7"/>
  <c r="C97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C96" i="7"/>
  <c r="V95" i="7"/>
  <c r="U95" i="7"/>
  <c r="T95" i="7"/>
  <c r="S95" i="7"/>
  <c r="R95" i="7"/>
  <c r="Q95" i="7"/>
  <c r="P95" i="7"/>
  <c r="O95" i="7"/>
  <c r="N95" i="7"/>
  <c r="M95" i="7"/>
  <c r="L95" i="7"/>
  <c r="K95" i="7"/>
  <c r="J95" i="7"/>
  <c r="I95" i="7"/>
  <c r="H95" i="7"/>
  <c r="G95" i="7"/>
  <c r="F95" i="7"/>
  <c r="E95" i="7"/>
  <c r="D95" i="7"/>
  <c r="C95" i="7"/>
  <c r="V94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E94" i="7"/>
  <c r="D94" i="7"/>
  <c r="C94" i="7"/>
  <c r="V93" i="7"/>
  <c r="U93" i="7"/>
  <c r="T93" i="7"/>
  <c r="S93" i="7"/>
  <c r="R93" i="7"/>
  <c r="Q93" i="7"/>
  <c r="P93" i="7"/>
  <c r="O93" i="7"/>
  <c r="N93" i="7"/>
  <c r="M93" i="7"/>
  <c r="L93" i="7"/>
  <c r="K93" i="7"/>
  <c r="J93" i="7"/>
  <c r="I93" i="7"/>
  <c r="H93" i="7"/>
  <c r="G93" i="7"/>
  <c r="F93" i="7"/>
  <c r="E93" i="7"/>
  <c r="D93" i="7"/>
  <c r="C93" i="7"/>
  <c r="V92" i="7"/>
  <c r="U92" i="7"/>
  <c r="T92" i="7"/>
  <c r="S92" i="7"/>
  <c r="R92" i="7"/>
  <c r="Q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C92" i="7"/>
  <c r="V91" i="7"/>
  <c r="U91" i="7"/>
  <c r="T91" i="7"/>
  <c r="S91" i="7"/>
  <c r="R91" i="7"/>
  <c r="Q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91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C90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C89" i="7"/>
  <c r="V88" i="7"/>
  <c r="U88" i="7"/>
  <c r="T88" i="7"/>
  <c r="S88" i="7"/>
  <c r="R88" i="7"/>
  <c r="Q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88" i="7"/>
  <c r="V87" i="7"/>
  <c r="U87" i="7"/>
  <c r="T87" i="7"/>
  <c r="S87" i="7"/>
  <c r="R87" i="7"/>
  <c r="Q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87" i="7"/>
  <c r="V86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C86" i="7"/>
  <c r="V85" i="7"/>
  <c r="U85" i="7"/>
  <c r="T85" i="7"/>
  <c r="S85" i="7"/>
  <c r="R85" i="7"/>
  <c r="Q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85" i="7"/>
  <c r="V84" i="7"/>
  <c r="U84" i="7"/>
  <c r="T84" i="7"/>
  <c r="S84" i="7"/>
  <c r="R84" i="7"/>
  <c r="Q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84" i="7"/>
  <c r="V83" i="7"/>
  <c r="U83" i="7"/>
  <c r="T83" i="7"/>
  <c r="S83" i="7"/>
  <c r="R83" i="7"/>
  <c r="Q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C83" i="7"/>
  <c r="V82" i="7"/>
  <c r="U82" i="7"/>
  <c r="T82" i="7"/>
  <c r="S82" i="7"/>
  <c r="R82" i="7"/>
  <c r="Q82" i="7"/>
  <c r="P82" i="7"/>
  <c r="O82" i="7"/>
  <c r="N82" i="7"/>
  <c r="M82" i="7"/>
  <c r="L82" i="7"/>
  <c r="K82" i="7"/>
  <c r="J82" i="7"/>
  <c r="I82" i="7"/>
  <c r="H82" i="7"/>
  <c r="G82" i="7"/>
  <c r="F82" i="7"/>
  <c r="E82" i="7"/>
  <c r="D82" i="7"/>
  <c r="C82" i="7"/>
  <c r="V81" i="7"/>
  <c r="U81" i="7"/>
  <c r="T81" i="7"/>
  <c r="S81" i="7"/>
  <c r="R81" i="7"/>
  <c r="Q81" i="7"/>
  <c r="P81" i="7"/>
  <c r="O81" i="7"/>
  <c r="N81" i="7"/>
  <c r="M81" i="7"/>
  <c r="L81" i="7"/>
  <c r="K81" i="7"/>
  <c r="J81" i="7"/>
  <c r="I81" i="7"/>
  <c r="H81" i="7"/>
  <c r="G81" i="7"/>
  <c r="F81" i="7"/>
  <c r="E81" i="7"/>
  <c r="D81" i="7"/>
  <c r="C81" i="7"/>
  <c r="V80" i="7"/>
  <c r="U80" i="7"/>
  <c r="T80" i="7"/>
  <c r="S80" i="7"/>
  <c r="R80" i="7"/>
  <c r="Q80" i="7"/>
  <c r="P80" i="7"/>
  <c r="O80" i="7"/>
  <c r="N80" i="7"/>
  <c r="M80" i="7"/>
  <c r="L80" i="7"/>
  <c r="K80" i="7"/>
  <c r="J80" i="7"/>
  <c r="I80" i="7"/>
  <c r="H80" i="7"/>
  <c r="G80" i="7"/>
  <c r="F80" i="7"/>
  <c r="E80" i="7"/>
  <c r="D80" i="7"/>
  <c r="C80" i="7"/>
  <c r="V79" i="7"/>
  <c r="U79" i="7"/>
  <c r="T79" i="7"/>
  <c r="S79" i="7"/>
  <c r="R79" i="7"/>
  <c r="Q79" i="7"/>
  <c r="P79" i="7"/>
  <c r="O79" i="7"/>
  <c r="N79" i="7"/>
  <c r="M79" i="7"/>
  <c r="L79" i="7"/>
  <c r="K79" i="7"/>
  <c r="J79" i="7"/>
  <c r="I79" i="7"/>
  <c r="H79" i="7"/>
  <c r="G79" i="7"/>
  <c r="F79" i="7"/>
  <c r="E79" i="7"/>
  <c r="D79" i="7"/>
  <c r="C79" i="7"/>
  <c r="V78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E78" i="7"/>
  <c r="D78" i="7"/>
  <c r="C78" i="7"/>
  <c r="V77" i="7"/>
  <c r="U77" i="7"/>
  <c r="T77" i="7"/>
  <c r="S77" i="7"/>
  <c r="R77" i="7"/>
  <c r="Q77" i="7"/>
  <c r="P77" i="7"/>
  <c r="O77" i="7"/>
  <c r="N77" i="7"/>
  <c r="M77" i="7"/>
  <c r="L77" i="7"/>
  <c r="K77" i="7"/>
  <c r="J77" i="7"/>
  <c r="I77" i="7"/>
  <c r="H77" i="7"/>
  <c r="G77" i="7"/>
  <c r="F77" i="7"/>
  <c r="E77" i="7"/>
  <c r="D77" i="7"/>
  <c r="C77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X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X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U8" i="7"/>
  <c r="J8" i="7"/>
  <c r="V7" i="7"/>
  <c r="U7" i="7"/>
  <c r="P7" i="7"/>
  <c r="O7" i="7"/>
  <c r="N7" i="7"/>
  <c r="M7" i="7"/>
  <c r="H7" i="7"/>
  <c r="G7" i="7"/>
  <c r="F7" i="7"/>
  <c r="E7" i="7"/>
  <c r="V6" i="7"/>
  <c r="U6" i="7"/>
  <c r="T6" i="7"/>
  <c r="T7" i="7" s="1"/>
  <c r="S6" i="7"/>
  <c r="S7" i="7" s="1"/>
  <c r="R6" i="7"/>
  <c r="R7" i="7" s="1"/>
  <c r="Q6" i="7"/>
  <c r="Q7" i="7" s="1"/>
  <c r="P6" i="7"/>
  <c r="O6" i="7"/>
  <c r="N6" i="7"/>
  <c r="M6" i="7"/>
  <c r="L6" i="7"/>
  <c r="L7" i="7" s="1"/>
  <c r="K6" i="7"/>
  <c r="K7" i="7" s="1"/>
  <c r="J6" i="7"/>
  <c r="J7" i="7" s="1"/>
  <c r="I6" i="7"/>
  <c r="I7" i="7" s="1"/>
  <c r="H6" i="7"/>
  <c r="G6" i="7"/>
  <c r="F6" i="7"/>
  <c r="E6" i="7"/>
  <c r="D6" i="7"/>
  <c r="D7" i="7" s="1"/>
  <c r="C6" i="7"/>
  <c r="C7" i="7" s="1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C5" i="7"/>
  <c r="Z4" i="7"/>
  <c r="O8" i="7" s="1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D4" i="7"/>
  <c r="C4" i="7"/>
  <c r="Z3" i="7"/>
  <c r="S9" i="7" s="1"/>
  <c r="D29" i="2"/>
  <c r="D28" i="2"/>
  <c r="E26" i="2"/>
  <c r="D26" i="2"/>
  <c r="E25" i="2"/>
  <c r="D25" i="2"/>
  <c r="E24" i="2"/>
  <c r="D24" i="2"/>
  <c r="E23" i="2"/>
  <c r="D23" i="2"/>
  <c r="E22" i="2"/>
  <c r="D22" i="2"/>
  <c r="E21" i="2"/>
  <c r="D21" i="2"/>
  <c r="E20" i="2"/>
  <c r="D20" i="2"/>
  <c r="E19" i="2"/>
  <c r="D19" i="2"/>
  <c r="E18" i="2"/>
  <c r="D18" i="2"/>
  <c r="E17" i="2"/>
  <c r="D17" i="2"/>
  <c r="E16" i="2"/>
  <c r="D16" i="2"/>
  <c r="E15" i="2"/>
  <c r="D15" i="2"/>
  <c r="E14" i="2"/>
  <c r="D14" i="2"/>
  <c r="E13" i="2"/>
  <c r="D13" i="2"/>
  <c r="E12" i="2"/>
  <c r="D12" i="2"/>
  <c r="E11" i="2"/>
  <c r="D11" i="2"/>
  <c r="E10" i="2"/>
  <c r="D10" i="2"/>
  <c r="E9" i="2"/>
  <c r="D9" i="2"/>
  <c r="E8" i="2"/>
  <c r="D8" i="2"/>
  <c r="L126" i="8" l="1"/>
  <c r="L139" i="8"/>
  <c r="L141" i="8"/>
  <c r="O378" i="8"/>
  <c r="O377" i="8"/>
  <c r="O376" i="8"/>
  <c r="O375" i="8"/>
  <c r="K57" i="8"/>
  <c r="H58" i="8"/>
  <c r="K61" i="8"/>
  <c r="L72" i="8"/>
  <c r="L78" i="8"/>
  <c r="L93" i="8"/>
  <c r="H100" i="8"/>
  <c r="O154" i="8"/>
  <c r="O379" i="8"/>
  <c r="O380" i="8"/>
  <c r="O381" i="8"/>
  <c r="O382" i="8"/>
  <c r="O383" i="8"/>
  <c r="O384" i="8"/>
  <c r="J117" i="8"/>
  <c r="O124" i="8"/>
  <c r="J157" i="8"/>
  <c r="H159" i="8"/>
  <c r="H379" i="8"/>
  <c r="H380" i="8"/>
  <c r="H381" i="8"/>
  <c r="H382" i="8"/>
  <c r="H383" i="8"/>
  <c r="H384" i="8"/>
  <c r="L130" i="8"/>
  <c r="L131" i="8"/>
  <c r="L132" i="8"/>
  <c r="K68" i="8"/>
  <c r="L80" i="8"/>
  <c r="H94" i="8"/>
  <c r="L97" i="8"/>
  <c r="J360" i="8"/>
  <c r="J379" i="8"/>
  <c r="J380" i="8"/>
  <c r="J381" i="8"/>
  <c r="J382" i="8"/>
  <c r="J383" i="8"/>
  <c r="J384" i="8"/>
  <c r="J110" i="8"/>
  <c r="J68" i="8"/>
  <c r="J120" i="8"/>
  <c r="H111" i="8"/>
  <c r="L134" i="8"/>
  <c r="J136" i="8"/>
  <c r="J137" i="8"/>
  <c r="O150" i="8"/>
  <c r="K91" i="8"/>
  <c r="K379" i="8"/>
  <c r="K380" i="8"/>
  <c r="K381" i="8"/>
  <c r="K382" i="8"/>
  <c r="K383" i="8"/>
  <c r="K384" i="8"/>
  <c r="K52" i="8"/>
  <c r="L164" i="8"/>
  <c r="L82" i="8"/>
  <c r="L379" i="8"/>
  <c r="L380" i="8"/>
  <c r="L381" i="8"/>
  <c r="L382" i="8"/>
  <c r="L383" i="8"/>
  <c r="L384" i="8"/>
  <c r="Q384" i="8"/>
  <c r="I384" i="8"/>
  <c r="Q383" i="8"/>
  <c r="I383" i="8"/>
  <c r="Q382" i="8"/>
  <c r="I382" i="8"/>
  <c r="Q381" i="8"/>
  <c r="I381" i="8"/>
  <c r="Q380" i="8"/>
  <c r="I380" i="8"/>
  <c r="Q379" i="8"/>
  <c r="O34" i="8"/>
  <c r="O35" i="8"/>
  <c r="K41" i="8"/>
  <c r="H42" i="8"/>
  <c r="O42" i="8"/>
  <c r="L44" i="8"/>
  <c r="L48" i="8"/>
  <c r="J50" i="8"/>
  <c r="L53" i="8"/>
  <c r="J58" i="8"/>
  <c r="O62" i="8"/>
  <c r="L64" i="8"/>
  <c r="H65" i="8"/>
  <c r="L70" i="8"/>
  <c r="J76" i="8"/>
  <c r="O78" i="8"/>
  <c r="J80" i="8"/>
  <c r="O87" i="8"/>
  <c r="O88" i="8"/>
  <c r="O100" i="8"/>
  <c r="H105" i="8"/>
  <c r="O105" i="8"/>
  <c r="O106" i="8"/>
  <c r="J109" i="8"/>
  <c r="O119" i="8"/>
  <c r="I127" i="8"/>
  <c r="I135" i="8"/>
  <c r="O139" i="8"/>
  <c r="L144" i="8"/>
  <c r="L145" i="8"/>
  <c r="L148" i="8"/>
  <c r="O162" i="8"/>
  <c r="M384" i="8"/>
  <c r="M383" i="8"/>
  <c r="M382" i="8"/>
  <c r="M381" i="8"/>
  <c r="M380" i="8"/>
  <c r="M379" i="8"/>
  <c r="O5" i="8"/>
  <c r="L9" i="8"/>
  <c r="L12" i="8"/>
  <c r="K13" i="8"/>
  <c r="J14" i="8"/>
  <c r="H15" i="8"/>
  <c r="O16" i="8"/>
  <c r="L18" i="8"/>
  <c r="H20" i="8"/>
  <c r="O21" i="8"/>
  <c r="L23" i="8"/>
  <c r="J25" i="8"/>
  <c r="O26" i="8"/>
  <c r="L28" i="8"/>
  <c r="K29" i="8"/>
  <c r="O31" i="8"/>
  <c r="J35" i="8"/>
  <c r="O36" i="8"/>
  <c r="J38" i="8"/>
  <c r="L42" i="8"/>
  <c r="H44" i="8"/>
  <c r="O49" i="8"/>
  <c r="H53" i="8"/>
  <c r="K59" i="8"/>
  <c r="H64" i="8"/>
  <c r="L65" i="8"/>
  <c r="J69" i="8"/>
  <c r="O71" i="8"/>
  <c r="J73" i="8"/>
  <c r="O76" i="8"/>
  <c r="J83" i="8"/>
  <c r="H84" i="8"/>
  <c r="Q84" i="8"/>
  <c r="J88" i="8"/>
  <c r="Q89" i="8"/>
  <c r="O90" i="8"/>
  <c r="I94" i="8"/>
  <c r="Q94" i="8"/>
  <c r="Q95" i="8"/>
  <c r="O96" i="8"/>
  <c r="J101" i="8"/>
  <c r="I102" i="8"/>
  <c r="O103" i="8"/>
  <c r="J106" i="8"/>
  <c r="O108" i="8"/>
  <c r="J111" i="8"/>
  <c r="H113" i="8"/>
  <c r="I121" i="8"/>
  <c r="O125" i="8"/>
  <c r="J130" i="8"/>
  <c r="O153" i="8"/>
  <c r="M155" i="8"/>
  <c r="J162" i="8"/>
  <c r="O171" i="8"/>
  <c r="H41" i="8"/>
  <c r="O41" i="8"/>
  <c r="O44" i="8"/>
  <c r="L46" i="8"/>
  <c r="J47" i="8"/>
  <c r="H49" i="8"/>
  <c r="O50" i="8"/>
  <c r="L52" i="8"/>
  <c r="J56" i="8"/>
  <c r="J57" i="8"/>
  <c r="O60" i="8"/>
  <c r="J63" i="8"/>
  <c r="O64" i="8"/>
  <c r="J66" i="8"/>
  <c r="K73" i="8"/>
  <c r="J74" i="8"/>
  <c r="J79" i="8"/>
  <c r="O80" i="8"/>
  <c r="H85" i="8"/>
  <c r="O85" i="8"/>
  <c r="L92" i="8"/>
  <c r="H95" i="8"/>
  <c r="L98" i="8"/>
  <c r="H103" i="8"/>
  <c r="O104" i="8"/>
  <c r="J107" i="8"/>
  <c r="H108" i="8"/>
  <c r="O109" i="8"/>
  <c r="H116" i="8"/>
  <c r="L119" i="8"/>
  <c r="K120" i="8"/>
  <c r="J121" i="8"/>
  <c r="J122" i="8"/>
  <c r="I123" i="8"/>
  <c r="J132" i="8"/>
  <c r="I144" i="8"/>
  <c r="I149" i="8"/>
  <c r="Q153" i="8"/>
  <c r="M158" i="8"/>
  <c r="Q174" i="8"/>
  <c r="Q175" i="8"/>
  <c r="M184" i="8"/>
  <c r="M185" i="8"/>
  <c r="M187" i="8"/>
  <c r="M197" i="8"/>
  <c r="K63" i="8"/>
  <c r="J67" i="8"/>
  <c r="H68" i="8"/>
  <c r="L69" i="8"/>
  <c r="J70" i="8"/>
  <c r="J75" i="8"/>
  <c r="H76" i="8"/>
  <c r="H80" i="8"/>
  <c r="O81" i="8"/>
  <c r="J84" i="8"/>
  <c r="O86" i="8"/>
  <c r="L88" i="8"/>
  <c r="K94" i="8"/>
  <c r="L101" i="8"/>
  <c r="L106" i="8"/>
  <c r="L111" i="8"/>
  <c r="J113" i="8"/>
  <c r="J114" i="8"/>
  <c r="O117" i="8"/>
  <c r="J124" i="8"/>
  <c r="O127" i="8"/>
  <c r="O135" i="8"/>
  <c r="J143" i="8"/>
  <c r="J146" i="8"/>
  <c r="O157" i="8"/>
  <c r="K165" i="8"/>
  <c r="Q177" i="8"/>
  <c r="Q179" i="8"/>
  <c r="O184" i="8"/>
  <c r="O191" i="8"/>
  <c r="O197" i="8"/>
  <c r="O201" i="8"/>
  <c r="O205" i="8"/>
  <c r="O207" i="8"/>
  <c r="O213" i="8"/>
  <c r="K79" i="8"/>
  <c r="K112" i="8"/>
  <c r="K128" i="8"/>
  <c r="K43" i="8"/>
  <c r="K48" i="8"/>
  <c r="K85" i="8"/>
  <c r="K92" i="8"/>
  <c r="L135" i="8"/>
  <c r="K136" i="8"/>
  <c r="K88" i="8"/>
  <c r="K121" i="8"/>
  <c r="L129" i="8"/>
  <c r="L157" i="8"/>
  <c r="K157" i="8"/>
  <c r="K360" i="8"/>
  <c r="K361" i="8"/>
  <c r="K362" i="8"/>
  <c r="K363" i="8"/>
  <c r="K364" i="8"/>
  <c r="K365" i="8"/>
  <c r="K366" i="8"/>
  <c r="K367" i="8"/>
  <c r="K368" i="8"/>
  <c r="K369" i="8"/>
  <c r="K370" i="8"/>
  <c r="K371" i="8"/>
  <c r="K372" i="8"/>
  <c r="K373" i="8"/>
  <c r="K374" i="8"/>
  <c r="K375" i="8"/>
  <c r="K376" i="8"/>
  <c r="K377" i="8"/>
  <c r="K378" i="8"/>
  <c r="K110" i="8"/>
  <c r="K156" i="8"/>
  <c r="K122" i="8"/>
  <c r="K113" i="8"/>
  <c r="K99" i="8"/>
  <c r="K81" i="8"/>
  <c r="K145" i="8"/>
  <c r="K124" i="8"/>
  <c r="K115" i="8"/>
  <c r="K97" i="8"/>
  <c r="K138" i="8"/>
  <c r="K107" i="8"/>
  <c r="K36" i="8"/>
  <c r="K55" i="8"/>
  <c r="K71" i="8"/>
  <c r="K82" i="8"/>
  <c r="L178" i="8"/>
  <c r="L110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136" i="8"/>
  <c r="L128" i="8"/>
  <c r="L120" i="8"/>
  <c r="L113" i="8"/>
  <c r="L99" i="8"/>
  <c r="L81" i="8"/>
  <c r="L168" i="8"/>
  <c r="L165" i="8"/>
  <c r="L74" i="8"/>
  <c r="L160" i="8"/>
  <c r="L122" i="8"/>
  <c r="L103" i="8"/>
  <c r="L115" i="8"/>
  <c r="L116" i="8"/>
  <c r="K125" i="8"/>
  <c r="K131" i="8"/>
  <c r="K132" i="8"/>
  <c r="K89" i="8"/>
  <c r="K96" i="8"/>
  <c r="K106" i="8"/>
  <c r="K130" i="8"/>
  <c r="K143" i="8"/>
  <c r="K148" i="8"/>
  <c r="K126" i="8"/>
  <c r="L104" i="8"/>
  <c r="K108" i="8"/>
  <c r="L123" i="8"/>
  <c r="L124" i="8"/>
  <c r="K129" i="8"/>
  <c r="K134" i="8"/>
  <c r="L152" i="8"/>
  <c r="L153" i="8"/>
  <c r="I157" i="8"/>
  <c r="I158" i="8"/>
  <c r="M170" i="8"/>
  <c r="L173" i="8"/>
  <c r="M376" i="8"/>
  <c r="K50" i="8"/>
  <c r="L57" i="8"/>
  <c r="L59" i="8"/>
  <c r="K62" i="8"/>
  <c r="K66" i="8"/>
  <c r="K70" i="8"/>
  <c r="K78" i="8"/>
  <c r="L84" i="8"/>
  <c r="L91" i="8"/>
  <c r="K98" i="8"/>
  <c r="K102" i="8"/>
  <c r="I163" i="8"/>
  <c r="I148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Q202" i="8"/>
  <c r="Q107" i="8"/>
  <c r="Q105" i="8"/>
  <c r="Q99" i="8"/>
  <c r="Q97" i="8"/>
  <c r="Q91" i="8"/>
  <c r="Q87" i="8"/>
  <c r="Q83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L112" i="8"/>
  <c r="Q113" i="8"/>
  <c r="K116" i="8"/>
  <c r="Q117" i="8"/>
  <c r="I131" i="8"/>
  <c r="Q138" i="8"/>
  <c r="M141" i="8"/>
  <c r="L142" i="8"/>
  <c r="Q149" i="8"/>
  <c r="Q150" i="8"/>
  <c r="L156" i="8"/>
  <c r="Q169" i="8"/>
  <c r="M178" i="8"/>
  <c r="M179" i="8"/>
  <c r="L146" i="8"/>
  <c r="L147" i="8"/>
  <c r="K40" i="8"/>
  <c r="K49" i="8"/>
  <c r="L58" i="8"/>
  <c r="L63" i="8"/>
  <c r="L67" i="8"/>
  <c r="L71" i="8"/>
  <c r="K86" i="8"/>
  <c r="L96" i="8"/>
  <c r="K100" i="8"/>
  <c r="M194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3" i="8"/>
  <c r="M374" i="8"/>
  <c r="M375" i="8"/>
  <c r="K114" i="8"/>
  <c r="Q115" i="8"/>
  <c r="K118" i="8"/>
  <c r="I119" i="8"/>
  <c r="M121" i="8"/>
  <c r="L127" i="8"/>
  <c r="I129" i="8"/>
  <c r="M131" i="8"/>
  <c r="K133" i="8"/>
  <c r="L137" i="8"/>
  <c r="L138" i="8"/>
  <c r="Q143" i="8"/>
  <c r="M146" i="8"/>
  <c r="M147" i="8"/>
  <c r="L149" i="8"/>
  <c r="Q157" i="8"/>
  <c r="M159" i="8"/>
  <c r="K161" i="8"/>
  <c r="M377" i="8"/>
  <c r="K12" i="8"/>
  <c r="K14" i="8"/>
  <c r="K16" i="8"/>
  <c r="K18" i="8"/>
  <c r="K20" i="8"/>
  <c r="K22" i="8"/>
  <c r="K24" i="8"/>
  <c r="K26" i="8"/>
  <c r="K28" i="8"/>
  <c r="K30" i="8"/>
  <c r="K32" i="8"/>
  <c r="K34" i="8"/>
  <c r="K46" i="8"/>
  <c r="L49" i="8"/>
  <c r="L51" i="8"/>
  <c r="K56" i="8"/>
  <c r="K74" i="8"/>
  <c r="K83" i="8"/>
  <c r="K90" i="8"/>
  <c r="M95" i="8"/>
  <c r="M96" i="8"/>
  <c r="Q98" i="8"/>
  <c r="L100" i="8"/>
  <c r="K104" i="8"/>
  <c r="I105" i="8"/>
  <c r="Q112" i="8"/>
  <c r="L114" i="8"/>
  <c r="L118" i="8"/>
  <c r="K123" i="8"/>
  <c r="L151" i="8"/>
  <c r="K153" i="8"/>
  <c r="I159" i="8"/>
  <c r="L161" i="8"/>
  <c r="Q166" i="8"/>
  <c r="Q167" i="8"/>
  <c r="L75" i="8"/>
  <c r="L79" i="8"/>
  <c r="L83" i="8"/>
  <c r="L87" i="8"/>
  <c r="I92" i="8"/>
  <c r="I98" i="8"/>
  <c r="I100" i="8"/>
  <c r="I106" i="8"/>
  <c r="I108" i="8"/>
  <c r="O196" i="8"/>
  <c r="I114" i="8"/>
  <c r="I116" i="8"/>
  <c r="O116" i="8"/>
  <c r="O118" i="8"/>
  <c r="O121" i="8"/>
  <c r="J123" i="8"/>
  <c r="O126" i="8"/>
  <c r="O129" i="8"/>
  <c r="J131" i="8"/>
  <c r="O134" i="8"/>
  <c r="M139" i="8"/>
  <c r="L140" i="8"/>
  <c r="I143" i="8"/>
  <c r="O148" i="8"/>
  <c r="L150" i="8"/>
  <c r="Q161" i="8"/>
  <c r="M163" i="8"/>
  <c r="M169" i="8"/>
  <c r="Q176" i="8"/>
  <c r="M182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O374" i="8"/>
  <c r="O373" i="8"/>
  <c r="O372" i="8"/>
  <c r="O371" i="8"/>
  <c r="O370" i="8"/>
  <c r="O369" i="8"/>
  <c r="O368" i="8"/>
  <c r="O367" i="8"/>
  <c r="O366" i="8"/>
  <c r="O365" i="8"/>
  <c r="O364" i="8"/>
  <c r="O363" i="8"/>
  <c r="O362" i="8"/>
  <c r="O361" i="8"/>
  <c r="O360" i="8"/>
  <c r="I109" i="8"/>
  <c r="I111" i="8"/>
  <c r="Q140" i="8"/>
  <c r="M142" i="8"/>
  <c r="J144" i="8"/>
  <c r="Q145" i="8"/>
  <c r="J149" i="8"/>
  <c r="J154" i="8"/>
  <c r="Q159" i="8"/>
  <c r="I164" i="8"/>
  <c r="M166" i="8"/>
  <c r="M172" i="8"/>
  <c r="I73" i="8"/>
  <c r="I77" i="8"/>
  <c r="I81" i="8"/>
  <c r="I85" i="8"/>
  <c r="I89" i="8"/>
  <c r="L90" i="8"/>
  <c r="K119" i="8"/>
  <c r="I125" i="8"/>
  <c r="K127" i="8"/>
  <c r="I133" i="8"/>
  <c r="K135" i="8"/>
  <c r="I150" i="8"/>
  <c r="Q151" i="8"/>
  <c r="M167" i="8"/>
  <c r="M175" i="8"/>
  <c r="K93" i="8"/>
  <c r="K95" i="8"/>
  <c r="K101" i="8"/>
  <c r="K103" i="8"/>
  <c r="K109" i="8"/>
  <c r="K111" i="8"/>
  <c r="K117" i="8"/>
  <c r="O120" i="8"/>
  <c r="O123" i="8"/>
  <c r="J125" i="8"/>
  <c r="O128" i="8"/>
  <c r="O131" i="8"/>
  <c r="J133" i="8"/>
  <c r="O136" i="8"/>
  <c r="J140" i="8"/>
  <c r="Q141" i="8"/>
  <c r="Q142" i="8"/>
  <c r="I160" i="8"/>
  <c r="M162" i="8"/>
  <c r="Q165" i="8"/>
  <c r="Q171" i="8"/>
  <c r="Q172" i="8"/>
  <c r="M177" i="8"/>
  <c r="J378" i="8"/>
  <c r="J377" i="8"/>
  <c r="J376" i="8"/>
  <c r="J375" i="8"/>
  <c r="J374" i="8"/>
  <c r="J373" i="8"/>
  <c r="J372" i="8"/>
  <c r="J371" i="8"/>
  <c r="J370" i="8"/>
  <c r="J369" i="8"/>
  <c r="J368" i="8"/>
  <c r="J367" i="8"/>
  <c r="J366" i="8"/>
  <c r="J365" i="8"/>
  <c r="J364" i="8"/>
  <c r="J363" i="8"/>
  <c r="J362" i="8"/>
  <c r="J361" i="8"/>
  <c r="C8" i="7"/>
  <c r="Q8" i="7"/>
  <c r="D8" i="7"/>
  <c r="R8" i="7"/>
  <c r="E8" i="7"/>
  <c r="S8" i="7"/>
  <c r="I8" i="7"/>
  <c r="T8" i="7"/>
  <c r="K8" i="7"/>
  <c r="L8" i="7"/>
  <c r="M8" i="7"/>
  <c r="F9" i="7"/>
  <c r="N9" i="7"/>
  <c r="O9" i="7"/>
  <c r="Q9" i="7"/>
  <c r="F8" i="7"/>
  <c r="N8" i="7"/>
  <c r="V8" i="7"/>
  <c r="J9" i="7"/>
  <c r="R9" i="7"/>
  <c r="H8" i="7"/>
  <c r="P8" i="7"/>
  <c r="D9" i="7"/>
  <c r="L9" i="7"/>
  <c r="T9" i="7"/>
  <c r="H62" i="8"/>
  <c r="H66" i="8"/>
  <c r="H70" i="8"/>
  <c r="H74" i="8"/>
  <c r="H78" i="8"/>
  <c r="H82" i="8"/>
  <c r="H86" i="8"/>
  <c r="H90" i="8"/>
  <c r="H98" i="8"/>
  <c r="H106" i="8"/>
  <c r="H114" i="8"/>
  <c r="I117" i="8"/>
  <c r="H119" i="8"/>
  <c r="H121" i="8"/>
  <c r="H123" i="8"/>
  <c r="H125" i="8"/>
  <c r="H127" i="8"/>
  <c r="H129" i="8"/>
  <c r="H131" i="8"/>
  <c r="H133" i="8"/>
  <c r="H135" i="8"/>
  <c r="H137" i="8"/>
  <c r="J139" i="8"/>
  <c r="H144" i="8"/>
  <c r="K144" i="8"/>
  <c r="I146" i="8"/>
  <c r="I147" i="8"/>
  <c r="K152" i="8"/>
  <c r="I154" i="8"/>
  <c r="I155" i="8"/>
  <c r="K160" i="8"/>
  <c r="I162" i="8"/>
  <c r="J165" i="8"/>
  <c r="K183" i="8"/>
  <c r="H141" i="8"/>
  <c r="H143" i="8"/>
  <c r="H164" i="8"/>
  <c r="K192" i="8"/>
  <c r="V9" i="7"/>
  <c r="H148" i="8"/>
  <c r="H156" i="8"/>
  <c r="K164" i="8"/>
  <c r="I166" i="8"/>
  <c r="H138" i="8"/>
  <c r="H151" i="8"/>
  <c r="J166" i="8"/>
  <c r="H341" i="8"/>
  <c r="H343" i="8"/>
  <c r="H338" i="8"/>
  <c r="H336" i="8"/>
  <c r="H334" i="8"/>
  <c r="H332" i="8"/>
  <c r="H330" i="8"/>
  <c r="H328" i="8"/>
  <c r="H324" i="8"/>
  <c r="H320" i="8"/>
  <c r="H316" i="8"/>
  <c r="H312" i="8"/>
  <c r="H308" i="8"/>
  <c r="H304" i="8"/>
  <c r="H300" i="8"/>
  <c r="H296" i="8"/>
  <c r="H292" i="8"/>
  <c r="H342" i="8"/>
  <c r="H339" i="8"/>
  <c r="H280" i="8"/>
  <c r="H276" i="8"/>
  <c r="H270" i="8"/>
  <c r="H245" i="8"/>
  <c r="H284" i="8"/>
  <c r="H282" i="8"/>
  <c r="H273" i="8"/>
  <c r="H254" i="8"/>
  <c r="H250" i="8"/>
  <c r="H340" i="8"/>
  <c r="H325" i="8"/>
  <c r="H317" i="8"/>
  <c r="H309" i="8"/>
  <c r="H301" i="8"/>
  <c r="H293" i="8"/>
  <c r="H288" i="8"/>
  <c r="H322" i="8"/>
  <c r="H314" i="8"/>
  <c r="H306" i="8"/>
  <c r="H331" i="8"/>
  <c r="H321" i="8"/>
  <c r="H313" i="8"/>
  <c r="H305" i="8"/>
  <c r="H297" i="8"/>
  <c r="H253" i="8"/>
  <c r="H264" i="8"/>
  <c r="H298" i="8"/>
  <c r="H268" i="8"/>
  <c r="H261" i="8"/>
  <c r="H228" i="8"/>
  <c r="H290" i="8"/>
  <c r="H274" i="8"/>
  <c r="H271" i="8"/>
  <c r="H277" i="8"/>
  <c r="H260" i="8"/>
  <c r="H255" i="8"/>
  <c r="H265" i="8"/>
  <c r="H269" i="8"/>
  <c r="H236" i="8"/>
  <c r="H247" i="8"/>
  <c r="H237" i="8"/>
  <c r="H252" i="8"/>
  <c r="H221" i="8"/>
  <c r="H225" i="8"/>
  <c r="H184" i="8"/>
  <c r="H244" i="8"/>
  <c r="H233" i="8"/>
  <c r="H256" i="8"/>
  <c r="H230" i="8"/>
  <c r="H248" i="8"/>
  <c r="H241" i="8"/>
  <c r="H224" i="8"/>
  <c r="H186" i="8"/>
  <c r="H179" i="8"/>
  <c r="H171" i="8"/>
  <c r="H165" i="8"/>
  <c r="H161" i="8"/>
  <c r="H157" i="8"/>
  <c r="H153" i="8"/>
  <c r="H149" i="8"/>
  <c r="H145" i="8"/>
  <c r="H110" i="8"/>
  <c r="H183" i="8"/>
  <c r="H174" i="8"/>
  <c r="H177" i="8"/>
  <c r="H169" i="8"/>
  <c r="H166" i="8"/>
  <c r="H162" i="8"/>
  <c r="H158" i="8"/>
  <c r="H154" i="8"/>
  <c r="H150" i="8"/>
  <c r="H146" i="8"/>
  <c r="H139" i="8"/>
  <c r="H172" i="8"/>
  <c r="H220" i="8"/>
  <c r="H187" i="8"/>
  <c r="H180" i="8"/>
  <c r="H175" i="8"/>
  <c r="H167" i="8"/>
  <c r="H178" i="8"/>
  <c r="H170" i="8"/>
  <c r="H173" i="8"/>
  <c r="H176" i="8"/>
  <c r="H168" i="8"/>
  <c r="H118" i="8"/>
  <c r="H120" i="8"/>
  <c r="H122" i="8"/>
  <c r="H124" i="8"/>
  <c r="H126" i="8"/>
  <c r="H128" i="8"/>
  <c r="H130" i="8"/>
  <c r="H132" i="8"/>
  <c r="H134" i="8"/>
  <c r="H136" i="8"/>
  <c r="G9" i="7"/>
  <c r="H40" i="8"/>
  <c r="H48" i="8"/>
  <c r="H56" i="8"/>
  <c r="H91" i="8"/>
  <c r="H99" i="8"/>
  <c r="H107" i="8"/>
  <c r="I355" i="8"/>
  <c r="I351" i="8"/>
  <c r="I347" i="8"/>
  <c r="I359" i="8"/>
  <c r="I254" i="8"/>
  <c r="I325" i="8"/>
  <c r="I317" i="8"/>
  <c r="I309" i="8"/>
  <c r="I301" i="8"/>
  <c r="I293" i="8"/>
  <c r="I286" i="8"/>
  <c r="I263" i="8"/>
  <c r="I246" i="8"/>
  <c r="I242" i="8"/>
  <c r="I322" i="8"/>
  <c r="I314" i="8"/>
  <c r="I271" i="8"/>
  <c r="I321" i="8"/>
  <c r="I313" i="8"/>
  <c r="I305" i="8"/>
  <c r="I270" i="8"/>
  <c r="I262" i="8"/>
  <c r="I234" i="8"/>
  <c r="I256" i="8"/>
  <c r="I237" i="8"/>
  <c r="I297" i="8"/>
  <c r="I277" i="8"/>
  <c r="I285" i="8"/>
  <c r="I281" i="8"/>
  <c r="I289" i="8"/>
  <c r="I247" i="8"/>
  <c r="I257" i="8"/>
  <c r="I275" i="8"/>
  <c r="I264" i="8"/>
  <c r="I243" i="8"/>
  <c r="I253" i="8"/>
  <c r="I229" i="8"/>
  <c r="I219" i="8"/>
  <c r="I217" i="8"/>
  <c r="I215" i="8"/>
  <c r="I213" i="8"/>
  <c r="I211" i="8"/>
  <c r="I209" i="8"/>
  <c r="I207" i="8"/>
  <c r="I205" i="8"/>
  <c r="I203" i="8"/>
  <c r="I201" i="8"/>
  <c r="I199" i="8"/>
  <c r="I194" i="8"/>
  <c r="I197" i="8"/>
  <c r="I225" i="8"/>
  <c r="I239" i="8"/>
  <c r="I236" i="8"/>
  <c r="I233" i="8"/>
  <c r="I195" i="8"/>
  <c r="I185" i="8"/>
  <c r="I218" i="8"/>
  <c r="I216" i="8"/>
  <c r="I214" i="8"/>
  <c r="I212" i="8"/>
  <c r="I210" i="8"/>
  <c r="I208" i="8"/>
  <c r="I206" i="8"/>
  <c r="I204" i="8"/>
  <c r="I202" i="8"/>
  <c r="I200" i="8"/>
  <c r="I198" i="8"/>
  <c r="I192" i="8"/>
  <c r="I222" i="8"/>
  <c r="I238" i="8"/>
  <c r="I174" i="8"/>
  <c r="I177" i="8"/>
  <c r="I169" i="8"/>
  <c r="I172" i="8"/>
  <c r="I140" i="8"/>
  <c r="I187" i="8"/>
  <c r="I180" i="8"/>
  <c r="I175" i="8"/>
  <c r="I167" i="8"/>
  <c r="I189" i="8"/>
  <c r="I178" i="8"/>
  <c r="I170" i="8"/>
  <c r="I191" i="8"/>
  <c r="I184" i="8"/>
  <c r="I173" i="8"/>
  <c r="I196" i="8"/>
  <c r="I176" i="8"/>
  <c r="I168" i="8"/>
  <c r="I193" i="8"/>
  <c r="I188" i="8"/>
  <c r="I179" i="8"/>
  <c r="I171" i="8"/>
  <c r="I110" i="8"/>
  <c r="H115" i="8"/>
  <c r="I118" i="8"/>
  <c r="I120" i="8"/>
  <c r="I122" i="8"/>
  <c r="I124" i="8"/>
  <c r="I126" i="8"/>
  <c r="I128" i="8"/>
  <c r="I130" i="8"/>
  <c r="I132" i="8"/>
  <c r="I134" i="8"/>
  <c r="I136" i="8"/>
  <c r="J138" i="8"/>
  <c r="H142" i="8"/>
  <c r="I145" i="8"/>
  <c r="J150" i="8"/>
  <c r="I153" i="8"/>
  <c r="J158" i="8"/>
  <c r="I161" i="8"/>
  <c r="E9" i="7"/>
  <c r="M9" i="7"/>
  <c r="U9" i="7"/>
  <c r="H9" i="7"/>
  <c r="P9" i="7"/>
  <c r="H63" i="8"/>
  <c r="H67" i="8"/>
  <c r="H71" i="8"/>
  <c r="H75" i="8"/>
  <c r="H79" i="8"/>
  <c r="H83" i="8"/>
  <c r="H87" i="8"/>
  <c r="H96" i="8"/>
  <c r="I99" i="8"/>
  <c r="H104" i="8"/>
  <c r="I107" i="8"/>
  <c r="J325" i="8"/>
  <c r="J321" i="8"/>
  <c r="J317" i="8"/>
  <c r="J313" i="8"/>
  <c r="J309" i="8"/>
  <c r="J305" i="8"/>
  <c r="J301" i="8"/>
  <c r="J297" i="8"/>
  <c r="J293" i="8"/>
  <c r="J337" i="8"/>
  <c r="J335" i="8"/>
  <c r="J333" i="8"/>
  <c r="J331" i="8"/>
  <c r="J263" i="8"/>
  <c r="J322" i="8"/>
  <c r="J314" i="8"/>
  <c r="J306" i="8"/>
  <c r="J298" i="8"/>
  <c r="J290" i="8"/>
  <c r="J274" i="8"/>
  <c r="J271" i="8"/>
  <c r="J255" i="8"/>
  <c r="J277" i="8"/>
  <c r="J247" i="8"/>
  <c r="J327" i="8"/>
  <c r="J319" i="8"/>
  <c r="J311" i="8"/>
  <c r="J303" i="8"/>
  <c r="J326" i="8"/>
  <c r="J318" i="8"/>
  <c r="J310" i="8"/>
  <c r="J329" i="8"/>
  <c r="J287" i="8"/>
  <c r="J256" i="8"/>
  <c r="J248" i="8"/>
  <c r="J285" i="8"/>
  <c r="J281" i="8"/>
  <c r="J258" i="8"/>
  <c r="J289" i="8"/>
  <c r="J265" i="8"/>
  <c r="J260" i="8"/>
  <c r="J295" i="8"/>
  <c r="J230" i="8"/>
  <c r="J262" i="8"/>
  <c r="J302" i="8"/>
  <c r="J294" i="8"/>
  <c r="J279" i="8"/>
  <c r="J275" i="8"/>
  <c r="J272" i="8"/>
  <c r="J283" i="8"/>
  <c r="J266" i="8"/>
  <c r="J234" i="8"/>
  <c r="J231" i="8"/>
  <c r="J197" i="8"/>
  <c r="J183" i="8"/>
  <c r="J252" i="8"/>
  <c r="J223" i="8"/>
  <c r="J191" i="8"/>
  <c r="J184" i="8"/>
  <c r="J244" i="8"/>
  <c r="J218" i="8"/>
  <c r="J216" i="8"/>
  <c r="J214" i="8"/>
  <c r="J212" i="8"/>
  <c r="J210" i="8"/>
  <c r="J208" i="8"/>
  <c r="J206" i="8"/>
  <c r="J204" i="8"/>
  <c r="J202" i="8"/>
  <c r="J200" i="8"/>
  <c r="J198" i="8"/>
  <c r="J192" i="8"/>
  <c r="J186" i="8"/>
  <c r="J222" i="8"/>
  <c r="J187" i="8"/>
  <c r="J179" i="8"/>
  <c r="J238" i="8"/>
  <c r="J227" i="8"/>
  <c r="J220" i="8"/>
  <c r="J235" i="8"/>
  <c r="J232" i="8"/>
  <c r="J229" i="8"/>
  <c r="J226" i="8"/>
  <c r="J219" i="8"/>
  <c r="J215" i="8"/>
  <c r="J199" i="8"/>
  <c r="J190" i="8"/>
  <c r="J209" i="8"/>
  <c r="J195" i="8"/>
  <c r="J203" i="8"/>
  <c r="J185" i="8"/>
  <c r="J180" i="8"/>
  <c r="J141" i="8"/>
  <c r="J213" i="8"/>
  <c r="J189" i="8"/>
  <c r="J207" i="8"/>
  <c r="J194" i="8"/>
  <c r="J182" i="8"/>
  <c r="J217" i="8"/>
  <c r="J201" i="8"/>
  <c r="J196" i="8"/>
  <c r="J211" i="8"/>
  <c r="J193" i="8"/>
  <c r="J188" i="8"/>
  <c r="J205" i="8"/>
  <c r="J181" i="8"/>
  <c r="H112" i="8"/>
  <c r="I115" i="8"/>
  <c r="H140" i="8"/>
  <c r="I142" i="8"/>
  <c r="J145" i="8"/>
  <c r="K149" i="8"/>
  <c r="H152" i="8"/>
  <c r="J153" i="8"/>
  <c r="H160" i="8"/>
  <c r="J161" i="8"/>
  <c r="I181" i="8"/>
  <c r="H188" i="8"/>
  <c r="I9" i="7"/>
  <c r="G8" i="7"/>
  <c r="C9" i="7"/>
  <c r="K9" i="7"/>
  <c r="H93" i="8"/>
  <c r="I96" i="8"/>
  <c r="H101" i="8"/>
  <c r="I104" i="8"/>
  <c r="H109" i="8"/>
  <c r="K358" i="8"/>
  <c r="K354" i="8"/>
  <c r="K350" i="8"/>
  <c r="K344" i="8"/>
  <c r="K338" i="8"/>
  <c r="K336" i="8"/>
  <c r="K334" i="8"/>
  <c r="K332" i="8"/>
  <c r="K330" i="8"/>
  <c r="K328" i="8"/>
  <c r="K343" i="8"/>
  <c r="K325" i="8"/>
  <c r="K321" i="8"/>
  <c r="K317" i="8"/>
  <c r="K313" i="8"/>
  <c r="K309" i="8"/>
  <c r="K305" i="8"/>
  <c r="K301" i="8"/>
  <c r="K297" i="8"/>
  <c r="K293" i="8"/>
  <c r="K289" i="8"/>
  <c r="K285" i="8"/>
  <c r="K281" i="8"/>
  <c r="K277" i="8"/>
  <c r="K340" i="8"/>
  <c r="K353" i="8"/>
  <c r="K339" i="8"/>
  <c r="K359" i="8"/>
  <c r="K349" i="8"/>
  <c r="K346" i="8"/>
  <c r="K341" i="8"/>
  <c r="K324" i="8"/>
  <c r="K320" i="8"/>
  <c r="K316" i="8"/>
  <c r="K312" i="8"/>
  <c r="K308" i="8"/>
  <c r="K304" i="8"/>
  <c r="K300" i="8"/>
  <c r="K296" i="8"/>
  <c r="K292" i="8"/>
  <c r="K288" i="8"/>
  <c r="K284" i="8"/>
  <c r="K280" i="8"/>
  <c r="K322" i="8"/>
  <c r="K314" i="8"/>
  <c r="K306" i="8"/>
  <c r="K298" i="8"/>
  <c r="K290" i="8"/>
  <c r="K342" i="8"/>
  <c r="K333" i="8"/>
  <c r="K264" i="8"/>
  <c r="K247" i="8"/>
  <c r="K327" i="8"/>
  <c r="K319" i="8"/>
  <c r="K311" i="8"/>
  <c r="K303" i="8"/>
  <c r="K295" i="8"/>
  <c r="K279" i="8"/>
  <c r="K256" i="8"/>
  <c r="K331" i="8"/>
  <c r="K326" i="8"/>
  <c r="K318" i="8"/>
  <c r="K310" i="8"/>
  <c r="K347" i="8"/>
  <c r="K337" i="8"/>
  <c r="K329" i="8"/>
  <c r="K323" i="8"/>
  <c r="K315" i="8"/>
  <c r="K307" i="8"/>
  <c r="K299" i="8"/>
  <c r="K335" i="8"/>
  <c r="K286" i="8"/>
  <c r="K276" i="8"/>
  <c r="K278" i="8"/>
  <c r="K291" i="8"/>
  <c r="K282" i="8"/>
  <c r="K253" i="8"/>
  <c r="K265" i="8"/>
  <c r="K273" i="8"/>
  <c r="K257" i="8"/>
  <c r="K252" i="8"/>
  <c r="K244" i="8"/>
  <c r="K239" i="8"/>
  <c r="K302" i="8"/>
  <c r="K294" i="8"/>
  <c r="K272" i="8"/>
  <c r="K283" i="8"/>
  <c r="K269" i="8"/>
  <c r="K266" i="8"/>
  <c r="K287" i="8"/>
  <c r="K261" i="8"/>
  <c r="K248" i="8"/>
  <c r="K228" i="8"/>
  <c r="K221" i="8"/>
  <c r="K231" i="8"/>
  <c r="K236" i="8"/>
  <c r="K230" i="8"/>
  <c r="K187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227" i="8"/>
  <c r="K220" i="8"/>
  <c r="K193" i="8"/>
  <c r="K249" i="8"/>
  <c r="K235" i="8"/>
  <c r="K241" i="8"/>
  <c r="K232" i="8"/>
  <c r="K226" i="8"/>
  <c r="K166" i="8"/>
  <c r="K162" i="8"/>
  <c r="K158" i="8"/>
  <c r="K154" i="8"/>
  <c r="K150" i="8"/>
  <c r="K146" i="8"/>
  <c r="K140" i="8"/>
  <c r="K141" i="8"/>
  <c r="K189" i="8"/>
  <c r="K163" i="8"/>
  <c r="K159" i="8"/>
  <c r="K155" i="8"/>
  <c r="K151" i="8"/>
  <c r="K147" i="8"/>
  <c r="K142" i="8"/>
  <c r="K182" i="8"/>
  <c r="K181" i="8"/>
  <c r="K190" i="8"/>
  <c r="K186" i="8"/>
  <c r="K139" i="8"/>
  <c r="I112" i="8"/>
  <c r="H117" i="8"/>
  <c r="K137" i="8"/>
  <c r="I139" i="8"/>
  <c r="J142" i="8"/>
  <c r="H147" i="8"/>
  <c r="H155" i="8"/>
  <c r="H163" i="8"/>
  <c r="I165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O142" i="8"/>
  <c r="M143" i="8"/>
  <c r="Q144" i="8"/>
  <c r="O147" i="8"/>
  <c r="M148" i="8"/>
  <c r="Q148" i="8"/>
  <c r="O151" i="8"/>
  <c r="M152" i="8"/>
  <c r="Q152" i="8"/>
  <c r="L154" i="8"/>
  <c r="O155" i="8"/>
  <c r="M156" i="8"/>
  <c r="Q156" i="8"/>
  <c r="L158" i="8"/>
  <c r="O159" i="8"/>
  <c r="M160" i="8"/>
  <c r="Q160" i="8"/>
  <c r="L162" i="8"/>
  <c r="O163" i="8"/>
  <c r="M164" i="8"/>
  <c r="Q164" i="8"/>
  <c r="L166" i="8"/>
  <c r="Q170" i="8"/>
  <c r="J172" i="8"/>
  <c r="O172" i="8"/>
  <c r="M173" i="8"/>
  <c r="L174" i="8"/>
  <c r="Q178" i="8"/>
  <c r="K180" i="8"/>
  <c r="Q180" i="8"/>
  <c r="M183" i="8"/>
  <c r="L184" i="8"/>
  <c r="Q185" i="8"/>
  <c r="Q187" i="8"/>
  <c r="Q189" i="8"/>
  <c r="O195" i="8"/>
  <c r="M196" i="8"/>
  <c r="H198" i="8"/>
  <c r="Q198" i="8"/>
  <c r="M200" i="8"/>
  <c r="L201" i="8"/>
  <c r="L206" i="8"/>
  <c r="H209" i="8"/>
  <c r="O209" i="8"/>
  <c r="O210" i="8"/>
  <c r="K212" i="8"/>
  <c r="H214" i="8"/>
  <c r="Q214" i="8"/>
  <c r="M216" i="8"/>
  <c r="J221" i="8"/>
  <c r="J239" i="8"/>
  <c r="J240" i="8"/>
  <c r="J249" i="8"/>
  <c r="J169" i="8"/>
  <c r="J177" i="8"/>
  <c r="O177" i="8"/>
  <c r="H181" i="8"/>
  <c r="I183" i="8"/>
  <c r="O183" i="8"/>
  <c r="L189" i="8"/>
  <c r="H190" i="8"/>
  <c r="M190" i="8"/>
  <c r="Q192" i="8"/>
  <c r="L194" i="8"/>
  <c r="H199" i="8"/>
  <c r="O199" i="8"/>
  <c r="O200" i="8"/>
  <c r="K202" i="8"/>
  <c r="H204" i="8"/>
  <c r="Q204" i="8"/>
  <c r="M206" i="8"/>
  <c r="L207" i="8"/>
  <c r="L212" i="8"/>
  <c r="H215" i="8"/>
  <c r="O215" i="8"/>
  <c r="O216" i="8"/>
  <c r="L218" i="8"/>
  <c r="K223" i="8"/>
  <c r="K245" i="8"/>
  <c r="K250" i="8"/>
  <c r="J174" i="8"/>
  <c r="O174" i="8"/>
  <c r="L176" i="8"/>
  <c r="O179" i="8"/>
  <c r="K185" i="8"/>
  <c r="I186" i="8"/>
  <c r="O186" i="8"/>
  <c r="O188" i="8"/>
  <c r="I190" i="8"/>
  <c r="O193" i="8"/>
  <c r="Q195" i="8"/>
  <c r="L202" i="8"/>
  <c r="H205" i="8"/>
  <c r="O206" i="8"/>
  <c r="K208" i="8"/>
  <c r="H210" i="8"/>
  <c r="Q210" i="8"/>
  <c r="M212" i="8"/>
  <c r="L213" i="8"/>
  <c r="L231" i="8"/>
  <c r="L234" i="8"/>
  <c r="J171" i="8"/>
  <c r="O181" i="8"/>
  <c r="Q183" i="8"/>
  <c r="L185" i="8"/>
  <c r="Q190" i="8"/>
  <c r="M191" i="8"/>
  <c r="L192" i="8"/>
  <c r="K195" i="8"/>
  <c r="K198" i="8"/>
  <c r="H200" i="8"/>
  <c r="Q200" i="8"/>
  <c r="M202" i="8"/>
  <c r="L203" i="8"/>
  <c r="L208" i="8"/>
  <c r="H211" i="8"/>
  <c r="O211" i="8"/>
  <c r="O212" i="8"/>
  <c r="K214" i="8"/>
  <c r="H216" i="8"/>
  <c r="Q216" i="8"/>
  <c r="O217" i="8"/>
  <c r="O218" i="8"/>
  <c r="O219" i="8"/>
  <c r="J168" i="8"/>
  <c r="L170" i="8"/>
  <c r="J176" i="8"/>
  <c r="O176" i="8"/>
  <c r="Q181" i="8"/>
  <c r="K188" i="8"/>
  <c r="Q188" i="8"/>
  <c r="M192" i="8"/>
  <c r="Q193" i="8"/>
  <c r="L195" i="8"/>
  <c r="L198" i="8"/>
  <c r="H201" i="8"/>
  <c r="O202" i="8"/>
  <c r="K204" i="8"/>
  <c r="H206" i="8"/>
  <c r="Q206" i="8"/>
  <c r="M208" i="8"/>
  <c r="L209" i="8"/>
  <c r="L214" i="8"/>
  <c r="H217" i="8"/>
  <c r="L357" i="8"/>
  <c r="L353" i="8"/>
  <c r="L349" i="8"/>
  <c r="L345" i="8"/>
  <c r="L348" i="8"/>
  <c r="L326" i="8"/>
  <c r="L322" i="8"/>
  <c r="L318" i="8"/>
  <c r="L314" i="8"/>
  <c r="L310" i="8"/>
  <c r="L306" i="8"/>
  <c r="L302" i="8"/>
  <c r="L298" i="8"/>
  <c r="L294" i="8"/>
  <c r="L290" i="8"/>
  <c r="L356" i="8"/>
  <c r="L344" i="8"/>
  <c r="L341" i="8"/>
  <c r="L352" i="8"/>
  <c r="L342" i="8"/>
  <c r="L333" i="8"/>
  <c r="L304" i="8"/>
  <c r="L296" i="8"/>
  <c r="L327" i="8"/>
  <c r="L319" i="8"/>
  <c r="L311" i="8"/>
  <c r="L303" i="8"/>
  <c r="L295" i="8"/>
  <c r="L256" i="8"/>
  <c r="L331" i="8"/>
  <c r="L265" i="8"/>
  <c r="L339" i="8"/>
  <c r="L337" i="8"/>
  <c r="L324" i="8"/>
  <c r="L316" i="8"/>
  <c r="L329" i="8"/>
  <c r="L323" i="8"/>
  <c r="L315" i="8"/>
  <c r="L307" i="8"/>
  <c r="L335" i="8"/>
  <c r="L280" i="8"/>
  <c r="L274" i="8"/>
  <c r="L299" i="8"/>
  <c r="L291" i="8"/>
  <c r="L282" i="8"/>
  <c r="L258" i="8"/>
  <c r="L253" i="8"/>
  <c r="L240" i="8"/>
  <c r="L286" i="8"/>
  <c r="L250" i="8"/>
  <c r="L245" i="8"/>
  <c r="L232" i="8"/>
  <c r="L229" i="8"/>
  <c r="L273" i="8"/>
  <c r="L267" i="8"/>
  <c r="L257" i="8"/>
  <c r="L308" i="8"/>
  <c r="L270" i="8"/>
  <c r="L262" i="8"/>
  <c r="L249" i="8"/>
  <c r="L241" i="8"/>
  <c r="L276" i="8"/>
  <c r="L269" i="8"/>
  <c r="L266" i="8"/>
  <c r="L287" i="8"/>
  <c r="L261" i="8"/>
  <c r="L259" i="8"/>
  <c r="L300" i="8"/>
  <c r="L292" i="8"/>
  <c r="L278" i="8"/>
  <c r="L237" i="8"/>
  <c r="L239" i="8"/>
  <c r="L244" i="8"/>
  <c r="L233" i="8"/>
  <c r="L228" i="8"/>
  <c r="L222" i="8"/>
  <c r="L224" i="8"/>
  <c r="L254" i="8"/>
  <c r="L221" i="8"/>
  <c r="O356" i="8"/>
  <c r="O352" i="8"/>
  <c r="O348" i="8"/>
  <c r="O358" i="8"/>
  <c r="O354" i="8"/>
  <c r="O350" i="8"/>
  <c r="O346" i="8"/>
  <c r="O359" i="8"/>
  <c r="O347" i="8"/>
  <c r="O349" i="8"/>
  <c r="O355" i="8"/>
  <c r="O351" i="8"/>
  <c r="O344" i="8"/>
  <c r="O190" i="8"/>
  <c r="O182" i="8"/>
  <c r="M138" i="8"/>
  <c r="L143" i="8"/>
  <c r="J148" i="8"/>
  <c r="J152" i="8"/>
  <c r="J156" i="8"/>
  <c r="J160" i="8"/>
  <c r="J164" i="8"/>
  <c r="L167" i="8"/>
  <c r="J173" i="8"/>
  <c r="O173" i="8"/>
  <c r="M174" i="8"/>
  <c r="L175" i="8"/>
  <c r="L181" i="8"/>
  <c r="H182" i="8"/>
  <c r="L186" i="8"/>
  <c r="H189" i="8"/>
  <c r="H194" i="8"/>
  <c r="O194" i="8"/>
  <c r="M195" i="8"/>
  <c r="M198" i="8"/>
  <c r="L199" i="8"/>
  <c r="L204" i="8"/>
  <c r="H207" i="8"/>
  <c r="O208" i="8"/>
  <c r="K210" i="8"/>
  <c r="H212" i="8"/>
  <c r="Q212" i="8"/>
  <c r="M214" i="8"/>
  <c r="L215" i="8"/>
  <c r="H219" i="8"/>
  <c r="Q220" i="8"/>
  <c r="Q229" i="8"/>
  <c r="Q232" i="8"/>
  <c r="M359" i="8"/>
  <c r="M355" i="8"/>
  <c r="M351" i="8"/>
  <c r="M347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2" i="8"/>
  <c r="M264" i="8"/>
  <c r="M256" i="8"/>
  <c r="M248" i="8"/>
  <c r="M273" i="8"/>
  <c r="M350" i="8"/>
  <c r="M344" i="8"/>
  <c r="M352" i="8"/>
  <c r="M346" i="8"/>
  <c r="M271" i="8"/>
  <c r="M260" i="8"/>
  <c r="M247" i="8"/>
  <c r="M265" i="8"/>
  <c r="M252" i="8"/>
  <c r="M269" i="8"/>
  <c r="M266" i="8"/>
  <c r="M261" i="8"/>
  <c r="M257" i="8"/>
  <c r="M244" i="8"/>
  <c r="M239" i="8"/>
  <c r="M231" i="8"/>
  <c r="M223" i="8"/>
  <c r="M268" i="8"/>
  <c r="M255" i="8"/>
  <c r="M243" i="8"/>
  <c r="M236" i="8"/>
  <c r="M228" i="8"/>
  <c r="M250" i="8"/>
  <c r="M245" i="8"/>
  <c r="M242" i="8"/>
  <c r="M238" i="8"/>
  <c r="M232" i="8"/>
  <c r="M229" i="8"/>
  <c r="M226" i="8"/>
  <c r="M220" i="8"/>
  <c r="M274" i="8"/>
  <c r="M235" i="8"/>
  <c r="M221" i="8"/>
  <c r="M267" i="8"/>
  <c r="M263" i="8"/>
  <c r="M270" i="8"/>
  <c r="M262" i="8"/>
  <c r="M259" i="8"/>
  <c r="M258" i="8"/>
  <c r="M253" i="8"/>
  <c r="M251" i="8"/>
  <c r="M246" i="8"/>
  <c r="M240" i="8"/>
  <c r="M237" i="8"/>
  <c r="M233" i="8"/>
  <c r="M225" i="8"/>
  <c r="M230" i="8"/>
  <c r="M222" i="8"/>
  <c r="M227" i="8"/>
  <c r="M188" i="8"/>
  <c r="M180" i="8"/>
  <c r="M249" i="8"/>
  <c r="M189" i="8"/>
  <c r="M181" i="8"/>
  <c r="M241" i="8"/>
  <c r="M224" i="8"/>
  <c r="M254" i="8"/>
  <c r="M234" i="8"/>
  <c r="O110" i="8"/>
  <c r="M137" i="8"/>
  <c r="M145" i="8"/>
  <c r="M149" i="8"/>
  <c r="O152" i="8"/>
  <c r="M153" i="8"/>
  <c r="L155" i="8"/>
  <c r="O156" i="8"/>
  <c r="M157" i="8"/>
  <c r="L159" i="8"/>
  <c r="O160" i="8"/>
  <c r="M161" i="8"/>
  <c r="L163" i="8"/>
  <c r="O164" i="8"/>
  <c r="M165" i="8"/>
  <c r="J170" i="8"/>
  <c r="O170" i="8"/>
  <c r="M171" i="8"/>
  <c r="L172" i="8"/>
  <c r="J178" i="8"/>
  <c r="O178" i="8"/>
  <c r="O180" i="8"/>
  <c r="I182" i="8"/>
  <c r="M186" i="8"/>
  <c r="O187" i="8"/>
  <c r="H197" i="8"/>
  <c r="O198" i="8"/>
  <c r="K200" i="8"/>
  <c r="H202" i="8"/>
  <c r="M204" i="8"/>
  <c r="L205" i="8"/>
  <c r="L210" i="8"/>
  <c r="H213" i="8"/>
  <c r="O214" i="8"/>
  <c r="K216" i="8"/>
  <c r="Q357" i="8"/>
  <c r="Q353" i="8"/>
  <c r="Q349" i="8"/>
  <c r="Q359" i="8"/>
  <c r="Q355" i="8"/>
  <c r="Q351" i="8"/>
  <c r="Q347" i="8"/>
  <c r="Q356" i="8"/>
  <c r="Q350" i="8"/>
  <c r="Q344" i="8"/>
  <c r="Q348" i="8"/>
  <c r="Q358" i="8"/>
  <c r="Q345" i="8"/>
  <c r="Q354" i="8"/>
  <c r="Q326" i="8"/>
  <c r="Q322" i="8"/>
  <c r="Q318" i="8"/>
  <c r="Q314" i="8"/>
  <c r="Q310" i="8"/>
  <c r="Q306" i="8"/>
  <c r="Q302" i="8"/>
  <c r="Q298" i="8"/>
  <c r="Q294" i="8"/>
  <c r="Q290" i="8"/>
  <c r="Q286" i="8"/>
  <c r="Q282" i="8"/>
  <c r="Q278" i="8"/>
  <c r="Q272" i="8"/>
  <c r="Q258" i="8"/>
  <c r="Q316" i="8"/>
  <c r="Q308" i="8"/>
  <c r="Q300" i="8"/>
  <c r="Q292" i="8"/>
  <c r="Q285" i="8"/>
  <c r="Q262" i="8"/>
  <c r="Q250" i="8"/>
  <c r="Q245" i="8"/>
  <c r="Q352" i="8"/>
  <c r="Q242" i="8"/>
  <c r="Q346" i="8"/>
  <c r="Q320" i="8"/>
  <c r="Q312" i="8"/>
  <c r="Q304" i="8"/>
  <c r="Q325" i="8"/>
  <c r="Q317" i="8"/>
  <c r="Q309" i="8"/>
  <c r="Q301" i="8"/>
  <c r="Q293" i="8"/>
  <c r="Q266" i="8"/>
  <c r="Q241" i="8"/>
  <c r="Q296" i="8"/>
  <c r="Q252" i="8"/>
  <c r="Q276" i="8"/>
  <c r="Q288" i="8"/>
  <c r="Q284" i="8"/>
  <c r="Q280" i="8"/>
  <c r="Q274" i="8"/>
  <c r="Q268" i="8"/>
  <c r="Q271" i="8"/>
  <c r="Q265" i="8"/>
  <c r="Q263" i="8"/>
  <c r="Q233" i="8"/>
  <c r="Q230" i="8"/>
  <c r="Q222" i="8"/>
  <c r="Q196" i="8"/>
  <c r="Q256" i="8"/>
  <c r="Q238" i="8"/>
  <c r="Q235" i="8"/>
  <c r="Q224" i="8"/>
  <c r="Q217" i="8"/>
  <c r="Q215" i="8"/>
  <c r="Q213" i="8"/>
  <c r="Q211" i="8"/>
  <c r="Q209" i="8"/>
  <c r="Q207" i="8"/>
  <c r="Q205" i="8"/>
  <c r="Q203" i="8"/>
  <c r="Q201" i="8"/>
  <c r="Q199" i="8"/>
  <c r="Q197" i="8"/>
  <c r="Q191" i="8"/>
  <c r="Q184" i="8"/>
  <c r="Q221" i="8"/>
  <c r="Q237" i="8"/>
  <c r="Q225" i="8"/>
  <c r="Q228" i="8"/>
  <c r="Q218" i="8"/>
  <c r="Q137" i="8"/>
  <c r="O143" i="8"/>
  <c r="M144" i="8"/>
  <c r="J147" i="8"/>
  <c r="J151" i="8"/>
  <c r="J155" i="8"/>
  <c r="J159" i="8"/>
  <c r="J163" i="8"/>
  <c r="J167" i="8"/>
  <c r="O167" i="8"/>
  <c r="M168" i="8"/>
  <c r="L169" i="8"/>
  <c r="Q173" i="8"/>
  <c r="J175" i="8"/>
  <c r="O175" i="8"/>
  <c r="M176" i="8"/>
  <c r="L177" i="8"/>
  <c r="Q182" i="8"/>
  <c r="K184" i="8"/>
  <c r="H185" i="8"/>
  <c r="O185" i="8"/>
  <c r="O189" i="8"/>
  <c r="K191" i="8"/>
  <c r="H192" i="8"/>
  <c r="O192" i="8"/>
  <c r="M193" i="8"/>
  <c r="Q194" i="8"/>
  <c r="L200" i="8"/>
  <c r="H203" i="8"/>
  <c r="O203" i="8"/>
  <c r="O204" i="8"/>
  <c r="K206" i="8"/>
  <c r="H208" i="8"/>
  <c r="Q208" i="8"/>
  <c r="M210" i="8"/>
  <c r="L211" i="8"/>
  <c r="L216" i="8"/>
  <c r="I221" i="8"/>
  <c r="I230" i="8"/>
  <c r="K218" i="8"/>
  <c r="H223" i="8"/>
  <c r="O223" i="8"/>
  <c r="J225" i="8"/>
  <c r="L227" i="8"/>
  <c r="I228" i="8"/>
  <c r="H231" i="8"/>
  <c r="K233" i="8"/>
  <c r="J236" i="8"/>
  <c r="K243" i="8"/>
  <c r="Q246" i="8"/>
  <c r="J250" i="8"/>
  <c r="J257" i="8"/>
  <c r="J278" i="8"/>
  <c r="I223" i="8"/>
  <c r="Q223" i="8"/>
  <c r="K225" i="8"/>
  <c r="J228" i="8"/>
  <c r="H229" i="8"/>
  <c r="I231" i="8"/>
  <c r="Q231" i="8"/>
  <c r="H234" i="8"/>
  <c r="Q240" i="8"/>
  <c r="L242" i="8"/>
  <c r="H246" i="8"/>
  <c r="Q247" i="8"/>
  <c r="J251" i="8"/>
  <c r="Q253" i="8"/>
  <c r="K258" i="8"/>
  <c r="K267" i="8"/>
  <c r="M218" i="8"/>
  <c r="Q219" i="8"/>
  <c r="L225" i="8"/>
  <c r="H226" i="8"/>
  <c r="H232" i="8"/>
  <c r="Q234" i="8"/>
  <c r="L236" i="8"/>
  <c r="J237" i="8"/>
  <c r="J245" i="8"/>
  <c r="Q248" i="8"/>
  <c r="K251" i="8"/>
  <c r="L183" i="8"/>
  <c r="L191" i="8"/>
  <c r="H193" i="8"/>
  <c r="H196" i="8"/>
  <c r="K197" i="8"/>
  <c r="I224" i="8"/>
  <c r="I226" i="8"/>
  <c r="Q226" i="8"/>
  <c r="H235" i="8"/>
  <c r="K237" i="8"/>
  <c r="H238" i="8"/>
  <c r="I241" i="8"/>
  <c r="O243" i="8"/>
  <c r="J246" i="8"/>
  <c r="I248" i="8"/>
  <c r="J253" i="8"/>
  <c r="Q255" i="8"/>
  <c r="L182" i="8"/>
  <c r="L190" i="8"/>
  <c r="K194" i="8"/>
  <c r="L197" i="8"/>
  <c r="K199" i="8"/>
  <c r="K201" i="8"/>
  <c r="K203" i="8"/>
  <c r="K205" i="8"/>
  <c r="K207" i="8"/>
  <c r="K209" i="8"/>
  <c r="K211" i="8"/>
  <c r="K213" i="8"/>
  <c r="K215" i="8"/>
  <c r="K217" i="8"/>
  <c r="K219" i="8"/>
  <c r="I220" i="8"/>
  <c r="H222" i="8"/>
  <c r="L223" i="8"/>
  <c r="J224" i="8"/>
  <c r="H227" i="8"/>
  <c r="K234" i="8"/>
  <c r="K240" i="8"/>
  <c r="J241" i="8"/>
  <c r="Q243" i="8"/>
  <c r="K246" i="8"/>
  <c r="I249" i="8"/>
  <c r="J254" i="8"/>
  <c r="L217" i="8"/>
  <c r="H218" i="8"/>
  <c r="L219" i="8"/>
  <c r="K224" i="8"/>
  <c r="O227" i="8"/>
  <c r="O251" i="8"/>
  <c r="Q260" i="8"/>
  <c r="Q264" i="8"/>
  <c r="L180" i="8"/>
  <c r="L188" i="8"/>
  <c r="H195" i="8"/>
  <c r="K196" i="8"/>
  <c r="M199" i="8"/>
  <c r="M201" i="8"/>
  <c r="M203" i="8"/>
  <c r="M205" i="8"/>
  <c r="M207" i="8"/>
  <c r="M209" i="8"/>
  <c r="M211" i="8"/>
  <c r="M213" i="8"/>
  <c r="M215" i="8"/>
  <c r="M217" i="8"/>
  <c r="M219" i="8"/>
  <c r="L226" i="8"/>
  <c r="Q227" i="8"/>
  <c r="O228" i="8"/>
  <c r="O236" i="8"/>
  <c r="K238" i="8"/>
  <c r="I244" i="8"/>
  <c r="Q251" i="8"/>
  <c r="H272" i="8"/>
  <c r="H281" i="8"/>
  <c r="H285" i="8"/>
  <c r="L179" i="8"/>
  <c r="L187" i="8"/>
  <c r="H191" i="8"/>
  <c r="L193" i="8"/>
  <c r="L196" i="8"/>
  <c r="L220" i="8"/>
  <c r="K222" i="8"/>
  <c r="O225" i="8"/>
  <c r="J233" i="8"/>
  <c r="L235" i="8"/>
  <c r="Q236" i="8"/>
  <c r="L238" i="8"/>
  <c r="O239" i="8"/>
  <c r="J242" i="8"/>
  <c r="J243" i="8"/>
  <c r="O246" i="8"/>
  <c r="I261" i="8"/>
  <c r="I265" i="8"/>
  <c r="I266" i="8"/>
  <c r="I272" i="8"/>
  <c r="O220" i="8"/>
  <c r="O226" i="8"/>
  <c r="K229" i="8"/>
  <c r="I240" i="8"/>
  <c r="H242" i="8"/>
  <c r="O242" i="8"/>
  <c r="I245" i="8"/>
  <c r="O245" i="8"/>
  <c r="L247" i="8"/>
  <c r="I250" i="8"/>
  <c r="O250" i="8"/>
  <c r="K255" i="8"/>
  <c r="I258" i="8"/>
  <c r="K260" i="8"/>
  <c r="K270" i="8"/>
  <c r="I274" i="8"/>
  <c r="H278" i="8"/>
  <c r="L284" i="8"/>
  <c r="H286" i="8"/>
  <c r="L288" i="8"/>
  <c r="I290" i="8"/>
  <c r="H291" i="8"/>
  <c r="O291" i="8"/>
  <c r="J296" i="8"/>
  <c r="O299" i="8"/>
  <c r="J315" i="8"/>
  <c r="J323" i="8"/>
  <c r="L255" i="8"/>
  <c r="L260" i="8"/>
  <c r="H266" i="8"/>
  <c r="I278" i="8"/>
  <c r="I282" i="8"/>
  <c r="H287" i="8"/>
  <c r="I291" i="8"/>
  <c r="Q291" i="8"/>
  <c r="O292" i="8"/>
  <c r="I298" i="8"/>
  <c r="H299" i="8"/>
  <c r="Q299" i="8"/>
  <c r="K263" i="8"/>
  <c r="J268" i="8"/>
  <c r="K271" i="8"/>
  <c r="K274" i="8"/>
  <c r="L277" i="8"/>
  <c r="O280" i="8"/>
  <c r="J282" i="8"/>
  <c r="J286" i="8"/>
  <c r="J291" i="8"/>
  <c r="I299" i="8"/>
  <c r="L309" i="8"/>
  <c r="L312" i="8"/>
  <c r="L320" i="8"/>
  <c r="I227" i="8"/>
  <c r="O231" i="8"/>
  <c r="O234" i="8"/>
  <c r="H239" i="8"/>
  <c r="K242" i="8"/>
  <c r="L248" i="8"/>
  <c r="H249" i="8"/>
  <c r="I251" i="8"/>
  <c r="O254" i="8"/>
  <c r="H257" i="8"/>
  <c r="O259" i="8"/>
  <c r="Q261" i="8"/>
  <c r="L263" i="8"/>
  <c r="J264" i="8"/>
  <c r="K268" i="8"/>
  <c r="L271" i="8"/>
  <c r="O276" i="8"/>
  <c r="H294" i="8"/>
  <c r="J299" i="8"/>
  <c r="H302" i="8"/>
  <c r="O307" i="8"/>
  <c r="Q254" i="8"/>
  <c r="O255" i="8"/>
  <c r="I259" i="8"/>
  <c r="Q259" i="8"/>
  <c r="H262" i="8"/>
  <c r="L268" i="8"/>
  <c r="Q269" i="8"/>
  <c r="I294" i="8"/>
  <c r="I302" i="8"/>
  <c r="Q305" i="8"/>
  <c r="J259" i="8"/>
  <c r="O262" i="8"/>
  <c r="L264" i="8"/>
  <c r="H267" i="8"/>
  <c r="O270" i="8"/>
  <c r="K275" i="8"/>
  <c r="I276" i="8"/>
  <c r="I280" i="8"/>
  <c r="I284" i="8"/>
  <c r="H289" i="8"/>
  <c r="Q313" i="8"/>
  <c r="Q321" i="8"/>
  <c r="Q324" i="8"/>
  <c r="O222" i="8"/>
  <c r="O230" i="8"/>
  <c r="I232" i="8"/>
  <c r="O233" i="8"/>
  <c r="I235" i="8"/>
  <c r="Q239" i="8"/>
  <c r="L243" i="8"/>
  <c r="Q244" i="8"/>
  <c r="L246" i="8"/>
  <c r="Q249" i="8"/>
  <c r="L251" i="8"/>
  <c r="K254" i="8"/>
  <c r="I255" i="8"/>
  <c r="Q257" i="8"/>
  <c r="K259" i="8"/>
  <c r="O263" i="8"/>
  <c r="I267" i="8"/>
  <c r="O267" i="8"/>
  <c r="Q270" i="8"/>
  <c r="I273" i="8"/>
  <c r="Q273" i="8"/>
  <c r="L275" i="8"/>
  <c r="J276" i="8"/>
  <c r="J280" i="8"/>
  <c r="L283" i="8"/>
  <c r="J284" i="8"/>
  <c r="J288" i="8"/>
  <c r="Q289" i="8"/>
  <c r="I306" i="8"/>
  <c r="I307" i="8"/>
  <c r="H310" i="8"/>
  <c r="H318" i="8"/>
  <c r="H326" i="8"/>
  <c r="H329" i="8"/>
  <c r="O221" i="8"/>
  <c r="L230" i="8"/>
  <c r="O235" i="8"/>
  <c r="H240" i="8"/>
  <c r="L252" i="8"/>
  <c r="H258" i="8"/>
  <c r="K262" i="8"/>
  <c r="H263" i="8"/>
  <c r="J267" i="8"/>
  <c r="O268" i="8"/>
  <c r="J270" i="8"/>
  <c r="J273" i="8"/>
  <c r="Q277" i="8"/>
  <c r="L279" i="8"/>
  <c r="Q281" i="8"/>
  <c r="L293" i="8"/>
  <c r="I296" i="8"/>
  <c r="Q297" i="8"/>
  <c r="L301" i="8"/>
  <c r="J304" i="8"/>
  <c r="J307" i="8"/>
  <c r="I310" i="8"/>
  <c r="I318" i="8"/>
  <c r="I326" i="8"/>
  <c r="O229" i="8"/>
  <c r="O237" i="8"/>
  <c r="O247" i="8"/>
  <c r="H259" i="8"/>
  <c r="O260" i="8"/>
  <c r="O264" i="8"/>
  <c r="O271" i="8"/>
  <c r="Q275" i="8"/>
  <c r="Q279" i="8"/>
  <c r="L281" i="8"/>
  <c r="O284" i="8"/>
  <c r="I288" i="8"/>
  <c r="Q295" i="8"/>
  <c r="O296" i="8"/>
  <c r="Q303" i="8"/>
  <c r="O304" i="8"/>
  <c r="Q311" i="8"/>
  <c r="O312" i="8"/>
  <c r="Q319" i="8"/>
  <c r="O320" i="8"/>
  <c r="Q327" i="8"/>
  <c r="Q328" i="8"/>
  <c r="H333" i="8"/>
  <c r="L336" i="8"/>
  <c r="J338" i="8"/>
  <c r="M345" i="8"/>
  <c r="K351" i="8"/>
  <c r="L330" i="8"/>
  <c r="I333" i="8"/>
  <c r="O345" i="8"/>
  <c r="K355" i="8"/>
  <c r="K357" i="8"/>
  <c r="I304" i="8"/>
  <c r="H307" i="8"/>
  <c r="I312" i="8"/>
  <c r="H315" i="8"/>
  <c r="I320" i="8"/>
  <c r="H323" i="8"/>
  <c r="I329" i="8"/>
  <c r="J332" i="8"/>
  <c r="H335" i="8"/>
  <c r="L338" i="8"/>
  <c r="J341" i="8"/>
  <c r="M348" i="8"/>
  <c r="J312" i="8"/>
  <c r="I315" i="8"/>
  <c r="O315" i="8"/>
  <c r="L317" i="8"/>
  <c r="J320" i="8"/>
  <c r="I323" i="8"/>
  <c r="O323" i="8"/>
  <c r="L325" i="8"/>
  <c r="J328" i="8"/>
  <c r="O330" i="8"/>
  <c r="I335" i="8"/>
  <c r="L340" i="8"/>
  <c r="I344" i="8"/>
  <c r="M354" i="8"/>
  <c r="M356" i="8"/>
  <c r="M357" i="8"/>
  <c r="O300" i="8"/>
  <c r="Q307" i="8"/>
  <c r="O308" i="8"/>
  <c r="Q315" i="8"/>
  <c r="O316" i="8"/>
  <c r="Q323" i="8"/>
  <c r="O324" i="8"/>
  <c r="L332" i="8"/>
  <c r="J334" i="8"/>
  <c r="H337" i="8"/>
  <c r="J344" i="8"/>
  <c r="I346" i="8"/>
  <c r="O353" i="8"/>
  <c r="O357" i="8"/>
  <c r="C83" i="9"/>
  <c r="D94" i="9"/>
  <c r="C82" i="9"/>
  <c r="O224" i="8"/>
  <c r="O232" i="8"/>
  <c r="O240" i="8"/>
  <c r="I252" i="8"/>
  <c r="O253" i="8"/>
  <c r="O258" i="8"/>
  <c r="J261" i="8"/>
  <c r="Q267" i="8"/>
  <c r="I269" i="8"/>
  <c r="O272" i="8"/>
  <c r="H275" i="8"/>
  <c r="H283" i="8"/>
  <c r="I287" i="8"/>
  <c r="O287" i="8"/>
  <c r="L328" i="8"/>
  <c r="I337" i="8"/>
  <c r="O339" i="8"/>
  <c r="H243" i="8"/>
  <c r="O244" i="8"/>
  <c r="O248" i="8"/>
  <c r="I260" i="8"/>
  <c r="O261" i="8"/>
  <c r="O266" i="8"/>
  <c r="J269" i="8"/>
  <c r="O269" i="8"/>
  <c r="H279" i="8"/>
  <c r="I283" i="8"/>
  <c r="O283" i="8"/>
  <c r="Q287" i="8"/>
  <c r="L289" i="8"/>
  <c r="I292" i="8"/>
  <c r="H295" i="8"/>
  <c r="I300" i="8"/>
  <c r="H303" i="8"/>
  <c r="I308" i="8"/>
  <c r="H311" i="8"/>
  <c r="I316" i="8"/>
  <c r="H319" i="8"/>
  <c r="I324" i="8"/>
  <c r="H327" i="8"/>
  <c r="I331" i="8"/>
  <c r="L334" i="8"/>
  <c r="J336" i="8"/>
  <c r="L343" i="8"/>
  <c r="K345" i="8"/>
  <c r="I349" i="8"/>
  <c r="H356" i="8"/>
  <c r="G4" i="9"/>
  <c r="G3" i="9"/>
  <c r="G2" i="9"/>
  <c r="O238" i="8"/>
  <c r="H251" i="8"/>
  <c r="O252" i="8"/>
  <c r="O256" i="8"/>
  <c r="I268" i="8"/>
  <c r="L272" i="8"/>
  <c r="O275" i="8"/>
  <c r="I279" i="8"/>
  <c r="O279" i="8"/>
  <c r="Q283" i="8"/>
  <c r="L285" i="8"/>
  <c r="O288" i="8"/>
  <c r="J292" i="8"/>
  <c r="I295" i="8"/>
  <c r="O295" i="8"/>
  <c r="L297" i="8"/>
  <c r="J300" i="8"/>
  <c r="I303" i="8"/>
  <c r="O303" i="8"/>
  <c r="L305" i="8"/>
  <c r="J308" i="8"/>
  <c r="I311" i="8"/>
  <c r="O311" i="8"/>
  <c r="L313" i="8"/>
  <c r="J316" i="8"/>
  <c r="I319" i="8"/>
  <c r="O319" i="8"/>
  <c r="L321" i="8"/>
  <c r="J324" i="8"/>
  <c r="I327" i="8"/>
  <c r="O327" i="8"/>
  <c r="O328" i="8"/>
  <c r="J330" i="8"/>
  <c r="I339" i="8"/>
  <c r="Q341" i="8"/>
  <c r="O277" i="8"/>
  <c r="O281" i="8"/>
  <c r="O285" i="8"/>
  <c r="O289" i="8"/>
  <c r="O293" i="8"/>
  <c r="O297" i="8"/>
  <c r="O301" i="8"/>
  <c r="O305" i="8"/>
  <c r="O309" i="8"/>
  <c r="O313" i="8"/>
  <c r="O317" i="8"/>
  <c r="O321" i="8"/>
  <c r="O325" i="8"/>
  <c r="I328" i="8"/>
  <c r="I330" i="8"/>
  <c r="I332" i="8"/>
  <c r="I334" i="8"/>
  <c r="I336" i="8"/>
  <c r="I338" i="8"/>
  <c r="J340" i="8"/>
  <c r="Q340" i="8"/>
  <c r="I343" i="8"/>
  <c r="O343" i="8"/>
  <c r="I345" i="8"/>
  <c r="H348" i="8"/>
  <c r="M349" i="8"/>
  <c r="I354" i="8"/>
  <c r="I357" i="8"/>
  <c r="C44" i="9"/>
  <c r="C45" i="9"/>
  <c r="D56" i="9"/>
  <c r="O332" i="8"/>
  <c r="O334" i="8"/>
  <c r="O336" i="8"/>
  <c r="O338" i="8"/>
  <c r="J343" i="8"/>
  <c r="Q343" i="8"/>
  <c r="J345" i="8"/>
  <c r="L347" i="8"/>
  <c r="I348" i="8"/>
  <c r="L350" i="8"/>
  <c r="J357" i="8"/>
  <c r="C20" i="9"/>
  <c r="C19" i="9"/>
  <c r="D31" i="9"/>
  <c r="C30" i="9"/>
  <c r="D29" i="9"/>
  <c r="D41" i="9"/>
  <c r="D64" i="9"/>
  <c r="C53" i="9"/>
  <c r="Q330" i="8"/>
  <c r="Q332" i="8"/>
  <c r="Q334" i="8"/>
  <c r="Q336" i="8"/>
  <c r="Q338" i="8"/>
  <c r="I341" i="8"/>
  <c r="O341" i="8"/>
  <c r="H352" i="8"/>
  <c r="M353" i="8"/>
  <c r="I358" i="8"/>
  <c r="C15" i="9"/>
  <c r="D26" i="9"/>
  <c r="C14" i="9"/>
  <c r="C52" i="9"/>
  <c r="K348" i="8"/>
  <c r="L351" i="8"/>
  <c r="I352" i="8"/>
  <c r="L354" i="8"/>
  <c r="D27" i="9"/>
  <c r="C16" i="9"/>
  <c r="C102" i="9"/>
  <c r="D101" i="9"/>
  <c r="D113" i="9"/>
  <c r="O329" i="8"/>
  <c r="O331" i="8"/>
  <c r="O333" i="8"/>
  <c r="O335" i="8"/>
  <c r="O337" i="8"/>
  <c r="J339" i="8"/>
  <c r="Q339" i="8"/>
  <c r="I342" i="8"/>
  <c r="O342" i="8"/>
  <c r="J349" i="8"/>
  <c r="K352" i="8"/>
  <c r="L355" i="8"/>
  <c r="I356" i="8"/>
  <c r="L358" i="8"/>
  <c r="C38" i="9"/>
  <c r="D49" i="9"/>
  <c r="D37" i="9"/>
  <c r="D60" i="9"/>
  <c r="C49" i="9"/>
  <c r="D75" i="9"/>
  <c r="C64" i="9"/>
  <c r="D63" i="9"/>
  <c r="O274" i="8"/>
  <c r="O278" i="8"/>
  <c r="O282" i="8"/>
  <c r="O286" i="8"/>
  <c r="O290" i="8"/>
  <c r="O294" i="8"/>
  <c r="O298" i="8"/>
  <c r="O302" i="8"/>
  <c r="O306" i="8"/>
  <c r="O310" i="8"/>
  <c r="O314" i="8"/>
  <c r="O318" i="8"/>
  <c r="O322" i="8"/>
  <c r="O326" i="8"/>
  <c r="Q329" i="8"/>
  <c r="Q331" i="8"/>
  <c r="Q333" i="8"/>
  <c r="Q335" i="8"/>
  <c r="Q337" i="8"/>
  <c r="J342" i="8"/>
  <c r="Q342" i="8"/>
  <c r="L346" i="8"/>
  <c r="I350" i="8"/>
  <c r="I353" i="8"/>
  <c r="M358" i="8"/>
  <c r="L359" i="8"/>
  <c r="C23" i="9"/>
  <c r="D34" i="9"/>
  <c r="O241" i="8"/>
  <c r="O249" i="8"/>
  <c r="O257" i="8"/>
  <c r="O265" i="8"/>
  <c r="O273" i="8"/>
  <c r="I340" i="8"/>
  <c r="O340" i="8"/>
  <c r="J353" i="8"/>
  <c r="K356" i="8"/>
  <c r="C29" i="9"/>
  <c r="D90" i="9"/>
  <c r="C79" i="9"/>
  <c r="D19" i="9"/>
  <c r="C70" i="9"/>
  <c r="D69" i="9"/>
  <c r="D107" i="9"/>
  <c r="C96" i="9"/>
  <c r="D95" i="9"/>
  <c r="C134" i="9"/>
  <c r="D133" i="9"/>
  <c r="D187" i="9"/>
  <c r="C176" i="9"/>
  <c r="D175" i="9"/>
  <c r="C211" i="9"/>
  <c r="D222" i="9"/>
  <c r="D268" i="9"/>
  <c r="C257" i="9"/>
  <c r="C263" i="9"/>
  <c r="D274" i="9"/>
  <c r="D262" i="9"/>
  <c r="H345" i="8"/>
  <c r="J346" i="8"/>
  <c r="H349" i="8"/>
  <c r="J350" i="8"/>
  <c r="H353" i="8"/>
  <c r="J354" i="8"/>
  <c r="H357" i="8"/>
  <c r="J358" i="8"/>
  <c r="D17" i="9"/>
  <c r="C36" i="9"/>
  <c r="D47" i="9"/>
  <c r="D39" i="9"/>
  <c r="D42" i="9"/>
  <c r="D46" i="9"/>
  <c r="C50" i="9"/>
  <c r="C61" i="9"/>
  <c r="C69" i="9"/>
  <c r="C95" i="9"/>
  <c r="D112" i="9"/>
  <c r="D110" i="9"/>
  <c r="C114" i="9"/>
  <c r="C125" i="9"/>
  <c r="C133" i="9"/>
  <c r="D172" i="9"/>
  <c r="C164" i="9"/>
  <c r="C175" i="9"/>
  <c r="D203" i="9"/>
  <c r="C192" i="9"/>
  <c r="D191" i="9"/>
  <c r="D206" i="9"/>
  <c r="C210" i="9"/>
  <c r="C287" i="9"/>
  <c r="D298" i="9"/>
  <c r="D286" i="9"/>
  <c r="H344" i="8"/>
  <c r="C8" i="9"/>
  <c r="C21" i="9"/>
  <c r="C24" i="9"/>
  <c r="D48" i="9"/>
  <c r="D59" i="9"/>
  <c r="C48" i="9"/>
  <c r="D82" i="9"/>
  <c r="C86" i="9"/>
  <c r="D85" i="9"/>
  <c r="D88" i="9"/>
  <c r="D123" i="9"/>
  <c r="C112" i="9"/>
  <c r="D111" i="9"/>
  <c r="D146" i="9"/>
  <c r="C150" i="9"/>
  <c r="D149" i="9"/>
  <c r="D152" i="9"/>
  <c r="D164" i="9"/>
  <c r="D188" i="9"/>
  <c r="D219" i="9"/>
  <c r="C208" i="9"/>
  <c r="D207" i="9"/>
  <c r="D218" i="9"/>
  <c r="C223" i="9"/>
  <c r="C229" i="9"/>
  <c r="D240" i="9"/>
  <c r="C228" i="9"/>
  <c r="D252" i="9"/>
  <c r="C241" i="9"/>
  <c r="C247" i="9"/>
  <c r="D258" i="9"/>
  <c r="D246" i="9"/>
  <c r="C111" i="9"/>
  <c r="D128" i="9"/>
  <c r="D126" i="9"/>
  <c r="C141" i="9"/>
  <c r="D145" i="9"/>
  <c r="C166" i="9"/>
  <c r="D165" i="9"/>
  <c r="C271" i="9"/>
  <c r="D282" i="9"/>
  <c r="D270" i="9"/>
  <c r="D139" i="9"/>
  <c r="C128" i="9"/>
  <c r="D127" i="9"/>
  <c r="C165" i="9"/>
  <c r="C182" i="9"/>
  <c r="D181" i="9"/>
  <c r="D184" i="9"/>
  <c r="D196" i="9"/>
  <c r="C212" i="9"/>
  <c r="C231" i="9"/>
  <c r="D242" i="9"/>
  <c r="D230" i="9"/>
  <c r="H347" i="8"/>
  <c r="J348" i="8"/>
  <c r="H351" i="8"/>
  <c r="J352" i="8"/>
  <c r="H355" i="8"/>
  <c r="J356" i="8"/>
  <c r="H359" i="8"/>
  <c r="C11" i="9"/>
  <c r="C10" i="9"/>
  <c r="D22" i="9"/>
  <c r="C37" i="9"/>
  <c r="D44" i="9"/>
  <c r="D52" i="9"/>
  <c r="C63" i="9"/>
  <c r="D80" i="9"/>
  <c r="D78" i="9"/>
  <c r="C93" i="9"/>
  <c r="D97" i="9"/>
  <c r="C101" i="9"/>
  <c r="D116" i="9"/>
  <c r="C127" i="9"/>
  <c r="D142" i="9"/>
  <c r="C146" i="9"/>
  <c r="C173" i="9"/>
  <c r="D177" i="9"/>
  <c r="C181" i="9"/>
  <c r="C198" i="9"/>
  <c r="D197" i="9"/>
  <c r="D200" i="9"/>
  <c r="C204" i="9"/>
  <c r="D216" i="9"/>
  <c r="D212" i="9"/>
  <c r="D228" i="9"/>
  <c r="C220" i="9"/>
  <c r="D232" i="9"/>
  <c r="D260" i="9"/>
  <c r="C249" i="9"/>
  <c r="C255" i="9"/>
  <c r="D266" i="9"/>
  <c r="D254" i="9"/>
  <c r="C27" i="9"/>
  <c r="D38" i="9"/>
  <c r="C54" i="9"/>
  <c r="D53" i="9"/>
  <c r="D91" i="9"/>
  <c r="C80" i="9"/>
  <c r="D79" i="9"/>
  <c r="D114" i="9"/>
  <c r="C113" i="9"/>
  <c r="C118" i="9"/>
  <c r="D117" i="9"/>
  <c r="D120" i="9"/>
  <c r="D155" i="9"/>
  <c r="C144" i="9"/>
  <c r="D143" i="9"/>
  <c r="C189" i="9"/>
  <c r="D193" i="9"/>
  <c r="C197" i="9"/>
  <c r="C279" i="9"/>
  <c r="D290" i="9"/>
  <c r="D278" i="9"/>
  <c r="H346" i="8"/>
  <c r="J347" i="8"/>
  <c r="H350" i="8"/>
  <c r="J351" i="8"/>
  <c r="H354" i="8"/>
  <c r="J355" i="8"/>
  <c r="H358" i="8"/>
  <c r="J359" i="8"/>
  <c r="D18" i="9"/>
  <c r="C7" i="9"/>
  <c r="C26" i="9"/>
  <c r="C34" i="9"/>
  <c r="C39" i="9"/>
  <c r="D50" i="9"/>
  <c r="D68" i="9"/>
  <c r="D96" i="9"/>
  <c r="C98" i="9"/>
  <c r="C109" i="9"/>
  <c r="C117" i="9"/>
  <c r="D132" i="9"/>
  <c r="C143" i="9"/>
  <c r="D171" i="9"/>
  <c r="C160" i="9"/>
  <c r="D159" i="9"/>
  <c r="D174" i="9"/>
  <c r="C178" i="9"/>
  <c r="D210" i="9"/>
  <c r="C205" i="9"/>
  <c r="D209" i="9"/>
  <c r="C213" i="9"/>
  <c r="C221" i="9"/>
  <c r="D244" i="9"/>
  <c r="C233" i="9"/>
  <c r="C239" i="9"/>
  <c r="D250" i="9"/>
  <c r="D238" i="9"/>
  <c r="D324" i="9"/>
  <c r="C313" i="9"/>
  <c r="D248" i="9"/>
  <c r="D256" i="9"/>
  <c r="D264" i="9"/>
  <c r="D272" i="9"/>
  <c r="D280" i="9"/>
  <c r="D288" i="9"/>
  <c r="D296" i="9"/>
  <c r="D304" i="9"/>
  <c r="D320" i="9"/>
  <c r="C308" i="9"/>
  <c r="D312" i="9"/>
  <c r="C318" i="9"/>
  <c r="D329" i="9"/>
  <c r="C230" i="9"/>
  <c r="D241" i="9"/>
  <c r="C238" i="9"/>
  <c r="D249" i="9"/>
  <c r="C246" i="9"/>
  <c r="D257" i="9"/>
  <c r="C254" i="9"/>
  <c r="D265" i="9"/>
  <c r="C262" i="9"/>
  <c r="D273" i="9"/>
  <c r="C270" i="9"/>
  <c r="D281" i="9"/>
  <c r="C278" i="9"/>
  <c r="D289" i="9"/>
  <c r="C286" i="9"/>
  <c r="D297" i="9"/>
  <c r="C294" i="9"/>
  <c r="D305" i="9"/>
  <c r="C302" i="9"/>
  <c r="D313" i="9"/>
  <c r="D317" i="9"/>
  <c r="C310" i="9"/>
  <c r="D321" i="9"/>
  <c r="C317" i="9"/>
  <c r="D322" i="9"/>
  <c r="C214" i="9"/>
  <c r="D213" i="9"/>
  <c r="D235" i="9"/>
  <c r="C224" i="9"/>
  <c r="C237" i="9"/>
  <c r="C245" i="9"/>
  <c r="C253" i="9"/>
  <c r="C261" i="9"/>
  <c r="C265" i="9"/>
  <c r="C269" i="9"/>
  <c r="C273" i="9"/>
  <c r="C277" i="9"/>
  <c r="C281" i="9"/>
  <c r="C285" i="9"/>
  <c r="C289" i="9"/>
  <c r="C293" i="9"/>
  <c r="C297" i="9"/>
  <c r="C301" i="9"/>
  <c r="C305" i="9"/>
  <c r="C309" i="9"/>
  <c r="C22" i="9"/>
  <c r="C217" i="9"/>
  <c r="D223" i="9"/>
  <c r="D294" i="9"/>
  <c r="D302" i="9"/>
  <c r="D310" i="9"/>
  <c r="D314" i="9"/>
  <c r="D236" i="9"/>
  <c r="D306" i="9"/>
  <c r="D332" i="9"/>
  <c r="C321" i="9"/>
  <c r="C326" i="9"/>
  <c r="D337" i="9"/>
  <c r="C46" i="9"/>
  <c r="D45" i="9"/>
  <c r="D67" i="9"/>
  <c r="C56" i="9"/>
  <c r="C62" i="9"/>
  <c r="D61" i="9"/>
  <c r="D83" i="9"/>
  <c r="C72" i="9"/>
  <c r="C78" i="9"/>
  <c r="D77" i="9"/>
  <c r="D99" i="9"/>
  <c r="C88" i="9"/>
  <c r="C94" i="9"/>
  <c r="D93" i="9"/>
  <c r="D115" i="9"/>
  <c r="C104" i="9"/>
  <c r="C110" i="9"/>
  <c r="D109" i="9"/>
  <c r="D131" i="9"/>
  <c r="C120" i="9"/>
  <c r="C126" i="9"/>
  <c r="D125" i="9"/>
  <c r="D147" i="9"/>
  <c r="C136" i="9"/>
  <c r="C142" i="9"/>
  <c r="D141" i="9"/>
  <c r="D163" i="9"/>
  <c r="C152" i="9"/>
  <c r="C158" i="9"/>
  <c r="D157" i="9"/>
  <c r="D179" i="9"/>
  <c r="C168" i="9"/>
  <c r="C174" i="9"/>
  <c r="D173" i="9"/>
  <c r="D195" i="9"/>
  <c r="C184" i="9"/>
  <c r="C190" i="9"/>
  <c r="D189" i="9"/>
  <c r="D211" i="9"/>
  <c r="C200" i="9"/>
  <c r="C206" i="9"/>
  <c r="D205" i="9"/>
  <c r="D227" i="9"/>
  <c r="C216" i="9"/>
  <c r="C222" i="9"/>
  <c r="D221" i="9"/>
  <c r="D233" i="9"/>
  <c r="C325" i="9"/>
  <c r="D318" i="9"/>
  <c r="D326" i="9"/>
  <c r="C329" i="9"/>
  <c r="D334" i="9"/>
  <c r="C337" i="9"/>
  <c r="D342" i="9"/>
  <c r="D350" i="9"/>
  <c r="C316" i="9"/>
  <c r="C324" i="9"/>
  <c r="C332" i="9"/>
  <c r="D345" i="9"/>
  <c r="C319" i="9"/>
  <c r="C327" i="9"/>
  <c r="C335" i="9"/>
  <c r="C333" i="9"/>
  <c r="C341" i="9"/>
  <c r="C349" i="9"/>
  <c r="C232" i="9"/>
  <c r="C240" i="9"/>
  <c r="C248" i="9"/>
  <c r="C256" i="9"/>
  <c r="C264" i="9"/>
  <c r="C272" i="9"/>
  <c r="C280" i="9"/>
  <c r="C288" i="9"/>
  <c r="C296" i="9"/>
  <c r="C304" i="9"/>
  <c r="C312" i="9"/>
  <c r="C320" i="9"/>
  <c r="C328" i="9"/>
  <c r="C336" i="9"/>
</calcChain>
</file>

<file path=xl/sharedStrings.xml><?xml version="1.0" encoding="utf-8"?>
<sst xmlns="http://schemas.openxmlformats.org/spreadsheetml/2006/main" count="1233" uniqueCount="582">
  <si>
    <t>Global Industrial Production</t>
  </si>
  <si>
    <t>Definition</t>
  </si>
  <si>
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</si>
  <si>
    <t>https://data.oecd.org/industry/industrial-production.htm</t>
  </si>
  <si>
    <t>Process / TO DO LIST</t>
  </si>
  <si>
    <t>TO DO LIST</t>
  </si>
  <si>
    <t>Comments</t>
  </si>
  <si>
    <t xml:space="preserve">Ticker </t>
  </si>
  <si>
    <t>Country</t>
  </si>
  <si>
    <t>ABW</t>
  </si>
  <si>
    <t>Aruba</t>
  </si>
  <si>
    <t>Industrial Production</t>
  </si>
  <si>
    <t>AFG</t>
  </si>
  <si>
    <t>Afghanistan</t>
  </si>
  <si>
    <t>Total</t>
  </si>
  <si>
    <t>In Database</t>
  </si>
  <si>
    <t>AFRI</t>
  </si>
  <si>
    <t>Africa</t>
  </si>
  <si>
    <t>Monthly</t>
  </si>
  <si>
    <t>Manually or create macro</t>
  </si>
  <si>
    <t>AGO</t>
  </si>
  <si>
    <t>Angola</t>
  </si>
  <si>
    <t>Unclik latest data available</t>
  </si>
  <si>
    <t>AIA</t>
  </si>
  <si>
    <t>Anguilla</t>
  </si>
  <si>
    <t>Table</t>
  </si>
  <si>
    <t>ALB</t>
  </si>
  <si>
    <t>Albania</t>
  </si>
  <si>
    <t>Download</t>
  </si>
  <si>
    <t>AND</t>
  </si>
  <si>
    <t>Andorra</t>
  </si>
  <si>
    <t>ANT</t>
  </si>
  <si>
    <t>Netherlands Antilles</t>
  </si>
  <si>
    <t>https://www.investing.com/economic-calendar/chinese-industrial-production-462</t>
  </si>
  <si>
    <t>China Industrial Production</t>
  </si>
  <si>
    <t>ARE</t>
  </si>
  <si>
    <t>United Arab Emirates</t>
  </si>
  <si>
    <t>ARG</t>
  </si>
  <si>
    <t>Argentina</t>
  </si>
  <si>
    <t>https://tradingeconomics.com/country-list/industrial-production</t>
  </si>
  <si>
    <t>World Production data</t>
  </si>
  <si>
    <t>ASIA</t>
  </si>
  <si>
    <t>Asia</t>
  </si>
  <si>
    <t>ASM</t>
  </si>
  <si>
    <t>American Samoa</t>
  </si>
  <si>
    <t>https://www.theglobaleconomy.com/rankings/Capital_investment/</t>
  </si>
  <si>
    <t>ATG</t>
  </si>
  <si>
    <t>Antigua and Barbuda</t>
  </si>
  <si>
    <t>AUS</t>
  </si>
  <si>
    <t>Australia</t>
  </si>
  <si>
    <t>AUT</t>
  </si>
  <si>
    <t>Austria</t>
  </si>
  <si>
    <t>BDI</t>
  </si>
  <si>
    <t>Burundi</t>
  </si>
  <si>
    <t>BEL</t>
  </si>
  <si>
    <t>Belgium</t>
  </si>
  <si>
    <t>BEN</t>
  </si>
  <si>
    <t>Benin</t>
  </si>
  <si>
    <t>BFA</t>
  </si>
  <si>
    <t>Burkina Faso</t>
  </si>
  <si>
    <t>BGD</t>
  </si>
  <si>
    <t>Bangladesh</t>
  </si>
  <si>
    <t>BGR</t>
  </si>
  <si>
    <t>Bulgaria</t>
  </si>
  <si>
    <t>BHR</t>
  </si>
  <si>
    <t>Bahrain</t>
  </si>
  <si>
    <t>BHS</t>
  </si>
  <si>
    <t>Bahamas</t>
  </si>
  <si>
    <t>BLZ</t>
  </si>
  <si>
    <t>Belize</t>
  </si>
  <si>
    <t>BMU</t>
  </si>
  <si>
    <t>Bermuda</t>
  </si>
  <si>
    <t>BOL</t>
  </si>
  <si>
    <t>Bolivia</t>
  </si>
  <si>
    <t>BRA</t>
  </si>
  <si>
    <t>Brazil</t>
  </si>
  <si>
    <t>BRB</t>
  </si>
  <si>
    <t>Barbados</t>
  </si>
  <si>
    <t>BRN</t>
  </si>
  <si>
    <t>Brunei Darussalam</t>
  </si>
  <si>
    <t>BTN</t>
  </si>
  <si>
    <t>Bhutan</t>
  </si>
  <si>
    <t>BWA</t>
  </si>
  <si>
    <t>Botswana</t>
  </si>
  <si>
    <t>CAF</t>
  </si>
  <si>
    <t>Central African Republic</t>
  </si>
  <si>
    <t>CAN</t>
  </si>
  <si>
    <t>Canada</t>
  </si>
  <si>
    <t>CCK</t>
  </si>
  <si>
    <t>Cocos (Keeling) Islands</t>
  </si>
  <si>
    <t>CHE</t>
  </si>
  <si>
    <t>Switzerland</t>
  </si>
  <si>
    <t>CHL</t>
  </si>
  <si>
    <t>Chile</t>
  </si>
  <si>
    <t>CHN</t>
  </si>
  <si>
    <t>China</t>
  </si>
  <si>
    <t>CIV</t>
  </si>
  <si>
    <t>Côte d'Ivoire</t>
  </si>
  <si>
    <t>CMR</t>
  </si>
  <si>
    <t>Cameroon</t>
  </si>
  <si>
    <t>COD</t>
  </si>
  <si>
    <t>Congo, Dem. Rep. Of</t>
  </si>
  <si>
    <t>COG</t>
  </si>
  <si>
    <t>Congo</t>
  </si>
  <si>
    <t>COK</t>
  </si>
  <si>
    <t>Cook Islands</t>
  </si>
  <si>
    <t>COL</t>
  </si>
  <si>
    <t>Colombia</t>
  </si>
  <si>
    <t>COM</t>
  </si>
  <si>
    <t>Comoros</t>
  </si>
  <si>
    <t>CPV</t>
  </si>
  <si>
    <t>Cape Verde</t>
  </si>
  <si>
    <t>CRI</t>
  </si>
  <si>
    <t>Costa Rica</t>
  </si>
  <si>
    <t>CSFR</t>
  </si>
  <si>
    <t>Former Czechoslovakia</t>
  </si>
  <si>
    <t>CSFR-CZE</t>
  </si>
  <si>
    <t>Czech Republic</t>
  </si>
  <si>
    <t>CSFR-SVK</t>
  </si>
  <si>
    <t>Slovak Republic</t>
  </si>
  <si>
    <t>CUB</t>
  </si>
  <si>
    <t>Cuba</t>
  </si>
  <si>
    <t>CYM</t>
  </si>
  <si>
    <t>Cayman Islands</t>
  </si>
  <si>
    <t>CYP</t>
  </si>
  <si>
    <t>Cyprus</t>
  </si>
  <si>
    <t>DEU</t>
  </si>
  <si>
    <t>Germany</t>
  </si>
  <si>
    <t>DJI</t>
  </si>
  <si>
    <t>Djibouti</t>
  </si>
  <si>
    <t>DMA</t>
  </si>
  <si>
    <t>Dominica</t>
  </si>
  <si>
    <t>DNK</t>
  </si>
  <si>
    <t>Denmark</t>
  </si>
  <si>
    <t>DOM</t>
  </si>
  <si>
    <t>Dominican Republic</t>
  </si>
  <si>
    <t>DZA</t>
  </si>
  <si>
    <t>Algeria</t>
  </si>
  <si>
    <t>ECU</t>
  </si>
  <si>
    <t>Ecuador</t>
  </si>
  <si>
    <t>EGY</t>
  </si>
  <si>
    <t>Egypt</t>
  </si>
  <si>
    <t>ERI</t>
  </si>
  <si>
    <t>Eritrea</t>
  </si>
  <si>
    <t>ESH</t>
  </si>
  <si>
    <t>Western Sahara</t>
  </si>
  <si>
    <t>ESP</t>
  </si>
  <si>
    <t>Spain</t>
  </si>
  <si>
    <t>ETH</t>
  </si>
  <si>
    <t>Ethiopia</t>
  </si>
  <si>
    <t>EURO</t>
  </si>
  <si>
    <t>Europe</t>
  </si>
  <si>
    <t>FIN</t>
  </si>
  <si>
    <t>Finland</t>
  </si>
  <si>
    <t>FJI</t>
  </si>
  <si>
    <t>Fiji</t>
  </si>
  <si>
    <t>FLK</t>
  </si>
  <si>
    <t>Falkland Islands</t>
  </si>
  <si>
    <t>FRA</t>
  </si>
  <si>
    <t>France</t>
  </si>
  <si>
    <t>FSM</t>
  </si>
  <si>
    <t>Micronesia, Federated states of</t>
  </si>
  <si>
    <t>FYUG</t>
  </si>
  <si>
    <t>Former Yugoslavia</t>
  </si>
  <si>
    <t>FYUG-BIH</t>
  </si>
  <si>
    <t>Bosnia-Herzegovina</t>
  </si>
  <si>
    <t>FYUG-HRV</t>
  </si>
  <si>
    <t>Croatia</t>
  </si>
  <si>
    <t>FYUG-MKD</t>
  </si>
  <si>
    <t>Macedonia</t>
  </si>
  <si>
    <t>FYUG-SVN</t>
  </si>
  <si>
    <t>Slovenia</t>
  </si>
  <si>
    <t>FYUG-YUG</t>
  </si>
  <si>
    <t>Serbia and Montenegro</t>
  </si>
  <si>
    <t>GAB</t>
  </si>
  <si>
    <t>Gabon</t>
  </si>
  <si>
    <t>GBR</t>
  </si>
  <si>
    <t>United Kingdom</t>
  </si>
  <si>
    <t>GHA</t>
  </si>
  <si>
    <t>Ghana</t>
  </si>
  <si>
    <t>GIB</t>
  </si>
  <si>
    <t>Gibraltar</t>
  </si>
  <si>
    <t>GIN</t>
  </si>
  <si>
    <t>Guinea</t>
  </si>
  <si>
    <t>GMB</t>
  </si>
  <si>
    <t>Gambia</t>
  </si>
  <si>
    <t>GNB</t>
  </si>
  <si>
    <t>Guinea-Bissau</t>
  </si>
  <si>
    <t>GNQ</t>
  </si>
  <si>
    <t>Equatorial Guinea</t>
  </si>
  <si>
    <t>GRC</t>
  </si>
  <si>
    <t>Greece</t>
  </si>
  <si>
    <t>GRD</t>
  </si>
  <si>
    <t>Grenada</t>
  </si>
  <si>
    <t>GTM</t>
  </si>
  <si>
    <t>Guatemala</t>
  </si>
  <si>
    <t>GUM</t>
  </si>
  <si>
    <t>Guam</t>
  </si>
  <si>
    <t>GUY</t>
  </si>
  <si>
    <t>Guyana</t>
  </si>
  <si>
    <t>HKG</t>
  </si>
  <si>
    <t>Hong Kong</t>
  </si>
  <si>
    <t>HND</t>
  </si>
  <si>
    <t>Honduras</t>
  </si>
  <si>
    <t>HTI</t>
  </si>
  <si>
    <t>Haiti</t>
  </si>
  <si>
    <t>HUN</t>
  </si>
  <si>
    <t>Hungary</t>
  </si>
  <si>
    <t>IDN</t>
  </si>
  <si>
    <t>Indonesia</t>
  </si>
  <si>
    <t>IND</t>
  </si>
  <si>
    <t>India</t>
  </si>
  <si>
    <t>IOT</t>
  </si>
  <si>
    <t>British Indian Ocean Territory</t>
  </si>
  <si>
    <t>IRL</t>
  </si>
  <si>
    <t>Ireland</t>
  </si>
  <si>
    <t>IRN</t>
  </si>
  <si>
    <t>Iran</t>
  </si>
  <si>
    <t>IRQ</t>
  </si>
  <si>
    <t>Iraq</t>
  </si>
  <si>
    <t>ISL</t>
  </si>
  <si>
    <t>Iceland</t>
  </si>
  <si>
    <t>ISR</t>
  </si>
  <si>
    <t>Israel</t>
  </si>
  <si>
    <t>ITA</t>
  </si>
  <si>
    <t>Italy</t>
  </si>
  <si>
    <t>JAM</t>
  </si>
  <si>
    <t>Jamaica</t>
  </si>
  <si>
    <t>JOR</t>
  </si>
  <si>
    <t>Jordan</t>
  </si>
  <si>
    <t>JPN</t>
  </si>
  <si>
    <t>Japan</t>
  </si>
  <si>
    <t>KEN</t>
  </si>
  <si>
    <t>Kenya</t>
  </si>
  <si>
    <t>KHM</t>
  </si>
  <si>
    <t>Cambodia</t>
  </si>
  <si>
    <t>KIR</t>
  </si>
  <si>
    <t>Kiribati</t>
  </si>
  <si>
    <t>KNA</t>
  </si>
  <si>
    <t>Saint Kitts and Nevis</t>
  </si>
  <si>
    <t>KOREA-NO</t>
  </si>
  <si>
    <t>North Korea</t>
  </si>
  <si>
    <t>KOREA-NS</t>
  </si>
  <si>
    <t>South Korea</t>
  </si>
  <si>
    <t>KOREA-SO</t>
  </si>
  <si>
    <t>North and South Korea</t>
  </si>
  <si>
    <t>KWT</t>
  </si>
  <si>
    <t>Kuwait</t>
  </si>
  <si>
    <t>LAO</t>
  </si>
  <si>
    <t>Laos</t>
  </si>
  <si>
    <t>LBN</t>
  </si>
  <si>
    <t>Lebanon</t>
  </si>
  <si>
    <t>LBR</t>
  </si>
  <si>
    <t>Liberia</t>
  </si>
  <si>
    <t>LBY</t>
  </si>
  <si>
    <t>Libya</t>
  </si>
  <si>
    <t>LCA</t>
  </si>
  <si>
    <t>Saint Lucia</t>
  </si>
  <si>
    <t>LIE</t>
  </si>
  <si>
    <t>Liechtenstein</t>
  </si>
  <si>
    <t>LKA</t>
  </si>
  <si>
    <t>Sri Lanka</t>
  </si>
  <si>
    <t>LSO</t>
  </si>
  <si>
    <t>Lesotho</t>
  </si>
  <si>
    <t>LUX</t>
  </si>
  <si>
    <t>Luxembourg</t>
  </si>
  <si>
    <t>MAC</t>
  </si>
  <si>
    <t>Macau</t>
  </si>
  <si>
    <t>MAR</t>
  </si>
  <si>
    <t>Morocco</t>
  </si>
  <si>
    <t>MCO</t>
  </si>
  <si>
    <t>Monaco</t>
  </si>
  <si>
    <t>MDG</t>
  </si>
  <si>
    <t>Madagascar</t>
  </si>
  <si>
    <t>MDV</t>
  </si>
  <si>
    <t>Maldives</t>
  </si>
  <si>
    <t>MEX</t>
  </si>
  <si>
    <t>Mexico</t>
  </si>
  <si>
    <t>MHL</t>
  </si>
  <si>
    <t>Marshall Islands</t>
  </si>
  <si>
    <t>MLI</t>
  </si>
  <si>
    <t>Mali</t>
  </si>
  <si>
    <t>MLT</t>
  </si>
  <si>
    <t>Malta</t>
  </si>
  <si>
    <t>MMR</t>
  </si>
  <si>
    <t>Myanmar</t>
  </si>
  <si>
    <t>MNG</t>
  </si>
  <si>
    <t>Mongolia</t>
  </si>
  <si>
    <t>MNP</t>
  </si>
  <si>
    <t>Northern Mariana Islands</t>
  </si>
  <si>
    <t>MOZ</t>
  </si>
  <si>
    <t>Mozambique</t>
  </si>
  <si>
    <t>MRT</t>
  </si>
  <si>
    <t>Mauritania</t>
  </si>
  <si>
    <t>MSR</t>
  </si>
  <si>
    <t>Montserrat</t>
  </si>
  <si>
    <t>MUS</t>
  </si>
  <si>
    <t>Mauritius</t>
  </si>
  <si>
    <t>MWI</t>
  </si>
  <si>
    <t>Malawi</t>
  </si>
  <si>
    <t>MYS</t>
  </si>
  <si>
    <t>Malaysia</t>
  </si>
  <si>
    <t>NAM</t>
  </si>
  <si>
    <t>Namibia</t>
  </si>
  <si>
    <t>NER</t>
  </si>
  <si>
    <t>Niger</t>
  </si>
  <si>
    <t>NFK</t>
  </si>
  <si>
    <t>Norfolk Islands</t>
  </si>
  <si>
    <t>NGA</t>
  </si>
  <si>
    <t>Nigeria</t>
  </si>
  <si>
    <t>NIC</t>
  </si>
  <si>
    <t>Nicaragua</t>
  </si>
  <si>
    <t>NIU</t>
  </si>
  <si>
    <t>Niue</t>
  </si>
  <si>
    <t>NLD</t>
  </si>
  <si>
    <t>Netherlands</t>
  </si>
  <si>
    <t>NOAM</t>
  </si>
  <si>
    <t>North America</t>
  </si>
  <si>
    <t>NOR</t>
  </si>
  <si>
    <t>Norway</t>
  </si>
  <si>
    <t>NPL</t>
  </si>
  <si>
    <t>Nepal</t>
  </si>
  <si>
    <t>NRU</t>
  </si>
  <si>
    <t>Nauru</t>
  </si>
  <si>
    <t>NZL</t>
  </si>
  <si>
    <t>New Zealand</t>
  </si>
  <si>
    <t>OCEA</t>
  </si>
  <si>
    <t>Oceania</t>
  </si>
  <si>
    <t>OMN</t>
  </si>
  <si>
    <t>Oman</t>
  </si>
  <si>
    <t>OTH</t>
  </si>
  <si>
    <t>Other</t>
  </si>
  <si>
    <t>PAK</t>
  </si>
  <si>
    <t>Pakistan</t>
  </si>
  <si>
    <t>PAN</t>
  </si>
  <si>
    <t>Panama</t>
  </si>
  <si>
    <t>PCN</t>
  </si>
  <si>
    <t>Pitcairn</t>
  </si>
  <si>
    <t>PER</t>
  </si>
  <si>
    <t>Peru</t>
  </si>
  <si>
    <t>PHL</t>
  </si>
  <si>
    <t>Philippines</t>
  </si>
  <si>
    <t>PLW</t>
  </si>
  <si>
    <t>Pacific Islands (Palau)</t>
  </si>
  <si>
    <t>PNG</t>
  </si>
  <si>
    <t>Papua New Guinea</t>
  </si>
  <si>
    <t>POL</t>
  </si>
  <si>
    <t>Poland</t>
  </si>
  <si>
    <t>PRI</t>
  </si>
  <si>
    <t>Puerto Rico</t>
  </si>
  <si>
    <t>PRT</t>
  </si>
  <si>
    <t>Portugal</t>
  </si>
  <si>
    <t>PRY</t>
  </si>
  <si>
    <t>Paraguay</t>
  </si>
  <si>
    <t>PSE</t>
  </si>
  <si>
    <t>Occupied Palestinian Territory</t>
  </si>
  <si>
    <t>QAT</t>
  </si>
  <si>
    <t>Qatar</t>
  </si>
  <si>
    <t>ROU</t>
  </si>
  <si>
    <t>Romania</t>
  </si>
  <si>
    <t>RWA</t>
  </si>
  <si>
    <t>Rwanda</t>
  </si>
  <si>
    <t>SAU</t>
  </si>
  <si>
    <t>Saudi Arabia</t>
  </si>
  <si>
    <t>SCAC</t>
  </si>
  <si>
    <t>South and Central America</t>
  </si>
  <si>
    <t>SDN</t>
  </si>
  <si>
    <t>Sudan</t>
  </si>
  <si>
    <t>SEN</t>
  </si>
  <si>
    <t>Senegal</t>
  </si>
  <si>
    <t>SGP</t>
  </si>
  <si>
    <t>Singapore</t>
  </si>
  <si>
    <t>SHN</t>
  </si>
  <si>
    <t>Saint Helena</t>
  </si>
  <si>
    <t>SJM</t>
  </si>
  <si>
    <t>Svalbard and Jan Mayen Islands</t>
  </si>
  <si>
    <t>SLB</t>
  </si>
  <si>
    <t>Solomon Islands</t>
  </si>
  <si>
    <t>SLE</t>
  </si>
  <si>
    <t>Sierra Leone</t>
  </si>
  <si>
    <t>SLV</t>
  </si>
  <si>
    <t>El Salvador</t>
  </si>
  <si>
    <t>SMR</t>
  </si>
  <si>
    <t>San Marino</t>
  </si>
  <si>
    <t>SOM</t>
  </si>
  <si>
    <t>Somalia</t>
  </si>
  <si>
    <t>STP</t>
  </si>
  <si>
    <t>Sao Tome and Principe</t>
  </si>
  <si>
    <t>SUR</t>
  </si>
  <si>
    <t>Suriname</t>
  </si>
  <si>
    <t>SWE</t>
  </si>
  <si>
    <t>Sweden</t>
  </si>
  <si>
    <t>SWZ</t>
  </si>
  <si>
    <t>Swaziland</t>
  </si>
  <si>
    <t>SYC</t>
  </si>
  <si>
    <t>Seychelles</t>
  </si>
  <si>
    <t>SYR</t>
  </si>
  <si>
    <t>Syria</t>
  </si>
  <si>
    <t>TCA</t>
  </si>
  <si>
    <t>Turks and Caicos Islands</t>
  </si>
  <si>
    <t>TCD</t>
  </si>
  <si>
    <t>Chad</t>
  </si>
  <si>
    <t>TGO</t>
  </si>
  <si>
    <t>Togo</t>
  </si>
  <si>
    <t>THA</t>
  </si>
  <si>
    <t>Thailand</t>
  </si>
  <si>
    <t>TKL</t>
  </si>
  <si>
    <t>Tokelau</t>
  </si>
  <si>
    <t>TLS</t>
  </si>
  <si>
    <t>Timor-Leste</t>
  </si>
  <si>
    <t>TMP</t>
  </si>
  <si>
    <t>East Timor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</si>
  <si>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</si>
  <si>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</si>
  <si>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</si>
  <si>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</si>
  <si>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</si>
  <si>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</si>
  <si>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</si>
  <si>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</si>
  <si>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TUV</t>
  </si>
  <si>
    <t>Tuvalu</t>
  </si>
  <si>
    <t>TWN</t>
  </si>
  <si>
    <t>Chinese Taipei</t>
  </si>
  <si>
    <t>TZA</t>
  </si>
  <si>
    <t>United Republic of Tanzania</t>
  </si>
  <si>
    <t>UGA</t>
  </si>
  <si>
    <t>Unknown</t>
  </si>
  <si>
    <t>UNK</t>
  </si>
  <si>
    <t>URY</t>
  </si>
  <si>
    <t>Uruguay</t>
  </si>
  <si>
    <t>USA</t>
  </si>
  <si>
    <t>United States</t>
  </si>
  <si>
    <t>USSR</t>
  </si>
  <si>
    <t>Former USSR</t>
  </si>
  <si>
    <t>USSR-ARM</t>
  </si>
  <si>
    <t>Armenia</t>
  </si>
  <si>
    <t>USSR-AZE</t>
  </si>
  <si>
    <t>Azerbaidjan</t>
  </si>
  <si>
    <t>USSR-BLR</t>
  </si>
  <si>
    <t>Belarus</t>
  </si>
  <si>
    <t>USSR-EST</t>
  </si>
  <si>
    <t>Estonia</t>
  </si>
  <si>
    <t>USSR-GEO</t>
  </si>
  <si>
    <t>Georgia</t>
  </si>
  <si>
    <t>USSR-KAZ</t>
  </si>
  <si>
    <t>Kazakhstan</t>
  </si>
  <si>
    <t>USSR-KGZ</t>
  </si>
  <si>
    <t>Kirghizistan</t>
  </si>
  <si>
    <t>USSR-LTU</t>
  </si>
  <si>
    <t>Lithuania</t>
  </si>
  <si>
    <t>USSR-LVA</t>
  </si>
  <si>
    <t>Latvia</t>
  </si>
  <si>
    <t>USSR-MDA</t>
  </si>
  <si>
    <t>Moldova</t>
  </si>
  <si>
    <t>USSR-RUS</t>
  </si>
  <si>
    <t>Russia</t>
  </si>
  <si>
    <t>USSR-TJK</t>
  </si>
  <si>
    <t>Tadjikistan</t>
  </si>
  <si>
    <t>USSR-TKM</t>
  </si>
  <si>
    <t>Turkménistan</t>
  </si>
  <si>
    <t>USSR-UKR</t>
  </si>
  <si>
    <t>Ukraine</t>
  </si>
  <si>
    <t>USSR-UZB</t>
  </si>
  <si>
    <t>Uzbekistan</t>
  </si>
  <si>
    <t>VAT</t>
  </si>
  <si>
    <t>Holy See</t>
  </si>
  <si>
    <t>VCT</t>
  </si>
  <si>
    <t>Saint Vincent and the Grenadines</t>
  </si>
  <si>
    <t>VEN</t>
  </si>
  <si>
    <t>Venezuela</t>
  </si>
  <si>
    <t>VGB</t>
  </si>
  <si>
    <t>British Virgin Islands</t>
  </si>
  <si>
    <t>VIR</t>
  </si>
  <si>
    <t>United States Virgin Islands</t>
  </si>
  <si>
    <t>VNM</t>
  </si>
  <si>
    <t>Vietnam</t>
  </si>
  <si>
    <t>VUT</t>
  </si>
  <si>
    <t>Vanuatu</t>
  </si>
  <si>
    <t>WSM</t>
  </si>
  <si>
    <t>Samoa</t>
  </si>
  <si>
    <t>YEM</t>
  </si>
  <si>
    <t>Yemen</t>
  </si>
  <si>
    <t>ZAF</t>
  </si>
  <si>
    <t>South Africa</t>
  </si>
  <si>
    <t>ZMB</t>
  </si>
  <si>
    <t>Zambia</t>
  </si>
  <si>
    <t>ZWE</t>
  </si>
  <si>
    <t>Zimbabwe</t>
  </si>
  <si>
    <t>% World GDP</t>
  </si>
  <si>
    <t>Investment as % of GDP</t>
  </si>
  <si>
    <t>Industrial Production yoy %</t>
  </si>
  <si>
    <t>Euro Area</t>
  </si>
  <si>
    <t>World GDP</t>
  </si>
  <si>
    <t>Euro GDP</t>
  </si>
  <si>
    <t>Last</t>
  </si>
  <si>
    <t>Month</t>
  </si>
  <si>
    <t>Previous</t>
  </si>
  <si>
    <t>Unit</t>
  </si>
  <si>
    <t>Jun-21</t>
  </si>
  <si>
    <t>%</t>
  </si>
  <si>
    <t>Oct-21</t>
  </si>
  <si>
    <t>Azerbaijan</t>
  </si>
  <si>
    <t>Sep-21</t>
  </si>
  <si>
    <t>Nov-21</t>
  </si>
  <si>
    <t>Bosnia and Herzegovina</t>
  </si>
  <si>
    <t>CEB</t>
  </si>
  <si>
    <t>Mar-21</t>
  </si>
  <si>
    <t>Dec-19</t>
  </si>
  <si>
    <t>May-21</t>
  </si>
  <si>
    <t>Dec-20</t>
  </si>
  <si>
    <t>Aug-21</t>
  </si>
  <si>
    <t>European Union</t>
  </si>
  <si>
    <t>Guinea Bissau</t>
  </si>
  <si>
    <t>Mar-20</t>
  </si>
  <si>
    <t>Ivory Coast</t>
  </si>
  <si>
    <t>Kosovo</t>
  </si>
  <si>
    <t>Kyrgyzstan</t>
  </si>
  <si>
    <t>Montenegro</t>
  </si>
  <si>
    <t>Palestine</t>
  </si>
  <si>
    <t>Jun-20</t>
  </si>
  <si>
    <t>Serbia</t>
  </si>
  <si>
    <t>Slovakia</t>
  </si>
  <si>
    <t>Taiwan</t>
  </si>
  <si>
    <t>Tajikistan</t>
  </si>
  <si>
    <t>Trinidad And Tobago</t>
  </si>
  <si>
    <t>Jan-19</t>
  </si>
  <si>
    <t>DATE</t>
  </si>
  <si>
    <t>CHI</t>
  </si>
  <si>
    <t>CZE</t>
  </si>
  <si>
    <t>EA19</t>
  </si>
  <si>
    <t>EST</t>
  </si>
  <si>
    <t>EU27_2020</t>
  </si>
  <si>
    <t>G-7</t>
  </si>
  <si>
    <t>KOR</t>
  </si>
  <si>
    <t>LVA</t>
  </si>
  <si>
    <t>OECD</t>
  </si>
  <si>
    <t>RUS</t>
  </si>
  <si>
    <t>SVK</t>
  </si>
  <si>
    <t>SVN</t>
  </si>
  <si>
    <t>GDP</t>
  </si>
  <si>
    <t>Investment_Percentage</t>
  </si>
  <si>
    <t>Code</t>
  </si>
  <si>
    <t>Tanzania</t>
  </si>
  <si>
    <t>Turkmenistan</t>
  </si>
  <si>
    <t>Uganda</t>
  </si>
  <si>
    <t>Trinidadand Tobago</t>
  </si>
  <si>
    <t>Bosniaand Herzegovina</t>
  </si>
  <si>
    <t>Brunei</t>
  </si>
  <si>
    <t>Republicofthe Congo</t>
  </si>
  <si>
    <t>New Caledonia</t>
  </si>
  <si>
    <t>South Sudan</t>
  </si>
  <si>
    <t>Sao Tomeand Principe</t>
  </si>
  <si>
    <t>Date</t>
  </si>
  <si>
    <t>YoY</t>
  </si>
  <si>
    <t>HSBC China PMI</t>
  </si>
  <si>
    <t>modify max/min/avg</t>
  </si>
  <si>
    <t>Last month</t>
  </si>
  <si>
    <t>US</t>
  </si>
  <si>
    <t>Eurozone</t>
  </si>
  <si>
    <t xml:space="preserve">Japan </t>
  </si>
  <si>
    <t>UK</t>
  </si>
  <si>
    <t xml:space="preserve">Italy </t>
  </si>
  <si>
    <t xml:space="preserve">S Korea </t>
  </si>
  <si>
    <t xml:space="preserve">Czech </t>
  </si>
  <si>
    <t>max 1y</t>
  </si>
  <si>
    <t>min 1y</t>
  </si>
  <si>
    <t>1y avg</t>
  </si>
  <si>
    <t>Last vs 12m avg</t>
  </si>
  <si>
    <t>Y/Y</t>
  </si>
  <si>
    <t>M/M</t>
  </si>
  <si>
    <t>Data</t>
  </si>
  <si>
    <t xml:space="preserve">USA </t>
  </si>
  <si>
    <t xml:space="preserve">JPN </t>
  </si>
  <si>
    <t>Base Month</t>
  </si>
  <si>
    <t>EU28</t>
  </si>
  <si>
    <t>G7</t>
  </si>
  <si>
    <t>*Country Code in B4</t>
  </si>
  <si>
    <t>Example FRA for France USA for the U.S.</t>
  </si>
  <si>
    <t>mom</t>
  </si>
  <si>
    <t>yoy</t>
  </si>
  <si>
    <t>China Industrial Production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</si>
</sst>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%"/>
    <numFmt numFmtId="166" formatCode="0.0%"/>
    <numFmt numFmtId="167" formatCode="0.000"/>
    <numFmt numFmtId="168" formatCode="dd\-mm\-yyyy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FFFFFF"/>
      <name val="Arial"/>
      <family val="2"/>
    </font>
    <font>
      <sz val="11"/>
      <color rgb="FF33333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xfId="0"/>
    <xf numFmtId="17" fontId="0" fillId="0" borderId="0" xfId="0" applyNumberFormat="1"/>
    <xf numFmtId="14" fontId="0" fillId="0" borderId="0" xfId="0" applyNumberFormat="1"/>
    <xf numFmtId="10" fontId="8" fillId="7" borderId="1" xfId="0" applyNumberFormat="1" applyFont="1" applyFill="1" applyBorder="1" applyAlignment="1">
      <alignment horizontal="center" vertical="center"/>
    </xf>
    <xf numFmtId="2" fontId="8" fillId="7" borderId="1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0" fontId="0" fillId="0" borderId="0" xfId="0" applyNumberFormat="1"/>
    <xf numFmtId="165" fontId="0" fillId="0" borderId="0" xfId="0" applyNumberFormat="1"/>
    <xf numFmtId="0" fontId="3" fillId="8" borderId="0" xfId="0" applyFont="1" applyFill="1"/>
    <xf numFmtId="166" fontId="0" fillId="0" borderId="0" xfId="0" applyNumberFormat="1"/>
    <xf numFmtId="0" fontId="9" fillId="0" borderId="0" xfId="2"/>
    <xf numFmtId="166" fontId="10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6" fontId="6" fillId="3" borderId="1" xfId="1" applyNumberFormat="1" applyFont="1" applyFill="1" applyBorder="1" applyAlignment="1">
      <alignment horizontal="center" vertical="center"/>
    </xf>
    <xf numFmtId="17" fontId="11" fillId="2" borderId="1" xfId="0" applyNumberFormat="1" applyFont="1" applyFill="1" applyBorder="1" applyAlignment="1">
      <alignment horizontal="left" vertical="top" wrapText="1"/>
    </xf>
    <xf numFmtId="0" fontId="12" fillId="3" borderId="0" xfId="0" applyFont="1" applyFill="1"/>
    <xf numFmtId="17" fontId="0" fillId="3" borderId="0" xfId="0" applyNumberFormat="1" applyFill="1"/>
    <xf numFmtId="166" fontId="8" fillId="7" borderId="1" xfId="1" applyNumberFormat="1" applyFont="1" applyFill="1" applyBorder="1" applyAlignment="1">
      <alignment horizontal="center" vertical="center"/>
    </xf>
    <xf numFmtId="17" fontId="5" fillId="7" borderId="1" xfId="0" applyNumberFormat="1" applyFont="1" applyFill="1" applyBorder="1" applyAlignment="1">
      <alignment vertical="top" wrapText="1"/>
    </xf>
    <xf numFmtId="166" fontId="0" fillId="3" borderId="0" xfId="0" applyNumberFormat="1" applyFill="1"/>
    <xf numFmtId="2" fontId="0" fillId="3" borderId="0" xfId="0" applyNumberFormat="1" applyFill="1"/>
    <xf numFmtId="17" fontId="0" fillId="3" borderId="1" xfId="0" applyNumberFormat="1" applyFill="1" applyBorder="1" applyAlignment="1">
      <alignment horizontal="center"/>
    </xf>
    <xf numFmtId="166" fontId="0" fillId="3" borderId="1" xfId="1" applyNumberFormat="1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7" fontId="2" fillId="9" borderId="0" xfId="2" applyNumberFormat="1" applyFont="1" applyFill="1" applyAlignment="1">
      <alignment horizontal="center"/>
    </xf>
    <xf numFmtId="166" fontId="2" fillId="9" borderId="0" xfId="0" applyNumberFormat="1" applyFont="1" applyFill="1" applyAlignment="1">
      <alignment horizontal="center"/>
    </xf>
    <xf numFmtId="0" fontId="4" fillId="0" borderId="0" xfId="0" applyFont="1"/>
    <xf numFmtId="0" fontId="4" fillId="3" borderId="0" xfId="0" applyFont="1" applyFill="1"/>
    <xf numFmtId="17" fontId="13" fillId="3" borderId="0" xfId="0" applyNumberFormat="1" applyFont="1" applyFill="1"/>
    <xf numFmtId="0" fontId="13" fillId="3" borderId="0" xfId="0" applyFont="1" applyFill="1"/>
    <xf numFmtId="166" fontId="13" fillId="3" borderId="0" xfId="0" applyNumberFormat="1" applyFont="1" applyFill="1"/>
    <xf numFmtId="2" fontId="15" fillId="3" borderId="0" xfId="0" applyNumberFormat="1" applyFont="1" applyFill="1"/>
    <xf numFmtId="0" fontId="4" fillId="10" borderId="0" xfId="0" applyFont="1" applyFill="1" applyAlignment="1">
      <alignment horizontal="center"/>
    </xf>
    <xf numFmtId="17" fontId="12" fillId="3" borderId="0" xfId="0" applyNumberFormat="1" applyFont="1" applyFill="1"/>
    <xf numFmtId="17" fontId="16" fillId="3" borderId="0" xfId="0" applyNumberFormat="1" applyFont="1" applyFill="1"/>
    <xf numFmtId="165" fontId="0" fillId="3" borderId="0" xfId="0" applyNumberFormat="1" applyFill="1"/>
    <xf numFmtId="10" fontId="0" fillId="3" borderId="0" xfId="0" applyNumberFormat="1" applyFill="1"/>
    <xf numFmtId="17" fontId="2" fillId="9" borderId="6" xfId="2" applyNumberFormat="1" applyFont="1" applyFill="1" applyBorder="1"/>
    <xf numFmtId="0" fontId="0" fillId="9" borderId="7" xfId="0" applyFill="1" applyBorder="1"/>
    <xf numFmtId="165" fontId="3" fillId="9" borderId="7" xfId="0" applyNumberFormat="1" applyFont="1" applyFill="1" applyBorder="1"/>
    <xf numFmtId="10" fontId="3" fillId="9" borderId="7" xfId="0" applyNumberFormat="1" applyFont="1" applyFill="1" applyBorder="1"/>
    <xf numFmtId="0" fontId="0" fillId="9" borderId="8" xfId="0" applyFill="1" applyBorder="1"/>
    <xf numFmtId="167" fontId="0" fillId="3" borderId="1" xfId="1" applyNumberFormat="1" applyFont="1" applyFill="1" applyBorder="1" applyAlignment="1">
      <alignment horizontal="center"/>
    </xf>
    <xf numFmtId="14" fontId="0" fillId="3" borderId="0" xfId="0" applyNumberFormat="1" applyFill="1"/>
    <xf numFmtId="164" fontId="0" fillId="9" borderId="4" xfId="1" applyNumberFormat="1" applyFont="1" applyFill="1" applyBorder="1" applyAlignment="1">
      <alignment horizontal="center" wrapText="1"/>
    </xf>
    <xf numFmtId="14" fontId="0" fillId="9" borderId="3" xfId="0" applyNumberFormat="1" applyFill="1" applyBorder="1" applyAlignment="1">
      <alignment horizontal="center" wrapText="1"/>
    </xf>
    <xf numFmtId="2" fontId="0" fillId="9" borderId="5" xfId="0" applyNumberFormat="1" applyFill="1" applyBorder="1" applyAlignment="1">
      <alignment horizontal="center" wrapText="1"/>
    </xf>
    <xf numFmtId="0" fontId="6" fillId="0" borderId="12" xfId="0" applyFont="1" applyBorder="1"/>
    <xf numFmtId="0" fontId="8" fillId="7" borderId="12" xfId="0" applyFont="1" applyFill="1" applyBorder="1" applyAlignment="1">
      <alignment horizontal="center" vertical="center"/>
    </xf>
    <xf numFmtId="0" fontId="6" fillId="0" borderId="13" xfId="0" applyFont="1" applyBorder="1"/>
    <xf numFmtId="0" fontId="7" fillId="4" borderId="14" xfId="0" applyFont="1" applyFill="1" applyBorder="1" applyAlignment="1">
      <alignment horizontal="center" textRotation="90"/>
    </xf>
    <xf numFmtId="0" fontId="7" fillId="5" borderId="14" xfId="0" applyFont="1" applyFill="1" applyBorder="1" applyAlignment="1">
      <alignment horizontal="center" textRotation="90"/>
    </xf>
    <xf numFmtId="0" fontId="7" fillId="6" borderId="14" xfId="0" applyFont="1" applyFill="1" applyBorder="1" applyAlignment="1">
      <alignment horizontal="center" textRotation="90"/>
    </xf>
    <xf numFmtId="0" fontId="7" fillId="7" borderId="14" xfId="0" applyFont="1" applyFill="1" applyBorder="1" applyAlignment="1">
      <alignment horizontal="center" textRotation="90"/>
    </xf>
    <xf numFmtId="0" fontId="7" fillId="7" borderId="15" xfId="0" applyFont="1" applyFill="1" applyBorder="1" applyAlignment="1">
      <alignment horizontal="center" textRotation="90"/>
    </xf>
    <xf numFmtId="0" fontId="6" fillId="0" borderId="16" xfId="0" applyFont="1" applyBorder="1"/>
    <xf numFmtId="10" fontId="8" fillId="7" borderId="17" xfId="0" applyNumberFormat="1" applyFont="1" applyFill="1" applyBorder="1" applyAlignment="1">
      <alignment horizontal="center" vertical="center"/>
    </xf>
    <xf numFmtId="2" fontId="8" fillId="7" borderId="17" xfId="0" applyNumberFormat="1" applyFont="1" applyFill="1" applyBorder="1" applyAlignment="1">
      <alignment horizontal="center" vertical="center"/>
    </xf>
    <xf numFmtId="166" fontId="8" fillId="7" borderId="17" xfId="1" applyNumberFormat="1" applyFont="1" applyFill="1" applyBorder="1" applyAlignment="1">
      <alignment horizontal="center" vertical="center"/>
    </xf>
    <xf numFmtId="0" fontId="6" fillId="0" borderId="18" xfId="0" applyFont="1" applyBorder="1"/>
    <xf numFmtId="166" fontId="8" fillId="7" borderId="19" xfId="1" applyNumberFormat="1" applyFont="1" applyFill="1" applyBorder="1" applyAlignment="1">
      <alignment horizontal="center" vertical="center"/>
    </xf>
    <xf numFmtId="166" fontId="8" fillId="7" borderId="20" xfId="1" applyNumberFormat="1" applyFont="1" applyFill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14" fillId="0" borderId="1" xfId="3" applyBorder="1" applyAlignment="1">
      <alignment horizontal="center"/>
    </xf>
    <xf numFmtId="0" fontId="3" fillId="3" borderId="0" xfId="0" applyFont="1" applyFill="1"/>
    <xf numFmtId="0" fontId="0" fillId="0" borderId="0" xfId="0" applyAlignment="1">
      <alignment vertical="center"/>
    </xf>
    <xf numFmtId="0" fontId="17" fillId="9" borderId="1" xfId="0" applyFont="1" applyFill="1" applyBorder="1" applyAlignment="1">
      <alignment horizontal="center" vertical="center" wrapText="1"/>
    </xf>
    <xf numFmtId="0" fontId="7" fillId="3" borderId="1" xfId="0" applyFont="1" applyFill="1" applyBorder="1"/>
    <xf numFmtId="14" fontId="0" fillId="11" borderId="10" xfId="0" applyNumberFormat="1" applyFill="1" applyBorder="1"/>
    <xf numFmtId="166" fontId="0" fillId="11" borderId="11" xfId="1" applyNumberFormat="1" applyFont="1" applyFill="1" applyBorder="1" applyAlignment="1">
      <alignment horizontal="center"/>
    </xf>
    <xf numFmtId="14" fontId="0" fillId="11" borderId="9" xfId="0" applyNumberFormat="1" applyFill="1" applyBorder="1"/>
    <xf numFmtId="0" fontId="0" fillId="0" borderId="0" xfId="0" applyAlignment="1">
      <alignment horizontal="center"/>
    </xf>
    <xf numFmtId="10" fontId="19" fillId="0" borderId="0" xfId="0" applyNumberFormat="1" applyFont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14" fontId="9" fillId="3" borderId="0" xfId="2" applyNumberFormat="1" applyFill="1"/>
    <xf numFmtId="0" fontId="0" fillId="0" borderId="0" xfId="0"/>
    <xf numFmtId="14" fontId="0" fillId="11" borderId="2" xfId="0" applyNumberFormat="1" applyFill="1" applyBorder="1"/>
    <xf numFmtId="14" fontId="0" fillId="3" borderId="2" xfId="0" applyNumberFormat="1" applyFill="1" applyBorder="1"/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/>
    </xf>
    <xf numFmtId="14" fontId="0" fillId="11" borderId="1" xfId="0" applyNumberFormat="1" applyFill="1" applyBorder="1"/>
    <xf numFmtId="166" fontId="0" fillId="3" borderId="0" xfId="1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3" borderId="0" xfId="0" applyFill="1"/>
    <xf numFmtId="0" fontId="3" fillId="1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right"/>
    </xf>
    <xf numFmtId="168" fontId="0" fillId="0" borderId="0" xfId="0" applyNumberFormat="1"/>
    <xf numFmtId="0" fontId="0" fillId="3" borderId="0" xfId="0" applyFill="1"/>
    <xf numFmtId="164" fontId="0" fillId="3" borderId="0" xfId="0" applyNumberFormat="1" applyFill="1" applyAlignment="1">
      <alignment horizontal="left" vertical="center" wrapText="1"/>
    </xf>
    <xf numFmtId="0" fontId="0" fillId="3" borderId="0" xfId="0" applyFill="1" applyAlignment="1">
      <alignment wrapText="1"/>
    </xf>
    <xf numFmtId="164" fontId="13" fillId="3" borderId="0" xfId="0" applyNumberFormat="1" applyFont="1" applyFill="1" applyAlignment="1">
      <alignment horizontal="left" vertical="center" wrapText="1"/>
    </xf>
    <xf numFmtId="0" fontId="9" fillId="0" borderId="0" xfId="2" applyAlignment="1">
      <alignment wrapText="1"/>
    </xf>
    <xf numFmtId="0" fontId="9" fillId="3" borderId="0" xfId="2" applyFill="1"/>
    <xf numFmtId="0" fontId="3" fillId="3" borderId="21" xfId="0" applyFont="1" applyFill="1" applyBorder="1" applyAlignment="1">
      <alignment horizontal="center" vertical="center"/>
    </xf>
    <xf numFmtId="0" fontId="0" fillId="0" borderId="21" xfId="0" applyBorder="1"/>
    <xf numFmtId="0" fontId="2" fillId="9" borderId="24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12" borderId="1" xfId="0" applyFont="1" applyFill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3" borderId="0" xfId="0" applyFill="1" applyAlignment="1">
      <alignment vertical="center" wrapText="1"/>
    </xf>
    <xf numFmtId="0" fontId="9" fillId="3" borderId="21" xfId="2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8" fillId="3" borderId="0" xfId="0" applyFont="1" applyFill="1" applyAlignment="1">
      <alignment horizontal="left" vertical="center"/>
    </xf>
    <xf numFmtId="0" fontId="0" fillId="3" borderId="0" xfId="0" applyFill="1" applyAlignment="1">
      <alignment horizontal="right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%"/>
      <fill>
        <patternFill>
          <bgColor theme="0"/>
        </patternFill>
      </fill>
      <alignment horizontal="center" vertical="bottom"/>
      <border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'IP World'!$H$1</c:f>
              <c:strCache>
                <c:ptCount val="1"/>
                <c:pt idx="0">
                  <c:v>Italy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World'!$H$2:$H$385</c:f>
              <c:numCache>
                <c:formatCode>0.00</c:formatCode>
                <c:ptCount val="384"/>
                <c:pt idx="0">
                  <c:v>90.625000000128509</c:v>
                </c:pt>
                <c:pt idx="1">
                  <c:v>91.118421052623461</c:v>
                </c:pt>
                <c:pt idx="2">
                  <c:v>91.447368420679297</c:v>
                </c:pt>
                <c:pt idx="3">
                  <c:v>92.187500000244157</c:v>
                </c:pt>
                <c:pt idx="4">
                  <c:v>91.118421052623461</c:v>
                </c:pt>
                <c:pt idx="5">
                  <c:v>90.213815789441895</c:v>
                </c:pt>
                <c:pt idx="6">
                  <c:v>90.460526315689378</c:v>
                </c:pt>
                <c:pt idx="7">
                  <c:v>91.447368420679297</c:v>
                </c:pt>
                <c:pt idx="8">
                  <c:v>91.200657894431814</c:v>
                </c:pt>
                <c:pt idx="9">
                  <c:v>90.707236841936862</c:v>
                </c:pt>
                <c:pt idx="10">
                  <c:v>89.391447368068683</c:v>
                </c:pt>
                <c:pt idx="11">
                  <c:v>90.871710526375992</c:v>
                </c:pt>
                <c:pt idx="12">
                  <c:v>91.365131578870944</c:v>
                </c:pt>
                <c:pt idx="13">
                  <c:v>89.63815789513859</c:v>
                </c:pt>
                <c:pt idx="14">
                  <c:v>89.144736841821214</c:v>
                </c:pt>
                <c:pt idx="15">
                  <c:v>88.322368421270426</c:v>
                </c:pt>
                <c:pt idx="16">
                  <c:v>89.391447368068683</c:v>
                </c:pt>
                <c:pt idx="17">
                  <c:v>89.720394736946943</c:v>
                </c:pt>
                <c:pt idx="18">
                  <c:v>89.720394736946943</c:v>
                </c:pt>
                <c:pt idx="19">
                  <c:v>90.213815789441895</c:v>
                </c:pt>
                <c:pt idx="20">
                  <c:v>91.200657894431814</c:v>
                </c:pt>
                <c:pt idx="21">
                  <c:v>90.625000000128509</c:v>
                </c:pt>
                <c:pt idx="22">
                  <c:v>91.118421052623461</c:v>
                </c:pt>
                <c:pt idx="23">
                  <c:v>89.884868421386074</c:v>
                </c:pt>
                <c:pt idx="24">
                  <c:v>90.625000000128509</c:v>
                </c:pt>
                <c:pt idx="25">
                  <c:v>90.625000000128509</c:v>
                </c:pt>
                <c:pt idx="26">
                  <c:v>90.460526315689378</c:v>
                </c:pt>
                <c:pt idx="27">
                  <c:v>90.707236841936862</c:v>
                </c:pt>
                <c:pt idx="28">
                  <c:v>90.460526315689378</c:v>
                </c:pt>
                <c:pt idx="29">
                  <c:v>90.296052631250248</c:v>
                </c:pt>
                <c:pt idx="30">
                  <c:v>89.144736841821214</c:v>
                </c:pt>
                <c:pt idx="31">
                  <c:v>87.58223684252799</c:v>
                </c:pt>
                <c:pt idx="32">
                  <c:v>86.924342105593894</c:v>
                </c:pt>
                <c:pt idx="33">
                  <c:v>87.499999999897199</c:v>
                </c:pt>
                <c:pt idx="34">
                  <c:v>88.075657895022943</c:v>
                </c:pt>
                <c:pt idx="35">
                  <c:v>86.595394736715633</c:v>
                </c:pt>
                <c:pt idx="36">
                  <c:v>88.075657895022943</c:v>
                </c:pt>
                <c:pt idx="37">
                  <c:v>87.828947368775459</c:v>
                </c:pt>
                <c:pt idx="38">
                  <c:v>87.41776315808886</c:v>
                </c:pt>
                <c:pt idx="39">
                  <c:v>87.253289473649716</c:v>
                </c:pt>
                <c:pt idx="40">
                  <c:v>86.759868421154763</c:v>
                </c:pt>
                <c:pt idx="41">
                  <c:v>86.430921052276503</c:v>
                </c:pt>
                <c:pt idx="42">
                  <c:v>85.937499999781551</c:v>
                </c:pt>
                <c:pt idx="43">
                  <c:v>86.019736842412328</c:v>
                </c:pt>
                <c:pt idx="44">
                  <c:v>86.51315789490728</c:v>
                </c:pt>
                <c:pt idx="45">
                  <c:v>86.430921052276503</c:v>
                </c:pt>
                <c:pt idx="46">
                  <c:v>87.088815789210599</c:v>
                </c:pt>
                <c:pt idx="47">
                  <c:v>87.006578947402247</c:v>
                </c:pt>
                <c:pt idx="48">
                  <c:v>87.253289473649716</c:v>
                </c:pt>
                <c:pt idx="49">
                  <c:v>88.651315789326247</c:v>
                </c:pt>
                <c:pt idx="50">
                  <c:v>89.884868421386074</c:v>
                </c:pt>
                <c:pt idx="51">
                  <c:v>91.365131578870944</c:v>
                </c:pt>
                <c:pt idx="52">
                  <c:v>91.694078947749205</c:v>
                </c:pt>
                <c:pt idx="53">
                  <c:v>92.598684210930784</c:v>
                </c:pt>
                <c:pt idx="54">
                  <c:v>92.763157894547476</c:v>
                </c:pt>
                <c:pt idx="55">
                  <c:v>93.092105263425736</c:v>
                </c:pt>
                <c:pt idx="56">
                  <c:v>93.585526315920688</c:v>
                </c:pt>
                <c:pt idx="57">
                  <c:v>93.338815789673205</c:v>
                </c:pt>
                <c:pt idx="58">
                  <c:v>94.901315789788868</c:v>
                </c:pt>
                <c:pt idx="59">
                  <c:v>97.203947368646965</c:v>
                </c:pt>
                <c:pt idx="60">
                  <c:v>96.874999999768704</c:v>
                </c:pt>
                <c:pt idx="61">
                  <c:v>96.299342105465385</c:v>
                </c:pt>
                <c:pt idx="62">
                  <c:v>96.546052631712868</c:v>
                </c:pt>
                <c:pt idx="63">
                  <c:v>96.628289473521207</c:v>
                </c:pt>
                <c:pt idx="64">
                  <c:v>97.203947368646965</c:v>
                </c:pt>
                <c:pt idx="65">
                  <c:v>97.039473684207834</c:v>
                </c:pt>
                <c:pt idx="66">
                  <c:v>96.957236842399482</c:v>
                </c:pt>
                <c:pt idx="67">
                  <c:v>98.684210526131821</c:v>
                </c:pt>
                <c:pt idx="68">
                  <c:v>98.026315789197739</c:v>
                </c:pt>
                <c:pt idx="69">
                  <c:v>98.684210526131821</c:v>
                </c:pt>
                <c:pt idx="70">
                  <c:v>98.684210526131821</c:v>
                </c:pt>
                <c:pt idx="71">
                  <c:v>100.32894736805584</c:v>
                </c:pt>
                <c:pt idx="72">
                  <c:v>98.848684210570951</c:v>
                </c:pt>
                <c:pt idx="73">
                  <c:v>97.779605262950255</c:v>
                </c:pt>
                <c:pt idx="74">
                  <c:v>96.792763157960337</c:v>
                </c:pt>
                <c:pt idx="75">
                  <c:v>95.723684210339655</c:v>
                </c:pt>
                <c:pt idx="76">
                  <c:v>95.641447368531303</c:v>
                </c:pt>
                <c:pt idx="77">
                  <c:v>95.805921052970433</c:v>
                </c:pt>
                <c:pt idx="78">
                  <c:v>95.723684210339655</c:v>
                </c:pt>
                <c:pt idx="79">
                  <c:v>96.217105262834608</c:v>
                </c:pt>
                <c:pt idx="80">
                  <c:v>94.901315789788868</c:v>
                </c:pt>
                <c:pt idx="81">
                  <c:v>95.312499999653042</c:v>
                </c:pt>
                <c:pt idx="82">
                  <c:v>94.901315789788868</c:v>
                </c:pt>
                <c:pt idx="83">
                  <c:v>94.654605263541384</c:v>
                </c:pt>
                <c:pt idx="84">
                  <c:v>95.39473684228382</c:v>
                </c:pt>
                <c:pt idx="85">
                  <c:v>97.039473684207834</c:v>
                </c:pt>
                <c:pt idx="86">
                  <c:v>97.532894736702787</c:v>
                </c:pt>
                <c:pt idx="87">
                  <c:v>99.259868421257579</c:v>
                </c:pt>
                <c:pt idx="88">
                  <c:v>99.013157895010082</c:v>
                </c:pt>
                <c:pt idx="89">
                  <c:v>99.83552631556087</c:v>
                </c:pt>
                <c:pt idx="90">
                  <c:v>100.49342105249497</c:v>
                </c:pt>
                <c:pt idx="91">
                  <c:v>101.0690789476207</c:v>
                </c:pt>
                <c:pt idx="92">
                  <c:v>100.98684210498992</c:v>
                </c:pt>
                <c:pt idx="93">
                  <c:v>102.22039473704974</c:v>
                </c:pt>
                <c:pt idx="94">
                  <c:v>101.64473684192401</c:v>
                </c:pt>
                <c:pt idx="95">
                  <c:v>102.38486842148887</c:v>
                </c:pt>
                <c:pt idx="96">
                  <c:v>101.64473684192401</c:v>
                </c:pt>
                <c:pt idx="97">
                  <c:v>101.56250000011566</c:v>
                </c:pt>
                <c:pt idx="98">
                  <c:v>101.0690789476207</c:v>
                </c:pt>
                <c:pt idx="99">
                  <c:v>101.89144736817148</c:v>
                </c:pt>
                <c:pt idx="100">
                  <c:v>101.72697368455479</c:v>
                </c:pt>
                <c:pt idx="101">
                  <c:v>101.56250000011566</c:v>
                </c:pt>
                <c:pt idx="102">
                  <c:v>101.39802631567653</c:v>
                </c:pt>
                <c:pt idx="103">
                  <c:v>100</c:v>
                </c:pt>
                <c:pt idx="104">
                  <c:v>101.48026315830732</c:v>
                </c:pt>
                <c:pt idx="105">
                  <c:v>100.82236842137323</c:v>
                </c:pt>
                <c:pt idx="106">
                  <c:v>100.49342105249497</c:v>
                </c:pt>
                <c:pt idx="107">
                  <c:v>98.10855263182853</c:v>
                </c:pt>
                <c:pt idx="108">
                  <c:v>100</c:v>
                </c:pt>
                <c:pt idx="109" formatCode="0.000">
                  <c:v>99.506578947505048</c:v>
                </c:pt>
                <c:pt idx="110">
                  <c:v>99.83552631556087</c:v>
                </c:pt>
                <c:pt idx="111">
                  <c:v>99.095394736818449</c:v>
                </c:pt>
                <c:pt idx="112">
                  <c:v>98.355263158075999</c:v>
                </c:pt>
                <c:pt idx="113">
                  <c:v>99.917763158191661</c:v>
                </c:pt>
                <c:pt idx="114">
                  <c:v>100.6578947369341</c:v>
                </c:pt>
                <c:pt idx="115">
                  <c:v>101.31578947386819</c:v>
                </c:pt>
                <c:pt idx="116">
                  <c:v>101.72697368455479</c:v>
                </c:pt>
                <c:pt idx="117">
                  <c:v>102.71381578954471</c:v>
                </c:pt>
                <c:pt idx="118">
                  <c:v>103.37171052647879</c:v>
                </c:pt>
                <c:pt idx="119">
                  <c:v>102.22039473704974</c:v>
                </c:pt>
                <c:pt idx="120">
                  <c:v>102.46710526329723</c:v>
                </c:pt>
                <c:pt idx="121">
                  <c:v>102.96052631579218</c:v>
                </c:pt>
                <c:pt idx="122">
                  <c:v>103.86513157897375</c:v>
                </c:pt>
                <c:pt idx="123">
                  <c:v>104.68750000034697</c:v>
                </c:pt>
                <c:pt idx="124">
                  <c:v>105.26315789465028</c:v>
                </c:pt>
                <c:pt idx="125">
                  <c:v>105.09868421021115</c:v>
                </c:pt>
                <c:pt idx="126">
                  <c:v>104.27631578966036</c:v>
                </c:pt>
                <c:pt idx="127">
                  <c:v>105.26315789465028</c:v>
                </c:pt>
                <c:pt idx="128">
                  <c:v>105.18092105284192</c:v>
                </c:pt>
                <c:pt idx="129">
                  <c:v>105.59210526352854</c:v>
                </c:pt>
                <c:pt idx="130">
                  <c:v>106.90789473657426</c:v>
                </c:pt>
                <c:pt idx="131">
                  <c:v>108.3881578948816</c:v>
                </c:pt>
                <c:pt idx="132">
                  <c:v>105.42763157908941</c:v>
                </c:pt>
                <c:pt idx="133">
                  <c:v>104.76973684215533</c:v>
                </c:pt>
                <c:pt idx="134">
                  <c:v>104.85197368396366</c:v>
                </c:pt>
                <c:pt idx="135">
                  <c:v>103.78289473716541</c:v>
                </c:pt>
                <c:pt idx="136">
                  <c:v>103.70065789453461</c:v>
                </c:pt>
                <c:pt idx="137">
                  <c:v>103.86513157897375</c:v>
                </c:pt>
                <c:pt idx="138">
                  <c:v>101.89144736817148</c:v>
                </c:pt>
                <c:pt idx="139">
                  <c:v>103.70065789453461</c:v>
                </c:pt>
                <c:pt idx="140">
                  <c:v>102.13815789441895</c:v>
                </c:pt>
                <c:pt idx="141">
                  <c:v>101.56250000011566</c:v>
                </c:pt>
                <c:pt idx="142">
                  <c:v>100.08223684180835</c:v>
                </c:pt>
                <c:pt idx="143">
                  <c:v>101.48026315830732</c:v>
                </c:pt>
                <c:pt idx="144">
                  <c:v>100.57565789512574</c:v>
                </c:pt>
                <c:pt idx="145">
                  <c:v>101.80921052636313</c:v>
                </c:pt>
                <c:pt idx="146">
                  <c:v>102.46710526329723</c:v>
                </c:pt>
                <c:pt idx="147">
                  <c:v>99.424342105696709</c:v>
                </c:pt>
                <c:pt idx="148">
                  <c:v>102.96052631579218</c:v>
                </c:pt>
                <c:pt idx="149">
                  <c:v>101.89144736817148</c:v>
                </c:pt>
                <c:pt idx="150">
                  <c:v>101.56250000011566</c:v>
                </c:pt>
                <c:pt idx="151">
                  <c:v>100.24671052624748</c:v>
                </c:pt>
                <c:pt idx="152">
                  <c:v>102.22039473704974</c:v>
                </c:pt>
                <c:pt idx="153">
                  <c:v>100.98684210498992</c:v>
                </c:pt>
                <c:pt idx="154">
                  <c:v>102.79605263135305</c:v>
                </c:pt>
                <c:pt idx="155">
                  <c:v>101.72697368455479</c:v>
                </c:pt>
                <c:pt idx="156">
                  <c:v>102.79605263135305</c:v>
                </c:pt>
                <c:pt idx="157">
                  <c:v>100.74013157874244</c:v>
                </c:pt>
                <c:pt idx="158">
                  <c:v>100.82236842137323</c:v>
                </c:pt>
                <c:pt idx="159">
                  <c:v>102.22039473704974</c:v>
                </c:pt>
                <c:pt idx="160">
                  <c:v>98.848684210570951</c:v>
                </c:pt>
                <c:pt idx="161">
                  <c:v>100.08223684180835</c:v>
                </c:pt>
                <c:pt idx="162">
                  <c:v>101.48026315830732</c:v>
                </c:pt>
                <c:pt idx="163">
                  <c:v>99.342105263065918</c:v>
                </c:pt>
                <c:pt idx="164">
                  <c:v>99.753289473752531</c:v>
                </c:pt>
                <c:pt idx="165">
                  <c:v>100.82236842137323</c:v>
                </c:pt>
                <c:pt idx="166">
                  <c:v>101.97368421080228</c:v>
                </c:pt>
                <c:pt idx="167">
                  <c:v>102.05592105261061</c:v>
                </c:pt>
                <c:pt idx="168">
                  <c:v>102.05592105261061</c:v>
                </c:pt>
                <c:pt idx="169">
                  <c:v>101.72697368455479</c:v>
                </c:pt>
                <c:pt idx="170">
                  <c:v>99.917763158191661</c:v>
                </c:pt>
                <c:pt idx="171">
                  <c:v>101.80921052636313</c:v>
                </c:pt>
                <c:pt idx="172">
                  <c:v>101.56250000011566</c:v>
                </c:pt>
                <c:pt idx="173">
                  <c:v>100.98684210498992</c:v>
                </c:pt>
                <c:pt idx="174">
                  <c:v>101.2335526312374</c:v>
                </c:pt>
                <c:pt idx="175">
                  <c:v>99.095394736818449</c:v>
                </c:pt>
                <c:pt idx="176">
                  <c:v>100.49342105249497</c:v>
                </c:pt>
                <c:pt idx="177">
                  <c:v>101.31578947386819</c:v>
                </c:pt>
                <c:pt idx="178">
                  <c:v>99.671052631944178</c:v>
                </c:pt>
                <c:pt idx="179">
                  <c:v>98.930921052379318</c:v>
                </c:pt>
                <c:pt idx="180">
                  <c:v>99.013157895010082</c:v>
                </c:pt>
                <c:pt idx="181">
                  <c:v>99.424342105696709</c:v>
                </c:pt>
                <c:pt idx="182">
                  <c:v>99.506578947505048</c:v>
                </c:pt>
                <c:pt idx="183">
                  <c:v>101.56250000011566</c:v>
                </c:pt>
                <c:pt idx="184">
                  <c:v>99.259868421257579</c:v>
                </c:pt>
                <c:pt idx="185">
                  <c:v>99.259868421257579</c:v>
                </c:pt>
                <c:pt idx="186">
                  <c:v>100.6578947369341</c:v>
                </c:pt>
                <c:pt idx="187">
                  <c:v>99.917763158191661</c:v>
                </c:pt>
                <c:pt idx="188">
                  <c:v>100.41118421068661</c:v>
                </c:pt>
                <c:pt idx="189">
                  <c:v>100.49342105249497</c:v>
                </c:pt>
                <c:pt idx="190">
                  <c:v>101.56250000011566</c:v>
                </c:pt>
                <c:pt idx="191">
                  <c:v>100.08223684180835</c:v>
                </c:pt>
                <c:pt idx="192">
                  <c:v>100.49342105249497</c:v>
                </c:pt>
                <c:pt idx="193">
                  <c:v>102.38486842148887</c:v>
                </c:pt>
                <c:pt idx="194">
                  <c:v>102.87828947398384</c:v>
                </c:pt>
                <c:pt idx="195">
                  <c:v>102.05592105261061</c:v>
                </c:pt>
                <c:pt idx="196">
                  <c:v>104.44078947409949</c:v>
                </c:pt>
                <c:pt idx="197">
                  <c:v>104.76973684215533</c:v>
                </c:pt>
                <c:pt idx="198">
                  <c:v>103.20723684203966</c:v>
                </c:pt>
                <c:pt idx="199">
                  <c:v>104.60526315771619</c:v>
                </c:pt>
                <c:pt idx="200">
                  <c:v>104.3585526314687</c:v>
                </c:pt>
                <c:pt idx="201">
                  <c:v>104.52302631590784</c:v>
                </c:pt>
                <c:pt idx="202">
                  <c:v>104.68750000034697</c:v>
                </c:pt>
                <c:pt idx="203">
                  <c:v>106.41447368407931</c:v>
                </c:pt>
                <c:pt idx="204">
                  <c:v>105.34539473728105</c:v>
                </c:pt>
                <c:pt idx="205">
                  <c:v>106.0032894733927</c:v>
                </c:pt>
                <c:pt idx="206">
                  <c:v>106.74342105295757</c:v>
                </c:pt>
                <c:pt idx="207">
                  <c:v>104.76973684215533</c:v>
                </c:pt>
                <c:pt idx="208">
                  <c:v>106.99013157920506</c:v>
                </c:pt>
                <c:pt idx="209">
                  <c:v>106.33223684227099</c:v>
                </c:pt>
                <c:pt idx="210">
                  <c:v>105.67434210533689</c:v>
                </c:pt>
                <c:pt idx="211">
                  <c:v>109.62171052611897</c:v>
                </c:pt>
                <c:pt idx="212">
                  <c:v>106.74342105295757</c:v>
                </c:pt>
                <c:pt idx="213">
                  <c:v>105.67434210533689</c:v>
                </c:pt>
                <c:pt idx="214">
                  <c:v>104.52302631590784</c:v>
                </c:pt>
                <c:pt idx="215">
                  <c:v>105.26315789465028</c:v>
                </c:pt>
                <c:pt idx="216">
                  <c:v>107.48355263170002</c:v>
                </c:pt>
                <c:pt idx="217">
                  <c:v>106.66118421032679</c:v>
                </c:pt>
                <c:pt idx="218">
                  <c:v>107.23684210545252</c:v>
                </c:pt>
                <c:pt idx="219">
                  <c:v>108.30592105307323</c:v>
                </c:pt>
                <c:pt idx="220">
                  <c:v>104.52302631590784</c:v>
                </c:pt>
                <c:pt idx="221">
                  <c:v>105.67434210533689</c:v>
                </c:pt>
                <c:pt idx="222">
                  <c:v>102.3026315788581</c:v>
                </c:pt>
                <c:pt idx="223">
                  <c:v>99.671052631944178</c:v>
                </c:pt>
                <c:pt idx="224">
                  <c:v>99.013157895010082</c:v>
                </c:pt>
                <c:pt idx="225">
                  <c:v>96.957236842399482</c:v>
                </c:pt>
                <c:pt idx="226">
                  <c:v>93.667763157729041</c:v>
                </c:pt>
                <c:pt idx="227">
                  <c:v>89.802631578755296</c:v>
                </c:pt>
                <c:pt idx="228">
                  <c:v>86.34868421046815</c:v>
                </c:pt>
                <c:pt idx="229">
                  <c:v>83.22368421023684</c:v>
                </c:pt>
                <c:pt idx="230">
                  <c:v>79.934210526388839</c:v>
                </c:pt>
                <c:pt idx="231">
                  <c:v>80.345394737075438</c:v>
                </c:pt>
                <c:pt idx="232">
                  <c:v>81.743421052751984</c:v>
                </c:pt>
                <c:pt idx="233">
                  <c:v>81.167763157626226</c:v>
                </c:pt>
                <c:pt idx="234">
                  <c:v>82.976973683989371</c:v>
                </c:pt>
                <c:pt idx="235">
                  <c:v>81.085526315817887</c:v>
                </c:pt>
                <c:pt idx="236">
                  <c:v>83.470394736484323</c:v>
                </c:pt>
                <c:pt idx="237">
                  <c:v>84.86842105298328</c:v>
                </c:pt>
                <c:pt idx="238">
                  <c:v>85.115131579230763</c:v>
                </c:pt>
                <c:pt idx="239">
                  <c:v>83.881578947170937</c:v>
                </c:pt>
                <c:pt idx="240">
                  <c:v>86.842105262963102</c:v>
                </c:pt>
                <c:pt idx="241">
                  <c:v>86.019736842412328</c:v>
                </c:pt>
                <c:pt idx="242">
                  <c:v>86.51315789490728</c:v>
                </c:pt>
                <c:pt idx="243">
                  <c:v>87.253289473649716</c:v>
                </c:pt>
                <c:pt idx="244">
                  <c:v>87.58223684252799</c:v>
                </c:pt>
                <c:pt idx="245">
                  <c:v>89.720394736946943</c:v>
                </c:pt>
                <c:pt idx="246">
                  <c:v>89.473684210699474</c:v>
                </c:pt>
                <c:pt idx="247">
                  <c:v>92.43421052649164</c:v>
                </c:pt>
                <c:pt idx="248">
                  <c:v>88.815789473765378</c:v>
                </c:pt>
                <c:pt idx="249">
                  <c:v>89.144736841821214</c:v>
                </c:pt>
                <c:pt idx="250">
                  <c:v>89.63815789513859</c:v>
                </c:pt>
                <c:pt idx="251">
                  <c:v>90.37828947388104</c:v>
                </c:pt>
                <c:pt idx="252">
                  <c:v>88.651315789326247</c:v>
                </c:pt>
                <c:pt idx="253">
                  <c:v>90.95394736818433</c:v>
                </c:pt>
                <c:pt idx="254">
                  <c:v>91.118421052623461</c:v>
                </c:pt>
                <c:pt idx="255">
                  <c:v>92.023026315805026</c:v>
                </c:pt>
                <c:pt idx="256">
                  <c:v>90.213815789441895</c:v>
                </c:pt>
                <c:pt idx="257">
                  <c:v>89.555921052507813</c:v>
                </c:pt>
                <c:pt idx="258">
                  <c:v>89.226973684451977</c:v>
                </c:pt>
                <c:pt idx="259">
                  <c:v>88.651315789326247</c:v>
                </c:pt>
                <c:pt idx="260">
                  <c:v>88.240131578639634</c:v>
                </c:pt>
                <c:pt idx="261">
                  <c:v>87.171052631841377</c:v>
                </c:pt>
                <c:pt idx="262">
                  <c:v>87.828947368775459</c:v>
                </c:pt>
                <c:pt idx="263">
                  <c:v>88.569078947517895</c:v>
                </c:pt>
                <c:pt idx="264">
                  <c:v>85.197368421039116</c:v>
                </c:pt>
                <c:pt idx="265">
                  <c:v>85.444078947286584</c:v>
                </c:pt>
                <c:pt idx="266">
                  <c:v>85.773026316164845</c:v>
                </c:pt>
                <c:pt idx="267">
                  <c:v>84.539473684105019</c:v>
                </c:pt>
                <c:pt idx="268">
                  <c:v>85.773026316164845</c:v>
                </c:pt>
                <c:pt idx="269">
                  <c:v>84.046052631610067</c:v>
                </c:pt>
                <c:pt idx="270">
                  <c:v>84.86842105298328</c:v>
                </c:pt>
                <c:pt idx="271">
                  <c:v>84.374999999665889</c:v>
                </c:pt>
                <c:pt idx="272">
                  <c:v>84.210526316049197</c:v>
                </c:pt>
                <c:pt idx="273">
                  <c:v>82.648026315933549</c:v>
                </c:pt>
                <c:pt idx="274">
                  <c:v>81.496710526504486</c:v>
                </c:pt>
                <c:pt idx="275">
                  <c:v>82.154605263438583</c:v>
                </c:pt>
                <c:pt idx="276">
                  <c:v>82.154605263438583</c:v>
                </c:pt>
                <c:pt idx="277">
                  <c:v>81.661184210943631</c:v>
                </c:pt>
                <c:pt idx="278">
                  <c:v>81.250000000257018</c:v>
                </c:pt>
                <c:pt idx="279">
                  <c:v>80.592105263322935</c:v>
                </c:pt>
                <c:pt idx="280">
                  <c:v>82.072368420807805</c:v>
                </c:pt>
                <c:pt idx="281">
                  <c:v>81.990131578999453</c:v>
                </c:pt>
                <c:pt idx="282">
                  <c:v>81.825657894560322</c:v>
                </c:pt>
                <c:pt idx="283">
                  <c:v>80.509868420692143</c:v>
                </c:pt>
                <c:pt idx="284">
                  <c:v>81.990131578999453</c:v>
                </c:pt>
                <c:pt idx="285">
                  <c:v>82.319078947055274</c:v>
                </c:pt>
                <c:pt idx="286">
                  <c:v>81.990131578999453</c:v>
                </c:pt>
                <c:pt idx="287">
                  <c:v>81.167763157626226</c:v>
                </c:pt>
                <c:pt idx="288">
                  <c:v>82.483552631494405</c:v>
                </c:pt>
                <c:pt idx="289">
                  <c:v>81.825657894560322</c:v>
                </c:pt>
                <c:pt idx="290">
                  <c:v>81.003289474009534</c:v>
                </c:pt>
                <c:pt idx="291">
                  <c:v>81.825657894560322</c:v>
                </c:pt>
                <c:pt idx="292">
                  <c:v>80.592105263322935</c:v>
                </c:pt>
                <c:pt idx="293">
                  <c:v>82.154605263438583</c:v>
                </c:pt>
                <c:pt idx="294">
                  <c:v>81.003289474009534</c:v>
                </c:pt>
                <c:pt idx="295">
                  <c:v>79.934210526388839</c:v>
                </c:pt>
                <c:pt idx="296">
                  <c:v>80.509868420692143</c:v>
                </c:pt>
                <c:pt idx="297">
                  <c:v>80.345394737075438</c:v>
                </c:pt>
                <c:pt idx="298">
                  <c:v>80.427631578883805</c:v>
                </c:pt>
                <c:pt idx="299">
                  <c:v>81.250000000257018</c:v>
                </c:pt>
                <c:pt idx="300">
                  <c:v>80.838815789570404</c:v>
                </c:pt>
                <c:pt idx="301">
                  <c:v>81.496710526504486</c:v>
                </c:pt>
                <c:pt idx="302">
                  <c:v>81.743421052751984</c:v>
                </c:pt>
                <c:pt idx="303">
                  <c:v>81.990131578999453</c:v>
                </c:pt>
                <c:pt idx="304">
                  <c:v>82.648026315933549</c:v>
                </c:pt>
                <c:pt idx="305">
                  <c:v>82.236842105246922</c:v>
                </c:pt>
                <c:pt idx="306">
                  <c:v>83.059210526620149</c:v>
                </c:pt>
                <c:pt idx="307">
                  <c:v>81.250000000257018</c:v>
                </c:pt>
                <c:pt idx="308">
                  <c:v>82.072368420807805</c:v>
                </c:pt>
                <c:pt idx="309">
                  <c:v>82.154605263438583</c:v>
                </c:pt>
                <c:pt idx="310">
                  <c:v>82.730263157741888</c:v>
                </c:pt>
                <c:pt idx="311">
                  <c:v>81.167763157626226</c:v>
                </c:pt>
                <c:pt idx="312">
                  <c:v>83.634868420923453</c:v>
                </c:pt>
                <c:pt idx="313">
                  <c:v>82.565789473302758</c:v>
                </c:pt>
                <c:pt idx="314">
                  <c:v>82.648026315933549</c:v>
                </c:pt>
                <c:pt idx="315">
                  <c:v>83.963815789801714</c:v>
                </c:pt>
                <c:pt idx="316">
                  <c:v>82.648026315933549</c:v>
                </c:pt>
                <c:pt idx="317">
                  <c:v>81.661184210943631</c:v>
                </c:pt>
                <c:pt idx="318">
                  <c:v>83.22368421023684</c:v>
                </c:pt>
                <c:pt idx="319">
                  <c:v>83.963815789801714</c:v>
                </c:pt>
                <c:pt idx="320">
                  <c:v>83.881578947170937</c:v>
                </c:pt>
                <c:pt idx="321">
                  <c:v>84.210526316049197</c:v>
                </c:pt>
                <c:pt idx="322">
                  <c:v>85.032894736599985</c:v>
                </c:pt>
                <c:pt idx="323">
                  <c:v>86.266447368659811</c:v>
                </c:pt>
                <c:pt idx="324">
                  <c:v>83.799342105362598</c:v>
                </c:pt>
                <c:pt idx="325">
                  <c:v>84.703947368544149</c:v>
                </c:pt>
                <c:pt idx="326">
                  <c:v>85.444078947286584</c:v>
                </c:pt>
                <c:pt idx="327">
                  <c:v>85.197368421039116</c:v>
                </c:pt>
                <c:pt idx="328">
                  <c:v>85.855263157973184</c:v>
                </c:pt>
                <c:pt idx="329">
                  <c:v>86.842105262963102</c:v>
                </c:pt>
                <c:pt idx="330">
                  <c:v>87.499999999897199</c:v>
                </c:pt>
                <c:pt idx="331">
                  <c:v>88.980263158204508</c:v>
                </c:pt>
                <c:pt idx="332">
                  <c:v>86.51315789490728</c:v>
                </c:pt>
                <c:pt idx="333">
                  <c:v>86.924342105593894</c:v>
                </c:pt>
                <c:pt idx="334">
                  <c:v>88.322368421270426</c:v>
                </c:pt>
                <c:pt idx="335">
                  <c:v>90.95394736818433</c:v>
                </c:pt>
                <c:pt idx="336">
                  <c:v>87.41776315808886</c:v>
                </c:pt>
                <c:pt idx="337">
                  <c:v>87.171052631841377</c:v>
                </c:pt>
                <c:pt idx="338">
                  <c:v>88.486842104887117</c:v>
                </c:pt>
                <c:pt idx="339">
                  <c:v>87.171052631841377</c:v>
                </c:pt>
                <c:pt idx="340">
                  <c:v>87.828947368775459</c:v>
                </c:pt>
                <c:pt idx="341">
                  <c:v>88.075657895022943</c:v>
                </c:pt>
                <c:pt idx="342">
                  <c:v>87.171052631841377</c:v>
                </c:pt>
                <c:pt idx="343">
                  <c:v>87.993421052392165</c:v>
                </c:pt>
                <c:pt idx="344">
                  <c:v>88.075657895022943</c:v>
                </c:pt>
                <c:pt idx="345">
                  <c:v>87.746710526144682</c:v>
                </c:pt>
                <c:pt idx="346">
                  <c:v>86.34868421046815</c:v>
                </c:pt>
                <c:pt idx="347">
                  <c:v>86.677631579346411</c:v>
                </c:pt>
                <c:pt idx="348">
                  <c:v>86.924342105593894</c:v>
                </c:pt>
                <c:pt idx="349">
                  <c:v>87.664473684336329</c:v>
                </c:pt>
                <c:pt idx="350">
                  <c:v>86.924342105593894</c:v>
                </c:pt>
                <c:pt idx="351">
                  <c:v>86.019736842412328</c:v>
                </c:pt>
                <c:pt idx="352">
                  <c:v>87.58223684252799</c:v>
                </c:pt>
                <c:pt idx="353">
                  <c:v>87.006578947402247</c:v>
                </c:pt>
                <c:pt idx="354">
                  <c:v>87.253289473649716</c:v>
                </c:pt>
                <c:pt idx="355">
                  <c:v>86.759868421154763</c:v>
                </c:pt>
                <c:pt idx="356">
                  <c:v>86.266447368659811</c:v>
                </c:pt>
                <c:pt idx="357">
                  <c:v>85.526315789094923</c:v>
                </c:pt>
                <c:pt idx="358">
                  <c:v>86.101973684220681</c:v>
                </c:pt>
                <c:pt idx="359">
                  <c:v>83.799342105362598</c:v>
                </c:pt>
                <c:pt idx="360">
                  <c:v>86.101973684220681</c:v>
                </c:pt>
                <c:pt idx="361">
                  <c:v>84.950657894791632</c:v>
                </c:pt>
                <c:pt idx="362">
                  <c:v>61.101973684015064</c:v>
                </c:pt>
                <c:pt idx="363">
                  <c:v>48.190789474048088</c:v>
                </c:pt>
                <c:pt idx="364">
                  <c:v>69.73684210514412</c:v>
                </c:pt>
                <c:pt idx="365">
                  <c:v>75.082236842425189</c:v>
                </c:pt>
                <c:pt idx="366">
                  <c:v>80.427631578883805</c:v>
                </c:pt>
                <c:pt idx="367">
                  <c:v>86.18421052602902</c:v>
                </c:pt>
                <c:pt idx="368">
                  <c:v>82.319078947055274</c:v>
                </c:pt>
                <c:pt idx="369">
                  <c:v>83.881578947170937</c:v>
                </c:pt>
                <c:pt idx="370">
                  <c:v>82.730263157741888</c:v>
                </c:pt>
                <c:pt idx="371">
                  <c:v>82.894736842181018</c:v>
                </c:pt>
                <c:pt idx="372">
                  <c:v>84.128289473418405</c:v>
                </c:pt>
                <c:pt idx="373">
                  <c:v>84.210526316049197</c:v>
                </c:pt>
                <c:pt idx="374">
                  <c:v>84.539473684105019</c:v>
                </c:pt>
                <c:pt idx="375">
                  <c:v>85.937499999781551</c:v>
                </c:pt>
                <c:pt idx="376">
                  <c:v>84.539473684105019</c:v>
                </c:pt>
                <c:pt idx="377">
                  <c:v>85.444078947286584</c:v>
                </c:pt>
                <c:pt idx="378">
                  <c:v>86.18421052602902</c:v>
                </c:pt>
                <c:pt idx="379">
                  <c:v>85.937499999781551</c:v>
                </c:pt>
                <c:pt idx="380">
                  <c:v>86.019736842412328</c:v>
                </c:pt>
                <c:pt idx="381">
                  <c:v>85.526315789094923</c:v>
                </c:pt>
                <c:pt idx="382">
                  <c:v>87.41776315808886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09-9542-840A-E37E8478F31A}"/>
            </c:ext>
          </c:extLst>
        </c:ser>
        <c:ser>
          <c:idx val="6"/>
          <c:order val="1"/>
          <c:tx>
            <c:strRef>
              <c:f>'IP World'!$I$1</c:f>
              <c:strCache>
                <c:ptCount val="1"/>
                <c:pt idx="0">
                  <c:v>France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World'!$I$2:$I$385</c:f>
              <c:numCache>
                <c:formatCode>0.00</c:formatCode>
                <c:ptCount val="384"/>
                <c:pt idx="0">
                  <c:v>88.896477705141962</c:v>
                </c:pt>
                <c:pt idx="1">
                  <c:v>90.330763976973373</c:v>
                </c:pt>
                <c:pt idx="2">
                  <c:v>89.920967899307257</c:v>
                </c:pt>
                <c:pt idx="3">
                  <c:v>90.369792174846339</c:v>
                </c:pt>
                <c:pt idx="4">
                  <c:v>90.603961362084107</c:v>
                </c:pt>
                <c:pt idx="5">
                  <c:v>89.286759683871608</c:v>
                </c:pt>
                <c:pt idx="6">
                  <c:v>89.286759683871608</c:v>
                </c:pt>
                <c:pt idx="7">
                  <c:v>88.740364913650126</c:v>
                </c:pt>
                <c:pt idx="8">
                  <c:v>89.550200019514108</c:v>
                </c:pt>
                <c:pt idx="9">
                  <c:v>89.286759683871608</c:v>
                </c:pt>
                <c:pt idx="10">
                  <c:v>88.252512440238078</c:v>
                </c:pt>
                <c:pt idx="11">
                  <c:v>89.364816079617526</c:v>
                </c:pt>
                <c:pt idx="12">
                  <c:v>90.506390867401706</c:v>
                </c:pt>
                <c:pt idx="13">
                  <c:v>90.135622987608542</c:v>
                </c:pt>
                <c:pt idx="14">
                  <c:v>89.003805249292611</c:v>
                </c:pt>
                <c:pt idx="15">
                  <c:v>88.974534100887894</c:v>
                </c:pt>
                <c:pt idx="16">
                  <c:v>89.111132793443261</c:v>
                </c:pt>
                <c:pt idx="17">
                  <c:v>89.462386574299927</c:v>
                </c:pt>
                <c:pt idx="18">
                  <c:v>87.959800956190861</c:v>
                </c:pt>
                <c:pt idx="19">
                  <c:v>88.847692457800761</c:v>
                </c:pt>
                <c:pt idx="20">
                  <c:v>89.159918040784461</c:v>
                </c:pt>
                <c:pt idx="21">
                  <c:v>88.759879012586595</c:v>
                </c:pt>
                <c:pt idx="22">
                  <c:v>90.164894136013274</c:v>
                </c:pt>
                <c:pt idx="23">
                  <c:v>89.355059030149278</c:v>
                </c:pt>
                <c:pt idx="24">
                  <c:v>89.598985266855308</c:v>
                </c:pt>
                <c:pt idx="25">
                  <c:v>88.90623475461021</c:v>
                </c:pt>
                <c:pt idx="26">
                  <c:v>89.774612157283642</c:v>
                </c:pt>
                <c:pt idx="27">
                  <c:v>89.12088984291151</c:v>
                </c:pt>
                <c:pt idx="28">
                  <c:v>89.140403941847993</c:v>
                </c:pt>
                <c:pt idx="29">
                  <c:v>88.076885549809731</c:v>
                </c:pt>
                <c:pt idx="30">
                  <c:v>87.774417016294265</c:v>
                </c:pt>
                <c:pt idx="31">
                  <c:v>88.037857351936779</c:v>
                </c:pt>
                <c:pt idx="32">
                  <c:v>86.798712069470184</c:v>
                </c:pt>
                <c:pt idx="33">
                  <c:v>87.715874719484844</c:v>
                </c:pt>
                <c:pt idx="34">
                  <c:v>86.564542882232416</c:v>
                </c:pt>
                <c:pt idx="35">
                  <c:v>85.413211044980017</c:v>
                </c:pt>
                <c:pt idx="36">
                  <c:v>85.305883500829367</c:v>
                </c:pt>
                <c:pt idx="37">
                  <c:v>85.44248219338472</c:v>
                </c:pt>
                <c:pt idx="38">
                  <c:v>85.042443165186853</c:v>
                </c:pt>
                <c:pt idx="39">
                  <c:v>84.476534296028888</c:v>
                </c:pt>
                <c:pt idx="40">
                  <c:v>84.378963801346487</c:v>
                </c:pt>
                <c:pt idx="41">
                  <c:v>83.715484437506092</c:v>
                </c:pt>
                <c:pt idx="42">
                  <c:v>84.86681627475852</c:v>
                </c:pt>
                <c:pt idx="43">
                  <c:v>84.261879207727588</c:v>
                </c:pt>
                <c:pt idx="44">
                  <c:v>84.818031027417319</c:v>
                </c:pt>
                <c:pt idx="45">
                  <c:v>85.17904185774222</c:v>
                </c:pt>
                <c:pt idx="46">
                  <c:v>84.603375939116006</c:v>
                </c:pt>
                <c:pt idx="47">
                  <c:v>83.822811981656741</c:v>
                </c:pt>
                <c:pt idx="48">
                  <c:v>85.383939896575285</c:v>
                </c:pt>
                <c:pt idx="49">
                  <c:v>85.140013659869268</c:v>
                </c:pt>
                <c:pt idx="50">
                  <c:v>85.120499560932771</c:v>
                </c:pt>
                <c:pt idx="51">
                  <c:v>87.462191433310565</c:v>
                </c:pt>
                <c:pt idx="52">
                  <c:v>87.40364913650113</c:v>
                </c:pt>
                <c:pt idx="53">
                  <c:v>87.862230461508446</c:v>
                </c:pt>
                <c:pt idx="54">
                  <c:v>88.642794418967696</c:v>
                </c:pt>
                <c:pt idx="55">
                  <c:v>89.140403941847993</c:v>
                </c:pt>
                <c:pt idx="56">
                  <c:v>88.857449507268996</c:v>
                </c:pt>
                <c:pt idx="57">
                  <c:v>89.716069860474192</c:v>
                </c:pt>
                <c:pt idx="58">
                  <c:v>90.51614791686994</c:v>
                </c:pt>
                <c:pt idx="59">
                  <c:v>90.399063323251056</c:v>
                </c:pt>
                <c:pt idx="60">
                  <c:v>91.052785637623174</c:v>
                </c:pt>
                <c:pt idx="61">
                  <c:v>90.447848570592257</c:v>
                </c:pt>
                <c:pt idx="62">
                  <c:v>91.208898429115038</c:v>
                </c:pt>
                <c:pt idx="63">
                  <c:v>91.19914137964679</c:v>
                </c:pt>
                <c:pt idx="64">
                  <c:v>90.760074153575957</c:v>
                </c:pt>
                <c:pt idx="65">
                  <c:v>91.384525319543371</c:v>
                </c:pt>
                <c:pt idx="66">
                  <c:v>91.784564347741238</c:v>
                </c:pt>
                <c:pt idx="67">
                  <c:v>91.228412528051521</c:v>
                </c:pt>
                <c:pt idx="68">
                  <c:v>91.365011220606888</c:v>
                </c:pt>
                <c:pt idx="69">
                  <c:v>89.608742316323557</c:v>
                </c:pt>
                <c:pt idx="70">
                  <c:v>89.579471167918825</c:v>
                </c:pt>
                <c:pt idx="71">
                  <c:v>91.491852863694021</c:v>
                </c:pt>
                <c:pt idx="72">
                  <c:v>90.672260708361804</c:v>
                </c:pt>
                <c:pt idx="73">
                  <c:v>90.955215142940773</c:v>
                </c:pt>
                <c:pt idx="74">
                  <c:v>91.589423358376436</c:v>
                </c:pt>
                <c:pt idx="75">
                  <c:v>90.662503658893556</c:v>
                </c:pt>
                <c:pt idx="76">
                  <c:v>92.47731485998635</c:v>
                </c:pt>
                <c:pt idx="77">
                  <c:v>91.755293199336535</c:v>
                </c:pt>
                <c:pt idx="78">
                  <c:v>90.125865938140322</c:v>
                </c:pt>
                <c:pt idx="79">
                  <c:v>92.087032881256704</c:v>
                </c:pt>
                <c:pt idx="80">
                  <c:v>92.223631573812085</c:v>
                </c:pt>
                <c:pt idx="81">
                  <c:v>91.277197775392722</c:v>
                </c:pt>
                <c:pt idx="82">
                  <c:v>92.38950141477217</c:v>
                </c:pt>
                <c:pt idx="83">
                  <c:v>92.54561420626402</c:v>
                </c:pt>
                <c:pt idx="84">
                  <c:v>91.745536149868286</c:v>
                </c:pt>
                <c:pt idx="85">
                  <c:v>92.487071909454585</c:v>
                </c:pt>
                <c:pt idx="86">
                  <c:v>92.789540442970051</c:v>
                </c:pt>
                <c:pt idx="87">
                  <c:v>96.097180212703677</c:v>
                </c:pt>
                <c:pt idx="88">
                  <c:v>94.311640160015614</c:v>
                </c:pt>
                <c:pt idx="89">
                  <c:v>95.004390672260712</c:v>
                </c:pt>
                <c:pt idx="90">
                  <c:v>95.189774612157294</c:v>
                </c:pt>
                <c:pt idx="91">
                  <c:v>98.877939311152318</c:v>
                </c:pt>
                <c:pt idx="92">
                  <c:v>96.536247438774524</c:v>
                </c:pt>
                <c:pt idx="93">
                  <c:v>98.955995706898236</c:v>
                </c:pt>
                <c:pt idx="94">
                  <c:v>96.682603180798139</c:v>
                </c:pt>
                <c:pt idx="95">
                  <c:v>98.614498975509804</c:v>
                </c:pt>
                <c:pt idx="96">
                  <c:v>98.614498975509804</c:v>
                </c:pt>
                <c:pt idx="97">
                  <c:v>99.297492438286667</c:v>
                </c:pt>
                <c:pt idx="98">
                  <c:v>98.126646502097771</c:v>
                </c:pt>
                <c:pt idx="99">
                  <c:v>99.395062932969083</c:v>
                </c:pt>
                <c:pt idx="100">
                  <c:v>100.6439652649039</c:v>
                </c:pt>
                <c:pt idx="101">
                  <c:v>99.990242950531766</c:v>
                </c:pt>
                <c:pt idx="102">
                  <c:v>100.59518001756268</c:v>
                </c:pt>
                <c:pt idx="103">
                  <c:v>98.038833056883604</c:v>
                </c:pt>
                <c:pt idx="104">
                  <c:v>99.84388720850815</c:v>
                </c:pt>
                <c:pt idx="105">
                  <c:v>99.902429505317599</c:v>
                </c:pt>
                <c:pt idx="106">
                  <c:v>100.48785247341203</c:v>
                </c:pt>
                <c:pt idx="107">
                  <c:v>99.726802614889252</c:v>
                </c:pt>
                <c:pt idx="108">
                  <c:v>100</c:v>
                </c:pt>
                <c:pt idx="109">
                  <c:v>99.697531466484548</c:v>
                </c:pt>
                <c:pt idx="110">
                  <c:v>99.648746219143334</c:v>
                </c:pt>
                <c:pt idx="111">
                  <c:v>100.41955312713436</c:v>
                </c:pt>
                <c:pt idx="112">
                  <c:v>100.83910625426871</c:v>
                </c:pt>
                <c:pt idx="113">
                  <c:v>102.22460727875891</c:v>
                </c:pt>
                <c:pt idx="114">
                  <c:v>102.46853351546493</c:v>
                </c:pt>
                <c:pt idx="115">
                  <c:v>100.53663772075326</c:v>
                </c:pt>
                <c:pt idx="116">
                  <c:v>103.29788272026541</c:v>
                </c:pt>
                <c:pt idx="117">
                  <c:v>104.60532734900966</c:v>
                </c:pt>
                <c:pt idx="118">
                  <c:v>104.65411259635087</c:v>
                </c:pt>
                <c:pt idx="119">
                  <c:v>103.77597814420919</c:v>
                </c:pt>
                <c:pt idx="120">
                  <c:v>104.5175139037955</c:v>
                </c:pt>
                <c:pt idx="121">
                  <c:v>104.83949653624745</c:v>
                </c:pt>
                <c:pt idx="122">
                  <c:v>105.51273294955607</c:v>
                </c:pt>
                <c:pt idx="123">
                  <c:v>106.117670016587</c:v>
                </c:pt>
                <c:pt idx="124">
                  <c:v>107.4348716947995</c:v>
                </c:pt>
                <c:pt idx="125">
                  <c:v>106.0493706703093</c:v>
                </c:pt>
                <c:pt idx="126">
                  <c:v>107.28851595277588</c:v>
                </c:pt>
                <c:pt idx="127">
                  <c:v>106.32256805542005</c:v>
                </c:pt>
                <c:pt idx="128">
                  <c:v>106.60552248999903</c:v>
                </c:pt>
                <c:pt idx="129">
                  <c:v>107.77636842618791</c:v>
                </c:pt>
                <c:pt idx="130">
                  <c:v>107.57147038735486</c:v>
                </c:pt>
                <c:pt idx="131">
                  <c:v>108.51790418577423</c:v>
                </c:pt>
                <c:pt idx="132">
                  <c:v>108.09835105863988</c:v>
                </c:pt>
                <c:pt idx="133">
                  <c:v>108.81061566982144</c:v>
                </c:pt>
                <c:pt idx="134">
                  <c:v>109.26919699482876</c:v>
                </c:pt>
                <c:pt idx="135">
                  <c:v>107.4836569421407</c:v>
                </c:pt>
                <c:pt idx="136">
                  <c:v>108.29349204800468</c:v>
                </c:pt>
                <c:pt idx="137">
                  <c:v>108.32276319640941</c:v>
                </c:pt>
                <c:pt idx="138">
                  <c:v>106.82017757830033</c:v>
                </c:pt>
                <c:pt idx="139">
                  <c:v>109.46433798419358</c:v>
                </c:pt>
                <c:pt idx="140">
                  <c:v>107.80563957459265</c:v>
                </c:pt>
                <c:pt idx="141">
                  <c:v>107.06410381500635</c:v>
                </c:pt>
                <c:pt idx="142">
                  <c:v>105.85422968094448</c:v>
                </c:pt>
                <c:pt idx="143">
                  <c:v>106.53722314372135</c:v>
                </c:pt>
                <c:pt idx="144">
                  <c:v>106.49819494584838</c:v>
                </c:pt>
                <c:pt idx="145">
                  <c:v>106.86896282564153</c:v>
                </c:pt>
                <c:pt idx="146">
                  <c:v>107.39584349692653</c:v>
                </c:pt>
                <c:pt idx="147">
                  <c:v>108.06907991023516</c:v>
                </c:pt>
                <c:pt idx="148">
                  <c:v>107.14216021075228</c:v>
                </c:pt>
                <c:pt idx="149">
                  <c:v>106.94701922138745</c:v>
                </c:pt>
                <c:pt idx="150">
                  <c:v>105.85422968094448</c:v>
                </c:pt>
                <c:pt idx="151">
                  <c:v>107.83491072299736</c:v>
                </c:pt>
                <c:pt idx="152">
                  <c:v>106.49819494584838</c:v>
                </c:pt>
                <c:pt idx="153">
                  <c:v>105.65908869157968</c:v>
                </c:pt>
                <c:pt idx="154">
                  <c:v>106.68357888574496</c:v>
                </c:pt>
                <c:pt idx="155">
                  <c:v>104.15650307347059</c:v>
                </c:pt>
                <c:pt idx="156">
                  <c:v>106.30305395648357</c:v>
                </c:pt>
                <c:pt idx="157">
                  <c:v>107.27875890330765</c:v>
                </c:pt>
                <c:pt idx="158">
                  <c:v>106.4298955995707</c:v>
                </c:pt>
                <c:pt idx="159">
                  <c:v>106.45916674797542</c:v>
                </c:pt>
                <c:pt idx="160">
                  <c:v>103.93209093570104</c:v>
                </c:pt>
                <c:pt idx="161">
                  <c:v>103.67840764952679</c:v>
                </c:pt>
                <c:pt idx="162">
                  <c:v>105.49321885061958</c:v>
                </c:pt>
                <c:pt idx="163">
                  <c:v>105.07366572348522</c:v>
                </c:pt>
                <c:pt idx="164">
                  <c:v>104.67362669528735</c:v>
                </c:pt>
                <c:pt idx="165">
                  <c:v>107.21045955702995</c:v>
                </c:pt>
                <c:pt idx="166">
                  <c:v>105.13220802029467</c:v>
                </c:pt>
                <c:pt idx="167">
                  <c:v>105.76641623573033</c:v>
                </c:pt>
                <c:pt idx="168">
                  <c:v>106.44940969850717</c:v>
                </c:pt>
                <c:pt idx="169">
                  <c:v>107.51292809054542</c:v>
                </c:pt>
                <c:pt idx="170">
                  <c:v>107.16167430968875</c:v>
                </c:pt>
                <c:pt idx="171">
                  <c:v>107.19094545809348</c:v>
                </c:pt>
                <c:pt idx="172">
                  <c:v>106.60552248999903</c:v>
                </c:pt>
                <c:pt idx="173">
                  <c:v>107.63976973363255</c:v>
                </c:pt>
                <c:pt idx="174">
                  <c:v>108.08859400917163</c:v>
                </c:pt>
                <c:pt idx="175">
                  <c:v>104.27358766708949</c:v>
                </c:pt>
                <c:pt idx="176">
                  <c:v>107.92272416821154</c:v>
                </c:pt>
                <c:pt idx="177">
                  <c:v>108.73255927407553</c:v>
                </c:pt>
                <c:pt idx="178">
                  <c:v>106.92750512245098</c:v>
                </c:pt>
                <c:pt idx="179">
                  <c:v>107.15191726022051</c:v>
                </c:pt>
                <c:pt idx="180">
                  <c:v>108.90818616450386</c:v>
                </c:pt>
                <c:pt idx="181">
                  <c:v>107.66904088203727</c:v>
                </c:pt>
                <c:pt idx="182">
                  <c:v>105.33710605912772</c:v>
                </c:pt>
                <c:pt idx="183">
                  <c:v>108.03980876183043</c:v>
                </c:pt>
                <c:pt idx="184">
                  <c:v>106.87871987510978</c:v>
                </c:pt>
                <c:pt idx="185">
                  <c:v>106.79090642989561</c:v>
                </c:pt>
                <c:pt idx="186">
                  <c:v>106.44940969850717</c:v>
                </c:pt>
                <c:pt idx="187">
                  <c:v>105.87374377988097</c:v>
                </c:pt>
                <c:pt idx="188">
                  <c:v>108.54717533417895</c:v>
                </c:pt>
                <c:pt idx="189">
                  <c:v>105.3566201580642</c:v>
                </c:pt>
                <c:pt idx="190">
                  <c:v>109.59117962728071</c:v>
                </c:pt>
                <c:pt idx="191">
                  <c:v>108.27397794906821</c:v>
                </c:pt>
                <c:pt idx="192">
                  <c:v>107.56171333788663</c:v>
                </c:pt>
                <c:pt idx="193">
                  <c:v>106.84944872670505</c:v>
                </c:pt>
                <c:pt idx="194">
                  <c:v>108.82037271928969</c:v>
                </c:pt>
                <c:pt idx="195">
                  <c:v>108.27397794906821</c:v>
                </c:pt>
                <c:pt idx="196">
                  <c:v>110.00097570494682</c:v>
                </c:pt>
                <c:pt idx="197">
                  <c:v>109.81559176505024</c:v>
                </c:pt>
                <c:pt idx="198">
                  <c:v>108.30324909747293</c:v>
                </c:pt>
                <c:pt idx="199">
                  <c:v>107.58122743682311</c:v>
                </c:pt>
                <c:pt idx="200">
                  <c:v>109.23016879695581</c:v>
                </c:pt>
                <c:pt idx="201">
                  <c:v>108.33252024587765</c:v>
                </c:pt>
                <c:pt idx="202">
                  <c:v>107.71782612937849</c:v>
                </c:pt>
                <c:pt idx="203">
                  <c:v>109.54239437993951</c:v>
                </c:pt>
                <c:pt idx="204">
                  <c:v>108.30324909747293</c:v>
                </c:pt>
                <c:pt idx="205">
                  <c:v>109.29846814323349</c:v>
                </c:pt>
                <c:pt idx="206">
                  <c:v>110.12781734803397</c:v>
                </c:pt>
                <c:pt idx="207">
                  <c:v>108.32276319640941</c:v>
                </c:pt>
                <c:pt idx="208">
                  <c:v>110.91813835496147</c:v>
                </c:pt>
                <c:pt idx="209">
                  <c:v>110.48882817835886</c:v>
                </c:pt>
                <c:pt idx="210">
                  <c:v>110.62542687091424</c:v>
                </c:pt>
                <c:pt idx="211">
                  <c:v>111.27914918528637</c:v>
                </c:pt>
                <c:pt idx="212">
                  <c:v>108.73255927407553</c:v>
                </c:pt>
                <c:pt idx="213">
                  <c:v>111.21084983900869</c:v>
                </c:pt>
                <c:pt idx="214">
                  <c:v>109.25943994536053</c:v>
                </c:pt>
                <c:pt idx="215">
                  <c:v>109.43506683578886</c:v>
                </c:pt>
                <c:pt idx="216">
                  <c:v>110.43028588154944</c:v>
                </c:pt>
                <c:pt idx="217">
                  <c:v>111.40599082837352</c:v>
                </c:pt>
                <c:pt idx="218">
                  <c:v>110.11806029856572</c:v>
                </c:pt>
                <c:pt idx="219">
                  <c:v>112.48902331934823</c:v>
                </c:pt>
                <c:pt idx="220">
                  <c:v>107.20070250756173</c:v>
                </c:pt>
                <c:pt idx="221">
                  <c:v>106.88847692457801</c:v>
                </c:pt>
                <c:pt idx="222">
                  <c:v>107.66904088203727</c:v>
                </c:pt>
                <c:pt idx="223">
                  <c:v>106.19572641233292</c:v>
                </c:pt>
                <c:pt idx="224">
                  <c:v>105.74690213679384</c:v>
                </c:pt>
                <c:pt idx="225">
                  <c:v>103.75646404527272</c:v>
                </c:pt>
                <c:pt idx="226">
                  <c:v>98.555956678700369</c:v>
                </c:pt>
                <c:pt idx="227">
                  <c:v>97.199726802614904</c:v>
                </c:pt>
                <c:pt idx="228">
                  <c:v>93.599375548834047</c:v>
                </c:pt>
                <c:pt idx="229">
                  <c:v>92.291930920089769</c:v>
                </c:pt>
                <c:pt idx="230">
                  <c:v>90.594204312615858</c:v>
                </c:pt>
                <c:pt idx="231">
                  <c:v>90.555176114742906</c:v>
                </c:pt>
                <c:pt idx="232">
                  <c:v>91.647965655185885</c:v>
                </c:pt>
                <c:pt idx="233">
                  <c:v>92.818811591374768</c:v>
                </c:pt>
                <c:pt idx="234">
                  <c:v>92.496828958922819</c:v>
                </c:pt>
                <c:pt idx="235">
                  <c:v>94.009171626500148</c:v>
                </c:pt>
                <c:pt idx="236">
                  <c:v>94.487267050443961</c:v>
                </c:pt>
                <c:pt idx="237">
                  <c:v>93.853058835008298</c:v>
                </c:pt>
                <c:pt idx="238">
                  <c:v>94.779978534491178</c:v>
                </c:pt>
                <c:pt idx="239">
                  <c:v>94.487267050443961</c:v>
                </c:pt>
                <c:pt idx="240">
                  <c:v>95.492243145672759</c:v>
                </c:pt>
                <c:pt idx="241">
                  <c:v>94.867791979705345</c:v>
                </c:pt>
                <c:pt idx="242">
                  <c:v>96.750902527075809</c:v>
                </c:pt>
                <c:pt idx="243">
                  <c:v>96.360620548346191</c:v>
                </c:pt>
                <c:pt idx="244">
                  <c:v>97.131427456337207</c:v>
                </c:pt>
                <c:pt idx="245">
                  <c:v>96.741145477607589</c:v>
                </c:pt>
                <c:pt idx="246">
                  <c:v>97.453410088789155</c:v>
                </c:pt>
                <c:pt idx="247">
                  <c:v>96.321592350473225</c:v>
                </c:pt>
                <c:pt idx="248">
                  <c:v>97.590008781344523</c:v>
                </c:pt>
                <c:pt idx="249">
                  <c:v>97.424138940384424</c:v>
                </c:pt>
                <c:pt idx="250">
                  <c:v>98.70231242072397</c:v>
                </c:pt>
                <c:pt idx="251">
                  <c:v>99.980485901063517</c:v>
                </c:pt>
                <c:pt idx="252">
                  <c:v>101.14157478778418</c:v>
                </c:pt>
                <c:pt idx="253">
                  <c:v>101.49282856864085</c:v>
                </c:pt>
                <c:pt idx="254">
                  <c:v>100.2146550883013</c:v>
                </c:pt>
                <c:pt idx="255">
                  <c:v>98.516928480827403</c:v>
                </c:pt>
                <c:pt idx="256">
                  <c:v>101.73675480534686</c:v>
                </c:pt>
                <c:pt idx="257">
                  <c:v>99.004780954239436</c:v>
                </c:pt>
                <c:pt idx="258">
                  <c:v>100.0682993462777</c:v>
                </c:pt>
                <c:pt idx="259">
                  <c:v>99.238950141477218</c:v>
                </c:pt>
                <c:pt idx="260">
                  <c:v>98.526685530295651</c:v>
                </c:pt>
                <c:pt idx="261">
                  <c:v>98.721826519660468</c:v>
                </c:pt>
                <c:pt idx="262">
                  <c:v>100.72202166064983</c:v>
                </c:pt>
                <c:pt idx="263">
                  <c:v>98.721826519660468</c:v>
                </c:pt>
                <c:pt idx="264">
                  <c:v>98.302273392526104</c:v>
                </c:pt>
                <c:pt idx="265">
                  <c:v>99.131622597326569</c:v>
                </c:pt>
                <c:pt idx="266">
                  <c:v>98.224216996780186</c:v>
                </c:pt>
                <c:pt idx="267">
                  <c:v>98.526685530295651</c:v>
                </c:pt>
                <c:pt idx="268">
                  <c:v>97.102156307932489</c:v>
                </c:pt>
                <c:pt idx="269">
                  <c:v>96.350863498877942</c:v>
                </c:pt>
                <c:pt idx="270">
                  <c:v>97.024099912186557</c:v>
                </c:pt>
                <c:pt idx="271">
                  <c:v>99.190164894136018</c:v>
                </c:pt>
                <c:pt idx="272">
                  <c:v>96.99482876378184</c:v>
                </c:pt>
                <c:pt idx="273">
                  <c:v>95.570299541418677</c:v>
                </c:pt>
                <c:pt idx="274">
                  <c:v>95.521514294077477</c:v>
                </c:pt>
                <c:pt idx="275">
                  <c:v>96.419162845155626</c:v>
                </c:pt>
                <c:pt idx="276">
                  <c:v>96.243535954727292</c:v>
                </c:pt>
                <c:pt idx="277">
                  <c:v>97.287540247829057</c:v>
                </c:pt>
                <c:pt idx="278">
                  <c:v>97.414381890916189</c:v>
                </c:pt>
                <c:pt idx="279">
                  <c:v>99.004780954239436</c:v>
                </c:pt>
                <c:pt idx="280">
                  <c:v>98.614498975509804</c:v>
                </c:pt>
                <c:pt idx="281">
                  <c:v>97.394867791979706</c:v>
                </c:pt>
                <c:pt idx="282">
                  <c:v>96.711874329202857</c:v>
                </c:pt>
                <c:pt idx="283">
                  <c:v>95.950824470680075</c:v>
                </c:pt>
                <c:pt idx="284">
                  <c:v>96.497219240901558</c:v>
                </c:pt>
                <c:pt idx="285">
                  <c:v>96.663089081861642</c:v>
                </c:pt>
                <c:pt idx="286">
                  <c:v>98.302273392526104</c:v>
                </c:pt>
                <c:pt idx="287">
                  <c:v>97.092399258464255</c:v>
                </c:pt>
                <c:pt idx="288">
                  <c:v>95.619084788759878</c:v>
                </c:pt>
                <c:pt idx="289">
                  <c:v>97.072885159527758</c:v>
                </c:pt>
                <c:pt idx="290">
                  <c:v>96.370377597814425</c:v>
                </c:pt>
                <c:pt idx="291">
                  <c:v>96.741145477607589</c:v>
                </c:pt>
                <c:pt idx="292">
                  <c:v>94.584837545126362</c:v>
                </c:pt>
                <c:pt idx="293">
                  <c:v>96.594789735583959</c:v>
                </c:pt>
                <c:pt idx="294">
                  <c:v>97.892477314859988</c:v>
                </c:pt>
                <c:pt idx="295">
                  <c:v>95.755683481315259</c:v>
                </c:pt>
                <c:pt idx="296">
                  <c:v>96.750902527075809</c:v>
                </c:pt>
                <c:pt idx="297">
                  <c:v>95.267831007903212</c:v>
                </c:pt>
                <c:pt idx="298">
                  <c:v>94.272611962142662</c:v>
                </c:pt>
                <c:pt idx="299">
                  <c:v>97.053371060591274</c:v>
                </c:pt>
                <c:pt idx="300">
                  <c:v>97.092399258464255</c:v>
                </c:pt>
                <c:pt idx="301">
                  <c:v>97.65830812762222</c:v>
                </c:pt>
                <c:pt idx="302">
                  <c:v>97.46316713825739</c:v>
                </c:pt>
                <c:pt idx="303">
                  <c:v>96.985071714313605</c:v>
                </c:pt>
                <c:pt idx="304">
                  <c:v>97.77539272124109</c:v>
                </c:pt>
                <c:pt idx="305">
                  <c:v>97.785149770709339</c:v>
                </c:pt>
                <c:pt idx="306">
                  <c:v>96.702117279734608</c:v>
                </c:pt>
                <c:pt idx="307">
                  <c:v>97.385110742511472</c:v>
                </c:pt>
                <c:pt idx="308">
                  <c:v>98.741340618596951</c:v>
                </c:pt>
                <c:pt idx="309">
                  <c:v>99.053566201580637</c:v>
                </c:pt>
                <c:pt idx="310">
                  <c:v>96.88750121963119</c:v>
                </c:pt>
                <c:pt idx="311">
                  <c:v>97.326568445702023</c:v>
                </c:pt>
                <c:pt idx="312">
                  <c:v>99.121865547858334</c:v>
                </c:pt>
                <c:pt idx="313">
                  <c:v>98.194945848375454</c:v>
                </c:pt>
                <c:pt idx="314">
                  <c:v>97.76563567177287</c:v>
                </c:pt>
                <c:pt idx="315">
                  <c:v>98.751097668065171</c:v>
                </c:pt>
                <c:pt idx="316">
                  <c:v>97.180212703678407</c:v>
                </c:pt>
                <c:pt idx="317">
                  <c:v>96.897258269099424</c:v>
                </c:pt>
                <c:pt idx="318">
                  <c:v>96.594789735583959</c:v>
                </c:pt>
                <c:pt idx="319">
                  <c:v>98.487657332422671</c:v>
                </c:pt>
                <c:pt idx="320">
                  <c:v>97.599765830812771</c:v>
                </c:pt>
                <c:pt idx="321">
                  <c:v>97.141184505805455</c:v>
                </c:pt>
                <c:pt idx="322">
                  <c:v>99.765830812762232</c:v>
                </c:pt>
                <c:pt idx="323">
                  <c:v>98.419357986145002</c:v>
                </c:pt>
                <c:pt idx="324">
                  <c:v>98.877939311152318</c:v>
                </c:pt>
                <c:pt idx="325">
                  <c:v>97.716850424431669</c:v>
                </c:pt>
                <c:pt idx="326">
                  <c:v>98.926724558493518</c:v>
                </c:pt>
                <c:pt idx="327">
                  <c:v>98.614498975509804</c:v>
                </c:pt>
                <c:pt idx="328">
                  <c:v>100.71226461118158</c:v>
                </c:pt>
                <c:pt idx="329">
                  <c:v>99.570689823397402</c:v>
                </c:pt>
                <c:pt idx="330">
                  <c:v>100.1170845936189</c:v>
                </c:pt>
                <c:pt idx="331">
                  <c:v>100.31222558298371</c:v>
                </c:pt>
                <c:pt idx="332">
                  <c:v>101.20011708459363</c:v>
                </c:pt>
                <c:pt idx="333">
                  <c:v>101.58064201385501</c:v>
                </c:pt>
                <c:pt idx="334">
                  <c:v>102.14655088301298</c:v>
                </c:pt>
                <c:pt idx="335">
                  <c:v>103.13201287930531</c:v>
                </c:pt>
                <c:pt idx="336">
                  <c:v>99.521904576056201</c:v>
                </c:pt>
                <c:pt idx="337">
                  <c:v>100.76104985852278</c:v>
                </c:pt>
                <c:pt idx="338">
                  <c:v>101.74651185481511</c:v>
                </c:pt>
                <c:pt idx="339">
                  <c:v>100.40979607766612</c:v>
                </c:pt>
                <c:pt idx="340">
                  <c:v>99.414577031905552</c:v>
                </c:pt>
                <c:pt idx="341">
                  <c:v>101.27817348033955</c:v>
                </c:pt>
                <c:pt idx="342">
                  <c:v>101.08303249097473</c:v>
                </c:pt>
                <c:pt idx="343">
                  <c:v>101.65869840960094</c:v>
                </c:pt>
                <c:pt idx="344">
                  <c:v>100.48785247341203</c:v>
                </c:pt>
                <c:pt idx="345">
                  <c:v>101.2879305298078</c:v>
                </c:pt>
                <c:pt idx="346">
                  <c:v>100.58542296809446</c:v>
                </c:pt>
                <c:pt idx="347">
                  <c:v>101.6001561127915</c:v>
                </c:pt>
                <c:pt idx="348">
                  <c:v>102.14655088301298</c:v>
                </c:pt>
                <c:pt idx="349">
                  <c:v>102.06849448726706</c:v>
                </c:pt>
                <c:pt idx="350">
                  <c:v>101.82456825056103</c:v>
                </c:pt>
                <c:pt idx="351">
                  <c:v>101.84408234949751</c:v>
                </c:pt>
                <c:pt idx="352">
                  <c:v>103.21006927505123</c:v>
                </c:pt>
                <c:pt idx="353">
                  <c:v>100.93667674895113</c:v>
                </c:pt>
                <c:pt idx="354">
                  <c:v>101.45380037076789</c:v>
                </c:pt>
                <c:pt idx="355">
                  <c:v>100.3805249292614</c:v>
                </c:pt>
                <c:pt idx="356">
                  <c:v>101.44404332129965</c:v>
                </c:pt>
                <c:pt idx="357">
                  <c:v>101.03424724363353</c:v>
                </c:pt>
                <c:pt idx="358">
                  <c:v>101.09278954044298</c:v>
                </c:pt>
                <c:pt idx="359">
                  <c:v>98.673041272319253</c:v>
                </c:pt>
                <c:pt idx="360">
                  <c:v>98.848668162747586</c:v>
                </c:pt>
                <c:pt idx="361">
                  <c:v>100.72202166064983</c:v>
                </c:pt>
                <c:pt idx="362">
                  <c:v>83.393501805054157</c:v>
                </c:pt>
                <c:pt idx="363">
                  <c:v>66.191823592545632</c:v>
                </c:pt>
                <c:pt idx="364">
                  <c:v>78.856473802322171</c:v>
                </c:pt>
                <c:pt idx="365">
                  <c:v>89.150160991316241</c:v>
                </c:pt>
                <c:pt idx="366">
                  <c:v>92.135818128597919</c:v>
                </c:pt>
                <c:pt idx="367">
                  <c:v>93.199336520636166</c:v>
                </c:pt>
                <c:pt idx="368">
                  <c:v>94.848277880768848</c:v>
                </c:pt>
                <c:pt idx="369">
                  <c:v>96.672846131329891</c:v>
                </c:pt>
                <c:pt idx="370">
                  <c:v>96.194750707386092</c:v>
                </c:pt>
                <c:pt idx="371">
                  <c:v>95.726412332910527</c:v>
                </c:pt>
                <c:pt idx="372">
                  <c:v>99.004780954239436</c:v>
                </c:pt>
                <c:pt idx="373">
                  <c:v>94.477510000975713</c:v>
                </c:pt>
                <c:pt idx="374">
                  <c:v>95.404429700458593</c:v>
                </c:pt>
                <c:pt idx="375">
                  <c:v>95.180017562689045</c:v>
                </c:pt>
                <c:pt idx="376">
                  <c:v>94.838520831300627</c:v>
                </c:pt>
                <c:pt idx="377">
                  <c:v>95.394672650990344</c:v>
                </c:pt>
                <c:pt idx="378">
                  <c:v>95.784954629719977</c:v>
                </c:pt>
                <c:pt idx="379">
                  <c:v>96.760659576544057</c:v>
                </c:pt>
                <c:pt idx="380">
                  <c:v>95.326373304712661</c:v>
                </c:pt>
                <c:pt idx="381">
                  <c:v>96.145965460044891</c:v>
                </c:pt>
                <c:pt idx="382">
                  <c:v>95.716655283442293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09-9542-840A-E37E8478F31A}"/>
            </c:ext>
          </c:extLst>
        </c:ser>
        <c:ser>
          <c:idx val="7"/>
          <c:order val="2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9-9542-840A-E37E8478F31A}"/>
            </c:ext>
          </c:extLst>
        </c:ser>
        <c:ser>
          <c:idx val="8"/>
          <c:order val="3"/>
          <c:tx>
            <c:strRef>
              <c:f>'IP World'!$K$1</c:f>
              <c:strCache>
                <c:ptCount val="1"/>
                <c:pt idx="0">
                  <c:v>Spain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World'!$K$2:$K$385</c:f>
              <c:numCache>
                <c:formatCode>0.00</c:formatCode>
                <c:ptCount val="384"/>
                <c:pt idx="0">
                  <c:v>84.812407253327066</c:v>
                </c:pt>
                <c:pt idx="1">
                  <c:v>82.690910917522999</c:v>
                </c:pt>
                <c:pt idx="2">
                  <c:v>83.552841171759439</c:v>
                </c:pt>
                <c:pt idx="3">
                  <c:v>84.689087414932303</c:v>
                </c:pt>
                <c:pt idx="4">
                  <c:v>83.795747839135643</c:v>
                </c:pt>
                <c:pt idx="5">
                  <c:v>85.985516228662277</c:v>
                </c:pt>
                <c:pt idx="6">
                  <c:v>83.422994250462338</c:v>
                </c:pt>
                <c:pt idx="7">
                  <c:v>82.337604682568681</c:v>
                </c:pt>
                <c:pt idx="8">
                  <c:v>85.200065091158677</c:v>
                </c:pt>
                <c:pt idx="9">
                  <c:v>81.792944026930684</c:v>
                </c:pt>
                <c:pt idx="10">
                  <c:v>84.44433824173673</c:v>
                </c:pt>
                <c:pt idx="11">
                  <c:v>84.032270580588644</c:v>
                </c:pt>
                <c:pt idx="12">
                  <c:v>84.118747897781759</c:v>
                </c:pt>
                <c:pt idx="13">
                  <c:v>82.782556174428976</c:v>
                </c:pt>
                <c:pt idx="14">
                  <c:v>79.901083775294211</c:v>
                </c:pt>
                <c:pt idx="15">
                  <c:v>85.861728185227747</c:v>
                </c:pt>
                <c:pt idx="16">
                  <c:v>81.634557645513041</c:v>
                </c:pt>
                <c:pt idx="17">
                  <c:v>84.193501560795738</c:v>
                </c:pt>
                <c:pt idx="18">
                  <c:v>82.132458420810352</c:v>
                </c:pt>
                <c:pt idx="19">
                  <c:v>81.941891359309125</c:v>
                </c:pt>
                <c:pt idx="20">
                  <c:v>83.991498841008848</c:v>
                </c:pt>
                <c:pt idx="21">
                  <c:v>84.495586491876651</c:v>
                </c:pt>
                <c:pt idx="22">
                  <c:v>84.248885341657655</c:v>
                </c:pt>
                <c:pt idx="23">
                  <c:v>85.095038093702058</c:v>
                </c:pt>
                <c:pt idx="24">
                  <c:v>83.76565520724057</c:v>
                </c:pt>
                <c:pt idx="25">
                  <c:v>83.900142892931285</c:v>
                </c:pt>
                <c:pt idx="26">
                  <c:v>82.846936202311952</c:v>
                </c:pt>
                <c:pt idx="27">
                  <c:v>82.951164158659196</c:v>
                </c:pt>
                <c:pt idx="28">
                  <c:v>82.268639152917345</c:v>
                </c:pt>
                <c:pt idx="29">
                  <c:v>81.108682861418544</c:v>
                </c:pt>
                <c:pt idx="30">
                  <c:v>80.314364965732779</c:v>
                </c:pt>
                <c:pt idx="31">
                  <c:v>79.905858619596245</c:v>
                </c:pt>
                <c:pt idx="32">
                  <c:v>79.469614188648478</c:v>
                </c:pt>
                <c:pt idx="33">
                  <c:v>79.173741278952193</c:v>
                </c:pt>
                <c:pt idx="34">
                  <c:v>77.471631503803565</c:v>
                </c:pt>
                <c:pt idx="35">
                  <c:v>76.078843405827584</c:v>
                </c:pt>
                <c:pt idx="36">
                  <c:v>77.726317558690624</c:v>
                </c:pt>
                <c:pt idx="37">
                  <c:v>76.436916869725039</c:v>
                </c:pt>
                <c:pt idx="38">
                  <c:v>76.299066991324707</c:v>
                </c:pt>
                <c:pt idx="39">
                  <c:v>76.146087249093213</c:v>
                </c:pt>
                <c:pt idx="40">
                  <c:v>76.599142641067502</c:v>
                </c:pt>
                <c:pt idx="41">
                  <c:v>76.146927796430063</c:v>
                </c:pt>
                <c:pt idx="42">
                  <c:v>76.960578296834058</c:v>
                </c:pt>
                <c:pt idx="43">
                  <c:v>75.342523325137037</c:v>
                </c:pt>
                <c:pt idx="44">
                  <c:v>77.858283600689646</c:v>
                </c:pt>
                <c:pt idx="45">
                  <c:v>78.487854080500725</c:v>
                </c:pt>
                <c:pt idx="46">
                  <c:v>78.709758762352664</c:v>
                </c:pt>
                <c:pt idx="47">
                  <c:v>78.897200974814666</c:v>
                </c:pt>
                <c:pt idx="48">
                  <c:v>78.559300663812849</c:v>
                </c:pt>
                <c:pt idx="49">
                  <c:v>81.103639573194641</c:v>
                </c:pt>
                <c:pt idx="50">
                  <c:v>80.868286122185225</c:v>
                </c:pt>
                <c:pt idx="51">
                  <c:v>82.211481886099548</c:v>
                </c:pt>
                <c:pt idx="52">
                  <c:v>81.39110700195738</c:v>
                </c:pt>
                <c:pt idx="53">
                  <c:v>82.7788518108689</c:v>
                </c:pt>
                <c:pt idx="54">
                  <c:v>84.161553332397077</c:v>
                </c:pt>
                <c:pt idx="55">
                  <c:v>83.937127006853444</c:v>
                </c:pt>
                <c:pt idx="56">
                  <c:v>84.094309489972005</c:v>
                </c:pt>
                <c:pt idx="57">
                  <c:v>84.847440530848544</c:v>
                </c:pt>
                <c:pt idx="58">
                  <c:v>86.098176010377685</c:v>
                </c:pt>
                <c:pt idx="59">
                  <c:v>88.775321509095363</c:v>
                </c:pt>
                <c:pt idx="60">
                  <c:v>88.093637051530948</c:v>
                </c:pt>
                <c:pt idx="61">
                  <c:v>87.158107085575764</c:v>
                </c:pt>
                <c:pt idx="62">
                  <c:v>87.03538707184714</c:v>
                </c:pt>
                <c:pt idx="63">
                  <c:v>87.496007396577582</c:v>
                </c:pt>
                <c:pt idx="64">
                  <c:v>88.254181726518581</c:v>
                </c:pt>
                <c:pt idx="65">
                  <c:v>87.575859459982695</c:v>
                </c:pt>
                <c:pt idx="66">
                  <c:v>87.007648987035935</c:v>
                </c:pt>
                <c:pt idx="67">
                  <c:v>86.777338825090993</c:v>
                </c:pt>
                <c:pt idx="68">
                  <c:v>87.470790955458057</c:v>
                </c:pt>
                <c:pt idx="69">
                  <c:v>86.177187526445948</c:v>
                </c:pt>
                <c:pt idx="70">
                  <c:v>87.010170630727615</c:v>
                </c:pt>
                <c:pt idx="71">
                  <c:v>88.332352693568879</c:v>
                </c:pt>
                <c:pt idx="72">
                  <c:v>84.463310077654143</c:v>
                </c:pt>
                <c:pt idx="73">
                  <c:v>84.581827351336244</c:v>
                </c:pt>
                <c:pt idx="74">
                  <c:v>85.772043372178501</c:v>
                </c:pt>
                <c:pt idx="75">
                  <c:v>84.259897453183541</c:v>
                </c:pt>
                <c:pt idx="76">
                  <c:v>85.698075145174712</c:v>
                </c:pt>
                <c:pt idx="77">
                  <c:v>87.190047911274021</c:v>
                </c:pt>
                <c:pt idx="78">
                  <c:v>85.533327729300012</c:v>
                </c:pt>
                <c:pt idx="79">
                  <c:v>86.392367823719169</c:v>
                </c:pt>
                <c:pt idx="80">
                  <c:v>86.771454988689669</c:v>
                </c:pt>
                <c:pt idx="81">
                  <c:v>86.802555266210518</c:v>
                </c:pt>
                <c:pt idx="82">
                  <c:v>88.097839791577442</c:v>
                </c:pt>
                <c:pt idx="83">
                  <c:v>86.73867361481399</c:v>
                </c:pt>
                <c:pt idx="84">
                  <c:v>89.146003193972859</c:v>
                </c:pt>
                <c:pt idx="85">
                  <c:v>88.135664452836465</c:v>
                </c:pt>
                <c:pt idx="86">
                  <c:v>92.134992014395408</c:v>
                </c:pt>
                <c:pt idx="87">
                  <c:v>91.602084559015992</c:v>
                </c:pt>
                <c:pt idx="88">
                  <c:v>90.451374295787588</c:v>
                </c:pt>
                <c:pt idx="89">
                  <c:v>91.721442380034958</c:v>
                </c:pt>
                <c:pt idx="90">
                  <c:v>92.764562494206487</c:v>
                </c:pt>
                <c:pt idx="91">
                  <c:v>94.291838278713712</c:v>
                </c:pt>
                <c:pt idx="92">
                  <c:v>93.727830544972889</c:v>
                </c:pt>
                <c:pt idx="93">
                  <c:v>94.865092039884388</c:v>
                </c:pt>
                <c:pt idx="94">
                  <c:v>93.964024544159699</c:v>
                </c:pt>
                <c:pt idx="95">
                  <c:v>93.610994368486146</c:v>
                </c:pt>
                <c:pt idx="96">
                  <c:v>95.424897032738158</c:v>
                </c:pt>
                <c:pt idx="97">
                  <c:v>97.857443053016567</c:v>
                </c:pt>
                <c:pt idx="98">
                  <c:v>96.083886693715272</c:v>
                </c:pt>
                <c:pt idx="99">
                  <c:v>96.7924686895946</c:v>
                </c:pt>
                <c:pt idx="100">
                  <c:v>97.532150962154248</c:v>
                </c:pt>
                <c:pt idx="101">
                  <c:v>97.116079684102118</c:v>
                </c:pt>
                <c:pt idx="102">
                  <c:v>97.047995292659081</c:v>
                </c:pt>
                <c:pt idx="103">
                  <c:v>96.992519122196086</c:v>
                </c:pt>
                <c:pt idx="104">
                  <c:v>97.230394216897182</c:v>
                </c:pt>
                <c:pt idx="105">
                  <c:v>98.649239304170109</c:v>
                </c:pt>
                <c:pt idx="106">
                  <c:v>97.613684121914176</c:v>
                </c:pt>
                <c:pt idx="107">
                  <c:v>98.426494074140749</c:v>
                </c:pt>
                <c:pt idx="108">
                  <c:v>100</c:v>
                </c:pt>
                <c:pt idx="109">
                  <c:v>97.826342775495718</c:v>
                </c:pt>
                <c:pt idx="110">
                  <c:v>96.455408926770176</c:v>
                </c:pt>
                <c:pt idx="111">
                  <c:v>98.859376313219428</c:v>
                </c:pt>
                <c:pt idx="112">
                  <c:v>98.213835420559207</c:v>
                </c:pt>
                <c:pt idx="113">
                  <c:v>99.174581826793386</c:v>
                </c:pt>
                <c:pt idx="114">
                  <c:v>101.01286038482809</c:v>
                </c:pt>
                <c:pt idx="115">
                  <c:v>99.407413633270565</c:v>
                </c:pt>
                <c:pt idx="116">
                  <c:v>100.73716062886797</c:v>
                </c:pt>
                <c:pt idx="117">
                  <c:v>101.36420946414681</c:v>
                </c:pt>
                <c:pt idx="118">
                  <c:v>101.75590485009735</c:v>
                </c:pt>
                <c:pt idx="119">
                  <c:v>102.61158275180686</c:v>
                </c:pt>
                <c:pt idx="120">
                  <c:v>102.92258552533434</c:v>
                </c:pt>
                <c:pt idx="121">
                  <c:v>102.87719593131918</c:v>
                </c:pt>
                <c:pt idx="122">
                  <c:v>104.28259225027519</c:v>
                </c:pt>
                <c:pt idx="123">
                  <c:v>103.89509960437115</c:v>
                </c:pt>
                <c:pt idx="124">
                  <c:v>104.93401697849617</c:v>
                </c:pt>
                <c:pt idx="125">
                  <c:v>103.83121795381516</c:v>
                </c:pt>
                <c:pt idx="126">
                  <c:v>104.69025804823433</c:v>
                </c:pt>
                <c:pt idx="127">
                  <c:v>104.10859880613009</c:v>
                </c:pt>
                <c:pt idx="128">
                  <c:v>104.08842565323447</c:v>
                </c:pt>
                <c:pt idx="129">
                  <c:v>102.244263259639</c:v>
                </c:pt>
                <c:pt idx="130">
                  <c:v>105.58039841933378</c:v>
                </c:pt>
                <c:pt idx="131">
                  <c:v>106.77901992110958</c:v>
                </c:pt>
                <c:pt idx="132">
                  <c:v>103.12431705429066</c:v>
                </c:pt>
                <c:pt idx="133">
                  <c:v>103.87072371142901</c:v>
                </c:pt>
                <c:pt idx="134">
                  <c:v>103.34538118796519</c:v>
                </c:pt>
                <c:pt idx="135">
                  <c:v>101.58695469417617</c:v>
                </c:pt>
                <c:pt idx="136">
                  <c:v>103.92956207460165</c:v>
                </c:pt>
                <c:pt idx="137">
                  <c:v>103.90434563348209</c:v>
                </c:pt>
                <c:pt idx="138">
                  <c:v>101.57854921408317</c:v>
                </c:pt>
                <c:pt idx="139">
                  <c:v>105.72665377782711</c:v>
                </c:pt>
                <c:pt idx="140">
                  <c:v>103.4117844830534</c:v>
                </c:pt>
                <c:pt idx="141">
                  <c:v>102.30310162197108</c:v>
                </c:pt>
                <c:pt idx="142">
                  <c:v>100.77246364643533</c:v>
                </c:pt>
                <c:pt idx="143">
                  <c:v>100.6673951410701</c:v>
                </c:pt>
                <c:pt idx="144">
                  <c:v>102.00975035680702</c:v>
                </c:pt>
                <c:pt idx="145">
                  <c:v>102.46364629695873</c:v>
                </c:pt>
                <c:pt idx="146">
                  <c:v>101.83995965354896</c:v>
                </c:pt>
                <c:pt idx="147">
                  <c:v>103.17054719648324</c:v>
                </c:pt>
                <c:pt idx="148">
                  <c:v>102.06942926731649</c:v>
                </c:pt>
                <c:pt idx="149">
                  <c:v>101.92737664971021</c:v>
                </c:pt>
                <c:pt idx="150">
                  <c:v>102.67210221049378</c:v>
                </c:pt>
                <c:pt idx="151">
                  <c:v>103.32688913142438</c:v>
                </c:pt>
                <c:pt idx="152">
                  <c:v>103.34454064062832</c:v>
                </c:pt>
                <c:pt idx="153">
                  <c:v>104.26073800102475</c:v>
                </c:pt>
                <c:pt idx="154">
                  <c:v>103.81104480091953</c:v>
                </c:pt>
                <c:pt idx="155">
                  <c:v>102.84777675015313</c:v>
                </c:pt>
                <c:pt idx="156">
                  <c:v>104.02790619454757</c:v>
                </c:pt>
                <c:pt idx="157">
                  <c:v>104.48180213469928</c:v>
                </c:pt>
                <c:pt idx="158">
                  <c:v>103.85139110671079</c:v>
                </c:pt>
                <c:pt idx="159">
                  <c:v>104.33806842073818</c:v>
                </c:pt>
                <c:pt idx="160">
                  <c:v>103.24115323161794</c:v>
                </c:pt>
                <c:pt idx="161">
                  <c:v>103.5471127169215</c:v>
                </c:pt>
                <c:pt idx="162">
                  <c:v>104.25905690466993</c:v>
                </c:pt>
                <c:pt idx="163">
                  <c:v>104.13381524724964</c:v>
                </c:pt>
                <c:pt idx="164">
                  <c:v>103.20669076222799</c:v>
                </c:pt>
                <c:pt idx="165">
                  <c:v>105.49130032765827</c:v>
                </c:pt>
                <c:pt idx="166">
                  <c:v>104.6188114649222</c:v>
                </c:pt>
                <c:pt idx="167">
                  <c:v>103.76145246685786</c:v>
                </c:pt>
                <c:pt idx="168">
                  <c:v>103.9917626288028</c:v>
                </c:pt>
                <c:pt idx="169">
                  <c:v>104.34647390083119</c:v>
                </c:pt>
                <c:pt idx="170">
                  <c:v>106.1091031346667</c:v>
                </c:pt>
                <c:pt idx="171">
                  <c:v>105.44002689724178</c:v>
                </c:pt>
                <c:pt idx="172">
                  <c:v>106.01496175476727</c:v>
                </c:pt>
                <c:pt idx="173">
                  <c:v>106.56804236304231</c:v>
                </c:pt>
                <c:pt idx="174">
                  <c:v>106.5495503065015</c:v>
                </c:pt>
                <c:pt idx="175">
                  <c:v>104.88274354892023</c:v>
                </c:pt>
                <c:pt idx="176">
                  <c:v>106.79835252582781</c:v>
                </c:pt>
                <c:pt idx="177">
                  <c:v>105.88551735730049</c:v>
                </c:pt>
                <c:pt idx="178">
                  <c:v>106.7185004624227</c:v>
                </c:pt>
                <c:pt idx="179">
                  <c:v>104.35403883274677</c:v>
                </c:pt>
                <c:pt idx="180">
                  <c:v>104.89703286541454</c:v>
                </c:pt>
                <c:pt idx="181">
                  <c:v>105.60813650498555</c:v>
                </c:pt>
                <c:pt idx="182">
                  <c:v>106.05867025242762</c:v>
                </c:pt>
                <c:pt idx="183">
                  <c:v>107.3110868283116</c:v>
                </c:pt>
                <c:pt idx="184">
                  <c:v>106.20828780363058</c:v>
                </c:pt>
                <c:pt idx="185">
                  <c:v>106.68740018490183</c:v>
                </c:pt>
                <c:pt idx="186">
                  <c:v>106.88324787745682</c:v>
                </c:pt>
                <c:pt idx="187">
                  <c:v>107.82802387168243</c:v>
                </c:pt>
                <c:pt idx="188">
                  <c:v>107.27578381074424</c:v>
                </c:pt>
                <c:pt idx="189">
                  <c:v>106.41674371632509</c:v>
                </c:pt>
                <c:pt idx="190">
                  <c:v>108.07598554199076</c:v>
                </c:pt>
                <c:pt idx="191">
                  <c:v>109.25023115082443</c:v>
                </c:pt>
                <c:pt idx="192">
                  <c:v>109.66462133252175</c:v>
                </c:pt>
                <c:pt idx="193">
                  <c:v>109.75455997321524</c:v>
                </c:pt>
                <c:pt idx="194">
                  <c:v>110.32697318620849</c:v>
                </c:pt>
                <c:pt idx="195">
                  <c:v>109.21492813325708</c:v>
                </c:pt>
                <c:pt idx="196">
                  <c:v>110.82709926855279</c:v>
                </c:pt>
                <c:pt idx="197">
                  <c:v>111.3936286459853</c:v>
                </c:pt>
                <c:pt idx="198">
                  <c:v>110.64722198884691</c:v>
                </c:pt>
                <c:pt idx="199">
                  <c:v>110.49340169759745</c:v>
                </c:pt>
                <c:pt idx="200">
                  <c:v>111.64159031629363</c:v>
                </c:pt>
                <c:pt idx="201">
                  <c:v>110.7102630912255</c:v>
                </c:pt>
                <c:pt idx="202">
                  <c:v>112.28713120895384</c:v>
                </c:pt>
                <c:pt idx="203">
                  <c:v>114.85836765580999</c:v>
                </c:pt>
                <c:pt idx="204">
                  <c:v>113.09826006566615</c:v>
                </c:pt>
                <c:pt idx="205">
                  <c:v>113.03774060697924</c:v>
                </c:pt>
                <c:pt idx="206">
                  <c:v>114.71883668105482</c:v>
                </c:pt>
                <c:pt idx="207">
                  <c:v>111.38186097318264</c:v>
                </c:pt>
                <c:pt idx="208">
                  <c:v>114.72808270932525</c:v>
                </c:pt>
                <c:pt idx="209">
                  <c:v>114.95082793935461</c:v>
                </c:pt>
                <c:pt idx="210">
                  <c:v>111.85172732618349</c:v>
                </c:pt>
                <c:pt idx="211">
                  <c:v>112.16609229158006</c:v>
                </c:pt>
                <c:pt idx="212">
                  <c:v>112.98562662838536</c:v>
                </c:pt>
                <c:pt idx="213">
                  <c:v>112.76035975466432</c:v>
                </c:pt>
                <c:pt idx="214">
                  <c:v>111.55081112826329</c:v>
                </c:pt>
                <c:pt idx="215">
                  <c:v>112.45187862482852</c:v>
                </c:pt>
                <c:pt idx="216">
                  <c:v>113.28822392181984</c:v>
                </c:pt>
                <c:pt idx="217">
                  <c:v>112.21148188559521</c:v>
                </c:pt>
                <c:pt idx="218">
                  <c:v>109.93779944479017</c:v>
                </c:pt>
                <c:pt idx="219">
                  <c:v>111.8668571908552</c:v>
                </c:pt>
                <c:pt idx="220">
                  <c:v>108.17517021095465</c:v>
                </c:pt>
                <c:pt idx="221">
                  <c:v>104.02790619454757</c:v>
                </c:pt>
                <c:pt idx="222">
                  <c:v>106.94544843249854</c:v>
                </c:pt>
                <c:pt idx="223">
                  <c:v>103.0335378662603</c:v>
                </c:pt>
                <c:pt idx="224">
                  <c:v>102.30142052561627</c:v>
                </c:pt>
                <c:pt idx="225">
                  <c:v>96.55375304671611</c:v>
                </c:pt>
                <c:pt idx="226">
                  <c:v>93.373119273785065</c:v>
                </c:pt>
                <c:pt idx="227">
                  <c:v>90.021013700400601</c:v>
                </c:pt>
                <c:pt idx="228">
                  <c:v>89.650332016363663</c:v>
                </c:pt>
                <c:pt idx="229">
                  <c:v>89.124148944722407</c:v>
                </c:pt>
                <c:pt idx="230">
                  <c:v>86.33268891320968</c:v>
                </c:pt>
                <c:pt idx="231">
                  <c:v>87.38505505565162</c:v>
                </c:pt>
                <c:pt idx="232">
                  <c:v>86.593258804498078</c:v>
                </c:pt>
                <c:pt idx="233">
                  <c:v>87.174918046602301</c:v>
                </c:pt>
                <c:pt idx="234">
                  <c:v>88.062536774010084</c:v>
                </c:pt>
                <c:pt idx="235">
                  <c:v>88.145751029284298</c:v>
                </c:pt>
                <c:pt idx="236">
                  <c:v>89.108178531873278</c:v>
                </c:pt>
                <c:pt idx="237">
                  <c:v>88.550895183551745</c:v>
                </c:pt>
                <c:pt idx="238">
                  <c:v>88.067580062234001</c:v>
                </c:pt>
                <c:pt idx="239">
                  <c:v>88.821551651287947</c:v>
                </c:pt>
                <c:pt idx="240">
                  <c:v>87.700260570066135</c:v>
                </c:pt>
                <c:pt idx="241">
                  <c:v>87.576700008160103</c:v>
                </c:pt>
                <c:pt idx="242">
                  <c:v>89.809195594996481</c:v>
                </c:pt>
                <c:pt idx="243">
                  <c:v>89.804152306772565</c:v>
                </c:pt>
                <c:pt idx="244">
                  <c:v>89.041775237625615</c:v>
                </c:pt>
                <c:pt idx="245">
                  <c:v>89.498192821469004</c:v>
                </c:pt>
                <c:pt idx="246">
                  <c:v>88.422291333421811</c:v>
                </c:pt>
                <c:pt idx="247">
                  <c:v>87.585946036430514</c:v>
                </c:pt>
                <c:pt idx="248">
                  <c:v>87.84483483220464</c:v>
                </c:pt>
                <c:pt idx="249">
                  <c:v>88.434059006224444</c:v>
                </c:pt>
                <c:pt idx="250">
                  <c:v>90.972514079204927</c:v>
                </c:pt>
                <c:pt idx="251">
                  <c:v>88.377742287584056</c:v>
                </c:pt>
                <c:pt idx="252">
                  <c:v>88.872825081704434</c:v>
                </c:pt>
                <c:pt idx="253">
                  <c:v>89.881482726486013</c:v>
                </c:pt>
                <c:pt idx="254">
                  <c:v>88.602168613968217</c:v>
                </c:pt>
                <c:pt idx="255">
                  <c:v>88.189459527785189</c:v>
                </c:pt>
                <c:pt idx="256">
                  <c:v>87.480036983728453</c:v>
                </c:pt>
                <c:pt idx="257">
                  <c:v>87.774228797069924</c:v>
                </c:pt>
                <c:pt idx="258">
                  <c:v>87.959989913177111</c:v>
                </c:pt>
                <c:pt idx="259">
                  <c:v>87.968395393270114</c:v>
                </c:pt>
                <c:pt idx="260">
                  <c:v>86.750441287616624</c:v>
                </c:pt>
                <c:pt idx="261">
                  <c:v>85.133226864097026</c:v>
                </c:pt>
                <c:pt idx="262">
                  <c:v>84.744893670856115</c:v>
                </c:pt>
                <c:pt idx="263">
                  <c:v>86.302429183866238</c:v>
                </c:pt>
                <c:pt idx="264">
                  <c:v>84.618811465258418</c:v>
                </c:pt>
                <c:pt idx="265">
                  <c:v>83.247877615692346</c:v>
                </c:pt>
                <c:pt idx="266">
                  <c:v>82.361939984639378</c:v>
                </c:pt>
                <c:pt idx="267">
                  <c:v>81.529797427694575</c:v>
                </c:pt>
                <c:pt idx="268">
                  <c:v>82.354375052723782</c:v>
                </c:pt>
                <c:pt idx="269">
                  <c:v>82.003025972564501</c:v>
                </c:pt>
                <c:pt idx="270">
                  <c:v>81.324703706869172</c:v>
                </c:pt>
                <c:pt idx="271">
                  <c:v>83.404219550633485</c:v>
                </c:pt>
                <c:pt idx="272">
                  <c:v>80.321929898488918</c:v>
                </c:pt>
                <c:pt idx="273">
                  <c:v>80.910313524331315</c:v>
                </c:pt>
                <c:pt idx="274">
                  <c:v>78.870303437340311</c:v>
                </c:pt>
                <c:pt idx="275">
                  <c:v>79.323358830155172</c:v>
                </c:pt>
                <c:pt idx="276">
                  <c:v>80.131125493317285</c:v>
                </c:pt>
                <c:pt idx="277">
                  <c:v>79.574682693173145</c:v>
                </c:pt>
                <c:pt idx="278">
                  <c:v>80.311002773863692</c:v>
                </c:pt>
                <c:pt idx="279">
                  <c:v>79.248550054133403</c:v>
                </c:pt>
                <c:pt idx="280">
                  <c:v>79.800790115071592</c:v>
                </c:pt>
                <c:pt idx="281">
                  <c:v>80.737160628363625</c:v>
                </c:pt>
                <c:pt idx="282">
                  <c:v>80.390014289091397</c:v>
                </c:pt>
                <c:pt idx="283">
                  <c:v>81.407917962143387</c:v>
                </c:pt>
                <c:pt idx="284">
                  <c:v>81.044801210022015</c:v>
                </c:pt>
                <c:pt idx="285">
                  <c:v>80.078170967386527</c:v>
                </c:pt>
                <c:pt idx="286">
                  <c:v>81.104480120531491</c:v>
                </c:pt>
                <c:pt idx="287">
                  <c:v>81.286038496592184</c:v>
                </c:pt>
                <c:pt idx="288">
                  <c:v>81.091871900391993</c:v>
                </c:pt>
                <c:pt idx="289">
                  <c:v>81.789526771646109</c:v>
                </c:pt>
                <c:pt idx="290">
                  <c:v>80.969992434840805</c:v>
                </c:pt>
                <c:pt idx="291">
                  <c:v>82.013953097189727</c:v>
                </c:pt>
                <c:pt idx="292">
                  <c:v>81.826510884727725</c:v>
                </c:pt>
                <c:pt idx="293">
                  <c:v>81.203664789495377</c:v>
                </c:pt>
                <c:pt idx="294">
                  <c:v>81.128015466136773</c:v>
                </c:pt>
                <c:pt idx="295">
                  <c:v>81.644111960489639</c:v>
                </c:pt>
                <c:pt idx="296">
                  <c:v>81.81642430827992</c:v>
                </c:pt>
                <c:pt idx="297">
                  <c:v>81.25998150813578</c:v>
                </c:pt>
                <c:pt idx="298">
                  <c:v>81.004454904230755</c:v>
                </c:pt>
                <c:pt idx="299">
                  <c:v>81.244011095286652</c:v>
                </c:pt>
                <c:pt idx="300">
                  <c:v>81.364209464483025</c:v>
                </c:pt>
                <c:pt idx="301">
                  <c:v>82.637639740599482</c:v>
                </c:pt>
                <c:pt idx="302">
                  <c:v>83.089854585236935</c:v>
                </c:pt>
                <c:pt idx="303">
                  <c:v>83.827855761441754</c:v>
                </c:pt>
                <c:pt idx="304">
                  <c:v>84.816340253327695</c:v>
                </c:pt>
                <c:pt idx="305">
                  <c:v>85.134907959611297</c:v>
                </c:pt>
                <c:pt idx="306">
                  <c:v>85.998150794076949</c:v>
                </c:pt>
                <c:pt idx="307">
                  <c:v>83.567285870153356</c:v>
                </c:pt>
                <c:pt idx="308">
                  <c:v>85.095402201997445</c:v>
                </c:pt>
                <c:pt idx="309">
                  <c:v>84.747415314547794</c:v>
                </c:pt>
                <c:pt idx="310">
                  <c:v>84.182567033470121</c:v>
                </c:pt>
                <c:pt idx="311">
                  <c:v>84.195175254450163</c:v>
                </c:pt>
                <c:pt idx="312">
                  <c:v>85.789694880541902</c:v>
                </c:pt>
                <c:pt idx="313">
                  <c:v>84.528032277228078</c:v>
                </c:pt>
                <c:pt idx="314">
                  <c:v>85.920820374363501</c:v>
                </c:pt>
                <c:pt idx="315">
                  <c:v>86.494074136374735</c:v>
                </c:pt>
                <c:pt idx="316">
                  <c:v>84.396906783406479</c:v>
                </c:pt>
                <c:pt idx="317">
                  <c:v>84.714633941512659</c:v>
                </c:pt>
                <c:pt idx="318">
                  <c:v>84.952509035373197</c:v>
                </c:pt>
                <c:pt idx="319">
                  <c:v>86.014121206926077</c:v>
                </c:pt>
                <c:pt idx="320">
                  <c:v>85.520719509160529</c:v>
                </c:pt>
                <c:pt idx="321">
                  <c:v>85.730015970032426</c:v>
                </c:pt>
                <c:pt idx="322">
                  <c:v>86.751281835794046</c:v>
                </c:pt>
                <c:pt idx="323">
                  <c:v>86.58065058435858</c:v>
                </c:pt>
                <c:pt idx="324">
                  <c:v>87.496007396577582</c:v>
                </c:pt>
                <c:pt idx="325">
                  <c:v>87.043792552780687</c:v>
                </c:pt>
                <c:pt idx="326">
                  <c:v>86.63276456211193</c:v>
                </c:pt>
                <c:pt idx="327">
                  <c:v>86.696646213508458</c:v>
                </c:pt>
                <c:pt idx="328">
                  <c:v>88.455913255474897</c:v>
                </c:pt>
                <c:pt idx="329">
                  <c:v>88.29873077235635</c:v>
                </c:pt>
                <c:pt idx="330">
                  <c:v>87.687652349086079</c:v>
                </c:pt>
                <c:pt idx="331">
                  <c:v>88.107085819847839</c:v>
                </c:pt>
                <c:pt idx="332">
                  <c:v>88.61813902681736</c:v>
                </c:pt>
                <c:pt idx="333">
                  <c:v>88.808102882971042</c:v>
                </c:pt>
                <c:pt idx="334">
                  <c:v>90.362276204112064</c:v>
                </c:pt>
                <c:pt idx="335">
                  <c:v>92.288812305644882</c:v>
                </c:pt>
                <c:pt idx="336">
                  <c:v>87.480036983728453</c:v>
                </c:pt>
                <c:pt idx="337">
                  <c:v>89.240985122049707</c:v>
                </c:pt>
                <c:pt idx="338">
                  <c:v>90.878372698464943</c:v>
                </c:pt>
                <c:pt idx="339">
                  <c:v>88.061696225832662</c:v>
                </c:pt>
                <c:pt idx="340">
                  <c:v>89.873077246393009</c:v>
                </c:pt>
                <c:pt idx="341">
                  <c:v>88.904765907402705</c:v>
                </c:pt>
                <c:pt idx="342">
                  <c:v>88.402118180526173</c:v>
                </c:pt>
                <c:pt idx="343">
                  <c:v>88.709758762184563</c:v>
                </c:pt>
                <c:pt idx="344">
                  <c:v>88.214675968904729</c:v>
                </c:pt>
                <c:pt idx="345">
                  <c:v>89.285534167887462</c:v>
                </c:pt>
                <c:pt idx="346">
                  <c:v>87.384214507474198</c:v>
                </c:pt>
                <c:pt idx="347">
                  <c:v>86.647894426783651</c:v>
                </c:pt>
                <c:pt idx="348">
                  <c:v>89.934437253257315</c:v>
                </c:pt>
                <c:pt idx="349">
                  <c:v>89.066151130567746</c:v>
                </c:pt>
                <c:pt idx="350">
                  <c:v>88.469362023791803</c:v>
                </c:pt>
                <c:pt idx="351">
                  <c:v>89.288896360597107</c:v>
                </c:pt>
                <c:pt idx="352">
                  <c:v>92.181222156587992</c:v>
                </c:pt>
                <c:pt idx="353">
                  <c:v>91.050685046255225</c:v>
                </c:pt>
                <c:pt idx="354">
                  <c:v>89.377153904095223</c:v>
                </c:pt>
                <c:pt idx="355">
                  <c:v>89.731024627946184</c:v>
                </c:pt>
                <c:pt idx="356">
                  <c:v>88.260065562919905</c:v>
                </c:pt>
                <c:pt idx="357">
                  <c:v>87.363200806401167</c:v>
                </c:pt>
                <c:pt idx="358">
                  <c:v>88.682020677373345</c:v>
                </c:pt>
                <c:pt idx="359">
                  <c:v>86.969824324936354</c:v>
                </c:pt>
                <c:pt idx="360">
                  <c:v>87.109355299691501</c:v>
                </c:pt>
                <c:pt idx="361">
                  <c:v>86.92947801914508</c:v>
                </c:pt>
                <c:pt idx="362">
                  <c:v>75.92418256724126</c:v>
                </c:pt>
                <c:pt idx="363">
                  <c:v>58.593763133539014</c:v>
                </c:pt>
                <c:pt idx="364">
                  <c:v>70.715306379281287</c:v>
                </c:pt>
                <c:pt idx="365">
                  <c:v>78.723207531510127</c:v>
                </c:pt>
                <c:pt idx="366">
                  <c:v>83.530301756231182</c:v>
                </c:pt>
                <c:pt idx="367">
                  <c:v>84.55829200657152</c:v>
                </c:pt>
                <c:pt idx="368">
                  <c:v>85.312263595625481</c:v>
                </c:pt>
                <c:pt idx="369">
                  <c:v>85.985542573937451</c:v>
                </c:pt>
                <c:pt idx="370">
                  <c:v>85.196267966475602</c:v>
                </c:pt>
                <c:pt idx="371">
                  <c:v>85.930906950811334</c:v>
                </c:pt>
                <c:pt idx="372">
                  <c:v>85.324871816605523</c:v>
                </c:pt>
                <c:pt idx="373">
                  <c:v>85.310582499270652</c:v>
                </c:pt>
                <c:pt idx="374">
                  <c:v>85.814911321661455</c:v>
                </c:pt>
                <c:pt idx="375">
                  <c:v>86.969824324936354</c:v>
                </c:pt>
                <c:pt idx="376">
                  <c:v>88.207951584325997</c:v>
                </c:pt>
                <c:pt idx="377">
                  <c:v>87.186685718564377</c:v>
                </c:pt>
                <c:pt idx="378">
                  <c:v>86.260401781720148</c:v>
                </c:pt>
                <c:pt idx="379">
                  <c:v>86.060351349118662</c:v>
                </c:pt>
                <c:pt idx="380">
                  <c:v>86.351180969750502</c:v>
                </c:pt>
                <c:pt idx="381">
                  <c:v>85.522400604674786</c:v>
                </c:pt>
                <c:pt idx="382">
                  <c:v>89.346894174751768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09-9542-840A-E37E8478F31A}"/>
            </c:ext>
          </c:extLst>
        </c:ser>
        <c:ser>
          <c:idx val="9"/>
          <c:order val="4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D09-9542-840A-E37E8478F31A}"/>
            </c:ext>
          </c:extLst>
        </c:ser>
        <c:ser>
          <c:idx val="10"/>
          <c:order val="5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D09-9542-840A-E37E8478F31A}"/>
            </c:ext>
          </c:extLst>
        </c:ser>
        <c:ser>
          <c:idx val="11"/>
          <c:order val="6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D09-9542-840A-E37E8478F31A}"/>
            </c:ext>
          </c:extLst>
        </c:ser>
        <c:ser>
          <c:idx val="12"/>
          <c:order val="7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D09-9542-840A-E37E8478F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9"/>
          <c:order val="0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2B-5349-86C1-70016D954D3C}"/>
            </c:ext>
          </c:extLst>
        </c:ser>
        <c:ser>
          <c:idx val="10"/>
          <c:order val="1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B-5349-86C1-70016D954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> 1999</a:t>
            </a:r>
            <a:r>
              <a:rPr lang="en-GB" b="1"/>
              <a:t> 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'IP World'!$J$1</c:f>
              <c:strCache>
                <c:ptCount val="1"/>
                <c:pt idx="0">
                  <c:v>Germany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World'!$J$2:$J$385</c:f>
              <c:numCache>
                <c:formatCode>0.00</c:formatCode>
                <c:ptCount val="384"/>
                <c:pt idx="0">
                  <c:v>94.389746145498293</c:v>
                </c:pt>
                <c:pt idx="1">
                  <c:v>93.979355945177915</c:v>
                </c:pt>
                <c:pt idx="2">
                  <c:v>94.882214385882719</c:v>
                </c:pt>
                <c:pt idx="3">
                  <c:v>93.240653584601276</c:v>
                </c:pt>
                <c:pt idx="4">
                  <c:v>95.620916747789295</c:v>
                </c:pt>
                <c:pt idx="5">
                  <c:v>95.620916747789295</c:v>
                </c:pt>
                <c:pt idx="6">
                  <c:v>96.523775188494099</c:v>
                </c:pt>
                <c:pt idx="7">
                  <c:v>97.098321470272495</c:v>
                </c:pt>
                <c:pt idx="8">
                  <c:v>98.001179910977299</c:v>
                </c:pt>
                <c:pt idx="9">
                  <c:v>98.165335991105451</c:v>
                </c:pt>
                <c:pt idx="10">
                  <c:v>98.165335991105451</c:v>
                </c:pt>
                <c:pt idx="11">
                  <c:v>98.575726192755695</c:v>
                </c:pt>
                <c:pt idx="12">
                  <c:v>101.59574468039833</c:v>
                </c:pt>
                <c:pt idx="13">
                  <c:v>100.3989361700996</c:v>
                </c:pt>
                <c:pt idx="14">
                  <c:v>99.734042552823652</c:v>
                </c:pt>
                <c:pt idx="15">
                  <c:v>98.936170212624489</c:v>
                </c:pt>
                <c:pt idx="16">
                  <c:v>97.340425530896255</c:v>
                </c:pt>
                <c:pt idx="17">
                  <c:v>101.59574468039833</c:v>
                </c:pt>
                <c:pt idx="18">
                  <c:v>98.670212765448142</c:v>
                </c:pt>
                <c:pt idx="19">
                  <c:v>97.074468085049801</c:v>
                </c:pt>
                <c:pt idx="20">
                  <c:v>96.808510637873454</c:v>
                </c:pt>
                <c:pt idx="21">
                  <c:v>98.271276595348539</c:v>
                </c:pt>
                <c:pt idx="22">
                  <c:v>99.335106382724064</c:v>
                </c:pt>
                <c:pt idx="23">
                  <c:v>99.46808510564729</c:v>
                </c:pt>
                <c:pt idx="24">
                  <c:v>100.66489361594604</c:v>
                </c:pt>
                <c:pt idx="25">
                  <c:v>102.3936170205975</c:v>
                </c:pt>
                <c:pt idx="26">
                  <c:v>99.46808510564729</c:v>
                </c:pt>
                <c:pt idx="27">
                  <c:v>99.335106382724064</c:v>
                </c:pt>
                <c:pt idx="28">
                  <c:v>98.670212765448142</c:v>
                </c:pt>
                <c:pt idx="29">
                  <c:v>97.074468085049801</c:v>
                </c:pt>
                <c:pt idx="30">
                  <c:v>95.34574468039834</c:v>
                </c:pt>
                <c:pt idx="31">
                  <c:v>95.611702127574702</c:v>
                </c:pt>
                <c:pt idx="32">
                  <c:v>94.81382978604563</c:v>
                </c:pt>
                <c:pt idx="33">
                  <c:v>94.680851063122418</c:v>
                </c:pt>
                <c:pt idx="34">
                  <c:v>93.218085105647305</c:v>
                </c:pt>
                <c:pt idx="35">
                  <c:v>91.622340425248964</c:v>
                </c:pt>
                <c:pt idx="36">
                  <c:v>90.558510637873439</c:v>
                </c:pt>
                <c:pt idx="37">
                  <c:v>89.228723403321581</c:v>
                </c:pt>
                <c:pt idx="38">
                  <c:v>89.361702127574688</c:v>
                </c:pt>
                <c:pt idx="39">
                  <c:v>88.696808510298752</c:v>
                </c:pt>
                <c:pt idx="40">
                  <c:v>88.696808510298752</c:v>
                </c:pt>
                <c:pt idx="41">
                  <c:v>88.031914893022815</c:v>
                </c:pt>
                <c:pt idx="42">
                  <c:v>86.037234042524915</c:v>
                </c:pt>
                <c:pt idx="43">
                  <c:v>89.760638297674291</c:v>
                </c:pt>
                <c:pt idx="44">
                  <c:v>89.361702127574688</c:v>
                </c:pt>
                <c:pt idx="45">
                  <c:v>89.361702127574688</c:v>
                </c:pt>
                <c:pt idx="46">
                  <c:v>88.56382978604563</c:v>
                </c:pt>
                <c:pt idx="47">
                  <c:v>89.627659573421155</c:v>
                </c:pt>
                <c:pt idx="48">
                  <c:v>89.228723403321581</c:v>
                </c:pt>
                <c:pt idx="49">
                  <c:v>90.558510637873439</c:v>
                </c:pt>
                <c:pt idx="50">
                  <c:v>90.159574467773865</c:v>
                </c:pt>
                <c:pt idx="51">
                  <c:v>91.223404255149376</c:v>
                </c:pt>
                <c:pt idx="52">
                  <c:v>90.824468085049801</c:v>
                </c:pt>
                <c:pt idx="53">
                  <c:v>91.489361700995843</c:v>
                </c:pt>
                <c:pt idx="54">
                  <c:v>91.090425530896269</c:v>
                </c:pt>
                <c:pt idx="55">
                  <c:v>91.090425530896269</c:v>
                </c:pt>
                <c:pt idx="56">
                  <c:v>92.420212765448127</c:v>
                </c:pt>
                <c:pt idx="57">
                  <c:v>94.148936170099589</c:v>
                </c:pt>
                <c:pt idx="58">
                  <c:v>94.680851063122418</c:v>
                </c:pt>
                <c:pt idx="59">
                  <c:v>94.680851063122418</c:v>
                </c:pt>
                <c:pt idx="60">
                  <c:v>92.819148935547702</c:v>
                </c:pt>
                <c:pt idx="61">
                  <c:v>94.148936170099589</c:v>
                </c:pt>
                <c:pt idx="62">
                  <c:v>93.085106382724078</c:v>
                </c:pt>
                <c:pt idx="63">
                  <c:v>93.617021275746879</c:v>
                </c:pt>
                <c:pt idx="64">
                  <c:v>94.148936170099589</c:v>
                </c:pt>
                <c:pt idx="65">
                  <c:v>93.085106382724078</c:v>
                </c:pt>
                <c:pt idx="66">
                  <c:v>92.819148935547702</c:v>
                </c:pt>
                <c:pt idx="67">
                  <c:v>91.755319148172191</c:v>
                </c:pt>
                <c:pt idx="68">
                  <c:v>93.617021275746879</c:v>
                </c:pt>
                <c:pt idx="69">
                  <c:v>91.223404255149376</c:v>
                </c:pt>
                <c:pt idx="70">
                  <c:v>91.755319148172191</c:v>
                </c:pt>
                <c:pt idx="71">
                  <c:v>91.755319148172191</c:v>
                </c:pt>
                <c:pt idx="72">
                  <c:v>92.15425531827178</c:v>
                </c:pt>
                <c:pt idx="73">
                  <c:v>91.356382978072617</c:v>
                </c:pt>
                <c:pt idx="74">
                  <c:v>91.489361700995843</c:v>
                </c:pt>
                <c:pt idx="75">
                  <c:v>91.489361700995843</c:v>
                </c:pt>
                <c:pt idx="76">
                  <c:v>92.287234042524901</c:v>
                </c:pt>
                <c:pt idx="77">
                  <c:v>92.819148935547702</c:v>
                </c:pt>
                <c:pt idx="78">
                  <c:v>91.755319148172191</c:v>
                </c:pt>
                <c:pt idx="79">
                  <c:v>92.952127658470943</c:v>
                </c:pt>
                <c:pt idx="80">
                  <c:v>93.750000000000014</c:v>
                </c:pt>
                <c:pt idx="81">
                  <c:v>92.420212765448127</c:v>
                </c:pt>
                <c:pt idx="82">
                  <c:v>93.750000000000014</c:v>
                </c:pt>
                <c:pt idx="83">
                  <c:v>93.750000000000014</c:v>
                </c:pt>
                <c:pt idx="84">
                  <c:v>92.553191488371354</c:v>
                </c:pt>
                <c:pt idx="85">
                  <c:v>93.882978722923241</c:v>
                </c:pt>
                <c:pt idx="86">
                  <c:v>94.946808510298766</c:v>
                </c:pt>
                <c:pt idx="87">
                  <c:v>94.547872340199163</c:v>
                </c:pt>
                <c:pt idx="88">
                  <c:v>93.351063828570531</c:v>
                </c:pt>
                <c:pt idx="89">
                  <c:v>97.074468085049801</c:v>
                </c:pt>
                <c:pt idx="90">
                  <c:v>98.138297871095432</c:v>
                </c:pt>
                <c:pt idx="91">
                  <c:v>94.946808510298766</c:v>
                </c:pt>
                <c:pt idx="92">
                  <c:v>95.744680850497915</c:v>
                </c:pt>
                <c:pt idx="93">
                  <c:v>97.074468085049801</c:v>
                </c:pt>
                <c:pt idx="94">
                  <c:v>97.606382978072602</c:v>
                </c:pt>
                <c:pt idx="95">
                  <c:v>98.537234042524915</c:v>
                </c:pt>
                <c:pt idx="96">
                  <c:v>99.601063828570517</c:v>
                </c:pt>
                <c:pt idx="97">
                  <c:v>99.335106382724064</c:v>
                </c:pt>
                <c:pt idx="98">
                  <c:v>100.66489361594604</c:v>
                </c:pt>
                <c:pt idx="99">
                  <c:v>99.734042552823652</c:v>
                </c:pt>
                <c:pt idx="100">
                  <c:v>100.26595744584647</c:v>
                </c:pt>
                <c:pt idx="101">
                  <c:v>99.46808510564729</c:v>
                </c:pt>
                <c:pt idx="102">
                  <c:v>101.59574468039833</c:v>
                </c:pt>
                <c:pt idx="103">
                  <c:v>99.335106382724064</c:v>
                </c:pt>
                <c:pt idx="104">
                  <c:v>98.670212765448142</c:v>
                </c:pt>
                <c:pt idx="105">
                  <c:v>99.335106382724064</c:v>
                </c:pt>
                <c:pt idx="106">
                  <c:v>98.005319148172191</c:v>
                </c:pt>
                <c:pt idx="107">
                  <c:v>98.40425531827178</c:v>
                </c:pt>
                <c:pt idx="108">
                  <c:v>100</c:v>
                </c:pt>
                <c:pt idx="109">
                  <c:v>98.138297871095432</c:v>
                </c:pt>
                <c:pt idx="110">
                  <c:v>98.803191488371368</c:v>
                </c:pt>
                <c:pt idx="111">
                  <c:v>99.46808510564729</c:v>
                </c:pt>
                <c:pt idx="112">
                  <c:v>100.13297872292324</c:v>
                </c:pt>
                <c:pt idx="113">
                  <c:v>100.13297872292324</c:v>
                </c:pt>
                <c:pt idx="114">
                  <c:v>100.9308510631224</c:v>
                </c:pt>
                <c:pt idx="115">
                  <c:v>101.86170212757469</c:v>
                </c:pt>
                <c:pt idx="116">
                  <c:v>101.4627659561452</c:v>
                </c:pt>
                <c:pt idx="117">
                  <c:v>102.52659574352073</c:v>
                </c:pt>
                <c:pt idx="118">
                  <c:v>102.3936170205975</c:v>
                </c:pt>
                <c:pt idx="119">
                  <c:v>102.52659574352073</c:v>
                </c:pt>
                <c:pt idx="120">
                  <c:v>101.72872340332158</c:v>
                </c:pt>
                <c:pt idx="121">
                  <c:v>104.25531914817219</c:v>
                </c:pt>
                <c:pt idx="122">
                  <c:v>104.38829787109542</c:v>
                </c:pt>
                <c:pt idx="123">
                  <c:v>105.7180851056473</c:v>
                </c:pt>
                <c:pt idx="124">
                  <c:v>108.24468085049793</c:v>
                </c:pt>
                <c:pt idx="125">
                  <c:v>105.85106382857053</c:v>
                </c:pt>
                <c:pt idx="126">
                  <c:v>107.57978723322199</c:v>
                </c:pt>
                <c:pt idx="127">
                  <c:v>108.6436170205975</c:v>
                </c:pt>
                <c:pt idx="128">
                  <c:v>108.77659574352074</c:v>
                </c:pt>
                <c:pt idx="129">
                  <c:v>108.37765957342114</c:v>
                </c:pt>
                <c:pt idx="130">
                  <c:v>109.30851063787345</c:v>
                </c:pt>
                <c:pt idx="131">
                  <c:v>109.97340425514938</c:v>
                </c:pt>
                <c:pt idx="132">
                  <c:v>109.70744680797303</c:v>
                </c:pt>
                <c:pt idx="133">
                  <c:v>110.90425531827178</c:v>
                </c:pt>
                <c:pt idx="134">
                  <c:v>109.04255319069709</c:v>
                </c:pt>
                <c:pt idx="135">
                  <c:v>107.18085106312242</c:v>
                </c:pt>
                <c:pt idx="136">
                  <c:v>108.37765957342114</c:v>
                </c:pt>
                <c:pt idx="137">
                  <c:v>108.90957446777385</c:v>
                </c:pt>
                <c:pt idx="138">
                  <c:v>105.58510638272408</c:v>
                </c:pt>
                <c:pt idx="139">
                  <c:v>108.51063829767428</c:v>
                </c:pt>
                <c:pt idx="140">
                  <c:v>107.04787234019916</c:v>
                </c:pt>
                <c:pt idx="141">
                  <c:v>105.18617021262448</c:v>
                </c:pt>
                <c:pt idx="142">
                  <c:v>103.85638297807262</c:v>
                </c:pt>
                <c:pt idx="143">
                  <c:v>104.52127659534855</c:v>
                </c:pt>
                <c:pt idx="144">
                  <c:v>105.05319148837135</c:v>
                </c:pt>
                <c:pt idx="145">
                  <c:v>105.31914893554773</c:v>
                </c:pt>
                <c:pt idx="146">
                  <c:v>105.58510638272408</c:v>
                </c:pt>
                <c:pt idx="147">
                  <c:v>105.7180851056473</c:v>
                </c:pt>
                <c:pt idx="148">
                  <c:v>104.65425531827178</c:v>
                </c:pt>
                <c:pt idx="149">
                  <c:v>107.57978723322199</c:v>
                </c:pt>
                <c:pt idx="150">
                  <c:v>105.58510638272408</c:v>
                </c:pt>
                <c:pt idx="151">
                  <c:v>108.11170212757469</c:v>
                </c:pt>
                <c:pt idx="152">
                  <c:v>106.64893617009959</c:v>
                </c:pt>
                <c:pt idx="153">
                  <c:v>105.85106382857053</c:v>
                </c:pt>
                <c:pt idx="154">
                  <c:v>107.71276595614522</c:v>
                </c:pt>
                <c:pt idx="155">
                  <c:v>105.85106382857053</c:v>
                </c:pt>
                <c:pt idx="156">
                  <c:v>106.64893617009959</c:v>
                </c:pt>
                <c:pt idx="157">
                  <c:v>106.64893617009959</c:v>
                </c:pt>
                <c:pt idx="158">
                  <c:v>106.38297872292324</c:v>
                </c:pt>
                <c:pt idx="159">
                  <c:v>106.11702127574688</c:v>
                </c:pt>
                <c:pt idx="160">
                  <c:v>105.18617021262448</c:v>
                </c:pt>
                <c:pt idx="161">
                  <c:v>104.65425531827178</c:v>
                </c:pt>
                <c:pt idx="162">
                  <c:v>107.18085106312242</c:v>
                </c:pt>
                <c:pt idx="163">
                  <c:v>104.52127659534855</c:v>
                </c:pt>
                <c:pt idx="164">
                  <c:v>104.25531914817219</c:v>
                </c:pt>
                <c:pt idx="165">
                  <c:v>107.44680851029877</c:v>
                </c:pt>
                <c:pt idx="166">
                  <c:v>108.51063829767428</c:v>
                </c:pt>
                <c:pt idx="167">
                  <c:v>109.04255319069709</c:v>
                </c:pt>
                <c:pt idx="168">
                  <c:v>108.11170212757469</c:v>
                </c:pt>
                <c:pt idx="169">
                  <c:v>108.6436170205975</c:v>
                </c:pt>
                <c:pt idx="170">
                  <c:v>107.97872340332157</c:v>
                </c:pt>
                <c:pt idx="171">
                  <c:v>109.5744680850498</c:v>
                </c:pt>
                <c:pt idx="172">
                  <c:v>110.77127659534855</c:v>
                </c:pt>
                <c:pt idx="173">
                  <c:v>109.97340425514938</c:v>
                </c:pt>
                <c:pt idx="174">
                  <c:v>111.30319148837137</c:v>
                </c:pt>
                <c:pt idx="175">
                  <c:v>110.23936170099583</c:v>
                </c:pt>
                <c:pt idx="176">
                  <c:v>109.97340425514938</c:v>
                </c:pt>
                <c:pt idx="177">
                  <c:v>111.30319148837137</c:v>
                </c:pt>
                <c:pt idx="178">
                  <c:v>109.44148936079668</c:v>
                </c:pt>
                <c:pt idx="179">
                  <c:v>108.90957446777385</c:v>
                </c:pt>
                <c:pt idx="180">
                  <c:v>112.23404255282365</c:v>
                </c:pt>
                <c:pt idx="181">
                  <c:v>110.50531914817219</c:v>
                </c:pt>
                <c:pt idx="182">
                  <c:v>111.96808510564729</c:v>
                </c:pt>
                <c:pt idx="183">
                  <c:v>112.76595744584647</c:v>
                </c:pt>
                <c:pt idx="184">
                  <c:v>111.30319148837137</c:v>
                </c:pt>
                <c:pt idx="185">
                  <c:v>113.69680851029875</c:v>
                </c:pt>
                <c:pt idx="186">
                  <c:v>115.42553191362032</c:v>
                </c:pt>
                <c:pt idx="187">
                  <c:v>112.10106382857052</c:v>
                </c:pt>
                <c:pt idx="188">
                  <c:v>115.29255319069709</c:v>
                </c:pt>
                <c:pt idx="189">
                  <c:v>117.55319148837135</c:v>
                </c:pt>
                <c:pt idx="190">
                  <c:v>116.22340425514939</c:v>
                </c:pt>
                <c:pt idx="191">
                  <c:v>115.95744680797301</c:v>
                </c:pt>
                <c:pt idx="192">
                  <c:v>116.62234042524896</c:v>
                </c:pt>
                <c:pt idx="193">
                  <c:v>117.28723404119501</c:v>
                </c:pt>
                <c:pt idx="194">
                  <c:v>116.22340425514939</c:v>
                </c:pt>
                <c:pt idx="195">
                  <c:v>118.88297872292324</c:v>
                </c:pt>
                <c:pt idx="196">
                  <c:v>120.61170212624479</c:v>
                </c:pt>
                <c:pt idx="197">
                  <c:v>119.94680851029877</c:v>
                </c:pt>
                <c:pt idx="198">
                  <c:v>122.07446808371989</c:v>
                </c:pt>
                <c:pt idx="199">
                  <c:v>122.87234042524896</c:v>
                </c:pt>
                <c:pt idx="200">
                  <c:v>122.73936170099583</c:v>
                </c:pt>
                <c:pt idx="201">
                  <c:v>122.47340425514938</c:v>
                </c:pt>
                <c:pt idx="202">
                  <c:v>124.60106382857055</c:v>
                </c:pt>
                <c:pt idx="203">
                  <c:v>125.79787234019918</c:v>
                </c:pt>
                <c:pt idx="204">
                  <c:v>126.46276595614522</c:v>
                </c:pt>
                <c:pt idx="205">
                  <c:v>126.99468085049793</c:v>
                </c:pt>
                <c:pt idx="206">
                  <c:v>127.65957446777387</c:v>
                </c:pt>
                <c:pt idx="207">
                  <c:v>126.46276595614522</c:v>
                </c:pt>
                <c:pt idx="208">
                  <c:v>128.7234042538195</c:v>
                </c:pt>
                <c:pt idx="209">
                  <c:v>128.59042553089625</c:v>
                </c:pt>
                <c:pt idx="210">
                  <c:v>129.52127659534855</c:v>
                </c:pt>
                <c:pt idx="211">
                  <c:v>129.92021276544813</c:v>
                </c:pt>
                <c:pt idx="212">
                  <c:v>131.24999999867012</c:v>
                </c:pt>
                <c:pt idx="213">
                  <c:v>131.38297872292324</c:v>
                </c:pt>
                <c:pt idx="214">
                  <c:v>131.11702127574688</c:v>
                </c:pt>
                <c:pt idx="215">
                  <c:v>132.44680851029875</c:v>
                </c:pt>
                <c:pt idx="216">
                  <c:v>134.44148936079668</c:v>
                </c:pt>
                <c:pt idx="217">
                  <c:v>134.04255319069711</c:v>
                </c:pt>
                <c:pt idx="218">
                  <c:v>133.11170212624478</c:v>
                </c:pt>
                <c:pt idx="219">
                  <c:v>133.37765957342114</c:v>
                </c:pt>
                <c:pt idx="220">
                  <c:v>130.7180851056473</c:v>
                </c:pt>
                <c:pt idx="221">
                  <c:v>132.18085106312242</c:v>
                </c:pt>
                <c:pt idx="222">
                  <c:v>129.92021276544813</c:v>
                </c:pt>
                <c:pt idx="223">
                  <c:v>132.57978723322199</c:v>
                </c:pt>
                <c:pt idx="224">
                  <c:v>129.52127659534855</c:v>
                </c:pt>
                <c:pt idx="225">
                  <c:v>126.72872340332157</c:v>
                </c:pt>
                <c:pt idx="226">
                  <c:v>121.1436170205975</c:v>
                </c:pt>
                <c:pt idx="227">
                  <c:v>116.62234042524896</c:v>
                </c:pt>
                <c:pt idx="228">
                  <c:v>107.31382978604563</c:v>
                </c:pt>
                <c:pt idx="229">
                  <c:v>103.98936170099584</c:v>
                </c:pt>
                <c:pt idx="230">
                  <c:v>104.38829787109542</c:v>
                </c:pt>
                <c:pt idx="231">
                  <c:v>101.32978723322198</c:v>
                </c:pt>
                <c:pt idx="232">
                  <c:v>105.98404255282365</c:v>
                </c:pt>
                <c:pt idx="233">
                  <c:v>106.78191489302282</c:v>
                </c:pt>
                <c:pt idx="234">
                  <c:v>105.7180851056473</c:v>
                </c:pt>
                <c:pt idx="235">
                  <c:v>107.04787234019916</c:v>
                </c:pt>
                <c:pt idx="236">
                  <c:v>111.83510638272406</c:v>
                </c:pt>
                <c:pt idx="237">
                  <c:v>109.44148936079668</c:v>
                </c:pt>
                <c:pt idx="238">
                  <c:v>110.77127659534855</c:v>
                </c:pt>
                <c:pt idx="239">
                  <c:v>110.77127659534855</c:v>
                </c:pt>
                <c:pt idx="240">
                  <c:v>111.83510638272406</c:v>
                </c:pt>
                <c:pt idx="241">
                  <c:v>110.77127659534855</c:v>
                </c:pt>
                <c:pt idx="242">
                  <c:v>114.49468085049793</c:v>
                </c:pt>
                <c:pt idx="243">
                  <c:v>116.62234042524896</c:v>
                </c:pt>
                <c:pt idx="244">
                  <c:v>120.21276595614522</c:v>
                </c:pt>
                <c:pt idx="245">
                  <c:v>119.81382978604563</c:v>
                </c:pt>
                <c:pt idx="246">
                  <c:v>119.01595744584645</c:v>
                </c:pt>
                <c:pt idx="247">
                  <c:v>121.01063829767428</c:v>
                </c:pt>
                <c:pt idx="248">
                  <c:v>122.87234042524896</c:v>
                </c:pt>
                <c:pt idx="249">
                  <c:v>125.53191489302282</c:v>
                </c:pt>
                <c:pt idx="250">
                  <c:v>124.86702127574689</c:v>
                </c:pt>
                <c:pt idx="251">
                  <c:v>126.86170212624481</c:v>
                </c:pt>
                <c:pt idx="252">
                  <c:v>126.59574468039833</c:v>
                </c:pt>
                <c:pt idx="253">
                  <c:v>128.05851063787344</c:v>
                </c:pt>
                <c:pt idx="254">
                  <c:v>128.85638297807262</c:v>
                </c:pt>
                <c:pt idx="255">
                  <c:v>129.65425531827177</c:v>
                </c:pt>
                <c:pt idx="256">
                  <c:v>131.24999999867012</c:v>
                </c:pt>
                <c:pt idx="257">
                  <c:v>129.12234042524898</c:v>
                </c:pt>
                <c:pt idx="258">
                  <c:v>133.11170212624478</c:v>
                </c:pt>
                <c:pt idx="259">
                  <c:v>132.04787234019918</c:v>
                </c:pt>
                <c:pt idx="260">
                  <c:v>130.05319148837137</c:v>
                </c:pt>
                <c:pt idx="261">
                  <c:v>131.51595744584645</c:v>
                </c:pt>
                <c:pt idx="262">
                  <c:v>130.58510638272406</c:v>
                </c:pt>
                <c:pt idx="263">
                  <c:v>128.7234042538195</c:v>
                </c:pt>
                <c:pt idx="264">
                  <c:v>129.38829787109543</c:v>
                </c:pt>
                <c:pt idx="265">
                  <c:v>129.25531914817219</c:v>
                </c:pt>
                <c:pt idx="266">
                  <c:v>130.85106382857055</c:v>
                </c:pt>
                <c:pt idx="267">
                  <c:v>128.45744680797304</c:v>
                </c:pt>
                <c:pt idx="268">
                  <c:v>130.98404255282367</c:v>
                </c:pt>
                <c:pt idx="269">
                  <c:v>129.38829787109543</c:v>
                </c:pt>
                <c:pt idx="270">
                  <c:v>130.85106382857055</c:v>
                </c:pt>
                <c:pt idx="271">
                  <c:v>130.85106382857055</c:v>
                </c:pt>
                <c:pt idx="272">
                  <c:v>129.12234042524898</c:v>
                </c:pt>
                <c:pt idx="273">
                  <c:v>127.3936170205975</c:v>
                </c:pt>
                <c:pt idx="274">
                  <c:v>126.46276595614522</c:v>
                </c:pt>
                <c:pt idx="275">
                  <c:v>127.52659574352073</c:v>
                </c:pt>
                <c:pt idx="276">
                  <c:v>125.9308510631224</c:v>
                </c:pt>
                <c:pt idx="277">
                  <c:v>126.99468085049793</c:v>
                </c:pt>
                <c:pt idx="278">
                  <c:v>128.7234042538195</c:v>
                </c:pt>
                <c:pt idx="279">
                  <c:v>129.12234042524898</c:v>
                </c:pt>
                <c:pt idx="280">
                  <c:v>128.32446808371992</c:v>
                </c:pt>
                <c:pt idx="281">
                  <c:v>130.58510638272406</c:v>
                </c:pt>
                <c:pt idx="282">
                  <c:v>128.32446808371992</c:v>
                </c:pt>
                <c:pt idx="283">
                  <c:v>131.24999999867012</c:v>
                </c:pt>
                <c:pt idx="284">
                  <c:v>130.58510638272406</c:v>
                </c:pt>
                <c:pt idx="285">
                  <c:v>129.65425531827177</c:v>
                </c:pt>
                <c:pt idx="286">
                  <c:v>132.57978723322199</c:v>
                </c:pt>
                <c:pt idx="287">
                  <c:v>132.7127659561452</c:v>
                </c:pt>
                <c:pt idx="288">
                  <c:v>132.04787234019918</c:v>
                </c:pt>
                <c:pt idx="289">
                  <c:v>132.18085106312242</c:v>
                </c:pt>
                <c:pt idx="290">
                  <c:v>132.7127659561452</c:v>
                </c:pt>
                <c:pt idx="291">
                  <c:v>132.18085106312242</c:v>
                </c:pt>
                <c:pt idx="292">
                  <c:v>131.24999999867012</c:v>
                </c:pt>
                <c:pt idx="293">
                  <c:v>131.38297872292324</c:v>
                </c:pt>
                <c:pt idx="294">
                  <c:v>134.17553191362032</c:v>
                </c:pt>
                <c:pt idx="295">
                  <c:v>128.59042553089625</c:v>
                </c:pt>
                <c:pt idx="296">
                  <c:v>131.78191489302282</c:v>
                </c:pt>
                <c:pt idx="297">
                  <c:v>132.04787234019918</c:v>
                </c:pt>
                <c:pt idx="298">
                  <c:v>132.18085106312242</c:v>
                </c:pt>
                <c:pt idx="299">
                  <c:v>134.44148936079668</c:v>
                </c:pt>
                <c:pt idx="300">
                  <c:v>131.38297872292324</c:v>
                </c:pt>
                <c:pt idx="301">
                  <c:v>132.18085106312242</c:v>
                </c:pt>
                <c:pt idx="302">
                  <c:v>132.18085106312242</c:v>
                </c:pt>
                <c:pt idx="303">
                  <c:v>132.97872340332157</c:v>
                </c:pt>
                <c:pt idx="304">
                  <c:v>133.11170212624478</c:v>
                </c:pt>
                <c:pt idx="305">
                  <c:v>133.11170212624478</c:v>
                </c:pt>
                <c:pt idx="306">
                  <c:v>134.97340425381947</c:v>
                </c:pt>
                <c:pt idx="307">
                  <c:v>131.38297872292324</c:v>
                </c:pt>
                <c:pt idx="308">
                  <c:v>131.91489361594606</c:v>
                </c:pt>
                <c:pt idx="309">
                  <c:v>133.24468085049793</c:v>
                </c:pt>
                <c:pt idx="310">
                  <c:v>131.91489361594606</c:v>
                </c:pt>
                <c:pt idx="311">
                  <c:v>132.97872340332157</c:v>
                </c:pt>
                <c:pt idx="312">
                  <c:v>135.50531914817219</c:v>
                </c:pt>
                <c:pt idx="313">
                  <c:v>135.37234042524895</c:v>
                </c:pt>
                <c:pt idx="314">
                  <c:v>133.6436170205975</c:v>
                </c:pt>
                <c:pt idx="315">
                  <c:v>134.70744680797304</c:v>
                </c:pt>
                <c:pt idx="316">
                  <c:v>132.18085106312242</c:v>
                </c:pt>
                <c:pt idx="317">
                  <c:v>135.23936170099583</c:v>
                </c:pt>
                <c:pt idx="318">
                  <c:v>132.97872340332157</c:v>
                </c:pt>
                <c:pt idx="319">
                  <c:v>135.23936170099583</c:v>
                </c:pt>
                <c:pt idx="320">
                  <c:v>134.97340425381947</c:v>
                </c:pt>
                <c:pt idx="321">
                  <c:v>135.77127659534855</c:v>
                </c:pt>
                <c:pt idx="322">
                  <c:v>135.37234042524895</c:v>
                </c:pt>
                <c:pt idx="323">
                  <c:v>132.97872340332157</c:v>
                </c:pt>
                <c:pt idx="324">
                  <c:v>135.10638297807262</c:v>
                </c:pt>
                <c:pt idx="325">
                  <c:v>136.83510638272406</c:v>
                </c:pt>
                <c:pt idx="326">
                  <c:v>136.17021276544813</c:v>
                </c:pt>
                <c:pt idx="327">
                  <c:v>137.76595744584648</c:v>
                </c:pt>
                <c:pt idx="328">
                  <c:v>138.43085106312242</c:v>
                </c:pt>
                <c:pt idx="329">
                  <c:v>138.56382978604563</c:v>
                </c:pt>
                <c:pt idx="330">
                  <c:v>139.22872340332157</c:v>
                </c:pt>
                <c:pt idx="331">
                  <c:v>142.28723404119501</c:v>
                </c:pt>
                <c:pt idx="332">
                  <c:v>140.95744680797304</c:v>
                </c:pt>
                <c:pt idx="333">
                  <c:v>138.69680851029875</c:v>
                </c:pt>
                <c:pt idx="334">
                  <c:v>144.01595744584645</c:v>
                </c:pt>
                <c:pt idx="335">
                  <c:v>143.35106382857055</c:v>
                </c:pt>
                <c:pt idx="336">
                  <c:v>142.42021276544813</c:v>
                </c:pt>
                <c:pt idx="337">
                  <c:v>140.29255319069711</c:v>
                </c:pt>
                <c:pt idx="338">
                  <c:v>141.8882978710954</c:v>
                </c:pt>
                <c:pt idx="339">
                  <c:v>141.09042553089625</c:v>
                </c:pt>
                <c:pt idx="340">
                  <c:v>143.61702127574688</c:v>
                </c:pt>
                <c:pt idx="341">
                  <c:v>143.48404255282367</c:v>
                </c:pt>
                <c:pt idx="342">
                  <c:v>140.42553191362032</c:v>
                </c:pt>
                <c:pt idx="343">
                  <c:v>140.82446808371992</c:v>
                </c:pt>
                <c:pt idx="344">
                  <c:v>140.42553191362032</c:v>
                </c:pt>
                <c:pt idx="345">
                  <c:v>140.15957446777387</c:v>
                </c:pt>
                <c:pt idx="346">
                  <c:v>137.63297872292324</c:v>
                </c:pt>
                <c:pt idx="347">
                  <c:v>139.22872340332157</c:v>
                </c:pt>
                <c:pt idx="348">
                  <c:v>137.63297872292324</c:v>
                </c:pt>
                <c:pt idx="349">
                  <c:v>138.16489361594606</c:v>
                </c:pt>
                <c:pt idx="350">
                  <c:v>139.22872340332157</c:v>
                </c:pt>
                <c:pt idx="351">
                  <c:v>135.50531914817219</c:v>
                </c:pt>
                <c:pt idx="352">
                  <c:v>136.83510638272406</c:v>
                </c:pt>
                <c:pt idx="353">
                  <c:v>135.50531914817219</c:v>
                </c:pt>
                <c:pt idx="354">
                  <c:v>134.84042553089625</c:v>
                </c:pt>
                <c:pt idx="355">
                  <c:v>135.23936170099583</c:v>
                </c:pt>
                <c:pt idx="356">
                  <c:v>133.77659574352074</c:v>
                </c:pt>
                <c:pt idx="357">
                  <c:v>132.18085106312242</c:v>
                </c:pt>
                <c:pt idx="358">
                  <c:v>132.84574468039835</c:v>
                </c:pt>
                <c:pt idx="359">
                  <c:v>130.58510638272406</c:v>
                </c:pt>
                <c:pt idx="360">
                  <c:v>133.77659574352074</c:v>
                </c:pt>
                <c:pt idx="361">
                  <c:v>135.77127659534855</c:v>
                </c:pt>
                <c:pt idx="362">
                  <c:v>121.01063829767428</c:v>
                </c:pt>
                <c:pt idx="363">
                  <c:v>94.281914893022815</c:v>
                </c:pt>
                <c:pt idx="364">
                  <c:v>105.31914893554773</c:v>
                </c:pt>
                <c:pt idx="365">
                  <c:v>117.42021276544813</c:v>
                </c:pt>
                <c:pt idx="366">
                  <c:v>119.68085106312242</c:v>
                </c:pt>
                <c:pt idx="367">
                  <c:v>119.28191489302282</c:v>
                </c:pt>
                <c:pt idx="368">
                  <c:v>122.20744680797303</c:v>
                </c:pt>
                <c:pt idx="369">
                  <c:v>126.46276595614522</c:v>
                </c:pt>
                <c:pt idx="370">
                  <c:v>128.05851063787344</c:v>
                </c:pt>
                <c:pt idx="371">
                  <c:v>129.92021276544813</c:v>
                </c:pt>
                <c:pt idx="372">
                  <c:v>129.65425531827177</c:v>
                </c:pt>
                <c:pt idx="373">
                  <c:v>126.99468085049793</c:v>
                </c:pt>
                <c:pt idx="374">
                  <c:v>128.05851063787344</c:v>
                </c:pt>
                <c:pt idx="375">
                  <c:v>127.65957446777387</c:v>
                </c:pt>
                <c:pt idx="376">
                  <c:v>126.59574468039833</c:v>
                </c:pt>
                <c:pt idx="377">
                  <c:v>126.06382978604563</c:v>
                </c:pt>
                <c:pt idx="378">
                  <c:v>127.92553191362032</c:v>
                </c:pt>
                <c:pt idx="379">
                  <c:v>122.47340425514938</c:v>
                </c:pt>
                <c:pt idx="380">
                  <c:v>120.87765957342114</c:v>
                </c:pt>
                <c:pt idx="381">
                  <c:v>124.73404255282364</c:v>
                </c:pt>
                <c:pt idx="382">
                  <c:v>124.86702127574689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B-AA43-872A-465F5A1C86CE}"/>
            </c:ext>
          </c:extLst>
        </c:ser>
        <c:ser>
          <c:idx val="8"/>
          <c:order val="1"/>
          <c:tx>
            <c:strRef>
              <c:f>'IP World'!$L$1</c:f>
              <c:strCache>
                <c:ptCount val="1"/>
                <c:pt idx="0">
                  <c:v>Eurozone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'IP World'!$A$2:$A$385</c:f>
              <c:numCache>
                <c:formatCode>mmm\-yy</c:formatCode>
                <c:ptCount val="384"/>
                <c:pt idx="0">
                  <c:v>32874</c:v>
                </c:pt>
                <c:pt idx="1">
                  <c:v>32905</c:v>
                </c:pt>
                <c:pt idx="2">
                  <c:v>32933</c:v>
                </c:pt>
                <c:pt idx="3">
                  <c:v>32964</c:v>
                </c:pt>
                <c:pt idx="4">
                  <c:v>32994</c:v>
                </c:pt>
                <c:pt idx="5">
                  <c:v>33025</c:v>
                </c:pt>
                <c:pt idx="6">
                  <c:v>33055</c:v>
                </c:pt>
                <c:pt idx="7">
                  <c:v>33086</c:v>
                </c:pt>
                <c:pt idx="8">
                  <c:v>33117</c:v>
                </c:pt>
                <c:pt idx="9">
                  <c:v>33147</c:v>
                </c:pt>
                <c:pt idx="10">
                  <c:v>33178</c:v>
                </c:pt>
                <c:pt idx="11">
                  <c:v>33208</c:v>
                </c:pt>
                <c:pt idx="12">
                  <c:v>33239</c:v>
                </c:pt>
                <c:pt idx="13">
                  <c:v>33270</c:v>
                </c:pt>
                <c:pt idx="14">
                  <c:v>33298</c:v>
                </c:pt>
                <c:pt idx="15">
                  <c:v>33329</c:v>
                </c:pt>
                <c:pt idx="16">
                  <c:v>33359</c:v>
                </c:pt>
                <c:pt idx="17">
                  <c:v>33390</c:v>
                </c:pt>
                <c:pt idx="18">
                  <c:v>33420</c:v>
                </c:pt>
                <c:pt idx="19">
                  <c:v>33451</c:v>
                </c:pt>
                <c:pt idx="20">
                  <c:v>33482</c:v>
                </c:pt>
                <c:pt idx="21">
                  <c:v>33512</c:v>
                </c:pt>
                <c:pt idx="22">
                  <c:v>33543</c:v>
                </c:pt>
                <c:pt idx="23">
                  <c:v>33573</c:v>
                </c:pt>
                <c:pt idx="24">
                  <c:v>33604</c:v>
                </c:pt>
                <c:pt idx="25">
                  <c:v>33635</c:v>
                </c:pt>
                <c:pt idx="26">
                  <c:v>33664</c:v>
                </c:pt>
                <c:pt idx="27">
                  <c:v>33695</c:v>
                </c:pt>
                <c:pt idx="28">
                  <c:v>33725</c:v>
                </c:pt>
                <c:pt idx="29">
                  <c:v>33756</c:v>
                </c:pt>
                <c:pt idx="30">
                  <c:v>33786</c:v>
                </c:pt>
                <c:pt idx="31">
                  <c:v>33817</c:v>
                </c:pt>
                <c:pt idx="32">
                  <c:v>33848</c:v>
                </c:pt>
                <c:pt idx="33">
                  <c:v>33878</c:v>
                </c:pt>
                <c:pt idx="34">
                  <c:v>33909</c:v>
                </c:pt>
                <c:pt idx="35">
                  <c:v>33939</c:v>
                </c:pt>
                <c:pt idx="36">
                  <c:v>33970</c:v>
                </c:pt>
                <c:pt idx="37">
                  <c:v>34001</c:v>
                </c:pt>
                <c:pt idx="38">
                  <c:v>34029</c:v>
                </c:pt>
                <c:pt idx="39">
                  <c:v>34060</c:v>
                </c:pt>
                <c:pt idx="40">
                  <c:v>34090</c:v>
                </c:pt>
                <c:pt idx="41">
                  <c:v>34121</c:v>
                </c:pt>
                <c:pt idx="42">
                  <c:v>34151</c:v>
                </c:pt>
                <c:pt idx="43">
                  <c:v>34182</c:v>
                </c:pt>
                <c:pt idx="44">
                  <c:v>34213</c:v>
                </c:pt>
                <c:pt idx="45">
                  <c:v>34243</c:v>
                </c:pt>
                <c:pt idx="46">
                  <c:v>34274</c:v>
                </c:pt>
                <c:pt idx="47">
                  <c:v>34304</c:v>
                </c:pt>
                <c:pt idx="48">
                  <c:v>34335</c:v>
                </c:pt>
                <c:pt idx="49">
                  <c:v>34366</c:v>
                </c:pt>
                <c:pt idx="50">
                  <c:v>34394</c:v>
                </c:pt>
                <c:pt idx="51">
                  <c:v>34425</c:v>
                </c:pt>
                <c:pt idx="52">
                  <c:v>34455</c:v>
                </c:pt>
                <c:pt idx="53">
                  <c:v>34486</c:v>
                </c:pt>
                <c:pt idx="54">
                  <c:v>34516</c:v>
                </c:pt>
                <c:pt idx="55">
                  <c:v>34547</c:v>
                </c:pt>
                <c:pt idx="56">
                  <c:v>34578</c:v>
                </c:pt>
                <c:pt idx="57">
                  <c:v>34608</c:v>
                </c:pt>
                <c:pt idx="58">
                  <c:v>34639</c:v>
                </c:pt>
                <c:pt idx="59">
                  <c:v>34669</c:v>
                </c:pt>
                <c:pt idx="60">
                  <c:v>34700</c:v>
                </c:pt>
                <c:pt idx="61">
                  <c:v>34731</c:v>
                </c:pt>
                <c:pt idx="62">
                  <c:v>34759</c:v>
                </c:pt>
                <c:pt idx="63">
                  <c:v>34790</c:v>
                </c:pt>
                <c:pt idx="64">
                  <c:v>34820</c:v>
                </c:pt>
                <c:pt idx="65">
                  <c:v>34851</c:v>
                </c:pt>
                <c:pt idx="66">
                  <c:v>34881</c:v>
                </c:pt>
                <c:pt idx="67">
                  <c:v>34912</c:v>
                </c:pt>
                <c:pt idx="68">
                  <c:v>34943</c:v>
                </c:pt>
                <c:pt idx="69">
                  <c:v>34973</c:v>
                </c:pt>
                <c:pt idx="70">
                  <c:v>35004</c:v>
                </c:pt>
                <c:pt idx="71">
                  <c:v>35034</c:v>
                </c:pt>
                <c:pt idx="72">
                  <c:v>35065</c:v>
                </c:pt>
                <c:pt idx="73">
                  <c:v>35096</c:v>
                </c:pt>
                <c:pt idx="74">
                  <c:v>35125</c:v>
                </c:pt>
                <c:pt idx="75">
                  <c:v>35156</c:v>
                </c:pt>
                <c:pt idx="76">
                  <c:v>35186</c:v>
                </c:pt>
                <c:pt idx="77">
                  <c:v>35217</c:v>
                </c:pt>
                <c:pt idx="78">
                  <c:v>35247</c:v>
                </c:pt>
                <c:pt idx="79">
                  <c:v>35278</c:v>
                </c:pt>
                <c:pt idx="80">
                  <c:v>35309</c:v>
                </c:pt>
                <c:pt idx="81">
                  <c:v>35339</c:v>
                </c:pt>
                <c:pt idx="82">
                  <c:v>35370</c:v>
                </c:pt>
                <c:pt idx="83">
                  <c:v>35400</c:v>
                </c:pt>
                <c:pt idx="84">
                  <c:v>35431</c:v>
                </c:pt>
                <c:pt idx="85">
                  <c:v>35462</c:v>
                </c:pt>
                <c:pt idx="86">
                  <c:v>35490</c:v>
                </c:pt>
                <c:pt idx="87">
                  <c:v>35521</c:v>
                </c:pt>
                <c:pt idx="88">
                  <c:v>35551</c:v>
                </c:pt>
                <c:pt idx="89">
                  <c:v>35582</c:v>
                </c:pt>
                <c:pt idx="90">
                  <c:v>35612</c:v>
                </c:pt>
                <c:pt idx="91">
                  <c:v>35643</c:v>
                </c:pt>
                <c:pt idx="92">
                  <c:v>35674</c:v>
                </c:pt>
                <c:pt idx="93">
                  <c:v>35704</c:v>
                </c:pt>
                <c:pt idx="94">
                  <c:v>35735</c:v>
                </c:pt>
                <c:pt idx="95">
                  <c:v>35765</c:v>
                </c:pt>
                <c:pt idx="96">
                  <c:v>35796</c:v>
                </c:pt>
                <c:pt idx="97">
                  <c:v>35827</c:v>
                </c:pt>
                <c:pt idx="98">
                  <c:v>35855</c:v>
                </c:pt>
                <c:pt idx="99">
                  <c:v>35886</c:v>
                </c:pt>
                <c:pt idx="100">
                  <c:v>35916</c:v>
                </c:pt>
                <c:pt idx="101">
                  <c:v>35947</c:v>
                </c:pt>
                <c:pt idx="102">
                  <c:v>35977</c:v>
                </c:pt>
                <c:pt idx="103">
                  <c:v>36008</c:v>
                </c:pt>
                <c:pt idx="104">
                  <c:v>36039</c:v>
                </c:pt>
                <c:pt idx="105">
                  <c:v>36069</c:v>
                </c:pt>
                <c:pt idx="106">
                  <c:v>36100</c:v>
                </c:pt>
                <c:pt idx="107">
                  <c:v>36130</c:v>
                </c:pt>
                <c:pt idx="108">
                  <c:v>36161</c:v>
                </c:pt>
                <c:pt idx="109">
                  <c:v>36192</c:v>
                </c:pt>
                <c:pt idx="110">
                  <c:v>36220</c:v>
                </c:pt>
                <c:pt idx="111">
                  <c:v>36251</c:v>
                </c:pt>
                <c:pt idx="112">
                  <c:v>36281</c:v>
                </c:pt>
                <c:pt idx="113">
                  <c:v>36312</c:v>
                </c:pt>
                <c:pt idx="114">
                  <c:v>36342</c:v>
                </c:pt>
                <c:pt idx="115">
                  <c:v>36373</c:v>
                </c:pt>
                <c:pt idx="116">
                  <c:v>36404</c:v>
                </c:pt>
                <c:pt idx="117">
                  <c:v>36434</c:v>
                </c:pt>
                <c:pt idx="118">
                  <c:v>36465</c:v>
                </c:pt>
                <c:pt idx="119">
                  <c:v>36495</c:v>
                </c:pt>
                <c:pt idx="120">
                  <c:v>36526</c:v>
                </c:pt>
                <c:pt idx="121">
                  <c:v>36557</c:v>
                </c:pt>
                <c:pt idx="122">
                  <c:v>36586</c:v>
                </c:pt>
                <c:pt idx="123">
                  <c:v>36617</c:v>
                </c:pt>
                <c:pt idx="124">
                  <c:v>36647</c:v>
                </c:pt>
                <c:pt idx="125">
                  <c:v>36678</c:v>
                </c:pt>
                <c:pt idx="126">
                  <c:v>36708</c:v>
                </c:pt>
                <c:pt idx="127">
                  <c:v>36739</c:v>
                </c:pt>
                <c:pt idx="128">
                  <c:v>36770</c:v>
                </c:pt>
                <c:pt idx="129">
                  <c:v>36800</c:v>
                </c:pt>
                <c:pt idx="130">
                  <c:v>36831</c:v>
                </c:pt>
                <c:pt idx="131">
                  <c:v>36861</c:v>
                </c:pt>
                <c:pt idx="132">
                  <c:v>36892</c:v>
                </c:pt>
                <c:pt idx="133">
                  <c:v>36923</c:v>
                </c:pt>
                <c:pt idx="134">
                  <c:v>36951</c:v>
                </c:pt>
                <c:pt idx="135">
                  <c:v>36982</c:v>
                </c:pt>
                <c:pt idx="136">
                  <c:v>37012</c:v>
                </c:pt>
                <c:pt idx="137">
                  <c:v>37043</c:v>
                </c:pt>
                <c:pt idx="138">
                  <c:v>37073</c:v>
                </c:pt>
                <c:pt idx="139">
                  <c:v>37104</c:v>
                </c:pt>
                <c:pt idx="140">
                  <c:v>37135</c:v>
                </c:pt>
                <c:pt idx="141">
                  <c:v>37165</c:v>
                </c:pt>
                <c:pt idx="142">
                  <c:v>37196</c:v>
                </c:pt>
                <c:pt idx="143">
                  <c:v>37226</c:v>
                </c:pt>
                <c:pt idx="144">
                  <c:v>37257</c:v>
                </c:pt>
                <c:pt idx="145">
                  <c:v>37288</c:v>
                </c:pt>
                <c:pt idx="146">
                  <c:v>37316</c:v>
                </c:pt>
                <c:pt idx="147">
                  <c:v>37347</c:v>
                </c:pt>
                <c:pt idx="148">
                  <c:v>37377</c:v>
                </c:pt>
                <c:pt idx="149">
                  <c:v>37408</c:v>
                </c:pt>
                <c:pt idx="150">
                  <c:v>37438</c:v>
                </c:pt>
                <c:pt idx="151">
                  <c:v>37469</c:v>
                </c:pt>
                <c:pt idx="152">
                  <c:v>37500</c:v>
                </c:pt>
                <c:pt idx="153">
                  <c:v>37530</c:v>
                </c:pt>
                <c:pt idx="154">
                  <c:v>37561</c:v>
                </c:pt>
                <c:pt idx="155">
                  <c:v>37591</c:v>
                </c:pt>
                <c:pt idx="156">
                  <c:v>37622</c:v>
                </c:pt>
                <c:pt idx="157">
                  <c:v>37653</c:v>
                </c:pt>
                <c:pt idx="158">
                  <c:v>37681</c:v>
                </c:pt>
                <c:pt idx="159">
                  <c:v>37712</c:v>
                </c:pt>
                <c:pt idx="160">
                  <c:v>37742</c:v>
                </c:pt>
                <c:pt idx="161">
                  <c:v>37773</c:v>
                </c:pt>
                <c:pt idx="162">
                  <c:v>37803</c:v>
                </c:pt>
                <c:pt idx="163">
                  <c:v>37834</c:v>
                </c:pt>
                <c:pt idx="164">
                  <c:v>37865</c:v>
                </c:pt>
                <c:pt idx="165">
                  <c:v>37895</c:v>
                </c:pt>
                <c:pt idx="166">
                  <c:v>37926</c:v>
                </c:pt>
                <c:pt idx="167">
                  <c:v>37956</c:v>
                </c:pt>
                <c:pt idx="168">
                  <c:v>37987</c:v>
                </c:pt>
                <c:pt idx="169">
                  <c:v>38018</c:v>
                </c:pt>
                <c:pt idx="170">
                  <c:v>38047</c:v>
                </c:pt>
                <c:pt idx="171">
                  <c:v>38078</c:v>
                </c:pt>
                <c:pt idx="172">
                  <c:v>38108</c:v>
                </c:pt>
                <c:pt idx="173">
                  <c:v>38139</c:v>
                </c:pt>
                <c:pt idx="174">
                  <c:v>38169</c:v>
                </c:pt>
                <c:pt idx="175">
                  <c:v>38200</c:v>
                </c:pt>
                <c:pt idx="176">
                  <c:v>38231</c:v>
                </c:pt>
                <c:pt idx="177">
                  <c:v>38261</c:v>
                </c:pt>
                <c:pt idx="178">
                  <c:v>38292</c:v>
                </c:pt>
                <c:pt idx="179">
                  <c:v>38322</c:v>
                </c:pt>
                <c:pt idx="180">
                  <c:v>38353</c:v>
                </c:pt>
                <c:pt idx="181">
                  <c:v>38384</c:v>
                </c:pt>
                <c:pt idx="182">
                  <c:v>38412</c:v>
                </c:pt>
                <c:pt idx="183">
                  <c:v>38443</c:v>
                </c:pt>
                <c:pt idx="184">
                  <c:v>38473</c:v>
                </c:pt>
                <c:pt idx="185">
                  <c:v>38504</c:v>
                </c:pt>
                <c:pt idx="186">
                  <c:v>38534</c:v>
                </c:pt>
                <c:pt idx="187">
                  <c:v>38565</c:v>
                </c:pt>
                <c:pt idx="188">
                  <c:v>38596</c:v>
                </c:pt>
                <c:pt idx="189">
                  <c:v>38626</c:v>
                </c:pt>
                <c:pt idx="190">
                  <c:v>38657</c:v>
                </c:pt>
                <c:pt idx="191">
                  <c:v>38687</c:v>
                </c:pt>
                <c:pt idx="192">
                  <c:v>38718</c:v>
                </c:pt>
                <c:pt idx="193">
                  <c:v>38749</c:v>
                </c:pt>
                <c:pt idx="194">
                  <c:v>38777</c:v>
                </c:pt>
                <c:pt idx="195">
                  <c:v>38808</c:v>
                </c:pt>
                <c:pt idx="196">
                  <c:v>38838</c:v>
                </c:pt>
                <c:pt idx="197">
                  <c:v>38869</c:v>
                </c:pt>
                <c:pt idx="198">
                  <c:v>38899</c:v>
                </c:pt>
                <c:pt idx="199">
                  <c:v>38930</c:v>
                </c:pt>
                <c:pt idx="200">
                  <c:v>38961</c:v>
                </c:pt>
                <c:pt idx="201">
                  <c:v>38991</c:v>
                </c:pt>
                <c:pt idx="202">
                  <c:v>39022</c:v>
                </c:pt>
                <c:pt idx="203">
                  <c:v>39052</c:v>
                </c:pt>
                <c:pt idx="204">
                  <c:v>39083</c:v>
                </c:pt>
                <c:pt idx="205">
                  <c:v>39114</c:v>
                </c:pt>
                <c:pt idx="206">
                  <c:v>39142</c:v>
                </c:pt>
                <c:pt idx="207">
                  <c:v>39173</c:v>
                </c:pt>
                <c:pt idx="208">
                  <c:v>39203</c:v>
                </c:pt>
                <c:pt idx="209">
                  <c:v>39234</c:v>
                </c:pt>
                <c:pt idx="210">
                  <c:v>39264</c:v>
                </c:pt>
                <c:pt idx="211">
                  <c:v>39295</c:v>
                </c:pt>
                <c:pt idx="212">
                  <c:v>39326</c:v>
                </c:pt>
                <c:pt idx="213">
                  <c:v>39356</c:v>
                </c:pt>
                <c:pt idx="214">
                  <c:v>39387</c:v>
                </c:pt>
                <c:pt idx="215">
                  <c:v>39417</c:v>
                </c:pt>
                <c:pt idx="216">
                  <c:v>39448</c:v>
                </c:pt>
                <c:pt idx="217">
                  <c:v>39479</c:v>
                </c:pt>
                <c:pt idx="218">
                  <c:v>39508</c:v>
                </c:pt>
                <c:pt idx="219">
                  <c:v>39539</c:v>
                </c:pt>
                <c:pt idx="220">
                  <c:v>39569</c:v>
                </c:pt>
                <c:pt idx="221">
                  <c:v>39600</c:v>
                </c:pt>
                <c:pt idx="222">
                  <c:v>39630</c:v>
                </c:pt>
                <c:pt idx="223">
                  <c:v>39661</c:v>
                </c:pt>
                <c:pt idx="224">
                  <c:v>39692</c:v>
                </c:pt>
                <c:pt idx="225">
                  <c:v>39722</c:v>
                </c:pt>
                <c:pt idx="226">
                  <c:v>39753</c:v>
                </c:pt>
                <c:pt idx="227">
                  <c:v>39783</c:v>
                </c:pt>
                <c:pt idx="228">
                  <c:v>39814</c:v>
                </c:pt>
                <c:pt idx="229">
                  <c:v>39845</c:v>
                </c:pt>
                <c:pt idx="230">
                  <c:v>39873</c:v>
                </c:pt>
                <c:pt idx="231">
                  <c:v>39904</c:v>
                </c:pt>
                <c:pt idx="232">
                  <c:v>39934</c:v>
                </c:pt>
                <c:pt idx="233">
                  <c:v>39965</c:v>
                </c:pt>
                <c:pt idx="234">
                  <c:v>39995</c:v>
                </c:pt>
                <c:pt idx="235">
                  <c:v>40026</c:v>
                </c:pt>
                <c:pt idx="236">
                  <c:v>40057</c:v>
                </c:pt>
                <c:pt idx="237">
                  <c:v>40087</c:v>
                </c:pt>
                <c:pt idx="238">
                  <c:v>40118</c:v>
                </c:pt>
                <c:pt idx="239">
                  <c:v>40148</c:v>
                </c:pt>
                <c:pt idx="240">
                  <c:v>40179</c:v>
                </c:pt>
                <c:pt idx="241">
                  <c:v>40210</c:v>
                </c:pt>
                <c:pt idx="242">
                  <c:v>40238</c:v>
                </c:pt>
                <c:pt idx="243">
                  <c:v>40269</c:v>
                </c:pt>
                <c:pt idx="244">
                  <c:v>40299</c:v>
                </c:pt>
                <c:pt idx="245">
                  <c:v>40330</c:v>
                </c:pt>
                <c:pt idx="246">
                  <c:v>40360</c:v>
                </c:pt>
                <c:pt idx="247">
                  <c:v>40391</c:v>
                </c:pt>
                <c:pt idx="248">
                  <c:v>40422</c:v>
                </c:pt>
                <c:pt idx="249">
                  <c:v>40452</c:v>
                </c:pt>
                <c:pt idx="250">
                  <c:v>40483</c:v>
                </c:pt>
                <c:pt idx="251">
                  <c:v>40513</c:v>
                </c:pt>
                <c:pt idx="252">
                  <c:v>40544</c:v>
                </c:pt>
                <c:pt idx="253">
                  <c:v>40575</c:v>
                </c:pt>
                <c:pt idx="254">
                  <c:v>40603</c:v>
                </c:pt>
                <c:pt idx="255">
                  <c:v>40634</c:v>
                </c:pt>
                <c:pt idx="256">
                  <c:v>40664</c:v>
                </c:pt>
                <c:pt idx="257">
                  <c:v>40695</c:v>
                </c:pt>
                <c:pt idx="258">
                  <c:v>40725</c:v>
                </c:pt>
                <c:pt idx="259">
                  <c:v>40756</c:v>
                </c:pt>
                <c:pt idx="260">
                  <c:v>40787</c:v>
                </c:pt>
                <c:pt idx="261">
                  <c:v>40817</c:v>
                </c:pt>
                <c:pt idx="262">
                  <c:v>40848</c:v>
                </c:pt>
                <c:pt idx="263">
                  <c:v>40878</c:v>
                </c:pt>
                <c:pt idx="264">
                  <c:v>40909</c:v>
                </c:pt>
                <c:pt idx="265">
                  <c:v>40940</c:v>
                </c:pt>
                <c:pt idx="266">
                  <c:v>40969</c:v>
                </c:pt>
                <c:pt idx="267">
                  <c:v>41000</c:v>
                </c:pt>
                <c:pt idx="268">
                  <c:v>41030</c:v>
                </c:pt>
                <c:pt idx="269">
                  <c:v>41061</c:v>
                </c:pt>
                <c:pt idx="270">
                  <c:v>41091</c:v>
                </c:pt>
                <c:pt idx="271">
                  <c:v>41122</c:v>
                </c:pt>
                <c:pt idx="272">
                  <c:v>41153</c:v>
                </c:pt>
                <c:pt idx="273">
                  <c:v>41183</c:v>
                </c:pt>
                <c:pt idx="274">
                  <c:v>41214</c:v>
                </c:pt>
                <c:pt idx="275">
                  <c:v>41244</c:v>
                </c:pt>
                <c:pt idx="276">
                  <c:v>41275</c:v>
                </c:pt>
                <c:pt idx="277">
                  <c:v>41306</c:v>
                </c:pt>
                <c:pt idx="278">
                  <c:v>41334</c:v>
                </c:pt>
                <c:pt idx="279">
                  <c:v>41365</c:v>
                </c:pt>
                <c:pt idx="280">
                  <c:v>41395</c:v>
                </c:pt>
                <c:pt idx="281">
                  <c:v>41426</c:v>
                </c:pt>
                <c:pt idx="282">
                  <c:v>41456</c:v>
                </c:pt>
                <c:pt idx="283">
                  <c:v>41487</c:v>
                </c:pt>
                <c:pt idx="284">
                  <c:v>41518</c:v>
                </c:pt>
                <c:pt idx="285">
                  <c:v>41548</c:v>
                </c:pt>
                <c:pt idx="286">
                  <c:v>41579</c:v>
                </c:pt>
                <c:pt idx="287">
                  <c:v>41609</c:v>
                </c:pt>
                <c:pt idx="288">
                  <c:v>41640</c:v>
                </c:pt>
                <c:pt idx="289">
                  <c:v>41671</c:v>
                </c:pt>
                <c:pt idx="290">
                  <c:v>41699</c:v>
                </c:pt>
                <c:pt idx="291">
                  <c:v>41730</c:v>
                </c:pt>
                <c:pt idx="292">
                  <c:v>41760</c:v>
                </c:pt>
                <c:pt idx="293">
                  <c:v>41791</c:v>
                </c:pt>
                <c:pt idx="294">
                  <c:v>41821</c:v>
                </c:pt>
                <c:pt idx="295">
                  <c:v>41852</c:v>
                </c:pt>
                <c:pt idx="296">
                  <c:v>41883</c:v>
                </c:pt>
                <c:pt idx="297">
                  <c:v>41913</c:v>
                </c:pt>
                <c:pt idx="298">
                  <c:v>41944</c:v>
                </c:pt>
                <c:pt idx="299">
                  <c:v>41974</c:v>
                </c:pt>
                <c:pt idx="300">
                  <c:v>42005</c:v>
                </c:pt>
                <c:pt idx="301">
                  <c:v>42036</c:v>
                </c:pt>
                <c:pt idx="302">
                  <c:v>42064</c:v>
                </c:pt>
                <c:pt idx="303">
                  <c:v>42095</c:v>
                </c:pt>
                <c:pt idx="304">
                  <c:v>42125</c:v>
                </c:pt>
                <c:pt idx="305">
                  <c:v>42156</c:v>
                </c:pt>
                <c:pt idx="306">
                  <c:v>42186</c:v>
                </c:pt>
                <c:pt idx="307">
                  <c:v>42217</c:v>
                </c:pt>
                <c:pt idx="308">
                  <c:v>42248</c:v>
                </c:pt>
                <c:pt idx="309">
                  <c:v>42278</c:v>
                </c:pt>
                <c:pt idx="310">
                  <c:v>42309</c:v>
                </c:pt>
                <c:pt idx="311">
                  <c:v>42339</c:v>
                </c:pt>
                <c:pt idx="312">
                  <c:v>42370</c:v>
                </c:pt>
                <c:pt idx="313">
                  <c:v>42401</c:v>
                </c:pt>
                <c:pt idx="314">
                  <c:v>42430</c:v>
                </c:pt>
                <c:pt idx="315">
                  <c:v>42461</c:v>
                </c:pt>
                <c:pt idx="316">
                  <c:v>42491</c:v>
                </c:pt>
                <c:pt idx="317">
                  <c:v>42522</c:v>
                </c:pt>
                <c:pt idx="318">
                  <c:v>42552</c:v>
                </c:pt>
                <c:pt idx="319">
                  <c:v>42583</c:v>
                </c:pt>
                <c:pt idx="320">
                  <c:v>42614</c:v>
                </c:pt>
                <c:pt idx="321">
                  <c:v>42644</c:v>
                </c:pt>
                <c:pt idx="322">
                  <c:v>42675</c:v>
                </c:pt>
                <c:pt idx="323">
                  <c:v>42705</c:v>
                </c:pt>
                <c:pt idx="324">
                  <c:v>42736</c:v>
                </c:pt>
                <c:pt idx="325">
                  <c:v>42767</c:v>
                </c:pt>
                <c:pt idx="326">
                  <c:v>42795</c:v>
                </c:pt>
                <c:pt idx="327">
                  <c:v>42826</c:v>
                </c:pt>
                <c:pt idx="328">
                  <c:v>42856</c:v>
                </c:pt>
                <c:pt idx="329">
                  <c:v>42887</c:v>
                </c:pt>
                <c:pt idx="330">
                  <c:v>42917</c:v>
                </c:pt>
                <c:pt idx="331">
                  <c:v>42948</c:v>
                </c:pt>
                <c:pt idx="332">
                  <c:v>42979</c:v>
                </c:pt>
                <c:pt idx="333">
                  <c:v>43009</c:v>
                </c:pt>
                <c:pt idx="334">
                  <c:v>43040</c:v>
                </c:pt>
                <c:pt idx="335">
                  <c:v>43070</c:v>
                </c:pt>
                <c:pt idx="336">
                  <c:v>43101</c:v>
                </c:pt>
                <c:pt idx="337">
                  <c:v>43132</c:v>
                </c:pt>
                <c:pt idx="338">
                  <c:v>43160</c:v>
                </c:pt>
                <c:pt idx="339">
                  <c:v>43191</c:v>
                </c:pt>
                <c:pt idx="340">
                  <c:v>43221</c:v>
                </c:pt>
                <c:pt idx="341">
                  <c:v>43252</c:v>
                </c:pt>
                <c:pt idx="342">
                  <c:v>43282</c:v>
                </c:pt>
                <c:pt idx="343">
                  <c:v>43313</c:v>
                </c:pt>
                <c:pt idx="344">
                  <c:v>43344</c:v>
                </c:pt>
                <c:pt idx="345">
                  <c:v>43374</c:v>
                </c:pt>
                <c:pt idx="346">
                  <c:v>43405</c:v>
                </c:pt>
                <c:pt idx="347">
                  <c:v>43435</c:v>
                </c:pt>
                <c:pt idx="348">
                  <c:v>43466</c:v>
                </c:pt>
                <c:pt idx="349">
                  <c:v>43497</c:v>
                </c:pt>
                <c:pt idx="350">
                  <c:v>43525</c:v>
                </c:pt>
                <c:pt idx="351">
                  <c:v>43556</c:v>
                </c:pt>
                <c:pt idx="352">
                  <c:v>43586</c:v>
                </c:pt>
                <c:pt idx="353">
                  <c:v>43617</c:v>
                </c:pt>
                <c:pt idx="354">
                  <c:v>43647</c:v>
                </c:pt>
                <c:pt idx="355">
                  <c:v>43678</c:v>
                </c:pt>
                <c:pt idx="356">
                  <c:v>43709</c:v>
                </c:pt>
                <c:pt idx="357">
                  <c:v>43739</c:v>
                </c:pt>
                <c:pt idx="358">
                  <c:v>43770</c:v>
                </c:pt>
                <c:pt idx="359">
                  <c:v>43800</c:v>
                </c:pt>
                <c:pt idx="360">
                  <c:v>43831</c:v>
                </c:pt>
                <c:pt idx="361">
                  <c:v>43862</c:v>
                </c:pt>
                <c:pt idx="362">
                  <c:v>43891</c:v>
                </c:pt>
                <c:pt idx="363">
                  <c:v>43922</c:v>
                </c:pt>
                <c:pt idx="364">
                  <c:v>43952</c:v>
                </c:pt>
                <c:pt idx="365">
                  <c:v>43983</c:v>
                </c:pt>
                <c:pt idx="366">
                  <c:v>44013</c:v>
                </c:pt>
                <c:pt idx="367">
                  <c:v>44044</c:v>
                </c:pt>
                <c:pt idx="368">
                  <c:v>44075</c:v>
                </c:pt>
                <c:pt idx="369">
                  <c:v>44105</c:v>
                </c:pt>
                <c:pt idx="370">
                  <c:v>44136</c:v>
                </c:pt>
                <c:pt idx="371">
                  <c:v>44166</c:v>
                </c:pt>
                <c:pt idx="372">
                  <c:v>44197</c:v>
                </c:pt>
                <c:pt idx="373">
                  <c:v>44228</c:v>
                </c:pt>
                <c:pt idx="374">
                  <c:v>44256</c:v>
                </c:pt>
                <c:pt idx="375">
                  <c:v>44287</c:v>
                </c:pt>
                <c:pt idx="376">
                  <c:v>44317</c:v>
                </c:pt>
                <c:pt idx="377">
                  <c:v>44348</c:v>
                </c:pt>
                <c:pt idx="378">
                  <c:v>44378</c:v>
                </c:pt>
                <c:pt idx="379">
                  <c:v>44409</c:v>
                </c:pt>
                <c:pt idx="380">
                  <c:v>44440</c:v>
                </c:pt>
                <c:pt idx="381">
                  <c:v>44470</c:v>
                </c:pt>
                <c:pt idx="382">
                  <c:v>44501</c:v>
                </c:pt>
              </c:numCache>
            </c:numRef>
          </c:cat>
          <c:val>
            <c:numRef>
              <c:f>'IP World'!$L$2:$L$385</c:f>
              <c:numCache>
                <c:formatCode>0.00</c:formatCode>
                <c:ptCount val="384"/>
                <c:pt idx="0">
                  <c:v>88.246898233780755</c:v>
                </c:pt>
                <c:pt idx="1">
                  <c:v>89.280583673378075</c:v>
                </c:pt>
                <c:pt idx="2">
                  <c:v>89.024826450782996</c:v>
                </c:pt>
                <c:pt idx="3">
                  <c:v>89.387149182326624</c:v>
                </c:pt>
                <c:pt idx="4">
                  <c:v>89.365836080536894</c:v>
                </c:pt>
                <c:pt idx="5">
                  <c:v>88.790382331096197</c:v>
                </c:pt>
                <c:pt idx="6">
                  <c:v>89.131391960850095</c:v>
                </c:pt>
                <c:pt idx="7">
                  <c:v>89.728158812080522</c:v>
                </c:pt>
                <c:pt idx="8">
                  <c:v>90.175733951901549</c:v>
                </c:pt>
                <c:pt idx="9">
                  <c:v>90.356895317673377</c:v>
                </c:pt>
                <c:pt idx="10">
                  <c:v>89.504371242729306</c:v>
                </c:pt>
                <c:pt idx="11">
                  <c:v>90.442147724832211</c:v>
                </c:pt>
                <c:pt idx="12">
                  <c:v>92.281879194630861</c:v>
                </c:pt>
                <c:pt idx="13">
                  <c:v>91.163310961968676</c:v>
                </c:pt>
                <c:pt idx="14">
                  <c:v>90.268456375838923</c:v>
                </c:pt>
                <c:pt idx="15">
                  <c:v>89.709172259507824</c:v>
                </c:pt>
                <c:pt idx="16">
                  <c:v>89.709172259507824</c:v>
                </c:pt>
                <c:pt idx="17">
                  <c:v>91.387024608501122</c:v>
                </c:pt>
                <c:pt idx="18">
                  <c:v>89.709172259507824</c:v>
                </c:pt>
                <c:pt idx="19">
                  <c:v>89.597315436241601</c:v>
                </c:pt>
                <c:pt idx="20">
                  <c:v>89.821029082774032</c:v>
                </c:pt>
                <c:pt idx="21">
                  <c:v>90.1565995525727</c:v>
                </c:pt>
                <c:pt idx="22">
                  <c:v>91.163310961968676</c:v>
                </c:pt>
                <c:pt idx="23">
                  <c:v>90.492170022371369</c:v>
                </c:pt>
                <c:pt idx="24">
                  <c:v>91.610738255033553</c:v>
                </c:pt>
                <c:pt idx="25">
                  <c:v>91.946308724832207</c:v>
                </c:pt>
                <c:pt idx="26">
                  <c:v>91.051454138702468</c:v>
                </c:pt>
                <c:pt idx="27">
                  <c:v>90.939597315436231</c:v>
                </c:pt>
                <c:pt idx="28">
                  <c:v>90.380313199105132</c:v>
                </c:pt>
                <c:pt idx="29">
                  <c:v>89.485458612975378</c:v>
                </c:pt>
                <c:pt idx="30">
                  <c:v>88.366890380313194</c:v>
                </c:pt>
                <c:pt idx="31">
                  <c:v>88.255033557046985</c:v>
                </c:pt>
                <c:pt idx="32">
                  <c:v>87.472035794183441</c:v>
                </c:pt>
                <c:pt idx="33">
                  <c:v>87.695749440715886</c:v>
                </c:pt>
                <c:pt idx="34">
                  <c:v>86.912751677852341</c:v>
                </c:pt>
                <c:pt idx="35">
                  <c:v>85.346756152125266</c:v>
                </c:pt>
                <c:pt idx="36">
                  <c:v>85.794183445190157</c:v>
                </c:pt>
                <c:pt idx="37">
                  <c:v>85.123042505592835</c:v>
                </c:pt>
                <c:pt idx="38">
                  <c:v>84.899328859060404</c:v>
                </c:pt>
                <c:pt idx="39">
                  <c:v>84.340044742729305</c:v>
                </c:pt>
                <c:pt idx="40">
                  <c:v>84.228187919463082</c:v>
                </c:pt>
                <c:pt idx="41">
                  <c:v>83.780760626398205</c:v>
                </c:pt>
                <c:pt idx="42">
                  <c:v>83.333333333333329</c:v>
                </c:pt>
                <c:pt idx="43">
                  <c:v>84.451901565995527</c:v>
                </c:pt>
                <c:pt idx="44">
                  <c:v>84.787472035794181</c:v>
                </c:pt>
                <c:pt idx="45">
                  <c:v>85.011185682326612</c:v>
                </c:pt>
                <c:pt idx="46">
                  <c:v>84.899328859060404</c:v>
                </c:pt>
                <c:pt idx="47">
                  <c:v>85.011185682326612</c:v>
                </c:pt>
                <c:pt idx="48">
                  <c:v>85.123042505592835</c:v>
                </c:pt>
                <c:pt idx="49">
                  <c:v>86.465324384787465</c:v>
                </c:pt>
                <c:pt idx="50">
                  <c:v>86.465324384787465</c:v>
                </c:pt>
                <c:pt idx="51">
                  <c:v>88.03131991051454</c:v>
                </c:pt>
                <c:pt idx="52">
                  <c:v>87.807606263982095</c:v>
                </c:pt>
                <c:pt idx="53">
                  <c:v>88.478747203579402</c:v>
                </c:pt>
                <c:pt idx="54">
                  <c:v>88.702460850111848</c:v>
                </c:pt>
                <c:pt idx="55">
                  <c:v>89.038031319910502</c:v>
                </c:pt>
                <c:pt idx="56">
                  <c:v>89.485458612975378</c:v>
                </c:pt>
                <c:pt idx="57">
                  <c:v>90.492170022371369</c:v>
                </c:pt>
                <c:pt idx="58">
                  <c:v>91.051454138702468</c:v>
                </c:pt>
                <c:pt idx="59">
                  <c:v>92.05816554809843</c:v>
                </c:pt>
                <c:pt idx="60">
                  <c:v>91.387024608501122</c:v>
                </c:pt>
                <c:pt idx="61">
                  <c:v>91.610738255033553</c:v>
                </c:pt>
                <c:pt idx="62">
                  <c:v>91.49888143176733</c:v>
                </c:pt>
                <c:pt idx="63">
                  <c:v>91.834451901565984</c:v>
                </c:pt>
                <c:pt idx="64">
                  <c:v>92.170022371364652</c:v>
                </c:pt>
                <c:pt idx="65">
                  <c:v>91.834451901565984</c:v>
                </c:pt>
                <c:pt idx="66">
                  <c:v>91.834451901565984</c:v>
                </c:pt>
                <c:pt idx="67">
                  <c:v>91.722595078299776</c:v>
                </c:pt>
                <c:pt idx="68">
                  <c:v>92.170022371364652</c:v>
                </c:pt>
                <c:pt idx="69">
                  <c:v>91.163310961968676</c:v>
                </c:pt>
                <c:pt idx="70">
                  <c:v>91.49888143176733</c:v>
                </c:pt>
                <c:pt idx="71">
                  <c:v>92.505592841163306</c:v>
                </c:pt>
                <c:pt idx="72">
                  <c:v>91.610738255033553</c:v>
                </c:pt>
                <c:pt idx="73">
                  <c:v>91.275167785234885</c:v>
                </c:pt>
                <c:pt idx="74">
                  <c:v>91.275167785234885</c:v>
                </c:pt>
                <c:pt idx="75">
                  <c:v>90.604026845637577</c:v>
                </c:pt>
                <c:pt idx="76">
                  <c:v>91.610738255033553</c:v>
                </c:pt>
                <c:pt idx="77">
                  <c:v>91.610738255033553</c:v>
                </c:pt>
                <c:pt idx="78">
                  <c:v>90.827740492170022</c:v>
                </c:pt>
                <c:pt idx="79">
                  <c:v>91.946308724832207</c:v>
                </c:pt>
                <c:pt idx="80">
                  <c:v>91.946308724832207</c:v>
                </c:pt>
                <c:pt idx="81">
                  <c:v>91.49888143176733</c:v>
                </c:pt>
                <c:pt idx="82">
                  <c:v>92.281879194630861</c:v>
                </c:pt>
                <c:pt idx="83">
                  <c:v>92.170022371364652</c:v>
                </c:pt>
                <c:pt idx="84">
                  <c:v>92.393736017897083</c:v>
                </c:pt>
                <c:pt idx="85">
                  <c:v>92.953020134228183</c:v>
                </c:pt>
                <c:pt idx="86">
                  <c:v>94.071588366890367</c:v>
                </c:pt>
                <c:pt idx="87">
                  <c:v>95.078299776286343</c:v>
                </c:pt>
                <c:pt idx="88">
                  <c:v>94.18344519015659</c:v>
                </c:pt>
                <c:pt idx="89">
                  <c:v>95.749440715883651</c:v>
                </c:pt>
                <c:pt idx="90">
                  <c:v>96.532438478747196</c:v>
                </c:pt>
                <c:pt idx="91">
                  <c:v>96.644295302013418</c:v>
                </c:pt>
                <c:pt idx="92">
                  <c:v>96.420581655480987</c:v>
                </c:pt>
                <c:pt idx="93">
                  <c:v>97.762863534675617</c:v>
                </c:pt>
                <c:pt idx="94">
                  <c:v>97.427293064876949</c:v>
                </c:pt>
                <c:pt idx="95">
                  <c:v>98.434004474272925</c:v>
                </c:pt>
                <c:pt idx="96">
                  <c:v>98.769574944071579</c:v>
                </c:pt>
                <c:pt idx="97">
                  <c:v>99.217002237136455</c:v>
                </c:pt>
                <c:pt idx="98">
                  <c:v>99.217002237136455</c:v>
                </c:pt>
                <c:pt idx="99">
                  <c:v>99.552572706935123</c:v>
                </c:pt>
                <c:pt idx="100">
                  <c:v>99.888143176733777</c:v>
                </c:pt>
                <c:pt idx="101">
                  <c:v>99.440715883668901</c:v>
                </c:pt>
                <c:pt idx="102">
                  <c:v>100.5592841163311</c:v>
                </c:pt>
                <c:pt idx="103">
                  <c:v>99.105145413870233</c:v>
                </c:pt>
                <c:pt idx="104">
                  <c:v>99.440715883668901</c:v>
                </c:pt>
                <c:pt idx="105">
                  <c:v>99.664429530201332</c:v>
                </c:pt>
                <c:pt idx="106">
                  <c:v>99.105145413870233</c:v>
                </c:pt>
                <c:pt idx="107">
                  <c:v>98.545861297539133</c:v>
                </c:pt>
                <c:pt idx="108">
                  <c:v>100</c:v>
                </c:pt>
                <c:pt idx="109">
                  <c:v>98.881431767337801</c:v>
                </c:pt>
                <c:pt idx="110">
                  <c:v>99.105145413870233</c:v>
                </c:pt>
                <c:pt idx="111">
                  <c:v>99.664429530201332</c:v>
                </c:pt>
                <c:pt idx="112">
                  <c:v>99.776286353467555</c:v>
                </c:pt>
                <c:pt idx="113">
                  <c:v>100.67114093959731</c:v>
                </c:pt>
                <c:pt idx="114">
                  <c:v>101.34228187919462</c:v>
                </c:pt>
                <c:pt idx="115">
                  <c:v>101.34228187919462</c:v>
                </c:pt>
                <c:pt idx="116">
                  <c:v>102.23713646532438</c:v>
                </c:pt>
                <c:pt idx="117">
                  <c:v>103.24384787472034</c:v>
                </c:pt>
                <c:pt idx="118">
                  <c:v>103.69127516778524</c:v>
                </c:pt>
                <c:pt idx="119">
                  <c:v>103.35570469798658</c:v>
                </c:pt>
                <c:pt idx="120">
                  <c:v>103.02013422818791</c:v>
                </c:pt>
                <c:pt idx="121">
                  <c:v>104.25055928411632</c:v>
                </c:pt>
                <c:pt idx="122">
                  <c:v>104.6979865771812</c:v>
                </c:pt>
                <c:pt idx="123">
                  <c:v>105.92841163310962</c:v>
                </c:pt>
                <c:pt idx="124">
                  <c:v>107.38255033557046</c:v>
                </c:pt>
                <c:pt idx="125">
                  <c:v>105.92841163310962</c:v>
                </c:pt>
                <c:pt idx="126">
                  <c:v>107.27069351230425</c:v>
                </c:pt>
                <c:pt idx="127">
                  <c:v>107.27069351230425</c:v>
                </c:pt>
                <c:pt idx="128">
                  <c:v>107.38255033557046</c:v>
                </c:pt>
                <c:pt idx="129">
                  <c:v>107.6062639821029</c:v>
                </c:pt>
                <c:pt idx="130">
                  <c:v>108.7248322147651</c:v>
                </c:pt>
                <c:pt idx="131">
                  <c:v>109.39597315436241</c:v>
                </c:pt>
                <c:pt idx="132">
                  <c:v>108.50111856823266</c:v>
                </c:pt>
                <c:pt idx="133">
                  <c:v>108.83668903803131</c:v>
                </c:pt>
                <c:pt idx="134">
                  <c:v>108.165548098434</c:v>
                </c:pt>
                <c:pt idx="135">
                  <c:v>107.27069351230425</c:v>
                </c:pt>
                <c:pt idx="136">
                  <c:v>107.6062639821029</c:v>
                </c:pt>
                <c:pt idx="137">
                  <c:v>107.6062639821029</c:v>
                </c:pt>
                <c:pt idx="138">
                  <c:v>105.70469798657717</c:v>
                </c:pt>
                <c:pt idx="139">
                  <c:v>108.27740492170021</c:v>
                </c:pt>
                <c:pt idx="140">
                  <c:v>106.71140939597315</c:v>
                </c:pt>
                <c:pt idx="141">
                  <c:v>105.36912751677852</c:v>
                </c:pt>
                <c:pt idx="142">
                  <c:v>104.58612975391499</c:v>
                </c:pt>
                <c:pt idx="143">
                  <c:v>105.36912751677852</c:v>
                </c:pt>
                <c:pt idx="144">
                  <c:v>105.36912751677852</c:v>
                </c:pt>
                <c:pt idx="145">
                  <c:v>105.70469798657717</c:v>
                </c:pt>
                <c:pt idx="146">
                  <c:v>106.59955257270693</c:v>
                </c:pt>
                <c:pt idx="147">
                  <c:v>106.37583892617448</c:v>
                </c:pt>
                <c:pt idx="148">
                  <c:v>106.82326621923937</c:v>
                </c:pt>
                <c:pt idx="149">
                  <c:v>107.27069351230425</c:v>
                </c:pt>
                <c:pt idx="150">
                  <c:v>106.48769574944072</c:v>
                </c:pt>
                <c:pt idx="151">
                  <c:v>106.93512304250558</c:v>
                </c:pt>
                <c:pt idx="152">
                  <c:v>107.27069351230425</c:v>
                </c:pt>
                <c:pt idx="153">
                  <c:v>106.59955257270693</c:v>
                </c:pt>
                <c:pt idx="154">
                  <c:v>107.27069351230425</c:v>
                </c:pt>
                <c:pt idx="155">
                  <c:v>105.59284116331096</c:v>
                </c:pt>
                <c:pt idx="156">
                  <c:v>107.38255033557046</c:v>
                </c:pt>
                <c:pt idx="157">
                  <c:v>107.6062639821029</c:v>
                </c:pt>
                <c:pt idx="158">
                  <c:v>106.71140939597315</c:v>
                </c:pt>
                <c:pt idx="159">
                  <c:v>107.15883668903803</c:v>
                </c:pt>
                <c:pt idx="160">
                  <c:v>105.36912751677852</c:v>
                </c:pt>
                <c:pt idx="161">
                  <c:v>105.36912751677852</c:v>
                </c:pt>
                <c:pt idx="162">
                  <c:v>107.15883668903803</c:v>
                </c:pt>
                <c:pt idx="163">
                  <c:v>105.92841163310962</c:v>
                </c:pt>
                <c:pt idx="164">
                  <c:v>105.59284116331096</c:v>
                </c:pt>
                <c:pt idx="165">
                  <c:v>108.27740492170021</c:v>
                </c:pt>
                <c:pt idx="166">
                  <c:v>107.94183445190156</c:v>
                </c:pt>
                <c:pt idx="167">
                  <c:v>108.27740492170021</c:v>
                </c:pt>
                <c:pt idx="168">
                  <c:v>108.165548098434</c:v>
                </c:pt>
                <c:pt idx="169">
                  <c:v>108.61297539149886</c:v>
                </c:pt>
                <c:pt idx="170">
                  <c:v>108.38926174496645</c:v>
                </c:pt>
                <c:pt idx="171">
                  <c:v>109.39597315436241</c:v>
                </c:pt>
                <c:pt idx="172">
                  <c:v>109.50782997762863</c:v>
                </c:pt>
                <c:pt idx="173">
                  <c:v>109.39597315436241</c:v>
                </c:pt>
                <c:pt idx="174">
                  <c:v>110.40268456375838</c:v>
                </c:pt>
                <c:pt idx="175">
                  <c:v>108.05369127516778</c:v>
                </c:pt>
                <c:pt idx="176">
                  <c:v>109.73154362416106</c:v>
                </c:pt>
                <c:pt idx="177">
                  <c:v>110.29082774049216</c:v>
                </c:pt>
                <c:pt idx="178">
                  <c:v>108.94854586129753</c:v>
                </c:pt>
                <c:pt idx="179">
                  <c:v>109.06040268456375</c:v>
                </c:pt>
                <c:pt idx="180">
                  <c:v>109.95525727069349</c:v>
                </c:pt>
                <c:pt idx="181">
                  <c:v>109.73154362416106</c:v>
                </c:pt>
                <c:pt idx="182">
                  <c:v>109.61968680089484</c:v>
                </c:pt>
                <c:pt idx="183">
                  <c:v>111.18568232662193</c:v>
                </c:pt>
                <c:pt idx="184">
                  <c:v>109.73154362416106</c:v>
                </c:pt>
                <c:pt idx="185">
                  <c:v>110.73825503355704</c:v>
                </c:pt>
                <c:pt idx="186">
                  <c:v>111.29753914988814</c:v>
                </c:pt>
                <c:pt idx="187">
                  <c:v>110.06711409395973</c:v>
                </c:pt>
                <c:pt idx="188">
                  <c:v>111.52125279642058</c:v>
                </c:pt>
                <c:pt idx="189">
                  <c:v>111.74496644295301</c:v>
                </c:pt>
                <c:pt idx="190">
                  <c:v>113.64653243847873</c:v>
                </c:pt>
                <c:pt idx="191">
                  <c:v>112.41610738255034</c:v>
                </c:pt>
                <c:pt idx="192">
                  <c:v>113.31096196868008</c:v>
                </c:pt>
                <c:pt idx="193">
                  <c:v>113.19910514541387</c:v>
                </c:pt>
                <c:pt idx="194">
                  <c:v>113.9821029082774</c:v>
                </c:pt>
                <c:pt idx="195">
                  <c:v>114.42953020134227</c:v>
                </c:pt>
                <c:pt idx="196">
                  <c:v>116.10738255033556</c:v>
                </c:pt>
                <c:pt idx="197">
                  <c:v>115.99552572706935</c:v>
                </c:pt>
                <c:pt idx="198">
                  <c:v>115.7718120805369</c:v>
                </c:pt>
                <c:pt idx="199">
                  <c:v>116.10738255033556</c:v>
                </c:pt>
                <c:pt idx="200">
                  <c:v>116.21923937360179</c:v>
                </c:pt>
                <c:pt idx="201">
                  <c:v>115.88366890380311</c:v>
                </c:pt>
                <c:pt idx="202">
                  <c:v>117.00223713646531</c:v>
                </c:pt>
                <c:pt idx="203">
                  <c:v>118.68008948545859</c:v>
                </c:pt>
                <c:pt idx="204">
                  <c:v>118.23266219239373</c:v>
                </c:pt>
                <c:pt idx="205">
                  <c:v>118.90380313199104</c:v>
                </c:pt>
                <c:pt idx="206">
                  <c:v>119.46308724832214</c:v>
                </c:pt>
                <c:pt idx="207">
                  <c:v>118.00894854586129</c:v>
                </c:pt>
                <c:pt idx="208">
                  <c:v>120.02237136465322</c:v>
                </c:pt>
                <c:pt idx="209">
                  <c:v>120.13422818791946</c:v>
                </c:pt>
                <c:pt idx="210">
                  <c:v>120.35794183445188</c:v>
                </c:pt>
                <c:pt idx="211">
                  <c:v>121.14093959731542</c:v>
                </c:pt>
                <c:pt idx="212">
                  <c:v>120.58165548098432</c:v>
                </c:pt>
                <c:pt idx="213">
                  <c:v>121.58836689038031</c:v>
                </c:pt>
                <c:pt idx="214">
                  <c:v>120.80536912751677</c:v>
                </c:pt>
                <c:pt idx="215">
                  <c:v>121.47651006711408</c:v>
                </c:pt>
                <c:pt idx="216">
                  <c:v>122.48322147651007</c:v>
                </c:pt>
                <c:pt idx="217">
                  <c:v>122.25950782997762</c:v>
                </c:pt>
                <c:pt idx="218">
                  <c:v>121.70022371364652</c:v>
                </c:pt>
                <c:pt idx="219">
                  <c:v>123.15436241610738</c:v>
                </c:pt>
                <c:pt idx="220">
                  <c:v>119.57494407158836</c:v>
                </c:pt>
                <c:pt idx="221">
                  <c:v>119.79865771812079</c:v>
                </c:pt>
                <c:pt idx="222">
                  <c:v>118.56823266219239</c:v>
                </c:pt>
                <c:pt idx="223">
                  <c:v>118.12080536912751</c:v>
                </c:pt>
                <c:pt idx="224">
                  <c:v>117.22595078299776</c:v>
                </c:pt>
                <c:pt idx="225">
                  <c:v>114.20581655480983</c:v>
                </c:pt>
                <c:pt idx="226">
                  <c:v>110.06711409395973</c:v>
                </c:pt>
                <c:pt idx="227">
                  <c:v>106.26398210290827</c:v>
                </c:pt>
                <c:pt idx="228">
                  <c:v>101.90156599552571</c:v>
                </c:pt>
                <c:pt idx="229">
                  <c:v>99.664429530201332</c:v>
                </c:pt>
                <c:pt idx="230">
                  <c:v>98.322147651006716</c:v>
                </c:pt>
                <c:pt idx="231">
                  <c:v>96.86800894854585</c:v>
                </c:pt>
                <c:pt idx="232">
                  <c:v>99.217002237136455</c:v>
                </c:pt>
                <c:pt idx="233">
                  <c:v>99.888143176733777</c:v>
                </c:pt>
                <c:pt idx="234">
                  <c:v>100</c:v>
                </c:pt>
                <c:pt idx="235">
                  <c:v>100</c:v>
                </c:pt>
                <c:pt idx="236">
                  <c:v>102.46085011185681</c:v>
                </c:pt>
                <c:pt idx="237">
                  <c:v>102.01342281879194</c:v>
                </c:pt>
                <c:pt idx="238">
                  <c:v>102.34899328859059</c:v>
                </c:pt>
                <c:pt idx="239">
                  <c:v>102.34899328859059</c:v>
                </c:pt>
                <c:pt idx="240">
                  <c:v>104.1387024608501</c:v>
                </c:pt>
                <c:pt idx="241">
                  <c:v>103.579418344519</c:v>
                </c:pt>
                <c:pt idx="242">
                  <c:v>105.48098434004473</c:v>
                </c:pt>
                <c:pt idx="243">
                  <c:v>106.04026845637583</c:v>
                </c:pt>
                <c:pt idx="244">
                  <c:v>107.94183445190156</c:v>
                </c:pt>
                <c:pt idx="245">
                  <c:v>108.05369127516778</c:v>
                </c:pt>
                <c:pt idx="246">
                  <c:v>107.6062639821029</c:v>
                </c:pt>
                <c:pt idx="247">
                  <c:v>108.50111856823266</c:v>
                </c:pt>
                <c:pt idx="248">
                  <c:v>108.7248322147651</c:v>
                </c:pt>
                <c:pt idx="249">
                  <c:v>109.61968680089484</c:v>
                </c:pt>
                <c:pt idx="250">
                  <c:v>110.62639821029083</c:v>
                </c:pt>
                <c:pt idx="251">
                  <c:v>111.52125279642058</c:v>
                </c:pt>
                <c:pt idx="252">
                  <c:v>110.85011185682325</c:v>
                </c:pt>
                <c:pt idx="253">
                  <c:v>111.96868008948545</c:v>
                </c:pt>
                <c:pt idx="254">
                  <c:v>112.08053691275167</c:v>
                </c:pt>
                <c:pt idx="255">
                  <c:v>111.63310961968679</c:v>
                </c:pt>
                <c:pt idx="256">
                  <c:v>112.30425055928411</c:v>
                </c:pt>
                <c:pt idx="257">
                  <c:v>110.73825503355704</c:v>
                </c:pt>
                <c:pt idx="258">
                  <c:v>111.85682326621924</c:v>
                </c:pt>
                <c:pt idx="259">
                  <c:v>111.96868008948545</c:v>
                </c:pt>
                <c:pt idx="260">
                  <c:v>110.85011185682325</c:v>
                </c:pt>
                <c:pt idx="261">
                  <c:v>110.51454138702459</c:v>
                </c:pt>
                <c:pt idx="262">
                  <c:v>110.85011185682325</c:v>
                </c:pt>
                <c:pt idx="263">
                  <c:v>110.17897091722594</c:v>
                </c:pt>
                <c:pt idx="264">
                  <c:v>109.39597315436241</c:v>
                </c:pt>
                <c:pt idx="265">
                  <c:v>110.06711409395973</c:v>
                </c:pt>
                <c:pt idx="266">
                  <c:v>109.84340044742729</c:v>
                </c:pt>
                <c:pt idx="267">
                  <c:v>109.06040268456375</c:v>
                </c:pt>
                <c:pt idx="268">
                  <c:v>109.95525727069349</c:v>
                </c:pt>
                <c:pt idx="269">
                  <c:v>108.94854586129753</c:v>
                </c:pt>
                <c:pt idx="270">
                  <c:v>109.28411633109619</c:v>
                </c:pt>
                <c:pt idx="271">
                  <c:v>110.06711409395973</c:v>
                </c:pt>
                <c:pt idx="272">
                  <c:v>108.05369127516778</c:v>
                </c:pt>
                <c:pt idx="273">
                  <c:v>107.15883668903803</c:v>
                </c:pt>
                <c:pt idx="274">
                  <c:v>106.37583892617448</c:v>
                </c:pt>
                <c:pt idx="275">
                  <c:v>106.93512304250558</c:v>
                </c:pt>
                <c:pt idx="276">
                  <c:v>106.48769574944072</c:v>
                </c:pt>
                <c:pt idx="277">
                  <c:v>106.71140939597315</c:v>
                </c:pt>
                <c:pt idx="278">
                  <c:v>107.82997762863535</c:v>
                </c:pt>
                <c:pt idx="279">
                  <c:v>108.05369127516778</c:v>
                </c:pt>
                <c:pt idx="280">
                  <c:v>108.27740492170021</c:v>
                </c:pt>
                <c:pt idx="281">
                  <c:v>108.27740492170021</c:v>
                </c:pt>
                <c:pt idx="282">
                  <c:v>107.38255033557046</c:v>
                </c:pt>
                <c:pt idx="283">
                  <c:v>107.82997762863535</c:v>
                </c:pt>
                <c:pt idx="284">
                  <c:v>108.05369127516778</c:v>
                </c:pt>
                <c:pt idx="285">
                  <c:v>107.49440715883668</c:v>
                </c:pt>
                <c:pt idx="286">
                  <c:v>108.94854586129753</c:v>
                </c:pt>
                <c:pt idx="287">
                  <c:v>108.83668903803131</c:v>
                </c:pt>
                <c:pt idx="288">
                  <c:v>108.38926174496645</c:v>
                </c:pt>
                <c:pt idx="289">
                  <c:v>109.17225950782996</c:v>
                </c:pt>
                <c:pt idx="290">
                  <c:v>108.61297539149886</c:v>
                </c:pt>
                <c:pt idx="291">
                  <c:v>110.29082774049216</c:v>
                </c:pt>
                <c:pt idx="292">
                  <c:v>109.39597315436241</c:v>
                </c:pt>
                <c:pt idx="293">
                  <c:v>108.83668903803131</c:v>
                </c:pt>
                <c:pt idx="294">
                  <c:v>109.73154362416106</c:v>
                </c:pt>
                <c:pt idx="295">
                  <c:v>107.82997762863535</c:v>
                </c:pt>
                <c:pt idx="296">
                  <c:v>108.94854586129753</c:v>
                </c:pt>
                <c:pt idx="297">
                  <c:v>108.61297539149886</c:v>
                </c:pt>
                <c:pt idx="298">
                  <c:v>108.27740492170021</c:v>
                </c:pt>
                <c:pt idx="299">
                  <c:v>109.73154362416106</c:v>
                </c:pt>
                <c:pt idx="300">
                  <c:v>109.39597315436241</c:v>
                </c:pt>
                <c:pt idx="301">
                  <c:v>112.19239373601789</c:v>
                </c:pt>
                <c:pt idx="302">
                  <c:v>112.30425055928411</c:v>
                </c:pt>
                <c:pt idx="303">
                  <c:v>111.74496644295301</c:v>
                </c:pt>
                <c:pt idx="304">
                  <c:v>112.08053691275167</c:v>
                </c:pt>
                <c:pt idx="305">
                  <c:v>112.41610738255034</c:v>
                </c:pt>
                <c:pt idx="306">
                  <c:v>112.97539149888142</c:v>
                </c:pt>
                <c:pt idx="307">
                  <c:v>111.52125279642058</c:v>
                </c:pt>
                <c:pt idx="308">
                  <c:v>112.08053691275167</c:v>
                </c:pt>
                <c:pt idx="309">
                  <c:v>112.19239373601789</c:v>
                </c:pt>
                <c:pt idx="310">
                  <c:v>111.63310961968679</c:v>
                </c:pt>
                <c:pt idx="311">
                  <c:v>111.85682326621924</c:v>
                </c:pt>
                <c:pt idx="312">
                  <c:v>115.1006711409396</c:v>
                </c:pt>
                <c:pt idx="313">
                  <c:v>112.86353467561521</c:v>
                </c:pt>
                <c:pt idx="314">
                  <c:v>112.19239373601789</c:v>
                </c:pt>
                <c:pt idx="315">
                  <c:v>113.64653243847873</c:v>
                </c:pt>
                <c:pt idx="316">
                  <c:v>112.19239373601789</c:v>
                </c:pt>
                <c:pt idx="317">
                  <c:v>113.08724832214764</c:v>
                </c:pt>
                <c:pt idx="318">
                  <c:v>113.08724832214764</c:v>
                </c:pt>
                <c:pt idx="319">
                  <c:v>113.08724832214764</c:v>
                </c:pt>
                <c:pt idx="320">
                  <c:v>113.42281879194631</c:v>
                </c:pt>
                <c:pt idx="321">
                  <c:v>114.65324384787472</c:v>
                </c:pt>
                <c:pt idx="322">
                  <c:v>114.98881431767337</c:v>
                </c:pt>
                <c:pt idx="323">
                  <c:v>114.65324384787472</c:v>
                </c:pt>
                <c:pt idx="324">
                  <c:v>114.31767337807607</c:v>
                </c:pt>
                <c:pt idx="325">
                  <c:v>115.1006711409396</c:v>
                </c:pt>
                <c:pt idx="326">
                  <c:v>114.87695749440715</c:v>
                </c:pt>
                <c:pt idx="327">
                  <c:v>115.7718120805369</c:v>
                </c:pt>
                <c:pt idx="328">
                  <c:v>116.21923937360179</c:v>
                </c:pt>
                <c:pt idx="329">
                  <c:v>115.7718120805369</c:v>
                </c:pt>
                <c:pt idx="330">
                  <c:v>117.44966442953019</c:v>
                </c:pt>
                <c:pt idx="331">
                  <c:v>118.12080536912751</c:v>
                </c:pt>
                <c:pt idx="332">
                  <c:v>117.67337807606263</c:v>
                </c:pt>
                <c:pt idx="333">
                  <c:v>117.44966442953019</c:v>
                </c:pt>
                <c:pt idx="334">
                  <c:v>120.13422818791946</c:v>
                </c:pt>
                <c:pt idx="335">
                  <c:v>120.80536912751677</c:v>
                </c:pt>
                <c:pt idx="336">
                  <c:v>118.45637583892618</c:v>
                </c:pt>
                <c:pt idx="337">
                  <c:v>117.67337807606263</c:v>
                </c:pt>
                <c:pt idx="338">
                  <c:v>117.89709172259508</c:v>
                </c:pt>
                <c:pt idx="339">
                  <c:v>117.56152125279641</c:v>
                </c:pt>
                <c:pt idx="340">
                  <c:v>119.12751677852349</c:v>
                </c:pt>
                <c:pt idx="341">
                  <c:v>118.90380313199104</c:v>
                </c:pt>
                <c:pt idx="342">
                  <c:v>117.44966442953019</c:v>
                </c:pt>
                <c:pt idx="343">
                  <c:v>118.79194630872483</c:v>
                </c:pt>
                <c:pt idx="344">
                  <c:v>118.00894854586129</c:v>
                </c:pt>
                <c:pt idx="345">
                  <c:v>118.12080536912751</c:v>
                </c:pt>
                <c:pt idx="346">
                  <c:v>116.55480984340045</c:v>
                </c:pt>
                <c:pt idx="347">
                  <c:v>117.00223713646531</c:v>
                </c:pt>
                <c:pt idx="348">
                  <c:v>117.78523489932886</c:v>
                </c:pt>
                <c:pt idx="349">
                  <c:v>117.67337807606263</c:v>
                </c:pt>
                <c:pt idx="350">
                  <c:v>117.78523489932886</c:v>
                </c:pt>
                <c:pt idx="351">
                  <c:v>116.55480984340045</c:v>
                </c:pt>
                <c:pt idx="352">
                  <c:v>117.89709172259508</c:v>
                </c:pt>
                <c:pt idx="353">
                  <c:v>116.331096196868</c:v>
                </c:pt>
                <c:pt idx="354">
                  <c:v>115.99552572706935</c:v>
                </c:pt>
                <c:pt idx="355">
                  <c:v>116.331096196868</c:v>
                </c:pt>
                <c:pt idx="356">
                  <c:v>115.99552572706935</c:v>
                </c:pt>
                <c:pt idx="357">
                  <c:v>115.6599552572707</c:v>
                </c:pt>
                <c:pt idx="358">
                  <c:v>114.98881431767337</c:v>
                </c:pt>
                <c:pt idx="359">
                  <c:v>113.42281879194631</c:v>
                </c:pt>
                <c:pt idx="360">
                  <c:v>115.32438478747203</c:v>
                </c:pt>
                <c:pt idx="361">
                  <c:v>115.54809843400446</c:v>
                </c:pt>
                <c:pt idx="362">
                  <c:v>102.57270693512304</c:v>
                </c:pt>
                <c:pt idx="363">
                  <c:v>82.774049217002229</c:v>
                </c:pt>
                <c:pt idx="364">
                  <c:v>94.519015659955258</c:v>
                </c:pt>
                <c:pt idx="365">
                  <c:v>103.35570469798658</c:v>
                </c:pt>
                <c:pt idx="366">
                  <c:v>107.71812080536913</c:v>
                </c:pt>
                <c:pt idx="367">
                  <c:v>108.7248322147651</c:v>
                </c:pt>
                <c:pt idx="368">
                  <c:v>108.61297539149886</c:v>
                </c:pt>
                <c:pt idx="369">
                  <c:v>111.74496644295301</c:v>
                </c:pt>
                <c:pt idx="370">
                  <c:v>114.09395973154362</c:v>
                </c:pt>
                <c:pt idx="371">
                  <c:v>114.09395973154362</c:v>
                </c:pt>
                <c:pt idx="372">
                  <c:v>115.32438478747203</c:v>
                </c:pt>
                <c:pt idx="373">
                  <c:v>113.87024608501117</c:v>
                </c:pt>
                <c:pt idx="374">
                  <c:v>114.5413870246085</c:v>
                </c:pt>
                <c:pt idx="375">
                  <c:v>115.32438478747203</c:v>
                </c:pt>
                <c:pt idx="376">
                  <c:v>114.09395973154362</c:v>
                </c:pt>
                <c:pt idx="377">
                  <c:v>114.42953020134227</c:v>
                </c:pt>
                <c:pt idx="378">
                  <c:v>115.7718120805369</c:v>
                </c:pt>
                <c:pt idx="379">
                  <c:v>113.75838926174497</c:v>
                </c:pt>
                <c:pt idx="380">
                  <c:v>113.53467561521252</c:v>
                </c:pt>
                <c:pt idx="381">
                  <c:v>114.76510067114093</c:v>
                </c:pt>
                <c:pt idx="382">
                  <c:v>115.45548419127516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AB-AA43-872A-465F5A1C86CE}"/>
            </c:ext>
          </c:extLst>
        </c:ser>
        <c:ser>
          <c:idx val="9"/>
          <c:order val="2"/>
          <c:tx>
            <c:strRef>
              <c:f>'IP World'!$M$1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World'!$M$2:$M$385</c:f>
              <c:numCache>
                <c:formatCode>0.00</c:formatCode>
                <c:ptCount val="384"/>
                <c:pt idx="0">
                  <c:v>87.747957992615241</c:v>
                </c:pt>
                <c:pt idx="1">
                  <c:v>87.164527420990012</c:v>
                </c:pt>
                <c:pt idx="2">
                  <c:v>88.448074679433503</c:v>
                </c:pt>
                <c:pt idx="3">
                  <c:v>88.914819135865685</c:v>
                </c:pt>
                <c:pt idx="4">
                  <c:v>88.448074679433503</c:v>
                </c:pt>
                <c:pt idx="5">
                  <c:v>89.848308050900059</c:v>
                </c:pt>
                <c:pt idx="6">
                  <c:v>87.631271878507178</c:v>
                </c:pt>
                <c:pt idx="7">
                  <c:v>87.747957992615241</c:v>
                </c:pt>
                <c:pt idx="8">
                  <c:v>87.281213535098047</c:v>
                </c:pt>
                <c:pt idx="9">
                  <c:v>87.164527420990012</c:v>
                </c:pt>
                <c:pt idx="10">
                  <c:v>86.697782963472832</c:v>
                </c:pt>
                <c:pt idx="11">
                  <c:v>86.231038505955638</c:v>
                </c:pt>
                <c:pt idx="12">
                  <c:v>85.99766627773954</c:v>
                </c:pt>
                <c:pt idx="13">
                  <c:v>85.99766627773954</c:v>
                </c:pt>
                <c:pt idx="14">
                  <c:v>85.06417736270518</c:v>
                </c:pt>
                <c:pt idx="15">
                  <c:v>84.014002333562786</c:v>
                </c:pt>
                <c:pt idx="16">
                  <c:v>84.947491248597132</c:v>
                </c:pt>
                <c:pt idx="17">
                  <c:v>85.297549590921292</c:v>
                </c:pt>
                <c:pt idx="18">
                  <c:v>84.480746791079952</c:v>
                </c:pt>
                <c:pt idx="19">
                  <c:v>83.663943990153655</c:v>
                </c:pt>
                <c:pt idx="20">
                  <c:v>83.780630105346674</c:v>
                </c:pt>
                <c:pt idx="21">
                  <c:v>84.830805134489083</c:v>
                </c:pt>
                <c:pt idx="22">
                  <c:v>85.06417736270518</c:v>
                </c:pt>
                <c:pt idx="23">
                  <c:v>84.714119019296049</c:v>
                </c:pt>
                <c:pt idx="24">
                  <c:v>84.597432905188001</c:v>
                </c:pt>
                <c:pt idx="25">
                  <c:v>85.180863476813229</c:v>
                </c:pt>
                <c:pt idx="26">
                  <c:v>84.830805134489083</c:v>
                </c:pt>
                <c:pt idx="27">
                  <c:v>85.414235706114326</c:v>
                </c:pt>
                <c:pt idx="28">
                  <c:v>83.663943990153655</c:v>
                </c:pt>
                <c:pt idx="29">
                  <c:v>84.597432905188001</c:v>
                </c:pt>
                <c:pt idx="30">
                  <c:v>85.180863476813229</c:v>
                </c:pt>
                <c:pt idx="31">
                  <c:v>85.06417736270518</c:v>
                </c:pt>
                <c:pt idx="32">
                  <c:v>85.647607934330409</c:v>
                </c:pt>
                <c:pt idx="33">
                  <c:v>86.581096849364769</c:v>
                </c:pt>
                <c:pt idx="34">
                  <c:v>85.414235706114326</c:v>
                </c:pt>
                <c:pt idx="35">
                  <c:v>85.297549590921292</c:v>
                </c:pt>
                <c:pt idx="36">
                  <c:v>85.414235706114326</c:v>
                </c:pt>
                <c:pt idx="37">
                  <c:v>86.697782963472832</c:v>
                </c:pt>
                <c:pt idx="38">
                  <c:v>85.99766627773954</c:v>
                </c:pt>
                <c:pt idx="39">
                  <c:v>86.114352391847603</c:v>
                </c:pt>
                <c:pt idx="40">
                  <c:v>86.814469077580867</c:v>
                </c:pt>
                <c:pt idx="41">
                  <c:v>86.347724620063701</c:v>
                </c:pt>
                <c:pt idx="42">
                  <c:v>87.047841306881949</c:v>
                </c:pt>
                <c:pt idx="43">
                  <c:v>87.281213535098047</c:v>
                </c:pt>
                <c:pt idx="44">
                  <c:v>87.631271878507178</c:v>
                </c:pt>
                <c:pt idx="45">
                  <c:v>87.747957992615241</c:v>
                </c:pt>
                <c:pt idx="46">
                  <c:v>88.564760793541552</c:v>
                </c:pt>
                <c:pt idx="47">
                  <c:v>88.79813302175765</c:v>
                </c:pt>
                <c:pt idx="48">
                  <c:v>89.264877479274816</c:v>
                </c:pt>
                <c:pt idx="49">
                  <c:v>89.614935822683961</c:v>
                </c:pt>
                <c:pt idx="50">
                  <c:v>89.964994165008093</c:v>
                </c:pt>
                <c:pt idx="51">
                  <c:v>91.131855309343536</c:v>
                </c:pt>
                <c:pt idx="52">
                  <c:v>92.298716452594007</c:v>
                </c:pt>
                <c:pt idx="53">
                  <c:v>91.248541423451599</c:v>
                </c:pt>
                <c:pt idx="54">
                  <c:v>91.715285880968779</c:v>
                </c:pt>
                <c:pt idx="55">
                  <c:v>92.065344223292911</c:v>
                </c:pt>
                <c:pt idx="56">
                  <c:v>92.998833138327285</c:v>
                </c:pt>
                <c:pt idx="57">
                  <c:v>93.115519253520318</c:v>
                </c:pt>
                <c:pt idx="58">
                  <c:v>92.998833138327285</c:v>
                </c:pt>
                <c:pt idx="59">
                  <c:v>94.049008167469694</c:v>
                </c:pt>
                <c:pt idx="60">
                  <c:v>92.182030338485959</c:v>
                </c:pt>
                <c:pt idx="61">
                  <c:v>92.298716452594007</c:v>
                </c:pt>
                <c:pt idx="62">
                  <c:v>92.532088680810105</c:v>
                </c:pt>
                <c:pt idx="63">
                  <c:v>93.465577595844451</c:v>
                </c:pt>
                <c:pt idx="64">
                  <c:v>93.348891481736416</c:v>
                </c:pt>
                <c:pt idx="65">
                  <c:v>92.765460910111187</c:v>
                </c:pt>
                <c:pt idx="66">
                  <c:v>93.465577595844451</c:v>
                </c:pt>
                <c:pt idx="67">
                  <c:v>93.582263709952514</c:v>
                </c:pt>
                <c:pt idx="68">
                  <c:v>93.932322053361645</c:v>
                </c:pt>
                <c:pt idx="69">
                  <c:v>93.582263709952514</c:v>
                </c:pt>
                <c:pt idx="70">
                  <c:v>94.049008167469694</c:v>
                </c:pt>
                <c:pt idx="71">
                  <c:v>94.399066510878825</c:v>
                </c:pt>
                <c:pt idx="72">
                  <c:v>94.049008167469694</c:v>
                </c:pt>
                <c:pt idx="73">
                  <c:v>94.749124854287956</c:v>
                </c:pt>
                <c:pt idx="74">
                  <c:v>94.865810968396005</c:v>
                </c:pt>
                <c:pt idx="75">
                  <c:v>93.815635939253596</c:v>
                </c:pt>
                <c:pt idx="76">
                  <c:v>94.282380396770776</c:v>
                </c:pt>
                <c:pt idx="77">
                  <c:v>93.932322053361645</c:v>
                </c:pt>
                <c:pt idx="78">
                  <c:v>93.815635939253596</c:v>
                </c:pt>
                <c:pt idx="79">
                  <c:v>94.515752624986888</c:v>
                </c:pt>
                <c:pt idx="80">
                  <c:v>95.099183196612103</c:v>
                </c:pt>
                <c:pt idx="81">
                  <c:v>94.865810968396005</c:v>
                </c:pt>
                <c:pt idx="82">
                  <c:v>95.332555425913185</c:v>
                </c:pt>
                <c:pt idx="83">
                  <c:v>95.799299883430365</c:v>
                </c:pt>
                <c:pt idx="84">
                  <c:v>95.682613768237331</c:v>
                </c:pt>
                <c:pt idx="85">
                  <c:v>95.915985997538428</c:v>
                </c:pt>
                <c:pt idx="86">
                  <c:v>95.215869311805136</c:v>
                </c:pt>
                <c:pt idx="87">
                  <c:v>95.682613768237331</c:v>
                </c:pt>
                <c:pt idx="88">
                  <c:v>95.682613768237331</c:v>
                </c:pt>
                <c:pt idx="89">
                  <c:v>96.032672111646463</c:v>
                </c:pt>
                <c:pt idx="90">
                  <c:v>97.316219370089968</c:v>
                </c:pt>
                <c:pt idx="91">
                  <c:v>96.499416569163643</c:v>
                </c:pt>
                <c:pt idx="92">
                  <c:v>97.666277712414114</c:v>
                </c:pt>
                <c:pt idx="93">
                  <c:v>98.833138856749542</c:v>
                </c:pt>
                <c:pt idx="94">
                  <c:v>99.53325554248282</c:v>
                </c:pt>
                <c:pt idx="95">
                  <c:v>100</c:v>
                </c:pt>
                <c:pt idx="96">
                  <c:v>101.05017502914242</c:v>
                </c:pt>
                <c:pt idx="97">
                  <c:v>101.86697782898374</c:v>
                </c:pt>
                <c:pt idx="98">
                  <c:v>102.45040840169396</c:v>
                </c:pt>
                <c:pt idx="99">
                  <c:v>102.10035005828483</c:v>
                </c:pt>
                <c:pt idx="100">
                  <c:v>100.58343057162523</c:v>
                </c:pt>
                <c:pt idx="101">
                  <c:v>99.766627770698932</c:v>
                </c:pt>
                <c:pt idx="102">
                  <c:v>99.183197199073689</c:v>
                </c:pt>
                <c:pt idx="103">
                  <c:v>99.416569428374785</c:v>
                </c:pt>
                <c:pt idx="104">
                  <c:v>98.483080513340411</c:v>
                </c:pt>
                <c:pt idx="105">
                  <c:v>98.59976662744846</c:v>
                </c:pt>
                <c:pt idx="106">
                  <c:v>98.716452741556523</c:v>
                </c:pt>
                <c:pt idx="107">
                  <c:v>99.183197199073689</c:v>
                </c:pt>
                <c:pt idx="108">
                  <c:v>100</c:v>
                </c:pt>
                <c:pt idx="109">
                  <c:v>100</c:v>
                </c:pt>
                <c:pt idx="110">
                  <c:v>101.98366394417677</c:v>
                </c:pt>
                <c:pt idx="111">
                  <c:v>103.38389731564334</c:v>
                </c:pt>
                <c:pt idx="112">
                  <c:v>105.48424737392816</c:v>
                </c:pt>
                <c:pt idx="113">
                  <c:v>105.36756125982011</c:v>
                </c:pt>
                <c:pt idx="114">
                  <c:v>107.00116686058774</c:v>
                </c:pt>
                <c:pt idx="115">
                  <c:v>107.81796966151406</c:v>
                </c:pt>
                <c:pt idx="116">
                  <c:v>107.81796966151406</c:v>
                </c:pt>
                <c:pt idx="117">
                  <c:v>106.76779463237165</c:v>
                </c:pt>
                <c:pt idx="118">
                  <c:v>106.8844807464797</c:v>
                </c:pt>
                <c:pt idx="119">
                  <c:v>104.20070011656965</c:v>
                </c:pt>
                <c:pt idx="120">
                  <c:v>103.96732788726855</c:v>
                </c:pt>
                <c:pt idx="121">
                  <c:v>104.20070011656965</c:v>
                </c:pt>
                <c:pt idx="122">
                  <c:v>103.96732788726855</c:v>
                </c:pt>
                <c:pt idx="123">
                  <c:v>105.60093348912119</c:v>
                </c:pt>
                <c:pt idx="124">
                  <c:v>106.41773628896252</c:v>
                </c:pt>
                <c:pt idx="125">
                  <c:v>107.58459743221297</c:v>
                </c:pt>
                <c:pt idx="126">
                  <c:v>107.23453908988883</c:v>
                </c:pt>
                <c:pt idx="127">
                  <c:v>108.75145857654842</c:v>
                </c:pt>
                <c:pt idx="128">
                  <c:v>108.98483080476451</c:v>
                </c:pt>
                <c:pt idx="129">
                  <c:v>110.61843640553217</c:v>
                </c:pt>
                <c:pt idx="130">
                  <c:v>111.08518086304933</c:v>
                </c:pt>
                <c:pt idx="131">
                  <c:v>110.7351225196402</c:v>
                </c:pt>
                <c:pt idx="132">
                  <c:v>106.6511085182636</c:v>
                </c:pt>
                <c:pt idx="133">
                  <c:v>104.78413068819488</c:v>
                </c:pt>
                <c:pt idx="134">
                  <c:v>105.48424737392816</c:v>
                </c:pt>
                <c:pt idx="135">
                  <c:v>107.81796966151406</c:v>
                </c:pt>
                <c:pt idx="136">
                  <c:v>108.28471411903124</c:v>
                </c:pt>
                <c:pt idx="137">
                  <c:v>110.03500583390692</c:v>
                </c:pt>
                <c:pt idx="138">
                  <c:v>110.03500583390692</c:v>
                </c:pt>
                <c:pt idx="139">
                  <c:v>112.83547257901</c:v>
                </c:pt>
                <c:pt idx="140">
                  <c:v>112.48541423560087</c:v>
                </c:pt>
                <c:pt idx="141">
                  <c:v>112.48541423560087</c:v>
                </c:pt>
                <c:pt idx="142">
                  <c:v>113.41890315063524</c:v>
                </c:pt>
                <c:pt idx="143">
                  <c:v>114.46907817977765</c:v>
                </c:pt>
                <c:pt idx="144">
                  <c:v>115.86931155124421</c:v>
                </c:pt>
                <c:pt idx="145">
                  <c:v>116.68611435217053</c:v>
                </c:pt>
                <c:pt idx="146">
                  <c:v>119.13652275386448</c:v>
                </c:pt>
                <c:pt idx="147">
                  <c:v>113.53558926474329</c:v>
                </c:pt>
                <c:pt idx="148">
                  <c:v>115.16919486551093</c:v>
                </c:pt>
                <c:pt idx="149">
                  <c:v>108.86814469065648</c:v>
                </c:pt>
                <c:pt idx="150">
                  <c:v>110.85180863483323</c:v>
                </c:pt>
                <c:pt idx="151">
                  <c:v>109.56826137638976</c:v>
                </c:pt>
                <c:pt idx="152">
                  <c:v>110.15169194801497</c:v>
                </c:pt>
                <c:pt idx="153">
                  <c:v>106.6511085182636</c:v>
                </c:pt>
                <c:pt idx="154">
                  <c:v>106.8844807464797</c:v>
                </c:pt>
                <c:pt idx="155">
                  <c:v>107.35122520399688</c:v>
                </c:pt>
                <c:pt idx="156">
                  <c:v>107.9346557756221</c:v>
                </c:pt>
                <c:pt idx="157">
                  <c:v>110.5017502914241</c:v>
                </c:pt>
                <c:pt idx="158">
                  <c:v>112.95215869311807</c:v>
                </c:pt>
                <c:pt idx="159">
                  <c:v>113.41890315063524</c:v>
                </c:pt>
                <c:pt idx="160">
                  <c:v>114.58576429388569</c:v>
                </c:pt>
                <c:pt idx="161">
                  <c:v>116.10268378054529</c:v>
                </c:pt>
                <c:pt idx="162">
                  <c:v>117.85297549542098</c:v>
                </c:pt>
                <c:pt idx="163">
                  <c:v>118.08634772472206</c:v>
                </c:pt>
                <c:pt idx="164">
                  <c:v>117.61960326720488</c:v>
                </c:pt>
                <c:pt idx="165">
                  <c:v>120.30338389711493</c:v>
                </c:pt>
                <c:pt idx="166">
                  <c:v>116.56942823806247</c:v>
                </c:pt>
                <c:pt idx="167">
                  <c:v>112.01866977808371</c:v>
                </c:pt>
                <c:pt idx="168">
                  <c:v>108.51808634724735</c:v>
                </c:pt>
                <c:pt idx="169">
                  <c:v>108.98483080476451</c:v>
                </c:pt>
                <c:pt idx="170">
                  <c:v>109.91831971979889</c:v>
                </c:pt>
                <c:pt idx="171">
                  <c:v>110.7351225196402</c:v>
                </c:pt>
                <c:pt idx="172">
                  <c:v>112.60210034970893</c:v>
                </c:pt>
                <c:pt idx="173">
                  <c:v>114.58576429388569</c:v>
                </c:pt>
                <c:pt idx="174">
                  <c:v>113.76896149295939</c:v>
                </c:pt>
                <c:pt idx="175">
                  <c:v>114.23570595047656</c:v>
                </c:pt>
                <c:pt idx="176">
                  <c:v>115.16919486551093</c:v>
                </c:pt>
                <c:pt idx="177">
                  <c:v>117.61960326720488</c:v>
                </c:pt>
                <c:pt idx="178">
                  <c:v>118.66977829634729</c:v>
                </c:pt>
                <c:pt idx="179">
                  <c:v>115.86931155124421</c:v>
                </c:pt>
                <c:pt idx="180">
                  <c:v>112.95215869311807</c:v>
                </c:pt>
                <c:pt idx="181">
                  <c:v>110.15169194801497</c:v>
                </c:pt>
                <c:pt idx="182">
                  <c:v>106.53442240307056</c:v>
                </c:pt>
                <c:pt idx="183">
                  <c:v>112.13535589219174</c:v>
                </c:pt>
                <c:pt idx="184">
                  <c:v>112.36872812149284</c:v>
                </c:pt>
                <c:pt idx="185">
                  <c:v>113.53558926474329</c:v>
                </c:pt>
                <c:pt idx="186">
                  <c:v>112.60210034970893</c:v>
                </c:pt>
                <c:pt idx="187">
                  <c:v>112.71878646381698</c:v>
                </c:pt>
                <c:pt idx="188">
                  <c:v>113.30221703544221</c:v>
                </c:pt>
                <c:pt idx="189">
                  <c:v>113.88564760815242</c:v>
                </c:pt>
                <c:pt idx="190">
                  <c:v>114.58576429388569</c:v>
                </c:pt>
                <c:pt idx="191">
                  <c:v>114.8191365221018</c:v>
                </c:pt>
                <c:pt idx="192">
                  <c:v>115.6359393230281</c:v>
                </c:pt>
                <c:pt idx="193">
                  <c:v>113.76896149295939</c:v>
                </c:pt>
                <c:pt idx="194">
                  <c:v>115.40256709372703</c:v>
                </c:pt>
                <c:pt idx="195">
                  <c:v>113.41890315063524</c:v>
                </c:pt>
                <c:pt idx="196">
                  <c:v>115.05250875140288</c:v>
                </c:pt>
                <c:pt idx="197">
                  <c:v>116.45274212395442</c:v>
                </c:pt>
                <c:pt idx="198">
                  <c:v>115.28588097961897</c:v>
                </c:pt>
                <c:pt idx="199">
                  <c:v>116.80280046627857</c:v>
                </c:pt>
                <c:pt idx="200">
                  <c:v>118.20303383883011</c:v>
                </c:pt>
                <c:pt idx="201">
                  <c:v>117.61960326720488</c:v>
                </c:pt>
                <c:pt idx="202">
                  <c:v>118.55309218223924</c:v>
                </c:pt>
                <c:pt idx="203">
                  <c:v>117.61960326720488</c:v>
                </c:pt>
                <c:pt idx="204">
                  <c:v>119.01983663867142</c:v>
                </c:pt>
                <c:pt idx="205">
                  <c:v>117.3862310379038</c:v>
                </c:pt>
                <c:pt idx="206">
                  <c:v>117.1528588096877</c:v>
                </c:pt>
                <c:pt idx="207">
                  <c:v>116.21936989465334</c:v>
                </c:pt>
                <c:pt idx="208">
                  <c:v>117.1528588096877</c:v>
                </c:pt>
                <c:pt idx="209">
                  <c:v>114.93582263729482</c:v>
                </c:pt>
                <c:pt idx="210">
                  <c:v>114.23570595047656</c:v>
                </c:pt>
                <c:pt idx="211">
                  <c:v>113.65227537885134</c:v>
                </c:pt>
                <c:pt idx="212">
                  <c:v>112.36872812149284</c:v>
                </c:pt>
                <c:pt idx="213">
                  <c:v>113.53558926474329</c:v>
                </c:pt>
                <c:pt idx="214">
                  <c:v>113.53558926474329</c:v>
                </c:pt>
                <c:pt idx="215">
                  <c:v>112.95215869311807</c:v>
                </c:pt>
                <c:pt idx="216">
                  <c:v>113.76896149295939</c:v>
                </c:pt>
                <c:pt idx="217">
                  <c:v>114.70245040799375</c:v>
                </c:pt>
                <c:pt idx="218">
                  <c:v>112.95215869311807</c:v>
                </c:pt>
                <c:pt idx="219">
                  <c:v>113.65227537885134</c:v>
                </c:pt>
                <c:pt idx="220">
                  <c:v>113.06884480722611</c:v>
                </c:pt>
                <c:pt idx="221">
                  <c:v>112.83547257901</c:v>
                </c:pt>
                <c:pt idx="222">
                  <c:v>112.95215869311807</c:v>
                </c:pt>
                <c:pt idx="223">
                  <c:v>113.88564760815242</c:v>
                </c:pt>
                <c:pt idx="224">
                  <c:v>114.35239206458462</c:v>
                </c:pt>
                <c:pt idx="225">
                  <c:v>115.05250875140288</c:v>
                </c:pt>
                <c:pt idx="226">
                  <c:v>111.78529754986761</c:v>
                </c:pt>
                <c:pt idx="227">
                  <c:v>110.85180863483323</c:v>
                </c:pt>
                <c:pt idx="228">
                  <c:v>109.68494749049779</c:v>
                </c:pt>
                <c:pt idx="229">
                  <c:v>108.05134188973015</c:v>
                </c:pt>
                <c:pt idx="230">
                  <c:v>107.46791131810494</c:v>
                </c:pt>
                <c:pt idx="231">
                  <c:v>108.40140023313928</c:v>
                </c:pt>
                <c:pt idx="232">
                  <c:v>106.41773628896252</c:v>
                </c:pt>
                <c:pt idx="233">
                  <c:v>107.11785297578078</c:v>
                </c:pt>
                <c:pt idx="234">
                  <c:v>107.58459743221297</c:v>
                </c:pt>
                <c:pt idx="235">
                  <c:v>104.55075845997878</c:v>
                </c:pt>
                <c:pt idx="236">
                  <c:v>105.71761960322924</c:v>
                </c:pt>
                <c:pt idx="237">
                  <c:v>105.36756125982011</c:v>
                </c:pt>
                <c:pt idx="238">
                  <c:v>105.36756125982011</c:v>
                </c:pt>
                <c:pt idx="239">
                  <c:v>104.90081680230293</c:v>
                </c:pt>
                <c:pt idx="240">
                  <c:v>105.01750291641096</c:v>
                </c:pt>
                <c:pt idx="241">
                  <c:v>105.36756125982011</c:v>
                </c:pt>
                <c:pt idx="242">
                  <c:v>107.11785297578078</c:v>
                </c:pt>
                <c:pt idx="243">
                  <c:v>107.35122520399688</c:v>
                </c:pt>
                <c:pt idx="244">
                  <c:v>107.23453908988883</c:v>
                </c:pt>
                <c:pt idx="245">
                  <c:v>105.83430571733729</c:v>
                </c:pt>
                <c:pt idx="246">
                  <c:v>105.25087514571206</c:v>
                </c:pt>
                <c:pt idx="247">
                  <c:v>105.48424737392816</c:v>
                </c:pt>
                <c:pt idx="248">
                  <c:v>105.60093348912119</c:v>
                </c:pt>
                <c:pt idx="249">
                  <c:v>106.53442240307056</c:v>
                </c:pt>
                <c:pt idx="250">
                  <c:v>105.48424737392816</c:v>
                </c:pt>
                <c:pt idx="251">
                  <c:v>103.73395565905247</c:v>
                </c:pt>
                <c:pt idx="252">
                  <c:v>101.7502917148757</c:v>
                </c:pt>
                <c:pt idx="253">
                  <c:v>98.366394399232377</c:v>
                </c:pt>
                <c:pt idx="254">
                  <c:v>98.13302216993128</c:v>
                </c:pt>
                <c:pt idx="255">
                  <c:v>98.016336055823245</c:v>
                </c:pt>
                <c:pt idx="256">
                  <c:v>99.53325554248282</c:v>
                </c:pt>
                <c:pt idx="257">
                  <c:v>100.11668611410806</c:v>
                </c:pt>
                <c:pt idx="258">
                  <c:v>99.883313885891951</c:v>
                </c:pt>
                <c:pt idx="259">
                  <c:v>99.53325554248282</c:v>
                </c:pt>
                <c:pt idx="260">
                  <c:v>99.766627770698932</c:v>
                </c:pt>
                <c:pt idx="261">
                  <c:v>100.35005834232416</c:v>
                </c:pt>
                <c:pt idx="262">
                  <c:v>99.53325554248282</c:v>
                </c:pt>
                <c:pt idx="263">
                  <c:v>99.416569428374785</c:v>
                </c:pt>
                <c:pt idx="264">
                  <c:v>98.949824970857591</c:v>
                </c:pt>
                <c:pt idx="265">
                  <c:v>98.833138856749542</c:v>
                </c:pt>
                <c:pt idx="266">
                  <c:v>98.249708284039343</c:v>
                </c:pt>
                <c:pt idx="267">
                  <c:v>99.299883313181752</c:v>
                </c:pt>
                <c:pt idx="268">
                  <c:v>100.93348891503436</c:v>
                </c:pt>
                <c:pt idx="269">
                  <c:v>99.416569428374785</c:v>
                </c:pt>
                <c:pt idx="270">
                  <c:v>102.56709451580201</c:v>
                </c:pt>
                <c:pt idx="271">
                  <c:v>101.7502917148757</c:v>
                </c:pt>
                <c:pt idx="272">
                  <c:v>99.183197199073689</c:v>
                </c:pt>
                <c:pt idx="273">
                  <c:v>98.949824970857591</c:v>
                </c:pt>
                <c:pt idx="274">
                  <c:v>98.949824970857591</c:v>
                </c:pt>
                <c:pt idx="275">
                  <c:v>98.833138856749542</c:v>
                </c:pt>
                <c:pt idx="276">
                  <c:v>96.382730455055594</c:v>
                </c:pt>
                <c:pt idx="277">
                  <c:v>96.499416569163643</c:v>
                </c:pt>
                <c:pt idx="278">
                  <c:v>98.716452741556523</c:v>
                </c:pt>
                <c:pt idx="279">
                  <c:v>100.2333722282161</c:v>
                </c:pt>
                <c:pt idx="280">
                  <c:v>101.98366394417677</c:v>
                </c:pt>
                <c:pt idx="281">
                  <c:v>103.26721120153529</c:v>
                </c:pt>
                <c:pt idx="282">
                  <c:v>102.91715285812614</c:v>
                </c:pt>
                <c:pt idx="283">
                  <c:v>102.21703617239288</c:v>
                </c:pt>
                <c:pt idx="284">
                  <c:v>104.43407234478575</c:v>
                </c:pt>
                <c:pt idx="285">
                  <c:v>105.36756125982011</c:v>
                </c:pt>
                <c:pt idx="286">
                  <c:v>105.95099183144534</c:v>
                </c:pt>
                <c:pt idx="287">
                  <c:v>106.6511085182636</c:v>
                </c:pt>
                <c:pt idx="288">
                  <c:v>107.00116686058774</c:v>
                </c:pt>
                <c:pt idx="289">
                  <c:v>107.00116686058774</c:v>
                </c:pt>
                <c:pt idx="290">
                  <c:v>105.83430571733729</c:v>
                </c:pt>
                <c:pt idx="291">
                  <c:v>104.55075845997878</c:v>
                </c:pt>
                <c:pt idx="292">
                  <c:v>103.15052508742724</c:v>
                </c:pt>
                <c:pt idx="293">
                  <c:v>102.80046674401811</c:v>
                </c:pt>
                <c:pt idx="294">
                  <c:v>102.80046674401811</c:v>
                </c:pt>
                <c:pt idx="295">
                  <c:v>101.7502917148757</c:v>
                </c:pt>
                <c:pt idx="296">
                  <c:v>102.10035005828483</c:v>
                </c:pt>
                <c:pt idx="297">
                  <c:v>101.40023337146657</c:v>
                </c:pt>
                <c:pt idx="298">
                  <c:v>102.33372228650092</c:v>
                </c:pt>
                <c:pt idx="299">
                  <c:v>104.66744457408683</c:v>
                </c:pt>
                <c:pt idx="300">
                  <c:v>107.35122520399688</c:v>
                </c:pt>
                <c:pt idx="301">
                  <c:v>109.2182030340656</c:v>
                </c:pt>
                <c:pt idx="302">
                  <c:v>110.26837806320802</c:v>
                </c:pt>
                <c:pt idx="303">
                  <c:v>109.45157526228169</c:v>
                </c:pt>
                <c:pt idx="304">
                  <c:v>108.75145857654842</c:v>
                </c:pt>
                <c:pt idx="305">
                  <c:v>108.86814469065648</c:v>
                </c:pt>
                <c:pt idx="306">
                  <c:v>108.28471411903124</c:v>
                </c:pt>
                <c:pt idx="307">
                  <c:v>108.86814469065648</c:v>
                </c:pt>
                <c:pt idx="308">
                  <c:v>108.16802800492319</c:v>
                </c:pt>
                <c:pt idx="309">
                  <c:v>108.40140023313928</c:v>
                </c:pt>
                <c:pt idx="310">
                  <c:v>107.11785297578078</c:v>
                </c:pt>
                <c:pt idx="311">
                  <c:v>107.23453908988883</c:v>
                </c:pt>
                <c:pt idx="312">
                  <c:v>110.15169194801497</c:v>
                </c:pt>
                <c:pt idx="313">
                  <c:v>110.61843640553217</c:v>
                </c:pt>
                <c:pt idx="314">
                  <c:v>110.26837806320802</c:v>
                </c:pt>
                <c:pt idx="315">
                  <c:v>112.48541423560087</c:v>
                </c:pt>
                <c:pt idx="316">
                  <c:v>109.91831971979889</c:v>
                </c:pt>
                <c:pt idx="317">
                  <c:v>108.05134188973015</c:v>
                </c:pt>
                <c:pt idx="318">
                  <c:v>107.81796966151406</c:v>
                </c:pt>
                <c:pt idx="319">
                  <c:v>107.11785297578078</c:v>
                </c:pt>
                <c:pt idx="320">
                  <c:v>107.00116686058774</c:v>
                </c:pt>
                <c:pt idx="321">
                  <c:v>105.71761960322924</c:v>
                </c:pt>
                <c:pt idx="322">
                  <c:v>106.6511085182636</c:v>
                </c:pt>
                <c:pt idx="323">
                  <c:v>108.98483080476451</c:v>
                </c:pt>
                <c:pt idx="324">
                  <c:v>108.05134188973015</c:v>
                </c:pt>
                <c:pt idx="325">
                  <c:v>107.23453908988883</c:v>
                </c:pt>
                <c:pt idx="326">
                  <c:v>106.6511085182636</c:v>
                </c:pt>
                <c:pt idx="327">
                  <c:v>107.11785297578078</c:v>
                </c:pt>
                <c:pt idx="328">
                  <c:v>107.70128354740601</c:v>
                </c:pt>
                <c:pt idx="329">
                  <c:v>107.81796966151406</c:v>
                </c:pt>
                <c:pt idx="330">
                  <c:v>108.40140023313928</c:v>
                </c:pt>
                <c:pt idx="331">
                  <c:v>108.51808634724735</c:v>
                </c:pt>
                <c:pt idx="332">
                  <c:v>110.7351225196402</c:v>
                </c:pt>
                <c:pt idx="333">
                  <c:v>112.01866977808371</c:v>
                </c:pt>
                <c:pt idx="334">
                  <c:v>111.78529754986761</c:v>
                </c:pt>
                <c:pt idx="335">
                  <c:v>110.15169194801497</c:v>
                </c:pt>
                <c:pt idx="336">
                  <c:v>108.28471411903124</c:v>
                </c:pt>
                <c:pt idx="337">
                  <c:v>107.81796966151406</c:v>
                </c:pt>
                <c:pt idx="338">
                  <c:v>108.28471411903124</c:v>
                </c:pt>
                <c:pt idx="339">
                  <c:v>109.56826137638976</c:v>
                </c:pt>
                <c:pt idx="340">
                  <c:v>110.61843640553217</c:v>
                </c:pt>
                <c:pt idx="341">
                  <c:v>113.53558926474329</c:v>
                </c:pt>
                <c:pt idx="342">
                  <c:v>113.53558926474329</c:v>
                </c:pt>
                <c:pt idx="343">
                  <c:v>114.93582263729482</c:v>
                </c:pt>
                <c:pt idx="344">
                  <c:v>115.40256709372703</c:v>
                </c:pt>
                <c:pt idx="345">
                  <c:v>116.21936989465334</c:v>
                </c:pt>
                <c:pt idx="346">
                  <c:v>116.80280046627857</c:v>
                </c:pt>
                <c:pt idx="347">
                  <c:v>116.9194865803866</c:v>
                </c:pt>
                <c:pt idx="348">
                  <c:v>117.73628938131293</c:v>
                </c:pt>
                <c:pt idx="349">
                  <c:v>117.96966160952903</c:v>
                </c:pt>
                <c:pt idx="350">
                  <c:v>119.36989498208057</c:v>
                </c:pt>
                <c:pt idx="351">
                  <c:v>115.75262543713616</c:v>
                </c:pt>
                <c:pt idx="352">
                  <c:v>116.9194865803866</c:v>
                </c:pt>
                <c:pt idx="353">
                  <c:v>116.10268378054529</c:v>
                </c:pt>
                <c:pt idx="354">
                  <c:v>116.56942823806247</c:v>
                </c:pt>
                <c:pt idx="355">
                  <c:v>115.51925320892006</c:v>
                </c:pt>
                <c:pt idx="356">
                  <c:v>116.21936989465334</c:v>
                </c:pt>
                <c:pt idx="357">
                  <c:v>116.80280046627857</c:v>
                </c:pt>
                <c:pt idx="358">
                  <c:v>115.86931155124421</c:v>
                </c:pt>
                <c:pt idx="359">
                  <c:v>115.40256709372703</c:v>
                </c:pt>
                <c:pt idx="360">
                  <c:v>115.28588097961897</c:v>
                </c:pt>
                <c:pt idx="361">
                  <c:v>115.28588097961897</c:v>
                </c:pt>
                <c:pt idx="362">
                  <c:v>108.98483080476451</c:v>
                </c:pt>
                <c:pt idx="363">
                  <c:v>86.464410735256735</c:v>
                </c:pt>
                <c:pt idx="364">
                  <c:v>91.831971995076827</c:v>
                </c:pt>
                <c:pt idx="365">
                  <c:v>102.10035005828483</c:v>
                </c:pt>
                <c:pt idx="366">
                  <c:v>108.05134188973015</c:v>
                </c:pt>
                <c:pt idx="367">
                  <c:v>109.68494749049779</c:v>
                </c:pt>
                <c:pt idx="368">
                  <c:v>110.5017502914241</c:v>
                </c:pt>
                <c:pt idx="369">
                  <c:v>111.43523920645846</c:v>
                </c:pt>
                <c:pt idx="370">
                  <c:v>112.60210034970893</c:v>
                </c:pt>
                <c:pt idx="371">
                  <c:v>112.36872812149284</c:v>
                </c:pt>
                <c:pt idx="372">
                  <c:v>110.7351225196402</c:v>
                </c:pt>
                <c:pt idx="373">
                  <c:v>111.43523920645846</c:v>
                </c:pt>
                <c:pt idx="374">
                  <c:v>112.71878646381698</c:v>
                </c:pt>
                <c:pt idx="375">
                  <c:v>112.2520420062998</c:v>
                </c:pt>
                <c:pt idx="376">
                  <c:v>113.30221703544221</c:v>
                </c:pt>
                <c:pt idx="377">
                  <c:v>112.60210034970893</c:v>
                </c:pt>
                <c:pt idx="378">
                  <c:v>112.95215869311807</c:v>
                </c:pt>
                <c:pt idx="379">
                  <c:v>114.11901983636852</c:v>
                </c:pt>
                <c:pt idx="380">
                  <c:v>113.65227537885134</c:v>
                </c:pt>
                <c:pt idx="381">
                  <c:v>112.95215869311807</c:v>
                </c:pt>
                <c:pt idx="38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AB-AA43-872A-465F5A1C86CE}"/>
            </c:ext>
          </c:extLst>
        </c:ser>
        <c:ser>
          <c:idx val="10"/>
          <c:order val="3"/>
          <c:tx>
            <c:strRef>
              <c:f>'IP World'!$O$1</c:f>
              <c:strCache>
                <c:ptCount val="1"/>
                <c:pt idx="0">
                  <c:v>USA 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World'!$O$2:$O$385</c:f>
              <c:numCache>
                <c:formatCode>0.00</c:formatCode>
                <c:ptCount val="384"/>
                <c:pt idx="0">
                  <c:v>70.63571124515957</c:v>
                </c:pt>
                <c:pt idx="1">
                  <c:v>71.276888299939813</c:v>
                </c:pt>
                <c:pt idx="2">
                  <c:v>71.619785087825704</c:v>
                </c:pt>
                <c:pt idx="3">
                  <c:v>71.489016462243328</c:v>
                </c:pt>
                <c:pt idx="4">
                  <c:v>71.67467139513596</c:v>
                </c:pt>
                <c:pt idx="5">
                  <c:v>71.917723027703573</c:v>
                </c:pt>
                <c:pt idx="6">
                  <c:v>71.81468282829006</c:v>
                </c:pt>
                <c:pt idx="7">
                  <c:v>72.084778235296028</c:v>
                </c:pt>
                <c:pt idx="8">
                  <c:v>72.09755841513072</c:v>
                </c:pt>
                <c:pt idx="9">
                  <c:v>71.647285295983579</c:v>
                </c:pt>
                <c:pt idx="10">
                  <c:v>70.764996457124212</c:v>
                </c:pt>
                <c:pt idx="11">
                  <c:v>70.281289474196981</c:v>
                </c:pt>
                <c:pt idx="12">
                  <c:v>70.019866333188958</c:v>
                </c:pt>
                <c:pt idx="13">
                  <c:v>69.52132521293305</c:v>
                </c:pt>
                <c:pt idx="14">
                  <c:v>69.133127252325124</c:v>
                </c:pt>
                <c:pt idx="15">
                  <c:v>69.332931670815924</c:v>
                </c:pt>
                <c:pt idx="16">
                  <c:v>70.013932677566743</c:v>
                </c:pt>
                <c:pt idx="17">
                  <c:v>70.564393277897409</c:v>
                </c:pt>
                <c:pt idx="18">
                  <c:v>70.754840778659769</c:v>
                </c:pt>
                <c:pt idx="19">
                  <c:v>70.763513043506464</c:v>
                </c:pt>
                <c:pt idx="20">
                  <c:v>71.370115146754131</c:v>
                </c:pt>
                <c:pt idx="21">
                  <c:v>71.269128904834616</c:v>
                </c:pt>
                <c:pt idx="22">
                  <c:v>71.170767164285323</c:v>
                </c:pt>
                <c:pt idx="23">
                  <c:v>70.861418349185016</c:v>
                </c:pt>
                <c:pt idx="24">
                  <c:v>70.489994374394257</c:v>
                </c:pt>
                <c:pt idx="25">
                  <c:v>70.994697365980898</c:v>
                </c:pt>
                <c:pt idx="26">
                  <c:v>71.571631195722432</c:v>
                </c:pt>
                <c:pt idx="27">
                  <c:v>72.114560617807655</c:v>
                </c:pt>
                <c:pt idx="28">
                  <c:v>72.345859050438804</c:v>
                </c:pt>
                <c:pt idx="29">
                  <c:v>72.385797112566124</c:v>
                </c:pt>
                <c:pt idx="30">
                  <c:v>73.044432804894043</c:v>
                </c:pt>
                <c:pt idx="31">
                  <c:v>72.647562579439409</c:v>
                </c:pt>
                <c:pt idx="32">
                  <c:v>72.865624397365124</c:v>
                </c:pt>
                <c:pt idx="33">
                  <c:v>73.382080590039465</c:v>
                </c:pt>
                <c:pt idx="34">
                  <c:v>73.672030919103591</c:v>
                </c:pt>
                <c:pt idx="35">
                  <c:v>73.768681028024147</c:v>
                </c:pt>
                <c:pt idx="36">
                  <c:v>74.07928503988245</c:v>
                </c:pt>
                <c:pt idx="37">
                  <c:v>74.416704607016868</c:v>
                </c:pt>
                <c:pt idx="38">
                  <c:v>74.353830687741649</c:v>
                </c:pt>
                <c:pt idx="39">
                  <c:v>74.570409090898394</c:v>
                </c:pt>
                <c:pt idx="40">
                  <c:v>74.283996134097237</c:v>
                </c:pt>
                <c:pt idx="41">
                  <c:v>74.447742187437711</c:v>
                </c:pt>
                <c:pt idx="42">
                  <c:v>74.625751834230613</c:v>
                </c:pt>
                <c:pt idx="43">
                  <c:v>74.543251208605781</c:v>
                </c:pt>
                <c:pt idx="44">
                  <c:v>74.919467751266254</c:v>
                </c:pt>
                <c:pt idx="45">
                  <c:v>75.497999102479795</c:v>
                </c:pt>
                <c:pt idx="46">
                  <c:v>75.863032987928833</c:v>
                </c:pt>
                <c:pt idx="47">
                  <c:v>76.270172999702169</c:v>
                </c:pt>
                <c:pt idx="48">
                  <c:v>76.520869919520749</c:v>
                </c:pt>
                <c:pt idx="49">
                  <c:v>76.573816378342499</c:v>
                </c:pt>
                <c:pt idx="50">
                  <c:v>77.341996469582398</c:v>
                </c:pt>
                <c:pt idx="51">
                  <c:v>77.811439857905967</c:v>
                </c:pt>
                <c:pt idx="52">
                  <c:v>78.180011114466723</c:v>
                </c:pt>
                <c:pt idx="53">
                  <c:v>78.690305434659081</c:v>
                </c:pt>
                <c:pt idx="54">
                  <c:v>78.796198352302596</c:v>
                </c:pt>
                <c:pt idx="55">
                  <c:v>79.314023850740412</c:v>
                </c:pt>
                <c:pt idx="56">
                  <c:v>79.568486358530464</c:v>
                </c:pt>
                <c:pt idx="57">
                  <c:v>80.188096859623812</c:v>
                </c:pt>
                <c:pt idx="58">
                  <c:v>80.728629998349803</c:v>
                </c:pt>
                <c:pt idx="59">
                  <c:v>81.548159025788195</c:v>
                </c:pt>
                <c:pt idx="60">
                  <c:v>81.687371698206306</c:v>
                </c:pt>
                <c:pt idx="61">
                  <c:v>81.568013947846367</c:v>
                </c:pt>
                <c:pt idx="62">
                  <c:v>81.697527376670749</c:v>
                </c:pt>
                <c:pt idx="63">
                  <c:v>81.580794127681045</c:v>
                </c:pt>
                <c:pt idx="64">
                  <c:v>81.958037649088524</c:v>
                </c:pt>
                <c:pt idx="65">
                  <c:v>82.224139248960796</c:v>
                </c:pt>
                <c:pt idx="66">
                  <c:v>81.864012040386982</c:v>
                </c:pt>
                <c:pt idx="67">
                  <c:v>82.9414268388729</c:v>
                </c:pt>
                <c:pt idx="68">
                  <c:v>83.286834017972311</c:v>
                </c:pt>
                <c:pt idx="69">
                  <c:v>83.155951284535661</c:v>
                </c:pt>
                <c:pt idx="70">
                  <c:v>83.348680959651759</c:v>
                </c:pt>
                <c:pt idx="71">
                  <c:v>83.658600318628316</c:v>
                </c:pt>
                <c:pt idx="72">
                  <c:v>83.187217081816272</c:v>
                </c:pt>
                <c:pt idx="73">
                  <c:v>84.389124523245883</c:v>
                </c:pt>
                <c:pt idx="74">
                  <c:v>84.274559340755658</c:v>
                </c:pt>
                <c:pt idx="75">
                  <c:v>85.142470477157104</c:v>
                </c:pt>
                <c:pt idx="76">
                  <c:v>85.752724060522013</c:v>
                </c:pt>
                <c:pt idx="77">
                  <c:v>86.402002836272715</c:v>
                </c:pt>
                <c:pt idx="78">
                  <c:v>86.40188872726722</c:v>
                </c:pt>
                <c:pt idx="79">
                  <c:v>86.822493572908243</c:v>
                </c:pt>
                <c:pt idx="80">
                  <c:v>87.402622446745013</c:v>
                </c:pt>
                <c:pt idx="81">
                  <c:v>87.368732149245417</c:v>
                </c:pt>
                <c:pt idx="82">
                  <c:v>88.148209005551038</c:v>
                </c:pt>
                <c:pt idx="83">
                  <c:v>88.701522324111679</c:v>
                </c:pt>
                <c:pt idx="84">
                  <c:v>88.857737200357946</c:v>
                </c:pt>
                <c:pt idx="85">
                  <c:v>89.916894598257755</c:v>
                </c:pt>
                <c:pt idx="86">
                  <c:v>90.459253477617949</c:v>
                </c:pt>
                <c:pt idx="87">
                  <c:v>90.541183558215323</c:v>
                </c:pt>
                <c:pt idx="88">
                  <c:v>91.027971477383517</c:v>
                </c:pt>
                <c:pt idx="89">
                  <c:v>91.442756775256598</c:v>
                </c:pt>
                <c:pt idx="90">
                  <c:v>92.176818350985911</c:v>
                </c:pt>
                <c:pt idx="91">
                  <c:v>93.12631724211947</c:v>
                </c:pt>
                <c:pt idx="92">
                  <c:v>94.028118677171733</c:v>
                </c:pt>
                <c:pt idx="93">
                  <c:v>94.831672480680211</c:v>
                </c:pt>
                <c:pt idx="94">
                  <c:v>95.569956079251753</c:v>
                </c:pt>
                <c:pt idx="95">
                  <c:v>96.003226994570738</c:v>
                </c:pt>
                <c:pt idx="96">
                  <c:v>96.434786279412208</c:v>
                </c:pt>
                <c:pt idx="97">
                  <c:v>96.582671216677014</c:v>
                </c:pt>
                <c:pt idx="98">
                  <c:v>96.614051122963119</c:v>
                </c:pt>
                <c:pt idx="99">
                  <c:v>96.972694917919171</c:v>
                </c:pt>
                <c:pt idx="100">
                  <c:v>97.577699498543595</c:v>
                </c:pt>
                <c:pt idx="101">
                  <c:v>96.990153555466847</c:v>
                </c:pt>
                <c:pt idx="102">
                  <c:v>96.611768947458131</c:v>
                </c:pt>
                <c:pt idx="103">
                  <c:v>98.610840101903264</c:v>
                </c:pt>
                <c:pt idx="104">
                  <c:v>98.50859866437699</c:v>
                </c:pt>
                <c:pt idx="105">
                  <c:v>99.248023350701018</c:v>
                </c:pt>
                <c:pt idx="106">
                  <c:v>99.161072485374191</c:v>
                </c:pt>
                <c:pt idx="107">
                  <c:v>99.561480081940545</c:v>
                </c:pt>
                <c:pt idx="108">
                  <c:v>100</c:v>
                </c:pt>
                <c:pt idx="109">
                  <c:v>100.56381132289037</c:v>
                </c:pt>
                <c:pt idx="110">
                  <c:v>100.75654099800647</c:v>
                </c:pt>
                <c:pt idx="111">
                  <c:v>100.98019414453792</c:v>
                </c:pt>
                <c:pt idx="112">
                  <c:v>101.60779225759623</c:v>
                </c:pt>
                <c:pt idx="113">
                  <c:v>101.53419211482907</c:v>
                </c:pt>
                <c:pt idx="114">
                  <c:v>102.14501624322145</c:v>
                </c:pt>
                <c:pt idx="115">
                  <c:v>102.58193863865766</c:v>
                </c:pt>
                <c:pt idx="116">
                  <c:v>102.12276503665282</c:v>
                </c:pt>
                <c:pt idx="117">
                  <c:v>103.46525445626402</c:v>
                </c:pt>
                <c:pt idx="118">
                  <c:v>104.00304898576549</c:v>
                </c:pt>
                <c:pt idx="119">
                  <c:v>104.80249487313475</c:v>
                </c:pt>
                <c:pt idx="120">
                  <c:v>104.74521228131404</c:v>
                </c:pt>
                <c:pt idx="121">
                  <c:v>105.125194411946</c:v>
                </c:pt>
                <c:pt idx="122">
                  <c:v>105.52012478891214</c:v>
                </c:pt>
                <c:pt idx="123">
                  <c:v>106.19176887908574</c:v>
                </c:pt>
                <c:pt idx="124">
                  <c:v>106.51218624354324</c:v>
                </c:pt>
                <c:pt idx="125">
                  <c:v>106.56707255085348</c:v>
                </c:pt>
                <c:pt idx="126">
                  <c:v>106.35391740980299</c:v>
                </c:pt>
                <c:pt idx="127">
                  <c:v>106.07971408896027</c:v>
                </c:pt>
                <c:pt idx="128">
                  <c:v>106.52428177049619</c:v>
                </c:pt>
                <c:pt idx="129">
                  <c:v>106.12330363005358</c:v>
                </c:pt>
                <c:pt idx="130">
                  <c:v>106.13676846276999</c:v>
                </c:pt>
                <c:pt idx="131">
                  <c:v>105.82308351467071</c:v>
                </c:pt>
                <c:pt idx="132">
                  <c:v>105.21442745277784</c:v>
                </c:pt>
                <c:pt idx="133">
                  <c:v>104.50227475775191</c:v>
                </c:pt>
                <c:pt idx="134">
                  <c:v>104.24598650932762</c:v>
                </c:pt>
                <c:pt idx="135">
                  <c:v>103.92111890401689</c:v>
                </c:pt>
                <c:pt idx="136">
                  <c:v>103.30664329665852</c:v>
                </c:pt>
                <c:pt idx="137">
                  <c:v>102.73461614379219</c:v>
                </c:pt>
                <c:pt idx="138">
                  <c:v>102.10199724485317</c:v>
                </c:pt>
                <c:pt idx="139">
                  <c:v>101.99473502144617</c:v>
                </c:pt>
                <c:pt idx="140">
                  <c:v>101.47257339116061</c:v>
                </c:pt>
                <c:pt idx="141">
                  <c:v>101.14200034823867</c:v>
                </c:pt>
                <c:pt idx="142">
                  <c:v>100.53642522373799</c:v>
                </c:pt>
                <c:pt idx="143">
                  <c:v>100.51805371529757</c:v>
                </c:pt>
                <c:pt idx="144">
                  <c:v>101.18091143161898</c:v>
                </c:pt>
                <c:pt idx="145">
                  <c:v>101.18285128010747</c:v>
                </c:pt>
                <c:pt idx="146">
                  <c:v>101.97031574952928</c:v>
                </c:pt>
                <c:pt idx="147">
                  <c:v>102.46201034442147</c:v>
                </c:pt>
                <c:pt idx="148">
                  <c:v>102.88375627666375</c:v>
                </c:pt>
                <c:pt idx="149">
                  <c:v>103.73375234064676</c:v>
                </c:pt>
                <c:pt idx="150">
                  <c:v>103.69757986764218</c:v>
                </c:pt>
                <c:pt idx="151">
                  <c:v>103.59362679733593</c:v>
                </c:pt>
                <c:pt idx="152">
                  <c:v>103.71697835482958</c:v>
                </c:pt>
                <c:pt idx="153">
                  <c:v>103.41550304268875</c:v>
                </c:pt>
                <c:pt idx="154">
                  <c:v>103.99483315578954</c:v>
                </c:pt>
                <c:pt idx="155">
                  <c:v>103.42520228628246</c:v>
                </c:pt>
                <c:pt idx="156">
                  <c:v>104.2785075033662</c:v>
                </c:pt>
                <c:pt idx="157">
                  <c:v>104.40265782044463</c:v>
                </c:pt>
                <c:pt idx="158">
                  <c:v>104.09114093884483</c:v>
                </c:pt>
                <c:pt idx="159">
                  <c:v>103.43364633311818</c:v>
                </c:pt>
                <c:pt idx="160">
                  <c:v>103.40112534023082</c:v>
                </c:pt>
                <c:pt idx="161">
                  <c:v>103.53908281589094</c:v>
                </c:pt>
                <c:pt idx="162">
                  <c:v>104.07037314704517</c:v>
                </c:pt>
                <c:pt idx="163">
                  <c:v>103.85253954713045</c:v>
                </c:pt>
                <c:pt idx="164">
                  <c:v>104.56412169943137</c:v>
                </c:pt>
                <c:pt idx="165">
                  <c:v>104.68017029553933</c:v>
                </c:pt>
                <c:pt idx="166">
                  <c:v>105.37999924675253</c:v>
                </c:pt>
                <c:pt idx="167">
                  <c:v>105.43865114318552</c:v>
                </c:pt>
                <c:pt idx="168">
                  <c:v>105.62396374906166</c:v>
                </c:pt>
                <c:pt idx="169">
                  <c:v>106.2457423166545</c:v>
                </c:pt>
                <c:pt idx="170">
                  <c:v>105.82479514629945</c:v>
                </c:pt>
                <c:pt idx="171">
                  <c:v>106.26434204310591</c:v>
                </c:pt>
                <c:pt idx="172">
                  <c:v>107.03058228470609</c:v>
                </c:pt>
                <c:pt idx="173">
                  <c:v>106.19838718643847</c:v>
                </c:pt>
                <c:pt idx="174">
                  <c:v>106.99361105096548</c:v>
                </c:pt>
                <c:pt idx="175">
                  <c:v>107.09288566125628</c:v>
                </c:pt>
                <c:pt idx="176">
                  <c:v>107.19295903343431</c:v>
                </c:pt>
                <c:pt idx="177">
                  <c:v>108.17646233222419</c:v>
                </c:pt>
                <c:pt idx="178">
                  <c:v>108.44655773807894</c:v>
                </c:pt>
                <c:pt idx="179">
                  <c:v>109.25148084619966</c:v>
                </c:pt>
                <c:pt idx="180">
                  <c:v>109.67722058442442</c:v>
                </c:pt>
                <c:pt idx="181">
                  <c:v>110.48008973505115</c:v>
                </c:pt>
                <c:pt idx="182">
                  <c:v>110.31177933185194</c:v>
                </c:pt>
                <c:pt idx="183">
                  <c:v>110.53006936663742</c:v>
                </c:pt>
                <c:pt idx="184">
                  <c:v>110.64235237477388</c:v>
                </c:pt>
                <c:pt idx="185">
                  <c:v>111.08828936092205</c:v>
                </c:pt>
                <c:pt idx="186">
                  <c:v>110.73398169896497</c:v>
                </c:pt>
                <c:pt idx="187">
                  <c:v>111.12548881267364</c:v>
                </c:pt>
                <c:pt idx="188">
                  <c:v>108.98412404956942</c:v>
                </c:pt>
                <c:pt idx="189">
                  <c:v>110.2798288816896</c:v>
                </c:pt>
                <c:pt idx="190">
                  <c:v>111.45412200710709</c:v>
                </c:pt>
                <c:pt idx="191">
                  <c:v>112.06711420084773</c:v>
                </c:pt>
                <c:pt idx="192">
                  <c:v>112.20917959149581</c:v>
                </c:pt>
                <c:pt idx="193">
                  <c:v>112.21591200785403</c:v>
                </c:pt>
                <c:pt idx="194">
                  <c:v>112.50152620391918</c:v>
                </c:pt>
                <c:pt idx="195">
                  <c:v>112.85834425939225</c:v>
                </c:pt>
                <c:pt idx="196">
                  <c:v>112.85343758251703</c:v>
                </c:pt>
                <c:pt idx="197">
                  <c:v>113.20614772300212</c:v>
                </c:pt>
                <c:pt idx="198">
                  <c:v>113.13574262548146</c:v>
                </c:pt>
                <c:pt idx="199">
                  <c:v>113.63120280834515</c:v>
                </c:pt>
                <c:pt idx="200">
                  <c:v>113.43927189396504</c:v>
                </c:pt>
                <c:pt idx="201">
                  <c:v>113.30211317904094</c:v>
                </c:pt>
                <c:pt idx="202">
                  <c:v>113.23878282489497</c:v>
                </c:pt>
                <c:pt idx="203">
                  <c:v>114.3969866162258</c:v>
                </c:pt>
                <c:pt idx="204">
                  <c:v>113.9489956714324</c:v>
                </c:pt>
                <c:pt idx="205">
                  <c:v>115.03257234124908</c:v>
                </c:pt>
                <c:pt idx="206">
                  <c:v>115.27916134607966</c:v>
                </c:pt>
                <c:pt idx="207">
                  <c:v>116.10530868087081</c:v>
                </c:pt>
                <c:pt idx="208">
                  <c:v>116.17959347536846</c:v>
                </c:pt>
                <c:pt idx="209">
                  <c:v>116.21108749066005</c:v>
                </c:pt>
                <c:pt idx="210">
                  <c:v>116.07244536096695</c:v>
                </c:pt>
                <c:pt idx="211">
                  <c:v>116.34972961920191</c:v>
                </c:pt>
                <c:pt idx="212">
                  <c:v>116.62176487354513</c:v>
                </c:pt>
                <c:pt idx="213">
                  <c:v>116.26232231785306</c:v>
                </c:pt>
                <c:pt idx="214">
                  <c:v>116.92917384130818</c:v>
                </c:pt>
                <c:pt idx="215">
                  <c:v>116.9182194009565</c:v>
                </c:pt>
                <c:pt idx="216">
                  <c:v>116.75013721576826</c:v>
                </c:pt>
                <c:pt idx="217">
                  <c:v>116.32063188842079</c:v>
                </c:pt>
                <c:pt idx="218">
                  <c:v>115.92353344495515</c:v>
                </c:pt>
                <c:pt idx="219">
                  <c:v>115.14690930687955</c:v>
                </c:pt>
                <c:pt idx="220">
                  <c:v>114.45940410063027</c:v>
                </c:pt>
                <c:pt idx="221">
                  <c:v>114.2060826805927</c:v>
                </c:pt>
                <c:pt idx="222">
                  <c:v>113.66646241160822</c:v>
                </c:pt>
                <c:pt idx="223">
                  <c:v>111.89515231753128</c:v>
                </c:pt>
                <c:pt idx="224">
                  <c:v>107.08546859316755</c:v>
                </c:pt>
                <c:pt idx="225">
                  <c:v>108.06509219382922</c:v>
                </c:pt>
                <c:pt idx="226">
                  <c:v>106.66166870343129</c:v>
                </c:pt>
                <c:pt idx="227">
                  <c:v>103.63927029707446</c:v>
                </c:pt>
                <c:pt idx="228">
                  <c:v>101.08095216844644</c:v>
                </c:pt>
                <c:pt idx="229">
                  <c:v>100.42357167172527</c:v>
                </c:pt>
                <c:pt idx="230">
                  <c:v>98.823310591223262</c:v>
                </c:pt>
                <c:pt idx="231">
                  <c:v>98.065742613318577</c:v>
                </c:pt>
                <c:pt idx="232">
                  <c:v>97.064894785986496</c:v>
                </c:pt>
                <c:pt idx="233">
                  <c:v>96.746074944152241</c:v>
                </c:pt>
                <c:pt idx="234">
                  <c:v>97.844942186168353</c:v>
                </c:pt>
                <c:pt idx="235">
                  <c:v>98.943010667448462</c:v>
                </c:pt>
                <c:pt idx="236">
                  <c:v>99.739261510722471</c:v>
                </c:pt>
                <c:pt idx="237">
                  <c:v>100.02715788114138</c:v>
                </c:pt>
                <c:pt idx="238">
                  <c:v>100.42265880198377</c:v>
                </c:pt>
                <c:pt idx="239">
                  <c:v>100.73737072883004</c:v>
                </c:pt>
                <c:pt idx="240">
                  <c:v>101.86990005148598</c:v>
                </c:pt>
                <c:pt idx="241">
                  <c:v>102.20127185629518</c:v>
                </c:pt>
                <c:pt idx="242">
                  <c:v>102.95986681179565</c:v>
                </c:pt>
                <c:pt idx="243">
                  <c:v>103.34703779365658</c:v>
                </c:pt>
                <c:pt idx="244">
                  <c:v>104.78001544970635</c:v>
                </c:pt>
                <c:pt idx="245">
                  <c:v>104.9880356970219</c:v>
                </c:pt>
                <c:pt idx="246">
                  <c:v>105.43271748756331</c:v>
                </c:pt>
                <c:pt idx="247">
                  <c:v>105.79227415226087</c:v>
                </c:pt>
                <c:pt idx="248">
                  <c:v>106.03578222085048</c:v>
                </c:pt>
                <c:pt idx="249">
                  <c:v>105.79193182639563</c:v>
                </c:pt>
                <c:pt idx="250">
                  <c:v>105.83985750048789</c:v>
                </c:pt>
                <c:pt idx="251">
                  <c:v>106.86192955564159</c:v>
                </c:pt>
                <c:pt idx="252">
                  <c:v>106.66520607454302</c:v>
                </c:pt>
                <c:pt idx="253">
                  <c:v>106.19154066222599</c:v>
                </c:pt>
                <c:pt idx="254">
                  <c:v>107.29006557837684</c:v>
                </c:pt>
                <c:pt idx="255">
                  <c:v>106.92115199595084</c:v>
                </c:pt>
                <c:pt idx="256">
                  <c:v>107.08991883402078</c:v>
                </c:pt>
                <c:pt idx="257">
                  <c:v>107.35853082625778</c:v>
                </c:pt>
                <c:pt idx="258">
                  <c:v>107.93329658949983</c:v>
                </c:pt>
                <c:pt idx="259">
                  <c:v>108.58645506337876</c:v>
                </c:pt>
                <c:pt idx="260">
                  <c:v>108.50087350151294</c:v>
                </c:pt>
                <c:pt idx="261">
                  <c:v>109.19088910127819</c:v>
                </c:pt>
                <c:pt idx="262">
                  <c:v>109.23710314374172</c:v>
                </c:pt>
                <c:pt idx="263">
                  <c:v>109.77797860833294</c:v>
                </c:pt>
                <c:pt idx="264">
                  <c:v>110.43125119006615</c:v>
                </c:pt>
                <c:pt idx="265">
                  <c:v>110.74368094255867</c:v>
                </c:pt>
                <c:pt idx="266">
                  <c:v>110.19641538747449</c:v>
                </c:pt>
                <c:pt idx="267">
                  <c:v>111.04367284108176</c:v>
                </c:pt>
                <c:pt idx="268">
                  <c:v>111.21825922461721</c:v>
                </c:pt>
                <c:pt idx="269">
                  <c:v>111.20776122028749</c:v>
                </c:pt>
                <c:pt idx="270">
                  <c:v>111.45982744471831</c:v>
                </c:pt>
                <c:pt idx="271">
                  <c:v>111.00978254243093</c:v>
                </c:pt>
                <c:pt idx="272">
                  <c:v>110.94736505687523</c:v>
                </c:pt>
                <c:pt idx="273">
                  <c:v>111.2952826294906</c:v>
                </c:pt>
                <c:pt idx="274">
                  <c:v>111.80797323419343</c:v>
                </c:pt>
                <c:pt idx="275">
                  <c:v>112.06871172347095</c:v>
                </c:pt>
                <c:pt idx="276">
                  <c:v>112.01644991637971</c:v>
                </c:pt>
                <c:pt idx="277">
                  <c:v>112.56348725460414</c:v>
                </c:pt>
                <c:pt idx="278">
                  <c:v>113.03578336230893</c:v>
                </c:pt>
                <c:pt idx="279">
                  <c:v>112.95933050016055</c:v>
                </c:pt>
                <c:pt idx="280">
                  <c:v>113.0505033906321</c:v>
                </c:pt>
                <c:pt idx="281">
                  <c:v>113.20329500362089</c:v>
                </c:pt>
                <c:pt idx="282">
                  <c:v>112.87682987568692</c:v>
                </c:pt>
                <c:pt idx="283">
                  <c:v>113.53774774351983</c:v>
                </c:pt>
                <c:pt idx="284">
                  <c:v>114.17356168770534</c:v>
                </c:pt>
                <c:pt idx="285">
                  <c:v>114.01380944034736</c:v>
                </c:pt>
                <c:pt idx="286">
                  <c:v>114.30980753288796</c:v>
                </c:pt>
                <c:pt idx="287">
                  <c:v>114.5261577180337</c:v>
                </c:pt>
                <c:pt idx="288">
                  <c:v>114.15210924302394</c:v>
                </c:pt>
                <c:pt idx="289">
                  <c:v>115.01226098432016</c:v>
                </c:pt>
                <c:pt idx="290">
                  <c:v>116.13782967375816</c:v>
                </c:pt>
                <c:pt idx="291">
                  <c:v>116.20116002905534</c:v>
                </c:pt>
                <c:pt idx="292">
                  <c:v>116.65622571607221</c:v>
                </c:pt>
                <c:pt idx="293">
                  <c:v>117.04385313280389</c:v>
                </c:pt>
                <c:pt idx="294">
                  <c:v>117.35845095064467</c:v>
                </c:pt>
                <c:pt idx="295">
                  <c:v>117.13160276001798</c:v>
                </c:pt>
                <c:pt idx="296">
                  <c:v>117.51580691349218</c:v>
                </c:pt>
                <c:pt idx="297">
                  <c:v>117.52185467696867</c:v>
                </c:pt>
                <c:pt idx="298">
                  <c:v>118.29300159544405</c:v>
                </c:pt>
                <c:pt idx="299">
                  <c:v>118.23252395952808</c:v>
                </c:pt>
                <c:pt idx="300">
                  <c:v>117.35845095064467</c:v>
                </c:pt>
                <c:pt idx="301">
                  <c:v>116.65246012694949</c:v>
                </c:pt>
                <c:pt idx="302">
                  <c:v>116.27053814782903</c:v>
                </c:pt>
                <c:pt idx="303">
                  <c:v>115.57607230836179</c:v>
                </c:pt>
                <c:pt idx="304">
                  <c:v>115.06817427152865</c:v>
                </c:pt>
                <c:pt idx="305">
                  <c:v>114.68648050926794</c:v>
                </c:pt>
                <c:pt idx="306">
                  <c:v>115.45876851549582</c:v>
                </c:pt>
                <c:pt idx="307">
                  <c:v>115.14884915536803</c:v>
                </c:pt>
                <c:pt idx="308">
                  <c:v>114.75688560678861</c:v>
                </c:pt>
                <c:pt idx="309">
                  <c:v>114.28995260967855</c:v>
                </c:pt>
                <c:pt idx="310">
                  <c:v>113.43539219698806</c:v>
                </c:pt>
                <c:pt idx="311">
                  <c:v>112.7769847215199</c:v>
                </c:pt>
                <c:pt idx="312">
                  <c:v>113.51504010323168</c:v>
                </c:pt>
                <c:pt idx="313">
                  <c:v>112.92007709091499</c:v>
                </c:pt>
                <c:pt idx="314">
                  <c:v>112.04954145314331</c:v>
                </c:pt>
                <c:pt idx="315">
                  <c:v>112.35980313913636</c:v>
                </c:pt>
                <c:pt idx="316">
                  <c:v>112.15623313267405</c:v>
                </c:pt>
                <c:pt idx="317">
                  <c:v>112.6482700534315</c:v>
                </c:pt>
                <c:pt idx="318">
                  <c:v>112.85263882178104</c:v>
                </c:pt>
                <c:pt idx="319">
                  <c:v>112.65374727418296</c:v>
                </c:pt>
                <c:pt idx="320">
                  <c:v>112.5180719728766</c:v>
                </c:pt>
                <c:pt idx="321">
                  <c:v>112.59144389763276</c:v>
                </c:pt>
                <c:pt idx="322">
                  <c:v>112.08765377578762</c:v>
                </c:pt>
                <c:pt idx="323">
                  <c:v>112.84875912365281</c:v>
                </c:pt>
                <c:pt idx="324">
                  <c:v>112.67622669761136</c:v>
                </c:pt>
                <c:pt idx="325">
                  <c:v>112.24603671738213</c:v>
                </c:pt>
                <c:pt idx="326">
                  <c:v>113.08918625600143</c:v>
                </c:pt>
                <c:pt idx="327">
                  <c:v>114.15016939453544</c:v>
                </c:pt>
                <c:pt idx="328">
                  <c:v>114.27648777811336</c:v>
                </c:pt>
                <c:pt idx="329">
                  <c:v>114.45586672951853</c:v>
                </c:pt>
                <c:pt idx="330">
                  <c:v>114.34746341951029</c:v>
                </c:pt>
                <c:pt idx="331">
                  <c:v>113.77269765626824</c:v>
                </c:pt>
                <c:pt idx="332">
                  <c:v>113.82176441696176</c:v>
                </c:pt>
                <c:pt idx="333">
                  <c:v>115.23614234771138</c:v>
                </c:pt>
                <c:pt idx="334">
                  <c:v>115.56135228003859</c:v>
                </c:pt>
                <c:pt idx="335">
                  <c:v>115.67158132952984</c:v>
                </c:pt>
                <c:pt idx="336">
                  <c:v>115.65617664947615</c:v>
                </c:pt>
                <c:pt idx="337">
                  <c:v>115.99097171524033</c:v>
                </c:pt>
                <c:pt idx="338">
                  <c:v>116.73096694544061</c:v>
                </c:pt>
                <c:pt idx="339">
                  <c:v>117.99928567840843</c:v>
                </c:pt>
                <c:pt idx="340">
                  <c:v>117.00802298566458</c:v>
                </c:pt>
                <c:pt idx="341">
                  <c:v>117.87947149317775</c:v>
                </c:pt>
                <c:pt idx="342">
                  <c:v>118.15664164240718</c:v>
                </c:pt>
                <c:pt idx="343">
                  <c:v>118.86240424809138</c:v>
                </c:pt>
                <c:pt idx="344">
                  <c:v>118.82315083884581</c:v>
                </c:pt>
                <c:pt idx="345">
                  <c:v>118.6587201326236</c:v>
                </c:pt>
                <c:pt idx="346">
                  <c:v>118.57348089777425</c:v>
                </c:pt>
                <c:pt idx="347">
                  <c:v>118.52133320083972</c:v>
                </c:pt>
                <c:pt idx="348">
                  <c:v>117.87696110081299</c:v>
                </c:pt>
                <c:pt idx="349">
                  <c:v>117.22163456158583</c:v>
                </c:pt>
                <c:pt idx="350">
                  <c:v>117.37625191520885</c:v>
                </c:pt>
                <c:pt idx="351">
                  <c:v>116.68110142285985</c:v>
                </c:pt>
                <c:pt idx="352">
                  <c:v>116.9065803088743</c:v>
                </c:pt>
                <c:pt idx="353">
                  <c:v>116.82910046913015</c:v>
                </c:pt>
                <c:pt idx="354">
                  <c:v>116.45573664585089</c:v>
                </c:pt>
                <c:pt idx="355">
                  <c:v>117.17621927985829</c:v>
                </c:pt>
                <c:pt idx="356">
                  <c:v>116.74956667189203</c:v>
                </c:pt>
                <c:pt idx="357">
                  <c:v>115.77987053168383</c:v>
                </c:pt>
                <c:pt idx="358">
                  <c:v>116.37677339248903</c:v>
                </c:pt>
                <c:pt idx="359">
                  <c:v>115.95491335124126</c:v>
                </c:pt>
                <c:pt idx="360">
                  <c:v>115.35458722832981</c:v>
                </c:pt>
                <c:pt idx="361">
                  <c:v>115.62034650233682</c:v>
                </c:pt>
                <c:pt idx="362">
                  <c:v>111.19635034506506</c:v>
                </c:pt>
                <c:pt idx="363">
                  <c:v>96.081619705207601</c:v>
                </c:pt>
                <c:pt idx="364">
                  <c:v>97.954828910945579</c:v>
                </c:pt>
                <c:pt idx="365">
                  <c:v>104.02404499442491</c:v>
                </c:pt>
                <c:pt idx="366">
                  <c:v>108.27630748639123</c:v>
                </c:pt>
                <c:pt idx="367">
                  <c:v>109.42161698888187</c:v>
                </c:pt>
                <c:pt idx="368">
                  <c:v>109.09013107621843</c:v>
                </c:pt>
                <c:pt idx="369">
                  <c:v>110.28085586043659</c:v>
                </c:pt>
                <c:pt idx="370">
                  <c:v>110.86908645639508</c:v>
                </c:pt>
                <c:pt idx="371">
                  <c:v>112.15223932669157</c:v>
                </c:pt>
                <c:pt idx="372">
                  <c:v>113.43276769561783</c:v>
                </c:pt>
                <c:pt idx="373">
                  <c:v>109.99695329600017</c:v>
                </c:pt>
                <c:pt idx="374">
                  <c:v>113.15228839328763</c:v>
                </c:pt>
                <c:pt idx="375">
                  <c:v>113.24334717475369</c:v>
                </c:pt>
                <c:pt idx="376">
                  <c:v>114.02042774770007</c:v>
                </c:pt>
                <c:pt idx="377">
                  <c:v>114.64551546839364</c:v>
                </c:pt>
                <c:pt idx="378">
                  <c:v>115.52848896013475</c:v>
                </c:pt>
                <c:pt idx="379">
                  <c:v>115.37090477927623</c:v>
                </c:pt>
                <c:pt idx="380">
                  <c:v>114.20129011272299</c:v>
                </c:pt>
                <c:pt idx="381">
                  <c:v>116.11820296971099</c:v>
                </c:pt>
                <c:pt idx="382">
                  <c:v>116.71636102612294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AB-AA43-872A-465F5A1C86CE}"/>
            </c:ext>
          </c:extLst>
        </c:ser>
        <c:ser>
          <c:idx val="11"/>
          <c:order val="4"/>
          <c:tx>
            <c:v>Japan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c:spPr>
          <c:marker>
            <c:symbol val="none"/>
          </c:marker>
          <c:val>
            <c:numRef>
              <c:f>'IP World'!$Q$2:$Q$385</c:f>
              <c:numCache>
                <c:formatCode>0.00</c:formatCode>
                <c:ptCount val="384"/>
                <c:pt idx="0">
                  <c:v>101.30469359386611</c:v>
                </c:pt>
                <c:pt idx="1">
                  <c:v>101.81376240615793</c:v>
                </c:pt>
                <c:pt idx="2">
                  <c:v>103.64641012920373</c:v>
                </c:pt>
                <c:pt idx="3">
                  <c:v>103.85003765432126</c:v>
                </c:pt>
                <c:pt idx="4">
                  <c:v>104.56273399072663</c:v>
                </c:pt>
                <c:pt idx="5">
                  <c:v>104.86817527790092</c:v>
                </c:pt>
                <c:pt idx="6">
                  <c:v>105.78449913942381</c:v>
                </c:pt>
                <c:pt idx="7">
                  <c:v>106.7008230019507</c:v>
                </c:pt>
                <c:pt idx="8">
                  <c:v>105.78449913942381</c:v>
                </c:pt>
                <c:pt idx="9">
                  <c:v>107.9225881506479</c:v>
                </c:pt>
                <c:pt idx="10">
                  <c:v>107.20989181323854</c:v>
                </c:pt>
                <c:pt idx="11">
                  <c:v>107.31170557629929</c:v>
                </c:pt>
                <c:pt idx="12">
                  <c:v>108.02440191270466</c:v>
                </c:pt>
                <c:pt idx="13">
                  <c:v>108.43165696193573</c:v>
                </c:pt>
                <c:pt idx="14">
                  <c:v>107.41351933835607</c:v>
                </c:pt>
                <c:pt idx="15">
                  <c:v>107.82077438758714</c:v>
                </c:pt>
                <c:pt idx="16">
                  <c:v>108.94072577422756</c:v>
                </c:pt>
                <c:pt idx="17">
                  <c:v>105.78449913942381</c:v>
                </c:pt>
                <c:pt idx="18">
                  <c:v>108.12621567476144</c:v>
                </c:pt>
                <c:pt idx="19">
                  <c:v>106.39538171377242</c:v>
                </c:pt>
                <c:pt idx="20">
                  <c:v>106.49719547683317</c:v>
                </c:pt>
                <c:pt idx="21">
                  <c:v>105.78449913942381</c:v>
                </c:pt>
                <c:pt idx="22">
                  <c:v>106.49719547683317</c:v>
                </c:pt>
                <c:pt idx="23">
                  <c:v>105.07180280301846</c:v>
                </c:pt>
                <c:pt idx="24">
                  <c:v>104.35910646661308</c:v>
                </c:pt>
                <c:pt idx="25">
                  <c:v>104.0536651784348</c:v>
                </c:pt>
                <c:pt idx="26">
                  <c:v>102.52645874256331</c:v>
                </c:pt>
                <c:pt idx="27">
                  <c:v>102.01738993127546</c:v>
                </c:pt>
                <c:pt idx="28">
                  <c:v>99.675673395937849</c:v>
                </c:pt>
                <c:pt idx="29">
                  <c:v>101.71194864309719</c:v>
                </c:pt>
                <c:pt idx="30">
                  <c:v>101.50832111898364</c:v>
                </c:pt>
                <c:pt idx="31">
                  <c:v>98.555722009297426</c:v>
                </c:pt>
                <c:pt idx="32">
                  <c:v>102.32283121844976</c:v>
                </c:pt>
                <c:pt idx="33">
                  <c:v>99.16660458364602</c:v>
                </c:pt>
                <c:pt idx="34">
                  <c:v>97.944839434948832</c:v>
                </c:pt>
                <c:pt idx="35">
                  <c:v>97.537584384713767</c:v>
                </c:pt>
                <c:pt idx="36">
                  <c:v>99.573859632877088</c:v>
                </c:pt>
                <c:pt idx="37">
                  <c:v>99.777487157994614</c:v>
                </c:pt>
                <c:pt idx="38">
                  <c:v>96.417632998073358</c:v>
                </c:pt>
                <c:pt idx="39">
                  <c:v>98.250280722123122</c:v>
                </c:pt>
                <c:pt idx="40">
                  <c:v>99.573859632877088</c:v>
                </c:pt>
                <c:pt idx="41">
                  <c:v>97.741211909831293</c:v>
                </c:pt>
                <c:pt idx="42">
                  <c:v>97.639398147774529</c:v>
                </c:pt>
                <c:pt idx="43">
                  <c:v>96.723074285247648</c:v>
                </c:pt>
                <c:pt idx="44">
                  <c:v>97.028515572421952</c:v>
                </c:pt>
                <c:pt idx="45">
                  <c:v>96.214005473959801</c:v>
                </c:pt>
                <c:pt idx="46">
                  <c:v>96.010377948842276</c:v>
                </c:pt>
                <c:pt idx="47">
                  <c:v>95.297681612436904</c:v>
                </c:pt>
                <c:pt idx="48">
                  <c:v>94.890426562201867</c:v>
                </c:pt>
                <c:pt idx="49">
                  <c:v>95.704936661667986</c:v>
                </c:pt>
                <c:pt idx="50">
                  <c:v>96.723074285247648</c:v>
                </c:pt>
                <c:pt idx="51">
                  <c:v>97.639398147774529</c:v>
                </c:pt>
                <c:pt idx="52">
                  <c:v>97.537584384713767</c:v>
                </c:pt>
                <c:pt idx="53">
                  <c:v>98.759349533410969</c:v>
                </c:pt>
                <c:pt idx="54">
                  <c:v>99.777487157994614</c:v>
                </c:pt>
                <c:pt idx="55">
                  <c:v>100.59199725746073</c:v>
                </c:pt>
                <c:pt idx="56">
                  <c:v>99.573859632877088</c:v>
                </c:pt>
                <c:pt idx="57">
                  <c:v>100.59199725746073</c:v>
                </c:pt>
                <c:pt idx="58">
                  <c:v>101.20287983180934</c:v>
                </c:pt>
                <c:pt idx="59">
                  <c:v>101.9155761682147</c:v>
                </c:pt>
                <c:pt idx="60">
                  <c:v>99.879300920051392</c:v>
                </c:pt>
                <c:pt idx="61">
                  <c:v>101.30469359386611</c:v>
                </c:pt>
                <c:pt idx="62">
                  <c:v>102.32283121844976</c:v>
                </c:pt>
                <c:pt idx="63">
                  <c:v>103.54459636714695</c:v>
                </c:pt>
                <c:pt idx="64">
                  <c:v>101.81376240615793</c:v>
                </c:pt>
                <c:pt idx="65">
                  <c:v>101.71194864309719</c:v>
                </c:pt>
                <c:pt idx="66">
                  <c:v>100.28655597028644</c:v>
                </c:pt>
                <c:pt idx="67">
                  <c:v>101.81376240615793</c:v>
                </c:pt>
                <c:pt idx="68">
                  <c:v>100.1847422072257</c:v>
                </c:pt>
                <c:pt idx="69">
                  <c:v>101.71194864309719</c:v>
                </c:pt>
                <c:pt idx="70">
                  <c:v>102.52645874256331</c:v>
                </c:pt>
                <c:pt idx="71">
                  <c:v>103.85003765432126</c:v>
                </c:pt>
                <c:pt idx="72">
                  <c:v>102.32283121844976</c:v>
                </c:pt>
                <c:pt idx="73">
                  <c:v>102.22101745538902</c:v>
                </c:pt>
                <c:pt idx="74">
                  <c:v>102.11920369333224</c:v>
                </c:pt>
                <c:pt idx="75">
                  <c:v>102.42464498050653</c:v>
                </c:pt>
                <c:pt idx="76">
                  <c:v>103.03552755485514</c:v>
                </c:pt>
                <c:pt idx="77">
                  <c:v>103.23915507997265</c:v>
                </c:pt>
                <c:pt idx="78">
                  <c:v>103.85003765432126</c:v>
                </c:pt>
                <c:pt idx="79">
                  <c:v>103.95185141637802</c:v>
                </c:pt>
                <c:pt idx="80">
                  <c:v>105.07180280301846</c:v>
                </c:pt>
                <c:pt idx="81">
                  <c:v>105.68268537736705</c:v>
                </c:pt>
                <c:pt idx="82">
                  <c:v>106.19175418965887</c:v>
                </c:pt>
                <c:pt idx="83">
                  <c:v>107.20989181323854</c:v>
                </c:pt>
                <c:pt idx="84">
                  <c:v>108.83891201217079</c:v>
                </c:pt>
                <c:pt idx="85">
                  <c:v>108.83891201217079</c:v>
                </c:pt>
                <c:pt idx="86">
                  <c:v>109.24616706140186</c:v>
                </c:pt>
                <c:pt idx="87">
                  <c:v>106.49719547683317</c:v>
                </c:pt>
                <c:pt idx="88">
                  <c:v>109.65342211163691</c:v>
                </c:pt>
                <c:pt idx="89">
                  <c:v>109.04253953728831</c:v>
                </c:pt>
                <c:pt idx="90">
                  <c:v>109.34798082446261</c:v>
                </c:pt>
                <c:pt idx="91">
                  <c:v>108.83891201217079</c:v>
                </c:pt>
                <c:pt idx="92">
                  <c:v>108.12621567476144</c:v>
                </c:pt>
                <c:pt idx="93">
                  <c:v>107.41351933835607</c:v>
                </c:pt>
                <c:pt idx="94">
                  <c:v>106.08994042659812</c:v>
                </c:pt>
                <c:pt idx="95">
                  <c:v>105.07180280301846</c:v>
                </c:pt>
                <c:pt idx="96">
                  <c:v>106.6168623263213</c:v>
                </c:pt>
                <c:pt idx="97">
                  <c:v>103.84204909299417</c:v>
                </c:pt>
                <c:pt idx="98">
                  <c:v>101.60085378849659</c:v>
                </c:pt>
                <c:pt idx="99">
                  <c:v>101.38740661716557</c:v>
                </c:pt>
                <c:pt idx="100">
                  <c:v>100.64034151600103</c:v>
                </c:pt>
                <c:pt idx="101">
                  <c:v>100.64034151600103</c:v>
                </c:pt>
                <c:pt idx="102">
                  <c:v>100.42689434366602</c:v>
                </c:pt>
                <c:pt idx="103">
                  <c:v>98.612593382834447</c:v>
                </c:pt>
                <c:pt idx="104">
                  <c:v>99.893276413832496</c:v>
                </c:pt>
                <c:pt idx="105">
                  <c:v>99.359658485002967</c:v>
                </c:pt>
                <c:pt idx="106">
                  <c:v>98.826040555169442</c:v>
                </c:pt>
                <c:pt idx="107">
                  <c:v>98.719316969001952</c:v>
                </c:pt>
                <c:pt idx="108">
                  <c:v>100</c:v>
                </c:pt>
                <c:pt idx="109">
                  <c:v>100</c:v>
                </c:pt>
                <c:pt idx="110">
                  <c:v>101.28068303099806</c:v>
                </c:pt>
                <c:pt idx="111">
                  <c:v>99.573105656333993</c:v>
                </c:pt>
                <c:pt idx="112">
                  <c:v>101.17395944483057</c:v>
                </c:pt>
                <c:pt idx="113">
                  <c:v>100.42689434366602</c:v>
                </c:pt>
                <c:pt idx="114">
                  <c:v>100.96051227349955</c:v>
                </c:pt>
                <c:pt idx="115">
                  <c:v>101.92102454699908</c:v>
                </c:pt>
                <c:pt idx="116">
                  <c:v>102.66808964816363</c:v>
                </c:pt>
                <c:pt idx="117">
                  <c:v>102.56136606199611</c:v>
                </c:pt>
                <c:pt idx="118">
                  <c:v>103.62860192166315</c:v>
                </c:pt>
                <c:pt idx="119">
                  <c:v>103.52187833549566</c:v>
                </c:pt>
                <c:pt idx="120">
                  <c:v>103.41515474932815</c:v>
                </c:pt>
                <c:pt idx="121">
                  <c:v>103.30843116316066</c:v>
                </c:pt>
                <c:pt idx="122">
                  <c:v>104.80256136649372</c:v>
                </c:pt>
                <c:pt idx="123">
                  <c:v>106.40341515499028</c:v>
                </c:pt>
                <c:pt idx="124">
                  <c:v>105.76307363898927</c:v>
                </c:pt>
                <c:pt idx="125">
                  <c:v>107.15048025615482</c:v>
                </c:pt>
                <c:pt idx="126">
                  <c:v>106.93703308482381</c:v>
                </c:pt>
                <c:pt idx="127">
                  <c:v>108.43116328715288</c:v>
                </c:pt>
                <c:pt idx="128">
                  <c:v>106.18996798265529</c:v>
                </c:pt>
                <c:pt idx="129">
                  <c:v>107.79082177215585</c:v>
                </c:pt>
                <c:pt idx="130">
                  <c:v>108.21771611582186</c:v>
                </c:pt>
                <c:pt idx="131">
                  <c:v>109.28495197448493</c:v>
                </c:pt>
                <c:pt idx="132">
                  <c:v>105.22945571015974</c:v>
                </c:pt>
                <c:pt idx="133">
                  <c:v>106.18996798265529</c:v>
                </c:pt>
                <c:pt idx="134">
                  <c:v>104.3756670228277</c:v>
                </c:pt>
                <c:pt idx="135">
                  <c:v>103.62860192166315</c:v>
                </c:pt>
                <c:pt idx="136">
                  <c:v>101.60085378849659</c:v>
                </c:pt>
                <c:pt idx="137">
                  <c:v>100.53361792983353</c:v>
                </c:pt>
                <c:pt idx="138">
                  <c:v>99.146211312667972</c:v>
                </c:pt>
                <c:pt idx="139">
                  <c:v>97.758804695502405</c:v>
                </c:pt>
                <c:pt idx="140">
                  <c:v>95.944503735674814</c:v>
                </c:pt>
                <c:pt idx="141">
                  <c:v>95.944503735674814</c:v>
                </c:pt>
                <c:pt idx="142">
                  <c:v>94.450373532341771</c:v>
                </c:pt>
                <c:pt idx="143">
                  <c:v>95.410885805841289</c:v>
                </c:pt>
                <c:pt idx="144">
                  <c:v>94.877267876007778</c:v>
                </c:pt>
                <c:pt idx="145">
                  <c:v>96.051227321842319</c:v>
                </c:pt>
                <c:pt idx="146">
                  <c:v>96.478121665508326</c:v>
                </c:pt>
                <c:pt idx="147">
                  <c:v>96.371398079340835</c:v>
                </c:pt>
                <c:pt idx="148">
                  <c:v>100.21344717233501</c:v>
                </c:pt>
                <c:pt idx="149">
                  <c:v>99.039487726500468</c:v>
                </c:pt>
                <c:pt idx="150">
                  <c:v>99.786552828668988</c:v>
                </c:pt>
                <c:pt idx="151">
                  <c:v>100.21344717233501</c:v>
                </c:pt>
                <c:pt idx="152">
                  <c:v>100.85378868733204</c:v>
                </c:pt>
                <c:pt idx="153">
                  <c:v>100.85378868733204</c:v>
                </c:pt>
                <c:pt idx="154">
                  <c:v>100.74706510116455</c:v>
                </c:pt>
                <c:pt idx="155">
                  <c:v>100.64034151600103</c:v>
                </c:pt>
                <c:pt idx="156">
                  <c:v>102.0277481321626</c:v>
                </c:pt>
                <c:pt idx="157">
                  <c:v>101.59126578745699</c:v>
                </c:pt>
                <c:pt idx="158">
                  <c:v>102.35510989169579</c:v>
                </c:pt>
                <c:pt idx="159">
                  <c:v>100.93654227039859</c:v>
                </c:pt>
                <c:pt idx="160">
                  <c:v>102.2459893045154</c:v>
                </c:pt>
                <c:pt idx="161">
                  <c:v>101.37302461510419</c:v>
                </c:pt>
                <c:pt idx="162">
                  <c:v>101.8095069598098</c:v>
                </c:pt>
                <c:pt idx="163">
                  <c:v>100.82742168422217</c:v>
                </c:pt>
                <c:pt idx="164">
                  <c:v>103.88279809816541</c:v>
                </c:pt>
                <c:pt idx="165">
                  <c:v>105.08312454710982</c:v>
                </c:pt>
                <c:pt idx="166">
                  <c:v>105.30136571946261</c:v>
                </c:pt>
                <c:pt idx="167">
                  <c:v>104.9740039609334</c:v>
                </c:pt>
                <c:pt idx="168">
                  <c:v>106.82905392693623</c:v>
                </c:pt>
                <c:pt idx="169">
                  <c:v>106.50169216840702</c:v>
                </c:pt>
                <c:pt idx="170">
                  <c:v>105.95608923752501</c:v>
                </c:pt>
                <c:pt idx="171">
                  <c:v>107.81113920352783</c:v>
                </c:pt>
                <c:pt idx="172">
                  <c:v>107.92025978970422</c:v>
                </c:pt>
                <c:pt idx="173">
                  <c:v>108.24762154823343</c:v>
                </c:pt>
                <c:pt idx="174">
                  <c:v>109.77530975570704</c:v>
                </c:pt>
                <c:pt idx="175">
                  <c:v>108.24762154823343</c:v>
                </c:pt>
                <c:pt idx="176">
                  <c:v>108.57498330676263</c:v>
                </c:pt>
                <c:pt idx="177">
                  <c:v>106.50169216840702</c:v>
                </c:pt>
                <c:pt idx="178">
                  <c:v>107.81113920352783</c:v>
                </c:pt>
                <c:pt idx="179">
                  <c:v>106.39257158223062</c:v>
                </c:pt>
                <c:pt idx="180">
                  <c:v>108.90234506529183</c:v>
                </c:pt>
                <c:pt idx="181">
                  <c:v>108.90234506529183</c:v>
                </c:pt>
                <c:pt idx="182">
                  <c:v>109.22970682382105</c:v>
                </c:pt>
                <c:pt idx="183">
                  <c:v>109.66618916953063</c:v>
                </c:pt>
                <c:pt idx="184">
                  <c:v>108.79322447911544</c:v>
                </c:pt>
                <c:pt idx="185">
                  <c:v>109.22970682382105</c:v>
                </c:pt>
                <c:pt idx="186">
                  <c:v>108.57498330676263</c:v>
                </c:pt>
                <c:pt idx="187">
                  <c:v>108.57498330676263</c:v>
                </c:pt>
                <c:pt idx="188">
                  <c:v>109.44794799717782</c:v>
                </c:pt>
                <c:pt idx="189">
                  <c:v>108.46586272058623</c:v>
                </c:pt>
                <c:pt idx="190">
                  <c:v>110.64827444511825</c:v>
                </c:pt>
                <c:pt idx="191">
                  <c:v>111.08475678982386</c:v>
                </c:pt>
                <c:pt idx="192">
                  <c:v>111.41211854935705</c:v>
                </c:pt>
                <c:pt idx="193">
                  <c:v>111.19387737600026</c:v>
                </c:pt>
                <c:pt idx="194">
                  <c:v>111.95772148023904</c:v>
                </c:pt>
                <c:pt idx="195">
                  <c:v>114.03101261859467</c:v>
                </c:pt>
                <c:pt idx="196">
                  <c:v>112.28508323876827</c:v>
                </c:pt>
                <c:pt idx="197">
                  <c:v>113.81277144624185</c:v>
                </c:pt>
                <c:pt idx="198">
                  <c:v>114.24925379094748</c:v>
                </c:pt>
                <c:pt idx="199">
                  <c:v>114.57661554947667</c:v>
                </c:pt>
                <c:pt idx="200">
                  <c:v>114.46749496330028</c:v>
                </c:pt>
                <c:pt idx="201">
                  <c:v>114.90397730900986</c:v>
                </c:pt>
                <c:pt idx="202">
                  <c:v>115.99518317077388</c:v>
                </c:pt>
                <c:pt idx="203">
                  <c:v>116.10430375695027</c:v>
                </c:pt>
                <c:pt idx="204">
                  <c:v>114.90397730900986</c:v>
                </c:pt>
                <c:pt idx="205">
                  <c:v>115.55870082606826</c:v>
                </c:pt>
                <c:pt idx="206">
                  <c:v>115.55870082606826</c:v>
                </c:pt>
                <c:pt idx="207">
                  <c:v>115.23133906753907</c:v>
                </c:pt>
                <c:pt idx="208">
                  <c:v>116.54078610165588</c:v>
                </c:pt>
                <c:pt idx="209">
                  <c:v>116.54078610165588</c:v>
                </c:pt>
                <c:pt idx="210">
                  <c:v>116.64990668883627</c:v>
                </c:pt>
                <c:pt idx="211">
                  <c:v>119.5961625166031</c:v>
                </c:pt>
                <c:pt idx="212">
                  <c:v>117.85023313677669</c:v>
                </c:pt>
                <c:pt idx="213">
                  <c:v>119.3779213442503</c:v>
                </c:pt>
                <c:pt idx="214">
                  <c:v>118.1775948953059</c:v>
                </c:pt>
                <c:pt idx="215">
                  <c:v>118.83231841336828</c:v>
                </c:pt>
                <c:pt idx="216">
                  <c:v>119.63951790973601</c:v>
                </c:pt>
                <c:pt idx="217">
                  <c:v>119.94866395147685</c:v>
                </c:pt>
                <c:pt idx="218">
                  <c:v>118.71207978652147</c:v>
                </c:pt>
                <c:pt idx="219">
                  <c:v>118.19683638495871</c:v>
                </c:pt>
                <c:pt idx="220">
                  <c:v>118.81512846743639</c:v>
                </c:pt>
                <c:pt idx="221">
                  <c:v>115.620619375137</c:v>
                </c:pt>
                <c:pt idx="222">
                  <c:v>115.620619375137</c:v>
                </c:pt>
                <c:pt idx="223">
                  <c:v>111.39562348071607</c:v>
                </c:pt>
                <c:pt idx="224">
                  <c:v>112.83830500549337</c:v>
                </c:pt>
                <c:pt idx="225">
                  <c:v>110.36513667658659</c:v>
                </c:pt>
                <c:pt idx="226">
                  <c:v>103.25477773160708</c:v>
                </c:pt>
                <c:pt idx="227">
                  <c:v>94.907834620668211</c:v>
                </c:pt>
                <c:pt idx="228">
                  <c:v>87.282232274125946</c:v>
                </c:pt>
                <c:pt idx="229">
                  <c:v>79.965775967316574</c:v>
                </c:pt>
                <c:pt idx="230">
                  <c:v>80.687116729705224</c:v>
                </c:pt>
                <c:pt idx="231">
                  <c:v>84.190771862741485</c:v>
                </c:pt>
                <c:pt idx="232">
                  <c:v>87.282232274125946</c:v>
                </c:pt>
                <c:pt idx="233">
                  <c:v>88.724913798903259</c:v>
                </c:pt>
                <c:pt idx="234">
                  <c:v>89.755400603032726</c:v>
                </c:pt>
                <c:pt idx="235">
                  <c:v>91.09503344789907</c:v>
                </c:pt>
                <c:pt idx="236">
                  <c:v>93.877347817542713</c:v>
                </c:pt>
                <c:pt idx="237">
                  <c:v>96.453564826360449</c:v>
                </c:pt>
                <c:pt idx="238">
                  <c:v>98.411489753704473</c:v>
                </c:pt>
                <c:pt idx="239">
                  <c:v>99.23587919700806</c:v>
                </c:pt>
                <c:pt idx="240">
                  <c:v>101.50295016508893</c:v>
                </c:pt>
                <c:pt idx="241">
                  <c:v>101.8120962058258</c:v>
                </c:pt>
                <c:pt idx="242">
                  <c:v>102.12124224756664</c:v>
                </c:pt>
                <c:pt idx="243">
                  <c:v>103.35782641151803</c:v>
                </c:pt>
                <c:pt idx="244">
                  <c:v>102.94563168986623</c:v>
                </c:pt>
                <c:pt idx="245">
                  <c:v>102.32733960738855</c:v>
                </c:pt>
                <c:pt idx="246">
                  <c:v>103.56392377234394</c:v>
                </c:pt>
                <c:pt idx="247">
                  <c:v>104.07916717390668</c:v>
                </c:pt>
                <c:pt idx="248">
                  <c:v>105.41880001877301</c:v>
                </c:pt>
                <c:pt idx="249">
                  <c:v>102.43038828830349</c:v>
                </c:pt>
                <c:pt idx="250">
                  <c:v>104.18221585482162</c:v>
                </c:pt>
                <c:pt idx="251">
                  <c:v>104.49136189555847</c:v>
                </c:pt>
                <c:pt idx="252">
                  <c:v>105.21270265794713</c:v>
                </c:pt>
                <c:pt idx="253">
                  <c:v>105.62489737959892</c:v>
                </c:pt>
                <c:pt idx="254">
                  <c:v>88.931011159729138</c:v>
                </c:pt>
                <c:pt idx="255">
                  <c:v>90.579790045332331</c:v>
                </c:pt>
                <c:pt idx="256">
                  <c:v>96.556613507275387</c:v>
                </c:pt>
                <c:pt idx="257">
                  <c:v>100.47246336095947</c:v>
                </c:pt>
                <c:pt idx="258">
                  <c:v>101.39990148417401</c:v>
                </c:pt>
                <c:pt idx="259">
                  <c:v>102.94563168986623</c:v>
                </c:pt>
                <c:pt idx="260">
                  <c:v>102.32733960738855</c:v>
                </c:pt>
                <c:pt idx="261">
                  <c:v>103.97611849399573</c:v>
                </c:pt>
                <c:pt idx="262">
                  <c:v>101.91514488674073</c:v>
                </c:pt>
                <c:pt idx="263">
                  <c:v>103.97611849399573</c:v>
                </c:pt>
                <c:pt idx="264">
                  <c:v>104.28526453473258</c:v>
                </c:pt>
                <c:pt idx="265">
                  <c:v>104.07916717390668</c:v>
                </c:pt>
                <c:pt idx="266">
                  <c:v>103.87306981308079</c:v>
                </c:pt>
                <c:pt idx="267">
                  <c:v>103.35782641151803</c:v>
                </c:pt>
                <c:pt idx="268">
                  <c:v>101.50295016508893</c:v>
                </c:pt>
                <c:pt idx="269">
                  <c:v>100.7816094027003</c:v>
                </c:pt>
                <c:pt idx="270">
                  <c:v>100.26636600013357</c:v>
                </c:pt>
                <c:pt idx="271">
                  <c:v>99.029781836182153</c:v>
                </c:pt>
                <c:pt idx="272">
                  <c:v>96.86575954801225</c:v>
                </c:pt>
                <c:pt idx="273">
                  <c:v>97.174905589753081</c:v>
                </c:pt>
                <c:pt idx="274">
                  <c:v>96.453564826360449</c:v>
                </c:pt>
                <c:pt idx="275">
                  <c:v>97.793197671226778</c:v>
                </c:pt>
                <c:pt idx="276">
                  <c:v>95.771661594841419</c:v>
                </c:pt>
                <c:pt idx="277">
                  <c:v>97.377894913225418</c:v>
                </c:pt>
                <c:pt idx="278">
                  <c:v>98.281401154439934</c:v>
                </c:pt>
                <c:pt idx="279">
                  <c:v>98.482180319488933</c:v>
                </c:pt>
                <c:pt idx="280">
                  <c:v>99.988024055850431</c:v>
                </c:pt>
                <c:pt idx="281">
                  <c:v>98.984128231609418</c:v>
                </c:pt>
                <c:pt idx="282">
                  <c:v>100.48997196696693</c:v>
                </c:pt>
                <c:pt idx="283">
                  <c:v>100.79114071403845</c:v>
                </c:pt>
                <c:pt idx="284">
                  <c:v>101.59425737323045</c:v>
                </c:pt>
                <c:pt idx="285">
                  <c:v>101.89542612030193</c:v>
                </c:pt>
                <c:pt idx="286">
                  <c:v>102.29698445039995</c:v>
                </c:pt>
                <c:pt idx="287">
                  <c:v>102.29698445039995</c:v>
                </c:pt>
                <c:pt idx="288">
                  <c:v>104.00360735080645</c:v>
                </c:pt>
                <c:pt idx="289">
                  <c:v>103.30088027464093</c:v>
                </c:pt>
                <c:pt idx="290">
                  <c:v>104.70633442797593</c:v>
                </c:pt>
                <c:pt idx="291">
                  <c:v>100.18880321989543</c:v>
                </c:pt>
                <c:pt idx="292">
                  <c:v>102.29698445039995</c:v>
                </c:pt>
                <c:pt idx="293">
                  <c:v>100.99191987908745</c:v>
                </c:pt>
                <c:pt idx="294">
                  <c:v>100.79114071403845</c:v>
                </c:pt>
                <c:pt idx="295">
                  <c:v>99.887634472823933</c:v>
                </c:pt>
                <c:pt idx="296">
                  <c:v>100.99191987908745</c:v>
                </c:pt>
                <c:pt idx="297">
                  <c:v>100.99191987908745</c:v>
                </c:pt>
                <c:pt idx="298">
                  <c:v>100.99191987908745</c:v>
                </c:pt>
                <c:pt idx="299">
                  <c:v>100.59036154999342</c:v>
                </c:pt>
                <c:pt idx="300">
                  <c:v>103.10010110959193</c:v>
                </c:pt>
                <c:pt idx="301">
                  <c:v>100.18880321989543</c:v>
                </c:pt>
                <c:pt idx="302">
                  <c:v>99.686855308778931</c:v>
                </c:pt>
                <c:pt idx="303">
                  <c:v>100.08841363787293</c:v>
                </c:pt>
                <c:pt idx="304">
                  <c:v>100.08841363787293</c:v>
                </c:pt>
                <c:pt idx="305">
                  <c:v>100.89153029706493</c:v>
                </c:pt>
                <c:pt idx="306">
                  <c:v>100.79114071403845</c:v>
                </c:pt>
                <c:pt idx="307">
                  <c:v>99.184907396658417</c:v>
                </c:pt>
                <c:pt idx="308">
                  <c:v>100.89153029706493</c:v>
                </c:pt>
                <c:pt idx="309">
                  <c:v>100.99191987908745</c:v>
                </c:pt>
                <c:pt idx="310">
                  <c:v>100.38958238494443</c:v>
                </c:pt>
                <c:pt idx="311">
                  <c:v>98.482180319488933</c:v>
                </c:pt>
                <c:pt idx="312">
                  <c:v>100.69075113201593</c:v>
                </c:pt>
                <c:pt idx="313">
                  <c:v>99.887634472823933</c:v>
                </c:pt>
                <c:pt idx="314">
                  <c:v>100.28919280292192</c:v>
                </c:pt>
                <c:pt idx="315">
                  <c:v>99.586465725752433</c:v>
                </c:pt>
                <c:pt idx="316">
                  <c:v>99.084517813631933</c:v>
                </c:pt>
                <c:pt idx="317">
                  <c:v>99.586465725752433</c:v>
                </c:pt>
                <c:pt idx="318">
                  <c:v>100.08841363787293</c:v>
                </c:pt>
                <c:pt idx="319">
                  <c:v>100.99191987908745</c:v>
                </c:pt>
                <c:pt idx="320">
                  <c:v>101.39347820918543</c:v>
                </c:pt>
                <c:pt idx="321">
                  <c:v>101.49386779120793</c:v>
                </c:pt>
                <c:pt idx="322">
                  <c:v>102.49776361544893</c:v>
                </c:pt>
                <c:pt idx="323">
                  <c:v>101.89542612030193</c:v>
                </c:pt>
                <c:pt idx="324">
                  <c:v>101.09230946211393</c:v>
                </c:pt>
                <c:pt idx="325">
                  <c:v>101.79503653827943</c:v>
                </c:pt>
                <c:pt idx="326">
                  <c:v>101.89542612030193</c:v>
                </c:pt>
                <c:pt idx="327">
                  <c:v>104.20438651585545</c:v>
                </c:pt>
                <c:pt idx="328">
                  <c:v>102.59815319747145</c:v>
                </c:pt>
                <c:pt idx="329">
                  <c:v>103.40126985666343</c:v>
                </c:pt>
                <c:pt idx="330">
                  <c:v>102.89932194454295</c:v>
                </c:pt>
                <c:pt idx="331">
                  <c:v>104.20438651585545</c:v>
                </c:pt>
                <c:pt idx="332">
                  <c:v>102.99971152656545</c:v>
                </c:pt>
                <c:pt idx="333">
                  <c:v>103.60204902171243</c:v>
                </c:pt>
                <c:pt idx="334">
                  <c:v>104.40516567990045</c:v>
                </c:pt>
                <c:pt idx="335">
                  <c:v>105.91100941626195</c:v>
                </c:pt>
                <c:pt idx="336">
                  <c:v>101.69464695625693</c:v>
                </c:pt>
                <c:pt idx="337">
                  <c:v>104.20438651585545</c:v>
                </c:pt>
                <c:pt idx="338">
                  <c:v>105.30867192211895</c:v>
                </c:pt>
                <c:pt idx="339">
                  <c:v>104.70633442797593</c:v>
                </c:pt>
                <c:pt idx="340">
                  <c:v>105.00750317504745</c:v>
                </c:pt>
                <c:pt idx="341">
                  <c:v>104.00360735080645</c:v>
                </c:pt>
                <c:pt idx="342">
                  <c:v>104.20438651585545</c:v>
                </c:pt>
                <c:pt idx="343">
                  <c:v>104.00360735080645</c:v>
                </c:pt>
                <c:pt idx="344">
                  <c:v>103.70243860373495</c:v>
                </c:pt>
                <c:pt idx="345">
                  <c:v>105.71023025121295</c:v>
                </c:pt>
                <c:pt idx="346">
                  <c:v>104.50555526292695</c:v>
                </c:pt>
                <c:pt idx="347">
                  <c:v>104.80672400999845</c:v>
                </c:pt>
                <c:pt idx="348">
                  <c:v>102.79893236252043</c:v>
                </c:pt>
                <c:pt idx="349">
                  <c:v>103.30088027464093</c:v>
                </c:pt>
                <c:pt idx="350">
                  <c:v>102.89932194454295</c:v>
                </c:pt>
                <c:pt idx="351">
                  <c:v>103.10010110959193</c:v>
                </c:pt>
                <c:pt idx="352">
                  <c:v>104.30477609787795</c:v>
                </c:pt>
                <c:pt idx="353">
                  <c:v>101.79503653827943</c:v>
                </c:pt>
                <c:pt idx="354">
                  <c:v>102.19659486837742</c:v>
                </c:pt>
                <c:pt idx="355">
                  <c:v>100.89153029706493</c:v>
                </c:pt>
                <c:pt idx="356">
                  <c:v>102.89932194454295</c:v>
                </c:pt>
                <c:pt idx="357">
                  <c:v>98.682959484537918</c:v>
                </c:pt>
                <c:pt idx="358">
                  <c:v>98.080621990394917</c:v>
                </c:pt>
                <c:pt idx="359">
                  <c:v>98.181011572417432</c:v>
                </c:pt>
                <c:pt idx="360">
                  <c:v>98.482180319488933</c:v>
                </c:pt>
                <c:pt idx="361">
                  <c:v>98.783349066560433</c:v>
                </c:pt>
                <c:pt idx="362">
                  <c:v>96.675167837059902</c:v>
                </c:pt>
                <c:pt idx="363">
                  <c:v>87.439326256853889</c:v>
                </c:pt>
                <c:pt idx="364">
                  <c:v>78.605043007749828</c:v>
                </c:pt>
                <c:pt idx="365">
                  <c:v>82.419847137656859</c:v>
                </c:pt>
                <c:pt idx="366">
                  <c:v>87.740495004929372</c:v>
                </c:pt>
                <c:pt idx="367">
                  <c:v>90.250234564527872</c:v>
                </c:pt>
                <c:pt idx="368">
                  <c:v>92.358415794028403</c:v>
                </c:pt>
                <c:pt idx="369">
                  <c:v>94.065038694434918</c:v>
                </c:pt>
                <c:pt idx="370">
                  <c:v>94.366207441506418</c:v>
                </c:pt>
                <c:pt idx="371">
                  <c:v>94.466597024532902</c:v>
                </c:pt>
                <c:pt idx="372">
                  <c:v>97.076726166153918</c:v>
                </c:pt>
                <c:pt idx="373">
                  <c:v>95.771661594841419</c:v>
                </c:pt>
                <c:pt idx="374">
                  <c:v>97.478284496251916</c:v>
                </c:pt>
                <c:pt idx="375">
                  <c:v>100.18880321989543</c:v>
                </c:pt>
                <c:pt idx="376">
                  <c:v>94.165428277461388</c:v>
                </c:pt>
                <c:pt idx="377">
                  <c:v>100.18880321989543</c:v>
                </c:pt>
                <c:pt idx="378">
                  <c:v>99.184907396658417</c:v>
                </c:pt>
                <c:pt idx="379">
                  <c:v>95.671272012818918</c:v>
                </c:pt>
                <c:pt idx="380">
                  <c:v>90.149844981501403</c:v>
                </c:pt>
                <c:pt idx="381">
                  <c:v>91.153740805742387</c:v>
                </c:pt>
                <c:pt idx="382">
                  <c:v>97.679063660296919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5AB-AA43-872A-465F5A1C8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7319072"/>
        <c:axId val="937319400"/>
      </c:lineChart>
      <c:dateAx>
        <c:axId val="937319072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400"/>
        <c:crosses val="autoZero"/>
        <c:auto val="0"/>
        <c:lblOffset val="100"/>
        <c:baseTimeUnit val="months"/>
      </c:dateAx>
      <c:valAx>
        <c:axId val="937319400"/>
        <c:scaling>
          <c:orientation val="minMax"/>
          <c:max val="15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319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country'!$C$5:$C$376</c:f>
              <c:numCache>
                <c:formatCode>0.0%</c:formatCode>
                <c:ptCount val="372"/>
                <c:pt idx="1">
                  <c:v>1.277432034064856E-2</c:v>
                </c:pt>
                <c:pt idx="2">
                  <c:v>-4.0965933592066583E-3</c:v>
                </c:pt>
                <c:pt idx="3">
                  <c:v>-1.2556830482788446E-2</c:v>
                </c:pt>
                <c:pt idx="4">
                  <c:v>-3.2887524665644745E-4</c:v>
                </c:pt>
                <c:pt idx="5">
                  <c:v>1.5352560587783811E-3</c:v>
                </c:pt>
                <c:pt idx="6">
                  <c:v>3.9417496988941141E-3</c:v>
                </c:pt>
                <c:pt idx="7">
                  <c:v>-1.6795724724615466E-2</c:v>
                </c:pt>
                <c:pt idx="8">
                  <c:v>1.0094287298946162E-2</c:v>
                </c:pt>
                <c:pt idx="9">
                  <c:v>3.5141664836370874E-3</c:v>
                </c:pt>
                <c:pt idx="10">
                  <c:v>-4.4867585905011666E-3</c:v>
                </c:pt>
                <c:pt idx="11">
                  <c:v>1.5829394305815078E-2</c:v>
                </c:pt>
                <c:pt idx="12">
                  <c:v>-8.9817119359376502E-3</c:v>
                </c:pt>
                <c:pt idx="13">
                  <c:v>2.7298536798427606E-3</c:v>
                </c:pt>
                <c:pt idx="14">
                  <c:v>-7.7316781008384379E-3</c:v>
                </c:pt>
                <c:pt idx="15">
                  <c:v>9.7673397717295933E-3</c:v>
                </c:pt>
                <c:pt idx="16">
                  <c:v>-7.2818171937833022E-3</c:v>
                </c:pt>
                <c:pt idx="17">
                  <c:v>2.189621195532737E-4</c:v>
                </c:pt>
                <c:pt idx="18">
                  <c:v>-1.193082311733804E-2</c:v>
                </c:pt>
                <c:pt idx="19">
                  <c:v>-3.4341420183893021E-3</c:v>
                </c:pt>
                <c:pt idx="20">
                  <c:v>3.0013339261895314E-3</c:v>
                </c:pt>
                <c:pt idx="21">
                  <c:v>-1.407514130555259E-2</c:v>
                </c:pt>
                <c:pt idx="22">
                  <c:v>1.0566546762590064E-2</c:v>
                </c:pt>
                <c:pt idx="23">
                  <c:v>-1.312569521690775E-2</c:v>
                </c:pt>
                <c:pt idx="24">
                  <c:v>-1.3300270513976472E-2</c:v>
                </c:pt>
                <c:pt idx="25">
                  <c:v>-1.2565684258624562E-3</c:v>
                </c:pt>
                <c:pt idx="26">
                  <c:v>1.6012810248196997E-3</c:v>
                </c:pt>
                <c:pt idx="27">
                  <c:v>-4.6819687107456506E-3</c:v>
                </c:pt>
                <c:pt idx="28">
                  <c:v>-6.6544286369894252E-3</c:v>
                </c:pt>
                <c:pt idx="29">
                  <c:v>-1.1550011550010893E-3</c:v>
                </c:pt>
                <c:pt idx="30">
                  <c:v>-7.8630897317299581E-3</c:v>
                </c:pt>
                <c:pt idx="31">
                  <c:v>1.3752913752913832E-2</c:v>
                </c:pt>
                <c:pt idx="32">
                  <c:v>-7.12807541963675E-3</c:v>
                </c:pt>
                <c:pt idx="33">
                  <c:v>6.6002779064382516E-3</c:v>
                </c:pt>
                <c:pt idx="34">
                  <c:v>4.2562981709420257E-3</c:v>
                </c:pt>
                <c:pt idx="35">
                  <c:v>-6.7583046964490657E-3</c:v>
                </c:pt>
                <c:pt idx="36">
                  <c:v>-9.2261561526928524E-3</c:v>
                </c:pt>
                <c:pt idx="37">
                  <c:v>1.8624141543475831E-2</c:v>
                </c:pt>
                <c:pt idx="38">
                  <c:v>-2.8568163638441318E-3</c:v>
                </c:pt>
                <c:pt idx="39">
                  <c:v>-2.2920009168015391E-4</c:v>
                </c:pt>
                <c:pt idx="40">
                  <c:v>2.7510316368638307E-2</c:v>
                </c:pt>
                <c:pt idx="41">
                  <c:v>-6.6934404283804409E-4</c:v>
                </c:pt>
                <c:pt idx="42">
                  <c:v>5.2467068542085158E-3</c:v>
                </c:pt>
                <c:pt idx="43">
                  <c:v>8.8839533592448335E-3</c:v>
                </c:pt>
                <c:pt idx="44">
                  <c:v>5.6136488717667046E-3</c:v>
                </c:pt>
                <c:pt idx="45">
                  <c:v>-3.1742556917688952E-3</c:v>
                </c:pt>
                <c:pt idx="46">
                  <c:v>9.6628966728890941E-3</c:v>
                </c:pt>
                <c:pt idx="47">
                  <c:v>8.9178901576943241E-3</c:v>
                </c:pt>
                <c:pt idx="48">
                  <c:v>-1.293521612590173E-3</c:v>
                </c:pt>
                <c:pt idx="49">
                  <c:v>7.231516459794792E-3</c:v>
                </c:pt>
                <c:pt idx="50">
                  <c:v>-6.643806258036759E-3</c:v>
                </c:pt>
                <c:pt idx="51">
                  <c:v>8.4142394822006601E-3</c:v>
                </c:pt>
                <c:pt idx="52">
                  <c:v>-1.0697475395812062E-4</c:v>
                </c:pt>
                <c:pt idx="53">
                  <c:v>-4.8143789451161106E-3</c:v>
                </c:pt>
                <c:pt idx="54">
                  <c:v>6.880240808428301E-3</c:v>
                </c:pt>
                <c:pt idx="55">
                  <c:v>4.3775357676702608E-3</c:v>
                </c:pt>
                <c:pt idx="56">
                  <c:v>-6.0593175294992368E-3</c:v>
                </c:pt>
                <c:pt idx="57">
                  <c:v>1.4973262032085622E-3</c:v>
                </c:pt>
                <c:pt idx="58">
                  <c:v>-1.9222554463904282E-2</c:v>
                </c:pt>
                <c:pt idx="59">
                  <c:v>-3.2665505226482075E-4</c:v>
                </c:pt>
                <c:pt idx="60">
                  <c:v>2.1348436989434633E-2</c:v>
                </c:pt>
                <c:pt idx="61">
                  <c:v>-8.9580889410258002E-3</c:v>
                </c:pt>
                <c:pt idx="62">
                  <c:v>3.1206284300009904E-3</c:v>
                </c:pt>
                <c:pt idx="63">
                  <c:v>6.972752628191436E-3</c:v>
                </c:pt>
                <c:pt idx="64">
                  <c:v>-1.0120379247896057E-2</c:v>
                </c:pt>
                <c:pt idx="65">
                  <c:v>2.0017219113215662E-2</c:v>
                </c:pt>
                <c:pt idx="66">
                  <c:v>-7.8075543363578274E-3</c:v>
                </c:pt>
                <c:pt idx="67">
                  <c:v>-1.7758400680561479E-2</c:v>
                </c:pt>
                <c:pt idx="68">
                  <c:v>2.1760311789541961E-2</c:v>
                </c:pt>
                <c:pt idx="69">
                  <c:v>1.4833651197287622E-3</c:v>
                </c:pt>
                <c:pt idx="70">
                  <c:v>-1.0262378332628004E-2</c:v>
                </c:pt>
                <c:pt idx="71">
                  <c:v>1.2185996793158745E-2</c:v>
                </c:pt>
                <c:pt idx="72">
                  <c:v>1.6897243637131333E-3</c:v>
                </c:pt>
                <c:pt idx="73">
                  <c:v>-8.6452293094358805E-3</c:v>
                </c:pt>
                <c:pt idx="74">
                  <c:v>8.0825268531320334E-3</c:v>
                </c:pt>
                <c:pt idx="75">
                  <c:v>3.270387171642452E-3</c:v>
                </c:pt>
                <c:pt idx="76">
                  <c:v>3.5646687697160895E-2</c:v>
                </c:pt>
                <c:pt idx="77">
                  <c:v>-1.8580566554980183E-2</c:v>
                </c:pt>
                <c:pt idx="78">
                  <c:v>7.3453341609767018E-3</c:v>
                </c:pt>
                <c:pt idx="79">
                  <c:v>1.9513197083290306E-3</c:v>
                </c:pt>
                <c:pt idx="80">
                  <c:v>3.8745387453874548E-2</c:v>
                </c:pt>
                <c:pt idx="81">
                  <c:v>-2.3682652457075248E-2</c:v>
                </c:pt>
                <c:pt idx="82">
                  <c:v>2.5065696381645481E-2</c:v>
                </c:pt>
                <c:pt idx="83">
                  <c:v>-2.2973772431473066E-2</c:v>
                </c:pt>
                <c:pt idx="84">
                  <c:v>1.998183469573105E-2</c:v>
                </c:pt>
                <c:pt idx="85">
                  <c:v>0</c:v>
                </c:pt>
                <c:pt idx="86">
                  <c:v>6.9258929454833569E-3</c:v>
                </c:pt>
                <c:pt idx="87">
                  <c:v>-1.1791294094526903E-2</c:v>
                </c:pt>
                <c:pt idx="88">
                  <c:v>1.2926319976136139E-2</c:v>
                </c:pt>
                <c:pt idx="89">
                  <c:v>1.2565033866692854E-2</c:v>
                </c:pt>
                <c:pt idx="90">
                  <c:v>-6.4953950557440779E-3</c:v>
                </c:pt>
                <c:pt idx="91">
                  <c:v>6.0499609679936601E-3</c:v>
                </c:pt>
                <c:pt idx="92">
                  <c:v>-2.5412221144519791E-2</c:v>
                </c:pt>
                <c:pt idx="93">
                  <c:v>1.84116242038216E-2</c:v>
                </c:pt>
                <c:pt idx="94">
                  <c:v>5.8633831720905183E-4</c:v>
                </c:pt>
                <c:pt idx="95">
                  <c:v>5.8599472604746001E-3</c:v>
                </c:pt>
                <c:pt idx="96">
                  <c:v>-7.5735508301776984E-3</c:v>
                </c:pt>
                <c:pt idx="97">
                  <c:v>2.7394579786713742E-3</c:v>
                </c:pt>
                <c:pt idx="98">
                  <c:v>-3.0246853351545331E-3</c:v>
                </c:pt>
                <c:pt idx="99">
                  <c:v>-4.893325504013639E-4</c:v>
                </c:pt>
                <c:pt idx="100">
                  <c:v>7.7352394007637942E-3</c:v>
                </c:pt>
                <c:pt idx="101">
                  <c:v>4.1780023319082068E-3</c:v>
                </c:pt>
                <c:pt idx="102">
                  <c:v>1.3739719400096776E-2</c:v>
                </c:pt>
                <c:pt idx="103">
                  <c:v>2.3861792497852441E-3</c:v>
                </c:pt>
                <c:pt idx="104">
                  <c:v>-1.8853551704437154E-2</c:v>
                </c:pt>
                <c:pt idx="105">
                  <c:v>2.7465062111801223E-2</c:v>
                </c:pt>
                <c:pt idx="106">
                  <c:v>1.2657032209313206E-2</c:v>
                </c:pt>
                <c:pt idx="107">
                  <c:v>4.6637440537273921E-4</c:v>
                </c:pt>
                <c:pt idx="108">
                  <c:v>-8.3908260302070267E-3</c:v>
                </c:pt>
                <c:pt idx="109">
                  <c:v>7.1455434373825224E-3</c:v>
                </c:pt>
                <c:pt idx="110">
                  <c:v>3.0806572068707832E-3</c:v>
                </c:pt>
                <c:pt idx="111">
                  <c:v>6.4215914378780619E-3</c:v>
                </c:pt>
                <c:pt idx="112">
                  <c:v>5.7333086739412295E-3</c:v>
                </c:pt>
                <c:pt idx="113">
                  <c:v>1.2412651710187517E-2</c:v>
                </c:pt>
                <c:pt idx="114">
                  <c:v>-1.2896194714376549E-2</c:v>
                </c:pt>
                <c:pt idx="115">
                  <c:v>1.1684607599595142E-2</c:v>
                </c:pt>
                <c:pt idx="116">
                  <c:v>-9.0032739177882404E-3</c:v>
                </c:pt>
                <c:pt idx="117">
                  <c:v>2.661282921905169E-3</c:v>
                </c:pt>
                <c:pt idx="118">
                  <c:v>1.0982976386600665E-2</c:v>
                </c:pt>
                <c:pt idx="119">
                  <c:v>-1.9011406844105898E-3</c:v>
                </c:pt>
                <c:pt idx="120">
                  <c:v>8.7981859410430734E-3</c:v>
                </c:pt>
                <c:pt idx="121">
                  <c:v>-3.8662111131090868E-3</c:v>
                </c:pt>
                <c:pt idx="122">
                  <c:v>6.5890423323403712E-3</c:v>
                </c:pt>
                <c:pt idx="123">
                  <c:v>4.2144906743184982E-3</c:v>
                </c:pt>
                <c:pt idx="124">
                  <c:v>-1.6340744709349035E-2</c:v>
                </c:pt>
                <c:pt idx="125">
                  <c:v>7.5344952795933038E-3</c:v>
                </c:pt>
                <c:pt idx="126">
                  <c:v>2.7029462113704964E-4</c:v>
                </c:pt>
                <c:pt idx="127">
                  <c:v>-1.387137452711216E-2</c:v>
                </c:pt>
                <c:pt idx="128">
                  <c:v>2.4753379612714593E-2</c:v>
                </c:pt>
                <c:pt idx="129">
                  <c:v>-1.5152865674302548E-2</c:v>
                </c:pt>
                <c:pt idx="130">
                  <c:v>-6.8784505385101908E-3</c:v>
                </c:pt>
                <c:pt idx="131">
                  <c:v>-1.1300464777180434E-2</c:v>
                </c:pt>
                <c:pt idx="132">
                  <c:v>6.4522075767352097E-3</c:v>
                </c:pt>
                <c:pt idx="133">
                  <c:v>-3.6633391336195664E-4</c:v>
                </c:pt>
                <c:pt idx="134">
                  <c:v>3.4814475492441176E-3</c:v>
                </c:pt>
                <c:pt idx="135">
                  <c:v>4.9301561216104446E-3</c:v>
                </c:pt>
                <c:pt idx="136">
                  <c:v>6.2687380757700736E-3</c:v>
                </c:pt>
                <c:pt idx="137">
                  <c:v>-8.5771036475262089E-3</c:v>
                </c:pt>
                <c:pt idx="138">
                  <c:v>-1.8213277479282655E-3</c:v>
                </c:pt>
                <c:pt idx="139">
                  <c:v>-1.0218045798741032E-2</c:v>
                </c:pt>
                <c:pt idx="140">
                  <c:v>1.8711401972532044E-2</c:v>
                </c:pt>
                <c:pt idx="141">
                  <c:v>-1.2395946435034296E-2</c:v>
                </c:pt>
                <c:pt idx="142">
                  <c:v>-7.8790655061841443E-3</c:v>
                </c:pt>
                <c:pt idx="143">
                  <c:v>9.6961861667743746E-3</c:v>
                </c:pt>
                <c:pt idx="144">
                  <c:v>-2.3687580025608224E-2</c:v>
                </c:pt>
                <c:pt idx="145">
                  <c:v>2.0608899297423915E-2</c:v>
                </c:pt>
                <c:pt idx="146">
                  <c:v>9.1785222579164744E-3</c:v>
                </c:pt>
                <c:pt idx="147">
                  <c:v>-7.9126875852660716E-3</c:v>
                </c:pt>
                <c:pt idx="148">
                  <c:v>2.7502750275028548E-4</c:v>
                </c:pt>
                <c:pt idx="149">
                  <c:v>-2.3737512601961355E-2</c:v>
                </c:pt>
                <c:pt idx="150">
                  <c:v>-2.4408561772436247E-3</c:v>
                </c:pt>
                <c:pt idx="151">
                  <c:v>1.7504234895539237E-2</c:v>
                </c:pt>
                <c:pt idx="152">
                  <c:v>-3.9770625231225192E-3</c:v>
                </c:pt>
                <c:pt idx="153">
                  <c:v>-3.807224440523694E-3</c:v>
                </c:pt>
                <c:pt idx="154">
                  <c:v>2.4235645041014116E-2</c:v>
                </c:pt>
                <c:pt idx="155">
                  <c:v>-1.9384783400072766E-2</c:v>
                </c:pt>
                <c:pt idx="156">
                  <c:v>6.0324825986079415E-3</c:v>
                </c:pt>
                <c:pt idx="157">
                  <c:v>6.4575645756456516E-3</c:v>
                </c:pt>
                <c:pt idx="158">
                  <c:v>9.9908340971586011E-3</c:v>
                </c:pt>
                <c:pt idx="159">
                  <c:v>-3.2670841274162758E-3</c:v>
                </c:pt>
                <c:pt idx="160">
                  <c:v>2.7314941272877296E-4</c:v>
                </c:pt>
                <c:pt idx="161">
                  <c:v>-5.4614964500272556E-3</c:v>
                </c:pt>
                <c:pt idx="162">
                  <c:v>9.7016291414972356E-3</c:v>
                </c:pt>
                <c:pt idx="163">
                  <c:v>4.1696881798405361E-3</c:v>
                </c:pt>
                <c:pt idx="164">
                  <c:v>-3.5295179635313201E-2</c:v>
                </c:pt>
                <c:pt idx="165">
                  <c:v>3.499578927669126E-2</c:v>
                </c:pt>
                <c:pt idx="166">
                  <c:v>7.5038423289033387E-3</c:v>
                </c:pt>
                <c:pt idx="167">
                  <c:v>-1.660086145010763E-2</c:v>
                </c:pt>
                <c:pt idx="168">
                  <c:v>2.0987316360980908E-3</c:v>
                </c:pt>
                <c:pt idx="169">
                  <c:v>1.6390457111637328E-2</c:v>
                </c:pt>
                <c:pt idx="170">
                  <c:v>-1.1377889267156514E-2</c:v>
                </c:pt>
                <c:pt idx="171">
                  <c:v>-2.165835976438605E-2</c:v>
                </c:pt>
                <c:pt idx="172">
                  <c:v>2.5657650981845224E-2</c:v>
                </c:pt>
                <c:pt idx="173">
                  <c:v>-1.0746861735753614E-2</c:v>
                </c:pt>
                <c:pt idx="174">
                  <c:v>-8.2161767390910535E-4</c:v>
                </c:pt>
                <c:pt idx="175">
                  <c:v>-3.1978072179077981E-3</c:v>
                </c:pt>
                <c:pt idx="176">
                  <c:v>-5.4078826764435307E-3</c:v>
                </c:pt>
                <c:pt idx="177">
                  <c:v>2.5251128928209333E-2</c:v>
                </c:pt>
                <c:pt idx="178">
                  <c:v>-2.9393258426966256E-2</c:v>
                </c:pt>
                <c:pt idx="179">
                  <c:v>4.0192628264493324E-2</c:v>
                </c:pt>
                <c:pt idx="180">
                  <c:v>-1.201923076923072E-2</c:v>
                </c:pt>
                <c:pt idx="181">
                  <c:v>-6.5783545102280254E-3</c:v>
                </c:pt>
                <c:pt idx="182">
                  <c:v>-6.6219158200289353E-3</c:v>
                </c:pt>
                <c:pt idx="183">
                  <c:v>1.8445804036161043E-2</c:v>
                </c:pt>
                <c:pt idx="184">
                  <c:v>-5.0210705639738389E-3</c:v>
                </c:pt>
                <c:pt idx="185">
                  <c:v>1.5950256826169198E-2</c:v>
                </c:pt>
                <c:pt idx="186">
                  <c:v>-1.6852935958843154E-3</c:v>
                </c:pt>
                <c:pt idx="187">
                  <c:v>-1.3771657041314946E-2</c:v>
                </c:pt>
                <c:pt idx="188">
                  <c:v>-6.6666666666666203E-3</c:v>
                </c:pt>
                <c:pt idx="189">
                  <c:v>1.5327407944857587E-2</c:v>
                </c:pt>
                <c:pt idx="190">
                  <c:v>-8.2179544439482059E-3</c:v>
                </c:pt>
                <c:pt idx="191">
                  <c:v>-5.6741421237502965E-3</c:v>
                </c:pt>
                <c:pt idx="192">
                  <c:v>1.6938405797101361E-2</c:v>
                </c:pt>
                <c:pt idx="193">
                  <c:v>-1.1312015676494131E-2</c:v>
                </c:pt>
                <c:pt idx="194">
                  <c:v>9.1891891891891526E-3</c:v>
                </c:pt>
                <c:pt idx="195">
                  <c:v>7.587930726656031E-3</c:v>
                </c:pt>
                <c:pt idx="196">
                  <c:v>-1.6390537786834487E-2</c:v>
                </c:pt>
                <c:pt idx="197">
                  <c:v>2.3959646910466682E-2</c:v>
                </c:pt>
                <c:pt idx="198">
                  <c:v>-3.8705137227305762E-3</c:v>
                </c:pt>
                <c:pt idx="199">
                  <c:v>1.2363122571529546E-3</c:v>
                </c:pt>
                <c:pt idx="200">
                  <c:v>5.9093314517551752E-3</c:v>
                </c:pt>
                <c:pt idx="201">
                  <c:v>-2.2884699693117048E-2</c:v>
                </c:pt>
                <c:pt idx="202">
                  <c:v>2.279253409906682E-2</c:v>
                </c:pt>
                <c:pt idx="203">
                  <c:v>-1.754693805930865E-2</c:v>
                </c:pt>
                <c:pt idx="204">
                  <c:v>1.6074298981960404E-3</c:v>
                </c:pt>
                <c:pt idx="205">
                  <c:v>9.0941512125535858E-3</c:v>
                </c:pt>
                <c:pt idx="206">
                  <c:v>8.8354833009365603E-3</c:v>
                </c:pt>
                <c:pt idx="207">
                  <c:v>-1.1560693641618561E-2</c:v>
                </c:pt>
                <c:pt idx="208">
                  <c:v>2.153110047846896E-2</c:v>
                </c:pt>
                <c:pt idx="209">
                  <c:v>-4.7011883077456858E-2</c:v>
                </c:pt>
                <c:pt idx="210">
                  <c:v>-2.9125329935378846E-3</c:v>
                </c:pt>
                <c:pt idx="211">
                  <c:v>7.3026015518028037E-3</c:v>
                </c:pt>
                <c:pt idx="212">
                  <c:v>-1.3683733574988591E-2</c:v>
                </c:pt>
                <c:pt idx="213">
                  <c:v>-4.2263873575891942E-3</c:v>
                </c:pt>
                <c:pt idx="214">
                  <c:v>-1.88226610075659E-2</c:v>
                </c:pt>
                <c:pt idx="215">
                  <c:v>-5.0122249388753037E-2</c:v>
                </c:pt>
                <c:pt idx="216">
                  <c:v>-1.3761013761013767E-2</c:v>
                </c:pt>
                <c:pt idx="217">
                  <c:v>-3.7040754868500274E-2</c:v>
                </c:pt>
                <c:pt idx="218">
                  <c:v>-1.3968518711560548E-2</c:v>
                </c:pt>
                <c:pt idx="219">
                  <c:v>-1.8395179194418111E-2</c:v>
                </c:pt>
                <c:pt idx="220">
                  <c:v>-4.3080236941294607E-4</c:v>
                </c:pt>
                <c:pt idx="221">
                  <c:v>1.2067665122292905E-2</c:v>
                </c:pt>
                <c:pt idx="222">
                  <c:v>1.2775471095496524E-2</c:v>
                </c:pt>
                <c:pt idx="223">
                  <c:v>-3.4689372437716631E-3</c:v>
                </c:pt>
                <c:pt idx="224">
                  <c:v>1.6350210970464105E-2</c:v>
                </c:pt>
                <c:pt idx="225">
                  <c:v>5.0856253243384449E-3</c:v>
                </c:pt>
                <c:pt idx="226">
                  <c:v>-6.7121024370095589E-3</c:v>
                </c:pt>
                <c:pt idx="227">
                  <c:v>9.876286516269912E-3</c:v>
                </c:pt>
                <c:pt idx="228">
                  <c:v>-3.0883261272390073E-3</c:v>
                </c:pt>
                <c:pt idx="229">
                  <c:v>1.0636100784799681E-2</c:v>
                </c:pt>
                <c:pt idx="230">
                  <c:v>-6.5392868090323958E-3</c:v>
                </c:pt>
                <c:pt idx="231">
                  <c:v>1.9849840584181759E-2</c:v>
                </c:pt>
                <c:pt idx="232">
                  <c:v>-4.0338846308994704E-3</c:v>
                </c:pt>
                <c:pt idx="233">
                  <c:v>7.999189955447468E-3</c:v>
                </c:pt>
                <c:pt idx="234">
                  <c:v>-4.018081366147579E-3</c:v>
                </c:pt>
                <c:pt idx="235">
                  <c:v>7.3625819465455346E-3</c:v>
                </c:pt>
                <c:pt idx="236">
                  <c:v>-1.1613936724068848E-2</c:v>
                </c:pt>
                <c:pt idx="237">
                  <c:v>1.3168557536466747E-2</c:v>
                </c:pt>
                <c:pt idx="238">
                  <c:v>-1.6996600679864199E-3</c:v>
                </c:pt>
                <c:pt idx="239">
                  <c:v>1.3119679519278941E-2</c:v>
                </c:pt>
                <c:pt idx="240">
                  <c:v>1.2949782522736283E-2</c:v>
                </c:pt>
                <c:pt idx="241">
                  <c:v>1.1613155069776497E-2</c:v>
                </c:pt>
                <c:pt idx="242">
                  <c:v>3.4728921474049723E-3</c:v>
                </c:pt>
                <c:pt idx="243">
                  <c:v>-1.2593731974620288E-2</c:v>
                </c:pt>
                <c:pt idx="244">
                  <c:v>-1.6940901567520154E-2</c:v>
                </c:pt>
                <c:pt idx="245">
                  <c:v>3.2682975141130999E-2</c:v>
                </c:pt>
                <c:pt idx="246">
                  <c:v>-2.685336146542627E-2</c:v>
                </c:pt>
                <c:pt idx="247">
                  <c:v>1.0742091258500083E-2</c:v>
                </c:pt>
                <c:pt idx="248">
                  <c:v>-8.2878315132606135E-3</c:v>
                </c:pt>
                <c:pt idx="249">
                  <c:v>-7.1772687051419705E-3</c:v>
                </c:pt>
                <c:pt idx="250">
                  <c:v>1.9805902158843616E-3</c:v>
                </c:pt>
                <c:pt idx="251">
                  <c:v>2.0260921130658204E-2</c:v>
                </c:pt>
                <c:pt idx="252">
                  <c:v>-1.9858568245664992E-2</c:v>
                </c:pt>
                <c:pt idx="253">
                  <c:v>-4.2498517493576478E-3</c:v>
                </c:pt>
                <c:pt idx="254">
                  <c:v>8.4367245657567674E-3</c:v>
                </c:pt>
                <c:pt idx="255">
                  <c:v>-9.1535433070865421E-3</c:v>
                </c:pt>
                <c:pt idx="256">
                  <c:v>3.0793682328399945E-3</c:v>
                </c:pt>
                <c:pt idx="257">
                  <c:v>-1.4458308575955713E-2</c:v>
                </c:pt>
                <c:pt idx="258">
                  <c:v>-7.7371382636655548E-3</c:v>
                </c:pt>
                <c:pt idx="259">
                  <c:v>6.9873417721518756E-3</c:v>
                </c:pt>
                <c:pt idx="260">
                  <c:v>2.2325020112630722E-2</c:v>
                </c:pt>
                <c:pt idx="261">
                  <c:v>-2.2132598858941571E-2</c:v>
                </c:pt>
                <c:pt idx="262">
                  <c:v>-1.4686651242329683E-2</c:v>
                </c:pt>
                <c:pt idx="263">
                  <c:v>-5.1046452271564222E-4</c:v>
                </c:pt>
                <c:pt idx="264">
                  <c:v>9.3973442288047739E-3</c:v>
                </c:pt>
                <c:pt idx="265">
                  <c:v>-1.8214936247722387E-3</c:v>
                </c:pt>
                <c:pt idx="266">
                  <c:v>1.0847526358475194E-2</c:v>
                </c:pt>
                <c:pt idx="267">
                  <c:v>1.3037809647980108E-3</c:v>
                </c:pt>
                <c:pt idx="268">
                  <c:v>1.6326121794871747E-2</c:v>
                </c:pt>
                <c:pt idx="269">
                  <c:v>-3.9420518379817259E-3</c:v>
                </c:pt>
                <c:pt idx="270">
                  <c:v>-1.2367665974077372E-2</c:v>
                </c:pt>
                <c:pt idx="271">
                  <c:v>-7.0126227208975019E-3</c:v>
                </c:pt>
                <c:pt idx="272">
                  <c:v>-7.8692493946731345E-3</c:v>
                </c:pt>
                <c:pt idx="273">
                  <c:v>5.6945291844620934E-3</c:v>
                </c:pt>
                <c:pt idx="274">
                  <c:v>1.7189079878664052E-3</c:v>
                </c:pt>
                <c:pt idx="275">
                  <c:v>1.6957706672050137E-2</c:v>
                </c:pt>
                <c:pt idx="276">
                  <c:v>-1.2307692307692257E-2</c:v>
                </c:pt>
                <c:pt idx="277">
                  <c:v>-1.5174354336247664E-2</c:v>
                </c:pt>
                <c:pt idx="278">
                  <c:v>1.5204081632653009E-2</c:v>
                </c:pt>
                <c:pt idx="279">
                  <c:v>-7.2369082319831031E-3</c:v>
                </c:pt>
                <c:pt idx="280">
                  <c:v>3.8473220613547605E-3</c:v>
                </c:pt>
                <c:pt idx="281">
                  <c:v>-2.2289460413514955E-2</c:v>
                </c:pt>
                <c:pt idx="282">
                  <c:v>2.1250257891479288E-2</c:v>
                </c:pt>
                <c:pt idx="283">
                  <c:v>1.3434343434343417E-2</c:v>
                </c:pt>
                <c:pt idx="284">
                  <c:v>-2.1827967706568301E-2</c:v>
                </c:pt>
                <c:pt idx="285">
                  <c:v>1.0393315671489668E-2</c:v>
                </c:pt>
                <c:pt idx="286">
                  <c:v>-1.5328761597418274E-2</c:v>
                </c:pt>
                <c:pt idx="287">
                  <c:v>-1.044653830397374E-2</c:v>
                </c:pt>
                <c:pt idx="288">
                  <c:v>2.9496998551024573E-2</c:v>
                </c:pt>
                <c:pt idx="289">
                  <c:v>4.0213129586816381E-4</c:v>
                </c:pt>
                <c:pt idx="290">
                  <c:v>5.8285599437242312E-3</c:v>
                </c:pt>
                <c:pt idx="291">
                  <c:v>-1.9982016185433392E-3</c:v>
                </c:pt>
                <c:pt idx="292">
                  <c:v>-4.9053959355290309E-3</c:v>
                </c:pt>
                <c:pt idx="293">
                  <c:v>8.1488933601608447E-3</c:v>
                </c:pt>
                <c:pt idx="294">
                  <c:v>9.9790440075891789E-5</c:v>
                </c:pt>
                <c:pt idx="295">
                  <c:v>-1.1075633606066648E-2</c:v>
                </c:pt>
                <c:pt idx="296">
                  <c:v>7.0628594490969917E-3</c:v>
                </c:pt>
                <c:pt idx="297">
                  <c:v>1.3926460274521596E-2</c:v>
                </c:pt>
                <c:pt idx="298">
                  <c:v>3.1620553359683118E-3</c:v>
                </c:pt>
                <c:pt idx="299">
                  <c:v>-2.1867612293144198E-2</c:v>
                </c:pt>
                <c:pt idx="300">
                  <c:v>4.5317220543806937E-3</c:v>
                </c:pt>
                <c:pt idx="301">
                  <c:v>1.8446115288220585E-2</c:v>
                </c:pt>
                <c:pt idx="302">
                  <c:v>-9.3513141057190944E-3</c:v>
                </c:pt>
                <c:pt idx="303">
                  <c:v>-4.372019077901408E-3</c:v>
                </c:pt>
                <c:pt idx="304">
                  <c:v>1.0079840319361186E-2</c:v>
                </c:pt>
                <c:pt idx="305">
                  <c:v>-1.5907519019859692E-2</c:v>
                </c:pt>
                <c:pt idx="306">
                  <c:v>-2.9116465863453017E-3</c:v>
                </c:pt>
                <c:pt idx="307">
                  <c:v>-3.1215386164535524E-3</c:v>
                </c:pt>
                <c:pt idx="308">
                  <c:v>1.9595959595959573E-2</c:v>
                </c:pt>
                <c:pt idx="309">
                  <c:v>-9.0152565880720886E-3</c:v>
                </c:pt>
                <c:pt idx="310">
                  <c:v>-4.698590422873127E-3</c:v>
                </c:pt>
                <c:pt idx="311">
                  <c:v>2.7018883085576512E-2</c:v>
                </c:pt>
                <c:pt idx="312">
                  <c:v>-1.3496332518337364E-2</c:v>
                </c:pt>
                <c:pt idx="313">
                  <c:v>4.6594626747298385E-3</c:v>
                </c:pt>
                <c:pt idx="314">
                  <c:v>-1.1742648509966426E-2</c:v>
                </c:pt>
                <c:pt idx="315">
                  <c:v>1.238142785821263E-2</c:v>
                </c:pt>
                <c:pt idx="316">
                  <c:v>-3.1561297958379265E-3</c:v>
                </c:pt>
                <c:pt idx="317">
                  <c:v>2.1272385475413137E-2</c:v>
                </c:pt>
                <c:pt idx="318">
                  <c:v>-1.1335012594458455E-2</c:v>
                </c:pt>
                <c:pt idx="319">
                  <c:v>5.4875061244488224E-3</c:v>
                </c:pt>
                <c:pt idx="320">
                  <c:v>1.9491277653250448E-3</c:v>
                </c:pt>
                <c:pt idx="321">
                  <c:v>8.8512790584573155E-3</c:v>
                </c:pt>
                <c:pt idx="322">
                  <c:v>3.7601234091785632E-3</c:v>
                </c:pt>
                <c:pt idx="323">
                  <c:v>5.5710306406685072E-3</c:v>
                </c:pt>
                <c:pt idx="324">
                  <c:v>9.6475308052345506E-3</c:v>
                </c:pt>
                <c:pt idx="325">
                  <c:v>-3.5004730368968805E-2</c:v>
                </c:pt>
                <c:pt idx="326">
                  <c:v>1.2450980392156823E-2</c:v>
                </c:pt>
                <c:pt idx="327">
                  <c:v>9.7801878570737411E-3</c:v>
                </c:pt>
                <c:pt idx="328">
                  <c:v>-1.3137706175680903E-2</c:v>
                </c:pt>
                <c:pt idx="329">
                  <c:v>-9.9115732193178121E-3</c:v>
                </c:pt>
                <c:pt idx="330">
                  <c:v>1.8745706153695127E-2</c:v>
                </c:pt>
                <c:pt idx="331">
                  <c:v>-1.9267822736031104E-3</c:v>
                </c:pt>
                <c:pt idx="332">
                  <c:v>5.694980694980728E-3</c:v>
                </c:pt>
                <c:pt idx="333">
                  <c:v>-1.1517420097898098E-2</c:v>
                </c:pt>
                <c:pt idx="334">
                  <c:v>7.961938052238153E-3</c:v>
                </c:pt>
                <c:pt idx="335">
                  <c:v>-6.9357480011559471E-3</c:v>
                </c:pt>
                <c:pt idx="336">
                  <c:v>1.0088272383354272E-2</c:v>
                </c:pt>
                <c:pt idx="337">
                  <c:v>5.3778930183424785E-3</c:v>
                </c:pt>
                <c:pt idx="338">
                  <c:v>-7.6416085586014225E-4</c:v>
                </c:pt>
                <c:pt idx="339">
                  <c:v>-2.3898288882516013E-3</c:v>
                </c:pt>
                <c:pt idx="340">
                  <c:v>1.916443081640094E-4</c:v>
                </c:pt>
                <c:pt idx="341">
                  <c:v>1.3412531136233049E-2</c:v>
                </c:pt>
                <c:pt idx="342">
                  <c:v>-2.2026848175458483E-2</c:v>
                </c:pt>
                <c:pt idx="343">
                  <c:v>5.1232479458675796E-3</c:v>
                </c:pt>
                <c:pt idx="344">
                  <c:v>-1.0578957491825433E-2</c:v>
                </c:pt>
                <c:pt idx="345">
                  <c:v>1.0594867807153999E-2</c:v>
                </c:pt>
                <c:pt idx="346">
                  <c:v>-4.0396268154275434E-3</c:v>
                </c:pt>
                <c:pt idx="347">
                  <c:v>5.7943022694352747E-4</c:v>
                </c:pt>
                <c:pt idx="348">
                  <c:v>-2.3935913521860863E-2</c:v>
                </c:pt>
                <c:pt idx="349">
                  <c:v>1.7798872738060598E-3</c:v>
                </c:pt>
                <c:pt idx="350">
                  <c:v>1.8951732306781183E-2</c:v>
                </c:pt>
                <c:pt idx="351">
                  <c:v>-0.17204301075268821</c:v>
                </c:pt>
                <c:pt idx="352">
                  <c:v>-0.20627120627120621</c:v>
                </c:pt>
                <c:pt idx="353">
                  <c:v>0.19133254716981116</c:v>
                </c:pt>
                <c:pt idx="354">
                  <c:v>0.13053699579312067</c:v>
                </c:pt>
                <c:pt idx="355">
                  <c:v>3.3490204662361849E-2</c:v>
                </c:pt>
                <c:pt idx="356">
                  <c:v>1.154294186169638E-2</c:v>
                </c:pt>
                <c:pt idx="357">
                  <c:v>1.7692629815745372E-2</c:v>
                </c:pt>
                <c:pt idx="358">
                  <c:v>1.9236704042793998E-2</c:v>
                </c:pt>
                <c:pt idx="359">
                  <c:v>-4.9454985870003524E-3</c:v>
                </c:pt>
                <c:pt idx="360">
                  <c:v>-4.8686479358961759E-3</c:v>
                </c:pt>
                <c:pt idx="361">
                  <c:v>3.4247273468555696E-2</c:v>
                </c:pt>
                <c:pt idx="362">
                  <c:v>-4.5727801320587375E-2</c:v>
                </c:pt>
                <c:pt idx="363">
                  <c:v>9.8110089848187833E-3</c:v>
                </c:pt>
                <c:pt idx="364">
                  <c:v>-2.3522192677439555E-3</c:v>
                </c:pt>
                <c:pt idx="365">
                  <c:v>-3.5879036391593473E-3</c:v>
                </c:pt>
                <c:pt idx="366">
                  <c:v>5.8641975308641268E-3</c:v>
                </c:pt>
                <c:pt idx="367">
                  <c:v>4.0912345300194919E-3</c:v>
                </c:pt>
                <c:pt idx="368">
                  <c:v>1.0186411327289396E-2</c:v>
                </c:pt>
                <c:pt idx="369">
                  <c:v>-1.4823031158616506E-2</c:v>
                </c:pt>
                <c:pt idx="370">
                  <c:v>8.5977482088024915E-3</c:v>
                </c:pt>
                <c:pt idx="371">
                  <c:v>-4.4651918002842697E-3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7EC-F243-9FA9-50891AFDC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'Per country'!$G$3</c:f>
              <c:strCache>
                <c:ptCount val="1"/>
                <c:pt idx="0">
                  <c:v>France Industrial Production yoy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country'!$D$5:$D$376</c:f>
              <c:numCache>
                <c:formatCode>0.0%</c:formatCode>
                <c:ptCount val="372"/>
                <c:pt idx="12">
                  <c:v>-1.0918222513380408E-4</c:v>
                </c:pt>
                <c:pt idx="13">
                  <c:v>-1.0025873221216114E-2</c:v>
                </c:pt>
                <c:pt idx="14">
                  <c:v>-1.3639315869235667E-2</c:v>
                </c:pt>
                <c:pt idx="15">
                  <c:v>8.6603814952861905E-3</c:v>
                </c:pt>
                <c:pt idx="16">
                  <c:v>1.6449172058340354E-3</c:v>
                </c:pt>
                <c:pt idx="17">
                  <c:v>3.2847914157452246E-4</c:v>
                </c:pt>
                <c:pt idx="18">
                  <c:v>-1.5486966953866307E-2</c:v>
                </c:pt>
                <c:pt idx="19">
                  <c:v>-2.1075984470328556E-3</c:v>
                </c:pt>
                <c:pt idx="20">
                  <c:v>-9.1148693169338709E-3</c:v>
                </c:pt>
                <c:pt idx="21">
                  <c:v>-2.648281899759249E-2</c:v>
                </c:pt>
                <c:pt idx="22">
                  <c:v>-1.1762119380015314E-2</c:v>
                </c:pt>
                <c:pt idx="23">
                  <c:v>-3.9930743426036121E-2</c:v>
                </c:pt>
                <c:pt idx="24">
                  <c:v>-4.4114435466258921E-2</c:v>
                </c:pt>
                <c:pt idx="25">
                  <c:v>-4.7914624850266707E-2</c:v>
                </c:pt>
                <c:pt idx="26">
                  <c:v>-3.895961369622488E-2</c:v>
                </c:pt>
                <c:pt idx="27">
                  <c:v>-5.2711661775894016E-2</c:v>
                </c:pt>
                <c:pt idx="28">
                  <c:v>-5.2112984453689566E-2</c:v>
                </c:pt>
                <c:pt idx="29">
                  <c:v>-5.3415061295971927E-2</c:v>
                </c:pt>
                <c:pt idx="30">
                  <c:v>-4.9518112329677622E-2</c:v>
                </c:pt>
                <c:pt idx="31">
                  <c:v>-3.3125833703868277E-2</c:v>
                </c:pt>
                <c:pt idx="32">
                  <c:v>-4.2890391222431615E-2</c:v>
                </c:pt>
                <c:pt idx="33">
                  <c:v>-2.2819244604316401E-2</c:v>
                </c:pt>
                <c:pt idx="34">
                  <c:v>-2.892102335928819E-2</c:v>
                </c:pt>
                <c:pt idx="35">
                  <c:v>-2.2655545536519446E-2</c:v>
                </c:pt>
                <c:pt idx="36">
                  <c:v>-1.8620059401416603E-2</c:v>
                </c:pt>
                <c:pt idx="37">
                  <c:v>9.1501772846846953E-4</c:v>
                </c:pt>
                <c:pt idx="38">
                  <c:v>-3.5400251227587997E-3</c:v>
                </c:pt>
                <c:pt idx="39">
                  <c:v>9.1785222579162805E-4</c:v>
                </c:pt>
                <c:pt idx="40">
                  <c:v>3.5343035343035373E-2</c:v>
                </c:pt>
                <c:pt idx="41">
                  <c:v>3.5846438482886149E-2</c:v>
                </c:pt>
                <c:pt idx="42">
                  <c:v>4.9533799533799536E-2</c:v>
                </c:pt>
                <c:pt idx="43">
                  <c:v>4.449298689353863E-2</c:v>
                </c:pt>
                <c:pt idx="44">
                  <c:v>5.7897174617878647E-2</c:v>
                </c:pt>
                <c:pt idx="45">
                  <c:v>4.7624525480271324E-2</c:v>
                </c:pt>
                <c:pt idx="46">
                  <c:v>5.3264604810996631E-2</c:v>
                </c:pt>
                <c:pt idx="47">
                  <c:v>6.9888132856648633E-2</c:v>
                </c:pt>
                <c:pt idx="48">
                  <c:v>7.8454196251891622E-2</c:v>
                </c:pt>
                <c:pt idx="49">
                  <c:v>6.6392412295737488E-2</c:v>
                </c:pt>
                <c:pt idx="50">
                  <c:v>6.2342424936969947E-2</c:v>
                </c:pt>
                <c:pt idx="51">
                  <c:v>7.1526822558459532E-2</c:v>
                </c:pt>
                <c:pt idx="52">
                  <c:v>4.2726461401160175E-2</c:v>
                </c:pt>
                <c:pt idx="53">
                  <c:v>3.8401428890377294E-2</c:v>
                </c:pt>
                <c:pt idx="54">
                  <c:v>4.0088839533592442E-2</c:v>
                </c:pt>
                <c:pt idx="55">
                  <c:v>3.5443037974683532E-2</c:v>
                </c:pt>
                <c:pt idx="56">
                  <c:v>2.3423817863397554E-2</c:v>
                </c:pt>
                <c:pt idx="57">
                  <c:v>2.8220050510596329E-2</c:v>
                </c:pt>
                <c:pt idx="58">
                  <c:v>-1.1963023382272912E-3</c:v>
                </c:pt>
                <c:pt idx="59">
                  <c:v>-1.0348172900722149E-2</c:v>
                </c:pt>
                <c:pt idx="60">
                  <c:v>1.2088505126821266E-2</c:v>
                </c:pt>
                <c:pt idx="61">
                  <c:v>-4.1791684526359448E-3</c:v>
                </c:pt>
                <c:pt idx="62">
                  <c:v>5.6094929881337213E-3</c:v>
                </c:pt>
                <c:pt idx="63">
                  <c:v>4.1720154043645759E-3</c:v>
                </c:pt>
                <c:pt idx="64">
                  <c:v>-5.8842409329196233E-3</c:v>
                </c:pt>
                <c:pt idx="65">
                  <c:v>1.8920662223177866E-2</c:v>
                </c:pt>
                <c:pt idx="66">
                  <c:v>4.0572282724750126E-3</c:v>
                </c:pt>
                <c:pt idx="67">
                  <c:v>-1.8071648772190804E-2</c:v>
                </c:pt>
                <c:pt idx="68">
                  <c:v>9.4117647058823035E-3</c:v>
                </c:pt>
                <c:pt idx="69">
                  <c:v>9.3976932934642828E-3</c:v>
                </c:pt>
                <c:pt idx="70">
                  <c:v>1.8619337979094007E-2</c:v>
                </c:pt>
                <c:pt idx="71">
                  <c:v>3.1369131902842774E-2</c:v>
                </c:pt>
                <c:pt idx="72">
                  <c:v>1.1517542924176158E-2</c:v>
                </c:pt>
                <c:pt idx="73">
                  <c:v>1.1836866458624709E-2</c:v>
                </c:pt>
                <c:pt idx="74">
                  <c:v>1.6841879425016172E-2</c:v>
                </c:pt>
                <c:pt idx="75">
                  <c:v>1.310322786832843E-2</c:v>
                </c:pt>
                <c:pt idx="76">
                  <c:v>5.9944037882049002E-2</c:v>
                </c:pt>
                <c:pt idx="77">
                  <c:v>1.9835408313990246E-2</c:v>
                </c:pt>
                <c:pt idx="78">
                  <c:v>3.5410463632496787E-2</c:v>
                </c:pt>
                <c:pt idx="79">
                  <c:v>5.6187073725235438E-2</c:v>
                </c:pt>
                <c:pt idx="80">
                  <c:v>7.3744437380801109E-2</c:v>
                </c:pt>
                <c:pt idx="81">
                  <c:v>4.6762589928057575E-2</c:v>
                </c:pt>
                <c:pt idx="82">
                  <c:v>8.4126135756280113E-2</c:v>
                </c:pt>
                <c:pt idx="83">
                  <c:v>4.6467420002112216E-2</c:v>
                </c:pt>
                <c:pt idx="84">
                  <c:v>6.5577227200843427E-2</c:v>
                </c:pt>
                <c:pt idx="85">
                  <c:v>7.4869722429011937E-2</c:v>
                </c:pt>
                <c:pt idx="86">
                  <c:v>7.3636459542145677E-2</c:v>
                </c:pt>
                <c:pt idx="87">
                  <c:v>5.7518401682439532E-2</c:v>
                </c:pt>
                <c:pt idx="88">
                  <c:v>3.4318204893897961E-2</c:v>
                </c:pt>
                <c:pt idx="89">
                  <c:v>6.7142561555969468E-2</c:v>
                </c:pt>
                <c:pt idx="90">
                  <c:v>5.2480230050323498E-2</c:v>
                </c:pt>
                <c:pt idx="91">
                  <c:v>5.6785567855678475E-2</c:v>
                </c:pt>
                <c:pt idx="92">
                  <c:v>-8.4862837971186045E-3</c:v>
                </c:pt>
                <c:pt idx="93">
                  <c:v>3.426318981200728E-2</c:v>
                </c:pt>
                <c:pt idx="94">
                  <c:v>9.564188522973761E-3</c:v>
                </c:pt>
                <c:pt idx="95">
                  <c:v>3.9358159249167336E-2</c:v>
                </c:pt>
                <c:pt idx="96">
                  <c:v>1.127931136835857E-2</c:v>
                </c:pt>
                <c:pt idx="97">
                  <c:v>1.4049668546551913E-2</c:v>
                </c:pt>
                <c:pt idx="98">
                  <c:v>4.0286921489634548E-3</c:v>
                </c:pt>
                <c:pt idx="99">
                  <c:v>1.5511583971363253E-2</c:v>
                </c:pt>
                <c:pt idx="100">
                  <c:v>1.0307254343771445E-2</c:v>
                </c:pt>
                <c:pt idx="101">
                  <c:v>1.9389238972369232E-3</c:v>
                </c:pt>
                <c:pt idx="102">
                  <c:v>2.2345823575331693E-2</c:v>
                </c:pt>
                <c:pt idx="103">
                  <c:v>1.8622696411251229E-2</c:v>
                </c:pt>
                <c:pt idx="104">
                  <c:v>2.5477707006369449E-2</c:v>
                </c:pt>
                <c:pt idx="105">
                  <c:v>3.4593960715332807E-2</c:v>
                </c:pt>
                <c:pt idx="106">
                  <c:v>4.7074909659146333E-2</c:v>
                </c:pt>
                <c:pt idx="107">
                  <c:v>4.1460335954947185E-2</c:v>
                </c:pt>
                <c:pt idx="108">
                  <c:v>4.0602680755307756E-2</c:v>
                </c:pt>
                <c:pt idx="109">
                  <c:v>4.5175139037955017E-2</c:v>
                </c:pt>
                <c:pt idx="110">
                  <c:v>5.1575650812291991E-2</c:v>
                </c:pt>
                <c:pt idx="111">
                  <c:v>5.8846568099481106E-2</c:v>
                </c:pt>
                <c:pt idx="112">
                  <c:v>5.6743101438010139E-2</c:v>
                </c:pt>
                <c:pt idx="113">
                  <c:v>6.5408805031446596E-2</c:v>
                </c:pt>
                <c:pt idx="114">
                  <c:v>3.7415290636632639E-2</c:v>
                </c:pt>
                <c:pt idx="115">
                  <c:v>4.7038659302989887E-2</c:v>
                </c:pt>
                <c:pt idx="116">
                  <c:v>5.7550465838509243E-2</c:v>
                </c:pt>
                <c:pt idx="117">
                  <c:v>3.2020402380277702E-2</c:v>
                </c:pt>
                <c:pt idx="118">
                  <c:v>3.0314336349221156E-2</c:v>
                </c:pt>
                <c:pt idx="119">
                  <c:v>2.7876188700354229E-2</c:v>
                </c:pt>
                <c:pt idx="120">
                  <c:v>4.5693869875893189E-2</c:v>
                </c:pt>
                <c:pt idx="121">
                  <c:v>3.426064227035102E-2</c:v>
                </c:pt>
                <c:pt idx="122">
                  <c:v>3.787808282922283E-2</c:v>
                </c:pt>
                <c:pt idx="123">
                  <c:v>3.5601997410763773E-2</c:v>
                </c:pt>
                <c:pt idx="124">
                  <c:v>1.2872379551305548E-2</c:v>
                </c:pt>
                <c:pt idx="125">
                  <c:v>7.9920079920079504E-3</c:v>
                </c:pt>
                <c:pt idx="126">
                  <c:v>2.1437114729965942E-2</c:v>
                </c:pt>
                <c:pt idx="127">
                  <c:v>-4.3652237177154397E-3</c:v>
                </c:pt>
                <c:pt idx="128">
                  <c:v>2.9549417270808471E-2</c:v>
                </c:pt>
                <c:pt idx="129">
                  <c:v>1.1257550796265694E-2</c:v>
                </c:pt>
                <c:pt idx="130">
                  <c:v>-6.6087271410464402E-3</c:v>
                </c:pt>
                <c:pt idx="131">
                  <c:v>-1.5963718820861724E-2</c:v>
                </c:pt>
                <c:pt idx="132">
                  <c:v>-1.8252112929329267E-2</c:v>
                </c:pt>
                <c:pt idx="133">
                  <c:v>-1.4802780034299129E-2</c:v>
                </c:pt>
                <c:pt idx="134">
                  <c:v>-1.7844332855093212E-2</c:v>
                </c:pt>
                <c:pt idx="135">
                  <c:v>-1.7144387891776067E-2</c:v>
                </c:pt>
                <c:pt idx="136">
                  <c:v>5.4466230936819947E-3</c:v>
                </c:pt>
                <c:pt idx="137">
                  <c:v>-1.0631588431390148E-2</c:v>
                </c:pt>
                <c:pt idx="138">
                  <c:v>-1.2700414339758572E-2</c:v>
                </c:pt>
                <c:pt idx="139">
                  <c:v>-9.0427475337962106E-3</c:v>
                </c:pt>
                <c:pt idx="140">
                  <c:v>-1.4885462162403081E-2</c:v>
                </c:pt>
                <c:pt idx="141">
                  <c:v>-1.2127794370531172E-2</c:v>
                </c:pt>
                <c:pt idx="142">
                  <c:v>-1.3123120386402967E-2</c:v>
                </c:pt>
                <c:pt idx="143">
                  <c:v>7.8348234860356591E-3</c:v>
                </c:pt>
                <c:pt idx="144">
                  <c:v>-2.2346368715083779E-2</c:v>
                </c:pt>
                <c:pt idx="145">
                  <c:v>-1.8323408153916889E-3</c:v>
                </c:pt>
                <c:pt idx="146">
                  <c:v>3.8345658723637514E-3</c:v>
                </c:pt>
                <c:pt idx="147">
                  <c:v>-8.9942763695829465E-3</c:v>
                </c:pt>
                <c:pt idx="148">
                  <c:v>-1.4897074756229737E-2</c:v>
                </c:pt>
                <c:pt idx="149">
                  <c:v>-2.9960841453419599E-2</c:v>
                </c:pt>
                <c:pt idx="150">
                  <c:v>-3.0562904844448447E-2</c:v>
                </c:pt>
                <c:pt idx="151">
                  <c:v>-3.4104525762742219E-3</c:v>
                </c:pt>
                <c:pt idx="152">
                  <c:v>-2.5606225117625756E-2</c:v>
                </c:pt>
                <c:pt idx="153">
                  <c:v>-1.7132386623912088E-2</c:v>
                </c:pt>
                <c:pt idx="154">
                  <c:v>1.4682796195401138E-2</c:v>
                </c:pt>
                <c:pt idx="155">
                  <c:v>-1.4541796231937108E-2</c:v>
                </c:pt>
                <c:pt idx="156">
                  <c:v>1.5456674473067969E-2</c:v>
                </c:pt>
                <c:pt idx="157">
                  <c:v>1.376778338687393E-3</c:v>
                </c:pt>
                <c:pt idx="158">
                  <c:v>2.182810368349203E-3</c:v>
                </c:pt>
                <c:pt idx="159">
                  <c:v>6.8756875687568759E-3</c:v>
                </c:pt>
                <c:pt idx="160">
                  <c:v>6.8737970855100358E-3</c:v>
                </c:pt>
                <c:pt idx="161">
                  <c:v>2.5722868944799186E-2</c:v>
                </c:pt>
                <c:pt idx="162">
                  <c:v>3.8208168642951137E-2</c:v>
                </c:pt>
                <c:pt idx="163">
                  <c:v>2.4602293747687722E-2</c:v>
                </c:pt>
                <c:pt idx="164">
                  <c:v>-7.614448881047388E-3</c:v>
                </c:pt>
                <c:pt idx="165">
                  <c:v>3.1040268456375822E-2</c:v>
                </c:pt>
                <c:pt idx="166">
                  <c:v>1.4197306152166021E-2</c:v>
                </c:pt>
                <c:pt idx="167">
                  <c:v>1.7076566125290054E-2</c:v>
                </c:pt>
                <c:pt idx="168">
                  <c:v>1.3099630996309846E-2</c:v>
                </c:pt>
                <c:pt idx="169">
                  <c:v>2.3098075160403395E-2</c:v>
                </c:pt>
                <c:pt idx="170">
                  <c:v>1.4520373899627606E-3</c:v>
                </c:pt>
                <c:pt idx="171">
                  <c:v>-1.7026313393426244E-2</c:v>
                </c:pt>
                <c:pt idx="172">
                  <c:v>7.9191698525396381E-3</c:v>
                </c:pt>
                <c:pt idx="173">
                  <c:v>2.5626944902068564E-3</c:v>
                </c:pt>
                <c:pt idx="174">
                  <c:v>-7.8861493836112247E-3</c:v>
                </c:pt>
                <c:pt idx="175">
                  <c:v>-1.5165192272973521E-2</c:v>
                </c:pt>
                <c:pt idx="176">
                  <c:v>1.5345747169458225E-2</c:v>
                </c:pt>
                <c:pt idx="177">
                  <c:v>5.7860952897568086E-3</c:v>
                </c:pt>
                <c:pt idx="178">
                  <c:v>-3.1048097631012149E-2</c:v>
                </c:pt>
                <c:pt idx="179">
                  <c:v>2.4911032028469657E-2</c:v>
                </c:pt>
                <c:pt idx="180">
                  <c:v>1.0471680932434946E-2</c:v>
                </c:pt>
                <c:pt idx="181">
                  <c:v>-1.236337573911494E-2</c:v>
                </c:pt>
                <c:pt idx="182">
                  <c:v>-7.6121431807883028E-3</c:v>
                </c:pt>
                <c:pt idx="183">
                  <c:v>3.3067802889959315E-2</c:v>
                </c:pt>
                <c:pt idx="184">
                  <c:v>2.1674342996477456E-3</c:v>
                </c:pt>
                <c:pt idx="185">
                  <c:v>2.9213072850100316E-2</c:v>
                </c:pt>
                <c:pt idx="186">
                  <c:v>2.8323435358611187E-2</c:v>
                </c:pt>
                <c:pt idx="187">
                  <c:v>1.7415215398716828E-2</c:v>
                </c:pt>
                <c:pt idx="188">
                  <c:v>1.6127545848308909E-2</c:v>
                </c:pt>
                <c:pt idx="189">
                  <c:v>6.2921348314606993E-3</c:v>
                </c:pt>
                <c:pt idx="190">
                  <c:v>2.8245971476199269E-2</c:v>
                </c:pt>
                <c:pt idx="191">
                  <c:v>-1.7094017094016985E-2</c:v>
                </c:pt>
                <c:pt idx="192">
                  <c:v>1.1714877894926531E-2</c:v>
                </c:pt>
                <c:pt idx="193">
                  <c:v>6.8940493468795825E-3</c:v>
                </c:pt>
                <c:pt idx="194">
                  <c:v>2.2920281252853537E-2</c:v>
                </c:pt>
                <c:pt idx="195">
                  <c:v>1.2014704563794526E-2</c:v>
                </c:pt>
                <c:pt idx="196">
                  <c:v>4.5057222672791888E-4</c:v>
                </c:pt>
                <c:pt idx="197">
                  <c:v>8.3377683164805039E-3</c:v>
                </c:pt>
                <c:pt idx="198">
                  <c:v>6.1306086183918057E-3</c:v>
                </c:pt>
                <c:pt idx="199">
                  <c:v>2.1441441441441399E-2</c:v>
                </c:pt>
                <c:pt idx="200">
                  <c:v>3.4373299473970539E-2</c:v>
                </c:pt>
                <c:pt idx="201">
                  <c:v>-4.555605180884369E-3</c:v>
                </c:pt>
                <c:pt idx="202">
                  <c:v>2.6569395658830972E-2</c:v>
                </c:pt>
                <c:pt idx="203">
                  <c:v>1.4311594202898535E-2</c:v>
                </c:pt>
                <c:pt idx="204">
                  <c:v>-9.7978088536563148E-4</c:v>
                </c:pt>
                <c:pt idx="205">
                  <c:v>1.9639639639639703E-2</c:v>
                </c:pt>
                <c:pt idx="206">
                  <c:v>1.9282271023031698E-2</c:v>
                </c:pt>
                <c:pt idx="207">
                  <c:v>-8.8597501550501603E-5</c:v>
                </c:pt>
                <c:pt idx="208">
                  <c:v>3.8461538461538554E-2</c:v>
                </c:pt>
                <c:pt idx="209">
                  <c:v>-3.3515130190007056E-2</c:v>
                </c:pt>
                <c:pt idx="210">
                  <c:v>-3.2585658777817009E-2</c:v>
                </c:pt>
                <c:pt idx="211">
                  <c:v>-2.672428999823603E-2</c:v>
                </c:pt>
                <c:pt idx="212">
                  <c:v>-4.5681718544497971E-2</c:v>
                </c:pt>
                <c:pt idx="213">
                  <c:v>-2.7458722182340294E-2</c:v>
                </c:pt>
                <c:pt idx="214">
                  <c:v>-6.7029303386559047E-2</c:v>
                </c:pt>
                <c:pt idx="215">
                  <c:v>-9.796392212895158E-2</c:v>
                </c:pt>
                <c:pt idx="216">
                  <c:v>-0.11180456490727525</c:v>
                </c:pt>
                <c:pt idx="217">
                  <c:v>-0.15241208694115568</c:v>
                </c:pt>
                <c:pt idx="218">
                  <c:v>-0.17157120336311091</c:v>
                </c:pt>
                <c:pt idx="219">
                  <c:v>-0.17729930887825629</c:v>
                </c:pt>
                <c:pt idx="220">
                  <c:v>-0.19498655564229336</c:v>
                </c:pt>
                <c:pt idx="221">
                  <c:v>-0.1450805497406025</c:v>
                </c:pt>
                <c:pt idx="222">
                  <c:v>-0.13162939297124601</c:v>
                </c:pt>
                <c:pt idx="223">
                  <c:v>-0.14091526959673764</c:v>
                </c:pt>
                <c:pt idx="224">
                  <c:v>-0.11475560455714819</c:v>
                </c:pt>
                <c:pt idx="225">
                  <c:v>-0.1064772098173094</c:v>
                </c:pt>
                <c:pt idx="226">
                  <c:v>-9.5448561218732422E-2</c:v>
                </c:pt>
                <c:pt idx="227">
                  <c:v>-3.8313038313038353E-2</c:v>
                </c:pt>
                <c:pt idx="228">
                  <c:v>-2.7906042963260401E-2</c:v>
                </c:pt>
                <c:pt idx="229">
                  <c:v>2.0223079328677136E-2</c:v>
                </c:pt>
                <c:pt idx="230">
                  <c:v>2.7909927053599751E-2</c:v>
                </c:pt>
                <c:pt idx="231">
                  <c:v>6.7959073774905787E-2</c:v>
                </c:pt>
                <c:pt idx="232">
                  <c:v>6.4109470962180823E-2</c:v>
                </c:pt>
                <c:pt idx="233">
                  <c:v>5.9831789630575852E-2</c:v>
                </c:pt>
                <c:pt idx="234">
                  <c:v>4.2257962787764225E-2</c:v>
                </c:pt>
                <c:pt idx="235">
                  <c:v>5.3586497890295341E-2</c:v>
                </c:pt>
                <c:pt idx="236">
                  <c:v>2.4597820446289619E-2</c:v>
                </c:pt>
                <c:pt idx="237">
                  <c:v>3.2837670384138706E-2</c:v>
                </c:pt>
                <c:pt idx="238">
                  <c:v>3.804969331531341E-2</c:v>
                </c:pt>
                <c:pt idx="239">
                  <c:v>4.1383570105003049E-2</c:v>
                </c:pt>
                <c:pt idx="240">
                  <c:v>5.8137133415943773E-2</c:v>
                </c:pt>
                <c:pt idx="241">
                  <c:v>5.9160110350464819E-2</c:v>
                </c:pt>
                <c:pt idx="242">
                  <c:v>6.9834413246940161E-2</c:v>
                </c:pt>
                <c:pt idx="243">
                  <c:v>3.5800726099233536E-2</c:v>
                </c:pt>
                <c:pt idx="244">
                  <c:v>2.2377480761441814E-2</c:v>
                </c:pt>
                <c:pt idx="245">
                  <c:v>4.7413360120542432E-2</c:v>
                </c:pt>
                <c:pt idx="246">
                  <c:v>2.3398890569843601E-2</c:v>
                </c:pt>
                <c:pt idx="247">
                  <c:v>2.6832198638366108E-2</c:v>
                </c:pt>
                <c:pt idx="248">
                  <c:v>3.0287682333873529E-2</c:v>
                </c:pt>
                <c:pt idx="249">
                  <c:v>9.5980803839232961E-3</c:v>
                </c:pt>
                <c:pt idx="250">
                  <c:v>1.3319979969955058E-2</c:v>
                </c:pt>
                <c:pt idx="251">
                  <c:v>2.0462633451957368E-2</c:v>
                </c:pt>
                <c:pt idx="252">
                  <c:v>-1.2589050453791276E-2</c:v>
                </c:pt>
                <c:pt idx="253">
                  <c:v>-2.8072544858190204E-2</c:v>
                </c:pt>
                <c:pt idx="254">
                  <c:v>-2.3264756777542799E-2</c:v>
                </c:pt>
                <c:pt idx="255">
                  <c:v>-1.9861746665368437E-2</c:v>
                </c:pt>
                <c:pt idx="256">
                  <c:v>9.9039318609538639E-5</c:v>
                </c:pt>
                <c:pt idx="257">
                  <c:v>-4.5554809628848184E-2</c:v>
                </c:pt>
                <c:pt idx="258">
                  <c:v>-2.6805952498275342E-2</c:v>
                </c:pt>
                <c:pt idx="259">
                  <c:v>-3.042121684867399E-2</c:v>
                </c:pt>
                <c:pt idx="260">
                  <c:v>-4.9159374692751118E-4</c:v>
                </c:pt>
                <c:pt idx="261">
                  <c:v>-1.5547633194692091E-2</c:v>
                </c:pt>
                <c:pt idx="262">
                  <c:v>-3.1923305000988375E-2</c:v>
                </c:pt>
                <c:pt idx="263">
                  <c:v>-5.1632277438729036E-2</c:v>
                </c:pt>
                <c:pt idx="264">
                  <c:v>-2.3324767740660342E-2</c:v>
                </c:pt>
                <c:pt idx="265">
                  <c:v>-2.0942928039702227E-2</c:v>
                </c:pt>
                <c:pt idx="266">
                  <c:v>-1.8602362204724415E-2</c:v>
                </c:pt>
                <c:pt idx="267">
                  <c:v>-8.2447601072811981E-3</c:v>
                </c:pt>
                <c:pt idx="268">
                  <c:v>4.852446028916566E-3</c:v>
                </c:pt>
                <c:pt idx="269">
                  <c:v>1.5574758842443703E-2</c:v>
                </c:pt>
                <c:pt idx="270">
                  <c:v>1.0835443037974615E-2</c:v>
                </c:pt>
                <c:pt idx="271">
                  <c:v>-3.2180209171358927E-3</c:v>
                </c:pt>
                <c:pt idx="272">
                  <c:v>-3.2657879205193717E-2</c:v>
                </c:pt>
                <c:pt idx="273">
                  <c:v>-5.1302685846493406E-3</c:v>
                </c:pt>
                <c:pt idx="274">
                  <c:v>1.1434405308830936E-2</c:v>
                </c:pt>
                <c:pt idx="275">
                  <c:v>2.9111338100102087E-2</c:v>
                </c:pt>
                <c:pt idx="276">
                  <c:v>6.9823922282939892E-3</c:v>
                </c:pt>
                <c:pt idx="277">
                  <c:v>-6.488240064882406E-3</c:v>
                </c:pt>
                <c:pt idx="278">
                  <c:v>-2.2063985558118432E-3</c:v>
                </c:pt>
                <c:pt idx="279">
                  <c:v>-1.0717147435897509E-2</c:v>
                </c:pt>
                <c:pt idx="280">
                  <c:v>-2.2863900660293614E-2</c:v>
                </c:pt>
                <c:pt idx="281">
                  <c:v>-4.0862768378351594E-2</c:v>
                </c:pt>
                <c:pt idx="282">
                  <c:v>-8.2147866159085672E-3</c:v>
                </c:pt>
                <c:pt idx="283">
                  <c:v>1.22074253430185E-2</c:v>
                </c:pt>
                <c:pt idx="284">
                  <c:v>-2.0337604230221966E-3</c:v>
                </c:pt>
                <c:pt idx="285">
                  <c:v>2.6289180990898978E-3</c:v>
                </c:pt>
                <c:pt idx="286">
                  <c:v>-1.4434238417280637E-2</c:v>
                </c:pt>
                <c:pt idx="287">
                  <c:v>-4.0992555831265466E-2</c:v>
                </c:pt>
                <c:pt idx="288">
                  <c:v>-4.019696512913903E-4</c:v>
                </c:pt>
                <c:pt idx="289">
                  <c:v>1.5408163265306175E-2</c:v>
                </c:pt>
                <c:pt idx="290">
                  <c:v>6.0307568599860147E-3</c:v>
                </c:pt>
                <c:pt idx="291">
                  <c:v>1.1339475549255894E-2</c:v>
                </c:pt>
                <c:pt idx="292">
                  <c:v>2.5214321734745334E-3</c:v>
                </c:pt>
                <c:pt idx="293">
                  <c:v>3.3732205487930642E-2</c:v>
                </c:pt>
                <c:pt idx="294">
                  <c:v>1.2323232323232312E-2</c:v>
                </c:pt>
                <c:pt idx="295">
                  <c:v>-1.2159872421010654E-2</c:v>
                </c:pt>
                <c:pt idx="296">
                  <c:v>1.7016507030772385E-2</c:v>
                </c:pt>
                <c:pt idx="297">
                  <c:v>2.05728116175878E-2</c:v>
                </c:pt>
                <c:pt idx="298">
                  <c:v>3.9737812371978654E-2</c:v>
                </c:pt>
                <c:pt idx="299">
                  <c:v>2.7737528462016069E-2</c:v>
                </c:pt>
                <c:pt idx="300">
                  <c:v>2.8149190710767178E-3</c:v>
                </c:pt>
                <c:pt idx="301">
                  <c:v>2.0902421867149013E-2</c:v>
                </c:pt>
                <c:pt idx="302">
                  <c:v>5.4950544509940764E-3</c:v>
                </c:pt>
                <c:pt idx="303">
                  <c:v>3.1034137551306665E-3</c:v>
                </c:pt>
                <c:pt idx="304">
                  <c:v>1.8209255533199076E-2</c:v>
                </c:pt>
                <c:pt idx="305">
                  <c:v>-6.0872168446262798E-3</c:v>
                </c:pt>
                <c:pt idx="306">
                  <c:v>-9.0800239473158711E-3</c:v>
                </c:pt>
                <c:pt idx="307">
                  <c:v>-1.1098779134295169E-3</c:v>
                </c:pt>
                <c:pt idx="308">
                  <c:v>1.1321510870654198E-2</c:v>
                </c:pt>
                <c:pt idx="309">
                  <c:v>-1.1561264822134404E-2</c:v>
                </c:pt>
                <c:pt idx="310">
                  <c:v>-1.9306540583136265E-2</c:v>
                </c:pt>
                <c:pt idx="311">
                  <c:v>2.9707955689828831E-2</c:v>
                </c:pt>
                <c:pt idx="312">
                  <c:v>1.1228070175438642E-2</c:v>
                </c:pt>
                <c:pt idx="313">
                  <c:v>-2.4608721330839651E-3</c:v>
                </c:pt>
                <c:pt idx="314">
                  <c:v>-4.8688394276629066E-3</c:v>
                </c:pt>
                <c:pt idx="315">
                  <c:v>1.1876247504989997E-2</c:v>
                </c:pt>
                <c:pt idx="316">
                  <c:v>-1.3832625234660664E-3</c:v>
                </c:pt>
                <c:pt idx="317">
                  <c:v>3.6345381526104469E-2</c:v>
                </c:pt>
                <c:pt idx="318">
                  <c:v>2.759037357768598E-2</c:v>
                </c:pt>
                <c:pt idx="319">
                  <c:v>3.6464646464646457E-2</c:v>
                </c:pt>
                <c:pt idx="320">
                  <c:v>1.8525856944719681E-2</c:v>
                </c:pt>
                <c:pt idx="321">
                  <c:v>3.6888933320003973E-2</c:v>
                </c:pt>
                <c:pt idx="322">
                  <c:v>4.5701084773001173E-2</c:v>
                </c:pt>
                <c:pt idx="323">
                  <c:v>2.3863080684596555E-2</c:v>
                </c:pt>
                <c:pt idx="324">
                  <c:v>4.7883414295628014E-2</c:v>
                </c:pt>
                <c:pt idx="325">
                  <c:v>6.5127294256956438E-3</c:v>
                </c:pt>
                <c:pt idx="326">
                  <c:v>3.1153270094857615E-2</c:v>
                </c:pt>
                <c:pt idx="327">
                  <c:v>2.8503797218660622E-2</c:v>
                </c:pt>
                <c:pt idx="328">
                  <c:v>1.8205204313841927E-2</c:v>
                </c:pt>
                <c:pt idx="329">
                  <c:v>-1.2885099786862995E-2</c:v>
                </c:pt>
                <c:pt idx="330">
                  <c:v>1.71484566389025E-2</c:v>
                </c:pt>
                <c:pt idx="331">
                  <c:v>9.648182438358785E-3</c:v>
                </c:pt>
                <c:pt idx="332">
                  <c:v>1.3422818791946263E-2</c:v>
                </c:pt>
                <c:pt idx="333">
                  <c:v>-7.0381797146163126E-3</c:v>
                </c:pt>
                <c:pt idx="334">
                  <c:v>-2.881567572759554E-3</c:v>
                </c:pt>
                <c:pt idx="335">
                  <c:v>-1.5283217117203117E-2</c:v>
                </c:pt>
                <c:pt idx="336">
                  <c:v>-1.4853358561967903E-2</c:v>
                </c:pt>
                <c:pt idx="337">
                  <c:v>2.6372549019607821E-2</c:v>
                </c:pt>
                <c:pt idx="338">
                  <c:v>1.2975694780672058E-2</c:v>
                </c:pt>
                <c:pt idx="339">
                  <c:v>7.6716532412733304E-4</c:v>
                </c:pt>
                <c:pt idx="340">
                  <c:v>1.4284326110193363E-2</c:v>
                </c:pt>
                <c:pt idx="341">
                  <c:v>3.8178427716164497E-2</c:v>
                </c:pt>
                <c:pt idx="342">
                  <c:v>-3.3718689788053403E-3</c:v>
                </c:pt>
                <c:pt idx="343">
                  <c:v>3.6679536679537616E-3</c:v>
                </c:pt>
                <c:pt idx="344">
                  <c:v>-1.2573183606872082E-2</c:v>
                </c:pt>
                <c:pt idx="345">
                  <c:v>9.5154869404796977E-3</c:v>
                </c:pt>
                <c:pt idx="346">
                  <c:v>-2.5045756670841451E-3</c:v>
                </c:pt>
                <c:pt idx="347">
                  <c:v>5.0441361916771362E-3</c:v>
                </c:pt>
                <c:pt idx="348">
                  <c:v>-2.8810141169691734E-2</c:v>
                </c:pt>
                <c:pt idx="349">
                  <c:v>-3.2285796160091654E-2</c:v>
                </c:pt>
                <c:pt idx="350">
                  <c:v>-1.3191855463148796E-2</c:v>
                </c:pt>
                <c:pt idx="351">
                  <c:v>-0.18100804906094289</c:v>
                </c:pt>
                <c:pt idx="352">
                  <c:v>-0.3500670626556811</c:v>
                </c:pt>
                <c:pt idx="353">
                  <c:v>-0.23596142938173575</c:v>
                </c:pt>
                <c:pt idx="354">
                  <c:v>-0.11677138714354759</c:v>
                </c:pt>
                <c:pt idx="355">
                  <c:v>-9.1844585497210973E-2</c:v>
                </c:pt>
                <c:pt idx="356">
                  <c:v>-7.1539657853810265E-2</c:v>
                </c:pt>
                <c:pt idx="357">
                  <c:v>-6.501875541021454E-2</c:v>
                </c:pt>
                <c:pt idx="358">
                  <c:v>-4.3167551907291157E-2</c:v>
                </c:pt>
                <c:pt idx="359">
                  <c:v>-4.8450921725702117E-2</c:v>
                </c:pt>
                <c:pt idx="360">
                  <c:v>-2.9862553149411612E-2</c:v>
                </c:pt>
                <c:pt idx="361">
                  <c:v>1.5793110255650634E-3</c:v>
                </c:pt>
                <c:pt idx="362">
                  <c:v>-6.1997481352320118E-2</c:v>
                </c:pt>
                <c:pt idx="363">
                  <c:v>0.14402714402714406</c:v>
                </c:pt>
                <c:pt idx="364">
                  <c:v>0.43794221698113195</c:v>
                </c:pt>
                <c:pt idx="365">
                  <c:v>0.20267260579064603</c:v>
                </c:pt>
                <c:pt idx="366">
                  <c:v>7.0044872496442936E-2</c:v>
                </c:pt>
                <c:pt idx="367">
                  <c:v>3.9606057397013603E-2</c:v>
                </c:pt>
                <c:pt idx="368">
                  <c:v>3.8211892797319992E-2</c:v>
                </c:pt>
                <c:pt idx="369">
                  <c:v>5.0406336796626804E-3</c:v>
                </c:pt>
                <c:pt idx="370">
                  <c:v>-5.450141299959548E-3</c:v>
                </c:pt>
                <c:pt idx="371">
                  <c:v>-4.9700781012273973E-3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66-774E-932F-5244BC295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Table13456789101112131415161734[[#Headers],[FRA]]</c:f>
          <c:strCache>
            <c:ptCount val="1"/>
            <c:pt idx="0">
              <c:v>FRA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'Per country'!$G$4</c:f>
              <c:strCache>
                <c:ptCount val="1"/>
                <c:pt idx="0">
                  <c:v>France Industrial Production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'Per country'!$A$5:$A$376</c:f>
              <c:numCache>
                <c:formatCode>mmm\-yy</c:formatCode>
                <c:ptCount val="372"/>
                <c:pt idx="0">
                  <c:v>33208</c:v>
                </c:pt>
                <c:pt idx="1">
                  <c:v>33239</c:v>
                </c:pt>
                <c:pt idx="2">
                  <c:v>33270</c:v>
                </c:pt>
                <c:pt idx="3">
                  <c:v>33298</c:v>
                </c:pt>
                <c:pt idx="4">
                  <c:v>33329</c:v>
                </c:pt>
                <c:pt idx="5">
                  <c:v>33359</c:v>
                </c:pt>
                <c:pt idx="6">
                  <c:v>33390</c:v>
                </c:pt>
                <c:pt idx="7">
                  <c:v>33420</c:v>
                </c:pt>
                <c:pt idx="8">
                  <c:v>33451</c:v>
                </c:pt>
                <c:pt idx="9">
                  <c:v>33482</c:v>
                </c:pt>
                <c:pt idx="10">
                  <c:v>33512</c:v>
                </c:pt>
                <c:pt idx="11">
                  <c:v>33543</c:v>
                </c:pt>
                <c:pt idx="12">
                  <c:v>33573</c:v>
                </c:pt>
                <c:pt idx="13">
                  <c:v>33604</c:v>
                </c:pt>
                <c:pt idx="14">
                  <c:v>33635</c:v>
                </c:pt>
                <c:pt idx="15">
                  <c:v>33664</c:v>
                </c:pt>
                <c:pt idx="16">
                  <c:v>33695</c:v>
                </c:pt>
                <c:pt idx="17">
                  <c:v>33725</c:v>
                </c:pt>
                <c:pt idx="18">
                  <c:v>33756</c:v>
                </c:pt>
                <c:pt idx="19">
                  <c:v>33786</c:v>
                </c:pt>
                <c:pt idx="20">
                  <c:v>33817</c:v>
                </c:pt>
                <c:pt idx="21">
                  <c:v>33848</c:v>
                </c:pt>
                <c:pt idx="22">
                  <c:v>33878</c:v>
                </c:pt>
                <c:pt idx="23">
                  <c:v>33909</c:v>
                </c:pt>
                <c:pt idx="24">
                  <c:v>33939</c:v>
                </c:pt>
                <c:pt idx="25">
                  <c:v>33970</c:v>
                </c:pt>
                <c:pt idx="26">
                  <c:v>34001</c:v>
                </c:pt>
                <c:pt idx="27">
                  <c:v>34029</c:v>
                </c:pt>
                <c:pt idx="28">
                  <c:v>34060</c:v>
                </c:pt>
                <c:pt idx="29">
                  <c:v>34090</c:v>
                </c:pt>
                <c:pt idx="30">
                  <c:v>34121</c:v>
                </c:pt>
                <c:pt idx="31">
                  <c:v>34151</c:v>
                </c:pt>
                <c:pt idx="32">
                  <c:v>34182</c:v>
                </c:pt>
                <c:pt idx="33">
                  <c:v>34213</c:v>
                </c:pt>
                <c:pt idx="34">
                  <c:v>34243</c:v>
                </c:pt>
                <c:pt idx="35">
                  <c:v>34274</c:v>
                </c:pt>
                <c:pt idx="36">
                  <c:v>34304</c:v>
                </c:pt>
                <c:pt idx="37">
                  <c:v>34335</c:v>
                </c:pt>
                <c:pt idx="38">
                  <c:v>34366</c:v>
                </c:pt>
                <c:pt idx="39">
                  <c:v>34394</c:v>
                </c:pt>
                <c:pt idx="40">
                  <c:v>34425</c:v>
                </c:pt>
                <c:pt idx="41">
                  <c:v>34455</c:v>
                </c:pt>
                <c:pt idx="42">
                  <c:v>34486</c:v>
                </c:pt>
                <c:pt idx="43">
                  <c:v>34516</c:v>
                </c:pt>
                <c:pt idx="44">
                  <c:v>34547</c:v>
                </c:pt>
                <c:pt idx="45">
                  <c:v>34578</c:v>
                </c:pt>
                <c:pt idx="46">
                  <c:v>34608</c:v>
                </c:pt>
                <c:pt idx="47">
                  <c:v>34639</c:v>
                </c:pt>
                <c:pt idx="48">
                  <c:v>34669</c:v>
                </c:pt>
                <c:pt idx="49">
                  <c:v>34700</c:v>
                </c:pt>
                <c:pt idx="50">
                  <c:v>34731</c:v>
                </c:pt>
                <c:pt idx="51">
                  <c:v>34759</c:v>
                </c:pt>
                <c:pt idx="52">
                  <c:v>34790</c:v>
                </c:pt>
                <c:pt idx="53">
                  <c:v>34820</c:v>
                </c:pt>
                <c:pt idx="54">
                  <c:v>34851</c:v>
                </c:pt>
                <c:pt idx="55">
                  <c:v>34881</c:v>
                </c:pt>
                <c:pt idx="56">
                  <c:v>34912</c:v>
                </c:pt>
                <c:pt idx="57">
                  <c:v>34943</c:v>
                </c:pt>
                <c:pt idx="58">
                  <c:v>34973</c:v>
                </c:pt>
                <c:pt idx="59">
                  <c:v>35004</c:v>
                </c:pt>
                <c:pt idx="60">
                  <c:v>35034</c:v>
                </c:pt>
                <c:pt idx="61">
                  <c:v>35065</c:v>
                </c:pt>
                <c:pt idx="62">
                  <c:v>35096</c:v>
                </c:pt>
                <c:pt idx="63">
                  <c:v>35125</c:v>
                </c:pt>
                <c:pt idx="64">
                  <c:v>35156</c:v>
                </c:pt>
                <c:pt idx="65">
                  <c:v>35186</c:v>
                </c:pt>
                <c:pt idx="66">
                  <c:v>35217</c:v>
                </c:pt>
                <c:pt idx="67">
                  <c:v>35247</c:v>
                </c:pt>
                <c:pt idx="68">
                  <c:v>35278</c:v>
                </c:pt>
                <c:pt idx="69">
                  <c:v>35309</c:v>
                </c:pt>
                <c:pt idx="70">
                  <c:v>35339</c:v>
                </c:pt>
                <c:pt idx="71">
                  <c:v>35370</c:v>
                </c:pt>
                <c:pt idx="72">
                  <c:v>35400</c:v>
                </c:pt>
                <c:pt idx="73">
                  <c:v>35431</c:v>
                </c:pt>
                <c:pt idx="74">
                  <c:v>35462</c:v>
                </c:pt>
                <c:pt idx="75">
                  <c:v>35490</c:v>
                </c:pt>
                <c:pt idx="76">
                  <c:v>35521</c:v>
                </c:pt>
                <c:pt idx="77">
                  <c:v>35551</c:v>
                </c:pt>
                <c:pt idx="78">
                  <c:v>35582</c:v>
                </c:pt>
                <c:pt idx="79">
                  <c:v>35612</c:v>
                </c:pt>
                <c:pt idx="80">
                  <c:v>35643</c:v>
                </c:pt>
                <c:pt idx="81">
                  <c:v>35674</c:v>
                </c:pt>
                <c:pt idx="82">
                  <c:v>35704</c:v>
                </c:pt>
                <c:pt idx="83">
                  <c:v>35735</c:v>
                </c:pt>
                <c:pt idx="84">
                  <c:v>35765</c:v>
                </c:pt>
                <c:pt idx="85">
                  <c:v>35796</c:v>
                </c:pt>
                <c:pt idx="86">
                  <c:v>35827</c:v>
                </c:pt>
                <c:pt idx="87">
                  <c:v>35855</c:v>
                </c:pt>
                <c:pt idx="88">
                  <c:v>35886</c:v>
                </c:pt>
                <c:pt idx="89">
                  <c:v>35916</c:v>
                </c:pt>
                <c:pt idx="90">
                  <c:v>35947</c:v>
                </c:pt>
                <c:pt idx="91">
                  <c:v>35977</c:v>
                </c:pt>
                <c:pt idx="92">
                  <c:v>36008</c:v>
                </c:pt>
                <c:pt idx="93">
                  <c:v>36039</c:v>
                </c:pt>
                <c:pt idx="94">
                  <c:v>36069</c:v>
                </c:pt>
                <c:pt idx="95">
                  <c:v>36100</c:v>
                </c:pt>
                <c:pt idx="96">
                  <c:v>36130</c:v>
                </c:pt>
                <c:pt idx="97">
                  <c:v>36161</c:v>
                </c:pt>
                <c:pt idx="98">
                  <c:v>36192</c:v>
                </c:pt>
                <c:pt idx="99">
                  <c:v>36220</c:v>
                </c:pt>
                <c:pt idx="100">
                  <c:v>36251</c:v>
                </c:pt>
                <c:pt idx="101">
                  <c:v>36281</c:v>
                </c:pt>
                <c:pt idx="102">
                  <c:v>36312</c:v>
                </c:pt>
                <c:pt idx="103">
                  <c:v>36342</c:v>
                </c:pt>
                <c:pt idx="104">
                  <c:v>36373</c:v>
                </c:pt>
                <c:pt idx="105">
                  <c:v>36404</c:v>
                </c:pt>
                <c:pt idx="106">
                  <c:v>36434</c:v>
                </c:pt>
                <c:pt idx="107">
                  <c:v>36465</c:v>
                </c:pt>
                <c:pt idx="108">
                  <c:v>36495</c:v>
                </c:pt>
                <c:pt idx="109">
                  <c:v>36526</c:v>
                </c:pt>
                <c:pt idx="110">
                  <c:v>36557</c:v>
                </c:pt>
                <c:pt idx="111">
                  <c:v>36586</c:v>
                </c:pt>
                <c:pt idx="112">
                  <c:v>36617</c:v>
                </c:pt>
                <c:pt idx="113">
                  <c:v>36647</c:v>
                </c:pt>
                <c:pt idx="114">
                  <c:v>36678</c:v>
                </c:pt>
                <c:pt idx="115">
                  <c:v>36708</c:v>
                </c:pt>
                <c:pt idx="116">
                  <c:v>36739</c:v>
                </c:pt>
                <c:pt idx="117">
                  <c:v>36770</c:v>
                </c:pt>
                <c:pt idx="118">
                  <c:v>36800</c:v>
                </c:pt>
                <c:pt idx="119">
                  <c:v>36831</c:v>
                </c:pt>
                <c:pt idx="120">
                  <c:v>36861</c:v>
                </c:pt>
                <c:pt idx="121">
                  <c:v>36892</c:v>
                </c:pt>
                <c:pt idx="122">
                  <c:v>36923</c:v>
                </c:pt>
                <c:pt idx="123">
                  <c:v>36951</c:v>
                </c:pt>
                <c:pt idx="124">
                  <c:v>36982</c:v>
                </c:pt>
                <c:pt idx="125">
                  <c:v>37012</c:v>
                </c:pt>
                <c:pt idx="126">
                  <c:v>37043</c:v>
                </c:pt>
                <c:pt idx="127">
                  <c:v>37073</c:v>
                </c:pt>
                <c:pt idx="128">
                  <c:v>37104</c:v>
                </c:pt>
                <c:pt idx="129">
                  <c:v>37135</c:v>
                </c:pt>
                <c:pt idx="130">
                  <c:v>37165</c:v>
                </c:pt>
                <c:pt idx="131">
                  <c:v>37196</c:v>
                </c:pt>
                <c:pt idx="132">
                  <c:v>37226</c:v>
                </c:pt>
                <c:pt idx="133">
                  <c:v>37257</c:v>
                </c:pt>
                <c:pt idx="134">
                  <c:v>37288</c:v>
                </c:pt>
                <c:pt idx="135">
                  <c:v>37316</c:v>
                </c:pt>
                <c:pt idx="136">
                  <c:v>37347</c:v>
                </c:pt>
                <c:pt idx="137">
                  <c:v>37377</c:v>
                </c:pt>
                <c:pt idx="138">
                  <c:v>37408</c:v>
                </c:pt>
                <c:pt idx="139">
                  <c:v>37438</c:v>
                </c:pt>
                <c:pt idx="140">
                  <c:v>37469</c:v>
                </c:pt>
                <c:pt idx="141">
                  <c:v>37500</c:v>
                </c:pt>
                <c:pt idx="142">
                  <c:v>37530</c:v>
                </c:pt>
                <c:pt idx="143">
                  <c:v>37561</c:v>
                </c:pt>
                <c:pt idx="144">
                  <c:v>37591</c:v>
                </c:pt>
                <c:pt idx="145">
                  <c:v>37622</c:v>
                </c:pt>
                <c:pt idx="146">
                  <c:v>37653</c:v>
                </c:pt>
                <c:pt idx="147">
                  <c:v>37681</c:v>
                </c:pt>
                <c:pt idx="148">
                  <c:v>37712</c:v>
                </c:pt>
                <c:pt idx="149">
                  <c:v>37742</c:v>
                </c:pt>
                <c:pt idx="150">
                  <c:v>37773</c:v>
                </c:pt>
                <c:pt idx="151">
                  <c:v>37803</c:v>
                </c:pt>
                <c:pt idx="152">
                  <c:v>37834</c:v>
                </c:pt>
                <c:pt idx="153">
                  <c:v>37865</c:v>
                </c:pt>
                <c:pt idx="154">
                  <c:v>37895</c:v>
                </c:pt>
                <c:pt idx="155">
                  <c:v>37926</c:v>
                </c:pt>
                <c:pt idx="156">
                  <c:v>37956</c:v>
                </c:pt>
                <c:pt idx="157">
                  <c:v>37987</c:v>
                </c:pt>
                <c:pt idx="158">
                  <c:v>38018</c:v>
                </c:pt>
                <c:pt idx="159">
                  <c:v>38047</c:v>
                </c:pt>
                <c:pt idx="160">
                  <c:v>38078</c:v>
                </c:pt>
                <c:pt idx="161">
                  <c:v>38108</c:v>
                </c:pt>
                <c:pt idx="162">
                  <c:v>38139</c:v>
                </c:pt>
                <c:pt idx="163">
                  <c:v>38169</c:v>
                </c:pt>
                <c:pt idx="164">
                  <c:v>38200</c:v>
                </c:pt>
                <c:pt idx="165">
                  <c:v>38231</c:v>
                </c:pt>
                <c:pt idx="166">
                  <c:v>38261</c:v>
                </c:pt>
                <c:pt idx="167">
                  <c:v>38292</c:v>
                </c:pt>
                <c:pt idx="168">
                  <c:v>38322</c:v>
                </c:pt>
                <c:pt idx="169">
                  <c:v>38353</c:v>
                </c:pt>
                <c:pt idx="170">
                  <c:v>38384</c:v>
                </c:pt>
                <c:pt idx="171">
                  <c:v>38412</c:v>
                </c:pt>
                <c:pt idx="172">
                  <c:v>38443</c:v>
                </c:pt>
                <c:pt idx="173">
                  <c:v>38473</c:v>
                </c:pt>
                <c:pt idx="174">
                  <c:v>38504</c:v>
                </c:pt>
                <c:pt idx="175">
                  <c:v>38534</c:v>
                </c:pt>
                <c:pt idx="176">
                  <c:v>38565</c:v>
                </c:pt>
                <c:pt idx="177">
                  <c:v>38596</c:v>
                </c:pt>
                <c:pt idx="178">
                  <c:v>38626</c:v>
                </c:pt>
                <c:pt idx="179">
                  <c:v>38657</c:v>
                </c:pt>
                <c:pt idx="180">
                  <c:v>38687</c:v>
                </c:pt>
                <c:pt idx="181">
                  <c:v>38718</c:v>
                </c:pt>
                <c:pt idx="182">
                  <c:v>38749</c:v>
                </c:pt>
                <c:pt idx="183">
                  <c:v>38777</c:v>
                </c:pt>
                <c:pt idx="184">
                  <c:v>38808</c:v>
                </c:pt>
                <c:pt idx="185">
                  <c:v>38838</c:v>
                </c:pt>
                <c:pt idx="186">
                  <c:v>38869</c:v>
                </c:pt>
                <c:pt idx="187">
                  <c:v>38899</c:v>
                </c:pt>
                <c:pt idx="188">
                  <c:v>38930</c:v>
                </c:pt>
                <c:pt idx="189">
                  <c:v>38961</c:v>
                </c:pt>
                <c:pt idx="190">
                  <c:v>38991</c:v>
                </c:pt>
                <c:pt idx="191">
                  <c:v>39022</c:v>
                </c:pt>
                <c:pt idx="192">
                  <c:v>39052</c:v>
                </c:pt>
                <c:pt idx="193">
                  <c:v>39083</c:v>
                </c:pt>
                <c:pt idx="194">
                  <c:v>39114</c:v>
                </c:pt>
                <c:pt idx="195">
                  <c:v>39142</c:v>
                </c:pt>
                <c:pt idx="196">
                  <c:v>39173</c:v>
                </c:pt>
                <c:pt idx="197">
                  <c:v>39203</c:v>
                </c:pt>
                <c:pt idx="198">
                  <c:v>39234</c:v>
                </c:pt>
                <c:pt idx="199">
                  <c:v>39264</c:v>
                </c:pt>
                <c:pt idx="200">
                  <c:v>39295</c:v>
                </c:pt>
                <c:pt idx="201">
                  <c:v>39326</c:v>
                </c:pt>
                <c:pt idx="202">
                  <c:v>39356</c:v>
                </c:pt>
                <c:pt idx="203">
                  <c:v>39387</c:v>
                </c:pt>
                <c:pt idx="204">
                  <c:v>39417</c:v>
                </c:pt>
                <c:pt idx="205">
                  <c:v>39448</c:v>
                </c:pt>
                <c:pt idx="206">
                  <c:v>39479</c:v>
                </c:pt>
                <c:pt idx="207">
                  <c:v>39508</c:v>
                </c:pt>
                <c:pt idx="208">
                  <c:v>39539</c:v>
                </c:pt>
                <c:pt idx="209">
                  <c:v>39569</c:v>
                </c:pt>
                <c:pt idx="210">
                  <c:v>39600</c:v>
                </c:pt>
                <c:pt idx="211">
                  <c:v>39630</c:v>
                </c:pt>
                <c:pt idx="212">
                  <c:v>39661</c:v>
                </c:pt>
                <c:pt idx="213">
                  <c:v>39692</c:v>
                </c:pt>
                <c:pt idx="214">
                  <c:v>39722</c:v>
                </c:pt>
                <c:pt idx="215">
                  <c:v>39753</c:v>
                </c:pt>
                <c:pt idx="216">
                  <c:v>39783</c:v>
                </c:pt>
                <c:pt idx="217">
                  <c:v>39814</c:v>
                </c:pt>
                <c:pt idx="218">
                  <c:v>39845</c:v>
                </c:pt>
                <c:pt idx="219">
                  <c:v>39873</c:v>
                </c:pt>
                <c:pt idx="220">
                  <c:v>39904</c:v>
                </c:pt>
                <c:pt idx="221">
                  <c:v>39934</c:v>
                </c:pt>
                <c:pt idx="222">
                  <c:v>39965</c:v>
                </c:pt>
                <c:pt idx="223">
                  <c:v>39995</c:v>
                </c:pt>
                <c:pt idx="224">
                  <c:v>40026</c:v>
                </c:pt>
                <c:pt idx="225">
                  <c:v>40057</c:v>
                </c:pt>
                <c:pt idx="226">
                  <c:v>40087</c:v>
                </c:pt>
                <c:pt idx="227">
                  <c:v>40118</c:v>
                </c:pt>
                <c:pt idx="228">
                  <c:v>40148</c:v>
                </c:pt>
                <c:pt idx="229">
                  <c:v>40179</c:v>
                </c:pt>
                <c:pt idx="230">
                  <c:v>40210</c:v>
                </c:pt>
                <c:pt idx="231">
                  <c:v>40238</c:v>
                </c:pt>
                <c:pt idx="232">
                  <c:v>40269</c:v>
                </c:pt>
                <c:pt idx="233">
                  <c:v>40299</c:v>
                </c:pt>
                <c:pt idx="234">
                  <c:v>40330</c:v>
                </c:pt>
                <c:pt idx="235">
                  <c:v>40360</c:v>
                </c:pt>
                <c:pt idx="236">
                  <c:v>40391</c:v>
                </c:pt>
                <c:pt idx="237">
                  <c:v>40422</c:v>
                </c:pt>
                <c:pt idx="238">
                  <c:v>40452</c:v>
                </c:pt>
                <c:pt idx="239">
                  <c:v>40483</c:v>
                </c:pt>
                <c:pt idx="240">
                  <c:v>40513</c:v>
                </c:pt>
                <c:pt idx="241">
                  <c:v>40544</c:v>
                </c:pt>
                <c:pt idx="242">
                  <c:v>40575</c:v>
                </c:pt>
                <c:pt idx="243">
                  <c:v>40603</c:v>
                </c:pt>
                <c:pt idx="244">
                  <c:v>40634</c:v>
                </c:pt>
                <c:pt idx="245">
                  <c:v>40664</c:v>
                </c:pt>
                <c:pt idx="246">
                  <c:v>40695</c:v>
                </c:pt>
                <c:pt idx="247">
                  <c:v>40725</c:v>
                </c:pt>
                <c:pt idx="248">
                  <c:v>40756</c:v>
                </c:pt>
                <c:pt idx="249">
                  <c:v>40787</c:v>
                </c:pt>
                <c:pt idx="250">
                  <c:v>40817</c:v>
                </c:pt>
                <c:pt idx="251">
                  <c:v>40848</c:v>
                </c:pt>
                <c:pt idx="252">
                  <c:v>40878</c:v>
                </c:pt>
                <c:pt idx="253">
                  <c:v>40909</c:v>
                </c:pt>
                <c:pt idx="254">
                  <c:v>40940</c:v>
                </c:pt>
                <c:pt idx="255">
                  <c:v>40969</c:v>
                </c:pt>
                <c:pt idx="256">
                  <c:v>41000</c:v>
                </c:pt>
                <c:pt idx="257">
                  <c:v>41030</c:v>
                </c:pt>
                <c:pt idx="258">
                  <c:v>41061</c:v>
                </c:pt>
                <c:pt idx="259">
                  <c:v>41091</c:v>
                </c:pt>
                <c:pt idx="260">
                  <c:v>41122</c:v>
                </c:pt>
                <c:pt idx="261">
                  <c:v>41153</c:v>
                </c:pt>
                <c:pt idx="262">
                  <c:v>41183</c:v>
                </c:pt>
                <c:pt idx="263">
                  <c:v>41214</c:v>
                </c:pt>
                <c:pt idx="264">
                  <c:v>41244</c:v>
                </c:pt>
                <c:pt idx="265">
                  <c:v>41275</c:v>
                </c:pt>
                <c:pt idx="266">
                  <c:v>41306</c:v>
                </c:pt>
                <c:pt idx="267">
                  <c:v>41334</c:v>
                </c:pt>
                <c:pt idx="268">
                  <c:v>41365</c:v>
                </c:pt>
                <c:pt idx="269">
                  <c:v>41395</c:v>
                </c:pt>
                <c:pt idx="270">
                  <c:v>41426</c:v>
                </c:pt>
                <c:pt idx="271">
                  <c:v>41456</c:v>
                </c:pt>
                <c:pt idx="272">
                  <c:v>41487</c:v>
                </c:pt>
                <c:pt idx="273">
                  <c:v>41518</c:v>
                </c:pt>
                <c:pt idx="274">
                  <c:v>41548</c:v>
                </c:pt>
                <c:pt idx="275">
                  <c:v>41579</c:v>
                </c:pt>
                <c:pt idx="276">
                  <c:v>41609</c:v>
                </c:pt>
                <c:pt idx="277">
                  <c:v>41640</c:v>
                </c:pt>
                <c:pt idx="278">
                  <c:v>41671</c:v>
                </c:pt>
                <c:pt idx="279">
                  <c:v>41699</c:v>
                </c:pt>
                <c:pt idx="280">
                  <c:v>41730</c:v>
                </c:pt>
                <c:pt idx="281">
                  <c:v>41760</c:v>
                </c:pt>
                <c:pt idx="282">
                  <c:v>41791</c:v>
                </c:pt>
                <c:pt idx="283">
                  <c:v>41821</c:v>
                </c:pt>
                <c:pt idx="284">
                  <c:v>41852</c:v>
                </c:pt>
                <c:pt idx="285">
                  <c:v>41883</c:v>
                </c:pt>
                <c:pt idx="286">
                  <c:v>41913</c:v>
                </c:pt>
                <c:pt idx="287">
                  <c:v>41944</c:v>
                </c:pt>
                <c:pt idx="288">
                  <c:v>41974</c:v>
                </c:pt>
                <c:pt idx="289">
                  <c:v>42005</c:v>
                </c:pt>
                <c:pt idx="290">
                  <c:v>42036</c:v>
                </c:pt>
                <c:pt idx="291">
                  <c:v>42064</c:v>
                </c:pt>
                <c:pt idx="292">
                  <c:v>42095</c:v>
                </c:pt>
                <c:pt idx="293">
                  <c:v>42125</c:v>
                </c:pt>
                <c:pt idx="294">
                  <c:v>42156</c:v>
                </c:pt>
                <c:pt idx="295">
                  <c:v>42186</c:v>
                </c:pt>
                <c:pt idx="296">
                  <c:v>42217</c:v>
                </c:pt>
                <c:pt idx="297">
                  <c:v>42248</c:v>
                </c:pt>
                <c:pt idx="298">
                  <c:v>42278</c:v>
                </c:pt>
                <c:pt idx="299">
                  <c:v>42309</c:v>
                </c:pt>
                <c:pt idx="300">
                  <c:v>42339</c:v>
                </c:pt>
                <c:pt idx="301">
                  <c:v>42370</c:v>
                </c:pt>
                <c:pt idx="302">
                  <c:v>42401</c:v>
                </c:pt>
                <c:pt idx="303">
                  <c:v>42430</c:v>
                </c:pt>
                <c:pt idx="304">
                  <c:v>42461</c:v>
                </c:pt>
                <c:pt idx="305">
                  <c:v>42491</c:v>
                </c:pt>
                <c:pt idx="306">
                  <c:v>42522</c:v>
                </c:pt>
                <c:pt idx="307">
                  <c:v>42552</c:v>
                </c:pt>
                <c:pt idx="308">
                  <c:v>42583</c:v>
                </c:pt>
                <c:pt idx="309">
                  <c:v>42614</c:v>
                </c:pt>
                <c:pt idx="310">
                  <c:v>42644</c:v>
                </c:pt>
                <c:pt idx="311">
                  <c:v>42675</c:v>
                </c:pt>
                <c:pt idx="312">
                  <c:v>42705</c:v>
                </c:pt>
                <c:pt idx="313">
                  <c:v>42736</c:v>
                </c:pt>
                <c:pt idx="314">
                  <c:v>42767</c:v>
                </c:pt>
                <c:pt idx="315">
                  <c:v>42795</c:v>
                </c:pt>
                <c:pt idx="316">
                  <c:v>42826</c:v>
                </c:pt>
                <c:pt idx="317">
                  <c:v>42856</c:v>
                </c:pt>
                <c:pt idx="318">
                  <c:v>42887</c:v>
                </c:pt>
                <c:pt idx="319">
                  <c:v>42917</c:v>
                </c:pt>
                <c:pt idx="320">
                  <c:v>42948</c:v>
                </c:pt>
                <c:pt idx="321">
                  <c:v>42979</c:v>
                </c:pt>
                <c:pt idx="322">
                  <c:v>43009</c:v>
                </c:pt>
                <c:pt idx="323">
                  <c:v>43040</c:v>
                </c:pt>
                <c:pt idx="324">
                  <c:v>43070</c:v>
                </c:pt>
                <c:pt idx="325">
                  <c:v>43101</c:v>
                </c:pt>
                <c:pt idx="326">
                  <c:v>43132</c:v>
                </c:pt>
                <c:pt idx="327">
                  <c:v>43160</c:v>
                </c:pt>
                <c:pt idx="328">
                  <c:v>43191</c:v>
                </c:pt>
                <c:pt idx="329">
                  <c:v>43221</c:v>
                </c:pt>
                <c:pt idx="330">
                  <c:v>43252</c:v>
                </c:pt>
                <c:pt idx="331">
                  <c:v>43282</c:v>
                </c:pt>
                <c:pt idx="332">
                  <c:v>43313</c:v>
                </c:pt>
                <c:pt idx="333">
                  <c:v>43344</c:v>
                </c:pt>
                <c:pt idx="334">
                  <c:v>43374</c:v>
                </c:pt>
                <c:pt idx="335">
                  <c:v>43405</c:v>
                </c:pt>
                <c:pt idx="336">
                  <c:v>43435</c:v>
                </c:pt>
                <c:pt idx="337">
                  <c:v>43466</c:v>
                </c:pt>
                <c:pt idx="338">
                  <c:v>43497</c:v>
                </c:pt>
                <c:pt idx="339">
                  <c:v>43525</c:v>
                </c:pt>
                <c:pt idx="340">
                  <c:v>43556</c:v>
                </c:pt>
                <c:pt idx="341">
                  <c:v>43586</c:v>
                </c:pt>
                <c:pt idx="342">
                  <c:v>43617</c:v>
                </c:pt>
                <c:pt idx="343">
                  <c:v>43647</c:v>
                </c:pt>
                <c:pt idx="344">
                  <c:v>43678</c:v>
                </c:pt>
                <c:pt idx="345">
                  <c:v>43709</c:v>
                </c:pt>
                <c:pt idx="346">
                  <c:v>43739</c:v>
                </c:pt>
                <c:pt idx="347">
                  <c:v>43770</c:v>
                </c:pt>
                <c:pt idx="348">
                  <c:v>43800</c:v>
                </c:pt>
                <c:pt idx="349">
                  <c:v>43831</c:v>
                </c:pt>
                <c:pt idx="350">
                  <c:v>43862</c:v>
                </c:pt>
                <c:pt idx="351">
                  <c:v>43891</c:v>
                </c:pt>
                <c:pt idx="352">
                  <c:v>43922</c:v>
                </c:pt>
                <c:pt idx="353">
                  <c:v>43952</c:v>
                </c:pt>
                <c:pt idx="354">
                  <c:v>43983</c:v>
                </c:pt>
                <c:pt idx="355">
                  <c:v>44013</c:v>
                </c:pt>
                <c:pt idx="356">
                  <c:v>44044</c:v>
                </c:pt>
                <c:pt idx="357">
                  <c:v>44075</c:v>
                </c:pt>
                <c:pt idx="358">
                  <c:v>44105</c:v>
                </c:pt>
                <c:pt idx="359">
                  <c:v>44136</c:v>
                </c:pt>
                <c:pt idx="360">
                  <c:v>44166</c:v>
                </c:pt>
                <c:pt idx="361">
                  <c:v>44197</c:v>
                </c:pt>
                <c:pt idx="362">
                  <c:v>44228</c:v>
                </c:pt>
                <c:pt idx="363">
                  <c:v>44256</c:v>
                </c:pt>
                <c:pt idx="364">
                  <c:v>44287</c:v>
                </c:pt>
                <c:pt idx="365">
                  <c:v>44317</c:v>
                </c:pt>
                <c:pt idx="366">
                  <c:v>44348</c:v>
                </c:pt>
                <c:pt idx="367">
                  <c:v>44378</c:v>
                </c:pt>
                <c:pt idx="368">
                  <c:v>44409</c:v>
                </c:pt>
                <c:pt idx="369">
                  <c:v>44440</c:v>
                </c:pt>
                <c:pt idx="370">
                  <c:v>44470</c:v>
                </c:pt>
                <c:pt idx="371">
                  <c:v>44501</c:v>
                </c:pt>
              </c:numCache>
            </c:numRef>
          </c:cat>
          <c:val>
            <c:numRef>
              <c:f>'Per country'!$B$5:$B$376</c:f>
              <c:numCache>
                <c:formatCode>0.00</c:formatCode>
                <c:ptCount val="372"/>
                <c:pt idx="0">
                  <c:v>91.59</c:v>
                </c:pt>
                <c:pt idx="1">
                  <c:v>92.76</c:v>
                </c:pt>
                <c:pt idx="2">
                  <c:v>92.38</c:v>
                </c:pt>
                <c:pt idx="3">
                  <c:v>91.22</c:v>
                </c:pt>
                <c:pt idx="4">
                  <c:v>91.19</c:v>
                </c:pt>
                <c:pt idx="5">
                  <c:v>91.33</c:v>
                </c:pt>
                <c:pt idx="6">
                  <c:v>91.69</c:v>
                </c:pt>
                <c:pt idx="7">
                  <c:v>90.15</c:v>
                </c:pt>
                <c:pt idx="8">
                  <c:v>91.06</c:v>
                </c:pt>
                <c:pt idx="9">
                  <c:v>91.38</c:v>
                </c:pt>
                <c:pt idx="10">
                  <c:v>90.97</c:v>
                </c:pt>
                <c:pt idx="11">
                  <c:v>92.41</c:v>
                </c:pt>
                <c:pt idx="12">
                  <c:v>91.58</c:v>
                </c:pt>
                <c:pt idx="13">
                  <c:v>91.83</c:v>
                </c:pt>
                <c:pt idx="14">
                  <c:v>91.12</c:v>
                </c:pt>
                <c:pt idx="15">
                  <c:v>92.01</c:v>
                </c:pt>
                <c:pt idx="16">
                  <c:v>91.34</c:v>
                </c:pt>
                <c:pt idx="17">
                  <c:v>91.36</c:v>
                </c:pt>
                <c:pt idx="18">
                  <c:v>90.27</c:v>
                </c:pt>
                <c:pt idx="19">
                  <c:v>89.96</c:v>
                </c:pt>
                <c:pt idx="20">
                  <c:v>90.23</c:v>
                </c:pt>
                <c:pt idx="21">
                  <c:v>88.96</c:v>
                </c:pt>
                <c:pt idx="22">
                  <c:v>89.9</c:v>
                </c:pt>
                <c:pt idx="23">
                  <c:v>88.72</c:v>
                </c:pt>
                <c:pt idx="24">
                  <c:v>87.54</c:v>
                </c:pt>
                <c:pt idx="25">
                  <c:v>87.43</c:v>
                </c:pt>
                <c:pt idx="26">
                  <c:v>87.57</c:v>
                </c:pt>
                <c:pt idx="27">
                  <c:v>87.16</c:v>
                </c:pt>
                <c:pt idx="28">
                  <c:v>86.58</c:v>
                </c:pt>
                <c:pt idx="29">
                  <c:v>86.48</c:v>
                </c:pt>
                <c:pt idx="30">
                  <c:v>85.8</c:v>
                </c:pt>
                <c:pt idx="31">
                  <c:v>86.98</c:v>
                </c:pt>
                <c:pt idx="32">
                  <c:v>86.36</c:v>
                </c:pt>
                <c:pt idx="33">
                  <c:v>86.93</c:v>
                </c:pt>
                <c:pt idx="34">
                  <c:v>87.3</c:v>
                </c:pt>
                <c:pt idx="35">
                  <c:v>86.71</c:v>
                </c:pt>
                <c:pt idx="36">
                  <c:v>85.91</c:v>
                </c:pt>
                <c:pt idx="37">
                  <c:v>87.51</c:v>
                </c:pt>
                <c:pt idx="38">
                  <c:v>87.26</c:v>
                </c:pt>
                <c:pt idx="39">
                  <c:v>87.24</c:v>
                </c:pt>
                <c:pt idx="40">
                  <c:v>89.64</c:v>
                </c:pt>
                <c:pt idx="41">
                  <c:v>89.58</c:v>
                </c:pt>
                <c:pt idx="42">
                  <c:v>90.05</c:v>
                </c:pt>
                <c:pt idx="43">
                  <c:v>90.85</c:v>
                </c:pt>
                <c:pt idx="44">
                  <c:v>91.36</c:v>
                </c:pt>
                <c:pt idx="45">
                  <c:v>91.07</c:v>
                </c:pt>
                <c:pt idx="46">
                  <c:v>91.95</c:v>
                </c:pt>
                <c:pt idx="47">
                  <c:v>92.77</c:v>
                </c:pt>
                <c:pt idx="48">
                  <c:v>92.65</c:v>
                </c:pt>
                <c:pt idx="49">
                  <c:v>93.32</c:v>
                </c:pt>
                <c:pt idx="50">
                  <c:v>92.7</c:v>
                </c:pt>
                <c:pt idx="51">
                  <c:v>93.48</c:v>
                </c:pt>
                <c:pt idx="52">
                  <c:v>93.47</c:v>
                </c:pt>
                <c:pt idx="53">
                  <c:v>93.02</c:v>
                </c:pt>
                <c:pt idx="54">
                  <c:v>93.66</c:v>
                </c:pt>
                <c:pt idx="55">
                  <c:v>94.07</c:v>
                </c:pt>
                <c:pt idx="56">
                  <c:v>93.5</c:v>
                </c:pt>
                <c:pt idx="57">
                  <c:v>93.64</c:v>
                </c:pt>
                <c:pt idx="58">
                  <c:v>91.84</c:v>
                </c:pt>
                <c:pt idx="59">
                  <c:v>91.81</c:v>
                </c:pt>
                <c:pt idx="60">
                  <c:v>93.77</c:v>
                </c:pt>
                <c:pt idx="61">
                  <c:v>92.93</c:v>
                </c:pt>
                <c:pt idx="62">
                  <c:v>93.22</c:v>
                </c:pt>
                <c:pt idx="63">
                  <c:v>93.87</c:v>
                </c:pt>
                <c:pt idx="64">
                  <c:v>92.92</c:v>
                </c:pt>
                <c:pt idx="65">
                  <c:v>94.78</c:v>
                </c:pt>
                <c:pt idx="66">
                  <c:v>94.04</c:v>
                </c:pt>
                <c:pt idx="67">
                  <c:v>92.37</c:v>
                </c:pt>
                <c:pt idx="68">
                  <c:v>94.38</c:v>
                </c:pt>
                <c:pt idx="69">
                  <c:v>94.52</c:v>
                </c:pt>
                <c:pt idx="70">
                  <c:v>93.55</c:v>
                </c:pt>
                <c:pt idx="71">
                  <c:v>94.69</c:v>
                </c:pt>
                <c:pt idx="72">
                  <c:v>94.85</c:v>
                </c:pt>
                <c:pt idx="73">
                  <c:v>94.03</c:v>
                </c:pt>
                <c:pt idx="74">
                  <c:v>94.79</c:v>
                </c:pt>
                <c:pt idx="75">
                  <c:v>95.1</c:v>
                </c:pt>
                <c:pt idx="76">
                  <c:v>98.49</c:v>
                </c:pt>
                <c:pt idx="77">
                  <c:v>96.66</c:v>
                </c:pt>
                <c:pt idx="78">
                  <c:v>97.37</c:v>
                </c:pt>
                <c:pt idx="79">
                  <c:v>97.56</c:v>
                </c:pt>
                <c:pt idx="80">
                  <c:v>101.34</c:v>
                </c:pt>
                <c:pt idx="81">
                  <c:v>98.94</c:v>
                </c:pt>
                <c:pt idx="82">
                  <c:v>101.42</c:v>
                </c:pt>
                <c:pt idx="83">
                  <c:v>99.09</c:v>
                </c:pt>
                <c:pt idx="84">
                  <c:v>101.07</c:v>
                </c:pt>
                <c:pt idx="85">
                  <c:v>101.07</c:v>
                </c:pt>
                <c:pt idx="86">
                  <c:v>101.77</c:v>
                </c:pt>
                <c:pt idx="87">
                  <c:v>100.57</c:v>
                </c:pt>
                <c:pt idx="88">
                  <c:v>101.87</c:v>
                </c:pt>
                <c:pt idx="89">
                  <c:v>103.15</c:v>
                </c:pt>
                <c:pt idx="90">
                  <c:v>102.48</c:v>
                </c:pt>
                <c:pt idx="91">
                  <c:v>103.1</c:v>
                </c:pt>
                <c:pt idx="92">
                  <c:v>100.48</c:v>
                </c:pt>
                <c:pt idx="93">
                  <c:v>102.33</c:v>
                </c:pt>
                <c:pt idx="94">
                  <c:v>102.39</c:v>
                </c:pt>
                <c:pt idx="95">
                  <c:v>102.99</c:v>
                </c:pt>
                <c:pt idx="96">
                  <c:v>102.21</c:v>
                </c:pt>
                <c:pt idx="97">
                  <c:v>102.49</c:v>
                </c:pt>
                <c:pt idx="98">
                  <c:v>102.18</c:v>
                </c:pt>
                <c:pt idx="99">
                  <c:v>102.13</c:v>
                </c:pt>
                <c:pt idx="100">
                  <c:v>102.92</c:v>
                </c:pt>
                <c:pt idx="101">
                  <c:v>103.35</c:v>
                </c:pt>
                <c:pt idx="102">
                  <c:v>104.77</c:v>
                </c:pt>
                <c:pt idx="103">
                  <c:v>105.02</c:v>
                </c:pt>
                <c:pt idx="104">
                  <c:v>103.04</c:v>
                </c:pt>
                <c:pt idx="105">
                  <c:v>105.87</c:v>
                </c:pt>
                <c:pt idx="106">
                  <c:v>107.21</c:v>
                </c:pt>
                <c:pt idx="107">
                  <c:v>107.26</c:v>
                </c:pt>
                <c:pt idx="108">
                  <c:v>106.36</c:v>
                </c:pt>
                <c:pt idx="109">
                  <c:v>107.12</c:v>
                </c:pt>
                <c:pt idx="110">
                  <c:v>107.45</c:v>
                </c:pt>
                <c:pt idx="111">
                  <c:v>108.14</c:v>
                </c:pt>
                <c:pt idx="112">
                  <c:v>108.76</c:v>
                </c:pt>
                <c:pt idx="113">
                  <c:v>110.11</c:v>
                </c:pt>
                <c:pt idx="114">
                  <c:v>108.69</c:v>
                </c:pt>
                <c:pt idx="115">
                  <c:v>109.96</c:v>
                </c:pt>
                <c:pt idx="116">
                  <c:v>108.97</c:v>
                </c:pt>
                <c:pt idx="117">
                  <c:v>109.26</c:v>
                </c:pt>
                <c:pt idx="118">
                  <c:v>110.46</c:v>
                </c:pt>
                <c:pt idx="119">
                  <c:v>110.25</c:v>
                </c:pt>
                <c:pt idx="120">
                  <c:v>111.22</c:v>
                </c:pt>
                <c:pt idx="121">
                  <c:v>110.79</c:v>
                </c:pt>
                <c:pt idx="122">
                  <c:v>111.52</c:v>
                </c:pt>
                <c:pt idx="123">
                  <c:v>111.99</c:v>
                </c:pt>
                <c:pt idx="124">
                  <c:v>110.16</c:v>
                </c:pt>
                <c:pt idx="125">
                  <c:v>110.99</c:v>
                </c:pt>
                <c:pt idx="126">
                  <c:v>111.02</c:v>
                </c:pt>
                <c:pt idx="127">
                  <c:v>109.48</c:v>
                </c:pt>
                <c:pt idx="128">
                  <c:v>112.19</c:v>
                </c:pt>
                <c:pt idx="129">
                  <c:v>110.49</c:v>
                </c:pt>
                <c:pt idx="130">
                  <c:v>109.73</c:v>
                </c:pt>
                <c:pt idx="131">
                  <c:v>108.49</c:v>
                </c:pt>
                <c:pt idx="132">
                  <c:v>109.19</c:v>
                </c:pt>
                <c:pt idx="133">
                  <c:v>109.15</c:v>
                </c:pt>
                <c:pt idx="134">
                  <c:v>109.53</c:v>
                </c:pt>
                <c:pt idx="135">
                  <c:v>110.07</c:v>
                </c:pt>
                <c:pt idx="136">
                  <c:v>110.76</c:v>
                </c:pt>
                <c:pt idx="137">
                  <c:v>109.81</c:v>
                </c:pt>
                <c:pt idx="138">
                  <c:v>109.61</c:v>
                </c:pt>
                <c:pt idx="139">
                  <c:v>108.49</c:v>
                </c:pt>
                <c:pt idx="140">
                  <c:v>110.52</c:v>
                </c:pt>
                <c:pt idx="141">
                  <c:v>109.15</c:v>
                </c:pt>
                <c:pt idx="142">
                  <c:v>108.29</c:v>
                </c:pt>
                <c:pt idx="143">
                  <c:v>109.34</c:v>
                </c:pt>
                <c:pt idx="144">
                  <c:v>106.75</c:v>
                </c:pt>
                <c:pt idx="145">
                  <c:v>108.95</c:v>
                </c:pt>
                <c:pt idx="146">
                  <c:v>109.95</c:v>
                </c:pt>
                <c:pt idx="147">
                  <c:v>109.08</c:v>
                </c:pt>
                <c:pt idx="148">
                  <c:v>109.11</c:v>
                </c:pt>
                <c:pt idx="149">
                  <c:v>106.52</c:v>
                </c:pt>
                <c:pt idx="150">
                  <c:v>106.26</c:v>
                </c:pt>
                <c:pt idx="151">
                  <c:v>108.12</c:v>
                </c:pt>
                <c:pt idx="152">
                  <c:v>107.69</c:v>
                </c:pt>
                <c:pt idx="153">
                  <c:v>107.28</c:v>
                </c:pt>
                <c:pt idx="154">
                  <c:v>109.88</c:v>
                </c:pt>
                <c:pt idx="155">
                  <c:v>107.75</c:v>
                </c:pt>
                <c:pt idx="156">
                  <c:v>108.4</c:v>
                </c:pt>
                <c:pt idx="157">
                  <c:v>109.1</c:v>
                </c:pt>
                <c:pt idx="158">
                  <c:v>110.19</c:v>
                </c:pt>
                <c:pt idx="159">
                  <c:v>109.83</c:v>
                </c:pt>
                <c:pt idx="160">
                  <c:v>109.86</c:v>
                </c:pt>
                <c:pt idx="161">
                  <c:v>109.26</c:v>
                </c:pt>
                <c:pt idx="162">
                  <c:v>110.32</c:v>
                </c:pt>
                <c:pt idx="163">
                  <c:v>110.78</c:v>
                </c:pt>
                <c:pt idx="164">
                  <c:v>106.87</c:v>
                </c:pt>
                <c:pt idx="165">
                  <c:v>110.61</c:v>
                </c:pt>
                <c:pt idx="166">
                  <c:v>111.44</c:v>
                </c:pt>
                <c:pt idx="167">
                  <c:v>109.59</c:v>
                </c:pt>
                <c:pt idx="168">
                  <c:v>109.82</c:v>
                </c:pt>
                <c:pt idx="169">
                  <c:v>111.62</c:v>
                </c:pt>
                <c:pt idx="170">
                  <c:v>110.35</c:v>
                </c:pt>
                <c:pt idx="171">
                  <c:v>107.96</c:v>
                </c:pt>
                <c:pt idx="172">
                  <c:v>110.73</c:v>
                </c:pt>
                <c:pt idx="173">
                  <c:v>109.54</c:v>
                </c:pt>
                <c:pt idx="174">
                  <c:v>109.45</c:v>
                </c:pt>
                <c:pt idx="175">
                  <c:v>109.1</c:v>
                </c:pt>
                <c:pt idx="176">
                  <c:v>108.51</c:v>
                </c:pt>
                <c:pt idx="177">
                  <c:v>111.25</c:v>
                </c:pt>
                <c:pt idx="178">
                  <c:v>107.98</c:v>
                </c:pt>
                <c:pt idx="179">
                  <c:v>112.32</c:v>
                </c:pt>
                <c:pt idx="180">
                  <c:v>110.97</c:v>
                </c:pt>
                <c:pt idx="181">
                  <c:v>110.24</c:v>
                </c:pt>
                <c:pt idx="182">
                  <c:v>109.51</c:v>
                </c:pt>
                <c:pt idx="183">
                  <c:v>111.53</c:v>
                </c:pt>
                <c:pt idx="184">
                  <c:v>110.97</c:v>
                </c:pt>
                <c:pt idx="185">
                  <c:v>112.74</c:v>
                </c:pt>
                <c:pt idx="186">
                  <c:v>112.55</c:v>
                </c:pt>
                <c:pt idx="187">
                  <c:v>111</c:v>
                </c:pt>
                <c:pt idx="188">
                  <c:v>110.26</c:v>
                </c:pt>
                <c:pt idx="189">
                  <c:v>111.95</c:v>
                </c:pt>
                <c:pt idx="190">
                  <c:v>111.03</c:v>
                </c:pt>
                <c:pt idx="191">
                  <c:v>110.4</c:v>
                </c:pt>
                <c:pt idx="192">
                  <c:v>112.27</c:v>
                </c:pt>
                <c:pt idx="193">
                  <c:v>111</c:v>
                </c:pt>
                <c:pt idx="194">
                  <c:v>112.02</c:v>
                </c:pt>
                <c:pt idx="195">
                  <c:v>112.87</c:v>
                </c:pt>
                <c:pt idx="196">
                  <c:v>111.02</c:v>
                </c:pt>
                <c:pt idx="197">
                  <c:v>113.68</c:v>
                </c:pt>
                <c:pt idx="198">
                  <c:v>113.24</c:v>
                </c:pt>
                <c:pt idx="199">
                  <c:v>113.38</c:v>
                </c:pt>
                <c:pt idx="200">
                  <c:v>114.05</c:v>
                </c:pt>
                <c:pt idx="201">
                  <c:v>111.44</c:v>
                </c:pt>
                <c:pt idx="202">
                  <c:v>113.98</c:v>
                </c:pt>
                <c:pt idx="203">
                  <c:v>111.98</c:v>
                </c:pt>
                <c:pt idx="204">
                  <c:v>112.16</c:v>
                </c:pt>
                <c:pt idx="205">
                  <c:v>113.18</c:v>
                </c:pt>
                <c:pt idx="206">
                  <c:v>114.18</c:v>
                </c:pt>
                <c:pt idx="207">
                  <c:v>112.86</c:v>
                </c:pt>
                <c:pt idx="208">
                  <c:v>115.29</c:v>
                </c:pt>
                <c:pt idx="209">
                  <c:v>109.87</c:v>
                </c:pt>
                <c:pt idx="210">
                  <c:v>109.55</c:v>
                </c:pt>
                <c:pt idx="211">
                  <c:v>110.35</c:v>
                </c:pt>
                <c:pt idx="212">
                  <c:v>108.84</c:v>
                </c:pt>
                <c:pt idx="213">
                  <c:v>108.38</c:v>
                </c:pt>
                <c:pt idx="214">
                  <c:v>106.34</c:v>
                </c:pt>
                <c:pt idx="215">
                  <c:v>101.01</c:v>
                </c:pt>
                <c:pt idx="216">
                  <c:v>99.62</c:v>
                </c:pt>
                <c:pt idx="217">
                  <c:v>95.93</c:v>
                </c:pt>
                <c:pt idx="218">
                  <c:v>94.59</c:v>
                </c:pt>
                <c:pt idx="219">
                  <c:v>92.85</c:v>
                </c:pt>
                <c:pt idx="220">
                  <c:v>92.81</c:v>
                </c:pt>
                <c:pt idx="221">
                  <c:v>93.93</c:v>
                </c:pt>
                <c:pt idx="222">
                  <c:v>95.13</c:v>
                </c:pt>
                <c:pt idx="223">
                  <c:v>94.8</c:v>
                </c:pt>
                <c:pt idx="224">
                  <c:v>96.35</c:v>
                </c:pt>
                <c:pt idx="225">
                  <c:v>96.84</c:v>
                </c:pt>
                <c:pt idx="226">
                  <c:v>96.19</c:v>
                </c:pt>
                <c:pt idx="227">
                  <c:v>97.14</c:v>
                </c:pt>
                <c:pt idx="228">
                  <c:v>96.84</c:v>
                </c:pt>
                <c:pt idx="229">
                  <c:v>97.87</c:v>
                </c:pt>
                <c:pt idx="230">
                  <c:v>97.23</c:v>
                </c:pt>
                <c:pt idx="231">
                  <c:v>99.16</c:v>
                </c:pt>
                <c:pt idx="232">
                  <c:v>98.76</c:v>
                </c:pt>
                <c:pt idx="233">
                  <c:v>99.55</c:v>
                </c:pt>
                <c:pt idx="234">
                  <c:v>99.15</c:v>
                </c:pt>
                <c:pt idx="235">
                  <c:v>99.88</c:v>
                </c:pt>
                <c:pt idx="236">
                  <c:v>98.72</c:v>
                </c:pt>
                <c:pt idx="237">
                  <c:v>100.02</c:v>
                </c:pt>
                <c:pt idx="238">
                  <c:v>99.85</c:v>
                </c:pt>
                <c:pt idx="239">
                  <c:v>101.16</c:v>
                </c:pt>
                <c:pt idx="240">
                  <c:v>102.47</c:v>
                </c:pt>
                <c:pt idx="241">
                  <c:v>103.66</c:v>
                </c:pt>
                <c:pt idx="242">
                  <c:v>104.02</c:v>
                </c:pt>
                <c:pt idx="243">
                  <c:v>102.71</c:v>
                </c:pt>
                <c:pt idx="244">
                  <c:v>100.97</c:v>
                </c:pt>
                <c:pt idx="245">
                  <c:v>104.27</c:v>
                </c:pt>
                <c:pt idx="246">
                  <c:v>101.47</c:v>
                </c:pt>
                <c:pt idx="247">
                  <c:v>102.56</c:v>
                </c:pt>
                <c:pt idx="248">
                  <c:v>101.71</c:v>
                </c:pt>
                <c:pt idx="249">
                  <c:v>100.98</c:v>
                </c:pt>
                <c:pt idx="250">
                  <c:v>101.18</c:v>
                </c:pt>
                <c:pt idx="251">
                  <c:v>103.23</c:v>
                </c:pt>
                <c:pt idx="252">
                  <c:v>101.18</c:v>
                </c:pt>
                <c:pt idx="253">
                  <c:v>100.75</c:v>
                </c:pt>
                <c:pt idx="254">
                  <c:v>101.6</c:v>
                </c:pt>
                <c:pt idx="255">
                  <c:v>100.67</c:v>
                </c:pt>
                <c:pt idx="256">
                  <c:v>100.98</c:v>
                </c:pt>
                <c:pt idx="257">
                  <c:v>99.52</c:v>
                </c:pt>
                <c:pt idx="258">
                  <c:v>98.75</c:v>
                </c:pt>
                <c:pt idx="259">
                  <c:v>99.44</c:v>
                </c:pt>
                <c:pt idx="260">
                  <c:v>101.66</c:v>
                </c:pt>
                <c:pt idx="261">
                  <c:v>99.41</c:v>
                </c:pt>
                <c:pt idx="262">
                  <c:v>97.95</c:v>
                </c:pt>
                <c:pt idx="263">
                  <c:v>97.9</c:v>
                </c:pt>
                <c:pt idx="264">
                  <c:v>98.82</c:v>
                </c:pt>
                <c:pt idx="265">
                  <c:v>98.64</c:v>
                </c:pt>
                <c:pt idx="266">
                  <c:v>99.71</c:v>
                </c:pt>
                <c:pt idx="267">
                  <c:v>99.84</c:v>
                </c:pt>
                <c:pt idx="268">
                  <c:v>101.47</c:v>
                </c:pt>
                <c:pt idx="269">
                  <c:v>101.07</c:v>
                </c:pt>
                <c:pt idx="270">
                  <c:v>99.82</c:v>
                </c:pt>
                <c:pt idx="271">
                  <c:v>99.12</c:v>
                </c:pt>
                <c:pt idx="272">
                  <c:v>98.34</c:v>
                </c:pt>
                <c:pt idx="273">
                  <c:v>98.9</c:v>
                </c:pt>
                <c:pt idx="274">
                  <c:v>99.07</c:v>
                </c:pt>
                <c:pt idx="275">
                  <c:v>100.75</c:v>
                </c:pt>
                <c:pt idx="276">
                  <c:v>99.51</c:v>
                </c:pt>
                <c:pt idx="277">
                  <c:v>98</c:v>
                </c:pt>
                <c:pt idx="278">
                  <c:v>99.49</c:v>
                </c:pt>
                <c:pt idx="279">
                  <c:v>98.77</c:v>
                </c:pt>
                <c:pt idx="280">
                  <c:v>99.15</c:v>
                </c:pt>
                <c:pt idx="281">
                  <c:v>96.94</c:v>
                </c:pt>
                <c:pt idx="282">
                  <c:v>99</c:v>
                </c:pt>
                <c:pt idx="283">
                  <c:v>100.33</c:v>
                </c:pt>
                <c:pt idx="284">
                  <c:v>98.14</c:v>
                </c:pt>
                <c:pt idx="285">
                  <c:v>99.16</c:v>
                </c:pt>
                <c:pt idx="286">
                  <c:v>97.64</c:v>
                </c:pt>
                <c:pt idx="287">
                  <c:v>96.62</c:v>
                </c:pt>
                <c:pt idx="288">
                  <c:v>99.47</c:v>
                </c:pt>
                <c:pt idx="289">
                  <c:v>99.51</c:v>
                </c:pt>
                <c:pt idx="290">
                  <c:v>100.09</c:v>
                </c:pt>
                <c:pt idx="291">
                  <c:v>99.89</c:v>
                </c:pt>
                <c:pt idx="292">
                  <c:v>99.4</c:v>
                </c:pt>
                <c:pt idx="293">
                  <c:v>100.21</c:v>
                </c:pt>
                <c:pt idx="294">
                  <c:v>100.22</c:v>
                </c:pt>
                <c:pt idx="295">
                  <c:v>99.11</c:v>
                </c:pt>
                <c:pt idx="296">
                  <c:v>99.81</c:v>
                </c:pt>
                <c:pt idx="297">
                  <c:v>101.2</c:v>
                </c:pt>
                <c:pt idx="298">
                  <c:v>101.52</c:v>
                </c:pt>
                <c:pt idx="299">
                  <c:v>99.3</c:v>
                </c:pt>
                <c:pt idx="300">
                  <c:v>99.75</c:v>
                </c:pt>
                <c:pt idx="301">
                  <c:v>101.59</c:v>
                </c:pt>
                <c:pt idx="302">
                  <c:v>100.64</c:v>
                </c:pt>
                <c:pt idx="303">
                  <c:v>100.2</c:v>
                </c:pt>
                <c:pt idx="304">
                  <c:v>101.21</c:v>
                </c:pt>
                <c:pt idx="305">
                  <c:v>99.6</c:v>
                </c:pt>
                <c:pt idx="306">
                  <c:v>99.31</c:v>
                </c:pt>
                <c:pt idx="307">
                  <c:v>99</c:v>
                </c:pt>
                <c:pt idx="308">
                  <c:v>100.94</c:v>
                </c:pt>
                <c:pt idx="309">
                  <c:v>100.03</c:v>
                </c:pt>
                <c:pt idx="310">
                  <c:v>99.56</c:v>
                </c:pt>
                <c:pt idx="311">
                  <c:v>102.25</c:v>
                </c:pt>
                <c:pt idx="312">
                  <c:v>100.87</c:v>
                </c:pt>
                <c:pt idx="313">
                  <c:v>101.34</c:v>
                </c:pt>
                <c:pt idx="314">
                  <c:v>100.15</c:v>
                </c:pt>
                <c:pt idx="315">
                  <c:v>101.39</c:v>
                </c:pt>
                <c:pt idx="316">
                  <c:v>101.07</c:v>
                </c:pt>
                <c:pt idx="317">
                  <c:v>103.22</c:v>
                </c:pt>
                <c:pt idx="318">
                  <c:v>102.05</c:v>
                </c:pt>
                <c:pt idx="319">
                  <c:v>102.61</c:v>
                </c:pt>
                <c:pt idx="320">
                  <c:v>102.81</c:v>
                </c:pt>
                <c:pt idx="321">
                  <c:v>103.72</c:v>
                </c:pt>
                <c:pt idx="322">
                  <c:v>104.11</c:v>
                </c:pt>
                <c:pt idx="323">
                  <c:v>104.69</c:v>
                </c:pt>
                <c:pt idx="324">
                  <c:v>105.7</c:v>
                </c:pt>
                <c:pt idx="325">
                  <c:v>102</c:v>
                </c:pt>
                <c:pt idx="326">
                  <c:v>103.27</c:v>
                </c:pt>
                <c:pt idx="327">
                  <c:v>104.28</c:v>
                </c:pt>
                <c:pt idx="328">
                  <c:v>102.91</c:v>
                </c:pt>
                <c:pt idx="329">
                  <c:v>101.89</c:v>
                </c:pt>
                <c:pt idx="330">
                  <c:v>103.8</c:v>
                </c:pt>
                <c:pt idx="331">
                  <c:v>103.6</c:v>
                </c:pt>
                <c:pt idx="332">
                  <c:v>104.19</c:v>
                </c:pt>
                <c:pt idx="333">
                  <c:v>102.99</c:v>
                </c:pt>
                <c:pt idx="334">
                  <c:v>103.81</c:v>
                </c:pt>
                <c:pt idx="335">
                  <c:v>103.09</c:v>
                </c:pt>
                <c:pt idx="336">
                  <c:v>104.13</c:v>
                </c:pt>
                <c:pt idx="337">
                  <c:v>104.69</c:v>
                </c:pt>
                <c:pt idx="338">
                  <c:v>104.61</c:v>
                </c:pt>
                <c:pt idx="339">
                  <c:v>104.36</c:v>
                </c:pt>
                <c:pt idx="340">
                  <c:v>104.38</c:v>
                </c:pt>
                <c:pt idx="341">
                  <c:v>105.78</c:v>
                </c:pt>
                <c:pt idx="342">
                  <c:v>103.45</c:v>
                </c:pt>
                <c:pt idx="343">
                  <c:v>103.98</c:v>
                </c:pt>
                <c:pt idx="344">
                  <c:v>102.88</c:v>
                </c:pt>
                <c:pt idx="345">
                  <c:v>103.97</c:v>
                </c:pt>
                <c:pt idx="346">
                  <c:v>103.55</c:v>
                </c:pt>
                <c:pt idx="347">
                  <c:v>103.61</c:v>
                </c:pt>
                <c:pt idx="348">
                  <c:v>101.13</c:v>
                </c:pt>
                <c:pt idx="349">
                  <c:v>101.31</c:v>
                </c:pt>
                <c:pt idx="350">
                  <c:v>103.23</c:v>
                </c:pt>
                <c:pt idx="351">
                  <c:v>85.47</c:v>
                </c:pt>
                <c:pt idx="352">
                  <c:v>67.84</c:v>
                </c:pt>
                <c:pt idx="353">
                  <c:v>80.819999999999993</c:v>
                </c:pt>
                <c:pt idx="354">
                  <c:v>91.37</c:v>
                </c:pt>
                <c:pt idx="355">
                  <c:v>94.43</c:v>
                </c:pt>
                <c:pt idx="356">
                  <c:v>95.52</c:v>
                </c:pt>
                <c:pt idx="357">
                  <c:v>97.21</c:v>
                </c:pt>
                <c:pt idx="358">
                  <c:v>99.08</c:v>
                </c:pt>
                <c:pt idx="359">
                  <c:v>98.59</c:v>
                </c:pt>
                <c:pt idx="360">
                  <c:v>98.11</c:v>
                </c:pt>
                <c:pt idx="361">
                  <c:v>101.47</c:v>
                </c:pt>
                <c:pt idx="362">
                  <c:v>96.83</c:v>
                </c:pt>
                <c:pt idx="363">
                  <c:v>97.78</c:v>
                </c:pt>
                <c:pt idx="364">
                  <c:v>97.55</c:v>
                </c:pt>
                <c:pt idx="365">
                  <c:v>97.2</c:v>
                </c:pt>
                <c:pt idx="366">
                  <c:v>97.77</c:v>
                </c:pt>
                <c:pt idx="367">
                  <c:v>98.17</c:v>
                </c:pt>
                <c:pt idx="368">
                  <c:v>99.17</c:v>
                </c:pt>
                <c:pt idx="369">
                  <c:v>97.7</c:v>
                </c:pt>
                <c:pt idx="370">
                  <c:v>98.54</c:v>
                </c:pt>
                <c:pt idx="371">
                  <c:v>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58-0A47-A12D-D56B17A3C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3554296"/>
        <c:axId val="1253554624"/>
      </c:line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Table13456789101112131415161734[[#Headers],[FRA]:[mom]]</c:f>
          <c:strCache>
            <c:ptCount val="2"/>
            <c:pt idx="0">
              <c:v>FRA</c:v>
            </c:pt>
            <c:pt idx="1">
              <c:v>mom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'Per country'!$G$2</c:f>
              <c:strCache>
                <c:ptCount val="1"/>
                <c:pt idx="0">
                  <c:v>France Industrial Production mom</c:v>
                </c:pt>
              </c:strCache>
            </c:strRef>
          </c:tx>
          <c:spPr>
            <a:solidFill>
              <a:srgbClr val="00B050"/>
            </a:solidFill>
            <a:ln>
              <a:noFill/>
              <a:prstDash val="solid"/>
            </a:ln>
          </c:spPr>
          <c:invertIfNegative val="1"/>
          <c:cat>
            <c:numRef>
              <c:f>'Per country'!$A$300:$A$347</c:f>
              <c:numCache>
                <c:formatCode>mmm\-yy</c:formatCode>
                <c:ptCount val="48"/>
                <c:pt idx="0">
                  <c:v>42186</c:v>
                </c:pt>
                <c:pt idx="1">
                  <c:v>42217</c:v>
                </c:pt>
                <c:pt idx="2">
                  <c:v>42248</c:v>
                </c:pt>
                <c:pt idx="3">
                  <c:v>42278</c:v>
                </c:pt>
                <c:pt idx="4">
                  <c:v>42309</c:v>
                </c:pt>
                <c:pt idx="5">
                  <c:v>42339</c:v>
                </c:pt>
                <c:pt idx="6">
                  <c:v>42370</c:v>
                </c:pt>
                <c:pt idx="7">
                  <c:v>42401</c:v>
                </c:pt>
                <c:pt idx="8">
                  <c:v>42430</c:v>
                </c:pt>
                <c:pt idx="9">
                  <c:v>42461</c:v>
                </c:pt>
                <c:pt idx="10">
                  <c:v>42491</c:v>
                </c:pt>
                <c:pt idx="11">
                  <c:v>42522</c:v>
                </c:pt>
                <c:pt idx="12">
                  <c:v>42552</c:v>
                </c:pt>
                <c:pt idx="13">
                  <c:v>42583</c:v>
                </c:pt>
                <c:pt idx="14">
                  <c:v>42614</c:v>
                </c:pt>
                <c:pt idx="15">
                  <c:v>42644</c:v>
                </c:pt>
                <c:pt idx="16">
                  <c:v>42675</c:v>
                </c:pt>
                <c:pt idx="17">
                  <c:v>42705</c:v>
                </c:pt>
                <c:pt idx="18">
                  <c:v>42736</c:v>
                </c:pt>
                <c:pt idx="19">
                  <c:v>42767</c:v>
                </c:pt>
                <c:pt idx="20">
                  <c:v>42795</c:v>
                </c:pt>
                <c:pt idx="21">
                  <c:v>42826</c:v>
                </c:pt>
                <c:pt idx="22">
                  <c:v>42856</c:v>
                </c:pt>
                <c:pt idx="23">
                  <c:v>42887</c:v>
                </c:pt>
                <c:pt idx="24">
                  <c:v>42917</c:v>
                </c:pt>
                <c:pt idx="25">
                  <c:v>42948</c:v>
                </c:pt>
                <c:pt idx="26">
                  <c:v>42979</c:v>
                </c:pt>
                <c:pt idx="27">
                  <c:v>43009</c:v>
                </c:pt>
                <c:pt idx="28">
                  <c:v>43040</c:v>
                </c:pt>
                <c:pt idx="29">
                  <c:v>43070</c:v>
                </c:pt>
                <c:pt idx="30">
                  <c:v>43101</c:v>
                </c:pt>
                <c:pt idx="31">
                  <c:v>43132</c:v>
                </c:pt>
                <c:pt idx="32">
                  <c:v>43160</c:v>
                </c:pt>
                <c:pt idx="33">
                  <c:v>43191</c:v>
                </c:pt>
                <c:pt idx="34">
                  <c:v>43221</c:v>
                </c:pt>
                <c:pt idx="35">
                  <c:v>43252</c:v>
                </c:pt>
                <c:pt idx="36">
                  <c:v>43282</c:v>
                </c:pt>
                <c:pt idx="37">
                  <c:v>43313</c:v>
                </c:pt>
                <c:pt idx="38">
                  <c:v>43344</c:v>
                </c:pt>
                <c:pt idx="39">
                  <c:v>43374</c:v>
                </c:pt>
                <c:pt idx="40">
                  <c:v>43405</c:v>
                </c:pt>
                <c:pt idx="41">
                  <c:v>43435</c:v>
                </c:pt>
                <c:pt idx="42">
                  <c:v>43466</c:v>
                </c:pt>
                <c:pt idx="43">
                  <c:v>43497</c:v>
                </c:pt>
                <c:pt idx="44">
                  <c:v>43525</c:v>
                </c:pt>
                <c:pt idx="45">
                  <c:v>43556</c:v>
                </c:pt>
                <c:pt idx="46">
                  <c:v>43586</c:v>
                </c:pt>
                <c:pt idx="47">
                  <c:v>43617</c:v>
                </c:pt>
              </c:numCache>
            </c:numRef>
          </c:cat>
          <c:val>
            <c:numRef>
              <c:f>'Per country'!$C$300:$C$347</c:f>
              <c:numCache>
                <c:formatCode>0.0%</c:formatCode>
                <c:ptCount val="48"/>
                <c:pt idx="0">
                  <c:v>-1.1075633606066648E-2</c:v>
                </c:pt>
                <c:pt idx="1">
                  <c:v>7.0628594490969917E-3</c:v>
                </c:pt>
                <c:pt idx="2">
                  <c:v>1.3926460274521596E-2</c:v>
                </c:pt>
                <c:pt idx="3">
                  <c:v>3.1620553359683118E-3</c:v>
                </c:pt>
                <c:pt idx="4">
                  <c:v>-2.1867612293144198E-2</c:v>
                </c:pt>
                <c:pt idx="5">
                  <c:v>4.5317220543806937E-3</c:v>
                </c:pt>
                <c:pt idx="6">
                  <c:v>1.8446115288220585E-2</c:v>
                </c:pt>
                <c:pt idx="7">
                  <c:v>-9.3513141057190944E-3</c:v>
                </c:pt>
                <c:pt idx="8">
                  <c:v>-4.372019077901408E-3</c:v>
                </c:pt>
                <c:pt idx="9">
                  <c:v>1.0079840319361186E-2</c:v>
                </c:pt>
                <c:pt idx="10">
                  <c:v>-1.5907519019859692E-2</c:v>
                </c:pt>
                <c:pt idx="11">
                  <c:v>-2.9116465863453017E-3</c:v>
                </c:pt>
                <c:pt idx="12">
                  <c:v>-3.1215386164535524E-3</c:v>
                </c:pt>
                <c:pt idx="13">
                  <c:v>1.9595959595959573E-2</c:v>
                </c:pt>
                <c:pt idx="14">
                  <c:v>-9.0152565880720886E-3</c:v>
                </c:pt>
                <c:pt idx="15">
                  <c:v>-4.698590422873127E-3</c:v>
                </c:pt>
                <c:pt idx="16">
                  <c:v>2.7018883085576512E-2</c:v>
                </c:pt>
                <c:pt idx="17">
                  <c:v>-1.3496332518337364E-2</c:v>
                </c:pt>
                <c:pt idx="18">
                  <c:v>4.6594626747298385E-3</c:v>
                </c:pt>
                <c:pt idx="19">
                  <c:v>-1.1742648509966426E-2</c:v>
                </c:pt>
                <c:pt idx="20">
                  <c:v>1.238142785821263E-2</c:v>
                </c:pt>
                <c:pt idx="21">
                  <c:v>-3.1561297958379265E-3</c:v>
                </c:pt>
                <c:pt idx="22">
                  <c:v>2.1272385475413137E-2</c:v>
                </c:pt>
                <c:pt idx="23">
                  <c:v>-1.1335012594458455E-2</c:v>
                </c:pt>
                <c:pt idx="24">
                  <c:v>5.4875061244488224E-3</c:v>
                </c:pt>
                <c:pt idx="25">
                  <c:v>1.9491277653250448E-3</c:v>
                </c:pt>
                <c:pt idx="26">
                  <c:v>8.8512790584573155E-3</c:v>
                </c:pt>
                <c:pt idx="27">
                  <c:v>3.7601234091785632E-3</c:v>
                </c:pt>
                <c:pt idx="28">
                  <c:v>5.5710306406685072E-3</c:v>
                </c:pt>
                <c:pt idx="29">
                  <c:v>9.6475308052345506E-3</c:v>
                </c:pt>
                <c:pt idx="30">
                  <c:v>-3.5004730368968805E-2</c:v>
                </c:pt>
                <c:pt idx="31">
                  <c:v>1.2450980392156823E-2</c:v>
                </c:pt>
                <c:pt idx="32">
                  <c:v>9.7801878570737411E-3</c:v>
                </c:pt>
                <c:pt idx="33">
                  <c:v>-1.3137706175680903E-2</c:v>
                </c:pt>
                <c:pt idx="34">
                  <c:v>-9.9115732193178121E-3</c:v>
                </c:pt>
                <c:pt idx="35">
                  <c:v>1.8745706153695127E-2</c:v>
                </c:pt>
                <c:pt idx="36">
                  <c:v>-1.9267822736031104E-3</c:v>
                </c:pt>
                <c:pt idx="37">
                  <c:v>5.694980694980728E-3</c:v>
                </c:pt>
                <c:pt idx="38">
                  <c:v>-1.1517420097898098E-2</c:v>
                </c:pt>
                <c:pt idx="39">
                  <c:v>7.961938052238153E-3</c:v>
                </c:pt>
                <c:pt idx="40">
                  <c:v>-6.9357480011559471E-3</c:v>
                </c:pt>
                <c:pt idx="41">
                  <c:v>1.0088272383354272E-2</c:v>
                </c:pt>
                <c:pt idx="42">
                  <c:v>5.3778930183424785E-3</c:v>
                </c:pt>
                <c:pt idx="43">
                  <c:v>-7.6416085586014225E-4</c:v>
                </c:pt>
                <c:pt idx="44">
                  <c:v>-2.3898288882516013E-3</c:v>
                </c:pt>
                <c:pt idx="45">
                  <c:v>1.916443081640094E-4</c:v>
                </c:pt>
                <c:pt idx="46">
                  <c:v>1.3412531136233049E-2</c:v>
                </c:pt>
                <c:pt idx="47">
                  <c:v>-2.2026848175458483E-2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3DD3-5444-A4D5-69C664B4E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3554296"/>
        <c:axId val="1253554624"/>
      </c:barChart>
      <c:dateAx>
        <c:axId val="1253554296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624"/>
        <c:crosses val="autoZero"/>
        <c:auto val="0"/>
        <c:lblOffset val="100"/>
        <c:baseTimeUnit val="months"/>
      </c:dateAx>
      <c:valAx>
        <c:axId val="125355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3554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China!$B$7</c:f>
              <c:strCache>
                <c:ptCount val="1"/>
                <c:pt idx="0">
                  <c:v>China Industrial Production YoY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cat>
            <c:numRef>
              <c:f>China!$A$8:$A$375</c:f>
              <c:numCache>
                <c:formatCode>m/d/yy</c:formatCode>
                <c:ptCount val="368"/>
                <c:pt idx="0">
                  <c:v>32932</c:v>
                </c:pt>
                <c:pt idx="1">
                  <c:v>32963</c:v>
                </c:pt>
                <c:pt idx="2">
                  <c:v>32993</c:v>
                </c:pt>
                <c:pt idx="3">
                  <c:v>33024</c:v>
                </c:pt>
                <c:pt idx="4">
                  <c:v>33054</c:v>
                </c:pt>
                <c:pt idx="5">
                  <c:v>33085</c:v>
                </c:pt>
                <c:pt idx="6">
                  <c:v>33116</c:v>
                </c:pt>
                <c:pt idx="7">
                  <c:v>33146</c:v>
                </c:pt>
                <c:pt idx="8">
                  <c:v>33177</c:v>
                </c:pt>
                <c:pt idx="9">
                  <c:v>33207</c:v>
                </c:pt>
                <c:pt idx="10">
                  <c:v>33238</c:v>
                </c:pt>
                <c:pt idx="11">
                  <c:v>33269</c:v>
                </c:pt>
                <c:pt idx="12">
                  <c:v>33297</c:v>
                </c:pt>
                <c:pt idx="13">
                  <c:v>33328</c:v>
                </c:pt>
                <c:pt idx="14">
                  <c:v>33358</c:v>
                </c:pt>
                <c:pt idx="15">
                  <c:v>33389</c:v>
                </c:pt>
                <c:pt idx="16">
                  <c:v>33419</c:v>
                </c:pt>
                <c:pt idx="17">
                  <c:v>33450</c:v>
                </c:pt>
                <c:pt idx="18">
                  <c:v>33481</c:v>
                </c:pt>
                <c:pt idx="19">
                  <c:v>33511</c:v>
                </c:pt>
                <c:pt idx="20">
                  <c:v>33542</c:v>
                </c:pt>
                <c:pt idx="21">
                  <c:v>33572</c:v>
                </c:pt>
                <c:pt idx="22">
                  <c:v>33603</c:v>
                </c:pt>
                <c:pt idx="23">
                  <c:v>33634</c:v>
                </c:pt>
                <c:pt idx="24">
                  <c:v>33663</c:v>
                </c:pt>
                <c:pt idx="25">
                  <c:v>33694</c:v>
                </c:pt>
                <c:pt idx="26">
                  <c:v>33724</c:v>
                </c:pt>
                <c:pt idx="27">
                  <c:v>33755</c:v>
                </c:pt>
                <c:pt idx="28">
                  <c:v>33785</c:v>
                </c:pt>
                <c:pt idx="29">
                  <c:v>33816</c:v>
                </c:pt>
                <c:pt idx="30">
                  <c:v>33847</c:v>
                </c:pt>
                <c:pt idx="31">
                  <c:v>33877</c:v>
                </c:pt>
                <c:pt idx="32">
                  <c:v>33908</c:v>
                </c:pt>
                <c:pt idx="33">
                  <c:v>33938</c:v>
                </c:pt>
                <c:pt idx="34">
                  <c:v>33969</c:v>
                </c:pt>
                <c:pt idx="35">
                  <c:v>34000</c:v>
                </c:pt>
                <c:pt idx="36">
                  <c:v>34028</c:v>
                </c:pt>
                <c:pt idx="37">
                  <c:v>34059</c:v>
                </c:pt>
                <c:pt idx="38">
                  <c:v>34089</c:v>
                </c:pt>
                <c:pt idx="39">
                  <c:v>34120</c:v>
                </c:pt>
                <c:pt idx="40">
                  <c:v>34150</c:v>
                </c:pt>
                <c:pt idx="41">
                  <c:v>34181</c:v>
                </c:pt>
                <c:pt idx="42">
                  <c:v>34212</c:v>
                </c:pt>
                <c:pt idx="43">
                  <c:v>34242</c:v>
                </c:pt>
                <c:pt idx="44">
                  <c:v>34273</c:v>
                </c:pt>
                <c:pt idx="45">
                  <c:v>34303</c:v>
                </c:pt>
                <c:pt idx="46">
                  <c:v>34334</c:v>
                </c:pt>
                <c:pt idx="47">
                  <c:v>34365</c:v>
                </c:pt>
                <c:pt idx="48">
                  <c:v>34393</c:v>
                </c:pt>
                <c:pt idx="49">
                  <c:v>34424</c:v>
                </c:pt>
                <c:pt idx="50">
                  <c:v>34454</c:v>
                </c:pt>
                <c:pt idx="51">
                  <c:v>34485</c:v>
                </c:pt>
                <c:pt idx="52">
                  <c:v>34515</c:v>
                </c:pt>
                <c:pt idx="53">
                  <c:v>34546</c:v>
                </c:pt>
                <c:pt idx="54">
                  <c:v>34577</c:v>
                </c:pt>
                <c:pt idx="55">
                  <c:v>34607</c:v>
                </c:pt>
                <c:pt idx="56">
                  <c:v>34638</c:v>
                </c:pt>
                <c:pt idx="57">
                  <c:v>34668</c:v>
                </c:pt>
                <c:pt idx="58">
                  <c:v>34699</c:v>
                </c:pt>
                <c:pt idx="59">
                  <c:v>34730</c:v>
                </c:pt>
                <c:pt idx="60">
                  <c:v>34758</c:v>
                </c:pt>
                <c:pt idx="61">
                  <c:v>34789</c:v>
                </c:pt>
                <c:pt idx="62">
                  <c:v>34819</c:v>
                </c:pt>
                <c:pt idx="63">
                  <c:v>34850</c:v>
                </c:pt>
                <c:pt idx="64">
                  <c:v>34880</c:v>
                </c:pt>
                <c:pt idx="65">
                  <c:v>34911</c:v>
                </c:pt>
                <c:pt idx="66">
                  <c:v>34942</c:v>
                </c:pt>
                <c:pt idx="67">
                  <c:v>34972</c:v>
                </c:pt>
                <c:pt idx="68">
                  <c:v>35003</c:v>
                </c:pt>
                <c:pt idx="69">
                  <c:v>35033</c:v>
                </c:pt>
                <c:pt idx="70">
                  <c:v>35064</c:v>
                </c:pt>
                <c:pt idx="71">
                  <c:v>35095</c:v>
                </c:pt>
                <c:pt idx="72">
                  <c:v>35124</c:v>
                </c:pt>
                <c:pt idx="73">
                  <c:v>35155</c:v>
                </c:pt>
                <c:pt idx="74">
                  <c:v>35185</c:v>
                </c:pt>
                <c:pt idx="75">
                  <c:v>35216</c:v>
                </c:pt>
                <c:pt idx="76">
                  <c:v>35246</c:v>
                </c:pt>
                <c:pt idx="77">
                  <c:v>35277</c:v>
                </c:pt>
                <c:pt idx="78">
                  <c:v>35308</c:v>
                </c:pt>
                <c:pt idx="79">
                  <c:v>35338</c:v>
                </c:pt>
                <c:pt idx="80">
                  <c:v>35369</c:v>
                </c:pt>
                <c:pt idx="81">
                  <c:v>35399</c:v>
                </c:pt>
                <c:pt idx="82">
                  <c:v>35430</c:v>
                </c:pt>
                <c:pt idx="83">
                  <c:v>35461</c:v>
                </c:pt>
                <c:pt idx="84">
                  <c:v>35489</c:v>
                </c:pt>
                <c:pt idx="85">
                  <c:v>35520</c:v>
                </c:pt>
                <c:pt idx="86">
                  <c:v>35550</c:v>
                </c:pt>
                <c:pt idx="87">
                  <c:v>35581</c:v>
                </c:pt>
                <c:pt idx="88">
                  <c:v>35611</c:v>
                </c:pt>
                <c:pt idx="89">
                  <c:v>35642</c:v>
                </c:pt>
                <c:pt idx="90">
                  <c:v>35673</c:v>
                </c:pt>
                <c:pt idx="91">
                  <c:v>35703</c:v>
                </c:pt>
                <c:pt idx="92">
                  <c:v>35734</c:v>
                </c:pt>
                <c:pt idx="93">
                  <c:v>35764</c:v>
                </c:pt>
                <c:pt idx="94">
                  <c:v>35795</c:v>
                </c:pt>
                <c:pt idx="95">
                  <c:v>35826</c:v>
                </c:pt>
                <c:pt idx="96">
                  <c:v>35854</c:v>
                </c:pt>
                <c:pt idx="97">
                  <c:v>35885</c:v>
                </c:pt>
                <c:pt idx="98">
                  <c:v>35915</c:v>
                </c:pt>
                <c:pt idx="99">
                  <c:v>35946</c:v>
                </c:pt>
                <c:pt idx="100">
                  <c:v>35976</c:v>
                </c:pt>
                <c:pt idx="101">
                  <c:v>36007</c:v>
                </c:pt>
                <c:pt idx="102">
                  <c:v>36038</c:v>
                </c:pt>
                <c:pt idx="103">
                  <c:v>36068</c:v>
                </c:pt>
                <c:pt idx="104">
                  <c:v>36099</c:v>
                </c:pt>
                <c:pt idx="105">
                  <c:v>36129</c:v>
                </c:pt>
                <c:pt idx="106">
                  <c:v>36160</c:v>
                </c:pt>
                <c:pt idx="107">
                  <c:v>36191</c:v>
                </c:pt>
                <c:pt idx="108">
                  <c:v>36219</c:v>
                </c:pt>
                <c:pt idx="109">
                  <c:v>36250</c:v>
                </c:pt>
                <c:pt idx="110">
                  <c:v>36280</c:v>
                </c:pt>
                <c:pt idx="111">
                  <c:v>36311</c:v>
                </c:pt>
                <c:pt idx="112">
                  <c:v>36341</c:v>
                </c:pt>
                <c:pt idx="113">
                  <c:v>36372</c:v>
                </c:pt>
                <c:pt idx="114">
                  <c:v>36403</c:v>
                </c:pt>
                <c:pt idx="115">
                  <c:v>36433</c:v>
                </c:pt>
                <c:pt idx="116">
                  <c:v>36464</c:v>
                </c:pt>
                <c:pt idx="117">
                  <c:v>36494</c:v>
                </c:pt>
                <c:pt idx="118">
                  <c:v>36525</c:v>
                </c:pt>
                <c:pt idx="119">
                  <c:v>36556</c:v>
                </c:pt>
                <c:pt idx="120">
                  <c:v>36585</c:v>
                </c:pt>
                <c:pt idx="121">
                  <c:v>36616</c:v>
                </c:pt>
                <c:pt idx="122">
                  <c:v>36646</c:v>
                </c:pt>
                <c:pt idx="123">
                  <c:v>36677</c:v>
                </c:pt>
                <c:pt idx="124">
                  <c:v>36707</c:v>
                </c:pt>
                <c:pt idx="125">
                  <c:v>36738</c:v>
                </c:pt>
                <c:pt idx="126">
                  <c:v>36769</c:v>
                </c:pt>
                <c:pt idx="127">
                  <c:v>36799</c:v>
                </c:pt>
                <c:pt idx="128">
                  <c:v>36830</c:v>
                </c:pt>
                <c:pt idx="129">
                  <c:v>36860</c:v>
                </c:pt>
                <c:pt idx="130">
                  <c:v>36891</c:v>
                </c:pt>
                <c:pt idx="131">
                  <c:v>36922</c:v>
                </c:pt>
                <c:pt idx="132">
                  <c:v>36950</c:v>
                </c:pt>
                <c:pt idx="133">
                  <c:v>36981</c:v>
                </c:pt>
                <c:pt idx="134">
                  <c:v>37011</c:v>
                </c:pt>
                <c:pt idx="135">
                  <c:v>37042</c:v>
                </c:pt>
                <c:pt idx="136">
                  <c:v>37072</c:v>
                </c:pt>
                <c:pt idx="137">
                  <c:v>37103</c:v>
                </c:pt>
                <c:pt idx="138">
                  <c:v>37134</c:v>
                </c:pt>
                <c:pt idx="139">
                  <c:v>37164</c:v>
                </c:pt>
                <c:pt idx="140">
                  <c:v>37195</c:v>
                </c:pt>
                <c:pt idx="141">
                  <c:v>37225</c:v>
                </c:pt>
                <c:pt idx="142">
                  <c:v>37256</c:v>
                </c:pt>
                <c:pt idx="143">
                  <c:v>37287</c:v>
                </c:pt>
                <c:pt idx="144">
                  <c:v>37315</c:v>
                </c:pt>
                <c:pt idx="145">
                  <c:v>37346</c:v>
                </c:pt>
                <c:pt idx="146">
                  <c:v>37376</c:v>
                </c:pt>
                <c:pt idx="147">
                  <c:v>37407</c:v>
                </c:pt>
                <c:pt idx="148">
                  <c:v>37437</c:v>
                </c:pt>
                <c:pt idx="149">
                  <c:v>37468</c:v>
                </c:pt>
                <c:pt idx="150">
                  <c:v>37499</c:v>
                </c:pt>
                <c:pt idx="151">
                  <c:v>37529</c:v>
                </c:pt>
                <c:pt idx="152">
                  <c:v>37560</c:v>
                </c:pt>
                <c:pt idx="153">
                  <c:v>37590</c:v>
                </c:pt>
                <c:pt idx="154">
                  <c:v>37621</c:v>
                </c:pt>
                <c:pt idx="155">
                  <c:v>37652</c:v>
                </c:pt>
                <c:pt idx="156">
                  <c:v>37680</c:v>
                </c:pt>
                <c:pt idx="157">
                  <c:v>37711</c:v>
                </c:pt>
                <c:pt idx="158">
                  <c:v>37741</c:v>
                </c:pt>
                <c:pt idx="159">
                  <c:v>37772</c:v>
                </c:pt>
                <c:pt idx="160">
                  <c:v>37802</c:v>
                </c:pt>
                <c:pt idx="161">
                  <c:v>37833</c:v>
                </c:pt>
                <c:pt idx="162">
                  <c:v>37864</c:v>
                </c:pt>
                <c:pt idx="163">
                  <c:v>37894</c:v>
                </c:pt>
                <c:pt idx="164">
                  <c:v>37925</c:v>
                </c:pt>
                <c:pt idx="165">
                  <c:v>37955</c:v>
                </c:pt>
                <c:pt idx="166">
                  <c:v>37986</c:v>
                </c:pt>
                <c:pt idx="167">
                  <c:v>38017</c:v>
                </c:pt>
                <c:pt idx="168">
                  <c:v>38046</c:v>
                </c:pt>
                <c:pt idx="169">
                  <c:v>38077</c:v>
                </c:pt>
                <c:pt idx="170">
                  <c:v>38107</c:v>
                </c:pt>
                <c:pt idx="171">
                  <c:v>38138</c:v>
                </c:pt>
                <c:pt idx="172">
                  <c:v>38168</c:v>
                </c:pt>
                <c:pt idx="173">
                  <c:v>38199</c:v>
                </c:pt>
                <c:pt idx="174">
                  <c:v>38230</c:v>
                </c:pt>
                <c:pt idx="175">
                  <c:v>38260</c:v>
                </c:pt>
                <c:pt idx="176">
                  <c:v>38291</c:v>
                </c:pt>
                <c:pt idx="177">
                  <c:v>38321</c:v>
                </c:pt>
                <c:pt idx="178">
                  <c:v>38352</c:v>
                </c:pt>
                <c:pt idx="179">
                  <c:v>38383</c:v>
                </c:pt>
                <c:pt idx="180">
                  <c:v>38411</c:v>
                </c:pt>
                <c:pt idx="181">
                  <c:v>38442</c:v>
                </c:pt>
                <c:pt idx="182">
                  <c:v>38472</c:v>
                </c:pt>
                <c:pt idx="183">
                  <c:v>38503</c:v>
                </c:pt>
                <c:pt idx="184">
                  <c:v>38533</c:v>
                </c:pt>
                <c:pt idx="185">
                  <c:v>38564</c:v>
                </c:pt>
                <c:pt idx="186">
                  <c:v>38595</c:v>
                </c:pt>
                <c:pt idx="187">
                  <c:v>38625</c:v>
                </c:pt>
                <c:pt idx="188">
                  <c:v>38656</c:v>
                </c:pt>
                <c:pt idx="189">
                  <c:v>38686</c:v>
                </c:pt>
                <c:pt idx="190">
                  <c:v>38717</c:v>
                </c:pt>
                <c:pt idx="191">
                  <c:v>38776</c:v>
                </c:pt>
                <c:pt idx="192">
                  <c:v>38807</c:v>
                </c:pt>
                <c:pt idx="193">
                  <c:v>38837</c:v>
                </c:pt>
                <c:pt idx="194">
                  <c:v>38868</c:v>
                </c:pt>
                <c:pt idx="195">
                  <c:v>38898</c:v>
                </c:pt>
                <c:pt idx="196">
                  <c:v>38929</c:v>
                </c:pt>
                <c:pt idx="197">
                  <c:v>38960</c:v>
                </c:pt>
                <c:pt idx="198">
                  <c:v>38990</c:v>
                </c:pt>
                <c:pt idx="199">
                  <c:v>39021</c:v>
                </c:pt>
                <c:pt idx="200">
                  <c:v>39051</c:v>
                </c:pt>
                <c:pt idx="201">
                  <c:v>39082</c:v>
                </c:pt>
                <c:pt idx="202">
                  <c:v>39141</c:v>
                </c:pt>
                <c:pt idx="203">
                  <c:v>39172</c:v>
                </c:pt>
                <c:pt idx="204">
                  <c:v>39202</c:v>
                </c:pt>
                <c:pt idx="205">
                  <c:v>39233</c:v>
                </c:pt>
                <c:pt idx="206">
                  <c:v>39263</c:v>
                </c:pt>
                <c:pt idx="207">
                  <c:v>39294</c:v>
                </c:pt>
                <c:pt idx="208">
                  <c:v>39325</c:v>
                </c:pt>
                <c:pt idx="209">
                  <c:v>39355</c:v>
                </c:pt>
                <c:pt idx="210">
                  <c:v>39386</c:v>
                </c:pt>
                <c:pt idx="211">
                  <c:v>39416</c:v>
                </c:pt>
                <c:pt idx="212">
                  <c:v>39447</c:v>
                </c:pt>
                <c:pt idx="213">
                  <c:v>39507</c:v>
                </c:pt>
                <c:pt idx="214">
                  <c:v>39538</c:v>
                </c:pt>
                <c:pt idx="215">
                  <c:v>39568</c:v>
                </c:pt>
                <c:pt idx="216">
                  <c:v>39599</c:v>
                </c:pt>
                <c:pt idx="217">
                  <c:v>39629</c:v>
                </c:pt>
                <c:pt idx="218">
                  <c:v>39660</c:v>
                </c:pt>
                <c:pt idx="219">
                  <c:v>39691</c:v>
                </c:pt>
                <c:pt idx="220">
                  <c:v>39721</c:v>
                </c:pt>
                <c:pt idx="221">
                  <c:v>39752</c:v>
                </c:pt>
                <c:pt idx="222">
                  <c:v>39782</c:v>
                </c:pt>
                <c:pt idx="223">
                  <c:v>39813</c:v>
                </c:pt>
                <c:pt idx="224">
                  <c:v>39872</c:v>
                </c:pt>
                <c:pt idx="225">
                  <c:v>39903</c:v>
                </c:pt>
                <c:pt idx="226">
                  <c:v>39933</c:v>
                </c:pt>
                <c:pt idx="227">
                  <c:v>39964</c:v>
                </c:pt>
                <c:pt idx="228">
                  <c:v>39994</c:v>
                </c:pt>
                <c:pt idx="229">
                  <c:v>40025</c:v>
                </c:pt>
                <c:pt idx="230">
                  <c:v>40056</c:v>
                </c:pt>
                <c:pt idx="231">
                  <c:v>40086</c:v>
                </c:pt>
                <c:pt idx="232">
                  <c:v>40117</c:v>
                </c:pt>
                <c:pt idx="233">
                  <c:v>40147</c:v>
                </c:pt>
                <c:pt idx="234">
                  <c:v>40178</c:v>
                </c:pt>
                <c:pt idx="235">
                  <c:v>40237</c:v>
                </c:pt>
                <c:pt idx="236">
                  <c:v>40268</c:v>
                </c:pt>
                <c:pt idx="237">
                  <c:v>40298</c:v>
                </c:pt>
                <c:pt idx="238">
                  <c:v>40329</c:v>
                </c:pt>
                <c:pt idx="239">
                  <c:v>40359</c:v>
                </c:pt>
                <c:pt idx="240">
                  <c:v>40390</c:v>
                </c:pt>
                <c:pt idx="241">
                  <c:v>40421</c:v>
                </c:pt>
                <c:pt idx="242">
                  <c:v>40451</c:v>
                </c:pt>
                <c:pt idx="243">
                  <c:v>40482</c:v>
                </c:pt>
                <c:pt idx="244">
                  <c:v>40512</c:v>
                </c:pt>
                <c:pt idx="245">
                  <c:v>40543</c:v>
                </c:pt>
                <c:pt idx="246">
                  <c:v>40602</c:v>
                </c:pt>
                <c:pt idx="247">
                  <c:v>40633</c:v>
                </c:pt>
                <c:pt idx="248">
                  <c:v>40663</c:v>
                </c:pt>
                <c:pt idx="249">
                  <c:v>40694</c:v>
                </c:pt>
                <c:pt idx="250">
                  <c:v>40724</c:v>
                </c:pt>
                <c:pt idx="251">
                  <c:v>40755</c:v>
                </c:pt>
                <c:pt idx="252">
                  <c:v>40786</c:v>
                </c:pt>
                <c:pt idx="253">
                  <c:v>40816</c:v>
                </c:pt>
                <c:pt idx="254">
                  <c:v>40847</c:v>
                </c:pt>
                <c:pt idx="255">
                  <c:v>40877</c:v>
                </c:pt>
                <c:pt idx="256">
                  <c:v>40908</c:v>
                </c:pt>
                <c:pt idx="257">
                  <c:v>40968</c:v>
                </c:pt>
                <c:pt idx="258">
                  <c:v>40999</c:v>
                </c:pt>
                <c:pt idx="259">
                  <c:v>41029</c:v>
                </c:pt>
                <c:pt idx="260">
                  <c:v>41060</c:v>
                </c:pt>
                <c:pt idx="261">
                  <c:v>41090</c:v>
                </c:pt>
                <c:pt idx="262">
                  <c:v>41121</c:v>
                </c:pt>
                <c:pt idx="263">
                  <c:v>41152</c:v>
                </c:pt>
                <c:pt idx="264">
                  <c:v>41182</c:v>
                </c:pt>
                <c:pt idx="265">
                  <c:v>41213</c:v>
                </c:pt>
                <c:pt idx="266">
                  <c:v>41243</c:v>
                </c:pt>
                <c:pt idx="267">
                  <c:v>41274</c:v>
                </c:pt>
                <c:pt idx="268">
                  <c:v>41333</c:v>
                </c:pt>
                <c:pt idx="269">
                  <c:v>41364</c:v>
                </c:pt>
                <c:pt idx="270">
                  <c:v>41394</c:v>
                </c:pt>
                <c:pt idx="271">
                  <c:v>41425</c:v>
                </c:pt>
                <c:pt idx="272">
                  <c:v>41455</c:v>
                </c:pt>
                <c:pt idx="273">
                  <c:v>41486</c:v>
                </c:pt>
                <c:pt idx="274">
                  <c:v>41517</c:v>
                </c:pt>
                <c:pt idx="275">
                  <c:v>41547</c:v>
                </c:pt>
                <c:pt idx="276">
                  <c:v>41578</c:v>
                </c:pt>
                <c:pt idx="277">
                  <c:v>41608</c:v>
                </c:pt>
                <c:pt idx="278">
                  <c:v>41639</c:v>
                </c:pt>
                <c:pt idx="279">
                  <c:v>41698</c:v>
                </c:pt>
                <c:pt idx="280">
                  <c:v>41729</c:v>
                </c:pt>
                <c:pt idx="281">
                  <c:v>41759</c:v>
                </c:pt>
                <c:pt idx="282">
                  <c:v>41790</c:v>
                </c:pt>
                <c:pt idx="283">
                  <c:v>41820</c:v>
                </c:pt>
                <c:pt idx="284">
                  <c:v>41851</c:v>
                </c:pt>
                <c:pt idx="285">
                  <c:v>41882</c:v>
                </c:pt>
                <c:pt idx="286">
                  <c:v>41912</c:v>
                </c:pt>
                <c:pt idx="287">
                  <c:v>41943</c:v>
                </c:pt>
                <c:pt idx="288">
                  <c:v>41973</c:v>
                </c:pt>
                <c:pt idx="289">
                  <c:v>42004</c:v>
                </c:pt>
                <c:pt idx="290">
                  <c:v>42063</c:v>
                </c:pt>
                <c:pt idx="291">
                  <c:v>42094</c:v>
                </c:pt>
                <c:pt idx="292">
                  <c:v>42124</c:v>
                </c:pt>
                <c:pt idx="293">
                  <c:v>42155</c:v>
                </c:pt>
                <c:pt idx="294">
                  <c:v>42185</c:v>
                </c:pt>
                <c:pt idx="295">
                  <c:v>42216</c:v>
                </c:pt>
                <c:pt idx="296">
                  <c:v>42247</c:v>
                </c:pt>
                <c:pt idx="297">
                  <c:v>42277</c:v>
                </c:pt>
                <c:pt idx="298">
                  <c:v>42308</c:v>
                </c:pt>
                <c:pt idx="299">
                  <c:v>42338</c:v>
                </c:pt>
                <c:pt idx="300">
                  <c:v>42369</c:v>
                </c:pt>
                <c:pt idx="301">
                  <c:v>42400</c:v>
                </c:pt>
                <c:pt idx="302">
                  <c:v>42460</c:v>
                </c:pt>
                <c:pt idx="303">
                  <c:v>42490</c:v>
                </c:pt>
                <c:pt idx="304">
                  <c:v>42521</c:v>
                </c:pt>
                <c:pt idx="305">
                  <c:v>42551</c:v>
                </c:pt>
                <c:pt idx="306">
                  <c:v>42582</c:v>
                </c:pt>
                <c:pt idx="307">
                  <c:v>42613</c:v>
                </c:pt>
                <c:pt idx="308">
                  <c:v>42643</c:v>
                </c:pt>
                <c:pt idx="309">
                  <c:v>42674</c:v>
                </c:pt>
                <c:pt idx="310">
                  <c:v>42704</c:v>
                </c:pt>
                <c:pt idx="311">
                  <c:v>42735</c:v>
                </c:pt>
                <c:pt idx="312">
                  <c:v>42766</c:v>
                </c:pt>
                <c:pt idx="313">
                  <c:v>42825</c:v>
                </c:pt>
                <c:pt idx="314">
                  <c:v>42855</c:v>
                </c:pt>
                <c:pt idx="315">
                  <c:v>42886</c:v>
                </c:pt>
                <c:pt idx="316">
                  <c:v>42916</c:v>
                </c:pt>
                <c:pt idx="317">
                  <c:v>42947</c:v>
                </c:pt>
                <c:pt idx="318">
                  <c:v>42978</c:v>
                </c:pt>
                <c:pt idx="319">
                  <c:v>43008</c:v>
                </c:pt>
                <c:pt idx="320">
                  <c:v>43039</c:v>
                </c:pt>
                <c:pt idx="321">
                  <c:v>43069</c:v>
                </c:pt>
                <c:pt idx="322">
                  <c:v>43100</c:v>
                </c:pt>
                <c:pt idx="323">
                  <c:v>43159</c:v>
                </c:pt>
                <c:pt idx="324">
                  <c:v>43190</c:v>
                </c:pt>
                <c:pt idx="325">
                  <c:v>43220</c:v>
                </c:pt>
                <c:pt idx="326">
                  <c:v>43251</c:v>
                </c:pt>
                <c:pt idx="327">
                  <c:v>43281</c:v>
                </c:pt>
                <c:pt idx="328">
                  <c:v>43312</c:v>
                </c:pt>
                <c:pt idx="329">
                  <c:v>43343</c:v>
                </c:pt>
                <c:pt idx="330">
                  <c:v>43373</c:v>
                </c:pt>
                <c:pt idx="331">
                  <c:v>43404</c:v>
                </c:pt>
                <c:pt idx="332">
                  <c:v>43434</c:v>
                </c:pt>
                <c:pt idx="333">
                  <c:v>43465</c:v>
                </c:pt>
                <c:pt idx="334">
                  <c:v>43496</c:v>
                </c:pt>
                <c:pt idx="335">
                  <c:v>43524</c:v>
                </c:pt>
                <c:pt idx="336">
                  <c:v>43555</c:v>
                </c:pt>
                <c:pt idx="337">
                  <c:v>43585</c:v>
                </c:pt>
                <c:pt idx="338">
                  <c:v>43616</c:v>
                </c:pt>
                <c:pt idx="339">
                  <c:v>43646</c:v>
                </c:pt>
                <c:pt idx="340">
                  <c:v>43677</c:v>
                </c:pt>
                <c:pt idx="341">
                  <c:v>43708</c:v>
                </c:pt>
                <c:pt idx="342">
                  <c:v>43738</c:v>
                </c:pt>
                <c:pt idx="343">
                  <c:v>43769</c:v>
                </c:pt>
                <c:pt idx="344">
                  <c:v>43799</c:v>
                </c:pt>
                <c:pt idx="345">
                  <c:v>43830</c:v>
                </c:pt>
                <c:pt idx="346">
                  <c:v>43890</c:v>
                </c:pt>
                <c:pt idx="347">
                  <c:v>43921</c:v>
                </c:pt>
                <c:pt idx="348">
                  <c:v>43951</c:v>
                </c:pt>
                <c:pt idx="349">
                  <c:v>43982</c:v>
                </c:pt>
                <c:pt idx="350">
                  <c:v>44012</c:v>
                </c:pt>
                <c:pt idx="351">
                  <c:v>44043</c:v>
                </c:pt>
                <c:pt idx="352">
                  <c:v>44074</c:v>
                </c:pt>
                <c:pt idx="353">
                  <c:v>44104</c:v>
                </c:pt>
                <c:pt idx="354">
                  <c:v>44135</c:v>
                </c:pt>
                <c:pt idx="355">
                  <c:v>44165</c:v>
                </c:pt>
                <c:pt idx="356">
                  <c:v>44196</c:v>
                </c:pt>
                <c:pt idx="357">
                  <c:v>44227</c:v>
                </c:pt>
                <c:pt idx="358">
                  <c:v>44255</c:v>
                </c:pt>
                <c:pt idx="359">
                  <c:v>44286</c:v>
                </c:pt>
                <c:pt idx="360">
                  <c:v>44316</c:v>
                </c:pt>
                <c:pt idx="361">
                  <c:v>44347</c:v>
                </c:pt>
                <c:pt idx="362">
                  <c:v>44377</c:v>
                </c:pt>
                <c:pt idx="363">
                  <c:v>44408</c:v>
                </c:pt>
                <c:pt idx="364">
                  <c:v>44439</c:v>
                </c:pt>
                <c:pt idx="365">
                  <c:v>44469</c:v>
                </c:pt>
                <c:pt idx="366">
                  <c:v>44500</c:v>
                </c:pt>
              </c:numCache>
            </c:numRef>
          </c:cat>
          <c:val>
            <c:numRef>
              <c:f>China!$B$8:$B$375</c:f>
              <c:numCache>
                <c:formatCode>0.0%</c:formatCode>
                <c:ptCount val="368"/>
                <c:pt idx="0">
                  <c:v>0.05</c:v>
                </c:pt>
                <c:pt idx="1">
                  <c:v>8.0000000000000002E-3</c:v>
                </c:pt>
                <c:pt idx="2">
                  <c:v>1.7000000000000001E-2</c:v>
                </c:pt>
                <c:pt idx="3">
                  <c:v>3.3000000000000002E-2</c:v>
                </c:pt>
                <c:pt idx="4">
                  <c:v>0.05</c:v>
                </c:pt>
                <c:pt idx="5">
                  <c:v>2.5000000000000001E-2</c:v>
                </c:pt>
                <c:pt idx="6">
                  <c:v>4.2000000000000003E-2</c:v>
                </c:pt>
                <c:pt idx="7">
                  <c:v>6.7000000000000004E-2</c:v>
                </c:pt>
                <c:pt idx="8">
                  <c:v>0.109</c:v>
                </c:pt>
                <c:pt idx="9">
                  <c:v>0.126</c:v>
                </c:pt>
                <c:pt idx="10">
                  <c:v>0.126</c:v>
                </c:pt>
                <c:pt idx="11">
                  <c:v>0.23499999999999999</c:v>
                </c:pt>
                <c:pt idx="12">
                  <c:v>9.1999999999999998E-2</c:v>
                </c:pt>
                <c:pt idx="13">
                  <c:v>0.109</c:v>
                </c:pt>
                <c:pt idx="14">
                  <c:v>0.109</c:v>
                </c:pt>
                <c:pt idx="15">
                  <c:v>0.109</c:v>
                </c:pt>
                <c:pt idx="16">
                  <c:v>9.1999999999999998E-2</c:v>
                </c:pt>
                <c:pt idx="17">
                  <c:v>0.109</c:v>
                </c:pt>
                <c:pt idx="18">
                  <c:v>0.11799999999999999</c:v>
                </c:pt>
                <c:pt idx="19">
                  <c:v>0.126</c:v>
                </c:pt>
                <c:pt idx="20">
                  <c:v>0.11799999999999999</c:v>
                </c:pt>
                <c:pt idx="21">
                  <c:v>7.5999999999999998E-2</c:v>
                </c:pt>
                <c:pt idx="22">
                  <c:v>0.05</c:v>
                </c:pt>
                <c:pt idx="23">
                  <c:v>0.109</c:v>
                </c:pt>
                <c:pt idx="24">
                  <c:v>0.185</c:v>
                </c:pt>
                <c:pt idx="25">
                  <c:v>0.16800000000000001</c:v>
                </c:pt>
                <c:pt idx="26">
                  <c:v>0.151</c:v>
                </c:pt>
                <c:pt idx="27">
                  <c:v>0.14299999999999999</c:v>
                </c:pt>
                <c:pt idx="28">
                  <c:v>0.16800000000000001</c:v>
                </c:pt>
                <c:pt idx="29">
                  <c:v>0.193</c:v>
                </c:pt>
                <c:pt idx="30">
                  <c:v>0.17599999999999999</c:v>
                </c:pt>
                <c:pt idx="31">
                  <c:v>0.17599999999999999</c:v>
                </c:pt>
                <c:pt idx="32">
                  <c:v>0.185</c:v>
                </c:pt>
                <c:pt idx="33">
                  <c:v>0.218</c:v>
                </c:pt>
                <c:pt idx="34">
                  <c:v>0.26900000000000002</c:v>
                </c:pt>
                <c:pt idx="35">
                  <c:v>8.4000000000000005E-2</c:v>
                </c:pt>
                <c:pt idx="36">
                  <c:v>0.27700000000000002</c:v>
                </c:pt>
                <c:pt idx="37">
                  <c:v>0.218</c:v>
                </c:pt>
                <c:pt idx="38">
                  <c:v>0.21</c:v>
                </c:pt>
                <c:pt idx="39">
                  <c:v>0.22700000000000001</c:v>
                </c:pt>
                <c:pt idx="40">
                  <c:v>0.252</c:v>
                </c:pt>
                <c:pt idx="41">
                  <c:v>0.21</c:v>
                </c:pt>
                <c:pt idx="42">
                  <c:v>0.193</c:v>
                </c:pt>
                <c:pt idx="43">
                  <c:v>0.16</c:v>
                </c:pt>
                <c:pt idx="44">
                  <c:v>0.13400000000000001</c:v>
                </c:pt>
                <c:pt idx="45">
                  <c:v>0.16</c:v>
                </c:pt>
                <c:pt idx="46">
                  <c:v>0.252</c:v>
                </c:pt>
                <c:pt idx="47">
                  <c:v>0.27700000000000002</c:v>
                </c:pt>
                <c:pt idx="48">
                  <c:v>3.4000000000000002E-2</c:v>
                </c:pt>
                <c:pt idx="49">
                  <c:v>0.16</c:v>
                </c:pt>
                <c:pt idx="50">
                  <c:v>0.16800000000000001</c:v>
                </c:pt>
                <c:pt idx="51">
                  <c:v>0.17599999999999999</c:v>
                </c:pt>
                <c:pt idx="52">
                  <c:v>0.151</c:v>
                </c:pt>
                <c:pt idx="53">
                  <c:v>0.151</c:v>
                </c:pt>
                <c:pt idx="54">
                  <c:v>0.29399999999999998</c:v>
                </c:pt>
                <c:pt idx="55">
                  <c:v>0.218</c:v>
                </c:pt>
                <c:pt idx="56">
                  <c:v>0.24399999999999999</c:v>
                </c:pt>
                <c:pt idx="57">
                  <c:v>0.23499999999999999</c:v>
                </c:pt>
                <c:pt idx="58">
                  <c:v>0.185</c:v>
                </c:pt>
                <c:pt idx="59">
                  <c:v>0.114</c:v>
                </c:pt>
                <c:pt idx="60">
                  <c:v>0.155</c:v>
                </c:pt>
                <c:pt idx="61">
                  <c:v>0.16400000000000001</c:v>
                </c:pt>
                <c:pt idx="62">
                  <c:v>0.154</c:v>
                </c:pt>
                <c:pt idx="63">
                  <c:v>0.13100000000000001</c:v>
                </c:pt>
                <c:pt idx="64">
                  <c:v>0.13900000000000001</c:v>
                </c:pt>
                <c:pt idx="65">
                  <c:v>0.13600000000000001</c:v>
                </c:pt>
                <c:pt idx="66">
                  <c:v>0.11799999999999999</c:v>
                </c:pt>
                <c:pt idx="67">
                  <c:v>0.114</c:v>
                </c:pt>
                <c:pt idx="68">
                  <c:v>0.129</c:v>
                </c:pt>
                <c:pt idx="69">
                  <c:v>0.121</c:v>
                </c:pt>
                <c:pt idx="70">
                  <c:v>0.14899999999999999</c:v>
                </c:pt>
                <c:pt idx="71">
                  <c:v>0.16900000000000001</c:v>
                </c:pt>
                <c:pt idx="72">
                  <c:v>0.122</c:v>
                </c:pt>
                <c:pt idx="73">
                  <c:v>0.122</c:v>
                </c:pt>
                <c:pt idx="74">
                  <c:v>0.13700000000000001</c:v>
                </c:pt>
                <c:pt idx="75">
                  <c:v>0.13100000000000001</c:v>
                </c:pt>
                <c:pt idx="76">
                  <c:v>0.13800000000000001</c:v>
                </c:pt>
                <c:pt idx="77">
                  <c:v>0.122</c:v>
                </c:pt>
                <c:pt idx="78">
                  <c:v>0.106</c:v>
                </c:pt>
                <c:pt idx="79">
                  <c:v>0.13700000000000001</c:v>
                </c:pt>
                <c:pt idx="80">
                  <c:v>0.13300000000000001</c:v>
                </c:pt>
                <c:pt idx="81">
                  <c:v>0.13400000000000001</c:v>
                </c:pt>
                <c:pt idx="82">
                  <c:v>0.14000000000000001</c:v>
                </c:pt>
                <c:pt idx="83">
                  <c:v>0.10299999999999999</c:v>
                </c:pt>
                <c:pt idx="84">
                  <c:v>0.104</c:v>
                </c:pt>
                <c:pt idx="85">
                  <c:v>0.13500000000000001</c:v>
                </c:pt>
                <c:pt idx="86">
                  <c:v>0.11899999999999999</c:v>
                </c:pt>
                <c:pt idx="87">
                  <c:v>0.11899999999999999</c:v>
                </c:pt>
                <c:pt idx="88">
                  <c:v>0.121</c:v>
                </c:pt>
                <c:pt idx="89">
                  <c:v>8.4000000000000005E-2</c:v>
                </c:pt>
                <c:pt idx="90">
                  <c:v>0.109</c:v>
                </c:pt>
                <c:pt idx="91">
                  <c:v>0.111</c:v>
                </c:pt>
                <c:pt idx="92">
                  <c:v>0.11799999999999999</c:v>
                </c:pt>
                <c:pt idx="93">
                  <c:v>0.11600000000000001</c:v>
                </c:pt>
                <c:pt idx="94">
                  <c:v>9.1999999999999998E-2</c:v>
                </c:pt>
                <c:pt idx="95">
                  <c:v>1.7999999999999999E-2</c:v>
                </c:pt>
                <c:pt idx="96">
                  <c:v>9.5000000000000001E-2</c:v>
                </c:pt>
                <c:pt idx="97">
                  <c:v>0.09</c:v>
                </c:pt>
                <c:pt idx="98">
                  <c:v>7.1999999999999995E-2</c:v>
                </c:pt>
                <c:pt idx="99">
                  <c:v>0.08</c:v>
                </c:pt>
                <c:pt idx="100">
                  <c:v>7.9000000000000001E-2</c:v>
                </c:pt>
                <c:pt idx="101">
                  <c:v>7.5999999999999998E-2</c:v>
                </c:pt>
                <c:pt idx="102">
                  <c:v>7.9000000000000001E-2</c:v>
                </c:pt>
                <c:pt idx="103">
                  <c:v>0.10199999999999999</c:v>
                </c:pt>
                <c:pt idx="104">
                  <c:v>0.106</c:v>
                </c:pt>
                <c:pt idx="105">
                  <c:v>0.11</c:v>
                </c:pt>
                <c:pt idx="106">
                  <c:v>0.115</c:v>
                </c:pt>
                <c:pt idx="107">
                  <c:v>0.17899999999999999</c:v>
                </c:pt>
                <c:pt idx="108">
                  <c:v>2.1000000000000001E-2</c:v>
                </c:pt>
                <c:pt idx="109">
                  <c:v>0.09</c:v>
                </c:pt>
                <c:pt idx="110">
                  <c:v>9.0999999999999998E-2</c:v>
                </c:pt>
                <c:pt idx="111">
                  <c:v>8.8999999999999996E-2</c:v>
                </c:pt>
                <c:pt idx="112">
                  <c:v>9.0999999999999998E-2</c:v>
                </c:pt>
                <c:pt idx="113">
                  <c:v>9.2999999999999999E-2</c:v>
                </c:pt>
                <c:pt idx="114">
                  <c:v>9.5000000000000001E-2</c:v>
                </c:pt>
                <c:pt idx="115">
                  <c:v>8.2000000000000003E-2</c:v>
                </c:pt>
                <c:pt idx="116">
                  <c:v>7.0000000000000007E-2</c:v>
                </c:pt>
                <c:pt idx="117">
                  <c:v>7.5999999999999998E-2</c:v>
                </c:pt>
                <c:pt idx="118">
                  <c:v>7.3999999999999996E-2</c:v>
                </c:pt>
                <c:pt idx="119">
                  <c:v>8.8999999999999996E-2</c:v>
                </c:pt>
                <c:pt idx="120">
                  <c:v>0.12</c:v>
                </c:pt>
                <c:pt idx="121">
                  <c:v>0.11899999999999999</c:v>
                </c:pt>
                <c:pt idx="122">
                  <c:v>0.114</c:v>
                </c:pt>
                <c:pt idx="123">
                  <c:v>0.115</c:v>
                </c:pt>
                <c:pt idx="124">
                  <c:v>0.122</c:v>
                </c:pt>
                <c:pt idx="125">
                  <c:v>0.128</c:v>
                </c:pt>
                <c:pt idx="126">
                  <c:v>0.128</c:v>
                </c:pt>
                <c:pt idx="127">
                  <c:v>0.12</c:v>
                </c:pt>
                <c:pt idx="128">
                  <c:v>0.114</c:v>
                </c:pt>
                <c:pt idx="129">
                  <c:v>0.106</c:v>
                </c:pt>
                <c:pt idx="130">
                  <c:v>0.104</c:v>
                </c:pt>
                <c:pt idx="131">
                  <c:v>2.3E-2</c:v>
                </c:pt>
                <c:pt idx="132">
                  <c:v>0.19</c:v>
                </c:pt>
                <c:pt idx="133">
                  <c:v>0.121</c:v>
                </c:pt>
                <c:pt idx="134">
                  <c:v>0.115</c:v>
                </c:pt>
                <c:pt idx="135">
                  <c:v>0.10199999999999999</c:v>
                </c:pt>
                <c:pt idx="136">
                  <c:v>0.10100000000000001</c:v>
                </c:pt>
                <c:pt idx="137">
                  <c:v>8.1000000000000003E-2</c:v>
                </c:pt>
                <c:pt idx="138">
                  <c:v>8.1000000000000003E-2</c:v>
                </c:pt>
                <c:pt idx="139">
                  <c:v>9.5000000000000001E-2</c:v>
                </c:pt>
                <c:pt idx="140">
                  <c:v>8.7999999999999995E-2</c:v>
                </c:pt>
                <c:pt idx="141">
                  <c:v>7.9000000000000001E-2</c:v>
                </c:pt>
                <c:pt idx="142">
                  <c:v>8.6999999999999994E-2</c:v>
                </c:pt>
                <c:pt idx="143">
                  <c:v>0.186</c:v>
                </c:pt>
                <c:pt idx="144">
                  <c:v>2.7E-2</c:v>
                </c:pt>
                <c:pt idx="145">
                  <c:v>0.109</c:v>
                </c:pt>
                <c:pt idx="146">
                  <c:v>0.121</c:v>
                </c:pt>
                <c:pt idx="147">
                  <c:v>0.129</c:v>
                </c:pt>
                <c:pt idx="148">
                  <c:v>0.124</c:v>
                </c:pt>
                <c:pt idx="149">
                  <c:v>0.128</c:v>
                </c:pt>
                <c:pt idx="150">
                  <c:v>0.127</c:v>
                </c:pt>
                <c:pt idx="151">
                  <c:v>0.13800000000000001</c:v>
                </c:pt>
                <c:pt idx="152">
                  <c:v>0.14199999999999999</c:v>
                </c:pt>
                <c:pt idx="153">
                  <c:v>0.14499999999999999</c:v>
                </c:pt>
                <c:pt idx="154">
                  <c:v>0.14899999999999999</c:v>
                </c:pt>
                <c:pt idx="155">
                  <c:v>0.14799999999999999</c:v>
                </c:pt>
                <c:pt idx="156">
                  <c:v>0.19800000000000001</c:v>
                </c:pt>
                <c:pt idx="157">
                  <c:v>0.16900000000000001</c:v>
                </c:pt>
                <c:pt idx="158">
                  <c:v>0.14899999999999999</c:v>
                </c:pt>
                <c:pt idx="159">
                  <c:v>0.13700000000000001</c:v>
                </c:pt>
                <c:pt idx="160">
                  <c:v>0.16900000000000001</c:v>
                </c:pt>
                <c:pt idx="161">
                  <c:v>0.16500000000000001</c:v>
                </c:pt>
                <c:pt idx="162">
                  <c:v>0.17100000000000001</c:v>
                </c:pt>
                <c:pt idx="163">
                  <c:v>0.16300000000000001</c:v>
                </c:pt>
                <c:pt idx="164">
                  <c:v>0.17199999999999999</c:v>
                </c:pt>
                <c:pt idx="165">
                  <c:v>0.17899999999999999</c:v>
                </c:pt>
                <c:pt idx="166">
                  <c:v>0.18099999999999999</c:v>
                </c:pt>
                <c:pt idx="167">
                  <c:v>7.1999999999999995E-2</c:v>
                </c:pt>
                <c:pt idx="168">
                  <c:v>0.23200000000000001</c:v>
                </c:pt>
                <c:pt idx="169">
                  <c:v>0.19400000000000001</c:v>
                </c:pt>
                <c:pt idx="170">
                  <c:v>0.191</c:v>
                </c:pt>
                <c:pt idx="171">
                  <c:v>0.17499999999999999</c:v>
                </c:pt>
                <c:pt idx="172">
                  <c:v>0.16200000000000001</c:v>
                </c:pt>
                <c:pt idx="173">
                  <c:v>0.155</c:v>
                </c:pt>
                <c:pt idx="174">
                  <c:v>0.159</c:v>
                </c:pt>
                <c:pt idx="175">
                  <c:v>0.161</c:v>
                </c:pt>
                <c:pt idx="176">
                  <c:v>0.157</c:v>
                </c:pt>
                <c:pt idx="177">
                  <c:v>0.14799999999999999</c:v>
                </c:pt>
                <c:pt idx="178">
                  <c:v>0.14399999999999999</c:v>
                </c:pt>
                <c:pt idx="179">
                  <c:v>0.20899999999999999</c:v>
                </c:pt>
                <c:pt idx="180">
                  <c:v>7.5999999999999998E-2</c:v>
                </c:pt>
                <c:pt idx="181">
                  <c:v>0.151</c:v>
                </c:pt>
                <c:pt idx="182">
                  <c:v>0.16</c:v>
                </c:pt>
                <c:pt idx="183">
                  <c:v>0.16600000000000001</c:v>
                </c:pt>
                <c:pt idx="184">
                  <c:v>0.16800000000000001</c:v>
                </c:pt>
                <c:pt idx="185">
                  <c:v>0.161</c:v>
                </c:pt>
                <c:pt idx="186">
                  <c:v>0.16</c:v>
                </c:pt>
                <c:pt idx="187">
                  <c:v>0.16500000000000001</c:v>
                </c:pt>
                <c:pt idx="188">
                  <c:v>0.161</c:v>
                </c:pt>
                <c:pt idx="189">
                  <c:v>0.16600000000000001</c:v>
                </c:pt>
                <c:pt idx="190">
                  <c:v>0.16500000000000001</c:v>
                </c:pt>
                <c:pt idx="191">
                  <c:v>0.20100000000000001</c:v>
                </c:pt>
                <c:pt idx="192">
                  <c:v>0.17799999999999999</c:v>
                </c:pt>
                <c:pt idx="193">
                  <c:v>0.16600000000000001</c:v>
                </c:pt>
                <c:pt idx="194">
                  <c:v>0.17899999999999999</c:v>
                </c:pt>
                <c:pt idx="195">
                  <c:v>0.19500000000000001</c:v>
                </c:pt>
                <c:pt idx="196">
                  <c:v>0.16700000000000001</c:v>
                </c:pt>
                <c:pt idx="197">
                  <c:v>0.157</c:v>
                </c:pt>
                <c:pt idx="198">
                  <c:v>0.161</c:v>
                </c:pt>
                <c:pt idx="199">
                  <c:v>0.14699999999999999</c:v>
                </c:pt>
                <c:pt idx="200">
                  <c:v>0.14899999999999999</c:v>
                </c:pt>
                <c:pt idx="201">
                  <c:v>0.14699999999999999</c:v>
                </c:pt>
                <c:pt idx="202">
                  <c:v>0.126</c:v>
                </c:pt>
                <c:pt idx="203">
                  <c:v>0.17599999999999999</c:v>
                </c:pt>
                <c:pt idx="204">
                  <c:v>0.17399999999999999</c:v>
                </c:pt>
                <c:pt idx="205">
                  <c:v>0.18099999999999999</c:v>
                </c:pt>
                <c:pt idx="206">
                  <c:v>0.19400000000000001</c:v>
                </c:pt>
                <c:pt idx="207">
                  <c:v>0.18</c:v>
                </c:pt>
                <c:pt idx="208">
                  <c:v>0.17499999999999999</c:v>
                </c:pt>
                <c:pt idx="209">
                  <c:v>0.189</c:v>
                </c:pt>
                <c:pt idx="210">
                  <c:v>0.17899999999999999</c:v>
                </c:pt>
                <c:pt idx="211">
                  <c:v>0.17299999999999999</c:v>
                </c:pt>
                <c:pt idx="212">
                  <c:v>0.17399999999999999</c:v>
                </c:pt>
                <c:pt idx="213">
                  <c:v>0.154</c:v>
                </c:pt>
                <c:pt idx="214">
                  <c:v>0.17799999999999999</c:v>
                </c:pt>
                <c:pt idx="215">
                  <c:v>0.157</c:v>
                </c:pt>
                <c:pt idx="216">
                  <c:v>0.16</c:v>
                </c:pt>
                <c:pt idx="217">
                  <c:v>0.16</c:v>
                </c:pt>
                <c:pt idx="218">
                  <c:v>0.14699999999999999</c:v>
                </c:pt>
                <c:pt idx="219">
                  <c:v>0.128</c:v>
                </c:pt>
                <c:pt idx="220">
                  <c:v>0.114</c:v>
                </c:pt>
                <c:pt idx="221">
                  <c:v>8.2000000000000003E-2</c:v>
                </c:pt>
                <c:pt idx="222">
                  <c:v>5.3999999999999999E-2</c:v>
                </c:pt>
                <c:pt idx="223">
                  <c:v>5.7000000000000002E-2</c:v>
                </c:pt>
                <c:pt idx="224">
                  <c:v>0.11</c:v>
                </c:pt>
                <c:pt idx="225">
                  <c:v>8.3000000000000004E-2</c:v>
                </c:pt>
                <c:pt idx="226">
                  <c:v>7.2999999999999995E-2</c:v>
                </c:pt>
                <c:pt idx="227">
                  <c:v>8.8999999999999996E-2</c:v>
                </c:pt>
                <c:pt idx="228">
                  <c:v>0.107</c:v>
                </c:pt>
                <c:pt idx="229">
                  <c:v>0.108</c:v>
                </c:pt>
                <c:pt idx="230">
                  <c:v>0.123</c:v>
                </c:pt>
                <c:pt idx="231">
                  <c:v>0.13900000000000001</c:v>
                </c:pt>
                <c:pt idx="232">
                  <c:v>0.161</c:v>
                </c:pt>
                <c:pt idx="233">
                  <c:v>0.192</c:v>
                </c:pt>
                <c:pt idx="234">
                  <c:v>0.185</c:v>
                </c:pt>
                <c:pt idx="235">
                  <c:v>0.128</c:v>
                </c:pt>
                <c:pt idx="236">
                  <c:v>0.18099999999999999</c:v>
                </c:pt>
                <c:pt idx="237">
                  <c:v>0.17799999999999999</c:v>
                </c:pt>
                <c:pt idx="238">
                  <c:v>0.16500000000000001</c:v>
                </c:pt>
                <c:pt idx="239">
                  <c:v>0.13700000000000001</c:v>
                </c:pt>
                <c:pt idx="240">
                  <c:v>0.13400000000000001</c:v>
                </c:pt>
                <c:pt idx="241">
                  <c:v>0.13900000000000001</c:v>
                </c:pt>
                <c:pt idx="242">
                  <c:v>0.13300000000000001</c:v>
                </c:pt>
                <c:pt idx="243">
                  <c:v>0.13100000000000001</c:v>
                </c:pt>
                <c:pt idx="244">
                  <c:v>0.13300000000000001</c:v>
                </c:pt>
                <c:pt idx="245">
                  <c:v>0.13500000000000001</c:v>
                </c:pt>
                <c:pt idx="246">
                  <c:v>0.14099999999999999</c:v>
                </c:pt>
                <c:pt idx="247">
                  <c:v>0.14799999999999999</c:v>
                </c:pt>
                <c:pt idx="248">
                  <c:v>0.13400000000000001</c:v>
                </c:pt>
                <c:pt idx="249">
                  <c:v>0.13300000000000001</c:v>
                </c:pt>
                <c:pt idx="250">
                  <c:v>0.151</c:v>
                </c:pt>
                <c:pt idx="251">
                  <c:v>0.14000000000000001</c:v>
                </c:pt>
                <c:pt idx="252">
                  <c:v>0.13500000000000001</c:v>
                </c:pt>
                <c:pt idx="253">
                  <c:v>0.13800000000000001</c:v>
                </c:pt>
                <c:pt idx="254">
                  <c:v>0.13200000000000001</c:v>
                </c:pt>
                <c:pt idx="255">
                  <c:v>0.124</c:v>
                </c:pt>
                <c:pt idx="256">
                  <c:v>0.128</c:v>
                </c:pt>
                <c:pt idx="257">
                  <c:v>0.114</c:v>
                </c:pt>
                <c:pt idx="258">
                  <c:v>0.11899999999999999</c:v>
                </c:pt>
                <c:pt idx="259">
                  <c:v>9.2999999999999999E-2</c:v>
                </c:pt>
                <c:pt idx="260">
                  <c:v>9.6000000000000002E-2</c:v>
                </c:pt>
                <c:pt idx="261">
                  <c:v>9.5000000000000001E-2</c:v>
                </c:pt>
                <c:pt idx="262">
                  <c:v>9.1999999999999998E-2</c:v>
                </c:pt>
                <c:pt idx="263">
                  <c:v>8.8999999999999996E-2</c:v>
                </c:pt>
                <c:pt idx="264">
                  <c:v>9.1999999999999998E-2</c:v>
                </c:pt>
                <c:pt idx="265">
                  <c:v>9.6000000000000002E-2</c:v>
                </c:pt>
                <c:pt idx="266">
                  <c:v>0.10100000000000001</c:v>
                </c:pt>
                <c:pt idx="267">
                  <c:v>0.10299999999999999</c:v>
                </c:pt>
                <c:pt idx="268">
                  <c:v>9.9000000000000005E-2</c:v>
                </c:pt>
                <c:pt idx="269">
                  <c:v>8.8999999999999996E-2</c:v>
                </c:pt>
                <c:pt idx="270">
                  <c:v>9.2999999999999999E-2</c:v>
                </c:pt>
                <c:pt idx="271">
                  <c:v>9.1999999999999998E-2</c:v>
                </c:pt>
                <c:pt idx="272">
                  <c:v>8.8999999999999996E-2</c:v>
                </c:pt>
                <c:pt idx="273">
                  <c:v>9.7000000000000003E-2</c:v>
                </c:pt>
                <c:pt idx="274">
                  <c:v>0.104</c:v>
                </c:pt>
                <c:pt idx="275">
                  <c:v>0.10199999999999999</c:v>
                </c:pt>
                <c:pt idx="276">
                  <c:v>0.10299999999999999</c:v>
                </c:pt>
                <c:pt idx="277">
                  <c:v>0.1</c:v>
                </c:pt>
                <c:pt idx="278">
                  <c:v>9.7000000000000003E-2</c:v>
                </c:pt>
                <c:pt idx="279">
                  <c:v>8.5999999999999993E-2</c:v>
                </c:pt>
                <c:pt idx="280">
                  <c:v>8.7999999999999995E-2</c:v>
                </c:pt>
                <c:pt idx="281">
                  <c:v>8.6999999999999994E-2</c:v>
                </c:pt>
                <c:pt idx="282">
                  <c:v>8.7999999999999995E-2</c:v>
                </c:pt>
                <c:pt idx="283">
                  <c:v>9.1999999999999998E-2</c:v>
                </c:pt>
                <c:pt idx="284">
                  <c:v>0.09</c:v>
                </c:pt>
                <c:pt idx="285">
                  <c:v>6.9000000000000006E-2</c:v>
                </c:pt>
                <c:pt idx="286">
                  <c:v>0.08</c:v>
                </c:pt>
                <c:pt idx="287">
                  <c:v>7.6999999999999999E-2</c:v>
                </c:pt>
                <c:pt idx="288">
                  <c:v>7.1999999999999995E-2</c:v>
                </c:pt>
                <c:pt idx="289">
                  <c:v>7.9000000000000001E-2</c:v>
                </c:pt>
                <c:pt idx="290">
                  <c:v>6.8000000000000005E-2</c:v>
                </c:pt>
                <c:pt idx="291">
                  <c:v>5.6000000000000001E-2</c:v>
                </c:pt>
                <c:pt idx="292">
                  <c:v>5.8999999999999997E-2</c:v>
                </c:pt>
                <c:pt idx="293">
                  <c:v>6.0999999999999999E-2</c:v>
                </c:pt>
                <c:pt idx="294">
                  <c:v>6.8000000000000005E-2</c:v>
                </c:pt>
                <c:pt idx="295">
                  <c:v>0.06</c:v>
                </c:pt>
                <c:pt idx="296">
                  <c:v>6.0999999999999999E-2</c:v>
                </c:pt>
                <c:pt idx="297">
                  <c:v>5.7000000000000002E-2</c:v>
                </c:pt>
                <c:pt idx="298">
                  <c:v>5.6000000000000001E-2</c:v>
                </c:pt>
                <c:pt idx="299">
                  <c:v>6.2E-2</c:v>
                </c:pt>
                <c:pt idx="300">
                  <c:v>5.8999999999999997E-2</c:v>
                </c:pt>
                <c:pt idx="301">
                  <c:v>5.3999999999999999E-2</c:v>
                </c:pt>
                <c:pt idx="302">
                  <c:v>6.8000000000000005E-2</c:v>
                </c:pt>
                <c:pt idx="303">
                  <c:v>0.06</c:v>
                </c:pt>
                <c:pt idx="304">
                  <c:v>0.06</c:v>
                </c:pt>
                <c:pt idx="305">
                  <c:v>6.2E-2</c:v>
                </c:pt>
                <c:pt idx="306">
                  <c:v>0.06</c:v>
                </c:pt>
                <c:pt idx="307">
                  <c:v>6.3E-2</c:v>
                </c:pt>
                <c:pt idx="308">
                  <c:v>6.0999999999999999E-2</c:v>
                </c:pt>
                <c:pt idx="309">
                  <c:v>6.0999999999999999E-2</c:v>
                </c:pt>
                <c:pt idx="310">
                  <c:v>6.2E-2</c:v>
                </c:pt>
                <c:pt idx="311">
                  <c:v>0.06</c:v>
                </c:pt>
                <c:pt idx="312">
                  <c:v>6.3E-2</c:v>
                </c:pt>
                <c:pt idx="313">
                  <c:v>7.5999999999999998E-2</c:v>
                </c:pt>
                <c:pt idx="314">
                  <c:v>6.5000000000000002E-2</c:v>
                </c:pt>
                <c:pt idx="315">
                  <c:v>6.5000000000000002E-2</c:v>
                </c:pt>
                <c:pt idx="316">
                  <c:v>7.5999999999999998E-2</c:v>
                </c:pt>
                <c:pt idx="317">
                  <c:v>6.4000000000000001E-2</c:v>
                </c:pt>
                <c:pt idx="318">
                  <c:v>0.06</c:v>
                </c:pt>
                <c:pt idx="319">
                  <c:v>6.6000000000000003E-2</c:v>
                </c:pt>
                <c:pt idx="320">
                  <c:v>6.2E-2</c:v>
                </c:pt>
                <c:pt idx="321">
                  <c:v>6.0999999999999999E-2</c:v>
                </c:pt>
                <c:pt idx="322">
                  <c:v>6.2E-2</c:v>
                </c:pt>
                <c:pt idx="323">
                  <c:v>7.1999999999999995E-2</c:v>
                </c:pt>
                <c:pt idx="324">
                  <c:v>0.06</c:v>
                </c:pt>
                <c:pt idx="325">
                  <c:v>7.0000000000000007E-2</c:v>
                </c:pt>
                <c:pt idx="326">
                  <c:v>6.8000000000000005E-2</c:v>
                </c:pt>
                <c:pt idx="327">
                  <c:v>0.06</c:v>
                </c:pt>
                <c:pt idx="328">
                  <c:v>0.06</c:v>
                </c:pt>
                <c:pt idx="329">
                  <c:v>6.0999999999999999E-2</c:v>
                </c:pt>
                <c:pt idx="330">
                  <c:v>5.8000000000000003E-2</c:v>
                </c:pt>
                <c:pt idx="331">
                  <c:v>5.8999999999999997E-2</c:v>
                </c:pt>
                <c:pt idx="332">
                  <c:v>5.3999999999999999E-2</c:v>
                </c:pt>
                <c:pt idx="333">
                  <c:v>5.7000000000000002E-2</c:v>
                </c:pt>
                <c:pt idx="334">
                  <c:v>5.2999999999999999E-2</c:v>
                </c:pt>
                <c:pt idx="335">
                  <c:v>8.5000000000000006E-2</c:v>
                </c:pt>
                <c:pt idx="336">
                  <c:v>5.3999999999999999E-2</c:v>
                </c:pt>
                <c:pt idx="337">
                  <c:v>5.3999999999999999E-2</c:v>
                </c:pt>
                <c:pt idx="338">
                  <c:v>0.05</c:v>
                </c:pt>
                <c:pt idx="339">
                  <c:v>6.3E-2</c:v>
                </c:pt>
                <c:pt idx="340">
                  <c:v>4.8000000000000001E-2</c:v>
                </c:pt>
                <c:pt idx="341">
                  <c:v>4.3999999999999997E-2</c:v>
                </c:pt>
                <c:pt idx="342">
                  <c:v>5.8000000000000003E-2</c:v>
                </c:pt>
                <c:pt idx="343">
                  <c:v>4.7E-2</c:v>
                </c:pt>
                <c:pt idx="344">
                  <c:v>6.2E-2</c:v>
                </c:pt>
                <c:pt idx="345">
                  <c:v>6.9000000000000006E-2</c:v>
                </c:pt>
                <c:pt idx="346">
                  <c:v>-0.13500000000000001</c:v>
                </c:pt>
                <c:pt idx="347">
                  <c:v>-1.0999999999999999E-2</c:v>
                </c:pt>
                <c:pt idx="348">
                  <c:v>3.9E-2</c:v>
                </c:pt>
                <c:pt idx="349">
                  <c:v>4.3999999999999997E-2</c:v>
                </c:pt>
                <c:pt idx="350">
                  <c:v>4.8000000000000001E-2</c:v>
                </c:pt>
                <c:pt idx="351">
                  <c:v>4.8000000000000001E-2</c:v>
                </c:pt>
                <c:pt idx="352">
                  <c:v>5.6000000000000001E-2</c:v>
                </c:pt>
                <c:pt idx="353">
                  <c:v>6.9000000000000006E-2</c:v>
                </c:pt>
                <c:pt idx="354">
                  <c:v>6.9000000000000006E-2</c:v>
                </c:pt>
                <c:pt idx="355">
                  <c:v>7.0000000000000007E-2</c:v>
                </c:pt>
                <c:pt idx="356">
                  <c:v>3.7999999999999999E-2</c:v>
                </c:pt>
                <c:pt idx="357">
                  <c:v>0.35099999999999998</c:v>
                </c:pt>
                <c:pt idx="358">
                  <c:v>0.14099999999999999</c:v>
                </c:pt>
                <c:pt idx="359">
                  <c:v>9.8000000000000004E-2</c:v>
                </c:pt>
                <c:pt idx="360">
                  <c:v>8.7999999999999995E-2</c:v>
                </c:pt>
                <c:pt idx="361">
                  <c:v>8.3000000000000004E-2</c:v>
                </c:pt>
                <c:pt idx="362">
                  <c:v>6.4000000000000001E-2</c:v>
                </c:pt>
                <c:pt idx="363">
                  <c:v>5.2999999999999999E-2</c:v>
                </c:pt>
                <c:pt idx="364">
                  <c:v>3.1E-2</c:v>
                </c:pt>
                <c:pt idx="365">
                  <c:v>3.5000000000000003E-2</c:v>
                </c:pt>
                <c:pt idx="366">
                  <c:v>3.7999999999999999E-2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D-344B-9CA0-7D3B53B52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0"/>
        <c:axPos val="b"/>
        <c:numFmt formatCode="m/d/yy" sourceLinked="0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numFmt formatCode="0.0%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419099</xdr:colOff>
      <xdr:row>315</xdr:row>
      <xdr:rowOff>142875</xdr:rowOff>
    </xdr:from>
    <xdr:to>
      <xdr:col>28</xdr:col>
      <xdr:colOff>380999</xdr:colOff>
      <xdr:row>339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341</xdr:row>
      <xdr:rowOff>0</xdr:rowOff>
    </xdr:from>
    <xdr:to>
      <xdr:col>27</xdr:col>
      <xdr:colOff>571500</xdr:colOff>
      <xdr:row>355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316</xdr:row>
      <xdr:rowOff>0</xdr:rowOff>
    </xdr:from>
    <xdr:to>
      <xdr:col>41</xdr:col>
      <xdr:colOff>66675</xdr:colOff>
      <xdr:row>339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163635</xdr:colOff>
      <xdr:row>339</xdr:row>
      <xdr:rowOff>75225</xdr:rowOff>
    </xdr:from>
    <xdr:to>
      <xdr:col>13</xdr:col>
      <xdr:colOff>458910</xdr:colOff>
      <xdr:row>359</xdr:row>
      <xdr:rowOff>56175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594457</xdr:colOff>
      <xdr:row>359</xdr:row>
      <xdr:rowOff>161437</xdr:rowOff>
    </xdr:from>
    <xdr:to>
      <xdr:col>23</xdr:col>
      <xdr:colOff>263769</xdr:colOff>
      <xdr:row>377</xdr:row>
      <xdr:rowOff>142387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163634</xdr:colOff>
      <xdr:row>359</xdr:row>
      <xdr:rowOff>173161</xdr:rowOff>
    </xdr:from>
    <xdr:to>
      <xdr:col>13</xdr:col>
      <xdr:colOff>458909</xdr:colOff>
      <xdr:row>375</xdr:row>
      <xdr:rowOff>173161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566128</xdr:colOff>
      <xdr:row>339</xdr:row>
      <xdr:rowOff>46160</xdr:rowOff>
    </xdr:from>
    <xdr:to>
      <xdr:col>23</xdr:col>
      <xdr:colOff>251803</xdr:colOff>
      <xdr:row>359</xdr:row>
      <xdr:rowOff>27110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400049</xdr:colOff>
      <xdr:row>319</xdr:row>
      <xdr:rowOff>47624</xdr:rowOff>
    </xdr:from>
    <xdr:to>
      <xdr:col>17</xdr:col>
      <xdr:colOff>16933</xdr:colOff>
      <xdr:row>345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34567891011121314151617343" displayName="Table134567891011121314151617343" ref="A1:Q384" totalsRowShown="0" headerRowDxfId="31" dataDxfId="29" headerRowBorderDxfId="30">
  <autoFilter ref="A1:Q384" xr:uid="{00000000-0009-0000-0100-000001000000}"/>
  <tableColumns count="17">
    <tableColumn id="1" xr3:uid="{00000000-0010-0000-0000-000001000000}" name="Data" dataDxfId="28">
      <calculatedColumnFormula>IF(Database!#REF!="",#N/A,Database!#REF!)</calculatedColumnFormula>
    </tableColumn>
    <tableColumn id="2" xr3:uid="{00000000-0010-0000-0000-000002000000}" name="ITA" dataDxfId="27">
      <calculatedColumnFormula>VLOOKUP(A2,Database!$A:$AS,MATCH($B$1,Database!$A$1:$AS$1,0),FALSE)</calculatedColumnFormula>
    </tableColumn>
    <tableColumn id="3" xr3:uid="{00000000-0010-0000-0000-000003000000}" name="FRA" dataDxfId="26">
      <calculatedColumnFormula>VLOOKUP(A2,Database!$A:$AS,MATCH($C$1,Database!$A$1:$AS$1,0),FALSE)</calculatedColumnFormula>
    </tableColumn>
    <tableColumn id="4" xr3:uid="{00000000-0010-0000-0000-000004000000}" name="DEU" dataDxfId="25">
      <calculatedColumnFormula>VLOOKUP(A2,Database!$A:$AS,MATCH($D$1,Database!$A$1:$AS$1,0),FALSE)</calculatedColumnFormula>
    </tableColumn>
    <tableColumn id="5" xr3:uid="{00000000-0010-0000-0000-000005000000}" name="ESP" dataDxfId="24">
      <calculatedColumnFormula>VLOOKUP(A2,Database!$A:$AS,MATCH($E$1,Database!$A$1:$AS$1,0),FALSE)</calculatedColumnFormula>
    </tableColumn>
    <tableColumn id="6" xr3:uid="{00000000-0010-0000-0000-000006000000}" name="EA19" dataDxfId="23">
      <calculatedColumnFormula>VLOOKUP(A2,Database!$A:$AS,MATCH($F$1,Database!$A$1:$AS$1,0),FALSE)</calculatedColumnFormula>
    </tableColumn>
    <tableColumn id="12" xr3:uid="{00000000-0010-0000-0000-00000C000000}" name="GBR" dataDxfId="22">
      <calculatedColumnFormula>VLOOKUP(A2,Database!$A:$AS,MATCH($G$1,Database!$A$1:$AS$1,0),FALSE)</calculatedColumnFormula>
    </tableColumn>
    <tableColumn id="7" xr3:uid="{00000000-0010-0000-0000-000007000000}" name="Italy" dataDxfId="21">
      <calculatedColumnFormula>(((Table134567891011121314151617343[[#This Row],[ITA]]-VLOOKUP($U$1,A:B,2,))/VLOOKUP($U$1,A:B,2,))*100)+100</calculatedColumnFormula>
    </tableColumn>
    <tableColumn id="8" xr3:uid="{00000000-0010-0000-0000-000008000000}" name="France" dataDxfId="20">
      <calculatedColumnFormula>(((Table134567891011121314151617343[[#This Row],[FRA]]-VLOOKUP($U$1,A:C,3,))/VLOOKUP($U$1,A:C,3,))*100)+100</calculatedColumnFormula>
    </tableColumn>
    <tableColumn id="9" xr3:uid="{00000000-0010-0000-0000-000009000000}" name="Germany" dataDxfId="19">
      <calculatedColumnFormula>(((Table134567891011121314151617343[[#This Row],[DEU]]-VLOOKUP($U$1,A:D,4,))/VLOOKUP($U$1,A:D,4,))*100)+100</calculatedColumnFormula>
    </tableColumn>
    <tableColumn id="10" xr3:uid="{00000000-0010-0000-0000-00000A000000}" name="Spain" dataDxfId="18">
      <calculatedColumnFormula>(((Table134567891011121314151617343[[#This Row],[ESP]]-VLOOKUP($U$1,A:E,5,))/VLOOKUP($U$1,A:E,5,))*100)+100</calculatedColumnFormula>
    </tableColumn>
    <tableColumn id="11" xr3:uid="{00000000-0010-0000-0000-00000B000000}" name="Eurozone" dataDxfId="17">
      <calculatedColumnFormula>(((Table134567891011121314151617343[[#This Row],[EA19]]-VLOOKUP($U$1,A:F,6,))/VLOOKUP($U$1,A:F,6,))*100)+100</calculatedColumnFormula>
    </tableColumn>
    <tableColumn id="13" xr3:uid="{00000000-0010-0000-0000-00000D000000}" name="United Kingdom" dataDxfId="16">
      <calculatedColumnFormula>(((Table134567891011121314151617343[[#This Row],[GBR]]-VLOOKUP($U$1,A:G,7,))/VLOOKUP($U$1,A:G,7,))*100)+100</calculatedColumnFormula>
    </tableColumn>
    <tableColumn id="14" xr3:uid="{00000000-0010-0000-0000-00000E000000}" name="USA" dataDxfId="15">
      <calculatedColumnFormula>VLOOKUP(A2,Database!$A:$AS,MATCH($N$1,Database!$A$1:$AS$1,0),FALSE)</calculatedColumnFormula>
    </tableColumn>
    <tableColumn id="15" xr3:uid="{00000000-0010-0000-0000-00000F000000}" name="USA " dataDxfId="14">
      <calculatedColumnFormula>(((Table134567891011121314151617343[[#This Row],[USA]]-VLOOKUP($U$1,A:N,14,))/VLOOKUP($U$1,A:N,14,))*100)+100</calculatedColumnFormula>
    </tableColumn>
    <tableColumn id="16" xr3:uid="{00000000-0010-0000-0000-000010000000}" name="JPN" dataDxfId="13">
      <calculatedColumnFormula>VLOOKUP(A2,Database!$A:$AS,MATCH($P$1,Database!$A$1:$AS$1,0),FALSE)</calculatedColumnFormula>
    </tableColumn>
    <tableColumn id="17" xr3:uid="{00000000-0010-0000-0000-000011000000}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456789101112131415161734" displayName="Table13456789101112131415161734" ref="A4:D376" totalsRowShown="0" headerRowDxfId="11" dataDxfId="10">
  <autoFilter ref="A4:D376" xr:uid="{00000000-0009-0000-0100-000002000000}"/>
  <tableColumns count="4">
    <tableColumn id="1" xr3:uid="{00000000-0010-0000-0100-000001000000}" name="Month" dataDxfId="9">
      <calculatedColumnFormula>IF(Database!#REF!="",#N/A,Database!#REF!)</calculatedColumnFormula>
    </tableColumn>
    <tableColumn id="2" xr3:uid="{00000000-0010-0000-0100-000002000000}" name="FRA" dataDxfId="8">
      <calculatedColumnFormula>VLOOKUP(A5,Database!$A:$AS,MATCH($B$4,Database!$A$1:$AS$1,0),FALSE)</calculatedColumnFormula>
    </tableColumn>
    <tableColumn id="3" xr3:uid="{00000000-0010-0000-0100-000003000000}" name="mom" dataDxfId="7">
      <calculatedColumnFormula>(B5/B4)-1</calculatedColumnFormula>
    </tableColumn>
    <tableColumn id="4" xr3:uid="{00000000-0010-0000-0100-000004000000}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7:C374" totalsRowShown="0" headerRowDxfId="5" dataDxfId="3" headerRowBorderDxfId="4">
  <autoFilter ref="A7:C374" xr:uid="{00000000-0009-0000-0100-000003000000}"/>
  <sortState xmlns:xlrd2="http://schemas.microsoft.com/office/spreadsheetml/2017/richdata2" ref="A8:B341">
    <sortCondition ref="A8:A341"/>
  </sortState>
  <tableColumns count="3">
    <tableColumn id="1" xr3:uid="{00000000-0010-0000-0200-000001000000}" name="Date" dataDxfId="2"/>
    <tableColumn id="2" xr3:uid="{00000000-0010-0000-0200-000002000000}" name="China Industrial Production YoY" dataDxfId="1">
      <calculatedColumnFormula>VLOOKUP(A8,'China Production data'!$A$1:$C$512,2,FALSE)</calculatedColumnFormula>
    </tableColumn>
    <tableColumn id="3" xr3:uid="{00000000-0010-0000-0200-000003000000}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tradingeconomics.com/country-list/industrial-production" TargetMode="External"/><Relationship Id="rId2" Type="http://schemas.openxmlformats.org/officeDocument/2006/relationships/hyperlink" Target="https://www.investing.com/economic-calendar/chinese-industrial-production-462" TargetMode="External"/><Relationship Id="rId1" Type="http://schemas.openxmlformats.org/officeDocument/2006/relationships/hyperlink" Target="https://data.oecd.org/industry/industrial-production.htm" TargetMode="External"/><Relationship Id="rId4" Type="http://schemas.openxmlformats.org/officeDocument/2006/relationships/hyperlink" Target="https://www.theglobaleconomy.com/rankings/Capital_investment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heglobaleconomy.com/rankings/Capital_investment/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www.investing.com/economic-calendar/chinese-industrial-production-46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P246"/>
  <sheetViews>
    <sheetView zoomScale="150" zoomScaleNormal="150" workbookViewId="0">
      <selection activeCell="T69" sqref="T69"/>
    </sheetView>
  </sheetViews>
  <sheetFormatPr baseColWidth="10" defaultColWidth="9.1640625" defaultRowHeight="15" x14ac:dyDescent="0.2"/>
  <cols>
    <col min="1" max="1" width="9.1640625" style="83" customWidth="1"/>
    <col min="2" max="10" width="12.83203125" style="83" customWidth="1"/>
    <col min="11" max="14" width="9.1640625" style="83" customWidth="1"/>
    <col min="15" max="16" width="19.1640625" style="83" customWidth="1"/>
    <col min="17" max="32" width="9.1640625" style="83" customWidth="1"/>
    <col min="33" max="16384" width="9.1640625" style="83"/>
  </cols>
  <sheetData>
    <row r="1" spans="2:16" x14ac:dyDescent="0.2">
      <c r="B1" s="94"/>
      <c r="C1" s="88"/>
      <c r="D1" s="88"/>
      <c r="E1" s="88"/>
      <c r="F1" s="88"/>
      <c r="G1" s="88"/>
      <c r="H1" s="88"/>
      <c r="I1" s="88"/>
      <c r="J1" s="88"/>
    </row>
    <row r="2" spans="2:16" ht="16" customHeight="1" thickBot="1" x14ac:dyDescent="0.25">
      <c r="B2" s="95"/>
      <c r="C2" s="95"/>
      <c r="D2" s="95"/>
      <c r="E2" s="95"/>
      <c r="F2" s="95"/>
      <c r="G2" s="95"/>
      <c r="H2" s="95"/>
      <c r="I2" s="95"/>
      <c r="J2" s="95"/>
    </row>
    <row r="3" spans="2:16" ht="16" customHeight="1" thickBot="1" x14ac:dyDescent="0.25">
      <c r="B3" s="96" t="s">
        <v>0</v>
      </c>
      <c r="C3" s="97"/>
      <c r="D3" s="97"/>
      <c r="E3" s="97"/>
      <c r="F3" s="97"/>
      <c r="G3" s="97"/>
      <c r="H3" s="97"/>
      <c r="I3" s="97"/>
      <c r="J3" s="98"/>
    </row>
    <row r="5" spans="2:16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6" ht="63" customHeight="1" x14ac:dyDescent="0.2">
      <c r="B7" s="102" t="s">
        <v>2</v>
      </c>
      <c r="C7" s="88"/>
      <c r="D7" s="88"/>
      <c r="E7" s="88"/>
      <c r="F7" s="88"/>
      <c r="G7" s="88"/>
      <c r="H7" s="88"/>
      <c r="I7" s="88"/>
      <c r="J7" s="88"/>
    </row>
    <row r="8" spans="2:16" ht="33.75" customHeight="1" x14ac:dyDescent="0.2">
      <c r="B8" s="93" t="s">
        <v>3</v>
      </c>
      <c r="C8" s="88"/>
      <c r="D8" s="88"/>
      <c r="E8" s="88"/>
      <c r="F8" s="88"/>
      <c r="G8" s="88"/>
      <c r="H8" s="88"/>
      <c r="I8" s="88"/>
      <c r="J8" s="88"/>
    </row>
    <row r="9" spans="2:16" x14ac:dyDescent="0.2">
      <c r="B9" s="62"/>
      <c r="C9" s="62"/>
      <c r="D9" s="62"/>
      <c r="E9" s="62"/>
    </row>
    <row r="10" spans="2:16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</row>
    <row r="12" spans="2:16" x14ac:dyDescent="0.2">
      <c r="B12" s="99" t="s">
        <v>5</v>
      </c>
      <c r="C12" s="100"/>
      <c r="D12" s="100"/>
      <c r="E12" s="100"/>
      <c r="F12" s="101"/>
      <c r="G12" s="99" t="s">
        <v>6</v>
      </c>
      <c r="H12" s="100"/>
      <c r="I12" s="100"/>
      <c r="J12" s="101"/>
      <c r="O12" s="84" t="s">
        <v>7</v>
      </c>
      <c r="P12" s="84" t="s">
        <v>8</v>
      </c>
    </row>
    <row r="13" spans="2:16" x14ac:dyDescent="0.2">
      <c r="O13" s="63" t="s">
        <v>9</v>
      </c>
      <c r="P13" s="63" t="s">
        <v>10</v>
      </c>
    </row>
    <row r="14" spans="2:16" x14ac:dyDescent="0.2">
      <c r="B14" s="83" t="s">
        <v>3</v>
      </c>
      <c r="G14" s="88" t="s">
        <v>11</v>
      </c>
      <c r="H14" s="88"/>
      <c r="I14" s="88"/>
      <c r="J14" s="88"/>
      <c r="O14" s="63" t="s">
        <v>12</v>
      </c>
      <c r="P14" s="63" t="s">
        <v>13</v>
      </c>
    </row>
    <row r="15" spans="2:16" x14ac:dyDescent="0.2">
      <c r="B15" s="83" t="s">
        <v>14</v>
      </c>
      <c r="G15" s="88" t="s">
        <v>15</v>
      </c>
      <c r="H15" s="88"/>
      <c r="I15" s="88"/>
      <c r="J15" s="88"/>
      <c r="O15" s="63" t="s">
        <v>16</v>
      </c>
      <c r="P15" s="63" t="s">
        <v>17</v>
      </c>
    </row>
    <row r="16" spans="2:16" ht="15.75" customHeight="1" x14ac:dyDescent="0.2">
      <c r="B16" s="83" t="s">
        <v>18</v>
      </c>
      <c r="G16" s="89" t="s">
        <v>19</v>
      </c>
      <c r="H16" s="88"/>
      <c r="I16" s="88"/>
      <c r="J16" s="88"/>
      <c r="O16" s="63" t="s">
        <v>20</v>
      </c>
      <c r="P16" s="63" t="s">
        <v>21</v>
      </c>
    </row>
    <row r="17" spans="2:16" ht="15.75" customHeight="1" x14ac:dyDescent="0.2">
      <c r="B17" s="83" t="s">
        <v>22</v>
      </c>
      <c r="G17" s="89"/>
      <c r="H17" s="88"/>
      <c r="I17" s="88"/>
      <c r="J17" s="88"/>
      <c r="O17" s="63" t="s">
        <v>23</v>
      </c>
      <c r="P17" s="63" t="s">
        <v>24</v>
      </c>
    </row>
    <row r="18" spans="2:16" ht="15.75" customHeight="1" x14ac:dyDescent="0.2">
      <c r="B18" s="83" t="s">
        <v>25</v>
      </c>
      <c r="G18" s="91"/>
      <c r="H18" s="88"/>
      <c r="I18" s="88"/>
      <c r="J18" s="88"/>
      <c r="O18" s="63" t="s">
        <v>26</v>
      </c>
      <c r="P18" s="63" t="s">
        <v>27</v>
      </c>
    </row>
    <row r="19" spans="2:16" ht="15.75" customHeight="1" x14ac:dyDescent="0.2">
      <c r="B19" s="83" t="s">
        <v>28</v>
      </c>
      <c r="G19" s="89"/>
      <c r="H19" s="88"/>
      <c r="I19" s="88"/>
      <c r="J19" s="88"/>
      <c r="O19" s="63" t="s">
        <v>29</v>
      </c>
      <c r="P19" s="63" t="s">
        <v>30</v>
      </c>
    </row>
    <row r="20" spans="2:16" ht="15.75" customHeight="1" x14ac:dyDescent="0.2">
      <c r="G20" s="89"/>
      <c r="H20" s="88"/>
      <c r="I20" s="88"/>
      <c r="J20" s="88"/>
      <c r="O20" s="63" t="s">
        <v>31</v>
      </c>
      <c r="P20" s="63" t="s">
        <v>32</v>
      </c>
    </row>
    <row r="21" spans="2:16" ht="31.5" customHeight="1" x14ac:dyDescent="0.2">
      <c r="B21" s="92" t="s">
        <v>33</v>
      </c>
      <c r="C21" s="88"/>
      <c r="D21" s="88"/>
      <c r="E21" s="88"/>
      <c r="F21" s="88"/>
      <c r="G21" s="89" t="s">
        <v>34</v>
      </c>
      <c r="H21" s="88"/>
      <c r="I21" s="88"/>
      <c r="J21" s="88"/>
      <c r="O21" s="63" t="s">
        <v>35</v>
      </c>
      <c r="P21" s="63" t="s">
        <v>36</v>
      </c>
    </row>
    <row r="22" spans="2:16" ht="15.75" customHeight="1" x14ac:dyDescent="0.2">
      <c r="G22" s="89"/>
      <c r="H22" s="88"/>
      <c r="I22" s="88"/>
      <c r="J22" s="88"/>
      <c r="O22" s="63" t="s">
        <v>37</v>
      </c>
      <c r="P22" s="63" t="s">
        <v>38</v>
      </c>
    </row>
    <row r="23" spans="2:16" ht="15.75" customHeight="1" x14ac:dyDescent="0.2">
      <c r="B23" s="93" t="s">
        <v>39</v>
      </c>
      <c r="C23" s="88"/>
      <c r="D23" s="88"/>
      <c r="E23" s="88"/>
      <c r="F23" s="88"/>
      <c r="G23" s="89" t="s">
        <v>40</v>
      </c>
      <c r="H23" s="88"/>
      <c r="I23" s="88"/>
      <c r="J23" s="88"/>
      <c r="O23" s="63" t="s">
        <v>41</v>
      </c>
      <c r="P23" s="63" t="s">
        <v>42</v>
      </c>
    </row>
    <row r="24" spans="2:16" ht="15.75" customHeight="1" x14ac:dyDescent="0.2">
      <c r="G24" s="89"/>
      <c r="H24" s="88"/>
      <c r="I24" s="88"/>
      <c r="J24" s="88"/>
      <c r="O24" s="63" t="s">
        <v>43</v>
      </c>
      <c r="P24" s="63" t="s">
        <v>44</v>
      </c>
    </row>
    <row r="25" spans="2:16" ht="15.75" customHeight="1" x14ac:dyDescent="0.2">
      <c r="B25" s="10" t="s">
        <v>45</v>
      </c>
      <c r="G25" s="89"/>
      <c r="H25" s="88"/>
      <c r="I25" s="88"/>
      <c r="J25" s="88"/>
      <c r="O25" s="63" t="s">
        <v>46</v>
      </c>
      <c r="P25" s="63" t="s">
        <v>47</v>
      </c>
    </row>
    <row r="26" spans="2:16" ht="15.75" customHeight="1" x14ac:dyDescent="0.2">
      <c r="G26" s="89"/>
      <c r="H26" s="88"/>
      <c r="I26" s="88"/>
      <c r="J26" s="88"/>
      <c r="O26" s="63" t="s">
        <v>48</v>
      </c>
      <c r="P26" s="63" t="s">
        <v>49</v>
      </c>
    </row>
    <row r="27" spans="2:16" ht="15.75" customHeight="1" x14ac:dyDescent="0.2">
      <c r="B27" s="88"/>
      <c r="C27" s="88"/>
      <c r="D27" s="88"/>
      <c r="E27" s="88"/>
      <c r="F27" s="88"/>
      <c r="G27" s="89"/>
      <c r="H27" s="88"/>
      <c r="I27" s="88"/>
      <c r="J27" s="88"/>
      <c r="O27" s="63" t="s">
        <v>50</v>
      </c>
      <c r="P27" s="63" t="s">
        <v>51</v>
      </c>
    </row>
    <row r="28" spans="2:16" x14ac:dyDescent="0.2">
      <c r="O28" s="63" t="s">
        <v>52</v>
      </c>
      <c r="P28" s="63" t="s">
        <v>53</v>
      </c>
    </row>
    <row r="29" spans="2:16" x14ac:dyDescent="0.2">
      <c r="O29" s="63" t="s">
        <v>54</v>
      </c>
      <c r="P29" s="63" t="s">
        <v>55</v>
      </c>
    </row>
    <row r="30" spans="2:16" x14ac:dyDescent="0.2">
      <c r="B30" s="64"/>
      <c r="O30" s="63" t="s">
        <v>56</v>
      </c>
      <c r="P30" s="63" t="s">
        <v>57</v>
      </c>
    </row>
    <row r="31" spans="2:16" ht="33.75" customHeight="1" x14ac:dyDescent="0.2">
      <c r="B31" s="90"/>
      <c r="C31" s="88"/>
      <c r="D31" s="88"/>
      <c r="E31" s="88"/>
      <c r="F31" s="88"/>
      <c r="G31" s="88"/>
      <c r="H31" s="88"/>
      <c r="I31" s="88"/>
      <c r="J31" s="88"/>
      <c r="O31" s="63" t="s">
        <v>58</v>
      </c>
      <c r="P31" s="63" t="s">
        <v>59</v>
      </c>
    </row>
    <row r="32" spans="2:16" x14ac:dyDescent="0.2">
      <c r="B32" s="65"/>
      <c r="O32" s="63" t="s">
        <v>60</v>
      </c>
      <c r="P32" s="63" t="s">
        <v>61</v>
      </c>
    </row>
    <row r="33" spans="15:16" x14ac:dyDescent="0.2">
      <c r="O33" s="63" t="s">
        <v>62</v>
      </c>
      <c r="P33" s="63" t="s">
        <v>63</v>
      </c>
    </row>
    <row r="34" spans="15:16" x14ac:dyDescent="0.2">
      <c r="O34" s="63" t="s">
        <v>64</v>
      </c>
      <c r="P34" s="63" t="s">
        <v>65</v>
      </c>
    </row>
    <row r="35" spans="15:16" x14ac:dyDescent="0.2">
      <c r="O35" s="63" t="s">
        <v>66</v>
      </c>
      <c r="P35" s="63" t="s">
        <v>67</v>
      </c>
    </row>
    <row r="36" spans="15:16" x14ac:dyDescent="0.2">
      <c r="O36" s="63" t="s">
        <v>68</v>
      </c>
      <c r="P36" s="63" t="s">
        <v>69</v>
      </c>
    </row>
    <row r="37" spans="15:16" x14ac:dyDescent="0.2">
      <c r="O37" s="63" t="s">
        <v>70</v>
      </c>
      <c r="P37" s="63" t="s">
        <v>71</v>
      </c>
    </row>
    <row r="38" spans="15:16" x14ac:dyDescent="0.2">
      <c r="O38" s="63" t="s">
        <v>72</v>
      </c>
      <c r="P38" s="63" t="s">
        <v>73</v>
      </c>
    </row>
    <row r="39" spans="15:16" x14ac:dyDescent="0.2">
      <c r="O39" s="63" t="s">
        <v>74</v>
      </c>
      <c r="P39" s="63" t="s">
        <v>75</v>
      </c>
    </row>
    <row r="40" spans="15:16" x14ac:dyDescent="0.2">
      <c r="O40" s="63" t="s">
        <v>76</v>
      </c>
      <c r="P40" s="63" t="s">
        <v>77</v>
      </c>
    </row>
    <row r="41" spans="15:16" x14ac:dyDescent="0.2">
      <c r="O41" s="63" t="s">
        <v>78</v>
      </c>
      <c r="P41" s="63" t="s">
        <v>79</v>
      </c>
    </row>
    <row r="42" spans="15:16" x14ac:dyDescent="0.2">
      <c r="O42" s="63" t="s">
        <v>80</v>
      </c>
      <c r="P42" s="63" t="s">
        <v>81</v>
      </c>
    </row>
    <row r="43" spans="15:16" x14ac:dyDescent="0.2">
      <c r="O43" s="63" t="s">
        <v>82</v>
      </c>
      <c r="P43" s="63" t="s">
        <v>83</v>
      </c>
    </row>
    <row r="44" spans="15:16" x14ac:dyDescent="0.2">
      <c r="O44" s="63" t="s">
        <v>84</v>
      </c>
      <c r="P44" s="63" t="s">
        <v>85</v>
      </c>
    </row>
    <row r="45" spans="15:16" x14ac:dyDescent="0.2">
      <c r="O45" s="63" t="s">
        <v>86</v>
      </c>
      <c r="P45" s="63" t="s">
        <v>87</v>
      </c>
    </row>
    <row r="46" spans="15:16" x14ac:dyDescent="0.2">
      <c r="O46" s="63" t="s">
        <v>88</v>
      </c>
      <c r="P46" s="63" t="s">
        <v>89</v>
      </c>
    </row>
    <row r="47" spans="15:16" x14ac:dyDescent="0.2">
      <c r="O47" s="63" t="s">
        <v>90</v>
      </c>
      <c r="P47" s="63" t="s">
        <v>91</v>
      </c>
    </row>
    <row r="48" spans="15:16" x14ac:dyDescent="0.2">
      <c r="O48" s="63" t="s">
        <v>92</v>
      </c>
      <c r="P48" s="63" t="s">
        <v>93</v>
      </c>
    </row>
    <row r="49" spans="15:16" x14ac:dyDescent="0.2">
      <c r="O49" s="63" t="s">
        <v>94</v>
      </c>
      <c r="P49" s="63" t="s">
        <v>95</v>
      </c>
    </row>
    <row r="50" spans="15:16" x14ac:dyDescent="0.2">
      <c r="O50" s="63" t="s">
        <v>96</v>
      </c>
      <c r="P50" s="63" t="s">
        <v>97</v>
      </c>
    </row>
    <row r="51" spans="15:16" x14ac:dyDescent="0.2">
      <c r="O51" s="63" t="s">
        <v>98</v>
      </c>
      <c r="P51" s="63" t="s">
        <v>99</v>
      </c>
    </row>
    <row r="52" spans="15:16" x14ac:dyDescent="0.2">
      <c r="O52" s="63" t="s">
        <v>100</v>
      </c>
      <c r="P52" s="63" t="s">
        <v>101</v>
      </c>
    </row>
    <row r="53" spans="15:16" x14ac:dyDescent="0.2">
      <c r="O53" s="63" t="s">
        <v>102</v>
      </c>
      <c r="P53" s="63" t="s">
        <v>103</v>
      </c>
    </row>
    <row r="54" spans="15:16" x14ac:dyDescent="0.2">
      <c r="O54" s="63" t="s">
        <v>104</v>
      </c>
      <c r="P54" s="63" t="s">
        <v>105</v>
      </c>
    </row>
    <row r="55" spans="15:16" x14ac:dyDescent="0.2">
      <c r="O55" s="63" t="s">
        <v>106</v>
      </c>
      <c r="P55" s="63" t="s">
        <v>107</v>
      </c>
    </row>
    <row r="56" spans="15:16" x14ac:dyDescent="0.2">
      <c r="O56" s="63" t="s">
        <v>108</v>
      </c>
      <c r="P56" s="63" t="s">
        <v>109</v>
      </c>
    </row>
    <row r="57" spans="15:16" x14ac:dyDescent="0.2">
      <c r="O57" s="63" t="s">
        <v>110</v>
      </c>
      <c r="P57" s="63" t="s">
        <v>111</v>
      </c>
    </row>
    <row r="58" spans="15:16" x14ac:dyDescent="0.2">
      <c r="O58" s="63" t="s">
        <v>112</v>
      </c>
      <c r="P58" s="63" t="s">
        <v>113</v>
      </c>
    </row>
    <row r="59" spans="15:16" x14ac:dyDescent="0.2">
      <c r="O59" s="63" t="s">
        <v>114</v>
      </c>
      <c r="P59" s="63" t="s">
        <v>115</v>
      </c>
    </row>
    <row r="60" spans="15:16" x14ac:dyDescent="0.2">
      <c r="O60" s="63" t="s">
        <v>116</v>
      </c>
      <c r="P60" s="63" t="s">
        <v>117</v>
      </c>
    </row>
    <row r="61" spans="15:16" x14ac:dyDescent="0.2">
      <c r="O61" s="63" t="s">
        <v>118</v>
      </c>
      <c r="P61" s="63" t="s">
        <v>119</v>
      </c>
    </row>
    <row r="62" spans="15:16" x14ac:dyDescent="0.2">
      <c r="O62" s="63" t="s">
        <v>120</v>
      </c>
      <c r="P62" s="63" t="s">
        <v>121</v>
      </c>
    </row>
    <row r="63" spans="15:16" x14ac:dyDescent="0.2">
      <c r="O63" s="63" t="s">
        <v>122</v>
      </c>
      <c r="P63" s="63" t="s">
        <v>123</v>
      </c>
    </row>
    <row r="64" spans="15:16" x14ac:dyDescent="0.2">
      <c r="O64" s="63" t="s">
        <v>124</v>
      </c>
      <c r="P64" s="63" t="s">
        <v>125</v>
      </c>
    </row>
    <row r="65" spans="15:16" x14ac:dyDescent="0.2">
      <c r="O65" s="63" t="s">
        <v>126</v>
      </c>
      <c r="P65" s="63" t="s">
        <v>127</v>
      </c>
    </row>
    <row r="66" spans="15:16" x14ac:dyDescent="0.2">
      <c r="O66" s="63" t="s">
        <v>128</v>
      </c>
      <c r="P66" s="63" t="s">
        <v>129</v>
      </c>
    </row>
    <row r="67" spans="15:16" x14ac:dyDescent="0.2">
      <c r="O67" s="63" t="s">
        <v>130</v>
      </c>
      <c r="P67" s="63" t="s">
        <v>131</v>
      </c>
    </row>
    <row r="68" spans="15:16" x14ac:dyDescent="0.2">
      <c r="O68" s="63" t="s">
        <v>132</v>
      </c>
      <c r="P68" s="63" t="s">
        <v>133</v>
      </c>
    </row>
    <row r="69" spans="15:16" x14ac:dyDescent="0.2">
      <c r="O69" s="63" t="s">
        <v>134</v>
      </c>
      <c r="P69" s="63" t="s">
        <v>135</v>
      </c>
    </row>
    <row r="70" spans="15:16" x14ac:dyDescent="0.2">
      <c r="O70" s="63" t="s">
        <v>136</v>
      </c>
      <c r="P70" s="63" t="s">
        <v>137</v>
      </c>
    </row>
    <row r="71" spans="15:16" x14ac:dyDescent="0.2">
      <c r="O71" s="63" t="s">
        <v>138</v>
      </c>
      <c r="P71" s="63" t="s">
        <v>139</v>
      </c>
    </row>
    <row r="72" spans="15:16" x14ac:dyDescent="0.2">
      <c r="O72" s="63" t="s">
        <v>140</v>
      </c>
      <c r="P72" s="63" t="s">
        <v>141</v>
      </c>
    </row>
    <row r="73" spans="15:16" x14ac:dyDescent="0.2">
      <c r="O73" s="63" t="s">
        <v>142</v>
      </c>
      <c r="P73" s="63" t="s">
        <v>143</v>
      </c>
    </row>
    <row r="74" spans="15:16" x14ac:dyDescent="0.2">
      <c r="O74" s="63" t="s">
        <v>144</v>
      </c>
      <c r="P74" s="63" t="s">
        <v>145</v>
      </c>
    </row>
    <row r="75" spans="15:16" x14ac:dyDescent="0.2">
      <c r="O75" s="63" t="s">
        <v>146</v>
      </c>
      <c r="P75" s="63" t="s">
        <v>147</v>
      </c>
    </row>
    <row r="76" spans="15:16" x14ac:dyDescent="0.2">
      <c r="O76" s="63" t="s">
        <v>148</v>
      </c>
      <c r="P76" s="63" t="s">
        <v>149</v>
      </c>
    </row>
    <row r="77" spans="15:16" x14ac:dyDescent="0.2">
      <c r="O77" s="63" t="s">
        <v>150</v>
      </c>
      <c r="P77" s="63" t="s">
        <v>151</v>
      </c>
    </row>
    <row r="78" spans="15:16" x14ac:dyDescent="0.2">
      <c r="O78" s="63" t="s">
        <v>152</v>
      </c>
      <c r="P78" s="63" t="s">
        <v>153</v>
      </c>
    </row>
    <row r="79" spans="15:16" x14ac:dyDescent="0.2">
      <c r="O79" s="63" t="s">
        <v>154</v>
      </c>
      <c r="P79" s="63" t="s">
        <v>155</v>
      </c>
    </row>
    <row r="80" spans="15:16" x14ac:dyDescent="0.2">
      <c r="O80" s="63" t="s">
        <v>156</v>
      </c>
      <c r="P80" s="63" t="s">
        <v>157</v>
      </c>
    </row>
    <row r="81" spans="15:16" x14ac:dyDescent="0.2">
      <c r="O81" s="63" t="s">
        <v>158</v>
      </c>
      <c r="P81" s="63" t="s">
        <v>159</v>
      </c>
    </row>
    <row r="82" spans="15:16" x14ac:dyDescent="0.2">
      <c r="O82" s="63" t="s">
        <v>160</v>
      </c>
      <c r="P82" s="63" t="s">
        <v>161</v>
      </c>
    </row>
    <row r="83" spans="15:16" x14ac:dyDescent="0.2">
      <c r="O83" s="63" t="s">
        <v>162</v>
      </c>
      <c r="P83" s="63" t="s">
        <v>163</v>
      </c>
    </row>
    <row r="84" spans="15:16" x14ac:dyDescent="0.2">
      <c r="O84" s="63" t="s">
        <v>164</v>
      </c>
      <c r="P84" s="63" t="s">
        <v>165</v>
      </c>
    </row>
    <row r="85" spans="15:16" x14ac:dyDescent="0.2">
      <c r="O85" s="63" t="s">
        <v>166</v>
      </c>
      <c r="P85" s="63" t="s">
        <v>167</v>
      </c>
    </row>
    <row r="86" spans="15:16" x14ac:dyDescent="0.2">
      <c r="O86" s="63" t="s">
        <v>168</v>
      </c>
      <c r="P86" s="63" t="s">
        <v>169</v>
      </c>
    </row>
    <row r="87" spans="15:16" x14ac:dyDescent="0.2">
      <c r="O87" s="63" t="s">
        <v>170</v>
      </c>
      <c r="P87" s="63" t="s">
        <v>171</v>
      </c>
    </row>
    <row r="88" spans="15:16" x14ac:dyDescent="0.2">
      <c r="O88" s="63" t="s">
        <v>172</v>
      </c>
      <c r="P88" s="63" t="s">
        <v>173</v>
      </c>
    </row>
    <row r="89" spans="15:16" x14ac:dyDescent="0.2">
      <c r="O89" s="63" t="s">
        <v>174</v>
      </c>
      <c r="P89" s="63" t="s">
        <v>175</v>
      </c>
    </row>
    <row r="90" spans="15:16" x14ac:dyDescent="0.2">
      <c r="O90" s="63" t="s">
        <v>176</v>
      </c>
      <c r="P90" s="63" t="s">
        <v>177</v>
      </c>
    </row>
    <row r="91" spans="15:16" x14ac:dyDescent="0.2">
      <c r="O91" s="63" t="s">
        <v>178</v>
      </c>
      <c r="P91" s="63" t="s">
        <v>179</v>
      </c>
    </row>
    <row r="92" spans="15:16" x14ac:dyDescent="0.2">
      <c r="O92" s="63" t="s">
        <v>180</v>
      </c>
      <c r="P92" s="63" t="s">
        <v>181</v>
      </c>
    </row>
    <row r="93" spans="15:16" x14ac:dyDescent="0.2">
      <c r="O93" s="63" t="s">
        <v>182</v>
      </c>
      <c r="P93" s="63" t="s">
        <v>183</v>
      </c>
    </row>
    <row r="94" spans="15:16" x14ac:dyDescent="0.2">
      <c r="O94" s="63" t="s">
        <v>184</v>
      </c>
      <c r="P94" s="63" t="s">
        <v>185</v>
      </c>
    </row>
    <row r="95" spans="15:16" x14ac:dyDescent="0.2">
      <c r="O95" s="63" t="s">
        <v>186</v>
      </c>
      <c r="P95" s="63" t="s">
        <v>187</v>
      </c>
    </row>
    <row r="96" spans="15:16" x14ac:dyDescent="0.2">
      <c r="O96" s="63" t="s">
        <v>188</v>
      </c>
      <c r="P96" s="63" t="s">
        <v>189</v>
      </c>
    </row>
    <row r="97" spans="15:16" x14ac:dyDescent="0.2">
      <c r="O97" s="63" t="s">
        <v>190</v>
      </c>
      <c r="P97" s="63" t="s">
        <v>191</v>
      </c>
    </row>
    <row r="98" spans="15:16" x14ac:dyDescent="0.2">
      <c r="O98" s="63" t="s">
        <v>192</v>
      </c>
      <c r="P98" s="63" t="s">
        <v>193</v>
      </c>
    </row>
    <row r="99" spans="15:16" x14ac:dyDescent="0.2">
      <c r="O99" s="63" t="s">
        <v>194</v>
      </c>
      <c r="P99" s="63" t="s">
        <v>195</v>
      </c>
    </row>
    <row r="100" spans="15:16" x14ac:dyDescent="0.2">
      <c r="O100" s="63" t="s">
        <v>196</v>
      </c>
      <c r="P100" s="63" t="s">
        <v>197</v>
      </c>
    </row>
    <row r="101" spans="15:16" x14ac:dyDescent="0.2">
      <c r="O101" s="63" t="s">
        <v>198</v>
      </c>
      <c r="P101" s="63" t="s">
        <v>199</v>
      </c>
    </row>
    <row r="102" spans="15:16" x14ac:dyDescent="0.2">
      <c r="O102" s="63" t="s">
        <v>200</v>
      </c>
      <c r="P102" s="63" t="s">
        <v>201</v>
      </c>
    </row>
    <row r="103" spans="15:16" x14ac:dyDescent="0.2">
      <c r="O103" s="63" t="s">
        <v>202</v>
      </c>
      <c r="P103" s="63" t="s">
        <v>203</v>
      </c>
    </row>
    <row r="104" spans="15:16" x14ac:dyDescent="0.2">
      <c r="O104" s="63" t="s">
        <v>204</v>
      </c>
      <c r="P104" s="63" t="s">
        <v>205</v>
      </c>
    </row>
    <row r="105" spans="15:16" x14ac:dyDescent="0.2">
      <c r="O105" s="63" t="s">
        <v>206</v>
      </c>
      <c r="P105" s="63" t="s">
        <v>207</v>
      </c>
    </row>
    <row r="106" spans="15:16" x14ac:dyDescent="0.2">
      <c r="O106" s="63" t="s">
        <v>208</v>
      </c>
      <c r="P106" s="63" t="s">
        <v>209</v>
      </c>
    </row>
    <row r="107" spans="15:16" x14ac:dyDescent="0.2">
      <c r="O107" s="63" t="s">
        <v>210</v>
      </c>
      <c r="P107" s="63" t="s">
        <v>211</v>
      </c>
    </row>
    <row r="108" spans="15:16" x14ac:dyDescent="0.2">
      <c r="O108" s="63" t="s">
        <v>212</v>
      </c>
      <c r="P108" s="63" t="s">
        <v>213</v>
      </c>
    </row>
    <row r="109" spans="15:16" x14ac:dyDescent="0.2">
      <c r="O109" s="63" t="s">
        <v>214</v>
      </c>
      <c r="P109" s="63" t="s">
        <v>215</v>
      </c>
    </row>
    <row r="110" spans="15:16" x14ac:dyDescent="0.2">
      <c r="O110" s="63" t="s">
        <v>216</v>
      </c>
      <c r="P110" s="63" t="s">
        <v>217</v>
      </c>
    </row>
    <row r="111" spans="15:16" x14ac:dyDescent="0.2">
      <c r="O111" s="63" t="s">
        <v>218</v>
      </c>
      <c r="P111" s="63" t="s">
        <v>219</v>
      </c>
    </row>
    <row r="112" spans="15:16" x14ac:dyDescent="0.2">
      <c r="O112" s="63" t="s">
        <v>220</v>
      </c>
      <c r="P112" s="63" t="s">
        <v>221</v>
      </c>
    </row>
    <row r="113" spans="15:16" x14ac:dyDescent="0.2">
      <c r="O113" s="63" t="s">
        <v>222</v>
      </c>
      <c r="P113" s="63" t="s">
        <v>223</v>
      </c>
    </row>
    <row r="114" spans="15:16" x14ac:dyDescent="0.2">
      <c r="O114" s="63" t="s">
        <v>224</v>
      </c>
      <c r="P114" s="63" t="s">
        <v>225</v>
      </c>
    </row>
    <row r="115" spans="15:16" x14ac:dyDescent="0.2">
      <c r="O115" s="63" t="s">
        <v>226</v>
      </c>
      <c r="P115" s="63" t="s">
        <v>227</v>
      </c>
    </row>
    <row r="116" spans="15:16" x14ac:dyDescent="0.2">
      <c r="O116" s="63" t="s">
        <v>228</v>
      </c>
      <c r="P116" s="63" t="s">
        <v>229</v>
      </c>
    </row>
    <row r="117" spans="15:16" x14ac:dyDescent="0.2">
      <c r="O117" s="63" t="s">
        <v>230</v>
      </c>
      <c r="P117" s="63" t="s">
        <v>231</v>
      </c>
    </row>
    <row r="118" spans="15:16" x14ac:dyDescent="0.2">
      <c r="O118" s="63" t="s">
        <v>232</v>
      </c>
      <c r="P118" s="63" t="s">
        <v>233</v>
      </c>
    </row>
    <row r="119" spans="15:16" x14ac:dyDescent="0.2">
      <c r="O119" s="63" t="s">
        <v>234</v>
      </c>
      <c r="P119" s="63" t="s">
        <v>235</v>
      </c>
    </row>
    <row r="120" spans="15:16" x14ac:dyDescent="0.2">
      <c r="O120" s="63" t="s">
        <v>236</v>
      </c>
      <c r="P120" s="63" t="s">
        <v>237</v>
      </c>
    </row>
    <row r="121" spans="15:16" x14ac:dyDescent="0.2">
      <c r="O121" s="63" t="s">
        <v>238</v>
      </c>
      <c r="P121" s="63" t="s">
        <v>239</v>
      </c>
    </row>
    <row r="122" spans="15:16" x14ac:dyDescent="0.2">
      <c r="O122" s="63" t="s">
        <v>240</v>
      </c>
      <c r="P122" s="63" t="s">
        <v>241</v>
      </c>
    </row>
    <row r="123" spans="15:16" x14ac:dyDescent="0.2">
      <c r="O123" s="63" t="s">
        <v>242</v>
      </c>
      <c r="P123" s="63" t="s">
        <v>243</v>
      </c>
    </row>
    <row r="124" spans="15:16" x14ac:dyDescent="0.2">
      <c r="O124" s="63" t="s">
        <v>244</v>
      </c>
      <c r="P124" s="63" t="s">
        <v>245</v>
      </c>
    </row>
    <row r="125" spans="15:16" x14ac:dyDescent="0.2">
      <c r="O125" s="63" t="s">
        <v>246</v>
      </c>
      <c r="P125" s="63" t="s">
        <v>247</v>
      </c>
    </row>
    <row r="126" spans="15:16" x14ac:dyDescent="0.2">
      <c r="O126" s="63" t="s">
        <v>248</v>
      </c>
      <c r="P126" s="63" t="s">
        <v>249</v>
      </c>
    </row>
    <row r="127" spans="15:16" x14ac:dyDescent="0.2">
      <c r="O127" s="63" t="s">
        <v>250</v>
      </c>
      <c r="P127" s="63" t="s">
        <v>251</v>
      </c>
    </row>
    <row r="128" spans="15:16" x14ac:dyDescent="0.2">
      <c r="O128" s="63" t="s">
        <v>252</v>
      </c>
      <c r="P128" s="63" t="s">
        <v>253</v>
      </c>
    </row>
    <row r="129" spans="15:16" x14ac:dyDescent="0.2">
      <c r="O129" s="63" t="s">
        <v>254</v>
      </c>
      <c r="P129" s="63" t="s">
        <v>255</v>
      </c>
    </row>
    <row r="130" spans="15:16" x14ac:dyDescent="0.2">
      <c r="O130" s="63" t="s">
        <v>256</v>
      </c>
      <c r="P130" s="63" t="s">
        <v>257</v>
      </c>
    </row>
    <row r="131" spans="15:16" x14ac:dyDescent="0.2">
      <c r="O131" s="63" t="s">
        <v>258</v>
      </c>
      <c r="P131" s="63" t="s">
        <v>259</v>
      </c>
    </row>
    <row r="132" spans="15:16" x14ac:dyDescent="0.2">
      <c r="O132" s="63" t="s">
        <v>260</v>
      </c>
      <c r="P132" s="63" t="s">
        <v>261</v>
      </c>
    </row>
    <row r="133" spans="15:16" x14ac:dyDescent="0.2">
      <c r="O133" s="63" t="s">
        <v>262</v>
      </c>
      <c r="P133" s="63" t="s">
        <v>263</v>
      </c>
    </row>
    <row r="134" spans="15:16" x14ac:dyDescent="0.2">
      <c r="O134" s="63" t="s">
        <v>264</v>
      </c>
      <c r="P134" s="63" t="s">
        <v>265</v>
      </c>
    </row>
    <row r="135" spans="15:16" x14ac:dyDescent="0.2">
      <c r="O135" s="63" t="s">
        <v>266</v>
      </c>
      <c r="P135" s="63" t="s">
        <v>267</v>
      </c>
    </row>
    <row r="136" spans="15:16" x14ac:dyDescent="0.2">
      <c r="O136" s="63" t="s">
        <v>268</v>
      </c>
      <c r="P136" s="63" t="s">
        <v>269</v>
      </c>
    </row>
    <row r="137" spans="15:16" x14ac:dyDescent="0.2">
      <c r="O137" s="63" t="s">
        <v>270</v>
      </c>
      <c r="P137" s="63" t="s">
        <v>271</v>
      </c>
    </row>
    <row r="138" spans="15:16" x14ac:dyDescent="0.2">
      <c r="O138" s="63" t="s">
        <v>272</v>
      </c>
      <c r="P138" s="63" t="s">
        <v>273</v>
      </c>
    </row>
    <row r="139" spans="15:16" x14ac:dyDescent="0.2">
      <c r="O139" s="63" t="s">
        <v>274</v>
      </c>
      <c r="P139" s="63" t="s">
        <v>275</v>
      </c>
    </row>
    <row r="140" spans="15:16" x14ac:dyDescent="0.2">
      <c r="O140" s="63" t="s">
        <v>276</v>
      </c>
      <c r="P140" s="63" t="s">
        <v>277</v>
      </c>
    </row>
    <row r="141" spans="15:16" x14ac:dyDescent="0.2">
      <c r="O141" s="63" t="s">
        <v>278</v>
      </c>
      <c r="P141" s="63" t="s">
        <v>279</v>
      </c>
    </row>
    <row r="142" spans="15:16" x14ac:dyDescent="0.2">
      <c r="O142" s="63" t="s">
        <v>280</v>
      </c>
      <c r="P142" s="63" t="s">
        <v>281</v>
      </c>
    </row>
    <row r="143" spans="15:16" x14ac:dyDescent="0.2">
      <c r="O143" s="63" t="s">
        <v>282</v>
      </c>
      <c r="P143" s="63" t="s">
        <v>283</v>
      </c>
    </row>
    <row r="144" spans="15:16" x14ac:dyDescent="0.2">
      <c r="O144" s="63" t="s">
        <v>284</v>
      </c>
      <c r="P144" s="63" t="s">
        <v>285</v>
      </c>
    </row>
    <row r="145" spans="15:16" x14ac:dyDescent="0.2">
      <c r="O145" s="63" t="s">
        <v>286</v>
      </c>
      <c r="P145" s="63" t="s">
        <v>287</v>
      </c>
    </row>
    <row r="146" spans="15:16" x14ac:dyDescent="0.2">
      <c r="O146" s="63" t="s">
        <v>288</v>
      </c>
      <c r="P146" s="63" t="s">
        <v>289</v>
      </c>
    </row>
    <row r="147" spans="15:16" x14ac:dyDescent="0.2">
      <c r="O147" s="63" t="s">
        <v>290</v>
      </c>
      <c r="P147" s="63" t="s">
        <v>291</v>
      </c>
    </row>
    <row r="148" spans="15:16" x14ac:dyDescent="0.2">
      <c r="O148" s="63" t="s">
        <v>292</v>
      </c>
      <c r="P148" s="63" t="s">
        <v>293</v>
      </c>
    </row>
    <row r="149" spans="15:16" x14ac:dyDescent="0.2">
      <c r="O149" s="63" t="s">
        <v>294</v>
      </c>
      <c r="P149" s="63" t="s">
        <v>295</v>
      </c>
    </row>
    <row r="150" spans="15:16" x14ac:dyDescent="0.2">
      <c r="O150" s="63" t="s">
        <v>296</v>
      </c>
      <c r="P150" s="63" t="s">
        <v>297</v>
      </c>
    </row>
    <row r="151" spans="15:16" x14ac:dyDescent="0.2">
      <c r="O151" s="63" t="s">
        <v>298</v>
      </c>
      <c r="P151" s="63" t="s">
        <v>299</v>
      </c>
    </row>
    <row r="152" spans="15:16" x14ac:dyDescent="0.2">
      <c r="O152" s="63" t="s">
        <v>300</v>
      </c>
      <c r="P152" s="63" t="s">
        <v>301</v>
      </c>
    </row>
    <row r="153" spans="15:16" x14ac:dyDescent="0.2">
      <c r="O153" s="63" t="s">
        <v>302</v>
      </c>
      <c r="P153" s="63" t="s">
        <v>303</v>
      </c>
    </row>
    <row r="154" spans="15:16" x14ac:dyDescent="0.2">
      <c r="O154" s="63" t="s">
        <v>304</v>
      </c>
      <c r="P154" s="63" t="s">
        <v>305</v>
      </c>
    </row>
    <row r="155" spans="15:16" x14ac:dyDescent="0.2">
      <c r="O155" s="63" t="s">
        <v>306</v>
      </c>
      <c r="P155" s="63" t="s">
        <v>307</v>
      </c>
    </row>
    <row r="156" spans="15:16" x14ac:dyDescent="0.2">
      <c r="O156" s="63" t="s">
        <v>308</v>
      </c>
      <c r="P156" s="63" t="s">
        <v>309</v>
      </c>
    </row>
    <row r="157" spans="15:16" x14ac:dyDescent="0.2">
      <c r="O157" s="63" t="s">
        <v>310</v>
      </c>
      <c r="P157" s="63" t="s">
        <v>311</v>
      </c>
    </row>
    <row r="158" spans="15:16" x14ac:dyDescent="0.2">
      <c r="O158" s="63" t="s">
        <v>312</v>
      </c>
      <c r="P158" s="63" t="s">
        <v>313</v>
      </c>
    </row>
    <row r="159" spans="15:16" x14ac:dyDescent="0.2">
      <c r="O159" s="63" t="s">
        <v>314</v>
      </c>
      <c r="P159" s="63" t="s">
        <v>315</v>
      </c>
    </row>
    <row r="160" spans="15:16" x14ac:dyDescent="0.2">
      <c r="O160" s="63" t="s">
        <v>316</v>
      </c>
      <c r="P160" s="63" t="s">
        <v>317</v>
      </c>
    </row>
    <row r="161" spans="15:16" x14ac:dyDescent="0.2">
      <c r="O161" s="63" t="s">
        <v>318</v>
      </c>
      <c r="P161" s="63" t="s">
        <v>319</v>
      </c>
    </row>
    <row r="162" spans="15:16" x14ac:dyDescent="0.2">
      <c r="O162" s="63" t="s">
        <v>320</v>
      </c>
      <c r="P162" s="63" t="s">
        <v>321</v>
      </c>
    </row>
    <row r="163" spans="15:16" x14ac:dyDescent="0.2">
      <c r="O163" s="63" t="s">
        <v>322</v>
      </c>
      <c r="P163" s="63" t="s">
        <v>323</v>
      </c>
    </row>
    <row r="164" spans="15:16" x14ac:dyDescent="0.2">
      <c r="O164" s="63" t="s">
        <v>324</v>
      </c>
      <c r="P164" s="63" t="s">
        <v>325</v>
      </c>
    </row>
    <row r="165" spans="15:16" x14ac:dyDescent="0.2">
      <c r="O165" s="63" t="s">
        <v>326</v>
      </c>
      <c r="P165" s="63" t="s">
        <v>327</v>
      </c>
    </row>
    <row r="166" spans="15:16" x14ac:dyDescent="0.2">
      <c r="O166" s="63" t="s">
        <v>328</v>
      </c>
      <c r="P166" s="63" t="s">
        <v>329</v>
      </c>
    </row>
    <row r="167" spans="15:16" x14ac:dyDescent="0.2">
      <c r="O167" s="63" t="s">
        <v>330</v>
      </c>
      <c r="P167" s="63" t="s">
        <v>331</v>
      </c>
    </row>
    <row r="168" spans="15:16" x14ac:dyDescent="0.2">
      <c r="O168" s="63" t="s">
        <v>332</v>
      </c>
      <c r="P168" s="63" t="s">
        <v>333</v>
      </c>
    </row>
    <row r="169" spans="15:16" x14ac:dyDescent="0.2">
      <c r="O169" s="63" t="s">
        <v>334</v>
      </c>
      <c r="P169" s="63" t="s">
        <v>335</v>
      </c>
    </row>
    <row r="170" spans="15:16" x14ac:dyDescent="0.2">
      <c r="O170" s="63" t="s">
        <v>336</v>
      </c>
      <c r="P170" s="63" t="s">
        <v>337</v>
      </c>
    </row>
    <row r="171" spans="15:16" x14ac:dyDescent="0.2">
      <c r="O171" s="63" t="s">
        <v>338</v>
      </c>
      <c r="P171" s="63" t="s">
        <v>339</v>
      </c>
    </row>
    <row r="172" spans="15:16" x14ac:dyDescent="0.2">
      <c r="O172" s="63" t="s">
        <v>340</v>
      </c>
      <c r="P172" s="63" t="s">
        <v>341</v>
      </c>
    </row>
    <row r="173" spans="15:16" x14ac:dyDescent="0.2">
      <c r="O173" s="63" t="s">
        <v>342</v>
      </c>
      <c r="P173" s="63" t="s">
        <v>343</v>
      </c>
    </row>
    <row r="174" spans="15:16" x14ac:dyDescent="0.2">
      <c r="O174" s="63" t="s">
        <v>344</v>
      </c>
      <c r="P174" s="63" t="s">
        <v>345</v>
      </c>
    </row>
    <row r="175" spans="15:16" x14ac:dyDescent="0.2">
      <c r="O175" s="63" t="s">
        <v>346</v>
      </c>
      <c r="P175" s="63" t="s">
        <v>347</v>
      </c>
    </row>
    <row r="176" spans="15:16" x14ac:dyDescent="0.2">
      <c r="O176" s="63" t="s">
        <v>348</v>
      </c>
      <c r="P176" s="63" t="s">
        <v>349</v>
      </c>
    </row>
    <row r="177" spans="15:16" x14ac:dyDescent="0.2">
      <c r="O177" s="63" t="s">
        <v>350</v>
      </c>
      <c r="P177" s="63" t="s">
        <v>351</v>
      </c>
    </row>
    <row r="178" spans="15:16" x14ac:dyDescent="0.2">
      <c r="O178" s="63" t="s">
        <v>352</v>
      </c>
      <c r="P178" s="63" t="s">
        <v>353</v>
      </c>
    </row>
    <row r="179" spans="15:16" x14ac:dyDescent="0.2">
      <c r="O179" s="63" t="s">
        <v>354</v>
      </c>
      <c r="P179" s="63" t="s">
        <v>355</v>
      </c>
    </row>
    <row r="180" spans="15:16" x14ac:dyDescent="0.2">
      <c r="O180" s="63" t="s">
        <v>356</v>
      </c>
      <c r="P180" s="63" t="s">
        <v>357</v>
      </c>
    </row>
    <row r="181" spans="15:16" x14ac:dyDescent="0.2">
      <c r="O181" s="63" t="s">
        <v>358</v>
      </c>
      <c r="P181" s="63" t="s">
        <v>359</v>
      </c>
    </row>
    <row r="182" spans="15:16" x14ac:dyDescent="0.2">
      <c r="O182" s="63" t="s">
        <v>360</v>
      </c>
      <c r="P182" s="63" t="s">
        <v>361</v>
      </c>
    </row>
    <row r="183" spans="15:16" x14ac:dyDescent="0.2">
      <c r="O183" s="63" t="s">
        <v>362</v>
      </c>
      <c r="P183" s="63" t="s">
        <v>363</v>
      </c>
    </row>
    <row r="184" spans="15:16" x14ac:dyDescent="0.2">
      <c r="O184" s="63" t="s">
        <v>364</v>
      </c>
      <c r="P184" s="63" t="s">
        <v>365</v>
      </c>
    </row>
    <row r="185" spans="15:16" x14ac:dyDescent="0.2">
      <c r="O185" s="63" t="s">
        <v>366</v>
      </c>
      <c r="P185" s="63" t="s">
        <v>367</v>
      </c>
    </row>
    <row r="186" spans="15:16" x14ac:dyDescent="0.2">
      <c r="O186" s="63" t="s">
        <v>368</v>
      </c>
      <c r="P186" s="63" t="s">
        <v>369</v>
      </c>
    </row>
    <row r="187" spans="15:16" x14ac:dyDescent="0.2">
      <c r="O187" s="63" t="s">
        <v>370</v>
      </c>
      <c r="P187" s="63" t="s">
        <v>371</v>
      </c>
    </row>
    <row r="188" spans="15:16" x14ac:dyDescent="0.2">
      <c r="O188" s="63" t="s">
        <v>372</v>
      </c>
      <c r="P188" s="63" t="s">
        <v>373</v>
      </c>
    </row>
    <row r="189" spans="15:16" x14ac:dyDescent="0.2">
      <c r="O189" s="63" t="s">
        <v>374</v>
      </c>
      <c r="P189" s="63" t="s">
        <v>375</v>
      </c>
    </row>
    <row r="190" spans="15:16" x14ac:dyDescent="0.2">
      <c r="O190" s="63" t="s">
        <v>376</v>
      </c>
      <c r="P190" s="63" t="s">
        <v>377</v>
      </c>
    </row>
    <row r="191" spans="15:16" x14ac:dyDescent="0.2">
      <c r="O191" s="63" t="s">
        <v>378</v>
      </c>
      <c r="P191" s="63" t="s">
        <v>379</v>
      </c>
    </row>
    <row r="192" spans="15:16" x14ac:dyDescent="0.2">
      <c r="O192" s="63" t="s">
        <v>380</v>
      </c>
      <c r="P192" s="63" t="s">
        <v>381</v>
      </c>
    </row>
    <row r="193" spans="15:16" x14ac:dyDescent="0.2">
      <c r="O193" s="63" t="s">
        <v>382</v>
      </c>
      <c r="P193" s="63" t="s">
        <v>383</v>
      </c>
    </row>
    <row r="194" spans="15:16" x14ac:dyDescent="0.2">
      <c r="O194" s="63" t="s">
        <v>384</v>
      </c>
      <c r="P194" s="63" t="s">
        <v>385</v>
      </c>
    </row>
    <row r="195" spans="15:16" x14ac:dyDescent="0.2">
      <c r="O195" s="63" t="s">
        <v>386</v>
      </c>
      <c r="P195" s="63" t="s">
        <v>387</v>
      </c>
    </row>
    <row r="196" spans="15:16" x14ac:dyDescent="0.2">
      <c r="O196" s="63" t="s">
        <v>388</v>
      </c>
      <c r="P196" s="63" t="s">
        <v>389</v>
      </c>
    </row>
    <row r="197" spans="15:16" x14ac:dyDescent="0.2">
      <c r="O197" s="63" t="s">
        <v>390</v>
      </c>
      <c r="P197" s="63" t="s">
        <v>391</v>
      </c>
    </row>
    <row r="198" spans="15:16" x14ac:dyDescent="0.2">
      <c r="O198" s="63" t="s">
        <v>392</v>
      </c>
      <c r="P198" s="63" t="s">
        <v>393</v>
      </c>
    </row>
    <row r="199" spans="15:16" x14ac:dyDescent="0.2">
      <c r="O199" s="63" t="s">
        <v>394</v>
      </c>
      <c r="P199" s="63" t="s">
        <v>395</v>
      </c>
    </row>
    <row r="200" spans="15:16" x14ac:dyDescent="0.2">
      <c r="O200" s="63" t="s">
        <v>396</v>
      </c>
      <c r="P200" s="63" t="s">
        <v>397</v>
      </c>
    </row>
    <row r="201" spans="15:16" x14ac:dyDescent="0.2">
      <c r="O201" s="63" t="s">
        <v>398</v>
      </c>
      <c r="P201" s="63" t="s">
        <v>399</v>
      </c>
    </row>
    <row r="202" spans="15:16" x14ac:dyDescent="0.2">
      <c r="O202" s="63" t="s">
        <v>400</v>
      </c>
      <c r="P202" s="63" t="s">
        <v>401</v>
      </c>
    </row>
    <row r="203" spans="15:16" x14ac:dyDescent="0.2">
      <c r="O203" s="63" t="s">
        <v>402</v>
      </c>
      <c r="P203" s="63" t="s">
        <v>403</v>
      </c>
    </row>
    <row r="204" spans="15:16" x14ac:dyDescent="0.2">
      <c r="O204" s="63" t="s">
        <v>404</v>
      </c>
      <c r="P204" s="63" t="s">
        <v>405</v>
      </c>
    </row>
    <row r="205" spans="15:16" x14ac:dyDescent="0.2">
      <c r="O205" s="63" t="s">
        <v>406</v>
      </c>
      <c r="P205" s="63" t="s">
        <v>407</v>
      </c>
    </row>
    <row r="206" spans="15:16" x14ac:dyDescent="0.2">
      <c r="O206" s="63" t="s">
        <v>408</v>
      </c>
      <c r="P206" s="63" t="s">
        <v>409</v>
      </c>
    </row>
    <row r="207" spans="15:16" x14ac:dyDescent="0.2">
      <c r="O207" s="63" t="s">
        <v>410</v>
      </c>
      <c r="P207" s="63" t="s">
        <v>411</v>
      </c>
    </row>
    <row r="208" spans="15:16" x14ac:dyDescent="0.2">
      <c r="O208" s="63" t="s">
        <v>412</v>
      </c>
      <c r="P208" s="63" t="s">
        <v>413</v>
      </c>
    </row>
    <row r="209" spans="15:16" x14ac:dyDescent="0.2">
      <c r="O209" s="63" t="s">
        <v>414</v>
      </c>
      <c r="P209" s="63" t="s">
        <v>415</v>
      </c>
    </row>
    <row r="210" spans="15:16" x14ac:dyDescent="0.2">
      <c r="O210" s="63" t="s">
        <v>416</v>
      </c>
      <c r="P210" s="63" t="s">
        <v>417</v>
      </c>
    </row>
    <row r="211" spans="15:16" x14ac:dyDescent="0.2">
      <c r="O211" s="63" t="s">
        <v>418</v>
      </c>
      <c r="P211" s="63" t="s">
        <v>419</v>
      </c>
    </row>
    <row r="212" spans="15:16" x14ac:dyDescent="0.2">
      <c r="O212" s="63" t="s">
        <v>420</v>
      </c>
      <c r="P212" s="63" t="s">
        <v>421</v>
      </c>
    </row>
    <row r="213" spans="15:16" x14ac:dyDescent="0.2">
      <c r="O213" s="63" t="s">
        <v>422</v>
      </c>
      <c r="P213" s="63" t="s">
        <v>423</v>
      </c>
    </row>
    <row r="214" spans="15:16" x14ac:dyDescent="0.2">
      <c r="O214" s="63" t="s">
        <v>424</v>
      </c>
      <c r="P214" s="63" t="s">
        <v>425</v>
      </c>
    </row>
    <row r="215" spans="15:16" x14ac:dyDescent="0.2">
      <c r="O215" s="63" t="s">
        <v>426</v>
      </c>
      <c r="P215" s="63" t="s">
        <v>427</v>
      </c>
    </row>
    <row r="216" spans="15:16" x14ac:dyDescent="0.2">
      <c r="O216" s="63" t="s">
        <v>428</v>
      </c>
      <c r="P216" s="63" t="s">
        <v>427</v>
      </c>
    </row>
    <row r="217" spans="15:16" x14ac:dyDescent="0.2">
      <c r="O217" s="63" t="s">
        <v>429</v>
      </c>
      <c r="P217" s="63" t="s">
        <v>430</v>
      </c>
    </row>
    <row r="218" spans="15:16" x14ac:dyDescent="0.2">
      <c r="O218" s="63" t="s">
        <v>431</v>
      </c>
      <c r="P218" s="63" t="s">
        <v>432</v>
      </c>
    </row>
    <row r="219" spans="15:16" x14ac:dyDescent="0.2">
      <c r="O219" s="63" t="s">
        <v>433</v>
      </c>
      <c r="P219" s="63" t="s">
        <v>434</v>
      </c>
    </row>
    <row r="220" spans="15:16" x14ac:dyDescent="0.2">
      <c r="O220" s="63" t="s">
        <v>435</v>
      </c>
      <c r="P220" s="63" t="s">
        <v>436</v>
      </c>
    </row>
    <row r="221" spans="15:16" x14ac:dyDescent="0.2">
      <c r="O221" s="63" t="s">
        <v>437</v>
      </c>
      <c r="P221" s="63" t="s">
        <v>438</v>
      </c>
    </row>
    <row r="222" spans="15:16" x14ac:dyDescent="0.2">
      <c r="O222" s="63" t="s">
        <v>439</v>
      </c>
      <c r="P222" s="63" t="s">
        <v>440</v>
      </c>
    </row>
    <row r="223" spans="15:16" x14ac:dyDescent="0.2">
      <c r="O223" s="63" t="s">
        <v>441</v>
      </c>
      <c r="P223" s="63" t="s">
        <v>442</v>
      </c>
    </row>
    <row r="224" spans="15:16" x14ac:dyDescent="0.2">
      <c r="O224" s="63" t="s">
        <v>443</v>
      </c>
      <c r="P224" s="63" t="s">
        <v>444</v>
      </c>
    </row>
    <row r="225" spans="15:16" x14ac:dyDescent="0.2">
      <c r="O225" s="63" t="s">
        <v>445</v>
      </c>
      <c r="P225" s="63" t="s">
        <v>446</v>
      </c>
    </row>
    <row r="226" spans="15:16" x14ac:dyDescent="0.2">
      <c r="O226" s="63" t="s">
        <v>447</v>
      </c>
      <c r="P226" s="63" t="s">
        <v>448</v>
      </c>
    </row>
    <row r="227" spans="15:16" x14ac:dyDescent="0.2">
      <c r="O227" s="63" t="s">
        <v>449</v>
      </c>
      <c r="P227" s="63" t="s">
        <v>450</v>
      </c>
    </row>
    <row r="228" spans="15:16" x14ac:dyDescent="0.2">
      <c r="O228" s="63" t="s">
        <v>451</v>
      </c>
      <c r="P228" s="63" t="s">
        <v>452</v>
      </c>
    </row>
    <row r="229" spans="15:16" x14ac:dyDescent="0.2">
      <c r="O229" s="63" t="s">
        <v>453</v>
      </c>
      <c r="P229" s="63" t="s">
        <v>454</v>
      </c>
    </row>
    <row r="230" spans="15:16" x14ac:dyDescent="0.2">
      <c r="O230" s="63" t="s">
        <v>455</v>
      </c>
      <c r="P230" s="63" t="s">
        <v>456</v>
      </c>
    </row>
    <row r="231" spans="15:16" x14ac:dyDescent="0.2">
      <c r="O231" s="63" t="s">
        <v>457</v>
      </c>
      <c r="P231" s="63" t="s">
        <v>458</v>
      </c>
    </row>
    <row r="232" spans="15:16" x14ac:dyDescent="0.2">
      <c r="O232" s="63" t="s">
        <v>459</v>
      </c>
      <c r="P232" s="63" t="s">
        <v>460</v>
      </c>
    </row>
    <row r="233" spans="15:16" x14ac:dyDescent="0.2">
      <c r="O233" s="63" t="s">
        <v>461</v>
      </c>
      <c r="P233" s="63" t="s">
        <v>462</v>
      </c>
    </row>
    <row r="234" spans="15:16" x14ac:dyDescent="0.2">
      <c r="O234" s="63" t="s">
        <v>463</v>
      </c>
      <c r="P234" s="63" t="s">
        <v>464</v>
      </c>
    </row>
    <row r="235" spans="15:16" x14ac:dyDescent="0.2">
      <c r="O235" s="63" t="s">
        <v>465</v>
      </c>
      <c r="P235" s="63" t="s">
        <v>466</v>
      </c>
    </row>
    <row r="236" spans="15:16" x14ac:dyDescent="0.2">
      <c r="O236" s="63" t="s">
        <v>467</v>
      </c>
      <c r="P236" s="63" t="s">
        <v>468</v>
      </c>
    </row>
    <row r="237" spans="15:16" x14ac:dyDescent="0.2">
      <c r="O237" s="63" t="s">
        <v>469</v>
      </c>
      <c r="P237" s="63" t="s">
        <v>470</v>
      </c>
    </row>
    <row r="238" spans="15:16" x14ac:dyDescent="0.2">
      <c r="O238" s="63" t="s">
        <v>471</v>
      </c>
      <c r="P238" s="63" t="s">
        <v>472</v>
      </c>
    </row>
    <row r="239" spans="15:16" x14ac:dyDescent="0.2">
      <c r="O239" s="63" t="s">
        <v>473</v>
      </c>
      <c r="P239" s="63" t="s">
        <v>474</v>
      </c>
    </row>
    <row r="240" spans="15:16" x14ac:dyDescent="0.2">
      <c r="O240" s="63" t="s">
        <v>475</v>
      </c>
      <c r="P240" s="63" t="s">
        <v>476</v>
      </c>
    </row>
    <row r="241" spans="15:16" x14ac:dyDescent="0.2">
      <c r="O241" s="63" t="s">
        <v>477</v>
      </c>
      <c r="P241" s="63" t="s">
        <v>478</v>
      </c>
    </row>
    <row r="242" spans="15:16" x14ac:dyDescent="0.2">
      <c r="O242" s="63" t="s">
        <v>479</v>
      </c>
      <c r="P242" s="63" t="s">
        <v>480</v>
      </c>
    </row>
    <row r="243" spans="15:16" x14ac:dyDescent="0.2">
      <c r="O243" s="63" t="s">
        <v>481</v>
      </c>
      <c r="P243" s="63" t="s">
        <v>482</v>
      </c>
    </row>
    <row r="244" spans="15:16" x14ac:dyDescent="0.2">
      <c r="O244" s="63" t="s">
        <v>483</v>
      </c>
      <c r="P244" s="63" t="s">
        <v>484</v>
      </c>
    </row>
    <row r="245" spans="15:16" x14ac:dyDescent="0.2">
      <c r="O245" s="63" t="s">
        <v>485</v>
      </c>
      <c r="P245" s="63" t="s">
        <v>486</v>
      </c>
    </row>
    <row r="246" spans="15:16" x14ac:dyDescent="0.2">
      <c r="O246" s="63" t="s">
        <v>487</v>
      </c>
      <c r="P246" s="63" t="s">
        <v>488</v>
      </c>
    </row>
  </sheetData>
  <autoFilter ref="O12:P12" xr:uid="{00000000-0009-0000-0000-000000000000}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ref="B8" r:id="rId1" xr:uid="{00000000-0004-0000-0000-000000000000}"/>
    <hyperlink ref="B21" r:id="rId2" xr:uid="{00000000-0004-0000-0000-000001000000}"/>
    <hyperlink ref="B23" r:id="rId3" xr:uid="{00000000-0004-0000-0000-000002000000}"/>
    <hyperlink ref="B25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theme="1" tint="0.499984740745262"/>
  </sheetPr>
  <dimension ref="A1:E115"/>
  <sheetViews>
    <sheetView topLeftCell="A13" zoomScale="174" zoomScaleNormal="174" workbookViewId="0">
      <selection activeCell="K16" sqref="K16"/>
    </sheetView>
  </sheetViews>
  <sheetFormatPr baseColWidth="10" defaultColWidth="9.1640625" defaultRowHeight="15" x14ac:dyDescent="0.2"/>
  <cols>
    <col min="1" max="1" width="15.33203125" style="83" customWidth="1"/>
    <col min="2" max="2" width="17.1640625" style="83" customWidth="1"/>
    <col min="3" max="4" width="15.33203125" style="83" customWidth="1"/>
    <col min="5" max="19" width="9.1640625" style="83" customWidth="1"/>
    <col min="20" max="16384" width="9.1640625" style="83"/>
  </cols>
  <sheetData>
    <row r="1" spans="1:5" ht="20" customHeight="1" x14ac:dyDescent="0.2">
      <c r="A1" t="s">
        <v>8</v>
      </c>
      <c r="B1" t="s">
        <v>495</v>
      </c>
      <c r="C1" t="s">
        <v>496</v>
      </c>
      <c r="D1" t="s">
        <v>497</v>
      </c>
      <c r="E1" t="s">
        <v>498</v>
      </c>
    </row>
    <row r="2" spans="1:5" x14ac:dyDescent="0.2">
      <c r="A2" t="s">
        <v>137</v>
      </c>
      <c r="B2">
        <v>11.6</v>
      </c>
      <c r="C2" t="s">
        <v>499</v>
      </c>
      <c r="D2">
        <v>0.4</v>
      </c>
      <c r="E2" t="s">
        <v>500</v>
      </c>
    </row>
    <row r="3" spans="1:5" x14ac:dyDescent="0.2">
      <c r="A3" t="s">
        <v>21</v>
      </c>
      <c r="B3">
        <v>3</v>
      </c>
      <c r="C3" t="s">
        <v>499</v>
      </c>
      <c r="D3">
        <v>-3.94</v>
      </c>
      <c r="E3" t="s">
        <v>500</v>
      </c>
    </row>
    <row r="4" spans="1:5" x14ac:dyDescent="0.2">
      <c r="A4" t="s">
        <v>38</v>
      </c>
      <c r="B4">
        <v>4.3</v>
      </c>
      <c r="C4" t="s">
        <v>501</v>
      </c>
      <c r="D4">
        <v>10.1</v>
      </c>
      <c r="E4" t="s">
        <v>500</v>
      </c>
    </row>
    <row r="5" spans="1:5" x14ac:dyDescent="0.2">
      <c r="A5" t="s">
        <v>436</v>
      </c>
      <c r="B5">
        <v>3.9</v>
      </c>
      <c r="C5" t="s">
        <v>501</v>
      </c>
      <c r="D5">
        <v>-1.2</v>
      </c>
      <c r="E5" t="s">
        <v>500</v>
      </c>
    </row>
    <row r="6" spans="1:5" x14ac:dyDescent="0.2">
      <c r="A6" t="s">
        <v>49</v>
      </c>
      <c r="B6">
        <v>0.8</v>
      </c>
      <c r="C6" t="s">
        <v>499</v>
      </c>
      <c r="D6">
        <v>-1.7</v>
      </c>
      <c r="E6" t="s">
        <v>500</v>
      </c>
    </row>
    <row r="7" spans="1:5" x14ac:dyDescent="0.2">
      <c r="A7" t="s">
        <v>51</v>
      </c>
      <c r="B7">
        <v>3.3</v>
      </c>
      <c r="C7" t="s">
        <v>501</v>
      </c>
      <c r="D7">
        <v>5</v>
      </c>
      <c r="E7" t="s">
        <v>500</v>
      </c>
    </row>
    <row r="8" spans="1:5" x14ac:dyDescent="0.2">
      <c r="A8" t="s">
        <v>502</v>
      </c>
      <c r="B8">
        <v>4.5</v>
      </c>
      <c r="C8" t="s">
        <v>503</v>
      </c>
      <c r="D8">
        <v>2.6</v>
      </c>
      <c r="E8" t="s">
        <v>500</v>
      </c>
    </row>
    <row r="9" spans="1:5" x14ac:dyDescent="0.2">
      <c r="A9" t="s">
        <v>440</v>
      </c>
      <c r="B9">
        <v>6.7</v>
      </c>
      <c r="C9" t="s">
        <v>504</v>
      </c>
      <c r="D9">
        <v>7.1</v>
      </c>
      <c r="E9" t="s">
        <v>500</v>
      </c>
    </row>
    <row r="10" spans="1:5" x14ac:dyDescent="0.2">
      <c r="A10" t="s">
        <v>55</v>
      </c>
      <c r="B10">
        <v>10.9</v>
      </c>
      <c r="C10" t="s">
        <v>501</v>
      </c>
      <c r="D10">
        <v>18.100000000000001</v>
      </c>
      <c r="E10" t="s">
        <v>500</v>
      </c>
    </row>
    <row r="11" spans="1:5" x14ac:dyDescent="0.2">
      <c r="A11" t="s">
        <v>57</v>
      </c>
      <c r="B11">
        <v>38.6</v>
      </c>
      <c r="C11" t="s">
        <v>499</v>
      </c>
      <c r="D11">
        <v>3</v>
      </c>
      <c r="E11" t="s">
        <v>500</v>
      </c>
    </row>
    <row r="12" spans="1:5" x14ac:dyDescent="0.2">
      <c r="A12" t="s">
        <v>505</v>
      </c>
      <c r="B12">
        <v>8.1999999999999993</v>
      </c>
      <c r="C12" t="s">
        <v>501</v>
      </c>
      <c r="D12">
        <v>9.3000000000000007</v>
      </c>
      <c r="E12" t="s">
        <v>500</v>
      </c>
    </row>
    <row r="13" spans="1:5" x14ac:dyDescent="0.2">
      <c r="A13" t="s">
        <v>83</v>
      </c>
      <c r="B13">
        <v>186</v>
      </c>
      <c r="C13" t="s">
        <v>499</v>
      </c>
      <c r="D13">
        <v>-12</v>
      </c>
      <c r="E13" t="s">
        <v>500</v>
      </c>
    </row>
    <row r="14" spans="1:5" x14ac:dyDescent="0.2">
      <c r="A14" t="s">
        <v>75</v>
      </c>
      <c r="B14">
        <v>-7.8</v>
      </c>
      <c r="C14" t="s">
        <v>501</v>
      </c>
      <c r="D14">
        <v>-4</v>
      </c>
      <c r="E14" t="s">
        <v>500</v>
      </c>
    </row>
    <row r="15" spans="1:5" x14ac:dyDescent="0.2">
      <c r="A15" t="s">
        <v>63</v>
      </c>
      <c r="B15">
        <v>9.6999999999999993</v>
      </c>
      <c r="C15" t="s">
        <v>501</v>
      </c>
      <c r="D15">
        <v>9.6999999999999993</v>
      </c>
      <c r="E15" t="s">
        <v>500</v>
      </c>
    </row>
    <row r="16" spans="1:5" x14ac:dyDescent="0.2">
      <c r="A16" t="s">
        <v>59</v>
      </c>
      <c r="B16">
        <v>20.9</v>
      </c>
      <c r="C16" t="s">
        <v>499</v>
      </c>
      <c r="D16">
        <v>9.9</v>
      </c>
      <c r="E16" t="s">
        <v>500</v>
      </c>
    </row>
    <row r="17" spans="1:5" x14ac:dyDescent="0.2">
      <c r="A17" t="s">
        <v>53</v>
      </c>
      <c r="B17">
        <v>6.6</v>
      </c>
      <c r="C17" t="s">
        <v>499</v>
      </c>
      <c r="D17">
        <v>11.1</v>
      </c>
      <c r="E17" t="s">
        <v>500</v>
      </c>
    </row>
    <row r="18" spans="1:5" x14ac:dyDescent="0.2">
      <c r="A18" t="s">
        <v>99</v>
      </c>
      <c r="B18">
        <v>3</v>
      </c>
      <c r="C18" t="s">
        <v>507</v>
      </c>
      <c r="D18">
        <v>-5.6</v>
      </c>
      <c r="E18" t="s">
        <v>500</v>
      </c>
    </row>
    <row r="19" spans="1:5" x14ac:dyDescent="0.2">
      <c r="A19" t="s">
        <v>87</v>
      </c>
      <c r="B19">
        <v>3.89</v>
      </c>
      <c r="C19" t="s">
        <v>503</v>
      </c>
      <c r="D19">
        <v>6.13</v>
      </c>
      <c r="E19" t="s">
        <v>500</v>
      </c>
    </row>
    <row r="20" spans="1:5" x14ac:dyDescent="0.2">
      <c r="A20" t="s">
        <v>401</v>
      </c>
      <c r="B20">
        <v>-10.4</v>
      </c>
      <c r="C20" t="s">
        <v>507</v>
      </c>
      <c r="D20">
        <v>-3.3</v>
      </c>
      <c r="E20" t="s">
        <v>500</v>
      </c>
    </row>
    <row r="21" spans="1:5" x14ac:dyDescent="0.2">
      <c r="A21" t="s">
        <v>93</v>
      </c>
      <c r="B21">
        <v>1.3</v>
      </c>
      <c r="C21" t="s">
        <v>501</v>
      </c>
      <c r="D21">
        <v>-0.7</v>
      </c>
      <c r="E21" t="s">
        <v>500</v>
      </c>
    </row>
    <row r="22" spans="1:5" x14ac:dyDescent="0.2">
      <c r="A22" t="s">
        <v>95</v>
      </c>
      <c r="B22">
        <v>3.8</v>
      </c>
      <c r="C22" t="s">
        <v>504</v>
      </c>
      <c r="D22">
        <v>3.5</v>
      </c>
      <c r="E22" t="s">
        <v>500</v>
      </c>
    </row>
    <row r="23" spans="1:5" x14ac:dyDescent="0.2">
      <c r="A23" t="s">
        <v>107</v>
      </c>
      <c r="B23">
        <v>10.1</v>
      </c>
      <c r="C23" t="s">
        <v>501</v>
      </c>
      <c r="D23">
        <v>15.5</v>
      </c>
      <c r="E23" t="s">
        <v>500</v>
      </c>
    </row>
    <row r="24" spans="1:5" x14ac:dyDescent="0.2">
      <c r="A24" t="s">
        <v>103</v>
      </c>
      <c r="B24">
        <v>1.2</v>
      </c>
      <c r="C24" t="s">
        <v>508</v>
      </c>
      <c r="D24">
        <v>0.1</v>
      </c>
      <c r="E24" t="s">
        <v>500</v>
      </c>
    </row>
    <row r="25" spans="1:5" x14ac:dyDescent="0.2">
      <c r="A25" t="s">
        <v>113</v>
      </c>
      <c r="B25">
        <v>7.9</v>
      </c>
      <c r="C25" t="s">
        <v>509</v>
      </c>
      <c r="D25">
        <v>7.3</v>
      </c>
      <c r="E25" t="s">
        <v>500</v>
      </c>
    </row>
    <row r="26" spans="1:5" x14ac:dyDescent="0.2">
      <c r="A26" t="s">
        <v>167</v>
      </c>
      <c r="B26">
        <v>2.7</v>
      </c>
      <c r="C26" t="s">
        <v>501</v>
      </c>
      <c r="D26">
        <v>2.8</v>
      </c>
      <c r="E26" t="s">
        <v>500</v>
      </c>
    </row>
    <row r="27" spans="1:5" x14ac:dyDescent="0.2">
      <c r="A27" t="s">
        <v>121</v>
      </c>
      <c r="B27">
        <v>-12.7</v>
      </c>
      <c r="C27" t="s">
        <v>510</v>
      </c>
      <c r="D27">
        <v>-7.2</v>
      </c>
      <c r="E27" t="s">
        <v>500</v>
      </c>
    </row>
    <row r="28" spans="1:5" x14ac:dyDescent="0.2">
      <c r="A28" t="s">
        <v>125</v>
      </c>
      <c r="B28">
        <v>-1.3</v>
      </c>
      <c r="C28" t="s">
        <v>503</v>
      </c>
      <c r="D28">
        <v>8.9</v>
      </c>
      <c r="E28" t="s">
        <v>500</v>
      </c>
    </row>
    <row r="29" spans="1:5" x14ac:dyDescent="0.2">
      <c r="A29" t="s">
        <v>117</v>
      </c>
      <c r="B29">
        <v>-4.9000000000000004</v>
      </c>
      <c r="C29" t="s">
        <v>501</v>
      </c>
      <c r="D29">
        <v>-4</v>
      </c>
      <c r="E29" t="s">
        <v>500</v>
      </c>
    </row>
    <row r="30" spans="1:5" x14ac:dyDescent="0.2">
      <c r="A30" t="s">
        <v>133</v>
      </c>
      <c r="B30">
        <v>11.3</v>
      </c>
      <c r="C30" t="s">
        <v>501</v>
      </c>
      <c r="D30">
        <v>4.2</v>
      </c>
      <c r="E30" t="s">
        <v>500</v>
      </c>
    </row>
    <row r="31" spans="1:5" x14ac:dyDescent="0.2">
      <c r="A31" t="s">
        <v>381</v>
      </c>
      <c r="B31">
        <v>8.68</v>
      </c>
      <c r="C31" t="s">
        <v>511</v>
      </c>
      <c r="D31">
        <v>13.83</v>
      </c>
      <c r="E31" t="s">
        <v>500</v>
      </c>
    </row>
    <row r="32" spans="1:5" x14ac:dyDescent="0.2">
      <c r="A32" t="s">
        <v>442</v>
      </c>
      <c r="B32">
        <v>2.8</v>
      </c>
      <c r="C32" t="s">
        <v>501</v>
      </c>
      <c r="D32">
        <v>8.5</v>
      </c>
      <c r="E32" t="s">
        <v>500</v>
      </c>
    </row>
    <row r="33" spans="1:5" x14ac:dyDescent="0.2">
      <c r="A33" t="s">
        <v>492</v>
      </c>
      <c r="B33">
        <v>3.3</v>
      </c>
      <c r="C33" t="s">
        <v>501</v>
      </c>
      <c r="D33">
        <v>5.0999999999999996</v>
      </c>
      <c r="E33" t="s">
        <v>500</v>
      </c>
    </row>
    <row r="34" spans="1:5" x14ac:dyDescent="0.2">
      <c r="A34" t="s">
        <v>512</v>
      </c>
      <c r="B34">
        <v>3.6</v>
      </c>
      <c r="C34" t="s">
        <v>501</v>
      </c>
      <c r="D34">
        <v>4.8</v>
      </c>
      <c r="E34" t="s">
        <v>500</v>
      </c>
    </row>
    <row r="35" spans="1:5" x14ac:dyDescent="0.2">
      <c r="A35" t="s">
        <v>155</v>
      </c>
      <c r="B35">
        <v>-10.5</v>
      </c>
      <c r="C35" t="s">
        <v>503</v>
      </c>
      <c r="D35">
        <v>-12.2</v>
      </c>
      <c r="E35" t="s">
        <v>500</v>
      </c>
    </row>
    <row r="36" spans="1:5" x14ac:dyDescent="0.2">
      <c r="A36" t="s">
        <v>153</v>
      </c>
      <c r="B36">
        <v>5.5</v>
      </c>
      <c r="C36" t="s">
        <v>501</v>
      </c>
      <c r="D36">
        <v>6.7</v>
      </c>
      <c r="E36" t="s">
        <v>500</v>
      </c>
    </row>
    <row r="37" spans="1:5" x14ac:dyDescent="0.2">
      <c r="A37" t="s">
        <v>159</v>
      </c>
      <c r="B37">
        <v>0.8</v>
      </c>
      <c r="C37" t="s">
        <v>503</v>
      </c>
      <c r="D37">
        <v>3.9</v>
      </c>
      <c r="E37" t="s">
        <v>500</v>
      </c>
    </row>
    <row r="38" spans="1:5" x14ac:dyDescent="0.2">
      <c r="A38" t="s">
        <v>444</v>
      </c>
      <c r="B38">
        <v>34.299999999999997</v>
      </c>
      <c r="C38" t="s">
        <v>503</v>
      </c>
      <c r="D38">
        <v>47.8</v>
      </c>
      <c r="E38" t="s">
        <v>500</v>
      </c>
    </row>
    <row r="39" spans="1:5" x14ac:dyDescent="0.2">
      <c r="A39" t="s">
        <v>127</v>
      </c>
      <c r="B39">
        <v>-0.6</v>
      </c>
      <c r="C39" t="s">
        <v>501</v>
      </c>
      <c r="D39">
        <v>-0.4</v>
      </c>
      <c r="E39" t="s">
        <v>500</v>
      </c>
    </row>
    <row r="40" spans="1:5" x14ac:dyDescent="0.2">
      <c r="A40" t="s">
        <v>191</v>
      </c>
      <c r="B40">
        <v>16.5</v>
      </c>
      <c r="C40" t="s">
        <v>501</v>
      </c>
      <c r="D40">
        <v>9.9</v>
      </c>
      <c r="E40" t="s">
        <v>500</v>
      </c>
    </row>
    <row r="41" spans="1:5" x14ac:dyDescent="0.2">
      <c r="A41" t="s">
        <v>513</v>
      </c>
      <c r="B41">
        <v>8.6999999999999993</v>
      </c>
      <c r="C41" t="s">
        <v>499</v>
      </c>
      <c r="D41">
        <v>8.1999999999999993</v>
      </c>
      <c r="E41" t="s">
        <v>500</v>
      </c>
    </row>
    <row r="42" spans="1:5" x14ac:dyDescent="0.2">
      <c r="A42" t="s">
        <v>201</v>
      </c>
      <c r="B42">
        <v>7.8</v>
      </c>
      <c r="C42" t="s">
        <v>503</v>
      </c>
      <c r="D42">
        <v>5.6</v>
      </c>
      <c r="E42" t="s">
        <v>500</v>
      </c>
    </row>
    <row r="43" spans="1:5" x14ac:dyDescent="0.2">
      <c r="A43" t="s">
        <v>207</v>
      </c>
      <c r="B43">
        <v>-3.4</v>
      </c>
      <c r="C43" t="s">
        <v>501</v>
      </c>
      <c r="D43">
        <v>-2.2999999999999998</v>
      </c>
      <c r="E43" t="s">
        <v>500</v>
      </c>
    </row>
    <row r="44" spans="1:5" x14ac:dyDescent="0.2">
      <c r="A44" t="s">
        <v>211</v>
      </c>
      <c r="B44">
        <v>3.2</v>
      </c>
      <c r="C44" t="s">
        <v>501</v>
      </c>
      <c r="D44">
        <v>3.3</v>
      </c>
      <c r="E44" t="s">
        <v>500</v>
      </c>
    </row>
    <row r="45" spans="1:5" x14ac:dyDescent="0.2">
      <c r="A45" t="s">
        <v>209</v>
      </c>
      <c r="B45">
        <v>2.35</v>
      </c>
      <c r="C45" t="s">
        <v>503</v>
      </c>
      <c r="D45">
        <v>1.07</v>
      </c>
      <c r="E45" t="s">
        <v>500</v>
      </c>
    </row>
    <row r="46" spans="1:5" x14ac:dyDescent="0.2">
      <c r="A46" t="s">
        <v>217</v>
      </c>
      <c r="B46">
        <v>9.1</v>
      </c>
      <c r="C46" t="s">
        <v>507</v>
      </c>
      <c r="D46">
        <v>11.2</v>
      </c>
      <c r="E46" t="s">
        <v>500</v>
      </c>
    </row>
    <row r="47" spans="1:5" x14ac:dyDescent="0.2">
      <c r="A47" t="s">
        <v>219</v>
      </c>
      <c r="B47">
        <v>-22.5</v>
      </c>
      <c r="C47" t="s">
        <v>514</v>
      </c>
      <c r="D47">
        <v>0.9</v>
      </c>
      <c r="E47" t="s">
        <v>500</v>
      </c>
    </row>
    <row r="48" spans="1:5" x14ac:dyDescent="0.2">
      <c r="A48" t="s">
        <v>215</v>
      </c>
      <c r="B48">
        <v>-12.9</v>
      </c>
      <c r="C48" t="s">
        <v>501</v>
      </c>
      <c r="D48">
        <v>27.3</v>
      </c>
      <c r="E48" t="s">
        <v>500</v>
      </c>
    </row>
    <row r="49" spans="1:5" x14ac:dyDescent="0.2">
      <c r="A49" t="s">
        <v>223</v>
      </c>
      <c r="B49">
        <v>10.199999999999999</v>
      </c>
      <c r="C49" t="s">
        <v>501</v>
      </c>
      <c r="D49">
        <v>-12.9</v>
      </c>
      <c r="E49" t="s">
        <v>500</v>
      </c>
    </row>
    <row r="50" spans="1:5" x14ac:dyDescent="0.2">
      <c r="A50" t="s">
        <v>225</v>
      </c>
      <c r="B50">
        <v>2</v>
      </c>
      <c r="C50" t="s">
        <v>501</v>
      </c>
      <c r="D50">
        <v>4.5</v>
      </c>
      <c r="E50" t="s">
        <v>500</v>
      </c>
    </row>
    <row r="51" spans="1:5" x14ac:dyDescent="0.2">
      <c r="A51" t="s">
        <v>515</v>
      </c>
      <c r="B51">
        <v>-0.7</v>
      </c>
      <c r="C51" t="s">
        <v>510</v>
      </c>
      <c r="D51">
        <v>-14.3</v>
      </c>
      <c r="E51" t="s">
        <v>500</v>
      </c>
    </row>
    <row r="52" spans="1:5" x14ac:dyDescent="0.2">
      <c r="A52" t="s">
        <v>231</v>
      </c>
      <c r="B52">
        <v>-4.0999999999999996</v>
      </c>
      <c r="C52" t="s">
        <v>501</v>
      </c>
      <c r="D52">
        <v>-2.2999999999999998</v>
      </c>
      <c r="E52" t="s">
        <v>500</v>
      </c>
    </row>
    <row r="53" spans="1:5" x14ac:dyDescent="0.2">
      <c r="A53" t="s">
        <v>229</v>
      </c>
      <c r="B53">
        <v>4.84</v>
      </c>
      <c r="C53" t="s">
        <v>503</v>
      </c>
      <c r="D53">
        <v>7.5</v>
      </c>
      <c r="E53" t="s">
        <v>500</v>
      </c>
    </row>
    <row r="54" spans="1:5" x14ac:dyDescent="0.2">
      <c r="A54" t="s">
        <v>446</v>
      </c>
      <c r="B54">
        <v>6.8</v>
      </c>
      <c r="C54" t="s">
        <v>504</v>
      </c>
      <c r="D54">
        <v>4.2</v>
      </c>
      <c r="E54" t="s">
        <v>500</v>
      </c>
    </row>
    <row r="55" spans="1:5" x14ac:dyDescent="0.2">
      <c r="A55" t="s">
        <v>516</v>
      </c>
      <c r="B55">
        <v>43.6</v>
      </c>
      <c r="C55" t="s">
        <v>499</v>
      </c>
      <c r="D55">
        <v>19.3</v>
      </c>
      <c r="E55" t="s">
        <v>500</v>
      </c>
    </row>
    <row r="56" spans="1:5" x14ac:dyDescent="0.2">
      <c r="A56" t="s">
        <v>517</v>
      </c>
      <c r="B56">
        <v>51</v>
      </c>
      <c r="C56" t="s">
        <v>504</v>
      </c>
      <c r="D56">
        <v>46.4</v>
      </c>
      <c r="E56" t="s">
        <v>500</v>
      </c>
    </row>
    <row r="57" spans="1:5" x14ac:dyDescent="0.2">
      <c r="A57" t="s">
        <v>452</v>
      </c>
      <c r="B57">
        <v>2.4</v>
      </c>
      <c r="C57" t="s">
        <v>501</v>
      </c>
      <c r="D57">
        <v>5.8</v>
      </c>
      <c r="E57" t="s">
        <v>500</v>
      </c>
    </row>
    <row r="58" spans="1:5" x14ac:dyDescent="0.2">
      <c r="A58" t="s">
        <v>450</v>
      </c>
      <c r="B58">
        <v>17</v>
      </c>
      <c r="C58" t="s">
        <v>504</v>
      </c>
      <c r="D58">
        <v>22.6</v>
      </c>
      <c r="E58" t="s">
        <v>500</v>
      </c>
    </row>
    <row r="59" spans="1:5" x14ac:dyDescent="0.2">
      <c r="A59" t="s">
        <v>265</v>
      </c>
      <c r="B59">
        <v>5.2</v>
      </c>
      <c r="C59" t="s">
        <v>511</v>
      </c>
      <c r="D59">
        <v>1.8</v>
      </c>
      <c r="E59" t="s">
        <v>500</v>
      </c>
    </row>
    <row r="60" spans="1:5" x14ac:dyDescent="0.2">
      <c r="A60" t="s">
        <v>267</v>
      </c>
      <c r="B60">
        <v>-13.2</v>
      </c>
      <c r="C60" t="s">
        <v>499</v>
      </c>
      <c r="D60">
        <v>10.199999999999999</v>
      </c>
      <c r="E60" t="s">
        <v>500</v>
      </c>
    </row>
    <row r="61" spans="1:5" x14ac:dyDescent="0.2">
      <c r="A61" t="s">
        <v>169</v>
      </c>
      <c r="B61">
        <v>-6.5</v>
      </c>
      <c r="C61" t="s">
        <v>501</v>
      </c>
      <c r="D61">
        <v>-8</v>
      </c>
      <c r="E61" t="s">
        <v>500</v>
      </c>
    </row>
    <row r="62" spans="1:5" x14ac:dyDescent="0.2">
      <c r="A62" t="s">
        <v>301</v>
      </c>
      <c r="B62">
        <v>5.5</v>
      </c>
      <c r="C62" t="s">
        <v>501</v>
      </c>
      <c r="D62">
        <v>2.5</v>
      </c>
      <c r="E62" t="s">
        <v>500</v>
      </c>
    </row>
    <row r="63" spans="1:5" x14ac:dyDescent="0.2">
      <c r="A63" t="s">
        <v>281</v>
      </c>
      <c r="B63">
        <v>-1.06</v>
      </c>
      <c r="C63" t="s">
        <v>499</v>
      </c>
      <c r="D63">
        <v>3.6</v>
      </c>
      <c r="E63" t="s">
        <v>500</v>
      </c>
    </row>
    <row r="64" spans="1:5" x14ac:dyDescent="0.2">
      <c r="A64" t="s">
        <v>283</v>
      </c>
      <c r="B64">
        <v>-4.5</v>
      </c>
      <c r="C64" t="s">
        <v>501</v>
      </c>
      <c r="D64">
        <v>-3.1</v>
      </c>
      <c r="E64" t="s">
        <v>500</v>
      </c>
    </row>
    <row r="65" spans="1:5" x14ac:dyDescent="0.2">
      <c r="A65" t="s">
        <v>293</v>
      </c>
      <c r="B65">
        <v>-8.6999999999999993</v>
      </c>
      <c r="C65" t="s">
        <v>507</v>
      </c>
      <c r="D65">
        <v>-1</v>
      </c>
      <c r="E65" t="s">
        <v>500</v>
      </c>
    </row>
    <row r="66" spans="1:5" x14ac:dyDescent="0.2">
      <c r="A66" t="s">
        <v>297</v>
      </c>
      <c r="B66">
        <v>9.5</v>
      </c>
      <c r="C66" t="s">
        <v>503</v>
      </c>
      <c r="D66">
        <v>48</v>
      </c>
      <c r="E66" t="s">
        <v>500</v>
      </c>
    </row>
    <row r="67" spans="1:5" x14ac:dyDescent="0.2">
      <c r="A67" t="s">
        <v>277</v>
      </c>
      <c r="B67">
        <v>0.7</v>
      </c>
      <c r="C67" t="s">
        <v>501</v>
      </c>
      <c r="D67">
        <v>1.53</v>
      </c>
      <c r="E67" t="s">
        <v>500</v>
      </c>
    </row>
    <row r="68" spans="1:5" x14ac:dyDescent="0.2">
      <c r="A68" t="s">
        <v>454</v>
      </c>
      <c r="B68">
        <v>11</v>
      </c>
      <c r="C68" t="s">
        <v>501</v>
      </c>
      <c r="D68">
        <v>13.8</v>
      </c>
      <c r="E68" t="s">
        <v>500</v>
      </c>
    </row>
    <row r="69" spans="1:5" x14ac:dyDescent="0.2">
      <c r="A69" t="s">
        <v>287</v>
      </c>
      <c r="B69">
        <v>19.600000000000001</v>
      </c>
      <c r="C69" t="s">
        <v>509</v>
      </c>
      <c r="D69">
        <v>79.400000000000006</v>
      </c>
      <c r="E69" t="s">
        <v>500</v>
      </c>
    </row>
    <row r="70" spans="1:5" x14ac:dyDescent="0.2">
      <c r="A70" t="s">
        <v>518</v>
      </c>
      <c r="B70">
        <v>-3.4</v>
      </c>
      <c r="C70" t="s">
        <v>503</v>
      </c>
      <c r="D70">
        <v>5</v>
      </c>
      <c r="E70" t="s">
        <v>500</v>
      </c>
    </row>
    <row r="71" spans="1:5" x14ac:dyDescent="0.2">
      <c r="A71" t="s">
        <v>269</v>
      </c>
      <c r="B71">
        <v>3.3</v>
      </c>
      <c r="C71" t="s">
        <v>503</v>
      </c>
      <c r="D71">
        <v>19.899999999999999</v>
      </c>
      <c r="E71" t="s">
        <v>500</v>
      </c>
    </row>
    <row r="72" spans="1:5" x14ac:dyDescent="0.2">
      <c r="A72" t="s">
        <v>291</v>
      </c>
      <c r="B72">
        <v>-4</v>
      </c>
      <c r="C72" t="s">
        <v>510</v>
      </c>
      <c r="D72">
        <v>5.7</v>
      </c>
      <c r="E72" t="s">
        <v>500</v>
      </c>
    </row>
    <row r="73" spans="1:5" x14ac:dyDescent="0.2">
      <c r="A73" t="s">
        <v>315</v>
      </c>
      <c r="B73">
        <v>10.5</v>
      </c>
      <c r="C73" t="s">
        <v>511</v>
      </c>
      <c r="D73">
        <v>10.5</v>
      </c>
      <c r="E73" t="s">
        <v>500</v>
      </c>
    </row>
    <row r="74" spans="1:5" x14ac:dyDescent="0.2">
      <c r="A74" t="s">
        <v>325</v>
      </c>
      <c r="B74">
        <v>16.100000000000001</v>
      </c>
      <c r="C74" t="s">
        <v>499</v>
      </c>
      <c r="D74">
        <v>0.5</v>
      </c>
      <c r="E74" t="s">
        <v>500</v>
      </c>
    </row>
    <row r="75" spans="1:5" x14ac:dyDescent="0.2">
      <c r="A75" t="s">
        <v>305</v>
      </c>
      <c r="B75">
        <v>17.600000000000001</v>
      </c>
      <c r="C75" t="s">
        <v>514</v>
      </c>
      <c r="D75">
        <v>5.8</v>
      </c>
      <c r="E75" t="s">
        <v>500</v>
      </c>
    </row>
    <row r="76" spans="1:5" x14ac:dyDescent="0.2">
      <c r="A76" t="s">
        <v>309</v>
      </c>
      <c r="B76">
        <v>1.6</v>
      </c>
      <c r="C76" t="s">
        <v>510</v>
      </c>
      <c r="D76">
        <v>-10.3</v>
      </c>
      <c r="E76" t="s">
        <v>500</v>
      </c>
    </row>
    <row r="77" spans="1:5" x14ac:dyDescent="0.2">
      <c r="A77" t="s">
        <v>319</v>
      </c>
      <c r="B77">
        <v>6.9</v>
      </c>
      <c r="C77" t="s">
        <v>501</v>
      </c>
      <c r="D77">
        <v>7.9</v>
      </c>
      <c r="E77" t="s">
        <v>500</v>
      </c>
    </row>
    <row r="78" spans="1:5" x14ac:dyDescent="0.2">
      <c r="A78" t="s">
        <v>333</v>
      </c>
      <c r="B78">
        <v>-1.55</v>
      </c>
      <c r="C78" t="s">
        <v>501</v>
      </c>
      <c r="D78">
        <v>0.89</v>
      </c>
      <c r="E78" t="s">
        <v>500</v>
      </c>
    </row>
    <row r="79" spans="1:5" x14ac:dyDescent="0.2">
      <c r="A79" t="s">
        <v>519</v>
      </c>
      <c r="B79">
        <v>27.01</v>
      </c>
      <c r="C79" t="s">
        <v>509</v>
      </c>
      <c r="D79">
        <v>76.900000000000006</v>
      </c>
      <c r="E79" t="s">
        <v>500</v>
      </c>
    </row>
    <row r="80" spans="1:5" x14ac:dyDescent="0.2">
      <c r="A80" t="s">
        <v>335</v>
      </c>
      <c r="B80">
        <v>-44</v>
      </c>
      <c r="C80" t="s">
        <v>520</v>
      </c>
      <c r="D80">
        <v>-6.5</v>
      </c>
      <c r="E80" t="s">
        <v>500</v>
      </c>
    </row>
    <row r="81" spans="1:5" x14ac:dyDescent="0.2">
      <c r="A81" t="s">
        <v>339</v>
      </c>
      <c r="B81">
        <v>-0.43</v>
      </c>
      <c r="C81" t="s">
        <v>501</v>
      </c>
      <c r="D81">
        <v>5.78</v>
      </c>
      <c r="E81" t="s">
        <v>500</v>
      </c>
    </row>
    <row r="82" spans="1:5" x14ac:dyDescent="0.2">
      <c r="A82" t="s">
        <v>341</v>
      </c>
      <c r="B82">
        <v>24.8</v>
      </c>
      <c r="C82" t="s">
        <v>501</v>
      </c>
      <c r="D82">
        <v>122</v>
      </c>
      <c r="E82" t="s">
        <v>500</v>
      </c>
    </row>
    <row r="83" spans="1:5" x14ac:dyDescent="0.2">
      <c r="A83" t="s">
        <v>347</v>
      </c>
      <c r="B83">
        <v>15.2</v>
      </c>
      <c r="C83" t="s">
        <v>504</v>
      </c>
      <c r="D83">
        <v>7.8</v>
      </c>
      <c r="E83" t="s">
        <v>500</v>
      </c>
    </row>
    <row r="84" spans="1:5" x14ac:dyDescent="0.2">
      <c r="A84" t="s">
        <v>351</v>
      </c>
      <c r="B84">
        <v>-6.7</v>
      </c>
      <c r="C84" t="s">
        <v>501</v>
      </c>
      <c r="D84">
        <v>-5.6</v>
      </c>
      <c r="E84" t="s">
        <v>500</v>
      </c>
    </row>
    <row r="85" spans="1:5" x14ac:dyDescent="0.2">
      <c r="A85" t="s">
        <v>357</v>
      </c>
      <c r="B85">
        <v>-2</v>
      </c>
      <c r="C85" t="s">
        <v>511</v>
      </c>
      <c r="D85">
        <v>-2</v>
      </c>
      <c r="E85" t="s">
        <v>500</v>
      </c>
    </row>
    <row r="86" spans="1:5" x14ac:dyDescent="0.2">
      <c r="A86" t="s">
        <v>359</v>
      </c>
      <c r="B86">
        <v>-6.1</v>
      </c>
      <c r="C86" t="s">
        <v>501</v>
      </c>
      <c r="D86">
        <v>-3.5</v>
      </c>
      <c r="E86" t="s">
        <v>500</v>
      </c>
    </row>
    <row r="87" spans="1:5" x14ac:dyDescent="0.2">
      <c r="A87" t="s">
        <v>456</v>
      </c>
      <c r="B87">
        <v>7</v>
      </c>
      <c r="C87" t="s">
        <v>504</v>
      </c>
      <c r="D87">
        <v>7.4</v>
      </c>
      <c r="E87" t="s">
        <v>500</v>
      </c>
    </row>
    <row r="88" spans="1:5" x14ac:dyDescent="0.2">
      <c r="A88" t="s">
        <v>361</v>
      </c>
      <c r="B88">
        <v>14.8</v>
      </c>
      <c r="C88" t="s">
        <v>511</v>
      </c>
      <c r="D88">
        <v>6.2</v>
      </c>
      <c r="E88" t="s">
        <v>500</v>
      </c>
    </row>
    <row r="89" spans="1:5" x14ac:dyDescent="0.2">
      <c r="A89" t="s">
        <v>363</v>
      </c>
      <c r="B89">
        <v>6.5</v>
      </c>
      <c r="C89" t="s">
        <v>503</v>
      </c>
      <c r="D89">
        <v>5.8</v>
      </c>
      <c r="E89" t="s">
        <v>500</v>
      </c>
    </row>
    <row r="90" spans="1:5" x14ac:dyDescent="0.2">
      <c r="A90" t="s">
        <v>369</v>
      </c>
      <c r="B90">
        <v>8.6</v>
      </c>
      <c r="C90" t="s">
        <v>501</v>
      </c>
      <c r="D90">
        <v>15.6</v>
      </c>
      <c r="E90" t="s">
        <v>500</v>
      </c>
    </row>
    <row r="91" spans="1:5" x14ac:dyDescent="0.2">
      <c r="A91" t="s">
        <v>521</v>
      </c>
      <c r="B91">
        <v>0.9</v>
      </c>
      <c r="C91" t="s">
        <v>501</v>
      </c>
      <c r="D91">
        <v>1.4</v>
      </c>
      <c r="E91" t="s">
        <v>500</v>
      </c>
    </row>
    <row r="92" spans="1:5" x14ac:dyDescent="0.2">
      <c r="A92" t="s">
        <v>395</v>
      </c>
      <c r="B92">
        <v>-15.2</v>
      </c>
      <c r="C92" t="s">
        <v>503</v>
      </c>
      <c r="D92">
        <v>-8.5</v>
      </c>
      <c r="E92" t="s">
        <v>500</v>
      </c>
    </row>
    <row r="93" spans="1:5" x14ac:dyDescent="0.2">
      <c r="A93" t="s">
        <v>371</v>
      </c>
      <c r="B93">
        <v>14.6</v>
      </c>
      <c r="C93" t="s">
        <v>504</v>
      </c>
      <c r="D93">
        <v>17</v>
      </c>
      <c r="E93" t="s">
        <v>500</v>
      </c>
    </row>
    <row r="94" spans="1:5" x14ac:dyDescent="0.2">
      <c r="A94" t="s">
        <v>522</v>
      </c>
      <c r="B94">
        <v>-0.6</v>
      </c>
      <c r="C94" t="s">
        <v>501</v>
      </c>
      <c r="D94">
        <v>-4.9000000000000004</v>
      </c>
      <c r="E94" t="s">
        <v>500</v>
      </c>
    </row>
    <row r="95" spans="1:5" x14ac:dyDescent="0.2">
      <c r="A95" t="s">
        <v>171</v>
      </c>
      <c r="B95">
        <v>6.2</v>
      </c>
      <c r="C95" t="s">
        <v>501</v>
      </c>
      <c r="D95">
        <v>8.6</v>
      </c>
      <c r="E95" t="s">
        <v>500</v>
      </c>
    </row>
    <row r="96" spans="1:5" x14ac:dyDescent="0.2">
      <c r="A96" t="s">
        <v>484</v>
      </c>
      <c r="B96">
        <v>-8.9</v>
      </c>
      <c r="C96" t="s">
        <v>501</v>
      </c>
      <c r="D96">
        <v>0.7</v>
      </c>
      <c r="E96" t="s">
        <v>500</v>
      </c>
    </row>
    <row r="97" spans="1:5" x14ac:dyDescent="0.2">
      <c r="A97" t="s">
        <v>243</v>
      </c>
      <c r="B97">
        <v>4.5</v>
      </c>
      <c r="C97" t="s">
        <v>501</v>
      </c>
      <c r="D97">
        <v>-1.8</v>
      </c>
      <c r="E97" t="s">
        <v>500</v>
      </c>
    </row>
    <row r="98" spans="1:5" x14ac:dyDescent="0.2">
      <c r="A98" t="s">
        <v>147</v>
      </c>
      <c r="B98">
        <v>-0.9</v>
      </c>
      <c r="C98" t="s">
        <v>501</v>
      </c>
      <c r="D98">
        <v>0.4</v>
      </c>
      <c r="E98" t="s">
        <v>500</v>
      </c>
    </row>
    <row r="99" spans="1:5" x14ac:dyDescent="0.2">
      <c r="A99" t="s">
        <v>261</v>
      </c>
      <c r="B99">
        <v>0.04</v>
      </c>
      <c r="C99" t="s">
        <v>501</v>
      </c>
      <c r="D99">
        <v>-8.23</v>
      </c>
      <c r="E99" t="s">
        <v>500</v>
      </c>
    </row>
    <row r="100" spans="1:5" x14ac:dyDescent="0.2">
      <c r="A100" t="s">
        <v>391</v>
      </c>
      <c r="B100">
        <v>3.7</v>
      </c>
      <c r="C100" t="s">
        <v>501</v>
      </c>
      <c r="D100">
        <v>3.5</v>
      </c>
      <c r="E100" t="s">
        <v>500</v>
      </c>
    </row>
    <row r="101" spans="1:5" x14ac:dyDescent="0.2">
      <c r="A101" t="s">
        <v>91</v>
      </c>
      <c r="B101">
        <v>8.3000000000000007</v>
      </c>
      <c r="C101" t="s">
        <v>503</v>
      </c>
      <c r="D101">
        <v>16.100000000000001</v>
      </c>
      <c r="E101" t="s">
        <v>500</v>
      </c>
    </row>
    <row r="102" spans="1:5" x14ac:dyDescent="0.2">
      <c r="A102" t="s">
        <v>523</v>
      </c>
      <c r="B102">
        <v>12.19</v>
      </c>
      <c r="C102" t="s">
        <v>504</v>
      </c>
      <c r="D102">
        <v>11.6</v>
      </c>
      <c r="E102" t="s">
        <v>500</v>
      </c>
    </row>
    <row r="103" spans="1:5" x14ac:dyDescent="0.2">
      <c r="A103" t="s">
        <v>524</v>
      </c>
      <c r="B103">
        <v>23.4</v>
      </c>
      <c r="C103" t="s">
        <v>499</v>
      </c>
      <c r="D103">
        <v>21.5</v>
      </c>
      <c r="E103" t="s">
        <v>500</v>
      </c>
    </row>
    <row r="104" spans="1:5" x14ac:dyDescent="0.2">
      <c r="A104" t="s">
        <v>405</v>
      </c>
      <c r="B104">
        <v>2.91</v>
      </c>
      <c r="C104" t="s">
        <v>501</v>
      </c>
      <c r="D104">
        <v>0.3</v>
      </c>
      <c r="E104" t="s">
        <v>500</v>
      </c>
    </row>
    <row r="105" spans="1:5" x14ac:dyDescent="0.2">
      <c r="A105" t="s">
        <v>403</v>
      </c>
      <c r="B105">
        <v>13.4</v>
      </c>
      <c r="C105" t="s">
        <v>499</v>
      </c>
      <c r="D105">
        <v>6.8</v>
      </c>
      <c r="E105" t="s">
        <v>500</v>
      </c>
    </row>
    <row r="106" spans="1:5" x14ac:dyDescent="0.2">
      <c r="A106" t="s">
        <v>525</v>
      </c>
      <c r="B106">
        <v>10.4</v>
      </c>
      <c r="C106" t="s">
        <v>507</v>
      </c>
      <c r="D106">
        <v>18</v>
      </c>
      <c r="E106" t="s">
        <v>500</v>
      </c>
    </row>
    <row r="107" spans="1:5" x14ac:dyDescent="0.2">
      <c r="A107" t="s">
        <v>417</v>
      </c>
      <c r="B107">
        <v>4.5999999999999996</v>
      </c>
      <c r="C107" t="s">
        <v>503</v>
      </c>
      <c r="D107">
        <v>3.9</v>
      </c>
      <c r="E107" t="s">
        <v>500</v>
      </c>
    </row>
    <row r="108" spans="1:5" x14ac:dyDescent="0.2">
      <c r="A108" t="s">
        <v>419</v>
      </c>
      <c r="B108">
        <v>8.5</v>
      </c>
      <c r="C108" t="s">
        <v>501</v>
      </c>
      <c r="D108">
        <v>9</v>
      </c>
      <c r="E108" t="s">
        <v>500</v>
      </c>
    </row>
    <row r="109" spans="1:5" x14ac:dyDescent="0.2">
      <c r="A109" t="s">
        <v>462</v>
      </c>
      <c r="B109">
        <v>0.4</v>
      </c>
      <c r="C109" t="s">
        <v>504</v>
      </c>
      <c r="D109">
        <v>1.4</v>
      </c>
      <c r="E109" t="s">
        <v>500</v>
      </c>
    </row>
    <row r="110" spans="1:5" x14ac:dyDescent="0.2">
      <c r="A110" t="s">
        <v>177</v>
      </c>
      <c r="B110">
        <v>1.4</v>
      </c>
      <c r="C110" t="s">
        <v>501</v>
      </c>
      <c r="D110">
        <v>2.9</v>
      </c>
      <c r="E110" t="s">
        <v>500</v>
      </c>
    </row>
    <row r="111" spans="1:5" x14ac:dyDescent="0.2">
      <c r="A111" t="s">
        <v>432</v>
      </c>
      <c r="B111">
        <v>5.3</v>
      </c>
      <c r="C111" t="s">
        <v>504</v>
      </c>
      <c r="D111">
        <v>5.3</v>
      </c>
      <c r="E111" t="s">
        <v>500</v>
      </c>
    </row>
    <row r="112" spans="1:5" x14ac:dyDescent="0.2">
      <c r="A112" t="s">
        <v>430</v>
      </c>
      <c r="B112">
        <v>6.9</v>
      </c>
      <c r="C112" t="s">
        <v>501</v>
      </c>
      <c r="D112">
        <v>12.2</v>
      </c>
      <c r="E112" t="s">
        <v>500</v>
      </c>
    </row>
    <row r="113" spans="1:5" x14ac:dyDescent="0.2">
      <c r="A113" t="s">
        <v>464</v>
      </c>
      <c r="B113">
        <v>8.5</v>
      </c>
      <c r="C113" t="s">
        <v>499</v>
      </c>
      <c r="D113">
        <v>3.8</v>
      </c>
      <c r="E113" t="s">
        <v>500</v>
      </c>
    </row>
    <row r="114" spans="1:5" x14ac:dyDescent="0.2">
      <c r="A114" t="s">
        <v>470</v>
      </c>
      <c r="B114">
        <v>-20.6</v>
      </c>
      <c r="C114" t="s">
        <v>526</v>
      </c>
      <c r="D114">
        <v>-47</v>
      </c>
      <c r="E114" t="s">
        <v>500</v>
      </c>
    </row>
    <row r="115" spans="1:5" x14ac:dyDescent="0.2">
      <c r="A115" t="s">
        <v>476</v>
      </c>
      <c r="B115">
        <v>5.6</v>
      </c>
      <c r="C115" t="s">
        <v>504</v>
      </c>
      <c r="D115">
        <v>-1.8</v>
      </c>
      <c r="E115" t="s">
        <v>500</v>
      </c>
    </row>
  </sheetData>
  <autoFilter ref="A1:D1" xr:uid="{00000000-0009-0000-0000-000002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 tint="0.499984740745262"/>
  </sheetPr>
  <dimension ref="A1:AT1250"/>
  <sheetViews>
    <sheetView workbookViewId="0">
      <pane xSplit="1" ySplit="1" topLeftCell="B1193" activePane="bottomRight" state="frozen"/>
      <selection activeCell="AW1" sqref="AW1"/>
      <selection pane="topRight" activeCell="AW1" sqref="AW1"/>
      <selection pane="bottomLeft" activeCell="AW1" sqref="AW1"/>
      <selection pane="bottomRight" activeCell="AW1" sqref="AW1"/>
    </sheetView>
  </sheetViews>
  <sheetFormatPr baseColWidth="10" defaultColWidth="9.1640625" defaultRowHeight="15" x14ac:dyDescent="0.2"/>
  <cols>
    <col min="1" max="1" width="11.1640625" style="83" customWidth="1"/>
    <col min="2" max="4" width="9.1640625" style="20" customWidth="1"/>
    <col min="5" max="5" width="10.6640625" style="20" bestFit="1" customWidth="1"/>
    <col min="6" max="6" width="10.6640625" style="20" customWidth="1"/>
    <col min="7" max="45" width="9.1640625" style="20" customWidth="1"/>
    <col min="46" max="61" width="9.1640625" style="83" customWidth="1"/>
    <col min="62" max="16384" width="9.1640625" style="83"/>
  </cols>
  <sheetData>
    <row r="1" spans="1:46" x14ac:dyDescent="0.2">
      <c r="A1" t="s">
        <v>527</v>
      </c>
      <c r="B1" t="s">
        <v>37</v>
      </c>
      <c r="C1" t="s">
        <v>48</v>
      </c>
      <c r="D1" t="s">
        <v>50</v>
      </c>
      <c r="E1" t="s">
        <v>54</v>
      </c>
      <c r="F1" t="s">
        <v>74</v>
      </c>
      <c r="G1" t="s">
        <v>86</v>
      </c>
      <c r="H1" t="s">
        <v>90</v>
      </c>
      <c r="I1" t="s">
        <v>528</v>
      </c>
      <c r="J1" t="s">
        <v>92</v>
      </c>
      <c r="K1" t="s">
        <v>529</v>
      </c>
      <c r="L1" t="s">
        <v>126</v>
      </c>
      <c r="M1" t="s">
        <v>132</v>
      </c>
      <c r="N1" t="s">
        <v>530</v>
      </c>
      <c r="O1" t="s">
        <v>146</v>
      </c>
      <c r="P1" t="s">
        <v>531</v>
      </c>
      <c r="Q1" t="s">
        <v>532</v>
      </c>
      <c r="R1" t="s">
        <v>152</v>
      </c>
      <c r="S1" t="s">
        <v>158</v>
      </c>
      <c r="T1" t="s">
        <v>533</v>
      </c>
      <c r="U1" t="s">
        <v>176</v>
      </c>
      <c r="V1" t="s">
        <v>190</v>
      </c>
      <c r="W1" t="s">
        <v>206</v>
      </c>
      <c r="X1" t="s">
        <v>210</v>
      </c>
      <c r="Y1" t="s">
        <v>214</v>
      </c>
      <c r="Z1" t="s">
        <v>220</v>
      </c>
      <c r="AA1" t="s">
        <v>222</v>
      </c>
      <c r="AB1" t="s">
        <v>224</v>
      </c>
      <c r="AC1" t="s">
        <v>230</v>
      </c>
      <c r="AD1" t="s">
        <v>534</v>
      </c>
      <c r="AE1" t="s">
        <v>264</v>
      </c>
      <c r="AF1" t="s">
        <v>535</v>
      </c>
      <c r="AG1" t="s">
        <v>276</v>
      </c>
      <c r="AH1" t="s">
        <v>314</v>
      </c>
      <c r="AI1" t="s">
        <v>318</v>
      </c>
      <c r="AJ1" t="s">
        <v>324</v>
      </c>
      <c r="AK1" t="s">
        <v>536</v>
      </c>
      <c r="AL1" t="s">
        <v>346</v>
      </c>
      <c r="AM1" t="s">
        <v>350</v>
      </c>
      <c r="AN1" t="s">
        <v>537</v>
      </c>
      <c r="AO1" t="s">
        <v>538</v>
      </c>
      <c r="AP1" t="s">
        <v>539</v>
      </c>
      <c r="AQ1" t="s">
        <v>390</v>
      </c>
      <c r="AR1" t="s">
        <v>418</v>
      </c>
      <c r="AS1" t="s">
        <v>431</v>
      </c>
      <c r="AT1" t="s">
        <v>483</v>
      </c>
    </row>
    <row r="2" spans="1:46" x14ac:dyDescent="0.2">
      <c r="A2" s="87">
        <v>6941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>
        <v>4.8471063970000001</v>
      </c>
      <c r="AT2"/>
    </row>
    <row r="3" spans="1:46" x14ac:dyDescent="0.2">
      <c r="A3" s="87">
        <v>6972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>
        <v>4.6328116020000003</v>
      </c>
      <c r="AT3"/>
    </row>
    <row r="4" spans="1:46" x14ac:dyDescent="0.2">
      <c r="A4" s="87">
        <v>7000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>
        <v>4.4989021359999999</v>
      </c>
      <c r="AT4"/>
    </row>
    <row r="5" spans="1:46" x14ac:dyDescent="0.2">
      <c r="A5" s="87">
        <v>7031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>
        <v>4.579287463</v>
      </c>
      <c r="AT5"/>
    </row>
    <row r="6" spans="1:46" x14ac:dyDescent="0.2">
      <c r="A6" s="87">
        <v>7061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>
        <v>4.6060495330000002</v>
      </c>
      <c r="AT6"/>
    </row>
    <row r="7" spans="1:46" x14ac:dyDescent="0.2">
      <c r="A7" s="87">
        <v>7092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>
        <v>4.9006305360000004</v>
      </c>
      <c r="AT7"/>
    </row>
    <row r="8" spans="1:46" x14ac:dyDescent="0.2">
      <c r="A8" s="87">
        <v>7122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>
        <v>5.1952115389999998</v>
      </c>
      <c r="AT8"/>
    </row>
    <row r="9" spans="1:46" x14ac:dyDescent="0.2">
      <c r="A9" s="87">
        <v>7153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>
        <v>5.2754977480000003</v>
      </c>
      <c r="AT9"/>
    </row>
    <row r="10" spans="1:46" x14ac:dyDescent="0.2">
      <c r="A10" s="87">
        <v>7184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>
        <v>5.1684494689999996</v>
      </c>
      <c r="AT10"/>
    </row>
    <row r="11" spans="1:46" x14ac:dyDescent="0.2">
      <c r="A11" s="87">
        <v>7214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>
        <v>5.1148262109999996</v>
      </c>
      <c r="AT11"/>
    </row>
    <row r="12" spans="1:46" x14ac:dyDescent="0.2">
      <c r="A12" s="87">
        <v>7245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>
        <v>5.034540003</v>
      </c>
      <c r="AT12"/>
    </row>
    <row r="13" spans="1:46" x14ac:dyDescent="0.2">
      <c r="A13" s="87">
        <v>7275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>
        <v>5.1148262109999996</v>
      </c>
      <c r="AT13"/>
    </row>
    <row r="14" spans="1:46" x14ac:dyDescent="0.2">
      <c r="A14" s="87">
        <v>7306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>
        <v>5.5969399390000003</v>
      </c>
      <c r="AT14"/>
    </row>
    <row r="15" spans="1:46" x14ac:dyDescent="0.2">
      <c r="A15" s="87">
        <v>7337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>
        <v>5.5969399390000003</v>
      </c>
      <c r="AT15"/>
    </row>
    <row r="16" spans="1:46" x14ac:dyDescent="0.2">
      <c r="A16" s="87">
        <v>7366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>
        <v>5.489792542</v>
      </c>
      <c r="AT16"/>
    </row>
    <row r="17" spans="1:46" x14ac:dyDescent="0.2">
      <c r="A17" s="87">
        <v>7397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>
        <v>5.1952115389999998</v>
      </c>
      <c r="AT17"/>
    </row>
    <row r="18" spans="1:46" x14ac:dyDescent="0.2">
      <c r="A18" s="87">
        <v>7427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>
        <v>5.3291210060000003</v>
      </c>
      <c r="AT18"/>
    </row>
    <row r="19" spans="1:46" x14ac:dyDescent="0.2">
      <c r="A19" s="87">
        <v>7458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>
        <v>5.3826451449999997</v>
      </c>
      <c r="AT19"/>
    </row>
    <row r="20" spans="1:46" x14ac:dyDescent="0.2">
      <c r="A20" s="87">
        <v>7488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>
        <v>5.2487356780000001</v>
      </c>
      <c r="AT20"/>
    </row>
    <row r="21" spans="1:46" x14ac:dyDescent="0.2">
      <c r="A21" s="87">
        <v>7519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>
        <v>5.2754977480000003</v>
      </c>
      <c r="AT21"/>
    </row>
    <row r="22" spans="1:46" x14ac:dyDescent="0.2">
      <c r="A22" s="87">
        <v>7550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>
        <v>5.0880641420000003</v>
      </c>
      <c r="AT22"/>
    </row>
    <row r="23" spans="1:46" x14ac:dyDescent="0.2">
      <c r="A23" s="87">
        <v>7580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>
        <v>4.8738684660000002</v>
      </c>
      <c r="AT23"/>
    </row>
    <row r="24" spans="1:46" x14ac:dyDescent="0.2">
      <c r="A24" s="87">
        <v>7611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>
        <v>4.4721400659999997</v>
      </c>
      <c r="AT24"/>
    </row>
    <row r="25" spans="1:46" x14ac:dyDescent="0.2">
      <c r="A25" s="87">
        <v>7641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>
        <v>4.2043211329999997</v>
      </c>
      <c r="AT25"/>
    </row>
    <row r="26" spans="1:46" x14ac:dyDescent="0.2">
      <c r="A26" s="87">
        <v>7672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>
        <v>3.9633633879999999</v>
      </c>
      <c r="AT26"/>
    </row>
    <row r="27" spans="1:46" x14ac:dyDescent="0.2">
      <c r="A27" s="87">
        <v>7703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>
        <v>3.8829780600000001</v>
      </c>
      <c r="AT27"/>
    </row>
    <row r="28" spans="1:46" x14ac:dyDescent="0.2">
      <c r="A28" s="87">
        <v>7731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>
        <v>3.775929782</v>
      </c>
      <c r="AT28"/>
    </row>
    <row r="29" spans="1:46" x14ac:dyDescent="0.2">
      <c r="A29" s="87">
        <v>7762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>
        <v>3.775929782</v>
      </c>
      <c r="AT29"/>
    </row>
    <row r="30" spans="1:46" x14ac:dyDescent="0.2">
      <c r="A30" s="87">
        <v>7792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>
        <v>3.8829780600000001</v>
      </c>
      <c r="AT30"/>
    </row>
    <row r="31" spans="1:46" x14ac:dyDescent="0.2">
      <c r="A31" s="87">
        <v>7823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>
        <v>3.8562159899999999</v>
      </c>
      <c r="AT31"/>
    </row>
    <row r="32" spans="1:46" x14ac:dyDescent="0.2">
      <c r="A32" s="87">
        <v>7853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>
        <v>3.8294539209999998</v>
      </c>
      <c r="AT32"/>
    </row>
    <row r="33" spans="1:46" x14ac:dyDescent="0.2">
      <c r="A33" s="87">
        <v>7884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>
        <v>3.9633633879999999</v>
      </c>
      <c r="AT33"/>
    </row>
    <row r="34" spans="1:46" x14ac:dyDescent="0.2">
      <c r="A34" s="87">
        <v>7915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>
        <v>3.990125457</v>
      </c>
      <c r="AT34"/>
    </row>
    <row r="35" spans="1:46" x14ac:dyDescent="0.2">
      <c r="A35" s="87">
        <v>7945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>
        <v>4.2311823210000004</v>
      </c>
      <c r="AT35"/>
    </row>
    <row r="36" spans="1:46" x14ac:dyDescent="0.2">
      <c r="A36" s="87">
        <v>7976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>
        <v>4.1775590630000004</v>
      </c>
      <c r="AT36"/>
    </row>
    <row r="37" spans="1:46" x14ac:dyDescent="0.2">
      <c r="A37" s="87">
        <v>8006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>
        <v>4.1507969930000002</v>
      </c>
      <c r="AT37"/>
    </row>
    <row r="38" spans="1:46" x14ac:dyDescent="0.2">
      <c r="A38" s="87">
        <v>8037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>
        <v>4.31146853</v>
      </c>
      <c r="AT38"/>
    </row>
    <row r="39" spans="1:46" x14ac:dyDescent="0.2">
      <c r="A39" s="87">
        <v>8068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>
        <v>4.4989021359999999</v>
      </c>
      <c r="AT39"/>
    </row>
    <row r="40" spans="1:46" x14ac:dyDescent="0.2">
      <c r="A40" s="87">
        <v>8096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>
        <v>4.7399589999999998</v>
      </c>
      <c r="AT40"/>
    </row>
    <row r="41" spans="1:46" x14ac:dyDescent="0.2">
      <c r="A41" s="87">
        <v>8127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>
        <v>4.579287463</v>
      </c>
      <c r="AT41"/>
    </row>
    <row r="42" spans="1:46" x14ac:dyDescent="0.2">
      <c r="A42" s="87">
        <v>8157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>
        <v>4.8202452080000002</v>
      </c>
      <c r="AT42"/>
    </row>
    <row r="43" spans="1:46" x14ac:dyDescent="0.2">
      <c r="A43" s="87">
        <v>8188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>
        <v>5.0613020720000002</v>
      </c>
      <c r="AT43"/>
    </row>
    <row r="44" spans="1:46" x14ac:dyDescent="0.2">
      <c r="A44" s="87">
        <v>8218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>
        <v>5.0613020720000002</v>
      </c>
      <c r="AT44"/>
    </row>
    <row r="45" spans="1:46" x14ac:dyDescent="0.2">
      <c r="A45" s="87">
        <v>8249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>
        <v>4.9541546749999998</v>
      </c>
      <c r="AT45"/>
    </row>
    <row r="46" spans="1:46" x14ac:dyDescent="0.2">
      <c r="A46" s="87">
        <v>8280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>
        <v>5.2219736079999999</v>
      </c>
      <c r="AT46"/>
    </row>
    <row r="47" spans="1:46" x14ac:dyDescent="0.2">
      <c r="A47" s="87">
        <v>8310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>
        <v>5.5165546120000002</v>
      </c>
      <c r="AT47"/>
    </row>
    <row r="48" spans="1:46" x14ac:dyDescent="0.2">
      <c r="A48" s="87">
        <v>8341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>
        <v>5.757611475</v>
      </c>
      <c r="AT48"/>
    </row>
    <row r="49" spans="1:46" x14ac:dyDescent="0.2">
      <c r="A49" s="87">
        <v>8371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>
        <v>5.9182830119999998</v>
      </c>
      <c r="AT49"/>
    </row>
    <row r="50" spans="1:46" x14ac:dyDescent="0.2">
      <c r="A50" s="87">
        <v>8402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>
        <v>5.7843735450000002</v>
      </c>
      <c r="AT50"/>
    </row>
    <row r="51" spans="1:46" x14ac:dyDescent="0.2">
      <c r="A51" s="87">
        <v>8433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>
        <v>5.8646597539999998</v>
      </c>
      <c r="AT51"/>
    </row>
    <row r="52" spans="1:46" x14ac:dyDescent="0.2">
      <c r="A52" s="87">
        <v>8461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>
        <v>6.0521924780000003</v>
      </c>
      <c r="AT52"/>
    </row>
    <row r="53" spans="1:46" x14ac:dyDescent="0.2">
      <c r="A53" s="87">
        <v>8492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>
        <v>6.1860028260000002</v>
      </c>
      <c r="AT53"/>
    </row>
    <row r="54" spans="1:46" x14ac:dyDescent="0.2">
      <c r="A54" s="87">
        <v>8522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>
        <v>6.2663881540000004</v>
      </c>
      <c r="AT54">
        <v>1.630733</v>
      </c>
    </row>
    <row r="55" spans="1:46" x14ac:dyDescent="0.2">
      <c r="A55" s="87">
        <v>8553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>
        <v>6.2128640150000001</v>
      </c>
      <c r="AT55">
        <v>1.842597</v>
      </c>
    </row>
    <row r="56" spans="1:46" x14ac:dyDescent="0.2">
      <c r="A56" s="87">
        <v>8583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>
        <v>6.1592407570000001</v>
      </c>
      <c r="AT56">
        <v>0.98706300000000002</v>
      </c>
    </row>
    <row r="57" spans="1:46" x14ac:dyDescent="0.2">
      <c r="A57" s="87">
        <v>8614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>
        <v>6.0521924780000003</v>
      </c>
      <c r="AT57">
        <v>0.72531999999999996</v>
      </c>
    </row>
    <row r="58" spans="1:46" x14ac:dyDescent="0.2">
      <c r="A58" s="87">
        <v>8645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>
        <v>5.9182830119999998</v>
      </c>
      <c r="AT58">
        <v>-0.43698700000000001</v>
      </c>
    </row>
    <row r="59" spans="1:46" x14ac:dyDescent="0.2">
      <c r="A59" s="87">
        <v>8675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>
        <v>5.8914218229999999</v>
      </c>
      <c r="AT59">
        <v>2.233625</v>
      </c>
    </row>
    <row r="60" spans="1:46" x14ac:dyDescent="0.2">
      <c r="A60" s="87">
        <v>8706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>
        <v>5.8914218229999999</v>
      </c>
      <c r="AT60">
        <v>0.90900000000000003</v>
      </c>
    </row>
    <row r="61" spans="1:46" x14ac:dyDescent="0.2">
      <c r="A61" s="87">
        <v>8736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>
        <v>5.757611475</v>
      </c>
      <c r="AT61">
        <v>2.5865809999999998</v>
      </c>
    </row>
    <row r="62" spans="1:46" x14ac:dyDescent="0.2">
      <c r="A62" s="87">
        <v>8767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>
        <v>5.8914218229999999</v>
      </c>
      <c r="AT62">
        <v>0.640571</v>
      </c>
    </row>
    <row r="63" spans="1:46" x14ac:dyDescent="0.2">
      <c r="A63" s="87">
        <v>8798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>
        <v>5.9985692200000003</v>
      </c>
      <c r="AT63">
        <v>1.9520280000000001</v>
      </c>
    </row>
    <row r="64" spans="1:46" x14ac:dyDescent="0.2">
      <c r="A64" s="87">
        <v>8827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>
        <v>5.8914218229999999</v>
      </c>
      <c r="AT64">
        <v>1.280861</v>
      </c>
    </row>
    <row r="65" spans="1:46" x14ac:dyDescent="0.2">
      <c r="A65" s="87">
        <v>8858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>
        <v>5.703988217</v>
      </c>
      <c r="AT65">
        <v>1.322738</v>
      </c>
    </row>
    <row r="66" spans="1:46" x14ac:dyDescent="0.2">
      <c r="A66" s="87">
        <v>8888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>
        <v>5.4630304719999998</v>
      </c>
      <c r="AT66">
        <v>2.6442269999999999</v>
      </c>
    </row>
    <row r="67" spans="1:46" x14ac:dyDescent="0.2">
      <c r="A67" s="87">
        <v>8919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>
        <v>5.2219736079999999</v>
      </c>
      <c r="AT67">
        <v>2.639167</v>
      </c>
    </row>
    <row r="68" spans="1:46" x14ac:dyDescent="0.2">
      <c r="A68" s="87">
        <v>8949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>
        <v>5.1416874000000004</v>
      </c>
      <c r="AT68">
        <v>1.7621709999999999</v>
      </c>
    </row>
    <row r="69" spans="1:46" x14ac:dyDescent="0.2">
      <c r="A69" s="87">
        <v>8980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>
        <v>5.3291210060000003</v>
      </c>
      <c r="AT69">
        <v>1.873092</v>
      </c>
    </row>
    <row r="70" spans="1:46" x14ac:dyDescent="0.2">
      <c r="A70" s="87">
        <v>9011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>
        <v>5.5165546120000002</v>
      </c>
      <c r="AT70">
        <v>1.8098669999999999</v>
      </c>
    </row>
    <row r="71" spans="1:46" x14ac:dyDescent="0.2">
      <c r="A71" s="87">
        <v>9041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>
        <v>5.6504640779999997</v>
      </c>
      <c r="AT71">
        <v>0.93956899999999999</v>
      </c>
    </row>
    <row r="72" spans="1:46" x14ac:dyDescent="0.2">
      <c r="A72" s="87">
        <v>9072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>
        <v>5.757611475</v>
      </c>
      <c r="AT72">
        <v>2.9242729999999999</v>
      </c>
    </row>
    <row r="73" spans="1:46" x14ac:dyDescent="0.2">
      <c r="A73" s="87">
        <v>9102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>
        <v>5.9182830119999998</v>
      </c>
      <c r="AT73">
        <v>1.9239980000000001</v>
      </c>
    </row>
    <row r="74" spans="1:46" x14ac:dyDescent="0.2">
      <c r="A74" s="87">
        <v>9133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>
        <v>6.1057166179999998</v>
      </c>
      <c r="AT74">
        <v>0.96739399999999998</v>
      </c>
    </row>
    <row r="75" spans="1:46" x14ac:dyDescent="0.2">
      <c r="A75" s="87">
        <v>9164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>
        <v>6.1057166179999998</v>
      </c>
      <c r="AT75">
        <v>-0.315747</v>
      </c>
    </row>
    <row r="76" spans="1:46" x14ac:dyDescent="0.2">
      <c r="A76" s="87">
        <v>9192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>
        <v>6.1057166179999998</v>
      </c>
      <c r="AT76">
        <v>1.6633230000000001</v>
      </c>
    </row>
    <row r="77" spans="1:46" x14ac:dyDescent="0.2">
      <c r="A77" s="87">
        <v>9223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>
        <v>6.1592407570000001</v>
      </c>
      <c r="AT77">
        <v>1.4043380000000001</v>
      </c>
    </row>
    <row r="78" spans="1:46" x14ac:dyDescent="0.2">
      <c r="A78" s="87">
        <v>9253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>
        <v>6.1324786869999999</v>
      </c>
      <c r="AT78">
        <v>1.0882419999999999</v>
      </c>
    </row>
    <row r="79" spans="1:46" x14ac:dyDescent="0.2">
      <c r="A79" s="87">
        <v>9284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>
        <v>6.0789545479999996</v>
      </c>
      <c r="AT79">
        <v>1.47329</v>
      </c>
    </row>
    <row r="80" spans="1:46" x14ac:dyDescent="0.2">
      <c r="A80" s="87">
        <v>9314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>
        <v>6.2396260840000002</v>
      </c>
      <c r="AT80">
        <v>0.32904099999999997</v>
      </c>
    </row>
    <row r="81" spans="1:46" x14ac:dyDescent="0.2">
      <c r="A81" s="87">
        <v>9345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>
        <v>6.1324786869999999</v>
      </c>
      <c r="AT81">
        <v>3.635516</v>
      </c>
    </row>
    <row r="82" spans="1:46" x14ac:dyDescent="0.2">
      <c r="A82" s="87">
        <v>9376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>
        <v>6.0521924780000003</v>
      </c>
      <c r="AT82">
        <v>0.15892600000000001</v>
      </c>
    </row>
    <row r="83" spans="1:46" x14ac:dyDescent="0.2">
      <c r="A83" s="87">
        <v>9406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>
        <v>6.2931502239999997</v>
      </c>
      <c r="AT83">
        <v>5.0283369999999996</v>
      </c>
    </row>
    <row r="84" spans="1:46" x14ac:dyDescent="0.2">
      <c r="A84" s="87">
        <v>9437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>
        <v>6.4270596900000001</v>
      </c>
      <c r="AT84">
        <v>-1.8157479999999999</v>
      </c>
    </row>
    <row r="85" spans="1:46" x14ac:dyDescent="0.2">
      <c r="A85" s="87">
        <v>9467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>
        <v>6.5073458989999997</v>
      </c>
      <c r="AT85">
        <v>1.641869</v>
      </c>
    </row>
    <row r="86" spans="1:46" x14ac:dyDescent="0.2">
      <c r="A86" s="87">
        <v>9498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>
        <v>6.400297621</v>
      </c>
      <c r="AT86">
        <v>0.44336900000000001</v>
      </c>
    </row>
    <row r="87" spans="1:46" x14ac:dyDescent="0.2">
      <c r="A87" s="87">
        <v>9529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>
        <v>6.400297621</v>
      </c>
      <c r="AT87">
        <v>1.0793269999999999</v>
      </c>
    </row>
    <row r="88" spans="1:46" x14ac:dyDescent="0.2">
      <c r="A88" s="87">
        <v>9557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>
        <v>6.4805838290000004</v>
      </c>
      <c r="AT88">
        <v>1.8906130000000001</v>
      </c>
    </row>
    <row r="89" spans="1:46" x14ac:dyDescent="0.2">
      <c r="A89" s="87">
        <v>9588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>
        <v>6.4805838290000004</v>
      </c>
      <c r="AT89">
        <v>0.71868799999999999</v>
      </c>
    </row>
    <row r="90" spans="1:46" x14ac:dyDescent="0.2">
      <c r="A90" s="87">
        <v>9618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>
        <v>6.4270596900000001</v>
      </c>
      <c r="AT90">
        <v>-8.4331000000000003E-2</v>
      </c>
    </row>
    <row r="91" spans="1:46" x14ac:dyDescent="0.2">
      <c r="A91" s="87">
        <v>9649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>
        <v>6.5073458989999997</v>
      </c>
      <c r="AT91">
        <v>4.5667660000000003</v>
      </c>
    </row>
    <row r="92" spans="1:46" x14ac:dyDescent="0.2">
      <c r="A92" s="87">
        <v>9679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>
        <v>6.5342070870000004</v>
      </c>
      <c r="AT92">
        <v>-1.349817</v>
      </c>
    </row>
    <row r="93" spans="1:46" x14ac:dyDescent="0.2">
      <c r="A93" s="87">
        <v>9710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>
        <v>6.614493296</v>
      </c>
      <c r="AT93">
        <v>2.1524909999999999</v>
      </c>
    </row>
    <row r="94" spans="1:46" x14ac:dyDescent="0.2">
      <c r="A94" s="87">
        <v>9741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>
        <v>6.7216406930000003</v>
      </c>
      <c r="AT94">
        <v>2.0405880000000001</v>
      </c>
    </row>
    <row r="95" spans="1:46" x14ac:dyDescent="0.2">
      <c r="A95" s="87">
        <v>9771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>
        <v>6.7216406930000003</v>
      </c>
      <c r="AT95">
        <v>-1.154461</v>
      </c>
    </row>
    <row r="96" spans="1:46" x14ac:dyDescent="0.2">
      <c r="A96" s="87">
        <v>9802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>
        <v>6.6948786240000002</v>
      </c>
      <c r="AT96">
        <v>3.5184989999999998</v>
      </c>
    </row>
    <row r="97" spans="1:46" x14ac:dyDescent="0.2">
      <c r="A97" s="87">
        <v>9832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>
        <v>6.668116554</v>
      </c>
      <c r="AT97">
        <v>1.481128</v>
      </c>
    </row>
    <row r="98" spans="1:46" x14ac:dyDescent="0.2">
      <c r="A98" s="87">
        <v>9863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>
        <v>6.6412553660000002</v>
      </c>
      <c r="AT98">
        <v>-0.81523000000000001</v>
      </c>
    </row>
    <row r="99" spans="1:46" x14ac:dyDescent="0.2">
      <c r="A99" s="87">
        <v>9894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>
        <v>6.6948786240000002</v>
      </c>
      <c r="AT99">
        <v>1.302659</v>
      </c>
    </row>
    <row r="100" spans="1:46" x14ac:dyDescent="0.2">
      <c r="A100" s="87">
        <v>9922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>
        <v>6.7751648319999997</v>
      </c>
      <c r="AT100">
        <v>0.71876200000000001</v>
      </c>
    </row>
    <row r="101" spans="1:46" x14ac:dyDescent="0.2">
      <c r="A101" s="87">
        <v>9953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>
        <v>6.614493296</v>
      </c>
      <c r="AT101">
        <v>-0.58952000000000004</v>
      </c>
    </row>
    <row r="102" spans="1:46" x14ac:dyDescent="0.2">
      <c r="A102" s="87">
        <v>9983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>
        <v>6.668116554</v>
      </c>
      <c r="AT102">
        <v>1.04617</v>
      </c>
    </row>
    <row r="103" spans="1:46" x14ac:dyDescent="0.2">
      <c r="A103" s="87">
        <v>10014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>
        <v>6.6412553660000002</v>
      </c>
      <c r="AT103">
        <v>6.1773000000000002E-2</v>
      </c>
    </row>
    <row r="104" spans="1:46" x14ac:dyDescent="0.2">
      <c r="A104" s="87">
        <v>10044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>
        <v>6.5609691569999997</v>
      </c>
      <c r="AT104">
        <v>1.770999</v>
      </c>
    </row>
    <row r="105" spans="1:46" x14ac:dyDescent="0.2">
      <c r="A105" s="87">
        <v>10075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>
        <v>6.5609691569999997</v>
      </c>
      <c r="AT105">
        <v>1.2896780000000001</v>
      </c>
    </row>
    <row r="106" spans="1:46" x14ac:dyDescent="0.2">
      <c r="A106" s="87">
        <v>10106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>
        <v>6.4538217600000003</v>
      </c>
      <c r="AT106">
        <v>-0.44474799999999998</v>
      </c>
    </row>
    <row r="107" spans="1:46" x14ac:dyDescent="0.2">
      <c r="A107" s="87">
        <v>10136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>
        <v>6.3199122929999998</v>
      </c>
      <c r="AT107">
        <v>2.8921260000000002</v>
      </c>
    </row>
    <row r="108" spans="1:46" x14ac:dyDescent="0.2">
      <c r="A108" s="87">
        <v>10167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>
        <v>6.3199122929999998</v>
      </c>
      <c r="AT108">
        <v>1.926215</v>
      </c>
    </row>
    <row r="109" spans="1:46" x14ac:dyDescent="0.2">
      <c r="A109" s="87">
        <v>10197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>
        <v>6.346674363</v>
      </c>
      <c r="AT109">
        <v>1.8685750000000001</v>
      </c>
    </row>
    <row r="110" spans="1:46" x14ac:dyDescent="0.2">
      <c r="A110" s="87">
        <v>10228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>
        <v>6.4805838290000004</v>
      </c>
      <c r="AT110">
        <v>1.374417</v>
      </c>
    </row>
    <row r="111" spans="1:46" x14ac:dyDescent="0.2">
      <c r="A111" s="87">
        <v>10259</v>
      </c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>
        <v>6.5342070870000004</v>
      </c>
      <c r="AT111">
        <v>1.1325670000000001</v>
      </c>
    </row>
    <row r="112" spans="1:46" x14ac:dyDescent="0.2">
      <c r="A112" s="87">
        <v>10288</v>
      </c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>
        <v>6.5877312269999999</v>
      </c>
      <c r="AT112">
        <v>-0.94391400000000003</v>
      </c>
    </row>
    <row r="113" spans="1:46" x14ac:dyDescent="0.2">
      <c r="A113" s="87">
        <v>10319</v>
      </c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>
        <v>6.5609691569999997</v>
      </c>
      <c r="AT113">
        <v>-0.40046599999999999</v>
      </c>
    </row>
    <row r="114" spans="1:46" x14ac:dyDescent="0.2">
      <c r="A114" s="87">
        <v>10349</v>
      </c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>
        <v>6.6412553660000002</v>
      </c>
      <c r="AT114">
        <v>1.7237830000000001</v>
      </c>
    </row>
    <row r="115" spans="1:46" x14ac:dyDescent="0.2">
      <c r="A115" s="87">
        <v>10380</v>
      </c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>
        <v>6.6948786240000002</v>
      </c>
      <c r="AT115">
        <v>0.80066499999999996</v>
      </c>
    </row>
    <row r="116" spans="1:46" x14ac:dyDescent="0.2">
      <c r="A116" s="87">
        <v>10410</v>
      </c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>
        <v>6.7751648319999997</v>
      </c>
      <c r="AT116">
        <v>0.82446600000000003</v>
      </c>
    </row>
    <row r="117" spans="1:46" x14ac:dyDescent="0.2">
      <c r="A117" s="87">
        <v>10441</v>
      </c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>
        <v>6.9090742990000003</v>
      </c>
      <c r="AT117">
        <v>1.314344</v>
      </c>
    </row>
    <row r="118" spans="1:46" x14ac:dyDescent="0.2">
      <c r="A118" s="87">
        <v>10472</v>
      </c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>
        <v>6.9625984379999997</v>
      </c>
      <c r="AT118">
        <v>-1.995152</v>
      </c>
    </row>
    <row r="119" spans="1:46" x14ac:dyDescent="0.2">
      <c r="A119" s="87">
        <v>10502</v>
      </c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>
        <v>7.0965079050000002</v>
      </c>
      <c r="AT119">
        <v>2.379248</v>
      </c>
    </row>
    <row r="120" spans="1:46" x14ac:dyDescent="0.2">
      <c r="A120" s="87">
        <v>10533</v>
      </c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>
        <v>7.2304173719999998</v>
      </c>
      <c r="AT120">
        <v>-0.73083699999999996</v>
      </c>
    </row>
    <row r="121" spans="1:46" x14ac:dyDescent="0.2">
      <c r="A121" s="87">
        <v>10563</v>
      </c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>
        <v>7.3643268390000003</v>
      </c>
      <c r="AT121">
        <v>-0.218388</v>
      </c>
    </row>
    <row r="122" spans="1:46" x14ac:dyDescent="0.2">
      <c r="A122" s="87">
        <v>10594</v>
      </c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>
        <v>7.4714742359999997</v>
      </c>
      <c r="AT122">
        <v>9.6063999999999997E-2</v>
      </c>
    </row>
    <row r="123" spans="1:46" x14ac:dyDescent="0.2">
      <c r="A123" s="87">
        <v>10625</v>
      </c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>
        <v>7.4447121660000004</v>
      </c>
      <c r="AT123">
        <v>-0.38587300000000002</v>
      </c>
    </row>
    <row r="124" spans="1:46" x14ac:dyDescent="0.2">
      <c r="A124" s="87">
        <v>10653</v>
      </c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>
        <v>7.4714742359999997</v>
      </c>
      <c r="AT124">
        <v>0.51350600000000002</v>
      </c>
    </row>
    <row r="125" spans="1:46" x14ac:dyDescent="0.2">
      <c r="A125" s="87">
        <v>10684</v>
      </c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>
        <v>7.6053837020000001</v>
      </c>
      <c r="AT125">
        <v>1.6443369999999999</v>
      </c>
    </row>
    <row r="126" spans="1:46" x14ac:dyDescent="0.2">
      <c r="A126" s="87">
        <v>10714</v>
      </c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>
        <v>7.7392931689999998</v>
      </c>
      <c r="AT126">
        <v>1.932725</v>
      </c>
    </row>
    <row r="127" spans="1:46" x14ac:dyDescent="0.2">
      <c r="A127" s="87">
        <v>10745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>
        <v>7.7928173080000001</v>
      </c>
      <c r="AT127">
        <v>-1.075844</v>
      </c>
    </row>
    <row r="128" spans="1:46" x14ac:dyDescent="0.2">
      <c r="A128" s="87">
        <v>10775</v>
      </c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>
        <v>7.8999647050000004</v>
      </c>
      <c r="AT128">
        <v>0.91014499999999998</v>
      </c>
    </row>
    <row r="129" spans="1:46" x14ac:dyDescent="0.2">
      <c r="A129" s="87">
        <v>10806</v>
      </c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>
        <v>7.8195793780000002</v>
      </c>
      <c r="AT129">
        <v>1.7503629999999999</v>
      </c>
    </row>
    <row r="130" spans="1:46" x14ac:dyDescent="0.2">
      <c r="A130" s="87">
        <v>10837</v>
      </c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>
        <v>7.7660552389999999</v>
      </c>
      <c r="AT130">
        <v>0.64602999999999999</v>
      </c>
    </row>
    <row r="131" spans="1:46" x14ac:dyDescent="0.2">
      <c r="A131" s="87">
        <v>10867</v>
      </c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>
        <v>7.6321457720000003</v>
      </c>
      <c r="AT131">
        <v>0.74638499999999997</v>
      </c>
    </row>
    <row r="132" spans="1:46" x14ac:dyDescent="0.2">
      <c r="A132" s="87">
        <v>10898</v>
      </c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>
        <v>7.2571794409999999</v>
      </c>
      <c r="AT132">
        <v>2.0521560000000001</v>
      </c>
    </row>
    <row r="133" spans="1:46" x14ac:dyDescent="0.2">
      <c r="A133" s="87">
        <v>10928</v>
      </c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>
        <v>6.9358363689999996</v>
      </c>
      <c r="AT133">
        <v>2.0544449999999999</v>
      </c>
    </row>
    <row r="134" spans="1:46" x14ac:dyDescent="0.2">
      <c r="A134" s="87">
        <v>10959</v>
      </c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>
        <v>6.9358363689999996</v>
      </c>
      <c r="AT134">
        <v>1.901049</v>
      </c>
    </row>
    <row r="135" spans="1:46" x14ac:dyDescent="0.2">
      <c r="A135" s="87">
        <v>10990</v>
      </c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>
        <v>6.9090742990000003</v>
      </c>
      <c r="AT135">
        <v>1.7120139999999999</v>
      </c>
    </row>
    <row r="136" spans="1:46" x14ac:dyDescent="0.2">
      <c r="A136" s="87">
        <v>11018</v>
      </c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>
        <v>6.8019269019999999</v>
      </c>
      <c r="AT136">
        <v>0.224772</v>
      </c>
    </row>
    <row r="137" spans="1:46" x14ac:dyDescent="0.2">
      <c r="A137" s="87">
        <v>11049</v>
      </c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>
        <v>6.7484027629999996</v>
      </c>
      <c r="AT137">
        <v>1.2420169999999999</v>
      </c>
    </row>
    <row r="138" spans="1:46" x14ac:dyDescent="0.2">
      <c r="A138" s="87">
        <v>11079</v>
      </c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>
        <v>6.6412553660000002</v>
      </c>
      <c r="AT138">
        <v>2.1838549999999999</v>
      </c>
    </row>
    <row r="139" spans="1:46" x14ac:dyDescent="0.2">
      <c r="A139" s="87">
        <v>11110</v>
      </c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>
        <v>6.4538217600000003</v>
      </c>
      <c r="AT139">
        <v>1.4554039999999999</v>
      </c>
    </row>
    <row r="140" spans="1:46" x14ac:dyDescent="0.2">
      <c r="A140" s="87">
        <v>11140</v>
      </c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>
        <v>6.1592407570000001</v>
      </c>
      <c r="AT140">
        <v>0.62388500000000002</v>
      </c>
    </row>
    <row r="141" spans="1:46" x14ac:dyDescent="0.2">
      <c r="A141" s="87">
        <v>11171</v>
      </c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>
        <v>6.0253312899999996</v>
      </c>
      <c r="AT141">
        <v>-0.92637899999999995</v>
      </c>
    </row>
    <row r="142" spans="1:46" x14ac:dyDescent="0.2">
      <c r="A142" s="87">
        <v>11202</v>
      </c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>
        <v>5.9182830119999998</v>
      </c>
      <c r="AT142">
        <v>-0.83441699999999996</v>
      </c>
    </row>
    <row r="143" spans="1:46" x14ac:dyDescent="0.2">
      <c r="A143" s="87">
        <v>11232</v>
      </c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>
        <v>5.757611475</v>
      </c>
      <c r="AT143">
        <v>-2.5571E-2</v>
      </c>
    </row>
    <row r="144" spans="1:46" x14ac:dyDescent="0.2">
      <c r="A144" s="87">
        <v>11263</v>
      </c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>
        <v>5.6237020089999996</v>
      </c>
      <c r="AT144">
        <v>-2.1140400000000001</v>
      </c>
    </row>
    <row r="145" spans="1:46" x14ac:dyDescent="0.2">
      <c r="A145" s="87">
        <v>11293</v>
      </c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>
        <v>5.489792542</v>
      </c>
      <c r="AT145">
        <v>-1.5434810000000001</v>
      </c>
    </row>
    <row r="146" spans="1:46" x14ac:dyDescent="0.2">
      <c r="A146" s="87">
        <v>11324</v>
      </c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>
        <v>5.4630304719999998</v>
      </c>
      <c r="AT146">
        <v>0.41525400000000001</v>
      </c>
    </row>
    <row r="147" spans="1:46" x14ac:dyDescent="0.2">
      <c r="A147" s="87">
        <v>11355</v>
      </c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>
        <v>5.489792542</v>
      </c>
      <c r="AT147">
        <v>1.152779</v>
      </c>
    </row>
    <row r="148" spans="1:46" x14ac:dyDescent="0.2">
      <c r="A148" s="87">
        <v>11383</v>
      </c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>
        <v>5.5969399390000003</v>
      </c>
      <c r="AT148">
        <v>2.5363720000000001</v>
      </c>
    </row>
    <row r="149" spans="1:46" x14ac:dyDescent="0.2">
      <c r="A149" s="87">
        <v>11414</v>
      </c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>
        <v>5.6237020089999996</v>
      </c>
      <c r="AT149">
        <v>1.696766</v>
      </c>
    </row>
    <row r="150" spans="1:46" x14ac:dyDescent="0.2">
      <c r="A150" s="87">
        <v>11444</v>
      </c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>
        <v>5.5433166810000003</v>
      </c>
      <c r="AT150">
        <v>2.0774919999999999</v>
      </c>
    </row>
    <row r="151" spans="1:46" x14ac:dyDescent="0.2">
      <c r="A151" s="87">
        <v>11475</v>
      </c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>
        <v>5.4094072139999998</v>
      </c>
      <c r="AT151">
        <v>-1.65747</v>
      </c>
    </row>
    <row r="152" spans="1:46" x14ac:dyDescent="0.2">
      <c r="A152" s="87">
        <v>11505</v>
      </c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>
        <v>5.3291210060000003</v>
      </c>
      <c r="AT152">
        <v>0.154613</v>
      </c>
    </row>
    <row r="153" spans="1:46" x14ac:dyDescent="0.2">
      <c r="A153" s="87">
        <v>11536</v>
      </c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>
        <v>5.1416874000000004</v>
      </c>
      <c r="AT153">
        <v>-0.59577599999999997</v>
      </c>
    </row>
    <row r="154" spans="1:46" x14ac:dyDescent="0.2">
      <c r="A154" s="87">
        <v>11567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>
        <v>4.9006305360000004</v>
      </c>
      <c r="AT154">
        <v>-0.72714199999999996</v>
      </c>
    </row>
    <row r="155" spans="1:46" x14ac:dyDescent="0.2">
      <c r="A155" s="87">
        <v>11597</v>
      </c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>
        <v>4.7131969299999996</v>
      </c>
      <c r="AT155">
        <v>-0.26397900000000002</v>
      </c>
    </row>
    <row r="156" spans="1:46" x14ac:dyDescent="0.2">
      <c r="A156" s="87">
        <v>11628</v>
      </c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>
        <v>4.6595736719999996</v>
      </c>
      <c r="AT156">
        <v>1.06934</v>
      </c>
    </row>
    <row r="157" spans="1:46" x14ac:dyDescent="0.2">
      <c r="A157" s="87">
        <v>11658</v>
      </c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>
        <v>4.6328116020000003</v>
      </c>
      <c r="AT157">
        <v>-1.1913959999999999</v>
      </c>
    </row>
    <row r="158" spans="1:46" x14ac:dyDescent="0.2">
      <c r="A158" s="87">
        <v>11689</v>
      </c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>
        <v>4.4989021359999999</v>
      </c>
      <c r="AT158">
        <v>0.69040999999999997</v>
      </c>
    </row>
    <row r="159" spans="1:46" x14ac:dyDescent="0.2">
      <c r="A159" s="87">
        <v>11720</v>
      </c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>
        <v>4.3918538570000001</v>
      </c>
      <c r="AT159">
        <v>0.22503500000000001</v>
      </c>
    </row>
    <row r="160" spans="1:46" x14ac:dyDescent="0.2">
      <c r="A160" s="87">
        <v>11749</v>
      </c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>
        <v>4.3382305990000001</v>
      </c>
      <c r="AT160">
        <v>0.41988300000000001</v>
      </c>
    </row>
    <row r="161" spans="1:46" x14ac:dyDescent="0.2">
      <c r="A161" s="87">
        <v>11780</v>
      </c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>
        <v>4.0436495959999998</v>
      </c>
      <c r="AT161">
        <v>0.72728300000000001</v>
      </c>
    </row>
    <row r="162" spans="1:46" x14ac:dyDescent="0.2">
      <c r="A162" s="87">
        <v>11810</v>
      </c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>
        <v>3.9098392479999999</v>
      </c>
      <c r="AT162">
        <v>0.356603</v>
      </c>
    </row>
    <row r="163" spans="1:46" x14ac:dyDescent="0.2">
      <c r="A163" s="87">
        <v>11841</v>
      </c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>
        <v>3.775929782</v>
      </c>
      <c r="AT163">
        <v>0.36492799999999997</v>
      </c>
    </row>
    <row r="164" spans="1:46" x14ac:dyDescent="0.2">
      <c r="A164" s="87">
        <v>11871</v>
      </c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>
        <v>3.668782384</v>
      </c>
      <c r="AT164">
        <v>1.2276320000000001</v>
      </c>
    </row>
    <row r="165" spans="1:46" x14ac:dyDescent="0.2">
      <c r="A165" s="87">
        <v>11902</v>
      </c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>
        <v>3.775929782</v>
      </c>
      <c r="AT165">
        <v>1.5029429999999999</v>
      </c>
    </row>
    <row r="166" spans="1:46" x14ac:dyDescent="0.2">
      <c r="A166" s="87">
        <v>11933</v>
      </c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>
        <v>4.0168875269999997</v>
      </c>
      <c r="AT166">
        <v>0.71005499999999999</v>
      </c>
    </row>
    <row r="167" spans="1:46" x14ac:dyDescent="0.2">
      <c r="A167" s="87">
        <v>11963</v>
      </c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>
        <v>4.1507969930000002</v>
      </c>
      <c r="AT167">
        <v>1.344919</v>
      </c>
    </row>
    <row r="168" spans="1:46" x14ac:dyDescent="0.2">
      <c r="A168" s="87">
        <v>11994</v>
      </c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>
        <v>4.1507969930000002</v>
      </c>
      <c r="AT168">
        <v>0.93898000000000004</v>
      </c>
    </row>
    <row r="169" spans="1:46" x14ac:dyDescent="0.2">
      <c r="A169" s="87">
        <v>12024</v>
      </c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>
        <v>4.0705107849999997</v>
      </c>
      <c r="AT169">
        <v>0.61931599999999998</v>
      </c>
    </row>
    <row r="170" spans="1:46" x14ac:dyDescent="0.2">
      <c r="A170" s="87">
        <v>12055</v>
      </c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>
        <v>3.990125457</v>
      </c>
      <c r="AT170">
        <v>0.43385699999999999</v>
      </c>
    </row>
    <row r="171" spans="1:46" x14ac:dyDescent="0.2">
      <c r="A171" s="87">
        <v>12086</v>
      </c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>
        <v>4.0168875269999997</v>
      </c>
      <c r="AT171">
        <v>8.0345E-2</v>
      </c>
    </row>
    <row r="172" spans="1:46" x14ac:dyDescent="0.2">
      <c r="A172" s="87">
        <v>12114</v>
      </c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>
        <v>3.775929782</v>
      </c>
      <c r="AT172">
        <v>-0.61883200000000005</v>
      </c>
    </row>
    <row r="173" spans="1:46" x14ac:dyDescent="0.2">
      <c r="A173" s="87">
        <v>12145</v>
      </c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>
        <v>4.0436495959999998</v>
      </c>
      <c r="AT173">
        <v>8.0050999999999997E-2</v>
      </c>
    </row>
    <row r="174" spans="1:46" x14ac:dyDescent="0.2">
      <c r="A174" s="87">
        <v>12175</v>
      </c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>
        <v>4.7131969299999996</v>
      </c>
      <c r="AT174">
        <v>-8.2521999999999998E-2</v>
      </c>
    </row>
    <row r="175" spans="1:46" x14ac:dyDescent="0.2">
      <c r="A175" s="87">
        <v>12206</v>
      </c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>
        <v>5.4362684029999997</v>
      </c>
      <c r="AT175">
        <v>-8.4042000000000006E-2</v>
      </c>
    </row>
    <row r="176" spans="1:46" x14ac:dyDescent="0.2">
      <c r="A176" s="87">
        <v>12236</v>
      </c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>
        <v>5.945045081</v>
      </c>
      <c r="AT176">
        <v>9.2814999999999995E-2</v>
      </c>
    </row>
    <row r="177" spans="1:46" x14ac:dyDescent="0.2">
      <c r="A177" s="87">
        <v>12267</v>
      </c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>
        <v>5.703988217</v>
      </c>
      <c r="AT177">
        <v>-0.79542299999999999</v>
      </c>
    </row>
    <row r="178" spans="1:46" x14ac:dyDescent="0.2">
      <c r="A178" s="87">
        <v>12298</v>
      </c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>
        <v>5.3826451449999997</v>
      </c>
      <c r="AT178">
        <v>-0.22564899999999999</v>
      </c>
    </row>
    <row r="179" spans="1:46" x14ac:dyDescent="0.2">
      <c r="A179" s="87">
        <v>12328</v>
      </c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>
        <v>5.1148262109999996</v>
      </c>
      <c r="AT179">
        <v>-3.8786000000000001E-2</v>
      </c>
    </row>
    <row r="180" spans="1:46" x14ac:dyDescent="0.2">
      <c r="A180" s="87">
        <v>12359</v>
      </c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>
        <v>4.8202452080000002</v>
      </c>
      <c r="AT180">
        <v>-0.172065</v>
      </c>
    </row>
    <row r="181" spans="1:46" x14ac:dyDescent="0.2">
      <c r="A181" s="87">
        <v>12389</v>
      </c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>
        <v>4.8471063970000001</v>
      </c>
      <c r="AT181">
        <v>-0.70074800000000004</v>
      </c>
    </row>
    <row r="182" spans="1:46" x14ac:dyDescent="0.2">
      <c r="A182" s="87">
        <v>12420</v>
      </c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>
        <v>5.0077779329999998</v>
      </c>
      <c r="AT182">
        <v>-0.61337299999999995</v>
      </c>
    </row>
    <row r="183" spans="1:46" x14ac:dyDescent="0.2">
      <c r="A183" s="87">
        <v>12451</v>
      </c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>
        <v>5.2487356780000001</v>
      </c>
      <c r="AT183">
        <v>-1.1577360000000001</v>
      </c>
    </row>
    <row r="184" spans="1:46" x14ac:dyDescent="0.2">
      <c r="A184" s="87">
        <v>12479</v>
      </c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>
        <v>5.489792542</v>
      </c>
      <c r="AT184">
        <v>-0.84971399999999997</v>
      </c>
    </row>
    <row r="185" spans="1:46" x14ac:dyDescent="0.2">
      <c r="A185" s="87">
        <v>12510</v>
      </c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>
        <v>5.489792542</v>
      </c>
      <c r="AT185">
        <v>0.88590199999999997</v>
      </c>
    </row>
    <row r="186" spans="1:46" x14ac:dyDescent="0.2">
      <c r="A186" s="87">
        <v>12540</v>
      </c>
      <c r="B186">
        <v>2.8529589999999998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>
        <v>5.5969399390000003</v>
      </c>
      <c r="AT186">
        <v>1.096857</v>
      </c>
    </row>
    <row r="187" spans="1:46" x14ac:dyDescent="0.2">
      <c r="A187" s="87">
        <v>12571</v>
      </c>
      <c r="B187">
        <v>2.0102359999999999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>
        <v>5.489792542</v>
      </c>
      <c r="AT187">
        <v>1.4395180000000001</v>
      </c>
    </row>
    <row r="188" spans="1:46" x14ac:dyDescent="0.2">
      <c r="A188" s="87">
        <v>12601</v>
      </c>
      <c r="B188">
        <v>0.80545500000000003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>
        <v>5.1148262109999996</v>
      </c>
      <c r="AT188">
        <v>0.74085199999999996</v>
      </c>
    </row>
    <row r="189" spans="1:46" x14ac:dyDescent="0.2">
      <c r="A189" s="87">
        <v>12632</v>
      </c>
      <c r="B189">
        <v>1.4213389999999999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>
        <v>5.0613020720000002</v>
      </c>
      <c r="AT189">
        <v>-0.14249200000000001</v>
      </c>
    </row>
    <row r="190" spans="1:46" x14ac:dyDescent="0.2">
      <c r="A190" s="87">
        <v>12663</v>
      </c>
      <c r="B190">
        <v>2.06826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>
        <v>4.7667210689999999</v>
      </c>
      <c r="AT190">
        <v>1.084857</v>
      </c>
    </row>
    <row r="191" spans="1:46" x14ac:dyDescent="0.2">
      <c r="A191" s="87">
        <v>12693</v>
      </c>
      <c r="B191">
        <v>0.25239099999999998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>
        <v>4.9810158629999997</v>
      </c>
      <c r="AT191">
        <v>1.1247549999999999</v>
      </c>
    </row>
    <row r="192" spans="1:46" x14ac:dyDescent="0.2">
      <c r="A192" s="87">
        <v>12724</v>
      </c>
      <c r="B192">
        <v>1.2409349999999999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>
        <v>5.034540003</v>
      </c>
      <c r="AT192">
        <v>1.6691180000000001</v>
      </c>
    </row>
    <row r="193" spans="1:46" x14ac:dyDescent="0.2">
      <c r="A193" s="87">
        <v>12754</v>
      </c>
      <c r="B193">
        <v>-1.5431220000000001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>
        <v>5.3558830750000004</v>
      </c>
      <c r="AT193">
        <v>0.36122300000000002</v>
      </c>
    </row>
    <row r="194" spans="1:46" x14ac:dyDescent="0.2">
      <c r="A194" s="87">
        <v>12785</v>
      </c>
      <c r="B194">
        <v>-3.7903039999999999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>
        <v>5.7843735450000002</v>
      </c>
      <c r="AT194">
        <v>0.444021</v>
      </c>
    </row>
    <row r="195" spans="1:46" x14ac:dyDescent="0.2">
      <c r="A195" s="87">
        <v>12816</v>
      </c>
      <c r="B195">
        <v>-0.38629999999999998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>
        <v>5.8914218229999999</v>
      </c>
      <c r="AT195">
        <v>0.431641</v>
      </c>
    </row>
    <row r="196" spans="1:46" x14ac:dyDescent="0.2">
      <c r="A196" s="87">
        <v>12844</v>
      </c>
      <c r="B196">
        <v>0.76678500000000005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>
        <v>5.8646597539999998</v>
      </c>
      <c r="AT196">
        <v>0.39465299999999998</v>
      </c>
    </row>
    <row r="197" spans="1:46" x14ac:dyDescent="0.2">
      <c r="A197" s="87">
        <v>12875</v>
      </c>
      <c r="B197">
        <v>2.74966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>
        <v>5.757611475</v>
      </c>
      <c r="AT197">
        <v>1.4032389999999999</v>
      </c>
    </row>
    <row r="198" spans="1:46" x14ac:dyDescent="0.2">
      <c r="A198" s="87">
        <v>12905</v>
      </c>
      <c r="B198">
        <v>2.2287659999999998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>
        <v>5.757611475</v>
      </c>
      <c r="AT198">
        <v>1.873041</v>
      </c>
    </row>
    <row r="199" spans="1:46" x14ac:dyDescent="0.2">
      <c r="A199" s="87">
        <v>12936</v>
      </c>
      <c r="B199">
        <v>2.296678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>
        <v>5.8378976839999996</v>
      </c>
      <c r="AT199">
        <v>1.13476</v>
      </c>
    </row>
    <row r="200" spans="1:46" x14ac:dyDescent="0.2">
      <c r="A200" s="87">
        <v>12966</v>
      </c>
      <c r="B200">
        <v>1.8222659999999999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>
        <v>5.8378976839999996</v>
      </c>
      <c r="AT200">
        <v>0.94847400000000004</v>
      </c>
    </row>
    <row r="201" spans="1:46" x14ac:dyDescent="0.2">
      <c r="A201" s="87">
        <v>12997</v>
      </c>
      <c r="B201">
        <v>2.1002049999999999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>
        <v>6.0520933599999998</v>
      </c>
      <c r="AT201">
        <v>0.28728500000000001</v>
      </c>
    </row>
    <row r="202" spans="1:46" x14ac:dyDescent="0.2">
      <c r="A202" s="87">
        <v>13028</v>
      </c>
      <c r="B202">
        <v>1.487514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>
        <v>6.2128640150000001</v>
      </c>
      <c r="AT202">
        <v>0.61166399999999999</v>
      </c>
    </row>
    <row r="203" spans="1:46" x14ac:dyDescent="0.2">
      <c r="A203" s="87">
        <v>13058</v>
      </c>
      <c r="B203">
        <v>2.517217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>
        <v>6.400297621</v>
      </c>
      <c r="AT203">
        <v>0.208898</v>
      </c>
    </row>
    <row r="204" spans="1:46" x14ac:dyDescent="0.2">
      <c r="A204" s="87">
        <v>13089</v>
      </c>
      <c r="B204">
        <v>1.351458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>
        <v>6.5342070870000004</v>
      </c>
      <c r="AT204">
        <v>0.15098600000000001</v>
      </c>
    </row>
    <row r="205" spans="1:46" x14ac:dyDescent="0.2">
      <c r="A205" s="87">
        <v>13119</v>
      </c>
      <c r="B205">
        <v>0.51742200000000005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>
        <v>6.614493296</v>
      </c>
      <c r="AT205">
        <v>0.126386</v>
      </c>
    </row>
    <row r="206" spans="1:46" x14ac:dyDescent="0.2">
      <c r="A206" s="87">
        <v>13150</v>
      </c>
      <c r="B206">
        <v>1.9595050000000001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>
        <v>6.5073458989999997</v>
      </c>
      <c r="AT206">
        <v>0.14141899999999999</v>
      </c>
    </row>
    <row r="207" spans="1:46" x14ac:dyDescent="0.2">
      <c r="A207" s="87">
        <v>13181</v>
      </c>
      <c r="B207">
        <v>-0.304614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>
        <v>6.346674363</v>
      </c>
      <c r="AT207">
        <v>-0.219162</v>
      </c>
    </row>
    <row r="208" spans="1:46" x14ac:dyDescent="0.2">
      <c r="A208" s="87">
        <v>13210</v>
      </c>
      <c r="B208">
        <v>-2.5492659999999998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>
        <v>6.4270596900000001</v>
      </c>
      <c r="AT208">
        <v>9.6626000000000004E-2</v>
      </c>
    </row>
    <row r="209" spans="1:46" x14ac:dyDescent="0.2">
      <c r="A209" s="87">
        <v>13241</v>
      </c>
      <c r="B209">
        <v>-1.2458530000000001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>
        <v>6.8287880899999998</v>
      </c>
      <c r="AT209">
        <v>0.91959100000000005</v>
      </c>
    </row>
    <row r="210" spans="1:46" x14ac:dyDescent="0.2">
      <c r="A210" s="87">
        <v>13271</v>
      </c>
      <c r="B210">
        <v>-1.129907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>
        <v>6.9625984379999997</v>
      </c>
      <c r="AT210">
        <v>0.795848</v>
      </c>
    </row>
    <row r="211" spans="1:46" x14ac:dyDescent="0.2">
      <c r="A211" s="87">
        <v>13302</v>
      </c>
      <c r="B211">
        <v>-0.28815000000000002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>
        <v>7.0965079050000002</v>
      </c>
      <c r="AT211">
        <v>1.0921190000000001</v>
      </c>
    </row>
    <row r="212" spans="1:46" x14ac:dyDescent="0.2">
      <c r="A212" s="87">
        <v>13332</v>
      </c>
      <c r="B212">
        <v>1.6728209999999999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>
        <v>7.2304173719999998</v>
      </c>
      <c r="AT212">
        <v>1.099653</v>
      </c>
    </row>
    <row r="213" spans="1:46" x14ac:dyDescent="0.2">
      <c r="A213" s="87">
        <v>13363</v>
      </c>
      <c r="B213">
        <v>-0.34000200000000003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>
        <v>7.3375647690000001</v>
      </c>
      <c r="AT213">
        <v>1.124835</v>
      </c>
    </row>
    <row r="214" spans="1:46" x14ac:dyDescent="0.2">
      <c r="A214" s="87">
        <v>13394</v>
      </c>
      <c r="B214">
        <v>-1.608892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>
        <v>7.4714742359999997</v>
      </c>
      <c r="AT214">
        <v>0.92010400000000003</v>
      </c>
    </row>
    <row r="215" spans="1:46" x14ac:dyDescent="0.2">
      <c r="A215" s="87">
        <v>13424</v>
      </c>
      <c r="B215">
        <v>-0.255185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>
        <v>7.5785225140000003</v>
      </c>
      <c r="AT215">
        <v>0.99038599999999999</v>
      </c>
    </row>
    <row r="216" spans="1:46" x14ac:dyDescent="0.2">
      <c r="A216" s="87">
        <v>13455</v>
      </c>
      <c r="B216">
        <v>0.30685800000000002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>
        <v>7.7928173080000001</v>
      </c>
      <c r="AT216">
        <v>0.85076399999999996</v>
      </c>
    </row>
    <row r="217" spans="1:46" x14ac:dyDescent="0.2">
      <c r="A217" s="87">
        <v>13485</v>
      </c>
      <c r="B217">
        <v>0.16364600000000001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>
        <v>8.0337750529999994</v>
      </c>
      <c r="AT217">
        <v>0.64940799999999999</v>
      </c>
    </row>
    <row r="218" spans="1:46" x14ac:dyDescent="0.2">
      <c r="A218" s="87">
        <v>13516</v>
      </c>
      <c r="B218">
        <v>-0.82981799999999994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>
        <v>8.0070129839999993</v>
      </c>
      <c r="AT218">
        <v>0.49991000000000002</v>
      </c>
    </row>
    <row r="219" spans="1:46" x14ac:dyDescent="0.2">
      <c r="A219" s="87">
        <v>13547</v>
      </c>
      <c r="B219">
        <v>-4.6458789999999999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>
        <v>8.1141603809999996</v>
      </c>
      <c r="AT219">
        <v>0.26557900000000001</v>
      </c>
    </row>
    <row r="220" spans="1:46" x14ac:dyDescent="0.2">
      <c r="A220" s="87">
        <v>13575</v>
      </c>
      <c r="B220">
        <v>-5.6948730000000003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>
        <v>8.3015939870000004</v>
      </c>
      <c r="AT220">
        <v>0.768899</v>
      </c>
    </row>
    <row r="221" spans="1:46" x14ac:dyDescent="0.2">
      <c r="A221" s="87">
        <v>13606</v>
      </c>
      <c r="B221">
        <v>-4.931019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>
        <v>8.3015939870000004</v>
      </c>
      <c r="AT221">
        <v>1.2975950000000001</v>
      </c>
    </row>
    <row r="222" spans="1:46" x14ac:dyDescent="0.2">
      <c r="A222" s="87">
        <v>13636</v>
      </c>
      <c r="B222">
        <v>0.42398599999999997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>
        <v>8.3283560560000005</v>
      </c>
      <c r="AT222">
        <v>1.2109559999999999</v>
      </c>
    </row>
    <row r="223" spans="1:46" x14ac:dyDescent="0.2">
      <c r="A223" s="87">
        <v>13667</v>
      </c>
      <c r="B223">
        <v>7.4496999999999994E-2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>
        <v>8.2213077779999999</v>
      </c>
      <c r="AT223">
        <v>0.82027899999999998</v>
      </c>
    </row>
    <row r="224" spans="1:46" x14ac:dyDescent="0.2">
      <c r="A224" s="87">
        <v>13697</v>
      </c>
      <c r="B224">
        <v>1.0190570000000001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>
        <v>8.2748319170000002</v>
      </c>
      <c r="AT224">
        <v>0.668049</v>
      </c>
    </row>
    <row r="225" spans="1:46" x14ac:dyDescent="0.2">
      <c r="A225" s="87">
        <v>13728</v>
      </c>
      <c r="B225">
        <v>3.695017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>
        <v>8.2213077779999999</v>
      </c>
      <c r="AT225">
        <v>0.92537000000000003</v>
      </c>
    </row>
    <row r="226" spans="1:46" x14ac:dyDescent="0.2">
      <c r="A226" s="87">
        <v>13759</v>
      </c>
      <c r="B226">
        <v>3.1643249999999998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>
        <v>7.9534888449999999</v>
      </c>
      <c r="AT226">
        <v>0.488346</v>
      </c>
    </row>
    <row r="227" spans="1:46" x14ac:dyDescent="0.2">
      <c r="A227" s="87">
        <v>13789</v>
      </c>
      <c r="B227">
        <v>2.443638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>
        <v>7.3643268390000003</v>
      </c>
      <c r="AT227">
        <v>0.54267500000000002</v>
      </c>
    </row>
    <row r="228" spans="1:46" x14ac:dyDescent="0.2">
      <c r="A228" s="87">
        <v>13820</v>
      </c>
      <c r="B228">
        <v>1.8764989999999999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>
        <v>6.6412553660000002</v>
      </c>
      <c r="AT228">
        <v>0.57686000000000004</v>
      </c>
    </row>
    <row r="229" spans="1:46" x14ac:dyDescent="0.2">
      <c r="A229" s="87">
        <v>13850</v>
      </c>
      <c r="B229">
        <v>3.2540589999999998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>
        <v>6.0520933599999998</v>
      </c>
      <c r="AT229">
        <v>1.513863</v>
      </c>
    </row>
    <row r="230" spans="1:46" x14ac:dyDescent="0.2">
      <c r="A230" s="87">
        <v>13881</v>
      </c>
      <c r="B230">
        <v>-1.1068629999999999</v>
      </c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>
        <v>5.9182830119999998</v>
      </c>
      <c r="AT230">
        <v>1.3974340000000001</v>
      </c>
    </row>
    <row r="231" spans="1:46" x14ac:dyDescent="0.2">
      <c r="A231" s="87">
        <v>13912</v>
      </c>
      <c r="B231">
        <v>5.0302220000000002</v>
      </c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>
        <v>5.8646597539999998</v>
      </c>
      <c r="AT231">
        <v>1.6351150000000001</v>
      </c>
    </row>
    <row r="232" spans="1:46" x14ac:dyDescent="0.2">
      <c r="A232" s="87">
        <v>13940</v>
      </c>
      <c r="B232">
        <v>1.3660540000000001</v>
      </c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>
        <v>5.8646597539999998</v>
      </c>
      <c r="AT232">
        <v>1.0678650000000001</v>
      </c>
    </row>
    <row r="233" spans="1:46" x14ac:dyDescent="0.2">
      <c r="A233" s="87">
        <v>13971</v>
      </c>
      <c r="B233">
        <v>2.9710869999999998</v>
      </c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>
        <v>5.757611475</v>
      </c>
      <c r="AT233">
        <v>1.0166269999999999</v>
      </c>
    </row>
    <row r="234" spans="1:46" x14ac:dyDescent="0.2">
      <c r="A234" s="87">
        <v>14001</v>
      </c>
      <c r="B234">
        <v>2.0873140000000001</v>
      </c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>
        <v>5.6237020089999996</v>
      </c>
      <c r="AT234">
        <v>1.794583</v>
      </c>
    </row>
    <row r="235" spans="1:46" x14ac:dyDescent="0.2">
      <c r="A235" s="87">
        <v>14032</v>
      </c>
      <c r="B235">
        <v>0.75438700000000003</v>
      </c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>
        <v>5.6772261479999999</v>
      </c>
      <c r="AT235">
        <v>1.3636219999999999</v>
      </c>
    </row>
    <row r="236" spans="1:46" x14ac:dyDescent="0.2">
      <c r="A236" s="87">
        <v>14062</v>
      </c>
      <c r="B236">
        <v>1.8371999999999999</v>
      </c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>
        <v>5.9985692200000003</v>
      </c>
      <c r="AT236">
        <v>0.66961099999999996</v>
      </c>
    </row>
    <row r="237" spans="1:46" x14ac:dyDescent="0.2">
      <c r="A237" s="87">
        <v>14093</v>
      </c>
      <c r="B237">
        <v>2.7491430000000001</v>
      </c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>
        <v>6.3199122929999998</v>
      </c>
      <c r="AT237">
        <v>1.756821</v>
      </c>
    </row>
    <row r="238" spans="1:46" x14ac:dyDescent="0.2">
      <c r="A238" s="87">
        <v>14124</v>
      </c>
      <c r="B238">
        <v>1.148671</v>
      </c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>
        <v>6.5073458989999997</v>
      </c>
      <c r="AT238">
        <v>1.420302</v>
      </c>
    </row>
    <row r="239" spans="1:46" x14ac:dyDescent="0.2">
      <c r="A239" s="87">
        <v>14154</v>
      </c>
      <c r="B239">
        <v>2.8115939999999999</v>
      </c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>
        <v>6.668116554</v>
      </c>
      <c r="AT239">
        <v>1.3811329999999999</v>
      </c>
    </row>
    <row r="240" spans="1:46" x14ac:dyDescent="0.2">
      <c r="A240" s="87">
        <v>14185</v>
      </c>
      <c r="B240">
        <v>2.0753879999999998</v>
      </c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>
        <v>6.9358363689999996</v>
      </c>
      <c r="AT240">
        <v>1.3827689999999999</v>
      </c>
    </row>
    <row r="241" spans="1:46" x14ac:dyDescent="0.2">
      <c r="A241" s="87">
        <v>14215</v>
      </c>
      <c r="B241">
        <v>2.4813900000000002</v>
      </c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>
        <v>7.0162216959999997</v>
      </c>
      <c r="AT241">
        <v>1.623794</v>
      </c>
    </row>
    <row r="242" spans="1:46" x14ac:dyDescent="0.2">
      <c r="A242" s="87">
        <v>14246</v>
      </c>
      <c r="B242">
        <v>2.1412300000000002</v>
      </c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>
        <v>7.0162216959999997</v>
      </c>
      <c r="AT242">
        <v>0.81950900000000004</v>
      </c>
    </row>
    <row r="243" spans="1:46" x14ac:dyDescent="0.2">
      <c r="A243" s="87">
        <v>14277</v>
      </c>
      <c r="B243">
        <v>1.274967</v>
      </c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>
        <v>7.0697458360000001</v>
      </c>
      <c r="AT243">
        <v>1.1719299999999999</v>
      </c>
    </row>
    <row r="244" spans="1:46" x14ac:dyDescent="0.2">
      <c r="A244" s="87">
        <v>14305</v>
      </c>
      <c r="B244">
        <v>3.0028679999999999</v>
      </c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>
        <v>7.0965079050000002</v>
      </c>
      <c r="AT244">
        <v>1.416847</v>
      </c>
    </row>
    <row r="245" spans="1:46" x14ac:dyDescent="0.2">
      <c r="A245" s="87">
        <v>14336</v>
      </c>
      <c r="B245">
        <v>0.96692299999999998</v>
      </c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>
        <v>7.0697458360000001</v>
      </c>
      <c r="AT245">
        <v>0.42021199999999997</v>
      </c>
    </row>
    <row r="246" spans="1:46" x14ac:dyDescent="0.2">
      <c r="A246" s="87">
        <v>14366</v>
      </c>
      <c r="B246">
        <v>0.69386199999999998</v>
      </c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>
        <v>7.0429837659999999</v>
      </c>
      <c r="AT246">
        <v>1.2208680000000001</v>
      </c>
    </row>
    <row r="247" spans="1:46" x14ac:dyDescent="0.2">
      <c r="A247" s="87">
        <v>14397</v>
      </c>
      <c r="B247">
        <v>0.70453900000000003</v>
      </c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>
        <v>7.2036553019999996</v>
      </c>
      <c r="AT247">
        <v>0.23897599999999999</v>
      </c>
    </row>
    <row r="248" spans="1:46" x14ac:dyDescent="0.2">
      <c r="A248" s="87">
        <v>14427</v>
      </c>
      <c r="B248">
        <v>-4.7943249999999997</v>
      </c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>
        <v>7.4178509779999997</v>
      </c>
      <c r="AT248">
        <v>-0.56932700000000003</v>
      </c>
    </row>
    <row r="249" spans="1:46" x14ac:dyDescent="0.2">
      <c r="A249" s="87">
        <v>14458</v>
      </c>
      <c r="B249">
        <v>-3.5403739999999999</v>
      </c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>
        <v>7.524998375</v>
      </c>
      <c r="AT249">
        <v>-1.555488</v>
      </c>
    </row>
    <row r="250" spans="1:46" x14ac:dyDescent="0.2">
      <c r="A250" s="87">
        <v>14489</v>
      </c>
      <c r="B250">
        <v>-2.2054309999999999</v>
      </c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>
        <v>7.980250914</v>
      </c>
      <c r="AT250">
        <v>-0.34317500000000001</v>
      </c>
    </row>
    <row r="251" spans="1:46" x14ac:dyDescent="0.2">
      <c r="A251" s="87">
        <v>14519</v>
      </c>
      <c r="B251">
        <v>3.844624</v>
      </c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>
        <v>8.3819793140000005</v>
      </c>
      <c r="AT251">
        <v>0.231904</v>
      </c>
    </row>
    <row r="252" spans="1:46" x14ac:dyDescent="0.2">
      <c r="A252" s="87">
        <v>14550</v>
      </c>
      <c r="B252">
        <v>1.8071440000000001</v>
      </c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>
        <v>8.5961749899999997</v>
      </c>
      <c r="AT252">
        <v>0.66676899999999995</v>
      </c>
    </row>
    <row r="253" spans="1:46" x14ac:dyDescent="0.2">
      <c r="A253" s="87">
        <v>14580</v>
      </c>
      <c r="B253">
        <v>3.1713300000000002</v>
      </c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>
        <v>8.5961749899999997</v>
      </c>
      <c r="AT253">
        <v>1.138547</v>
      </c>
    </row>
    <row r="254" spans="1:46" x14ac:dyDescent="0.2">
      <c r="A254" s="87">
        <v>14611</v>
      </c>
      <c r="B254">
        <v>4.4866229999999998</v>
      </c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>
        <v>8.4890275929999994</v>
      </c>
      <c r="AT254">
        <v>0.68224399999999996</v>
      </c>
    </row>
    <row r="255" spans="1:46" x14ac:dyDescent="0.2">
      <c r="A255" s="87">
        <v>14642</v>
      </c>
      <c r="B255">
        <v>0.41106700000000002</v>
      </c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>
        <v>8.2213077779999999</v>
      </c>
      <c r="AT255">
        <v>1.111748</v>
      </c>
    </row>
    <row r="256" spans="1:46" x14ac:dyDescent="0.2">
      <c r="A256" s="87">
        <v>14671</v>
      </c>
      <c r="B256">
        <v>1.402793</v>
      </c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>
        <v>8.0337750529999994</v>
      </c>
      <c r="AT256">
        <v>1.0696239999999999</v>
      </c>
    </row>
    <row r="257" spans="1:46" x14ac:dyDescent="0.2">
      <c r="A257" s="87">
        <v>14702</v>
      </c>
      <c r="B257">
        <v>2.3993880000000001</v>
      </c>
      <c r="C257"/>
      <c r="D257"/>
      <c r="E257"/>
      <c r="F257"/>
      <c r="G257"/>
      <c r="H257"/>
      <c r="I257">
        <v>2.6</v>
      </c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>
        <v>8.1944465900000001</v>
      </c>
      <c r="AT257">
        <v>0.95082599999999995</v>
      </c>
    </row>
    <row r="258" spans="1:46" x14ac:dyDescent="0.2">
      <c r="A258" s="87">
        <v>14732</v>
      </c>
      <c r="B258">
        <v>0.97264300000000004</v>
      </c>
      <c r="C258"/>
      <c r="D258"/>
      <c r="E258"/>
      <c r="F258"/>
      <c r="G258"/>
      <c r="H258"/>
      <c r="I258">
        <v>2.2999999999999998</v>
      </c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>
        <v>8.4355034539999991</v>
      </c>
      <c r="AT258">
        <v>0.57494199999999995</v>
      </c>
    </row>
    <row r="259" spans="1:46" x14ac:dyDescent="0.2">
      <c r="A259" s="87">
        <v>14763</v>
      </c>
      <c r="B259">
        <v>0.78903500000000004</v>
      </c>
      <c r="C259"/>
      <c r="D259"/>
      <c r="E259"/>
      <c r="F259"/>
      <c r="G259"/>
      <c r="H259"/>
      <c r="I259">
        <v>1.8</v>
      </c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>
        <v>8.703322387</v>
      </c>
      <c r="AT259">
        <v>0.29820200000000002</v>
      </c>
    </row>
    <row r="260" spans="1:46" x14ac:dyDescent="0.2">
      <c r="A260" s="87">
        <v>14793</v>
      </c>
      <c r="B260">
        <v>7.0025000000000004E-2</v>
      </c>
      <c r="C260"/>
      <c r="D260"/>
      <c r="E260"/>
      <c r="F260"/>
      <c r="G260"/>
      <c r="H260"/>
      <c r="I260">
        <v>1.5</v>
      </c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>
        <v>8.8104697840000004</v>
      </c>
      <c r="AT260">
        <v>0.76210199999999995</v>
      </c>
    </row>
    <row r="261" spans="1:46" x14ac:dyDescent="0.2">
      <c r="A261" s="87">
        <v>14824</v>
      </c>
      <c r="B261">
        <v>-1.0638399999999999</v>
      </c>
      <c r="C261"/>
      <c r="D261"/>
      <c r="E261"/>
      <c r="F261"/>
      <c r="G261"/>
      <c r="H261"/>
      <c r="I261">
        <v>2</v>
      </c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>
        <v>8.8639939230000007</v>
      </c>
      <c r="AT261">
        <v>0.39977099999999999</v>
      </c>
    </row>
    <row r="262" spans="1:46" x14ac:dyDescent="0.2">
      <c r="A262" s="87">
        <v>14855</v>
      </c>
      <c r="B262">
        <v>-3.4464359999999998</v>
      </c>
      <c r="C262"/>
      <c r="D262"/>
      <c r="E262"/>
      <c r="F262"/>
      <c r="G262"/>
      <c r="H262"/>
      <c r="I262">
        <v>2.1</v>
      </c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>
        <v>9.0514275289999997</v>
      </c>
      <c r="AT262">
        <v>0.89771699999999999</v>
      </c>
    </row>
    <row r="263" spans="1:46" x14ac:dyDescent="0.2">
      <c r="A263" s="87">
        <v>14885</v>
      </c>
      <c r="B263">
        <v>3.1260919999999999</v>
      </c>
      <c r="C263"/>
      <c r="D263"/>
      <c r="E263"/>
      <c r="F263"/>
      <c r="G263"/>
      <c r="H263"/>
      <c r="I263">
        <v>1.8</v>
      </c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>
        <v>9.1853369960000002</v>
      </c>
      <c r="AT263">
        <v>0.29933199999999999</v>
      </c>
    </row>
    <row r="264" spans="1:46" x14ac:dyDescent="0.2">
      <c r="A264" s="87">
        <v>14916</v>
      </c>
      <c r="B264">
        <v>1.730653</v>
      </c>
      <c r="C264"/>
      <c r="D264"/>
      <c r="E264"/>
      <c r="F264"/>
      <c r="G264"/>
      <c r="H264"/>
      <c r="I264">
        <v>2</v>
      </c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>
        <v>9.3995326709999993</v>
      </c>
      <c r="AT264">
        <v>0.43578499999999998</v>
      </c>
    </row>
    <row r="265" spans="1:46" x14ac:dyDescent="0.2">
      <c r="A265" s="87">
        <v>14946</v>
      </c>
      <c r="B265">
        <v>-6.4560999999999993E-2</v>
      </c>
      <c r="C265"/>
      <c r="D265"/>
      <c r="E265"/>
      <c r="F265"/>
      <c r="G265"/>
      <c r="H265"/>
      <c r="I265">
        <v>1.9</v>
      </c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>
        <v>9.7208757440000007</v>
      </c>
      <c r="AT265">
        <v>0.41364600000000001</v>
      </c>
    </row>
    <row r="266" spans="1:46" x14ac:dyDescent="0.2">
      <c r="A266" s="87">
        <v>14977</v>
      </c>
      <c r="B266">
        <v>0.59127200000000002</v>
      </c>
      <c r="C266"/>
      <c r="D266"/>
      <c r="E266"/>
      <c r="F266"/>
      <c r="G266"/>
      <c r="H266"/>
      <c r="I266">
        <v>1.8</v>
      </c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>
        <v>9.9619326079999997</v>
      </c>
      <c r="AT266">
        <v>1.0600080000000001</v>
      </c>
    </row>
    <row r="267" spans="1:46" x14ac:dyDescent="0.2">
      <c r="A267" s="87">
        <v>15008</v>
      </c>
      <c r="B267">
        <v>0.60662099999999997</v>
      </c>
      <c r="C267"/>
      <c r="D267"/>
      <c r="E267"/>
      <c r="F267"/>
      <c r="G267"/>
      <c r="H267"/>
      <c r="I267">
        <v>2.1</v>
      </c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>
        <v>10.256513611000001</v>
      </c>
      <c r="AT267">
        <v>0.45909699999999998</v>
      </c>
    </row>
    <row r="268" spans="1:46" x14ac:dyDescent="0.2">
      <c r="A268" s="87">
        <v>15036</v>
      </c>
      <c r="B268">
        <v>-0.94705099999999998</v>
      </c>
      <c r="C268"/>
      <c r="D268"/>
      <c r="E268"/>
      <c r="F268"/>
      <c r="G268"/>
      <c r="H268"/>
      <c r="I268">
        <v>1.6</v>
      </c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>
        <v>10.577856684</v>
      </c>
      <c r="AT268">
        <v>1.287982</v>
      </c>
    </row>
    <row r="269" spans="1:46" x14ac:dyDescent="0.2">
      <c r="A269" s="87">
        <v>15067</v>
      </c>
      <c r="B269">
        <v>-1.5097160000000001</v>
      </c>
      <c r="C269"/>
      <c r="D269"/>
      <c r="E269"/>
      <c r="F269"/>
      <c r="G269"/>
      <c r="H269"/>
      <c r="I269">
        <v>1.8</v>
      </c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>
        <v>10.604618753</v>
      </c>
      <c r="AT269">
        <v>-0.39010400000000001</v>
      </c>
    </row>
    <row r="270" spans="1:46" x14ac:dyDescent="0.2">
      <c r="A270" s="87">
        <v>15097</v>
      </c>
      <c r="B270">
        <v>-0.63941499999999996</v>
      </c>
      <c r="C270"/>
      <c r="D270"/>
      <c r="E270"/>
      <c r="F270"/>
      <c r="G270"/>
      <c r="H270"/>
      <c r="I270">
        <v>1.8</v>
      </c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>
        <v>11.086633362000001</v>
      </c>
      <c r="AT270">
        <v>0.244204</v>
      </c>
    </row>
    <row r="271" spans="1:46" x14ac:dyDescent="0.2">
      <c r="A271" s="87">
        <v>15128</v>
      </c>
      <c r="B271">
        <v>-0.78907700000000003</v>
      </c>
      <c r="C271"/>
      <c r="D271"/>
      <c r="E271"/>
      <c r="F271"/>
      <c r="G271"/>
      <c r="H271"/>
      <c r="I271">
        <v>1.8</v>
      </c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>
        <v>11.167018690000001</v>
      </c>
      <c r="AT271">
        <v>0.63747399999999999</v>
      </c>
    </row>
    <row r="272" spans="1:46" x14ac:dyDescent="0.2">
      <c r="A272" s="87">
        <v>15158</v>
      </c>
      <c r="B272">
        <v>0.47013199999999999</v>
      </c>
      <c r="C272"/>
      <c r="D272"/>
      <c r="E272"/>
      <c r="F272"/>
      <c r="G272"/>
      <c r="H272"/>
      <c r="I272">
        <v>1.7</v>
      </c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>
        <v>11.300928155999999</v>
      </c>
      <c r="AT272">
        <v>1.086025</v>
      </c>
    </row>
    <row r="273" spans="1:46" x14ac:dyDescent="0.2">
      <c r="A273" s="87">
        <v>15189</v>
      </c>
      <c r="B273">
        <v>1.47343</v>
      </c>
      <c r="C273"/>
      <c r="D273"/>
      <c r="E273"/>
      <c r="F273"/>
      <c r="G273"/>
      <c r="H273"/>
      <c r="I273">
        <v>1.7</v>
      </c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>
        <v>11.434837623</v>
      </c>
      <c r="AT273">
        <v>0.430871</v>
      </c>
    </row>
    <row r="274" spans="1:46" x14ac:dyDescent="0.2">
      <c r="A274" s="87">
        <v>15220</v>
      </c>
      <c r="B274">
        <v>2.3655029999999999</v>
      </c>
      <c r="C274"/>
      <c r="D274"/>
      <c r="E274"/>
      <c r="F274"/>
      <c r="G274"/>
      <c r="H274"/>
      <c r="I274">
        <v>1.8</v>
      </c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>
        <v>11.434837623</v>
      </c>
      <c r="AT274">
        <v>-0.52217400000000003</v>
      </c>
    </row>
    <row r="275" spans="1:46" x14ac:dyDescent="0.2">
      <c r="A275" s="87">
        <v>15250</v>
      </c>
      <c r="B275">
        <v>-3.4886E-2</v>
      </c>
      <c r="C275"/>
      <c r="D275"/>
      <c r="E275"/>
      <c r="F275"/>
      <c r="G275"/>
      <c r="H275"/>
      <c r="I275">
        <v>1.7</v>
      </c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>
        <v>11.541885902000001</v>
      </c>
      <c r="AT275">
        <v>5.5541E-2</v>
      </c>
    </row>
    <row r="276" spans="1:46" x14ac:dyDescent="0.2">
      <c r="A276" s="87">
        <v>15281</v>
      </c>
      <c r="B276">
        <v>-1.203864</v>
      </c>
      <c r="C276"/>
      <c r="D276"/>
      <c r="E276"/>
      <c r="F276"/>
      <c r="G276"/>
      <c r="H276"/>
      <c r="I276">
        <v>1.5</v>
      </c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>
        <v>11.595509160000001</v>
      </c>
      <c r="AT276">
        <v>8.0881999999999996E-2</v>
      </c>
    </row>
    <row r="277" spans="1:46" x14ac:dyDescent="0.2">
      <c r="A277" s="87">
        <v>15311</v>
      </c>
      <c r="B277">
        <v>-0.74516099999999996</v>
      </c>
      <c r="C277"/>
      <c r="D277"/>
      <c r="E277"/>
      <c r="F277"/>
      <c r="G277"/>
      <c r="H277"/>
      <c r="I277">
        <v>1.4</v>
      </c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>
        <v>11.782942765</v>
      </c>
      <c r="AT277">
        <v>-0.20319899999999999</v>
      </c>
    </row>
    <row r="278" spans="1:46" x14ac:dyDescent="0.2">
      <c r="A278" s="87">
        <v>15342</v>
      </c>
      <c r="B278">
        <v>-1.309288</v>
      </c>
      <c r="C278"/>
      <c r="D278"/>
      <c r="E278"/>
      <c r="F278"/>
      <c r="G278"/>
      <c r="H278"/>
      <c r="I278">
        <v>1.9</v>
      </c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>
        <v>12.023999629</v>
      </c>
      <c r="AT278">
        <v>0.88730900000000001</v>
      </c>
    </row>
    <row r="279" spans="1:46" x14ac:dyDescent="0.2">
      <c r="A279" s="87">
        <v>15373</v>
      </c>
      <c r="B279">
        <v>0.14916499999999999</v>
      </c>
      <c r="C279"/>
      <c r="D279"/>
      <c r="E279"/>
      <c r="F279"/>
      <c r="G279"/>
      <c r="H279"/>
      <c r="I279">
        <v>1.7</v>
      </c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>
        <v>12.238195305</v>
      </c>
      <c r="AT279">
        <v>0.244169</v>
      </c>
    </row>
    <row r="280" spans="1:46" x14ac:dyDescent="0.2">
      <c r="A280" s="87">
        <v>15401</v>
      </c>
      <c r="B280">
        <v>0.67073899999999997</v>
      </c>
      <c r="C280"/>
      <c r="D280"/>
      <c r="E280"/>
      <c r="F280"/>
      <c r="G280"/>
      <c r="H280"/>
      <c r="I280">
        <v>1.6</v>
      </c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>
        <v>12.372104772</v>
      </c>
      <c r="AT280">
        <v>9.6876000000000004E-2</v>
      </c>
    </row>
    <row r="281" spans="1:46" x14ac:dyDescent="0.2">
      <c r="A281" s="87">
        <v>15432</v>
      </c>
      <c r="B281">
        <v>0.73945300000000003</v>
      </c>
      <c r="C281"/>
      <c r="D281"/>
      <c r="E281"/>
      <c r="F281"/>
      <c r="G281"/>
      <c r="H281"/>
      <c r="I281">
        <v>1.5</v>
      </c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>
        <v>12.023900511000001</v>
      </c>
      <c r="AT281">
        <v>-0.118535</v>
      </c>
    </row>
    <row r="282" spans="1:46" x14ac:dyDescent="0.2">
      <c r="A282" s="87">
        <v>15462</v>
      </c>
      <c r="B282">
        <v>1.863032</v>
      </c>
      <c r="C282"/>
      <c r="D282"/>
      <c r="E282"/>
      <c r="F282"/>
      <c r="G282"/>
      <c r="H282"/>
      <c r="I282">
        <v>1.8</v>
      </c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>
        <v>12.050761699000001</v>
      </c>
      <c r="AT282">
        <v>0.72147899999999998</v>
      </c>
    </row>
    <row r="283" spans="1:46" x14ac:dyDescent="0.2">
      <c r="A283" s="87">
        <v>15493</v>
      </c>
      <c r="B283">
        <v>0.50400599999999995</v>
      </c>
      <c r="C283"/>
      <c r="D283"/>
      <c r="E283"/>
      <c r="F283"/>
      <c r="G283"/>
      <c r="H283"/>
      <c r="I283">
        <v>1.8</v>
      </c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>
        <v>12.077523768000001</v>
      </c>
      <c r="AT283">
        <v>0.56303099999999995</v>
      </c>
    </row>
    <row r="284" spans="1:46" x14ac:dyDescent="0.2">
      <c r="A284" s="87">
        <v>15523</v>
      </c>
      <c r="B284">
        <v>0.76431300000000002</v>
      </c>
      <c r="C284"/>
      <c r="D284"/>
      <c r="E284"/>
      <c r="F284"/>
      <c r="G284"/>
      <c r="H284"/>
      <c r="I284">
        <v>1.5</v>
      </c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>
        <v>12.372104772</v>
      </c>
      <c r="AT284">
        <v>0.76217000000000001</v>
      </c>
    </row>
    <row r="285" spans="1:46" x14ac:dyDescent="0.2">
      <c r="A285" s="87">
        <v>15554</v>
      </c>
      <c r="B285">
        <v>0.74026899999999995</v>
      </c>
      <c r="C285"/>
      <c r="D285"/>
      <c r="E285"/>
      <c r="F285"/>
      <c r="G285"/>
      <c r="H285"/>
      <c r="I285">
        <v>1.5</v>
      </c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>
        <v>12.746971983</v>
      </c>
      <c r="AT285">
        <v>-0.65532500000000005</v>
      </c>
    </row>
    <row r="286" spans="1:46" x14ac:dyDescent="0.2">
      <c r="A286" s="87">
        <v>15585</v>
      </c>
      <c r="B286">
        <v>-4.0314560000000004</v>
      </c>
      <c r="C286"/>
      <c r="D286"/>
      <c r="E286"/>
      <c r="F286"/>
      <c r="G286"/>
      <c r="H286"/>
      <c r="I286">
        <v>1.7</v>
      </c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>
        <v>13.041552985999999</v>
      </c>
      <c r="AT286">
        <v>-0.17366500000000001</v>
      </c>
    </row>
    <row r="287" spans="1:46" x14ac:dyDescent="0.2">
      <c r="A287" s="87">
        <v>15615</v>
      </c>
      <c r="B287"/>
      <c r="C287"/>
      <c r="D287"/>
      <c r="E287"/>
      <c r="F287"/>
      <c r="G287"/>
      <c r="H287"/>
      <c r="I287">
        <v>1.6</v>
      </c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>
        <v>13.470043456000001</v>
      </c>
      <c r="AT287"/>
    </row>
    <row r="288" spans="1:46" x14ac:dyDescent="0.2">
      <c r="A288" s="87">
        <v>15646</v>
      </c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>
        <v>13.791386529</v>
      </c>
      <c r="AT288"/>
    </row>
    <row r="289" spans="1:46" x14ac:dyDescent="0.2">
      <c r="A289" s="87">
        <v>15676</v>
      </c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>
        <v>14.112729601</v>
      </c>
      <c r="AT289"/>
    </row>
    <row r="290" spans="1:46" x14ac:dyDescent="0.2">
      <c r="A290" s="87">
        <v>15707</v>
      </c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>
        <v>14.246639068</v>
      </c>
      <c r="AT290"/>
    </row>
    <row r="291" spans="1:46" x14ac:dyDescent="0.2">
      <c r="A291" s="87">
        <v>15738</v>
      </c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>
        <v>14.62150628</v>
      </c>
      <c r="AT291"/>
    </row>
    <row r="292" spans="1:46" x14ac:dyDescent="0.2">
      <c r="A292" s="87">
        <v>15766</v>
      </c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>
        <v>14.728653677</v>
      </c>
      <c r="AT292"/>
    </row>
    <row r="293" spans="1:46" x14ac:dyDescent="0.2">
      <c r="A293" s="87">
        <v>15797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>
        <v>14.916087283</v>
      </c>
      <c r="AT293"/>
    </row>
    <row r="294" spans="1:46" x14ac:dyDescent="0.2">
      <c r="A294" s="87">
        <v>15827</v>
      </c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>
        <v>15.02323468</v>
      </c>
      <c r="AT294"/>
    </row>
    <row r="295" spans="1:46" x14ac:dyDescent="0.2">
      <c r="A295" s="87">
        <v>15858</v>
      </c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>
        <v>14.942948470999999</v>
      </c>
      <c r="AT295"/>
    </row>
    <row r="296" spans="1:46" x14ac:dyDescent="0.2">
      <c r="A296" s="87">
        <v>15888</v>
      </c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>
        <v>15.398101892</v>
      </c>
      <c r="AT296"/>
    </row>
    <row r="297" spans="1:46" x14ac:dyDescent="0.2">
      <c r="A297" s="87">
        <v>15919</v>
      </c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>
        <v>15.719444964999999</v>
      </c>
      <c r="AT297"/>
    </row>
    <row r="298" spans="1:46" x14ac:dyDescent="0.2">
      <c r="A298" s="87">
        <v>15950</v>
      </c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>
        <v>16.121173365000001</v>
      </c>
      <c r="AT298"/>
    </row>
    <row r="299" spans="1:46" x14ac:dyDescent="0.2">
      <c r="A299" s="87">
        <v>15980</v>
      </c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>
        <v>16.362230229000001</v>
      </c>
      <c r="AT299"/>
    </row>
    <row r="300" spans="1:46" x14ac:dyDescent="0.2">
      <c r="A300" s="87">
        <v>16011</v>
      </c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>
        <v>16.576425904000001</v>
      </c>
      <c r="AT300"/>
    </row>
    <row r="301" spans="1:46" x14ac:dyDescent="0.2">
      <c r="A301" s="87">
        <v>16041</v>
      </c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>
        <v>16.362230229000001</v>
      </c>
      <c r="AT301"/>
    </row>
    <row r="302" spans="1:46" x14ac:dyDescent="0.2">
      <c r="A302" s="87">
        <v>16072</v>
      </c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>
        <v>16.549663835</v>
      </c>
      <c r="AT302"/>
    </row>
    <row r="303" spans="1:46" x14ac:dyDescent="0.2">
      <c r="A303" s="87">
        <v>16103</v>
      </c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>
        <v>16.683573300999999</v>
      </c>
      <c r="AT303"/>
    </row>
    <row r="304" spans="1:46" x14ac:dyDescent="0.2">
      <c r="A304" s="87">
        <v>16132</v>
      </c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>
        <v>16.656811231999999</v>
      </c>
      <c r="AT304"/>
    </row>
    <row r="305" spans="1:46" x14ac:dyDescent="0.2">
      <c r="A305" s="87">
        <v>16163</v>
      </c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>
        <v>16.656811231999999</v>
      </c>
      <c r="AT305"/>
    </row>
    <row r="306" spans="1:46" x14ac:dyDescent="0.2">
      <c r="A306" s="87">
        <v>16193</v>
      </c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>
        <v>16.549663835</v>
      </c>
      <c r="AT306"/>
    </row>
    <row r="307" spans="1:46" x14ac:dyDescent="0.2">
      <c r="A307" s="87">
        <v>16224</v>
      </c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>
        <v>16.496139695</v>
      </c>
      <c r="AT307"/>
    </row>
    <row r="308" spans="1:46" x14ac:dyDescent="0.2">
      <c r="A308" s="87">
        <v>16254</v>
      </c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>
        <v>16.469377626</v>
      </c>
      <c r="AT308"/>
    </row>
    <row r="309" spans="1:46" x14ac:dyDescent="0.2">
      <c r="A309" s="87">
        <v>16285</v>
      </c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>
        <v>16.683573300999999</v>
      </c>
      <c r="AT309"/>
    </row>
    <row r="310" spans="1:46" x14ac:dyDescent="0.2">
      <c r="A310" s="87">
        <v>16316</v>
      </c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>
        <v>16.576425904000001</v>
      </c>
      <c r="AT310"/>
    </row>
    <row r="311" spans="1:46" x14ac:dyDescent="0.2">
      <c r="A311" s="87">
        <v>16346</v>
      </c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>
        <v>16.630049161999999</v>
      </c>
      <c r="AT311"/>
    </row>
    <row r="312" spans="1:46" x14ac:dyDescent="0.2">
      <c r="A312" s="87">
        <v>16377</v>
      </c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>
        <v>16.496139695</v>
      </c>
      <c r="AT312"/>
    </row>
    <row r="313" spans="1:46" x14ac:dyDescent="0.2">
      <c r="A313" s="87">
        <v>16407</v>
      </c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>
        <v>16.442516436999998</v>
      </c>
      <c r="AT313"/>
    </row>
    <row r="314" spans="1:46" x14ac:dyDescent="0.2">
      <c r="A314" s="87">
        <v>16438</v>
      </c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>
        <v>16.281844900999999</v>
      </c>
      <c r="AT314"/>
    </row>
    <row r="315" spans="1:46" x14ac:dyDescent="0.2">
      <c r="A315" s="87">
        <v>16469</v>
      </c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>
        <v>16.228320761999999</v>
      </c>
      <c r="AT315"/>
    </row>
    <row r="316" spans="1:46" x14ac:dyDescent="0.2">
      <c r="A316" s="87">
        <v>16497</v>
      </c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>
        <v>16.121173365000001</v>
      </c>
      <c r="AT316"/>
    </row>
    <row r="317" spans="1:46" x14ac:dyDescent="0.2">
      <c r="A317" s="87">
        <v>16528</v>
      </c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>
        <v>15.826592362</v>
      </c>
      <c r="AT317"/>
    </row>
    <row r="318" spans="1:46" x14ac:dyDescent="0.2">
      <c r="A318" s="87">
        <v>16558</v>
      </c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>
        <v>15.398201010999999</v>
      </c>
      <c r="AT318"/>
    </row>
    <row r="319" spans="1:46" x14ac:dyDescent="0.2">
      <c r="A319" s="87">
        <v>16589</v>
      </c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>
        <v>15.04999675</v>
      </c>
      <c r="AT319"/>
    </row>
    <row r="320" spans="1:46" x14ac:dyDescent="0.2">
      <c r="A320" s="87">
        <v>16619</v>
      </c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>
        <v>14.701891608</v>
      </c>
      <c r="AT320"/>
    </row>
    <row r="321" spans="1:46" x14ac:dyDescent="0.2">
      <c r="A321" s="87">
        <v>16650</v>
      </c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>
        <v>13.175462453</v>
      </c>
      <c r="AT321"/>
    </row>
    <row r="322" spans="1:46" x14ac:dyDescent="0.2">
      <c r="A322" s="87">
        <v>16681</v>
      </c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>
        <v>11.997138441000001</v>
      </c>
      <c r="AT322"/>
    </row>
    <row r="323" spans="1:46" x14ac:dyDescent="0.2">
      <c r="A323" s="87">
        <v>16711</v>
      </c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>
        <v>11.515123832</v>
      </c>
      <c r="AT323"/>
    </row>
    <row r="324" spans="1:46" x14ac:dyDescent="0.2">
      <c r="A324" s="87">
        <v>16742</v>
      </c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>
        <v>11.943614302</v>
      </c>
      <c r="AT324"/>
    </row>
    <row r="325" spans="1:46" x14ac:dyDescent="0.2">
      <c r="A325" s="87">
        <v>16772</v>
      </c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>
        <v>11.997138441000001</v>
      </c>
      <c r="AT325"/>
    </row>
    <row r="326" spans="1:46" x14ac:dyDescent="0.2">
      <c r="A326" s="87">
        <v>16803</v>
      </c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>
        <v>11.327690226</v>
      </c>
      <c r="AT326"/>
    </row>
    <row r="327" spans="1:46" x14ac:dyDescent="0.2">
      <c r="A327" s="87">
        <v>16834</v>
      </c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>
        <v>10.765290289999999</v>
      </c>
      <c r="AT327"/>
    </row>
    <row r="328" spans="1:46" x14ac:dyDescent="0.2">
      <c r="A328" s="87">
        <v>16862</v>
      </c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>
        <v>11.890090163</v>
      </c>
      <c r="AT328"/>
    </row>
    <row r="329" spans="1:46" x14ac:dyDescent="0.2">
      <c r="A329" s="87">
        <v>16893</v>
      </c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>
        <v>11.675795367999999</v>
      </c>
      <c r="AT329"/>
    </row>
    <row r="330" spans="1:46" x14ac:dyDescent="0.2">
      <c r="A330" s="87">
        <v>16923</v>
      </c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>
        <v>11.247304899</v>
      </c>
      <c r="AT330"/>
    </row>
    <row r="331" spans="1:46" x14ac:dyDescent="0.2">
      <c r="A331" s="87">
        <v>16954</v>
      </c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>
        <v>11.943614302</v>
      </c>
      <c r="AT331"/>
    </row>
    <row r="332" spans="1:46" x14ac:dyDescent="0.2">
      <c r="A332" s="87">
        <v>16984</v>
      </c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>
        <v>12.345342702</v>
      </c>
      <c r="AT332"/>
    </row>
    <row r="333" spans="1:46" x14ac:dyDescent="0.2">
      <c r="A333" s="87">
        <v>17015</v>
      </c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>
        <v>12.800595241</v>
      </c>
      <c r="AT333"/>
    </row>
    <row r="334" spans="1:46" x14ac:dyDescent="0.2">
      <c r="A334" s="87">
        <v>17046</v>
      </c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>
        <v>13.041552985999999</v>
      </c>
      <c r="AT334"/>
    </row>
    <row r="335" spans="1:46" x14ac:dyDescent="0.2">
      <c r="A335" s="87">
        <v>17076</v>
      </c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>
        <v>13.28260985</v>
      </c>
      <c r="AT335"/>
    </row>
    <row r="336" spans="1:46" x14ac:dyDescent="0.2">
      <c r="A336" s="87">
        <v>17107</v>
      </c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>
        <v>13.362896059000001</v>
      </c>
      <c r="AT336"/>
    </row>
    <row r="337" spans="1:46" x14ac:dyDescent="0.2">
      <c r="A337" s="87">
        <v>17137</v>
      </c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>
        <v>13.443281387000001</v>
      </c>
      <c r="AT337"/>
    </row>
    <row r="338" spans="1:46" x14ac:dyDescent="0.2">
      <c r="A338" s="87">
        <v>17168</v>
      </c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>
        <v>13.603952923</v>
      </c>
      <c r="AT338"/>
    </row>
    <row r="339" spans="1:46" x14ac:dyDescent="0.2">
      <c r="A339" s="87">
        <v>17199</v>
      </c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>
        <v>13.684239132</v>
      </c>
      <c r="AT339"/>
    </row>
    <row r="340" spans="1:46" x14ac:dyDescent="0.2">
      <c r="A340" s="87">
        <v>17227</v>
      </c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>
        <v>13.764624459</v>
      </c>
      <c r="AT340"/>
    </row>
    <row r="341" spans="1:46" x14ac:dyDescent="0.2">
      <c r="A341" s="87">
        <v>17258</v>
      </c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>
        <v>13.657477062</v>
      </c>
      <c r="AT341"/>
    </row>
    <row r="342" spans="1:46" x14ac:dyDescent="0.2">
      <c r="A342" s="87">
        <v>17288</v>
      </c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>
        <v>13.711001201</v>
      </c>
      <c r="AT342"/>
    </row>
    <row r="343" spans="1:46" x14ac:dyDescent="0.2">
      <c r="A343" s="87">
        <v>17319</v>
      </c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>
        <v>13.71110032</v>
      </c>
      <c r="AT343"/>
    </row>
    <row r="344" spans="1:46" x14ac:dyDescent="0.2">
      <c r="A344" s="87">
        <v>17349</v>
      </c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>
        <v>13.630714992</v>
      </c>
      <c r="AT344"/>
    </row>
    <row r="345" spans="1:46" x14ac:dyDescent="0.2">
      <c r="A345" s="87">
        <v>17380</v>
      </c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>
        <v>13.71110032</v>
      </c>
      <c r="AT345"/>
    </row>
    <row r="346" spans="1:46" x14ac:dyDescent="0.2">
      <c r="A346" s="87">
        <v>17411</v>
      </c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>
        <v>13.818148598000001</v>
      </c>
      <c r="AT346"/>
    </row>
    <row r="347" spans="1:46" x14ac:dyDescent="0.2">
      <c r="A347" s="87">
        <v>17441</v>
      </c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>
        <v>13.952058064999999</v>
      </c>
      <c r="AT347"/>
    </row>
    <row r="348" spans="1:46" x14ac:dyDescent="0.2">
      <c r="A348" s="87">
        <v>17472</v>
      </c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>
        <v>14.139491671</v>
      </c>
      <c r="AT348"/>
    </row>
    <row r="349" spans="1:46" x14ac:dyDescent="0.2">
      <c r="A349" s="87">
        <v>17502</v>
      </c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>
        <v>14.193114929</v>
      </c>
      <c r="AT349"/>
    </row>
    <row r="350" spans="1:46" x14ac:dyDescent="0.2">
      <c r="A350" s="87">
        <v>17533</v>
      </c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>
        <v>14.273401138000001</v>
      </c>
      <c r="AT350"/>
    </row>
    <row r="351" spans="1:46" x14ac:dyDescent="0.2">
      <c r="A351" s="87">
        <v>17564</v>
      </c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>
        <v>14.300262326</v>
      </c>
      <c r="AT351"/>
    </row>
    <row r="352" spans="1:46" x14ac:dyDescent="0.2">
      <c r="A352" s="87">
        <v>17593</v>
      </c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>
        <v>14.139491671</v>
      </c>
      <c r="AT352"/>
    </row>
    <row r="353" spans="1:46" x14ac:dyDescent="0.2">
      <c r="A353" s="87">
        <v>17624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>
        <v>14.166253741</v>
      </c>
      <c r="AT353"/>
    </row>
    <row r="354" spans="1:46" x14ac:dyDescent="0.2">
      <c r="A354" s="87">
        <v>17654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>
        <v>14.407310603999999</v>
      </c>
      <c r="AT354"/>
    </row>
    <row r="355" spans="1:46" x14ac:dyDescent="0.2">
      <c r="A355" s="87">
        <v>17685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>
        <v>14.59474421</v>
      </c>
      <c r="AT355"/>
    </row>
    <row r="356" spans="1:46" x14ac:dyDescent="0.2">
      <c r="A356" s="87">
        <v>17715</v>
      </c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>
        <v>14.59474421</v>
      </c>
      <c r="AT356"/>
    </row>
    <row r="357" spans="1:46" x14ac:dyDescent="0.2">
      <c r="A357" s="87">
        <v>17746</v>
      </c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>
        <v>14.541220071</v>
      </c>
      <c r="AT357"/>
    </row>
    <row r="358" spans="1:46" x14ac:dyDescent="0.2">
      <c r="A358" s="87">
        <v>17777</v>
      </c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>
        <v>14.434072673999999</v>
      </c>
      <c r="AT358"/>
    </row>
    <row r="359" spans="1:46" x14ac:dyDescent="0.2">
      <c r="A359" s="87">
        <v>17807</v>
      </c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>
        <v>14.541220071</v>
      </c>
      <c r="AT359"/>
    </row>
    <row r="360" spans="1:46" x14ac:dyDescent="0.2">
      <c r="A360" s="87">
        <v>17838</v>
      </c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>
        <v>14.353786465000001</v>
      </c>
      <c r="AT360"/>
    </row>
    <row r="361" spans="1:46" x14ac:dyDescent="0.2">
      <c r="A361" s="87">
        <v>17868</v>
      </c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>
        <v>14.219876999</v>
      </c>
      <c r="AT361"/>
    </row>
    <row r="362" spans="1:46" x14ac:dyDescent="0.2">
      <c r="A362" s="87">
        <v>17899</v>
      </c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>
        <v>14.085967532</v>
      </c>
      <c r="AT362"/>
    </row>
    <row r="363" spans="1:46" x14ac:dyDescent="0.2">
      <c r="A363" s="87">
        <v>17930</v>
      </c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>
        <v>13.952058064999999</v>
      </c>
      <c r="AT363"/>
    </row>
    <row r="364" spans="1:46" x14ac:dyDescent="0.2">
      <c r="A364" s="87">
        <v>17958</v>
      </c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>
        <v>13.684239132</v>
      </c>
      <c r="AT364"/>
    </row>
    <row r="365" spans="1:46" x14ac:dyDescent="0.2">
      <c r="A365" s="87">
        <v>17989</v>
      </c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>
        <v>13.603952923</v>
      </c>
      <c r="AT365"/>
    </row>
    <row r="366" spans="1:46" x14ac:dyDescent="0.2">
      <c r="A366" s="87">
        <v>18019</v>
      </c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>
        <v>13.416519317000001</v>
      </c>
      <c r="AT366"/>
    </row>
    <row r="367" spans="1:46" x14ac:dyDescent="0.2">
      <c r="A367" s="87">
        <v>18050</v>
      </c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>
        <v>13.389658129000001</v>
      </c>
      <c r="AT367"/>
    </row>
    <row r="368" spans="1:46" x14ac:dyDescent="0.2">
      <c r="A368" s="87">
        <v>18080</v>
      </c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>
        <v>13.362896059000001</v>
      </c>
      <c r="AT368"/>
    </row>
    <row r="369" spans="1:46" x14ac:dyDescent="0.2">
      <c r="A369" s="87">
        <v>18111</v>
      </c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>
        <v>13.496805525999999</v>
      </c>
      <c r="AT369"/>
    </row>
    <row r="370" spans="1:46" x14ac:dyDescent="0.2">
      <c r="A370" s="87">
        <v>18142</v>
      </c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>
        <v>13.630714992</v>
      </c>
      <c r="AT370"/>
    </row>
    <row r="371" spans="1:46" x14ac:dyDescent="0.2">
      <c r="A371" s="87">
        <v>18172</v>
      </c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>
        <v>13.121938313999999</v>
      </c>
      <c r="AT371"/>
    </row>
    <row r="372" spans="1:46" x14ac:dyDescent="0.2">
      <c r="A372" s="87">
        <v>18203</v>
      </c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>
        <v>13.470043456000001</v>
      </c>
      <c r="AT372"/>
    </row>
    <row r="373" spans="1:46" x14ac:dyDescent="0.2">
      <c r="A373" s="87">
        <v>18233</v>
      </c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>
        <v>13.71110032</v>
      </c>
      <c r="AT373"/>
    </row>
    <row r="374" spans="1:46" x14ac:dyDescent="0.2">
      <c r="A374" s="87">
        <v>18264</v>
      </c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>
        <v>13.952058064999999</v>
      </c>
      <c r="AT374"/>
    </row>
    <row r="375" spans="1:46" x14ac:dyDescent="0.2">
      <c r="A375" s="87">
        <v>18295</v>
      </c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>
        <v>14.005681322999999</v>
      </c>
      <c r="AT375"/>
    </row>
    <row r="376" spans="1:46" x14ac:dyDescent="0.2">
      <c r="A376" s="87">
        <v>18323</v>
      </c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>
        <v>14.460834744</v>
      </c>
      <c r="AT376"/>
    </row>
    <row r="377" spans="1:46" x14ac:dyDescent="0.2">
      <c r="A377" s="87">
        <v>18354</v>
      </c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>
        <v>14.942849353</v>
      </c>
      <c r="AT377"/>
    </row>
    <row r="378" spans="1:46" x14ac:dyDescent="0.2">
      <c r="A378" s="87">
        <v>18384</v>
      </c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>
        <v>15.291053614000001</v>
      </c>
      <c r="AT378"/>
    </row>
    <row r="379" spans="1:46" x14ac:dyDescent="0.2">
      <c r="A379" s="87">
        <v>18415</v>
      </c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>
        <v>15.746306153000001</v>
      </c>
      <c r="AT379"/>
    </row>
    <row r="380" spans="1:46" x14ac:dyDescent="0.2">
      <c r="A380" s="87">
        <v>18445</v>
      </c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>
        <v>16.255082830999999</v>
      </c>
      <c r="AT380"/>
    </row>
    <row r="381" spans="1:46" x14ac:dyDescent="0.2">
      <c r="A381" s="87">
        <v>18476</v>
      </c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>
        <v>16.76385951</v>
      </c>
      <c r="AT381"/>
    </row>
    <row r="382" spans="1:46" x14ac:dyDescent="0.2">
      <c r="A382" s="87">
        <v>18507</v>
      </c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>
        <v>16.656811231999999</v>
      </c>
      <c r="AT382"/>
    </row>
    <row r="383" spans="1:46" x14ac:dyDescent="0.2">
      <c r="A383" s="87">
        <v>18537</v>
      </c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>
        <v>16.76385951</v>
      </c>
      <c r="AT383"/>
    </row>
    <row r="384" spans="1:46" x14ac:dyDescent="0.2">
      <c r="A384" s="87">
        <v>18568</v>
      </c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>
        <v>16.737097439999999</v>
      </c>
      <c r="AT384"/>
    </row>
    <row r="385" spans="1:46" x14ac:dyDescent="0.2">
      <c r="A385" s="87">
        <v>18598</v>
      </c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>
        <v>17.031678443000001</v>
      </c>
      <c r="AT385"/>
    </row>
    <row r="386" spans="1:46" x14ac:dyDescent="0.2">
      <c r="A386" s="87">
        <v>18629</v>
      </c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>
        <v>17.085202583000001</v>
      </c>
      <c r="AT386"/>
    </row>
    <row r="387" spans="1:46" x14ac:dyDescent="0.2">
      <c r="A387" s="87">
        <v>18660</v>
      </c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>
        <v>17.192349979999999</v>
      </c>
      <c r="AT387"/>
    </row>
    <row r="388" spans="1:46" x14ac:dyDescent="0.2">
      <c r="A388" s="87">
        <v>18688</v>
      </c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>
        <v>17.272735307000001</v>
      </c>
      <c r="AT388"/>
    </row>
    <row r="389" spans="1:46" x14ac:dyDescent="0.2">
      <c r="A389" s="87">
        <v>18719</v>
      </c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>
        <v>17.299497377000002</v>
      </c>
      <c r="AT389"/>
    </row>
    <row r="390" spans="1:46" x14ac:dyDescent="0.2">
      <c r="A390" s="87">
        <v>18749</v>
      </c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>
        <v>17.245973238000001</v>
      </c>
      <c r="AT390"/>
    </row>
    <row r="391" spans="1:46" x14ac:dyDescent="0.2">
      <c r="A391" s="87">
        <v>18780</v>
      </c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>
        <v>17.165587909999999</v>
      </c>
      <c r="AT391"/>
    </row>
    <row r="392" spans="1:46" x14ac:dyDescent="0.2">
      <c r="A392" s="87">
        <v>18810</v>
      </c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>
        <v>16.897768976999998</v>
      </c>
      <c r="AT392"/>
    </row>
    <row r="393" spans="1:46" x14ac:dyDescent="0.2">
      <c r="A393" s="87">
        <v>18841</v>
      </c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>
        <v>16.737097439999999</v>
      </c>
      <c r="AT393"/>
    </row>
    <row r="394" spans="1:46" x14ac:dyDescent="0.2">
      <c r="A394" s="87">
        <v>18872</v>
      </c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>
        <v>16.844244838000002</v>
      </c>
      <c r="AT394"/>
    </row>
    <row r="395" spans="1:46" x14ac:dyDescent="0.2">
      <c r="A395" s="87">
        <v>18902</v>
      </c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>
        <v>16.817482768000001</v>
      </c>
      <c r="AT395"/>
    </row>
    <row r="396" spans="1:46" x14ac:dyDescent="0.2">
      <c r="A396" s="87">
        <v>18933</v>
      </c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>
        <v>16.951392235</v>
      </c>
      <c r="AT396"/>
    </row>
    <row r="397" spans="1:46" x14ac:dyDescent="0.2">
      <c r="A397" s="87">
        <v>18963</v>
      </c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>
        <v>17.058440513000001</v>
      </c>
      <c r="AT397"/>
    </row>
    <row r="398" spans="1:46" x14ac:dyDescent="0.2">
      <c r="A398" s="87">
        <v>18994</v>
      </c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>
        <v>17.245973238000001</v>
      </c>
      <c r="AT398"/>
    </row>
    <row r="399" spans="1:46" x14ac:dyDescent="0.2">
      <c r="A399" s="87">
        <v>19025</v>
      </c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>
        <v>17.353021515999998</v>
      </c>
      <c r="AT399"/>
    </row>
    <row r="400" spans="1:46" x14ac:dyDescent="0.2">
      <c r="A400" s="87">
        <v>19054</v>
      </c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>
        <v>17.406644774</v>
      </c>
      <c r="AT400"/>
    </row>
    <row r="401" spans="1:46" x14ac:dyDescent="0.2">
      <c r="A401" s="87">
        <v>19085</v>
      </c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>
        <v>17.245973238000001</v>
      </c>
      <c r="AT401"/>
    </row>
    <row r="402" spans="1:46" x14ac:dyDescent="0.2">
      <c r="A402" s="87">
        <v>19115</v>
      </c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>
        <v>17.085301700999999</v>
      </c>
      <c r="AT402"/>
    </row>
    <row r="403" spans="1:46" x14ac:dyDescent="0.2">
      <c r="A403" s="87">
        <v>19146</v>
      </c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>
        <v>16.924531045999998</v>
      </c>
      <c r="AT403"/>
    </row>
    <row r="404" spans="1:46" x14ac:dyDescent="0.2">
      <c r="A404" s="87">
        <v>19176</v>
      </c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>
        <v>16.656811231999999</v>
      </c>
      <c r="AT404"/>
    </row>
    <row r="405" spans="1:46" x14ac:dyDescent="0.2">
      <c r="A405" s="87">
        <v>19207</v>
      </c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>
        <v>17.727987847000001</v>
      </c>
      <c r="AT405"/>
    </row>
    <row r="406" spans="1:46" x14ac:dyDescent="0.2">
      <c r="A406" s="87">
        <v>19238</v>
      </c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>
        <v>18.370673992</v>
      </c>
      <c r="AT406"/>
    </row>
    <row r="407" spans="1:46" x14ac:dyDescent="0.2">
      <c r="A407" s="87">
        <v>19268</v>
      </c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>
        <v>18.558107597999999</v>
      </c>
      <c r="AT407"/>
    </row>
    <row r="408" spans="1:46" x14ac:dyDescent="0.2">
      <c r="A408" s="87">
        <v>19299</v>
      </c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>
        <v>18.933073927999999</v>
      </c>
      <c r="AT408"/>
    </row>
    <row r="409" spans="1:46" x14ac:dyDescent="0.2">
      <c r="A409" s="87">
        <v>19329</v>
      </c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>
        <v>19.040122207</v>
      </c>
      <c r="AT409"/>
    </row>
    <row r="410" spans="1:46" x14ac:dyDescent="0.2">
      <c r="A410" s="87">
        <v>19360</v>
      </c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>
        <v>19.093745465000001</v>
      </c>
      <c r="AT410"/>
    </row>
    <row r="411" spans="1:46" x14ac:dyDescent="0.2">
      <c r="A411" s="87">
        <v>19391</v>
      </c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>
        <v>19.200793742999998</v>
      </c>
      <c r="AT411"/>
    </row>
    <row r="412" spans="1:46" x14ac:dyDescent="0.2">
      <c r="A412" s="87">
        <v>19419</v>
      </c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>
        <v>19.361564397999999</v>
      </c>
      <c r="AT412"/>
    </row>
    <row r="413" spans="1:46" x14ac:dyDescent="0.2">
      <c r="A413" s="87">
        <v>19450</v>
      </c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>
        <v>19.441850606999999</v>
      </c>
      <c r="AT413"/>
    </row>
    <row r="414" spans="1:46" x14ac:dyDescent="0.2">
      <c r="A414" s="87">
        <v>19480</v>
      </c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>
        <v>19.548998004000001</v>
      </c>
      <c r="AT414"/>
    </row>
    <row r="415" spans="1:46" x14ac:dyDescent="0.2">
      <c r="A415" s="87">
        <v>19511</v>
      </c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>
        <v>19.468612676999999</v>
      </c>
      <c r="AT415"/>
    </row>
    <row r="416" spans="1:46" x14ac:dyDescent="0.2">
      <c r="A416" s="87">
        <v>19541</v>
      </c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>
        <v>19.70966954</v>
      </c>
      <c r="AT416"/>
    </row>
    <row r="417" spans="1:46" x14ac:dyDescent="0.2">
      <c r="A417" s="87">
        <v>19572</v>
      </c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>
        <v>19.602522143000002</v>
      </c>
      <c r="AT417"/>
    </row>
    <row r="418" spans="1:46" x14ac:dyDescent="0.2">
      <c r="A418" s="87">
        <v>19603</v>
      </c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>
        <v>19.200793742999998</v>
      </c>
      <c r="AT418"/>
    </row>
    <row r="419" spans="1:46" x14ac:dyDescent="0.2">
      <c r="A419" s="87">
        <v>19633</v>
      </c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>
        <v>19.040122207</v>
      </c>
      <c r="AT419"/>
    </row>
    <row r="420" spans="1:46" x14ac:dyDescent="0.2">
      <c r="A420" s="87">
        <v>19664</v>
      </c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>
        <v>18.584869667</v>
      </c>
      <c r="AT420"/>
    </row>
    <row r="421" spans="1:46" x14ac:dyDescent="0.2">
      <c r="A421" s="87">
        <v>19694</v>
      </c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>
        <v>18.129617128</v>
      </c>
      <c r="AT421"/>
    </row>
    <row r="422" spans="1:46" x14ac:dyDescent="0.2">
      <c r="A422" s="87">
        <v>19725</v>
      </c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>
        <v>17.995707661000001</v>
      </c>
      <c r="AT422"/>
    </row>
    <row r="423" spans="1:46" x14ac:dyDescent="0.2">
      <c r="A423" s="87">
        <v>19756</v>
      </c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>
        <v>18.049330918999999</v>
      </c>
      <c r="AT423"/>
    </row>
    <row r="424" spans="1:46" x14ac:dyDescent="0.2">
      <c r="A424" s="87">
        <v>19784</v>
      </c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>
        <v>17.942183522000001</v>
      </c>
      <c r="AT424"/>
    </row>
    <row r="425" spans="1:46" x14ac:dyDescent="0.2">
      <c r="A425" s="87">
        <v>19815</v>
      </c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>
        <v>17.835036124999998</v>
      </c>
      <c r="AT425"/>
    </row>
    <row r="426" spans="1:46" x14ac:dyDescent="0.2">
      <c r="A426" s="87">
        <v>19845</v>
      </c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>
        <v>17.942183522000001</v>
      </c>
      <c r="AT426"/>
    </row>
    <row r="427" spans="1:46" x14ac:dyDescent="0.2">
      <c r="A427" s="87">
        <v>19876</v>
      </c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>
        <v>17.995806779999999</v>
      </c>
      <c r="AT427"/>
    </row>
    <row r="428" spans="1:46" x14ac:dyDescent="0.2">
      <c r="A428" s="87">
        <v>19906</v>
      </c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>
        <v>18.022568849999999</v>
      </c>
      <c r="AT428"/>
    </row>
    <row r="429" spans="1:46" x14ac:dyDescent="0.2">
      <c r="A429" s="87">
        <v>19937</v>
      </c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>
        <v>17.995707661000001</v>
      </c>
      <c r="AT429"/>
    </row>
    <row r="430" spans="1:46" x14ac:dyDescent="0.2">
      <c r="A430" s="87">
        <v>19968</v>
      </c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>
        <v>18.022568849999999</v>
      </c>
      <c r="AT430"/>
    </row>
    <row r="431" spans="1:46" x14ac:dyDescent="0.2">
      <c r="A431" s="87">
        <v>19998</v>
      </c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>
        <v>18.236764525000002</v>
      </c>
      <c r="AT431"/>
    </row>
    <row r="432" spans="1:46" x14ac:dyDescent="0.2">
      <c r="A432" s="87">
        <v>20029</v>
      </c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>
        <v>18.531345527999999</v>
      </c>
      <c r="AT432"/>
    </row>
    <row r="433" spans="1:46" x14ac:dyDescent="0.2">
      <c r="A433" s="87">
        <v>20059</v>
      </c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>
        <v>18.772303272999999</v>
      </c>
      <c r="AT433"/>
    </row>
    <row r="434" spans="1:46" x14ac:dyDescent="0.2">
      <c r="A434" s="87">
        <v>20090</v>
      </c>
      <c r="B434"/>
      <c r="C434"/>
      <c r="D434">
        <v>10.764648671</v>
      </c>
      <c r="E434">
        <v>21.493118766999999</v>
      </c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>
        <v>21.752094976999999</v>
      </c>
      <c r="AC434">
        <v>5.8890278309999999</v>
      </c>
      <c r="AD434"/>
      <c r="AE434">
        <v>32.256890130000002</v>
      </c>
      <c r="AF434"/>
      <c r="AG434"/>
      <c r="AH434"/>
      <c r="AI434">
        <v>16.313048680000001</v>
      </c>
      <c r="AJ434"/>
      <c r="AK434"/>
      <c r="AL434"/>
      <c r="AM434">
        <v>14.602895027000001</v>
      </c>
      <c r="AN434"/>
      <c r="AO434"/>
      <c r="AP434"/>
      <c r="AQ434"/>
      <c r="AR434"/>
      <c r="AS434">
        <v>19.200793742999998</v>
      </c>
      <c r="AT434"/>
    </row>
    <row r="435" spans="1:46" x14ac:dyDescent="0.2">
      <c r="A435" s="87">
        <v>20121</v>
      </c>
      <c r="B435"/>
      <c r="C435"/>
      <c r="D435">
        <v>10.776323981999999</v>
      </c>
      <c r="E435">
        <v>22.215790338000001</v>
      </c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>
        <v>21.961249743</v>
      </c>
      <c r="AC435">
        <v>5.9731567999999999</v>
      </c>
      <c r="AD435"/>
      <c r="AE435">
        <v>34.529229899000001</v>
      </c>
      <c r="AF435"/>
      <c r="AG435"/>
      <c r="AH435"/>
      <c r="AI435">
        <v>16.51896374</v>
      </c>
      <c r="AJ435"/>
      <c r="AK435"/>
      <c r="AL435"/>
      <c r="AM435">
        <v>14.907758964999999</v>
      </c>
      <c r="AN435"/>
      <c r="AO435"/>
      <c r="AP435"/>
      <c r="AQ435"/>
      <c r="AR435"/>
      <c r="AS435">
        <v>19.441850606999999</v>
      </c>
      <c r="AT435"/>
    </row>
    <row r="436" spans="1:46" x14ac:dyDescent="0.2">
      <c r="A436" s="87">
        <v>20149</v>
      </c>
      <c r="B436"/>
      <c r="C436"/>
      <c r="D436">
        <v>10.753499101999999</v>
      </c>
      <c r="E436">
        <v>23.060045121999998</v>
      </c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>
        <v>22.284488913000001</v>
      </c>
      <c r="AC436">
        <v>6.0572857689999999</v>
      </c>
      <c r="AD436"/>
      <c r="AE436">
        <v>32.296963075000001</v>
      </c>
      <c r="AF436"/>
      <c r="AG436"/>
      <c r="AH436"/>
      <c r="AI436">
        <v>16.999432214999999</v>
      </c>
      <c r="AJ436"/>
      <c r="AK436"/>
      <c r="AL436"/>
      <c r="AM436">
        <v>15.76611404</v>
      </c>
      <c r="AN436"/>
      <c r="AO436"/>
      <c r="AP436"/>
      <c r="AQ436"/>
      <c r="AR436"/>
      <c r="AS436">
        <v>19.897103145999999</v>
      </c>
      <c r="AT436"/>
    </row>
    <row r="437" spans="1:46" x14ac:dyDescent="0.2">
      <c r="A437" s="87">
        <v>20180</v>
      </c>
      <c r="B437"/>
      <c r="C437"/>
      <c r="D437">
        <v>11.018299098</v>
      </c>
      <c r="E437">
        <v>22.268759666000001</v>
      </c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>
        <v>22.132376359999999</v>
      </c>
      <c r="AC437">
        <v>6.0572857689999999</v>
      </c>
      <c r="AD437"/>
      <c r="AE437">
        <v>31.008658933</v>
      </c>
      <c r="AF437"/>
      <c r="AG437"/>
      <c r="AH437"/>
      <c r="AI437">
        <v>16.061374717</v>
      </c>
      <c r="AJ437"/>
      <c r="AK437"/>
      <c r="AL437"/>
      <c r="AM437">
        <v>15.816315142000001</v>
      </c>
      <c r="AN437"/>
      <c r="AO437"/>
      <c r="AP437"/>
      <c r="AQ437"/>
      <c r="AR437"/>
      <c r="AS437">
        <v>20.13816001</v>
      </c>
      <c r="AT437"/>
    </row>
    <row r="438" spans="1:46" x14ac:dyDescent="0.2">
      <c r="A438" s="87">
        <v>20210</v>
      </c>
      <c r="B438"/>
      <c r="C438"/>
      <c r="D438">
        <v>10.886401121</v>
      </c>
      <c r="E438">
        <v>22.328691590999998</v>
      </c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>
        <v>22.36054519</v>
      </c>
      <c r="AC438">
        <v>6.0572857689999999</v>
      </c>
      <c r="AD438"/>
      <c r="AE438">
        <v>32.142127395000003</v>
      </c>
      <c r="AF438"/>
      <c r="AG438"/>
      <c r="AH438"/>
      <c r="AI438">
        <v>16.90791441</v>
      </c>
      <c r="AJ438"/>
      <c r="AK438"/>
      <c r="AL438"/>
      <c r="AM438">
        <v>15.951311881000001</v>
      </c>
      <c r="AN438"/>
      <c r="AO438"/>
      <c r="AP438"/>
      <c r="AQ438"/>
      <c r="AR438"/>
      <c r="AS438">
        <v>20.459403964</v>
      </c>
      <c r="AT438"/>
    </row>
    <row r="439" spans="1:46" x14ac:dyDescent="0.2">
      <c r="A439" s="87">
        <v>20241</v>
      </c>
      <c r="B439"/>
      <c r="C439"/>
      <c r="D439">
        <v>11.119771</v>
      </c>
      <c r="E439">
        <v>23.316488490000001</v>
      </c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>
        <v>22.930967265</v>
      </c>
      <c r="AC439">
        <v>6.0572857689999999</v>
      </c>
      <c r="AD439"/>
      <c r="AE439">
        <v>33.502478611999997</v>
      </c>
      <c r="AF439"/>
      <c r="AG439"/>
      <c r="AH439"/>
      <c r="AI439">
        <v>17.090950019000001</v>
      </c>
      <c r="AJ439"/>
      <c r="AK439"/>
      <c r="AL439"/>
      <c r="AM439">
        <v>15.439832708000001</v>
      </c>
      <c r="AN439"/>
      <c r="AO439"/>
      <c r="AP439"/>
      <c r="AQ439"/>
      <c r="AR439"/>
      <c r="AS439">
        <v>20.486265152000001</v>
      </c>
      <c r="AT439"/>
    </row>
    <row r="440" spans="1:46" x14ac:dyDescent="0.2">
      <c r="A440" s="87">
        <v>20271</v>
      </c>
      <c r="B440"/>
      <c r="C440"/>
      <c r="D440">
        <v>11.242270507000001</v>
      </c>
      <c r="E440">
        <v>20.546239205999999</v>
      </c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>
        <v>22.949981328</v>
      </c>
      <c r="AC440">
        <v>6.2255437069999999</v>
      </c>
      <c r="AD440"/>
      <c r="AE440">
        <v>33.698456276000002</v>
      </c>
      <c r="AF440"/>
      <c r="AG440"/>
      <c r="AH440"/>
      <c r="AI440">
        <v>16.244410326000001</v>
      </c>
      <c r="AJ440"/>
      <c r="AK440"/>
      <c r="AL440"/>
      <c r="AM440">
        <v>16.320441772999999</v>
      </c>
      <c r="AN440"/>
      <c r="AO440"/>
      <c r="AP440"/>
      <c r="AQ440"/>
      <c r="AR440"/>
      <c r="AS440">
        <v>20.646936689</v>
      </c>
      <c r="AT440"/>
    </row>
    <row r="441" spans="1:46" x14ac:dyDescent="0.2">
      <c r="A441" s="87">
        <v>20302</v>
      </c>
      <c r="B441"/>
      <c r="C441"/>
      <c r="D441">
        <v>11.304229288</v>
      </c>
      <c r="E441">
        <v>23.642449675000002</v>
      </c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>
        <v>22.816882849999999</v>
      </c>
      <c r="AC441">
        <v>6.3938016449999999</v>
      </c>
      <c r="AD441"/>
      <c r="AE441">
        <v>34.712611121000002</v>
      </c>
      <c r="AF441"/>
      <c r="AG441"/>
      <c r="AH441"/>
      <c r="AI441">
        <v>16.90791441</v>
      </c>
      <c r="AJ441"/>
      <c r="AK441"/>
      <c r="AL441"/>
      <c r="AM441">
        <v>15.677198804</v>
      </c>
      <c r="AN441"/>
      <c r="AO441"/>
      <c r="AP441"/>
      <c r="AQ441"/>
      <c r="AR441"/>
      <c r="AS441">
        <v>20.620174619</v>
      </c>
      <c r="AT441"/>
    </row>
    <row r="442" spans="1:46" x14ac:dyDescent="0.2">
      <c r="A442" s="87">
        <v>20333</v>
      </c>
      <c r="B442"/>
      <c r="C442"/>
      <c r="D442">
        <v>11.413026168</v>
      </c>
      <c r="E442">
        <v>23.821375456999998</v>
      </c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>
        <v>22.911953189999998</v>
      </c>
      <c r="AC442">
        <v>6.5620595829999999</v>
      </c>
      <c r="AD442"/>
      <c r="AE442">
        <v>34.997153670000003</v>
      </c>
      <c r="AF442"/>
      <c r="AG442"/>
      <c r="AH442"/>
      <c r="AI442">
        <v>17.228226725999999</v>
      </c>
      <c r="AJ442"/>
      <c r="AK442"/>
      <c r="AL442"/>
      <c r="AM442">
        <v>16.840932475999999</v>
      </c>
      <c r="AN442"/>
      <c r="AO442"/>
      <c r="AP442"/>
      <c r="AQ442"/>
      <c r="AR442"/>
      <c r="AS442">
        <v>20.754084085999999</v>
      </c>
      <c r="AT442"/>
    </row>
    <row r="443" spans="1:46" x14ac:dyDescent="0.2">
      <c r="A443" s="87">
        <v>20363</v>
      </c>
      <c r="B443"/>
      <c r="C443"/>
      <c r="D443">
        <v>11.387955360999999</v>
      </c>
      <c r="E443">
        <v>23.798731070999999</v>
      </c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>
        <v>22.949981328</v>
      </c>
      <c r="AC443">
        <v>6.5620595829999999</v>
      </c>
      <c r="AD443"/>
      <c r="AE443">
        <v>35.045472398000001</v>
      </c>
      <c r="AF443"/>
      <c r="AG443"/>
      <c r="AH443"/>
      <c r="AI443">
        <v>17.090950019000001</v>
      </c>
      <c r="AJ443"/>
      <c r="AK443"/>
      <c r="AL443"/>
      <c r="AM443">
        <v>14.751347118</v>
      </c>
      <c r="AN443"/>
      <c r="AO443"/>
      <c r="AP443"/>
      <c r="AQ443"/>
      <c r="AR443"/>
      <c r="AS443">
        <v>21.102189228</v>
      </c>
      <c r="AT443"/>
    </row>
    <row r="444" spans="1:46" x14ac:dyDescent="0.2">
      <c r="A444" s="87">
        <v>20394</v>
      </c>
      <c r="B444"/>
      <c r="C444"/>
      <c r="D444">
        <v>11.62751035</v>
      </c>
      <c r="E444">
        <v>23.265396808999999</v>
      </c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>
        <v>23.178150158000001</v>
      </c>
      <c r="AC444">
        <v>6.6461885519999999</v>
      </c>
      <c r="AD444"/>
      <c r="AE444">
        <v>35.063178452000002</v>
      </c>
      <c r="AF444"/>
      <c r="AG444"/>
      <c r="AH444"/>
      <c r="AI444">
        <v>17.434141787000002</v>
      </c>
      <c r="AJ444"/>
      <c r="AK444"/>
      <c r="AL444"/>
      <c r="AM444">
        <v>15.952324304999999</v>
      </c>
      <c r="AN444"/>
      <c r="AO444"/>
      <c r="AP444"/>
      <c r="AQ444"/>
      <c r="AR444"/>
      <c r="AS444">
        <v>21.155713367000001</v>
      </c>
      <c r="AT444"/>
    </row>
    <row r="445" spans="1:46" x14ac:dyDescent="0.2">
      <c r="A445" s="87">
        <v>20424</v>
      </c>
      <c r="B445"/>
      <c r="C445"/>
      <c r="D445">
        <v>11.912548851</v>
      </c>
      <c r="E445">
        <v>24.591894167</v>
      </c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>
        <v>23.083079818000002</v>
      </c>
      <c r="AC445">
        <v>6.8144464899999999</v>
      </c>
      <c r="AD445"/>
      <c r="AE445">
        <v>34.764945128000001</v>
      </c>
      <c r="AF445"/>
      <c r="AG445"/>
      <c r="AH445"/>
      <c r="AI445">
        <v>17.319744531000001</v>
      </c>
      <c r="AJ445"/>
      <c r="AK445"/>
      <c r="AL445"/>
      <c r="AM445">
        <v>17.821146761000001</v>
      </c>
      <c r="AN445"/>
      <c r="AO445"/>
      <c r="AP445"/>
      <c r="AQ445"/>
      <c r="AR445"/>
      <c r="AS445">
        <v>21.236098694999999</v>
      </c>
      <c r="AT445"/>
    </row>
    <row r="446" spans="1:46" x14ac:dyDescent="0.2">
      <c r="A446" s="87">
        <v>20455</v>
      </c>
      <c r="B446"/>
      <c r="C446"/>
      <c r="D446">
        <v>11.498729344999999</v>
      </c>
      <c r="E446">
        <v>24.488573966000001</v>
      </c>
      <c r="F446"/>
      <c r="G446"/>
      <c r="H446"/>
      <c r="I446"/>
      <c r="J446"/>
      <c r="K446"/>
      <c r="L446"/>
      <c r="M446"/>
      <c r="N446"/>
      <c r="O446"/>
      <c r="P446"/>
      <c r="Q446"/>
      <c r="R446"/>
      <c r="S446">
        <v>27.455799952</v>
      </c>
      <c r="T446"/>
      <c r="U446"/>
      <c r="V446"/>
      <c r="W446"/>
      <c r="X446"/>
      <c r="Y446"/>
      <c r="Z446"/>
      <c r="AA446"/>
      <c r="AB446">
        <v>23.273220499000001</v>
      </c>
      <c r="AC446">
        <v>6.982704429</v>
      </c>
      <c r="AD446"/>
      <c r="AE446">
        <v>34.556789664999997</v>
      </c>
      <c r="AF446"/>
      <c r="AG446"/>
      <c r="AH446">
        <v>18.569197309</v>
      </c>
      <c r="AI446">
        <v>17.594297945000001</v>
      </c>
      <c r="AJ446"/>
      <c r="AK446"/>
      <c r="AL446"/>
      <c r="AM446">
        <v>16.172106322000001</v>
      </c>
      <c r="AN446"/>
      <c r="AO446"/>
      <c r="AP446"/>
      <c r="AQ446"/>
      <c r="AR446"/>
      <c r="AS446">
        <v>21.370008162000001</v>
      </c>
      <c r="AT446"/>
    </row>
    <row r="447" spans="1:46" x14ac:dyDescent="0.2">
      <c r="A447" s="87">
        <v>20486</v>
      </c>
      <c r="B447"/>
      <c r="C447"/>
      <c r="D447">
        <v>11.617234351</v>
      </c>
      <c r="E447">
        <v>24.002137736000002</v>
      </c>
      <c r="F447"/>
      <c r="G447"/>
      <c r="H447"/>
      <c r="I447"/>
      <c r="J447"/>
      <c r="K447"/>
      <c r="L447"/>
      <c r="M447"/>
      <c r="N447"/>
      <c r="O447"/>
      <c r="P447"/>
      <c r="Q447"/>
      <c r="R447"/>
      <c r="S447">
        <v>26.926531513</v>
      </c>
      <c r="T447"/>
      <c r="U447"/>
      <c r="V447"/>
      <c r="W447"/>
      <c r="X447"/>
      <c r="Y447"/>
      <c r="Z447"/>
      <c r="AA447"/>
      <c r="AB447">
        <v>22.531671806999999</v>
      </c>
      <c r="AC447">
        <v>7.150962367</v>
      </c>
      <c r="AD447"/>
      <c r="AE447">
        <v>34.549359535999997</v>
      </c>
      <c r="AF447"/>
      <c r="AG447"/>
      <c r="AH447">
        <v>17.997837391000001</v>
      </c>
      <c r="AI447">
        <v>17.319744531000001</v>
      </c>
      <c r="AJ447"/>
      <c r="AK447"/>
      <c r="AL447"/>
      <c r="AM447">
        <v>17.010211975000001</v>
      </c>
      <c r="AN447"/>
      <c r="AO447"/>
      <c r="AP447"/>
      <c r="AQ447"/>
      <c r="AR447"/>
      <c r="AS447">
        <v>21.182475437000001</v>
      </c>
      <c r="AT447"/>
    </row>
    <row r="448" spans="1:46" x14ac:dyDescent="0.2">
      <c r="A448" s="87">
        <v>20515</v>
      </c>
      <c r="B448"/>
      <c r="C448"/>
      <c r="D448">
        <v>11.495889998999999</v>
      </c>
      <c r="E448">
        <v>25.025768838000001</v>
      </c>
      <c r="F448"/>
      <c r="G448"/>
      <c r="H448"/>
      <c r="I448"/>
      <c r="J448"/>
      <c r="K448"/>
      <c r="L448"/>
      <c r="M448"/>
      <c r="N448"/>
      <c r="O448"/>
      <c r="P448"/>
      <c r="Q448"/>
      <c r="R448"/>
      <c r="S448">
        <v>27.852751274999999</v>
      </c>
      <c r="T448"/>
      <c r="U448"/>
      <c r="V448"/>
      <c r="W448"/>
      <c r="X448"/>
      <c r="Y448"/>
      <c r="Z448"/>
      <c r="AA448"/>
      <c r="AB448">
        <v>23.539417467</v>
      </c>
      <c r="AC448">
        <v>6.982704429</v>
      </c>
      <c r="AD448"/>
      <c r="AE448">
        <v>35.196737988000002</v>
      </c>
      <c r="AF448"/>
      <c r="AG448"/>
      <c r="AH448">
        <v>18.854877266999999</v>
      </c>
      <c r="AI448">
        <v>17.022311666</v>
      </c>
      <c r="AJ448"/>
      <c r="AK448"/>
      <c r="AL448"/>
      <c r="AM448">
        <v>16.908354795000001</v>
      </c>
      <c r="AN448"/>
      <c r="AO448"/>
      <c r="AP448"/>
      <c r="AQ448"/>
      <c r="AR448"/>
      <c r="AS448">
        <v>21.182475437000001</v>
      </c>
      <c r="AT448"/>
    </row>
    <row r="449" spans="1:46" x14ac:dyDescent="0.2">
      <c r="A449" s="87">
        <v>20546</v>
      </c>
      <c r="B449"/>
      <c r="C449"/>
      <c r="D449">
        <v>11.553010671999999</v>
      </c>
      <c r="E449">
        <v>22.759124645</v>
      </c>
      <c r="F449"/>
      <c r="G449"/>
      <c r="H449"/>
      <c r="I449"/>
      <c r="J449"/>
      <c r="K449"/>
      <c r="L449"/>
      <c r="M449"/>
      <c r="N449"/>
      <c r="O449"/>
      <c r="P449"/>
      <c r="Q449"/>
      <c r="R449"/>
      <c r="S449">
        <v>28.282781872000001</v>
      </c>
      <c r="T449"/>
      <c r="U449"/>
      <c r="V449"/>
      <c r="W449"/>
      <c r="X449"/>
      <c r="Y449"/>
      <c r="Z449"/>
      <c r="AA449"/>
      <c r="AB449">
        <v>24.223923957</v>
      </c>
      <c r="AC449">
        <v>7.235091336</v>
      </c>
      <c r="AD449"/>
      <c r="AE449">
        <v>35.757485768000002</v>
      </c>
      <c r="AF449"/>
      <c r="AG449"/>
      <c r="AH449">
        <v>19.140557225999999</v>
      </c>
      <c r="AI449">
        <v>17.937489712000001</v>
      </c>
      <c r="AJ449"/>
      <c r="AK449"/>
      <c r="AL449"/>
      <c r="AM449">
        <v>16.440132800000001</v>
      </c>
      <c r="AN449"/>
      <c r="AO449"/>
      <c r="AP449"/>
      <c r="AQ449"/>
      <c r="AR449"/>
      <c r="AS449">
        <v>21.343146973</v>
      </c>
      <c r="AT449"/>
    </row>
    <row r="450" spans="1:46" x14ac:dyDescent="0.2">
      <c r="A450" s="87">
        <v>20576</v>
      </c>
      <c r="B450"/>
      <c r="C450"/>
      <c r="D450">
        <v>11.630160861</v>
      </c>
      <c r="E450">
        <v>24.78076016</v>
      </c>
      <c r="F450"/>
      <c r="G450"/>
      <c r="H450"/>
      <c r="I450"/>
      <c r="J450"/>
      <c r="K450"/>
      <c r="L450"/>
      <c r="M450"/>
      <c r="N450"/>
      <c r="O450"/>
      <c r="P450"/>
      <c r="Q450"/>
      <c r="R450"/>
      <c r="S450">
        <v>28.745891752999999</v>
      </c>
      <c r="T450"/>
      <c r="U450"/>
      <c r="V450"/>
      <c r="W450"/>
      <c r="X450"/>
      <c r="Y450"/>
      <c r="Z450"/>
      <c r="AA450"/>
      <c r="AB450">
        <v>24.471106850000002</v>
      </c>
      <c r="AC450">
        <v>7.403349274</v>
      </c>
      <c r="AD450"/>
      <c r="AE450">
        <v>36.281037376999997</v>
      </c>
      <c r="AF450"/>
      <c r="AG450"/>
      <c r="AH450">
        <v>19.426237184000001</v>
      </c>
      <c r="AI450">
        <v>17.182467824</v>
      </c>
      <c r="AJ450"/>
      <c r="AK450"/>
      <c r="AL450"/>
      <c r="AM450">
        <v>16.668424056999999</v>
      </c>
      <c r="AN450"/>
      <c r="AO450"/>
      <c r="AP450"/>
      <c r="AQ450"/>
      <c r="AR450"/>
      <c r="AS450">
        <v>21.155713367000001</v>
      </c>
      <c r="AT450"/>
    </row>
    <row r="451" spans="1:46" x14ac:dyDescent="0.2">
      <c r="A451" s="87">
        <v>20607</v>
      </c>
      <c r="B451"/>
      <c r="C451"/>
      <c r="D451">
        <v>11.636481680999999</v>
      </c>
      <c r="E451">
        <v>25.027439048000002</v>
      </c>
      <c r="F451"/>
      <c r="G451"/>
      <c r="H451"/>
      <c r="I451"/>
      <c r="J451"/>
      <c r="K451"/>
      <c r="L451"/>
      <c r="M451"/>
      <c r="N451"/>
      <c r="O451"/>
      <c r="P451"/>
      <c r="Q451"/>
      <c r="R451"/>
      <c r="S451">
        <v>28.878208861000001</v>
      </c>
      <c r="T451"/>
      <c r="U451"/>
      <c r="V451"/>
      <c r="W451"/>
      <c r="X451"/>
      <c r="Y451"/>
      <c r="Z451"/>
      <c r="AA451"/>
      <c r="AB451">
        <v>24.509134989</v>
      </c>
      <c r="AC451">
        <v>7.571607212</v>
      </c>
      <c r="AD451"/>
      <c r="AE451">
        <v>36.010436245000001</v>
      </c>
      <c r="AF451"/>
      <c r="AG451"/>
      <c r="AH451">
        <v>19.711917143000001</v>
      </c>
      <c r="AI451">
        <v>17.800213005</v>
      </c>
      <c r="AJ451"/>
      <c r="AK451"/>
      <c r="AL451"/>
      <c r="AM451">
        <v>17.416728056</v>
      </c>
      <c r="AN451"/>
      <c r="AO451"/>
      <c r="AP451"/>
      <c r="AQ451"/>
      <c r="AR451"/>
      <c r="AS451">
        <v>20.968279761000002</v>
      </c>
      <c r="AT451"/>
    </row>
    <row r="452" spans="1:46" x14ac:dyDescent="0.2">
      <c r="A452" s="87">
        <v>20637</v>
      </c>
      <c r="B452"/>
      <c r="C452"/>
      <c r="D452">
        <v>11.760427977999999</v>
      </c>
      <c r="E452">
        <v>24.407718131999999</v>
      </c>
      <c r="F452"/>
      <c r="G452"/>
      <c r="H452"/>
      <c r="I452"/>
      <c r="J452"/>
      <c r="K452"/>
      <c r="L452"/>
      <c r="M452"/>
      <c r="N452"/>
      <c r="O452"/>
      <c r="P452"/>
      <c r="Q452"/>
      <c r="R452"/>
      <c r="S452">
        <v>29.308239467</v>
      </c>
      <c r="T452"/>
      <c r="U452"/>
      <c r="V452"/>
      <c r="W452"/>
      <c r="X452"/>
      <c r="Y452"/>
      <c r="Z452"/>
      <c r="AA452"/>
      <c r="AB452">
        <v>24.870402307999999</v>
      </c>
      <c r="AC452">
        <v>7.823994119</v>
      </c>
      <c r="AD452"/>
      <c r="AE452">
        <v>36.459006897000002</v>
      </c>
      <c r="AF452"/>
      <c r="AG452"/>
      <c r="AH452">
        <v>19.711917143000001</v>
      </c>
      <c r="AI452">
        <v>16.862155508000001</v>
      </c>
      <c r="AJ452"/>
      <c r="AK452"/>
      <c r="AL452"/>
      <c r="AM452">
        <v>17.000236452999999</v>
      </c>
      <c r="AN452"/>
      <c r="AO452"/>
      <c r="AP452"/>
      <c r="AQ452"/>
      <c r="AR452"/>
      <c r="AS452">
        <v>20.325593615999999</v>
      </c>
      <c r="AT452"/>
    </row>
    <row r="453" spans="1:46" x14ac:dyDescent="0.2">
      <c r="A453" s="87">
        <v>20668</v>
      </c>
      <c r="B453"/>
      <c r="C453"/>
      <c r="D453">
        <v>12.045452556000001</v>
      </c>
      <c r="E453">
        <v>24.488354379</v>
      </c>
      <c r="F453"/>
      <c r="G453"/>
      <c r="H453"/>
      <c r="I453"/>
      <c r="J453"/>
      <c r="K453"/>
      <c r="L453"/>
      <c r="M453"/>
      <c r="N453"/>
      <c r="O453"/>
      <c r="P453"/>
      <c r="Q453"/>
      <c r="R453"/>
      <c r="S453">
        <v>29.308239467</v>
      </c>
      <c r="T453"/>
      <c r="U453"/>
      <c r="V453"/>
      <c r="W453"/>
      <c r="X453"/>
      <c r="Y453"/>
      <c r="Z453"/>
      <c r="AA453"/>
      <c r="AB453">
        <v>24.528149063000001</v>
      </c>
      <c r="AC453">
        <v>7.908123088</v>
      </c>
      <c r="AD453"/>
      <c r="AE453">
        <v>35.357480125999999</v>
      </c>
      <c r="AF453"/>
      <c r="AG453"/>
      <c r="AH453">
        <v>19.711917143000001</v>
      </c>
      <c r="AI453">
        <v>17.68581575</v>
      </c>
      <c r="AJ453"/>
      <c r="AK453"/>
      <c r="AL453"/>
      <c r="AM453">
        <v>17.448829588999999</v>
      </c>
      <c r="AN453"/>
      <c r="AO453"/>
      <c r="AP453"/>
      <c r="AQ453"/>
      <c r="AR453"/>
      <c r="AS453">
        <v>21.155713367000001</v>
      </c>
      <c r="AT453"/>
    </row>
    <row r="454" spans="1:46" x14ac:dyDescent="0.2">
      <c r="A454" s="87">
        <v>20699</v>
      </c>
      <c r="B454"/>
      <c r="C454"/>
      <c r="D454">
        <v>11.986232041999999</v>
      </c>
      <c r="E454">
        <v>21.867082904</v>
      </c>
      <c r="F454"/>
      <c r="G454"/>
      <c r="H454"/>
      <c r="I454"/>
      <c r="J454"/>
      <c r="K454"/>
      <c r="L454"/>
      <c r="M454"/>
      <c r="N454"/>
      <c r="O454"/>
      <c r="P454"/>
      <c r="Q454"/>
      <c r="R454"/>
      <c r="S454">
        <v>29.539794398000002</v>
      </c>
      <c r="T454"/>
      <c r="U454"/>
      <c r="V454"/>
      <c r="W454"/>
      <c r="X454"/>
      <c r="Y454"/>
      <c r="Z454"/>
      <c r="AA454"/>
      <c r="AB454">
        <v>25.174627403999999</v>
      </c>
      <c r="AC454">
        <v>8.076381026</v>
      </c>
      <c r="AD454"/>
      <c r="AE454">
        <v>36.387525396000001</v>
      </c>
      <c r="AF454"/>
      <c r="AG454"/>
      <c r="AH454">
        <v>19.997597102</v>
      </c>
      <c r="AI454">
        <v>17.868851359000001</v>
      </c>
      <c r="AJ454"/>
      <c r="AK454"/>
      <c r="AL454"/>
      <c r="AM454">
        <v>17.638596281000002</v>
      </c>
      <c r="AN454"/>
      <c r="AO454"/>
      <c r="AP454"/>
      <c r="AQ454"/>
      <c r="AR454"/>
      <c r="AS454">
        <v>21.637727976000001</v>
      </c>
      <c r="AT454"/>
    </row>
    <row r="455" spans="1:46" x14ac:dyDescent="0.2">
      <c r="A455" s="87">
        <v>20729</v>
      </c>
      <c r="B455"/>
      <c r="C455"/>
      <c r="D455">
        <v>11.970087265</v>
      </c>
      <c r="E455">
        <v>27.93713988</v>
      </c>
      <c r="F455"/>
      <c r="G455"/>
      <c r="H455"/>
      <c r="I455"/>
      <c r="J455"/>
      <c r="K455"/>
      <c r="L455"/>
      <c r="M455"/>
      <c r="N455"/>
      <c r="O455"/>
      <c r="P455"/>
      <c r="Q455"/>
      <c r="R455"/>
      <c r="S455">
        <v>29.903666445999999</v>
      </c>
      <c r="T455"/>
      <c r="U455"/>
      <c r="V455"/>
      <c r="W455"/>
      <c r="X455"/>
      <c r="Y455"/>
      <c r="Z455"/>
      <c r="AA455"/>
      <c r="AB455">
        <v>25.193641478</v>
      </c>
      <c r="AC455">
        <v>8.412896902</v>
      </c>
      <c r="AD455"/>
      <c r="AE455">
        <v>37.024740088000001</v>
      </c>
      <c r="AF455"/>
      <c r="AG455"/>
      <c r="AH455">
        <v>19.997597102</v>
      </c>
      <c r="AI455">
        <v>18.006128065999999</v>
      </c>
      <c r="AJ455"/>
      <c r="AK455"/>
      <c r="AL455"/>
      <c r="AM455">
        <v>17.520580500000001</v>
      </c>
      <c r="AN455"/>
      <c r="AO455"/>
      <c r="AP455"/>
      <c r="AQ455"/>
      <c r="AR455"/>
      <c r="AS455">
        <v>21.825161582</v>
      </c>
      <c r="AT455"/>
    </row>
    <row r="456" spans="1:46" x14ac:dyDescent="0.2">
      <c r="A456" s="87">
        <v>20760</v>
      </c>
      <c r="B456"/>
      <c r="C456"/>
      <c r="D456">
        <v>12.040593297999999</v>
      </c>
      <c r="E456">
        <v>25.731150525</v>
      </c>
      <c r="F456"/>
      <c r="G456"/>
      <c r="H456"/>
      <c r="I456"/>
      <c r="J456"/>
      <c r="K456"/>
      <c r="L456"/>
      <c r="M456"/>
      <c r="N456"/>
      <c r="O456"/>
      <c r="P456"/>
      <c r="Q456"/>
      <c r="R456"/>
      <c r="S456">
        <v>29.969825005000001</v>
      </c>
      <c r="T456"/>
      <c r="U456"/>
      <c r="V456"/>
      <c r="W456"/>
      <c r="X456"/>
      <c r="Y456"/>
      <c r="Z456"/>
      <c r="AA456"/>
      <c r="AB456">
        <v>24.870402307999999</v>
      </c>
      <c r="AC456">
        <v>8.412896902</v>
      </c>
      <c r="AD456"/>
      <c r="AE456">
        <v>36.574899680999998</v>
      </c>
      <c r="AF456"/>
      <c r="AG456"/>
      <c r="AH456">
        <v>20.28327706</v>
      </c>
      <c r="AI456">
        <v>18.120525321999999</v>
      </c>
      <c r="AJ456"/>
      <c r="AK456"/>
      <c r="AL456"/>
      <c r="AM456">
        <v>17.563918755</v>
      </c>
      <c r="AN456"/>
      <c r="AO456"/>
      <c r="AP456"/>
      <c r="AQ456"/>
      <c r="AR456"/>
      <c r="AS456">
        <v>21.637727976000001</v>
      </c>
      <c r="AT456"/>
    </row>
    <row r="457" spans="1:46" x14ac:dyDescent="0.2">
      <c r="A457" s="87">
        <v>20790</v>
      </c>
      <c r="B457"/>
      <c r="C457"/>
      <c r="D457">
        <v>11.890473297</v>
      </c>
      <c r="E457">
        <v>22.284093393999999</v>
      </c>
      <c r="F457"/>
      <c r="G457"/>
      <c r="H457"/>
      <c r="I457"/>
      <c r="J457"/>
      <c r="K457"/>
      <c r="L457"/>
      <c r="M457"/>
      <c r="N457"/>
      <c r="O457"/>
      <c r="P457"/>
      <c r="Q457"/>
      <c r="R457"/>
      <c r="S457">
        <v>30.035983562999998</v>
      </c>
      <c r="T457"/>
      <c r="U457"/>
      <c r="V457"/>
      <c r="W457"/>
      <c r="X457"/>
      <c r="Y457"/>
      <c r="Z457"/>
      <c r="AA457"/>
      <c r="AB457">
        <v>25.345754031999999</v>
      </c>
      <c r="AC457">
        <v>8.412896902</v>
      </c>
      <c r="AD457"/>
      <c r="AE457">
        <v>37.531335800999997</v>
      </c>
      <c r="AF457"/>
      <c r="AG457"/>
      <c r="AH457">
        <v>20.568957018999999</v>
      </c>
      <c r="AI457">
        <v>18.029007517</v>
      </c>
      <c r="AJ457"/>
      <c r="AK457"/>
      <c r="AL457"/>
      <c r="AM457">
        <v>18.401796862000001</v>
      </c>
      <c r="AN457"/>
      <c r="AO457"/>
      <c r="AP457"/>
      <c r="AQ457"/>
      <c r="AR457"/>
      <c r="AS457">
        <v>21.959071048999999</v>
      </c>
      <c r="AT457"/>
    </row>
    <row r="458" spans="1:46" x14ac:dyDescent="0.2">
      <c r="A458" s="87">
        <v>20821</v>
      </c>
      <c r="B458"/>
      <c r="C458"/>
      <c r="D458">
        <v>12.09410898</v>
      </c>
      <c r="E458">
        <v>25.687714806999999</v>
      </c>
      <c r="F458"/>
      <c r="G458"/>
      <c r="H458"/>
      <c r="I458"/>
      <c r="J458"/>
      <c r="K458"/>
      <c r="L458"/>
      <c r="M458"/>
      <c r="N458"/>
      <c r="O458"/>
      <c r="P458"/>
      <c r="Q458"/>
      <c r="R458"/>
      <c r="S458">
        <v>30.432934885000002</v>
      </c>
      <c r="T458"/>
      <c r="U458"/>
      <c r="V458"/>
      <c r="W458"/>
      <c r="X458"/>
      <c r="Y458"/>
      <c r="Z458"/>
      <c r="AA458"/>
      <c r="AB458">
        <v>25.440824372000002</v>
      </c>
      <c r="AC458">
        <v>8.497025871</v>
      </c>
      <c r="AD458"/>
      <c r="AE458">
        <v>37.223340352000001</v>
      </c>
      <c r="AF458"/>
      <c r="AG458"/>
      <c r="AH458">
        <v>20.568957018999999</v>
      </c>
      <c r="AI458">
        <v>18.097645870000001</v>
      </c>
      <c r="AJ458"/>
      <c r="AK458"/>
      <c r="AL458"/>
      <c r="AM458">
        <v>17.810100133999999</v>
      </c>
      <c r="AN458"/>
      <c r="AO458"/>
      <c r="AP458"/>
      <c r="AQ458"/>
      <c r="AR458"/>
      <c r="AS458">
        <v>21.878784840000002</v>
      </c>
      <c r="AT458"/>
    </row>
    <row r="459" spans="1:46" x14ac:dyDescent="0.2">
      <c r="A459" s="87">
        <v>20852</v>
      </c>
      <c r="B459"/>
      <c r="C459"/>
      <c r="D459">
        <v>12.019061502</v>
      </c>
      <c r="E459">
        <v>24.854561197999999</v>
      </c>
      <c r="F459"/>
      <c r="G459"/>
      <c r="H459"/>
      <c r="I459"/>
      <c r="J459"/>
      <c r="K459"/>
      <c r="L459"/>
      <c r="M459"/>
      <c r="N459"/>
      <c r="O459"/>
      <c r="P459"/>
      <c r="Q459"/>
      <c r="R459"/>
      <c r="S459">
        <v>30.598331267999999</v>
      </c>
      <c r="T459"/>
      <c r="U459"/>
      <c r="V459"/>
      <c r="W459"/>
      <c r="X459"/>
      <c r="Y459"/>
      <c r="Z459"/>
      <c r="AA459"/>
      <c r="AB459">
        <v>25.954204233999999</v>
      </c>
      <c r="AC459">
        <v>8.6652838089999999</v>
      </c>
      <c r="AD459"/>
      <c r="AE459">
        <v>37.555721568000003</v>
      </c>
      <c r="AF459"/>
      <c r="AG459"/>
      <c r="AH459">
        <v>20.568957018999999</v>
      </c>
      <c r="AI459">
        <v>18.372199284000001</v>
      </c>
      <c r="AJ459"/>
      <c r="AK459"/>
      <c r="AL459"/>
      <c r="AM459">
        <v>17.72108454</v>
      </c>
      <c r="AN459"/>
      <c r="AO459"/>
      <c r="AP459"/>
      <c r="AQ459"/>
      <c r="AR459"/>
      <c r="AS459">
        <v>22.092980516000001</v>
      </c>
      <c r="AT459"/>
    </row>
    <row r="460" spans="1:46" x14ac:dyDescent="0.2">
      <c r="A460" s="87">
        <v>20880</v>
      </c>
      <c r="B460"/>
      <c r="C460"/>
      <c r="D460">
        <v>12.305519642</v>
      </c>
      <c r="E460">
        <v>24.744621796000001</v>
      </c>
      <c r="F460"/>
      <c r="G460"/>
      <c r="H460"/>
      <c r="I460"/>
      <c r="J460"/>
      <c r="K460"/>
      <c r="L460"/>
      <c r="M460"/>
      <c r="N460"/>
      <c r="O460"/>
      <c r="P460"/>
      <c r="Q460"/>
      <c r="R460"/>
      <c r="S460">
        <v>30.862965483</v>
      </c>
      <c r="T460"/>
      <c r="U460"/>
      <c r="V460"/>
      <c r="W460"/>
      <c r="X460"/>
      <c r="Y460"/>
      <c r="Z460"/>
      <c r="AA460"/>
      <c r="AB460">
        <v>25.954204233999999</v>
      </c>
      <c r="AC460">
        <v>8.7494127779999999</v>
      </c>
      <c r="AD460"/>
      <c r="AE460">
        <v>37.275774763000001</v>
      </c>
      <c r="AF460"/>
      <c r="AG460"/>
      <c r="AH460">
        <v>20.28327706</v>
      </c>
      <c r="AI460">
        <v>18.349319832999999</v>
      </c>
      <c r="AJ460"/>
      <c r="AK460"/>
      <c r="AL460"/>
      <c r="AM460">
        <v>17.862513976999999</v>
      </c>
      <c r="AN460"/>
      <c r="AO460"/>
      <c r="AP460"/>
      <c r="AQ460"/>
      <c r="AR460"/>
      <c r="AS460">
        <v>22.066218446000001</v>
      </c>
      <c r="AT460"/>
    </row>
    <row r="461" spans="1:46" x14ac:dyDescent="0.2">
      <c r="A461" s="87">
        <v>20911</v>
      </c>
      <c r="B461"/>
      <c r="C461"/>
      <c r="D461">
        <v>12.248260859</v>
      </c>
      <c r="E461">
        <v>25.513918367999999</v>
      </c>
      <c r="F461"/>
      <c r="G461"/>
      <c r="H461"/>
      <c r="I461"/>
      <c r="J461"/>
      <c r="K461"/>
      <c r="L461"/>
      <c r="M461"/>
      <c r="N461"/>
      <c r="O461"/>
      <c r="P461"/>
      <c r="Q461"/>
      <c r="R461"/>
      <c r="S461">
        <v>30.565251993</v>
      </c>
      <c r="T461"/>
      <c r="U461"/>
      <c r="V461"/>
      <c r="W461"/>
      <c r="X461"/>
      <c r="Y461"/>
      <c r="Z461"/>
      <c r="AA461"/>
      <c r="AB461">
        <v>26.353499692</v>
      </c>
      <c r="AC461">
        <v>9.0859286539999999</v>
      </c>
      <c r="AD461"/>
      <c r="AE461">
        <v>36.907030708000001</v>
      </c>
      <c r="AF461"/>
      <c r="AG461"/>
      <c r="AH461">
        <v>20.28327706</v>
      </c>
      <c r="AI461">
        <v>17.960369162999999</v>
      </c>
      <c r="AJ461"/>
      <c r="AK461"/>
      <c r="AL461"/>
      <c r="AM461">
        <v>18.808153911000002</v>
      </c>
      <c r="AN461"/>
      <c r="AO461"/>
      <c r="AP461"/>
      <c r="AQ461"/>
      <c r="AR461"/>
      <c r="AS461">
        <v>21.771637442999999</v>
      </c>
      <c r="AT461"/>
    </row>
    <row r="462" spans="1:46" x14ac:dyDescent="0.2">
      <c r="A462" s="87">
        <v>20941</v>
      </c>
      <c r="B462"/>
      <c r="C462"/>
      <c r="D462">
        <v>12.484360165</v>
      </c>
      <c r="E462">
        <v>25.929944718000002</v>
      </c>
      <c r="F462"/>
      <c r="G462"/>
      <c r="H462"/>
      <c r="I462"/>
      <c r="J462"/>
      <c r="K462"/>
      <c r="L462"/>
      <c r="M462"/>
      <c r="N462"/>
      <c r="O462"/>
      <c r="P462"/>
      <c r="Q462"/>
      <c r="R462"/>
      <c r="S462">
        <v>31.127599698000001</v>
      </c>
      <c r="T462"/>
      <c r="U462"/>
      <c r="V462"/>
      <c r="W462"/>
      <c r="X462"/>
      <c r="Y462"/>
      <c r="Z462"/>
      <c r="AA462"/>
      <c r="AB462">
        <v>26.068288648999999</v>
      </c>
      <c r="AC462">
        <v>9.5907024679999999</v>
      </c>
      <c r="AD462"/>
      <c r="AE462">
        <v>36.868772751999998</v>
      </c>
      <c r="AF462"/>
      <c r="AG462"/>
      <c r="AH462">
        <v>20.28327706</v>
      </c>
      <c r="AI462">
        <v>18.898426660999998</v>
      </c>
      <c r="AJ462"/>
      <c r="AK462"/>
      <c r="AL462"/>
      <c r="AM462">
        <v>18.417290299000001</v>
      </c>
      <c r="AN462"/>
      <c r="AO462"/>
      <c r="AP462"/>
      <c r="AQ462"/>
      <c r="AR462"/>
      <c r="AS462">
        <v>21.691351233999999</v>
      </c>
      <c r="AT462"/>
    </row>
    <row r="463" spans="1:46" x14ac:dyDescent="0.2">
      <c r="A463" s="87">
        <v>20972</v>
      </c>
      <c r="B463"/>
      <c r="C463"/>
      <c r="D463">
        <v>12.414684450999999</v>
      </c>
      <c r="E463">
        <v>22.095269277</v>
      </c>
      <c r="F463"/>
      <c r="G463"/>
      <c r="H463"/>
      <c r="I463"/>
      <c r="J463"/>
      <c r="K463"/>
      <c r="L463"/>
      <c r="M463"/>
      <c r="N463"/>
      <c r="O463"/>
      <c r="P463"/>
      <c r="Q463"/>
      <c r="R463"/>
      <c r="S463">
        <v>31.094520422999999</v>
      </c>
      <c r="T463"/>
      <c r="U463"/>
      <c r="V463"/>
      <c r="W463"/>
      <c r="X463"/>
      <c r="Y463"/>
      <c r="Z463"/>
      <c r="AA463"/>
      <c r="AB463">
        <v>26.315471552999998</v>
      </c>
      <c r="AC463">
        <v>9.3383155609999999</v>
      </c>
      <c r="AD463"/>
      <c r="AE463">
        <v>37.030789882000001</v>
      </c>
      <c r="AF463"/>
      <c r="AG463"/>
      <c r="AH463">
        <v>20.568957018999999</v>
      </c>
      <c r="AI463">
        <v>17.823092456000001</v>
      </c>
      <c r="AJ463"/>
      <c r="AK463"/>
      <c r="AL463"/>
      <c r="AM463">
        <v>18.340637062999999</v>
      </c>
      <c r="AN463"/>
      <c r="AO463"/>
      <c r="AP463"/>
      <c r="AQ463"/>
      <c r="AR463"/>
      <c r="AS463">
        <v>21.744875372999999</v>
      </c>
      <c r="AT463"/>
    </row>
    <row r="464" spans="1:46" x14ac:dyDescent="0.2">
      <c r="A464" s="87">
        <v>21002</v>
      </c>
      <c r="B464"/>
      <c r="C464"/>
      <c r="D464">
        <v>12.480258816999999</v>
      </c>
      <c r="E464">
        <v>22.925840819000001</v>
      </c>
      <c r="F464"/>
      <c r="G464"/>
      <c r="H464"/>
      <c r="I464"/>
      <c r="J464"/>
      <c r="K464"/>
      <c r="L464"/>
      <c r="M464"/>
      <c r="N464"/>
      <c r="O464"/>
      <c r="P464"/>
      <c r="Q464"/>
      <c r="R464"/>
      <c r="S464">
        <v>31.855343793999999</v>
      </c>
      <c r="T464"/>
      <c r="U464"/>
      <c r="V464"/>
      <c r="W464"/>
      <c r="X464"/>
      <c r="Y464"/>
      <c r="Z464"/>
      <c r="AA464"/>
      <c r="AB464">
        <v>26.581668522000001</v>
      </c>
      <c r="AC464">
        <v>9.5065734989999999</v>
      </c>
      <c r="AD464"/>
      <c r="AE464">
        <v>36.317584257999997</v>
      </c>
      <c r="AF464"/>
      <c r="AG464"/>
      <c r="AH464">
        <v>20.568957018999999</v>
      </c>
      <c r="AI464">
        <v>18.303560931</v>
      </c>
      <c r="AJ464"/>
      <c r="AK464"/>
      <c r="AL464"/>
      <c r="AM464">
        <v>18.503657500999999</v>
      </c>
      <c r="AN464"/>
      <c r="AO464"/>
      <c r="AP464"/>
      <c r="AQ464"/>
      <c r="AR464"/>
      <c r="AS464">
        <v>21.878784840000002</v>
      </c>
      <c r="AT464"/>
    </row>
    <row r="465" spans="1:46" x14ac:dyDescent="0.2">
      <c r="A465" s="87">
        <v>21033</v>
      </c>
      <c r="B465"/>
      <c r="C465"/>
      <c r="D465">
        <v>12.552219168000001</v>
      </c>
      <c r="E465">
        <v>23.681145085000001</v>
      </c>
      <c r="F465"/>
      <c r="G465"/>
      <c r="H465"/>
      <c r="I465"/>
      <c r="J465"/>
      <c r="K465"/>
      <c r="L465"/>
      <c r="M465"/>
      <c r="N465"/>
      <c r="O465"/>
      <c r="P465"/>
      <c r="Q465"/>
      <c r="R465"/>
      <c r="S465">
        <v>31.855343793999999</v>
      </c>
      <c r="T465"/>
      <c r="U465"/>
      <c r="V465"/>
      <c r="W465"/>
      <c r="X465"/>
      <c r="Y465"/>
      <c r="Z465"/>
      <c r="AA465"/>
      <c r="AB465">
        <v>26.676738862000001</v>
      </c>
      <c r="AC465">
        <v>9.1700576229999999</v>
      </c>
      <c r="AD465"/>
      <c r="AE465">
        <v>36.222051907000001</v>
      </c>
      <c r="AF465"/>
      <c r="AG465"/>
      <c r="AH465">
        <v>20.568957018999999</v>
      </c>
      <c r="AI465">
        <v>18.555234894000002</v>
      </c>
      <c r="AJ465"/>
      <c r="AK465"/>
      <c r="AL465"/>
      <c r="AM465">
        <v>18.205898312999999</v>
      </c>
      <c r="AN465"/>
      <c r="AO465"/>
      <c r="AP465"/>
      <c r="AQ465"/>
      <c r="AR465"/>
      <c r="AS465">
        <v>21.878784840000002</v>
      </c>
      <c r="AT465"/>
    </row>
    <row r="466" spans="1:46" x14ac:dyDescent="0.2">
      <c r="A466" s="87">
        <v>21064</v>
      </c>
      <c r="B466"/>
      <c r="C466"/>
      <c r="D466">
        <v>12.736497935999999</v>
      </c>
      <c r="E466">
        <v>23.044839138</v>
      </c>
      <c r="F466"/>
      <c r="G466"/>
      <c r="H466"/>
      <c r="I466"/>
      <c r="J466"/>
      <c r="K466"/>
      <c r="L466"/>
      <c r="M466"/>
      <c r="N466"/>
      <c r="O466"/>
      <c r="P466"/>
      <c r="Q466"/>
      <c r="R466"/>
      <c r="S466">
        <v>32.186136566999998</v>
      </c>
      <c r="T466"/>
      <c r="U466"/>
      <c r="V466"/>
      <c r="W466"/>
      <c r="X466"/>
      <c r="Y466"/>
      <c r="Z466"/>
      <c r="AA466"/>
      <c r="AB466">
        <v>26.999978032000001</v>
      </c>
      <c r="AC466">
        <v>9.1700576229999999</v>
      </c>
      <c r="AD466"/>
      <c r="AE466">
        <v>36.197319364999998</v>
      </c>
      <c r="AF466"/>
      <c r="AG466"/>
      <c r="AH466">
        <v>20.28327706</v>
      </c>
      <c r="AI466">
        <v>18.440837638000001</v>
      </c>
      <c r="AJ466"/>
      <c r="AK466"/>
      <c r="AL466"/>
      <c r="AM466">
        <v>17.872120536000001</v>
      </c>
      <c r="AN466"/>
      <c r="AO466"/>
      <c r="AP466"/>
      <c r="AQ466"/>
      <c r="AR466"/>
      <c r="AS466">
        <v>21.691351233999999</v>
      </c>
      <c r="AT466"/>
    </row>
    <row r="467" spans="1:46" x14ac:dyDescent="0.2">
      <c r="A467" s="87">
        <v>21094</v>
      </c>
      <c r="B467"/>
      <c r="C467"/>
      <c r="D467">
        <v>12.550488305</v>
      </c>
      <c r="E467">
        <v>27.831694451000001</v>
      </c>
      <c r="F467"/>
      <c r="G467"/>
      <c r="H467"/>
      <c r="I467"/>
      <c r="J467"/>
      <c r="K467"/>
      <c r="L467"/>
      <c r="M467"/>
      <c r="N467"/>
      <c r="O467"/>
      <c r="P467"/>
      <c r="Q467"/>
      <c r="R467"/>
      <c r="S467">
        <v>31.822264519000001</v>
      </c>
      <c r="T467"/>
      <c r="U467"/>
      <c r="V467"/>
      <c r="W467"/>
      <c r="X467"/>
      <c r="Y467"/>
      <c r="Z467"/>
      <c r="AA467"/>
      <c r="AB467">
        <v>25.954204233999999</v>
      </c>
      <c r="AC467">
        <v>9.0859286539999999</v>
      </c>
      <c r="AD467"/>
      <c r="AE467">
        <v>35.924325052999997</v>
      </c>
      <c r="AF467"/>
      <c r="AG467"/>
      <c r="AH467">
        <v>19.711917143000001</v>
      </c>
      <c r="AI467">
        <v>18.349319832999999</v>
      </c>
      <c r="AJ467"/>
      <c r="AK467"/>
      <c r="AL467"/>
      <c r="AM467">
        <v>18.13736948</v>
      </c>
      <c r="AN467"/>
      <c r="AO467"/>
      <c r="AP467"/>
      <c r="AQ467"/>
      <c r="AR467"/>
      <c r="AS467">
        <v>21.369909043</v>
      </c>
      <c r="AT467"/>
    </row>
    <row r="468" spans="1:46" x14ac:dyDescent="0.2">
      <c r="A468" s="87">
        <v>21125</v>
      </c>
      <c r="B468"/>
      <c r="C468"/>
      <c r="D468">
        <v>12.610277536</v>
      </c>
      <c r="E468">
        <v>22.233408604000001</v>
      </c>
      <c r="F468"/>
      <c r="G468"/>
      <c r="H468"/>
      <c r="I468"/>
      <c r="J468"/>
      <c r="K468"/>
      <c r="L468"/>
      <c r="M468"/>
      <c r="N468"/>
      <c r="O468"/>
      <c r="P468"/>
      <c r="Q468"/>
      <c r="R468"/>
      <c r="S468">
        <v>32.483850056999998</v>
      </c>
      <c r="T468"/>
      <c r="U468"/>
      <c r="V468"/>
      <c r="W468"/>
      <c r="X468"/>
      <c r="Y468"/>
      <c r="Z468"/>
      <c r="AA468"/>
      <c r="AB468">
        <v>26.277443415</v>
      </c>
      <c r="AC468">
        <v>9.0859286539999999</v>
      </c>
      <c r="AD468"/>
      <c r="AE468">
        <v>35.737360723000002</v>
      </c>
      <c r="AF468"/>
      <c r="AG468"/>
      <c r="AH468">
        <v>19.997597102</v>
      </c>
      <c r="AI468">
        <v>18.051886968000002</v>
      </c>
      <c r="AJ468"/>
      <c r="AK468"/>
      <c r="AL468"/>
      <c r="AM468">
        <v>18.493336538000001</v>
      </c>
      <c r="AN468"/>
      <c r="AO468"/>
      <c r="AP468"/>
      <c r="AQ468"/>
      <c r="AR468"/>
      <c r="AS468">
        <v>20.861132363999999</v>
      </c>
      <c r="AT468"/>
    </row>
    <row r="469" spans="1:46" x14ac:dyDescent="0.2">
      <c r="A469" s="87">
        <v>21155</v>
      </c>
      <c r="B469"/>
      <c r="C469"/>
      <c r="D469">
        <v>12.618375108</v>
      </c>
      <c r="E469">
        <v>23.168959983000001</v>
      </c>
      <c r="F469"/>
      <c r="G469"/>
      <c r="H469"/>
      <c r="I469"/>
      <c r="J469"/>
      <c r="K469"/>
      <c r="L469"/>
      <c r="M469"/>
      <c r="N469"/>
      <c r="O469"/>
      <c r="P469"/>
      <c r="Q469"/>
      <c r="R469"/>
      <c r="S469">
        <v>32.880801388000002</v>
      </c>
      <c r="T469"/>
      <c r="U469"/>
      <c r="V469"/>
      <c r="W469"/>
      <c r="X469"/>
      <c r="Y469"/>
      <c r="Z469"/>
      <c r="AA469"/>
      <c r="AB469">
        <v>26.562654447</v>
      </c>
      <c r="AC469">
        <v>8.9176707159999999</v>
      </c>
      <c r="AD469"/>
      <c r="AE469">
        <v>35.661301520999999</v>
      </c>
      <c r="AF469"/>
      <c r="AG469"/>
      <c r="AH469">
        <v>19.997597102</v>
      </c>
      <c r="AI469">
        <v>18.074766418999999</v>
      </c>
      <c r="AJ469"/>
      <c r="AK469"/>
      <c r="AL469"/>
      <c r="AM469">
        <v>18.029877883000001</v>
      </c>
      <c r="AN469"/>
      <c r="AO469"/>
      <c r="AP469"/>
      <c r="AQ469"/>
      <c r="AR469"/>
      <c r="AS469">
        <v>20.459503083000001</v>
      </c>
      <c r="AT469"/>
    </row>
    <row r="470" spans="1:46" x14ac:dyDescent="0.2">
      <c r="A470" s="87">
        <v>21186</v>
      </c>
      <c r="B470"/>
      <c r="C470"/>
      <c r="D470">
        <v>12.842346513000001</v>
      </c>
      <c r="E470">
        <v>23.767539763999999</v>
      </c>
      <c r="F470"/>
      <c r="G470"/>
      <c r="H470"/>
      <c r="I470"/>
      <c r="J470"/>
      <c r="K470"/>
      <c r="L470">
        <v>23.597787660000002</v>
      </c>
      <c r="M470"/>
      <c r="N470"/>
      <c r="O470"/>
      <c r="P470"/>
      <c r="Q470"/>
      <c r="R470">
        <v>12.981956888999999</v>
      </c>
      <c r="S470">
        <v>33.211594153</v>
      </c>
      <c r="T470"/>
      <c r="U470"/>
      <c r="V470"/>
      <c r="W470"/>
      <c r="X470"/>
      <c r="Y470"/>
      <c r="Z470"/>
      <c r="AA470"/>
      <c r="AB470">
        <v>26.961949894</v>
      </c>
      <c r="AC470">
        <v>8.8335417469999999</v>
      </c>
      <c r="AD470"/>
      <c r="AE470">
        <v>36.042771234999996</v>
      </c>
      <c r="AF470"/>
      <c r="AG470"/>
      <c r="AH470">
        <v>19.997597102</v>
      </c>
      <c r="AI470">
        <v>18.303560931</v>
      </c>
      <c r="AJ470"/>
      <c r="AK470"/>
      <c r="AL470"/>
      <c r="AM470">
        <v>18.816092921999999</v>
      </c>
      <c r="AN470"/>
      <c r="AO470"/>
      <c r="AP470"/>
      <c r="AQ470"/>
      <c r="AR470"/>
      <c r="AS470">
        <v>20.084536752000002</v>
      </c>
      <c r="AT470"/>
    </row>
    <row r="471" spans="1:46" x14ac:dyDescent="0.2">
      <c r="A471" s="87">
        <v>21217</v>
      </c>
      <c r="B471"/>
      <c r="C471"/>
      <c r="D471">
        <v>12.833839469999999</v>
      </c>
      <c r="E471">
        <v>25.808322562000001</v>
      </c>
      <c r="F471"/>
      <c r="G471"/>
      <c r="H471"/>
      <c r="I471"/>
      <c r="J471"/>
      <c r="K471"/>
      <c r="L471">
        <v>23.696977844999999</v>
      </c>
      <c r="M471"/>
      <c r="N471"/>
      <c r="O471"/>
      <c r="P471"/>
      <c r="Q471"/>
      <c r="R471">
        <v>12.857330103000001</v>
      </c>
      <c r="S471">
        <v>33.343911259999999</v>
      </c>
      <c r="T471"/>
      <c r="U471"/>
      <c r="V471"/>
      <c r="W471"/>
      <c r="X471"/>
      <c r="Y471"/>
      <c r="Z471"/>
      <c r="AA471"/>
      <c r="AB471">
        <v>26.410541894000001</v>
      </c>
      <c r="AC471">
        <v>8.9176707159999999</v>
      </c>
      <c r="AD471"/>
      <c r="AE471">
        <v>36.766931118999999</v>
      </c>
      <c r="AF471"/>
      <c r="AG471"/>
      <c r="AH471">
        <v>19.997597102</v>
      </c>
      <c r="AI471">
        <v>18.257802029</v>
      </c>
      <c r="AJ471"/>
      <c r="AK471"/>
      <c r="AL471"/>
      <c r="AM471">
        <v>18.790966001000001</v>
      </c>
      <c r="AN471"/>
      <c r="AO471"/>
      <c r="AP471"/>
      <c r="AQ471"/>
      <c r="AR471"/>
      <c r="AS471">
        <v>19.656046282999998</v>
      </c>
      <c r="AT471"/>
    </row>
    <row r="472" spans="1:46" x14ac:dyDescent="0.2">
      <c r="A472" s="87">
        <v>21245</v>
      </c>
      <c r="B472"/>
      <c r="C472"/>
      <c r="D472">
        <v>12.671275676</v>
      </c>
      <c r="E472">
        <v>22.882706282000001</v>
      </c>
      <c r="F472"/>
      <c r="G472"/>
      <c r="H472"/>
      <c r="I472"/>
      <c r="J472"/>
      <c r="K472"/>
      <c r="L472">
        <v>24.081967332000001</v>
      </c>
      <c r="M472"/>
      <c r="N472"/>
      <c r="O472"/>
      <c r="P472"/>
      <c r="Q472"/>
      <c r="R472">
        <v>12.587305399</v>
      </c>
      <c r="S472">
        <v>33.244673427000002</v>
      </c>
      <c r="T472"/>
      <c r="U472"/>
      <c r="V472"/>
      <c r="W472"/>
      <c r="X472"/>
      <c r="Y472"/>
      <c r="Z472"/>
      <c r="AA472"/>
      <c r="AB472">
        <v>26.372513755</v>
      </c>
      <c r="AC472">
        <v>8.8335417469999999</v>
      </c>
      <c r="AD472"/>
      <c r="AE472">
        <v>35.229775769</v>
      </c>
      <c r="AF472"/>
      <c r="AG472"/>
      <c r="AH472">
        <v>20.28327706</v>
      </c>
      <c r="AI472">
        <v>18.578114344999999</v>
      </c>
      <c r="AJ472"/>
      <c r="AK472"/>
      <c r="AL472"/>
      <c r="AM472">
        <v>19.131789593000001</v>
      </c>
      <c r="AN472"/>
      <c r="AO472"/>
      <c r="AP472"/>
      <c r="AQ472"/>
      <c r="AR472"/>
      <c r="AS472">
        <v>19.415088536999999</v>
      </c>
      <c r="AT472"/>
    </row>
    <row r="473" spans="1:46" x14ac:dyDescent="0.2">
      <c r="A473" s="87">
        <v>21276</v>
      </c>
      <c r="B473"/>
      <c r="C473"/>
      <c r="D473">
        <v>12.616838057000001</v>
      </c>
      <c r="E473">
        <v>22.992208698999999</v>
      </c>
      <c r="F473"/>
      <c r="G473"/>
      <c r="H473"/>
      <c r="I473"/>
      <c r="J473"/>
      <c r="K473"/>
      <c r="L473">
        <v>23.325152553999999</v>
      </c>
      <c r="M473"/>
      <c r="N473"/>
      <c r="O473"/>
      <c r="P473"/>
      <c r="Q473"/>
      <c r="R473">
        <v>12.774245578</v>
      </c>
      <c r="S473">
        <v>32.946959937000003</v>
      </c>
      <c r="T473"/>
      <c r="U473"/>
      <c r="V473"/>
      <c r="W473"/>
      <c r="X473"/>
      <c r="Y473"/>
      <c r="Z473"/>
      <c r="AA473"/>
      <c r="AB473">
        <v>26.277443415</v>
      </c>
      <c r="AC473">
        <v>8.8335417469999999</v>
      </c>
      <c r="AD473"/>
      <c r="AE473">
        <v>35.429770535000003</v>
      </c>
      <c r="AF473"/>
      <c r="AG473"/>
      <c r="AH473">
        <v>19.997597102</v>
      </c>
      <c r="AI473">
        <v>18.006128065999999</v>
      </c>
      <c r="AJ473"/>
      <c r="AK473"/>
      <c r="AL473"/>
      <c r="AM473">
        <v>18.967002336</v>
      </c>
      <c r="AN473"/>
      <c r="AO473"/>
      <c r="AP473"/>
      <c r="AQ473"/>
      <c r="AR473"/>
      <c r="AS473">
        <v>19.093745465000001</v>
      </c>
      <c r="AT473"/>
    </row>
    <row r="474" spans="1:46" x14ac:dyDescent="0.2">
      <c r="A474" s="87">
        <v>21306</v>
      </c>
      <c r="B474"/>
      <c r="C474"/>
      <c r="D474">
        <v>12.689763778</v>
      </c>
      <c r="E474">
        <v>23.029842848000001</v>
      </c>
      <c r="F474"/>
      <c r="G474"/>
      <c r="H474"/>
      <c r="I474"/>
      <c r="J474"/>
      <c r="K474"/>
      <c r="L474">
        <v>23.610195029</v>
      </c>
      <c r="M474"/>
      <c r="N474"/>
      <c r="O474"/>
      <c r="P474"/>
      <c r="Q474"/>
      <c r="R474">
        <v>12.732703316</v>
      </c>
      <c r="S474">
        <v>32.715404997</v>
      </c>
      <c r="T474"/>
      <c r="U474"/>
      <c r="V474"/>
      <c r="W474"/>
      <c r="X474"/>
      <c r="Y474"/>
      <c r="Z474"/>
      <c r="AA474"/>
      <c r="AB474">
        <v>26.334485616999999</v>
      </c>
      <c r="AC474">
        <v>8.58115484</v>
      </c>
      <c r="AD474"/>
      <c r="AE474">
        <v>35.030175294000003</v>
      </c>
      <c r="AF474"/>
      <c r="AG474"/>
      <c r="AH474">
        <v>20.28327706</v>
      </c>
      <c r="AI474">
        <v>17.937489712000001</v>
      </c>
      <c r="AJ474"/>
      <c r="AK474"/>
      <c r="AL474"/>
      <c r="AM474">
        <v>19.722485200000001</v>
      </c>
      <c r="AN474"/>
      <c r="AO474"/>
      <c r="AP474"/>
      <c r="AQ474"/>
      <c r="AR474"/>
      <c r="AS474">
        <v>19.281179071</v>
      </c>
      <c r="AT474"/>
    </row>
    <row r="475" spans="1:46" x14ac:dyDescent="0.2">
      <c r="A475" s="87">
        <v>21337</v>
      </c>
      <c r="B475"/>
      <c r="C475"/>
      <c r="D475">
        <v>12.736580431</v>
      </c>
      <c r="E475">
        <v>22.889327684000001</v>
      </c>
      <c r="F475"/>
      <c r="G475"/>
      <c r="H475"/>
      <c r="I475"/>
      <c r="J475"/>
      <c r="K475"/>
      <c r="L475">
        <v>23.898696830999999</v>
      </c>
      <c r="M475"/>
      <c r="N475"/>
      <c r="O475"/>
      <c r="P475"/>
      <c r="Q475"/>
      <c r="R475">
        <v>12.649618792</v>
      </c>
      <c r="S475">
        <v>32.946959937000003</v>
      </c>
      <c r="T475"/>
      <c r="U475"/>
      <c r="V475"/>
      <c r="W475"/>
      <c r="X475"/>
      <c r="Y475"/>
      <c r="Z475"/>
      <c r="AA475"/>
      <c r="AB475">
        <v>26.980963968000001</v>
      </c>
      <c r="AC475">
        <v>8.497025871</v>
      </c>
      <c r="AD475"/>
      <c r="AE475">
        <v>34.620718992999997</v>
      </c>
      <c r="AF475"/>
      <c r="AG475"/>
      <c r="AH475">
        <v>20.28327706</v>
      </c>
      <c r="AI475">
        <v>18.806908857</v>
      </c>
      <c r="AJ475"/>
      <c r="AK475"/>
      <c r="AL475"/>
      <c r="AM475">
        <v>18.548231336000001</v>
      </c>
      <c r="AN475"/>
      <c r="AO475"/>
      <c r="AP475"/>
      <c r="AQ475"/>
      <c r="AR475"/>
      <c r="AS475">
        <v>19.789955749000001</v>
      </c>
      <c r="AT475"/>
    </row>
    <row r="476" spans="1:46" x14ac:dyDescent="0.2">
      <c r="A476" s="87">
        <v>21367</v>
      </c>
      <c r="B476"/>
      <c r="C476"/>
      <c r="D476">
        <v>12.970367157</v>
      </c>
      <c r="E476">
        <v>23.313869323999999</v>
      </c>
      <c r="F476"/>
      <c r="G476"/>
      <c r="H476"/>
      <c r="I476"/>
      <c r="J476"/>
      <c r="K476"/>
      <c r="L476">
        <v>23.490293300000001</v>
      </c>
      <c r="M476"/>
      <c r="N476"/>
      <c r="O476"/>
      <c r="P476"/>
      <c r="Q476"/>
      <c r="R476">
        <v>12.60807653</v>
      </c>
      <c r="S476">
        <v>32.682325722000002</v>
      </c>
      <c r="T476"/>
      <c r="U476"/>
      <c r="V476"/>
      <c r="W476"/>
      <c r="X476"/>
      <c r="Y476"/>
      <c r="Z476"/>
      <c r="AA476"/>
      <c r="AB476">
        <v>27.228146861999999</v>
      </c>
      <c r="AC476">
        <v>8.8335417469999999</v>
      </c>
      <c r="AD476"/>
      <c r="AE476">
        <v>34.319416699999998</v>
      </c>
      <c r="AF476"/>
      <c r="AG476"/>
      <c r="AH476">
        <v>20.28327706</v>
      </c>
      <c r="AI476">
        <v>18.463717088999999</v>
      </c>
      <c r="AJ476"/>
      <c r="AK476"/>
      <c r="AL476"/>
      <c r="AM476">
        <v>19.198796870999999</v>
      </c>
      <c r="AN476"/>
      <c r="AO476"/>
      <c r="AP476"/>
      <c r="AQ476"/>
      <c r="AR476"/>
      <c r="AS476">
        <v>20.084536752000002</v>
      </c>
      <c r="AT476"/>
    </row>
    <row r="477" spans="1:46" x14ac:dyDescent="0.2">
      <c r="A477" s="87">
        <v>21398</v>
      </c>
      <c r="B477"/>
      <c r="C477"/>
      <c r="D477">
        <v>12.593355593</v>
      </c>
      <c r="E477">
        <v>22.816067406999998</v>
      </c>
      <c r="F477"/>
      <c r="G477"/>
      <c r="H477"/>
      <c r="I477"/>
      <c r="J477"/>
      <c r="K477"/>
      <c r="L477">
        <v>24.386539704</v>
      </c>
      <c r="M477"/>
      <c r="N477"/>
      <c r="O477"/>
      <c r="P477"/>
      <c r="Q477"/>
      <c r="R477">
        <v>12.815787841000001</v>
      </c>
      <c r="S477">
        <v>32.682325722000002</v>
      </c>
      <c r="T477"/>
      <c r="U477"/>
      <c r="V477"/>
      <c r="W477"/>
      <c r="X477"/>
      <c r="Y477"/>
      <c r="Z477"/>
      <c r="AA477"/>
      <c r="AB477">
        <v>27.171104660000001</v>
      </c>
      <c r="AC477">
        <v>8.9176707159999999</v>
      </c>
      <c r="AD477"/>
      <c r="AE477">
        <v>34.620780064999998</v>
      </c>
      <c r="AF477"/>
      <c r="AG477"/>
      <c r="AH477">
        <v>20.568957018999999</v>
      </c>
      <c r="AI477">
        <v>18.372199284000001</v>
      </c>
      <c r="AJ477"/>
      <c r="AK477"/>
      <c r="AL477"/>
      <c r="AM477">
        <v>20.102089155000002</v>
      </c>
      <c r="AN477"/>
      <c r="AO477"/>
      <c r="AP477"/>
      <c r="AQ477"/>
      <c r="AR477"/>
      <c r="AS477">
        <v>20.486265152000001</v>
      </c>
      <c r="AT477"/>
    </row>
    <row r="478" spans="1:46" x14ac:dyDescent="0.2">
      <c r="A478" s="87">
        <v>21429</v>
      </c>
      <c r="B478"/>
      <c r="C478"/>
      <c r="D478">
        <v>12.545110449999999</v>
      </c>
      <c r="E478">
        <v>22.853644263</v>
      </c>
      <c r="F478"/>
      <c r="G478"/>
      <c r="H478"/>
      <c r="I478"/>
      <c r="J478"/>
      <c r="K478"/>
      <c r="L478">
        <v>23.694871838000001</v>
      </c>
      <c r="M478"/>
      <c r="N478"/>
      <c r="O478"/>
      <c r="P478"/>
      <c r="Q478"/>
      <c r="R478">
        <v>12.898872365000001</v>
      </c>
      <c r="S478">
        <v>32.483850056999998</v>
      </c>
      <c r="T478"/>
      <c r="U478"/>
      <c r="V478"/>
      <c r="W478"/>
      <c r="X478"/>
      <c r="Y478"/>
      <c r="Z478"/>
      <c r="AA478"/>
      <c r="AB478">
        <v>27.627442308999999</v>
      </c>
      <c r="AC478">
        <v>8.9176707159999999</v>
      </c>
      <c r="AD478"/>
      <c r="AE478">
        <v>34.389583880000004</v>
      </c>
      <c r="AF478"/>
      <c r="AG478"/>
      <c r="AH478">
        <v>20.854636976999998</v>
      </c>
      <c r="AI478">
        <v>18.097645870000001</v>
      </c>
      <c r="AJ478"/>
      <c r="AK478"/>
      <c r="AL478"/>
      <c r="AM478">
        <v>20.388122891999998</v>
      </c>
      <c r="AN478"/>
      <c r="AO478"/>
      <c r="AP478"/>
      <c r="AQ478"/>
      <c r="AR478"/>
      <c r="AS478">
        <v>20.673698758</v>
      </c>
      <c r="AT478"/>
    </row>
    <row r="479" spans="1:46" x14ac:dyDescent="0.2">
      <c r="A479" s="87">
        <v>21459</v>
      </c>
      <c r="B479"/>
      <c r="C479"/>
      <c r="D479">
        <v>12.929547323</v>
      </c>
      <c r="E479">
        <v>23.020214802999998</v>
      </c>
      <c r="F479"/>
      <c r="G479"/>
      <c r="H479"/>
      <c r="I479"/>
      <c r="J479"/>
      <c r="K479"/>
      <c r="L479">
        <v>23.686514465999998</v>
      </c>
      <c r="M479"/>
      <c r="N479"/>
      <c r="O479"/>
      <c r="P479"/>
      <c r="Q479"/>
      <c r="R479">
        <v>13.065041412999999</v>
      </c>
      <c r="S479">
        <v>32.550008615000003</v>
      </c>
      <c r="T479"/>
      <c r="U479"/>
      <c r="V479"/>
      <c r="W479"/>
      <c r="X479"/>
      <c r="Y479"/>
      <c r="Z479"/>
      <c r="AA479"/>
      <c r="AB479">
        <v>27.779554862000001</v>
      </c>
      <c r="AC479">
        <v>9.1700576229999999</v>
      </c>
      <c r="AD479"/>
      <c r="AE479">
        <v>34.418193049999999</v>
      </c>
      <c r="AF479"/>
      <c r="AG479"/>
      <c r="AH479">
        <v>21.140316936000001</v>
      </c>
      <c r="AI479">
        <v>18.623873246999999</v>
      </c>
      <c r="AJ479"/>
      <c r="AK479"/>
      <c r="AL479"/>
      <c r="AM479">
        <v>20.538558418000001</v>
      </c>
      <c r="AN479"/>
      <c r="AO479"/>
      <c r="AP479"/>
      <c r="AQ479"/>
      <c r="AR479"/>
      <c r="AS479">
        <v>20.914755622000001</v>
      </c>
      <c r="AT479"/>
    </row>
    <row r="480" spans="1:46" x14ac:dyDescent="0.2">
      <c r="A480" s="87">
        <v>21490</v>
      </c>
      <c r="B480"/>
      <c r="C480"/>
      <c r="D480">
        <v>12.681726190999999</v>
      </c>
      <c r="E480">
        <v>23.266570438999999</v>
      </c>
      <c r="F480"/>
      <c r="G480"/>
      <c r="H480"/>
      <c r="I480"/>
      <c r="J480"/>
      <c r="K480"/>
      <c r="L480">
        <v>24.237893441000001</v>
      </c>
      <c r="M480"/>
      <c r="N480"/>
      <c r="O480"/>
      <c r="P480"/>
      <c r="Q480"/>
      <c r="R480">
        <v>13.397379509</v>
      </c>
      <c r="S480">
        <v>32.119978009</v>
      </c>
      <c r="T480"/>
      <c r="U480"/>
      <c r="V480"/>
      <c r="W480"/>
      <c r="X480"/>
      <c r="Y480"/>
      <c r="Z480"/>
      <c r="AA480"/>
      <c r="AB480">
        <v>27.950681490000001</v>
      </c>
      <c r="AC480">
        <v>9.0859286539999999</v>
      </c>
      <c r="AD480"/>
      <c r="AE480">
        <v>34.876109186000001</v>
      </c>
      <c r="AF480"/>
      <c r="AG480"/>
      <c r="AH480">
        <v>20.854636976999998</v>
      </c>
      <c r="AI480">
        <v>18.692511601</v>
      </c>
      <c r="AJ480"/>
      <c r="AK480"/>
      <c r="AL480"/>
      <c r="AM480">
        <v>20.932219174</v>
      </c>
      <c r="AN480"/>
      <c r="AO480"/>
      <c r="AP480"/>
      <c r="AQ480"/>
      <c r="AR480"/>
      <c r="AS480">
        <v>21.530679698</v>
      </c>
      <c r="AT480"/>
    </row>
    <row r="481" spans="1:46" x14ac:dyDescent="0.2">
      <c r="A481" s="87">
        <v>21520</v>
      </c>
      <c r="B481"/>
      <c r="C481"/>
      <c r="D481">
        <v>12.827692301000001</v>
      </c>
      <c r="E481">
        <v>22.679400961999999</v>
      </c>
      <c r="F481"/>
      <c r="G481"/>
      <c r="H481"/>
      <c r="I481"/>
      <c r="J481"/>
      <c r="K481"/>
      <c r="L481">
        <v>24.336253085999999</v>
      </c>
      <c r="M481"/>
      <c r="N481"/>
      <c r="O481"/>
      <c r="P481"/>
      <c r="Q481"/>
      <c r="R481">
        <v>12.981956888999999</v>
      </c>
      <c r="S481">
        <v>31.855343793999999</v>
      </c>
      <c r="T481"/>
      <c r="U481"/>
      <c r="V481"/>
      <c r="W481"/>
      <c r="X481"/>
      <c r="Y481"/>
      <c r="Z481"/>
      <c r="AA481"/>
      <c r="AB481">
        <v>27.950681490000001</v>
      </c>
      <c r="AC481">
        <v>9.3383155609999999</v>
      </c>
      <c r="AD481"/>
      <c r="AE481">
        <v>35.057922241</v>
      </c>
      <c r="AF481"/>
      <c r="AG481"/>
      <c r="AH481">
        <v>21.140316936000001</v>
      </c>
      <c r="AI481">
        <v>18.715391052000001</v>
      </c>
      <c r="AJ481"/>
      <c r="AK481"/>
      <c r="AL481"/>
      <c r="AM481">
        <v>20.344368453000001</v>
      </c>
      <c r="AN481"/>
      <c r="AO481"/>
      <c r="AP481"/>
      <c r="AQ481"/>
      <c r="AR481"/>
      <c r="AS481">
        <v>21.557441768</v>
      </c>
      <c r="AT481"/>
    </row>
    <row r="482" spans="1:46" x14ac:dyDescent="0.2">
      <c r="A482" s="87">
        <v>21551</v>
      </c>
      <c r="B482"/>
      <c r="C482"/>
      <c r="D482">
        <v>12.961551072000001</v>
      </c>
      <c r="E482">
        <v>22.891264806999999</v>
      </c>
      <c r="F482"/>
      <c r="G482"/>
      <c r="H482"/>
      <c r="I482"/>
      <c r="J482"/>
      <c r="K482"/>
      <c r="L482">
        <v>24.121750542000001</v>
      </c>
      <c r="M482"/>
      <c r="N482"/>
      <c r="O482"/>
      <c r="P482"/>
      <c r="Q482"/>
      <c r="R482">
        <v>13.023499150999999</v>
      </c>
      <c r="S482">
        <v>31.689947410999999</v>
      </c>
      <c r="T482"/>
      <c r="U482"/>
      <c r="V482"/>
      <c r="W482"/>
      <c r="X482"/>
      <c r="Y482"/>
      <c r="Z482"/>
      <c r="AA482"/>
      <c r="AB482">
        <v>28.064765905000002</v>
      </c>
      <c r="AC482">
        <v>9.4224445299999999</v>
      </c>
      <c r="AD482"/>
      <c r="AE482">
        <v>34.961590641999997</v>
      </c>
      <c r="AF482"/>
      <c r="AG482"/>
      <c r="AH482">
        <v>21.425996895000001</v>
      </c>
      <c r="AI482">
        <v>18.509475990999999</v>
      </c>
      <c r="AJ482"/>
      <c r="AK482"/>
      <c r="AL482"/>
      <c r="AM482">
        <v>21.252030817000001</v>
      </c>
      <c r="AN482"/>
      <c r="AO482"/>
      <c r="AP482"/>
      <c r="AQ482">
        <v>24.635911588999999</v>
      </c>
      <c r="AR482"/>
      <c r="AS482">
        <v>21.878784840000002</v>
      </c>
      <c r="AT482"/>
    </row>
    <row r="483" spans="1:46" x14ac:dyDescent="0.2">
      <c r="A483" s="87">
        <v>21582</v>
      </c>
      <c r="B483"/>
      <c r="C483"/>
      <c r="D483">
        <v>12.939468483000001</v>
      </c>
      <c r="E483">
        <v>23.567208776000001</v>
      </c>
      <c r="F483"/>
      <c r="G483"/>
      <c r="H483"/>
      <c r="I483"/>
      <c r="J483"/>
      <c r="K483"/>
      <c r="L483">
        <v>24.187086568000002</v>
      </c>
      <c r="M483"/>
      <c r="N483"/>
      <c r="O483"/>
      <c r="P483"/>
      <c r="Q483"/>
      <c r="R483">
        <v>13.251981592</v>
      </c>
      <c r="S483">
        <v>31.921502352000001</v>
      </c>
      <c r="T483"/>
      <c r="U483"/>
      <c r="V483"/>
      <c r="W483"/>
      <c r="X483"/>
      <c r="Y483"/>
      <c r="Z483"/>
      <c r="AA483"/>
      <c r="AB483">
        <v>28.996455289</v>
      </c>
      <c r="AC483">
        <v>9.7589604059999999</v>
      </c>
      <c r="AD483"/>
      <c r="AE483">
        <v>34.748655669000001</v>
      </c>
      <c r="AF483"/>
      <c r="AG483"/>
      <c r="AH483">
        <v>21.425996895000001</v>
      </c>
      <c r="AI483">
        <v>18.944185564000001</v>
      </c>
      <c r="AJ483"/>
      <c r="AK483"/>
      <c r="AL483"/>
      <c r="AM483">
        <v>21.052201358000001</v>
      </c>
      <c r="AN483"/>
      <c r="AO483"/>
      <c r="AP483"/>
      <c r="AQ483">
        <v>25.092132174</v>
      </c>
      <c r="AR483"/>
      <c r="AS483">
        <v>22.307275310000001</v>
      </c>
      <c r="AT483"/>
    </row>
    <row r="484" spans="1:46" x14ac:dyDescent="0.2">
      <c r="A484" s="87">
        <v>21610</v>
      </c>
      <c r="B484"/>
      <c r="C484"/>
      <c r="D484">
        <v>12.652549361</v>
      </c>
      <c r="E484">
        <v>23.608275144</v>
      </c>
      <c r="F484"/>
      <c r="G484"/>
      <c r="H484"/>
      <c r="I484"/>
      <c r="J484"/>
      <c r="K484"/>
      <c r="L484">
        <v>24.444482928999999</v>
      </c>
      <c r="M484"/>
      <c r="N484"/>
      <c r="O484"/>
      <c r="P484"/>
      <c r="Q484"/>
      <c r="R484">
        <v>13.646633080999999</v>
      </c>
      <c r="S484">
        <v>32.053819459000003</v>
      </c>
      <c r="T484"/>
      <c r="U484"/>
      <c r="V484"/>
      <c r="W484"/>
      <c r="X484"/>
      <c r="Y484"/>
      <c r="Z484"/>
      <c r="AA484"/>
      <c r="AB484">
        <v>29.110539703000001</v>
      </c>
      <c r="AC484">
        <v>9.8430893749999999</v>
      </c>
      <c r="AD484"/>
      <c r="AE484">
        <v>35.559402374000001</v>
      </c>
      <c r="AF484"/>
      <c r="AG484"/>
      <c r="AH484">
        <v>21.711676853</v>
      </c>
      <c r="AI484">
        <v>19.012823916999999</v>
      </c>
      <c r="AJ484"/>
      <c r="AK484"/>
      <c r="AL484"/>
      <c r="AM484">
        <v>20.542304408</v>
      </c>
      <c r="AN484"/>
      <c r="AO484"/>
      <c r="AP484"/>
      <c r="AQ484">
        <v>26.004573344000001</v>
      </c>
      <c r="AR484"/>
      <c r="AS484">
        <v>22.628618382999999</v>
      </c>
      <c r="AT484"/>
    </row>
    <row r="485" spans="1:46" x14ac:dyDescent="0.2">
      <c r="A485" s="87">
        <v>21641</v>
      </c>
      <c r="B485"/>
      <c r="C485"/>
      <c r="D485">
        <v>13.491756531</v>
      </c>
      <c r="E485">
        <v>24.252305668999998</v>
      </c>
      <c r="F485"/>
      <c r="G485"/>
      <c r="H485"/>
      <c r="I485"/>
      <c r="J485"/>
      <c r="K485"/>
      <c r="L485">
        <v>24.386937222</v>
      </c>
      <c r="M485"/>
      <c r="N485"/>
      <c r="O485"/>
      <c r="P485"/>
      <c r="Q485"/>
      <c r="R485">
        <v>13.522006295000001</v>
      </c>
      <c r="S485">
        <v>32.913880663</v>
      </c>
      <c r="T485"/>
      <c r="U485"/>
      <c r="V485"/>
      <c r="W485"/>
      <c r="X485"/>
      <c r="Y485"/>
      <c r="Z485"/>
      <c r="AA485"/>
      <c r="AB485">
        <v>29.148567841999999</v>
      </c>
      <c r="AC485">
        <v>10.011347313</v>
      </c>
      <c r="AD485"/>
      <c r="AE485">
        <v>35.637492006000002</v>
      </c>
      <c r="AF485"/>
      <c r="AG485"/>
      <c r="AH485">
        <v>21.711676853</v>
      </c>
      <c r="AI485">
        <v>18.944185564000001</v>
      </c>
      <c r="AJ485"/>
      <c r="AK485"/>
      <c r="AL485"/>
      <c r="AM485">
        <v>20.408321196999999</v>
      </c>
      <c r="AN485"/>
      <c r="AO485"/>
      <c r="AP485"/>
      <c r="AQ485">
        <v>25.548352759</v>
      </c>
      <c r="AR485"/>
      <c r="AS485">
        <v>23.110632991999999</v>
      </c>
      <c r="AT485"/>
    </row>
    <row r="486" spans="1:46" x14ac:dyDescent="0.2">
      <c r="A486" s="87">
        <v>21671</v>
      </c>
      <c r="B486"/>
      <c r="C486"/>
      <c r="D486">
        <v>13.609732138</v>
      </c>
      <c r="E486">
        <v>23.971515692000001</v>
      </c>
      <c r="F486"/>
      <c r="G486"/>
      <c r="H486"/>
      <c r="I486"/>
      <c r="J486"/>
      <c r="K486"/>
      <c r="L486">
        <v>25.39415262</v>
      </c>
      <c r="M486"/>
      <c r="N486"/>
      <c r="O486"/>
      <c r="P486"/>
      <c r="Q486"/>
      <c r="R486">
        <v>14.228224750000001</v>
      </c>
      <c r="S486">
        <v>32.682325722000002</v>
      </c>
      <c r="T486"/>
      <c r="U486"/>
      <c r="V486"/>
      <c r="W486"/>
      <c r="X486"/>
      <c r="Y486"/>
      <c r="Z486"/>
      <c r="AA486"/>
      <c r="AB486">
        <v>29.18659598</v>
      </c>
      <c r="AC486">
        <v>10.347863189</v>
      </c>
      <c r="AD486"/>
      <c r="AE486">
        <v>36.964200628999997</v>
      </c>
      <c r="AF486"/>
      <c r="AG486"/>
      <c r="AH486">
        <v>22.283036769999999</v>
      </c>
      <c r="AI486">
        <v>19.058582819000002</v>
      </c>
      <c r="AJ486"/>
      <c r="AK486"/>
      <c r="AL486"/>
      <c r="AM486">
        <v>20.416732509999999</v>
      </c>
      <c r="AN486"/>
      <c r="AO486"/>
      <c r="AP486"/>
      <c r="AQ486">
        <v>25.548352759</v>
      </c>
      <c r="AR486"/>
      <c r="AS486">
        <v>23.458738134000001</v>
      </c>
      <c r="AT486"/>
    </row>
    <row r="487" spans="1:46" x14ac:dyDescent="0.2">
      <c r="A487" s="87">
        <v>21702</v>
      </c>
      <c r="B487"/>
      <c r="C487"/>
      <c r="D487">
        <v>13.443583414000001</v>
      </c>
      <c r="E487">
        <v>24.333024597000001</v>
      </c>
      <c r="F487"/>
      <c r="G487"/>
      <c r="H487"/>
      <c r="I487"/>
      <c r="J487"/>
      <c r="K487"/>
      <c r="L487">
        <v>25.264398981999999</v>
      </c>
      <c r="M487"/>
      <c r="N487"/>
      <c r="O487"/>
      <c r="P487"/>
      <c r="Q487"/>
      <c r="R487">
        <v>13.854344392</v>
      </c>
      <c r="S487">
        <v>33.013118495999997</v>
      </c>
      <c r="T487"/>
      <c r="U487"/>
      <c r="V487"/>
      <c r="W487"/>
      <c r="X487"/>
      <c r="Y487"/>
      <c r="Z487"/>
      <c r="AA487"/>
      <c r="AB487">
        <v>29.015469352</v>
      </c>
      <c r="AC487">
        <v>10.684379065</v>
      </c>
      <c r="AD487"/>
      <c r="AE487">
        <v>36.401242430000003</v>
      </c>
      <c r="AF487"/>
      <c r="AG487"/>
      <c r="AH487">
        <v>21.997356812</v>
      </c>
      <c r="AI487">
        <v>19.767845805</v>
      </c>
      <c r="AJ487"/>
      <c r="AK487"/>
      <c r="AL487"/>
      <c r="AM487">
        <v>21.694728484999999</v>
      </c>
      <c r="AN487"/>
      <c r="AO487"/>
      <c r="AP487"/>
      <c r="AQ487">
        <v>26.004573344000001</v>
      </c>
      <c r="AR487"/>
      <c r="AS487">
        <v>23.485599321999999</v>
      </c>
      <c r="AT487"/>
    </row>
    <row r="488" spans="1:46" x14ac:dyDescent="0.2">
      <c r="A488" s="87">
        <v>21732</v>
      </c>
      <c r="B488"/>
      <c r="C488"/>
      <c r="D488">
        <v>13.492613437999999</v>
      </c>
      <c r="E488">
        <v>24.218753521</v>
      </c>
      <c r="F488"/>
      <c r="G488"/>
      <c r="H488"/>
      <c r="I488"/>
      <c r="J488"/>
      <c r="K488"/>
      <c r="L488">
        <v>24.901001285</v>
      </c>
      <c r="M488"/>
      <c r="N488"/>
      <c r="O488"/>
      <c r="P488"/>
      <c r="Q488"/>
      <c r="R488">
        <v>14.041284571</v>
      </c>
      <c r="S488">
        <v>32.980039212000001</v>
      </c>
      <c r="T488"/>
      <c r="U488"/>
      <c r="V488"/>
      <c r="W488"/>
      <c r="X488"/>
      <c r="Y488"/>
      <c r="Z488"/>
      <c r="AA488"/>
      <c r="AB488">
        <v>29.224624118000001</v>
      </c>
      <c r="AC488">
        <v>10.768508034</v>
      </c>
      <c r="AD488"/>
      <c r="AE488">
        <v>36.854181986</v>
      </c>
      <c r="AF488"/>
      <c r="AG488"/>
      <c r="AH488">
        <v>22.854396688000001</v>
      </c>
      <c r="AI488">
        <v>20.156796475</v>
      </c>
      <c r="AJ488"/>
      <c r="AK488"/>
      <c r="AL488"/>
      <c r="AM488">
        <v>22.156927593999999</v>
      </c>
      <c r="AN488"/>
      <c r="AO488"/>
      <c r="AP488"/>
      <c r="AQ488">
        <v>29.654338024000001</v>
      </c>
      <c r="AR488"/>
      <c r="AS488">
        <v>22.923199386</v>
      </c>
      <c r="AT488"/>
    </row>
    <row r="489" spans="1:46" x14ac:dyDescent="0.2">
      <c r="A489" s="87">
        <v>21763</v>
      </c>
      <c r="B489"/>
      <c r="C489"/>
      <c r="D489">
        <v>13.649197698</v>
      </c>
      <c r="E489">
        <v>24.039237537999998</v>
      </c>
      <c r="F489"/>
      <c r="G489"/>
      <c r="H489"/>
      <c r="I489"/>
      <c r="J489"/>
      <c r="K489"/>
      <c r="L489">
        <v>26.374443831000001</v>
      </c>
      <c r="M489"/>
      <c r="N489"/>
      <c r="O489"/>
      <c r="P489"/>
      <c r="Q489"/>
      <c r="R489">
        <v>14.269767012000001</v>
      </c>
      <c r="S489">
        <v>32.980039212000001</v>
      </c>
      <c r="T489"/>
      <c r="U489"/>
      <c r="V489"/>
      <c r="W489"/>
      <c r="X489"/>
      <c r="Y489"/>
      <c r="Z489"/>
      <c r="AA489"/>
      <c r="AB489">
        <v>30.289411980000001</v>
      </c>
      <c r="AC489">
        <v>10.936765972</v>
      </c>
      <c r="AD489"/>
      <c r="AE489">
        <v>36.837304627000002</v>
      </c>
      <c r="AF489"/>
      <c r="AG489"/>
      <c r="AH489">
        <v>22.854396688000001</v>
      </c>
      <c r="AI489">
        <v>19.539051294</v>
      </c>
      <c r="AJ489"/>
      <c r="AK489"/>
      <c r="AL489"/>
      <c r="AM489">
        <v>22.251814682999999</v>
      </c>
      <c r="AN489"/>
      <c r="AO489"/>
      <c r="AP489"/>
      <c r="AQ489">
        <v>27.373235098999999</v>
      </c>
      <c r="AR489"/>
      <c r="AS489">
        <v>22.146603773999999</v>
      </c>
      <c r="AT489"/>
    </row>
    <row r="490" spans="1:46" x14ac:dyDescent="0.2">
      <c r="A490" s="87">
        <v>21794</v>
      </c>
      <c r="B490"/>
      <c r="C490"/>
      <c r="D490">
        <v>13.571797323</v>
      </c>
      <c r="E490">
        <v>24.659484688999999</v>
      </c>
      <c r="F490"/>
      <c r="G490"/>
      <c r="H490"/>
      <c r="I490"/>
      <c r="J490"/>
      <c r="K490"/>
      <c r="L490">
        <v>26.004438159999999</v>
      </c>
      <c r="M490"/>
      <c r="N490"/>
      <c r="O490"/>
      <c r="P490"/>
      <c r="Q490"/>
      <c r="R490">
        <v>14.394393797999999</v>
      </c>
      <c r="S490">
        <v>33.608545475</v>
      </c>
      <c r="T490"/>
      <c r="U490"/>
      <c r="V490"/>
      <c r="W490"/>
      <c r="X490"/>
      <c r="Y490"/>
      <c r="Z490"/>
      <c r="AA490"/>
      <c r="AB490">
        <v>30.954904396</v>
      </c>
      <c r="AC490">
        <v>11.189152879</v>
      </c>
      <c r="AD490"/>
      <c r="AE490">
        <v>36.656370852000002</v>
      </c>
      <c r="AF490"/>
      <c r="AG490"/>
      <c r="AH490">
        <v>23.140076646000001</v>
      </c>
      <c r="AI490">
        <v>19.744966353999999</v>
      </c>
      <c r="AJ490"/>
      <c r="AK490"/>
      <c r="AL490"/>
      <c r="AM490">
        <v>22.358083099000002</v>
      </c>
      <c r="AN490"/>
      <c r="AO490"/>
      <c r="AP490"/>
      <c r="AQ490">
        <v>26.917014514000002</v>
      </c>
      <c r="AR490"/>
      <c r="AS490">
        <v>22.119841703999999</v>
      </c>
      <c r="AT490"/>
    </row>
    <row r="491" spans="1:46" x14ac:dyDescent="0.2">
      <c r="A491" s="87">
        <v>21824</v>
      </c>
      <c r="B491"/>
      <c r="C491"/>
      <c r="D491">
        <v>13.830093526000001</v>
      </c>
      <c r="E491">
        <v>24.906628680000001</v>
      </c>
      <c r="F491"/>
      <c r="G491"/>
      <c r="H491"/>
      <c r="I491"/>
      <c r="J491"/>
      <c r="K491"/>
      <c r="L491">
        <v>26.982927872000001</v>
      </c>
      <c r="M491"/>
      <c r="N491"/>
      <c r="O491"/>
      <c r="P491"/>
      <c r="Q491"/>
      <c r="R491">
        <v>14.602105108</v>
      </c>
      <c r="S491">
        <v>34.137813913999999</v>
      </c>
      <c r="T491"/>
      <c r="U491"/>
      <c r="V491"/>
      <c r="W491"/>
      <c r="X491"/>
      <c r="Y491"/>
      <c r="Z491"/>
      <c r="AA491"/>
      <c r="AB491">
        <v>31.506312395999998</v>
      </c>
      <c r="AC491">
        <v>11.441539786</v>
      </c>
      <c r="AD491"/>
      <c r="AE491">
        <v>37.152238357000002</v>
      </c>
      <c r="AF491"/>
      <c r="AG491"/>
      <c r="AH491">
        <v>23.425756605</v>
      </c>
      <c r="AI491">
        <v>19.905122511999998</v>
      </c>
      <c r="AJ491"/>
      <c r="AK491"/>
      <c r="AL491"/>
      <c r="AM491">
        <v>23.028940988999999</v>
      </c>
      <c r="AN491"/>
      <c r="AO491"/>
      <c r="AP491"/>
      <c r="AQ491">
        <v>27.373235098999999</v>
      </c>
      <c r="AR491"/>
      <c r="AS491">
        <v>21.959170168</v>
      </c>
      <c r="AT491"/>
    </row>
    <row r="492" spans="1:46" x14ac:dyDescent="0.2">
      <c r="A492" s="87">
        <v>21855</v>
      </c>
      <c r="B492"/>
      <c r="C492"/>
      <c r="D492">
        <v>13.859361853999999</v>
      </c>
      <c r="E492">
        <v>25.805504071000001</v>
      </c>
      <c r="F492"/>
      <c r="G492"/>
      <c r="H492"/>
      <c r="I492"/>
      <c r="J492"/>
      <c r="K492"/>
      <c r="L492">
        <v>26.722463417</v>
      </c>
      <c r="M492"/>
      <c r="N492"/>
      <c r="O492"/>
      <c r="P492"/>
      <c r="Q492"/>
      <c r="R492">
        <v>14.726731895</v>
      </c>
      <c r="S492">
        <v>34.369368854999998</v>
      </c>
      <c r="T492"/>
      <c r="U492"/>
      <c r="V492"/>
      <c r="W492"/>
      <c r="X492"/>
      <c r="Y492"/>
      <c r="Z492"/>
      <c r="AA492"/>
      <c r="AB492">
        <v>32.266875161999998</v>
      </c>
      <c r="AC492">
        <v>11.609797725</v>
      </c>
      <c r="AD492"/>
      <c r="AE492">
        <v>39.03835059</v>
      </c>
      <c r="AF492"/>
      <c r="AG492"/>
      <c r="AH492">
        <v>23.425756605</v>
      </c>
      <c r="AI492">
        <v>19.699207452</v>
      </c>
      <c r="AJ492"/>
      <c r="AK492"/>
      <c r="AL492"/>
      <c r="AM492">
        <v>22.554489422</v>
      </c>
      <c r="AN492"/>
      <c r="AO492"/>
      <c r="AP492"/>
      <c r="AQ492">
        <v>27.373235098999999</v>
      </c>
      <c r="AR492"/>
      <c r="AS492">
        <v>22.092980516000001</v>
      </c>
      <c r="AT492"/>
    </row>
    <row r="493" spans="1:46" x14ac:dyDescent="0.2">
      <c r="A493" s="87">
        <v>21885</v>
      </c>
      <c r="B493"/>
      <c r="C493"/>
      <c r="D493">
        <v>14.141937035</v>
      </c>
      <c r="E493">
        <v>25.261200677000001</v>
      </c>
      <c r="F493"/>
      <c r="G493"/>
      <c r="H493"/>
      <c r="I493"/>
      <c r="J493"/>
      <c r="K493"/>
      <c r="L493">
        <v>26.833157027999999</v>
      </c>
      <c r="M493"/>
      <c r="N493"/>
      <c r="O493"/>
      <c r="P493"/>
      <c r="Q493"/>
      <c r="R493">
        <v>14.934443205000001</v>
      </c>
      <c r="S493">
        <v>34.634003069999999</v>
      </c>
      <c r="T493"/>
      <c r="U493"/>
      <c r="V493"/>
      <c r="W493"/>
      <c r="X493"/>
      <c r="Y493"/>
      <c r="Z493"/>
      <c r="AA493"/>
      <c r="AB493">
        <v>32.666170608999998</v>
      </c>
      <c r="AC493">
        <v>12.114571539</v>
      </c>
      <c r="AD493"/>
      <c r="AE493">
        <v>40.188509056000001</v>
      </c>
      <c r="AF493"/>
      <c r="AG493"/>
      <c r="AH493">
        <v>23.425756605</v>
      </c>
      <c r="AI493">
        <v>20.225434829000001</v>
      </c>
      <c r="AJ493"/>
      <c r="AK493"/>
      <c r="AL493"/>
      <c r="AM493">
        <v>22.969943475000001</v>
      </c>
      <c r="AN493"/>
      <c r="AO493"/>
      <c r="AP493"/>
      <c r="AQ493">
        <v>27.829455683999999</v>
      </c>
      <c r="AR493"/>
      <c r="AS493">
        <v>23.458738134000001</v>
      </c>
      <c r="AT493"/>
    </row>
    <row r="494" spans="1:46" x14ac:dyDescent="0.2">
      <c r="A494" s="87">
        <v>21916</v>
      </c>
      <c r="B494"/>
      <c r="C494"/>
      <c r="D494">
        <v>14.213264712000001</v>
      </c>
      <c r="E494">
        <v>25.190213674999999</v>
      </c>
      <c r="F494"/>
      <c r="G494"/>
      <c r="H494"/>
      <c r="I494"/>
      <c r="J494"/>
      <c r="K494"/>
      <c r="L494">
        <v>27.272770210000001</v>
      </c>
      <c r="M494"/>
      <c r="N494"/>
      <c r="O494"/>
      <c r="P494"/>
      <c r="Q494"/>
      <c r="R494">
        <v>15.017527728999999</v>
      </c>
      <c r="S494">
        <v>34.832478727000002</v>
      </c>
      <c r="T494">
        <v>22.173667663</v>
      </c>
      <c r="U494"/>
      <c r="V494"/>
      <c r="W494"/>
      <c r="X494"/>
      <c r="Y494"/>
      <c r="Z494"/>
      <c r="AA494"/>
      <c r="AB494">
        <v>32.552086193999997</v>
      </c>
      <c r="AC494">
        <v>12.114571539</v>
      </c>
      <c r="AD494"/>
      <c r="AE494">
        <v>40.256217208999999</v>
      </c>
      <c r="AF494"/>
      <c r="AG494"/>
      <c r="AH494">
        <v>23.711436562999999</v>
      </c>
      <c r="AI494">
        <v>20.637264949999999</v>
      </c>
      <c r="AJ494"/>
      <c r="AK494"/>
      <c r="AL494"/>
      <c r="AM494">
        <v>20.945934479999998</v>
      </c>
      <c r="AN494"/>
      <c r="AO494"/>
      <c r="AP494"/>
      <c r="AQ494">
        <v>27.829455683999999</v>
      </c>
      <c r="AR494"/>
      <c r="AS494">
        <v>24.074662209</v>
      </c>
      <c r="AT494"/>
    </row>
    <row r="495" spans="1:46" x14ac:dyDescent="0.2">
      <c r="A495" s="87">
        <v>21947</v>
      </c>
      <c r="B495"/>
      <c r="C495"/>
      <c r="D495">
        <v>14.290248</v>
      </c>
      <c r="E495">
        <v>26.121187806999998</v>
      </c>
      <c r="F495"/>
      <c r="G495"/>
      <c r="H495"/>
      <c r="I495"/>
      <c r="J495"/>
      <c r="K495"/>
      <c r="L495">
        <v>27.114423622</v>
      </c>
      <c r="M495"/>
      <c r="N495"/>
      <c r="O495"/>
      <c r="P495"/>
      <c r="Q495"/>
      <c r="R495">
        <v>15.079841121999999</v>
      </c>
      <c r="S495">
        <v>35.097112942000003</v>
      </c>
      <c r="T495">
        <v>22.351476945000002</v>
      </c>
      <c r="U495"/>
      <c r="V495"/>
      <c r="W495"/>
      <c r="X495"/>
      <c r="Y495"/>
      <c r="Z495"/>
      <c r="AA495"/>
      <c r="AB495">
        <v>33.445747439000002</v>
      </c>
      <c r="AC495">
        <v>12.703474322</v>
      </c>
      <c r="AD495"/>
      <c r="AE495">
        <v>39.914299202999999</v>
      </c>
      <c r="AF495"/>
      <c r="AG495"/>
      <c r="AH495">
        <v>23.711436562999999</v>
      </c>
      <c r="AI495">
        <v>20.454229340000001</v>
      </c>
      <c r="AJ495"/>
      <c r="AK495"/>
      <c r="AL495"/>
      <c r="AM495">
        <v>22.734290689000002</v>
      </c>
      <c r="AN495"/>
      <c r="AO495"/>
      <c r="AP495"/>
      <c r="AQ495">
        <v>27.829455683999999</v>
      </c>
      <c r="AR495"/>
      <c r="AS495">
        <v>23.860466534</v>
      </c>
      <c r="AT495"/>
    </row>
    <row r="496" spans="1:46" x14ac:dyDescent="0.2">
      <c r="A496" s="87">
        <v>21976</v>
      </c>
      <c r="B496"/>
      <c r="C496"/>
      <c r="D496">
        <v>14.539987286000001</v>
      </c>
      <c r="E496">
        <v>25.590886083000001</v>
      </c>
      <c r="F496"/>
      <c r="G496"/>
      <c r="H496"/>
      <c r="I496"/>
      <c r="J496"/>
      <c r="K496"/>
      <c r="L496">
        <v>27.499148139999999</v>
      </c>
      <c r="M496"/>
      <c r="N496"/>
      <c r="O496"/>
      <c r="P496"/>
      <c r="Q496"/>
      <c r="R496">
        <v>15.391408087</v>
      </c>
      <c r="S496">
        <v>35.097112942000003</v>
      </c>
      <c r="T496">
        <v>22.346809586999999</v>
      </c>
      <c r="U496"/>
      <c r="V496"/>
      <c r="W496"/>
      <c r="X496"/>
      <c r="Y496"/>
      <c r="Z496"/>
      <c r="AA496"/>
      <c r="AB496">
        <v>33.959127301000002</v>
      </c>
      <c r="AC496">
        <v>12.703474322</v>
      </c>
      <c r="AD496"/>
      <c r="AE496">
        <v>40.029382575</v>
      </c>
      <c r="AF496"/>
      <c r="AG496"/>
      <c r="AH496">
        <v>23.997116521999999</v>
      </c>
      <c r="AI496">
        <v>20.728782754000001</v>
      </c>
      <c r="AJ496"/>
      <c r="AK496"/>
      <c r="AL496"/>
      <c r="AM496">
        <v>22.616335372999998</v>
      </c>
      <c r="AN496"/>
      <c r="AO496"/>
      <c r="AP496"/>
      <c r="AQ496">
        <v>27.829455683999999</v>
      </c>
      <c r="AR496"/>
      <c r="AS496">
        <v>23.646270858000001</v>
      </c>
      <c r="AT496"/>
    </row>
    <row r="497" spans="1:46" x14ac:dyDescent="0.2">
      <c r="A497" s="87">
        <v>22007</v>
      </c>
      <c r="B497"/>
      <c r="C497"/>
      <c r="D497">
        <v>14.65585334</v>
      </c>
      <c r="E497">
        <v>25.793826512999999</v>
      </c>
      <c r="F497"/>
      <c r="G497"/>
      <c r="H497"/>
      <c r="I497"/>
      <c r="J497"/>
      <c r="K497"/>
      <c r="L497">
        <v>28.118184914</v>
      </c>
      <c r="M497"/>
      <c r="N497"/>
      <c r="O497"/>
      <c r="P497"/>
      <c r="Q497"/>
      <c r="R497">
        <v>15.619890528000001</v>
      </c>
      <c r="S497">
        <v>35.494064272999999</v>
      </c>
      <c r="T497">
        <v>22.473325263</v>
      </c>
      <c r="U497"/>
      <c r="V497"/>
      <c r="W497"/>
      <c r="X497"/>
      <c r="Y497"/>
      <c r="Z497"/>
      <c r="AA497"/>
      <c r="AB497">
        <v>34.016169513999998</v>
      </c>
      <c r="AC497">
        <v>12.955861229</v>
      </c>
      <c r="AD497"/>
      <c r="AE497">
        <v>39.668708582000001</v>
      </c>
      <c r="AF497"/>
      <c r="AG497"/>
      <c r="AH497">
        <v>24.568476439000001</v>
      </c>
      <c r="AI497">
        <v>20.774541657</v>
      </c>
      <c r="AJ497"/>
      <c r="AK497"/>
      <c r="AL497"/>
      <c r="AM497">
        <v>22.911012451000001</v>
      </c>
      <c r="AN497"/>
      <c r="AO497"/>
      <c r="AP497"/>
      <c r="AQ497">
        <v>27.829455683999999</v>
      </c>
      <c r="AR497"/>
      <c r="AS497">
        <v>23.458738134000001</v>
      </c>
      <c r="AT497"/>
    </row>
    <row r="498" spans="1:46" x14ac:dyDescent="0.2">
      <c r="A498" s="87">
        <v>22037</v>
      </c>
      <c r="B498"/>
      <c r="C498"/>
      <c r="D498">
        <v>14.768021215999999</v>
      </c>
      <c r="E498">
        <v>25.840734724000001</v>
      </c>
      <c r="F498"/>
      <c r="G498"/>
      <c r="H498"/>
      <c r="I498"/>
      <c r="J498"/>
      <c r="K498"/>
      <c r="L498">
        <v>27.76736168</v>
      </c>
      <c r="M498"/>
      <c r="N498"/>
      <c r="O498"/>
      <c r="P498"/>
      <c r="Q498"/>
      <c r="R498">
        <v>15.661432790999999</v>
      </c>
      <c r="S498">
        <v>35.394826440000003</v>
      </c>
      <c r="T498">
        <v>22.466483495999999</v>
      </c>
      <c r="U498"/>
      <c r="V498"/>
      <c r="W498"/>
      <c r="X498"/>
      <c r="Y498"/>
      <c r="Z498"/>
      <c r="AA498"/>
      <c r="AB498">
        <v>34.472507163000003</v>
      </c>
      <c r="AC498">
        <v>13.039990198</v>
      </c>
      <c r="AD498"/>
      <c r="AE498">
        <v>39.432506515</v>
      </c>
      <c r="AF498"/>
      <c r="AG498"/>
      <c r="AH498">
        <v>24.568476439000001</v>
      </c>
      <c r="AI498">
        <v>22.032911470999998</v>
      </c>
      <c r="AJ498"/>
      <c r="AK498"/>
      <c r="AL498"/>
      <c r="AM498">
        <v>22.105760974999999</v>
      </c>
      <c r="AN498"/>
      <c r="AO498"/>
      <c r="AP498"/>
      <c r="AQ498">
        <v>27.373235098999999</v>
      </c>
      <c r="AR498"/>
      <c r="AS498">
        <v>23.431976064000001</v>
      </c>
      <c r="AT498"/>
    </row>
    <row r="499" spans="1:46" x14ac:dyDescent="0.2">
      <c r="A499" s="87">
        <v>22068</v>
      </c>
      <c r="B499"/>
      <c r="C499"/>
      <c r="D499">
        <v>14.849777920999999</v>
      </c>
      <c r="E499">
        <v>25.703663648999999</v>
      </c>
      <c r="F499"/>
      <c r="G499"/>
      <c r="H499"/>
      <c r="I499"/>
      <c r="J499"/>
      <c r="K499"/>
      <c r="L499">
        <v>27.912359191</v>
      </c>
      <c r="M499"/>
      <c r="N499"/>
      <c r="O499"/>
      <c r="P499"/>
      <c r="Q499"/>
      <c r="R499">
        <v>16.014542018</v>
      </c>
      <c r="S499">
        <v>35.924094869999998</v>
      </c>
      <c r="T499">
        <v>22.417373784999999</v>
      </c>
      <c r="U499"/>
      <c r="V499"/>
      <c r="W499"/>
      <c r="X499"/>
      <c r="Y499"/>
      <c r="Z499"/>
      <c r="AA499"/>
      <c r="AB499">
        <v>35.252083992999999</v>
      </c>
      <c r="AC499">
        <v>13.039990198</v>
      </c>
      <c r="AD499"/>
      <c r="AE499">
        <v>39.811581541999999</v>
      </c>
      <c r="AF499"/>
      <c r="AG499"/>
      <c r="AH499">
        <v>24.854156398000001</v>
      </c>
      <c r="AI499">
        <v>21.232130680000001</v>
      </c>
      <c r="AJ499"/>
      <c r="AK499"/>
      <c r="AL499"/>
      <c r="AM499">
        <v>23.056987754000001</v>
      </c>
      <c r="AN499"/>
      <c r="AO499"/>
      <c r="AP499"/>
      <c r="AQ499">
        <v>28.285676269</v>
      </c>
      <c r="AR499"/>
      <c r="AS499">
        <v>23.137395060999999</v>
      </c>
      <c r="AT499"/>
    </row>
    <row r="500" spans="1:46" x14ac:dyDescent="0.2">
      <c r="A500" s="87">
        <v>22098</v>
      </c>
      <c r="B500"/>
      <c r="C500"/>
      <c r="D500">
        <v>14.916480325</v>
      </c>
      <c r="E500">
        <v>26.505701220999999</v>
      </c>
      <c r="F500"/>
      <c r="G500"/>
      <c r="H500"/>
      <c r="I500"/>
      <c r="J500"/>
      <c r="K500"/>
      <c r="L500">
        <v>28.940614038</v>
      </c>
      <c r="M500"/>
      <c r="N500"/>
      <c r="O500"/>
      <c r="P500"/>
      <c r="Q500"/>
      <c r="R500">
        <v>16.097626542</v>
      </c>
      <c r="S500">
        <v>36.221808369000001</v>
      </c>
      <c r="T500">
        <v>22.675826851</v>
      </c>
      <c r="U500"/>
      <c r="V500"/>
      <c r="W500"/>
      <c r="X500"/>
      <c r="Y500"/>
      <c r="Z500"/>
      <c r="AA500"/>
      <c r="AB500">
        <v>35.157013653</v>
      </c>
      <c r="AC500">
        <v>13.376506074</v>
      </c>
      <c r="AD500"/>
      <c r="AE500">
        <v>40.314161435999999</v>
      </c>
      <c r="AF500"/>
      <c r="AG500"/>
      <c r="AH500">
        <v>24.568476439000001</v>
      </c>
      <c r="AI500">
        <v>21.621081350000001</v>
      </c>
      <c r="AJ500"/>
      <c r="AK500"/>
      <c r="AL500"/>
      <c r="AM500">
        <v>23.346962609999999</v>
      </c>
      <c r="AN500"/>
      <c r="AO500"/>
      <c r="AP500"/>
      <c r="AQ500">
        <v>31.022999778999999</v>
      </c>
      <c r="AR500"/>
      <c r="AS500">
        <v>23.057108851999999</v>
      </c>
      <c r="AT500"/>
    </row>
    <row r="501" spans="1:46" x14ac:dyDescent="0.2">
      <c r="A501" s="87">
        <v>22129</v>
      </c>
      <c r="B501"/>
      <c r="C501"/>
      <c r="D501">
        <v>15.1692331</v>
      </c>
      <c r="E501">
        <v>26.470045163000002</v>
      </c>
      <c r="F501"/>
      <c r="G501"/>
      <c r="H501"/>
      <c r="I501"/>
      <c r="J501"/>
      <c r="K501"/>
      <c r="L501">
        <v>28.38374628</v>
      </c>
      <c r="M501"/>
      <c r="N501"/>
      <c r="O501"/>
      <c r="P501"/>
      <c r="Q501"/>
      <c r="R501">
        <v>15.412179218</v>
      </c>
      <c r="S501">
        <v>36.221808369000001</v>
      </c>
      <c r="T501">
        <v>22.655902509000001</v>
      </c>
      <c r="U501"/>
      <c r="V501"/>
      <c r="W501"/>
      <c r="X501"/>
      <c r="Y501"/>
      <c r="Z501"/>
      <c r="AA501"/>
      <c r="AB501">
        <v>35.309126206000002</v>
      </c>
      <c r="AC501">
        <v>13.544764012</v>
      </c>
      <c r="AD501"/>
      <c r="AE501">
        <v>40.242866544000002</v>
      </c>
      <c r="AF501"/>
      <c r="AG501"/>
      <c r="AH501">
        <v>24.854156398000001</v>
      </c>
      <c r="AI501">
        <v>21.621081350000001</v>
      </c>
      <c r="AJ501"/>
      <c r="AK501"/>
      <c r="AL501"/>
      <c r="AM501">
        <v>23.818563662999999</v>
      </c>
      <c r="AN501"/>
      <c r="AO501"/>
      <c r="AP501"/>
      <c r="AQ501">
        <v>29.198117439000001</v>
      </c>
      <c r="AR501"/>
      <c r="AS501">
        <v>23.030247664000001</v>
      </c>
      <c r="AT501"/>
    </row>
    <row r="502" spans="1:46" x14ac:dyDescent="0.2">
      <c r="A502" s="87">
        <v>22160</v>
      </c>
      <c r="B502"/>
      <c r="C502"/>
      <c r="D502">
        <v>14.995352194000001</v>
      </c>
      <c r="E502">
        <v>26.479715453000001</v>
      </c>
      <c r="F502"/>
      <c r="G502"/>
      <c r="H502"/>
      <c r="I502"/>
      <c r="J502"/>
      <c r="K502"/>
      <c r="L502">
        <v>28.87143653</v>
      </c>
      <c r="M502"/>
      <c r="N502"/>
      <c r="O502"/>
      <c r="P502"/>
      <c r="Q502"/>
      <c r="R502">
        <v>16.05608428</v>
      </c>
      <c r="S502">
        <v>37.114948847000001</v>
      </c>
      <c r="T502">
        <v>22.773252707000001</v>
      </c>
      <c r="U502"/>
      <c r="V502"/>
      <c r="W502"/>
      <c r="X502"/>
      <c r="Y502"/>
      <c r="Z502"/>
      <c r="AA502"/>
      <c r="AB502">
        <v>35.765463865999997</v>
      </c>
      <c r="AC502">
        <v>13.797150919</v>
      </c>
      <c r="AD502"/>
      <c r="AE502">
        <v>40.223622395</v>
      </c>
      <c r="AF502"/>
      <c r="AG502"/>
      <c r="AH502">
        <v>25.139836356</v>
      </c>
      <c r="AI502">
        <v>21.598201897999999</v>
      </c>
      <c r="AJ502"/>
      <c r="AK502"/>
      <c r="AL502"/>
      <c r="AM502">
        <v>23.856539937000001</v>
      </c>
      <c r="AN502"/>
      <c r="AO502"/>
      <c r="AP502"/>
      <c r="AQ502">
        <v>28.285676269</v>
      </c>
      <c r="AR502"/>
      <c r="AS502">
        <v>22.789289919000002</v>
      </c>
      <c r="AT502"/>
    </row>
    <row r="503" spans="1:46" x14ac:dyDescent="0.2">
      <c r="A503" s="87">
        <v>22190</v>
      </c>
      <c r="B503"/>
      <c r="C503"/>
      <c r="D503">
        <v>15.143511317</v>
      </c>
      <c r="E503">
        <v>27.129264103000001</v>
      </c>
      <c r="F503"/>
      <c r="G503"/>
      <c r="H503"/>
      <c r="I503"/>
      <c r="J503"/>
      <c r="K503"/>
      <c r="L503">
        <v>29.489554726000001</v>
      </c>
      <c r="M503"/>
      <c r="N503"/>
      <c r="O503"/>
      <c r="P503"/>
      <c r="Q503"/>
      <c r="R503">
        <v>16.180711066000001</v>
      </c>
      <c r="S503">
        <v>36.850314632</v>
      </c>
      <c r="T503">
        <v>22.892414457000001</v>
      </c>
      <c r="U503"/>
      <c r="V503"/>
      <c r="W503"/>
      <c r="X503"/>
      <c r="Y503"/>
      <c r="Z503"/>
      <c r="AA503"/>
      <c r="AB503">
        <v>35.328140269999999</v>
      </c>
      <c r="AC503">
        <v>13.965408857</v>
      </c>
      <c r="AD503"/>
      <c r="AE503">
        <v>40.079112051999999</v>
      </c>
      <c r="AF503"/>
      <c r="AG503"/>
      <c r="AH503">
        <v>25.425516314999999</v>
      </c>
      <c r="AI503">
        <v>22.032911470999998</v>
      </c>
      <c r="AJ503"/>
      <c r="AK503"/>
      <c r="AL503"/>
      <c r="AM503">
        <v>23.670592644999999</v>
      </c>
      <c r="AN503"/>
      <c r="AO503"/>
      <c r="AP503"/>
      <c r="AQ503">
        <v>29.654338024000001</v>
      </c>
      <c r="AR503"/>
      <c r="AS503">
        <v>22.762527849000001</v>
      </c>
      <c r="AT503"/>
    </row>
    <row r="504" spans="1:46" x14ac:dyDescent="0.2">
      <c r="A504" s="87">
        <v>22221</v>
      </c>
      <c r="B504"/>
      <c r="C504"/>
      <c r="D504">
        <v>15.547465768</v>
      </c>
      <c r="E504">
        <v>27.387792898000001</v>
      </c>
      <c r="F504"/>
      <c r="G504"/>
      <c r="H504"/>
      <c r="I504"/>
      <c r="J504"/>
      <c r="K504"/>
      <c r="L504">
        <v>29.259061498000001</v>
      </c>
      <c r="M504"/>
      <c r="N504"/>
      <c r="O504"/>
      <c r="P504"/>
      <c r="Q504"/>
      <c r="R504">
        <v>16.367651245000001</v>
      </c>
      <c r="S504">
        <v>37.247265955000003</v>
      </c>
      <c r="T504">
        <v>22.868409071999999</v>
      </c>
      <c r="U504"/>
      <c r="V504"/>
      <c r="W504"/>
      <c r="X504"/>
      <c r="Y504"/>
      <c r="Z504"/>
      <c r="AA504"/>
      <c r="AB504">
        <v>35.442224684999999</v>
      </c>
      <c r="AC504">
        <v>14.301924733</v>
      </c>
      <c r="AD504"/>
      <c r="AE504">
        <v>40.169144082000003</v>
      </c>
      <c r="AF504"/>
      <c r="AG504"/>
      <c r="AH504">
        <v>25.425516314999999</v>
      </c>
      <c r="AI504">
        <v>22.124429275000001</v>
      </c>
      <c r="AJ504"/>
      <c r="AK504"/>
      <c r="AL504"/>
      <c r="AM504">
        <v>22.476407566999999</v>
      </c>
      <c r="AN504"/>
      <c r="AO504"/>
      <c r="AP504"/>
      <c r="AQ504">
        <v>29.654338024000001</v>
      </c>
      <c r="AR504"/>
      <c r="AS504">
        <v>22.441184777</v>
      </c>
      <c r="AT504"/>
    </row>
    <row r="505" spans="1:46" x14ac:dyDescent="0.2">
      <c r="A505" s="87">
        <v>22251</v>
      </c>
      <c r="B505"/>
      <c r="C505"/>
      <c r="D505">
        <v>15.617135857999999</v>
      </c>
      <c r="E505">
        <v>23.443465989</v>
      </c>
      <c r="F505"/>
      <c r="G505"/>
      <c r="H505"/>
      <c r="I505"/>
      <c r="J505"/>
      <c r="K505"/>
      <c r="L505">
        <v>29.669656070999999</v>
      </c>
      <c r="M505"/>
      <c r="N505"/>
      <c r="O505"/>
      <c r="P505"/>
      <c r="Q505"/>
      <c r="R505">
        <v>16.658447079999998</v>
      </c>
      <c r="S505">
        <v>37.214186679999997</v>
      </c>
      <c r="T505">
        <v>22.782171391999999</v>
      </c>
      <c r="U505"/>
      <c r="V505"/>
      <c r="W505"/>
      <c r="X505"/>
      <c r="Y505"/>
      <c r="Z505"/>
      <c r="AA505"/>
      <c r="AB505">
        <v>35.518280961000002</v>
      </c>
      <c r="AC505">
        <v>14.386053702</v>
      </c>
      <c r="AD505"/>
      <c r="AE505">
        <v>39.953498013999997</v>
      </c>
      <c r="AF505"/>
      <c r="AG505"/>
      <c r="AH505">
        <v>25.996876232000002</v>
      </c>
      <c r="AI505">
        <v>22.559138847</v>
      </c>
      <c r="AJ505"/>
      <c r="AK505"/>
      <c r="AL505"/>
      <c r="AM505">
        <v>24.380594677000001</v>
      </c>
      <c r="AN505"/>
      <c r="AO505"/>
      <c r="AP505"/>
      <c r="AQ505">
        <v>29.654338024000001</v>
      </c>
      <c r="AR505"/>
      <c r="AS505">
        <v>22.012694307</v>
      </c>
      <c r="AT505"/>
    </row>
    <row r="506" spans="1:46" x14ac:dyDescent="0.2">
      <c r="A506" s="87">
        <v>22282</v>
      </c>
      <c r="B506"/>
      <c r="C506"/>
      <c r="D506">
        <v>15.034199920000001</v>
      </c>
      <c r="E506">
        <v>20.985917207</v>
      </c>
      <c r="F506"/>
      <c r="G506">
        <v>21.932541914000002</v>
      </c>
      <c r="H506"/>
      <c r="I506"/>
      <c r="J506"/>
      <c r="K506"/>
      <c r="L506">
        <v>30.068003108999999</v>
      </c>
      <c r="M506"/>
      <c r="N506"/>
      <c r="O506"/>
      <c r="P506"/>
      <c r="Q506"/>
      <c r="R506">
        <v>16.824616127999999</v>
      </c>
      <c r="S506">
        <v>37.379583062000002</v>
      </c>
      <c r="T506">
        <v>23.060904468</v>
      </c>
      <c r="U506"/>
      <c r="V506"/>
      <c r="W506"/>
      <c r="X506"/>
      <c r="Y506"/>
      <c r="Z506"/>
      <c r="AA506"/>
      <c r="AB506">
        <v>36.088703035999998</v>
      </c>
      <c r="AC506">
        <v>14.806698547</v>
      </c>
      <c r="AD506"/>
      <c r="AE506">
        <v>40.831186299000002</v>
      </c>
      <c r="AF506"/>
      <c r="AG506"/>
      <c r="AH506">
        <v>25.425516314999999</v>
      </c>
      <c r="AI506">
        <v>22.559138847</v>
      </c>
      <c r="AJ506"/>
      <c r="AK506"/>
      <c r="AL506"/>
      <c r="AM506">
        <v>24.024748166999998</v>
      </c>
      <c r="AN506"/>
      <c r="AO506"/>
      <c r="AP506"/>
      <c r="AQ506">
        <v>30.110558609000002</v>
      </c>
      <c r="AR506"/>
      <c r="AS506">
        <v>22.039456376</v>
      </c>
      <c r="AT506"/>
    </row>
    <row r="507" spans="1:46" x14ac:dyDescent="0.2">
      <c r="A507" s="87">
        <v>22313</v>
      </c>
      <c r="B507"/>
      <c r="C507"/>
      <c r="D507">
        <v>15.434916879999999</v>
      </c>
      <c r="E507">
        <v>28.170885858999998</v>
      </c>
      <c r="F507"/>
      <c r="G507">
        <v>21.954627645999999</v>
      </c>
      <c r="H507"/>
      <c r="I507"/>
      <c r="J507"/>
      <c r="K507"/>
      <c r="L507">
        <v>30.245939002</v>
      </c>
      <c r="M507"/>
      <c r="N507"/>
      <c r="O507"/>
      <c r="P507"/>
      <c r="Q507"/>
      <c r="R507">
        <v>17.053098568999999</v>
      </c>
      <c r="S507">
        <v>37.677296552000001</v>
      </c>
      <c r="T507">
        <v>23.150424009000002</v>
      </c>
      <c r="U507"/>
      <c r="V507"/>
      <c r="W507"/>
      <c r="X507"/>
      <c r="Y507"/>
      <c r="Z507"/>
      <c r="AA507"/>
      <c r="AB507">
        <v>36.906308004000003</v>
      </c>
      <c r="AC507">
        <v>14.890827516</v>
      </c>
      <c r="AD507"/>
      <c r="AE507">
        <v>41.137567638999997</v>
      </c>
      <c r="AF507"/>
      <c r="AG507"/>
      <c r="AH507">
        <v>25.425516314999999</v>
      </c>
      <c r="AI507">
        <v>22.536259395999998</v>
      </c>
      <c r="AJ507"/>
      <c r="AK507"/>
      <c r="AL507"/>
      <c r="AM507">
        <v>24.225923173999998</v>
      </c>
      <c r="AN507"/>
      <c r="AO507"/>
      <c r="AP507"/>
      <c r="AQ507">
        <v>30.566779193999999</v>
      </c>
      <c r="AR507"/>
      <c r="AS507">
        <v>22.012694307</v>
      </c>
      <c r="AT507"/>
    </row>
    <row r="508" spans="1:46" x14ac:dyDescent="0.2">
      <c r="A508" s="87">
        <v>22341</v>
      </c>
      <c r="B508"/>
      <c r="C508"/>
      <c r="D508">
        <v>15.59843289</v>
      </c>
      <c r="E508">
        <v>27.942588028999999</v>
      </c>
      <c r="F508"/>
      <c r="G508">
        <v>21.869574081</v>
      </c>
      <c r="H508"/>
      <c r="I508"/>
      <c r="J508"/>
      <c r="K508"/>
      <c r="L508">
        <v>30.535968907000001</v>
      </c>
      <c r="M508"/>
      <c r="N508"/>
      <c r="O508"/>
      <c r="P508"/>
      <c r="Q508"/>
      <c r="R508">
        <v>17.343894403</v>
      </c>
      <c r="S508">
        <v>38.008089325</v>
      </c>
      <c r="T508">
        <v>23.394207666</v>
      </c>
      <c r="U508"/>
      <c r="V508"/>
      <c r="W508"/>
      <c r="X508"/>
      <c r="Y508"/>
      <c r="Z508"/>
      <c r="AA508"/>
      <c r="AB508">
        <v>36.868279866000002</v>
      </c>
      <c r="AC508">
        <v>15.311472361</v>
      </c>
      <c r="AD508"/>
      <c r="AE508">
        <v>41.599933372000002</v>
      </c>
      <c r="AF508"/>
      <c r="AG508"/>
      <c r="AH508">
        <v>25.425516314999999</v>
      </c>
      <c r="AI508">
        <v>22.513379945000001</v>
      </c>
      <c r="AJ508"/>
      <c r="AK508"/>
      <c r="AL508"/>
      <c r="AM508">
        <v>26.359354753000002</v>
      </c>
      <c r="AN508"/>
      <c r="AO508"/>
      <c r="AP508"/>
      <c r="AQ508">
        <v>31.022999778999999</v>
      </c>
      <c r="AR508"/>
      <c r="AS508">
        <v>22.146603773999999</v>
      </c>
      <c r="AT508"/>
    </row>
    <row r="509" spans="1:46" x14ac:dyDescent="0.2">
      <c r="A509" s="87">
        <v>22372</v>
      </c>
      <c r="B509"/>
      <c r="C509"/>
      <c r="D509">
        <v>15.443400578</v>
      </c>
      <c r="E509">
        <v>28.029876503000001</v>
      </c>
      <c r="F509"/>
      <c r="G509">
        <v>22.328205458999999</v>
      </c>
      <c r="H509"/>
      <c r="I509"/>
      <c r="J509"/>
      <c r="K509"/>
      <c r="L509">
        <v>30.525793316000001</v>
      </c>
      <c r="M509"/>
      <c r="N509"/>
      <c r="O509"/>
      <c r="P509"/>
      <c r="Q509"/>
      <c r="R509">
        <v>17.073869699999999</v>
      </c>
      <c r="S509">
        <v>37.743455109999999</v>
      </c>
      <c r="T509">
        <v>23.641299777</v>
      </c>
      <c r="U509"/>
      <c r="V509"/>
      <c r="W509"/>
      <c r="X509"/>
      <c r="Y509"/>
      <c r="Z509"/>
      <c r="AA509"/>
      <c r="AB509">
        <v>37.229547175</v>
      </c>
      <c r="AC509">
        <v>15.311472361</v>
      </c>
      <c r="AD509"/>
      <c r="AE509">
        <v>41.553842123999999</v>
      </c>
      <c r="AF509"/>
      <c r="AG509"/>
      <c r="AH509">
        <v>25.996876232000002</v>
      </c>
      <c r="AI509">
        <v>22.490500493999999</v>
      </c>
      <c r="AJ509"/>
      <c r="AK509"/>
      <c r="AL509"/>
      <c r="AM509">
        <v>25.357455885</v>
      </c>
      <c r="AN509"/>
      <c r="AO509"/>
      <c r="AP509"/>
      <c r="AQ509">
        <v>31.022999778999999</v>
      </c>
      <c r="AR509"/>
      <c r="AS509">
        <v>22.601856312999999</v>
      </c>
      <c r="AT509"/>
    </row>
    <row r="510" spans="1:46" x14ac:dyDescent="0.2">
      <c r="A510" s="87">
        <v>22402</v>
      </c>
      <c r="B510"/>
      <c r="C510"/>
      <c r="D510">
        <v>15.339117849000001</v>
      </c>
      <c r="E510">
        <v>27.918502386</v>
      </c>
      <c r="F510"/>
      <c r="G510">
        <v>22.440983666000001</v>
      </c>
      <c r="H510"/>
      <c r="I510"/>
      <c r="J510"/>
      <c r="K510"/>
      <c r="L510">
        <v>29.879581965</v>
      </c>
      <c r="M510"/>
      <c r="N510"/>
      <c r="O510"/>
      <c r="P510"/>
      <c r="Q510"/>
      <c r="R510">
        <v>17.385436665</v>
      </c>
      <c r="S510">
        <v>37.842692943000003</v>
      </c>
      <c r="T510">
        <v>23.856906889000001</v>
      </c>
      <c r="U510"/>
      <c r="V510"/>
      <c r="W510"/>
      <c r="X510"/>
      <c r="Y510"/>
      <c r="Z510"/>
      <c r="AA510"/>
      <c r="AB510">
        <v>37.647856695999998</v>
      </c>
      <c r="AC510">
        <v>15.647988237</v>
      </c>
      <c r="AD510"/>
      <c r="AE510">
        <v>42.026025070999999</v>
      </c>
      <c r="AF510"/>
      <c r="AG510"/>
      <c r="AH510">
        <v>25.139836356</v>
      </c>
      <c r="AI510">
        <v>21.895634764</v>
      </c>
      <c r="AJ510"/>
      <c r="AK510"/>
      <c r="AL510"/>
      <c r="AM510">
        <v>25.571651623000001</v>
      </c>
      <c r="AN510"/>
      <c r="AO510"/>
      <c r="AP510"/>
      <c r="AQ510">
        <v>30.566779193999999</v>
      </c>
      <c r="AR510"/>
      <c r="AS510">
        <v>22.949961455</v>
      </c>
      <c r="AT510"/>
    </row>
    <row r="511" spans="1:46" x14ac:dyDescent="0.2">
      <c r="A511" s="87">
        <v>22433</v>
      </c>
      <c r="B511"/>
      <c r="C511"/>
      <c r="D511">
        <v>15.402147432</v>
      </c>
      <c r="E511">
        <v>28.039998351000001</v>
      </c>
      <c r="F511"/>
      <c r="G511">
        <v>22.811272114000001</v>
      </c>
      <c r="H511"/>
      <c r="I511"/>
      <c r="J511"/>
      <c r="K511"/>
      <c r="L511">
        <v>29.881201543</v>
      </c>
      <c r="M511"/>
      <c r="N511"/>
      <c r="O511"/>
      <c r="P511"/>
      <c r="Q511"/>
      <c r="R511">
        <v>17.593147976000001</v>
      </c>
      <c r="S511">
        <v>38.074247884000002</v>
      </c>
      <c r="T511">
        <v>24.115000366</v>
      </c>
      <c r="U511"/>
      <c r="V511"/>
      <c r="W511"/>
      <c r="X511"/>
      <c r="Y511"/>
      <c r="Z511"/>
      <c r="AA511"/>
      <c r="AB511">
        <v>38.218278771000001</v>
      </c>
      <c r="AC511">
        <v>15.816246175</v>
      </c>
      <c r="AD511"/>
      <c r="AE511">
        <v>41.228082925000002</v>
      </c>
      <c r="AF511"/>
      <c r="AG511"/>
      <c r="AH511">
        <v>25.425516314999999</v>
      </c>
      <c r="AI511">
        <v>23.245522382000001</v>
      </c>
      <c r="AJ511"/>
      <c r="AK511"/>
      <c r="AL511"/>
      <c r="AM511">
        <v>24.939186199000002</v>
      </c>
      <c r="AN511"/>
      <c r="AO511"/>
      <c r="AP511"/>
      <c r="AQ511">
        <v>30.566779193999999</v>
      </c>
      <c r="AR511"/>
      <c r="AS511">
        <v>23.271304528000002</v>
      </c>
      <c r="AT511"/>
    </row>
    <row r="512" spans="1:46" x14ac:dyDescent="0.2">
      <c r="A512" s="87">
        <v>22463</v>
      </c>
      <c r="B512"/>
      <c r="C512"/>
      <c r="D512">
        <v>15.646859243</v>
      </c>
      <c r="E512">
        <v>28.607528518999999</v>
      </c>
      <c r="F512"/>
      <c r="G512">
        <v>23.035418801999999</v>
      </c>
      <c r="H512"/>
      <c r="I512"/>
      <c r="J512"/>
      <c r="K512"/>
      <c r="L512">
        <v>30.438660399</v>
      </c>
      <c r="M512"/>
      <c r="N512"/>
      <c r="O512"/>
      <c r="P512"/>
      <c r="Q512"/>
      <c r="R512">
        <v>18.029341726999998</v>
      </c>
      <c r="S512">
        <v>38.504278481</v>
      </c>
      <c r="T512">
        <v>24.481140459999999</v>
      </c>
      <c r="U512"/>
      <c r="V512"/>
      <c r="W512"/>
      <c r="X512"/>
      <c r="Y512"/>
      <c r="Z512"/>
      <c r="AA512"/>
      <c r="AB512">
        <v>38.845743048000003</v>
      </c>
      <c r="AC512">
        <v>16.152762051</v>
      </c>
      <c r="AD512"/>
      <c r="AE512">
        <v>41.858260745999999</v>
      </c>
      <c r="AF512"/>
      <c r="AG512"/>
      <c r="AH512">
        <v>25.711196273999999</v>
      </c>
      <c r="AI512">
        <v>22.719295005999999</v>
      </c>
      <c r="AJ512"/>
      <c r="AK512"/>
      <c r="AL512"/>
      <c r="AM512">
        <v>24.638203142999998</v>
      </c>
      <c r="AN512"/>
      <c r="AO512"/>
      <c r="AP512"/>
      <c r="AQ512">
        <v>31.935440949</v>
      </c>
      <c r="AR512"/>
      <c r="AS512">
        <v>23.539123460999999</v>
      </c>
      <c r="AT512"/>
    </row>
    <row r="513" spans="1:46" x14ac:dyDescent="0.2">
      <c r="A513" s="87">
        <v>22494</v>
      </c>
      <c r="B513"/>
      <c r="C513"/>
      <c r="D513">
        <v>15.308324072</v>
      </c>
      <c r="E513">
        <v>28.280806599000002</v>
      </c>
      <c r="F513"/>
      <c r="G513">
        <v>22.910892864000001</v>
      </c>
      <c r="H513"/>
      <c r="I513"/>
      <c r="J513"/>
      <c r="K513"/>
      <c r="L513">
        <v>30.208538649000001</v>
      </c>
      <c r="M513"/>
      <c r="N513"/>
      <c r="O513"/>
      <c r="P513"/>
      <c r="Q513"/>
      <c r="R513">
        <v>17.800859286000001</v>
      </c>
      <c r="S513">
        <v>38.504278481</v>
      </c>
      <c r="T513">
        <v>24.633308477</v>
      </c>
      <c r="U513"/>
      <c r="V513"/>
      <c r="W513"/>
      <c r="X513"/>
      <c r="Y513"/>
      <c r="Z513"/>
      <c r="AA513"/>
      <c r="AB513">
        <v>38.921799323999998</v>
      </c>
      <c r="AC513">
        <v>16.405148959000002</v>
      </c>
      <c r="AD513"/>
      <c r="AE513">
        <v>42.237631403000002</v>
      </c>
      <c r="AF513"/>
      <c r="AG513"/>
      <c r="AH513">
        <v>25.996876232000002</v>
      </c>
      <c r="AI513">
        <v>23.314160736000002</v>
      </c>
      <c r="AJ513"/>
      <c r="AK513"/>
      <c r="AL513"/>
      <c r="AM513">
        <v>24.056064827</v>
      </c>
      <c r="AN513"/>
      <c r="AO513"/>
      <c r="AP513"/>
      <c r="AQ513">
        <v>31.479220364</v>
      </c>
      <c r="AR513"/>
      <c r="AS513">
        <v>23.753319136999998</v>
      </c>
      <c r="AT513"/>
    </row>
    <row r="514" spans="1:46" x14ac:dyDescent="0.2">
      <c r="A514" s="87">
        <v>22525</v>
      </c>
      <c r="B514"/>
      <c r="C514"/>
      <c r="D514">
        <v>15.70181419</v>
      </c>
      <c r="E514">
        <v>28.110381161999999</v>
      </c>
      <c r="F514"/>
      <c r="G514">
        <v>23.455047715999999</v>
      </c>
      <c r="H514"/>
      <c r="I514"/>
      <c r="J514"/>
      <c r="K514"/>
      <c r="L514">
        <v>30.457907755000001</v>
      </c>
      <c r="M514"/>
      <c r="N514"/>
      <c r="O514"/>
      <c r="P514"/>
      <c r="Q514"/>
      <c r="R514">
        <v>17.593147976000001</v>
      </c>
      <c r="S514">
        <v>38.636595587999999</v>
      </c>
      <c r="T514">
        <v>24.672004179000002</v>
      </c>
      <c r="U514"/>
      <c r="V514"/>
      <c r="W514"/>
      <c r="X514"/>
      <c r="Y514"/>
      <c r="Z514"/>
      <c r="AA514"/>
      <c r="AB514">
        <v>39.302080707999998</v>
      </c>
      <c r="AC514">
        <v>16.32101999</v>
      </c>
      <c r="AD514"/>
      <c r="AE514">
        <v>40.875668806999997</v>
      </c>
      <c r="AF514"/>
      <c r="AG514"/>
      <c r="AH514">
        <v>25.996876232000002</v>
      </c>
      <c r="AI514">
        <v>23.085366224000001</v>
      </c>
      <c r="AJ514"/>
      <c r="AK514"/>
      <c r="AL514"/>
      <c r="AM514">
        <v>25.036785364</v>
      </c>
      <c r="AN514"/>
      <c r="AO514"/>
      <c r="AP514"/>
      <c r="AQ514">
        <v>31.022999778999999</v>
      </c>
      <c r="AR514"/>
      <c r="AS514">
        <v>23.726557067000002</v>
      </c>
      <c r="AT514"/>
    </row>
    <row r="515" spans="1:46" x14ac:dyDescent="0.2">
      <c r="A515" s="87">
        <v>22555</v>
      </c>
      <c r="B515"/>
      <c r="C515"/>
      <c r="D515">
        <v>15.626478341</v>
      </c>
      <c r="E515">
        <v>28.264412685</v>
      </c>
      <c r="F515"/>
      <c r="G515">
        <v>23.662747581000001</v>
      </c>
      <c r="H515"/>
      <c r="I515"/>
      <c r="J515"/>
      <c r="K515"/>
      <c r="L515">
        <v>30.223217239</v>
      </c>
      <c r="M515"/>
      <c r="N515"/>
      <c r="O515"/>
      <c r="P515"/>
      <c r="Q515"/>
      <c r="R515">
        <v>17.717774762000001</v>
      </c>
      <c r="S515">
        <v>38.504278481</v>
      </c>
      <c r="T515">
        <v>25.009534692999999</v>
      </c>
      <c r="U515"/>
      <c r="V515"/>
      <c r="W515"/>
      <c r="X515"/>
      <c r="Y515"/>
      <c r="Z515"/>
      <c r="AA515"/>
      <c r="AB515">
        <v>40.005601261000002</v>
      </c>
      <c r="AC515">
        <v>16.657535866</v>
      </c>
      <c r="AD515"/>
      <c r="AE515">
        <v>40.826005094000003</v>
      </c>
      <c r="AF515"/>
      <c r="AG515"/>
      <c r="AH515">
        <v>25.996876232000002</v>
      </c>
      <c r="AI515">
        <v>23.222642930999999</v>
      </c>
      <c r="AJ515"/>
      <c r="AK515"/>
      <c r="AL515"/>
      <c r="AM515">
        <v>24.923305046999999</v>
      </c>
      <c r="AN515"/>
      <c r="AO515"/>
      <c r="AP515"/>
      <c r="AQ515">
        <v>31.935440949</v>
      </c>
      <c r="AR515"/>
      <c r="AS515">
        <v>24.181809607000002</v>
      </c>
      <c r="AT515"/>
    </row>
    <row r="516" spans="1:46" x14ac:dyDescent="0.2">
      <c r="A516" s="87">
        <v>22586</v>
      </c>
      <c r="B516"/>
      <c r="C516"/>
      <c r="D516">
        <v>15.540293399999999</v>
      </c>
      <c r="E516">
        <v>28.339344978</v>
      </c>
      <c r="F516"/>
      <c r="G516">
        <v>23.760018785</v>
      </c>
      <c r="H516"/>
      <c r="I516"/>
      <c r="J516"/>
      <c r="K516"/>
      <c r="L516">
        <v>30.311246690000001</v>
      </c>
      <c r="M516"/>
      <c r="N516"/>
      <c r="O516"/>
      <c r="P516"/>
      <c r="Q516"/>
      <c r="R516">
        <v>18.153968512999999</v>
      </c>
      <c r="S516">
        <v>38.702754147</v>
      </c>
      <c r="T516">
        <v>25.292302936999999</v>
      </c>
      <c r="U516"/>
      <c r="V516"/>
      <c r="W516"/>
      <c r="X516"/>
      <c r="Y516"/>
      <c r="Z516"/>
      <c r="AA516"/>
      <c r="AB516">
        <v>40.557009260999997</v>
      </c>
      <c r="AC516">
        <v>16.825793804</v>
      </c>
      <c r="AD516"/>
      <c r="AE516">
        <v>40.468176933999999</v>
      </c>
      <c r="AF516"/>
      <c r="AG516"/>
      <c r="AH516">
        <v>26.282556191000001</v>
      </c>
      <c r="AI516">
        <v>23.931905917000002</v>
      </c>
      <c r="AJ516"/>
      <c r="AK516"/>
      <c r="AL516"/>
      <c r="AM516">
        <v>24.550998195999998</v>
      </c>
      <c r="AN516"/>
      <c r="AO516"/>
      <c r="AP516"/>
      <c r="AQ516">
        <v>31.935440949</v>
      </c>
      <c r="AR516"/>
      <c r="AS516">
        <v>24.556676818</v>
      </c>
      <c r="AT516"/>
    </row>
    <row r="517" spans="1:46" x14ac:dyDescent="0.2">
      <c r="A517" s="87">
        <v>22616</v>
      </c>
      <c r="B517"/>
      <c r="C517"/>
      <c r="D517">
        <v>15.905799701999999</v>
      </c>
      <c r="E517">
        <v>28.370060741</v>
      </c>
      <c r="F517"/>
      <c r="G517">
        <v>23.906630454999998</v>
      </c>
      <c r="H517"/>
      <c r="I517"/>
      <c r="J517"/>
      <c r="K517"/>
      <c r="L517">
        <v>30.988451519000002</v>
      </c>
      <c r="M517"/>
      <c r="N517"/>
      <c r="O517"/>
      <c r="P517"/>
      <c r="Q517"/>
      <c r="R517">
        <v>18.133197381999999</v>
      </c>
      <c r="S517">
        <v>39.827449565000002</v>
      </c>
      <c r="T517">
        <v>25.616892953000001</v>
      </c>
      <c r="U517"/>
      <c r="V517"/>
      <c r="W517"/>
      <c r="X517"/>
      <c r="Y517"/>
      <c r="Z517"/>
      <c r="AA517"/>
      <c r="AB517">
        <v>40.880248430999998</v>
      </c>
      <c r="AC517">
        <v>17.078180711000002</v>
      </c>
      <c r="AD517"/>
      <c r="AE517">
        <v>39.425382482000003</v>
      </c>
      <c r="AF517"/>
      <c r="AG517"/>
      <c r="AH517">
        <v>26.853916108</v>
      </c>
      <c r="AI517">
        <v>23.497196344999999</v>
      </c>
      <c r="AJ517"/>
      <c r="AK517"/>
      <c r="AL517"/>
      <c r="AM517">
        <v>24.550968133000001</v>
      </c>
      <c r="AN517"/>
      <c r="AO517"/>
      <c r="AP517"/>
      <c r="AQ517">
        <v>31.479220364</v>
      </c>
      <c r="AR517"/>
      <c r="AS517">
        <v>24.770971613</v>
      </c>
      <c r="AT517"/>
    </row>
    <row r="518" spans="1:46" x14ac:dyDescent="0.2">
      <c r="A518" s="87">
        <v>22647</v>
      </c>
      <c r="B518"/>
      <c r="C518"/>
      <c r="D518">
        <v>15.658355079</v>
      </c>
      <c r="E518">
        <v>28.706166656000001</v>
      </c>
      <c r="F518"/>
      <c r="G518">
        <v>24.005311386999999</v>
      </c>
      <c r="H518"/>
      <c r="I518"/>
      <c r="J518"/>
      <c r="K518"/>
      <c r="L518">
        <v>32.339992557000002</v>
      </c>
      <c r="M518"/>
      <c r="N518"/>
      <c r="O518"/>
      <c r="P518"/>
      <c r="Q518"/>
      <c r="R518">
        <v>18.48630661</v>
      </c>
      <c r="S518">
        <v>39.496656792000003</v>
      </c>
      <c r="T518">
        <v>25.815348197999999</v>
      </c>
      <c r="U518"/>
      <c r="V518">
        <v>27.178982187999999</v>
      </c>
      <c r="W518"/>
      <c r="X518"/>
      <c r="Y518"/>
      <c r="Z518"/>
      <c r="AA518"/>
      <c r="AB518">
        <v>41.507712708</v>
      </c>
      <c r="AC518">
        <v>17.330567618</v>
      </c>
      <c r="AD518"/>
      <c r="AE518">
        <v>38.997311781000001</v>
      </c>
      <c r="AF518"/>
      <c r="AG518"/>
      <c r="AH518">
        <v>26.568236149000001</v>
      </c>
      <c r="AI518">
        <v>23.085366224000001</v>
      </c>
      <c r="AJ518"/>
      <c r="AK518"/>
      <c r="AL518"/>
      <c r="AM518">
        <v>25.758769518000001</v>
      </c>
      <c r="AN518"/>
      <c r="AO518"/>
      <c r="AP518"/>
      <c r="AQ518">
        <v>31.479220364</v>
      </c>
      <c r="AR518"/>
      <c r="AS518">
        <v>24.556676818</v>
      </c>
      <c r="AT518"/>
    </row>
    <row r="519" spans="1:46" x14ac:dyDescent="0.2">
      <c r="A519" s="87">
        <v>22678</v>
      </c>
      <c r="B519"/>
      <c r="C519"/>
      <c r="D519">
        <v>15.986157106</v>
      </c>
      <c r="E519">
        <v>28.865819569999999</v>
      </c>
      <c r="F519"/>
      <c r="G519">
        <v>24.236976622</v>
      </c>
      <c r="H519"/>
      <c r="I519"/>
      <c r="J519"/>
      <c r="K519"/>
      <c r="L519">
        <v>32.278275014000002</v>
      </c>
      <c r="M519"/>
      <c r="N519"/>
      <c r="O519"/>
      <c r="P519"/>
      <c r="Q519"/>
      <c r="R519">
        <v>18.423993216</v>
      </c>
      <c r="S519">
        <v>39.827449565000002</v>
      </c>
      <c r="T519">
        <v>26.020894624</v>
      </c>
      <c r="U519"/>
      <c r="V519">
        <v>26.978849610000001</v>
      </c>
      <c r="W519"/>
      <c r="X519"/>
      <c r="Y519"/>
      <c r="Z519"/>
      <c r="AA519"/>
      <c r="AB519">
        <v>41.621797123</v>
      </c>
      <c r="AC519">
        <v>17.330567618</v>
      </c>
      <c r="AD519"/>
      <c r="AE519">
        <v>39.982378488999998</v>
      </c>
      <c r="AF519"/>
      <c r="AG519"/>
      <c r="AH519">
        <v>26.853916108</v>
      </c>
      <c r="AI519">
        <v>23.520075796</v>
      </c>
      <c r="AJ519"/>
      <c r="AK519"/>
      <c r="AL519"/>
      <c r="AM519">
        <v>25.427279559999999</v>
      </c>
      <c r="AN519"/>
      <c r="AO519"/>
      <c r="AP519"/>
      <c r="AQ519">
        <v>32.391661534000001</v>
      </c>
      <c r="AR519"/>
      <c r="AS519">
        <v>24.958405218999999</v>
      </c>
      <c r="AT519"/>
    </row>
    <row r="520" spans="1:46" x14ac:dyDescent="0.2">
      <c r="A520" s="87">
        <v>22706</v>
      </c>
      <c r="B520"/>
      <c r="C520"/>
      <c r="D520">
        <v>15.849110960999999</v>
      </c>
      <c r="E520">
        <v>28.284213047000001</v>
      </c>
      <c r="F520"/>
      <c r="G520">
        <v>24.574841334999999</v>
      </c>
      <c r="H520"/>
      <c r="I520"/>
      <c r="J520"/>
      <c r="K520"/>
      <c r="L520">
        <v>32.278275014000002</v>
      </c>
      <c r="M520"/>
      <c r="N520"/>
      <c r="O520"/>
      <c r="P520"/>
      <c r="Q520"/>
      <c r="R520">
        <v>18.216281905999999</v>
      </c>
      <c r="S520">
        <v>40.125163055000002</v>
      </c>
      <c r="T520">
        <v>26.167469125</v>
      </c>
      <c r="U520"/>
      <c r="V520">
        <v>26.821701984000001</v>
      </c>
      <c r="W520"/>
      <c r="X520"/>
      <c r="Y520"/>
      <c r="Z520"/>
      <c r="AA520"/>
      <c r="AB520">
        <v>41.279543889000003</v>
      </c>
      <c r="AC520">
        <v>17.582954525000002</v>
      </c>
      <c r="AD520"/>
      <c r="AE520">
        <v>39.101293145</v>
      </c>
      <c r="AF520"/>
      <c r="AG520"/>
      <c r="AH520">
        <v>26.568236149000001</v>
      </c>
      <c r="AI520">
        <v>23.222642930999999</v>
      </c>
      <c r="AJ520"/>
      <c r="AK520"/>
      <c r="AL520"/>
      <c r="AM520">
        <v>24.692078984999998</v>
      </c>
      <c r="AN520"/>
      <c r="AO520"/>
      <c r="AP520"/>
      <c r="AQ520">
        <v>32.391661534000001</v>
      </c>
      <c r="AR520"/>
      <c r="AS520">
        <v>25.092314685000002</v>
      </c>
      <c r="AT520"/>
    </row>
    <row r="521" spans="1:46" x14ac:dyDescent="0.2">
      <c r="A521" s="87">
        <v>22737</v>
      </c>
      <c r="B521"/>
      <c r="C521"/>
      <c r="D521">
        <v>16.127861984999999</v>
      </c>
      <c r="E521">
        <v>28.463617909</v>
      </c>
      <c r="F521"/>
      <c r="G521">
        <v>24.663184264000002</v>
      </c>
      <c r="H521"/>
      <c r="I521"/>
      <c r="J521"/>
      <c r="K521"/>
      <c r="L521">
        <v>31.784534668999999</v>
      </c>
      <c r="M521"/>
      <c r="N521"/>
      <c r="O521"/>
      <c r="P521"/>
      <c r="Q521"/>
      <c r="R521">
        <v>19.026356016000001</v>
      </c>
      <c r="S521">
        <v>39.959766672999997</v>
      </c>
      <c r="T521">
        <v>26.057988685000002</v>
      </c>
      <c r="U521"/>
      <c r="V521">
        <v>27.250915369000001</v>
      </c>
      <c r="W521"/>
      <c r="X521"/>
      <c r="Y521"/>
      <c r="Z521"/>
      <c r="AA521"/>
      <c r="AB521">
        <v>41.583768984999999</v>
      </c>
      <c r="AC521">
        <v>17.330567618</v>
      </c>
      <c r="AD521"/>
      <c r="AE521">
        <v>39.233847638</v>
      </c>
      <c r="AF521"/>
      <c r="AG521"/>
      <c r="AH521">
        <v>26.568236149000001</v>
      </c>
      <c r="AI521">
        <v>23.863267564000001</v>
      </c>
      <c r="AJ521"/>
      <c r="AK521"/>
      <c r="AL521"/>
      <c r="AM521">
        <v>23.710665037999998</v>
      </c>
      <c r="AN521"/>
      <c r="AO521"/>
      <c r="AP521"/>
      <c r="AQ521">
        <v>32.391661534000001</v>
      </c>
      <c r="AR521"/>
      <c r="AS521">
        <v>25.145838823999998</v>
      </c>
      <c r="AT521"/>
    </row>
    <row r="522" spans="1:46" x14ac:dyDescent="0.2">
      <c r="A522" s="87">
        <v>22767</v>
      </c>
      <c r="B522"/>
      <c r="C522"/>
      <c r="D522">
        <v>15.408526431</v>
      </c>
      <c r="E522">
        <v>29.177917563000001</v>
      </c>
      <c r="F522"/>
      <c r="G522">
        <v>25.073414994</v>
      </c>
      <c r="H522"/>
      <c r="I522"/>
      <c r="J522"/>
      <c r="K522"/>
      <c r="L522">
        <v>32.772015357999997</v>
      </c>
      <c r="M522"/>
      <c r="N522"/>
      <c r="O522"/>
      <c r="P522"/>
      <c r="Q522"/>
      <c r="R522">
        <v>18.714789051</v>
      </c>
      <c r="S522">
        <v>40.257480162</v>
      </c>
      <c r="T522">
        <v>26.318382938999999</v>
      </c>
      <c r="U522"/>
      <c r="V522">
        <v>27.155961390000002</v>
      </c>
      <c r="W522"/>
      <c r="X522"/>
      <c r="Y522"/>
      <c r="Z522"/>
      <c r="AA522"/>
      <c r="AB522">
        <v>42.135176995999998</v>
      </c>
      <c r="AC522">
        <v>17.582954525000002</v>
      </c>
      <c r="AD522"/>
      <c r="AE522">
        <v>37.759230852000002</v>
      </c>
      <c r="AF522"/>
      <c r="AG522"/>
      <c r="AH522">
        <v>26.853916108</v>
      </c>
      <c r="AI522">
        <v>23.771749758999999</v>
      </c>
      <c r="AJ522"/>
      <c r="AK522"/>
      <c r="AL522"/>
      <c r="AM522">
        <v>24.942213600999999</v>
      </c>
      <c r="AN522"/>
      <c r="AO522"/>
      <c r="AP522"/>
      <c r="AQ522">
        <v>32.391661534000001</v>
      </c>
      <c r="AR522"/>
      <c r="AS522">
        <v>25.119076754999998</v>
      </c>
      <c r="AT522"/>
    </row>
    <row r="523" spans="1:46" x14ac:dyDescent="0.2">
      <c r="A523" s="87">
        <v>22798</v>
      </c>
      <c r="B523"/>
      <c r="C523"/>
      <c r="D523">
        <v>15.913985495</v>
      </c>
      <c r="E523">
        <v>29.333123008000001</v>
      </c>
      <c r="F523"/>
      <c r="G523">
        <v>25.365228605999999</v>
      </c>
      <c r="H523"/>
      <c r="I523"/>
      <c r="J523"/>
      <c r="K523"/>
      <c r="L523">
        <v>32.772015357999997</v>
      </c>
      <c r="M523"/>
      <c r="N523"/>
      <c r="O523"/>
      <c r="P523"/>
      <c r="Q523"/>
      <c r="R523">
        <v>18.590162265</v>
      </c>
      <c r="S523">
        <v>39.992845946999999</v>
      </c>
      <c r="T523">
        <v>26.159310698999999</v>
      </c>
      <c r="U523"/>
      <c r="V523">
        <v>27.900096075</v>
      </c>
      <c r="W523"/>
      <c r="X523"/>
      <c r="Y523"/>
      <c r="Z523"/>
      <c r="AA523"/>
      <c r="AB523">
        <v>40.956304707999998</v>
      </c>
      <c r="AC523">
        <v>17.330567618</v>
      </c>
      <c r="AD523"/>
      <c r="AE523">
        <v>38.964052385000002</v>
      </c>
      <c r="AF523"/>
      <c r="AG523"/>
      <c r="AH523">
        <v>27.139596065999999</v>
      </c>
      <c r="AI523">
        <v>23.497196344999999</v>
      </c>
      <c r="AJ523"/>
      <c r="AK523"/>
      <c r="AL523"/>
      <c r="AM523">
        <v>26.053055100000002</v>
      </c>
      <c r="AN523"/>
      <c r="AO523"/>
      <c r="AP523"/>
      <c r="AQ523">
        <v>32.847882118999998</v>
      </c>
      <c r="AR523"/>
      <c r="AS523">
        <v>25.065552616000002</v>
      </c>
      <c r="AT523"/>
    </row>
    <row r="524" spans="1:46" x14ac:dyDescent="0.2">
      <c r="A524" s="87">
        <v>22828</v>
      </c>
      <c r="B524"/>
      <c r="C524"/>
      <c r="D524">
        <v>15.927835391</v>
      </c>
      <c r="E524">
        <v>29.337361690000002</v>
      </c>
      <c r="F524"/>
      <c r="G524">
        <v>25.667380220999998</v>
      </c>
      <c r="H524"/>
      <c r="I524"/>
      <c r="J524"/>
      <c r="K524"/>
      <c r="L524">
        <v>32.833732900999998</v>
      </c>
      <c r="M524"/>
      <c r="N524"/>
      <c r="O524"/>
      <c r="P524"/>
      <c r="Q524"/>
      <c r="R524">
        <v>18.403222084999999</v>
      </c>
      <c r="S524">
        <v>40.621352209999998</v>
      </c>
      <c r="T524">
        <v>26.280575276</v>
      </c>
      <c r="U524"/>
      <c r="V524">
        <v>27.207517157000002</v>
      </c>
      <c r="W524"/>
      <c r="X524"/>
      <c r="Y524"/>
      <c r="Z524"/>
      <c r="AA524"/>
      <c r="AB524">
        <v>42.458416165999999</v>
      </c>
      <c r="AC524">
        <v>16.994051742</v>
      </c>
      <c r="AD524"/>
      <c r="AE524">
        <v>38.642357097000001</v>
      </c>
      <c r="AF524"/>
      <c r="AG524"/>
      <c r="AH524">
        <v>27.425276024999999</v>
      </c>
      <c r="AI524">
        <v>23.863267564000001</v>
      </c>
      <c r="AJ524"/>
      <c r="AK524"/>
      <c r="AL524"/>
      <c r="AM524">
        <v>25.086052860999999</v>
      </c>
      <c r="AN524"/>
      <c r="AO524"/>
      <c r="AP524"/>
      <c r="AQ524">
        <v>33.760323288999999</v>
      </c>
      <c r="AR524"/>
      <c r="AS524">
        <v>25.306510361000001</v>
      </c>
      <c r="AT524"/>
    </row>
    <row r="525" spans="1:46" x14ac:dyDescent="0.2">
      <c r="A525" s="87">
        <v>22859</v>
      </c>
      <c r="B525"/>
      <c r="C525"/>
      <c r="D525">
        <v>15.995950257000001</v>
      </c>
      <c r="E525">
        <v>29.709550746000001</v>
      </c>
      <c r="F525"/>
      <c r="G525">
        <v>25.152359739000001</v>
      </c>
      <c r="H525"/>
      <c r="I525"/>
      <c r="J525"/>
      <c r="K525"/>
      <c r="L525">
        <v>34.253236391000002</v>
      </c>
      <c r="M525"/>
      <c r="N525"/>
      <c r="O525"/>
      <c r="P525"/>
      <c r="Q525"/>
      <c r="R525">
        <v>18.590162265</v>
      </c>
      <c r="S525">
        <v>40.621352209999998</v>
      </c>
      <c r="T525">
        <v>26.585742834000001</v>
      </c>
      <c r="U525"/>
      <c r="V525">
        <v>27.041759988999999</v>
      </c>
      <c r="W525"/>
      <c r="X525"/>
      <c r="Y525"/>
      <c r="Z525"/>
      <c r="AA525"/>
      <c r="AB525">
        <v>42.534472442999999</v>
      </c>
      <c r="AC525">
        <v>17.330567618</v>
      </c>
      <c r="AD525"/>
      <c r="AE525">
        <v>38.658221560999998</v>
      </c>
      <c r="AF525"/>
      <c r="AG525"/>
      <c r="AH525">
        <v>27.425276024999999</v>
      </c>
      <c r="AI525">
        <v>24.000544270999999</v>
      </c>
      <c r="AJ525"/>
      <c r="AK525"/>
      <c r="AL525"/>
      <c r="AM525">
        <v>25.922604017000001</v>
      </c>
      <c r="AN525"/>
      <c r="AO525"/>
      <c r="AP525"/>
      <c r="AQ525">
        <v>33.760323288999999</v>
      </c>
      <c r="AR525"/>
      <c r="AS525">
        <v>25.333272430000001</v>
      </c>
      <c r="AT525"/>
    </row>
    <row r="526" spans="1:46" x14ac:dyDescent="0.2">
      <c r="A526" s="87">
        <v>22890</v>
      </c>
      <c r="B526"/>
      <c r="C526"/>
      <c r="D526">
        <v>16.244672481999999</v>
      </c>
      <c r="E526">
        <v>29.687644462000002</v>
      </c>
      <c r="F526"/>
      <c r="G526">
        <v>25.745385148</v>
      </c>
      <c r="H526"/>
      <c r="I526"/>
      <c r="J526"/>
      <c r="K526"/>
      <c r="L526">
        <v>33.450908331999997</v>
      </c>
      <c r="M526"/>
      <c r="N526"/>
      <c r="O526"/>
      <c r="P526"/>
      <c r="Q526"/>
      <c r="R526">
        <v>19.067898278000001</v>
      </c>
      <c r="S526">
        <v>40.919065709000002</v>
      </c>
      <c r="T526">
        <v>26.463078768999999</v>
      </c>
      <c r="U526"/>
      <c r="V526">
        <v>27.633653269</v>
      </c>
      <c r="W526"/>
      <c r="X526"/>
      <c r="Y526"/>
      <c r="Z526"/>
      <c r="AA526"/>
      <c r="AB526">
        <v>41.830951888999998</v>
      </c>
      <c r="AC526">
        <v>17.078180711000002</v>
      </c>
      <c r="AD526"/>
      <c r="AE526">
        <v>40.418795793999998</v>
      </c>
      <c r="AF526"/>
      <c r="AG526"/>
      <c r="AH526">
        <v>27.425276024999999</v>
      </c>
      <c r="AI526">
        <v>24.18357988</v>
      </c>
      <c r="AJ526"/>
      <c r="AK526"/>
      <c r="AL526"/>
      <c r="AM526">
        <v>24.948420180999999</v>
      </c>
      <c r="AN526"/>
      <c r="AO526"/>
      <c r="AP526"/>
      <c r="AQ526">
        <v>33.760323288999999</v>
      </c>
      <c r="AR526"/>
      <c r="AS526">
        <v>25.493943967</v>
      </c>
      <c r="AT526"/>
    </row>
    <row r="527" spans="1:46" x14ac:dyDescent="0.2">
      <c r="A527" s="87">
        <v>22920</v>
      </c>
      <c r="B527"/>
      <c r="C527"/>
      <c r="D527">
        <v>16.030254968000001</v>
      </c>
      <c r="E527">
        <v>29.444366199000001</v>
      </c>
      <c r="F527"/>
      <c r="G527">
        <v>25.576687745000001</v>
      </c>
      <c r="H527"/>
      <c r="I527"/>
      <c r="J527"/>
      <c r="K527"/>
      <c r="L527">
        <v>32.895450443999998</v>
      </c>
      <c r="M527"/>
      <c r="N527"/>
      <c r="O527"/>
      <c r="P527"/>
      <c r="Q527"/>
      <c r="R527">
        <v>18.756331313</v>
      </c>
      <c r="S527">
        <v>41.051382816999997</v>
      </c>
      <c r="T527">
        <v>26.394776438000001</v>
      </c>
      <c r="U527"/>
      <c r="V527">
        <v>27.905580531999998</v>
      </c>
      <c r="W527"/>
      <c r="X527"/>
      <c r="Y527"/>
      <c r="Z527"/>
      <c r="AA527"/>
      <c r="AB527">
        <v>42.401373952999997</v>
      </c>
      <c r="AC527">
        <v>16.994051742</v>
      </c>
      <c r="AD527"/>
      <c r="AE527">
        <v>39.461279673</v>
      </c>
      <c r="AF527"/>
      <c r="AG527"/>
      <c r="AH527">
        <v>27.425276024999999</v>
      </c>
      <c r="AI527">
        <v>24.709807257000001</v>
      </c>
      <c r="AJ527"/>
      <c r="AK527"/>
      <c r="AL527"/>
      <c r="AM527">
        <v>24.649426395999999</v>
      </c>
      <c r="AN527"/>
      <c r="AO527"/>
      <c r="AP527"/>
      <c r="AQ527">
        <v>33.760323288999999</v>
      </c>
      <c r="AR527"/>
      <c r="AS527">
        <v>25.520805155000001</v>
      </c>
      <c r="AT527"/>
    </row>
    <row r="528" spans="1:46" x14ac:dyDescent="0.2">
      <c r="A528" s="87">
        <v>22951</v>
      </c>
      <c r="B528"/>
      <c r="C528"/>
      <c r="D528">
        <v>16.010366232999999</v>
      </c>
      <c r="E528">
        <v>29.505536415000002</v>
      </c>
      <c r="F528"/>
      <c r="G528">
        <v>25.598773477999998</v>
      </c>
      <c r="H528"/>
      <c r="I528"/>
      <c r="J528"/>
      <c r="K528"/>
      <c r="L528">
        <v>33.574343417999998</v>
      </c>
      <c r="M528"/>
      <c r="N528"/>
      <c r="O528"/>
      <c r="P528"/>
      <c r="Q528"/>
      <c r="R528">
        <v>19.005584885000001</v>
      </c>
      <c r="S528">
        <v>41.249858473000003</v>
      </c>
      <c r="T528">
        <v>26.621778412000001</v>
      </c>
      <c r="U528"/>
      <c r="V528">
        <v>27.942226584</v>
      </c>
      <c r="W528"/>
      <c r="X528"/>
      <c r="Y528"/>
      <c r="Z528"/>
      <c r="AA528"/>
      <c r="AB528">
        <v>43.314049273000002</v>
      </c>
      <c r="AC528">
        <v>17.078180711000002</v>
      </c>
      <c r="AD528"/>
      <c r="AE528">
        <v>41.37085544</v>
      </c>
      <c r="AF528"/>
      <c r="AG528"/>
      <c r="AH528">
        <v>27.710955984000002</v>
      </c>
      <c r="AI528">
        <v>24.686927806</v>
      </c>
      <c r="AJ528"/>
      <c r="AK528"/>
      <c r="AL528"/>
      <c r="AM528">
        <v>25.564699106999999</v>
      </c>
      <c r="AN528"/>
      <c r="AO528"/>
      <c r="AP528"/>
      <c r="AQ528">
        <v>34.216543874000003</v>
      </c>
      <c r="AR528"/>
      <c r="AS528">
        <v>25.627853432999999</v>
      </c>
      <c r="AT528"/>
    </row>
    <row r="529" spans="1:46" x14ac:dyDescent="0.2">
      <c r="A529" s="87">
        <v>22981</v>
      </c>
      <c r="B529"/>
      <c r="C529"/>
      <c r="D529">
        <v>15.915286162999999</v>
      </c>
      <c r="E529">
        <v>29.680036027</v>
      </c>
      <c r="F529"/>
      <c r="G529">
        <v>25.576687745000001</v>
      </c>
      <c r="H529"/>
      <c r="I529"/>
      <c r="J529"/>
      <c r="K529"/>
      <c r="L529">
        <v>32.710297814999997</v>
      </c>
      <c r="M529"/>
      <c r="N529"/>
      <c r="O529"/>
      <c r="P529"/>
      <c r="Q529"/>
      <c r="R529">
        <v>19.296380718999998</v>
      </c>
      <c r="S529">
        <v>40.885986424999999</v>
      </c>
      <c r="T529">
        <v>26.50943762</v>
      </c>
      <c r="U529"/>
      <c r="V529">
        <v>27.739730556000001</v>
      </c>
      <c r="W529"/>
      <c r="X529"/>
      <c r="Y529"/>
      <c r="Z529"/>
      <c r="AA529"/>
      <c r="AB529">
        <v>44.245738656</v>
      </c>
      <c r="AC529">
        <v>16.994051742</v>
      </c>
      <c r="AD529"/>
      <c r="AE529">
        <v>39.221795473</v>
      </c>
      <c r="AF529"/>
      <c r="AG529"/>
      <c r="AH529">
        <v>26.853916108</v>
      </c>
      <c r="AI529">
        <v>24.046303172999998</v>
      </c>
      <c r="AJ529"/>
      <c r="AK529"/>
      <c r="AL529"/>
      <c r="AM529">
        <v>24.365428830999999</v>
      </c>
      <c r="AN529"/>
      <c r="AO529"/>
      <c r="AP529"/>
      <c r="AQ529">
        <v>34.672764459</v>
      </c>
      <c r="AR529"/>
      <c r="AS529">
        <v>25.627853432999999</v>
      </c>
      <c r="AT529"/>
    </row>
    <row r="530" spans="1:46" x14ac:dyDescent="0.2">
      <c r="A530" s="87">
        <v>23012</v>
      </c>
      <c r="B530"/>
      <c r="C530"/>
      <c r="D530">
        <v>16.029600628000001</v>
      </c>
      <c r="E530">
        <v>29.276098522000002</v>
      </c>
      <c r="F530"/>
      <c r="G530">
        <v>25.600183205</v>
      </c>
      <c r="H530"/>
      <c r="I530"/>
      <c r="J530"/>
      <c r="K530"/>
      <c r="L530">
        <v>32.833732900999998</v>
      </c>
      <c r="M530"/>
      <c r="N530"/>
      <c r="O530"/>
      <c r="P530"/>
      <c r="Q530"/>
      <c r="R530">
        <v>19.109440540000001</v>
      </c>
      <c r="S530">
        <v>40.986601903</v>
      </c>
      <c r="T530">
        <v>26.724705867000001</v>
      </c>
      <c r="U530"/>
      <c r="V530">
        <v>28.055921176999998</v>
      </c>
      <c r="W530"/>
      <c r="X530"/>
      <c r="Y530"/>
      <c r="Z530"/>
      <c r="AA530"/>
      <c r="AB530">
        <v>44.226724582000003</v>
      </c>
      <c r="AC530">
        <v>17.330567618</v>
      </c>
      <c r="AD530"/>
      <c r="AE530">
        <v>38.837865917000002</v>
      </c>
      <c r="AF530"/>
      <c r="AG530"/>
      <c r="AH530">
        <v>26.853916108</v>
      </c>
      <c r="AI530">
        <v>24.206459331000001</v>
      </c>
      <c r="AJ530"/>
      <c r="AK530"/>
      <c r="AL530"/>
      <c r="AM530">
        <v>25.039360225999999</v>
      </c>
      <c r="AN530"/>
      <c r="AO530"/>
      <c r="AP530"/>
      <c r="AQ530">
        <v>33.304102704000002</v>
      </c>
      <c r="AR530"/>
      <c r="AS530">
        <v>25.815287039000001</v>
      </c>
      <c r="AT530"/>
    </row>
    <row r="531" spans="1:46" x14ac:dyDescent="0.2">
      <c r="A531" s="87">
        <v>23043</v>
      </c>
      <c r="B531"/>
      <c r="C531"/>
      <c r="D531">
        <v>15.919568152</v>
      </c>
      <c r="E531">
        <v>29.646366828000001</v>
      </c>
      <c r="F531"/>
      <c r="G531">
        <v>25.813521981000001</v>
      </c>
      <c r="H531"/>
      <c r="I531"/>
      <c r="J531"/>
      <c r="K531"/>
      <c r="L531">
        <v>32.463427643000003</v>
      </c>
      <c r="M531"/>
      <c r="N531"/>
      <c r="O531"/>
      <c r="P531"/>
      <c r="Q531"/>
      <c r="R531">
        <v>19.005584885000001</v>
      </c>
      <c r="S531">
        <v>40.377588504999999</v>
      </c>
      <c r="T531">
        <v>26.914933975</v>
      </c>
      <c r="U531"/>
      <c r="V531">
        <v>29.188750636000002</v>
      </c>
      <c r="W531"/>
      <c r="X531"/>
      <c r="Y531"/>
      <c r="Z531"/>
      <c r="AA531"/>
      <c r="AB531">
        <v>43.180950783</v>
      </c>
      <c r="AC531">
        <v>17.835341432</v>
      </c>
      <c r="AD531"/>
      <c r="AE531">
        <v>38.352592291999997</v>
      </c>
      <c r="AF531"/>
      <c r="AG531"/>
      <c r="AH531">
        <v>26.853916108</v>
      </c>
      <c r="AI531">
        <v>24.57253055</v>
      </c>
      <c r="AJ531"/>
      <c r="AK531"/>
      <c r="AL531"/>
      <c r="AM531">
        <v>25.247938665</v>
      </c>
      <c r="AN531"/>
      <c r="AO531"/>
      <c r="AP531"/>
      <c r="AQ531">
        <v>33.760323288999999</v>
      </c>
      <c r="AR531"/>
      <c r="AS531">
        <v>26.109967161</v>
      </c>
      <c r="AT531"/>
    </row>
    <row r="532" spans="1:46" x14ac:dyDescent="0.2">
      <c r="A532" s="87">
        <v>23071</v>
      </c>
      <c r="B532"/>
      <c r="C532"/>
      <c r="D532">
        <v>16.297271625</v>
      </c>
      <c r="E532">
        <v>30.50236769</v>
      </c>
      <c r="F532"/>
      <c r="G532">
        <v>26.098756864999999</v>
      </c>
      <c r="H532"/>
      <c r="I532"/>
      <c r="J532"/>
      <c r="K532"/>
      <c r="L532">
        <v>33.265755702</v>
      </c>
      <c r="M532"/>
      <c r="N532"/>
      <c r="O532"/>
      <c r="P532"/>
      <c r="Q532"/>
      <c r="R532">
        <v>18.112426250999999</v>
      </c>
      <c r="S532">
        <v>36.297198717000001</v>
      </c>
      <c r="T532">
        <v>27.108266907000001</v>
      </c>
      <c r="U532"/>
      <c r="V532">
        <v>29.208428927</v>
      </c>
      <c r="W532"/>
      <c r="X532"/>
      <c r="Y532"/>
      <c r="Z532"/>
      <c r="AA532"/>
      <c r="AB532">
        <v>44.397851209999999</v>
      </c>
      <c r="AC532">
        <v>17.919470401000002</v>
      </c>
      <c r="AD532"/>
      <c r="AE532">
        <v>38.375223394999999</v>
      </c>
      <c r="AF532"/>
      <c r="AG532"/>
      <c r="AH532">
        <v>27.710955984000002</v>
      </c>
      <c r="AI532">
        <v>24.252218233000001</v>
      </c>
      <c r="AJ532"/>
      <c r="AK532"/>
      <c r="AL532"/>
      <c r="AM532">
        <v>25.333828</v>
      </c>
      <c r="AN532"/>
      <c r="AO532"/>
      <c r="AP532"/>
      <c r="AQ532">
        <v>33.304102704000002</v>
      </c>
      <c r="AR532"/>
      <c r="AS532">
        <v>26.270638696999999</v>
      </c>
      <c r="AT532"/>
    </row>
    <row r="533" spans="1:46" x14ac:dyDescent="0.2">
      <c r="A533" s="87">
        <v>23102</v>
      </c>
      <c r="B533"/>
      <c r="C533"/>
      <c r="D533">
        <v>16.352891108000001</v>
      </c>
      <c r="E533">
        <v>31.350381512999999</v>
      </c>
      <c r="F533"/>
      <c r="G533">
        <v>26.139638965</v>
      </c>
      <c r="H533"/>
      <c r="I533"/>
      <c r="J533"/>
      <c r="K533"/>
      <c r="L533">
        <v>33.574343417999998</v>
      </c>
      <c r="M533"/>
      <c r="N533"/>
      <c r="O533"/>
      <c r="P533"/>
      <c r="Q533"/>
      <c r="R533">
        <v>19.234067326000002</v>
      </c>
      <c r="S533">
        <v>41.352009944000002</v>
      </c>
      <c r="T533">
        <v>27.663820769000001</v>
      </c>
      <c r="U533"/>
      <c r="V533">
        <v>28.822072197000001</v>
      </c>
      <c r="W533"/>
      <c r="X533"/>
      <c r="Y533"/>
      <c r="Z533"/>
      <c r="AA533"/>
      <c r="AB533">
        <v>45.519681284999997</v>
      </c>
      <c r="AC533">
        <v>18.592502153000002</v>
      </c>
      <c r="AD533"/>
      <c r="AE533">
        <v>38.994160940999997</v>
      </c>
      <c r="AF533"/>
      <c r="AG533"/>
      <c r="AH533">
        <v>28.282315901</v>
      </c>
      <c r="AI533">
        <v>24.618289451999999</v>
      </c>
      <c r="AJ533"/>
      <c r="AK533"/>
      <c r="AL533"/>
      <c r="AM533">
        <v>25.588036929000001</v>
      </c>
      <c r="AN533"/>
      <c r="AO533"/>
      <c r="AP533"/>
      <c r="AQ533">
        <v>34.216543874000003</v>
      </c>
      <c r="AR533"/>
      <c r="AS533">
        <v>26.511596442999998</v>
      </c>
      <c r="AT533"/>
    </row>
    <row r="534" spans="1:46" x14ac:dyDescent="0.2">
      <c r="A534" s="87">
        <v>23132</v>
      </c>
      <c r="B534"/>
      <c r="C534"/>
      <c r="D534">
        <v>16.517260986</v>
      </c>
      <c r="E534">
        <v>31.637780320000001</v>
      </c>
      <c r="F534"/>
      <c r="G534">
        <v>26.497239865000001</v>
      </c>
      <c r="H534"/>
      <c r="I534"/>
      <c r="J534"/>
      <c r="K534"/>
      <c r="L534">
        <v>33.821213589999999</v>
      </c>
      <c r="M534"/>
      <c r="N534"/>
      <c r="O534"/>
      <c r="P534"/>
      <c r="Q534"/>
      <c r="R534">
        <v>19.483320898999999</v>
      </c>
      <c r="S534">
        <v>43.057247465000003</v>
      </c>
      <c r="T534">
        <v>27.985010655</v>
      </c>
      <c r="U534"/>
      <c r="V534">
        <v>29.171286908999999</v>
      </c>
      <c r="W534"/>
      <c r="X534"/>
      <c r="Y534"/>
      <c r="Z534"/>
      <c r="AA534"/>
      <c r="AB534">
        <v>45.462639072000002</v>
      </c>
      <c r="AC534">
        <v>18.84488906</v>
      </c>
      <c r="AD534"/>
      <c r="AE534">
        <v>39.489957402999998</v>
      </c>
      <c r="AF534"/>
      <c r="AG534"/>
      <c r="AH534">
        <v>28.282315901</v>
      </c>
      <c r="AI534">
        <v>25.236034633999999</v>
      </c>
      <c r="AJ534"/>
      <c r="AK534"/>
      <c r="AL534"/>
      <c r="AM534">
        <v>26.290482108999999</v>
      </c>
      <c r="AN534"/>
      <c r="AO534"/>
      <c r="AP534"/>
      <c r="AQ534">
        <v>34.672764459</v>
      </c>
      <c r="AR534"/>
      <c r="AS534">
        <v>26.832939515</v>
      </c>
      <c r="AT534"/>
    </row>
    <row r="535" spans="1:46" x14ac:dyDescent="0.2">
      <c r="A535" s="87">
        <v>23163</v>
      </c>
      <c r="B535"/>
      <c r="C535"/>
      <c r="D535">
        <v>16.962975411999999</v>
      </c>
      <c r="E535">
        <v>31.546743606</v>
      </c>
      <c r="F535"/>
      <c r="G535">
        <v>26.862829220999998</v>
      </c>
      <c r="H535"/>
      <c r="I535"/>
      <c r="J535"/>
      <c r="K535"/>
      <c r="L535">
        <v>33.512625874999998</v>
      </c>
      <c r="M535"/>
      <c r="N535"/>
      <c r="O535"/>
      <c r="P535"/>
      <c r="Q535"/>
      <c r="R535">
        <v>20.314166139000001</v>
      </c>
      <c r="S535">
        <v>43.057247465000003</v>
      </c>
      <c r="T535">
        <v>27.976943767000002</v>
      </c>
      <c r="U535"/>
      <c r="V535">
        <v>29.140790883000001</v>
      </c>
      <c r="W535"/>
      <c r="X535"/>
      <c r="Y535"/>
      <c r="Z535"/>
      <c r="AA535"/>
      <c r="AB535">
        <v>46.261229976000003</v>
      </c>
      <c r="AC535">
        <v>18.676631122</v>
      </c>
      <c r="AD535"/>
      <c r="AE535">
        <v>40.094750722999997</v>
      </c>
      <c r="AF535"/>
      <c r="AG535"/>
      <c r="AH535">
        <v>28.853675817999999</v>
      </c>
      <c r="AI535">
        <v>24.595410001000001</v>
      </c>
      <c r="AJ535"/>
      <c r="AK535"/>
      <c r="AL535"/>
      <c r="AM535">
        <v>24.94151467</v>
      </c>
      <c r="AN535"/>
      <c r="AO535"/>
      <c r="AP535"/>
      <c r="AQ535">
        <v>35.585205629000001</v>
      </c>
      <c r="AR535"/>
      <c r="AS535">
        <v>26.913324843000002</v>
      </c>
      <c r="AT535"/>
    </row>
    <row r="536" spans="1:46" x14ac:dyDescent="0.2">
      <c r="A536" s="87">
        <v>23193</v>
      </c>
      <c r="B536"/>
      <c r="C536"/>
      <c r="D536">
        <v>16.431250989999999</v>
      </c>
      <c r="E536">
        <v>31.248311275999999</v>
      </c>
      <c r="F536"/>
      <c r="G536">
        <v>26.340760102000001</v>
      </c>
      <c r="H536"/>
      <c r="I536"/>
      <c r="J536"/>
      <c r="K536"/>
      <c r="L536">
        <v>34.068083762000001</v>
      </c>
      <c r="M536"/>
      <c r="N536"/>
      <c r="O536"/>
      <c r="P536"/>
      <c r="Q536"/>
      <c r="R536">
        <v>19.379465242999999</v>
      </c>
      <c r="S536">
        <v>44.214372935</v>
      </c>
      <c r="T536">
        <v>28.214040607000001</v>
      </c>
      <c r="U536"/>
      <c r="V536">
        <v>29.286660829999999</v>
      </c>
      <c r="W536"/>
      <c r="X536"/>
      <c r="Y536"/>
      <c r="Z536"/>
      <c r="AA536"/>
      <c r="AB536">
        <v>45.861934519000002</v>
      </c>
      <c r="AC536">
        <v>19.349662874</v>
      </c>
      <c r="AD536"/>
      <c r="AE536">
        <v>40.627319030999999</v>
      </c>
      <c r="AF536"/>
      <c r="AG536"/>
      <c r="AH536">
        <v>29.139355776999999</v>
      </c>
      <c r="AI536">
        <v>25.945297620000002</v>
      </c>
      <c r="AJ536"/>
      <c r="AK536"/>
      <c r="AL536"/>
      <c r="AM536">
        <v>25.602275539000001</v>
      </c>
      <c r="AN536"/>
      <c r="AO536"/>
      <c r="AP536"/>
      <c r="AQ536">
        <v>35.128985043999997</v>
      </c>
      <c r="AR536"/>
      <c r="AS536">
        <v>26.806177446</v>
      </c>
      <c r="AT536"/>
    </row>
    <row r="537" spans="1:46" x14ac:dyDescent="0.2">
      <c r="A537" s="87">
        <v>23224</v>
      </c>
      <c r="B537"/>
      <c r="C537"/>
      <c r="D537">
        <v>16.960914891000002</v>
      </c>
      <c r="E537">
        <v>32.270912842000001</v>
      </c>
      <c r="F537"/>
      <c r="G537">
        <v>26.351098103999998</v>
      </c>
      <c r="H537"/>
      <c r="I537"/>
      <c r="J537"/>
      <c r="K537"/>
      <c r="L537">
        <v>35.302434623000003</v>
      </c>
      <c r="M537"/>
      <c r="N537"/>
      <c r="O537"/>
      <c r="P537"/>
      <c r="Q537"/>
      <c r="R537">
        <v>19.794887864</v>
      </c>
      <c r="S537">
        <v>44.214372935</v>
      </c>
      <c r="T537">
        <v>28.617972595000001</v>
      </c>
      <c r="U537"/>
      <c r="V537">
        <v>31.414985127000001</v>
      </c>
      <c r="W537"/>
      <c r="X537"/>
      <c r="Y537"/>
      <c r="Z537"/>
      <c r="AA537"/>
      <c r="AB537">
        <v>46.546441008000002</v>
      </c>
      <c r="AC537">
        <v>19.854436688</v>
      </c>
      <c r="AD537"/>
      <c r="AE537">
        <v>40.454527354</v>
      </c>
      <c r="AF537"/>
      <c r="AG537"/>
      <c r="AH537">
        <v>29.139355776999999</v>
      </c>
      <c r="AI537">
        <v>25.373311340000001</v>
      </c>
      <c r="AJ537"/>
      <c r="AK537"/>
      <c r="AL537"/>
      <c r="AM537">
        <v>26.046438903999999</v>
      </c>
      <c r="AN537"/>
      <c r="AO537"/>
      <c r="AP537"/>
      <c r="AQ537">
        <v>36.041426213999998</v>
      </c>
      <c r="AR537"/>
      <c r="AS537">
        <v>26.859701585</v>
      </c>
      <c r="AT537"/>
    </row>
    <row r="538" spans="1:46" x14ac:dyDescent="0.2">
      <c r="A538" s="87">
        <v>23255</v>
      </c>
      <c r="B538"/>
      <c r="C538"/>
      <c r="D538">
        <v>16.969034594</v>
      </c>
      <c r="E538">
        <v>32.333283524000002</v>
      </c>
      <c r="F538"/>
      <c r="G538">
        <v>27.440347625000001</v>
      </c>
      <c r="H538"/>
      <c r="I538"/>
      <c r="J538"/>
      <c r="K538"/>
      <c r="L538">
        <v>34.314953934000002</v>
      </c>
      <c r="M538"/>
      <c r="N538"/>
      <c r="O538"/>
      <c r="P538"/>
      <c r="Q538"/>
      <c r="R538">
        <v>19.981828043</v>
      </c>
      <c r="S538">
        <v>43.727162210000003</v>
      </c>
      <c r="T538">
        <v>28.676041819000002</v>
      </c>
      <c r="U538"/>
      <c r="V538">
        <v>32.334006244000001</v>
      </c>
      <c r="W538"/>
      <c r="X538"/>
      <c r="Y538"/>
      <c r="Z538"/>
      <c r="AA538"/>
      <c r="AB538">
        <v>47.459116317000003</v>
      </c>
      <c r="AC538">
        <v>19.854436688</v>
      </c>
      <c r="AD538"/>
      <c r="AE538">
        <v>40.595495597999999</v>
      </c>
      <c r="AF538"/>
      <c r="AG538"/>
      <c r="AH538">
        <v>29.139355776999999</v>
      </c>
      <c r="AI538">
        <v>25.922418168</v>
      </c>
      <c r="AJ538"/>
      <c r="AK538"/>
      <c r="AL538"/>
      <c r="AM538">
        <v>26.553537652999999</v>
      </c>
      <c r="AN538"/>
      <c r="AO538"/>
      <c r="AP538"/>
      <c r="AQ538">
        <v>36.041426213999998</v>
      </c>
      <c r="AR538"/>
      <c r="AS538">
        <v>27.127520518000001</v>
      </c>
      <c r="AT538"/>
    </row>
    <row r="539" spans="1:46" x14ac:dyDescent="0.2">
      <c r="A539" s="87">
        <v>23285</v>
      </c>
      <c r="B539"/>
      <c r="C539"/>
      <c r="D539">
        <v>16.994983382000001</v>
      </c>
      <c r="E539">
        <v>32.304609556999999</v>
      </c>
      <c r="F539"/>
      <c r="G539">
        <v>27.421551257000001</v>
      </c>
      <c r="H539"/>
      <c r="I539"/>
      <c r="J539"/>
      <c r="K539"/>
      <c r="L539">
        <v>34.870411822000001</v>
      </c>
      <c r="M539"/>
      <c r="N539"/>
      <c r="O539"/>
      <c r="P539"/>
      <c r="Q539"/>
      <c r="R539">
        <v>20.418021795000001</v>
      </c>
      <c r="S539">
        <v>43.970767567999999</v>
      </c>
      <c r="T539">
        <v>29.043542195000001</v>
      </c>
      <c r="U539"/>
      <c r="V539">
        <v>31.566867771999998</v>
      </c>
      <c r="W539"/>
      <c r="X539"/>
      <c r="Y539"/>
      <c r="Z539"/>
      <c r="AA539"/>
      <c r="AB539">
        <v>47.497144454999997</v>
      </c>
      <c r="AC539">
        <v>20.443339471000002</v>
      </c>
      <c r="AD539"/>
      <c r="AE539">
        <v>39.246729025999997</v>
      </c>
      <c r="AF539"/>
      <c r="AG539"/>
      <c r="AH539">
        <v>29.139355776999999</v>
      </c>
      <c r="AI539">
        <v>25.876659266000001</v>
      </c>
      <c r="AJ539"/>
      <c r="AK539"/>
      <c r="AL539"/>
      <c r="AM539">
        <v>26.890089926999998</v>
      </c>
      <c r="AN539"/>
      <c r="AO539"/>
      <c r="AP539"/>
      <c r="AQ539">
        <v>36.041426213999998</v>
      </c>
      <c r="AR539"/>
      <c r="AS539">
        <v>27.314954124</v>
      </c>
      <c r="AT539"/>
    </row>
    <row r="540" spans="1:46" x14ac:dyDescent="0.2">
      <c r="A540" s="87">
        <v>23316</v>
      </c>
      <c r="B540"/>
      <c r="C540"/>
      <c r="D540">
        <v>17.544914335000001</v>
      </c>
      <c r="E540">
        <v>32.864449653999998</v>
      </c>
      <c r="F540"/>
      <c r="G540">
        <v>27.890050727999999</v>
      </c>
      <c r="H540"/>
      <c r="I540"/>
      <c r="J540"/>
      <c r="K540"/>
      <c r="L540">
        <v>35.117281994000002</v>
      </c>
      <c r="M540"/>
      <c r="N540"/>
      <c r="O540"/>
      <c r="P540"/>
      <c r="Q540"/>
      <c r="R540">
        <v>20.106454829</v>
      </c>
      <c r="S540">
        <v>43.970767567999999</v>
      </c>
      <c r="T540">
        <v>29.258310136999999</v>
      </c>
      <c r="U540"/>
      <c r="V540">
        <v>31.643368632000001</v>
      </c>
      <c r="W540"/>
      <c r="X540"/>
      <c r="Y540"/>
      <c r="Z540"/>
      <c r="AA540"/>
      <c r="AB540">
        <v>47.249961562000003</v>
      </c>
      <c r="AC540">
        <v>20.779855347000002</v>
      </c>
      <c r="AD540"/>
      <c r="AE540">
        <v>40.330512159999998</v>
      </c>
      <c r="AF540"/>
      <c r="AG540"/>
      <c r="AH540">
        <v>29.710715694000001</v>
      </c>
      <c r="AI540">
        <v>25.830900364000001</v>
      </c>
      <c r="AJ540"/>
      <c r="AK540"/>
      <c r="AL540"/>
      <c r="AM540">
        <v>26.766182970999999</v>
      </c>
      <c r="AN540"/>
      <c r="AO540"/>
      <c r="AP540"/>
      <c r="AQ540">
        <v>36.497646799000002</v>
      </c>
      <c r="AR540"/>
      <c r="AS540">
        <v>27.448863590999999</v>
      </c>
      <c r="AT540"/>
    </row>
    <row r="541" spans="1:46" x14ac:dyDescent="0.2">
      <c r="A541" s="87">
        <v>23346</v>
      </c>
      <c r="B541"/>
      <c r="C541"/>
      <c r="D541">
        <v>16.786199336999999</v>
      </c>
      <c r="E541">
        <v>32.686284391000001</v>
      </c>
      <c r="F541"/>
      <c r="G541">
        <v>28.183743976999999</v>
      </c>
      <c r="H541"/>
      <c r="I541"/>
      <c r="J541"/>
      <c r="K541"/>
      <c r="L541">
        <v>34.068083762000001</v>
      </c>
      <c r="M541"/>
      <c r="N541"/>
      <c r="O541"/>
      <c r="P541"/>
      <c r="Q541"/>
      <c r="R541">
        <v>20.376479533000001</v>
      </c>
      <c r="S541">
        <v>44.579780974999998</v>
      </c>
      <c r="T541">
        <v>29.115754782</v>
      </c>
      <c r="U541"/>
      <c r="V541">
        <v>32.126600398000001</v>
      </c>
      <c r="W541"/>
      <c r="X541"/>
      <c r="Y541"/>
      <c r="Z541"/>
      <c r="AA541"/>
      <c r="AB541">
        <v>46.888694252999997</v>
      </c>
      <c r="AC541">
        <v>20.863984317</v>
      </c>
      <c r="AD541"/>
      <c r="AE541">
        <v>41.754183089000001</v>
      </c>
      <c r="AF541"/>
      <c r="AG541"/>
      <c r="AH541">
        <v>29.425035735000002</v>
      </c>
      <c r="AI541">
        <v>26.196971582</v>
      </c>
      <c r="AJ541"/>
      <c r="AK541"/>
      <c r="AL541"/>
      <c r="AM541">
        <v>27.902584914999998</v>
      </c>
      <c r="AN541"/>
      <c r="AO541"/>
      <c r="AP541"/>
      <c r="AQ541">
        <v>36.497646799000002</v>
      </c>
      <c r="AR541"/>
      <c r="AS541">
        <v>27.395339452000002</v>
      </c>
      <c r="AT541"/>
    </row>
    <row r="542" spans="1:46" x14ac:dyDescent="0.2">
      <c r="A542" s="87">
        <v>23377</v>
      </c>
      <c r="B542"/>
      <c r="C542"/>
      <c r="D542">
        <v>17.578482518000001</v>
      </c>
      <c r="E542">
        <v>33.194325370000001</v>
      </c>
      <c r="F542"/>
      <c r="G542">
        <v>28.403661481</v>
      </c>
      <c r="H542"/>
      <c r="I542"/>
      <c r="J542"/>
      <c r="K542"/>
      <c r="L542">
        <v>35.672739880999998</v>
      </c>
      <c r="M542"/>
      <c r="N542"/>
      <c r="O542"/>
      <c r="P542"/>
      <c r="Q542"/>
      <c r="R542">
        <v>19.950756570999999</v>
      </c>
      <c r="S542">
        <v>45.493301068999997</v>
      </c>
      <c r="T542">
        <v>29.638099865000001</v>
      </c>
      <c r="U542"/>
      <c r="V542">
        <v>31.950797957999999</v>
      </c>
      <c r="W542"/>
      <c r="X542"/>
      <c r="Y542"/>
      <c r="Z542"/>
      <c r="AA542"/>
      <c r="AB542">
        <v>48.143622807</v>
      </c>
      <c r="AC542">
        <v>21.116371224000002</v>
      </c>
      <c r="AD542"/>
      <c r="AE542">
        <v>41.101012754000003</v>
      </c>
      <c r="AF542"/>
      <c r="AG542"/>
      <c r="AH542">
        <v>30.567755569999999</v>
      </c>
      <c r="AI542">
        <v>26.036815424</v>
      </c>
      <c r="AJ542"/>
      <c r="AK542"/>
      <c r="AL542"/>
      <c r="AM542">
        <v>27.695540516000001</v>
      </c>
      <c r="AN542"/>
      <c r="AO542"/>
      <c r="AP542"/>
      <c r="AQ542">
        <v>37.410087969000003</v>
      </c>
      <c r="AR542"/>
      <c r="AS542">
        <v>27.636297197000001</v>
      </c>
      <c r="AT542"/>
    </row>
    <row r="543" spans="1:46" x14ac:dyDescent="0.2">
      <c r="A543" s="87">
        <v>23408</v>
      </c>
      <c r="B543"/>
      <c r="C543"/>
      <c r="D543">
        <v>17.857103825999999</v>
      </c>
      <c r="E543">
        <v>33.184498869999999</v>
      </c>
      <c r="F543"/>
      <c r="G543">
        <v>28.883908682000001</v>
      </c>
      <c r="H543"/>
      <c r="I543"/>
      <c r="J543"/>
      <c r="K543"/>
      <c r="L543">
        <v>36.536785483999999</v>
      </c>
      <c r="M543"/>
      <c r="N543"/>
      <c r="O543"/>
      <c r="P543"/>
      <c r="Q543"/>
      <c r="R543">
        <v>20.002915411</v>
      </c>
      <c r="S543">
        <v>45.249695711000001</v>
      </c>
      <c r="T543">
        <v>29.942118713999999</v>
      </c>
      <c r="U543"/>
      <c r="V543">
        <v>31.353760514000001</v>
      </c>
      <c r="W543"/>
      <c r="X543"/>
      <c r="Y543"/>
      <c r="Z543"/>
      <c r="AA543"/>
      <c r="AB543">
        <v>46.60348321</v>
      </c>
      <c r="AC543">
        <v>21.621145038000002</v>
      </c>
      <c r="AD543"/>
      <c r="AE543">
        <v>41.892216947000001</v>
      </c>
      <c r="AF543"/>
      <c r="AG543"/>
      <c r="AH543">
        <v>30.853435527999999</v>
      </c>
      <c r="AI543">
        <v>25.853779814999999</v>
      </c>
      <c r="AJ543"/>
      <c r="AK543"/>
      <c r="AL543"/>
      <c r="AM543">
        <v>27.016286379</v>
      </c>
      <c r="AN543"/>
      <c r="AO543"/>
      <c r="AP543"/>
      <c r="AQ543">
        <v>37.410087969000003</v>
      </c>
      <c r="AR543"/>
      <c r="AS543">
        <v>27.823829921000002</v>
      </c>
      <c r="AT543"/>
    </row>
    <row r="544" spans="1:46" x14ac:dyDescent="0.2">
      <c r="A544" s="87">
        <v>23437</v>
      </c>
      <c r="B544"/>
      <c r="C544"/>
      <c r="D544">
        <v>17.630137451</v>
      </c>
      <c r="E544">
        <v>33.613378154999999</v>
      </c>
      <c r="F544"/>
      <c r="G544">
        <v>28.705813096</v>
      </c>
      <c r="H544"/>
      <c r="I544"/>
      <c r="J544"/>
      <c r="K544"/>
      <c r="L544">
        <v>35.919610053</v>
      </c>
      <c r="M544"/>
      <c r="N544"/>
      <c r="O544"/>
      <c r="P544"/>
      <c r="Q544"/>
      <c r="R544">
        <v>20.537543529000001</v>
      </c>
      <c r="S544">
        <v>45.310597047999998</v>
      </c>
      <c r="T544">
        <v>29.820804128999999</v>
      </c>
      <c r="U544"/>
      <c r="V544">
        <v>31.900135155000001</v>
      </c>
      <c r="W544"/>
      <c r="X544"/>
      <c r="Y544"/>
      <c r="Z544"/>
      <c r="AA544"/>
      <c r="AB544">
        <v>47.611228869999998</v>
      </c>
      <c r="AC544">
        <v>21.368758131</v>
      </c>
      <c r="AD544"/>
      <c r="AE544">
        <v>43.698805964999998</v>
      </c>
      <c r="AF544"/>
      <c r="AG544"/>
      <c r="AH544">
        <v>31.424795445000001</v>
      </c>
      <c r="AI544">
        <v>26.608801703000001</v>
      </c>
      <c r="AJ544"/>
      <c r="AK544"/>
      <c r="AL544"/>
      <c r="AM544">
        <v>26.285484241999999</v>
      </c>
      <c r="AN544"/>
      <c r="AO544"/>
      <c r="AP544"/>
      <c r="AQ544">
        <v>37.410087969000003</v>
      </c>
      <c r="AR544"/>
      <c r="AS544">
        <v>27.823829921000002</v>
      </c>
      <c r="AT544"/>
    </row>
    <row r="545" spans="1:46" x14ac:dyDescent="0.2">
      <c r="A545" s="87">
        <v>23468</v>
      </c>
      <c r="B545"/>
      <c r="C545"/>
      <c r="D545">
        <v>17.471404419999999</v>
      </c>
      <c r="E545">
        <v>33.088239205999997</v>
      </c>
      <c r="F545"/>
      <c r="G545">
        <v>28.912573142999999</v>
      </c>
      <c r="H545"/>
      <c r="I545"/>
      <c r="J545"/>
      <c r="K545"/>
      <c r="L545">
        <v>35.981327596</v>
      </c>
      <c r="M545"/>
      <c r="N545"/>
      <c r="O545"/>
      <c r="P545"/>
      <c r="Q545"/>
      <c r="R545">
        <v>20.273489397999999</v>
      </c>
      <c r="S545">
        <v>45.736906435000002</v>
      </c>
      <c r="T545">
        <v>30.138299276000001</v>
      </c>
      <c r="U545"/>
      <c r="V545">
        <v>33.344341759999999</v>
      </c>
      <c r="W545"/>
      <c r="X545"/>
      <c r="Y545"/>
      <c r="Z545"/>
      <c r="AA545"/>
      <c r="AB545">
        <v>47.002778667999998</v>
      </c>
      <c r="AC545">
        <v>21.705274007</v>
      </c>
      <c r="AD545"/>
      <c r="AE545">
        <v>43.516519844000001</v>
      </c>
      <c r="AF545"/>
      <c r="AG545"/>
      <c r="AH545">
        <v>30.853435527999999</v>
      </c>
      <c r="AI545">
        <v>27.340944141000001</v>
      </c>
      <c r="AJ545"/>
      <c r="AK545"/>
      <c r="AL545"/>
      <c r="AM545">
        <v>27.350481425000002</v>
      </c>
      <c r="AN545"/>
      <c r="AO545"/>
      <c r="AP545"/>
      <c r="AQ545">
        <v>36.953867383999999</v>
      </c>
      <c r="AR545"/>
      <c r="AS545">
        <v>28.279082461000002</v>
      </c>
      <c r="AT545"/>
    </row>
    <row r="546" spans="1:46" x14ac:dyDescent="0.2">
      <c r="A546" s="87">
        <v>23498</v>
      </c>
      <c r="B546"/>
      <c r="C546"/>
      <c r="D546">
        <v>18.540417952999999</v>
      </c>
      <c r="E546">
        <v>32.712399501999997</v>
      </c>
      <c r="F546"/>
      <c r="G546">
        <v>29.244798946</v>
      </c>
      <c r="H546"/>
      <c r="I546"/>
      <c r="J546"/>
      <c r="K546"/>
      <c r="L546">
        <v>35.919610053</v>
      </c>
      <c r="M546"/>
      <c r="N546"/>
      <c r="O546"/>
      <c r="P546"/>
      <c r="Q546"/>
      <c r="R546">
        <v>20.625561571999999</v>
      </c>
      <c r="S546">
        <v>45.615103752000003</v>
      </c>
      <c r="T546">
        <v>30.264813355000001</v>
      </c>
      <c r="U546"/>
      <c r="V546">
        <v>31.495406015</v>
      </c>
      <c r="W546"/>
      <c r="X546"/>
      <c r="Y546"/>
      <c r="Z546"/>
      <c r="AA546"/>
      <c r="AB546">
        <v>46.470384731999999</v>
      </c>
      <c r="AC546">
        <v>21.957660914000002</v>
      </c>
      <c r="AD546"/>
      <c r="AE546">
        <v>43.784596542999999</v>
      </c>
      <c r="AF546"/>
      <c r="AG546"/>
      <c r="AH546">
        <v>31.710475404</v>
      </c>
      <c r="AI546">
        <v>26.92911402</v>
      </c>
      <c r="AJ546"/>
      <c r="AK546"/>
      <c r="AL546"/>
      <c r="AM546">
        <v>27.437508505</v>
      </c>
      <c r="AN546"/>
      <c r="AO546"/>
      <c r="AP546"/>
      <c r="AQ546">
        <v>37.866308554</v>
      </c>
      <c r="AR546"/>
      <c r="AS546">
        <v>28.439753997</v>
      </c>
      <c r="AT546"/>
    </row>
    <row r="547" spans="1:46" x14ac:dyDescent="0.2">
      <c r="A547" s="87">
        <v>23529</v>
      </c>
      <c r="B547"/>
      <c r="C547"/>
      <c r="D547">
        <v>17.665893173000001</v>
      </c>
      <c r="E547">
        <v>33.357844075000003</v>
      </c>
      <c r="F547"/>
      <c r="G547">
        <v>29.271583769999999</v>
      </c>
      <c r="H547"/>
      <c r="I547"/>
      <c r="J547"/>
      <c r="K547"/>
      <c r="L547">
        <v>36.536785483999999</v>
      </c>
      <c r="M547"/>
      <c r="N547"/>
      <c r="O547"/>
      <c r="P547"/>
      <c r="Q547"/>
      <c r="R547">
        <v>20.61578179</v>
      </c>
      <c r="S547">
        <v>45.188794373999997</v>
      </c>
      <c r="T547">
        <v>30.468883610999999</v>
      </c>
      <c r="U547"/>
      <c r="V547">
        <v>32.138296322999999</v>
      </c>
      <c r="W547"/>
      <c r="X547"/>
      <c r="Y547"/>
      <c r="Z547"/>
      <c r="AA547"/>
      <c r="AB547">
        <v>45.652779762999998</v>
      </c>
      <c r="AC547">
        <v>22.378305759</v>
      </c>
      <c r="AD547"/>
      <c r="AE547">
        <v>43.712381249000003</v>
      </c>
      <c r="AF547"/>
      <c r="AG547"/>
      <c r="AH547">
        <v>30.853435527999999</v>
      </c>
      <c r="AI547">
        <v>27.501100299000001</v>
      </c>
      <c r="AJ547"/>
      <c r="AK547"/>
      <c r="AL547"/>
      <c r="AM547">
        <v>29.274076404999999</v>
      </c>
      <c r="AN547"/>
      <c r="AO547"/>
      <c r="AP547"/>
      <c r="AQ547">
        <v>37.866308554</v>
      </c>
      <c r="AR547"/>
      <c r="AS547">
        <v>28.520040206000001</v>
      </c>
      <c r="AT547"/>
    </row>
    <row r="548" spans="1:46" x14ac:dyDescent="0.2">
      <c r="A548" s="87">
        <v>23559</v>
      </c>
      <c r="B548"/>
      <c r="C548"/>
      <c r="D548">
        <v>18.084102872999999</v>
      </c>
      <c r="E548">
        <v>34.063820888999999</v>
      </c>
      <c r="F548"/>
      <c r="G548">
        <v>29.062474176999999</v>
      </c>
      <c r="H548"/>
      <c r="I548"/>
      <c r="J548"/>
      <c r="K548"/>
      <c r="L548">
        <v>37.277396000000003</v>
      </c>
      <c r="M548"/>
      <c r="N548"/>
      <c r="O548"/>
      <c r="P548"/>
      <c r="Q548"/>
      <c r="R548">
        <v>21.088471284000001</v>
      </c>
      <c r="S548">
        <v>44.397076955000003</v>
      </c>
      <c r="T548">
        <v>30.685299328999999</v>
      </c>
      <c r="U548"/>
      <c r="V548">
        <v>33.833964754</v>
      </c>
      <c r="W548"/>
      <c r="X548"/>
      <c r="Y548"/>
      <c r="Z548"/>
      <c r="AA548"/>
      <c r="AB548">
        <v>46.527426933999998</v>
      </c>
      <c r="AC548">
        <v>22.378305759</v>
      </c>
      <c r="AD548"/>
      <c r="AE548">
        <v>43.578381667999999</v>
      </c>
      <c r="AF548"/>
      <c r="AG548"/>
      <c r="AH548">
        <v>31.139115487000002</v>
      </c>
      <c r="AI548">
        <v>28.004448224000001</v>
      </c>
      <c r="AJ548"/>
      <c r="AK548"/>
      <c r="AL548"/>
      <c r="AM548">
        <v>29.212270870000001</v>
      </c>
      <c r="AN548"/>
      <c r="AO548"/>
      <c r="AP548"/>
      <c r="AQ548">
        <v>37.410087969000003</v>
      </c>
      <c r="AR548"/>
      <c r="AS548">
        <v>28.707473812</v>
      </c>
      <c r="AT548"/>
    </row>
    <row r="549" spans="1:46" x14ac:dyDescent="0.2">
      <c r="A549" s="87">
        <v>23590</v>
      </c>
      <c r="B549"/>
      <c r="C549"/>
      <c r="D549">
        <v>18.061460651000001</v>
      </c>
      <c r="E549">
        <v>33.073138970000002</v>
      </c>
      <c r="F549"/>
      <c r="G549">
        <v>29.312465871000001</v>
      </c>
      <c r="H549"/>
      <c r="I549"/>
      <c r="J549"/>
      <c r="K549"/>
      <c r="L549">
        <v>36.968808285000001</v>
      </c>
      <c r="M549"/>
      <c r="N549"/>
      <c r="O549"/>
      <c r="P549"/>
      <c r="Q549"/>
      <c r="R549">
        <v>21.163449617000001</v>
      </c>
      <c r="S549">
        <v>44.397076955000003</v>
      </c>
      <c r="T549">
        <v>30.596778495999999</v>
      </c>
      <c r="U549"/>
      <c r="V549">
        <v>35.39161051</v>
      </c>
      <c r="W549"/>
      <c r="X549"/>
      <c r="Y549"/>
      <c r="Z549"/>
      <c r="AA549"/>
      <c r="AB549">
        <v>43.675316582000001</v>
      </c>
      <c r="AC549">
        <v>22.378305759</v>
      </c>
      <c r="AD549"/>
      <c r="AE549">
        <v>44.838022807999998</v>
      </c>
      <c r="AF549"/>
      <c r="AG549"/>
      <c r="AH549">
        <v>31.139115487000002</v>
      </c>
      <c r="AI549">
        <v>27.363823591999999</v>
      </c>
      <c r="AJ549"/>
      <c r="AK549"/>
      <c r="AL549"/>
      <c r="AM549">
        <v>28.003337703</v>
      </c>
      <c r="AN549"/>
      <c r="AO549"/>
      <c r="AP549"/>
      <c r="AQ549">
        <v>39.234970308999998</v>
      </c>
      <c r="AR549"/>
      <c r="AS549">
        <v>28.895006536</v>
      </c>
      <c r="AT549"/>
    </row>
    <row r="550" spans="1:46" x14ac:dyDescent="0.2">
      <c r="A550" s="87">
        <v>23621</v>
      </c>
      <c r="B550"/>
      <c r="C550"/>
      <c r="D550">
        <v>17.903558185000001</v>
      </c>
      <c r="E550">
        <v>33.29557071</v>
      </c>
      <c r="F550"/>
      <c r="G550">
        <v>29.960470655000002</v>
      </c>
      <c r="H550"/>
      <c r="I550"/>
      <c r="J550"/>
      <c r="K550"/>
      <c r="L550">
        <v>37.030525828000002</v>
      </c>
      <c r="M550"/>
      <c r="N550"/>
      <c r="O550"/>
      <c r="P550"/>
      <c r="Q550"/>
      <c r="R550">
        <v>21.202568748000001</v>
      </c>
      <c r="S550">
        <v>45.310597047999998</v>
      </c>
      <c r="T550">
        <v>31.027046426999998</v>
      </c>
      <c r="U550"/>
      <c r="V550">
        <v>34.070616432000001</v>
      </c>
      <c r="W550"/>
      <c r="X550"/>
      <c r="Y550"/>
      <c r="Z550"/>
      <c r="AA550"/>
      <c r="AB550">
        <v>46.090103348</v>
      </c>
      <c r="AC550">
        <v>23.051337511</v>
      </c>
      <c r="AD550"/>
      <c r="AE550">
        <v>43.726423552999997</v>
      </c>
      <c r="AF550"/>
      <c r="AG550"/>
      <c r="AH550">
        <v>31.424795445000001</v>
      </c>
      <c r="AI550">
        <v>27.615497555000001</v>
      </c>
      <c r="AJ550"/>
      <c r="AK550"/>
      <c r="AL550"/>
      <c r="AM550">
        <v>28.55528773</v>
      </c>
      <c r="AN550"/>
      <c r="AO550"/>
      <c r="AP550"/>
      <c r="AQ550">
        <v>38.778749724000001</v>
      </c>
      <c r="AR550"/>
      <c r="AS550">
        <v>29.002054815000001</v>
      </c>
      <c r="AT550"/>
    </row>
    <row r="551" spans="1:46" x14ac:dyDescent="0.2">
      <c r="A551" s="87">
        <v>23651</v>
      </c>
      <c r="B551"/>
      <c r="C551"/>
      <c r="D551">
        <v>18.256690687999999</v>
      </c>
      <c r="E551">
        <v>34.071559362000002</v>
      </c>
      <c r="F551"/>
      <c r="G551">
        <v>29.907840825000001</v>
      </c>
      <c r="H551"/>
      <c r="I551"/>
      <c r="J551"/>
      <c r="K551"/>
      <c r="L551">
        <v>37.524266173000001</v>
      </c>
      <c r="M551"/>
      <c r="N551"/>
      <c r="O551"/>
      <c r="P551"/>
      <c r="Q551"/>
      <c r="R551">
        <v>21.482922516999999</v>
      </c>
      <c r="S551">
        <v>45.371498394</v>
      </c>
      <c r="T551">
        <v>30.874039433</v>
      </c>
      <c r="U551"/>
      <c r="V551">
        <v>34.364494520000001</v>
      </c>
      <c r="W551"/>
      <c r="X551"/>
      <c r="Y551"/>
      <c r="Z551"/>
      <c r="AA551"/>
      <c r="AB551">
        <v>45.957004869999999</v>
      </c>
      <c r="AC551">
        <v>22.967208542000002</v>
      </c>
      <c r="AD551"/>
      <c r="AE551">
        <v>44.521568977999998</v>
      </c>
      <c r="AF551"/>
      <c r="AG551"/>
      <c r="AH551">
        <v>31.996155363</v>
      </c>
      <c r="AI551">
        <v>27.295185237999998</v>
      </c>
      <c r="AJ551"/>
      <c r="AK551"/>
      <c r="AL551"/>
      <c r="AM551">
        <v>29.309449176000001</v>
      </c>
      <c r="AN551"/>
      <c r="AO551"/>
      <c r="AP551"/>
      <c r="AQ551">
        <v>39.234970308999998</v>
      </c>
      <c r="AR551"/>
      <c r="AS551">
        <v>28.600425532999999</v>
      </c>
      <c r="AT551"/>
    </row>
    <row r="552" spans="1:46" x14ac:dyDescent="0.2">
      <c r="A552" s="87">
        <v>23682</v>
      </c>
      <c r="B552"/>
      <c r="C552"/>
      <c r="D552">
        <v>18.192120383999999</v>
      </c>
      <c r="E552">
        <v>33.515855872000003</v>
      </c>
      <c r="F552"/>
      <c r="G552">
        <v>30.436018763</v>
      </c>
      <c r="H552"/>
      <c r="I552"/>
      <c r="J552"/>
      <c r="K552"/>
      <c r="L552">
        <v>37.462548630000001</v>
      </c>
      <c r="M552"/>
      <c r="N552"/>
      <c r="O552"/>
      <c r="P552"/>
      <c r="Q552"/>
      <c r="R552">
        <v>21.456843096</v>
      </c>
      <c r="S552">
        <v>45.310597047999998</v>
      </c>
      <c r="T552">
        <v>31.254859318000001</v>
      </c>
      <c r="U552"/>
      <c r="V552">
        <v>34.827218299000002</v>
      </c>
      <c r="W552"/>
      <c r="X552"/>
      <c r="Y552"/>
      <c r="Z552"/>
      <c r="AA552"/>
      <c r="AB552">
        <v>46.299258115000001</v>
      </c>
      <c r="AC552">
        <v>22.714821635</v>
      </c>
      <c r="AD552"/>
      <c r="AE552">
        <v>43.547987380999999</v>
      </c>
      <c r="AF552"/>
      <c r="AG552"/>
      <c r="AH552">
        <v>32.281835321000003</v>
      </c>
      <c r="AI552">
        <v>28.050207127</v>
      </c>
      <c r="AJ552"/>
      <c r="AK552"/>
      <c r="AL552"/>
      <c r="AM552">
        <v>29.491736532000001</v>
      </c>
      <c r="AN552"/>
      <c r="AO552"/>
      <c r="AP552"/>
      <c r="AQ552">
        <v>39.691190894000002</v>
      </c>
      <c r="AR552"/>
      <c r="AS552">
        <v>29.484168542999999</v>
      </c>
      <c r="AT552"/>
    </row>
    <row r="553" spans="1:46" x14ac:dyDescent="0.2">
      <c r="A553" s="87">
        <v>23712</v>
      </c>
      <c r="B553"/>
      <c r="C553"/>
      <c r="D553">
        <v>18.151956040000002</v>
      </c>
      <c r="E553">
        <v>33.495578467000001</v>
      </c>
      <c r="F553"/>
      <c r="G553">
        <v>30.443067401</v>
      </c>
      <c r="H553"/>
      <c r="I553"/>
      <c r="J553"/>
      <c r="K553"/>
      <c r="L553">
        <v>37.894571431000003</v>
      </c>
      <c r="M553"/>
      <c r="N553"/>
      <c r="O553"/>
      <c r="P553"/>
      <c r="Q553"/>
      <c r="R553">
        <v>21.476402661000002</v>
      </c>
      <c r="S553">
        <v>44.457978292</v>
      </c>
      <c r="T553">
        <v>31.646825590999999</v>
      </c>
      <c r="U553"/>
      <c r="V553">
        <v>35.408758831</v>
      </c>
      <c r="W553"/>
      <c r="X553"/>
      <c r="Y553"/>
      <c r="Z553"/>
      <c r="AA553"/>
      <c r="AB553">
        <v>46.432356593000002</v>
      </c>
      <c r="AC553">
        <v>23.303724418000002</v>
      </c>
      <c r="AD553"/>
      <c r="AE553">
        <v>44.27697105</v>
      </c>
      <c r="AF553"/>
      <c r="AG553"/>
      <c r="AH553">
        <v>32.281835321000003</v>
      </c>
      <c r="AI553">
        <v>28.324760541</v>
      </c>
      <c r="AJ553"/>
      <c r="AK553"/>
      <c r="AL553"/>
      <c r="AM553">
        <v>29.314584467</v>
      </c>
      <c r="AN553"/>
      <c r="AO553"/>
      <c r="AP553"/>
      <c r="AQ553">
        <v>40.147411478999999</v>
      </c>
      <c r="AR553"/>
      <c r="AS553">
        <v>29.832273685000001</v>
      </c>
      <c r="AT553"/>
    </row>
    <row r="554" spans="1:46" x14ac:dyDescent="0.2">
      <c r="A554" s="87">
        <v>23743</v>
      </c>
      <c r="B554"/>
      <c r="C554"/>
      <c r="D554">
        <v>19.097015966000001</v>
      </c>
      <c r="E554">
        <v>34.176211639999998</v>
      </c>
      <c r="F554"/>
      <c r="G554">
        <v>30.884312137999999</v>
      </c>
      <c r="H554"/>
      <c r="I554"/>
      <c r="J554"/>
      <c r="K554"/>
      <c r="L554">
        <v>38.758617033999997</v>
      </c>
      <c r="M554"/>
      <c r="N554"/>
      <c r="O554">
        <v>29.632149802000001</v>
      </c>
      <c r="P554"/>
      <c r="Q554"/>
      <c r="R554">
        <v>21.740456793</v>
      </c>
      <c r="S554">
        <v>44.518879628999997</v>
      </c>
      <c r="T554">
        <v>31.871818766000001</v>
      </c>
      <c r="U554"/>
      <c r="V554">
        <v>35.668165348999999</v>
      </c>
      <c r="W554"/>
      <c r="X554"/>
      <c r="Y554"/>
      <c r="Z554"/>
      <c r="AA554"/>
      <c r="AB554">
        <v>46.356300316999999</v>
      </c>
      <c r="AC554">
        <v>23.051337511</v>
      </c>
      <c r="AD554"/>
      <c r="AE554">
        <v>44.924038047000003</v>
      </c>
      <c r="AF554"/>
      <c r="AG554"/>
      <c r="AH554">
        <v>32.853195237999998</v>
      </c>
      <c r="AI554">
        <v>27.981568772999999</v>
      </c>
      <c r="AJ554"/>
      <c r="AK554"/>
      <c r="AL554"/>
      <c r="AM554">
        <v>28.788206818999999</v>
      </c>
      <c r="AN554"/>
      <c r="AO554"/>
      <c r="AP554"/>
      <c r="AQ554">
        <v>41.516073233999997</v>
      </c>
      <c r="AR554"/>
      <c r="AS554">
        <v>30.153616757000002</v>
      </c>
      <c r="AT554"/>
    </row>
    <row r="555" spans="1:46" x14ac:dyDescent="0.2">
      <c r="A555" s="87">
        <v>23774</v>
      </c>
      <c r="B555"/>
      <c r="C555"/>
      <c r="D555">
        <v>18.442479424999998</v>
      </c>
      <c r="E555">
        <v>34.054081922000002</v>
      </c>
      <c r="F555"/>
      <c r="G555">
        <v>30.712325371999999</v>
      </c>
      <c r="H555"/>
      <c r="I555"/>
      <c r="J555"/>
      <c r="K555"/>
      <c r="L555">
        <v>38.450029317999999</v>
      </c>
      <c r="M555"/>
      <c r="N555"/>
      <c r="O555">
        <v>30.594116604</v>
      </c>
      <c r="P555"/>
      <c r="Q555"/>
      <c r="R555">
        <v>21.939312373</v>
      </c>
      <c r="S555">
        <v>44.945189016</v>
      </c>
      <c r="T555">
        <v>31.901733027999999</v>
      </c>
      <c r="U555"/>
      <c r="V555">
        <v>35.470371634000003</v>
      </c>
      <c r="W555"/>
      <c r="X555"/>
      <c r="Y555"/>
      <c r="Z555"/>
      <c r="AA555"/>
      <c r="AB555">
        <v>46.869680178999999</v>
      </c>
      <c r="AC555">
        <v>22.883079573</v>
      </c>
      <c r="AD555"/>
      <c r="AE555">
        <v>45.791359931999999</v>
      </c>
      <c r="AF555"/>
      <c r="AG555"/>
      <c r="AH555">
        <v>32.567515280000002</v>
      </c>
      <c r="AI555">
        <v>28.576434503000002</v>
      </c>
      <c r="AJ555"/>
      <c r="AK555"/>
      <c r="AL555"/>
      <c r="AM555">
        <v>29.77995537</v>
      </c>
      <c r="AN555"/>
      <c r="AO555"/>
      <c r="AP555"/>
      <c r="AQ555">
        <v>41.059852649</v>
      </c>
      <c r="AR555"/>
      <c r="AS555">
        <v>30.341050363000001</v>
      </c>
      <c r="AT555"/>
    </row>
    <row r="556" spans="1:46" x14ac:dyDescent="0.2">
      <c r="A556" s="87">
        <v>23802</v>
      </c>
      <c r="B556"/>
      <c r="C556"/>
      <c r="D556">
        <v>18.208036872000001</v>
      </c>
      <c r="E556">
        <v>33.540969969999999</v>
      </c>
      <c r="F556"/>
      <c r="G556">
        <v>31.354691246000002</v>
      </c>
      <c r="H556"/>
      <c r="I556"/>
      <c r="J556"/>
      <c r="K556"/>
      <c r="L556">
        <v>38.388311774999998</v>
      </c>
      <c r="M556"/>
      <c r="N556"/>
      <c r="O556">
        <v>31.158069455</v>
      </c>
      <c r="P556"/>
      <c r="Q556"/>
      <c r="R556">
        <v>21.662218531000001</v>
      </c>
      <c r="S556">
        <v>44.945189016</v>
      </c>
      <c r="T556">
        <v>32.121582351999997</v>
      </c>
      <c r="U556"/>
      <c r="V556">
        <v>35.723847450999997</v>
      </c>
      <c r="W556"/>
      <c r="X556"/>
      <c r="Y556"/>
      <c r="Z556"/>
      <c r="AA556"/>
      <c r="AB556">
        <v>46.223201838000001</v>
      </c>
      <c r="AC556">
        <v>23.051337511</v>
      </c>
      <c r="AD556"/>
      <c r="AE556">
        <v>42.277293092000001</v>
      </c>
      <c r="AF556"/>
      <c r="AG556"/>
      <c r="AH556">
        <v>32.281835321000003</v>
      </c>
      <c r="AI556">
        <v>28.507796150000001</v>
      </c>
      <c r="AJ556"/>
      <c r="AK556"/>
      <c r="AL556"/>
      <c r="AM556">
        <v>29.137564864000002</v>
      </c>
      <c r="AN556"/>
      <c r="AO556"/>
      <c r="AP556"/>
      <c r="AQ556">
        <v>40.147411478999999</v>
      </c>
      <c r="AR556"/>
      <c r="AS556">
        <v>30.742778764000001</v>
      </c>
      <c r="AT556"/>
    </row>
    <row r="557" spans="1:46" x14ac:dyDescent="0.2">
      <c r="A557" s="87">
        <v>23833</v>
      </c>
      <c r="B557"/>
      <c r="C557"/>
      <c r="D557">
        <v>18.39828748</v>
      </c>
      <c r="E557">
        <v>34.108250818000002</v>
      </c>
      <c r="F557"/>
      <c r="G557">
        <v>31.320857783000001</v>
      </c>
      <c r="H557"/>
      <c r="I557"/>
      <c r="J557"/>
      <c r="K557"/>
      <c r="L557">
        <v>38.573464403999999</v>
      </c>
      <c r="M557"/>
      <c r="N557"/>
      <c r="O557">
        <v>31.004923299000001</v>
      </c>
      <c r="P557"/>
      <c r="Q557"/>
      <c r="R557">
        <v>22.147947735999999</v>
      </c>
      <c r="S557">
        <v>45.188794373999997</v>
      </c>
      <c r="T557">
        <v>32.206952106999999</v>
      </c>
      <c r="U557"/>
      <c r="V557">
        <v>35.410914914999999</v>
      </c>
      <c r="W557"/>
      <c r="X557"/>
      <c r="Y557"/>
      <c r="Z557"/>
      <c r="AA557"/>
      <c r="AB557">
        <v>46.888694252999997</v>
      </c>
      <c r="AC557">
        <v>22.883079573</v>
      </c>
      <c r="AD557"/>
      <c r="AE557">
        <v>44.031907625000002</v>
      </c>
      <c r="AF557"/>
      <c r="AG557"/>
      <c r="AH557">
        <v>32.281835321000003</v>
      </c>
      <c r="AI557">
        <v>29.400094745000001</v>
      </c>
      <c r="AJ557"/>
      <c r="AK557"/>
      <c r="AL557"/>
      <c r="AM557">
        <v>29.586055163000001</v>
      </c>
      <c r="AN557"/>
      <c r="AO557"/>
      <c r="AP557"/>
      <c r="AQ557">
        <v>40.147411478999999</v>
      </c>
      <c r="AR557"/>
      <c r="AS557">
        <v>30.876688229999999</v>
      </c>
      <c r="AT557"/>
    </row>
    <row r="558" spans="1:46" x14ac:dyDescent="0.2">
      <c r="A558" s="87">
        <v>23863</v>
      </c>
      <c r="B558"/>
      <c r="C558"/>
      <c r="D558">
        <v>18.553651785</v>
      </c>
      <c r="E558">
        <v>34.203989317999998</v>
      </c>
      <c r="F558"/>
      <c r="G558">
        <v>31.521978919999999</v>
      </c>
      <c r="H558"/>
      <c r="I558"/>
      <c r="J558"/>
      <c r="K558"/>
      <c r="L558">
        <v>38.573464403999999</v>
      </c>
      <c r="M558"/>
      <c r="N558"/>
      <c r="O558">
        <v>31.665647302</v>
      </c>
      <c r="P558"/>
      <c r="Q558"/>
      <c r="R558">
        <v>22.226185997000002</v>
      </c>
      <c r="S558">
        <v>45.432399732</v>
      </c>
      <c r="T558">
        <v>32.329674298999997</v>
      </c>
      <c r="U558"/>
      <c r="V558">
        <v>35.917711375000003</v>
      </c>
      <c r="W558"/>
      <c r="X558"/>
      <c r="Y558"/>
      <c r="Z558"/>
      <c r="AA558"/>
      <c r="AB558">
        <v>48.504890115000002</v>
      </c>
      <c r="AC558">
        <v>22.546563697</v>
      </c>
      <c r="AD558"/>
      <c r="AE558">
        <v>43.604674269999997</v>
      </c>
      <c r="AF558"/>
      <c r="AG558"/>
      <c r="AH558">
        <v>33.138875196999997</v>
      </c>
      <c r="AI558">
        <v>29.491612549999999</v>
      </c>
      <c r="AJ558"/>
      <c r="AK558"/>
      <c r="AL558"/>
      <c r="AM558">
        <v>29.413289741</v>
      </c>
      <c r="AN558"/>
      <c r="AO558"/>
      <c r="AP558"/>
      <c r="AQ558">
        <v>40.603632064000003</v>
      </c>
      <c r="AR558"/>
      <c r="AS558">
        <v>31.117645974999999</v>
      </c>
      <c r="AT558"/>
    </row>
    <row r="559" spans="1:46" x14ac:dyDescent="0.2">
      <c r="A559" s="87">
        <v>23894</v>
      </c>
      <c r="B559"/>
      <c r="C559"/>
      <c r="D559">
        <v>18.726779198999999</v>
      </c>
      <c r="E559">
        <v>33.925121071</v>
      </c>
      <c r="F559"/>
      <c r="G559">
        <v>31.573668932</v>
      </c>
      <c r="H559"/>
      <c r="I559"/>
      <c r="J559"/>
      <c r="K559"/>
      <c r="L559">
        <v>38.264876688999998</v>
      </c>
      <c r="M559"/>
      <c r="N559"/>
      <c r="O559">
        <v>30.977793004999999</v>
      </c>
      <c r="P559"/>
      <c r="Q559"/>
      <c r="R559">
        <v>22.946629984000001</v>
      </c>
      <c r="S559">
        <v>45.980511792999998</v>
      </c>
      <c r="T559">
        <v>32.566193413999997</v>
      </c>
      <c r="U559"/>
      <c r="V559">
        <v>36.924972339999997</v>
      </c>
      <c r="W559"/>
      <c r="X559"/>
      <c r="Y559"/>
      <c r="Z559"/>
      <c r="AA559"/>
      <c r="AB559">
        <v>48.980241849999999</v>
      </c>
      <c r="AC559">
        <v>22.967208542000002</v>
      </c>
      <c r="AD559"/>
      <c r="AE559">
        <v>43.585023112999998</v>
      </c>
      <c r="AF559"/>
      <c r="AG559"/>
      <c r="AH559">
        <v>32.853195237999998</v>
      </c>
      <c r="AI559">
        <v>28.164604382</v>
      </c>
      <c r="AJ559"/>
      <c r="AK559"/>
      <c r="AL559"/>
      <c r="AM559">
        <v>28.879823975000001</v>
      </c>
      <c r="AN559"/>
      <c r="AO559"/>
      <c r="AP559"/>
      <c r="AQ559">
        <v>41.059852649</v>
      </c>
      <c r="AR559"/>
      <c r="AS559">
        <v>31.358702838999999</v>
      </c>
      <c r="AT559"/>
    </row>
    <row r="560" spans="1:46" x14ac:dyDescent="0.2">
      <c r="A560" s="87">
        <v>23924</v>
      </c>
      <c r="B560"/>
      <c r="C560"/>
      <c r="D560">
        <v>18.825395533999998</v>
      </c>
      <c r="E560">
        <v>33.899925764999999</v>
      </c>
      <c r="F560"/>
      <c r="G560">
        <v>32.396479937999999</v>
      </c>
      <c r="H560"/>
      <c r="I560"/>
      <c r="J560"/>
      <c r="K560"/>
      <c r="L560">
        <v>38.450029317999999</v>
      </c>
      <c r="M560"/>
      <c r="N560"/>
      <c r="O560">
        <v>33.497540663000002</v>
      </c>
      <c r="P560"/>
      <c r="Q560"/>
      <c r="R560">
        <v>22.737994620999999</v>
      </c>
      <c r="S560">
        <v>45.919610456000001</v>
      </c>
      <c r="T560">
        <v>32.784181500000003</v>
      </c>
      <c r="U560"/>
      <c r="V560">
        <v>36.705512243000001</v>
      </c>
      <c r="W560"/>
      <c r="X560"/>
      <c r="Y560"/>
      <c r="Z560"/>
      <c r="AA560"/>
      <c r="AB560">
        <v>49.341509158000001</v>
      </c>
      <c r="AC560">
        <v>22.967208542000002</v>
      </c>
      <c r="AD560"/>
      <c r="AE560">
        <v>43.272774423999998</v>
      </c>
      <c r="AF560"/>
      <c r="AG560"/>
      <c r="AH560">
        <v>33.138875196999997</v>
      </c>
      <c r="AI560">
        <v>28.622193406000001</v>
      </c>
      <c r="AJ560"/>
      <c r="AK560"/>
      <c r="AL560"/>
      <c r="AM560">
        <v>30.258108225000001</v>
      </c>
      <c r="AN560"/>
      <c r="AO560"/>
      <c r="AP560"/>
      <c r="AQ560">
        <v>38.322529138999997</v>
      </c>
      <c r="AR560"/>
      <c r="AS560">
        <v>31.653283842</v>
      </c>
      <c r="AT560"/>
    </row>
    <row r="561" spans="1:46" x14ac:dyDescent="0.2">
      <c r="A561" s="87">
        <v>23955</v>
      </c>
      <c r="B561"/>
      <c r="C561"/>
      <c r="D561">
        <v>18.925825429</v>
      </c>
      <c r="E561">
        <v>33.860452463000001</v>
      </c>
      <c r="F561"/>
      <c r="G561">
        <v>31.672349864000001</v>
      </c>
      <c r="H561"/>
      <c r="I561"/>
      <c r="J561"/>
      <c r="K561"/>
      <c r="L561">
        <v>38.820334576999997</v>
      </c>
      <c r="M561"/>
      <c r="N561"/>
      <c r="O561">
        <v>32.875021132999997</v>
      </c>
      <c r="P561"/>
      <c r="Q561"/>
      <c r="R561">
        <v>22.705395346</v>
      </c>
      <c r="S561">
        <v>45.919610456000001</v>
      </c>
      <c r="T561">
        <v>32.863062284999998</v>
      </c>
      <c r="U561"/>
      <c r="V561">
        <v>36.077850523999999</v>
      </c>
      <c r="W561"/>
      <c r="X561"/>
      <c r="Y561"/>
      <c r="Z561"/>
      <c r="AA561"/>
      <c r="AB561">
        <v>48.714044882000003</v>
      </c>
      <c r="AC561">
        <v>23.051337511</v>
      </c>
      <c r="AD561"/>
      <c r="AE561">
        <v>43.136376171999999</v>
      </c>
      <c r="AF561"/>
      <c r="AG561"/>
      <c r="AH561">
        <v>32.567515280000002</v>
      </c>
      <c r="AI561">
        <v>29.514492001000001</v>
      </c>
      <c r="AJ561"/>
      <c r="AK561"/>
      <c r="AL561"/>
      <c r="AM561">
        <v>29.475155383000001</v>
      </c>
      <c r="AN561"/>
      <c r="AO561"/>
      <c r="AP561"/>
      <c r="AQ561">
        <v>41.516073233999997</v>
      </c>
      <c r="AR561"/>
      <c r="AS561">
        <v>31.787193308999999</v>
      </c>
      <c r="AT561"/>
    </row>
    <row r="562" spans="1:46" x14ac:dyDescent="0.2">
      <c r="A562" s="87">
        <v>23986</v>
      </c>
      <c r="B562"/>
      <c r="C562"/>
      <c r="D562">
        <v>19.158928709000001</v>
      </c>
      <c r="E562">
        <v>33.836589230000001</v>
      </c>
      <c r="F562"/>
      <c r="G562">
        <v>32.362646476000002</v>
      </c>
      <c r="H562"/>
      <c r="I562"/>
      <c r="J562"/>
      <c r="K562"/>
      <c r="L562">
        <v>39.128922291999999</v>
      </c>
      <c r="M562"/>
      <c r="N562"/>
      <c r="O562">
        <v>32.930768575999998</v>
      </c>
      <c r="P562"/>
      <c r="Q562"/>
      <c r="R562">
        <v>22.786893534000001</v>
      </c>
      <c r="S562">
        <v>46.406821170999997</v>
      </c>
      <c r="T562">
        <v>33.047963858000003</v>
      </c>
      <c r="U562"/>
      <c r="V562">
        <v>37.094865302000002</v>
      </c>
      <c r="W562"/>
      <c r="X562"/>
      <c r="Y562"/>
      <c r="Z562"/>
      <c r="AA562"/>
      <c r="AB562">
        <v>49.341509158000001</v>
      </c>
      <c r="AC562">
        <v>23.135466480000002</v>
      </c>
      <c r="AD562"/>
      <c r="AE562">
        <v>43.543743479</v>
      </c>
      <c r="AF562"/>
      <c r="AG562"/>
      <c r="AH562">
        <v>33.710235114</v>
      </c>
      <c r="AI562">
        <v>29.674648159</v>
      </c>
      <c r="AJ562"/>
      <c r="AK562"/>
      <c r="AL562"/>
      <c r="AM562">
        <v>29.762978421</v>
      </c>
      <c r="AN562"/>
      <c r="AO562"/>
      <c r="AP562"/>
      <c r="AQ562">
        <v>42.428514403999998</v>
      </c>
      <c r="AR562"/>
      <c r="AS562">
        <v>31.867479518</v>
      </c>
      <c r="AT562"/>
    </row>
    <row r="563" spans="1:46" x14ac:dyDescent="0.2">
      <c r="A563" s="87">
        <v>24016</v>
      </c>
      <c r="B563"/>
      <c r="C563"/>
      <c r="D563">
        <v>19.105702429000001</v>
      </c>
      <c r="E563">
        <v>34.482887550999997</v>
      </c>
      <c r="F563"/>
      <c r="G563">
        <v>33.087246458999999</v>
      </c>
      <c r="H563"/>
      <c r="I563"/>
      <c r="J563"/>
      <c r="K563"/>
      <c r="L563">
        <v>38.943769662999998</v>
      </c>
      <c r="M563"/>
      <c r="N563"/>
      <c r="O563">
        <v>33.178841789000003</v>
      </c>
      <c r="P563"/>
      <c r="Q563"/>
      <c r="R563">
        <v>22.193586720999999</v>
      </c>
      <c r="S563">
        <v>47.320341272999997</v>
      </c>
      <c r="T563">
        <v>33.241472246000001</v>
      </c>
      <c r="U563"/>
      <c r="V563">
        <v>36.871424826000002</v>
      </c>
      <c r="W563"/>
      <c r="X563"/>
      <c r="Y563"/>
      <c r="Z563"/>
      <c r="AA563"/>
      <c r="AB563">
        <v>49.550663913999998</v>
      </c>
      <c r="AC563">
        <v>23.135466480000002</v>
      </c>
      <c r="AD563"/>
      <c r="AE563">
        <v>43.574472180000001</v>
      </c>
      <c r="AF563"/>
      <c r="AG563"/>
      <c r="AH563">
        <v>33.995915072999999</v>
      </c>
      <c r="AI563">
        <v>29.148420781999999</v>
      </c>
      <c r="AJ563"/>
      <c r="AK563"/>
      <c r="AL563"/>
      <c r="AM563">
        <v>29.523779706999999</v>
      </c>
      <c r="AN563"/>
      <c r="AO563"/>
      <c r="AP563"/>
      <c r="AQ563">
        <v>41.972293819000001</v>
      </c>
      <c r="AR563"/>
      <c r="AS563">
        <v>32.188822590000001</v>
      </c>
      <c r="AT563"/>
    </row>
    <row r="564" spans="1:46" x14ac:dyDescent="0.2">
      <c r="A564" s="87">
        <v>24047</v>
      </c>
      <c r="B564"/>
      <c r="C564"/>
      <c r="D564">
        <v>19.184507183000001</v>
      </c>
      <c r="E564">
        <v>34.796211851999999</v>
      </c>
      <c r="F564"/>
      <c r="G564">
        <v>33.239966948999999</v>
      </c>
      <c r="H564"/>
      <c r="I564"/>
      <c r="J564"/>
      <c r="K564"/>
      <c r="L564">
        <v>38.696899491000003</v>
      </c>
      <c r="M564"/>
      <c r="N564"/>
      <c r="O564">
        <v>33.821800762000002</v>
      </c>
      <c r="P564"/>
      <c r="Q564"/>
      <c r="R564">
        <v>22.398962156</v>
      </c>
      <c r="S564">
        <v>47.320341272999997</v>
      </c>
      <c r="T564">
        <v>33.468129243999996</v>
      </c>
      <c r="U564"/>
      <c r="V564">
        <v>37.627062653000003</v>
      </c>
      <c r="W564"/>
      <c r="X564"/>
      <c r="Y564"/>
      <c r="Z564"/>
      <c r="AA564"/>
      <c r="AB564">
        <v>50.824606541999998</v>
      </c>
      <c r="AC564">
        <v>23.556111325</v>
      </c>
      <c r="AD564"/>
      <c r="AE564">
        <v>44.641768818999999</v>
      </c>
      <c r="AF564"/>
      <c r="AG564"/>
      <c r="AH564">
        <v>33.995915072999999</v>
      </c>
      <c r="AI564">
        <v>29.583130355000002</v>
      </c>
      <c r="AJ564"/>
      <c r="AK564"/>
      <c r="AL564"/>
      <c r="AM564">
        <v>29.885453000999998</v>
      </c>
      <c r="AN564"/>
      <c r="AO564"/>
      <c r="AP564"/>
      <c r="AQ564">
        <v>41.972293819000001</v>
      </c>
      <c r="AR564"/>
      <c r="AS564">
        <v>32.322732057000003</v>
      </c>
      <c r="AT564"/>
    </row>
    <row r="565" spans="1:46" x14ac:dyDescent="0.2">
      <c r="A565" s="87">
        <v>24077</v>
      </c>
      <c r="B565"/>
      <c r="C565"/>
      <c r="D565">
        <v>18.297731318</v>
      </c>
      <c r="E565">
        <v>35.328008986</v>
      </c>
      <c r="F565"/>
      <c r="G565">
        <v>33.736660970999999</v>
      </c>
      <c r="H565"/>
      <c r="I565"/>
      <c r="J565"/>
      <c r="K565"/>
      <c r="L565">
        <v>39.622662636000001</v>
      </c>
      <c r="M565"/>
      <c r="N565"/>
      <c r="O565">
        <v>34.180895777000003</v>
      </c>
      <c r="P565"/>
      <c r="Q565"/>
      <c r="R565">
        <v>22.428301504</v>
      </c>
      <c r="S565">
        <v>47.503045294000003</v>
      </c>
      <c r="T565">
        <v>33.809548907</v>
      </c>
      <c r="U565"/>
      <c r="V565">
        <v>37.533438310000001</v>
      </c>
      <c r="W565"/>
      <c r="X565"/>
      <c r="Y565"/>
      <c r="Z565"/>
      <c r="AA565"/>
      <c r="AB565">
        <v>50.634465849999998</v>
      </c>
      <c r="AC565">
        <v>23.556111325</v>
      </c>
      <c r="AD565"/>
      <c r="AE565">
        <v>43.529449587999999</v>
      </c>
      <c r="AF565"/>
      <c r="AG565"/>
      <c r="AH565">
        <v>33.995915072999999</v>
      </c>
      <c r="AI565">
        <v>29.514492001000001</v>
      </c>
      <c r="AJ565"/>
      <c r="AK565"/>
      <c r="AL565"/>
      <c r="AM565">
        <v>31.933170702000002</v>
      </c>
      <c r="AN565"/>
      <c r="AO565"/>
      <c r="AP565"/>
      <c r="AQ565">
        <v>41.516073233999997</v>
      </c>
      <c r="AR565"/>
      <c r="AS565">
        <v>32.724460456999999</v>
      </c>
      <c r="AT565"/>
    </row>
    <row r="566" spans="1:46" x14ac:dyDescent="0.2">
      <c r="A566" s="87">
        <v>24108</v>
      </c>
      <c r="B566"/>
      <c r="C566"/>
      <c r="D566">
        <v>19.353514066999999</v>
      </c>
      <c r="E566">
        <v>34.340132339</v>
      </c>
      <c r="F566"/>
      <c r="G566">
        <v>33.715984966000001</v>
      </c>
      <c r="H566"/>
      <c r="I566"/>
      <c r="J566"/>
      <c r="K566"/>
      <c r="L566">
        <v>39.314074921</v>
      </c>
      <c r="M566"/>
      <c r="N566"/>
      <c r="O566">
        <v>34.679678000000003</v>
      </c>
      <c r="P566"/>
      <c r="Q566"/>
      <c r="R566">
        <v>22.183806939</v>
      </c>
      <c r="S566">
        <v>46.772229211999999</v>
      </c>
      <c r="T566">
        <v>34.056918654</v>
      </c>
      <c r="U566"/>
      <c r="V566">
        <v>38.791116015999997</v>
      </c>
      <c r="W566"/>
      <c r="X566"/>
      <c r="Y566"/>
      <c r="Z566"/>
      <c r="AA566"/>
      <c r="AB566">
        <v>51.801364542000002</v>
      </c>
      <c r="AC566">
        <v>23.892627201</v>
      </c>
      <c r="AD566"/>
      <c r="AE566">
        <v>43.294362771000003</v>
      </c>
      <c r="AF566"/>
      <c r="AG566"/>
      <c r="AH566">
        <v>33.995915072999999</v>
      </c>
      <c r="AI566">
        <v>29.468733099000001</v>
      </c>
      <c r="AJ566"/>
      <c r="AK566"/>
      <c r="AL566"/>
      <c r="AM566">
        <v>31.089563476999999</v>
      </c>
      <c r="AN566"/>
      <c r="AO566"/>
      <c r="AP566"/>
      <c r="AQ566">
        <v>42.428514403999998</v>
      </c>
      <c r="AR566"/>
      <c r="AS566">
        <v>33.045803530000001</v>
      </c>
      <c r="AT566"/>
    </row>
    <row r="567" spans="1:46" x14ac:dyDescent="0.2">
      <c r="A567" s="87">
        <v>24139</v>
      </c>
      <c r="B567"/>
      <c r="C567"/>
      <c r="D567">
        <v>19.385313652000001</v>
      </c>
      <c r="E567">
        <v>34.786533730000002</v>
      </c>
      <c r="F567"/>
      <c r="G567">
        <v>33.895960189</v>
      </c>
      <c r="H567"/>
      <c r="I567"/>
      <c r="J567"/>
      <c r="K567"/>
      <c r="L567">
        <v>39.375792464</v>
      </c>
      <c r="M567"/>
      <c r="N567"/>
      <c r="O567">
        <v>34.789434995999997</v>
      </c>
      <c r="P567"/>
      <c r="Q567"/>
      <c r="R567">
        <v>22.610857447000001</v>
      </c>
      <c r="S567">
        <v>47.868453334999998</v>
      </c>
      <c r="T567">
        <v>34.222535031</v>
      </c>
      <c r="U567"/>
      <c r="V567">
        <v>39.791976251000001</v>
      </c>
      <c r="W567"/>
      <c r="X567"/>
      <c r="Y567"/>
      <c r="Z567"/>
      <c r="AA567"/>
      <c r="AB567">
        <v>51.596616064999999</v>
      </c>
      <c r="AC567">
        <v>23.976756170000002</v>
      </c>
      <c r="AD567"/>
      <c r="AE567">
        <v>42.904272155000001</v>
      </c>
      <c r="AF567"/>
      <c r="AG567"/>
      <c r="AH567">
        <v>33.995915072999999</v>
      </c>
      <c r="AI567">
        <v>28.988264623999999</v>
      </c>
      <c r="AJ567"/>
      <c r="AK567"/>
      <c r="AL567"/>
      <c r="AM567">
        <v>31.030104747999999</v>
      </c>
      <c r="AN567"/>
      <c r="AO567"/>
      <c r="AP567"/>
      <c r="AQ567">
        <v>41.516073233999997</v>
      </c>
      <c r="AR567"/>
      <c r="AS567">
        <v>33.259999205</v>
      </c>
      <c r="AT567"/>
    </row>
    <row r="568" spans="1:46" x14ac:dyDescent="0.2">
      <c r="A568" s="87">
        <v>24167</v>
      </c>
      <c r="B568"/>
      <c r="C568"/>
      <c r="D568">
        <v>19.485704211000002</v>
      </c>
      <c r="E568">
        <v>34.779174171000001</v>
      </c>
      <c r="F568"/>
      <c r="G568">
        <v>33.791170438000002</v>
      </c>
      <c r="H568"/>
      <c r="I568"/>
      <c r="J568"/>
      <c r="K568"/>
      <c r="L568">
        <v>40.178120524000001</v>
      </c>
      <c r="M568"/>
      <c r="N568"/>
      <c r="O568">
        <v>36.605079146999998</v>
      </c>
      <c r="P568"/>
      <c r="Q568"/>
      <c r="R568">
        <v>22.832532520000001</v>
      </c>
      <c r="S568">
        <v>48.112058701000002</v>
      </c>
      <c r="T568">
        <v>34.834161926</v>
      </c>
      <c r="U568"/>
      <c r="V568">
        <v>40.219585213000002</v>
      </c>
      <c r="W568"/>
      <c r="X568"/>
      <c r="Y568"/>
      <c r="Z568"/>
      <c r="AA568"/>
      <c r="AB568">
        <v>52.961605898999998</v>
      </c>
      <c r="AC568">
        <v>24.649787922000002</v>
      </c>
      <c r="AD568"/>
      <c r="AE568">
        <v>41.383611530000003</v>
      </c>
      <c r="AF568"/>
      <c r="AG568"/>
      <c r="AH568">
        <v>34.852954949000001</v>
      </c>
      <c r="AI568">
        <v>29.880563219999999</v>
      </c>
      <c r="AJ568"/>
      <c r="AK568"/>
      <c r="AL568"/>
      <c r="AM568">
        <v>32.792836815999998</v>
      </c>
      <c r="AN568"/>
      <c r="AO568"/>
      <c r="AP568"/>
      <c r="AQ568">
        <v>42.884734989000002</v>
      </c>
      <c r="AR568"/>
      <c r="AS568">
        <v>33.715251745000003</v>
      </c>
      <c r="AT568"/>
    </row>
    <row r="569" spans="1:46" x14ac:dyDescent="0.2">
      <c r="A569" s="87">
        <v>24198</v>
      </c>
      <c r="B569"/>
      <c r="C569"/>
      <c r="D569">
        <v>19.536721319000002</v>
      </c>
      <c r="E569">
        <v>34.945087354000002</v>
      </c>
      <c r="F569"/>
      <c r="G569">
        <v>34.007798577999999</v>
      </c>
      <c r="H569"/>
      <c r="I569"/>
      <c r="J569"/>
      <c r="K569"/>
      <c r="L569">
        <v>39.499227550000001</v>
      </c>
      <c r="M569"/>
      <c r="N569"/>
      <c r="O569">
        <v>35.751498349000002</v>
      </c>
      <c r="P569"/>
      <c r="Q569"/>
      <c r="R569">
        <v>22.982489186999999</v>
      </c>
      <c r="S569">
        <v>47.685749313999999</v>
      </c>
      <c r="T569">
        <v>34.837098318000002</v>
      </c>
      <c r="U569"/>
      <c r="V569">
        <v>41.309229504000001</v>
      </c>
      <c r="W569"/>
      <c r="X569"/>
      <c r="Y569"/>
      <c r="Z569"/>
      <c r="AA569"/>
      <c r="AB569">
        <v>51.801364542000002</v>
      </c>
      <c r="AC569">
        <v>25.154561736000002</v>
      </c>
      <c r="AD569"/>
      <c r="AE569">
        <v>41.474274835000003</v>
      </c>
      <c r="AF569"/>
      <c r="AG569"/>
      <c r="AH569">
        <v>35.138634906999997</v>
      </c>
      <c r="AI569">
        <v>29.217059136</v>
      </c>
      <c r="AJ569"/>
      <c r="AK569"/>
      <c r="AL569"/>
      <c r="AM569">
        <v>32.842595645999999</v>
      </c>
      <c r="AN569"/>
      <c r="AO569"/>
      <c r="AP569"/>
      <c r="AQ569">
        <v>41.516073233999997</v>
      </c>
      <c r="AR569"/>
      <c r="AS569">
        <v>33.768875002999998</v>
      </c>
      <c r="AT569"/>
    </row>
    <row r="570" spans="1:46" x14ac:dyDescent="0.2">
      <c r="A570" s="87">
        <v>24228</v>
      </c>
      <c r="B570"/>
      <c r="C570"/>
      <c r="D570">
        <v>19.472939485000001</v>
      </c>
      <c r="E570">
        <v>34.584000160000002</v>
      </c>
      <c r="F570"/>
      <c r="G570">
        <v>34.020956036000001</v>
      </c>
      <c r="H570"/>
      <c r="I570"/>
      <c r="J570"/>
      <c r="K570"/>
      <c r="L570">
        <v>39.314074921</v>
      </c>
      <c r="M570"/>
      <c r="N570"/>
      <c r="O570">
        <v>36.104752136000002</v>
      </c>
      <c r="P570"/>
      <c r="Q570"/>
      <c r="R570">
        <v>23.204164259999999</v>
      </c>
      <c r="S570">
        <v>48.416565396000003</v>
      </c>
      <c r="T570">
        <v>35.162408149999997</v>
      </c>
      <c r="U570"/>
      <c r="V570">
        <v>44.589222882999998</v>
      </c>
      <c r="W570"/>
      <c r="X570"/>
      <c r="Y570"/>
      <c r="Z570"/>
      <c r="AA570"/>
      <c r="AB570">
        <v>53.780599803999998</v>
      </c>
      <c r="AC570">
        <v>25.406948643</v>
      </c>
      <c r="AD570"/>
      <c r="AE570">
        <v>41.967441004999998</v>
      </c>
      <c r="AF570"/>
      <c r="AG570"/>
      <c r="AH570">
        <v>34.852954949000001</v>
      </c>
      <c r="AI570">
        <v>29.766165963999999</v>
      </c>
      <c r="AJ570"/>
      <c r="AK570"/>
      <c r="AL570"/>
      <c r="AM570">
        <v>32.314491238999999</v>
      </c>
      <c r="AN570"/>
      <c r="AO570"/>
      <c r="AP570"/>
      <c r="AQ570">
        <v>41.972293819000001</v>
      </c>
      <c r="AR570"/>
      <c r="AS570">
        <v>34.090218075000003</v>
      </c>
      <c r="AT570"/>
    </row>
    <row r="571" spans="1:46" x14ac:dyDescent="0.2">
      <c r="A571" s="87">
        <v>24259</v>
      </c>
      <c r="B571"/>
      <c r="C571"/>
      <c r="D571">
        <v>19.529328306</v>
      </c>
      <c r="E571">
        <v>34.961954339999998</v>
      </c>
      <c r="F571"/>
      <c r="G571">
        <v>34.046801041999998</v>
      </c>
      <c r="H571"/>
      <c r="I571"/>
      <c r="J571"/>
      <c r="K571"/>
      <c r="L571">
        <v>39.807815265000002</v>
      </c>
      <c r="M571"/>
      <c r="N571"/>
      <c r="O571">
        <v>36.307524524000002</v>
      </c>
      <c r="P571"/>
      <c r="Q571"/>
      <c r="R571">
        <v>23.438879043</v>
      </c>
      <c r="S571">
        <v>49.086480141000003</v>
      </c>
      <c r="T571">
        <v>35.472098095</v>
      </c>
      <c r="U571"/>
      <c r="V571">
        <v>42.900956700000002</v>
      </c>
      <c r="W571"/>
      <c r="X571"/>
      <c r="Y571"/>
      <c r="Z571"/>
      <c r="AA571"/>
      <c r="AB571">
        <v>53.985348291000001</v>
      </c>
      <c r="AC571">
        <v>25.827593489000002</v>
      </c>
      <c r="AD571"/>
      <c r="AE571">
        <v>42.185152776000002</v>
      </c>
      <c r="AF571"/>
      <c r="AG571"/>
      <c r="AH571">
        <v>34.852954949000001</v>
      </c>
      <c r="AI571">
        <v>31.047415228999999</v>
      </c>
      <c r="AJ571"/>
      <c r="AK571"/>
      <c r="AL571"/>
      <c r="AM571">
        <v>30.867310312000001</v>
      </c>
      <c r="AN571"/>
      <c r="AO571"/>
      <c r="AP571"/>
      <c r="AQ571">
        <v>42.884734989000002</v>
      </c>
      <c r="AR571"/>
      <c r="AS571">
        <v>34.250790492999997</v>
      </c>
      <c r="AT571"/>
    </row>
    <row r="572" spans="1:46" x14ac:dyDescent="0.2">
      <c r="A572" s="87">
        <v>24289</v>
      </c>
      <c r="B572"/>
      <c r="C572"/>
      <c r="D572">
        <v>19.713157317</v>
      </c>
      <c r="E572">
        <v>34.899732469</v>
      </c>
      <c r="F572"/>
      <c r="G572">
        <v>33.902069009000002</v>
      </c>
      <c r="H572"/>
      <c r="I572"/>
      <c r="J572"/>
      <c r="K572"/>
      <c r="L572">
        <v>39.375792464</v>
      </c>
      <c r="M572"/>
      <c r="N572"/>
      <c r="O572">
        <v>36.036810545000002</v>
      </c>
      <c r="P572"/>
      <c r="Q572"/>
      <c r="R572">
        <v>23.109626361</v>
      </c>
      <c r="S572">
        <v>49.390986845</v>
      </c>
      <c r="T572">
        <v>35.647460187999997</v>
      </c>
      <c r="U572"/>
      <c r="V572">
        <v>42.822337408999999</v>
      </c>
      <c r="W572"/>
      <c r="X572"/>
      <c r="Y572"/>
      <c r="Z572"/>
      <c r="AA572"/>
      <c r="AB572">
        <v>54.463094730999998</v>
      </c>
      <c r="AC572">
        <v>26.248238334</v>
      </c>
      <c r="AD572"/>
      <c r="AE572">
        <v>41.935014283000001</v>
      </c>
      <c r="AF572"/>
      <c r="AG572"/>
      <c r="AH572">
        <v>34.567274990000001</v>
      </c>
      <c r="AI572">
        <v>29.880563219999999</v>
      </c>
      <c r="AJ572"/>
      <c r="AK572"/>
      <c r="AL572"/>
      <c r="AM572">
        <v>30.947046522000001</v>
      </c>
      <c r="AN572"/>
      <c r="AO572"/>
      <c r="AP572"/>
      <c r="AQ572">
        <v>39.234970308999998</v>
      </c>
      <c r="AR572"/>
      <c r="AS572">
        <v>34.438323218000001</v>
      </c>
      <c r="AT572"/>
    </row>
    <row r="573" spans="1:46" x14ac:dyDescent="0.2">
      <c r="A573" s="87">
        <v>24320</v>
      </c>
      <c r="B573"/>
      <c r="C573"/>
      <c r="D573">
        <v>19.052475522999998</v>
      </c>
      <c r="E573">
        <v>35.078832532</v>
      </c>
      <c r="F573"/>
      <c r="G573">
        <v>33.358384067000003</v>
      </c>
      <c r="H573"/>
      <c r="I573"/>
      <c r="J573"/>
      <c r="K573"/>
      <c r="L573">
        <v>38.882052119999997</v>
      </c>
      <c r="M573"/>
      <c r="N573"/>
      <c r="O573">
        <v>37.551878086999999</v>
      </c>
      <c r="P573"/>
      <c r="Q573"/>
      <c r="R573">
        <v>23.226983752999999</v>
      </c>
      <c r="S573">
        <v>49.390986845</v>
      </c>
      <c r="T573">
        <v>35.764626690999997</v>
      </c>
      <c r="U573"/>
      <c r="V573">
        <v>42.401010673999998</v>
      </c>
      <c r="W573"/>
      <c r="X573"/>
      <c r="Y573"/>
      <c r="Z573"/>
      <c r="AA573"/>
      <c r="AB573">
        <v>55.896334064000001</v>
      </c>
      <c r="AC573">
        <v>26.668883179000002</v>
      </c>
      <c r="AD573"/>
      <c r="AE573">
        <v>42.04388582</v>
      </c>
      <c r="AF573"/>
      <c r="AG573"/>
      <c r="AH573">
        <v>35.424314866000003</v>
      </c>
      <c r="AI573">
        <v>30.086478280000001</v>
      </c>
      <c r="AJ573"/>
      <c r="AK573"/>
      <c r="AL573"/>
      <c r="AM573">
        <v>31.736387174000001</v>
      </c>
      <c r="AN573"/>
      <c r="AO573"/>
      <c r="AP573"/>
      <c r="AQ573">
        <v>41.972293819000001</v>
      </c>
      <c r="AR573"/>
      <c r="AS573">
        <v>34.465085287000001</v>
      </c>
      <c r="AT573"/>
    </row>
    <row r="574" spans="1:46" x14ac:dyDescent="0.2">
      <c r="A574" s="87">
        <v>24351</v>
      </c>
      <c r="B574"/>
      <c r="C574"/>
      <c r="D574">
        <v>19.608544650999999</v>
      </c>
      <c r="E574">
        <v>35.286098398999997</v>
      </c>
      <c r="F574"/>
      <c r="G574">
        <v>34.212209080000001</v>
      </c>
      <c r="H574"/>
      <c r="I574"/>
      <c r="J574"/>
      <c r="K574"/>
      <c r="L574">
        <v>39.128922291999999</v>
      </c>
      <c r="M574"/>
      <c r="N574"/>
      <c r="O574">
        <v>38.195734967999996</v>
      </c>
      <c r="P574"/>
      <c r="Q574"/>
      <c r="R574">
        <v>23.843110059000001</v>
      </c>
      <c r="S574">
        <v>49.512789519000002</v>
      </c>
      <c r="T574">
        <v>36.120692503000001</v>
      </c>
      <c r="U574"/>
      <c r="V574">
        <v>42.714152091000003</v>
      </c>
      <c r="W574"/>
      <c r="X574"/>
      <c r="Y574"/>
      <c r="Z574"/>
      <c r="AA574"/>
      <c r="AB574">
        <v>56.032833052000001</v>
      </c>
      <c r="AC574">
        <v>27.089528024</v>
      </c>
      <c r="AD574"/>
      <c r="AE574">
        <v>42.183864434</v>
      </c>
      <c r="AF574"/>
      <c r="AG574"/>
      <c r="AH574">
        <v>35.424314866000003</v>
      </c>
      <c r="AI574">
        <v>31.230450837999999</v>
      </c>
      <c r="AJ574"/>
      <c r="AK574"/>
      <c r="AL574"/>
      <c r="AM574">
        <v>29.997437826999999</v>
      </c>
      <c r="AN574"/>
      <c r="AO574"/>
      <c r="AP574"/>
      <c r="AQ574">
        <v>43.797176159000003</v>
      </c>
      <c r="AR574"/>
      <c r="AS574">
        <v>34.786428360000002</v>
      </c>
      <c r="AT574"/>
    </row>
    <row r="575" spans="1:46" x14ac:dyDescent="0.2">
      <c r="A575" s="87">
        <v>24381</v>
      </c>
      <c r="B575"/>
      <c r="C575"/>
      <c r="D575">
        <v>20.076418726</v>
      </c>
      <c r="E575">
        <v>34.817049586000003</v>
      </c>
      <c r="F575"/>
      <c r="G575">
        <v>34.597534621999998</v>
      </c>
      <c r="H575"/>
      <c r="I575"/>
      <c r="J575"/>
      <c r="K575"/>
      <c r="L575">
        <v>38.635181948000003</v>
      </c>
      <c r="M575"/>
      <c r="N575"/>
      <c r="O575">
        <v>38.353525136999998</v>
      </c>
      <c r="P575"/>
      <c r="Q575"/>
      <c r="R575">
        <v>24.328839262999999</v>
      </c>
      <c r="S575">
        <v>48.903776120000003</v>
      </c>
      <c r="T575">
        <v>36.268442465</v>
      </c>
      <c r="U575"/>
      <c r="V575">
        <v>43.024301743999999</v>
      </c>
      <c r="W575"/>
      <c r="X575"/>
      <c r="Y575"/>
      <c r="Z575"/>
      <c r="AA575"/>
      <c r="AB575">
        <v>55.418587623999997</v>
      </c>
      <c r="AC575">
        <v>27.594301838</v>
      </c>
      <c r="AD575"/>
      <c r="AE575">
        <v>42.494061473000002</v>
      </c>
      <c r="AF575"/>
      <c r="AG575"/>
      <c r="AH575">
        <v>35.709994823999999</v>
      </c>
      <c r="AI575">
        <v>30.475428950000001</v>
      </c>
      <c r="AJ575"/>
      <c r="AK575"/>
      <c r="AL575"/>
      <c r="AM575">
        <v>29.979929253000002</v>
      </c>
      <c r="AN575"/>
      <c r="AO575"/>
      <c r="AP575"/>
      <c r="AQ575">
        <v>43.340955573999999</v>
      </c>
      <c r="AR575"/>
      <c r="AS575">
        <v>35.027485224000003</v>
      </c>
      <c r="AT575"/>
    </row>
    <row r="576" spans="1:46" x14ac:dyDescent="0.2">
      <c r="A576" s="87">
        <v>24412</v>
      </c>
      <c r="B576"/>
      <c r="C576"/>
      <c r="D576">
        <v>19.742945923000001</v>
      </c>
      <c r="E576">
        <v>35.034699760999999</v>
      </c>
      <c r="F576"/>
      <c r="G576">
        <v>34.454212317</v>
      </c>
      <c r="H576"/>
      <c r="I576"/>
      <c r="J576"/>
      <c r="K576"/>
      <c r="L576">
        <v>38.141441602999997</v>
      </c>
      <c r="M576"/>
      <c r="N576"/>
      <c r="O576">
        <v>37.962742716000001</v>
      </c>
      <c r="P576"/>
      <c r="Q576"/>
      <c r="R576">
        <v>24.292980060000001</v>
      </c>
      <c r="S576">
        <v>49.451888181999998</v>
      </c>
      <c r="T576">
        <v>36.283415177000002</v>
      </c>
      <c r="U576"/>
      <c r="V576">
        <v>42.800961237999999</v>
      </c>
      <c r="W576"/>
      <c r="X576"/>
      <c r="Y576"/>
      <c r="Z576"/>
      <c r="AA576"/>
      <c r="AB576">
        <v>55.691585588000002</v>
      </c>
      <c r="AC576">
        <v>28.183204621000002</v>
      </c>
      <c r="AD576"/>
      <c r="AE576">
        <v>42.105101296000001</v>
      </c>
      <c r="AF576"/>
      <c r="AG576"/>
      <c r="AH576">
        <v>35.995674782999998</v>
      </c>
      <c r="AI576">
        <v>31.093174131000001</v>
      </c>
      <c r="AJ576"/>
      <c r="AK576"/>
      <c r="AL576"/>
      <c r="AM576">
        <v>30.366574408000002</v>
      </c>
      <c r="AN576"/>
      <c r="AO576"/>
      <c r="AP576"/>
      <c r="AQ576">
        <v>42.884734989000002</v>
      </c>
      <c r="AR576"/>
      <c r="AS576">
        <v>34.786428360000002</v>
      </c>
      <c r="AT576"/>
    </row>
    <row r="577" spans="1:46" x14ac:dyDescent="0.2">
      <c r="A577" s="87">
        <v>24442</v>
      </c>
      <c r="B577"/>
      <c r="C577"/>
      <c r="D577">
        <v>20.362333215</v>
      </c>
      <c r="E577">
        <v>34.627185177000001</v>
      </c>
      <c r="F577"/>
      <c r="G577">
        <v>34.496504143999999</v>
      </c>
      <c r="H577"/>
      <c r="I577"/>
      <c r="J577"/>
      <c r="K577"/>
      <c r="L577">
        <v>38.203159145999997</v>
      </c>
      <c r="M577"/>
      <c r="N577"/>
      <c r="O577">
        <v>39.366334684999998</v>
      </c>
      <c r="P577"/>
      <c r="Q577"/>
      <c r="R577">
        <v>24.159323029999999</v>
      </c>
      <c r="S577">
        <v>49.451888181999998</v>
      </c>
      <c r="T577">
        <v>36.569129684000004</v>
      </c>
      <c r="U577"/>
      <c r="V577">
        <v>43.864418358000002</v>
      </c>
      <c r="W577"/>
      <c r="X577"/>
      <c r="Y577"/>
      <c r="Z577"/>
      <c r="AA577"/>
      <c r="AB577">
        <v>56.851826957</v>
      </c>
      <c r="AC577">
        <v>28.772107404</v>
      </c>
      <c r="AD577"/>
      <c r="AE577">
        <v>42.466997497000001</v>
      </c>
      <c r="AF577"/>
      <c r="AG577"/>
      <c r="AH577">
        <v>35.709994823999999</v>
      </c>
      <c r="AI577">
        <v>31.45924535</v>
      </c>
      <c r="AJ577"/>
      <c r="AK577"/>
      <c r="AL577"/>
      <c r="AM577">
        <v>30.107159446000001</v>
      </c>
      <c r="AN577"/>
      <c r="AO577"/>
      <c r="AP577"/>
      <c r="AQ577">
        <v>41.972293819000001</v>
      </c>
      <c r="AR577"/>
      <c r="AS577">
        <v>34.866813686999997</v>
      </c>
      <c r="AT577"/>
    </row>
    <row r="578" spans="1:46" x14ac:dyDescent="0.2">
      <c r="A578" s="87">
        <v>24473</v>
      </c>
      <c r="B578"/>
      <c r="C578"/>
      <c r="D578">
        <v>19.544434020000001</v>
      </c>
      <c r="E578">
        <v>34.967248451000003</v>
      </c>
      <c r="F578"/>
      <c r="G578">
        <v>34.751194929999997</v>
      </c>
      <c r="H578"/>
      <c r="I578"/>
      <c r="J578"/>
      <c r="K578"/>
      <c r="L578">
        <v>37.524266173000001</v>
      </c>
      <c r="M578"/>
      <c r="N578"/>
      <c r="O578">
        <v>37.661721978000003</v>
      </c>
      <c r="P578"/>
      <c r="Q578"/>
      <c r="R578">
        <v>24.198442160999999</v>
      </c>
      <c r="S578">
        <v>49.208282824000001</v>
      </c>
      <c r="T578">
        <v>36.603271665999998</v>
      </c>
      <c r="U578"/>
      <c r="V578">
        <v>43.958949537000002</v>
      </c>
      <c r="W578"/>
      <c r="X578"/>
      <c r="Y578"/>
      <c r="Z578"/>
      <c r="AA578"/>
      <c r="AB578">
        <v>57.056575432999999</v>
      </c>
      <c r="AC578">
        <v>28.940365342</v>
      </c>
      <c r="AD578"/>
      <c r="AE578">
        <v>43.299146886000003</v>
      </c>
      <c r="AF578"/>
      <c r="AG578"/>
      <c r="AH578">
        <v>35.424314866000003</v>
      </c>
      <c r="AI578">
        <v>32.054111079999998</v>
      </c>
      <c r="AJ578"/>
      <c r="AK578"/>
      <c r="AL578"/>
      <c r="AM578">
        <v>30.270740161999999</v>
      </c>
      <c r="AN578"/>
      <c r="AO578"/>
      <c r="AP578"/>
      <c r="AQ578">
        <v>42.884734989000002</v>
      </c>
      <c r="AR578"/>
      <c r="AS578">
        <v>35.031251736999998</v>
      </c>
      <c r="AT578"/>
    </row>
    <row r="579" spans="1:46" x14ac:dyDescent="0.2">
      <c r="A579" s="87">
        <v>24504</v>
      </c>
      <c r="B579"/>
      <c r="C579"/>
      <c r="D579">
        <v>19.551743253000001</v>
      </c>
      <c r="E579">
        <v>35.567580773000003</v>
      </c>
      <c r="F579"/>
      <c r="G579">
        <v>34.438235403999997</v>
      </c>
      <c r="H579"/>
      <c r="I579"/>
      <c r="J579"/>
      <c r="K579"/>
      <c r="L579">
        <v>37.092243371000002</v>
      </c>
      <c r="M579"/>
      <c r="N579"/>
      <c r="O579">
        <v>35.870359925999999</v>
      </c>
      <c r="P579"/>
      <c r="Q579"/>
      <c r="R579">
        <v>24.234301364</v>
      </c>
      <c r="S579">
        <v>48.903776120000003</v>
      </c>
      <c r="T579">
        <v>36.299003517000003</v>
      </c>
      <c r="U579"/>
      <c r="V579">
        <v>44.023435724999999</v>
      </c>
      <c r="W579"/>
      <c r="X579"/>
      <c r="Y579"/>
      <c r="Z579"/>
      <c r="AA579"/>
      <c r="AB579">
        <v>57.943818825999998</v>
      </c>
      <c r="AC579">
        <v>28.687978435000002</v>
      </c>
      <c r="AD579"/>
      <c r="AE579">
        <v>42.667521077000004</v>
      </c>
      <c r="AF579"/>
      <c r="AG579"/>
      <c r="AH579">
        <v>35.709994823999999</v>
      </c>
      <c r="AI579">
        <v>31.253330290000001</v>
      </c>
      <c r="AJ579"/>
      <c r="AK579"/>
      <c r="AL579"/>
      <c r="AM579">
        <v>29.103417143000001</v>
      </c>
      <c r="AN579"/>
      <c r="AO579"/>
      <c r="AP579"/>
      <c r="AQ579">
        <v>43.340955573999999</v>
      </c>
      <c r="AR579"/>
      <c r="AS579">
        <v>34.633983682</v>
      </c>
      <c r="AT579"/>
    </row>
    <row r="580" spans="1:46" x14ac:dyDescent="0.2">
      <c r="A580" s="87">
        <v>24532</v>
      </c>
      <c r="B580"/>
      <c r="C580"/>
      <c r="D580">
        <v>19.612045989999999</v>
      </c>
      <c r="E580">
        <v>35.371040360999999</v>
      </c>
      <c r="F580"/>
      <c r="G580">
        <v>34.488515688</v>
      </c>
      <c r="H580"/>
      <c r="I580"/>
      <c r="J580"/>
      <c r="K580"/>
      <c r="L580">
        <v>36.845373199000001</v>
      </c>
      <c r="M580"/>
      <c r="N580"/>
      <c r="O580">
        <v>36.949392488000001</v>
      </c>
      <c r="P580"/>
      <c r="Q580"/>
      <c r="R580">
        <v>24.247341074000001</v>
      </c>
      <c r="S580">
        <v>49.208282824000001</v>
      </c>
      <c r="T580">
        <v>36.335160635000001</v>
      </c>
      <c r="U580"/>
      <c r="V580">
        <v>44.152058990999997</v>
      </c>
      <c r="W580"/>
      <c r="X580"/>
      <c r="Y580"/>
      <c r="Z580"/>
      <c r="AA580"/>
      <c r="AB580">
        <v>57.124824920999998</v>
      </c>
      <c r="AC580">
        <v>29.445139156</v>
      </c>
      <c r="AD580"/>
      <c r="AE580">
        <v>42.381548930999998</v>
      </c>
      <c r="AF580"/>
      <c r="AG580"/>
      <c r="AH580">
        <v>35.709994823999999</v>
      </c>
      <c r="AI580">
        <v>30.955897424</v>
      </c>
      <c r="AJ580"/>
      <c r="AK580"/>
      <c r="AL580"/>
      <c r="AM580">
        <v>30.214932098999999</v>
      </c>
      <c r="AN580"/>
      <c r="AO580"/>
      <c r="AP580"/>
      <c r="AQ580">
        <v>43.340955573999999</v>
      </c>
      <c r="AR580"/>
      <c r="AS580">
        <v>34.438719693000003</v>
      </c>
      <c r="AT580"/>
    </row>
    <row r="581" spans="1:46" x14ac:dyDescent="0.2">
      <c r="A581" s="87">
        <v>24563</v>
      </c>
      <c r="B581"/>
      <c r="C581"/>
      <c r="D581">
        <v>20.019053100000001</v>
      </c>
      <c r="E581">
        <v>34.649203053000001</v>
      </c>
      <c r="F581"/>
      <c r="G581">
        <v>34.831549402999997</v>
      </c>
      <c r="H581"/>
      <c r="I581"/>
      <c r="J581"/>
      <c r="K581"/>
      <c r="L581">
        <v>37.092243371000002</v>
      </c>
      <c r="M581"/>
      <c r="N581"/>
      <c r="O581">
        <v>38.579363096999998</v>
      </c>
      <c r="P581"/>
      <c r="Q581"/>
      <c r="R581">
        <v>24.009366363000002</v>
      </c>
      <c r="S581">
        <v>48.660170763000004</v>
      </c>
      <c r="T581">
        <v>36.646467700000002</v>
      </c>
      <c r="U581"/>
      <c r="V581">
        <v>44.192124243999999</v>
      </c>
      <c r="W581"/>
      <c r="X581"/>
      <c r="Y581"/>
      <c r="Z581"/>
      <c r="AA581"/>
      <c r="AB581">
        <v>58.216816801</v>
      </c>
      <c r="AC581">
        <v>29.697526063000002</v>
      </c>
      <c r="AD581"/>
      <c r="AE581">
        <v>42.429196930000003</v>
      </c>
      <c r="AF581"/>
      <c r="AG581"/>
      <c r="AH581">
        <v>36.281354741999998</v>
      </c>
      <c r="AI581">
        <v>31.207571387000002</v>
      </c>
      <c r="AJ581"/>
      <c r="AK581"/>
      <c r="AL581"/>
      <c r="AM581">
        <v>29.613506991000001</v>
      </c>
      <c r="AN581"/>
      <c r="AO581"/>
      <c r="AP581"/>
      <c r="AQ581">
        <v>43.340955573999999</v>
      </c>
      <c r="AR581"/>
      <c r="AS581">
        <v>34.763531921999999</v>
      </c>
      <c r="AT581"/>
    </row>
    <row r="582" spans="1:46" x14ac:dyDescent="0.2">
      <c r="A582" s="87">
        <v>24593</v>
      </c>
      <c r="B582"/>
      <c r="C582"/>
      <c r="D582">
        <v>19.792095271000001</v>
      </c>
      <c r="E582">
        <v>35.402112762999998</v>
      </c>
      <c r="F582"/>
      <c r="G582">
        <v>34.712192465999998</v>
      </c>
      <c r="H582"/>
      <c r="I582"/>
      <c r="J582"/>
      <c r="K582"/>
      <c r="L582">
        <v>36.536785483999999</v>
      </c>
      <c r="M582"/>
      <c r="N582"/>
      <c r="O582">
        <v>37.53624679</v>
      </c>
      <c r="P582"/>
      <c r="Q582"/>
      <c r="R582">
        <v>23.817030637999999</v>
      </c>
      <c r="S582">
        <v>48.903776120000003</v>
      </c>
      <c r="T582">
        <v>36.611339672</v>
      </c>
      <c r="U582"/>
      <c r="V582">
        <v>44.489728516</v>
      </c>
      <c r="W582"/>
      <c r="X582"/>
      <c r="Y582"/>
      <c r="Z582"/>
      <c r="AA582"/>
      <c r="AB582">
        <v>58.626313754000002</v>
      </c>
      <c r="AC582">
        <v>30.370557816000002</v>
      </c>
      <c r="AD582"/>
      <c r="AE582">
        <v>42.248368902999999</v>
      </c>
      <c r="AF582"/>
      <c r="AG582"/>
      <c r="AH582">
        <v>35.138634906999997</v>
      </c>
      <c r="AI582">
        <v>30.338152243</v>
      </c>
      <c r="AJ582"/>
      <c r="AK582"/>
      <c r="AL582"/>
      <c r="AM582">
        <v>30.062717922000001</v>
      </c>
      <c r="AN582"/>
      <c r="AO582"/>
      <c r="AP582"/>
      <c r="AQ582">
        <v>44.253396744</v>
      </c>
      <c r="AR582"/>
      <c r="AS582">
        <v>34.460228467</v>
      </c>
      <c r="AT582"/>
    </row>
    <row r="583" spans="1:46" x14ac:dyDescent="0.2">
      <c r="A583" s="87">
        <v>24624</v>
      </c>
      <c r="B583"/>
      <c r="C583"/>
      <c r="D583">
        <v>19.660935658</v>
      </c>
      <c r="E583">
        <v>35.076887065999998</v>
      </c>
      <c r="F583"/>
      <c r="G583">
        <v>34.878070413000003</v>
      </c>
      <c r="H583"/>
      <c r="I583"/>
      <c r="J583"/>
      <c r="K583"/>
      <c r="L583">
        <v>37.339113544</v>
      </c>
      <c r="M583"/>
      <c r="N583"/>
      <c r="O583">
        <v>38.784578174000004</v>
      </c>
      <c r="P583"/>
      <c r="Q583"/>
      <c r="R583">
        <v>23.435619116000002</v>
      </c>
      <c r="S583">
        <v>50.182704264000002</v>
      </c>
      <c r="T583">
        <v>36.919989831000002</v>
      </c>
      <c r="U583"/>
      <c r="V583">
        <v>43.333822390000002</v>
      </c>
      <c r="W583"/>
      <c r="X583"/>
      <c r="Y583"/>
      <c r="Z583"/>
      <c r="AA583"/>
      <c r="AB583">
        <v>58.353315778000002</v>
      </c>
      <c r="AC583">
        <v>30.875331630000002</v>
      </c>
      <c r="AD583"/>
      <c r="AE583">
        <v>41.421067557999997</v>
      </c>
      <c r="AF583"/>
      <c r="AG583"/>
      <c r="AH583">
        <v>36.567034700000001</v>
      </c>
      <c r="AI583">
        <v>32.054111079999998</v>
      </c>
      <c r="AJ583"/>
      <c r="AK583"/>
      <c r="AL583"/>
      <c r="AM583">
        <v>32.139620002000001</v>
      </c>
      <c r="AN583"/>
      <c r="AO583"/>
      <c r="AP583"/>
      <c r="AQ583">
        <v>43.797176159000003</v>
      </c>
      <c r="AR583"/>
      <c r="AS583">
        <v>34.455966359999998</v>
      </c>
      <c r="AT583"/>
    </row>
    <row r="584" spans="1:46" x14ac:dyDescent="0.2">
      <c r="A584" s="87">
        <v>24654</v>
      </c>
      <c r="B584"/>
      <c r="C584"/>
      <c r="D584">
        <v>19.695422839999999</v>
      </c>
      <c r="E584">
        <v>35.305023239999997</v>
      </c>
      <c r="F584"/>
      <c r="G584">
        <v>35.009175079999999</v>
      </c>
      <c r="H584"/>
      <c r="I584"/>
      <c r="J584"/>
      <c r="K584"/>
      <c r="L584">
        <v>38.326594231999998</v>
      </c>
      <c r="M584"/>
      <c r="N584"/>
      <c r="O584">
        <v>38.209551138000002</v>
      </c>
      <c r="P584"/>
      <c r="Q584"/>
      <c r="R584">
        <v>24.006106436</v>
      </c>
      <c r="S584">
        <v>49.756394886000002</v>
      </c>
      <c r="T584">
        <v>37.136172086999998</v>
      </c>
      <c r="U584"/>
      <c r="V584">
        <v>43.197474552000003</v>
      </c>
      <c r="W584"/>
      <c r="X584"/>
      <c r="Y584"/>
      <c r="Z584"/>
      <c r="AA584"/>
      <c r="AB584">
        <v>58.421565278000003</v>
      </c>
      <c r="AC584">
        <v>31.211847506000002</v>
      </c>
      <c r="AD584"/>
      <c r="AE584">
        <v>42.344927497</v>
      </c>
      <c r="AF584"/>
      <c r="AG584"/>
      <c r="AH584">
        <v>36.852714659</v>
      </c>
      <c r="AI584">
        <v>29.926322121999998</v>
      </c>
      <c r="AJ584"/>
      <c r="AK584"/>
      <c r="AL584"/>
      <c r="AM584">
        <v>31.141338790999999</v>
      </c>
      <c r="AN584"/>
      <c r="AO584"/>
      <c r="AP584"/>
      <c r="AQ584">
        <v>42.428514403999998</v>
      </c>
      <c r="AR584"/>
      <c r="AS584">
        <v>34.377464289000002</v>
      </c>
      <c r="AT584"/>
    </row>
    <row r="585" spans="1:46" x14ac:dyDescent="0.2">
      <c r="A585" s="87">
        <v>24685</v>
      </c>
      <c r="B585"/>
      <c r="C585"/>
      <c r="D585">
        <v>19.107373502000002</v>
      </c>
      <c r="E585">
        <v>35.345219587000003</v>
      </c>
      <c r="F585"/>
      <c r="G585">
        <v>35.601730578000002</v>
      </c>
      <c r="H585"/>
      <c r="I585"/>
      <c r="J585"/>
      <c r="K585"/>
      <c r="L585">
        <v>37.524266173000001</v>
      </c>
      <c r="M585"/>
      <c r="N585"/>
      <c r="O585">
        <v>38.635071916999998</v>
      </c>
      <c r="P585"/>
      <c r="Q585"/>
      <c r="R585">
        <v>24.537474626000002</v>
      </c>
      <c r="S585">
        <v>49.756394886000002</v>
      </c>
      <c r="T585">
        <v>37.472117988000001</v>
      </c>
      <c r="U585"/>
      <c r="V585">
        <v>43.693921859</v>
      </c>
      <c r="W585"/>
      <c r="X585"/>
      <c r="Y585"/>
      <c r="Z585"/>
      <c r="AA585"/>
      <c r="AB585">
        <v>58.626313754000002</v>
      </c>
      <c r="AC585">
        <v>31.716621320000002</v>
      </c>
      <c r="AD585"/>
      <c r="AE585">
        <v>40.962352099</v>
      </c>
      <c r="AF585"/>
      <c r="AG585"/>
      <c r="AH585">
        <v>36.852714659</v>
      </c>
      <c r="AI585">
        <v>32.076990531</v>
      </c>
      <c r="AJ585"/>
      <c r="AK585"/>
      <c r="AL585"/>
      <c r="AM585">
        <v>30.898577566</v>
      </c>
      <c r="AN585"/>
      <c r="AO585"/>
      <c r="AP585"/>
      <c r="AQ585">
        <v>43.797176159000003</v>
      </c>
      <c r="AR585"/>
      <c r="AS585">
        <v>35.036108556999999</v>
      </c>
      <c r="AT585"/>
    </row>
    <row r="586" spans="1:46" x14ac:dyDescent="0.2">
      <c r="A586" s="87">
        <v>24716</v>
      </c>
      <c r="B586"/>
      <c r="C586"/>
      <c r="D586">
        <v>19.77252223</v>
      </c>
      <c r="E586">
        <v>35.407320695000003</v>
      </c>
      <c r="F586"/>
      <c r="G586">
        <v>35.488012552000001</v>
      </c>
      <c r="H586"/>
      <c r="I586"/>
      <c r="J586"/>
      <c r="K586"/>
      <c r="L586">
        <v>38.511746860999999</v>
      </c>
      <c r="M586"/>
      <c r="N586"/>
      <c r="O586">
        <v>38.082878739999998</v>
      </c>
      <c r="P586"/>
      <c r="Q586"/>
      <c r="R586">
        <v>24.270160567000001</v>
      </c>
      <c r="S586">
        <v>50.669914988000002</v>
      </c>
      <c r="T586">
        <v>37.874658568999997</v>
      </c>
      <c r="U586"/>
      <c r="V586">
        <v>43.620761528000003</v>
      </c>
      <c r="W586"/>
      <c r="X586"/>
      <c r="Y586"/>
      <c r="Z586"/>
      <c r="AA586"/>
      <c r="AB586">
        <v>58.353315778000002</v>
      </c>
      <c r="AC586">
        <v>32.642039979000003</v>
      </c>
      <c r="AD586"/>
      <c r="AE586">
        <v>41.788194697999998</v>
      </c>
      <c r="AF586"/>
      <c r="AG586"/>
      <c r="AH586">
        <v>37.709754533999998</v>
      </c>
      <c r="AI586">
        <v>31.436365898999998</v>
      </c>
      <c r="AJ586"/>
      <c r="AK586"/>
      <c r="AL586"/>
      <c r="AM586">
        <v>30.735664734</v>
      </c>
      <c r="AN586"/>
      <c r="AO586"/>
      <c r="AP586"/>
      <c r="AQ586">
        <v>44.709617328999997</v>
      </c>
      <c r="AR586"/>
      <c r="AS586">
        <v>34.979214380000002</v>
      </c>
      <c r="AT586"/>
    </row>
    <row r="587" spans="1:46" x14ac:dyDescent="0.2">
      <c r="A587" s="87">
        <v>24746</v>
      </c>
      <c r="B587"/>
      <c r="C587"/>
      <c r="D587">
        <v>19.844007098999999</v>
      </c>
      <c r="E587">
        <v>35.995321767999997</v>
      </c>
      <c r="F587"/>
      <c r="G587">
        <v>35.247419043000001</v>
      </c>
      <c r="H587"/>
      <c r="I587"/>
      <c r="J587"/>
      <c r="K587"/>
      <c r="L587">
        <v>38.943769662999998</v>
      </c>
      <c r="M587"/>
      <c r="N587"/>
      <c r="O587">
        <v>37.665777038999998</v>
      </c>
      <c r="P587"/>
      <c r="Q587"/>
      <c r="R587">
        <v>24.948225495999999</v>
      </c>
      <c r="S587">
        <v>50.000000243000002</v>
      </c>
      <c r="T587">
        <v>38.172604288000002</v>
      </c>
      <c r="U587"/>
      <c r="V587">
        <v>44.618560445999996</v>
      </c>
      <c r="W587"/>
      <c r="X587"/>
      <c r="Y587"/>
      <c r="Z587"/>
      <c r="AA587"/>
      <c r="AB587">
        <v>59.035810705999999</v>
      </c>
      <c r="AC587">
        <v>32.978555855000003</v>
      </c>
      <c r="AD587"/>
      <c r="AE587">
        <v>42.181257271</v>
      </c>
      <c r="AF587"/>
      <c r="AG587"/>
      <c r="AH587">
        <v>37.424074576000002</v>
      </c>
      <c r="AI587">
        <v>31.939713823999998</v>
      </c>
      <c r="AJ587"/>
      <c r="AK587"/>
      <c r="AL587"/>
      <c r="AM587">
        <v>32.020474143000001</v>
      </c>
      <c r="AN587"/>
      <c r="AO587"/>
      <c r="AP587"/>
      <c r="AQ587">
        <v>43.797176159000003</v>
      </c>
      <c r="AR587"/>
      <c r="AS587">
        <v>35.264081742999998</v>
      </c>
      <c r="AT587"/>
    </row>
    <row r="588" spans="1:46" x14ac:dyDescent="0.2">
      <c r="A588" s="87">
        <v>24777</v>
      </c>
      <c r="B588"/>
      <c r="C588"/>
      <c r="D588">
        <v>19.811788075999999</v>
      </c>
      <c r="E588">
        <v>35.704686762000001</v>
      </c>
      <c r="F588"/>
      <c r="G588">
        <v>35.782645619999997</v>
      </c>
      <c r="H588"/>
      <c r="I588"/>
      <c r="J588"/>
      <c r="K588"/>
      <c r="L588">
        <v>39.314074921</v>
      </c>
      <c r="M588"/>
      <c r="N588"/>
      <c r="O588">
        <v>38.587376673999998</v>
      </c>
      <c r="P588"/>
      <c r="Q588"/>
      <c r="R588">
        <v>24.778709264</v>
      </c>
      <c r="S588">
        <v>50.609013642000001</v>
      </c>
      <c r="T588">
        <v>38.710595845</v>
      </c>
      <c r="U588"/>
      <c r="V588">
        <v>44.926281383999999</v>
      </c>
      <c r="W588"/>
      <c r="X588"/>
      <c r="Y588"/>
      <c r="Z588"/>
      <c r="AA588"/>
      <c r="AB588">
        <v>59.377058169999998</v>
      </c>
      <c r="AC588">
        <v>33.651587607000003</v>
      </c>
      <c r="AD588"/>
      <c r="AE588">
        <v>43.598353619000001</v>
      </c>
      <c r="AF588"/>
      <c r="AG588"/>
      <c r="AH588">
        <v>37.995434492999998</v>
      </c>
      <c r="AI588">
        <v>32.671856261999999</v>
      </c>
      <c r="AJ588"/>
      <c r="AK588"/>
      <c r="AL588"/>
      <c r="AM588">
        <v>31.928386517</v>
      </c>
      <c r="AN588"/>
      <c r="AO588"/>
      <c r="AP588"/>
      <c r="AQ588">
        <v>44.253396744</v>
      </c>
      <c r="AR588"/>
      <c r="AS588">
        <v>35.768398075999997</v>
      </c>
      <c r="AT588"/>
    </row>
    <row r="589" spans="1:46" x14ac:dyDescent="0.2">
      <c r="A589" s="87">
        <v>24807</v>
      </c>
      <c r="B589"/>
      <c r="C589"/>
      <c r="D589">
        <v>20.719567131000002</v>
      </c>
      <c r="E589">
        <v>36.332372346</v>
      </c>
      <c r="F589"/>
      <c r="G589">
        <v>36.183948075000004</v>
      </c>
      <c r="H589"/>
      <c r="I589"/>
      <c r="J589"/>
      <c r="K589"/>
      <c r="L589">
        <v>41.597624013999997</v>
      </c>
      <c r="M589"/>
      <c r="N589"/>
      <c r="O589">
        <v>38.705407925000003</v>
      </c>
      <c r="P589"/>
      <c r="Q589"/>
      <c r="R589">
        <v>24.706990858000001</v>
      </c>
      <c r="S589">
        <v>51.400731061000002</v>
      </c>
      <c r="T589">
        <v>39.415463271999997</v>
      </c>
      <c r="U589"/>
      <c r="V589">
        <v>45.051158460000003</v>
      </c>
      <c r="W589"/>
      <c r="X589"/>
      <c r="Y589"/>
      <c r="Z589"/>
      <c r="AA589"/>
      <c r="AB589">
        <v>59.308808671000001</v>
      </c>
      <c r="AC589">
        <v>33.988103483000003</v>
      </c>
      <c r="AD589"/>
      <c r="AE589">
        <v>42.182271460000003</v>
      </c>
      <c r="AF589"/>
      <c r="AG589"/>
      <c r="AH589">
        <v>38.56679441</v>
      </c>
      <c r="AI589">
        <v>32.648976810999997</v>
      </c>
      <c r="AJ589"/>
      <c r="AK589"/>
      <c r="AL589"/>
      <c r="AM589">
        <v>29.579750450999999</v>
      </c>
      <c r="AN589"/>
      <c r="AO589"/>
      <c r="AP589"/>
      <c r="AQ589">
        <v>44.253396744</v>
      </c>
      <c r="AR589"/>
      <c r="AS589">
        <v>36.153672759999999</v>
      </c>
      <c r="AT589"/>
    </row>
    <row r="590" spans="1:46" x14ac:dyDescent="0.2">
      <c r="A590" s="87">
        <v>24838</v>
      </c>
      <c r="B590"/>
      <c r="C590"/>
      <c r="D590">
        <v>20.233079198999999</v>
      </c>
      <c r="E590">
        <v>36.279312685999997</v>
      </c>
      <c r="F590"/>
      <c r="G590">
        <v>35.995514485999998</v>
      </c>
      <c r="H590"/>
      <c r="I590"/>
      <c r="J590"/>
      <c r="K590"/>
      <c r="L590">
        <v>38.326594231999998</v>
      </c>
      <c r="M590"/>
      <c r="N590"/>
      <c r="O590">
        <v>39.282694212999999</v>
      </c>
      <c r="P590"/>
      <c r="Q590"/>
      <c r="R590">
        <v>24.710250784999999</v>
      </c>
      <c r="S590">
        <v>51.339829723999998</v>
      </c>
      <c r="T590">
        <v>38.824143765999999</v>
      </c>
      <c r="U590">
        <v>55.816454561999997</v>
      </c>
      <c r="V590">
        <v>43.774759621999998</v>
      </c>
      <c r="W590"/>
      <c r="X590"/>
      <c r="Y590"/>
      <c r="Z590"/>
      <c r="AA590"/>
      <c r="AB590">
        <v>59.786555122000003</v>
      </c>
      <c r="AC590">
        <v>33.903974513999998</v>
      </c>
      <c r="AD590"/>
      <c r="AE590">
        <v>42.094228493000003</v>
      </c>
      <c r="AF590"/>
      <c r="AG590"/>
      <c r="AH590">
        <v>38.56679441</v>
      </c>
      <c r="AI590">
        <v>32.580338457000003</v>
      </c>
      <c r="AJ590"/>
      <c r="AK590"/>
      <c r="AL590"/>
      <c r="AM590">
        <v>30.930227119000001</v>
      </c>
      <c r="AN590"/>
      <c r="AO590"/>
      <c r="AP590"/>
      <c r="AQ590">
        <v>43.340955573999999</v>
      </c>
      <c r="AR590"/>
      <c r="AS590">
        <v>36.11471908</v>
      </c>
      <c r="AT590"/>
    </row>
    <row r="591" spans="1:46" x14ac:dyDescent="0.2">
      <c r="A591" s="87">
        <v>24869</v>
      </c>
      <c r="B591"/>
      <c r="C591"/>
      <c r="D591">
        <v>20.141155227999999</v>
      </c>
      <c r="E591">
        <v>36.201252558</v>
      </c>
      <c r="F591"/>
      <c r="G591">
        <v>35.854541726999997</v>
      </c>
      <c r="H591"/>
      <c r="I591"/>
      <c r="J591"/>
      <c r="K591"/>
      <c r="L591">
        <v>39.190639834999999</v>
      </c>
      <c r="M591"/>
      <c r="N591"/>
      <c r="O591">
        <v>39.558351500000001</v>
      </c>
      <c r="P591"/>
      <c r="Q591"/>
      <c r="R591">
        <v>24.847167742</v>
      </c>
      <c r="S591">
        <v>51.644336426999999</v>
      </c>
      <c r="T591">
        <v>39.173074092</v>
      </c>
      <c r="U591">
        <v>56.354185338000001</v>
      </c>
      <c r="V591">
        <v>44.203812556999999</v>
      </c>
      <c r="W591"/>
      <c r="X591"/>
      <c r="Y591"/>
      <c r="Z591"/>
      <c r="AA591"/>
      <c r="AB591">
        <v>59.854804610999999</v>
      </c>
      <c r="AC591">
        <v>34.408748328000001</v>
      </c>
      <c r="AD591"/>
      <c r="AE591">
        <v>41.855289341999999</v>
      </c>
      <c r="AF591"/>
      <c r="AG591"/>
      <c r="AH591">
        <v>38.852474368999999</v>
      </c>
      <c r="AI591">
        <v>32.648976810999997</v>
      </c>
      <c r="AJ591"/>
      <c r="AK591"/>
      <c r="AL591"/>
      <c r="AM591">
        <v>31.811235805999999</v>
      </c>
      <c r="AN591"/>
      <c r="AO591"/>
      <c r="AP591"/>
      <c r="AQ591">
        <v>42.884734989000002</v>
      </c>
      <c r="AR591"/>
      <c r="AS591">
        <v>36.244168201999997</v>
      </c>
      <c r="AT591"/>
    </row>
    <row r="592" spans="1:46" x14ac:dyDescent="0.2">
      <c r="A592" s="87">
        <v>24898</v>
      </c>
      <c r="B592"/>
      <c r="C592"/>
      <c r="D592">
        <v>20.744136410999999</v>
      </c>
      <c r="E592">
        <v>36.373142233000003</v>
      </c>
      <c r="F592"/>
      <c r="G592">
        <v>36.057072591000001</v>
      </c>
      <c r="H592"/>
      <c r="I592"/>
      <c r="J592"/>
      <c r="K592"/>
      <c r="L592">
        <v>39.684380179000001</v>
      </c>
      <c r="M592"/>
      <c r="N592"/>
      <c r="O592">
        <v>38.946548921000002</v>
      </c>
      <c r="P592"/>
      <c r="Q592"/>
      <c r="R592">
        <v>24.958005279000002</v>
      </c>
      <c r="S592">
        <v>52.618757866999999</v>
      </c>
      <c r="T592">
        <v>39.407988398000001</v>
      </c>
      <c r="U592">
        <v>56.784369959000003</v>
      </c>
      <c r="V592">
        <v>46.136808391999999</v>
      </c>
      <c r="W592"/>
      <c r="X592"/>
      <c r="Y592"/>
      <c r="Z592"/>
      <c r="AA592"/>
      <c r="AB592">
        <v>59.854804610999999</v>
      </c>
      <c r="AC592">
        <v>34.577006265999998</v>
      </c>
      <c r="AD592"/>
      <c r="AE592">
        <v>43.754356653999999</v>
      </c>
      <c r="AF592"/>
      <c r="AG592"/>
      <c r="AH592">
        <v>39.423834286000002</v>
      </c>
      <c r="AI592">
        <v>32.511700103999999</v>
      </c>
      <c r="AJ592"/>
      <c r="AK592"/>
      <c r="AL592"/>
      <c r="AM592">
        <v>31.469706289000001</v>
      </c>
      <c r="AN592"/>
      <c r="AO592"/>
      <c r="AP592"/>
      <c r="AQ592">
        <v>43.797176159000003</v>
      </c>
      <c r="AR592"/>
      <c r="AS592">
        <v>36.357262726000002</v>
      </c>
      <c r="AT592"/>
    </row>
    <row r="593" spans="1:46" x14ac:dyDescent="0.2">
      <c r="A593" s="87">
        <v>24929</v>
      </c>
      <c r="B593"/>
      <c r="C593"/>
      <c r="D593">
        <v>20.764744643</v>
      </c>
      <c r="E593">
        <v>37.004963742000001</v>
      </c>
      <c r="F593"/>
      <c r="G593">
        <v>36.991252076999999</v>
      </c>
      <c r="H593"/>
      <c r="I593"/>
      <c r="J593"/>
      <c r="K593"/>
      <c r="L593">
        <v>39.807815265000002</v>
      </c>
      <c r="M593"/>
      <c r="N593"/>
      <c r="O593">
        <v>39.154785984999997</v>
      </c>
      <c r="P593"/>
      <c r="Q593"/>
      <c r="R593">
        <v>25.587171295000001</v>
      </c>
      <c r="S593">
        <v>52.496955182999997</v>
      </c>
      <c r="T593">
        <v>39.579056137000002</v>
      </c>
      <c r="U593">
        <v>56.676823804000001</v>
      </c>
      <c r="V593">
        <v>45.867418958999998</v>
      </c>
      <c r="W593"/>
      <c r="X593"/>
      <c r="Y593"/>
      <c r="Z593"/>
      <c r="AA593"/>
      <c r="AB593">
        <v>60.878546991</v>
      </c>
      <c r="AC593">
        <v>34.829393174000003</v>
      </c>
      <c r="AD593"/>
      <c r="AE593">
        <v>43.845810583000002</v>
      </c>
      <c r="AF593"/>
      <c r="AG593"/>
      <c r="AH593">
        <v>39.709514245000001</v>
      </c>
      <c r="AI593">
        <v>32.397302848000002</v>
      </c>
      <c r="AJ593"/>
      <c r="AK593"/>
      <c r="AL593"/>
      <c r="AM593">
        <v>30.912476817000002</v>
      </c>
      <c r="AN593"/>
      <c r="AO593"/>
      <c r="AP593"/>
      <c r="AQ593">
        <v>45.165837914000001</v>
      </c>
      <c r="AR593"/>
      <c r="AS593">
        <v>36.409894796000003</v>
      </c>
      <c r="AT593"/>
    </row>
    <row r="594" spans="1:46" x14ac:dyDescent="0.2">
      <c r="A594" s="87">
        <v>24959</v>
      </c>
      <c r="B594"/>
      <c r="C594"/>
      <c r="D594">
        <v>20.802536291999999</v>
      </c>
      <c r="E594">
        <v>36.486337806000002</v>
      </c>
      <c r="F594"/>
      <c r="G594">
        <v>37.459751548</v>
      </c>
      <c r="H594"/>
      <c r="I594"/>
      <c r="J594"/>
      <c r="K594"/>
      <c r="L594">
        <v>40.857013496999997</v>
      </c>
      <c r="M594"/>
      <c r="N594"/>
      <c r="O594">
        <v>40.723747226</v>
      </c>
      <c r="P594"/>
      <c r="Q594"/>
      <c r="R594">
        <v>25.274218251000001</v>
      </c>
      <c r="S594">
        <v>35.931790675999999</v>
      </c>
      <c r="T594">
        <v>39.672725178</v>
      </c>
      <c r="U594">
        <v>57.322100734999999</v>
      </c>
      <c r="V594">
        <v>46.464069883000001</v>
      </c>
      <c r="W594"/>
      <c r="X594"/>
      <c r="Y594"/>
      <c r="Z594"/>
      <c r="AA594"/>
      <c r="AB594">
        <v>61.697540896</v>
      </c>
      <c r="AC594">
        <v>35.923069771000002</v>
      </c>
      <c r="AD594"/>
      <c r="AE594">
        <v>44.40674508</v>
      </c>
      <c r="AF594"/>
      <c r="AG594"/>
      <c r="AH594">
        <v>39.995194202999997</v>
      </c>
      <c r="AI594">
        <v>33.998864429000001</v>
      </c>
      <c r="AJ594"/>
      <c r="AK594"/>
      <c r="AL594"/>
      <c r="AM594">
        <v>32.203439426999999</v>
      </c>
      <c r="AN594"/>
      <c r="AO594"/>
      <c r="AP594"/>
      <c r="AQ594">
        <v>44.709617328999997</v>
      </c>
      <c r="AR594"/>
      <c r="AS594">
        <v>36.818363273000003</v>
      </c>
      <c r="AT594"/>
    </row>
    <row r="595" spans="1:46" x14ac:dyDescent="0.2">
      <c r="A595" s="87">
        <v>24990</v>
      </c>
      <c r="B595"/>
      <c r="C595"/>
      <c r="D595">
        <v>21.953427084000001</v>
      </c>
      <c r="E595">
        <v>37.554732428999998</v>
      </c>
      <c r="F595"/>
      <c r="G595">
        <v>37.754384614999999</v>
      </c>
      <c r="H595"/>
      <c r="I595"/>
      <c r="J595"/>
      <c r="K595"/>
      <c r="L595">
        <v>41.535906470999997</v>
      </c>
      <c r="M595"/>
      <c r="N595"/>
      <c r="O595">
        <v>39.950630429</v>
      </c>
      <c r="P595"/>
      <c r="Q595"/>
      <c r="R595">
        <v>25.205759772</v>
      </c>
      <c r="S595">
        <v>45.188794373999997</v>
      </c>
      <c r="T595">
        <v>40.049179959</v>
      </c>
      <c r="U595">
        <v>57.322100734999999</v>
      </c>
      <c r="V595">
        <v>48.144601317999999</v>
      </c>
      <c r="W595"/>
      <c r="X595"/>
      <c r="Y595"/>
      <c r="Z595"/>
      <c r="AA595"/>
      <c r="AB595">
        <v>61.561041908</v>
      </c>
      <c r="AC595">
        <v>35.334166988</v>
      </c>
      <c r="AD595"/>
      <c r="AE595">
        <v>44.819485362000002</v>
      </c>
      <c r="AF595"/>
      <c r="AG595"/>
      <c r="AH595">
        <v>41.137914037999998</v>
      </c>
      <c r="AI595">
        <v>31.871075471000001</v>
      </c>
      <c r="AJ595"/>
      <c r="AK595"/>
      <c r="AL595"/>
      <c r="AM595">
        <v>31.196905503</v>
      </c>
      <c r="AN595"/>
      <c r="AO595"/>
      <c r="AP595"/>
      <c r="AQ595">
        <v>46.078279084000002</v>
      </c>
      <c r="AR595"/>
      <c r="AS595">
        <v>36.953561284000003</v>
      </c>
      <c r="AT595"/>
    </row>
    <row r="596" spans="1:46" x14ac:dyDescent="0.2">
      <c r="A596" s="87">
        <v>25020</v>
      </c>
      <c r="B596"/>
      <c r="C596"/>
      <c r="D596">
        <v>21.375899981</v>
      </c>
      <c r="E596">
        <v>36.135992977000001</v>
      </c>
      <c r="F596"/>
      <c r="G596">
        <v>37.604483580999997</v>
      </c>
      <c r="H596"/>
      <c r="I596"/>
      <c r="J596"/>
      <c r="K596"/>
      <c r="L596">
        <v>40.980448582999998</v>
      </c>
      <c r="M596"/>
      <c r="N596"/>
      <c r="O596">
        <v>40.955532613000003</v>
      </c>
      <c r="P596"/>
      <c r="Q596"/>
      <c r="R596">
        <v>25.010164118999999</v>
      </c>
      <c r="S596">
        <v>54.750304774999996</v>
      </c>
      <c r="T596">
        <v>40.382617822</v>
      </c>
      <c r="U596">
        <v>57.322100734999999</v>
      </c>
      <c r="V596">
        <v>47.761353888999999</v>
      </c>
      <c r="W596"/>
      <c r="X596"/>
      <c r="Y596"/>
      <c r="Z596"/>
      <c r="AA596"/>
      <c r="AB596">
        <v>62.038788359999998</v>
      </c>
      <c r="AC596">
        <v>35.754811832999998</v>
      </c>
      <c r="AD596"/>
      <c r="AE596">
        <v>44.754032447999997</v>
      </c>
      <c r="AF596"/>
      <c r="AG596"/>
      <c r="AH596">
        <v>40.852234078999999</v>
      </c>
      <c r="AI596">
        <v>33.358239797000003</v>
      </c>
      <c r="AJ596"/>
      <c r="AK596"/>
      <c r="AL596"/>
      <c r="AM596">
        <v>31.430091055999998</v>
      </c>
      <c r="AN596"/>
      <c r="AO596"/>
      <c r="AP596"/>
      <c r="AQ596">
        <v>50.184264349000003</v>
      </c>
      <c r="AR596"/>
      <c r="AS596">
        <v>36.896865343999998</v>
      </c>
      <c r="AT596"/>
    </row>
    <row r="597" spans="1:46" x14ac:dyDescent="0.2">
      <c r="A597" s="87">
        <v>25051</v>
      </c>
      <c r="B597"/>
      <c r="C597"/>
      <c r="D597">
        <v>21.667841163999999</v>
      </c>
      <c r="E597">
        <v>37.847900908</v>
      </c>
      <c r="F597"/>
      <c r="G597">
        <v>38.109635969000003</v>
      </c>
      <c r="H597"/>
      <c r="I597"/>
      <c r="J597"/>
      <c r="K597"/>
      <c r="L597">
        <v>43.757738019999998</v>
      </c>
      <c r="M597"/>
      <c r="N597"/>
      <c r="O597">
        <v>41.095673607000002</v>
      </c>
      <c r="P597"/>
      <c r="Q597"/>
      <c r="R597">
        <v>25.26117854</v>
      </c>
      <c r="S597">
        <v>54.750304774999996</v>
      </c>
      <c r="T597">
        <v>41.124852208</v>
      </c>
      <c r="U597">
        <v>57.859831511000003</v>
      </c>
      <c r="V597">
        <v>48.855854684999997</v>
      </c>
      <c r="W597"/>
      <c r="X597"/>
      <c r="Y597"/>
      <c r="Z597"/>
      <c r="AA597"/>
      <c r="AB597">
        <v>61.834039883999999</v>
      </c>
      <c r="AC597">
        <v>36.680230492</v>
      </c>
      <c r="AD597"/>
      <c r="AE597">
        <v>45.088102798999998</v>
      </c>
      <c r="AF597"/>
      <c r="AG597"/>
      <c r="AH597">
        <v>41.137914037999998</v>
      </c>
      <c r="AI597">
        <v>32.603217907999998</v>
      </c>
      <c r="AJ597"/>
      <c r="AK597"/>
      <c r="AL597"/>
      <c r="AM597">
        <v>33.284380313</v>
      </c>
      <c r="AN597"/>
      <c r="AO597"/>
      <c r="AP597"/>
      <c r="AQ597">
        <v>46.990720254000003</v>
      </c>
      <c r="AR597"/>
      <c r="AS597">
        <v>36.999849752000003</v>
      </c>
      <c r="AT597"/>
    </row>
    <row r="598" spans="1:46" x14ac:dyDescent="0.2">
      <c r="A598" s="87">
        <v>25082</v>
      </c>
      <c r="B598"/>
      <c r="C598"/>
      <c r="D598">
        <v>22.052865368999999</v>
      </c>
      <c r="E598">
        <v>38.946965513999999</v>
      </c>
      <c r="F598"/>
      <c r="G598">
        <v>38.523625971999998</v>
      </c>
      <c r="H598"/>
      <c r="I598"/>
      <c r="J598"/>
      <c r="K598"/>
      <c r="L598">
        <v>43.078845047000002</v>
      </c>
      <c r="M598"/>
      <c r="N598"/>
      <c r="O598">
        <v>41.438017348000002</v>
      </c>
      <c r="P598"/>
      <c r="Q598"/>
      <c r="R598">
        <v>25.945763325000001</v>
      </c>
      <c r="S598">
        <v>53.166869927999997</v>
      </c>
      <c r="T598">
        <v>41.079178980999998</v>
      </c>
      <c r="U598">
        <v>57.752285356000002</v>
      </c>
      <c r="V598">
        <v>48.715139145999999</v>
      </c>
      <c r="W598"/>
      <c r="X598"/>
      <c r="Y598"/>
      <c r="Z598"/>
      <c r="AA598"/>
      <c r="AB598">
        <v>63.676776169</v>
      </c>
      <c r="AC598">
        <v>36.511972554000003</v>
      </c>
      <c r="AD598"/>
      <c r="AE598">
        <v>46.504039867000003</v>
      </c>
      <c r="AF598"/>
      <c r="AG598"/>
      <c r="AH598">
        <v>41.994953913000003</v>
      </c>
      <c r="AI598">
        <v>32.717615164000001</v>
      </c>
      <c r="AJ598"/>
      <c r="AK598"/>
      <c r="AL598"/>
      <c r="AM598">
        <v>35.432314079999998</v>
      </c>
      <c r="AN598"/>
      <c r="AO598"/>
      <c r="AP598"/>
      <c r="AQ598">
        <v>46.990720254000003</v>
      </c>
      <c r="AR598"/>
      <c r="AS598">
        <v>37.140003702000001</v>
      </c>
      <c r="AT598"/>
    </row>
    <row r="599" spans="1:46" x14ac:dyDescent="0.2">
      <c r="A599" s="87">
        <v>25112</v>
      </c>
      <c r="B599"/>
      <c r="C599"/>
      <c r="D599">
        <v>21.856553763000001</v>
      </c>
      <c r="E599">
        <v>38.012554766999997</v>
      </c>
      <c r="F599"/>
      <c r="G599">
        <v>38.769388483</v>
      </c>
      <c r="H599"/>
      <c r="I599"/>
      <c r="J599"/>
      <c r="K599"/>
      <c r="L599">
        <v>43.202280133000002</v>
      </c>
      <c r="M599"/>
      <c r="N599"/>
      <c r="O599">
        <v>43.121939583</v>
      </c>
      <c r="P599"/>
      <c r="Q599"/>
      <c r="R599">
        <v>26.216337311</v>
      </c>
      <c r="S599">
        <v>55.542022193999998</v>
      </c>
      <c r="T599">
        <v>41.417263235</v>
      </c>
      <c r="U599">
        <v>57.214554579999998</v>
      </c>
      <c r="V599">
        <v>48.953687066000001</v>
      </c>
      <c r="W599"/>
      <c r="X599"/>
      <c r="Y599"/>
      <c r="Z599"/>
      <c r="AA599"/>
      <c r="AB599">
        <v>64.154522610000001</v>
      </c>
      <c r="AC599">
        <v>37.437391212999998</v>
      </c>
      <c r="AD599"/>
      <c r="AE599">
        <v>46.391023382999997</v>
      </c>
      <c r="AF599"/>
      <c r="AG599"/>
      <c r="AH599">
        <v>42.280633872000003</v>
      </c>
      <c r="AI599">
        <v>33.541275405999997</v>
      </c>
      <c r="AJ599"/>
      <c r="AK599"/>
      <c r="AL599"/>
      <c r="AM599">
        <v>33.876381613</v>
      </c>
      <c r="AN599"/>
      <c r="AO599"/>
      <c r="AP599"/>
      <c r="AQ599">
        <v>46.534499668999999</v>
      </c>
      <c r="AR599"/>
      <c r="AS599">
        <v>37.213748072000001</v>
      </c>
      <c r="AT599"/>
    </row>
    <row r="600" spans="1:46" x14ac:dyDescent="0.2">
      <c r="A600" s="87">
        <v>25143</v>
      </c>
      <c r="B600"/>
      <c r="C600"/>
      <c r="D600">
        <v>22.370340362</v>
      </c>
      <c r="E600">
        <v>38.816137705000003</v>
      </c>
      <c r="F600"/>
      <c r="G600">
        <v>39.244466682000002</v>
      </c>
      <c r="H600"/>
      <c r="I600"/>
      <c r="J600"/>
      <c r="K600"/>
      <c r="L600">
        <v>44.683501165999999</v>
      </c>
      <c r="M600"/>
      <c r="N600"/>
      <c r="O600">
        <v>43.279372522999999</v>
      </c>
      <c r="P600"/>
      <c r="Q600"/>
      <c r="R600">
        <v>26.773784921000001</v>
      </c>
      <c r="S600">
        <v>56.699147654000001</v>
      </c>
      <c r="T600">
        <v>42.063646091000003</v>
      </c>
      <c r="U600">
        <v>57.644739201</v>
      </c>
      <c r="V600">
        <v>49.509683514999999</v>
      </c>
      <c r="W600"/>
      <c r="X600"/>
      <c r="Y600"/>
      <c r="Z600"/>
      <c r="AA600"/>
      <c r="AB600">
        <v>61.834039883999999</v>
      </c>
      <c r="AC600">
        <v>38.446938840999998</v>
      </c>
      <c r="AD600"/>
      <c r="AE600">
        <v>47.103628364999999</v>
      </c>
      <c r="AF600"/>
      <c r="AG600"/>
      <c r="AH600">
        <v>42.851993788999998</v>
      </c>
      <c r="AI600">
        <v>33.243842540999999</v>
      </c>
      <c r="AJ600"/>
      <c r="AK600"/>
      <c r="AL600"/>
      <c r="AM600">
        <v>33.670612472999998</v>
      </c>
      <c r="AN600"/>
      <c r="AO600"/>
      <c r="AP600"/>
      <c r="AQ600">
        <v>46.990720254000003</v>
      </c>
      <c r="AR600"/>
      <c r="AS600">
        <v>37.695068849000002</v>
      </c>
      <c r="AT600"/>
    </row>
    <row r="601" spans="1:46" x14ac:dyDescent="0.2">
      <c r="A601" s="87">
        <v>25173</v>
      </c>
      <c r="B601"/>
      <c r="C601"/>
      <c r="D601">
        <v>20.748090189999999</v>
      </c>
      <c r="E601">
        <v>39.257856087</v>
      </c>
      <c r="F601"/>
      <c r="G601">
        <v>39.188547487999998</v>
      </c>
      <c r="H601"/>
      <c r="I601"/>
      <c r="J601"/>
      <c r="K601"/>
      <c r="L601">
        <v>44.436630993999998</v>
      </c>
      <c r="M601"/>
      <c r="N601"/>
      <c r="O601">
        <v>44.832856945000003</v>
      </c>
      <c r="P601"/>
      <c r="Q601"/>
      <c r="R601">
        <v>27.275813762999999</v>
      </c>
      <c r="S601">
        <v>56.638246316999997</v>
      </c>
      <c r="T601">
        <v>42.197252360999997</v>
      </c>
      <c r="U601">
        <v>58.182469976999997</v>
      </c>
      <c r="V601">
        <v>49.717097178000003</v>
      </c>
      <c r="W601"/>
      <c r="X601"/>
      <c r="Y601"/>
      <c r="Z601"/>
      <c r="AA601"/>
      <c r="AB601">
        <v>64.564019572999996</v>
      </c>
      <c r="AC601">
        <v>38.278680903000001</v>
      </c>
      <c r="AD601"/>
      <c r="AE601">
        <v>47.859746375</v>
      </c>
      <c r="AF601"/>
      <c r="AG601"/>
      <c r="AH601">
        <v>43.423353706</v>
      </c>
      <c r="AI601">
        <v>33.266721992000001</v>
      </c>
      <c r="AJ601"/>
      <c r="AK601"/>
      <c r="AL601"/>
      <c r="AM601">
        <v>33.596161299999999</v>
      </c>
      <c r="AN601"/>
      <c r="AO601"/>
      <c r="AP601"/>
      <c r="AQ601">
        <v>48.359382009000001</v>
      </c>
      <c r="AR601"/>
      <c r="AS601">
        <v>37.814110499000002</v>
      </c>
      <c r="AT601"/>
    </row>
    <row r="602" spans="1:46" x14ac:dyDescent="0.2">
      <c r="A602" s="87">
        <v>25204</v>
      </c>
      <c r="B602"/>
      <c r="C602"/>
      <c r="D602">
        <v>22.477048362000001</v>
      </c>
      <c r="E602">
        <v>40.083825271000002</v>
      </c>
      <c r="F602"/>
      <c r="G602">
        <v>39.331869793000003</v>
      </c>
      <c r="H602"/>
      <c r="I602"/>
      <c r="J602"/>
      <c r="K602"/>
      <c r="L602">
        <v>44.930371338</v>
      </c>
      <c r="M602"/>
      <c r="N602"/>
      <c r="O602">
        <v>45.445682943000001</v>
      </c>
      <c r="P602"/>
      <c r="Q602"/>
      <c r="R602">
        <v>27.458369704999999</v>
      </c>
      <c r="S602">
        <v>56.272838276000002</v>
      </c>
      <c r="T602">
        <v>42.555204510000003</v>
      </c>
      <c r="U602">
        <v>58.397562287</v>
      </c>
      <c r="V602">
        <v>49.231781548000001</v>
      </c>
      <c r="W602"/>
      <c r="X602"/>
      <c r="Y602"/>
      <c r="Z602"/>
      <c r="AA602"/>
      <c r="AB602">
        <v>65.860759917999999</v>
      </c>
      <c r="AC602">
        <v>38.783454716999998</v>
      </c>
      <c r="AD602"/>
      <c r="AE602">
        <v>50.444955782000001</v>
      </c>
      <c r="AF602"/>
      <c r="AG602"/>
      <c r="AH602">
        <v>43.137673747999997</v>
      </c>
      <c r="AI602">
        <v>34.933946540999997</v>
      </c>
      <c r="AJ602"/>
      <c r="AK602"/>
      <c r="AL602"/>
      <c r="AM602">
        <v>34.754626176999999</v>
      </c>
      <c r="AN602"/>
      <c r="AO602"/>
      <c r="AP602"/>
      <c r="AQ602">
        <v>47.903161423999997</v>
      </c>
      <c r="AR602"/>
      <c r="AS602">
        <v>38.042876634999999</v>
      </c>
      <c r="AT602"/>
    </row>
    <row r="603" spans="1:46" x14ac:dyDescent="0.2">
      <c r="A603" s="87">
        <v>25235</v>
      </c>
      <c r="B603"/>
      <c r="C603"/>
      <c r="D603">
        <v>22.711688905999999</v>
      </c>
      <c r="E603">
        <v>39.313530811</v>
      </c>
      <c r="F603"/>
      <c r="G603">
        <v>39.874145007999999</v>
      </c>
      <c r="H603"/>
      <c r="I603"/>
      <c r="J603"/>
      <c r="K603"/>
      <c r="L603">
        <v>45.177241510999998</v>
      </c>
      <c r="M603"/>
      <c r="N603"/>
      <c r="O603">
        <v>43.944335031999998</v>
      </c>
      <c r="P603"/>
      <c r="Q603"/>
      <c r="R603">
        <v>27.784362460000001</v>
      </c>
      <c r="S603">
        <v>55.663824878</v>
      </c>
      <c r="T603">
        <v>42.748520237000001</v>
      </c>
      <c r="U603">
        <v>58.720200753</v>
      </c>
      <c r="V603">
        <v>50.739489278999997</v>
      </c>
      <c r="W603"/>
      <c r="X603"/>
      <c r="Y603"/>
      <c r="Z603"/>
      <c r="AA603"/>
      <c r="AB603">
        <v>63.881524644999999</v>
      </c>
      <c r="AC603">
        <v>39.372357501000003</v>
      </c>
      <c r="AD603"/>
      <c r="AE603">
        <v>49.032764980000003</v>
      </c>
      <c r="AF603"/>
      <c r="AG603"/>
      <c r="AH603">
        <v>43.137673747999997</v>
      </c>
      <c r="AI603">
        <v>33.945655309999999</v>
      </c>
      <c r="AJ603"/>
      <c r="AK603"/>
      <c r="AL603"/>
      <c r="AM603">
        <v>35.554852687999997</v>
      </c>
      <c r="AN603"/>
      <c r="AO603"/>
      <c r="AP603"/>
      <c r="AQ603">
        <v>46.990720254000003</v>
      </c>
      <c r="AR603"/>
      <c r="AS603">
        <v>38.286411467999997</v>
      </c>
      <c r="AT603"/>
    </row>
    <row r="604" spans="1:46" x14ac:dyDescent="0.2">
      <c r="A604" s="87">
        <v>25263</v>
      </c>
      <c r="B604"/>
      <c r="C604"/>
      <c r="D604">
        <v>22.930893892</v>
      </c>
      <c r="E604">
        <v>39.929979904</v>
      </c>
      <c r="F604"/>
      <c r="G604">
        <v>40.559272618999998</v>
      </c>
      <c r="H604"/>
      <c r="I604"/>
      <c r="J604"/>
      <c r="K604"/>
      <c r="L604">
        <v>45.670981855000001</v>
      </c>
      <c r="M604"/>
      <c r="N604"/>
      <c r="O604">
        <v>46.889313817999998</v>
      </c>
      <c r="P604"/>
      <c r="Q604"/>
      <c r="R604">
        <v>28.263571808999998</v>
      </c>
      <c r="S604">
        <v>55.663824878</v>
      </c>
      <c r="T604">
        <v>43.090054387999999</v>
      </c>
      <c r="U604">
        <v>58.612654597999999</v>
      </c>
      <c r="V604">
        <v>50.912809144999997</v>
      </c>
      <c r="W604"/>
      <c r="X604"/>
      <c r="Y604"/>
      <c r="Z604"/>
      <c r="AA604"/>
      <c r="AB604">
        <v>65.860759917999999</v>
      </c>
      <c r="AC604">
        <v>39.456486470000002</v>
      </c>
      <c r="AD604"/>
      <c r="AE604">
        <v>49.266893750000001</v>
      </c>
      <c r="AF604"/>
      <c r="AG604"/>
      <c r="AH604">
        <v>43.994713623999999</v>
      </c>
      <c r="AI604">
        <v>34.590193069000001</v>
      </c>
      <c r="AJ604"/>
      <c r="AK604"/>
      <c r="AL604"/>
      <c r="AM604">
        <v>34.029587818000003</v>
      </c>
      <c r="AN604"/>
      <c r="AO604"/>
      <c r="AP604"/>
      <c r="AQ604">
        <v>47.903161423999997</v>
      </c>
      <c r="AR604"/>
      <c r="AS604">
        <v>38.586642242000003</v>
      </c>
      <c r="AT604"/>
    </row>
    <row r="605" spans="1:46" x14ac:dyDescent="0.2">
      <c r="A605" s="87">
        <v>25294</v>
      </c>
      <c r="B605"/>
      <c r="C605"/>
      <c r="D605">
        <v>22.874895678000001</v>
      </c>
      <c r="E605">
        <v>40.791154988000002</v>
      </c>
      <c r="F605"/>
      <c r="G605">
        <v>40.176296622000002</v>
      </c>
      <c r="H605"/>
      <c r="I605"/>
      <c r="J605"/>
      <c r="K605"/>
      <c r="L605">
        <v>45.979569570000002</v>
      </c>
      <c r="M605"/>
      <c r="N605"/>
      <c r="O605">
        <v>46.990255886</v>
      </c>
      <c r="P605"/>
      <c r="Q605"/>
      <c r="R605">
        <v>28.413528476</v>
      </c>
      <c r="S605">
        <v>57.490865073000002</v>
      </c>
      <c r="T605">
        <v>43.432305407000001</v>
      </c>
      <c r="U605">
        <v>59.580569994999998</v>
      </c>
      <c r="V605">
        <v>51.363775564000001</v>
      </c>
      <c r="W605"/>
      <c r="X605"/>
      <c r="Y605"/>
      <c r="Z605"/>
      <c r="AA605"/>
      <c r="AB605">
        <v>66.202007382000005</v>
      </c>
      <c r="AC605">
        <v>40.550163067</v>
      </c>
      <c r="AD605"/>
      <c r="AE605">
        <v>49.326021744000002</v>
      </c>
      <c r="AF605"/>
      <c r="AG605"/>
      <c r="AH605">
        <v>44.566073541000002</v>
      </c>
      <c r="AI605">
        <v>33.601901839</v>
      </c>
      <c r="AJ605"/>
      <c r="AK605"/>
      <c r="AL605"/>
      <c r="AM605">
        <v>34.077489507000003</v>
      </c>
      <c r="AN605"/>
      <c r="AO605"/>
      <c r="AP605"/>
      <c r="AQ605">
        <v>48.815602593999998</v>
      </c>
      <c r="AR605"/>
      <c r="AS605">
        <v>38.444605035000002</v>
      </c>
      <c r="AT605"/>
    </row>
    <row r="606" spans="1:46" x14ac:dyDescent="0.2">
      <c r="A606" s="87">
        <v>25324</v>
      </c>
      <c r="B606"/>
      <c r="C606"/>
      <c r="D606">
        <v>23.429438971</v>
      </c>
      <c r="E606">
        <v>41.167340695</v>
      </c>
      <c r="F606"/>
      <c r="G606">
        <v>40.141993251000002</v>
      </c>
      <c r="H606"/>
      <c r="I606"/>
      <c r="J606"/>
      <c r="K606"/>
      <c r="L606">
        <v>46.535027458000002</v>
      </c>
      <c r="M606"/>
      <c r="N606"/>
      <c r="O606">
        <v>47.602608799999999</v>
      </c>
      <c r="P606"/>
      <c r="Q606"/>
      <c r="R606">
        <v>28.9253371</v>
      </c>
      <c r="S606">
        <v>58.830694563000002</v>
      </c>
      <c r="T606">
        <v>43.638422151999997</v>
      </c>
      <c r="U606">
        <v>59.580569994999998</v>
      </c>
      <c r="V606">
        <v>52.740624371000003</v>
      </c>
      <c r="W606"/>
      <c r="X606"/>
      <c r="Y606"/>
      <c r="Z606"/>
      <c r="AA606"/>
      <c r="AB606">
        <v>65.041766014000004</v>
      </c>
      <c r="AC606">
        <v>41.475581726000001</v>
      </c>
      <c r="AD606"/>
      <c r="AE606">
        <v>48.404382556000002</v>
      </c>
      <c r="AF606"/>
      <c r="AG606"/>
      <c r="AH606">
        <v>45.137433457999997</v>
      </c>
      <c r="AI606">
        <v>34.160501230000001</v>
      </c>
      <c r="AJ606"/>
      <c r="AK606"/>
      <c r="AL606"/>
      <c r="AM606">
        <v>33.283687721</v>
      </c>
      <c r="AN606"/>
      <c r="AO606"/>
      <c r="AP606"/>
      <c r="AQ606">
        <v>48.359382009000001</v>
      </c>
      <c r="AR606"/>
      <c r="AS606">
        <v>38.299296908999999</v>
      </c>
      <c r="AT606"/>
    </row>
    <row r="607" spans="1:46" x14ac:dyDescent="0.2">
      <c r="A607" s="87">
        <v>25355</v>
      </c>
      <c r="B607"/>
      <c r="C607"/>
      <c r="D607">
        <v>23.927991701</v>
      </c>
      <c r="E607">
        <v>41.312960760999999</v>
      </c>
      <c r="F607"/>
      <c r="G607">
        <v>40.203081447000002</v>
      </c>
      <c r="H607"/>
      <c r="I607"/>
      <c r="J607"/>
      <c r="K607"/>
      <c r="L607">
        <v>47.028767801999997</v>
      </c>
      <c r="M607"/>
      <c r="N607"/>
      <c r="O607">
        <v>46.995073687999998</v>
      </c>
      <c r="P607"/>
      <c r="Q607"/>
      <c r="R607">
        <v>28.824279346000001</v>
      </c>
      <c r="S607">
        <v>58.099878480999998</v>
      </c>
      <c r="T607">
        <v>43.892030456999997</v>
      </c>
      <c r="U607">
        <v>59.903208460000002</v>
      </c>
      <c r="V607">
        <v>53.533014616000003</v>
      </c>
      <c r="W607"/>
      <c r="X607"/>
      <c r="Y607"/>
      <c r="Z607"/>
      <c r="AA607"/>
      <c r="AB607">
        <v>66.816252809999995</v>
      </c>
      <c r="AC607">
        <v>41.139065850000001</v>
      </c>
      <c r="AD607"/>
      <c r="AE607">
        <v>50.515942574999997</v>
      </c>
      <c r="AF607"/>
      <c r="AG607"/>
      <c r="AH607">
        <v>45.708793374999999</v>
      </c>
      <c r="AI607">
        <v>34.504254701000001</v>
      </c>
      <c r="AJ607"/>
      <c r="AK607"/>
      <c r="AL607"/>
      <c r="AM607">
        <v>35.426454356999997</v>
      </c>
      <c r="AN607"/>
      <c r="AO607"/>
      <c r="AP607"/>
      <c r="AQ607">
        <v>49.728043763999999</v>
      </c>
      <c r="AR607"/>
      <c r="AS607">
        <v>38.673470289999997</v>
      </c>
      <c r="AT607"/>
    </row>
    <row r="608" spans="1:46" x14ac:dyDescent="0.2">
      <c r="A608" s="87">
        <v>25385</v>
      </c>
      <c r="B608"/>
      <c r="C608"/>
      <c r="D608">
        <v>23.892458894000001</v>
      </c>
      <c r="E608">
        <v>42.164511435999998</v>
      </c>
      <c r="F608"/>
      <c r="G608">
        <v>40.547524889000002</v>
      </c>
      <c r="H608"/>
      <c r="I608"/>
      <c r="J608"/>
      <c r="K608"/>
      <c r="L608">
        <v>46.905332715999997</v>
      </c>
      <c r="M608"/>
      <c r="N608"/>
      <c r="O608">
        <v>47.280028655000002</v>
      </c>
      <c r="P608"/>
      <c r="Q608"/>
      <c r="R608">
        <v>29.528423696000001</v>
      </c>
      <c r="S608">
        <v>58.343483837999997</v>
      </c>
      <c r="T608">
        <v>44.109723985000002</v>
      </c>
      <c r="U608">
        <v>59.688116149999999</v>
      </c>
      <c r="V608">
        <v>54.105841443000003</v>
      </c>
      <c r="W608"/>
      <c r="X608"/>
      <c r="Y608"/>
      <c r="Z608"/>
      <c r="AA608"/>
      <c r="AB608">
        <v>67.089250774999996</v>
      </c>
      <c r="AC608">
        <v>41.727968633000003</v>
      </c>
      <c r="AD608"/>
      <c r="AE608">
        <v>50.875183147000001</v>
      </c>
      <c r="AF608"/>
      <c r="AG608"/>
      <c r="AH608">
        <v>46.280153292000001</v>
      </c>
      <c r="AI608">
        <v>34.848008172999997</v>
      </c>
      <c r="AJ608"/>
      <c r="AK608"/>
      <c r="AL608"/>
      <c r="AM608">
        <v>31.467261942</v>
      </c>
      <c r="AN608"/>
      <c r="AO608"/>
      <c r="AP608"/>
      <c r="AQ608">
        <v>53.377808442999999</v>
      </c>
      <c r="AR608"/>
      <c r="AS608">
        <v>38.877654968999998</v>
      </c>
      <c r="AT608"/>
    </row>
    <row r="609" spans="1:46" x14ac:dyDescent="0.2">
      <c r="A609" s="87">
        <v>25416</v>
      </c>
      <c r="B609"/>
      <c r="C609"/>
      <c r="D609">
        <v>24.406772502999999</v>
      </c>
      <c r="E609">
        <v>41.697021790999997</v>
      </c>
      <c r="F609"/>
      <c r="G609">
        <v>39.806008173999999</v>
      </c>
      <c r="H609"/>
      <c r="I609"/>
      <c r="J609"/>
      <c r="K609"/>
      <c r="L609">
        <v>48.20140112</v>
      </c>
      <c r="M609"/>
      <c r="N609"/>
      <c r="O609">
        <v>48.429397225999999</v>
      </c>
      <c r="P609"/>
      <c r="Q609"/>
      <c r="R609">
        <v>29.798997682</v>
      </c>
      <c r="S609">
        <v>58.343483837999997</v>
      </c>
      <c r="T609">
        <v>44.294637643000002</v>
      </c>
      <c r="U609">
        <v>58.935293063000003</v>
      </c>
      <c r="V609">
        <v>54.488187867000001</v>
      </c>
      <c r="W609"/>
      <c r="X609"/>
      <c r="Y609"/>
      <c r="Z609"/>
      <c r="AA609"/>
      <c r="AB609">
        <v>66.065508394000005</v>
      </c>
      <c r="AC609">
        <v>42.064484509000003</v>
      </c>
      <c r="AD609"/>
      <c r="AE609">
        <v>50.370699096000003</v>
      </c>
      <c r="AF609"/>
      <c r="AG609"/>
      <c r="AH609">
        <v>46.85151321</v>
      </c>
      <c r="AI609">
        <v>35.320669195999997</v>
      </c>
      <c r="AJ609"/>
      <c r="AK609"/>
      <c r="AL609"/>
      <c r="AM609">
        <v>38.098520717</v>
      </c>
      <c r="AN609"/>
      <c r="AO609"/>
      <c r="AP609"/>
      <c r="AQ609">
        <v>49.271823179000002</v>
      </c>
      <c r="AR609"/>
      <c r="AS609">
        <v>38.966960985999997</v>
      </c>
      <c r="AT609"/>
    </row>
    <row r="610" spans="1:46" x14ac:dyDescent="0.2">
      <c r="A610" s="87">
        <v>25447</v>
      </c>
      <c r="B610"/>
      <c r="C610"/>
      <c r="D610">
        <v>24.308650984</v>
      </c>
      <c r="E610">
        <v>41.299856695999999</v>
      </c>
      <c r="F610"/>
      <c r="G610">
        <v>39.930064201999997</v>
      </c>
      <c r="H610"/>
      <c r="I610"/>
      <c r="J610"/>
      <c r="K610"/>
      <c r="L610">
        <v>47.769378318000001</v>
      </c>
      <c r="M610"/>
      <c r="N610"/>
      <c r="O610">
        <v>49.127031944000002</v>
      </c>
      <c r="P610"/>
      <c r="Q610"/>
      <c r="R610">
        <v>29.688160145000001</v>
      </c>
      <c r="S610">
        <v>57.612667756999997</v>
      </c>
      <c r="T610">
        <v>44.228476870999998</v>
      </c>
      <c r="U610">
        <v>59.042839217999997</v>
      </c>
      <c r="V610">
        <v>54.795582590999999</v>
      </c>
      <c r="W610"/>
      <c r="X610"/>
      <c r="Y610"/>
      <c r="Z610"/>
      <c r="AA610"/>
      <c r="AB610">
        <v>62.448285312000003</v>
      </c>
      <c r="AC610">
        <v>42.989903167999998</v>
      </c>
      <c r="AD610"/>
      <c r="AE610">
        <v>51.554636039000002</v>
      </c>
      <c r="AF610"/>
      <c r="AG610"/>
      <c r="AH610">
        <v>46.565833251000001</v>
      </c>
      <c r="AI610">
        <v>35.234730827999996</v>
      </c>
      <c r="AJ610"/>
      <c r="AK610"/>
      <c r="AL610"/>
      <c r="AM610">
        <v>36.225868171999998</v>
      </c>
      <c r="AN610"/>
      <c r="AO610"/>
      <c r="AP610"/>
      <c r="AQ610">
        <v>50.184264349000003</v>
      </c>
      <c r="AR610"/>
      <c r="AS610">
        <v>38.958238534000003</v>
      </c>
      <c r="AT610"/>
    </row>
    <row r="611" spans="1:46" x14ac:dyDescent="0.2">
      <c r="A611" s="87">
        <v>25477</v>
      </c>
      <c r="B611"/>
      <c r="C611"/>
      <c r="D611">
        <v>24.462183978999999</v>
      </c>
      <c r="E611">
        <v>41.740176005000002</v>
      </c>
      <c r="F611"/>
      <c r="G611">
        <v>39.617104677</v>
      </c>
      <c r="H611"/>
      <c r="I611"/>
      <c r="J611"/>
      <c r="K611"/>
      <c r="L611">
        <v>48.386553749000001</v>
      </c>
      <c r="M611"/>
      <c r="N611"/>
      <c r="O611">
        <v>50.362763673000003</v>
      </c>
      <c r="P611"/>
      <c r="Q611"/>
      <c r="R611">
        <v>29.971773842000001</v>
      </c>
      <c r="S611">
        <v>59.561510644999998</v>
      </c>
      <c r="T611">
        <v>44.439303486</v>
      </c>
      <c r="U611">
        <v>58.074923820999999</v>
      </c>
      <c r="V611">
        <v>55.144606183</v>
      </c>
      <c r="W611"/>
      <c r="X611"/>
      <c r="Y611"/>
      <c r="Z611"/>
      <c r="AA611"/>
      <c r="AB611">
        <v>59.581806645999997</v>
      </c>
      <c r="AC611">
        <v>44.167708734999998</v>
      </c>
      <c r="AD611"/>
      <c r="AE611">
        <v>51.811391370999999</v>
      </c>
      <c r="AF611"/>
      <c r="AG611"/>
      <c r="AH611">
        <v>47.137193168000003</v>
      </c>
      <c r="AI611">
        <v>35.277700011999997</v>
      </c>
      <c r="AJ611"/>
      <c r="AK611"/>
      <c r="AL611"/>
      <c r="AM611">
        <v>34.696552935</v>
      </c>
      <c r="AN611"/>
      <c r="AO611"/>
      <c r="AP611"/>
      <c r="AQ611">
        <v>51.552926104000001</v>
      </c>
      <c r="AR611"/>
      <c r="AS611">
        <v>38.969637192999997</v>
      </c>
      <c r="AT611"/>
    </row>
    <row r="612" spans="1:46" x14ac:dyDescent="0.2">
      <c r="A612" s="87">
        <v>25508</v>
      </c>
      <c r="B612"/>
      <c r="C612"/>
      <c r="D612">
        <v>25.02883246</v>
      </c>
      <c r="E612">
        <v>42.024250002999999</v>
      </c>
      <c r="F612"/>
      <c r="G612">
        <v>40.097351877000001</v>
      </c>
      <c r="H612"/>
      <c r="I612"/>
      <c r="J612"/>
      <c r="K612"/>
      <c r="L612">
        <v>49.127164266000001</v>
      </c>
      <c r="M612"/>
      <c r="N612"/>
      <c r="O612">
        <v>48.019720149999998</v>
      </c>
      <c r="P612"/>
      <c r="Q612"/>
      <c r="R612">
        <v>30.666138408999998</v>
      </c>
      <c r="S612">
        <v>58.160779818000002</v>
      </c>
      <c r="T612">
        <v>44.361798188000002</v>
      </c>
      <c r="U612">
        <v>59.257931528999997</v>
      </c>
      <c r="V612">
        <v>55.649146025</v>
      </c>
      <c r="W612"/>
      <c r="X612"/>
      <c r="Y612"/>
      <c r="Z612"/>
      <c r="AA612"/>
      <c r="AB612">
        <v>58.285066290000003</v>
      </c>
      <c r="AC612">
        <v>44.167708734999998</v>
      </c>
      <c r="AD612"/>
      <c r="AE612">
        <v>52.832824891999998</v>
      </c>
      <c r="AF612"/>
      <c r="AG612"/>
      <c r="AH612">
        <v>48.279913002000001</v>
      </c>
      <c r="AI612">
        <v>35.879268586999999</v>
      </c>
      <c r="AJ612"/>
      <c r="AK612"/>
      <c r="AL612"/>
      <c r="AM612">
        <v>35.908481651999999</v>
      </c>
      <c r="AN612"/>
      <c r="AO612"/>
      <c r="AP612"/>
      <c r="AQ612">
        <v>52.465367274000002</v>
      </c>
      <c r="AR612"/>
      <c r="AS612">
        <v>38.602303008</v>
      </c>
      <c r="AT612"/>
    </row>
    <row r="613" spans="1:46" x14ac:dyDescent="0.2">
      <c r="A613" s="87">
        <v>25538</v>
      </c>
      <c r="B613"/>
      <c r="C613"/>
      <c r="D613">
        <v>22.916452787000001</v>
      </c>
      <c r="E613">
        <v>41.405943964999999</v>
      </c>
      <c r="F613"/>
      <c r="G613">
        <v>40.460591686999997</v>
      </c>
      <c r="H613"/>
      <c r="I613"/>
      <c r="J613"/>
      <c r="K613"/>
      <c r="L613">
        <v>48.756859007000003</v>
      </c>
      <c r="M613"/>
      <c r="N613"/>
      <c r="O613">
        <v>49.189663338000003</v>
      </c>
      <c r="P613"/>
      <c r="Q613"/>
      <c r="R613">
        <v>31.093188916999999</v>
      </c>
      <c r="S613">
        <v>58.282582501</v>
      </c>
      <c r="T613">
        <v>44.597584374999997</v>
      </c>
      <c r="U613">
        <v>59.688116149999999</v>
      </c>
      <c r="V613">
        <v>53.716190394999998</v>
      </c>
      <c r="W613"/>
      <c r="X613"/>
      <c r="Y613"/>
      <c r="Z613"/>
      <c r="AA613"/>
      <c r="AB613">
        <v>60.810297503000001</v>
      </c>
      <c r="AC613">
        <v>45.008998425000001</v>
      </c>
      <c r="AD613"/>
      <c r="AE613">
        <v>52.543574767000003</v>
      </c>
      <c r="AF613"/>
      <c r="AG613"/>
      <c r="AH613">
        <v>47.708553084999998</v>
      </c>
      <c r="AI613">
        <v>36.008176139</v>
      </c>
      <c r="AJ613"/>
      <c r="AK613"/>
      <c r="AL613"/>
      <c r="AM613">
        <v>37.739571597000001</v>
      </c>
      <c r="AN613"/>
      <c r="AO613"/>
      <c r="AP613"/>
      <c r="AQ613">
        <v>51.552926104000001</v>
      </c>
      <c r="AR613"/>
      <c r="AS613">
        <v>38.498723886999997</v>
      </c>
      <c r="AT613"/>
    </row>
    <row r="614" spans="1:46" x14ac:dyDescent="0.2">
      <c r="A614" s="87">
        <v>25569</v>
      </c>
      <c r="B614"/>
      <c r="C614"/>
      <c r="D614">
        <v>24.225431392000001</v>
      </c>
      <c r="E614">
        <v>40.568903534</v>
      </c>
      <c r="F614"/>
      <c r="G614">
        <v>40.204491173999997</v>
      </c>
      <c r="H614"/>
      <c r="I614"/>
      <c r="J614"/>
      <c r="K614"/>
      <c r="L614">
        <v>48.880294093000003</v>
      </c>
      <c r="M614"/>
      <c r="N614"/>
      <c r="O614">
        <v>49.911889103999997</v>
      </c>
      <c r="P614"/>
      <c r="Q614"/>
      <c r="R614">
        <v>31.829932542000002</v>
      </c>
      <c r="S614">
        <v>59.926918684999997</v>
      </c>
      <c r="T614">
        <v>44.731053324000001</v>
      </c>
      <c r="U614">
        <v>58.290016131999998</v>
      </c>
      <c r="V614">
        <v>56.694767155999997</v>
      </c>
      <c r="W614"/>
      <c r="X614"/>
      <c r="Y614"/>
      <c r="Z614"/>
      <c r="AA614"/>
      <c r="AB614">
        <v>68.181242655000005</v>
      </c>
      <c r="AC614">
        <v>45.597901208000003</v>
      </c>
      <c r="AD614"/>
      <c r="AE614">
        <v>52.977349967000002</v>
      </c>
      <c r="AF614"/>
      <c r="AG614"/>
      <c r="AH614">
        <v>48.592234222999998</v>
      </c>
      <c r="AI614">
        <v>34.890977356999997</v>
      </c>
      <c r="AJ614"/>
      <c r="AK614"/>
      <c r="AL614"/>
      <c r="AM614">
        <v>36.768161595000002</v>
      </c>
      <c r="AN614"/>
      <c r="AO614"/>
      <c r="AP614"/>
      <c r="AQ614">
        <v>50.640484934</v>
      </c>
      <c r="AR614"/>
      <c r="AS614">
        <v>37.785762529000003</v>
      </c>
      <c r="AT614"/>
    </row>
    <row r="615" spans="1:46" x14ac:dyDescent="0.2">
      <c r="A615" s="87">
        <v>25600</v>
      </c>
      <c r="B615"/>
      <c r="C615"/>
      <c r="D615">
        <v>25.207536646000001</v>
      </c>
      <c r="E615">
        <v>41.718541084999998</v>
      </c>
      <c r="F615"/>
      <c r="G615">
        <v>40.574779622000001</v>
      </c>
      <c r="H615"/>
      <c r="I615"/>
      <c r="J615"/>
      <c r="K615"/>
      <c r="L615">
        <v>49.559187067000003</v>
      </c>
      <c r="M615"/>
      <c r="N615"/>
      <c r="O615">
        <v>50.006941679000001</v>
      </c>
      <c r="P615"/>
      <c r="Q615"/>
      <c r="R615">
        <v>31.715835078000001</v>
      </c>
      <c r="S615">
        <v>60.596833420999999</v>
      </c>
      <c r="T615">
        <v>45.063416451000002</v>
      </c>
      <c r="U615">
        <v>59.365477683999998</v>
      </c>
      <c r="V615">
        <v>56.423992585999997</v>
      </c>
      <c r="W615"/>
      <c r="X615"/>
      <c r="Y615"/>
      <c r="Z615"/>
      <c r="AA615"/>
      <c r="AB615">
        <v>69.000236560000005</v>
      </c>
      <c r="AC615">
        <v>46.102675022</v>
      </c>
      <c r="AD615"/>
      <c r="AE615">
        <v>52.329758450999996</v>
      </c>
      <c r="AF615"/>
      <c r="AG615"/>
      <c r="AH615">
        <v>49.093185091000002</v>
      </c>
      <c r="AI615">
        <v>35.363638379999998</v>
      </c>
      <c r="AJ615"/>
      <c r="AK615"/>
      <c r="AL615"/>
      <c r="AM615">
        <v>36.598556815000002</v>
      </c>
      <c r="AN615"/>
      <c r="AO615"/>
      <c r="AP615"/>
      <c r="AQ615">
        <v>52.009146688999998</v>
      </c>
      <c r="AR615"/>
      <c r="AS615">
        <v>37.760883716999999</v>
      </c>
      <c r="AT615"/>
    </row>
    <row r="616" spans="1:46" x14ac:dyDescent="0.2">
      <c r="A616" s="87">
        <v>25628</v>
      </c>
      <c r="B616"/>
      <c r="C616"/>
      <c r="D616">
        <v>25.198530219999999</v>
      </c>
      <c r="E616">
        <v>42.750957825999997</v>
      </c>
      <c r="F616"/>
      <c r="G616">
        <v>39.899990013999997</v>
      </c>
      <c r="H616"/>
      <c r="I616"/>
      <c r="J616"/>
      <c r="K616"/>
      <c r="L616">
        <v>49.744339695999997</v>
      </c>
      <c r="M616"/>
      <c r="N616"/>
      <c r="O616">
        <v>47.443640733999999</v>
      </c>
      <c r="P616"/>
      <c r="Q616"/>
      <c r="R616">
        <v>31.569138337999998</v>
      </c>
      <c r="S616">
        <v>60.475030746999998</v>
      </c>
      <c r="T616">
        <v>45.127580010999999</v>
      </c>
      <c r="U616">
        <v>60.010754616</v>
      </c>
      <c r="V616">
        <v>56.713092582999998</v>
      </c>
      <c r="W616"/>
      <c r="X616"/>
      <c r="Y616"/>
      <c r="Z616"/>
      <c r="AA616"/>
      <c r="AB616">
        <v>68.727238584000006</v>
      </c>
      <c r="AC616">
        <v>46.439190898</v>
      </c>
      <c r="AD616"/>
      <c r="AE616">
        <v>53.158224169999997</v>
      </c>
      <c r="AF616"/>
      <c r="AG616"/>
      <c r="AH616">
        <v>50.095086827999999</v>
      </c>
      <c r="AI616">
        <v>37.340220840999997</v>
      </c>
      <c r="AJ616"/>
      <c r="AK616"/>
      <c r="AL616"/>
      <c r="AM616">
        <v>36.873799855000001</v>
      </c>
      <c r="AN616"/>
      <c r="AO616"/>
      <c r="AP616"/>
      <c r="AQ616">
        <v>52.465367274000002</v>
      </c>
      <c r="AR616"/>
      <c r="AS616">
        <v>37.711919041000002</v>
      </c>
      <c r="AT616"/>
    </row>
    <row r="617" spans="1:46" x14ac:dyDescent="0.2">
      <c r="A617" s="87">
        <v>25659</v>
      </c>
      <c r="B617"/>
      <c r="C617"/>
      <c r="D617">
        <v>25.378003292999999</v>
      </c>
      <c r="E617">
        <v>41.502145501000001</v>
      </c>
      <c r="F617"/>
      <c r="G617">
        <v>39.324351245999999</v>
      </c>
      <c r="H617"/>
      <c r="I617"/>
      <c r="J617"/>
      <c r="K617"/>
      <c r="L617">
        <v>50.23808004</v>
      </c>
      <c r="M617"/>
      <c r="N617"/>
      <c r="O617">
        <v>52.937631205000002</v>
      </c>
      <c r="P617"/>
      <c r="Q617"/>
      <c r="R617">
        <v>32.654694210999999</v>
      </c>
      <c r="S617">
        <v>61.327649503000004</v>
      </c>
      <c r="T617">
        <v>45.201622043999997</v>
      </c>
      <c r="U617">
        <v>59.795662305</v>
      </c>
      <c r="V617">
        <v>57.374748093000001</v>
      </c>
      <c r="W617"/>
      <c r="X617"/>
      <c r="Y617"/>
      <c r="Z617"/>
      <c r="AA617"/>
      <c r="AB617">
        <v>68.112993156000002</v>
      </c>
      <c r="AC617">
        <v>46.859835742999998</v>
      </c>
      <c r="AD617"/>
      <c r="AE617">
        <v>51.773441001999998</v>
      </c>
      <c r="AF617"/>
      <c r="AG617"/>
      <c r="AH617">
        <v>49.594135958999999</v>
      </c>
      <c r="AI617">
        <v>35.105823276000002</v>
      </c>
      <c r="AJ617"/>
      <c r="AK617"/>
      <c r="AL617"/>
      <c r="AM617">
        <v>38.025703290000003</v>
      </c>
      <c r="AN617"/>
      <c r="AO617"/>
      <c r="AP617"/>
      <c r="AQ617">
        <v>52.009146688999998</v>
      </c>
      <c r="AR617"/>
      <c r="AS617">
        <v>37.614881758999999</v>
      </c>
      <c r="AT617"/>
    </row>
    <row r="618" spans="1:46" x14ac:dyDescent="0.2">
      <c r="A618" s="87">
        <v>25689</v>
      </c>
      <c r="B618"/>
      <c r="C618"/>
      <c r="D618">
        <v>26.245082075999999</v>
      </c>
      <c r="E618">
        <v>42.515023321999998</v>
      </c>
      <c r="F618"/>
      <c r="G618">
        <v>39.408934901999999</v>
      </c>
      <c r="H618"/>
      <c r="I618"/>
      <c r="J618"/>
      <c r="K618"/>
      <c r="L618">
        <v>50.608385298999998</v>
      </c>
      <c r="M618"/>
      <c r="N618"/>
      <c r="O618">
        <v>49.716396519</v>
      </c>
      <c r="P618"/>
      <c r="Q618"/>
      <c r="R618">
        <v>33.023066022999998</v>
      </c>
      <c r="S618">
        <v>60.596833420999999</v>
      </c>
      <c r="T618">
        <v>45.224951124</v>
      </c>
      <c r="U618">
        <v>59.150385374000003</v>
      </c>
      <c r="V618">
        <v>57.240060579999998</v>
      </c>
      <c r="W618"/>
      <c r="X618"/>
      <c r="Y618"/>
      <c r="Z618"/>
      <c r="AA618"/>
      <c r="AB618">
        <v>67.089250774999996</v>
      </c>
      <c r="AC618">
        <v>47.448738526</v>
      </c>
      <c r="AD618"/>
      <c r="AE618">
        <v>51.556119320000001</v>
      </c>
      <c r="AF618"/>
      <c r="AG618"/>
      <c r="AH618">
        <v>49.594135958999999</v>
      </c>
      <c r="AI618">
        <v>35.148792460000003</v>
      </c>
      <c r="AJ618"/>
      <c r="AK618"/>
      <c r="AL618"/>
      <c r="AM618">
        <v>37.205562925000002</v>
      </c>
      <c r="AN618"/>
      <c r="AO618"/>
      <c r="AP618"/>
      <c r="AQ618">
        <v>53.834029028000003</v>
      </c>
      <c r="AR618"/>
      <c r="AS618">
        <v>37.571071259999997</v>
      </c>
      <c r="AT618"/>
    </row>
    <row r="619" spans="1:46" x14ac:dyDescent="0.2">
      <c r="A619" s="87">
        <v>25720</v>
      </c>
      <c r="B619"/>
      <c r="C619"/>
      <c r="D619">
        <v>25.525549498</v>
      </c>
      <c r="E619">
        <v>42.038516543999997</v>
      </c>
      <c r="F619"/>
      <c r="G619">
        <v>39.290987692999998</v>
      </c>
      <c r="H619"/>
      <c r="I619"/>
      <c r="J619"/>
      <c r="K619"/>
      <c r="L619">
        <v>50.114644953999999</v>
      </c>
      <c r="M619"/>
      <c r="N619"/>
      <c r="O619">
        <v>50.647023488000002</v>
      </c>
      <c r="P619"/>
      <c r="Q619"/>
      <c r="R619">
        <v>32.573196021999998</v>
      </c>
      <c r="S619">
        <v>60.718636103999998</v>
      </c>
      <c r="T619">
        <v>45.229634877000002</v>
      </c>
      <c r="U619">
        <v>59.257931528999997</v>
      </c>
      <c r="V619">
        <v>57.549451179999998</v>
      </c>
      <c r="W619"/>
      <c r="X619"/>
      <c r="Y619"/>
      <c r="Z619"/>
      <c r="AA619"/>
      <c r="AB619">
        <v>67.157500263000003</v>
      </c>
      <c r="AC619">
        <v>48.121770278</v>
      </c>
      <c r="AD619"/>
      <c r="AE619">
        <v>51.365066102999997</v>
      </c>
      <c r="AF619"/>
      <c r="AG619"/>
      <c r="AH619">
        <v>49.594135958999999</v>
      </c>
      <c r="AI619">
        <v>35.750361034999997</v>
      </c>
      <c r="AJ619"/>
      <c r="AK619"/>
      <c r="AL619"/>
      <c r="AM619">
        <v>38.763584612999999</v>
      </c>
      <c r="AN619"/>
      <c r="AO619"/>
      <c r="AP619"/>
      <c r="AQ619">
        <v>51.552926104000001</v>
      </c>
      <c r="AR619"/>
      <c r="AS619">
        <v>37.449551640000003</v>
      </c>
      <c r="AT619"/>
    </row>
    <row r="620" spans="1:46" x14ac:dyDescent="0.2">
      <c r="A620" s="87">
        <v>25750</v>
      </c>
      <c r="B620"/>
      <c r="C620"/>
      <c r="D620">
        <v>25.936343777000001</v>
      </c>
      <c r="E620">
        <v>43.324304576999999</v>
      </c>
      <c r="F620"/>
      <c r="G620">
        <v>39.305084968999999</v>
      </c>
      <c r="H620"/>
      <c r="I620"/>
      <c r="J620"/>
      <c r="K620"/>
      <c r="L620">
        <v>50.731820384999999</v>
      </c>
      <c r="M620"/>
      <c r="N620"/>
      <c r="O620">
        <v>52.158895254999997</v>
      </c>
      <c r="P620"/>
      <c r="Q620"/>
      <c r="R620">
        <v>33.913026242999997</v>
      </c>
      <c r="S620">
        <v>60.414129400999997</v>
      </c>
      <c r="T620">
        <v>45.461023365999999</v>
      </c>
      <c r="U620">
        <v>59.580569994999998</v>
      </c>
      <c r="V620">
        <v>58.452077647000003</v>
      </c>
      <c r="W620"/>
      <c r="X620"/>
      <c r="Y620"/>
      <c r="Z620"/>
      <c r="AA620"/>
      <c r="AB620">
        <v>69.000236560000005</v>
      </c>
      <c r="AC620">
        <v>48.121770278</v>
      </c>
      <c r="AD620"/>
      <c r="AE620">
        <v>52.219759473000003</v>
      </c>
      <c r="AF620"/>
      <c r="AG620"/>
      <c r="AH620">
        <v>51.096988564</v>
      </c>
      <c r="AI620">
        <v>36.910529001999997</v>
      </c>
      <c r="AJ620"/>
      <c r="AK620"/>
      <c r="AL620"/>
      <c r="AM620">
        <v>36.717472227999998</v>
      </c>
      <c r="AN620"/>
      <c r="AO620"/>
      <c r="AP620"/>
      <c r="AQ620">
        <v>54.746470197999997</v>
      </c>
      <c r="AR620"/>
      <c r="AS620">
        <v>37.541533864999998</v>
      </c>
      <c r="AT620"/>
    </row>
    <row r="621" spans="1:46" x14ac:dyDescent="0.2">
      <c r="A621" s="87">
        <v>25781</v>
      </c>
      <c r="B621"/>
      <c r="C621"/>
      <c r="D621">
        <v>26.296677659</v>
      </c>
      <c r="E621">
        <v>42.676792319999997</v>
      </c>
      <c r="F621"/>
      <c r="G621">
        <v>39.613345402999997</v>
      </c>
      <c r="H621"/>
      <c r="I621"/>
      <c r="J621"/>
      <c r="K621"/>
      <c r="L621">
        <v>49.929492324999998</v>
      </c>
      <c r="M621"/>
      <c r="N621"/>
      <c r="O621">
        <v>50.946895290000001</v>
      </c>
      <c r="P621"/>
      <c r="Q621"/>
      <c r="R621">
        <v>33.551174285000002</v>
      </c>
      <c r="S621">
        <v>60.414129400999997</v>
      </c>
      <c r="T621">
        <v>45.214252008999999</v>
      </c>
      <c r="U621">
        <v>59.688116149999999</v>
      </c>
      <c r="V621">
        <v>58.988254945000001</v>
      </c>
      <c r="W621"/>
      <c r="X621"/>
      <c r="Y621"/>
      <c r="Z621"/>
      <c r="AA621"/>
      <c r="AB621">
        <v>67.225749762999996</v>
      </c>
      <c r="AC621">
        <v>47.953512340000003</v>
      </c>
      <c r="AD621"/>
      <c r="AE621">
        <v>50.663322047999998</v>
      </c>
      <c r="AF621"/>
      <c r="AG621"/>
      <c r="AH621">
        <v>50.095086827999999</v>
      </c>
      <c r="AI621">
        <v>36.437867978</v>
      </c>
      <c r="AJ621"/>
      <c r="AK621"/>
      <c r="AL621"/>
      <c r="AM621">
        <v>36.459276295000002</v>
      </c>
      <c r="AN621"/>
      <c r="AO621"/>
      <c r="AP621"/>
      <c r="AQ621">
        <v>52.465367274000002</v>
      </c>
      <c r="AR621"/>
      <c r="AS621">
        <v>37.474529572000002</v>
      </c>
      <c r="AT621"/>
    </row>
    <row r="622" spans="1:46" x14ac:dyDescent="0.2">
      <c r="A622" s="87">
        <v>25812</v>
      </c>
      <c r="B622"/>
      <c r="C622"/>
      <c r="D622">
        <v>26.159454923999998</v>
      </c>
      <c r="E622">
        <v>42.380118451999998</v>
      </c>
      <c r="F622"/>
      <c r="G622">
        <v>39.084697554999998</v>
      </c>
      <c r="H622"/>
      <c r="I622"/>
      <c r="J622"/>
      <c r="K622"/>
      <c r="L622">
        <v>49.682622152999997</v>
      </c>
      <c r="M622"/>
      <c r="N622"/>
      <c r="O622">
        <v>51.295340936000002</v>
      </c>
      <c r="P622"/>
      <c r="Q622"/>
      <c r="R622">
        <v>32.944827762000003</v>
      </c>
      <c r="S622">
        <v>61.084044145</v>
      </c>
      <c r="T622">
        <v>45.170698563999998</v>
      </c>
      <c r="U622">
        <v>59.365477683999998</v>
      </c>
      <c r="V622">
        <v>59.967286708000003</v>
      </c>
      <c r="W622"/>
      <c r="X622"/>
      <c r="Y622"/>
      <c r="Z622"/>
      <c r="AA622"/>
      <c r="AB622">
        <v>69.273234524000003</v>
      </c>
      <c r="AC622">
        <v>48.121770278</v>
      </c>
      <c r="AD622"/>
      <c r="AE622">
        <v>48.995958014999999</v>
      </c>
      <c r="AF622"/>
      <c r="AG622"/>
      <c r="AH622">
        <v>50.095086827999999</v>
      </c>
      <c r="AI622">
        <v>36.480837162</v>
      </c>
      <c r="AJ622"/>
      <c r="AK622"/>
      <c r="AL622"/>
      <c r="AM622">
        <v>37.576161421999998</v>
      </c>
      <c r="AN622"/>
      <c r="AO622"/>
      <c r="AP622"/>
      <c r="AQ622">
        <v>52.009146688999998</v>
      </c>
      <c r="AR622"/>
      <c r="AS622">
        <v>37.216226040999999</v>
      </c>
      <c r="AT622"/>
    </row>
    <row r="623" spans="1:46" x14ac:dyDescent="0.2">
      <c r="A623" s="87">
        <v>25842</v>
      </c>
      <c r="B623"/>
      <c r="C623"/>
      <c r="D623">
        <v>26.392638169000001</v>
      </c>
      <c r="E623">
        <v>42.701497461000002</v>
      </c>
      <c r="F623"/>
      <c r="G623">
        <v>39.071070188</v>
      </c>
      <c r="H623"/>
      <c r="I623"/>
      <c r="J623"/>
      <c r="K623"/>
      <c r="L623">
        <v>50.052927410999999</v>
      </c>
      <c r="M623"/>
      <c r="N623"/>
      <c r="O623">
        <v>51.911449603999998</v>
      </c>
      <c r="P623"/>
      <c r="Q623"/>
      <c r="R623">
        <v>32.237423485000001</v>
      </c>
      <c r="S623">
        <v>61.632156207000001</v>
      </c>
      <c r="T623">
        <v>44.897045226000003</v>
      </c>
      <c r="U623">
        <v>60.118300771000001</v>
      </c>
      <c r="V623">
        <v>60.781614318000003</v>
      </c>
      <c r="W623"/>
      <c r="X623"/>
      <c r="Y623"/>
      <c r="Z623"/>
      <c r="AA623"/>
      <c r="AB623">
        <v>67.703496203</v>
      </c>
      <c r="AC623">
        <v>48.290028216000003</v>
      </c>
      <c r="AD623"/>
      <c r="AE623">
        <v>46.720913121999999</v>
      </c>
      <c r="AF623"/>
      <c r="AG623"/>
      <c r="AH623">
        <v>51.096988564</v>
      </c>
      <c r="AI623">
        <v>36.824590634000003</v>
      </c>
      <c r="AJ623"/>
      <c r="AK623"/>
      <c r="AL623"/>
      <c r="AM623">
        <v>37.471258550999998</v>
      </c>
      <c r="AN623"/>
      <c r="AO623"/>
      <c r="AP623"/>
      <c r="AQ623">
        <v>52.921587858000002</v>
      </c>
      <c r="AR623"/>
      <c r="AS623">
        <v>36.471744913000002</v>
      </c>
      <c r="AT623"/>
    </row>
    <row r="624" spans="1:46" x14ac:dyDescent="0.2">
      <c r="A624" s="87">
        <v>25873</v>
      </c>
      <c r="B624"/>
      <c r="C624"/>
      <c r="D624">
        <v>26.630614143999999</v>
      </c>
      <c r="E624">
        <v>42.449965888999998</v>
      </c>
      <c r="F624"/>
      <c r="G624">
        <v>39.526882110000003</v>
      </c>
      <c r="H624"/>
      <c r="I624"/>
      <c r="J624"/>
      <c r="K624"/>
      <c r="L624">
        <v>49.620904609999997</v>
      </c>
      <c r="M624"/>
      <c r="N624"/>
      <c r="O624">
        <v>52.819358573999999</v>
      </c>
      <c r="P624"/>
      <c r="Q624"/>
      <c r="R624">
        <v>32.879629211000001</v>
      </c>
      <c r="S624">
        <v>61.266748165999999</v>
      </c>
      <c r="T624">
        <v>44.623412029999997</v>
      </c>
      <c r="U624">
        <v>59.257931528999997</v>
      </c>
      <c r="V624">
        <v>61.539461127999999</v>
      </c>
      <c r="W624"/>
      <c r="X624"/>
      <c r="Y624"/>
      <c r="Z624"/>
      <c r="AA624"/>
      <c r="AB624">
        <v>68.590739607000003</v>
      </c>
      <c r="AC624">
        <v>47.785254402</v>
      </c>
      <c r="AD624"/>
      <c r="AE624">
        <v>48.230047417000002</v>
      </c>
      <c r="AF624"/>
      <c r="AG624"/>
      <c r="AH624">
        <v>51.096988564</v>
      </c>
      <c r="AI624">
        <v>36.910529001999997</v>
      </c>
      <c r="AJ624"/>
      <c r="AK624"/>
      <c r="AL624"/>
      <c r="AM624">
        <v>37.107750170999999</v>
      </c>
      <c r="AN624"/>
      <c r="AO624"/>
      <c r="AP624"/>
      <c r="AQ624">
        <v>53.377808442999999</v>
      </c>
      <c r="AR624"/>
      <c r="AS624">
        <v>36.250908279000001</v>
      </c>
      <c r="AT624"/>
    </row>
    <row r="625" spans="1:46" x14ac:dyDescent="0.2">
      <c r="A625" s="87">
        <v>25903</v>
      </c>
      <c r="B625"/>
      <c r="C625"/>
      <c r="D625">
        <v>25.211648363999998</v>
      </c>
      <c r="E625">
        <v>43.474730495000003</v>
      </c>
      <c r="F625"/>
      <c r="G625">
        <v>39.790501171000003</v>
      </c>
      <c r="H625"/>
      <c r="I625"/>
      <c r="J625"/>
      <c r="K625"/>
      <c r="L625">
        <v>50.484950212999998</v>
      </c>
      <c r="M625"/>
      <c r="N625"/>
      <c r="O625">
        <v>51.759471695999999</v>
      </c>
      <c r="P625"/>
      <c r="Q625"/>
      <c r="R625">
        <v>33.218661676000004</v>
      </c>
      <c r="S625">
        <v>61.875761564000001</v>
      </c>
      <c r="T625">
        <v>45.414266722999997</v>
      </c>
      <c r="U625">
        <v>59.795662305</v>
      </c>
      <c r="V625">
        <v>61.425793556999999</v>
      </c>
      <c r="W625"/>
      <c r="X625"/>
      <c r="Y625"/>
      <c r="Z625"/>
      <c r="AA625"/>
      <c r="AB625">
        <v>68.795488083999999</v>
      </c>
      <c r="AC625">
        <v>48.794802031000003</v>
      </c>
      <c r="AD625"/>
      <c r="AE625">
        <v>49.656341892</v>
      </c>
      <c r="AF625"/>
      <c r="AG625"/>
      <c r="AH625">
        <v>51.597939431999997</v>
      </c>
      <c r="AI625">
        <v>37.769912679999997</v>
      </c>
      <c r="AJ625"/>
      <c r="AK625"/>
      <c r="AL625"/>
      <c r="AM625">
        <v>38.052655682999998</v>
      </c>
      <c r="AN625"/>
      <c r="AO625"/>
      <c r="AP625"/>
      <c r="AQ625">
        <v>53.834029028000003</v>
      </c>
      <c r="AR625"/>
      <c r="AS625">
        <v>37.083406881000002</v>
      </c>
      <c r="AT625"/>
    </row>
    <row r="626" spans="1:46" x14ac:dyDescent="0.2">
      <c r="A626" s="87">
        <v>25934</v>
      </c>
      <c r="B626"/>
      <c r="C626"/>
      <c r="D626">
        <v>27.567116394999999</v>
      </c>
      <c r="E626">
        <v>43.302152313000001</v>
      </c>
      <c r="F626"/>
      <c r="G626">
        <v>40.165018801999999</v>
      </c>
      <c r="H626"/>
      <c r="I626"/>
      <c r="J626"/>
      <c r="K626"/>
      <c r="L626">
        <v>51.410713358000002</v>
      </c>
      <c r="M626"/>
      <c r="N626"/>
      <c r="O626">
        <v>51.218970612</v>
      </c>
      <c r="P626"/>
      <c r="Q626"/>
      <c r="R626">
        <v>34.196639939000001</v>
      </c>
      <c r="S626">
        <v>61.693057543999998</v>
      </c>
      <c r="T626">
        <v>45.756605700000001</v>
      </c>
      <c r="U626">
        <v>60.118300771000001</v>
      </c>
      <c r="V626">
        <v>62.273054885999997</v>
      </c>
      <c r="W626"/>
      <c r="X626"/>
      <c r="Y626"/>
      <c r="Z626"/>
      <c r="AA626"/>
      <c r="AB626">
        <v>70.015447753000004</v>
      </c>
      <c r="AC626">
        <v>48.710673061999998</v>
      </c>
      <c r="AD626"/>
      <c r="AE626">
        <v>48.12667149</v>
      </c>
      <c r="AF626"/>
      <c r="AG626"/>
      <c r="AH626">
        <v>53.100792036999998</v>
      </c>
      <c r="AI626">
        <v>36.523806346000001</v>
      </c>
      <c r="AJ626"/>
      <c r="AK626"/>
      <c r="AL626"/>
      <c r="AM626">
        <v>36.550763338000003</v>
      </c>
      <c r="AN626"/>
      <c r="AO626"/>
      <c r="AP626"/>
      <c r="AQ626">
        <v>54.290249613</v>
      </c>
      <c r="AR626"/>
      <c r="AS626">
        <v>37.368571600000003</v>
      </c>
      <c r="AT626"/>
    </row>
    <row r="627" spans="1:46" x14ac:dyDescent="0.2">
      <c r="A627" s="87">
        <v>25965</v>
      </c>
      <c r="B627"/>
      <c r="C627"/>
      <c r="D627">
        <v>27.101132271000001</v>
      </c>
      <c r="E627">
        <v>43.538372111999998</v>
      </c>
      <c r="F627"/>
      <c r="G627">
        <v>40.422059132999998</v>
      </c>
      <c r="H627"/>
      <c r="I627"/>
      <c r="J627"/>
      <c r="K627"/>
      <c r="L627">
        <v>50.855255471</v>
      </c>
      <c r="M627"/>
      <c r="N627"/>
      <c r="O627">
        <v>51.775460221000003</v>
      </c>
      <c r="P627"/>
      <c r="Q627"/>
      <c r="R627">
        <v>27.546387749000001</v>
      </c>
      <c r="S627">
        <v>62.72838033</v>
      </c>
      <c r="T627">
        <v>45.394696064999998</v>
      </c>
      <c r="U627">
        <v>59.150385374000003</v>
      </c>
      <c r="V627">
        <v>62.940827311</v>
      </c>
      <c r="W627"/>
      <c r="X627"/>
      <c r="Y627"/>
      <c r="Z627"/>
      <c r="AA627"/>
      <c r="AB627">
        <v>65.862807403999994</v>
      </c>
      <c r="AC627">
        <v>48.458286154</v>
      </c>
      <c r="AD627"/>
      <c r="AE627">
        <v>49.139948803999999</v>
      </c>
      <c r="AF627"/>
      <c r="AG627"/>
      <c r="AH627">
        <v>52.599841169000001</v>
      </c>
      <c r="AI627">
        <v>36.738652266000003</v>
      </c>
      <c r="AJ627"/>
      <c r="AK627"/>
      <c r="AL627"/>
      <c r="AM627">
        <v>36.404242435999997</v>
      </c>
      <c r="AN627"/>
      <c r="AO627"/>
      <c r="AP627"/>
      <c r="AQ627">
        <v>53.377808442999999</v>
      </c>
      <c r="AR627"/>
      <c r="AS627">
        <v>37.297404319000002</v>
      </c>
      <c r="AT627"/>
    </row>
    <row r="628" spans="1:46" x14ac:dyDescent="0.2">
      <c r="A628" s="87">
        <v>25993</v>
      </c>
      <c r="B628"/>
      <c r="C628"/>
      <c r="D628">
        <v>26.713233708000001</v>
      </c>
      <c r="E628">
        <v>42.721347860999998</v>
      </c>
      <c r="F628"/>
      <c r="G628">
        <v>40.575719440999997</v>
      </c>
      <c r="H628"/>
      <c r="I628"/>
      <c r="J628"/>
      <c r="K628"/>
      <c r="L628">
        <v>50.608385298999998</v>
      </c>
      <c r="M628"/>
      <c r="N628"/>
      <c r="O628">
        <v>52.600056987000002</v>
      </c>
      <c r="P628"/>
      <c r="Q628"/>
      <c r="R628">
        <v>25.544792236999999</v>
      </c>
      <c r="S628">
        <v>63.154689707999999</v>
      </c>
      <c r="T628">
        <v>45.404918182000003</v>
      </c>
      <c r="U628">
        <v>58.397562287</v>
      </c>
      <c r="V628">
        <v>62.161791698000002</v>
      </c>
      <c r="W628"/>
      <c r="X628"/>
      <c r="Y628"/>
      <c r="Z628"/>
      <c r="AA628"/>
      <c r="AB628">
        <v>65.862807403999994</v>
      </c>
      <c r="AC628">
        <v>48.963059969</v>
      </c>
      <c r="AD628"/>
      <c r="AE628">
        <v>49.08633597</v>
      </c>
      <c r="AF628"/>
      <c r="AG628"/>
      <c r="AH628">
        <v>52.098890300999997</v>
      </c>
      <c r="AI628">
        <v>36.867559817999997</v>
      </c>
      <c r="AJ628"/>
      <c r="AK628"/>
      <c r="AL628"/>
      <c r="AM628">
        <v>36.499898631000001</v>
      </c>
      <c r="AN628"/>
      <c r="AO628"/>
      <c r="AP628"/>
      <c r="AQ628">
        <v>52.465367274000002</v>
      </c>
      <c r="AR628"/>
      <c r="AS628">
        <v>37.257062976999997</v>
      </c>
      <c r="AT628"/>
    </row>
    <row r="629" spans="1:46" x14ac:dyDescent="0.2">
      <c r="A629" s="87">
        <v>26024</v>
      </c>
      <c r="B629"/>
      <c r="C629"/>
      <c r="D629">
        <v>27.024562886999998</v>
      </c>
      <c r="E629">
        <v>43.101097580999998</v>
      </c>
      <c r="F629"/>
      <c r="G629">
        <v>40.641976638000003</v>
      </c>
      <c r="H629"/>
      <c r="I629"/>
      <c r="J629"/>
      <c r="K629"/>
      <c r="L629">
        <v>50.978690557</v>
      </c>
      <c r="M629"/>
      <c r="N629"/>
      <c r="O629">
        <v>53.278005346999997</v>
      </c>
      <c r="P629"/>
      <c r="Q629"/>
      <c r="R629">
        <v>33.978224793999999</v>
      </c>
      <c r="S629">
        <v>62.971985687</v>
      </c>
      <c r="T629">
        <v>45.529272556999999</v>
      </c>
      <c r="U629">
        <v>59.257931528999997</v>
      </c>
      <c r="V629">
        <v>61.046109594000001</v>
      </c>
      <c r="W629"/>
      <c r="X629"/>
      <c r="Y629"/>
      <c r="Z629"/>
      <c r="AA629"/>
      <c r="AB629">
        <v>65.090223152999997</v>
      </c>
      <c r="AC629">
        <v>48.710673061999998</v>
      </c>
      <c r="AD629"/>
      <c r="AE629">
        <v>50.602916524999998</v>
      </c>
      <c r="AF629"/>
      <c r="AG629"/>
      <c r="AH629">
        <v>52.098890300999997</v>
      </c>
      <c r="AI629">
        <v>37.469128392999998</v>
      </c>
      <c r="AJ629"/>
      <c r="AK629"/>
      <c r="AL629"/>
      <c r="AM629">
        <v>41.367948194</v>
      </c>
      <c r="AN629"/>
      <c r="AO629"/>
      <c r="AP629"/>
      <c r="AQ629">
        <v>52.921587858000002</v>
      </c>
      <c r="AR629"/>
      <c r="AS629">
        <v>37.466203595000003</v>
      </c>
      <c r="AT629"/>
    </row>
    <row r="630" spans="1:46" x14ac:dyDescent="0.2">
      <c r="A630" s="87">
        <v>26054</v>
      </c>
      <c r="B630"/>
      <c r="C630"/>
      <c r="D630">
        <v>27.454114830999998</v>
      </c>
      <c r="E630">
        <v>39.715543783999998</v>
      </c>
      <c r="F630"/>
      <c r="G630">
        <v>41.216205678000001</v>
      </c>
      <c r="H630"/>
      <c r="I630"/>
      <c r="J630"/>
      <c r="K630"/>
      <c r="L630">
        <v>50.23808004</v>
      </c>
      <c r="M630"/>
      <c r="N630"/>
      <c r="O630">
        <v>53.082058977000003</v>
      </c>
      <c r="P630"/>
      <c r="Q630"/>
      <c r="R630">
        <v>34.356376388999998</v>
      </c>
      <c r="S630">
        <v>61.875761564000001</v>
      </c>
      <c r="T630">
        <v>45.406887324000003</v>
      </c>
      <c r="U630">
        <v>59.473023839</v>
      </c>
      <c r="V630">
        <v>63.471351058000003</v>
      </c>
      <c r="W630"/>
      <c r="X630"/>
      <c r="Y630"/>
      <c r="Z630"/>
      <c r="AA630"/>
      <c r="AB630">
        <v>67.697695001</v>
      </c>
      <c r="AC630">
        <v>47.448738526</v>
      </c>
      <c r="AD630"/>
      <c r="AE630">
        <v>51.208122092000004</v>
      </c>
      <c r="AF630"/>
      <c r="AG630"/>
      <c r="AH630">
        <v>52.599841169000001</v>
      </c>
      <c r="AI630">
        <v>37.598035944999999</v>
      </c>
      <c r="AJ630"/>
      <c r="AK630"/>
      <c r="AL630"/>
      <c r="AM630">
        <v>40.346326009000002</v>
      </c>
      <c r="AN630"/>
      <c r="AO630"/>
      <c r="AP630"/>
      <c r="AQ630">
        <v>52.921587858000002</v>
      </c>
      <c r="AR630"/>
      <c r="AS630">
        <v>37.656313408000003</v>
      </c>
      <c r="AT630"/>
    </row>
    <row r="631" spans="1:46" x14ac:dyDescent="0.2">
      <c r="A631" s="87">
        <v>26085</v>
      </c>
      <c r="B631"/>
      <c r="C631"/>
      <c r="D631">
        <v>26.969959587999998</v>
      </c>
      <c r="E631">
        <v>42.972492481000003</v>
      </c>
      <c r="F631"/>
      <c r="G631">
        <v>41.487813193999997</v>
      </c>
      <c r="H631"/>
      <c r="I631"/>
      <c r="J631"/>
      <c r="K631"/>
      <c r="L631">
        <v>50.793537927999999</v>
      </c>
      <c r="M631"/>
      <c r="N631"/>
      <c r="O631">
        <v>53.996726381000002</v>
      </c>
      <c r="P631"/>
      <c r="Q631"/>
      <c r="R631">
        <v>35.044221100999998</v>
      </c>
      <c r="S631">
        <v>63.093788371000002</v>
      </c>
      <c r="T631">
        <v>45.819379519000002</v>
      </c>
      <c r="U631">
        <v>59.257931528999997</v>
      </c>
      <c r="V631">
        <v>64.400588834000004</v>
      </c>
      <c r="W631"/>
      <c r="X631"/>
      <c r="Y631"/>
      <c r="Z631"/>
      <c r="AA631"/>
      <c r="AB631">
        <v>68.277133191999994</v>
      </c>
      <c r="AC631">
        <v>48.458286154</v>
      </c>
      <c r="AD631"/>
      <c r="AE631">
        <v>50.882014863000002</v>
      </c>
      <c r="AF631"/>
      <c r="AG631"/>
      <c r="AH631">
        <v>53.100792036999998</v>
      </c>
      <c r="AI631">
        <v>38.070696968</v>
      </c>
      <c r="AJ631"/>
      <c r="AK631"/>
      <c r="AL631"/>
      <c r="AM631">
        <v>39.622183669999998</v>
      </c>
      <c r="AN631"/>
      <c r="AO631"/>
      <c r="AP631"/>
      <c r="AQ631">
        <v>53.377808442999999</v>
      </c>
      <c r="AR631"/>
      <c r="AS631">
        <v>37.814308736999998</v>
      </c>
      <c r="AT631"/>
    </row>
    <row r="632" spans="1:46" x14ac:dyDescent="0.2">
      <c r="A632" s="87">
        <v>26115</v>
      </c>
      <c r="B632"/>
      <c r="C632"/>
      <c r="D632">
        <v>27.184520370000001</v>
      </c>
      <c r="E632">
        <v>43.785134909</v>
      </c>
      <c r="F632"/>
      <c r="G632">
        <v>41.619387770000003</v>
      </c>
      <c r="H632"/>
      <c r="I632"/>
      <c r="J632"/>
      <c r="K632"/>
      <c r="L632">
        <v>51.595865987000003</v>
      </c>
      <c r="M632"/>
      <c r="N632"/>
      <c r="O632">
        <v>56.280102573999997</v>
      </c>
      <c r="P632"/>
      <c r="Q632"/>
      <c r="R632">
        <v>35.190917839999997</v>
      </c>
      <c r="S632">
        <v>63.459196411000001</v>
      </c>
      <c r="T632">
        <v>45.888783803000003</v>
      </c>
      <c r="U632">
        <v>59.042839217999997</v>
      </c>
      <c r="V632">
        <v>68.020034271</v>
      </c>
      <c r="W632"/>
      <c r="X632"/>
      <c r="Y632"/>
      <c r="Z632"/>
      <c r="AA632"/>
      <c r="AB632">
        <v>67.697695001</v>
      </c>
      <c r="AC632">
        <v>48.626544093</v>
      </c>
      <c r="AD632"/>
      <c r="AE632">
        <v>50.802703119</v>
      </c>
      <c r="AF632"/>
      <c r="AG632"/>
      <c r="AH632">
        <v>53.100792036999998</v>
      </c>
      <c r="AI632">
        <v>39.187895750000003</v>
      </c>
      <c r="AJ632"/>
      <c r="AK632"/>
      <c r="AL632"/>
      <c r="AM632">
        <v>40.989873985000003</v>
      </c>
      <c r="AN632"/>
      <c r="AO632"/>
      <c r="AP632"/>
      <c r="AQ632">
        <v>52.921587858000002</v>
      </c>
      <c r="AR632"/>
      <c r="AS632">
        <v>37.704485132999999</v>
      </c>
      <c r="AT632"/>
    </row>
    <row r="633" spans="1:46" x14ac:dyDescent="0.2">
      <c r="A633" s="87">
        <v>26146</v>
      </c>
      <c r="B633"/>
      <c r="C633"/>
      <c r="D633">
        <v>27.286423729999999</v>
      </c>
      <c r="E633">
        <v>43.272834527000001</v>
      </c>
      <c r="F633"/>
      <c r="G633">
        <v>42.771135213999997</v>
      </c>
      <c r="H633"/>
      <c r="I633"/>
      <c r="J633"/>
      <c r="K633"/>
      <c r="L633">
        <v>49.435751981000003</v>
      </c>
      <c r="M633"/>
      <c r="N633"/>
      <c r="O633">
        <v>55.962832626000001</v>
      </c>
      <c r="P633"/>
      <c r="Q633"/>
      <c r="R633">
        <v>34.639990085000001</v>
      </c>
      <c r="S633">
        <v>63.459196411000001</v>
      </c>
      <c r="T633">
        <v>45.615485632000002</v>
      </c>
      <c r="U633">
        <v>59.365477683999998</v>
      </c>
      <c r="V633">
        <v>68.248811898</v>
      </c>
      <c r="W633"/>
      <c r="X633"/>
      <c r="Y633"/>
      <c r="Z633"/>
      <c r="AA633"/>
      <c r="AB633">
        <v>68.663425312000001</v>
      </c>
      <c r="AC633">
        <v>48.794802031000003</v>
      </c>
      <c r="AD633"/>
      <c r="AE633">
        <v>51.326264446000003</v>
      </c>
      <c r="AF633"/>
      <c r="AG633"/>
      <c r="AH633">
        <v>53.601742905999998</v>
      </c>
      <c r="AI633">
        <v>37.812881863999998</v>
      </c>
      <c r="AJ633"/>
      <c r="AK633"/>
      <c r="AL633"/>
      <c r="AM633">
        <v>41.285328391999997</v>
      </c>
      <c r="AN633"/>
      <c r="AO633"/>
      <c r="AP633"/>
      <c r="AQ633">
        <v>52.009146688999998</v>
      </c>
      <c r="AR633"/>
      <c r="AS633">
        <v>37.485729994000003</v>
      </c>
      <c r="AT633"/>
    </row>
    <row r="634" spans="1:46" x14ac:dyDescent="0.2">
      <c r="A634" s="87">
        <v>26177</v>
      </c>
      <c r="B634"/>
      <c r="C634"/>
      <c r="D634">
        <v>27.338382855999999</v>
      </c>
      <c r="E634">
        <v>43.783670385999997</v>
      </c>
      <c r="F634"/>
      <c r="G634">
        <v>43.038983457</v>
      </c>
      <c r="H634"/>
      <c r="I634"/>
      <c r="J634"/>
      <c r="K634"/>
      <c r="L634">
        <v>50.608385298999998</v>
      </c>
      <c r="M634"/>
      <c r="N634"/>
      <c r="O634">
        <v>55.116164740999999</v>
      </c>
      <c r="P634"/>
      <c r="Q634"/>
      <c r="R634">
        <v>34.861665158000001</v>
      </c>
      <c r="S634">
        <v>65.286236615999997</v>
      </c>
      <c r="T634">
        <v>46.273065058</v>
      </c>
      <c r="U634">
        <v>58.935293063000003</v>
      </c>
      <c r="V634">
        <v>66.1316147</v>
      </c>
      <c r="W634"/>
      <c r="X634"/>
      <c r="Y634"/>
      <c r="Z634"/>
      <c r="AA634"/>
      <c r="AB634">
        <v>68.856571371000001</v>
      </c>
      <c r="AC634">
        <v>49.467833783000003</v>
      </c>
      <c r="AD634"/>
      <c r="AE634">
        <v>51.827158881000003</v>
      </c>
      <c r="AF634"/>
      <c r="AG634"/>
      <c r="AH634">
        <v>53.601742905999998</v>
      </c>
      <c r="AI634">
        <v>37.855851047999998</v>
      </c>
      <c r="AJ634"/>
      <c r="AK634"/>
      <c r="AL634"/>
      <c r="AM634">
        <v>38.454695733000001</v>
      </c>
      <c r="AN634"/>
      <c r="AO634"/>
      <c r="AP634"/>
      <c r="AQ634">
        <v>52.009146688999998</v>
      </c>
      <c r="AR634"/>
      <c r="AS634">
        <v>38.094913992999999</v>
      </c>
      <c r="AT634"/>
    </row>
    <row r="635" spans="1:46" x14ac:dyDescent="0.2">
      <c r="A635" s="87">
        <v>26207</v>
      </c>
      <c r="B635"/>
      <c r="C635"/>
      <c r="D635">
        <v>27.676431196999999</v>
      </c>
      <c r="E635">
        <v>43.937726326000003</v>
      </c>
      <c r="F635"/>
      <c r="G635">
        <v>43.228826773000002</v>
      </c>
      <c r="H635"/>
      <c r="I635"/>
      <c r="J635"/>
      <c r="K635"/>
      <c r="L635">
        <v>50.731820384999999</v>
      </c>
      <c r="M635"/>
      <c r="N635"/>
      <c r="O635">
        <v>55.052548549999997</v>
      </c>
      <c r="P635"/>
      <c r="Q635"/>
      <c r="R635">
        <v>34.675849288000002</v>
      </c>
      <c r="S635">
        <v>65.164433932999998</v>
      </c>
      <c r="T635">
        <v>46.378623396000002</v>
      </c>
      <c r="U635">
        <v>58.935293063000003</v>
      </c>
      <c r="V635">
        <v>66.721281986999998</v>
      </c>
      <c r="W635"/>
      <c r="X635"/>
      <c r="Y635"/>
      <c r="Z635"/>
      <c r="AA635"/>
      <c r="AB635">
        <v>70.208593812999993</v>
      </c>
      <c r="AC635">
        <v>48.794802031000003</v>
      </c>
      <c r="AD635"/>
      <c r="AE635">
        <v>51.002952553</v>
      </c>
      <c r="AF635"/>
      <c r="AG635"/>
      <c r="AH635">
        <v>54.102693774000002</v>
      </c>
      <c r="AI635">
        <v>37.812881863999998</v>
      </c>
      <c r="AJ635"/>
      <c r="AK635"/>
      <c r="AL635"/>
      <c r="AM635">
        <v>42.666982558000001</v>
      </c>
      <c r="AN635"/>
      <c r="AO635"/>
      <c r="AP635"/>
      <c r="AQ635">
        <v>53.377808442999999</v>
      </c>
      <c r="AR635"/>
      <c r="AS635">
        <v>38.380078712</v>
      </c>
      <c r="AT635"/>
    </row>
    <row r="636" spans="1:46" x14ac:dyDescent="0.2">
      <c r="A636" s="87">
        <v>26238</v>
      </c>
      <c r="B636"/>
      <c r="C636"/>
      <c r="D636">
        <v>27.288940567000001</v>
      </c>
      <c r="E636">
        <v>44.118211561999999</v>
      </c>
      <c r="F636"/>
      <c r="G636">
        <v>42.944061799000004</v>
      </c>
      <c r="H636"/>
      <c r="I636"/>
      <c r="J636"/>
      <c r="K636"/>
      <c r="L636">
        <v>49.991209867999999</v>
      </c>
      <c r="M636"/>
      <c r="N636"/>
      <c r="O636">
        <v>56.162930608000003</v>
      </c>
      <c r="P636"/>
      <c r="Q636"/>
      <c r="R636">
        <v>34.102102039999998</v>
      </c>
      <c r="S636">
        <v>65.895250015000002</v>
      </c>
      <c r="T636">
        <v>46.439638893000001</v>
      </c>
      <c r="U636">
        <v>58.827746908000002</v>
      </c>
      <c r="V636">
        <v>68.259117758000002</v>
      </c>
      <c r="W636"/>
      <c r="X636"/>
      <c r="Y636"/>
      <c r="Z636"/>
      <c r="AA636"/>
      <c r="AB636">
        <v>69.532582598000005</v>
      </c>
      <c r="AC636">
        <v>49.383704813999998</v>
      </c>
      <c r="AD636"/>
      <c r="AE636">
        <v>49.974594736</v>
      </c>
      <c r="AF636"/>
      <c r="AG636"/>
      <c r="AH636">
        <v>53.601742905999998</v>
      </c>
      <c r="AI636">
        <v>37.598035944999999</v>
      </c>
      <c r="AJ636"/>
      <c r="AK636"/>
      <c r="AL636"/>
      <c r="AM636">
        <v>47.618641009000001</v>
      </c>
      <c r="AN636"/>
      <c r="AO636"/>
      <c r="AP636"/>
      <c r="AQ636">
        <v>52.465367274000002</v>
      </c>
      <c r="AR636"/>
      <c r="AS636">
        <v>38.542930861000002</v>
      </c>
      <c r="AT636"/>
    </row>
    <row r="637" spans="1:46" x14ac:dyDescent="0.2">
      <c r="A637" s="87">
        <v>26268</v>
      </c>
      <c r="B637"/>
      <c r="C637"/>
      <c r="D637">
        <v>27.942629792999998</v>
      </c>
      <c r="E637">
        <v>42.732308881999998</v>
      </c>
      <c r="F637"/>
      <c r="G637">
        <v>43.548834937000002</v>
      </c>
      <c r="H637"/>
      <c r="I637"/>
      <c r="J637"/>
      <c r="K637"/>
      <c r="L637">
        <v>49.127164266000001</v>
      </c>
      <c r="M637"/>
      <c r="N637"/>
      <c r="O637">
        <v>57.502829140000003</v>
      </c>
      <c r="P637"/>
      <c r="Q637"/>
      <c r="R637">
        <v>33.916286169999999</v>
      </c>
      <c r="S637">
        <v>65.834348677999998</v>
      </c>
      <c r="T637">
        <v>46.557299452999999</v>
      </c>
      <c r="U637">
        <v>59.257931528999997</v>
      </c>
      <c r="V637">
        <v>68.712982019999998</v>
      </c>
      <c r="W637"/>
      <c r="X637"/>
      <c r="Y637"/>
      <c r="Z637"/>
      <c r="AA637"/>
      <c r="AB637">
        <v>70.208593812999993</v>
      </c>
      <c r="AC637">
        <v>49.047188937999998</v>
      </c>
      <c r="AD637"/>
      <c r="AE637">
        <v>49.407162628000002</v>
      </c>
      <c r="AF637"/>
      <c r="AG637"/>
      <c r="AH637">
        <v>52.599841169000001</v>
      </c>
      <c r="AI637">
        <v>38.586327175000001</v>
      </c>
      <c r="AJ637"/>
      <c r="AK637"/>
      <c r="AL637"/>
      <c r="AM637">
        <v>41.162214710000001</v>
      </c>
      <c r="AN637"/>
      <c r="AO637"/>
      <c r="AP637"/>
      <c r="AQ637">
        <v>52.465367274000002</v>
      </c>
      <c r="AR637"/>
      <c r="AS637">
        <v>38.987875047999999</v>
      </c>
      <c r="AT637"/>
    </row>
    <row r="638" spans="1:46" x14ac:dyDescent="0.2">
      <c r="A638" s="87">
        <v>26299</v>
      </c>
      <c r="B638"/>
      <c r="C638"/>
      <c r="D638">
        <v>28.513828693000001</v>
      </c>
      <c r="E638">
        <v>44.548283769000001</v>
      </c>
      <c r="F638"/>
      <c r="G638">
        <v>43.811984088000003</v>
      </c>
      <c r="H638"/>
      <c r="I638"/>
      <c r="J638"/>
      <c r="K638"/>
      <c r="L638">
        <v>51.040408100000001</v>
      </c>
      <c r="M638"/>
      <c r="N638"/>
      <c r="O638">
        <v>58.711044385000001</v>
      </c>
      <c r="P638"/>
      <c r="Q638"/>
      <c r="R638">
        <v>35.829863639000003</v>
      </c>
      <c r="S638">
        <v>66.443362076</v>
      </c>
      <c r="T638">
        <v>47.263741246000002</v>
      </c>
      <c r="U638">
        <v>57.537193045000002</v>
      </c>
      <c r="V638">
        <v>69.245641231999997</v>
      </c>
      <c r="W638"/>
      <c r="X638"/>
      <c r="Y638"/>
      <c r="Z638"/>
      <c r="AA638"/>
      <c r="AB638">
        <v>70.015447753000004</v>
      </c>
      <c r="AC638">
        <v>49.383704813999998</v>
      </c>
      <c r="AD638"/>
      <c r="AE638">
        <v>50.242157847000001</v>
      </c>
      <c r="AF638"/>
      <c r="AG638"/>
      <c r="AH638">
        <v>53.601742905999998</v>
      </c>
      <c r="AI638">
        <v>36.824590634000003</v>
      </c>
      <c r="AJ638"/>
      <c r="AK638"/>
      <c r="AL638"/>
      <c r="AM638">
        <v>41.707230484999997</v>
      </c>
      <c r="AN638"/>
      <c r="AO638"/>
      <c r="AP638"/>
      <c r="AQ638">
        <v>52.009146688999998</v>
      </c>
      <c r="AR638"/>
      <c r="AS638">
        <v>39.920186256999997</v>
      </c>
      <c r="AT638"/>
    </row>
    <row r="639" spans="1:46" x14ac:dyDescent="0.2">
      <c r="A639" s="87">
        <v>26330</v>
      </c>
      <c r="B639"/>
      <c r="C639"/>
      <c r="D639">
        <v>27.614517332999998</v>
      </c>
      <c r="E639">
        <v>44.066625555999998</v>
      </c>
      <c r="F639"/>
      <c r="G639">
        <v>43.271588510000001</v>
      </c>
      <c r="H639"/>
      <c r="I639"/>
      <c r="J639"/>
      <c r="K639"/>
      <c r="L639">
        <v>51.410713358000002</v>
      </c>
      <c r="M639"/>
      <c r="N639"/>
      <c r="O639">
        <v>59.986940531000002</v>
      </c>
      <c r="P639"/>
      <c r="Q639"/>
      <c r="R639">
        <v>35.542990015000001</v>
      </c>
      <c r="S639">
        <v>65.773447331</v>
      </c>
      <c r="T639">
        <v>47.100520930999998</v>
      </c>
      <c r="U639">
        <v>53.020254526000002</v>
      </c>
      <c r="V639">
        <v>68.936505150000002</v>
      </c>
      <c r="W639"/>
      <c r="X639"/>
      <c r="Y639"/>
      <c r="Z639"/>
      <c r="AA639"/>
      <c r="AB639">
        <v>67.118256810000005</v>
      </c>
      <c r="AC639">
        <v>49.888478628000001</v>
      </c>
      <c r="AD639"/>
      <c r="AE639">
        <v>48.281903141999997</v>
      </c>
      <c r="AF639"/>
      <c r="AG639"/>
      <c r="AH639">
        <v>53.601742905999998</v>
      </c>
      <c r="AI639">
        <v>36.351929611000003</v>
      </c>
      <c r="AJ639"/>
      <c r="AK639"/>
      <c r="AL639"/>
      <c r="AM639">
        <v>42.816445672</v>
      </c>
      <c r="AN639"/>
      <c r="AO639"/>
      <c r="AP639"/>
      <c r="AQ639">
        <v>52.921587858000002</v>
      </c>
      <c r="AR639"/>
      <c r="AS639">
        <v>40.334601861000003</v>
      </c>
      <c r="AT639"/>
    </row>
    <row r="640" spans="1:46" x14ac:dyDescent="0.2">
      <c r="A640" s="87">
        <v>26359</v>
      </c>
      <c r="B640"/>
      <c r="C640"/>
      <c r="D640">
        <v>28.331791036999999</v>
      </c>
      <c r="E640">
        <v>44.919726779999998</v>
      </c>
      <c r="F640"/>
      <c r="G640">
        <v>43.773451534000003</v>
      </c>
      <c r="H640"/>
      <c r="I640"/>
      <c r="J640"/>
      <c r="K640"/>
      <c r="L640">
        <v>51.966171246000002</v>
      </c>
      <c r="M640"/>
      <c r="N640"/>
      <c r="O640">
        <v>60.856162282</v>
      </c>
      <c r="P640"/>
      <c r="Q640"/>
      <c r="R640">
        <v>36.289513421999999</v>
      </c>
      <c r="S640">
        <v>66.930572799999993</v>
      </c>
      <c r="T640">
        <v>47.897469475999998</v>
      </c>
      <c r="U640">
        <v>58.182469976999997</v>
      </c>
      <c r="V640">
        <v>70.426033477999994</v>
      </c>
      <c r="W640"/>
      <c r="X640"/>
      <c r="Y640"/>
      <c r="Z640"/>
      <c r="AA640"/>
      <c r="AB640">
        <v>66.538818618999997</v>
      </c>
      <c r="AC640">
        <v>50.898026256000001</v>
      </c>
      <c r="AD640"/>
      <c r="AE640">
        <v>50.520826065999998</v>
      </c>
      <c r="AF640"/>
      <c r="AG640"/>
      <c r="AH640">
        <v>54.603644641999999</v>
      </c>
      <c r="AI640">
        <v>33.430025102999998</v>
      </c>
      <c r="AJ640"/>
      <c r="AK640"/>
      <c r="AL640"/>
      <c r="AM640">
        <v>44.238278874000002</v>
      </c>
      <c r="AN640"/>
      <c r="AO640"/>
      <c r="AP640"/>
      <c r="AQ640">
        <v>53.377808442999999</v>
      </c>
      <c r="AR640"/>
      <c r="AS640">
        <v>40.615504473000001</v>
      </c>
      <c r="AT640"/>
    </row>
    <row r="641" spans="1:46" x14ac:dyDescent="0.2">
      <c r="A641" s="87">
        <v>26390</v>
      </c>
      <c r="B641"/>
      <c r="C641"/>
      <c r="D641">
        <v>28.826419687000001</v>
      </c>
      <c r="E641">
        <v>45.615453123000002</v>
      </c>
      <c r="F641"/>
      <c r="G641">
        <v>44.910631793999997</v>
      </c>
      <c r="H641"/>
      <c r="I641"/>
      <c r="J641"/>
      <c r="K641"/>
      <c r="L641">
        <v>51.966171246000002</v>
      </c>
      <c r="M641"/>
      <c r="N641"/>
      <c r="O641">
        <v>61.142584798000001</v>
      </c>
      <c r="P641"/>
      <c r="Q641"/>
      <c r="R641">
        <v>36.279733640000003</v>
      </c>
      <c r="S641">
        <v>67.356882178000006</v>
      </c>
      <c r="T641">
        <v>48.433060028</v>
      </c>
      <c r="U641">
        <v>59.473023839</v>
      </c>
      <c r="V641">
        <v>71.373348793999995</v>
      </c>
      <c r="W641"/>
      <c r="X641"/>
      <c r="Y641"/>
      <c r="Z641"/>
      <c r="AA641"/>
      <c r="AB641">
        <v>71.753762313999999</v>
      </c>
      <c r="AC641">
        <v>50.561510380000001</v>
      </c>
      <c r="AD641"/>
      <c r="AE641">
        <v>51.959997743000002</v>
      </c>
      <c r="AF641"/>
      <c r="AG641"/>
      <c r="AH641">
        <v>56.106497247</v>
      </c>
      <c r="AI641">
        <v>40.562909636000001</v>
      </c>
      <c r="AJ641"/>
      <c r="AK641"/>
      <c r="AL641"/>
      <c r="AM641">
        <v>44.101068224000002</v>
      </c>
      <c r="AN641"/>
      <c r="AO641"/>
      <c r="AP641"/>
      <c r="AQ641">
        <v>53.377808442999999</v>
      </c>
      <c r="AR641"/>
      <c r="AS641">
        <v>41.019611724000001</v>
      </c>
      <c r="AT641"/>
    </row>
    <row r="642" spans="1:46" x14ac:dyDescent="0.2">
      <c r="A642" s="87">
        <v>26420</v>
      </c>
      <c r="B642"/>
      <c r="C642"/>
      <c r="D642">
        <v>28.466424165999999</v>
      </c>
      <c r="E642">
        <v>45.927572239</v>
      </c>
      <c r="F642"/>
      <c r="G642">
        <v>44.591093538999999</v>
      </c>
      <c r="H642"/>
      <c r="I642"/>
      <c r="J642"/>
      <c r="K642"/>
      <c r="L642">
        <v>51.657583529999997</v>
      </c>
      <c r="M642"/>
      <c r="N642"/>
      <c r="O642">
        <v>61.994698047</v>
      </c>
      <c r="P642"/>
      <c r="Q642"/>
      <c r="R642">
        <v>37.172953786999997</v>
      </c>
      <c r="S642">
        <v>68.026796923000006</v>
      </c>
      <c r="T642">
        <v>48.572555784000002</v>
      </c>
      <c r="U642">
        <v>60.656031546999998</v>
      </c>
      <c r="V642">
        <v>72.694791503000005</v>
      </c>
      <c r="W642"/>
      <c r="X642"/>
      <c r="Y642"/>
      <c r="Z642"/>
      <c r="AA642"/>
      <c r="AB642">
        <v>70.594885943999998</v>
      </c>
      <c r="AC642">
        <v>51.318671101</v>
      </c>
      <c r="AD642"/>
      <c r="AE642">
        <v>51.639331194</v>
      </c>
      <c r="AF642"/>
      <c r="AG642"/>
      <c r="AH642">
        <v>55.104595510000003</v>
      </c>
      <c r="AI642">
        <v>36.523806346000001</v>
      </c>
      <c r="AJ642"/>
      <c r="AK642"/>
      <c r="AL642"/>
      <c r="AM642">
        <v>44.049243560000001</v>
      </c>
      <c r="AN642"/>
      <c r="AO642"/>
      <c r="AP642"/>
      <c r="AQ642">
        <v>52.921587858000002</v>
      </c>
      <c r="AR642"/>
      <c r="AS642">
        <v>41.025261493999999</v>
      </c>
      <c r="AT642"/>
    </row>
    <row r="643" spans="1:46" x14ac:dyDescent="0.2">
      <c r="A643" s="87">
        <v>26451</v>
      </c>
      <c r="B643"/>
      <c r="C643"/>
      <c r="D643">
        <v>28.788689858000001</v>
      </c>
      <c r="E643">
        <v>46.121307962000003</v>
      </c>
      <c r="F643"/>
      <c r="G643">
        <v>45.044086006000001</v>
      </c>
      <c r="H643"/>
      <c r="I643"/>
      <c r="J643"/>
      <c r="K643"/>
      <c r="L643">
        <v>51.966171246000002</v>
      </c>
      <c r="M643"/>
      <c r="N643"/>
      <c r="O643">
        <v>63.663172430000003</v>
      </c>
      <c r="P643"/>
      <c r="Q643"/>
      <c r="R643">
        <v>37.140354512000002</v>
      </c>
      <c r="S643">
        <v>67.478684861999994</v>
      </c>
      <c r="T643">
        <v>48.771543471000001</v>
      </c>
      <c r="U643">
        <v>60.978670012999999</v>
      </c>
      <c r="V643">
        <v>72.813609120999999</v>
      </c>
      <c r="W643"/>
      <c r="X643"/>
      <c r="Y643"/>
      <c r="Z643"/>
      <c r="AA643"/>
      <c r="AB643">
        <v>71.560616253999996</v>
      </c>
      <c r="AC643">
        <v>51.571058008000001</v>
      </c>
      <c r="AD643"/>
      <c r="AE643">
        <v>52.015505591999997</v>
      </c>
      <c r="AF643"/>
      <c r="AG643"/>
      <c r="AH643">
        <v>55.605546379000003</v>
      </c>
      <c r="AI643">
        <v>37.598035944999999</v>
      </c>
      <c r="AJ643"/>
      <c r="AK643"/>
      <c r="AL643"/>
      <c r="AM643">
        <v>44.07655063</v>
      </c>
      <c r="AN643"/>
      <c r="AO643"/>
      <c r="AP643"/>
      <c r="AQ643">
        <v>53.377808442999999</v>
      </c>
      <c r="AR643"/>
      <c r="AS643">
        <v>41.124182032999997</v>
      </c>
      <c r="AT643"/>
    </row>
    <row r="644" spans="1:46" x14ac:dyDescent="0.2">
      <c r="A644" s="87">
        <v>26481</v>
      </c>
      <c r="B644"/>
      <c r="C644"/>
      <c r="D644">
        <v>29.133102964999999</v>
      </c>
      <c r="E644">
        <v>45.549171098000002</v>
      </c>
      <c r="F644"/>
      <c r="G644">
        <v>45.244267323999999</v>
      </c>
      <c r="H644"/>
      <c r="I644"/>
      <c r="J644"/>
      <c r="K644"/>
      <c r="L644">
        <v>52.213041418000003</v>
      </c>
      <c r="M644"/>
      <c r="N644"/>
      <c r="O644">
        <v>63.067368033000001</v>
      </c>
      <c r="P644"/>
      <c r="Q644"/>
      <c r="R644">
        <v>37.091455598000003</v>
      </c>
      <c r="S644">
        <v>68.392204964000001</v>
      </c>
      <c r="T644">
        <v>48.716963319000001</v>
      </c>
      <c r="U644">
        <v>60.225846926000003</v>
      </c>
      <c r="V644">
        <v>73.369730722</v>
      </c>
      <c r="W644"/>
      <c r="X644"/>
      <c r="Y644"/>
      <c r="Z644"/>
      <c r="AA644"/>
      <c r="AB644">
        <v>70.498312908000003</v>
      </c>
      <c r="AC644">
        <v>51.486929039000003</v>
      </c>
      <c r="AD644"/>
      <c r="AE644">
        <v>52.363250743999998</v>
      </c>
      <c r="AF644"/>
      <c r="AG644"/>
      <c r="AH644">
        <v>55.104595510000003</v>
      </c>
      <c r="AI644">
        <v>37.340220840999997</v>
      </c>
      <c r="AJ644"/>
      <c r="AK644"/>
      <c r="AL644"/>
      <c r="AM644">
        <v>46.049684216999999</v>
      </c>
      <c r="AN644"/>
      <c r="AO644"/>
      <c r="AP644"/>
      <c r="AQ644">
        <v>52.465367274000002</v>
      </c>
      <c r="AR644"/>
      <c r="AS644">
        <v>41.083245978000001</v>
      </c>
      <c r="AT644"/>
    </row>
    <row r="645" spans="1:46" x14ac:dyDescent="0.2">
      <c r="A645" s="87">
        <v>26512</v>
      </c>
      <c r="B645"/>
      <c r="C645"/>
      <c r="D645">
        <v>29.252246404000001</v>
      </c>
      <c r="E645">
        <v>46.142856379999998</v>
      </c>
      <c r="F645"/>
      <c r="G645">
        <v>45.327441252</v>
      </c>
      <c r="H645"/>
      <c r="I645"/>
      <c r="J645"/>
      <c r="K645"/>
      <c r="L645">
        <v>51.966171246000002</v>
      </c>
      <c r="M645"/>
      <c r="N645"/>
      <c r="O645">
        <v>64.154327303000002</v>
      </c>
      <c r="P645"/>
      <c r="Q645"/>
      <c r="R645">
        <v>36.292773349999997</v>
      </c>
      <c r="S645">
        <v>68.392204964000001</v>
      </c>
      <c r="T645">
        <v>49.287364545000003</v>
      </c>
      <c r="U645">
        <v>60.871123857000001</v>
      </c>
      <c r="V645">
        <v>71.379208497999997</v>
      </c>
      <c r="W645"/>
      <c r="X645"/>
      <c r="Y645"/>
      <c r="Z645"/>
      <c r="AA645"/>
      <c r="AB645">
        <v>71.464043219000004</v>
      </c>
      <c r="AC645">
        <v>52.832992543000003</v>
      </c>
      <c r="AD645"/>
      <c r="AE645">
        <v>54.248656218000001</v>
      </c>
      <c r="AF645"/>
      <c r="AG645"/>
      <c r="AH645">
        <v>56.106497247</v>
      </c>
      <c r="AI645">
        <v>36.351929611000003</v>
      </c>
      <c r="AJ645"/>
      <c r="AK645"/>
      <c r="AL645"/>
      <c r="AM645">
        <v>50.217484681000002</v>
      </c>
      <c r="AN645"/>
      <c r="AO645"/>
      <c r="AP645"/>
      <c r="AQ645">
        <v>56.115131953000002</v>
      </c>
      <c r="AR645"/>
      <c r="AS645">
        <v>41.645546795999998</v>
      </c>
      <c r="AT645"/>
    </row>
    <row r="646" spans="1:46" x14ac:dyDescent="0.2">
      <c r="A646" s="87">
        <v>26543</v>
      </c>
      <c r="B646"/>
      <c r="C646"/>
      <c r="D646">
        <v>29.576763256</v>
      </c>
      <c r="E646">
        <v>46.784982436999996</v>
      </c>
      <c r="F646"/>
      <c r="G646">
        <v>46.446295053</v>
      </c>
      <c r="H646"/>
      <c r="I646"/>
      <c r="J646"/>
      <c r="K646"/>
      <c r="L646">
        <v>52.027888789000002</v>
      </c>
      <c r="M646"/>
      <c r="N646"/>
      <c r="O646">
        <v>65.145905674000005</v>
      </c>
      <c r="P646"/>
      <c r="Q646"/>
      <c r="R646">
        <v>37.300090961000002</v>
      </c>
      <c r="S646">
        <v>69.549330424000004</v>
      </c>
      <c r="T646">
        <v>49.618986235999998</v>
      </c>
      <c r="U646">
        <v>61.839039253999999</v>
      </c>
      <c r="V646">
        <v>75.815446066000007</v>
      </c>
      <c r="W646"/>
      <c r="X646"/>
      <c r="Y646"/>
      <c r="Z646"/>
      <c r="AA646"/>
      <c r="AB646">
        <v>69.436009561999995</v>
      </c>
      <c r="AC646">
        <v>53.421895327000001</v>
      </c>
      <c r="AD646"/>
      <c r="AE646">
        <v>53.595888670999997</v>
      </c>
      <c r="AF646"/>
      <c r="AG646"/>
      <c r="AH646">
        <v>56.106497247</v>
      </c>
      <c r="AI646">
        <v>36.824590634000003</v>
      </c>
      <c r="AJ646"/>
      <c r="AK646"/>
      <c r="AL646"/>
      <c r="AM646">
        <v>49.232205505000003</v>
      </c>
      <c r="AN646"/>
      <c r="AO646"/>
      <c r="AP646"/>
      <c r="AQ646">
        <v>56.571352537999999</v>
      </c>
      <c r="AR646"/>
      <c r="AS646">
        <v>41.969764312999999</v>
      </c>
      <c r="AT646"/>
    </row>
    <row r="647" spans="1:46" x14ac:dyDescent="0.2">
      <c r="A647" s="87">
        <v>26573</v>
      </c>
      <c r="B647"/>
      <c r="C647"/>
      <c r="D647">
        <v>30.418377951</v>
      </c>
      <c r="E647">
        <v>47.750110649</v>
      </c>
      <c r="F647"/>
      <c r="G647">
        <v>47.322205797999999</v>
      </c>
      <c r="H647"/>
      <c r="I647"/>
      <c r="J647"/>
      <c r="K647"/>
      <c r="L647">
        <v>52.706781761999999</v>
      </c>
      <c r="M647"/>
      <c r="N647"/>
      <c r="O647">
        <v>64.725569606999997</v>
      </c>
      <c r="P647"/>
      <c r="Q647"/>
      <c r="R647">
        <v>38.454105312000003</v>
      </c>
      <c r="S647">
        <v>70.158343822000006</v>
      </c>
      <c r="T647">
        <v>50.392852300000001</v>
      </c>
      <c r="U647">
        <v>62.591862341000002</v>
      </c>
      <c r="V647">
        <v>76.868568203999999</v>
      </c>
      <c r="W647"/>
      <c r="X647"/>
      <c r="Y647"/>
      <c r="Z647"/>
      <c r="AA647"/>
      <c r="AB647">
        <v>73.685222947</v>
      </c>
      <c r="AC647">
        <v>54.010798110000003</v>
      </c>
      <c r="AD647"/>
      <c r="AE647">
        <v>54.846987110999997</v>
      </c>
      <c r="AF647"/>
      <c r="AG647"/>
      <c r="AH647">
        <v>56.106497247</v>
      </c>
      <c r="AI647">
        <v>36.738652266000003</v>
      </c>
      <c r="AJ647"/>
      <c r="AK647"/>
      <c r="AL647"/>
      <c r="AM647">
        <v>46.029233316999999</v>
      </c>
      <c r="AN647"/>
      <c r="AO647"/>
      <c r="AP647"/>
      <c r="AQ647">
        <v>55.202690783000001</v>
      </c>
      <c r="AR647"/>
      <c r="AS647">
        <v>42.496679727</v>
      </c>
      <c r="AT647"/>
    </row>
    <row r="648" spans="1:46" x14ac:dyDescent="0.2">
      <c r="A648" s="87">
        <v>26604</v>
      </c>
      <c r="B648"/>
      <c r="C648"/>
      <c r="D648">
        <v>30.300172903</v>
      </c>
      <c r="E648">
        <v>47.451478682999998</v>
      </c>
      <c r="F648"/>
      <c r="G648">
        <v>47.900194112000001</v>
      </c>
      <c r="H648"/>
      <c r="I648"/>
      <c r="J648"/>
      <c r="K648"/>
      <c r="L648">
        <v>53.632544908</v>
      </c>
      <c r="M648"/>
      <c r="N648"/>
      <c r="O648">
        <v>66.508512581999994</v>
      </c>
      <c r="P648"/>
      <c r="Q648"/>
      <c r="R648">
        <v>38.251989803999997</v>
      </c>
      <c r="S648">
        <v>70.523751863000001</v>
      </c>
      <c r="T648">
        <v>50.882797832000001</v>
      </c>
      <c r="U648">
        <v>63.129593116999999</v>
      </c>
      <c r="V648">
        <v>77.683397223</v>
      </c>
      <c r="W648"/>
      <c r="X648"/>
      <c r="Y648"/>
      <c r="Z648"/>
      <c r="AA648"/>
      <c r="AB648">
        <v>70.788032004000002</v>
      </c>
      <c r="AC648">
        <v>55.020345738000003</v>
      </c>
      <c r="AD648"/>
      <c r="AE648">
        <v>53.087668737000001</v>
      </c>
      <c r="AF648"/>
      <c r="AG648"/>
      <c r="AH648">
        <v>56.607448114999997</v>
      </c>
      <c r="AI648">
        <v>37.168344105000003</v>
      </c>
      <c r="AJ648"/>
      <c r="AK648"/>
      <c r="AL648"/>
      <c r="AM648">
        <v>46.968467361000002</v>
      </c>
      <c r="AN648"/>
      <c r="AO648"/>
      <c r="AP648"/>
      <c r="AQ648">
        <v>55.202690783000001</v>
      </c>
      <c r="AR648"/>
      <c r="AS648">
        <v>43.00109518</v>
      </c>
      <c r="AT648"/>
    </row>
    <row r="649" spans="1:46" x14ac:dyDescent="0.2">
      <c r="A649" s="87">
        <v>26634</v>
      </c>
      <c r="B649"/>
      <c r="C649"/>
      <c r="D649">
        <v>33.846162399999997</v>
      </c>
      <c r="E649">
        <v>49.326269910999997</v>
      </c>
      <c r="F649"/>
      <c r="G649">
        <v>48.152535350999997</v>
      </c>
      <c r="H649"/>
      <c r="I649"/>
      <c r="J649"/>
      <c r="K649"/>
      <c r="L649">
        <v>54.311437881000003</v>
      </c>
      <c r="M649"/>
      <c r="N649"/>
      <c r="O649">
        <v>67.357024542999994</v>
      </c>
      <c r="P649"/>
      <c r="Q649"/>
      <c r="R649">
        <v>39.409264082</v>
      </c>
      <c r="S649">
        <v>71.924482690000005</v>
      </c>
      <c r="T649">
        <v>52.023036226999999</v>
      </c>
      <c r="U649">
        <v>63.559777738000001</v>
      </c>
      <c r="V649">
        <v>82.447511051000006</v>
      </c>
      <c r="W649"/>
      <c r="X649"/>
      <c r="Y649"/>
      <c r="Z649"/>
      <c r="AA649"/>
      <c r="AB649">
        <v>80.348762108000003</v>
      </c>
      <c r="AC649">
        <v>56.366409242000003</v>
      </c>
      <c r="AD649"/>
      <c r="AE649">
        <v>56.276463231000001</v>
      </c>
      <c r="AF649"/>
      <c r="AG649"/>
      <c r="AH649">
        <v>58.611251588000002</v>
      </c>
      <c r="AI649">
        <v>38.715234727000002</v>
      </c>
      <c r="AJ649"/>
      <c r="AK649"/>
      <c r="AL649"/>
      <c r="AM649">
        <v>46.352963133999999</v>
      </c>
      <c r="AN649"/>
      <c r="AO649"/>
      <c r="AP649"/>
      <c r="AQ649">
        <v>56.571352537999999</v>
      </c>
      <c r="AR649"/>
      <c r="AS649">
        <v>43.485885115000002</v>
      </c>
      <c r="AT649"/>
    </row>
    <row r="650" spans="1:46" x14ac:dyDescent="0.2">
      <c r="A650" s="87">
        <v>26665</v>
      </c>
      <c r="B650"/>
      <c r="C650"/>
      <c r="D650">
        <v>29.593285316999999</v>
      </c>
      <c r="E650">
        <v>47.889830787999998</v>
      </c>
      <c r="F650"/>
      <c r="G650">
        <v>48.573573992999997</v>
      </c>
      <c r="H650"/>
      <c r="I650"/>
      <c r="J650"/>
      <c r="K650"/>
      <c r="L650">
        <v>54.805178226000002</v>
      </c>
      <c r="M650"/>
      <c r="N650"/>
      <c r="O650">
        <v>68.965464674000003</v>
      </c>
      <c r="P650"/>
      <c r="Q650"/>
      <c r="R650">
        <v>38.245469948999997</v>
      </c>
      <c r="S650">
        <v>71.437271965999997</v>
      </c>
      <c r="T650">
        <v>52.054843384999998</v>
      </c>
      <c r="U650">
        <v>65.495608532000006</v>
      </c>
      <c r="V650">
        <v>79.487823457000005</v>
      </c>
      <c r="W650"/>
      <c r="X650"/>
      <c r="Y650"/>
      <c r="Z650"/>
      <c r="AA650"/>
      <c r="AB650">
        <v>68.470279251999997</v>
      </c>
      <c r="AC650">
        <v>57.796601715999998</v>
      </c>
      <c r="AD650"/>
      <c r="AE650">
        <v>55.386346613999997</v>
      </c>
      <c r="AF650"/>
      <c r="AG650"/>
      <c r="AH650">
        <v>58.611251588000002</v>
      </c>
      <c r="AI650">
        <v>37.383190024999998</v>
      </c>
      <c r="AJ650"/>
      <c r="AK650"/>
      <c r="AL650"/>
      <c r="AM650">
        <v>48.659876930999999</v>
      </c>
      <c r="AN650"/>
      <c r="AO650"/>
      <c r="AP650"/>
      <c r="AQ650">
        <v>56.835494079999997</v>
      </c>
      <c r="AR650"/>
      <c r="AS650">
        <v>43.805741406000003</v>
      </c>
      <c r="AT650"/>
    </row>
    <row r="651" spans="1:46" x14ac:dyDescent="0.2">
      <c r="A651" s="87">
        <v>26696</v>
      </c>
      <c r="B651"/>
      <c r="C651"/>
      <c r="D651">
        <v>30.059788674</v>
      </c>
      <c r="E651">
        <v>48.406272041999998</v>
      </c>
      <c r="F651"/>
      <c r="G651">
        <v>50.015255412999998</v>
      </c>
      <c r="H651"/>
      <c r="I651"/>
      <c r="J651"/>
      <c r="K651"/>
      <c r="L651">
        <v>55.298918569999998</v>
      </c>
      <c r="M651"/>
      <c r="N651"/>
      <c r="O651">
        <v>67.062192566999997</v>
      </c>
      <c r="P651"/>
      <c r="Q651"/>
      <c r="R651">
        <v>39.239747850000001</v>
      </c>
      <c r="S651">
        <v>72.168088048000001</v>
      </c>
      <c r="T651">
        <v>52.620414605000001</v>
      </c>
      <c r="U651">
        <v>64.957877756000002</v>
      </c>
      <c r="V651">
        <v>81.500691601</v>
      </c>
      <c r="W651"/>
      <c r="X651"/>
      <c r="Y651"/>
      <c r="Z651"/>
      <c r="AA651"/>
      <c r="AB651">
        <v>69.436009561999995</v>
      </c>
      <c r="AC651">
        <v>58.301375530000001</v>
      </c>
      <c r="AD651"/>
      <c r="AE651">
        <v>57.489346683000001</v>
      </c>
      <c r="AF651"/>
      <c r="AG651"/>
      <c r="AH651">
        <v>59.112202457000002</v>
      </c>
      <c r="AI651">
        <v>37.641005129</v>
      </c>
      <c r="AJ651"/>
      <c r="AK651"/>
      <c r="AL651"/>
      <c r="AM651">
        <v>49.241743591999999</v>
      </c>
      <c r="AN651"/>
      <c r="AO651"/>
      <c r="AP651"/>
      <c r="AQ651">
        <v>57.181349013999998</v>
      </c>
      <c r="AR651"/>
      <c r="AS651">
        <v>44.434848277999997</v>
      </c>
      <c r="AT651"/>
    </row>
    <row r="652" spans="1:46" x14ac:dyDescent="0.2">
      <c r="A652" s="87">
        <v>26724</v>
      </c>
      <c r="B652"/>
      <c r="C652"/>
      <c r="D652">
        <v>30.197701106</v>
      </c>
      <c r="E652">
        <v>48.433810862000001</v>
      </c>
      <c r="F652"/>
      <c r="G652">
        <v>50.620028550999997</v>
      </c>
      <c r="H652"/>
      <c r="I652"/>
      <c r="J652"/>
      <c r="K652"/>
      <c r="L652">
        <v>55.669223829000003</v>
      </c>
      <c r="M652"/>
      <c r="N652"/>
      <c r="O652">
        <v>68.047862183999996</v>
      </c>
      <c r="P652"/>
      <c r="Q652"/>
      <c r="R652">
        <v>39.109350747999997</v>
      </c>
      <c r="S652">
        <v>72.594397426</v>
      </c>
      <c r="T652">
        <v>53.063503271999998</v>
      </c>
      <c r="U652">
        <v>65.710700841999994</v>
      </c>
      <c r="V652">
        <v>82.533578762000005</v>
      </c>
      <c r="W652"/>
      <c r="X652"/>
      <c r="Y652"/>
      <c r="Z652"/>
      <c r="AA652"/>
      <c r="AB652">
        <v>71.850335349999995</v>
      </c>
      <c r="AC652">
        <v>59.226794189000003</v>
      </c>
      <c r="AD652"/>
      <c r="AE652">
        <v>60.245687150000002</v>
      </c>
      <c r="AF652"/>
      <c r="AG652"/>
      <c r="AH652">
        <v>57.609349852000001</v>
      </c>
      <c r="AI652">
        <v>38.199604520000001</v>
      </c>
      <c r="AJ652"/>
      <c r="AK652"/>
      <c r="AL652"/>
      <c r="AM652">
        <v>47.928339997000002</v>
      </c>
      <c r="AN652"/>
      <c r="AO652"/>
      <c r="AP652"/>
      <c r="AQ652">
        <v>57.354276480999999</v>
      </c>
      <c r="AR652"/>
      <c r="AS652">
        <v>44.449220500999999</v>
      </c>
      <c r="AT652"/>
    </row>
    <row r="653" spans="1:46" x14ac:dyDescent="0.2">
      <c r="A653" s="87">
        <v>26755</v>
      </c>
      <c r="B653"/>
      <c r="C653"/>
      <c r="D653">
        <v>30.621490419000001</v>
      </c>
      <c r="E653">
        <v>48.497679421999997</v>
      </c>
      <c r="F653"/>
      <c r="G653">
        <v>50.226244643000001</v>
      </c>
      <c r="H653"/>
      <c r="I653"/>
      <c r="J653"/>
      <c r="K653"/>
      <c r="L653">
        <v>55.360636112999998</v>
      </c>
      <c r="M653"/>
      <c r="N653"/>
      <c r="O653">
        <v>67.316483554000001</v>
      </c>
      <c r="P653"/>
      <c r="Q653"/>
      <c r="R653">
        <v>38.503004224999998</v>
      </c>
      <c r="S653">
        <v>71.071863925000002</v>
      </c>
      <c r="T653">
        <v>53.072378403999998</v>
      </c>
      <c r="U653">
        <v>65.065423910999996</v>
      </c>
      <c r="V653">
        <v>83.887081035999998</v>
      </c>
      <c r="W653"/>
      <c r="X653"/>
      <c r="Y653"/>
      <c r="Z653"/>
      <c r="AA653"/>
      <c r="AB653">
        <v>76.196121758999993</v>
      </c>
      <c r="AC653">
        <v>59.058536251</v>
      </c>
      <c r="AD653"/>
      <c r="AE653">
        <v>57.027722879000002</v>
      </c>
      <c r="AF653"/>
      <c r="AG653"/>
      <c r="AH653">
        <v>59.613153324999999</v>
      </c>
      <c r="AI653">
        <v>38.242573704000002</v>
      </c>
      <c r="AJ653"/>
      <c r="AK653"/>
      <c r="AL653"/>
      <c r="AM653">
        <v>47.759991263000003</v>
      </c>
      <c r="AN653"/>
      <c r="AO653"/>
      <c r="AP653"/>
      <c r="AQ653">
        <v>57.469561458999998</v>
      </c>
      <c r="AR653"/>
      <c r="AS653">
        <v>44.392921035999997</v>
      </c>
      <c r="AT653"/>
    </row>
    <row r="654" spans="1:46" x14ac:dyDescent="0.2">
      <c r="A654" s="87">
        <v>26785</v>
      </c>
      <c r="B654"/>
      <c r="C654"/>
      <c r="D654">
        <v>30.63671914</v>
      </c>
      <c r="E654">
        <v>48.561140850999998</v>
      </c>
      <c r="F654"/>
      <c r="G654">
        <v>50.347951125000002</v>
      </c>
      <c r="H654"/>
      <c r="I654"/>
      <c r="J654"/>
      <c r="K654"/>
      <c r="L654">
        <v>55.730941371999997</v>
      </c>
      <c r="M654"/>
      <c r="N654"/>
      <c r="O654">
        <v>70.018593162000002</v>
      </c>
      <c r="P654"/>
      <c r="Q654"/>
      <c r="R654">
        <v>38.170491616</v>
      </c>
      <c r="S654">
        <v>75.091352375</v>
      </c>
      <c r="T654">
        <v>53.664404529999999</v>
      </c>
      <c r="U654">
        <v>65.172970066000005</v>
      </c>
      <c r="V654">
        <v>84.022620009999997</v>
      </c>
      <c r="W654"/>
      <c r="X654"/>
      <c r="Y654"/>
      <c r="Z654"/>
      <c r="AA654"/>
      <c r="AB654">
        <v>78.031009355999998</v>
      </c>
      <c r="AC654">
        <v>59.647439034000001</v>
      </c>
      <c r="AD654"/>
      <c r="AE654">
        <v>57.888331082000001</v>
      </c>
      <c r="AF654"/>
      <c r="AG654"/>
      <c r="AH654">
        <v>58.611251588000002</v>
      </c>
      <c r="AI654">
        <v>39.101957382999998</v>
      </c>
      <c r="AJ654"/>
      <c r="AK654"/>
      <c r="AL654"/>
      <c r="AM654">
        <v>49.678876697</v>
      </c>
      <c r="AN654"/>
      <c r="AO654"/>
      <c r="AP654"/>
      <c r="AQ654">
        <v>58.680053725999997</v>
      </c>
      <c r="AR654"/>
      <c r="AS654">
        <v>44.694836829000003</v>
      </c>
      <c r="AT654"/>
    </row>
    <row r="655" spans="1:46" x14ac:dyDescent="0.2">
      <c r="A655" s="87">
        <v>26816</v>
      </c>
      <c r="B655"/>
      <c r="C655"/>
      <c r="D655">
        <v>31.083971313999999</v>
      </c>
      <c r="E655">
        <v>48.240207849999997</v>
      </c>
      <c r="F655"/>
      <c r="G655">
        <v>50.721998847000002</v>
      </c>
      <c r="H655"/>
      <c r="I655"/>
      <c r="J655"/>
      <c r="K655"/>
      <c r="L655">
        <v>55.360636112999998</v>
      </c>
      <c r="M655"/>
      <c r="N655"/>
      <c r="O655">
        <v>70.669102226999996</v>
      </c>
      <c r="P655"/>
      <c r="Q655"/>
      <c r="R655">
        <v>38.988733429</v>
      </c>
      <c r="S655">
        <v>73.690621547999996</v>
      </c>
      <c r="T655">
        <v>53.918983767999997</v>
      </c>
      <c r="U655">
        <v>66.248431619000002</v>
      </c>
      <c r="V655">
        <v>85.431852238999994</v>
      </c>
      <c r="W655"/>
      <c r="X655"/>
      <c r="Y655"/>
      <c r="Z655"/>
      <c r="AA655"/>
      <c r="AB655">
        <v>81.024773334000002</v>
      </c>
      <c r="AC655">
        <v>60.236341817000003</v>
      </c>
      <c r="AD655"/>
      <c r="AE655">
        <v>56.548557733000003</v>
      </c>
      <c r="AF655"/>
      <c r="AG655"/>
      <c r="AH655">
        <v>59.112202457000002</v>
      </c>
      <c r="AI655">
        <v>38.500388807</v>
      </c>
      <c r="AJ655"/>
      <c r="AK655"/>
      <c r="AL655"/>
      <c r="AM655">
        <v>50.176812992000002</v>
      </c>
      <c r="AN655"/>
      <c r="AO655"/>
      <c r="AP655"/>
      <c r="AQ655">
        <v>57.988343858999997</v>
      </c>
      <c r="AR655"/>
      <c r="AS655">
        <v>44.739440277999996</v>
      </c>
      <c r="AT655"/>
    </row>
    <row r="656" spans="1:46" x14ac:dyDescent="0.2">
      <c r="A656" s="87">
        <v>26846</v>
      </c>
      <c r="B656"/>
      <c r="C656"/>
      <c r="D656">
        <v>30.880011512999999</v>
      </c>
      <c r="E656">
        <v>48.773576882999997</v>
      </c>
      <c r="F656"/>
      <c r="G656">
        <v>51.660407515999999</v>
      </c>
      <c r="H656"/>
      <c r="I656"/>
      <c r="J656"/>
      <c r="K656"/>
      <c r="L656">
        <v>53.385674735999999</v>
      </c>
      <c r="M656"/>
      <c r="N656"/>
      <c r="O656">
        <v>69.885384397999999</v>
      </c>
      <c r="P656"/>
      <c r="Q656"/>
      <c r="R656">
        <v>40.661076258999998</v>
      </c>
      <c r="S656">
        <v>74.786845670999995</v>
      </c>
      <c r="T656">
        <v>53.64246163</v>
      </c>
      <c r="U656">
        <v>66.033339307999995</v>
      </c>
      <c r="V656">
        <v>86.112682512000006</v>
      </c>
      <c r="W656"/>
      <c r="X656"/>
      <c r="Y656"/>
      <c r="Z656"/>
      <c r="AA656"/>
      <c r="AB656">
        <v>80.445335142999994</v>
      </c>
      <c r="AC656">
        <v>59.563310065000003</v>
      </c>
      <c r="AD656"/>
      <c r="AE656">
        <v>59.035537554000001</v>
      </c>
      <c r="AF656"/>
      <c r="AG656"/>
      <c r="AH656">
        <v>59.613153324999999</v>
      </c>
      <c r="AI656">
        <v>39.660556774</v>
      </c>
      <c r="AJ656"/>
      <c r="AK656"/>
      <c r="AL656"/>
      <c r="AM656">
        <v>49.932250615999997</v>
      </c>
      <c r="AN656"/>
      <c r="AO656"/>
      <c r="AP656"/>
      <c r="AQ656">
        <v>57.757773903</v>
      </c>
      <c r="AR656"/>
      <c r="AS656">
        <v>44.916962005999999</v>
      </c>
      <c r="AT656"/>
    </row>
    <row r="657" spans="1:46" x14ac:dyDescent="0.2">
      <c r="A657" s="87">
        <v>26877</v>
      </c>
      <c r="B657"/>
      <c r="C657"/>
      <c r="D657">
        <v>31.210606578</v>
      </c>
      <c r="E657">
        <v>50.305413926999996</v>
      </c>
      <c r="F657"/>
      <c r="G657">
        <v>50.242221555999997</v>
      </c>
      <c r="H657"/>
      <c r="I657"/>
      <c r="J657"/>
      <c r="K657"/>
      <c r="L657">
        <v>56.348116802</v>
      </c>
      <c r="M657"/>
      <c r="N657"/>
      <c r="O657">
        <v>72.028127170000005</v>
      </c>
      <c r="P657"/>
      <c r="Q657"/>
      <c r="R657">
        <v>39.780895821999998</v>
      </c>
      <c r="S657">
        <v>74.786845670999995</v>
      </c>
      <c r="T657">
        <v>54.279083489999998</v>
      </c>
      <c r="U657">
        <v>66.033339307999995</v>
      </c>
      <c r="V657">
        <v>86.454874458000006</v>
      </c>
      <c r="W657"/>
      <c r="X657"/>
      <c r="Y657"/>
      <c r="Z657"/>
      <c r="AA657"/>
      <c r="AB657">
        <v>80.252189083000005</v>
      </c>
      <c r="AC657">
        <v>61.330018414000001</v>
      </c>
      <c r="AD657"/>
      <c r="AE657">
        <v>59.970763910000002</v>
      </c>
      <c r="AF657"/>
      <c r="AG657"/>
      <c r="AH657">
        <v>59.613153324999999</v>
      </c>
      <c r="AI657">
        <v>39.660556774</v>
      </c>
      <c r="AJ657"/>
      <c r="AK657"/>
      <c r="AL657"/>
      <c r="AM657">
        <v>53.402796279999997</v>
      </c>
      <c r="AN657"/>
      <c r="AO657"/>
      <c r="AP657"/>
      <c r="AQ657">
        <v>58.391841280999998</v>
      </c>
      <c r="AR657"/>
      <c r="AS657">
        <v>44.849462119999998</v>
      </c>
      <c r="AT657"/>
    </row>
    <row r="658" spans="1:46" x14ac:dyDescent="0.2">
      <c r="A658" s="87">
        <v>26908</v>
      </c>
      <c r="B658"/>
      <c r="C658"/>
      <c r="D658">
        <v>31.635832321999999</v>
      </c>
      <c r="E658">
        <v>49.684711696999997</v>
      </c>
      <c r="F658"/>
      <c r="G658">
        <v>50.739855396000003</v>
      </c>
      <c r="H658"/>
      <c r="I658"/>
      <c r="J658"/>
      <c r="K658"/>
      <c r="L658">
        <v>56.101246629999999</v>
      </c>
      <c r="M658"/>
      <c r="N658"/>
      <c r="O658">
        <v>69.842535917999996</v>
      </c>
      <c r="P658"/>
      <c r="Q658"/>
      <c r="R658">
        <v>40.478520316999997</v>
      </c>
      <c r="S658">
        <v>73.629720211000006</v>
      </c>
      <c r="T658">
        <v>54.395617053999999</v>
      </c>
      <c r="U658">
        <v>65.710700841999994</v>
      </c>
      <c r="V658">
        <v>88.784247918000005</v>
      </c>
      <c r="W658"/>
      <c r="X658"/>
      <c r="Y658"/>
      <c r="Z658"/>
      <c r="AA658"/>
      <c r="AB658">
        <v>83.535672145999996</v>
      </c>
      <c r="AC658">
        <v>60.488728723999998</v>
      </c>
      <c r="AD658"/>
      <c r="AE658">
        <v>58.708638127999997</v>
      </c>
      <c r="AF658"/>
      <c r="AG658"/>
      <c r="AH658">
        <v>61.11600593</v>
      </c>
      <c r="AI658">
        <v>40.734786372000002</v>
      </c>
      <c r="AJ658"/>
      <c r="AK658"/>
      <c r="AL658"/>
      <c r="AM658">
        <v>52.473041528000003</v>
      </c>
      <c r="AN658"/>
      <c r="AO658"/>
      <c r="AP658"/>
      <c r="AQ658">
        <v>59.775261016000002</v>
      </c>
      <c r="AR658"/>
      <c r="AS658">
        <v>45.212831553000001</v>
      </c>
      <c r="AT658"/>
    </row>
    <row r="659" spans="1:46" x14ac:dyDescent="0.2">
      <c r="A659" s="87">
        <v>26938</v>
      </c>
      <c r="B659"/>
      <c r="C659"/>
      <c r="D659">
        <v>31.425550360999999</v>
      </c>
      <c r="E659">
        <v>50.162590942999998</v>
      </c>
      <c r="F659"/>
      <c r="G659">
        <v>51.290119066999999</v>
      </c>
      <c r="H659"/>
      <c r="I659"/>
      <c r="J659"/>
      <c r="K659"/>
      <c r="L659">
        <v>55.730941371999997</v>
      </c>
      <c r="M659"/>
      <c r="N659"/>
      <c r="O659">
        <v>71.312263994000006</v>
      </c>
      <c r="P659"/>
      <c r="Q659"/>
      <c r="R659">
        <v>40.696935461999999</v>
      </c>
      <c r="S659">
        <v>74.786845670999995</v>
      </c>
      <c r="T659">
        <v>54.652751828</v>
      </c>
      <c r="U659">
        <v>66.248431619000002</v>
      </c>
      <c r="V659">
        <v>88.868998348999995</v>
      </c>
      <c r="W659"/>
      <c r="X659"/>
      <c r="Y659"/>
      <c r="Z659"/>
      <c r="AA659"/>
      <c r="AB659">
        <v>81.507638489000001</v>
      </c>
      <c r="AC659">
        <v>61.330018414000001</v>
      </c>
      <c r="AD659"/>
      <c r="AE659">
        <v>59.964468275999998</v>
      </c>
      <c r="AF659"/>
      <c r="AG659"/>
      <c r="AH659">
        <v>61.11600593</v>
      </c>
      <c r="AI659">
        <v>40.133217797</v>
      </c>
      <c r="AJ659"/>
      <c r="AK659"/>
      <c r="AL659"/>
      <c r="AM659">
        <v>52.885792322999997</v>
      </c>
      <c r="AN659"/>
      <c r="AO659"/>
      <c r="AP659"/>
      <c r="AQ659">
        <v>59.314121104000002</v>
      </c>
      <c r="AR659"/>
      <c r="AS659">
        <v>45.557665776</v>
      </c>
      <c r="AT659"/>
    </row>
    <row r="660" spans="1:46" x14ac:dyDescent="0.2">
      <c r="A660" s="87">
        <v>26969</v>
      </c>
      <c r="B660"/>
      <c r="C660"/>
      <c r="D660">
        <v>31.026894126999998</v>
      </c>
      <c r="E660">
        <v>50.170170038999998</v>
      </c>
      <c r="F660"/>
      <c r="G660">
        <v>51.914158483000001</v>
      </c>
      <c r="H660"/>
      <c r="I660"/>
      <c r="J660"/>
      <c r="K660"/>
      <c r="L660">
        <v>56.039529086999998</v>
      </c>
      <c r="M660"/>
      <c r="N660"/>
      <c r="O660">
        <v>72.763840857000005</v>
      </c>
      <c r="P660"/>
      <c r="Q660"/>
      <c r="R660">
        <v>40.899050969999998</v>
      </c>
      <c r="S660">
        <v>75.152253712000004</v>
      </c>
      <c r="T660">
        <v>54.908331361000002</v>
      </c>
      <c r="U660">
        <v>65.495608532000006</v>
      </c>
      <c r="V660">
        <v>86.844199824</v>
      </c>
      <c r="W660"/>
      <c r="X660"/>
      <c r="Y660"/>
      <c r="Z660"/>
      <c r="AA660"/>
      <c r="AB660">
        <v>81.797357585</v>
      </c>
      <c r="AC660">
        <v>61.918921197000003</v>
      </c>
      <c r="AD660"/>
      <c r="AE660">
        <v>61.723975326000001</v>
      </c>
      <c r="AF660"/>
      <c r="AG660"/>
      <c r="AH660">
        <v>61.11600593</v>
      </c>
      <c r="AI660">
        <v>39.832433508999998</v>
      </c>
      <c r="AJ660"/>
      <c r="AK660"/>
      <c r="AL660"/>
      <c r="AM660">
        <v>53.869186884999998</v>
      </c>
      <c r="AN660"/>
      <c r="AO660"/>
      <c r="AP660"/>
      <c r="AQ660">
        <v>58.968266171000003</v>
      </c>
      <c r="AR660"/>
      <c r="AS660">
        <v>45.77116762</v>
      </c>
      <c r="AT660"/>
    </row>
    <row r="661" spans="1:46" x14ac:dyDescent="0.2">
      <c r="A661" s="87">
        <v>26999</v>
      </c>
      <c r="B661"/>
      <c r="C661"/>
      <c r="D661">
        <v>32.746455447000002</v>
      </c>
      <c r="E661">
        <v>50.307778171000002</v>
      </c>
      <c r="F661"/>
      <c r="G661">
        <v>51.748280536000003</v>
      </c>
      <c r="H661"/>
      <c r="I661"/>
      <c r="J661"/>
      <c r="K661"/>
      <c r="L661">
        <v>55.484071198999999</v>
      </c>
      <c r="M661"/>
      <c r="N661"/>
      <c r="O661">
        <v>72.141041299999998</v>
      </c>
      <c r="P661"/>
      <c r="Q661"/>
      <c r="R661">
        <v>41.909628509000001</v>
      </c>
      <c r="S661">
        <v>73.142509486999998</v>
      </c>
      <c r="T661">
        <v>54.774006</v>
      </c>
      <c r="U661">
        <v>64.957877756000002</v>
      </c>
      <c r="V661">
        <v>87.052842416000004</v>
      </c>
      <c r="W661"/>
      <c r="X661"/>
      <c r="Y661"/>
      <c r="Z661"/>
      <c r="AA661"/>
      <c r="AB661">
        <v>84.308256396999994</v>
      </c>
      <c r="AC661">
        <v>61.918921197000003</v>
      </c>
      <c r="AD661"/>
      <c r="AE661">
        <v>59.933454005000002</v>
      </c>
      <c r="AF661"/>
      <c r="AG661"/>
      <c r="AH661">
        <v>61.616956797999997</v>
      </c>
      <c r="AI661">
        <v>39.101957382999998</v>
      </c>
      <c r="AJ661"/>
      <c r="AK661"/>
      <c r="AL661"/>
      <c r="AM661">
        <v>54.448712938</v>
      </c>
      <c r="AN661"/>
      <c r="AO661"/>
      <c r="AP661"/>
      <c r="AQ661">
        <v>60.582255861</v>
      </c>
      <c r="AR661"/>
      <c r="AS661">
        <v>45.649449763</v>
      </c>
      <c r="AT661"/>
    </row>
    <row r="662" spans="1:46" x14ac:dyDescent="0.2">
      <c r="A662" s="87">
        <v>27030</v>
      </c>
      <c r="B662"/>
      <c r="C662"/>
      <c r="D662">
        <v>32.259341655</v>
      </c>
      <c r="E662">
        <v>51.344146430000002</v>
      </c>
      <c r="F662"/>
      <c r="G662">
        <v>52.468181426999998</v>
      </c>
      <c r="H662"/>
      <c r="I662"/>
      <c r="J662"/>
      <c r="K662"/>
      <c r="L662">
        <v>55.669223829000003</v>
      </c>
      <c r="M662">
        <v>59.407286409999998</v>
      </c>
      <c r="N662"/>
      <c r="O662">
        <v>79.356975059999996</v>
      </c>
      <c r="P662"/>
      <c r="Q662"/>
      <c r="R662">
        <v>41.342401115999998</v>
      </c>
      <c r="S662">
        <v>76.309379172000007</v>
      </c>
      <c r="T662">
        <v>54.537920483999997</v>
      </c>
      <c r="U662">
        <v>60.333393080999997</v>
      </c>
      <c r="V662">
        <v>86.820148231999994</v>
      </c>
      <c r="W662"/>
      <c r="X662"/>
      <c r="Y662"/>
      <c r="Z662"/>
      <c r="AA662"/>
      <c r="AB662">
        <v>83.632245182000005</v>
      </c>
      <c r="AC662">
        <v>62.255437073000003</v>
      </c>
      <c r="AD662"/>
      <c r="AE662">
        <v>63.006366743000001</v>
      </c>
      <c r="AF662"/>
      <c r="AG662"/>
      <c r="AH662">
        <v>62.117907666000001</v>
      </c>
      <c r="AI662">
        <v>39.703525958</v>
      </c>
      <c r="AJ662"/>
      <c r="AK662"/>
      <c r="AL662"/>
      <c r="AM662">
        <v>55.325772022999999</v>
      </c>
      <c r="AN662"/>
      <c r="AO662"/>
      <c r="AP662"/>
      <c r="AQ662">
        <v>60.409328393999999</v>
      </c>
      <c r="AR662"/>
      <c r="AS662">
        <v>45.338415042999998</v>
      </c>
      <c r="AT662"/>
    </row>
    <row r="663" spans="1:46" x14ac:dyDescent="0.2">
      <c r="A663" s="87">
        <v>27061</v>
      </c>
      <c r="B663"/>
      <c r="C663"/>
      <c r="D663">
        <v>32.718615573999998</v>
      </c>
      <c r="E663">
        <v>51.601486792000003</v>
      </c>
      <c r="F663"/>
      <c r="G663">
        <v>52.469591155000003</v>
      </c>
      <c r="H663"/>
      <c r="I663"/>
      <c r="J663"/>
      <c r="K663"/>
      <c r="L663">
        <v>55.484071198999999</v>
      </c>
      <c r="M663">
        <v>59.407286409999998</v>
      </c>
      <c r="N663"/>
      <c r="O663">
        <v>75.513423606999993</v>
      </c>
      <c r="P663"/>
      <c r="Q663"/>
      <c r="R663">
        <v>41.23156358</v>
      </c>
      <c r="S663">
        <v>76.613885875999998</v>
      </c>
      <c r="T663">
        <v>54.257119029999998</v>
      </c>
      <c r="U663">
        <v>60.333393080999997</v>
      </c>
      <c r="V663">
        <v>89.868702010000007</v>
      </c>
      <c r="W663"/>
      <c r="X663"/>
      <c r="Y663"/>
      <c r="Z663"/>
      <c r="AA663"/>
      <c r="AB663">
        <v>80.059043012000004</v>
      </c>
      <c r="AC663">
        <v>62.087179135</v>
      </c>
      <c r="AD663"/>
      <c r="AE663">
        <v>63.181720579999997</v>
      </c>
      <c r="AF663"/>
      <c r="AG663"/>
      <c r="AH663">
        <v>63.119809402999998</v>
      </c>
      <c r="AI663">
        <v>40.004310244999999</v>
      </c>
      <c r="AJ663"/>
      <c r="AK663"/>
      <c r="AL663"/>
      <c r="AM663">
        <v>53.449943466999997</v>
      </c>
      <c r="AN663"/>
      <c r="AO663"/>
      <c r="AP663"/>
      <c r="AQ663">
        <v>60.639898350000003</v>
      </c>
      <c r="AR663"/>
      <c r="AS663">
        <v>45.201036418999998</v>
      </c>
      <c r="AT663"/>
    </row>
    <row r="664" spans="1:46" x14ac:dyDescent="0.2">
      <c r="A664" s="87">
        <v>27089</v>
      </c>
      <c r="B664"/>
      <c r="C664"/>
      <c r="D664">
        <v>33.004097504000001</v>
      </c>
      <c r="E664">
        <v>51.009635379000002</v>
      </c>
      <c r="F664"/>
      <c r="G664">
        <v>52.705015662999998</v>
      </c>
      <c r="H664"/>
      <c r="I664"/>
      <c r="J664"/>
      <c r="K664"/>
      <c r="L664">
        <v>55.175483483999997</v>
      </c>
      <c r="M664">
        <v>60.032626266999998</v>
      </c>
      <c r="N664"/>
      <c r="O664">
        <v>74.267351454999996</v>
      </c>
      <c r="P664"/>
      <c r="Q664"/>
      <c r="R664">
        <v>41.322841551000003</v>
      </c>
      <c r="S664">
        <v>75.030451037999995</v>
      </c>
      <c r="T664">
        <v>54.258497749</v>
      </c>
      <c r="U664">
        <v>62.376770030000003</v>
      </c>
      <c r="V664">
        <v>85.032644841000007</v>
      </c>
      <c r="W664"/>
      <c r="X664"/>
      <c r="Y664"/>
      <c r="Z664"/>
      <c r="AA664"/>
      <c r="AB664">
        <v>84.211683360999999</v>
      </c>
      <c r="AC664">
        <v>60.656986662000001</v>
      </c>
      <c r="AD664"/>
      <c r="AE664">
        <v>61.852690201999998</v>
      </c>
      <c r="AF664"/>
      <c r="AG664"/>
      <c r="AH664">
        <v>62.618858535000001</v>
      </c>
      <c r="AI664">
        <v>40.305094533000002</v>
      </c>
      <c r="AJ664"/>
      <c r="AK664"/>
      <c r="AL664"/>
      <c r="AM664">
        <v>55.382093294000001</v>
      </c>
      <c r="AN664"/>
      <c r="AO664"/>
      <c r="AP664"/>
      <c r="AQ664">
        <v>60.178758438000003</v>
      </c>
      <c r="AR664"/>
      <c r="AS664">
        <v>45.207380020999999</v>
      </c>
      <c r="AT664"/>
    </row>
    <row r="665" spans="1:46" x14ac:dyDescent="0.2">
      <c r="A665" s="87">
        <v>27120</v>
      </c>
      <c r="B665"/>
      <c r="C665"/>
      <c r="D665">
        <v>32.669336643999998</v>
      </c>
      <c r="E665">
        <v>51.283318561999998</v>
      </c>
      <c r="F665"/>
      <c r="G665">
        <v>51.772715814000001</v>
      </c>
      <c r="H665"/>
      <c r="I665"/>
      <c r="J665"/>
      <c r="K665"/>
      <c r="L665">
        <v>55.298918569999998</v>
      </c>
      <c r="M665">
        <v>57.531266838999997</v>
      </c>
      <c r="N665"/>
      <c r="O665">
        <v>74.369287980999999</v>
      </c>
      <c r="P665"/>
      <c r="Q665"/>
      <c r="R665">
        <v>41.185924593999999</v>
      </c>
      <c r="S665">
        <v>76.248477835000003</v>
      </c>
      <c r="T665">
        <v>54.281124634999998</v>
      </c>
      <c r="U665">
        <v>65.603154687</v>
      </c>
      <c r="V665">
        <v>83.474349786999994</v>
      </c>
      <c r="W665"/>
      <c r="X665"/>
      <c r="Y665"/>
      <c r="Z665"/>
      <c r="AA665"/>
      <c r="AB665">
        <v>84.694548527999999</v>
      </c>
      <c r="AC665">
        <v>59.395052127</v>
      </c>
      <c r="AD665"/>
      <c r="AE665">
        <v>60.784002250999997</v>
      </c>
      <c r="AF665"/>
      <c r="AG665"/>
      <c r="AH665">
        <v>62.117907666000001</v>
      </c>
      <c r="AI665">
        <v>40.519940452</v>
      </c>
      <c r="AJ665"/>
      <c r="AK665"/>
      <c r="AL665"/>
      <c r="AM665">
        <v>54.159402022999998</v>
      </c>
      <c r="AN665"/>
      <c r="AO665"/>
      <c r="AP665"/>
      <c r="AQ665">
        <v>61.619820660999999</v>
      </c>
      <c r="AR665"/>
      <c r="AS665">
        <v>45.085662163000002</v>
      </c>
      <c r="AT665"/>
    </row>
    <row r="666" spans="1:46" x14ac:dyDescent="0.2">
      <c r="A666" s="87">
        <v>27150</v>
      </c>
      <c r="B666"/>
      <c r="C666"/>
      <c r="D666">
        <v>32.381794974999998</v>
      </c>
      <c r="E666">
        <v>50.736905933000003</v>
      </c>
      <c r="F666"/>
      <c r="G666">
        <v>52.399574684000001</v>
      </c>
      <c r="H666"/>
      <c r="I666"/>
      <c r="J666"/>
      <c r="K666"/>
      <c r="L666">
        <v>55.916094000999998</v>
      </c>
      <c r="M666">
        <v>56.280587124999997</v>
      </c>
      <c r="N666"/>
      <c r="O666">
        <v>74.938348266999995</v>
      </c>
      <c r="P666"/>
      <c r="Q666"/>
      <c r="R666">
        <v>41.088126768000002</v>
      </c>
      <c r="S666">
        <v>77.283800620999997</v>
      </c>
      <c r="T666">
        <v>54.642731173999998</v>
      </c>
      <c r="U666">
        <v>66.355977773999996</v>
      </c>
      <c r="V666">
        <v>85.024741754000004</v>
      </c>
      <c r="W666"/>
      <c r="X666"/>
      <c r="Y666"/>
      <c r="Z666"/>
      <c r="AA666"/>
      <c r="AB666">
        <v>83.728818206</v>
      </c>
      <c r="AC666">
        <v>59.563310065000003</v>
      </c>
      <c r="AD666"/>
      <c r="AE666">
        <v>60.127404628999997</v>
      </c>
      <c r="AF666"/>
      <c r="AG666"/>
      <c r="AH666">
        <v>62.618858535000001</v>
      </c>
      <c r="AI666">
        <v>41.894954337999998</v>
      </c>
      <c r="AJ666"/>
      <c r="AK666"/>
      <c r="AL666"/>
      <c r="AM666">
        <v>51.370779427999999</v>
      </c>
      <c r="AN666"/>
      <c r="AO666"/>
      <c r="AP666"/>
      <c r="AQ666">
        <v>61.389250705999999</v>
      </c>
      <c r="AR666"/>
      <c r="AS666">
        <v>45.426036041000003</v>
      </c>
      <c r="AT666"/>
    </row>
    <row r="667" spans="1:46" x14ac:dyDescent="0.2">
      <c r="A667" s="87">
        <v>27181</v>
      </c>
      <c r="B667"/>
      <c r="C667"/>
      <c r="D667">
        <v>33.575817440000002</v>
      </c>
      <c r="E667">
        <v>52.623647404000003</v>
      </c>
      <c r="F667"/>
      <c r="G667">
        <v>51.682023338999997</v>
      </c>
      <c r="H667"/>
      <c r="I667"/>
      <c r="J667"/>
      <c r="K667"/>
      <c r="L667">
        <v>55.237201026999998</v>
      </c>
      <c r="M667">
        <v>55.029907411000003</v>
      </c>
      <c r="N667"/>
      <c r="O667">
        <v>75.175723852999994</v>
      </c>
      <c r="P667"/>
      <c r="Q667"/>
      <c r="R667">
        <v>42.281260248999999</v>
      </c>
      <c r="S667">
        <v>75.943971130999998</v>
      </c>
      <c r="T667">
        <v>54.295573730000001</v>
      </c>
      <c r="U667">
        <v>66.678616238999993</v>
      </c>
      <c r="V667">
        <v>82.934550776999998</v>
      </c>
      <c r="W667"/>
      <c r="X667"/>
      <c r="Y667"/>
      <c r="Z667"/>
      <c r="AA667"/>
      <c r="AB667">
        <v>86.336290054000003</v>
      </c>
      <c r="AC667">
        <v>57.964859654000001</v>
      </c>
      <c r="AD667"/>
      <c r="AE667">
        <v>60.527173175999998</v>
      </c>
      <c r="AF667"/>
      <c r="AG667"/>
      <c r="AH667">
        <v>63.620760271000002</v>
      </c>
      <c r="AI667">
        <v>41.121509027999998</v>
      </c>
      <c r="AJ667"/>
      <c r="AK667"/>
      <c r="AL667"/>
      <c r="AM667">
        <v>51.154700810999998</v>
      </c>
      <c r="AN667"/>
      <c r="AO667"/>
      <c r="AP667"/>
      <c r="AQ667">
        <v>63.118525372999997</v>
      </c>
      <c r="AR667"/>
      <c r="AS667">
        <v>45.351994314999999</v>
      </c>
      <c r="AT667"/>
    </row>
    <row r="668" spans="1:46" x14ac:dyDescent="0.2">
      <c r="A668" s="87">
        <v>27211</v>
      </c>
      <c r="B668"/>
      <c r="C668"/>
      <c r="D668">
        <v>32.937673717999999</v>
      </c>
      <c r="E668">
        <v>51.123083268999999</v>
      </c>
      <c r="F668"/>
      <c r="G668">
        <v>51.430152008</v>
      </c>
      <c r="H668"/>
      <c r="I668"/>
      <c r="J668"/>
      <c r="K668"/>
      <c r="L668">
        <v>55.175483483999997</v>
      </c>
      <c r="M668">
        <v>55.029907411000003</v>
      </c>
      <c r="N668"/>
      <c r="O668">
        <v>74.843131545999995</v>
      </c>
      <c r="P668"/>
      <c r="Q668"/>
      <c r="R668">
        <v>43.901444238000003</v>
      </c>
      <c r="S668">
        <v>78.075518040000006</v>
      </c>
      <c r="T668">
        <v>54.056356116000003</v>
      </c>
      <c r="U668">
        <v>66.463523929000004</v>
      </c>
      <c r="V668">
        <v>76.340428978999995</v>
      </c>
      <c r="W668"/>
      <c r="X668"/>
      <c r="Y668"/>
      <c r="Z668"/>
      <c r="AA668"/>
      <c r="AB668">
        <v>81.507638489000001</v>
      </c>
      <c r="AC668">
        <v>57.375956870000003</v>
      </c>
      <c r="AD668"/>
      <c r="AE668">
        <v>62.662684663</v>
      </c>
      <c r="AF668"/>
      <c r="AG668"/>
      <c r="AH668">
        <v>63.620760271000002</v>
      </c>
      <c r="AI668">
        <v>41.207447395000003</v>
      </c>
      <c r="AJ668"/>
      <c r="AK668"/>
      <c r="AL668"/>
      <c r="AM668">
        <v>51.701061484</v>
      </c>
      <c r="AN668"/>
      <c r="AO668"/>
      <c r="AP668"/>
      <c r="AQ668">
        <v>60.928110793999998</v>
      </c>
      <c r="AR668"/>
      <c r="AS668">
        <v>45.424152784</v>
      </c>
      <c r="AT668"/>
    </row>
    <row r="669" spans="1:46" x14ac:dyDescent="0.2">
      <c r="A669" s="87">
        <v>27242</v>
      </c>
      <c r="B669"/>
      <c r="C669"/>
      <c r="D669">
        <v>32.694562433000002</v>
      </c>
      <c r="E669">
        <v>51.699891694999998</v>
      </c>
      <c r="F669"/>
      <c r="G669">
        <v>51.371883267999998</v>
      </c>
      <c r="H669"/>
      <c r="I669"/>
      <c r="J669"/>
      <c r="K669"/>
      <c r="L669">
        <v>53.817697537000001</v>
      </c>
      <c r="M669">
        <v>53.779227697000003</v>
      </c>
      <c r="N669"/>
      <c r="O669">
        <v>84.420453174000002</v>
      </c>
      <c r="P669"/>
      <c r="Q669"/>
      <c r="R669">
        <v>42.385577929999997</v>
      </c>
      <c r="S669">
        <v>78.075518040000006</v>
      </c>
      <c r="T669">
        <v>53.495409471999999</v>
      </c>
      <c r="U669">
        <v>66.678616238999993</v>
      </c>
      <c r="V669">
        <v>83.203190487000001</v>
      </c>
      <c r="W669"/>
      <c r="X669"/>
      <c r="Y669"/>
      <c r="Z669"/>
      <c r="AA669"/>
      <c r="AB669">
        <v>81.507638489000001</v>
      </c>
      <c r="AC669">
        <v>56.53466718</v>
      </c>
      <c r="AD669"/>
      <c r="AE669">
        <v>63.221981518</v>
      </c>
      <c r="AF669"/>
      <c r="AG669"/>
      <c r="AH669">
        <v>64.121711138999999</v>
      </c>
      <c r="AI669">
        <v>42.109800258</v>
      </c>
      <c r="AJ669"/>
      <c r="AK669"/>
      <c r="AL669"/>
      <c r="AM669">
        <v>52.467850767000002</v>
      </c>
      <c r="AN669"/>
      <c r="AO669"/>
      <c r="AP669"/>
      <c r="AQ669">
        <v>61.101038260999999</v>
      </c>
      <c r="AR669"/>
      <c r="AS669">
        <v>44.942732888000002</v>
      </c>
      <c r="AT669"/>
    </row>
    <row r="670" spans="1:46" x14ac:dyDescent="0.2">
      <c r="A670" s="87">
        <v>27273</v>
      </c>
      <c r="B670"/>
      <c r="C670"/>
      <c r="D670">
        <v>32.663655814000002</v>
      </c>
      <c r="E670">
        <v>51.762378325999997</v>
      </c>
      <c r="F670"/>
      <c r="G670">
        <v>50.712130754</v>
      </c>
      <c r="H670"/>
      <c r="I670"/>
      <c r="J670"/>
      <c r="K670"/>
      <c r="L670">
        <v>53.941132623000001</v>
      </c>
      <c r="M670">
        <v>53.779227697000003</v>
      </c>
      <c r="N670"/>
      <c r="O670">
        <v>73.790939644999995</v>
      </c>
      <c r="P670"/>
      <c r="Q670"/>
      <c r="R670">
        <v>40.993588869</v>
      </c>
      <c r="S670">
        <v>74.42143763</v>
      </c>
      <c r="T670">
        <v>53.189784645000003</v>
      </c>
      <c r="U670">
        <v>65.495608532000006</v>
      </c>
      <c r="V670">
        <v>83.054142655000007</v>
      </c>
      <c r="W670"/>
      <c r="X670"/>
      <c r="Y670"/>
      <c r="Z670"/>
      <c r="AA670"/>
      <c r="AB670">
        <v>82.473368800000003</v>
      </c>
      <c r="AC670">
        <v>55.945764396999998</v>
      </c>
      <c r="AD670"/>
      <c r="AE670">
        <v>61.566142274999997</v>
      </c>
      <c r="AF670"/>
      <c r="AG670"/>
      <c r="AH670">
        <v>63.620760271000002</v>
      </c>
      <c r="AI670">
        <v>40.906663107999996</v>
      </c>
      <c r="AJ670"/>
      <c r="AK670"/>
      <c r="AL670"/>
      <c r="AM670">
        <v>47.975167689999999</v>
      </c>
      <c r="AN670"/>
      <c r="AO670"/>
      <c r="AP670"/>
      <c r="AQ670">
        <v>60.755183326999997</v>
      </c>
      <c r="AR670"/>
      <c r="AS670">
        <v>44.955420091000001</v>
      </c>
      <c r="AT670"/>
    </row>
    <row r="671" spans="1:46" x14ac:dyDescent="0.2">
      <c r="A671" s="87">
        <v>27303</v>
      </c>
      <c r="B671"/>
      <c r="C671"/>
      <c r="D671">
        <v>31.953633165999999</v>
      </c>
      <c r="E671">
        <v>50.756523577999999</v>
      </c>
      <c r="F671"/>
      <c r="G671">
        <v>50.640234646000003</v>
      </c>
      <c r="H671"/>
      <c r="I671"/>
      <c r="J671"/>
      <c r="K671"/>
      <c r="L671">
        <v>53.755979994</v>
      </c>
      <c r="M671">
        <v>51.903208126999999</v>
      </c>
      <c r="N671"/>
      <c r="O671">
        <v>75.404072080000006</v>
      </c>
      <c r="P671"/>
      <c r="Q671"/>
      <c r="R671">
        <v>41.498877638000003</v>
      </c>
      <c r="S671">
        <v>74.543240314000002</v>
      </c>
      <c r="T671">
        <v>52.569959496000003</v>
      </c>
      <c r="U671">
        <v>64.097508513999998</v>
      </c>
      <c r="V671">
        <v>83.101452480000006</v>
      </c>
      <c r="W671"/>
      <c r="X671"/>
      <c r="Y671"/>
      <c r="Z671"/>
      <c r="AA671"/>
      <c r="AB671">
        <v>77.934436331000001</v>
      </c>
      <c r="AC671">
        <v>54.767958831000001</v>
      </c>
      <c r="AD671"/>
      <c r="AE671">
        <v>61.609591457999997</v>
      </c>
      <c r="AF671"/>
      <c r="AG671"/>
      <c r="AH671">
        <v>62.618858535000001</v>
      </c>
      <c r="AI671">
        <v>41.894954337999998</v>
      </c>
      <c r="AJ671"/>
      <c r="AK671"/>
      <c r="AL671"/>
      <c r="AM671">
        <v>52.024461582999997</v>
      </c>
      <c r="AN671"/>
      <c r="AO671"/>
      <c r="AP671"/>
      <c r="AQ671">
        <v>61.216323238999998</v>
      </c>
      <c r="AR671"/>
      <c r="AS671">
        <v>44.809319015</v>
      </c>
      <c r="AT671"/>
    </row>
    <row r="672" spans="1:46" x14ac:dyDescent="0.2">
      <c r="A672" s="87">
        <v>27334</v>
      </c>
      <c r="B672"/>
      <c r="C672"/>
      <c r="D672">
        <v>31.892526617000001</v>
      </c>
      <c r="E672">
        <v>50.792300281000003</v>
      </c>
      <c r="F672"/>
      <c r="G672">
        <v>49.728610801999999</v>
      </c>
      <c r="H672"/>
      <c r="I672"/>
      <c r="J672"/>
      <c r="K672"/>
      <c r="L672">
        <v>53.385674735999999</v>
      </c>
      <c r="M672">
        <v>52.528547983999999</v>
      </c>
      <c r="N672"/>
      <c r="O672">
        <v>71.641699098000004</v>
      </c>
      <c r="P672"/>
      <c r="Q672"/>
      <c r="R672">
        <v>41.375000391999997</v>
      </c>
      <c r="S672">
        <v>71.619975986</v>
      </c>
      <c r="T672">
        <v>51.484169264000002</v>
      </c>
      <c r="U672">
        <v>63.989962359000003</v>
      </c>
      <c r="V672">
        <v>83.352902365999995</v>
      </c>
      <c r="W672"/>
      <c r="X672"/>
      <c r="Y672"/>
      <c r="Z672"/>
      <c r="AA672"/>
      <c r="AB672">
        <v>78.031009355999998</v>
      </c>
      <c r="AC672">
        <v>53.842540172</v>
      </c>
      <c r="AD672"/>
      <c r="AE672">
        <v>55.800327234000001</v>
      </c>
      <c r="AF672"/>
      <c r="AG672"/>
      <c r="AH672">
        <v>62.618858535000001</v>
      </c>
      <c r="AI672">
        <v>42.281676994000001</v>
      </c>
      <c r="AJ672"/>
      <c r="AK672"/>
      <c r="AL672"/>
      <c r="AM672">
        <v>49.812153852000002</v>
      </c>
      <c r="AN672"/>
      <c r="AO672"/>
      <c r="AP672"/>
      <c r="AQ672">
        <v>61.331608217000003</v>
      </c>
      <c r="AR672"/>
      <c r="AS672">
        <v>43.345830284000002</v>
      </c>
      <c r="AT672"/>
    </row>
    <row r="673" spans="1:46" x14ac:dyDescent="0.2">
      <c r="A673" s="87">
        <v>27364</v>
      </c>
      <c r="B673"/>
      <c r="C673"/>
      <c r="D673">
        <v>31.131171605999999</v>
      </c>
      <c r="E673">
        <v>48.203141473000002</v>
      </c>
      <c r="F673"/>
      <c r="G673">
        <v>49.61254323</v>
      </c>
      <c r="H673"/>
      <c r="I673"/>
      <c r="J673"/>
      <c r="K673"/>
      <c r="L673">
        <v>50.731820384999999</v>
      </c>
      <c r="M673">
        <v>50.027188555999999</v>
      </c>
      <c r="N673"/>
      <c r="O673">
        <v>70.317489821999999</v>
      </c>
      <c r="P673"/>
      <c r="Q673"/>
      <c r="R673">
        <v>41.195704376999998</v>
      </c>
      <c r="S673">
        <v>70.401949180000003</v>
      </c>
      <c r="T673">
        <v>49.875814718999997</v>
      </c>
      <c r="U673">
        <v>62.914500807000003</v>
      </c>
      <c r="V673">
        <v>84.259699999000006</v>
      </c>
      <c r="W673"/>
      <c r="X673"/>
      <c r="Y673"/>
      <c r="Z673"/>
      <c r="AA673"/>
      <c r="AB673">
        <v>74.650953256999998</v>
      </c>
      <c r="AC673">
        <v>52.832992543000003</v>
      </c>
      <c r="AD673"/>
      <c r="AE673">
        <v>54.170441085</v>
      </c>
      <c r="AF673"/>
      <c r="AG673"/>
      <c r="AH673">
        <v>59.613153324999999</v>
      </c>
      <c r="AI673">
        <v>40.476971268</v>
      </c>
      <c r="AJ673"/>
      <c r="AK673"/>
      <c r="AL673"/>
      <c r="AM673">
        <v>52.229347013000002</v>
      </c>
      <c r="AN673"/>
      <c r="AO673"/>
      <c r="AP673"/>
      <c r="AQ673">
        <v>59.198836126000003</v>
      </c>
      <c r="AR673"/>
      <c r="AS673">
        <v>41.795117028999996</v>
      </c>
      <c r="AT673"/>
    </row>
    <row r="674" spans="1:46" x14ac:dyDescent="0.2">
      <c r="A674" s="87">
        <v>27395</v>
      </c>
      <c r="B674"/>
      <c r="C674"/>
      <c r="D674">
        <v>30.954496065000001</v>
      </c>
      <c r="E674">
        <v>47.655059178000002</v>
      </c>
      <c r="F674">
        <v>47.669585124999998</v>
      </c>
      <c r="G674">
        <v>47.930268300999998</v>
      </c>
      <c r="H674"/>
      <c r="I674"/>
      <c r="J674"/>
      <c r="K674"/>
      <c r="L674">
        <v>51.040408100000001</v>
      </c>
      <c r="M674">
        <v>51.903208126999999</v>
      </c>
      <c r="N674"/>
      <c r="O674">
        <v>71.090070631000003</v>
      </c>
      <c r="P674"/>
      <c r="Q674"/>
      <c r="R674">
        <v>41.427767056</v>
      </c>
      <c r="S674">
        <v>69.610231760999994</v>
      </c>
      <c r="T674">
        <v>49.217635856999998</v>
      </c>
      <c r="U674">
        <v>63.559777738000001</v>
      </c>
      <c r="V674">
        <v>84.267313462999994</v>
      </c>
      <c r="W674"/>
      <c r="X674"/>
      <c r="Y674"/>
      <c r="Z674"/>
      <c r="AA674"/>
      <c r="AB674">
        <v>74.071515067000007</v>
      </c>
      <c r="AC674">
        <v>50.813897287000003</v>
      </c>
      <c r="AD674"/>
      <c r="AE674">
        <v>51.008553341000002</v>
      </c>
      <c r="AF674"/>
      <c r="AG674"/>
      <c r="AH674">
        <v>59.529661513999997</v>
      </c>
      <c r="AI674">
        <v>38.121029634999999</v>
      </c>
      <c r="AJ674"/>
      <c r="AK674">
        <v>43.261744673000003</v>
      </c>
      <c r="AL674"/>
      <c r="AM674">
        <v>50.850136321000001</v>
      </c>
      <c r="AN674"/>
      <c r="AO674"/>
      <c r="AP674"/>
      <c r="AQ674">
        <v>62.542100484000002</v>
      </c>
      <c r="AR674"/>
      <c r="AS674">
        <v>41.221516671000003</v>
      </c>
      <c r="AT674"/>
    </row>
    <row r="675" spans="1:46" x14ac:dyDescent="0.2">
      <c r="A675" s="87">
        <v>27426</v>
      </c>
      <c r="B675"/>
      <c r="C675"/>
      <c r="D675">
        <v>31.536633931000001</v>
      </c>
      <c r="E675">
        <v>46.842940572000003</v>
      </c>
      <c r="F675">
        <v>47.569643181000004</v>
      </c>
      <c r="G675">
        <v>47.962692035000003</v>
      </c>
      <c r="H675"/>
      <c r="I675"/>
      <c r="J675"/>
      <c r="K675"/>
      <c r="L675">
        <v>50.793537927999999</v>
      </c>
      <c r="M675">
        <v>51.903208126999999</v>
      </c>
      <c r="N675"/>
      <c r="O675">
        <v>71.412851064999998</v>
      </c>
      <c r="P675"/>
      <c r="Q675"/>
      <c r="R675">
        <v>41.529181418999997</v>
      </c>
      <c r="S675">
        <v>69.366626402999998</v>
      </c>
      <c r="T675">
        <v>48.598030889999997</v>
      </c>
      <c r="U675">
        <v>63.022046961999997</v>
      </c>
      <c r="V675">
        <v>85.577452459</v>
      </c>
      <c r="W675"/>
      <c r="X675"/>
      <c r="Y675"/>
      <c r="Z675"/>
      <c r="AA675"/>
      <c r="AB675">
        <v>74.071515067000007</v>
      </c>
      <c r="AC675">
        <v>50.309123473</v>
      </c>
      <c r="AD675"/>
      <c r="AE675">
        <v>52.991291121000003</v>
      </c>
      <c r="AF675"/>
      <c r="AG675"/>
      <c r="AH675">
        <v>59.529661513999997</v>
      </c>
      <c r="AI675">
        <v>40.924046519999997</v>
      </c>
      <c r="AJ675"/>
      <c r="AK675">
        <v>42.802564027999999</v>
      </c>
      <c r="AL675"/>
      <c r="AM675">
        <v>51.529634481999999</v>
      </c>
      <c r="AN675"/>
      <c r="AO675"/>
      <c r="AP675"/>
      <c r="AQ675">
        <v>61.273965728</v>
      </c>
      <c r="AR675"/>
      <c r="AS675">
        <v>40.271562318999997</v>
      </c>
      <c r="AT675"/>
    </row>
    <row r="676" spans="1:46" x14ac:dyDescent="0.2">
      <c r="A676" s="87">
        <v>27454</v>
      </c>
      <c r="B676"/>
      <c r="C676"/>
      <c r="D676">
        <v>30.761625168999998</v>
      </c>
      <c r="E676">
        <v>47.518357182999999</v>
      </c>
      <c r="F676">
        <v>46.691668270000001</v>
      </c>
      <c r="G676">
        <v>47.139411119999998</v>
      </c>
      <c r="H676"/>
      <c r="I676"/>
      <c r="J676"/>
      <c r="K676"/>
      <c r="L676">
        <v>51.348995815000002</v>
      </c>
      <c r="M676">
        <v>48.151168984999998</v>
      </c>
      <c r="N676"/>
      <c r="O676">
        <v>77.987232113999994</v>
      </c>
      <c r="P676"/>
      <c r="Q676"/>
      <c r="R676">
        <v>41.022109606999997</v>
      </c>
      <c r="S676">
        <v>68.331303618000007</v>
      </c>
      <c r="T676">
        <v>48.194402310000001</v>
      </c>
      <c r="U676">
        <v>61.839039253999999</v>
      </c>
      <c r="V676">
        <v>86.625581929000006</v>
      </c>
      <c r="W676"/>
      <c r="X676"/>
      <c r="Y676"/>
      <c r="Z676"/>
      <c r="AA676"/>
      <c r="AB676">
        <v>74.071515067000007</v>
      </c>
      <c r="AC676">
        <v>49.636091721</v>
      </c>
      <c r="AD676"/>
      <c r="AE676">
        <v>52.454320598999999</v>
      </c>
      <c r="AF676"/>
      <c r="AG676"/>
      <c r="AH676">
        <v>60.124958128999999</v>
      </c>
      <c r="AI676">
        <v>42.045253273999997</v>
      </c>
      <c r="AJ676"/>
      <c r="AK676">
        <v>42.648063463</v>
      </c>
      <c r="AL676"/>
      <c r="AM676">
        <v>49.447278357999998</v>
      </c>
      <c r="AN676"/>
      <c r="AO676"/>
      <c r="AP676"/>
      <c r="AQ676">
        <v>62.253888039000003</v>
      </c>
      <c r="AR676"/>
      <c r="AS676">
        <v>39.827014607999999</v>
      </c>
      <c r="AT676"/>
    </row>
    <row r="677" spans="1:46" x14ac:dyDescent="0.2">
      <c r="A677" s="87">
        <v>27485</v>
      </c>
      <c r="B677"/>
      <c r="C677"/>
      <c r="D677">
        <v>30.395365276</v>
      </c>
      <c r="E677">
        <v>43.360890894999997</v>
      </c>
      <c r="F677">
        <v>49.654108483000002</v>
      </c>
      <c r="G677">
        <v>47.570317854999999</v>
      </c>
      <c r="H677"/>
      <c r="I677"/>
      <c r="J677"/>
      <c r="K677"/>
      <c r="L677">
        <v>50.670102841999999</v>
      </c>
      <c r="M677">
        <v>52.528547983999999</v>
      </c>
      <c r="N677"/>
      <c r="O677">
        <v>68.595447246999996</v>
      </c>
      <c r="P677"/>
      <c r="Q677"/>
      <c r="R677">
        <v>41.174231149999997</v>
      </c>
      <c r="S677">
        <v>68.514007637999995</v>
      </c>
      <c r="T677">
        <v>48.218322649000001</v>
      </c>
      <c r="U677">
        <v>60.763577701999999</v>
      </c>
      <c r="V677">
        <v>87.432094587999998</v>
      </c>
      <c r="W677"/>
      <c r="X677"/>
      <c r="Y677"/>
      <c r="Z677"/>
      <c r="AA677"/>
      <c r="AB677">
        <v>72.526346564999997</v>
      </c>
      <c r="AC677">
        <v>50.813897287000003</v>
      </c>
      <c r="AD677"/>
      <c r="AE677">
        <v>45.666217949</v>
      </c>
      <c r="AF677"/>
      <c r="AG677"/>
      <c r="AH677">
        <v>58.934364897999998</v>
      </c>
      <c r="AI677">
        <v>44.287666780999999</v>
      </c>
      <c r="AJ677"/>
      <c r="AK677">
        <v>42.362610394999997</v>
      </c>
      <c r="AL677"/>
      <c r="AM677">
        <v>47.983988994000001</v>
      </c>
      <c r="AN677"/>
      <c r="AO677"/>
      <c r="AP677"/>
      <c r="AQ677">
        <v>59.775261016000002</v>
      </c>
      <c r="AR677"/>
      <c r="AS677">
        <v>39.905219322000001</v>
      </c>
      <c r="AT677"/>
    </row>
    <row r="678" spans="1:46" x14ac:dyDescent="0.2">
      <c r="A678" s="87">
        <v>27515</v>
      </c>
      <c r="B678"/>
      <c r="C678"/>
      <c r="D678">
        <v>29.985856901999998</v>
      </c>
      <c r="E678">
        <v>45.238461194000003</v>
      </c>
      <c r="F678">
        <v>47.249785066000001</v>
      </c>
      <c r="G678">
        <v>46.457572874</v>
      </c>
      <c r="H678"/>
      <c r="I678"/>
      <c r="J678"/>
      <c r="K678"/>
      <c r="L678">
        <v>50.484950212999998</v>
      </c>
      <c r="M678">
        <v>51.277868269999999</v>
      </c>
      <c r="N678"/>
      <c r="O678">
        <v>72.046852681999994</v>
      </c>
      <c r="P678"/>
      <c r="Q678"/>
      <c r="R678">
        <v>39.095236720000003</v>
      </c>
      <c r="S678">
        <v>66.565164758999998</v>
      </c>
      <c r="T678">
        <v>48.005852017000002</v>
      </c>
      <c r="U678">
        <v>59.903208460000002</v>
      </c>
      <c r="V678">
        <v>86.234473413000003</v>
      </c>
      <c r="W678"/>
      <c r="X678"/>
      <c r="Y678"/>
      <c r="Z678"/>
      <c r="AA678"/>
      <c r="AB678">
        <v>73.588649911000005</v>
      </c>
      <c r="AC678">
        <v>50.813897287000003</v>
      </c>
      <c r="AD678"/>
      <c r="AE678">
        <v>45.602476789000001</v>
      </c>
      <c r="AF678"/>
      <c r="AG678"/>
      <c r="AH678">
        <v>59.529661513999997</v>
      </c>
      <c r="AI678">
        <v>44.287666780999999</v>
      </c>
      <c r="AJ678"/>
      <c r="AK678">
        <v>42.296741746999999</v>
      </c>
      <c r="AL678"/>
      <c r="AM678">
        <v>49.572191662000002</v>
      </c>
      <c r="AN678"/>
      <c r="AO678"/>
      <c r="AP678"/>
      <c r="AQ678">
        <v>59.602333549000001</v>
      </c>
      <c r="AR678"/>
      <c r="AS678">
        <v>39.785384722000003</v>
      </c>
      <c r="AT678"/>
    </row>
    <row r="679" spans="1:46" x14ac:dyDescent="0.2">
      <c r="A679" s="87">
        <v>27546</v>
      </c>
      <c r="B679"/>
      <c r="C679"/>
      <c r="D679">
        <v>29.915894212000001</v>
      </c>
      <c r="E679">
        <v>45.184686706999997</v>
      </c>
      <c r="F679">
        <v>48.917614550000003</v>
      </c>
      <c r="G679">
        <v>47.104167930000003</v>
      </c>
      <c r="H679"/>
      <c r="I679"/>
      <c r="J679"/>
      <c r="K679"/>
      <c r="L679">
        <v>50.361515126</v>
      </c>
      <c r="M679">
        <v>51.277868269999999</v>
      </c>
      <c r="N679"/>
      <c r="O679">
        <v>71.958090491999997</v>
      </c>
      <c r="P679"/>
      <c r="Q679"/>
      <c r="R679">
        <v>38.537457727000003</v>
      </c>
      <c r="S679">
        <v>68.209500943999998</v>
      </c>
      <c r="T679">
        <v>48.363394253999999</v>
      </c>
      <c r="U679">
        <v>60.333393080999997</v>
      </c>
      <c r="V679">
        <v>86.233915073000006</v>
      </c>
      <c r="W679"/>
      <c r="X679"/>
      <c r="Y679"/>
      <c r="Z679"/>
      <c r="AA679"/>
      <c r="AB679">
        <v>74.264661137000004</v>
      </c>
      <c r="AC679">
        <v>51.318671101</v>
      </c>
      <c r="AD679"/>
      <c r="AE679">
        <v>47.341763616000001</v>
      </c>
      <c r="AF679"/>
      <c r="AG679"/>
      <c r="AH679">
        <v>59.529661513999997</v>
      </c>
      <c r="AI679">
        <v>44.848270157999998</v>
      </c>
      <c r="AJ679"/>
      <c r="AK679">
        <v>42.553863733999997</v>
      </c>
      <c r="AL679"/>
      <c r="AM679">
        <v>50.253284624999999</v>
      </c>
      <c r="AN679"/>
      <c r="AO679"/>
      <c r="AP679"/>
      <c r="AQ679">
        <v>58.449483770000001</v>
      </c>
      <c r="AR679"/>
      <c r="AS679">
        <v>40.037939364000003</v>
      </c>
      <c r="AT679"/>
    </row>
    <row r="680" spans="1:46" x14ac:dyDescent="0.2">
      <c r="A680" s="87">
        <v>27576</v>
      </c>
      <c r="B680"/>
      <c r="C680"/>
      <c r="D680">
        <v>29.859904628999999</v>
      </c>
      <c r="E680">
        <v>45.692961089000001</v>
      </c>
      <c r="F680">
        <v>48.395643952999997</v>
      </c>
      <c r="G680">
        <v>47.755931988</v>
      </c>
      <c r="H680"/>
      <c r="I680"/>
      <c r="J680"/>
      <c r="K680"/>
      <c r="L680">
        <v>49.127164266000001</v>
      </c>
      <c r="M680">
        <v>53.153887840000003</v>
      </c>
      <c r="N680">
        <v>56.713972220000002</v>
      </c>
      <c r="O680">
        <v>71.471863560000003</v>
      </c>
      <c r="P680"/>
      <c r="Q680"/>
      <c r="R680">
        <v>41.884131687</v>
      </c>
      <c r="S680">
        <v>67.417783514999996</v>
      </c>
      <c r="T680">
        <v>48.349624077000001</v>
      </c>
      <c r="U680">
        <v>59.580569994999998</v>
      </c>
      <c r="V680">
        <v>86.871642860999998</v>
      </c>
      <c r="W680"/>
      <c r="X680"/>
      <c r="Y680">
        <v>5.6662114050000003</v>
      </c>
      <c r="Z680"/>
      <c r="AA680"/>
      <c r="AB680">
        <v>73.298930815999995</v>
      </c>
      <c r="AC680">
        <v>51.823444915000003</v>
      </c>
      <c r="AD680"/>
      <c r="AE680">
        <v>45.995866487000001</v>
      </c>
      <c r="AF680"/>
      <c r="AG680"/>
      <c r="AH680">
        <v>58.339068283000003</v>
      </c>
      <c r="AI680">
        <v>45.969476911999998</v>
      </c>
      <c r="AJ680"/>
      <c r="AK680">
        <v>42.577347818</v>
      </c>
      <c r="AL680"/>
      <c r="AM680">
        <v>51.089075135000002</v>
      </c>
      <c r="AN680"/>
      <c r="AO680"/>
      <c r="AP680"/>
      <c r="AQ680">
        <v>59.775261016000002</v>
      </c>
      <c r="AR680"/>
      <c r="AS680">
        <v>40.431540024</v>
      </c>
      <c r="AT680"/>
    </row>
    <row r="681" spans="1:46" x14ac:dyDescent="0.2">
      <c r="A681" s="87">
        <v>27607</v>
      </c>
      <c r="B681"/>
      <c r="C681"/>
      <c r="D681">
        <v>30.287125033999999</v>
      </c>
      <c r="E681">
        <v>45.056615473999997</v>
      </c>
      <c r="F681">
        <v>48.629883825999997</v>
      </c>
      <c r="G681">
        <v>47.393162087</v>
      </c>
      <c r="H681"/>
      <c r="I681"/>
      <c r="J681"/>
      <c r="K681"/>
      <c r="L681">
        <v>51.040408100000001</v>
      </c>
      <c r="M681">
        <v>51.277868269999999</v>
      </c>
      <c r="N681">
        <v>57.485655698999999</v>
      </c>
      <c r="O681">
        <v>76.676899057</v>
      </c>
      <c r="P681"/>
      <c r="Q681"/>
      <c r="R681">
        <v>39.348772625999999</v>
      </c>
      <c r="S681">
        <v>67.417783514999996</v>
      </c>
      <c r="T681">
        <v>48.784500770999998</v>
      </c>
      <c r="U681">
        <v>58.720200753</v>
      </c>
      <c r="V681">
        <v>89.189813084999997</v>
      </c>
      <c r="W681"/>
      <c r="X681"/>
      <c r="Y681">
        <v>5.758344095</v>
      </c>
      <c r="Z681"/>
      <c r="AA681"/>
      <c r="AB681">
        <v>73.781795970999994</v>
      </c>
      <c r="AC681">
        <v>51.823444915000003</v>
      </c>
      <c r="AD681"/>
      <c r="AE681">
        <v>36.727866876</v>
      </c>
      <c r="AF681"/>
      <c r="AG681"/>
      <c r="AH681">
        <v>58.339068283000003</v>
      </c>
      <c r="AI681">
        <v>43.727063403999999</v>
      </c>
      <c r="AJ681"/>
      <c r="AK681">
        <v>42.969112930999998</v>
      </c>
      <c r="AL681"/>
      <c r="AM681">
        <v>45.984480511000001</v>
      </c>
      <c r="AN681"/>
      <c r="AO681"/>
      <c r="AP681"/>
      <c r="AQ681">
        <v>59.544691059999998</v>
      </c>
      <c r="AR681"/>
      <c r="AS681">
        <v>40.845757390000003</v>
      </c>
      <c r="AT681"/>
    </row>
    <row r="682" spans="1:46" x14ac:dyDescent="0.2">
      <c r="A682" s="87">
        <v>27638</v>
      </c>
      <c r="B682"/>
      <c r="C682"/>
      <c r="D682">
        <v>29.867998450999998</v>
      </c>
      <c r="E682">
        <v>45.998835229999997</v>
      </c>
      <c r="F682">
        <v>49.953323656999999</v>
      </c>
      <c r="G682">
        <v>47.625297230999998</v>
      </c>
      <c r="H682"/>
      <c r="I682"/>
      <c r="J682"/>
      <c r="K682"/>
      <c r="L682">
        <v>50.978690557</v>
      </c>
      <c r="M682">
        <v>52.528547983999999</v>
      </c>
      <c r="N682">
        <v>57.390386134000003</v>
      </c>
      <c r="O682">
        <v>72.607320106000003</v>
      </c>
      <c r="P682"/>
      <c r="Q682"/>
      <c r="R682">
        <v>37.82755719</v>
      </c>
      <c r="S682">
        <v>67.904994239999994</v>
      </c>
      <c r="T682">
        <v>49.149144417999999</v>
      </c>
      <c r="U682">
        <v>59.903208460000002</v>
      </c>
      <c r="V682">
        <v>88.241493688999995</v>
      </c>
      <c r="W682"/>
      <c r="X682"/>
      <c r="Y682">
        <v>5.528010954</v>
      </c>
      <c r="Z682"/>
      <c r="AA682"/>
      <c r="AB682">
        <v>72.719492635999998</v>
      </c>
      <c r="AC682">
        <v>52.244089760000001</v>
      </c>
      <c r="AD682"/>
      <c r="AE682">
        <v>47.484058759</v>
      </c>
      <c r="AF682"/>
      <c r="AG682"/>
      <c r="AH682">
        <v>58.934364897999998</v>
      </c>
      <c r="AI682">
        <v>44.287666780999999</v>
      </c>
      <c r="AJ682"/>
      <c r="AK682">
        <v>43.175641655</v>
      </c>
      <c r="AL682"/>
      <c r="AM682">
        <v>48.797927366000003</v>
      </c>
      <c r="AN682"/>
      <c r="AO682"/>
      <c r="AP682"/>
      <c r="AQ682">
        <v>58.852981192999998</v>
      </c>
      <c r="AR682"/>
      <c r="AS682">
        <v>41.377628743999999</v>
      </c>
      <c r="AT682"/>
    </row>
    <row r="683" spans="1:46" x14ac:dyDescent="0.2">
      <c r="A683" s="87">
        <v>27668</v>
      </c>
      <c r="B683"/>
      <c r="C683"/>
      <c r="D683">
        <v>29.715707055999999</v>
      </c>
      <c r="E683">
        <v>45.870237572999997</v>
      </c>
      <c r="F683">
        <v>49.406087233000001</v>
      </c>
      <c r="G683">
        <v>47.169955217999998</v>
      </c>
      <c r="H683"/>
      <c r="I683"/>
      <c r="J683"/>
      <c r="K683"/>
      <c r="L683">
        <v>51.966171246000002</v>
      </c>
      <c r="M683">
        <v>54.404567554000003</v>
      </c>
      <c r="N683">
        <v>58.352608742999998</v>
      </c>
      <c r="O683">
        <v>72.753570988999996</v>
      </c>
      <c r="P683"/>
      <c r="Q683"/>
      <c r="R683">
        <v>38.334629002</v>
      </c>
      <c r="S683">
        <v>69.975639802000003</v>
      </c>
      <c r="T683">
        <v>49.610530672000003</v>
      </c>
      <c r="U683">
        <v>60.656031546999998</v>
      </c>
      <c r="V683">
        <v>86.764522701999994</v>
      </c>
      <c r="W683"/>
      <c r="X683"/>
      <c r="Y683">
        <v>5.4665886889999999</v>
      </c>
      <c r="Z683"/>
      <c r="AA683"/>
      <c r="AB683">
        <v>74.168088101999999</v>
      </c>
      <c r="AC683">
        <v>52.412347697999998</v>
      </c>
      <c r="AD683"/>
      <c r="AE683">
        <v>46.581258884999997</v>
      </c>
      <c r="AF683"/>
      <c r="AG683"/>
      <c r="AH683">
        <v>59.529661513999997</v>
      </c>
      <c r="AI683">
        <v>43.727063403999999</v>
      </c>
      <c r="AJ683"/>
      <c r="AK683">
        <v>43.534402348999997</v>
      </c>
      <c r="AL683"/>
      <c r="AM683">
        <v>50.953428989999999</v>
      </c>
      <c r="AN683"/>
      <c r="AO683"/>
      <c r="AP683"/>
      <c r="AQ683">
        <v>58.737696215</v>
      </c>
      <c r="AR683"/>
      <c r="AS683">
        <v>41.552870740000003</v>
      </c>
      <c r="AT683"/>
    </row>
    <row r="684" spans="1:46" x14ac:dyDescent="0.2">
      <c r="A684" s="87">
        <v>27699</v>
      </c>
      <c r="B684"/>
      <c r="C684"/>
      <c r="D684">
        <v>30.717925780000002</v>
      </c>
      <c r="E684">
        <v>47.229978189999997</v>
      </c>
      <c r="F684">
        <v>50.996034141999999</v>
      </c>
      <c r="G684">
        <v>48.238528735000003</v>
      </c>
      <c r="H684"/>
      <c r="I684"/>
      <c r="J684"/>
      <c r="K684"/>
      <c r="L684">
        <v>52.706781761999999</v>
      </c>
      <c r="M684">
        <v>55.029907411000003</v>
      </c>
      <c r="N684">
        <v>58.828956570000003</v>
      </c>
      <c r="O684">
        <v>72.073041830999998</v>
      </c>
      <c r="P684"/>
      <c r="Q684"/>
      <c r="R684">
        <v>39.602308532000002</v>
      </c>
      <c r="S684">
        <v>68.757613004999996</v>
      </c>
      <c r="T684">
        <v>49.701185795999997</v>
      </c>
      <c r="U684">
        <v>60.763577701999999</v>
      </c>
      <c r="V684">
        <v>90.575435417999998</v>
      </c>
      <c r="W684"/>
      <c r="X684"/>
      <c r="Y684">
        <v>6.0347449959999997</v>
      </c>
      <c r="Z684"/>
      <c r="AA684"/>
      <c r="AB684">
        <v>76.292694793999999</v>
      </c>
      <c r="AC684">
        <v>51.571058008000001</v>
      </c>
      <c r="AD684"/>
      <c r="AE684">
        <v>47.388605859000002</v>
      </c>
      <c r="AF684"/>
      <c r="AG684"/>
      <c r="AH684">
        <v>61.910847973999999</v>
      </c>
      <c r="AI684">
        <v>44.287666780999999</v>
      </c>
      <c r="AJ684"/>
      <c r="AK684">
        <v>43.688338350999999</v>
      </c>
      <c r="AL684"/>
      <c r="AM684">
        <v>50.168397560999999</v>
      </c>
      <c r="AN684"/>
      <c r="AO684"/>
      <c r="AP684"/>
      <c r="AQ684">
        <v>59.544691059999998</v>
      </c>
      <c r="AR684"/>
      <c r="AS684">
        <v>41.604610741000002</v>
      </c>
      <c r="AT684"/>
    </row>
    <row r="685" spans="1:46" x14ac:dyDescent="0.2">
      <c r="A685" s="87">
        <v>27729</v>
      </c>
      <c r="B685"/>
      <c r="C685"/>
      <c r="D685">
        <v>31.522114301999999</v>
      </c>
      <c r="E685">
        <v>46.954762041999999</v>
      </c>
      <c r="F685">
        <v>49.940489546999999</v>
      </c>
      <c r="G685">
        <v>49.133705757000001</v>
      </c>
      <c r="H685"/>
      <c r="I685"/>
      <c r="J685"/>
      <c r="K685"/>
      <c r="L685">
        <v>52.645064218999998</v>
      </c>
      <c r="M685">
        <v>55.655247267999997</v>
      </c>
      <c r="N685">
        <v>59.210034831000002</v>
      </c>
      <c r="O685">
        <v>73.018375835000001</v>
      </c>
      <c r="P685"/>
      <c r="Q685"/>
      <c r="R685">
        <v>38.588164908000003</v>
      </c>
      <c r="S685">
        <v>72.289890731</v>
      </c>
      <c r="T685">
        <v>50.327992361</v>
      </c>
      <c r="U685">
        <v>60.440939235999998</v>
      </c>
      <c r="V685">
        <v>90.283065121999996</v>
      </c>
      <c r="W685"/>
      <c r="X685"/>
      <c r="Y685">
        <v>5.8965445460000003</v>
      </c>
      <c r="Z685"/>
      <c r="AA685"/>
      <c r="AB685">
        <v>76.099548733999995</v>
      </c>
      <c r="AC685">
        <v>52.664734605</v>
      </c>
      <c r="AD685"/>
      <c r="AE685">
        <v>48.140861751000003</v>
      </c>
      <c r="AF685"/>
      <c r="AG685"/>
      <c r="AH685">
        <v>60.124958128999999</v>
      </c>
      <c r="AI685">
        <v>40.363443142999998</v>
      </c>
      <c r="AJ685"/>
      <c r="AK685">
        <v>44.130449407</v>
      </c>
      <c r="AL685"/>
      <c r="AM685">
        <v>48.733845209999998</v>
      </c>
      <c r="AN685"/>
      <c r="AO685"/>
      <c r="AP685"/>
      <c r="AQ685">
        <v>58.795338704000002</v>
      </c>
      <c r="AR685"/>
      <c r="AS685">
        <v>42.177120793</v>
      </c>
      <c r="AT685"/>
    </row>
    <row r="686" spans="1:46" x14ac:dyDescent="0.2">
      <c r="A686" s="87">
        <v>27760</v>
      </c>
      <c r="B686"/>
      <c r="C686"/>
      <c r="D686">
        <v>31.077087677000002</v>
      </c>
      <c r="E686">
        <v>47.660484222000001</v>
      </c>
      <c r="F686">
        <v>51.723695833000001</v>
      </c>
      <c r="G686">
        <v>49.068858288000001</v>
      </c>
      <c r="H686"/>
      <c r="I686"/>
      <c r="J686"/>
      <c r="K686"/>
      <c r="L686">
        <v>53.323957192999998</v>
      </c>
      <c r="M686">
        <v>54.404567554000003</v>
      </c>
      <c r="N686">
        <v>59.886448743999999</v>
      </c>
      <c r="O686">
        <v>71.532579186000007</v>
      </c>
      <c r="P686"/>
      <c r="Q686"/>
      <c r="R686">
        <v>39.653015713999999</v>
      </c>
      <c r="S686">
        <v>72.472594751000003</v>
      </c>
      <c r="T686">
        <v>51.027327116999999</v>
      </c>
      <c r="U686">
        <v>60.763577701999999</v>
      </c>
      <c r="V686">
        <v>92.834200645999999</v>
      </c>
      <c r="W686"/>
      <c r="X686"/>
      <c r="Y686">
        <v>6.1345570629999999</v>
      </c>
      <c r="Z686"/>
      <c r="AA686"/>
      <c r="AB686">
        <v>78.610447546000003</v>
      </c>
      <c r="AC686">
        <v>53.590153264999998</v>
      </c>
      <c r="AD686"/>
      <c r="AE686">
        <v>48.773538135999999</v>
      </c>
      <c r="AF686"/>
      <c r="AG686"/>
      <c r="AH686">
        <v>63.101441203999997</v>
      </c>
      <c r="AI686">
        <v>42.045253273999997</v>
      </c>
      <c r="AJ686"/>
      <c r="AK686">
        <v>44.676144821000001</v>
      </c>
      <c r="AL686"/>
      <c r="AM686">
        <v>49.024579785999997</v>
      </c>
      <c r="AN686"/>
      <c r="AO686"/>
      <c r="AP686"/>
      <c r="AQ686">
        <v>57.181349013999998</v>
      </c>
      <c r="AR686"/>
      <c r="AS686">
        <v>42.747053756</v>
      </c>
      <c r="AT686"/>
    </row>
    <row r="687" spans="1:46" x14ac:dyDescent="0.2">
      <c r="A687" s="87">
        <v>27791</v>
      </c>
      <c r="B687"/>
      <c r="C687"/>
      <c r="D687">
        <v>31.307949776000001</v>
      </c>
      <c r="E687">
        <v>48.723263922000001</v>
      </c>
      <c r="F687">
        <v>54.933256166</v>
      </c>
      <c r="G687">
        <v>49.389336360999998</v>
      </c>
      <c r="H687"/>
      <c r="I687"/>
      <c r="J687"/>
      <c r="K687"/>
      <c r="L687">
        <v>54.373155425</v>
      </c>
      <c r="M687">
        <v>56.905926981999997</v>
      </c>
      <c r="N687">
        <v>60.267527006000002</v>
      </c>
      <c r="O687">
        <v>70.939216283999997</v>
      </c>
      <c r="P687"/>
      <c r="Q687"/>
      <c r="R687">
        <v>39.399479808000002</v>
      </c>
      <c r="S687">
        <v>72.594397426</v>
      </c>
      <c r="T687">
        <v>51.653250022999998</v>
      </c>
      <c r="U687">
        <v>61.516400789000002</v>
      </c>
      <c r="V687">
        <v>88.486749846999999</v>
      </c>
      <c r="W687"/>
      <c r="X687"/>
      <c r="Y687">
        <v>5.842800241</v>
      </c>
      <c r="Z687"/>
      <c r="AA687"/>
      <c r="AB687">
        <v>78.031009355999998</v>
      </c>
      <c r="AC687">
        <v>54.936216768999998</v>
      </c>
      <c r="AD687"/>
      <c r="AE687">
        <v>48.467271857</v>
      </c>
      <c r="AF687"/>
      <c r="AG687"/>
      <c r="AH687">
        <v>63.101441203999997</v>
      </c>
      <c r="AI687">
        <v>44.848270157999998</v>
      </c>
      <c r="AJ687"/>
      <c r="AK687">
        <v>45.160727586</v>
      </c>
      <c r="AL687"/>
      <c r="AM687">
        <v>50.140716918999999</v>
      </c>
      <c r="AN687"/>
      <c r="AO687"/>
      <c r="AP687"/>
      <c r="AQ687">
        <v>57.930701370000001</v>
      </c>
      <c r="AR687"/>
      <c r="AS687">
        <v>43.172273306000001</v>
      </c>
      <c r="AT687"/>
    </row>
    <row r="688" spans="1:46" x14ac:dyDescent="0.2">
      <c r="A688" s="87">
        <v>27820</v>
      </c>
      <c r="B688"/>
      <c r="C688"/>
      <c r="D688">
        <v>31.256046817000001</v>
      </c>
      <c r="E688">
        <v>48.251469063000002</v>
      </c>
      <c r="F688">
        <v>52.829916986000001</v>
      </c>
      <c r="G688">
        <v>50.158107809000001</v>
      </c>
      <c r="H688"/>
      <c r="I688"/>
      <c r="J688"/>
      <c r="K688"/>
      <c r="L688">
        <v>54.311437881000003</v>
      </c>
      <c r="M688">
        <v>56.280587124999997</v>
      </c>
      <c r="N688">
        <v>60.562862658</v>
      </c>
      <c r="O688">
        <v>73.745154021999994</v>
      </c>
      <c r="P688"/>
      <c r="Q688"/>
      <c r="R688">
        <v>39.551601351000002</v>
      </c>
      <c r="S688">
        <v>73.386114853999999</v>
      </c>
      <c r="T688">
        <v>51.887378093999999</v>
      </c>
      <c r="U688">
        <v>61.623946943999997</v>
      </c>
      <c r="V688">
        <v>93.849691295</v>
      </c>
      <c r="W688"/>
      <c r="X688"/>
      <c r="Y688">
        <v>5.8658341209999998</v>
      </c>
      <c r="Z688"/>
      <c r="AA688"/>
      <c r="AB688">
        <v>77.644717236000005</v>
      </c>
      <c r="AC688">
        <v>55.777506459000001</v>
      </c>
      <c r="AD688"/>
      <c r="AE688">
        <v>47.931519803</v>
      </c>
      <c r="AF688"/>
      <c r="AG688"/>
      <c r="AH688">
        <v>62.506144589000002</v>
      </c>
      <c r="AI688">
        <v>45.408873534999998</v>
      </c>
      <c r="AJ688"/>
      <c r="AK688">
        <v>45.405623599000002</v>
      </c>
      <c r="AL688"/>
      <c r="AM688">
        <v>50.459776605000002</v>
      </c>
      <c r="AN688"/>
      <c r="AO688"/>
      <c r="AP688"/>
      <c r="AQ688">
        <v>57.527203948</v>
      </c>
      <c r="AR688"/>
      <c r="AS688">
        <v>43.261777561000002</v>
      </c>
      <c r="AT688"/>
    </row>
    <row r="689" spans="1:46" x14ac:dyDescent="0.2">
      <c r="A689" s="87">
        <v>27851</v>
      </c>
      <c r="B689"/>
      <c r="C689"/>
      <c r="D689">
        <v>30.914961156</v>
      </c>
      <c r="E689">
        <v>49.889463962999997</v>
      </c>
      <c r="F689">
        <v>53.880059263</v>
      </c>
      <c r="G689">
        <v>50.777448132000004</v>
      </c>
      <c r="H689"/>
      <c r="I689"/>
      <c r="J689"/>
      <c r="K689"/>
      <c r="L689">
        <v>54.620025597000001</v>
      </c>
      <c r="M689">
        <v>57.531266838999997</v>
      </c>
      <c r="N689">
        <v>61.325019179999998</v>
      </c>
      <c r="O689">
        <v>75.242020021000002</v>
      </c>
      <c r="P689"/>
      <c r="Q689"/>
      <c r="R689">
        <v>39.450186989000002</v>
      </c>
      <c r="S689">
        <v>74.299634956000006</v>
      </c>
      <c r="T689">
        <v>52.386163613999997</v>
      </c>
      <c r="U689">
        <v>62.269223875000002</v>
      </c>
      <c r="V689">
        <v>94.966613542999994</v>
      </c>
      <c r="W689"/>
      <c r="X689"/>
      <c r="Y689">
        <v>5.9119004659999996</v>
      </c>
      <c r="Z689"/>
      <c r="AA689"/>
      <c r="AB689">
        <v>79.672750891999996</v>
      </c>
      <c r="AC689">
        <v>56.53466718</v>
      </c>
      <c r="AD689"/>
      <c r="AE689">
        <v>48.633797739999999</v>
      </c>
      <c r="AF689"/>
      <c r="AG689"/>
      <c r="AH689">
        <v>63.101441203999997</v>
      </c>
      <c r="AI689">
        <v>44.848270157999998</v>
      </c>
      <c r="AJ689"/>
      <c r="AK689">
        <v>45.859251059999998</v>
      </c>
      <c r="AL689"/>
      <c r="AM689">
        <v>50.36466549</v>
      </c>
      <c r="AN689"/>
      <c r="AO689"/>
      <c r="AP689"/>
      <c r="AQ689">
        <v>58.852981192999998</v>
      </c>
      <c r="AR689"/>
      <c r="AS689">
        <v>43.484299214000004</v>
      </c>
      <c r="AT689"/>
    </row>
    <row r="690" spans="1:46" x14ac:dyDescent="0.2">
      <c r="A690" s="87">
        <v>27881</v>
      </c>
      <c r="B690"/>
      <c r="C690"/>
      <c r="D690">
        <v>32.224651858000001</v>
      </c>
      <c r="E690">
        <v>48.968712758000002</v>
      </c>
      <c r="F690">
        <v>54.923590265000001</v>
      </c>
      <c r="G690">
        <v>51.443779374999998</v>
      </c>
      <c r="H690"/>
      <c r="I690"/>
      <c r="J690"/>
      <c r="K690"/>
      <c r="L690">
        <v>54.928613312000003</v>
      </c>
      <c r="M690">
        <v>60.032626266999998</v>
      </c>
      <c r="N690">
        <v>62.477780920000001</v>
      </c>
      <c r="O690">
        <v>76.265130017000004</v>
      </c>
      <c r="P690"/>
      <c r="Q690"/>
      <c r="R690">
        <v>40.616452156999998</v>
      </c>
      <c r="S690">
        <v>74.299634956000006</v>
      </c>
      <c r="T690">
        <v>52.864293818999997</v>
      </c>
      <c r="U690">
        <v>63.237139272</v>
      </c>
      <c r="V690">
        <v>95.648758787000006</v>
      </c>
      <c r="W690"/>
      <c r="X690"/>
      <c r="Y690">
        <v>6.2266897520000004</v>
      </c>
      <c r="Z690"/>
      <c r="AA690"/>
      <c r="AB690">
        <v>85.080840648000006</v>
      </c>
      <c r="AC690">
        <v>56.366409242000003</v>
      </c>
      <c r="AD690"/>
      <c r="AE690">
        <v>52.733908096999997</v>
      </c>
      <c r="AF690"/>
      <c r="AG690"/>
      <c r="AH690">
        <v>63.696737818999999</v>
      </c>
      <c r="AI690">
        <v>45.408873534999998</v>
      </c>
      <c r="AJ690"/>
      <c r="AK690">
        <v>46.288157239</v>
      </c>
      <c r="AL690"/>
      <c r="AM690">
        <v>51.939785608000001</v>
      </c>
      <c r="AN690"/>
      <c r="AO690"/>
      <c r="AP690"/>
      <c r="AQ690">
        <v>58.968266171000003</v>
      </c>
      <c r="AR690"/>
      <c r="AS690">
        <v>43.666776880999997</v>
      </c>
      <c r="AT690"/>
    </row>
    <row r="691" spans="1:46" x14ac:dyDescent="0.2">
      <c r="A691" s="87">
        <v>27912</v>
      </c>
      <c r="B691"/>
      <c r="C691"/>
      <c r="D691">
        <v>32.102274807999997</v>
      </c>
      <c r="E691">
        <v>50.177591376000002</v>
      </c>
      <c r="F691">
        <v>54.238022739999998</v>
      </c>
      <c r="G691">
        <v>50.714480299999998</v>
      </c>
      <c r="H691"/>
      <c r="I691"/>
      <c r="J691"/>
      <c r="K691"/>
      <c r="L691">
        <v>55.545788741999999</v>
      </c>
      <c r="M691">
        <v>58.156606695999997</v>
      </c>
      <c r="N691">
        <v>62.477780920000001</v>
      </c>
      <c r="O691">
        <v>76.705964494</v>
      </c>
      <c r="P691"/>
      <c r="Q691"/>
      <c r="R691">
        <v>40.109380344999998</v>
      </c>
      <c r="S691">
        <v>74.482338976999998</v>
      </c>
      <c r="T691">
        <v>53.022404496</v>
      </c>
      <c r="U691">
        <v>62.054131564999999</v>
      </c>
      <c r="V691">
        <v>97.516070682000006</v>
      </c>
      <c r="W691"/>
      <c r="X691"/>
      <c r="Y691">
        <v>6.0117111149999998</v>
      </c>
      <c r="Z691"/>
      <c r="AA691"/>
      <c r="AB691">
        <v>84.597975492000003</v>
      </c>
      <c r="AC691">
        <v>57.375956870000003</v>
      </c>
      <c r="AD691"/>
      <c r="AE691">
        <v>49.682766211000001</v>
      </c>
      <c r="AF691"/>
      <c r="AG691"/>
      <c r="AH691">
        <v>64.88733105</v>
      </c>
      <c r="AI691">
        <v>45.969476911999998</v>
      </c>
      <c r="AJ691"/>
      <c r="AK691">
        <v>46.444877028000001</v>
      </c>
      <c r="AL691"/>
      <c r="AM691">
        <v>50.928403322999998</v>
      </c>
      <c r="AN691"/>
      <c r="AO691"/>
      <c r="AP691"/>
      <c r="AQ691">
        <v>59.775261016000002</v>
      </c>
      <c r="AR691"/>
      <c r="AS691">
        <v>43.710190904999997</v>
      </c>
      <c r="AT691"/>
    </row>
    <row r="692" spans="1:46" x14ac:dyDescent="0.2">
      <c r="A692" s="87">
        <v>27942</v>
      </c>
      <c r="B692"/>
      <c r="C692"/>
      <c r="D692">
        <v>32.212250412000003</v>
      </c>
      <c r="E692">
        <v>49.940407121</v>
      </c>
      <c r="F692">
        <v>54.786890237999998</v>
      </c>
      <c r="G692">
        <v>50.747843852999999</v>
      </c>
      <c r="H692"/>
      <c r="I692"/>
      <c r="J692"/>
      <c r="K692"/>
      <c r="L692">
        <v>53.509109821999999</v>
      </c>
      <c r="M692">
        <v>58.156606695999997</v>
      </c>
      <c r="N692">
        <v>62.191972223999997</v>
      </c>
      <c r="O692">
        <v>77.299712103999994</v>
      </c>
      <c r="P692"/>
      <c r="Q692"/>
      <c r="R692">
        <v>38.943115177000003</v>
      </c>
      <c r="S692">
        <v>75.578563090000003</v>
      </c>
      <c r="T692">
        <v>53.059779947999999</v>
      </c>
      <c r="U692">
        <v>62.16167772</v>
      </c>
      <c r="V692">
        <v>96.908735108000002</v>
      </c>
      <c r="W692"/>
      <c r="X692"/>
      <c r="Y692">
        <v>6.2266897520000004</v>
      </c>
      <c r="Z692"/>
      <c r="AA692"/>
      <c r="AB692">
        <v>85.756851862999994</v>
      </c>
      <c r="AC692">
        <v>57.880730685000003</v>
      </c>
      <c r="AD692"/>
      <c r="AE692">
        <v>47.928819650000001</v>
      </c>
      <c r="AF692"/>
      <c r="AG692"/>
      <c r="AH692">
        <v>64.292034435000005</v>
      </c>
      <c r="AI692">
        <v>47.090683665999997</v>
      </c>
      <c r="AJ692"/>
      <c r="AK692">
        <v>46.480307467999999</v>
      </c>
      <c r="AL692"/>
      <c r="AM692">
        <v>50.711995395000002</v>
      </c>
      <c r="AN692"/>
      <c r="AO692"/>
      <c r="AP692"/>
      <c r="AQ692">
        <v>59.948188481999999</v>
      </c>
      <c r="AR692"/>
      <c r="AS692">
        <v>43.961060527999997</v>
      </c>
      <c r="AT692"/>
    </row>
    <row r="693" spans="1:46" x14ac:dyDescent="0.2">
      <c r="A693" s="87">
        <v>27973</v>
      </c>
      <c r="B693"/>
      <c r="C693"/>
      <c r="D693">
        <v>32.354154598999997</v>
      </c>
      <c r="E693">
        <v>49.621280106</v>
      </c>
      <c r="F693">
        <v>54.861049219999998</v>
      </c>
      <c r="G693">
        <v>51.268033334999998</v>
      </c>
      <c r="H693"/>
      <c r="I693"/>
      <c r="J693"/>
      <c r="K693"/>
      <c r="L693">
        <v>55.237201026999998</v>
      </c>
      <c r="M693">
        <v>58.156606695999997</v>
      </c>
      <c r="N693">
        <v>62.191972223999997</v>
      </c>
      <c r="O693">
        <v>78.120675450999997</v>
      </c>
      <c r="P693"/>
      <c r="Q693"/>
      <c r="R693">
        <v>40.210794706999998</v>
      </c>
      <c r="S693">
        <v>75.578563090000003</v>
      </c>
      <c r="T693">
        <v>53.296749454999997</v>
      </c>
      <c r="U693">
        <v>62.054131564999999</v>
      </c>
      <c r="V693">
        <v>96.838097676000004</v>
      </c>
      <c r="W693"/>
      <c r="X693"/>
      <c r="Y693">
        <v>6.6105792640000001</v>
      </c>
      <c r="Z693"/>
      <c r="AA693"/>
      <c r="AB693">
        <v>81.990503645000004</v>
      </c>
      <c r="AC693">
        <v>58.048988623</v>
      </c>
      <c r="AD693"/>
      <c r="AE693">
        <v>46.102363883999999</v>
      </c>
      <c r="AF693"/>
      <c r="AG693"/>
      <c r="AH693">
        <v>64.292034435000005</v>
      </c>
      <c r="AI693">
        <v>47.651287043000004</v>
      </c>
      <c r="AJ693"/>
      <c r="AK693">
        <v>46.661769849999999</v>
      </c>
      <c r="AL693"/>
      <c r="AM693">
        <v>46.740638785000002</v>
      </c>
      <c r="AN693"/>
      <c r="AO693"/>
      <c r="AP693"/>
      <c r="AQ693">
        <v>58.795338704000002</v>
      </c>
      <c r="AR693"/>
      <c r="AS693">
        <v>44.260300113</v>
      </c>
      <c r="AT693"/>
    </row>
    <row r="694" spans="1:46" x14ac:dyDescent="0.2">
      <c r="A694" s="87">
        <v>28004</v>
      </c>
      <c r="B694"/>
      <c r="C694"/>
      <c r="D694">
        <v>33.113714291000001</v>
      </c>
      <c r="E694">
        <v>50.728071655000001</v>
      </c>
      <c r="F694">
        <v>55.064913912999998</v>
      </c>
      <c r="G694">
        <v>51.396318546000003</v>
      </c>
      <c r="H694"/>
      <c r="I694"/>
      <c r="J694"/>
      <c r="K694"/>
      <c r="L694">
        <v>55.792658914999997</v>
      </c>
      <c r="M694">
        <v>58.156606695999997</v>
      </c>
      <c r="N694">
        <v>63.440003529999998</v>
      </c>
      <c r="O694">
        <v>76.972543602000002</v>
      </c>
      <c r="P694"/>
      <c r="Q694"/>
      <c r="R694">
        <v>41.022109606999997</v>
      </c>
      <c r="S694">
        <v>78.258222059999994</v>
      </c>
      <c r="T694">
        <v>53.778478907</v>
      </c>
      <c r="U694">
        <v>63.022046961999997</v>
      </c>
      <c r="V694">
        <v>97.816052178999996</v>
      </c>
      <c r="W694"/>
      <c r="X694"/>
      <c r="Y694">
        <v>6.4186345080000002</v>
      </c>
      <c r="Z694"/>
      <c r="AA694"/>
      <c r="AB694">
        <v>85.080840648000006</v>
      </c>
      <c r="AC694">
        <v>57.964859654000001</v>
      </c>
      <c r="AD694"/>
      <c r="AE694">
        <v>52.678199687999999</v>
      </c>
      <c r="AF694"/>
      <c r="AG694"/>
      <c r="AH694">
        <v>66.673220895</v>
      </c>
      <c r="AI694">
        <v>47.090683665999997</v>
      </c>
      <c r="AJ694"/>
      <c r="AK694">
        <v>47.061691547999999</v>
      </c>
      <c r="AL694"/>
      <c r="AM694">
        <v>52.246040198000003</v>
      </c>
      <c r="AN694"/>
      <c r="AO694"/>
      <c r="AP694"/>
      <c r="AQ694">
        <v>57.642488925000002</v>
      </c>
      <c r="AR694"/>
      <c r="AS694">
        <v>44.387073028000003</v>
      </c>
      <c r="AT694"/>
    </row>
    <row r="695" spans="1:46" x14ac:dyDescent="0.2">
      <c r="A695" s="87">
        <v>28034</v>
      </c>
      <c r="B695"/>
      <c r="C695"/>
      <c r="D695">
        <v>33.297298605999998</v>
      </c>
      <c r="E695">
        <v>51.078888482000004</v>
      </c>
      <c r="F695">
        <v>55.534235297999999</v>
      </c>
      <c r="G695">
        <v>50.525106893</v>
      </c>
      <c r="H695"/>
      <c r="I695"/>
      <c r="J695"/>
      <c r="K695"/>
      <c r="L695">
        <v>55.792658914999997</v>
      </c>
      <c r="M695">
        <v>58.156606695999997</v>
      </c>
      <c r="N695">
        <v>63.630542660000003</v>
      </c>
      <c r="O695">
        <v>77.530262973000006</v>
      </c>
      <c r="P695"/>
      <c r="Q695"/>
      <c r="R695">
        <v>41.072816787999997</v>
      </c>
      <c r="S695">
        <v>75.761267119999999</v>
      </c>
      <c r="T695">
        <v>53.843010513000003</v>
      </c>
      <c r="U695">
        <v>64.420146979999998</v>
      </c>
      <c r="V695">
        <v>99.520670288999995</v>
      </c>
      <c r="W695"/>
      <c r="X695"/>
      <c r="Y695">
        <v>6.4186345080000002</v>
      </c>
      <c r="Z695"/>
      <c r="AA695"/>
      <c r="AB695">
        <v>87.398593399999996</v>
      </c>
      <c r="AC695">
        <v>57.964859654000001</v>
      </c>
      <c r="AD695"/>
      <c r="AE695">
        <v>53.094449040999997</v>
      </c>
      <c r="AF695"/>
      <c r="AG695"/>
      <c r="AH695">
        <v>64.292034435000005</v>
      </c>
      <c r="AI695">
        <v>46.530080288999997</v>
      </c>
      <c r="AJ695"/>
      <c r="AK695">
        <v>47.120980088000003</v>
      </c>
      <c r="AL695"/>
      <c r="AM695">
        <v>52.570912362000001</v>
      </c>
      <c r="AN695"/>
      <c r="AO695"/>
      <c r="AP695"/>
      <c r="AQ695">
        <v>58.795338704000002</v>
      </c>
      <c r="AR695"/>
      <c r="AS695">
        <v>44.388361572000001</v>
      </c>
      <c r="AT695"/>
    </row>
    <row r="696" spans="1:46" x14ac:dyDescent="0.2">
      <c r="A696" s="87">
        <v>28065</v>
      </c>
      <c r="B696"/>
      <c r="C696"/>
      <c r="D696">
        <v>32.922476035000003</v>
      </c>
      <c r="E696">
        <v>50.856121078999998</v>
      </c>
      <c r="F696">
        <v>54.626264622000001</v>
      </c>
      <c r="G696">
        <v>51.536351486999997</v>
      </c>
      <c r="H696"/>
      <c r="I696"/>
      <c r="J696"/>
      <c r="K696"/>
      <c r="L696">
        <v>55.854376457999997</v>
      </c>
      <c r="M696">
        <v>58.156606695999997</v>
      </c>
      <c r="N696">
        <v>64.021147877999994</v>
      </c>
      <c r="O696">
        <v>78.304382196999995</v>
      </c>
      <c r="P696"/>
      <c r="Q696"/>
      <c r="R696">
        <v>40.058673163000002</v>
      </c>
      <c r="S696">
        <v>77.710109998999997</v>
      </c>
      <c r="T696">
        <v>54.501066221000002</v>
      </c>
      <c r="U696">
        <v>64.957877756000002</v>
      </c>
      <c r="V696">
        <v>100.812091635</v>
      </c>
      <c r="W696"/>
      <c r="X696"/>
      <c r="Y696">
        <v>6.4109565479999997</v>
      </c>
      <c r="Z696"/>
      <c r="AA696"/>
      <c r="AB696">
        <v>87.495166435000002</v>
      </c>
      <c r="AC696">
        <v>58.806149343999998</v>
      </c>
      <c r="AD696"/>
      <c r="AE696">
        <v>49.331160546</v>
      </c>
      <c r="AF696"/>
      <c r="AG696"/>
      <c r="AH696">
        <v>64.292034435000005</v>
      </c>
      <c r="AI696">
        <v>44.848270157999998</v>
      </c>
      <c r="AJ696"/>
      <c r="AK696">
        <v>47.618664715000001</v>
      </c>
      <c r="AL696"/>
      <c r="AM696">
        <v>54.903687609999999</v>
      </c>
      <c r="AN696"/>
      <c r="AO696"/>
      <c r="AP696"/>
      <c r="AQ696">
        <v>58.161271325999998</v>
      </c>
      <c r="AR696"/>
      <c r="AS696">
        <v>45.075651166999997</v>
      </c>
      <c r="AT696"/>
    </row>
    <row r="697" spans="1:46" x14ac:dyDescent="0.2">
      <c r="A697" s="87">
        <v>28095</v>
      </c>
      <c r="B697"/>
      <c r="C697"/>
      <c r="D697">
        <v>33.322468432000001</v>
      </c>
      <c r="E697">
        <v>49.170770099999999</v>
      </c>
      <c r="F697">
        <v>55.251240461999998</v>
      </c>
      <c r="G697">
        <v>51.689071976999998</v>
      </c>
      <c r="H697"/>
      <c r="I697"/>
      <c r="J697"/>
      <c r="K697"/>
      <c r="L697">
        <v>55.916094000999998</v>
      </c>
      <c r="M697">
        <v>58.156606695999997</v>
      </c>
      <c r="N697">
        <v>64.021147877999994</v>
      </c>
      <c r="O697">
        <v>76.094257866999996</v>
      </c>
      <c r="P697"/>
      <c r="Q697"/>
      <c r="R697">
        <v>41.579888599999997</v>
      </c>
      <c r="S697">
        <v>77.466504641</v>
      </c>
      <c r="T697">
        <v>54.822668739000001</v>
      </c>
      <c r="U697">
        <v>65.388062376999997</v>
      </c>
      <c r="V697">
        <v>99.949377268000006</v>
      </c>
      <c r="W697"/>
      <c r="X697"/>
      <c r="Y697">
        <v>6.2343677130000001</v>
      </c>
      <c r="Z697"/>
      <c r="AA697"/>
      <c r="AB697">
        <v>87.881458554999995</v>
      </c>
      <c r="AC697">
        <v>59.058536251</v>
      </c>
      <c r="AD697"/>
      <c r="AE697">
        <v>43.983482997000003</v>
      </c>
      <c r="AF697"/>
      <c r="AG697"/>
      <c r="AH697">
        <v>64.88733105</v>
      </c>
      <c r="AI697">
        <v>45.969476911999998</v>
      </c>
      <c r="AJ697"/>
      <c r="AK697">
        <v>47.815025769000002</v>
      </c>
      <c r="AL697"/>
      <c r="AM697">
        <v>55.037105822000001</v>
      </c>
      <c r="AN697"/>
      <c r="AO697"/>
      <c r="AP697"/>
      <c r="AQ697">
        <v>58.737696215</v>
      </c>
      <c r="AR697"/>
      <c r="AS697">
        <v>45.542005009</v>
      </c>
      <c r="AT697"/>
    </row>
    <row r="698" spans="1:46" x14ac:dyDescent="0.2">
      <c r="A698" s="87">
        <v>28126</v>
      </c>
      <c r="B698"/>
      <c r="C698"/>
      <c r="D698">
        <v>33.095246193999998</v>
      </c>
      <c r="E698">
        <v>50.165346597999999</v>
      </c>
      <c r="F698">
        <v>54.326936844999999</v>
      </c>
      <c r="G698">
        <v>52.658024742999999</v>
      </c>
      <c r="H698"/>
      <c r="I698"/>
      <c r="J698"/>
      <c r="K698"/>
      <c r="L698">
        <v>56.224681715999999</v>
      </c>
      <c r="M698">
        <v>60.032626266999998</v>
      </c>
      <c r="N698">
        <v>64.983370488000006</v>
      </c>
      <c r="O698">
        <v>79.150330479999994</v>
      </c>
      <c r="P698"/>
      <c r="Q698"/>
      <c r="R698">
        <v>41.579888599999997</v>
      </c>
      <c r="S698">
        <v>78.258222059999994</v>
      </c>
      <c r="T698">
        <v>55.092012961999998</v>
      </c>
      <c r="U698">
        <v>66.571070083999999</v>
      </c>
      <c r="V698">
        <v>98.678578109</v>
      </c>
      <c r="W698"/>
      <c r="X698"/>
      <c r="Y698">
        <v>6.2957899780000002</v>
      </c>
      <c r="Z698"/>
      <c r="AA698"/>
      <c r="AB698">
        <v>90.295784342999994</v>
      </c>
      <c r="AC698">
        <v>59.563310065000003</v>
      </c>
      <c r="AD698"/>
      <c r="AE698">
        <v>50.101157620000002</v>
      </c>
      <c r="AF698"/>
      <c r="AG698"/>
      <c r="AH698">
        <v>64.88733105</v>
      </c>
      <c r="AI698">
        <v>45.969476911999998</v>
      </c>
      <c r="AJ698"/>
      <c r="AK698">
        <v>48.079585647000002</v>
      </c>
      <c r="AL698"/>
      <c r="AM698">
        <v>55.712138379999999</v>
      </c>
      <c r="AN698"/>
      <c r="AO698"/>
      <c r="AP698"/>
      <c r="AQ698">
        <v>56.835494079999997</v>
      </c>
      <c r="AR698"/>
      <c r="AS698">
        <v>45.246432818000002</v>
      </c>
      <c r="AT698"/>
    </row>
    <row r="699" spans="1:46" x14ac:dyDescent="0.2">
      <c r="A699" s="87">
        <v>28157</v>
      </c>
      <c r="B699"/>
      <c r="C699"/>
      <c r="D699">
        <v>33.106432589999997</v>
      </c>
      <c r="E699">
        <v>50.002452112999997</v>
      </c>
      <c r="F699">
        <v>54.581006287000001</v>
      </c>
      <c r="G699">
        <v>51.974306859999999</v>
      </c>
      <c r="H699"/>
      <c r="I699"/>
      <c r="J699"/>
      <c r="K699"/>
      <c r="L699">
        <v>56.039529086999998</v>
      </c>
      <c r="M699">
        <v>59.407286409999998</v>
      </c>
      <c r="N699">
        <v>64.402226139000007</v>
      </c>
      <c r="O699">
        <v>80.582640792999996</v>
      </c>
      <c r="P699"/>
      <c r="Q699"/>
      <c r="R699">
        <v>42.137667593000003</v>
      </c>
      <c r="S699">
        <v>77.405603295000006</v>
      </c>
      <c r="T699">
        <v>55.052945190000003</v>
      </c>
      <c r="U699">
        <v>66.248431619000002</v>
      </c>
      <c r="V699">
        <v>97.249188426000003</v>
      </c>
      <c r="W699"/>
      <c r="X699"/>
      <c r="Y699">
        <v>6.5414790390000004</v>
      </c>
      <c r="Z699"/>
      <c r="AA699"/>
      <c r="AB699">
        <v>87.495166435000002</v>
      </c>
      <c r="AC699">
        <v>58.722020375</v>
      </c>
      <c r="AD699"/>
      <c r="AE699">
        <v>48.066938213999997</v>
      </c>
      <c r="AF699"/>
      <c r="AG699"/>
      <c r="AH699">
        <v>64.292034435000005</v>
      </c>
      <c r="AI699">
        <v>45.408873534999998</v>
      </c>
      <c r="AJ699"/>
      <c r="AK699">
        <v>48.083023388999997</v>
      </c>
      <c r="AL699"/>
      <c r="AM699">
        <v>55.800038463999996</v>
      </c>
      <c r="AN699"/>
      <c r="AO699"/>
      <c r="AP699"/>
      <c r="AQ699">
        <v>57.123706525000003</v>
      </c>
      <c r="AR699"/>
      <c r="AS699">
        <v>45.971784022999998</v>
      </c>
      <c r="AT699"/>
    </row>
    <row r="700" spans="1:46" x14ac:dyDescent="0.2">
      <c r="A700" s="87">
        <v>28185</v>
      </c>
      <c r="B700"/>
      <c r="C700"/>
      <c r="D700">
        <v>33.674413575999999</v>
      </c>
      <c r="E700">
        <v>50.156339428000003</v>
      </c>
      <c r="F700">
        <v>55.926557541000001</v>
      </c>
      <c r="G700">
        <v>52.061240062000003</v>
      </c>
      <c r="H700"/>
      <c r="I700"/>
      <c r="J700"/>
      <c r="K700"/>
      <c r="L700">
        <v>56.656704517000001</v>
      </c>
      <c r="M700">
        <v>58.156606695999997</v>
      </c>
      <c r="N700">
        <v>64.116417443000003</v>
      </c>
      <c r="O700">
        <v>80.507523688999996</v>
      </c>
      <c r="P700"/>
      <c r="Q700"/>
      <c r="R700">
        <v>37.066949471000001</v>
      </c>
      <c r="S700">
        <v>77.892814018999999</v>
      </c>
      <c r="T700">
        <v>55.404756818000003</v>
      </c>
      <c r="U700">
        <v>66.355977773999996</v>
      </c>
      <c r="V700">
        <v>94.369274907000005</v>
      </c>
      <c r="W700"/>
      <c r="X700"/>
      <c r="Y700">
        <v>6.4339904289999996</v>
      </c>
      <c r="Z700"/>
      <c r="AA700"/>
      <c r="AB700">
        <v>83.825391241000005</v>
      </c>
      <c r="AC700">
        <v>59.563310065000003</v>
      </c>
      <c r="AD700"/>
      <c r="AE700">
        <v>49.255705161000002</v>
      </c>
      <c r="AF700"/>
      <c r="AG700"/>
      <c r="AH700">
        <v>63.696737818999999</v>
      </c>
      <c r="AI700">
        <v>45.969476911999998</v>
      </c>
      <c r="AJ700"/>
      <c r="AK700">
        <v>48.299392241</v>
      </c>
      <c r="AL700"/>
      <c r="AM700">
        <v>55.561639958000001</v>
      </c>
      <c r="AN700"/>
      <c r="AO700"/>
      <c r="AP700"/>
      <c r="AQ700">
        <v>56.489639146999998</v>
      </c>
      <c r="AR700"/>
      <c r="AS700">
        <v>46.542807293000003</v>
      </c>
      <c r="AT700"/>
    </row>
    <row r="701" spans="1:46" x14ac:dyDescent="0.2">
      <c r="A701" s="87">
        <v>28216</v>
      </c>
      <c r="B701"/>
      <c r="C701"/>
      <c r="D701">
        <v>33.724444716999997</v>
      </c>
      <c r="E701">
        <v>49.542448737999997</v>
      </c>
      <c r="F701">
        <v>55.327366857999998</v>
      </c>
      <c r="G701">
        <v>51.692831249999998</v>
      </c>
      <c r="H701"/>
      <c r="I701"/>
      <c r="J701"/>
      <c r="K701"/>
      <c r="L701">
        <v>56.039529086999998</v>
      </c>
      <c r="M701">
        <v>55.029907411000003</v>
      </c>
      <c r="N701">
        <v>64.116417443000003</v>
      </c>
      <c r="O701">
        <v>80.771557117</v>
      </c>
      <c r="P701"/>
      <c r="Q701"/>
      <c r="R701">
        <v>37.675435645999997</v>
      </c>
      <c r="S701">
        <v>75.883069793999994</v>
      </c>
      <c r="T701">
        <v>55.566138395999999</v>
      </c>
      <c r="U701">
        <v>65.818246998000006</v>
      </c>
      <c r="V701">
        <v>94.503451677000001</v>
      </c>
      <c r="W701"/>
      <c r="X701"/>
      <c r="Y701">
        <v>6.487734734</v>
      </c>
      <c r="Z701"/>
      <c r="AA701"/>
      <c r="AB701">
        <v>87.978031590000001</v>
      </c>
      <c r="AC701">
        <v>59.226794189000003</v>
      </c>
      <c r="AD701"/>
      <c r="AE701">
        <v>49.333237508000003</v>
      </c>
      <c r="AF701"/>
      <c r="AG701"/>
      <c r="AH701">
        <v>64.88733105</v>
      </c>
      <c r="AI701">
        <v>43.727063403999999</v>
      </c>
      <c r="AJ701"/>
      <c r="AK701">
        <v>48.426287387000002</v>
      </c>
      <c r="AL701"/>
      <c r="AM701">
        <v>56.745973843999998</v>
      </c>
      <c r="AN701"/>
      <c r="AO701"/>
      <c r="AP701"/>
      <c r="AQ701">
        <v>56.086141724000001</v>
      </c>
      <c r="AR701"/>
      <c r="AS701">
        <v>47.000636921000002</v>
      </c>
      <c r="AT701"/>
    </row>
    <row r="702" spans="1:46" x14ac:dyDescent="0.2">
      <c r="A702" s="87">
        <v>28246</v>
      </c>
      <c r="B702"/>
      <c r="C702"/>
      <c r="D702">
        <v>33.515737258000001</v>
      </c>
      <c r="E702">
        <v>49.557405781</v>
      </c>
      <c r="F702">
        <v>57.254532320999999</v>
      </c>
      <c r="G702">
        <v>52.310291937000002</v>
      </c>
      <c r="H702"/>
      <c r="I702"/>
      <c r="J702"/>
      <c r="K702"/>
      <c r="L702">
        <v>55.545788741999999</v>
      </c>
      <c r="M702">
        <v>56.280587124999997</v>
      </c>
      <c r="N702">
        <v>63.630542660000003</v>
      </c>
      <c r="O702">
        <v>79.523268127999998</v>
      </c>
      <c r="P702"/>
      <c r="Q702"/>
      <c r="R702">
        <v>39.805137256999998</v>
      </c>
      <c r="S702">
        <v>75.213155057999998</v>
      </c>
      <c r="T702">
        <v>55.560762126</v>
      </c>
      <c r="U702">
        <v>67.646531636000006</v>
      </c>
      <c r="V702">
        <v>95.736288220000006</v>
      </c>
      <c r="W702"/>
      <c r="X702"/>
      <c r="Y702">
        <v>6.5875468000000001</v>
      </c>
      <c r="Z702"/>
      <c r="AA702"/>
      <c r="AB702">
        <v>84.501402456999998</v>
      </c>
      <c r="AC702">
        <v>58.974407282000001</v>
      </c>
      <c r="AD702"/>
      <c r="AE702">
        <v>51.361452313000001</v>
      </c>
      <c r="AF702"/>
      <c r="AG702"/>
      <c r="AH702">
        <v>63.696737818999999</v>
      </c>
      <c r="AI702">
        <v>41.484649896999997</v>
      </c>
      <c r="AJ702"/>
      <c r="AK702">
        <v>48.393419919000003</v>
      </c>
      <c r="AL702"/>
      <c r="AM702">
        <v>57.001940939000001</v>
      </c>
      <c r="AN702"/>
      <c r="AO702"/>
      <c r="AP702"/>
      <c r="AQ702">
        <v>55.855571769000001</v>
      </c>
      <c r="AR702"/>
      <c r="AS702">
        <v>47.362321334999997</v>
      </c>
      <c r="AT702"/>
    </row>
    <row r="703" spans="1:46" x14ac:dyDescent="0.2">
      <c r="A703" s="87">
        <v>28277</v>
      </c>
      <c r="B703"/>
      <c r="C703"/>
      <c r="D703">
        <v>33.245861278</v>
      </c>
      <c r="E703">
        <v>49.365410572999998</v>
      </c>
      <c r="F703">
        <v>55.839110060000003</v>
      </c>
      <c r="G703">
        <v>52.843638876</v>
      </c>
      <c r="H703"/>
      <c r="I703"/>
      <c r="J703"/>
      <c r="K703"/>
      <c r="L703">
        <v>56.533269431000001</v>
      </c>
      <c r="M703">
        <v>58.156606695999997</v>
      </c>
      <c r="N703">
        <v>63.344733965000003</v>
      </c>
      <c r="O703">
        <v>78.485304825</v>
      </c>
      <c r="P703"/>
      <c r="Q703"/>
      <c r="R703">
        <v>41.326352694000001</v>
      </c>
      <c r="S703">
        <v>78.014616701999998</v>
      </c>
      <c r="T703">
        <v>55.722858678000001</v>
      </c>
      <c r="U703">
        <v>64.850331600999993</v>
      </c>
      <c r="V703">
        <v>98.432566174000002</v>
      </c>
      <c r="W703"/>
      <c r="X703"/>
      <c r="Y703">
        <v>6.7334237950000002</v>
      </c>
      <c r="Z703"/>
      <c r="AA703"/>
      <c r="AB703">
        <v>80.541908179000004</v>
      </c>
      <c r="AC703">
        <v>59.479181095999998</v>
      </c>
      <c r="AD703"/>
      <c r="AE703">
        <v>50.108058677999999</v>
      </c>
      <c r="AF703"/>
      <c r="AG703"/>
      <c r="AH703">
        <v>64.88733105</v>
      </c>
      <c r="AI703">
        <v>45.408873534999998</v>
      </c>
      <c r="AJ703"/>
      <c r="AK703">
        <v>48.548516456999998</v>
      </c>
      <c r="AL703"/>
      <c r="AM703">
        <v>58.233251760999998</v>
      </c>
      <c r="AN703"/>
      <c r="AO703"/>
      <c r="AP703"/>
      <c r="AQ703">
        <v>55.394431857000001</v>
      </c>
      <c r="AR703"/>
      <c r="AS703">
        <v>47.716076248</v>
      </c>
      <c r="AT703"/>
    </row>
    <row r="704" spans="1:46" x14ac:dyDescent="0.2">
      <c r="A704" s="87">
        <v>28307</v>
      </c>
      <c r="B704"/>
      <c r="C704"/>
      <c r="D704">
        <v>33.878043232000003</v>
      </c>
      <c r="E704">
        <v>50.150003990999998</v>
      </c>
      <c r="F704">
        <v>55.996291892000002</v>
      </c>
      <c r="G704">
        <v>52.541957171</v>
      </c>
      <c r="H704"/>
      <c r="I704"/>
      <c r="J704"/>
      <c r="K704"/>
      <c r="L704">
        <v>54.126285252000002</v>
      </c>
      <c r="M704">
        <v>57.531266838999997</v>
      </c>
      <c r="N704">
        <v>62.773116573000003</v>
      </c>
      <c r="O704">
        <v>79.602644061000007</v>
      </c>
      <c r="P704"/>
      <c r="Q704"/>
      <c r="R704">
        <v>38.638872089000003</v>
      </c>
      <c r="S704">
        <v>75.822168457000004</v>
      </c>
      <c r="T704">
        <v>55.267400940000002</v>
      </c>
      <c r="U704">
        <v>65.172970066000005</v>
      </c>
      <c r="V704">
        <v>100.26406894900001</v>
      </c>
      <c r="W704"/>
      <c r="X704"/>
      <c r="Y704">
        <v>6.633613145</v>
      </c>
      <c r="Z704"/>
      <c r="AA704"/>
      <c r="AB704">
        <v>83.439099111000004</v>
      </c>
      <c r="AC704">
        <v>58.301375530000001</v>
      </c>
      <c r="AD704"/>
      <c r="AE704">
        <v>49.466874334000003</v>
      </c>
      <c r="AF704"/>
      <c r="AG704"/>
      <c r="AH704">
        <v>64.88733105</v>
      </c>
      <c r="AI704">
        <v>42.605856651000003</v>
      </c>
      <c r="AJ704"/>
      <c r="AK704">
        <v>48.234875688000002</v>
      </c>
      <c r="AL704"/>
      <c r="AM704">
        <v>57.585637022999997</v>
      </c>
      <c r="AN704"/>
      <c r="AO704"/>
      <c r="AP704"/>
      <c r="AQ704">
        <v>55.625001812999997</v>
      </c>
      <c r="AR704"/>
      <c r="AS704">
        <v>47.768014487000002</v>
      </c>
      <c r="AT704"/>
    </row>
    <row r="705" spans="1:46" x14ac:dyDescent="0.2">
      <c r="A705" s="87">
        <v>28338</v>
      </c>
      <c r="B705"/>
      <c r="C705"/>
      <c r="D705">
        <v>33.351851971999999</v>
      </c>
      <c r="E705">
        <v>50.715229270999998</v>
      </c>
      <c r="F705">
        <v>55.547624192999997</v>
      </c>
      <c r="G705">
        <v>52.688098932000003</v>
      </c>
      <c r="H705"/>
      <c r="I705"/>
      <c r="J705"/>
      <c r="K705"/>
      <c r="L705">
        <v>56.471551888</v>
      </c>
      <c r="M705">
        <v>61.283305980999998</v>
      </c>
      <c r="N705">
        <v>63.630542660000003</v>
      </c>
      <c r="O705">
        <v>80.295330570999994</v>
      </c>
      <c r="P705"/>
      <c r="Q705"/>
      <c r="R705">
        <v>40.667159337999998</v>
      </c>
      <c r="S705">
        <v>75.822168457000004</v>
      </c>
      <c r="T705">
        <v>55.845742805999997</v>
      </c>
      <c r="U705">
        <v>65.818246998000006</v>
      </c>
      <c r="V705">
        <v>99.167124404000006</v>
      </c>
      <c r="W705"/>
      <c r="X705"/>
      <c r="Y705">
        <v>6.7411017549999999</v>
      </c>
      <c r="Z705"/>
      <c r="AA705"/>
      <c r="AB705">
        <v>82.569941834999995</v>
      </c>
      <c r="AC705">
        <v>59.563310065000003</v>
      </c>
      <c r="AD705"/>
      <c r="AE705">
        <v>45.613277914999998</v>
      </c>
      <c r="AF705"/>
      <c r="AG705"/>
      <c r="AH705">
        <v>63.696737818999999</v>
      </c>
      <c r="AI705">
        <v>44.848270157999998</v>
      </c>
      <c r="AJ705"/>
      <c r="AK705">
        <v>48.684011632999997</v>
      </c>
      <c r="AL705"/>
      <c r="AM705">
        <v>58.15232795</v>
      </c>
      <c r="AN705"/>
      <c r="AO705"/>
      <c r="AP705"/>
      <c r="AQ705">
        <v>54.702721990000001</v>
      </c>
      <c r="AR705"/>
      <c r="AS705">
        <v>47.824710426999999</v>
      </c>
      <c r="AT705"/>
    </row>
    <row r="706" spans="1:46" x14ac:dyDescent="0.2">
      <c r="A706" s="87">
        <v>28369</v>
      </c>
      <c r="B706"/>
      <c r="C706"/>
      <c r="D706">
        <v>33.019138108</v>
      </c>
      <c r="E706">
        <v>48.971719239000002</v>
      </c>
      <c r="F706">
        <v>55.389838912000002</v>
      </c>
      <c r="G706">
        <v>52.460192970999998</v>
      </c>
      <c r="H706"/>
      <c r="I706"/>
      <c r="J706"/>
      <c r="K706"/>
      <c r="L706">
        <v>56.594986974000001</v>
      </c>
      <c r="M706">
        <v>60.032626266999998</v>
      </c>
      <c r="N706">
        <v>63.735339181999997</v>
      </c>
      <c r="O706">
        <v>80.010244438000001</v>
      </c>
      <c r="P706"/>
      <c r="Q706"/>
      <c r="R706">
        <v>41.985546050000004</v>
      </c>
      <c r="S706">
        <v>76.248477835000003</v>
      </c>
      <c r="T706">
        <v>55.976754978999999</v>
      </c>
      <c r="U706">
        <v>66.033339307999995</v>
      </c>
      <c r="V706">
        <v>101.42116529099999</v>
      </c>
      <c r="W706"/>
      <c r="X706"/>
      <c r="Y706">
        <v>6.779491556</v>
      </c>
      <c r="Z706"/>
      <c r="AA706"/>
      <c r="AB706">
        <v>82.376795764999997</v>
      </c>
      <c r="AC706">
        <v>59.563310065000003</v>
      </c>
      <c r="AD706"/>
      <c r="AE706">
        <v>48.911326549000002</v>
      </c>
      <c r="AF706"/>
      <c r="AG706"/>
      <c r="AH706">
        <v>64.292034435000005</v>
      </c>
      <c r="AI706">
        <v>45.408873534999998</v>
      </c>
      <c r="AJ706"/>
      <c r="AK706">
        <v>48.792626837</v>
      </c>
      <c r="AL706"/>
      <c r="AM706">
        <v>61.357306973999997</v>
      </c>
      <c r="AN706"/>
      <c r="AO706"/>
      <c r="AP706"/>
      <c r="AQ706">
        <v>55.048576924000002</v>
      </c>
      <c r="AR706"/>
      <c r="AS706">
        <v>48.024533879000003</v>
      </c>
      <c r="AT706"/>
    </row>
    <row r="707" spans="1:46" x14ac:dyDescent="0.2">
      <c r="A707" s="87">
        <v>28399</v>
      </c>
      <c r="B707"/>
      <c r="C707"/>
      <c r="D707">
        <v>34.500600718999998</v>
      </c>
      <c r="E707">
        <v>49.423382044999997</v>
      </c>
      <c r="F707">
        <v>55.682548586999999</v>
      </c>
      <c r="G707">
        <v>52.818263780000002</v>
      </c>
      <c r="H707"/>
      <c r="I707"/>
      <c r="J707"/>
      <c r="K707"/>
      <c r="L707">
        <v>56.348116802</v>
      </c>
      <c r="M707">
        <v>58.156606695999997</v>
      </c>
      <c r="N707">
        <v>63.630542660000003</v>
      </c>
      <c r="O707">
        <v>80.264918657999999</v>
      </c>
      <c r="P707"/>
      <c r="Q707"/>
      <c r="R707">
        <v>41.782717325</v>
      </c>
      <c r="S707">
        <v>75.334957732999996</v>
      </c>
      <c r="T707">
        <v>55.904897169999998</v>
      </c>
      <c r="U707">
        <v>65.818246998000006</v>
      </c>
      <c r="V707">
        <v>101.940465906</v>
      </c>
      <c r="W707"/>
      <c r="X707"/>
      <c r="Y707">
        <v>6.9560803919999996</v>
      </c>
      <c r="Z707"/>
      <c r="AA707"/>
      <c r="AB707">
        <v>83.439099111000004</v>
      </c>
      <c r="AC707">
        <v>59.058536251</v>
      </c>
      <c r="AD707"/>
      <c r="AE707">
        <v>50.346666970000001</v>
      </c>
      <c r="AF707"/>
      <c r="AG707"/>
      <c r="AH707">
        <v>63.696737818999999</v>
      </c>
      <c r="AI707">
        <v>47.090683665999997</v>
      </c>
      <c r="AJ707"/>
      <c r="AK707">
        <v>48.756854498000003</v>
      </c>
      <c r="AL707"/>
      <c r="AM707">
        <v>59.969965727999998</v>
      </c>
      <c r="AN707"/>
      <c r="AO707"/>
      <c r="AP707"/>
      <c r="AQ707">
        <v>54.183939590000001</v>
      </c>
      <c r="AR707"/>
      <c r="AS707">
        <v>48.090150508999997</v>
      </c>
      <c r="AT707"/>
    </row>
    <row r="708" spans="1:46" x14ac:dyDescent="0.2">
      <c r="A708" s="87">
        <v>28430</v>
      </c>
      <c r="B708"/>
      <c r="C708"/>
      <c r="D708">
        <v>33.653644995000001</v>
      </c>
      <c r="E708">
        <v>50.160892490999998</v>
      </c>
      <c r="F708">
        <v>56.347617042000003</v>
      </c>
      <c r="G708">
        <v>52.976623179999997</v>
      </c>
      <c r="H708"/>
      <c r="I708"/>
      <c r="J708"/>
      <c r="K708"/>
      <c r="L708">
        <v>56.409834345</v>
      </c>
      <c r="M708">
        <v>57.531266838999997</v>
      </c>
      <c r="N708">
        <v>63.154194834000002</v>
      </c>
      <c r="O708">
        <v>78.163582336000005</v>
      </c>
      <c r="P708"/>
      <c r="Q708"/>
      <c r="R708">
        <v>41.377059875</v>
      </c>
      <c r="S708">
        <v>76.674787213000002</v>
      </c>
      <c r="T708">
        <v>56.046857455000001</v>
      </c>
      <c r="U708">
        <v>65.388062376999997</v>
      </c>
      <c r="V708">
        <v>99.652086119000003</v>
      </c>
      <c r="W708"/>
      <c r="X708"/>
      <c r="Y708">
        <v>6.92536855</v>
      </c>
      <c r="Z708"/>
      <c r="AA708"/>
      <c r="AB708">
        <v>80.638481202999998</v>
      </c>
      <c r="AC708">
        <v>60.236341817000003</v>
      </c>
      <c r="AD708"/>
      <c r="AE708">
        <v>49.971967647</v>
      </c>
      <c r="AF708"/>
      <c r="AG708"/>
      <c r="AH708">
        <v>63.101441203999997</v>
      </c>
      <c r="AI708">
        <v>47.651287043000004</v>
      </c>
      <c r="AJ708"/>
      <c r="AK708">
        <v>48.782886771000001</v>
      </c>
      <c r="AL708"/>
      <c r="AM708">
        <v>60.330528286000003</v>
      </c>
      <c r="AN708"/>
      <c r="AO708"/>
      <c r="AP708"/>
      <c r="AQ708">
        <v>53.261659766999998</v>
      </c>
      <c r="AR708"/>
      <c r="AS708">
        <v>48.182727446000001</v>
      </c>
      <c r="AT708"/>
    </row>
    <row r="709" spans="1:46" x14ac:dyDescent="0.2">
      <c r="A709" s="87">
        <v>28460</v>
      </c>
      <c r="B709"/>
      <c r="C709"/>
      <c r="D709">
        <v>32.728700760999999</v>
      </c>
      <c r="E709">
        <v>49.457842384999999</v>
      </c>
      <c r="F709">
        <v>56.743180490999997</v>
      </c>
      <c r="G709">
        <v>53.111487119000003</v>
      </c>
      <c r="H709"/>
      <c r="I709"/>
      <c r="J709"/>
      <c r="K709"/>
      <c r="L709">
        <v>57.520750120000002</v>
      </c>
      <c r="M709">
        <v>59.407286409999998</v>
      </c>
      <c r="N709">
        <v>64.021147877999994</v>
      </c>
      <c r="O709">
        <v>80.964620065000005</v>
      </c>
      <c r="P709"/>
      <c r="Q709"/>
      <c r="R709">
        <v>40.464330613000001</v>
      </c>
      <c r="S709">
        <v>74.604141651000006</v>
      </c>
      <c r="T709">
        <v>56.418330394999998</v>
      </c>
      <c r="U709">
        <v>66.571070083999999</v>
      </c>
      <c r="V709">
        <v>102.223484412</v>
      </c>
      <c r="W709"/>
      <c r="X709"/>
      <c r="Y709">
        <v>7.1710590280000002</v>
      </c>
      <c r="Z709"/>
      <c r="AA709"/>
      <c r="AB709">
        <v>82.956233955000002</v>
      </c>
      <c r="AC709">
        <v>60.656986662000001</v>
      </c>
      <c r="AD709"/>
      <c r="AE709">
        <v>49.625369298999999</v>
      </c>
      <c r="AF709"/>
      <c r="AG709"/>
      <c r="AH709">
        <v>64.88733105</v>
      </c>
      <c r="AI709">
        <v>48.772493797000003</v>
      </c>
      <c r="AJ709"/>
      <c r="AK709">
        <v>49.145026530999999</v>
      </c>
      <c r="AL709"/>
      <c r="AM709">
        <v>60.559690826999997</v>
      </c>
      <c r="AN709"/>
      <c r="AO709"/>
      <c r="AP709"/>
      <c r="AQ709">
        <v>53.319302256</v>
      </c>
      <c r="AR709"/>
      <c r="AS709">
        <v>48.245370512999997</v>
      </c>
      <c r="AT709"/>
    </row>
    <row r="710" spans="1:46" x14ac:dyDescent="0.2">
      <c r="A710" s="87">
        <v>28491</v>
      </c>
      <c r="B710"/>
      <c r="C710"/>
      <c r="D710">
        <v>33.941388152000002</v>
      </c>
      <c r="E710">
        <v>49.209356552000003</v>
      </c>
      <c r="F710">
        <v>57.210650450000003</v>
      </c>
      <c r="G710">
        <v>53.211577779000002</v>
      </c>
      <c r="H710"/>
      <c r="I710"/>
      <c r="J710"/>
      <c r="K710"/>
      <c r="L710">
        <v>57.705902749000003</v>
      </c>
      <c r="M710">
        <v>61.283305980999998</v>
      </c>
      <c r="N710">
        <v>64.306956573999997</v>
      </c>
      <c r="O710">
        <v>81.791894013999993</v>
      </c>
      <c r="P710"/>
      <c r="Q710"/>
      <c r="R710">
        <v>41.377059875</v>
      </c>
      <c r="S710">
        <v>76.370280518000001</v>
      </c>
      <c r="T710">
        <v>56.227151540000001</v>
      </c>
      <c r="U710">
        <v>66.355977773999996</v>
      </c>
      <c r="V710">
        <v>97.945349802999999</v>
      </c>
      <c r="W710"/>
      <c r="X710"/>
      <c r="Y710">
        <v>7.1403471869999997</v>
      </c>
      <c r="Z710"/>
      <c r="AA710"/>
      <c r="AB710">
        <v>82.183649704999993</v>
      </c>
      <c r="AC710">
        <v>61.245889445000003</v>
      </c>
      <c r="AD710"/>
      <c r="AE710">
        <v>52.402719570000002</v>
      </c>
      <c r="AF710"/>
      <c r="AG710"/>
      <c r="AH710">
        <v>64.88733105</v>
      </c>
      <c r="AI710">
        <v>48.772493797000003</v>
      </c>
      <c r="AJ710"/>
      <c r="AK710">
        <v>49.046980486999999</v>
      </c>
      <c r="AL710"/>
      <c r="AM710">
        <v>61.976396254000001</v>
      </c>
      <c r="AN710"/>
      <c r="AO710"/>
      <c r="AP710"/>
      <c r="AQ710">
        <v>54.990934435</v>
      </c>
      <c r="AR710"/>
      <c r="AS710">
        <v>47.551638197999999</v>
      </c>
      <c r="AT710"/>
    </row>
    <row r="711" spans="1:46" x14ac:dyDescent="0.2">
      <c r="A711" s="87">
        <v>28522</v>
      </c>
      <c r="B711"/>
      <c r="C711"/>
      <c r="D711">
        <v>33.698553551000003</v>
      </c>
      <c r="E711">
        <v>49.194843263999999</v>
      </c>
      <c r="F711">
        <v>57.191566551000001</v>
      </c>
      <c r="G711">
        <v>53.606771414000001</v>
      </c>
      <c r="H711"/>
      <c r="I711"/>
      <c r="J711"/>
      <c r="K711"/>
      <c r="L711">
        <v>56.039529086999998</v>
      </c>
      <c r="M711">
        <v>57.531266838999997</v>
      </c>
      <c r="N711">
        <v>63.735339181999997</v>
      </c>
      <c r="O711">
        <v>81.501904866999993</v>
      </c>
      <c r="P711"/>
      <c r="Q711"/>
      <c r="R711">
        <v>42.289789137</v>
      </c>
      <c r="S711">
        <v>76.187576497999999</v>
      </c>
      <c r="T711">
        <v>56.055924374</v>
      </c>
      <c r="U711">
        <v>66.248431619000002</v>
      </c>
      <c r="V711">
        <v>105.38428177500001</v>
      </c>
      <c r="W711"/>
      <c r="X711"/>
      <c r="Y711">
        <v>6.9330465109999997</v>
      </c>
      <c r="Z711"/>
      <c r="AA711"/>
      <c r="AB711">
        <v>82.280222739999999</v>
      </c>
      <c r="AC711">
        <v>60.825244599999998</v>
      </c>
      <c r="AD711"/>
      <c r="AE711">
        <v>50.217071128000001</v>
      </c>
      <c r="AF711"/>
      <c r="AG711"/>
      <c r="AH711">
        <v>64.88733105</v>
      </c>
      <c r="AI711">
        <v>48.772493797000003</v>
      </c>
      <c r="AJ711"/>
      <c r="AK711">
        <v>48.918425405999997</v>
      </c>
      <c r="AL711"/>
      <c r="AM711">
        <v>60.540630098999998</v>
      </c>
      <c r="AN711"/>
      <c r="AO711"/>
      <c r="AP711"/>
      <c r="AQ711">
        <v>54.126297100999999</v>
      </c>
      <c r="AR711"/>
      <c r="AS711">
        <v>47.807166402999997</v>
      </c>
      <c r="AT711"/>
    </row>
    <row r="712" spans="1:46" x14ac:dyDescent="0.2">
      <c r="A712" s="87">
        <v>28550</v>
      </c>
      <c r="B712"/>
      <c r="C712"/>
      <c r="D712">
        <v>33.415317408999996</v>
      </c>
      <c r="E712">
        <v>50.378123969999997</v>
      </c>
      <c r="F712">
        <v>57.986714106999997</v>
      </c>
      <c r="G712">
        <v>53.412229005999997</v>
      </c>
      <c r="H712"/>
      <c r="I712"/>
      <c r="J712"/>
      <c r="K712"/>
      <c r="L712">
        <v>54.866895769000003</v>
      </c>
      <c r="M712">
        <v>53.153887840000003</v>
      </c>
      <c r="N712">
        <v>63.249464398999997</v>
      </c>
      <c r="O712">
        <v>81.987753101999999</v>
      </c>
      <c r="P712"/>
      <c r="Q712"/>
      <c r="R712">
        <v>41.884131687</v>
      </c>
      <c r="S712">
        <v>77.344701958000002</v>
      </c>
      <c r="T712">
        <v>56.500151803999998</v>
      </c>
      <c r="U712">
        <v>65.603154687</v>
      </c>
      <c r="V712">
        <v>105.985768175</v>
      </c>
      <c r="W712"/>
      <c r="X712"/>
      <c r="Y712">
        <v>7.1096367630000001</v>
      </c>
      <c r="Z712"/>
      <c r="AA712"/>
      <c r="AB712">
        <v>81.024773334000002</v>
      </c>
      <c r="AC712">
        <v>62.171308103999998</v>
      </c>
      <c r="AD712"/>
      <c r="AE712">
        <v>49.658535606999997</v>
      </c>
      <c r="AF712"/>
      <c r="AG712"/>
      <c r="AH712">
        <v>64.292034435000005</v>
      </c>
      <c r="AI712">
        <v>49.333097174000002</v>
      </c>
      <c r="AJ712"/>
      <c r="AK712">
        <v>49.265706805000001</v>
      </c>
      <c r="AL712"/>
      <c r="AM712">
        <v>60.796046590000003</v>
      </c>
      <c r="AN712"/>
      <c r="AO712"/>
      <c r="AP712"/>
      <c r="AQ712">
        <v>54.183939590000001</v>
      </c>
      <c r="AR712"/>
      <c r="AS712">
        <v>48.736008454999997</v>
      </c>
      <c r="AT712"/>
    </row>
    <row r="713" spans="1:46" x14ac:dyDescent="0.2">
      <c r="A713" s="87">
        <v>28581</v>
      </c>
      <c r="B713"/>
      <c r="C713"/>
      <c r="D713">
        <v>34.839318646000002</v>
      </c>
      <c r="E713">
        <v>49.729293038000002</v>
      </c>
      <c r="F713">
        <v>60.250826517999997</v>
      </c>
      <c r="G713">
        <v>54.411725871000002</v>
      </c>
      <c r="H713"/>
      <c r="I713"/>
      <c r="J713"/>
      <c r="K713"/>
      <c r="L713">
        <v>55.977811543999998</v>
      </c>
      <c r="M713">
        <v>63.784665408999999</v>
      </c>
      <c r="N713">
        <v>65.173909617999996</v>
      </c>
      <c r="O713">
        <v>79.529126899999994</v>
      </c>
      <c r="P713"/>
      <c r="Q713"/>
      <c r="R713">
        <v>41.884131687</v>
      </c>
      <c r="S713">
        <v>79.963459580999995</v>
      </c>
      <c r="T713">
        <v>57.819289038999997</v>
      </c>
      <c r="U713">
        <v>69.689908586000001</v>
      </c>
      <c r="V713">
        <v>106.470064149</v>
      </c>
      <c r="W713"/>
      <c r="X713"/>
      <c r="Y713">
        <v>7.1249912670000004</v>
      </c>
      <c r="Z713"/>
      <c r="AA713"/>
      <c r="AB713">
        <v>85.467132778000007</v>
      </c>
      <c r="AC713">
        <v>62.171308103999998</v>
      </c>
      <c r="AD713"/>
      <c r="AE713">
        <v>50.508332125999999</v>
      </c>
      <c r="AF713"/>
      <c r="AG713"/>
      <c r="AH713">
        <v>63.696737818999999</v>
      </c>
      <c r="AI713">
        <v>49.893700551000002</v>
      </c>
      <c r="AJ713"/>
      <c r="AK713">
        <v>50.252240903999997</v>
      </c>
      <c r="AL713"/>
      <c r="AM713">
        <v>61.427786292999997</v>
      </c>
      <c r="AN713"/>
      <c r="AO713"/>
      <c r="AP713"/>
      <c r="AQ713">
        <v>54.183939590000001</v>
      </c>
      <c r="AR713"/>
      <c r="AS713">
        <v>49.712625758000001</v>
      </c>
      <c r="AT713"/>
    </row>
    <row r="714" spans="1:46" x14ac:dyDescent="0.2">
      <c r="A714" s="87">
        <v>28611</v>
      </c>
      <c r="B714"/>
      <c r="C714"/>
      <c r="D714">
        <v>33.797662805999998</v>
      </c>
      <c r="E714">
        <v>50.937960486999998</v>
      </c>
      <c r="F714">
        <v>58.059229682000002</v>
      </c>
      <c r="G714">
        <v>53.758082176000002</v>
      </c>
      <c r="H714"/>
      <c r="I714"/>
      <c r="J714"/>
      <c r="K714"/>
      <c r="L714">
        <v>55.916094000999998</v>
      </c>
      <c r="M714">
        <v>60.657966123999998</v>
      </c>
      <c r="N714">
        <v>64.211687009000002</v>
      </c>
      <c r="O714">
        <v>80.593906505000007</v>
      </c>
      <c r="P714"/>
      <c r="Q714"/>
      <c r="R714">
        <v>42.086960412000003</v>
      </c>
      <c r="S714">
        <v>78.562728763999999</v>
      </c>
      <c r="T714">
        <v>57.585579610000003</v>
      </c>
      <c r="U714">
        <v>67.323893170999995</v>
      </c>
      <c r="V714">
        <v>104.107180574</v>
      </c>
      <c r="W714"/>
      <c r="X714"/>
      <c r="Y714">
        <v>6.9714363119999998</v>
      </c>
      <c r="Z714"/>
      <c r="AA714"/>
      <c r="AB714">
        <v>83.245953051000001</v>
      </c>
      <c r="AC714">
        <v>62.339566042000001</v>
      </c>
      <c r="AD714"/>
      <c r="AE714">
        <v>49.790756092999999</v>
      </c>
      <c r="AF714"/>
      <c r="AG714"/>
      <c r="AH714">
        <v>63.101441203999997</v>
      </c>
      <c r="AI714">
        <v>47.090683665999997</v>
      </c>
      <c r="AJ714"/>
      <c r="AK714">
        <v>50.060884082000001</v>
      </c>
      <c r="AL714"/>
      <c r="AM714">
        <v>61.584532377999999</v>
      </c>
      <c r="AN714"/>
      <c r="AO714"/>
      <c r="AP714"/>
      <c r="AQ714">
        <v>53.376944745000003</v>
      </c>
      <c r="AR714"/>
      <c r="AS714">
        <v>49.952988789999999</v>
      </c>
      <c r="AT714"/>
    </row>
    <row r="715" spans="1:46" x14ac:dyDescent="0.2">
      <c r="A715" s="87">
        <v>28642</v>
      </c>
      <c r="B715"/>
      <c r="C715"/>
      <c r="D715">
        <v>33.740530014000001</v>
      </c>
      <c r="E715">
        <v>49.308673020999997</v>
      </c>
      <c r="F715">
        <v>57.866537313000002</v>
      </c>
      <c r="G715">
        <v>54.838873331999999</v>
      </c>
      <c r="H715"/>
      <c r="I715"/>
      <c r="J715"/>
      <c r="K715"/>
      <c r="L715">
        <v>55.607506284999999</v>
      </c>
      <c r="M715">
        <v>60.032626266999998</v>
      </c>
      <c r="N715">
        <v>64.116417443000003</v>
      </c>
      <c r="O715">
        <v>81.411655943</v>
      </c>
      <c r="P715"/>
      <c r="Q715"/>
      <c r="R715">
        <v>41.478474237999997</v>
      </c>
      <c r="S715">
        <v>77.101096600000005</v>
      </c>
      <c r="T715">
        <v>57.780521125999996</v>
      </c>
      <c r="U715">
        <v>67.323893170999995</v>
      </c>
      <c r="V715">
        <v>104.393448468</v>
      </c>
      <c r="W715"/>
      <c r="X715"/>
      <c r="Y715">
        <v>7.363003784</v>
      </c>
      <c r="Z715"/>
      <c r="AA715"/>
      <c r="AB715">
        <v>84.308256396999994</v>
      </c>
      <c r="AC715">
        <v>62.676081918999998</v>
      </c>
      <c r="AD715"/>
      <c r="AE715">
        <v>49.568276036</v>
      </c>
      <c r="AF715"/>
      <c r="AG715"/>
      <c r="AH715">
        <v>64.292034435000005</v>
      </c>
      <c r="AI715">
        <v>49.333097174000002</v>
      </c>
      <c r="AJ715"/>
      <c r="AK715">
        <v>50.231631110000002</v>
      </c>
      <c r="AL715"/>
      <c r="AM715">
        <v>62.033436883999997</v>
      </c>
      <c r="AN715"/>
      <c r="AO715"/>
      <c r="AP715"/>
      <c r="AQ715">
        <v>53.146374788999999</v>
      </c>
      <c r="AR715"/>
      <c r="AS715">
        <v>50.253715157999999</v>
      </c>
      <c r="AT715"/>
    </row>
    <row r="716" spans="1:46" x14ac:dyDescent="0.2">
      <c r="A716" s="87">
        <v>28672</v>
      </c>
      <c r="B716"/>
      <c r="C716"/>
      <c r="D716">
        <v>34.370151409000002</v>
      </c>
      <c r="E716">
        <v>51.047861924999999</v>
      </c>
      <c r="F716">
        <v>59.056939806000003</v>
      </c>
      <c r="G716">
        <v>54.027340146999997</v>
      </c>
      <c r="H716"/>
      <c r="I716"/>
      <c r="J716"/>
      <c r="K716"/>
      <c r="L716">
        <v>57.088727319</v>
      </c>
      <c r="M716">
        <v>59.407286409999998</v>
      </c>
      <c r="N716">
        <v>64.983370488000006</v>
      </c>
      <c r="O716">
        <v>80.981082330999996</v>
      </c>
      <c r="P716"/>
      <c r="Q716"/>
      <c r="R716">
        <v>38.689579270000003</v>
      </c>
      <c r="S716">
        <v>77.040195253999997</v>
      </c>
      <c r="T716">
        <v>58.188531472999998</v>
      </c>
      <c r="U716">
        <v>68.399354723000002</v>
      </c>
      <c r="V716">
        <v>106.002883203</v>
      </c>
      <c r="W716"/>
      <c r="X716"/>
      <c r="Y716">
        <v>7.4704923939999999</v>
      </c>
      <c r="Z716"/>
      <c r="AA716"/>
      <c r="AB716">
        <v>86.432863088999994</v>
      </c>
      <c r="AC716">
        <v>63.096726764000003</v>
      </c>
      <c r="AD716"/>
      <c r="AE716">
        <v>52.537047817000001</v>
      </c>
      <c r="AF716"/>
      <c r="AG716"/>
      <c r="AH716">
        <v>65.482627664999995</v>
      </c>
      <c r="AI716">
        <v>49.333097174000002</v>
      </c>
      <c r="AJ716"/>
      <c r="AK716">
        <v>50.567302408000003</v>
      </c>
      <c r="AL716"/>
      <c r="AM716">
        <v>61.984829464000001</v>
      </c>
      <c r="AN716"/>
      <c r="AO716"/>
      <c r="AP716"/>
      <c r="AQ716">
        <v>53.492229723000001</v>
      </c>
      <c r="AR716"/>
      <c r="AS716">
        <v>50.204849600999999</v>
      </c>
      <c r="AT716"/>
    </row>
    <row r="717" spans="1:46" x14ac:dyDescent="0.2">
      <c r="A717" s="87">
        <v>28703</v>
      </c>
      <c r="B717"/>
      <c r="C717"/>
      <c r="D717">
        <v>34.286282634000003</v>
      </c>
      <c r="E717">
        <v>51.091502292000001</v>
      </c>
      <c r="F717">
        <v>59.752410961999999</v>
      </c>
      <c r="G717">
        <v>54.286730024000001</v>
      </c>
      <c r="H717"/>
      <c r="I717"/>
      <c r="J717"/>
      <c r="K717"/>
      <c r="L717">
        <v>57.644185206000003</v>
      </c>
      <c r="M717">
        <v>60.657966123999998</v>
      </c>
      <c r="N717">
        <v>65.364448749000005</v>
      </c>
      <c r="O717">
        <v>81.609438568000002</v>
      </c>
      <c r="P717"/>
      <c r="Q717"/>
      <c r="R717">
        <v>42.594032224000003</v>
      </c>
      <c r="S717">
        <v>77.040195253999997</v>
      </c>
      <c r="T717">
        <v>58.550241589000002</v>
      </c>
      <c r="U717">
        <v>69.044631654</v>
      </c>
      <c r="V717">
        <v>105.79807409199999</v>
      </c>
      <c r="W717"/>
      <c r="X717"/>
      <c r="Y717">
        <v>6.779491556</v>
      </c>
      <c r="Z717"/>
      <c r="AA717"/>
      <c r="AB717">
        <v>86.239717029000005</v>
      </c>
      <c r="AC717">
        <v>63.938016454</v>
      </c>
      <c r="AD717"/>
      <c r="AE717">
        <v>51.943886380000002</v>
      </c>
      <c r="AF717"/>
      <c r="AG717"/>
      <c r="AH717">
        <v>64.292034435000005</v>
      </c>
      <c r="AI717">
        <v>51.014907305000001</v>
      </c>
      <c r="AJ717"/>
      <c r="AK717">
        <v>50.869037208999998</v>
      </c>
      <c r="AL717"/>
      <c r="AM717">
        <v>61.531562813000001</v>
      </c>
      <c r="AN717"/>
      <c r="AO717"/>
      <c r="AP717"/>
      <c r="AQ717">
        <v>54.702721990000001</v>
      </c>
      <c r="AR717"/>
      <c r="AS717">
        <v>50.419342632999999</v>
      </c>
      <c r="AT717"/>
    </row>
    <row r="718" spans="1:46" x14ac:dyDescent="0.2">
      <c r="A718" s="87">
        <v>28734</v>
      </c>
      <c r="B718"/>
      <c r="C718"/>
      <c r="D718">
        <v>35.027966845000002</v>
      </c>
      <c r="E718">
        <v>51.905841545000001</v>
      </c>
      <c r="F718">
        <v>60.045056090999999</v>
      </c>
      <c r="G718">
        <v>55.650406517</v>
      </c>
      <c r="H718"/>
      <c r="I718"/>
      <c r="J718"/>
      <c r="K718"/>
      <c r="L718">
        <v>58.569948351999997</v>
      </c>
      <c r="M718">
        <v>60.657966123999998</v>
      </c>
      <c r="N718">
        <v>66.231401793000003</v>
      </c>
      <c r="O718">
        <v>83.575801741999996</v>
      </c>
      <c r="P718"/>
      <c r="Q718"/>
      <c r="R718">
        <v>43.456054305000002</v>
      </c>
      <c r="S718">
        <v>78.380024743000007</v>
      </c>
      <c r="T718">
        <v>59.007431705000002</v>
      </c>
      <c r="U718">
        <v>68.937085499000005</v>
      </c>
      <c r="V718">
        <v>106.543650167</v>
      </c>
      <c r="W718"/>
      <c r="X718"/>
      <c r="Y718">
        <v>7.3937142079999996</v>
      </c>
      <c r="Z718"/>
      <c r="AA718"/>
      <c r="AB718">
        <v>87.398593399999996</v>
      </c>
      <c r="AC718">
        <v>64.442790267999996</v>
      </c>
      <c r="AD718"/>
      <c r="AE718">
        <v>51.599774613000001</v>
      </c>
      <c r="AF718"/>
      <c r="AG718"/>
      <c r="AH718">
        <v>64.292034435000005</v>
      </c>
      <c r="AI718">
        <v>51.575510682000001</v>
      </c>
      <c r="AJ718"/>
      <c r="AK718">
        <v>51.298715547</v>
      </c>
      <c r="AL718"/>
      <c r="AM718">
        <v>61.952615436000002</v>
      </c>
      <c r="AN718"/>
      <c r="AO718"/>
      <c r="AP718"/>
      <c r="AQ718">
        <v>55.394431857000001</v>
      </c>
      <c r="AR718"/>
      <c r="AS718">
        <v>50.558208037999997</v>
      </c>
      <c r="AT718"/>
    </row>
    <row r="719" spans="1:46" x14ac:dyDescent="0.2">
      <c r="A719" s="87">
        <v>28764</v>
      </c>
      <c r="B719"/>
      <c r="C719"/>
      <c r="D719">
        <v>34.850867338</v>
      </c>
      <c r="E719">
        <v>53.046637674999999</v>
      </c>
      <c r="F719">
        <v>60.620822191999999</v>
      </c>
      <c r="G719">
        <v>55.836490558999998</v>
      </c>
      <c r="H719"/>
      <c r="I719"/>
      <c r="J719"/>
      <c r="K719"/>
      <c r="L719">
        <v>57.582467663000003</v>
      </c>
      <c r="M719">
        <v>60.657966123999998</v>
      </c>
      <c r="N719">
        <v>66.040862661999995</v>
      </c>
      <c r="O719">
        <v>83.320618585999995</v>
      </c>
      <c r="P719"/>
      <c r="Q719"/>
      <c r="R719">
        <v>43.811004574000002</v>
      </c>
      <c r="S719">
        <v>79.537150202999996</v>
      </c>
      <c r="T719">
        <v>59.100283115000003</v>
      </c>
      <c r="U719">
        <v>67.538985480999997</v>
      </c>
      <c r="V719">
        <v>107.53858521399999</v>
      </c>
      <c r="W719"/>
      <c r="X719"/>
      <c r="Y719">
        <v>7.3399699030000001</v>
      </c>
      <c r="Z719"/>
      <c r="AA719"/>
      <c r="AB719">
        <v>88.460896746000003</v>
      </c>
      <c r="AC719">
        <v>64.526919237000001</v>
      </c>
      <c r="AD719"/>
      <c r="AE719">
        <v>51.600430367000001</v>
      </c>
      <c r="AF719"/>
      <c r="AG719"/>
      <c r="AH719">
        <v>64.88733105</v>
      </c>
      <c r="AI719">
        <v>51.575510682000001</v>
      </c>
      <c r="AJ719"/>
      <c r="AK719">
        <v>51.397657043000002</v>
      </c>
      <c r="AL719"/>
      <c r="AM719">
        <v>61.276472841</v>
      </c>
      <c r="AN719"/>
      <c r="AO719"/>
      <c r="AP719"/>
      <c r="AQ719">
        <v>55.797929279999998</v>
      </c>
      <c r="AR719"/>
      <c r="AS719">
        <v>50.937337356999997</v>
      </c>
      <c r="AT719"/>
    </row>
    <row r="720" spans="1:46" x14ac:dyDescent="0.2">
      <c r="A720" s="87">
        <v>28795</v>
      </c>
      <c r="B720"/>
      <c r="C720"/>
      <c r="D720">
        <v>34.847520637000002</v>
      </c>
      <c r="E720">
        <v>52.342484587000001</v>
      </c>
      <c r="F720">
        <v>60.353135025999997</v>
      </c>
      <c r="G720">
        <v>56.368427771999997</v>
      </c>
      <c r="H720"/>
      <c r="I720"/>
      <c r="J720"/>
      <c r="K720"/>
      <c r="L720">
        <v>58.014490463999998</v>
      </c>
      <c r="M720">
        <v>60.657966123999998</v>
      </c>
      <c r="N720">
        <v>66.326671357999999</v>
      </c>
      <c r="O720">
        <v>83.402995035000004</v>
      </c>
      <c r="P720"/>
      <c r="Q720"/>
      <c r="R720">
        <v>44.064540479999998</v>
      </c>
      <c r="S720">
        <v>80.024360927999993</v>
      </c>
      <c r="T720">
        <v>59.473675843000002</v>
      </c>
      <c r="U720">
        <v>67.969170102000007</v>
      </c>
      <c r="V720">
        <v>110.249335867</v>
      </c>
      <c r="W720"/>
      <c r="X720"/>
      <c r="Y720">
        <v>7.593336925</v>
      </c>
      <c r="Z720"/>
      <c r="AA720"/>
      <c r="AB720">
        <v>88.364323709999994</v>
      </c>
      <c r="AC720">
        <v>64.863435112999994</v>
      </c>
      <c r="AD720"/>
      <c r="AE720">
        <v>51.105514794000001</v>
      </c>
      <c r="AF720"/>
      <c r="AG720"/>
      <c r="AH720">
        <v>66.077924280000005</v>
      </c>
      <c r="AI720">
        <v>52.136114059000001</v>
      </c>
      <c r="AJ720"/>
      <c r="AK720">
        <v>51.719206512</v>
      </c>
      <c r="AL720"/>
      <c r="AM720">
        <v>64.157537809000004</v>
      </c>
      <c r="AN720"/>
      <c r="AO720"/>
      <c r="AP720"/>
      <c r="AQ720">
        <v>56.086141724000001</v>
      </c>
      <c r="AR720"/>
      <c r="AS720">
        <v>51.324693535000002</v>
      </c>
      <c r="AT720"/>
    </row>
    <row r="721" spans="1:46" x14ac:dyDescent="0.2">
      <c r="A721" s="87">
        <v>28825</v>
      </c>
      <c r="B721"/>
      <c r="C721"/>
      <c r="D721">
        <v>35.605683958</v>
      </c>
      <c r="E721">
        <v>54.472892854999998</v>
      </c>
      <c r="F721">
        <v>61.965791088000003</v>
      </c>
      <c r="G721">
        <v>57.248097790999999</v>
      </c>
      <c r="H721"/>
      <c r="I721"/>
      <c r="J721"/>
      <c r="K721"/>
      <c r="L721">
        <v>59.866016756</v>
      </c>
      <c r="M721">
        <v>61.908645837999998</v>
      </c>
      <c r="N721">
        <v>68.346386143000004</v>
      </c>
      <c r="O721">
        <v>83.649663536999995</v>
      </c>
      <c r="P721"/>
      <c r="Q721"/>
      <c r="R721">
        <v>44.774441017000001</v>
      </c>
      <c r="S721">
        <v>80.207064947999996</v>
      </c>
      <c r="T721">
        <v>60.455572455999999</v>
      </c>
      <c r="U721">
        <v>70.120093206999996</v>
      </c>
      <c r="V721">
        <v>111.064333331</v>
      </c>
      <c r="W721"/>
      <c r="X721"/>
      <c r="Y721">
        <v>7.5626265000000004</v>
      </c>
      <c r="Z721"/>
      <c r="AA721"/>
      <c r="AB721">
        <v>93.868986500999995</v>
      </c>
      <c r="AC721">
        <v>65.452337896000003</v>
      </c>
      <c r="AD721"/>
      <c r="AE721">
        <v>51.440147975000002</v>
      </c>
      <c r="AF721"/>
      <c r="AG721"/>
      <c r="AH721">
        <v>68.459110741000003</v>
      </c>
      <c r="AI721">
        <v>51.014907305000001</v>
      </c>
      <c r="AJ721"/>
      <c r="AK721">
        <v>52.53251873</v>
      </c>
      <c r="AL721"/>
      <c r="AM721">
        <v>65.372724583999997</v>
      </c>
      <c r="AN721"/>
      <c r="AO721"/>
      <c r="AP721"/>
      <c r="AQ721">
        <v>55.970856746999999</v>
      </c>
      <c r="AR721"/>
      <c r="AS721">
        <v>51.586267986000003</v>
      </c>
      <c r="AT721"/>
    </row>
    <row r="722" spans="1:46" x14ac:dyDescent="0.2">
      <c r="A722" s="87">
        <v>28856</v>
      </c>
      <c r="B722"/>
      <c r="C722"/>
      <c r="D722">
        <v>35.586710803000003</v>
      </c>
      <c r="E722">
        <v>49.277869989999999</v>
      </c>
      <c r="F722">
        <v>62.498635731999997</v>
      </c>
      <c r="G722">
        <v>57.159754861000003</v>
      </c>
      <c r="H722"/>
      <c r="I722"/>
      <c r="J722"/>
      <c r="K722"/>
      <c r="L722">
        <v>58.261360635999999</v>
      </c>
      <c r="M722">
        <v>57.531266838999997</v>
      </c>
      <c r="N722">
        <v>65.745527010000004</v>
      </c>
      <c r="O722">
        <v>83.383724607000005</v>
      </c>
      <c r="P722"/>
      <c r="Q722"/>
      <c r="R722">
        <v>45.585755915999997</v>
      </c>
      <c r="S722">
        <v>79.354446182999993</v>
      </c>
      <c r="T722">
        <v>59.367639871999998</v>
      </c>
      <c r="U722">
        <v>65.280516222000003</v>
      </c>
      <c r="V722">
        <v>111.725144849</v>
      </c>
      <c r="W722"/>
      <c r="X722"/>
      <c r="Y722">
        <v>7.4551364739999997</v>
      </c>
      <c r="Z722"/>
      <c r="AA722"/>
      <c r="AB722">
        <v>87.784885531</v>
      </c>
      <c r="AC722">
        <v>65.368208926999998</v>
      </c>
      <c r="AD722"/>
      <c r="AE722">
        <v>50.213924658000003</v>
      </c>
      <c r="AF722"/>
      <c r="AG722"/>
      <c r="AH722">
        <v>66.301160511000006</v>
      </c>
      <c r="AI722">
        <v>50.454303928000002</v>
      </c>
      <c r="AJ722"/>
      <c r="AK722">
        <v>51.603839352000001</v>
      </c>
      <c r="AL722"/>
      <c r="AM722">
        <v>62.839697442999999</v>
      </c>
      <c r="AN722"/>
      <c r="AO722"/>
      <c r="AP722"/>
      <c r="AQ722">
        <v>55.509716834999999</v>
      </c>
      <c r="AR722"/>
      <c r="AS722">
        <v>51.292380813999998</v>
      </c>
      <c r="AT722"/>
    </row>
    <row r="723" spans="1:46" x14ac:dyDescent="0.2">
      <c r="A723" s="87">
        <v>28887</v>
      </c>
      <c r="B723"/>
      <c r="C723"/>
      <c r="D723">
        <v>35.502661707000001</v>
      </c>
      <c r="E723">
        <v>51.621735057999999</v>
      </c>
      <c r="F723">
        <v>62.241361640999997</v>
      </c>
      <c r="G723">
        <v>57.250447336999997</v>
      </c>
      <c r="H723"/>
      <c r="I723"/>
      <c r="J723"/>
      <c r="K723"/>
      <c r="L723">
        <v>58.076208006999998</v>
      </c>
      <c r="M723">
        <v>58.781946552999997</v>
      </c>
      <c r="N723">
        <v>66.612480054000002</v>
      </c>
      <c r="O723">
        <v>78.666449861000004</v>
      </c>
      <c r="P723"/>
      <c r="Q723"/>
      <c r="R723">
        <v>46.244949271999999</v>
      </c>
      <c r="S723">
        <v>79.537150202999996</v>
      </c>
      <c r="T723">
        <v>59.949724240999998</v>
      </c>
      <c r="U723">
        <v>70.120093206999996</v>
      </c>
      <c r="V723">
        <v>110.897106423</v>
      </c>
      <c r="W723"/>
      <c r="X723"/>
      <c r="Y723">
        <v>7.5549485399999998</v>
      </c>
      <c r="Z723"/>
      <c r="AA723"/>
      <c r="AB723">
        <v>90.488930402999998</v>
      </c>
      <c r="AC723">
        <v>65.284079958000007</v>
      </c>
      <c r="AD723"/>
      <c r="AE723">
        <v>53.657681109999999</v>
      </c>
      <c r="AF723"/>
      <c r="AG723"/>
      <c r="AH723">
        <v>65.631451819000006</v>
      </c>
      <c r="AI723">
        <v>50.454303928000002</v>
      </c>
      <c r="AJ723"/>
      <c r="AK723">
        <v>51.962941069999999</v>
      </c>
      <c r="AL723"/>
      <c r="AM723">
        <v>60.590924342000001</v>
      </c>
      <c r="AN723"/>
      <c r="AO723"/>
      <c r="AP723"/>
      <c r="AQ723">
        <v>56.086141724000001</v>
      </c>
      <c r="AR723"/>
      <c r="AS723">
        <v>51.54701695</v>
      </c>
      <c r="AT723"/>
    </row>
    <row r="724" spans="1:46" x14ac:dyDescent="0.2">
      <c r="A724" s="87">
        <v>28915</v>
      </c>
      <c r="B724"/>
      <c r="C724"/>
      <c r="D724">
        <v>35.927908756999997</v>
      </c>
      <c r="E724">
        <v>51.561763374000002</v>
      </c>
      <c r="F724">
        <v>61.549491623999998</v>
      </c>
      <c r="G724">
        <v>57.125921398999999</v>
      </c>
      <c r="H724"/>
      <c r="I724"/>
      <c r="J724"/>
      <c r="K724"/>
      <c r="L724">
        <v>58.323078180000003</v>
      </c>
      <c r="M724">
        <v>60.657966123999998</v>
      </c>
      <c r="N724">
        <v>67.288893967999996</v>
      </c>
      <c r="O724">
        <v>81.409689327999999</v>
      </c>
      <c r="P724"/>
      <c r="Q724"/>
      <c r="R724">
        <v>46.904142628000002</v>
      </c>
      <c r="S724">
        <v>80.633374325999995</v>
      </c>
      <c r="T724">
        <v>60.215370530000001</v>
      </c>
      <c r="U724">
        <v>70.980462447999997</v>
      </c>
      <c r="V724">
        <v>113.449114706</v>
      </c>
      <c r="W724"/>
      <c r="X724"/>
      <c r="Y724">
        <v>7.7929596410000004</v>
      </c>
      <c r="Z724"/>
      <c r="AA724"/>
      <c r="AB724">
        <v>89.619773127000002</v>
      </c>
      <c r="AC724">
        <v>65.872982741000001</v>
      </c>
      <c r="AD724"/>
      <c r="AE724">
        <v>53.698930965999999</v>
      </c>
      <c r="AF724"/>
      <c r="AG724"/>
      <c r="AH724">
        <v>66.301160511000006</v>
      </c>
      <c r="AI724">
        <v>51.014907305000001</v>
      </c>
      <c r="AJ724"/>
      <c r="AK724">
        <v>52.290451787999999</v>
      </c>
      <c r="AL724"/>
      <c r="AM724">
        <v>67.731154863</v>
      </c>
      <c r="AN724"/>
      <c r="AO724"/>
      <c r="AP724"/>
      <c r="AQ724">
        <v>56.143784213000004</v>
      </c>
      <c r="AR724"/>
      <c r="AS724">
        <v>51.701642241000002</v>
      </c>
      <c r="AT724"/>
    </row>
    <row r="725" spans="1:46" x14ac:dyDescent="0.2">
      <c r="A725" s="87">
        <v>28946</v>
      </c>
      <c r="B725"/>
      <c r="C725"/>
      <c r="D725">
        <v>36.047580191999998</v>
      </c>
      <c r="E725">
        <v>53.609448061000002</v>
      </c>
      <c r="F725">
        <v>63.545348173000001</v>
      </c>
      <c r="G725">
        <v>56.759862134000002</v>
      </c>
      <c r="H725"/>
      <c r="I725"/>
      <c r="J725"/>
      <c r="K725"/>
      <c r="L725">
        <v>59.680864127</v>
      </c>
      <c r="M725">
        <v>60.657966123999998</v>
      </c>
      <c r="N725">
        <v>67.669972228999995</v>
      </c>
      <c r="O725">
        <v>81.373545878000002</v>
      </c>
      <c r="P725"/>
      <c r="Q725"/>
      <c r="R725">
        <v>47.106971352999999</v>
      </c>
      <c r="S725">
        <v>79.232643499000005</v>
      </c>
      <c r="T725">
        <v>60.105863837999998</v>
      </c>
      <c r="U725">
        <v>70.980462447999997</v>
      </c>
      <c r="V725">
        <v>113.91008465100001</v>
      </c>
      <c r="W725"/>
      <c r="X725"/>
      <c r="Y725">
        <v>7.8236714809999999</v>
      </c>
      <c r="Z725"/>
      <c r="AA725"/>
      <c r="AB725">
        <v>90.006065246999995</v>
      </c>
      <c r="AC725">
        <v>66.125369648000003</v>
      </c>
      <c r="AD725"/>
      <c r="AE725">
        <v>52.891069395999999</v>
      </c>
      <c r="AF725"/>
      <c r="AG725"/>
      <c r="AH725">
        <v>68.310286586999993</v>
      </c>
      <c r="AI725">
        <v>51.575510682000001</v>
      </c>
      <c r="AJ725"/>
      <c r="AK725">
        <v>52.2640849</v>
      </c>
      <c r="AL725"/>
      <c r="AM725">
        <v>66.253259627999995</v>
      </c>
      <c r="AN725"/>
      <c r="AO725"/>
      <c r="AP725"/>
      <c r="AQ725">
        <v>57.411918970000002</v>
      </c>
      <c r="AR725"/>
      <c r="AS725">
        <v>51.110993452999999</v>
      </c>
      <c r="AT725"/>
    </row>
    <row r="726" spans="1:46" x14ac:dyDescent="0.2">
      <c r="A726" s="87">
        <v>28976</v>
      </c>
      <c r="B726"/>
      <c r="C726"/>
      <c r="D726">
        <v>36.055359951</v>
      </c>
      <c r="E726">
        <v>53.006000350000001</v>
      </c>
      <c r="F726">
        <v>62.649149072999997</v>
      </c>
      <c r="G726">
        <v>57.727405173000001</v>
      </c>
      <c r="H726"/>
      <c r="I726"/>
      <c r="J726"/>
      <c r="K726"/>
      <c r="L726">
        <v>59.557429040000002</v>
      </c>
      <c r="M726">
        <v>62.533985694999998</v>
      </c>
      <c r="N726">
        <v>67.955780924999999</v>
      </c>
      <c r="O726">
        <v>83.133256118000006</v>
      </c>
      <c r="P726"/>
      <c r="Q726"/>
      <c r="R726">
        <v>46.752021083999999</v>
      </c>
      <c r="S726">
        <v>81.546894428000002</v>
      </c>
      <c r="T726">
        <v>60.637095973000001</v>
      </c>
      <c r="U726">
        <v>72.055924000999994</v>
      </c>
      <c r="V726">
        <v>115.093765968</v>
      </c>
      <c r="W726"/>
      <c r="X726"/>
      <c r="Y726">
        <v>7.6701151100000002</v>
      </c>
      <c r="Z726"/>
      <c r="AA726"/>
      <c r="AB726">
        <v>87.881458554999995</v>
      </c>
      <c r="AC726">
        <v>67.555562121999998</v>
      </c>
      <c r="AD726"/>
      <c r="AE726">
        <v>51.545564243000001</v>
      </c>
      <c r="AF726"/>
      <c r="AG726"/>
      <c r="AH726">
        <v>67.640577895000007</v>
      </c>
      <c r="AI726">
        <v>52.696717436</v>
      </c>
      <c r="AJ726"/>
      <c r="AK726">
        <v>52.702097715999997</v>
      </c>
      <c r="AL726"/>
      <c r="AM726">
        <v>66.307202086999993</v>
      </c>
      <c r="AN726"/>
      <c r="AO726"/>
      <c r="AP726"/>
      <c r="AQ726">
        <v>57.988343858999997</v>
      </c>
      <c r="AR726"/>
      <c r="AS726">
        <v>51.543944267999997</v>
      </c>
      <c r="AT726"/>
    </row>
    <row r="727" spans="1:46" x14ac:dyDescent="0.2">
      <c r="A727" s="87">
        <v>29007</v>
      </c>
      <c r="B727"/>
      <c r="C727"/>
      <c r="D727">
        <v>37.105835583999998</v>
      </c>
      <c r="E727">
        <v>54.988917190999999</v>
      </c>
      <c r="F727">
        <v>63.061820230999999</v>
      </c>
      <c r="G727">
        <v>57.341139812000002</v>
      </c>
      <c r="H727"/>
      <c r="I727"/>
      <c r="J727"/>
      <c r="K727"/>
      <c r="L727">
        <v>60.730062357999998</v>
      </c>
      <c r="M727">
        <v>61.908645837999998</v>
      </c>
      <c r="N727">
        <v>68.727464404000003</v>
      </c>
      <c r="O727">
        <v>84.160334410000004</v>
      </c>
      <c r="P727"/>
      <c r="Q727"/>
      <c r="R727">
        <v>46.802728266000003</v>
      </c>
      <c r="S727">
        <v>82.155907826999993</v>
      </c>
      <c r="T727">
        <v>60.920628909000001</v>
      </c>
      <c r="U727">
        <v>73.238931707999996</v>
      </c>
      <c r="V727">
        <v>113.88601308299999</v>
      </c>
      <c r="W727"/>
      <c r="X727"/>
      <c r="Y727">
        <v>7.6317267260000001</v>
      </c>
      <c r="Z727"/>
      <c r="AA727"/>
      <c r="AB727">
        <v>87.398593399999996</v>
      </c>
      <c r="AC727">
        <v>67.807949029</v>
      </c>
      <c r="AD727"/>
      <c r="AE727">
        <v>53.185865548000002</v>
      </c>
      <c r="AF727"/>
      <c r="AG727"/>
      <c r="AH727">
        <v>66.970869203000007</v>
      </c>
      <c r="AI727">
        <v>52.136114059000001</v>
      </c>
      <c r="AJ727"/>
      <c r="AK727">
        <v>52.96749939</v>
      </c>
      <c r="AL727"/>
      <c r="AM727">
        <v>65.759379585999994</v>
      </c>
      <c r="AN727"/>
      <c r="AO727"/>
      <c r="AP727"/>
      <c r="AQ727">
        <v>59.314121104000002</v>
      </c>
      <c r="AR727"/>
      <c r="AS727">
        <v>51.549693157</v>
      </c>
      <c r="AT727"/>
    </row>
    <row r="728" spans="1:46" x14ac:dyDescent="0.2">
      <c r="A728" s="87">
        <v>29037</v>
      </c>
      <c r="B728"/>
      <c r="C728"/>
      <c r="D728">
        <v>37.474400457999998</v>
      </c>
      <c r="E728">
        <v>54.086657123000002</v>
      </c>
      <c r="F728">
        <v>62.448256401000002</v>
      </c>
      <c r="G728">
        <v>57.975047320000002</v>
      </c>
      <c r="H728"/>
      <c r="I728"/>
      <c r="J728"/>
      <c r="K728"/>
      <c r="L728">
        <v>61.038650074000003</v>
      </c>
      <c r="M728">
        <v>64.410005264999995</v>
      </c>
      <c r="N728">
        <v>68.727464404000003</v>
      </c>
      <c r="O728">
        <v>83.688046103999994</v>
      </c>
      <c r="P728"/>
      <c r="Q728"/>
      <c r="R728">
        <v>47.766164709000002</v>
      </c>
      <c r="S728">
        <v>83.982948031999996</v>
      </c>
      <c r="T728">
        <v>61.020344594000001</v>
      </c>
      <c r="U728">
        <v>72.378562466000005</v>
      </c>
      <c r="V728">
        <v>111.632606251</v>
      </c>
      <c r="W728"/>
      <c r="X728"/>
      <c r="Y728">
        <v>7.7545712560000002</v>
      </c>
      <c r="Z728"/>
      <c r="AA728"/>
      <c r="AB728">
        <v>86.722582184000004</v>
      </c>
      <c r="AC728">
        <v>68.312722843000003</v>
      </c>
      <c r="AD728"/>
      <c r="AE728">
        <v>51.135511469000001</v>
      </c>
      <c r="AF728"/>
      <c r="AG728"/>
      <c r="AH728">
        <v>68.310286586999993</v>
      </c>
      <c r="AI728">
        <v>53.257320813</v>
      </c>
      <c r="AJ728"/>
      <c r="AK728">
        <v>53.027297466</v>
      </c>
      <c r="AL728"/>
      <c r="AM728">
        <v>62.376810826000003</v>
      </c>
      <c r="AN728"/>
      <c r="AO728"/>
      <c r="AP728"/>
      <c r="AQ728">
        <v>58.218913815000001</v>
      </c>
      <c r="AR728"/>
      <c r="AS728">
        <v>51.465541315999999</v>
      </c>
      <c r="AT728"/>
    </row>
    <row r="729" spans="1:46" x14ac:dyDescent="0.2">
      <c r="A729" s="87">
        <v>29068</v>
      </c>
      <c r="B729"/>
      <c r="C729"/>
      <c r="D729">
        <v>37.537641520000001</v>
      </c>
      <c r="E729">
        <v>54.339740964999997</v>
      </c>
      <c r="F729">
        <v>63.865070455000001</v>
      </c>
      <c r="G729">
        <v>57.947792587000002</v>
      </c>
      <c r="H729"/>
      <c r="I729"/>
      <c r="J729"/>
      <c r="K729"/>
      <c r="L729">
        <v>60.174604471000002</v>
      </c>
      <c r="M729">
        <v>62.533985694999998</v>
      </c>
      <c r="N729">
        <v>69.118069621000004</v>
      </c>
      <c r="O729">
        <v>84.543226359000002</v>
      </c>
      <c r="P729"/>
      <c r="Q729"/>
      <c r="R729">
        <v>47.208385714999999</v>
      </c>
      <c r="S729">
        <v>83.982948031999996</v>
      </c>
      <c r="T729">
        <v>61.106170880000001</v>
      </c>
      <c r="U729">
        <v>69.797454740999996</v>
      </c>
      <c r="V729">
        <v>113.44657512400001</v>
      </c>
      <c r="W729"/>
      <c r="X729"/>
      <c r="Y729">
        <v>7.800637601</v>
      </c>
      <c r="Z729"/>
      <c r="AA729"/>
      <c r="AB729">
        <v>93.868986500999995</v>
      </c>
      <c r="AC729">
        <v>69.322270470999996</v>
      </c>
      <c r="AD729"/>
      <c r="AE729">
        <v>52.03102835</v>
      </c>
      <c r="AF729"/>
      <c r="AG729"/>
      <c r="AH729">
        <v>67.640577895000007</v>
      </c>
      <c r="AI729">
        <v>55.499734320999998</v>
      </c>
      <c r="AJ729"/>
      <c r="AK729">
        <v>53.151207067000001</v>
      </c>
      <c r="AL729"/>
      <c r="AM729">
        <v>70.535131759999999</v>
      </c>
      <c r="AN729"/>
      <c r="AO729"/>
      <c r="AP729"/>
      <c r="AQ729">
        <v>59.717618526999999</v>
      </c>
      <c r="AR729"/>
      <c r="AS729">
        <v>51.141918511999997</v>
      </c>
      <c r="AT729"/>
    </row>
    <row r="730" spans="1:46" x14ac:dyDescent="0.2">
      <c r="A730" s="87">
        <v>29099</v>
      </c>
      <c r="B730"/>
      <c r="C730"/>
      <c r="D730">
        <v>37.901181254999997</v>
      </c>
      <c r="E730">
        <v>55.076727749</v>
      </c>
      <c r="F730">
        <v>62.656915228999999</v>
      </c>
      <c r="G730">
        <v>57.828435650000003</v>
      </c>
      <c r="H730"/>
      <c r="I730"/>
      <c r="J730"/>
      <c r="K730"/>
      <c r="L730">
        <v>60.298039557000003</v>
      </c>
      <c r="M730">
        <v>62.533985694999998</v>
      </c>
      <c r="N730">
        <v>69.213339187000003</v>
      </c>
      <c r="O730">
        <v>83.292367646000002</v>
      </c>
      <c r="P730"/>
      <c r="Q730"/>
      <c r="R730">
        <v>46.954849809000002</v>
      </c>
      <c r="S730">
        <v>82.764921224999995</v>
      </c>
      <c r="T730">
        <v>60.932137445999999</v>
      </c>
      <c r="U730">
        <v>69.582362431000007</v>
      </c>
      <c r="V730">
        <v>111.846013013</v>
      </c>
      <c r="W730"/>
      <c r="X730"/>
      <c r="Y730">
        <v>8.1000709670000006</v>
      </c>
      <c r="Z730"/>
      <c r="AA730"/>
      <c r="AB730">
        <v>95.607301073000002</v>
      </c>
      <c r="AC730">
        <v>68.060335936000001</v>
      </c>
      <c r="AD730"/>
      <c r="AE730">
        <v>54.235594722000002</v>
      </c>
      <c r="AF730"/>
      <c r="AG730"/>
      <c r="AH730">
        <v>68.979995278999994</v>
      </c>
      <c r="AI730">
        <v>57.742147828999997</v>
      </c>
      <c r="AJ730"/>
      <c r="AK730">
        <v>53.031332202999998</v>
      </c>
      <c r="AL730"/>
      <c r="AM730">
        <v>68.298033115999999</v>
      </c>
      <c r="AN730"/>
      <c r="AO730"/>
      <c r="AP730"/>
      <c r="AQ730">
        <v>60.236400926999998</v>
      </c>
      <c r="AR730"/>
      <c r="AS730">
        <v>51.129627782999997</v>
      </c>
      <c r="AT730"/>
    </row>
    <row r="731" spans="1:46" x14ac:dyDescent="0.2">
      <c r="A731" s="87">
        <v>29129</v>
      </c>
      <c r="B731"/>
      <c r="C731"/>
      <c r="D731">
        <v>37.192541837999997</v>
      </c>
      <c r="E731">
        <v>53.939385012000002</v>
      </c>
      <c r="F731">
        <v>64.894754773000003</v>
      </c>
      <c r="G731">
        <v>57.741502449000002</v>
      </c>
      <c r="H731"/>
      <c r="I731"/>
      <c r="J731"/>
      <c r="K731"/>
      <c r="L731">
        <v>59.619146583999999</v>
      </c>
      <c r="M731">
        <v>65.660684978999996</v>
      </c>
      <c r="N731">
        <v>68.632194838000004</v>
      </c>
      <c r="O731">
        <v>82.479977059999996</v>
      </c>
      <c r="P731"/>
      <c r="Q731"/>
      <c r="R731">
        <v>47.411214440000002</v>
      </c>
      <c r="S731">
        <v>82.034105152999999</v>
      </c>
      <c r="T731">
        <v>61.171005035</v>
      </c>
      <c r="U731">
        <v>69.797454740999996</v>
      </c>
      <c r="V731">
        <v>114.34502876800001</v>
      </c>
      <c r="W731"/>
      <c r="X731"/>
      <c r="Y731">
        <v>7.9925823569999999</v>
      </c>
      <c r="Z731"/>
      <c r="AA731"/>
      <c r="AB731">
        <v>94.834716822000004</v>
      </c>
      <c r="AC731">
        <v>69.490528409000007</v>
      </c>
      <c r="AD731"/>
      <c r="AE731">
        <v>50.942404592000003</v>
      </c>
      <c r="AF731"/>
      <c r="AG731"/>
      <c r="AH731">
        <v>68.310286586999993</v>
      </c>
      <c r="AI731">
        <v>54.939130943999999</v>
      </c>
      <c r="AJ731"/>
      <c r="AK731">
        <v>53.157481431000001</v>
      </c>
      <c r="AL731"/>
      <c r="AM731">
        <v>69.042880522999994</v>
      </c>
      <c r="AN731"/>
      <c r="AO731"/>
      <c r="AP731"/>
      <c r="AQ731">
        <v>58.795338704000002</v>
      </c>
      <c r="AR731"/>
      <c r="AS731">
        <v>51.482787983000001</v>
      </c>
      <c r="AT731"/>
    </row>
    <row r="732" spans="1:46" x14ac:dyDescent="0.2">
      <c r="A732" s="87">
        <v>29160</v>
      </c>
      <c r="B732"/>
      <c r="C732"/>
      <c r="D732">
        <v>37.020479346999998</v>
      </c>
      <c r="E732">
        <v>53.827864587999997</v>
      </c>
      <c r="F732">
        <v>64.196262864999994</v>
      </c>
      <c r="G732">
        <v>57.255146429</v>
      </c>
      <c r="H732"/>
      <c r="I732"/>
      <c r="J732"/>
      <c r="K732"/>
      <c r="L732">
        <v>61.162085159999997</v>
      </c>
      <c r="M732">
        <v>65.660684978999996</v>
      </c>
      <c r="N732">
        <v>69.403878316999993</v>
      </c>
      <c r="O732">
        <v>82.193073585999997</v>
      </c>
      <c r="P732"/>
      <c r="Q732"/>
      <c r="R732">
        <v>48.577479607999997</v>
      </c>
      <c r="S732">
        <v>82.399513185000004</v>
      </c>
      <c r="T732">
        <v>61.589915681999997</v>
      </c>
      <c r="U732">
        <v>70.765370137999994</v>
      </c>
      <c r="V732">
        <v>108.08851599800001</v>
      </c>
      <c r="W732"/>
      <c r="X732"/>
      <c r="Y732">
        <v>8.0309707410000009</v>
      </c>
      <c r="Z732"/>
      <c r="AA732"/>
      <c r="AB732">
        <v>95.414155002000001</v>
      </c>
      <c r="AC732">
        <v>70.331818099000003</v>
      </c>
      <c r="AD732"/>
      <c r="AE732">
        <v>52.917943424000001</v>
      </c>
      <c r="AF732"/>
      <c r="AG732"/>
      <c r="AH732">
        <v>69.649703970999994</v>
      </c>
      <c r="AI732">
        <v>57.181544451999997</v>
      </c>
      <c r="AJ732"/>
      <c r="AK732">
        <v>53.472711758000003</v>
      </c>
      <c r="AL732"/>
      <c r="AM732">
        <v>69.741097750999998</v>
      </c>
      <c r="AN732"/>
      <c r="AO732"/>
      <c r="AP732"/>
      <c r="AQ732">
        <v>59.256478614999999</v>
      </c>
      <c r="AR732"/>
      <c r="AS732">
        <v>51.405574455999997</v>
      </c>
      <c r="AT732"/>
    </row>
    <row r="733" spans="1:46" x14ac:dyDescent="0.2">
      <c r="A733" s="87">
        <v>29190</v>
      </c>
      <c r="B733"/>
      <c r="C733"/>
      <c r="D733">
        <v>40.054639731999998</v>
      </c>
      <c r="E733">
        <v>55.835073108000003</v>
      </c>
      <c r="F733">
        <v>65.438918579000003</v>
      </c>
      <c r="G733">
        <v>56.511280167999999</v>
      </c>
      <c r="H733"/>
      <c r="I733"/>
      <c r="J733"/>
      <c r="K733"/>
      <c r="L733">
        <v>62.087848305000001</v>
      </c>
      <c r="M733">
        <v>65.035345121999995</v>
      </c>
      <c r="N733">
        <v>70.175561795999997</v>
      </c>
      <c r="O733">
        <v>80.650098815000007</v>
      </c>
      <c r="P733"/>
      <c r="Q733"/>
      <c r="R733">
        <v>48.222529340000001</v>
      </c>
      <c r="S733">
        <v>82.277710510000006</v>
      </c>
      <c r="T733">
        <v>61.854835741999999</v>
      </c>
      <c r="U733">
        <v>71.195554759000004</v>
      </c>
      <c r="V733">
        <v>112.69071664499999</v>
      </c>
      <c r="W733"/>
      <c r="X733"/>
      <c r="Y733">
        <v>7.7238594149999997</v>
      </c>
      <c r="Z733"/>
      <c r="AA733"/>
      <c r="AB733">
        <v>98.311345944999999</v>
      </c>
      <c r="AC733">
        <v>70.079431192000001</v>
      </c>
      <c r="AD733"/>
      <c r="AE733">
        <v>55.317226494000003</v>
      </c>
      <c r="AF733"/>
      <c r="AG733"/>
      <c r="AH733">
        <v>66.301160511000006</v>
      </c>
      <c r="AI733">
        <v>56.060337697999998</v>
      </c>
      <c r="AJ733"/>
      <c r="AK733">
        <v>53.684019409999998</v>
      </c>
      <c r="AL733"/>
      <c r="AM733">
        <v>69.61237362</v>
      </c>
      <c r="AN733"/>
      <c r="AO733"/>
      <c r="AP733"/>
      <c r="AQ733">
        <v>60.928110793999998</v>
      </c>
      <c r="AR733"/>
      <c r="AS733">
        <v>51.445122847999997</v>
      </c>
      <c r="AT733"/>
    </row>
    <row r="734" spans="1:46" x14ac:dyDescent="0.2">
      <c r="A734" s="87">
        <v>29221</v>
      </c>
      <c r="B734"/>
      <c r="C734"/>
      <c r="D734">
        <v>37.966228289</v>
      </c>
      <c r="E734">
        <v>55.372013703</v>
      </c>
      <c r="F734">
        <v>66.442025497000003</v>
      </c>
      <c r="G734">
        <v>57.271593250999999</v>
      </c>
      <c r="H734"/>
      <c r="I734"/>
      <c r="J734"/>
      <c r="K734"/>
      <c r="L734">
        <v>61.717543046999999</v>
      </c>
      <c r="M734">
        <v>64.410005264999995</v>
      </c>
      <c r="N734">
        <v>68.173246255999999</v>
      </c>
      <c r="O734">
        <v>83.342515844000005</v>
      </c>
      <c r="P734"/>
      <c r="Q734"/>
      <c r="R734">
        <v>49.591623233</v>
      </c>
      <c r="S734">
        <v>81.790641889</v>
      </c>
      <c r="T734">
        <v>61.939452686999999</v>
      </c>
      <c r="U734">
        <v>70.765370137999994</v>
      </c>
      <c r="V734">
        <v>112.95075410299999</v>
      </c>
      <c r="W734"/>
      <c r="X734"/>
      <c r="Y734">
        <v>7.8623303509999998</v>
      </c>
      <c r="Z734"/>
      <c r="AA734"/>
      <c r="AB734">
        <v>97.386659171000005</v>
      </c>
      <c r="AC734">
        <v>70.584205006000005</v>
      </c>
      <c r="AD734"/>
      <c r="AE734">
        <v>54.504220466</v>
      </c>
      <c r="AF734"/>
      <c r="AG734">
        <v>54.656029920999998</v>
      </c>
      <c r="AH734">
        <v>68.979995278999994</v>
      </c>
      <c r="AI734">
        <v>57.742147828999997</v>
      </c>
      <c r="AJ734"/>
      <c r="AK734">
        <v>53.829140445</v>
      </c>
      <c r="AL734"/>
      <c r="AM734">
        <v>71.702825622999995</v>
      </c>
      <c r="AN734"/>
      <c r="AO734"/>
      <c r="AP734"/>
      <c r="AQ734">
        <v>60.236400926999998</v>
      </c>
      <c r="AR734"/>
      <c r="AS734">
        <v>51.711455000000001</v>
      </c>
      <c r="AT734"/>
    </row>
    <row r="735" spans="1:46" x14ac:dyDescent="0.2">
      <c r="A735" s="87">
        <v>29252</v>
      </c>
      <c r="B735"/>
      <c r="C735"/>
      <c r="D735">
        <v>37.754863798000002</v>
      </c>
      <c r="E735">
        <v>54.117760214999997</v>
      </c>
      <c r="F735">
        <v>67.273285303999998</v>
      </c>
      <c r="G735">
        <v>56.250480563000004</v>
      </c>
      <c r="H735"/>
      <c r="I735"/>
      <c r="J735"/>
      <c r="K735"/>
      <c r="L735">
        <v>61.655825503999999</v>
      </c>
      <c r="M735">
        <v>63.784665408999999</v>
      </c>
      <c r="N735">
        <v>67.590568938000004</v>
      </c>
      <c r="O735">
        <v>82.772157234999995</v>
      </c>
      <c r="P735"/>
      <c r="Q735"/>
      <c r="R735">
        <v>49.135258602</v>
      </c>
      <c r="S735">
        <v>81.546975625000002</v>
      </c>
      <c r="T735">
        <v>62.269547600000003</v>
      </c>
      <c r="U735">
        <v>69.152177809999998</v>
      </c>
      <c r="V735">
        <v>112.836239922</v>
      </c>
      <c r="W735"/>
      <c r="X735"/>
      <c r="Y735">
        <v>7.5703009379999999</v>
      </c>
      <c r="Z735"/>
      <c r="AA735"/>
      <c r="AB735">
        <v>98.970939756999996</v>
      </c>
      <c r="AC735">
        <v>73.192203046000003</v>
      </c>
      <c r="AD735"/>
      <c r="AE735">
        <v>52.397302713999999</v>
      </c>
      <c r="AF735"/>
      <c r="AG735">
        <v>54.222251905999997</v>
      </c>
      <c r="AH735">
        <v>66.301160511000006</v>
      </c>
      <c r="AI735">
        <v>58.863354583000003</v>
      </c>
      <c r="AJ735"/>
      <c r="AK735">
        <v>53.965965832999998</v>
      </c>
      <c r="AL735"/>
      <c r="AM735">
        <v>69.950485158000006</v>
      </c>
      <c r="AN735"/>
      <c r="AO735"/>
      <c r="AP735"/>
      <c r="AQ735">
        <v>59.775261016000002</v>
      </c>
      <c r="AR735"/>
      <c r="AS735">
        <v>51.737622356999999</v>
      </c>
      <c r="AT735"/>
    </row>
    <row r="736" spans="1:46" x14ac:dyDescent="0.2">
      <c r="A736" s="87">
        <v>29281</v>
      </c>
      <c r="B736"/>
      <c r="C736"/>
      <c r="D736">
        <v>39.213605135000002</v>
      </c>
      <c r="E736">
        <v>54.949202669999998</v>
      </c>
      <c r="F736">
        <v>69.754431917000005</v>
      </c>
      <c r="G736">
        <v>56.903654348000003</v>
      </c>
      <c r="H736"/>
      <c r="I736"/>
      <c r="J736"/>
      <c r="K736"/>
      <c r="L736">
        <v>61.100367617000003</v>
      </c>
      <c r="M736">
        <v>64.410005264999995</v>
      </c>
      <c r="N736">
        <v>67.623395829000003</v>
      </c>
      <c r="O736">
        <v>85.756678300000004</v>
      </c>
      <c r="P736"/>
      <c r="Q736"/>
      <c r="R736">
        <v>50.200109406999999</v>
      </c>
      <c r="S736">
        <v>82.115530234999994</v>
      </c>
      <c r="T736">
        <v>61.938206170999997</v>
      </c>
      <c r="U736">
        <v>68.721993189000003</v>
      </c>
      <c r="V736">
        <v>113.697017988</v>
      </c>
      <c r="W736"/>
      <c r="X736"/>
      <c r="Y736">
        <v>7.7050837440000004</v>
      </c>
      <c r="Z736"/>
      <c r="AA736"/>
      <c r="AB736">
        <v>101.39395711500001</v>
      </c>
      <c r="AC736">
        <v>71.257236758000005</v>
      </c>
      <c r="AD736"/>
      <c r="AE736">
        <v>53.566800688000001</v>
      </c>
      <c r="AF736"/>
      <c r="AG736">
        <v>55.234400608000001</v>
      </c>
      <c r="AH736">
        <v>69.649703970999994</v>
      </c>
      <c r="AI736">
        <v>56.620941074999998</v>
      </c>
      <c r="AJ736"/>
      <c r="AK736">
        <v>53.94247833</v>
      </c>
      <c r="AL736"/>
      <c r="AM736">
        <v>70.828536305</v>
      </c>
      <c r="AN736"/>
      <c r="AO736"/>
      <c r="AP736"/>
      <c r="AQ736">
        <v>60.582255861</v>
      </c>
      <c r="AR736"/>
      <c r="AS736">
        <v>51.525309937999999</v>
      </c>
      <c r="AT736"/>
    </row>
    <row r="737" spans="1:46" x14ac:dyDescent="0.2">
      <c r="A737" s="87">
        <v>29312</v>
      </c>
      <c r="B737"/>
      <c r="C737"/>
      <c r="D737">
        <v>37.953751449999999</v>
      </c>
      <c r="E737">
        <v>53.214657699</v>
      </c>
      <c r="F737">
        <v>66.719627525999996</v>
      </c>
      <c r="G737">
        <v>55.639598605000003</v>
      </c>
      <c r="H737"/>
      <c r="I737"/>
      <c r="J737"/>
      <c r="K737"/>
      <c r="L737">
        <v>60.483192185999997</v>
      </c>
      <c r="M737">
        <v>63.784665408999999</v>
      </c>
      <c r="N737">
        <v>67.467468096000005</v>
      </c>
      <c r="O737">
        <v>82.603220644000004</v>
      </c>
      <c r="P737"/>
      <c r="Q737"/>
      <c r="R737">
        <v>50.453645313000003</v>
      </c>
      <c r="S737">
        <v>82.115530234999994</v>
      </c>
      <c r="T737">
        <v>61.273303978999998</v>
      </c>
      <c r="U737">
        <v>66.786162395000005</v>
      </c>
      <c r="V737">
        <v>115.642104231</v>
      </c>
      <c r="W737"/>
      <c r="X737"/>
      <c r="Y737">
        <v>7.6601561419999999</v>
      </c>
      <c r="Z737"/>
      <c r="AA737"/>
      <c r="AB737">
        <v>99.716483557999993</v>
      </c>
      <c r="AC737">
        <v>72.519171294000003</v>
      </c>
      <c r="AD737"/>
      <c r="AE737">
        <v>54.436856124000002</v>
      </c>
      <c r="AF737"/>
      <c r="AG737">
        <v>54.945215265000002</v>
      </c>
      <c r="AH737">
        <v>66.970869203000007</v>
      </c>
      <c r="AI737">
        <v>57.181544451999997</v>
      </c>
      <c r="AJ737"/>
      <c r="AK737">
        <v>53.332638146999997</v>
      </c>
      <c r="AL737"/>
      <c r="AM737">
        <v>69.713745111999998</v>
      </c>
      <c r="AN737"/>
      <c r="AO737"/>
      <c r="AP737"/>
      <c r="AQ737">
        <v>59.717618526999999</v>
      </c>
      <c r="AR737"/>
      <c r="AS737">
        <v>50.525399723</v>
      </c>
      <c r="AT737"/>
    </row>
    <row r="738" spans="1:46" x14ac:dyDescent="0.2">
      <c r="A738" s="87">
        <v>29342</v>
      </c>
      <c r="B738"/>
      <c r="C738"/>
      <c r="D738">
        <v>37.854740698000001</v>
      </c>
      <c r="E738">
        <v>53.296954618000001</v>
      </c>
      <c r="F738">
        <v>68.989663070000006</v>
      </c>
      <c r="G738">
        <v>54.267933655999997</v>
      </c>
      <c r="H738"/>
      <c r="I738"/>
      <c r="J738"/>
      <c r="K738"/>
      <c r="L738">
        <v>60.421474643000003</v>
      </c>
      <c r="M738">
        <v>62.533985694999998</v>
      </c>
      <c r="N738">
        <v>66.696036152999994</v>
      </c>
      <c r="O738">
        <v>82.099784072000006</v>
      </c>
      <c r="P738"/>
      <c r="Q738"/>
      <c r="R738">
        <v>49.185965783</v>
      </c>
      <c r="S738">
        <v>80.084978058000004</v>
      </c>
      <c r="T738">
        <v>60.286328455000003</v>
      </c>
      <c r="U738">
        <v>66.893708549999999</v>
      </c>
      <c r="V738">
        <v>115.23919952</v>
      </c>
      <c r="W738"/>
      <c r="X738"/>
      <c r="Y738">
        <v>7.8174027490000002</v>
      </c>
      <c r="Z738"/>
      <c r="AA738"/>
      <c r="AB738">
        <v>97.386659171000005</v>
      </c>
      <c r="AC738">
        <v>72.01439748</v>
      </c>
      <c r="AD738"/>
      <c r="AE738">
        <v>52.737113002999997</v>
      </c>
      <c r="AF738"/>
      <c r="AG738">
        <v>55.017511601000002</v>
      </c>
      <c r="AH738">
        <v>67.640577895000007</v>
      </c>
      <c r="AI738">
        <v>57.181544451999997</v>
      </c>
      <c r="AJ738"/>
      <c r="AK738">
        <v>52.486395162000001</v>
      </c>
      <c r="AL738"/>
      <c r="AM738">
        <v>69.195480713999999</v>
      </c>
      <c r="AN738"/>
      <c r="AO738"/>
      <c r="AP738"/>
      <c r="AQ738">
        <v>46.113991140000003</v>
      </c>
      <c r="AR738"/>
      <c r="AS738">
        <v>49.270556016</v>
      </c>
      <c r="AT738"/>
    </row>
    <row r="739" spans="1:46" x14ac:dyDescent="0.2">
      <c r="A739" s="87">
        <v>29373</v>
      </c>
      <c r="B739"/>
      <c r="C739"/>
      <c r="D739">
        <v>38.310436793999997</v>
      </c>
      <c r="E739">
        <v>52.662653521000003</v>
      </c>
      <c r="F739">
        <v>69.721132932000003</v>
      </c>
      <c r="G739">
        <v>53.925369850999999</v>
      </c>
      <c r="H739"/>
      <c r="I739"/>
      <c r="J739"/>
      <c r="K739"/>
      <c r="L739">
        <v>59.866016756</v>
      </c>
      <c r="M739">
        <v>62.533985694999998</v>
      </c>
      <c r="N739">
        <v>67.081752124000005</v>
      </c>
      <c r="O739">
        <v>83.231720144999997</v>
      </c>
      <c r="P739"/>
      <c r="Q739"/>
      <c r="R739">
        <v>51.873446387999998</v>
      </c>
      <c r="S739">
        <v>80.491088496000003</v>
      </c>
      <c r="T739">
        <v>59.735677309000003</v>
      </c>
      <c r="U739">
        <v>66.893708549999999</v>
      </c>
      <c r="V739">
        <v>115.188728408</v>
      </c>
      <c r="W739"/>
      <c r="X739"/>
      <c r="Y739">
        <v>7.7050837440000004</v>
      </c>
      <c r="Z739"/>
      <c r="AA739"/>
      <c r="AB739">
        <v>96.547922399000001</v>
      </c>
      <c r="AC739">
        <v>71.257236758000005</v>
      </c>
      <c r="AD739"/>
      <c r="AE739">
        <v>51.990432538</v>
      </c>
      <c r="AF739"/>
      <c r="AG739">
        <v>55.595882287999999</v>
      </c>
      <c r="AH739">
        <v>66.970869203000007</v>
      </c>
      <c r="AI739">
        <v>58.302751206000003</v>
      </c>
      <c r="AJ739"/>
      <c r="AK739">
        <v>52.279273144999998</v>
      </c>
      <c r="AL739"/>
      <c r="AM739">
        <v>70.698952078000005</v>
      </c>
      <c r="AN739"/>
      <c r="AO739"/>
      <c r="AP739"/>
      <c r="AQ739">
        <v>59.429406082</v>
      </c>
      <c r="AR739"/>
      <c r="AS739">
        <v>48.642935925000003</v>
      </c>
      <c r="AT739"/>
    </row>
    <row r="740" spans="1:46" x14ac:dyDescent="0.2">
      <c r="A740" s="87">
        <v>29403</v>
      </c>
      <c r="B740"/>
      <c r="C740"/>
      <c r="D740">
        <v>37.091631071000002</v>
      </c>
      <c r="E740">
        <v>52.300417838000001</v>
      </c>
      <c r="F740">
        <v>68.930704852999995</v>
      </c>
      <c r="G740">
        <v>54.409376324999997</v>
      </c>
      <c r="H740"/>
      <c r="I740"/>
      <c r="J740"/>
      <c r="K740"/>
      <c r="L740">
        <v>60.174604471000002</v>
      </c>
      <c r="M740">
        <v>64.410005264999995</v>
      </c>
      <c r="N740">
        <v>66.499074805999996</v>
      </c>
      <c r="O740">
        <v>82.096102302999995</v>
      </c>
      <c r="P740"/>
      <c r="Q740"/>
      <c r="R740">
        <v>55.828606522999998</v>
      </c>
      <c r="S740">
        <v>81.222087278999993</v>
      </c>
      <c r="T740">
        <v>59.394195132999997</v>
      </c>
      <c r="U740">
        <v>65.495608532000006</v>
      </c>
      <c r="V740">
        <v>114.38724541400001</v>
      </c>
      <c r="W740"/>
      <c r="X740"/>
      <c r="Y740">
        <v>7.4355181320000003</v>
      </c>
      <c r="Z740"/>
      <c r="AA740"/>
      <c r="AB740">
        <v>93.752133134000005</v>
      </c>
      <c r="AC740">
        <v>71.173107788999999</v>
      </c>
      <c r="AD740"/>
      <c r="AE740">
        <v>52.351102224000002</v>
      </c>
      <c r="AF740"/>
      <c r="AG740">
        <v>54.656029920999998</v>
      </c>
      <c r="AH740">
        <v>66.301160511000006</v>
      </c>
      <c r="AI740">
        <v>49.333097174000002</v>
      </c>
      <c r="AJ740"/>
      <c r="AK740">
        <v>51.912517137000002</v>
      </c>
      <c r="AL740"/>
      <c r="AM740">
        <v>70.171895980000002</v>
      </c>
      <c r="AN740"/>
      <c r="AO740"/>
      <c r="AP740"/>
      <c r="AQ740">
        <v>60.294043416000001</v>
      </c>
      <c r="AR740"/>
      <c r="AS740">
        <v>48.270943156999998</v>
      </c>
      <c r="AT740"/>
    </row>
    <row r="741" spans="1:46" x14ac:dyDescent="0.2">
      <c r="A741" s="87">
        <v>29434</v>
      </c>
      <c r="B741"/>
      <c r="C741"/>
      <c r="D741">
        <v>38.121849029000003</v>
      </c>
      <c r="E741">
        <v>53.021177158999997</v>
      </c>
      <c r="F741">
        <v>68.621218869000003</v>
      </c>
      <c r="G741">
        <v>54.156565176000001</v>
      </c>
      <c r="H741"/>
      <c r="I741"/>
      <c r="J741"/>
      <c r="K741"/>
      <c r="L741">
        <v>60.298039557000003</v>
      </c>
      <c r="M741">
        <v>60.657966123999998</v>
      </c>
      <c r="N741">
        <v>67.779323562000002</v>
      </c>
      <c r="O741">
        <v>81.815983302000006</v>
      </c>
      <c r="P741"/>
      <c r="Q741"/>
      <c r="R741">
        <v>50.960717125999999</v>
      </c>
      <c r="S741">
        <v>81.222087278999993</v>
      </c>
      <c r="T741">
        <v>59.262252897000003</v>
      </c>
      <c r="U741">
        <v>64.420146979999998</v>
      </c>
      <c r="V741">
        <v>111.535383102</v>
      </c>
      <c r="W741"/>
      <c r="X741"/>
      <c r="Y741">
        <v>7.6152285400000004</v>
      </c>
      <c r="Z741"/>
      <c r="AA741"/>
      <c r="AB741">
        <v>97.293466199999997</v>
      </c>
      <c r="AC741">
        <v>69.069883563999994</v>
      </c>
      <c r="AD741"/>
      <c r="AE741">
        <v>46.953553264</v>
      </c>
      <c r="AF741"/>
      <c r="AG741">
        <v>56.318845646</v>
      </c>
      <c r="AH741">
        <v>65.631451819000006</v>
      </c>
      <c r="AI741">
        <v>56.060337697999998</v>
      </c>
      <c r="AJ741"/>
      <c r="AK741">
        <v>51.861626854000001</v>
      </c>
      <c r="AL741"/>
      <c r="AM741">
        <v>67.614933093999994</v>
      </c>
      <c r="AN741"/>
      <c r="AO741"/>
      <c r="AP741"/>
      <c r="AQ741">
        <v>58.507126259000003</v>
      </c>
      <c r="AR741"/>
      <c r="AS741">
        <v>48.422991359999997</v>
      </c>
      <c r="AT741"/>
    </row>
    <row r="742" spans="1:46" x14ac:dyDescent="0.2">
      <c r="A742" s="87">
        <v>29465</v>
      </c>
      <c r="B742"/>
      <c r="C742"/>
      <c r="D742">
        <v>36.953591197999998</v>
      </c>
      <c r="E742">
        <v>51.291917376999997</v>
      </c>
      <c r="F742">
        <v>71.164122098000007</v>
      </c>
      <c r="G742">
        <v>55.403234279000003</v>
      </c>
      <c r="H742"/>
      <c r="I742"/>
      <c r="J742"/>
      <c r="K742"/>
      <c r="L742">
        <v>58.199643092999999</v>
      </c>
      <c r="M742">
        <v>61.283305980999998</v>
      </c>
      <c r="N742">
        <v>65.694815972000001</v>
      </c>
      <c r="O742">
        <v>82.387206500999994</v>
      </c>
      <c r="P742"/>
      <c r="Q742"/>
      <c r="R742">
        <v>50.808595582000002</v>
      </c>
      <c r="S742">
        <v>79.678867620999995</v>
      </c>
      <c r="T742">
        <v>59.143020188000001</v>
      </c>
      <c r="U742">
        <v>63.344685427000002</v>
      </c>
      <c r="V742">
        <v>112.87749124</v>
      </c>
      <c r="W742"/>
      <c r="X742"/>
      <c r="Y742">
        <v>7.4130543309999997</v>
      </c>
      <c r="Z742"/>
      <c r="AA742"/>
      <c r="AB742">
        <v>91.422308758</v>
      </c>
      <c r="AC742">
        <v>70.163560161000007</v>
      </c>
      <c r="AD742"/>
      <c r="AE742">
        <v>47.942409726000001</v>
      </c>
      <c r="AF742"/>
      <c r="AG742">
        <v>56.463438318000001</v>
      </c>
      <c r="AH742">
        <v>63.622325742999998</v>
      </c>
      <c r="AI742">
        <v>54.939130943999999</v>
      </c>
      <c r="AJ742"/>
      <c r="AK742">
        <v>51.728597010000001</v>
      </c>
      <c r="AL742"/>
      <c r="AM742">
        <v>67.308168862000002</v>
      </c>
      <c r="AN742"/>
      <c r="AO742"/>
      <c r="AP742"/>
      <c r="AQ742">
        <v>57.700131413999998</v>
      </c>
      <c r="AR742"/>
      <c r="AS742">
        <v>49.241315976999999</v>
      </c>
      <c r="AT742"/>
    </row>
    <row r="743" spans="1:46" x14ac:dyDescent="0.2">
      <c r="A743" s="87">
        <v>29495</v>
      </c>
      <c r="B743"/>
      <c r="C743"/>
      <c r="D743">
        <v>37.598699867999997</v>
      </c>
      <c r="E743">
        <v>50.957891922999998</v>
      </c>
      <c r="F743">
        <v>69.442584848999999</v>
      </c>
      <c r="G743">
        <v>56.044190424999996</v>
      </c>
      <c r="H743"/>
      <c r="I743"/>
      <c r="J743"/>
      <c r="K743"/>
      <c r="L743">
        <v>58.508230808999997</v>
      </c>
      <c r="M743">
        <v>61.283305980999998</v>
      </c>
      <c r="N743">
        <v>65.785089923000001</v>
      </c>
      <c r="O743">
        <v>82.941589738000005</v>
      </c>
      <c r="P743"/>
      <c r="Q743"/>
      <c r="R743">
        <v>51.011424306999999</v>
      </c>
      <c r="S743">
        <v>79.353979275</v>
      </c>
      <c r="T743">
        <v>59.603285851999999</v>
      </c>
      <c r="U743">
        <v>63.022046961999997</v>
      </c>
      <c r="V743">
        <v>109.29754932900001</v>
      </c>
      <c r="W743"/>
      <c r="X743"/>
      <c r="Y743">
        <v>7.5253733360000004</v>
      </c>
      <c r="Z743"/>
      <c r="AA743"/>
      <c r="AB743">
        <v>92.354238502000001</v>
      </c>
      <c r="AC743">
        <v>70.584205006000005</v>
      </c>
      <c r="AD743"/>
      <c r="AE743">
        <v>46.838697414000002</v>
      </c>
      <c r="AF743"/>
      <c r="AG743">
        <v>57.403290685000002</v>
      </c>
      <c r="AH743">
        <v>66.301160511000006</v>
      </c>
      <c r="AI743">
        <v>56.620941074999998</v>
      </c>
      <c r="AJ743"/>
      <c r="AK743">
        <v>52.181957361999999</v>
      </c>
      <c r="AL743"/>
      <c r="AM743">
        <v>71.331329509</v>
      </c>
      <c r="AN743"/>
      <c r="AO743"/>
      <c r="AP743"/>
      <c r="AQ743">
        <v>58.334198792999999</v>
      </c>
      <c r="AR743"/>
      <c r="AS743">
        <v>49.862493348000001</v>
      </c>
      <c r="AT743"/>
    </row>
    <row r="744" spans="1:46" x14ac:dyDescent="0.2">
      <c r="A744" s="87">
        <v>29526</v>
      </c>
      <c r="B744"/>
      <c r="C744"/>
      <c r="D744">
        <v>37.972500682000003</v>
      </c>
      <c r="E744">
        <v>51.057105917999998</v>
      </c>
      <c r="F744">
        <v>70.655480193000002</v>
      </c>
      <c r="G744">
        <v>56.153209359000002</v>
      </c>
      <c r="H744"/>
      <c r="I744"/>
      <c r="J744"/>
      <c r="K744"/>
      <c r="L744">
        <v>59.495711497000002</v>
      </c>
      <c r="M744">
        <v>60.657966123999998</v>
      </c>
      <c r="N744">
        <v>66.375973963999996</v>
      </c>
      <c r="O744">
        <v>83.041508440000001</v>
      </c>
      <c r="P744"/>
      <c r="Q744"/>
      <c r="R744">
        <v>51.214253032000002</v>
      </c>
      <c r="S744">
        <v>78.866646747000004</v>
      </c>
      <c r="T744">
        <v>60.232059390000003</v>
      </c>
      <c r="U744">
        <v>63.022046961999997</v>
      </c>
      <c r="V744">
        <v>110.13211712899999</v>
      </c>
      <c r="W744"/>
      <c r="X744"/>
      <c r="Y744">
        <v>7.5029095349999997</v>
      </c>
      <c r="Z744"/>
      <c r="AA744"/>
      <c r="AB744">
        <v>96.920694294</v>
      </c>
      <c r="AC744">
        <v>69.658786347000003</v>
      </c>
      <c r="AD744"/>
      <c r="AE744">
        <v>48.700464304999997</v>
      </c>
      <c r="AF744"/>
      <c r="AG744">
        <v>58.270846714999998</v>
      </c>
      <c r="AH744">
        <v>68.310286586999993</v>
      </c>
      <c r="AI744">
        <v>55.499734320999998</v>
      </c>
      <c r="AJ744"/>
      <c r="AK744">
        <v>52.720786531000002</v>
      </c>
      <c r="AL744"/>
      <c r="AM744">
        <v>70.277469371999999</v>
      </c>
      <c r="AN744"/>
      <c r="AO744"/>
      <c r="AP744"/>
      <c r="AQ744">
        <v>58.564768747999999</v>
      </c>
      <c r="AR744"/>
      <c r="AS744">
        <v>50.684188003000003</v>
      </c>
      <c r="AT744"/>
    </row>
    <row r="745" spans="1:46" x14ac:dyDescent="0.2">
      <c r="A745" s="87">
        <v>29556</v>
      </c>
      <c r="B745"/>
      <c r="C745"/>
      <c r="D745">
        <v>38.636094813</v>
      </c>
      <c r="E745">
        <v>49.533598476999998</v>
      </c>
      <c r="F745">
        <v>67.878416623999996</v>
      </c>
      <c r="G745">
        <v>56.601502734</v>
      </c>
      <c r="H745"/>
      <c r="I745"/>
      <c r="J745"/>
      <c r="K745"/>
      <c r="L745">
        <v>58.631665894999998</v>
      </c>
      <c r="M745">
        <v>61.283305980999998</v>
      </c>
      <c r="N745">
        <v>66.384180686999997</v>
      </c>
      <c r="O745">
        <v>81.665251179999998</v>
      </c>
      <c r="P745"/>
      <c r="Q745"/>
      <c r="R745">
        <v>52.025567930999998</v>
      </c>
      <c r="S745">
        <v>80.166200140000001</v>
      </c>
      <c r="T745">
        <v>60.427370656000001</v>
      </c>
      <c r="U745">
        <v>62.699408495999997</v>
      </c>
      <c r="V745">
        <v>114.96804252299999</v>
      </c>
      <c r="W745"/>
      <c r="X745"/>
      <c r="Y745">
        <v>7.2108801219999998</v>
      </c>
      <c r="Z745"/>
      <c r="AA745"/>
      <c r="AB745">
        <v>95.522799661999997</v>
      </c>
      <c r="AC745">
        <v>70.668333974999996</v>
      </c>
      <c r="AD745"/>
      <c r="AE745">
        <v>47.389277905</v>
      </c>
      <c r="AF745"/>
      <c r="AG745">
        <v>58.776921066</v>
      </c>
      <c r="AH745">
        <v>66.970869203000007</v>
      </c>
      <c r="AI745">
        <v>54.939130943999999</v>
      </c>
      <c r="AJ745"/>
      <c r="AK745">
        <v>52.838889094999999</v>
      </c>
      <c r="AL745"/>
      <c r="AM745">
        <v>71.201753582999999</v>
      </c>
      <c r="AN745"/>
      <c r="AO745"/>
      <c r="AP745"/>
      <c r="AQ745">
        <v>57.238991503000001</v>
      </c>
      <c r="AR745"/>
      <c r="AS745">
        <v>51.033779926999998</v>
      </c>
      <c r="AT745"/>
    </row>
    <row r="746" spans="1:46" x14ac:dyDescent="0.2">
      <c r="A746" s="87">
        <v>29587</v>
      </c>
      <c r="B746"/>
      <c r="C746"/>
      <c r="D746">
        <v>36.898978278999998</v>
      </c>
      <c r="E746">
        <v>49.974178672000001</v>
      </c>
      <c r="F746">
        <v>68.093692047000005</v>
      </c>
      <c r="G746">
        <v>55.981222592000002</v>
      </c>
      <c r="H746"/>
      <c r="I746"/>
      <c r="J746"/>
      <c r="K746"/>
      <c r="L746">
        <v>58.384795723000003</v>
      </c>
      <c r="M746">
        <v>61.908645837999998</v>
      </c>
      <c r="N746">
        <v>65.235239496000005</v>
      </c>
      <c r="O746">
        <v>81.283236844000001</v>
      </c>
      <c r="P746"/>
      <c r="Q746"/>
      <c r="R746">
        <v>50.808595582000002</v>
      </c>
      <c r="S746">
        <v>79.841311794000006</v>
      </c>
      <c r="T746">
        <v>60.150245183000003</v>
      </c>
      <c r="U746">
        <v>62.484316186000001</v>
      </c>
      <c r="V746">
        <v>110.68852147299999</v>
      </c>
      <c r="W746"/>
      <c r="X746"/>
      <c r="Y746">
        <v>7.8174027490000002</v>
      </c>
      <c r="Z746"/>
      <c r="AA746"/>
      <c r="AB746">
        <v>94.785550830000005</v>
      </c>
      <c r="AC746">
        <v>70.752462944000001</v>
      </c>
      <c r="AD746"/>
      <c r="AE746">
        <v>46.665560442999997</v>
      </c>
      <c r="AF746"/>
      <c r="AG746">
        <v>58.993810074000002</v>
      </c>
      <c r="AH746">
        <v>66.301160511000006</v>
      </c>
      <c r="AI746">
        <v>54.939130943999999</v>
      </c>
      <c r="AJ746"/>
      <c r="AK746">
        <v>52.587295953999998</v>
      </c>
      <c r="AL746"/>
      <c r="AM746">
        <v>69.623092709999995</v>
      </c>
      <c r="AN746"/>
      <c r="AO746"/>
      <c r="AP746"/>
      <c r="AQ746">
        <v>57.930701370000001</v>
      </c>
      <c r="AR746"/>
      <c r="AS746">
        <v>50.715906011000001</v>
      </c>
      <c r="AT746"/>
    </row>
    <row r="747" spans="1:46" x14ac:dyDescent="0.2">
      <c r="A747" s="87">
        <v>29618</v>
      </c>
      <c r="B747"/>
      <c r="C747"/>
      <c r="D747">
        <v>37.727369125000003</v>
      </c>
      <c r="E747">
        <v>51.077270157999997</v>
      </c>
      <c r="F747">
        <v>70.902081065000004</v>
      </c>
      <c r="G747">
        <v>56.320027123999999</v>
      </c>
      <c r="H747"/>
      <c r="I747"/>
      <c r="J747"/>
      <c r="K747"/>
      <c r="L747">
        <v>59.495711497000002</v>
      </c>
      <c r="M747">
        <v>63.159325551999999</v>
      </c>
      <c r="N747">
        <v>66.302113458999997</v>
      </c>
      <c r="O747">
        <v>82.950987014999995</v>
      </c>
      <c r="P747"/>
      <c r="Q747"/>
      <c r="R747">
        <v>51.772032025000001</v>
      </c>
      <c r="S747">
        <v>80.572310578</v>
      </c>
      <c r="T747">
        <v>60.278619333000002</v>
      </c>
      <c r="U747">
        <v>63.022046961999997</v>
      </c>
      <c r="V747">
        <v>111.585351139</v>
      </c>
      <c r="W747"/>
      <c r="X747"/>
      <c r="Y747">
        <v>7.83986655</v>
      </c>
      <c r="Z747"/>
      <c r="AA747"/>
      <c r="AB747">
        <v>95.257707995000004</v>
      </c>
      <c r="AC747">
        <v>70.500076036999999</v>
      </c>
      <c r="AD747"/>
      <c r="AE747">
        <v>47.167998744000002</v>
      </c>
      <c r="AF747"/>
      <c r="AG747">
        <v>59.644477096999999</v>
      </c>
      <c r="AH747">
        <v>68.310286586999993</v>
      </c>
      <c r="AI747">
        <v>55.499734320999998</v>
      </c>
      <c r="AJ747"/>
      <c r="AK747">
        <v>52.835872014000003</v>
      </c>
      <c r="AL747"/>
      <c r="AM747">
        <v>72.910430818999998</v>
      </c>
      <c r="AN747"/>
      <c r="AO747"/>
      <c r="AP747"/>
      <c r="AQ747">
        <v>58.103628837000002</v>
      </c>
      <c r="AR747"/>
      <c r="AS747">
        <v>50.501908573000001</v>
      </c>
      <c r="AT747"/>
    </row>
    <row r="748" spans="1:46" x14ac:dyDescent="0.2">
      <c r="A748" s="87">
        <v>29646</v>
      </c>
      <c r="B748"/>
      <c r="C748"/>
      <c r="D748">
        <v>37.764140472000001</v>
      </c>
      <c r="E748">
        <v>51.253633507000004</v>
      </c>
      <c r="F748">
        <v>64.077159717000001</v>
      </c>
      <c r="G748">
        <v>56.198790551000002</v>
      </c>
      <c r="H748"/>
      <c r="I748"/>
      <c r="J748"/>
      <c r="K748"/>
      <c r="L748">
        <v>59.248841325000001</v>
      </c>
      <c r="M748">
        <v>61.908645837999998</v>
      </c>
      <c r="N748">
        <v>65.448614288000002</v>
      </c>
      <c r="O748">
        <v>82.129115999000007</v>
      </c>
      <c r="P748"/>
      <c r="Q748"/>
      <c r="R748">
        <v>51.264960213000002</v>
      </c>
      <c r="S748">
        <v>79.029090920000002</v>
      </c>
      <c r="T748">
        <v>60.330302170000003</v>
      </c>
      <c r="U748">
        <v>63.129593116999999</v>
      </c>
      <c r="V748">
        <v>112.092611913</v>
      </c>
      <c r="W748"/>
      <c r="X748"/>
      <c r="Y748">
        <v>7.6376923410000002</v>
      </c>
      <c r="Z748"/>
      <c r="AA748"/>
      <c r="AB748">
        <v>95.139668704000002</v>
      </c>
      <c r="AC748">
        <v>70.752462944000001</v>
      </c>
      <c r="AD748"/>
      <c r="AE748">
        <v>47.473281667000002</v>
      </c>
      <c r="AF748"/>
      <c r="AG748">
        <v>60.150551448000002</v>
      </c>
      <c r="AH748">
        <v>65.631451819000006</v>
      </c>
      <c r="AI748">
        <v>56.060337697999998</v>
      </c>
      <c r="AJ748"/>
      <c r="AK748">
        <v>52.830181836000001</v>
      </c>
      <c r="AL748"/>
      <c r="AM748">
        <v>71.039518400999995</v>
      </c>
      <c r="AN748"/>
      <c r="AO748"/>
      <c r="AP748"/>
      <c r="AQ748">
        <v>57.700131413999998</v>
      </c>
      <c r="AR748"/>
      <c r="AS748">
        <v>50.755355283999997</v>
      </c>
      <c r="AT748"/>
    </row>
    <row r="749" spans="1:46" x14ac:dyDescent="0.2">
      <c r="A749" s="87">
        <v>29677</v>
      </c>
      <c r="B749"/>
      <c r="C749"/>
      <c r="D749">
        <v>37.539942025999999</v>
      </c>
      <c r="E749">
        <v>50.678260551999998</v>
      </c>
      <c r="F749">
        <v>62.957846361999998</v>
      </c>
      <c r="G749">
        <v>57.372153818999998</v>
      </c>
      <c r="H749"/>
      <c r="I749"/>
      <c r="J749"/>
      <c r="K749"/>
      <c r="L749">
        <v>58.693383437999998</v>
      </c>
      <c r="M749">
        <v>61.283305980999998</v>
      </c>
      <c r="N749">
        <v>65.506061348000003</v>
      </c>
      <c r="O749">
        <v>82.817486574</v>
      </c>
      <c r="P749"/>
      <c r="Q749"/>
      <c r="R749">
        <v>51.924153568999998</v>
      </c>
      <c r="S749">
        <v>78.947868838000005</v>
      </c>
      <c r="T749">
        <v>60.222773038</v>
      </c>
      <c r="U749">
        <v>63.452231583</v>
      </c>
      <c r="V749">
        <v>110.105853489</v>
      </c>
      <c r="W749"/>
      <c r="X749"/>
      <c r="Y749">
        <v>7.9746493559999996</v>
      </c>
      <c r="Z749"/>
      <c r="AA749"/>
      <c r="AB749">
        <v>95.375747286000006</v>
      </c>
      <c r="AC749">
        <v>70.752462944000001</v>
      </c>
      <c r="AD749"/>
      <c r="AE749">
        <v>44.712163596000003</v>
      </c>
      <c r="AF749"/>
      <c r="AG749">
        <v>60.728922134999998</v>
      </c>
      <c r="AH749">
        <v>66.301160511000006</v>
      </c>
      <c r="AI749">
        <v>55.499734320999998</v>
      </c>
      <c r="AJ749"/>
      <c r="AK749">
        <v>52.761238014</v>
      </c>
      <c r="AL749"/>
      <c r="AM749">
        <v>72.313660814000002</v>
      </c>
      <c r="AN749"/>
      <c r="AO749"/>
      <c r="AP749"/>
      <c r="AQ749">
        <v>57.123706525000003</v>
      </c>
      <c r="AR749"/>
      <c r="AS749">
        <v>50.521930566000002</v>
      </c>
      <c r="AT749"/>
    </row>
    <row r="750" spans="1:46" x14ac:dyDescent="0.2">
      <c r="A750" s="87">
        <v>29707</v>
      </c>
      <c r="B750"/>
      <c r="C750"/>
      <c r="D750">
        <v>37.392345706</v>
      </c>
      <c r="E750">
        <v>50.863775273999998</v>
      </c>
      <c r="F750">
        <v>62.134944517000001</v>
      </c>
      <c r="G750">
        <v>56.480266161000003</v>
      </c>
      <c r="H750"/>
      <c r="I750"/>
      <c r="J750"/>
      <c r="K750"/>
      <c r="L750">
        <v>59.063688696</v>
      </c>
      <c r="M750">
        <v>61.908645837999998</v>
      </c>
      <c r="N750">
        <v>66.392387409999998</v>
      </c>
      <c r="O750">
        <v>82.763956157999999</v>
      </c>
      <c r="P750"/>
      <c r="Q750"/>
      <c r="R750">
        <v>53.343954642999996</v>
      </c>
      <c r="S750">
        <v>79.922533885000007</v>
      </c>
      <c r="T750">
        <v>60.238571145999998</v>
      </c>
      <c r="U750">
        <v>62.484316186000001</v>
      </c>
      <c r="V750">
        <v>111.787969381</v>
      </c>
      <c r="W750"/>
      <c r="X750"/>
      <c r="Y750">
        <v>7.9072579530000002</v>
      </c>
      <c r="Z750"/>
      <c r="AA750"/>
      <c r="AB750">
        <v>96.438100907000006</v>
      </c>
      <c r="AC750">
        <v>69.658786347000003</v>
      </c>
      <c r="AD750"/>
      <c r="AE750">
        <v>48.988028598</v>
      </c>
      <c r="AF750"/>
      <c r="AG750">
        <v>60.945811141999997</v>
      </c>
      <c r="AH750">
        <v>65.631451819000006</v>
      </c>
      <c r="AI750">
        <v>57.742147828999997</v>
      </c>
      <c r="AJ750"/>
      <c r="AK750">
        <v>52.803365028000002</v>
      </c>
      <c r="AL750"/>
      <c r="AM750">
        <v>72.278348906000005</v>
      </c>
      <c r="AN750"/>
      <c r="AO750"/>
      <c r="AP750"/>
      <c r="AQ750">
        <v>56.259069191000002</v>
      </c>
      <c r="AR750"/>
      <c r="AS750">
        <v>50.812745055999997</v>
      </c>
      <c r="AT750"/>
    </row>
    <row r="751" spans="1:46" x14ac:dyDescent="0.2">
      <c r="A751" s="87">
        <v>29738</v>
      </c>
      <c r="B751"/>
      <c r="C751"/>
      <c r="D751">
        <v>36.925660188999998</v>
      </c>
      <c r="E751">
        <v>51.761169574</v>
      </c>
      <c r="F751">
        <v>61.488454289000003</v>
      </c>
      <c r="G751">
        <v>56.821420238999998</v>
      </c>
      <c r="H751"/>
      <c r="I751"/>
      <c r="J751"/>
      <c r="K751"/>
      <c r="L751">
        <v>58.384795723000003</v>
      </c>
      <c r="M751">
        <v>61.283305980999998</v>
      </c>
      <c r="N751">
        <v>65.711229418000002</v>
      </c>
      <c r="O751">
        <v>83.419111666000006</v>
      </c>
      <c r="P751"/>
      <c r="Q751"/>
      <c r="R751">
        <v>50.098695044999999</v>
      </c>
      <c r="S751">
        <v>80.328644323000006</v>
      </c>
      <c r="T751">
        <v>60.674765577000002</v>
      </c>
      <c r="U751">
        <v>63.882416204000002</v>
      </c>
      <c r="V751">
        <v>114.151616352</v>
      </c>
      <c r="W751"/>
      <c r="X751"/>
      <c r="Y751">
        <v>7.9971131570000002</v>
      </c>
      <c r="Z751"/>
      <c r="AA751"/>
      <c r="AB751">
        <v>96.320061616000004</v>
      </c>
      <c r="AC751">
        <v>71.425494696000001</v>
      </c>
      <c r="AD751"/>
      <c r="AE751">
        <v>48.923817167000003</v>
      </c>
      <c r="AF751"/>
      <c r="AG751">
        <v>60.945811141999997</v>
      </c>
      <c r="AH751">
        <v>64.961743127000005</v>
      </c>
      <c r="AI751">
        <v>56.620941074999998</v>
      </c>
      <c r="AJ751"/>
      <c r="AK751">
        <v>53.101043421999996</v>
      </c>
      <c r="AL751"/>
      <c r="AM751">
        <v>69.645975014000001</v>
      </c>
      <c r="AN751"/>
      <c r="AO751"/>
      <c r="AP751"/>
      <c r="AQ751">
        <v>56.259069191000002</v>
      </c>
      <c r="AR751"/>
      <c r="AS751">
        <v>51.070652111999998</v>
      </c>
      <c r="AT751"/>
    </row>
    <row r="752" spans="1:46" x14ac:dyDescent="0.2">
      <c r="A752" s="87">
        <v>29768</v>
      </c>
      <c r="B752"/>
      <c r="C752"/>
      <c r="D752">
        <v>36.977573984000003</v>
      </c>
      <c r="E752">
        <v>50.400752291000003</v>
      </c>
      <c r="F752">
        <v>61.875530382999997</v>
      </c>
      <c r="G752">
        <v>56.877339433000003</v>
      </c>
      <c r="H752"/>
      <c r="I752"/>
      <c r="J752"/>
      <c r="K752"/>
      <c r="L752">
        <v>58.878536066999999</v>
      </c>
      <c r="M752">
        <v>66.286024835999996</v>
      </c>
      <c r="N752">
        <v>66.187219339999999</v>
      </c>
      <c r="O752">
        <v>84.358123044999999</v>
      </c>
      <c r="P752"/>
      <c r="Q752"/>
      <c r="R752">
        <v>53.496076187</v>
      </c>
      <c r="S752">
        <v>79.353979275</v>
      </c>
      <c r="T752">
        <v>60.895498551999999</v>
      </c>
      <c r="U752">
        <v>64.097508513999998</v>
      </c>
      <c r="V752">
        <v>114.687597865</v>
      </c>
      <c r="W752"/>
      <c r="X752"/>
      <c r="Y752">
        <v>8.1992873660000001</v>
      </c>
      <c r="Z752"/>
      <c r="AA752"/>
      <c r="AB752">
        <v>94.785550830000005</v>
      </c>
      <c r="AC752">
        <v>72.01439748</v>
      </c>
      <c r="AD752"/>
      <c r="AE752">
        <v>47.972942619000001</v>
      </c>
      <c r="AF752"/>
      <c r="AG752">
        <v>61.451885494000003</v>
      </c>
      <c r="AH752">
        <v>66.301160511000006</v>
      </c>
      <c r="AI752">
        <v>58.302751206000003</v>
      </c>
      <c r="AJ752"/>
      <c r="AK752">
        <v>53.416856144</v>
      </c>
      <c r="AL752"/>
      <c r="AM752">
        <v>70.616418006000004</v>
      </c>
      <c r="AN752"/>
      <c r="AO752"/>
      <c r="AP752"/>
      <c r="AQ752">
        <v>56.835494079999997</v>
      </c>
      <c r="AR752"/>
      <c r="AS752">
        <v>51.415585452999998</v>
      </c>
      <c r="AT752"/>
    </row>
    <row r="753" spans="1:46" x14ac:dyDescent="0.2">
      <c r="A753" s="87">
        <v>29799</v>
      </c>
      <c r="B753"/>
      <c r="C753"/>
      <c r="D753">
        <v>37.094171281000001</v>
      </c>
      <c r="E753">
        <v>50.883232315999997</v>
      </c>
      <c r="F753">
        <v>60.107539295999999</v>
      </c>
      <c r="G753">
        <v>54.735963216999998</v>
      </c>
      <c r="H753"/>
      <c r="I753"/>
      <c r="J753"/>
      <c r="K753"/>
      <c r="L753">
        <v>58.940253609999999</v>
      </c>
      <c r="M753">
        <v>64.410005264999995</v>
      </c>
      <c r="N753">
        <v>65.054691594000005</v>
      </c>
      <c r="O753">
        <v>78.673092073000007</v>
      </c>
      <c r="P753"/>
      <c r="Q753"/>
      <c r="R753">
        <v>53.343954642999996</v>
      </c>
      <c r="S753">
        <v>79.353979275</v>
      </c>
      <c r="T753">
        <v>60.696755891000002</v>
      </c>
      <c r="U753">
        <v>64.205054669000006</v>
      </c>
      <c r="V753">
        <v>119.983226965</v>
      </c>
      <c r="W753"/>
      <c r="X753"/>
      <c r="Y753">
        <v>8.2217511670000007</v>
      </c>
      <c r="Z753"/>
      <c r="AA753"/>
      <c r="AB753">
        <v>93.841236500999997</v>
      </c>
      <c r="AC753">
        <v>71.762010572999998</v>
      </c>
      <c r="AD753"/>
      <c r="AE753">
        <v>48.643181267000003</v>
      </c>
      <c r="AF753"/>
      <c r="AG753">
        <v>62.102552516000003</v>
      </c>
      <c r="AH753">
        <v>64.292034435000005</v>
      </c>
      <c r="AI753">
        <v>48.772493797000003</v>
      </c>
      <c r="AJ753"/>
      <c r="AK753">
        <v>53.135959309999997</v>
      </c>
      <c r="AL753"/>
      <c r="AM753">
        <v>67.768281676000001</v>
      </c>
      <c r="AN753"/>
      <c r="AO753"/>
      <c r="AP753"/>
      <c r="AQ753">
        <v>57.238991503000001</v>
      </c>
      <c r="AR753"/>
      <c r="AS753">
        <v>51.358988631999999</v>
      </c>
      <c r="AT753"/>
    </row>
    <row r="754" spans="1:46" x14ac:dyDescent="0.2">
      <c r="A754" s="87">
        <v>29830</v>
      </c>
      <c r="B754"/>
      <c r="C754"/>
      <c r="D754">
        <v>37.203027134999999</v>
      </c>
      <c r="E754">
        <v>51.531302424000003</v>
      </c>
      <c r="F754">
        <v>58.827014458999997</v>
      </c>
      <c r="G754">
        <v>56.087422070999999</v>
      </c>
      <c r="H754"/>
      <c r="I754"/>
      <c r="J754"/>
      <c r="K754"/>
      <c r="L754">
        <v>59.125406239</v>
      </c>
      <c r="M754">
        <v>63.784665408999999</v>
      </c>
      <c r="N754">
        <v>66.105152111999999</v>
      </c>
      <c r="O754">
        <v>80.803920617000003</v>
      </c>
      <c r="P754"/>
      <c r="Q754"/>
      <c r="R754">
        <v>52.887590011999997</v>
      </c>
      <c r="S754">
        <v>80.409866403999999</v>
      </c>
      <c r="T754">
        <v>60.977090562000001</v>
      </c>
      <c r="U754">
        <v>64.312600825000004</v>
      </c>
      <c r="V754">
        <v>117.359885596</v>
      </c>
      <c r="W754"/>
      <c r="X754"/>
      <c r="Y754">
        <v>8.2891425699999992</v>
      </c>
      <c r="Z754"/>
      <c r="AA754"/>
      <c r="AB754">
        <v>95.139668704000002</v>
      </c>
      <c r="AC754">
        <v>72.939816139000001</v>
      </c>
      <c r="AD754"/>
      <c r="AE754">
        <v>49.204624946999999</v>
      </c>
      <c r="AF754"/>
      <c r="AG754">
        <v>62.391737859999999</v>
      </c>
      <c r="AH754">
        <v>62.952617050999997</v>
      </c>
      <c r="AI754">
        <v>57.181544451999997</v>
      </c>
      <c r="AJ754"/>
      <c r="AK754">
        <v>53.443868692000002</v>
      </c>
      <c r="AL754"/>
      <c r="AM754">
        <v>75.068233014</v>
      </c>
      <c r="AN754"/>
      <c r="AO754"/>
      <c r="AP754"/>
      <c r="AQ754">
        <v>56.316711679999997</v>
      </c>
      <c r="AR754"/>
      <c r="AS754">
        <v>51.114759966999998</v>
      </c>
      <c r="AT754"/>
    </row>
    <row r="755" spans="1:46" x14ac:dyDescent="0.2">
      <c r="A755" s="87">
        <v>29860</v>
      </c>
      <c r="B755"/>
      <c r="C755"/>
      <c r="D755">
        <v>37.425280192999999</v>
      </c>
      <c r="E755">
        <v>51.609853366000003</v>
      </c>
      <c r="F755">
        <v>58.584042840000002</v>
      </c>
      <c r="G755">
        <v>55.269310157</v>
      </c>
      <c r="H755"/>
      <c r="I755"/>
      <c r="J755"/>
      <c r="K755"/>
      <c r="L755">
        <v>59.433993954000002</v>
      </c>
      <c r="M755">
        <v>63.159325551999999</v>
      </c>
      <c r="N755">
        <v>66.408800854999996</v>
      </c>
      <c r="O755">
        <v>82.338382738000007</v>
      </c>
      <c r="P755"/>
      <c r="Q755"/>
      <c r="R755">
        <v>53.445369005000003</v>
      </c>
      <c r="S755">
        <v>79.841311794000006</v>
      </c>
      <c r="T755">
        <v>60.946520184999997</v>
      </c>
      <c r="U755">
        <v>65.818246998000006</v>
      </c>
      <c r="V755">
        <v>114.784751165</v>
      </c>
      <c r="W755"/>
      <c r="X755"/>
      <c r="Y755">
        <v>7.9521855549999998</v>
      </c>
      <c r="Z755"/>
      <c r="AA755"/>
      <c r="AB755">
        <v>95.139668704000002</v>
      </c>
      <c r="AC755">
        <v>73.360460983999999</v>
      </c>
      <c r="AD755"/>
      <c r="AE755">
        <v>50.114032332999997</v>
      </c>
      <c r="AF755"/>
      <c r="AG755">
        <v>62.102552516000003</v>
      </c>
      <c r="AH755">
        <v>66.301160511000006</v>
      </c>
      <c r="AI755">
        <v>54.378527566999999</v>
      </c>
      <c r="AJ755"/>
      <c r="AK755">
        <v>53.399314916000002</v>
      </c>
      <c r="AL755"/>
      <c r="AM755">
        <v>74.214505880000004</v>
      </c>
      <c r="AN755"/>
      <c r="AO755"/>
      <c r="AP755"/>
      <c r="AQ755">
        <v>56.720209103000002</v>
      </c>
      <c r="AR755"/>
      <c r="AS755">
        <v>50.734044746999999</v>
      </c>
      <c r="AT755"/>
    </row>
    <row r="756" spans="1:46" x14ac:dyDescent="0.2">
      <c r="A756" s="87">
        <v>29891</v>
      </c>
      <c r="B756"/>
      <c r="C756"/>
      <c r="D756">
        <v>37.320755437000003</v>
      </c>
      <c r="E756">
        <v>51.856188136999997</v>
      </c>
      <c r="F756">
        <v>59.522102355000001</v>
      </c>
      <c r="G756">
        <v>54.234100194</v>
      </c>
      <c r="H756"/>
      <c r="I756"/>
      <c r="J756"/>
      <c r="K756"/>
      <c r="L756">
        <v>58.940253609999999</v>
      </c>
      <c r="M756">
        <v>62.533985694999998</v>
      </c>
      <c r="N756">
        <v>65.850743704999999</v>
      </c>
      <c r="O756">
        <v>81.922269710999998</v>
      </c>
      <c r="P756"/>
      <c r="Q756"/>
      <c r="R756">
        <v>51.873446387999998</v>
      </c>
      <c r="S756">
        <v>79.841311794000006</v>
      </c>
      <c r="T756">
        <v>60.517101621000002</v>
      </c>
      <c r="U756">
        <v>64.957877756000002</v>
      </c>
      <c r="V756">
        <v>117.493904109</v>
      </c>
      <c r="W756"/>
      <c r="X756"/>
      <c r="Y756">
        <v>8.1543597640000005</v>
      </c>
      <c r="Z756"/>
      <c r="AA756"/>
      <c r="AB756">
        <v>95.847904451000005</v>
      </c>
      <c r="AC756">
        <v>73.360460983999999</v>
      </c>
      <c r="AD756"/>
      <c r="AE756">
        <v>50.539546389000002</v>
      </c>
      <c r="AF756"/>
      <c r="AG756">
        <v>62.102552516000003</v>
      </c>
      <c r="AH756">
        <v>64.961743127000005</v>
      </c>
      <c r="AI756">
        <v>56.060337697999998</v>
      </c>
      <c r="AJ756"/>
      <c r="AK756">
        <v>53.086389271999998</v>
      </c>
      <c r="AL756"/>
      <c r="AM756">
        <v>73.780280378</v>
      </c>
      <c r="AN756"/>
      <c r="AO756"/>
      <c r="AP756"/>
      <c r="AQ756">
        <v>56.835494079999997</v>
      </c>
      <c r="AR756"/>
      <c r="AS756">
        <v>50.145576573</v>
      </c>
      <c r="AT756"/>
    </row>
    <row r="757" spans="1:46" x14ac:dyDescent="0.2">
      <c r="A757" s="87">
        <v>29921</v>
      </c>
      <c r="B757"/>
      <c r="C757"/>
      <c r="D757">
        <v>37.429423313000001</v>
      </c>
      <c r="E757">
        <v>52.176392747000001</v>
      </c>
      <c r="F757">
        <v>57.725031739000002</v>
      </c>
      <c r="G757">
        <v>54.556457903999998</v>
      </c>
      <c r="H757"/>
      <c r="I757"/>
      <c r="J757"/>
      <c r="K757"/>
      <c r="L757">
        <v>58.446513265999997</v>
      </c>
      <c r="M757">
        <v>60.032626266999998</v>
      </c>
      <c r="N757">
        <v>65.218826050000004</v>
      </c>
      <c r="O757">
        <v>81.996070394</v>
      </c>
      <c r="P757"/>
      <c r="Q757"/>
      <c r="R757">
        <v>52.583346925000001</v>
      </c>
      <c r="S757">
        <v>81.384531452000004</v>
      </c>
      <c r="T757">
        <v>59.978390560000001</v>
      </c>
      <c r="U757">
        <v>63.989962359000003</v>
      </c>
      <c r="V757">
        <v>117.93486357099999</v>
      </c>
      <c r="W757"/>
      <c r="X757"/>
      <c r="Y757">
        <v>7.9971131570000002</v>
      </c>
      <c r="Z757"/>
      <c r="AA757"/>
      <c r="AB757">
        <v>92.424765006000001</v>
      </c>
      <c r="AC757">
        <v>73.108074076999998</v>
      </c>
      <c r="AD757"/>
      <c r="AE757">
        <v>46.221570303999997</v>
      </c>
      <c r="AF757"/>
      <c r="AG757">
        <v>61.596478165000001</v>
      </c>
      <c r="AH757">
        <v>66.970869203000007</v>
      </c>
      <c r="AI757">
        <v>56.060337697999998</v>
      </c>
      <c r="AJ757"/>
      <c r="AK757">
        <v>52.686372245000001</v>
      </c>
      <c r="AL757"/>
      <c r="AM757">
        <v>69.168583741999996</v>
      </c>
      <c r="AN757"/>
      <c r="AO757"/>
      <c r="AP757"/>
      <c r="AQ757">
        <v>56.720209103000002</v>
      </c>
      <c r="AR757"/>
      <c r="AS757">
        <v>49.611921080999998</v>
      </c>
      <c r="AT757"/>
    </row>
    <row r="758" spans="1:46" x14ac:dyDescent="0.2">
      <c r="A758" s="87">
        <v>29952</v>
      </c>
      <c r="B758"/>
      <c r="C758"/>
      <c r="D758">
        <v>38.681328456999999</v>
      </c>
      <c r="E758">
        <v>52.498288713999997</v>
      </c>
      <c r="F758">
        <v>59.423383946000001</v>
      </c>
      <c r="G758">
        <v>53.776878543999999</v>
      </c>
      <c r="H758"/>
      <c r="I758"/>
      <c r="J758"/>
      <c r="K758"/>
      <c r="L758">
        <v>58.693383437999998</v>
      </c>
      <c r="M758">
        <v>62.533985694999998</v>
      </c>
      <c r="N758">
        <v>65.817916814</v>
      </c>
      <c r="O758">
        <v>80.511269576000004</v>
      </c>
      <c r="P758"/>
      <c r="Q758"/>
      <c r="R758">
        <v>53.445369005000003</v>
      </c>
      <c r="S758">
        <v>80.003755967000004</v>
      </c>
      <c r="T758">
        <v>59.591500953999997</v>
      </c>
      <c r="U758">
        <v>64.097508513999998</v>
      </c>
      <c r="V758">
        <v>116.905853456</v>
      </c>
      <c r="W758"/>
      <c r="X758"/>
      <c r="Y758">
        <v>7.7050837440000004</v>
      </c>
      <c r="Z758"/>
      <c r="AA758"/>
      <c r="AB758">
        <v>96.674179488999997</v>
      </c>
      <c r="AC758">
        <v>72.687429232</v>
      </c>
      <c r="AD758"/>
      <c r="AE758">
        <v>48.786770343999997</v>
      </c>
      <c r="AF758"/>
      <c r="AG758">
        <v>62.030256180999999</v>
      </c>
      <c r="AH758">
        <v>65.631451819000006</v>
      </c>
      <c r="AI758">
        <v>57.181544451999997</v>
      </c>
      <c r="AJ758"/>
      <c r="AK758">
        <v>52.454451958999996</v>
      </c>
      <c r="AL758"/>
      <c r="AM758">
        <v>76.902947057999995</v>
      </c>
      <c r="AN758"/>
      <c r="AO758"/>
      <c r="AP758"/>
      <c r="AQ758">
        <v>55.740286791000003</v>
      </c>
      <c r="AR758"/>
      <c r="AS758">
        <v>48.603684889</v>
      </c>
      <c r="AT758"/>
    </row>
    <row r="759" spans="1:46" x14ac:dyDescent="0.2">
      <c r="A759" s="87">
        <v>29983</v>
      </c>
      <c r="B759"/>
      <c r="C759"/>
      <c r="D759">
        <v>37.879220998999998</v>
      </c>
      <c r="E759">
        <v>51.202191259999999</v>
      </c>
      <c r="F759">
        <v>60.007225081999998</v>
      </c>
      <c r="G759">
        <v>53.849714470000002</v>
      </c>
      <c r="H759"/>
      <c r="I759"/>
      <c r="J759"/>
      <c r="K759"/>
      <c r="L759">
        <v>58.261360635999999</v>
      </c>
      <c r="M759">
        <v>63.784665408999999</v>
      </c>
      <c r="N759">
        <v>65.136758822000004</v>
      </c>
      <c r="O759">
        <v>80.683302861000001</v>
      </c>
      <c r="P759"/>
      <c r="Q759"/>
      <c r="R759">
        <v>52.989004373999997</v>
      </c>
      <c r="S759">
        <v>79.353979275</v>
      </c>
      <c r="T759">
        <v>59.844620354</v>
      </c>
      <c r="U759">
        <v>64.420146979999998</v>
      </c>
      <c r="V759">
        <v>117.70374619899999</v>
      </c>
      <c r="W759"/>
      <c r="X759"/>
      <c r="Y759">
        <v>7.8847941519999996</v>
      </c>
      <c r="Z759"/>
      <c r="AA759"/>
      <c r="AB759">
        <v>94.195354374000004</v>
      </c>
      <c r="AC759">
        <v>72.182655417999996</v>
      </c>
      <c r="AD759"/>
      <c r="AE759">
        <v>53.277734559000002</v>
      </c>
      <c r="AF759"/>
      <c r="AG759">
        <v>62.174848851999997</v>
      </c>
      <c r="AH759">
        <v>63.622325742999998</v>
      </c>
      <c r="AI759">
        <v>56.620941074999998</v>
      </c>
      <c r="AJ759"/>
      <c r="AK759">
        <v>52.599970456000001</v>
      </c>
      <c r="AL759"/>
      <c r="AM759">
        <v>74.409540250000006</v>
      </c>
      <c r="AN759"/>
      <c r="AO759"/>
      <c r="AP759"/>
      <c r="AQ759">
        <v>56.086141724000001</v>
      </c>
      <c r="AR759"/>
      <c r="AS759">
        <v>49.590015831999999</v>
      </c>
      <c r="AT759"/>
    </row>
    <row r="760" spans="1:46" x14ac:dyDescent="0.2">
      <c r="A760" s="87">
        <v>30011</v>
      </c>
      <c r="B760"/>
      <c r="C760"/>
      <c r="D760">
        <v>37.350331048999998</v>
      </c>
      <c r="E760">
        <v>49.758407022999997</v>
      </c>
      <c r="F760">
        <v>62.708124922000003</v>
      </c>
      <c r="G760">
        <v>53.196540683999999</v>
      </c>
      <c r="H760"/>
      <c r="I760"/>
      <c r="J760"/>
      <c r="K760"/>
      <c r="L760">
        <v>58.816818523999999</v>
      </c>
      <c r="M760">
        <v>63.784665408999999</v>
      </c>
      <c r="N760">
        <v>65.030071426000006</v>
      </c>
      <c r="O760">
        <v>84.142645888999994</v>
      </c>
      <c r="P760"/>
      <c r="Q760"/>
      <c r="R760">
        <v>52.989004373999997</v>
      </c>
      <c r="S760">
        <v>80.409866403999999</v>
      </c>
      <c r="T760">
        <v>59.808453481999997</v>
      </c>
      <c r="U760">
        <v>64.635239290000001</v>
      </c>
      <c r="V760">
        <v>116.25223851299999</v>
      </c>
      <c r="W760"/>
      <c r="X760"/>
      <c r="Y760">
        <v>7.9521855549999998</v>
      </c>
      <c r="Z760"/>
      <c r="AA760"/>
      <c r="AB760">
        <v>92.542804297999993</v>
      </c>
      <c r="AC760">
        <v>72.939816139000001</v>
      </c>
      <c r="AD760"/>
      <c r="AE760">
        <v>50.064110561</v>
      </c>
      <c r="AF760"/>
      <c r="AG760">
        <v>61.451885494000003</v>
      </c>
      <c r="AH760">
        <v>64.292034435000005</v>
      </c>
      <c r="AI760">
        <v>57.181544451999997</v>
      </c>
      <c r="AJ760"/>
      <c r="AK760">
        <v>52.620238336</v>
      </c>
      <c r="AL760"/>
      <c r="AM760">
        <v>79.503784017000001</v>
      </c>
      <c r="AN760"/>
      <c r="AO760"/>
      <c r="AP760"/>
      <c r="AQ760">
        <v>56.028499236000002</v>
      </c>
      <c r="AR760"/>
      <c r="AS760">
        <v>49.249741073000003</v>
      </c>
      <c r="AT760"/>
    </row>
    <row r="761" spans="1:46" x14ac:dyDescent="0.2">
      <c r="A761" s="87">
        <v>30042</v>
      </c>
      <c r="B761"/>
      <c r="C761"/>
      <c r="D761">
        <v>37.168574595000003</v>
      </c>
      <c r="E761">
        <v>52.054147039999997</v>
      </c>
      <c r="F761">
        <v>63.254980918000001</v>
      </c>
      <c r="G761">
        <v>51.715856801000001</v>
      </c>
      <c r="H761"/>
      <c r="I761"/>
      <c r="J761"/>
      <c r="K761"/>
      <c r="L761">
        <v>58.693383437999998</v>
      </c>
      <c r="M761">
        <v>65.660684978999996</v>
      </c>
      <c r="N761">
        <v>65.686609249</v>
      </c>
      <c r="O761">
        <v>81.277570425999997</v>
      </c>
      <c r="P761"/>
      <c r="Q761"/>
      <c r="R761">
        <v>52.228396656000001</v>
      </c>
      <c r="S761">
        <v>80.328644323000006</v>
      </c>
      <c r="T761">
        <v>59.538260995000002</v>
      </c>
      <c r="U761">
        <v>65.388062376999997</v>
      </c>
      <c r="V761">
        <v>115.322603362</v>
      </c>
      <c r="W761"/>
      <c r="X761"/>
      <c r="Y761">
        <v>7.929721754</v>
      </c>
      <c r="Z761"/>
      <c r="AA761"/>
      <c r="AB761">
        <v>95.729865160000003</v>
      </c>
      <c r="AC761">
        <v>71.930268510999994</v>
      </c>
      <c r="AD761"/>
      <c r="AE761">
        <v>47.822134132999999</v>
      </c>
      <c r="AF761"/>
      <c r="AG761">
        <v>61.090403813999998</v>
      </c>
      <c r="AH761">
        <v>64.961743127000005</v>
      </c>
      <c r="AI761">
        <v>57.742147828999997</v>
      </c>
      <c r="AJ761"/>
      <c r="AK761">
        <v>52.385944455000001</v>
      </c>
      <c r="AL761"/>
      <c r="AM761">
        <v>76.688376223000006</v>
      </c>
      <c r="AN761"/>
      <c r="AO761"/>
      <c r="AP761"/>
      <c r="AQ761">
        <v>55.913214257999996</v>
      </c>
      <c r="AR761"/>
      <c r="AS761">
        <v>48.792803513999999</v>
      </c>
      <c r="AT761"/>
    </row>
    <row r="762" spans="1:46" x14ac:dyDescent="0.2">
      <c r="A762" s="87">
        <v>30072</v>
      </c>
      <c r="B762"/>
      <c r="C762"/>
      <c r="D762">
        <v>37.713447090000003</v>
      </c>
      <c r="E762">
        <v>52.062030073000003</v>
      </c>
      <c r="F762">
        <v>63.808296075000001</v>
      </c>
      <c r="G762">
        <v>52.119508801999999</v>
      </c>
      <c r="H762"/>
      <c r="I762"/>
      <c r="J762"/>
      <c r="K762"/>
      <c r="L762">
        <v>58.693383437999998</v>
      </c>
      <c r="M762">
        <v>63.159325551999999</v>
      </c>
      <c r="N762">
        <v>64.948004198000007</v>
      </c>
      <c r="O762">
        <v>81.680141555999995</v>
      </c>
      <c r="P762"/>
      <c r="Q762"/>
      <c r="R762">
        <v>52.228396656000001</v>
      </c>
      <c r="S762">
        <v>80.084978058000004</v>
      </c>
      <c r="T762">
        <v>59.116866545000001</v>
      </c>
      <c r="U762">
        <v>65.925793153000001</v>
      </c>
      <c r="V762">
        <v>117.819528703</v>
      </c>
      <c r="W762"/>
      <c r="X762"/>
      <c r="Y762">
        <v>7.9521855549999998</v>
      </c>
      <c r="Z762"/>
      <c r="AA762"/>
      <c r="AB762">
        <v>91.952607842000006</v>
      </c>
      <c r="AC762">
        <v>71.257236758000005</v>
      </c>
      <c r="AD762"/>
      <c r="AE762">
        <v>49.567695022999999</v>
      </c>
      <c r="AF762"/>
      <c r="AG762">
        <v>60.945811141999997</v>
      </c>
      <c r="AH762">
        <v>63.622325742999998</v>
      </c>
      <c r="AI762">
        <v>54.378527566999999</v>
      </c>
      <c r="AJ762"/>
      <c r="AK762">
        <v>52.051352186999999</v>
      </c>
      <c r="AL762"/>
      <c r="AM762">
        <v>72.012304614000001</v>
      </c>
      <c r="AN762"/>
      <c r="AO762"/>
      <c r="AP762"/>
      <c r="AQ762">
        <v>56.086141724000001</v>
      </c>
      <c r="AR762"/>
      <c r="AS762">
        <v>48.461548563999997</v>
      </c>
      <c r="AT762"/>
    </row>
    <row r="763" spans="1:46" x14ac:dyDescent="0.2">
      <c r="A763" s="87">
        <v>30103</v>
      </c>
      <c r="B763"/>
      <c r="C763"/>
      <c r="D763">
        <v>37.177447166999997</v>
      </c>
      <c r="E763">
        <v>50.784664055999997</v>
      </c>
      <c r="F763">
        <v>63.420391881</v>
      </c>
      <c r="G763">
        <v>51.216813233000003</v>
      </c>
      <c r="H763"/>
      <c r="I763"/>
      <c r="J763"/>
      <c r="K763"/>
      <c r="L763">
        <v>57.273879948000001</v>
      </c>
      <c r="M763">
        <v>66.286024835999996</v>
      </c>
      <c r="N763">
        <v>63.74982267</v>
      </c>
      <c r="O763">
        <v>79.812632125999997</v>
      </c>
      <c r="P763"/>
      <c r="Q763"/>
      <c r="R763">
        <v>53.24254028</v>
      </c>
      <c r="S763">
        <v>80.247422231000002</v>
      </c>
      <c r="T763">
        <v>58.774037454999998</v>
      </c>
      <c r="U763">
        <v>65.172970066000005</v>
      </c>
      <c r="V763">
        <v>113.486681957</v>
      </c>
      <c r="W763"/>
      <c r="X763"/>
      <c r="Y763">
        <v>7.8623303509999998</v>
      </c>
      <c r="Z763"/>
      <c r="AA763"/>
      <c r="AB763">
        <v>89.119664853000003</v>
      </c>
      <c r="AC763">
        <v>72.182655417999996</v>
      </c>
      <c r="AD763"/>
      <c r="AE763">
        <v>49.972449499</v>
      </c>
      <c r="AF763"/>
      <c r="AG763">
        <v>60.439736791000001</v>
      </c>
      <c r="AH763">
        <v>62.952617050999997</v>
      </c>
      <c r="AI763">
        <v>54.939130943999999</v>
      </c>
      <c r="AJ763"/>
      <c r="AK763">
        <v>51.741573774999999</v>
      </c>
      <c r="AL763"/>
      <c r="AM763">
        <v>78.550337343999999</v>
      </c>
      <c r="AN763"/>
      <c r="AO763"/>
      <c r="AP763"/>
      <c r="AQ763">
        <v>56.374354169</v>
      </c>
      <c r="AR763"/>
      <c r="AS763">
        <v>48.329125879000003</v>
      </c>
      <c r="AT763"/>
    </row>
    <row r="764" spans="1:46" x14ac:dyDescent="0.2">
      <c r="A764" s="87">
        <v>30133</v>
      </c>
      <c r="B764"/>
      <c r="C764"/>
      <c r="D764">
        <v>37.384725598000003</v>
      </c>
      <c r="E764">
        <v>51.514282766000001</v>
      </c>
      <c r="F764">
        <v>63.967355111000003</v>
      </c>
      <c r="G764">
        <v>50.193820907999999</v>
      </c>
      <c r="H764"/>
      <c r="I764"/>
      <c r="J764"/>
      <c r="K764"/>
      <c r="L764">
        <v>55.360636112999998</v>
      </c>
      <c r="M764">
        <v>63.159325551999999</v>
      </c>
      <c r="N764">
        <v>64.119125194999995</v>
      </c>
      <c r="O764">
        <v>81.540751286000003</v>
      </c>
      <c r="P764"/>
      <c r="Q764"/>
      <c r="R764">
        <v>51.721324844000002</v>
      </c>
      <c r="S764">
        <v>77.891981698999999</v>
      </c>
      <c r="T764">
        <v>58.414797561999997</v>
      </c>
      <c r="U764">
        <v>65.172970066000005</v>
      </c>
      <c r="V764">
        <v>113.758117101</v>
      </c>
      <c r="W764"/>
      <c r="X764"/>
      <c r="Y764">
        <v>8.0645045599999996</v>
      </c>
      <c r="Z764"/>
      <c r="AA764"/>
      <c r="AB764">
        <v>92.424765006000001</v>
      </c>
      <c r="AC764">
        <v>72.01439748</v>
      </c>
      <c r="AD764"/>
      <c r="AE764">
        <v>48.577932103999999</v>
      </c>
      <c r="AF764"/>
      <c r="AG764">
        <v>59.499884424999998</v>
      </c>
      <c r="AH764">
        <v>62.952617050999997</v>
      </c>
      <c r="AI764">
        <v>55.499734320999998</v>
      </c>
      <c r="AJ764"/>
      <c r="AK764">
        <v>51.491912788</v>
      </c>
      <c r="AL764"/>
      <c r="AM764">
        <v>78.705881516000005</v>
      </c>
      <c r="AN764"/>
      <c r="AO764"/>
      <c r="AP764"/>
      <c r="AQ764">
        <v>56.893136568999999</v>
      </c>
      <c r="AR764"/>
      <c r="AS764">
        <v>48.160524840999997</v>
      </c>
      <c r="AT764"/>
    </row>
    <row r="765" spans="1:46" x14ac:dyDescent="0.2">
      <c r="A765" s="87">
        <v>30164</v>
      </c>
      <c r="B765"/>
      <c r="C765"/>
      <c r="D765">
        <v>36.635989172999999</v>
      </c>
      <c r="E765">
        <v>50.092681968999997</v>
      </c>
      <c r="F765">
        <v>63.956630959999998</v>
      </c>
      <c r="G765">
        <v>51.141157851999999</v>
      </c>
      <c r="H765"/>
      <c r="I765"/>
      <c r="J765"/>
      <c r="K765"/>
      <c r="L765">
        <v>56.533269431000001</v>
      </c>
      <c r="M765">
        <v>63.159325551999999</v>
      </c>
      <c r="N765">
        <v>63.437967202999999</v>
      </c>
      <c r="O765">
        <v>76.726552345000002</v>
      </c>
      <c r="P765"/>
      <c r="Q765"/>
      <c r="R765">
        <v>52.684761287000001</v>
      </c>
      <c r="S765">
        <v>77.891981698999999</v>
      </c>
      <c r="T765">
        <v>58.344776721999999</v>
      </c>
      <c r="U765">
        <v>65.603154687</v>
      </c>
      <c r="V765">
        <v>111.685717463</v>
      </c>
      <c r="W765"/>
      <c r="X765"/>
      <c r="Y765">
        <v>7.8847941519999996</v>
      </c>
      <c r="Z765"/>
      <c r="AA765"/>
      <c r="AB765">
        <v>90.654175637999998</v>
      </c>
      <c r="AC765">
        <v>72.098526449000005</v>
      </c>
      <c r="AD765"/>
      <c r="AE765">
        <v>49.450382423999997</v>
      </c>
      <c r="AF765"/>
      <c r="AG765">
        <v>59.138402745999997</v>
      </c>
      <c r="AH765">
        <v>60.943490973999999</v>
      </c>
      <c r="AI765">
        <v>54.939130943999999</v>
      </c>
      <c r="AJ765"/>
      <c r="AK765">
        <v>51.261797254999998</v>
      </c>
      <c r="AL765"/>
      <c r="AM765">
        <v>75.450846573999996</v>
      </c>
      <c r="AN765"/>
      <c r="AO765"/>
      <c r="AP765"/>
      <c r="AQ765">
        <v>55.625001812999997</v>
      </c>
      <c r="AR765"/>
      <c r="AS765">
        <v>47.733818509000002</v>
      </c>
      <c r="AT765"/>
    </row>
    <row r="766" spans="1:46" x14ac:dyDescent="0.2">
      <c r="A766" s="87">
        <v>30195</v>
      </c>
      <c r="B766"/>
      <c r="C766"/>
      <c r="D766">
        <v>36.611675929</v>
      </c>
      <c r="E766">
        <v>51.427639425999999</v>
      </c>
      <c r="F766">
        <v>63.211325057000003</v>
      </c>
      <c r="G766">
        <v>50.536384714</v>
      </c>
      <c r="H766"/>
      <c r="I766"/>
      <c r="J766"/>
      <c r="K766"/>
      <c r="L766">
        <v>56.286399259</v>
      </c>
      <c r="M766">
        <v>63.159325551999999</v>
      </c>
      <c r="N766">
        <v>63.946784016999999</v>
      </c>
      <c r="O766">
        <v>83.861636250999993</v>
      </c>
      <c r="P766"/>
      <c r="Q766"/>
      <c r="R766">
        <v>52.786175649</v>
      </c>
      <c r="S766">
        <v>78.460536309000005</v>
      </c>
      <c r="T766">
        <v>58.306177065</v>
      </c>
      <c r="U766">
        <v>65.603154687</v>
      </c>
      <c r="V766">
        <v>120.164413111</v>
      </c>
      <c r="W766"/>
      <c r="X766"/>
      <c r="Y766">
        <v>7.9521855549999998</v>
      </c>
      <c r="Z766"/>
      <c r="AA766"/>
      <c r="AB766">
        <v>91.008293511999995</v>
      </c>
      <c r="AC766">
        <v>72.435042324999998</v>
      </c>
      <c r="AD766"/>
      <c r="AE766">
        <v>49.886545818999998</v>
      </c>
      <c r="AF766"/>
      <c r="AG766">
        <v>58.198550378999997</v>
      </c>
      <c r="AH766">
        <v>62.282908358999997</v>
      </c>
      <c r="AI766">
        <v>53.817924189999999</v>
      </c>
      <c r="AJ766"/>
      <c r="AK766">
        <v>51.420163793</v>
      </c>
      <c r="AL766"/>
      <c r="AM766">
        <v>76.988718223000006</v>
      </c>
      <c r="AN766"/>
      <c r="AO766"/>
      <c r="AP766"/>
      <c r="AQ766">
        <v>56.086141724000001</v>
      </c>
      <c r="AR766"/>
      <c r="AS766">
        <v>47.593268084000002</v>
      </c>
      <c r="AT766"/>
    </row>
    <row r="767" spans="1:46" x14ac:dyDescent="0.2">
      <c r="A767" s="87">
        <v>30225</v>
      </c>
      <c r="B767"/>
      <c r="C767"/>
      <c r="D767">
        <v>36.622739522000003</v>
      </c>
      <c r="E767">
        <v>51.799119642000001</v>
      </c>
      <c r="F767">
        <v>61.20690209</v>
      </c>
      <c r="G767">
        <v>49.589517678999997</v>
      </c>
      <c r="H767"/>
      <c r="I767"/>
      <c r="J767"/>
      <c r="K767"/>
      <c r="L767">
        <v>55.669223829000003</v>
      </c>
      <c r="M767">
        <v>63.784665408999999</v>
      </c>
      <c r="N767">
        <v>63.331279807000001</v>
      </c>
      <c r="O767">
        <v>80.609511194000007</v>
      </c>
      <c r="P767"/>
      <c r="Q767"/>
      <c r="R767">
        <v>51.974860749999998</v>
      </c>
      <c r="S767">
        <v>79.029090920000002</v>
      </c>
      <c r="T767">
        <v>57.585527784999996</v>
      </c>
      <c r="U767">
        <v>65.280516222000003</v>
      </c>
      <c r="V767">
        <v>115.54914641400001</v>
      </c>
      <c r="W767"/>
      <c r="X767"/>
      <c r="Y767">
        <v>8.2217511670000007</v>
      </c>
      <c r="Z767"/>
      <c r="AA767"/>
      <c r="AB767">
        <v>90.063979181999997</v>
      </c>
      <c r="AC767">
        <v>70.331818099000003</v>
      </c>
      <c r="AD767"/>
      <c r="AE767">
        <v>49.393639364999999</v>
      </c>
      <c r="AF767"/>
      <c r="AG767">
        <v>56.463438318000001</v>
      </c>
      <c r="AH767">
        <v>61.613199667000004</v>
      </c>
      <c r="AI767">
        <v>52.136114059000001</v>
      </c>
      <c r="AJ767"/>
      <c r="AK767">
        <v>50.742377320000003</v>
      </c>
      <c r="AL767"/>
      <c r="AM767">
        <v>78.354103295000002</v>
      </c>
      <c r="AN767"/>
      <c r="AO767"/>
      <c r="AP767"/>
      <c r="AQ767">
        <v>55.855571769000001</v>
      </c>
      <c r="AR767"/>
      <c r="AS767">
        <v>47.151793054999999</v>
      </c>
      <c r="AT767"/>
    </row>
    <row r="768" spans="1:46" x14ac:dyDescent="0.2">
      <c r="A768" s="87">
        <v>30256</v>
      </c>
      <c r="B768"/>
      <c r="C768"/>
      <c r="D768">
        <v>36.401943568999997</v>
      </c>
      <c r="E768">
        <v>50.850319040000002</v>
      </c>
      <c r="F768">
        <v>59.776149736000001</v>
      </c>
      <c r="G768">
        <v>50.409979139000001</v>
      </c>
      <c r="H768"/>
      <c r="I768"/>
      <c r="J768"/>
      <c r="K768"/>
      <c r="L768">
        <v>54.990330855000003</v>
      </c>
      <c r="M768">
        <v>65.035345121999995</v>
      </c>
      <c r="N768">
        <v>62.732189042999998</v>
      </c>
      <c r="O768">
        <v>82.161715934</v>
      </c>
      <c r="P768"/>
      <c r="Q768"/>
      <c r="R768">
        <v>52.380518199999997</v>
      </c>
      <c r="S768">
        <v>78.541758400999996</v>
      </c>
      <c r="T768">
        <v>57.546114672000002</v>
      </c>
      <c r="U768">
        <v>64.097508513999998</v>
      </c>
      <c r="V768">
        <v>114.487963624</v>
      </c>
      <c r="W768"/>
      <c r="X768"/>
      <c r="Y768">
        <v>8.0645045599999996</v>
      </c>
      <c r="Z768"/>
      <c r="AA768"/>
      <c r="AB768">
        <v>88.529468397000002</v>
      </c>
      <c r="AC768">
        <v>72.098526449000005</v>
      </c>
      <c r="AD768"/>
      <c r="AE768">
        <v>47.701488251000001</v>
      </c>
      <c r="AF768"/>
      <c r="AG768">
        <v>56.824919997999999</v>
      </c>
      <c r="AH768">
        <v>60.943490973999999</v>
      </c>
      <c r="AI768">
        <v>56.060337697999998</v>
      </c>
      <c r="AJ768"/>
      <c r="AK768">
        <v>50.762180940999997</v>
      </c>
      <c r="AL768"/>
      <c r="AM768">
        <v>78.110048860999996</v>
      </c>
      <c r="AN768"/>
      <c r="AO768"/>
      <c r="AP768"/>
      <c r="AQ768">
        <v>55.394431857000001</v>
      </c>
      <c r="AR768"/>
      <c r="AS768">
        <v>47.00559286</v>
      </c>
      <c r="AT768"/>
    </row>
    <row r="769" spans="1:46" x14ac:dyDescent="0.2">
      <c r="A769" s="87">
        <v>30286</v>
      </c>
      <c r="B769"/>
      <c r="C769"/>
      <c r="D769">
        <v>35.633758721</v>
      </c>
      <c r="E769">
        <v>49.953184383</v>
      </c>
      <c r="F769">
        <v>59.156825533000003</v>
      </c>
      <c r="G769">
        <v>50.052848148999999</v>
      </c>
      <c r="H769"/>
      <c r="I769"/>
      <c r="J769"/>
      <c r="K769"/>
      <c r="L769">
        <v>55.237201026999998</v>
      </c>
      <c r="M769">
        <v>64.410005264999995</v>
      </c>
      <c r="N769">
        <v>62.305439458000002</v>
      </c>
      <c r="O769">
        <v>80.258746310000006</v>
      </c>
      <c r="P769"/>
      <c r="Q769"/>
      <c r="R769">
        <v>52.989004373999997</v>
      </c>
      <c r="S769">
        <v>78.866646747000004</v>
      </c>
      <c r="T769">
        <v>57.391708491000003</v>
      </c>
      <c r="U769">
        <v>65.065423910999996</v>
      </c>
      <c r="V769">
        <v>111.91389022</v>
      </c>
      <c r="W769"/>
      <c r="X769"/>
      <c r="Y769">
        <v>7.750011346</v>
      </c>
      <c r="Z769"/>
      <c r="AA769"/>
      <c r="AB769">
        <v>89.473782725999996</v>
      </c>
      <c r="AC769">
        <v>71.341365726999996</v>
      </c>
      <c r="AD769"/>
      <c r="AE769">
        <v>45.160085743000003</v>
      </c>
      <c r="AF769"/>
      <c r="AG769">
        <v>56.101956639000001</v>
      </c>
      <c r="AH769">
        <v>62.952617050999997</v>
      </c>
      <c r="AI769">
        <v>57.181544451999997</v>
      </c>
      <c r="AJ769"/>
      <c r="AK769">
        <v>50.604123622000003</v>
      </c>
      <c r="AL769"/>
      <c r="AM769">
        <v>80.051274493999998</v>
      </c>
      <c r="AN769"/>
      <c r="AO769"/>
      <c r="AP769"/>
      <c r="AQ769">
        <v>56.489639146999998</v>
      </c>
      <c r="AR769"/>
      <c r="AS769">
        <v>46.656397411</v>
      </c>
      <c r="AT769"/>
    </row>
    <row r="770" spans="1:46" x14ac:dyDescent="0.2">
      <c r="A770" s="87">
        <v>30317</v>
      </c>
      <c r="B770"/>
      <c r="C770"/>
      <c r="D770">
        <v>36.092234204999997</v>
      </c>
      <c r="E770">
        <v>51.422216218000003</v>
      </c>
      <c r="F770">
        <v>58.067256381999997</v>
      </c>
      <c r="G770">
        <v>50.977159540999999</v>
      </c>
      <c r="H770"/>
      <c r="I770"/>
      <c r="J770"/>
      <c r="K770"/>
      <c r="L770">
        <v>56.101246629999999</v>
      </c>
      <c r="M770">
        <v>65.035345121999995</v>
      </c>
      <c r="N770">
        <v>63.158938628000001</v>
      </c>
      <c r="O770">
        <v>83.766806905999999</v>
      </c>
      <c r="P770"/>
      <c r="Q770"/>
      <c r="R770">
        <v>52.431225380999997</v>
      </c>
      <c r="S770">
        <v>79.029090920000002</v>
      </c>
      <c r="T770">
        <v>58.172854665000003</v>
      </c>
      <c r="U770">
        <v>65.925793153000001</v>
      </c>
      <c r="V770">
        <v>114.01949248699999</v>
      </c>
      <c r="W770"/>
      <c r="X770"/>
      <c r="Y770">
        <v>8.8732013960000007</v>
      </c>
      <c r="Z770"/>
      <c r="AA770"/>
      <c r="AB770">
        <v>89.709861309000004</v>
      </c>
      <c r="AC770">
        <v>71.930268510999994</v>
      </c>
      <c r="AD770"/>
      <c r="AE770">
        <v>47.497918419999998</v>
      </c>
      <c r="AF770"/>
      <c r="AG770">
        <v>55.451289615999997</v>
      </c>
      <c r="AH770">
        <v>62.282908358999997</v>
      </c>
      <c r="AI770">
        <v>56.620941074999998</v>
      </c>
      <c r="AJ770"/>
      <c r="AK770">
        <v>51.231201753999997</v>
      </c>
      <c r="AL770"/>
      <c r="AM770">
        <v>79.310647828</v>
      </c>
      <c r="AN770"/>
      <c r="AO770"/>
      <c r="AP770"/>
      <c r="AQ770">
        <v>56.489639146999998</v>
      </c>
      <c r="AR770"/>
      <c r="AS770">
        <v>47.529237354999999</v>
      </c>
      <c r="AT770"/>
    </row>
    <row r="771" spans="1:46" x14ac:dyDescent="0.2">
      <c r="A771" s="87">
        <v>30348</v>
      </c>
      <c r="B771"/>
      <c r="C771"/>
      <c r="D771">
        <v>36.636122458999999</v>
      </c>
      <c r="E771">
        <v>51.549605966999998</v>
      </c>
      <c r="F771">
        <v>56.842006544</v>
      </c>
      <c r="G771">
        <v>51.021800915</v>
      </c>
      <c r="H771"/>
      <c r="I771"/>
      <c r="J771"/>
      <c r="K771"/>
      <c r="L771">
        <v>55.607506284999999</v>
      </c>
      <c r="M771">
        <v>64.410005264999995</v>
      </c>
      <c r="N771">
        <v>63.429760481000002</v>
      </c>
      <c r="O771">
        <v>83.003252105000001</v>
      </c>
      <c r="P771"/>
      <c r="Q771"/>
      <c r="R771">
        <v>53.24254028</v>
      </c>
      <c r="S771">
        <v>78.704202574000007</v>
      </c>
      <c r="T771">
        <v>57.951009491000001</v>
      </c>
      <c r="U771">
        <v>66.893708549999999</v>
      </c>
      <c r="V771">
        <v>114.9591904</v>
      </c>
      <c r="W771"/>
      <c r="X771"/>
      <c r="Y771">
        <v>8.4688529779999993</v>
      </c>
      <c r="Z771"/>
      <c r="AA771"/>
      <c r="AB771">
        <v>89.355743434999994</v>
      </c>
      <c r="AC771">
        <v>71.677881604000007</v>
      </c>
      <c r="AD771"/>
      <c r="AE771">
        <v>50.073635287000002</v>
      </c>
      <c r="AF771"/>
      <c r="AG771">
        <v>54.583733584999997</v>
      </c>
      <c r="AH771">
        <v>63.622325742999998</v>
      </c>
      <c r="AI771">
        <v>58.863354583000003</v>
      </c>
      <c r="AJ771"/>
      <c r="AK771">
        <v>51.081634452000003</v>
      </c>
      <c r="AL771"/>
      <c r="AM771">
        <v>81.044598444000002</v>
      </c>
      <c r="AN771"/>
      <c r="AO771"/>
      <c r="AP771"/>
      <c r="AQ771">
        <v>56.835494079999997</v>
      </c>
      <c r="AR771"/>
      <c r="AS771">
        <v>47.244766466999998</v>
      </c>
      <c r="AT771"/>
    </row>
    <row r="772" spans="1:46" x14ac:dyDescent="0.2">
      <c r="A772" s="87">
        <v>30376</v>
      </c>
      <c r="B772"/>
      <c r="C772"/>
      <c r="D772">
        <v>36.196348004000001</v>
      </c>
      <c r="E772">
        <v>51.641311303000002</v>
      </c>
      <c r="F772">
        <v>58.949207315000002</v>
      </c>
      <c r="G772">
        <v>51.368123994000001</v>
      </c>
      <c r="H772"/>
      <c r="I772"/>
      <c r="J772"/>
      <c r="K772"/>
      <c r="L772">
        <v>56.594986974000001</v>
      </c>
      <c r="M772">
        <v>63.159325551999999</v>
      </c>
      <c r="N772">
        <v>64.020644521999998</v>
      </c>
      <c r="O772">
        <v>84.721322791000006</v>
      </c>
      <c r="P772"/>
      <c r="Q772"/>
      <c r="R772">
        <v>53.191833099</v>
      </c>
      <c r="S772">
        <v>79.516423447999998</v>
      </c>
      <c r="T772">
        <v>58.416400627999998</v>
      </c>
      <c r="U772">
        <v>66.033339307999995</v>
      </c>
      <c r="V772">
        <v>113.70077037999999</v>
      </c>
      <c r="W772"/>
      <c r="X772"/>
      <c r="Y772">
        <v>8.2442149679999996</v>
      </c>
      <c r="Z772"/>
      <c r="AA772"/>
      <c r="AB772">
        <v>88.883586270999999</v>
      </c>
      <c r="AC772">
        <v>72.687429232</v>
      </c>
      <c r="AD772"/>
      <c r="AE772">
        <v>48.376430702999997</v>
      </c>
      <c r="AF772"/>
      <c r="AG772">
        <v>53.716177555000002</v>
      </c>
      <c r="AH772">
        <v>64.292034435000005</v>
      </c>
      <c r="AI772">
        <v>56.620941074999998</v>
      </c>
      <c r="AJ772"/>
      <c r="AK772">
        <v>51.387606879000003</v>
      </c>
      <c r="AL772"/>
      <c r="AM772">
        <v>81.079609642999998</v>
      </c>
      <c r="AN772"/>
      <c r="AO772"/>
      <c r="AP772"/>
      <c r="AQ772">
        <v>56.489639146999998</v>
      </c>
      <c r="AR772"/>
      <c r="AS772">
        <v>47.630536743999997</v>
      </c>
      <c r="AT772"/>
    </row>
    <row r="773" spans="1:46" x14ac:dyDescent="0.2">
      <c r="A773" s="87">
        <v>30407</v>
      </c>
      <c r="B773"/>
      <c r="C773"/>
      <c r="D773">
        <v>37.576921499000001</v>
      </c>
      <c r="E773">
        <v>51.647001981999999</v>
      </c>
      <c r="F773">
        <v>58.395807875000003</v>
      </c>
      <c r="G773">
        <v>52.208791550000001</v>
      </c>
      <c r="H773"/>
      <c r="I773"/>
      <c r="J773"/>
      <c r="K773"/>
      <c r="L773">
        <v>57.150444862000001</v>
      </c>
      <c r="M773">
        <v>65.660684978999996</v>
      </c>
      <c r="N773">
        <v>63.790856284</v>
      </c>
      <c r="O773">
        <v>82.791877490999994</v>
      </c>
      <c r="P773"/>
      <c r="Q773"/>
      <c r="R773">
        <v>54.155269541999999</v>
      </c>
      <c r="S773">
        <v>79.029090920000002</v>
      </c>
      <c r="T773">
        <v>58.83350952</v>
      </c>
      <c r="U773">
        <v>66.786162395000005</v>
      </c>
      <c r="V773">
        <v>117.907857404</v>
      </c>
      <c r="W773"/>
      <c r="X773"/>
      <c r="Y773">
        <v>8.0869683610000003</v>
      </c>
      <c r="Z773"/>
      <c r="AA773"/>
      <c r="AB773">
        <v>88.411429106</v>
      </c>
      <c r="AC773">
        <v>72.687429232</v>
      </c>
      <c r="AD773"/>
      <c r="AE773">
        <v>51.367256339999997</v>
      </c>
      <c r="AF773"/>
      <c r="AG773">
        <v>53.571584883</v>
      </c>
      <c r="AH773">
        <v>64.292034435000005</v>
      </c>
      <c r="AI773">
        <v>62.226974845000001</v>
      </c>
      <c r="AJ773"/>
      <c r="AK773">
        <v>51.748144406999998</v>
      </c>
      <c r="AL773"/>
      <c r="AM773">
        <v>79.875262841999998</v>
      </c>
      <c r="AN773"/>
      <c r="AO773"/>
      <c r="AP773"/>
      <c r="AQ773">
        <v>57.988343858999997</v>
      </c>
      <c r="AR773"/>
      <c r="AS773">
        <v>48.224852925999997</v>
      </c>
      <c r="AT773"/>
    </row>
    <row r="774" spans="1:46" x14ac:dyDescent="0.2">
      <c r="A774" s="87">
        <v>30437</v>
      </c>
      <c r="B774"/>
      <c r="C774"/>
      <c r="D774">
        <v>37.424781535000001</v>
      </c>
      <c r="E774">
        <v>51.326434579999997</v>
      </c>
      <c r="F774">
        <v>60.055330640000001</v>
      </c>
      <c r="G774">
        <v>52.539137715999999</v>
      </c>
      <c r="H774"/>
      <c r="I774"/>
      <c r="J774"/>
      <c r="K774"/>
      <c r="L774">
        <v>56.780139603000002</v>
      </c>
      <c r="M774">
        <v>66.286024835999996</v>
      </c>
      <c r="N774">
        <v>63.922163847999997</v>
      </c>
      <c r="O774">
        <v>83.425981296000003</v>
      </c>
      <c r="P774"/>
      <c r="Q774"/>
      <c r="R774">
        <v>54.814462898000002</v>
      </c>
      <c r="S774">
        <v>79.678867620999995</v>
      </c>
      <c r="T774">
        <v>59.017120214999998</v>
      </c>
      <c r="U774">
        <v>67.538985480999997</v>
      </c>
      <c r="V774">
        <v>107.981016823</v>
      </c>
      <c r="W774"/>
      <c r="X774"/>
      <c r="Y774">
        <v>8.1992873660000001</v>
      </c>
      <c r="Z774"/>
      <c r="AA774"/>
      <c r="AB774">
        <v>87.112996902999996</v>
      </c>
      <c r="AC774">
        <v>73.023945108000007</v>
      </c>
      <c r="AD774"/>
      <c r="AE774">
        <v>51.697368588000003</v>
      </c>
      <c r="AF774"/>
      <c r="AG774">
        <v>52.993214195999997</v>
      </c>
      <c r="AH774">
        <v>66.301160511000006</v>
      </c>
      <c r="AI774">
        <v>59.423957960000003</v>
      </c>
      <c r="AJ774"/>
      <c r="AK774">
        <v>51.849660100999998</v>
      </c>
      <c r="AL774"/>
      <c r="AM774">
        <v>79.188897918999999</v>
      </c>
      <c r="AN774"/>
      <c r="AO774"/>
      <c r="AP774"/>
      <c r="AQ774">
        <v>57.642488925000002</v>
      </c>
      <c r="AR774"/>
      <c r="AS774">
        <v>48.535292933999997</v>
      </c>
      <c r="AT774"/>
    </row>
    <row r="775" spans="1:46" x14ac:dyDescent="0.2">
      <c r="A775" s="87">
        <v>30468</v>
      </c>
      <c r="B775"/>
      <c r="C775"/>
      <c r="D775">
        <v>37.424781535000001</v>
      </c>
      <c r="E775">
        <v>51.947368636999997</v>
      </c>
      <c r="F775">
        <v>58.000844860999997</v>
      </c>
      <c r="G775">
        <v>54.154685538999999</v>
      </c>
      <c r="H775"/>
      <c r="I775"/>
      <c r="J775"/>
      <c r="K775"/>
      <c r="L775">
        <v>58.693383437999998</v>
      </c>
      <c r="M775">
        <v>66.911364692999996</v>
      </c>
      <c r="N775">
        <v>64.406360492999994</v>
      </c>
      <c r="O775">
        <v>83.162800435999998</v>
      </c>
      <c r="P775"/>
      <c r="Q775"/>
      <c r="R775">
        <v>55.575070617000002</v>
      </c>
      <c r="S775">
        <v>79.678867620999995</v>
      </c>
      <c r="T775">
        <v>59.573240933000001</v>
      </c>
      <c r="U775">
        <v>66.571070083999999</v>
      </c>
      <c r="V775">
        <v>115.613458306</v>
      </c>
      <c r="W775"/>
      <c r="X775"/>
      <c r="Y775">
        <v>8.4239253759999997</v>
      </c>
      <c r="Z775"/>
      <c r="AA775"/>
      <c r="AB775">
        <v>87.467114776000003</v>
      </c>
      <c r="AC775">
        <v>73.781105828999998</v>
      </c>
      <c r="AD775"/>
      <c r="AE775">
        <v>50.330990925999998</v>
      </c>
      <c r="AF775"/>
      <c r="AG775">
        <v>52.993214195999997</v>
      </c>
      <c r="AH775">
        <v>63.622325742999998</v>
      </c>
      <c r="AI775">
        <v>60.545164714000002</v>
      </c>
      <c r="AJ775"/>
      <c r="AK775">
        <v>52.276906404999998</v>
      </c>
      <c r="AL775"/>
      <c r="AM775">
        <v>81.228304449000007</v>
      </c>
      <c r="AN775"/>
      <c r="AO775"/>
      <c r="AP775"/>
      <c r="AQ775">
        <v>57.988343858999997</v>
      </c>
      <c r="AR775"/>
      <c r="AS775">
        <v>48.816988496</v>
      </c>
      <c r="AT775"/>
    </row>
    <row r="776" spans="1:46" x14ac:dyDescent="0.2">
      <c r="A776" s="87">
        <v>30498</v>
      </c>
      <c r="B776"/>
      <c r="C776"/>
      <c r="D776">
        <v>39.114105231000003</v>
      </c>
      <c r="E776">
        <v>52.332463154999999</v>
      </c>
      <c r="F776">
        <v>57.855398624999999</v>
      </c>
      <c r="G776">
        <v>54.152805901999997</v>
      </c>
      <c r="H776"/>
      <c r="I776"/>
      <c r="J776"/>
      <c r="K776"/>
      <c r="L776">
        <v>56.039529086999998</v>
      </c>
      <c r="M776">
        <v>65.660684978999996</v>
      </c>
      <c r="N776">
        <v>64.053471412999997</v>
      </c>
      <c r="O776">
        <v>81.959741602999998</v>
      </c>
      <c r="P776"/>
      <c r="Q776"/>
      <c r="R776">
        <v>53.090418737</v>
      </c>
      <c r="S776">
        <v>78.460536309000005</v>
      </c>
      <c r="T776">
        <v>59.667869979999999</v>
      </c>
      <c r="U776">
        <v>67.646531636000006</v>
      </c>
      <c r="V776">
        <v>116.433536498</v>
      </c>
      <c r="W776"/>
      <c r="X776"/>
      <c r="Y776">
        <v>8.9630565999999998</v>
      </c>
      <c r="Z776"/>
      <c r="AA776"/>
      <c r="AB776">
        <v>89.827900600000007</v>
      </c>
      <c r="AC776">
        <v>73.528718921999996</v>
      </c>
      <c r="AD776"/>
      <c r="AE776">
        <v>51.869897078999998</v>
      </c>
      <c r="AF776"/>
      <c r="AG776">
        <v>53.065510531999998</v>
      </c>
      <c r="AH776">
        <v>64.292034435000005</v>
      </c>
      <c r="AI776">
        <v>61.666371468000001</v>
      </c>
      <c r="AJ776"/>
      <c r="AK776">
        <v>52.377303535999999</v>
      </c>
      <c r="AL776"/>
      <c r="AM776">
        <v>78.874677078000005</v>
      </c>
      <c r="AN776"/>
      <c r="AO776"/>
      <c r="AP776"/>
      <c r="AQ776">
        <v>59.429406082</v>
      </c>
      <c r="AR776"/>
      <c r="AS776">
        <v>49.545610619999998</v>
      </c>
      <c r="AT776"/>
    </row>
    <row r="777" spans="1:46" x14ac:dyDescent="0.2">
      <c r="A777" s="87">
        <v>30529</v>
      </c>
      <c r="B777"/>
      <c r="C777"/>
      <c r="D777">
        <v>37.470119252000003</v>
      </c>
      <c r="E777">
        <v>53.221420692999999</v>
      </c>
      <c r="F777">
        <v>59.190702709999997</v>
      </c>
      <c r="G777">
        <v>55.524470852</v>
      </c>
      <c r="H777"/>
      <c r="I777"/>
      <c r="J777"/>
      <c r="K777"/>
      <c r="L777">
        <v>56.594986974000001</v>
      </c>
      <c r="M777">
        <v>66.286024835999996</v>
      </c>
      <c r="N777">
        <v>64.389947047999996</v>
      </c>
      <c r="O777">
        <v>82.280032460000001</v>
      </c>
      <c r="P777"/>
      <c r="Q777"/>
      <c r="R777">
        <v>55.422949072999998</v>
      </c>
      <c r="S777">
        <v>78.460536309000005</v>
      </c>
      <c r="T777">
        <v>60.454293827999997</v>
      </c>
      <c r="U777">
        <v>67.754077792000004</v>
      </c>
      <c r="V777">
        <v>118.845243235</v>
      </c>
      <c r="W777"/>
      <c r="X777"/>
      <c r="Y777">
        <v>8.6036357839999997</v>
      </c>
      <c r="Z777"/>
      <c r="AA777"/>
      <c r="AB777">
        <v>91.244372093999999</v>
      </c>
      <c r="AC777">
        <v>75.211298302000003</v>
      </c>
      <c r="AD777"/>
      <c r="AE777">
        <v>51.942993307999998</v>
      </c>
      <c r="AF777"/>
      <c r="AG777">
        <v>52.920917860000003</v>
      </c>
      <c r="AH777">
        <v>63.622325742999998</v>
      </c>
      <c r="AI777">
        <v>60.545164714000002</v>
      </c>
      <c r="AJ777"/>
      <c r="AK777">
        <v>52.929093793</v>
      </c>
      <c r="AL777"/>
      <c r="AM777">
        <v>77.645840571999997</v>
      </c>
      <c r="AN777"/>
      <c r="AO777"/>
      <c r="AP777"/>
      <c r="AQ777">
        <v>58.045986348</v>
      </c>
      <c r="AR777"/>
      <c r="AS777">
        <v>50.140422395999998</v>
      </c>
      <c r="AT777"/>
    </row>
    <row r="778" spans="1:46" x14ac:dyDescent="0.2">
      <c r="A778" s="87">
        <v>30560</v>
      </c>
      <c r="B778"/>
      <c r="C778"/>
      <c r="D778">
        <v>37.795003285999996</v>
      </c>
      <c r="E778">
        <v>51.489231363999998</v>
      </c>
      <c r="F778">
        <v>58.937185391</v>
      </c>
      <c r="G778">
        <v>56.648963563000002</v>
      </c>
      <c r="H778"/>
      <c r="I778"/>
      <c r="J778"/>
      <c r="K778"/>
      <c r="L778">
        <v>58.076208006999998</v>
      </c>
      <c r="M778">
        <v>68.162044406999996</v>
      </c>
      <c r="N778">
        <v>65.054691594000005</v>
      </c>
      <c r="O778">
        <v>83.725802518999998</v>
      </c>
      <c r="P778"/>
      <c r="Q778"/>
      <c r="R778">
        <v>55.473656253999998</v>
      </c>
      <c r="S778">
        <v>79.272757184</v>
      </c>
      <c r="T778">
        <v>61.199621508</v>
      </c>
      <c r="U778">
        <v>68.076716257000001</v>
      </c>
      <c r="V778">
        <v>114.584395239</v>
      </c>
      <c r="W778"/>
      <c r="X778"/>
      <c r="Y778">
        <v>8.5137805800000006</v>
      </c>
      <c r="Z778"/>
      <c r="AA778"/>
      <c r="AB778">
        <v>89.355743434999994</v>
      </c>
      <c r="AC778">
        <v>76.220845929999996</v>
      </c>
      <c r="AD778"/>
      <c r="AE778">
        <v>53.193848371000001</v>
      </c>
      <c r="AF778"/>
      <c r="AG778">
        <v>53.210103203999999</v>
      </c>
      <c r="AH778">
        <v>63.622325742999998</v>
      </c>
      <c r="AI778">
        <v>61.105768091000002</v>
      </c>
      <c r="AJ778"/>
      <c r="AK778">
        <v>53.513152761000001</v>
      </c>
      <c r="AL778"/>
      <c r="AM778">
        <v>80.456688467000006</v>
      </c>
      <c r="AN778"/>
      <c r="AO778"/>
      <c r="AP778"/>
      <c r="AQ778">
        <v>58.795338704000002</v>
      </c>
      <c r="AR778"/>
      <c r="AS778">
        <v>50.870432182999998</v>
      </c>
      <c r="AT778"/>
    </row>
    <row r="779" spans="1:46" x14ac:dyDescent="0.2">
      <c r="A779" s="87">
        <v>30590</v>
      </c>
      <c r="B779"/>
      <c r="C779"/>
      <c r="D779">
        <v>38.375676609999999</v>
      </c>
      <c r="E779">
        <v>52.710385160999998</v>
      </c>
      <c r="F779">
        <v>59.497930185000001</v>
      </c>
      <c r="G779">
        <v>56.144281083999999</v>
      </c>
      <c r="H779"/>
      <c r="I779"/>
      <c r="J779"/>
      <c r="K779"/>
      <c r="L779">
        <v>57.891055377999997</v>
      </c>
      <c r="M779">
        <v>66.911364692999996</v>
      </c>
      <c r="N779">
        <v>64.865936970000007</v>
      </c>
      <c r="O779">
        <v>82.762965335999993</v>
      </c>
      <c r="P779"/>
      <c r="Q779"/>
      <c r="R779">
        <v>54.966584441999998</v>
      </c>
      <c r="S779">
        <v>78.541758400999996</v>
      </c>
      <c r="T779">
        <v>61.328441155999997</v>
      </c>
      <c r="U779">
        <v>68.721993189000003</v>
      </c>
      <c r="V779">
        <v>114.646221467</v>
      </c>
      <c r="W779"/>
      <c r="X779"/>
      <c r="Y779">
        <v>8.6934909880000006</v>
      </c>
      <c r="Z779"/>
      <c r="AA779"/>
      <c r="AB779">
        <v>89.827900600000007</v>
      </c>
      <c r="AC779">
        <v>75.884330054000003</v>
      </c>
      <c r="AD779"/>
      <c r="AE779">
        <v>54.219646685000001</v>
      </c>
      <c r="AF779"/>
      <c r="AG779">
        <v>53.571584883</v>
      </c>
      <c r="AH779">
        <v>63.622325742999998</v>
      </c>
      <c r="AI779">
        <v>62.226974845000001</v>
      </c>
      <c r="AJ779"/>
      <c r="AK779">
        <v>53.649951668999996</v>
      </c>
      <c r="AL779"/>
      <c r="AM779">
        <v>80.169208114</v>
      </c>
      <c r="AN779"/>
      <c r="AO779"/>
      <c r="AP779"/>
      <c r="AQ779">
        <v>59.890545994</v>
      </c>
      <c r="AR779"/>
      <c r="AS779">
        <v>51.258283955000003</v>
      </c>
      <c r="AT779"/>
    </row>
    <row r="780" spans="1:46" x14ac:dyDescent="0.2">
      <c r="A780" s="87">
        <v>30621</v>
      </c>
      <c r="B780"/>
      <c r="C780"/>
      <c r="D780">
        <v>37.991608906000003</v>
      </c>
      <c r="E780">
        <v>53.996764583000001</v>
      </c>
      <c r="F780">
        <v>59.838049009999999</v>
      </c>
      <c r="G780">
        <v>56.901304801999999</v>
      </c>
      <c r="H780"/>
      <c r="I780"/>
      <c r="J780"/>
      <c r="K780"/>
      <c r="L780">
        <v>58.631665894999998</v>
      </c>
      <c r="M780">
        <v>67.536704549999996</v>
      </c>
      <c r="N780">
        <v>65.497854625000002</v>
      </c>
      <c r="O780">
        <v>83.069122207999996</v>
      </c>
      <c r="P780"/>
      <c r="Q780"/>
      <c r="R780">
        <v>55.879313703999998</v>
      </c>
      <c r="S780">
        <v>80.491088496000003</v>
      </c>
      <c r="T780">
        <v>61.868588823000003</v>
      </c>
      <c r="U780">
        <v>68.614447033999994</v>
      </c>
      <c r="V780">
        <v>116.232442539</v>
      </c>
      <c r="W780"/>
      <c r="X780"/>
      <c r="Y780">
        <v>8.5587081820000002</v>
      </c>
      <c r="Z780"/>
      <c r="AA780"/>
      <c r="AB780">
        <v>91.480450676999993</v>
      </c>
      <c r="AC780">
        <v>76.641490775999998</v>
      </c>
      <c r="AD780"/>
      <c r="AE780">
        <v>55.673115211999999</v>
      </c>
      <c r="AF780"/>
      <c r="AG780">
        <v>53.426992210999998</v>
      </c>
      <c r="AH780">
        <v>64.961743127000005</v>
      </c>
      <c r="AI780">
        <v>61.666371468000001</v>
      </c>
      <c r="AJ780"/>
      <c r="AK780">
        <v>54.081192406</v>
      </c>
      <c r="AL780"/>
      <c r="AM780">
        <v>78.838627701999997</v>
      </c>
      <c r="AN780"/>
      <c r="AO780"/>
      <c r="AP780"/>
      <c r="AQ780">
        <v>59.948188481999999</v>
      </c>
      <c r="AR780"/>
      <c r="AS780">
        <v>51.484770359000002</v>
      </c>
      <c r="AT780"/>
    </row>
    <row r="781" spans="1:46" x14ac:dyDescent="0.2">
      <c r="A781" s="87">
        <v>30651</v>
      </c>
      <c r="B781"/>
      <c r="C781"/>
      <c r="D781">
        <v>36.807259215000002</v>
      </c>
      <c r="E781">
        <v>52.293833321000001</v>
      </c>
      <c r="F781">
        <v>60.597272480000001</v>
      </c>
      <c r="G781">
        <v>58.626341469000003</v>
      </c>
      <c r="H781"/>
      <c r="I781"/>
      <c r="J781"/>
      <c r="K781"/>
      <c r="L781">
        <v>59.804299213</v>
      </c>
      <c r="M781">
        <v>70.038063977999997</v>
      </c>
      <c r="N781">
        <v>66.220046230999998</v>
      </c>
      <c r="O781">
        <v>85.039257316000004</v>
      </c>
      <c r="P781"/>
      <c r="Q781"/>
      <c r="R781">
        <v>53.851026455000003</v>
      </c>
      <c r="S781">
        <v>80.897198932999999</v>
      </c>
      <c r="T781">
        <v>62.449694252</v>
      </c>
      <c r="U781">
        <v>68.937085499000005</v>
      </c>
      <c r="V781">
        <v>116.98142102200001</v>
      </c>
      <c r="W781"/>
      <c r="X781"/>
      <c r="Y781">
        <v>9.2101584110000001</v>
      </c>
      <c r="Z781"/>
      <c r="AA781"/>
      <c r="AB781">
        <v>91.83456855</v>
      </c>
      <c r="AC781">
        <v>77.651038404000005</v>
      </c>
      <c r="AD781"/>
      <c r="AE781">
        <v>55.807363492</v>
      </c>
      <c r="AF781"/>
      <c r="AG781">
        <v>54.439140913999999</v>
      </c>
      <c r="AH781">
        <v>66.301160511000006</v>
      </c>
      <c r="AI781">
        <v>62.787578222</v>
      </c>
      <c r="AJ781"/>
      <c r="AK781">
        <v>54.591711807000003</v>
      </c>
      <c r="AL781"/>
      <c r="AM781">
        <v>80.265504101999994</v>
      </c>
      <c r="AN781"/>
      <c r="AO781"/>
      <c r="AP781"/>
      <c r="AQ781">
        <v>59.659976038000003</v>
      </c>
      <c r="AR781"/>
      <c r="AS781">
        <v>51.729791974000001</v>
      </c>
      <c r="AT781"/>
    </row>
    <row r="782" spans="1:46" x14ac:dyDescent="0.2">
      <c r="A782" s="87">
        <v>30682</v>
      </c>
      <c r="B782"/>
      <c r="C782"/>
      <c r="D782">
        <v>38.720930605</v>
      </c>
      <c r="E782">
        <v>53.205924709999998</v>
      </c>
      <c r="F782">
        <v>59.385673419</v>
      </c>
      <c r="G782">
        <v>58.254173383999998</v>
      </c>
      <c r="H782"/>
      <c r="I782"/>
      <c r="J782"/>
      <c r="K782"/>
      <c r="L782">
        <v>59.063688696</v>
      </c>
      <c r="M782">
        <v>70.663403834999997</v>
      </c>
      <c r="N782">
        <v>65.793296646000002</v>
      </c>
      <c r="O782">
        <v>84.959138015999997</v>
      </c>
      <c r="P782"/>
      <c r="Q782"/>
      <c r="R782">
        <v>55.828606522999998</v>
      </c>
      <c r="S782">
        <v>81.222087278999993</v>
      </c>
      <c r="T782">
        <v>63.051892698000003</v>
      </c>
      <c r="U782">
        <v>69.905000896000004</v>
      </c>
      <c r="V782">
        <v>117.90296456999999</v>
      </c>
      <c r="W782"/>
      <c r="X782"/>
      <c r="Y782">
        <v>8.8058099930000004</v>
      </c>
      <c r="Z782"/>
      <c r="AA782"/>
      <c r="AB782">
        <v>92.306725714999999</v>
      </c>
      <c r="AC782">
        <v>78.239941186999999</v>
      </c>
      <c r="AD782"/>
      <c r="AE782">
        <v>55.065387530000002</v>
      </c>
      <c r="AF782"/>
      <c r="AG782">
        <v>54.366844577999998</v>
      </c>
      <c r="AH782">
        <v>67.640577895000007</v>
      </c>
      <c r="AI782">
        <v>64.469388352999999</v>
      </c>
      <c r="AJ782"/>
      <c r="AK782">
        <v>55.139174111999999</v>
      </c>
      <c r="AL782"/>
      <c r="AM782">
        <v>80.582451512999995</v>
      </c>
      <c r="AN782"/>
      <c r="AO782"/>
      <c r="AP782"/>
      <c r="AQ782">
        <v>60.985753283000001</v>
      </c>
      <c r="AR782"/>
      <c r="AS782">
        <v>52.767962036</v>
      </c>
      <c r="AT782"/>
    </row>
    <row r="783" spans="1:46" x14ac:dyDescent="0.2">
      <c r="A783" s="87">
        <v>30713</v>
      </c>
      <c r="B783"/>
      <c r="C783"/>
      <c r="D783">
        <v>38.411964199000003</v>
      </c>
      <c r="E783">
        <v>52.988358949000002</v>
      </c>
      <c r="F783">
        <v>61.712161207999998</v>
      </c>
      <c r="G783">
        <v>58.057281430000003</v>
      </c>
      <c r="H783"/>
      <c r="I783"/>
      <c r="J783"/>
      <c r="K783"/>
      <c r="L783">
        <v>59.619146583999999</v>
      </c>
      <c r="M783">
        <v>70.038063977999997</v>
      </c>
      <c r="N783">
        <v>65.604542021</v>
      </c>
      <c r="O783">
        <v>84.183514024999994</v>
      </c>
      <c r="P783"/>
      <c r="Q783"/>
      <c r="R783">
        <v>55.169413167000002</v>
      </c>
      <c r="S783">
        <v>80.978421014999995</v>
      </c>
      <c r="T783">
        <v>63.314793295000001</v>
      </c>
      <c r="U783">
        <v>69.259723965000006</v>
      </c>
      <c r="V783">
        <v>112.29620705400001</v>
      </c>
      <c r="W783"/>
      <c r="X783"/>
      <c r="Y783">
        <v>8.9181289980000003</v>
      </c>
      <c r="Z783"/>
      <c r="AA783"/>
      <c r="AB783">
        <v>88.883586270999999</v>
      </c>
      <c r="AC783">
        <v>80.174907473999994</v>
      </c>
      <c r="AD783"/>
      <c r="AE783">
        <v>55.954522777999998</v>
      </c>
      <c r="AF783"/>
      <c r="AG783">
        <v>54.222251905999997</v>
      </c>
      <c r="AH783">
        <v>66.970869203000007</v>
      </c>
      <c r="AI783">
        <v>62.226974845000001</v>
      </c>
      <c r="AJ783"/>
      <c r="AK783">
        <v>55.256374508999997</v>
      </c>
      <c r="AL783"/>
      <c r="AM783">
        <v>82.497023486000003</v>
      </c>
      <c r="AN783"/>
      <c r="AO783"/>
      <c r="AP783"/>
      <c r="AQ783">
        <v>60.812825816</v>
      </c>
      <c r="AR783"/>
      <c r="AS783">
        <v>53.002873536000003</v>
      </c>
      <c r="AT783"/>
    </row>
    <row r="784" spans="1:46" x14ac:dyDescent="0.2">
      <c r="A784" s="87">
        <v>30742</v>
      </c>
      <c r="B784"/>
      <c r="C784"/>
      <c r="D784">
        <v>38.432807517000001</v>
      </c>
      <c r="E784">
        <v>53.113422485999997</v>
      </c>
      <c r="F784">
        <v>58.885130205000003</v>
      </c>
      <c r="G784">
        <v>58.888550801000001</v>
      </c>
      <c r="H784"/>
      <c r="I784"/>
      <c r="J784"/>
      <c r="K784"/>
      <c r="L784">
        <v>58.693383437999998</v>
      </c>
      <c r="M784">
        <v>71.914083548999997</v>
      </c>
      <c r="N784">
        <v>65.432200843000004</v>
      </c>
      <c r="O784">
        <v>82.761971509000006</v>
      </c>
      <c r="P784"/>
      <c r="Q784"/>
      <c r="R784">
        <v>55.676484979000001</v>
      </c>
      <c r="S784">
        <v>80.815976841999998</v>
      </c>
      <c r="T784">
        <v>63.254310623999999</v>
      </c>
      <c r="U784">
        <v>68.399354723000002</v>
      </c>
      <c r="V784">
        <v>118.42158022</v>
      </c>
      <c r="W784"/>
      <c r="X784"/>
      <c r="Y784">
        <v>9.1203032069999992</v>
      </c>
      <c r="Z784"/>
      <c r="AA784"/>
      <c r="AB784">
        <v>90.536136346999996</v>
      </c>
      <c r="AC784">
        <v>79.501875721999994</v>
      </c>
      <c r="AD784"/>
      <c r="AE784">
        <v>55.927676499999997</v>
      </c>
      <c r="AF784"/>
      <c r="AG784">
        <v>54.800622593</v>
      </c>
      <c r="AH784">
        <v>68.310286586999993</v>
      </c>
      <c r="AI784">
        <v>62.787578222</v>
      </c>
      <c r="AJ784"/>
      <c r="AK784">
        <v>55.254391292999998</v>
      </c>
      <c r="AL784"/>
      <c r="AM784">
        <v>78.851698803000005</v>
      </c>
      <c r="AN784"/>
      <c r="AO784"/>
      <c r="AP784"/>
      <c r="AQ784">
        <v>60.524613371999997</v>
      </c>
      <c r="AR784"/>
      <c r="AS784">
        <v>53.257807028000002</v>
      </c>
      <c r="AT784"/>
    </row>
    <row r="785" spans="1:46" x14ac:dyDescent="0.2">
      <c r="A785" s="87">
        <v>30773</v>
      </c>
      <c r="B785"/>
      <c r="C785"/>
      <c r="D785">
        <v>38.609115000000003</v>
      </c>
      <c r="E785">
        <v>52.777779449000001</v>
      </c>
      <c r="F785">
        <v>61.347662939000003</v>
      </c>
      <c r="G785">
        <v>60.653059839999997</v>
      </c>
      <c r="H785"/>
      <c r="I785"/>
      <c r="J785"/>
      <c r="K785"/>
      <c r="L785">
        <v>58.261360635999999</v>
      </c>
      <c r="M785">
        <v>70.038063977999997</v>
      </c>
      <c r="N785">
        <v>65.366547060000002</v>
      </c>
      <c r="O785">
        <v>83.618216722</v>
      </c>
      <c r="P785"/>
      <c r="Q785"/>
      <c r="R785">
        <v>56.082142429000001</v>
      </c>
      <c r="S785">
        <v>79.516423447999998</v>
      </c>
      <c r="T785">
        <v>63.173038454</v>
      </c>
      <c r="U785">
        <v>67.108800860000002</v>
      </c>
      <c r="V785">
        <v>116.168394894</v>
      </c>
      <c r="W785"/>
      <c r="X785"/>
      <c r="Y785">
        <v>9.2775498140000003</v>
      </c>
      <c r="Z785"/>
      <c r="AA785"/>
      <c r="AB785">
        <v>89.473782725999996</v>
      </c>
      <c r="AC785">
        <v>79.249488815000007</v>
      </c>
      <c r="AD785"/>
      <c r="AE785">
        <v>56.610655231999999</v>
      </c>
      <c r="AF785"/>
      <c r="AG785">
        <v>55.378993280000003</v>
      </c>
      <c r="AH785">
        <v>67.640577895000007</v>
      </c>
      <c r="AI785">
        <v>62.787578222</v>
      </c>
      <c r="AJ785"/>
      <c r="AK785">
        <v>55.245111907000002</v>
      </c>
      <c r="AL785"/>
      <c r="AM785">
        <v>78.843807995000006</v>
      </c>
      <c r="AN785"/>
      <c r="AO785"/>
      <c r="AP785"/>
      <c r="AQ785">
        <v>61.158680750000002</v>
      </c>
      <c r="AR785"/>
      <c r="AS785">
        <v>53.569139104999998</v>
      </c>
      <c r="AT785"/>
    </row>
    <row r="786" spans="1:46" x14ac:dyDescent="0.2">
      <c r="A786" s="87">
        <v>30803</v>
      </c>
      <c r="B786"/>
      <c r="C786"/>
      <c r="D786">
        <v>38.933328873000001</v>
      </c>
      <c r="E786">
        <v>53.820563622999998</v>
      </c>
      <c r="F786">
        <v>63.278211691000003</v>
      </c>
      <c r="G786">
        <v>61.398335828999997</v>
      </c>
      <c r="H786"/>
      <c r="I786"/>
      <c r="J786"/>
      <c r="K786"/>
      <c r="L786">
        <v>58.693383437999998</v>
      </c>
      <c r="M786">
        <v>73.790103119999998</v>
      </c>
      <c r="N786">
        <v>66.392387409999998</v>
      </c>
      <c r="O786">
        <v>83.332965285</v>
      </c>
      <c r="P786"/>
      <c r="Q786"/>
      <c r="R786">
        <v>56.487799879000001</v>
      </c>
      <c r="S786">
        <v>81.628197716000003</v>
      </c>
      <c r="T786">
        <v>63.901842477000002</v>
      </c>
      <c r="U786">
        <v>66.571070083999999</v>
      </c>
      <c r="V786">
        <v>117.320157206</v>
      </c>
      <c r="W786"/>
      <c r="X786"/>
      <c r="Y786">
        <v>9.3000136149999992</v>
      </c>
      <c r="Z786"/>
      <c r="AA786"/>
      <c r="AB786">
        <v>93.251040044999996</v>
      </c>
      <c r="AC786">
        <v>80.679681287999998</v>
      </c>
      <c r="AD786"/>
      <c r="AE786">
        <v>57.026490031000002</v>
      </c>
      <c r="AF786"/>
      <c r="AG786">
        <v>54.872918929000001</v>
      </c>
      <c r="AH786">
        <v>67.640577895000007</v>
      </c>
      <c r="AI786">
        <v>65.590595106999999</v>
      </c>
      <c r="AJ786"/>
      <c r="AK786">
        <v>55.814706432999998</v>
      </c>
      <c r="AL786"/>
      <c r="AM786">
        <v>81.394919975999997</v>
      </c>
      <c r="AN786"/>
      <c r="AO786"/>
      <c r="AP786"/>
      <c r="AQ786">
        <v>62.945597907</v>
      </c>
      <c r="AR786"/>
      <c r="AS786">
        <v>53.847563747000002</v>
      </c>
      <c r="AT786"/>
    </row>
    <row r="787" spans="1:46" x14ac:dyDescent="0.2">
      <c r="A787" s="87">
        <v>30834</v>
      </c>
      <c r="B787"/>
      <c r="C787"/>
      <c r="D787">
        <v>38.934551739</v>
      </c>
      <c r="E787">
        <v>53.508549389999999</v>
      </c>
      <c r="F787">
        <v>64.298533755999998</v>
      </c>
      <c r="G787">
        <v>61.408203921999998</v>
      </c>
      <c r="H787"/>
      <c r="I787"/>
      <c r="J787"/>
      <c r="K787"/>
      <c r="L787">
        <v>53.138804563999997</v>
      </c>
      <c r="M787">
        <v>70.663403834999997</v>
      </c>
      <c r="N787">
        <v>63.052251232000003</v>
      </c>
      <c r="O787">
        <v>83.400723859999999</v>
      </c>
      <c r="P787"/>
      <c r="Q787"/>
      <c r="R787">
        <v>56.690628603</v>
      </c>
      <c r="S787">
        <v>79.678867620999995</v>
      </c>
      <c r="T787">
        <v>63.238583505999998</v>
      </c>
      <c r="U787">
        <v>67.108800860000002</v>
      </c>
      <c r="V787">
        <v>116.827946166</v>
      </c>
      <c r="W787"/>
      <c r="X787"/>
      <c r="Y787">
        <v>9.9514638439999992</v>
      </c>
      <c r="Z787"/>
      <c r="AA787"/>
      <c r="AB787">
        <v>93.723197209999995</v>
      </c>
      <c r="AC787">
        <v>81.184455103000005</v>
      </c>
      <c r="AD787"/>
      <c r="AE787">
        <v>59.110132061000002</v>
      </c>
      <c r="AF787"/>
      <c r="AG787">
        <v>56.174252975000002</v>
      </c>
      <c r="AH787">
        <v>68.979995278999994</v>
      </c>
      <c r="AI787">
        <v>63.908784976</v>
      </c>
      <c r="AJ787"/>
      <c r="AK787">
        <v>55.419305970000003</v>
      </c>
      <c r="AL787"/>
      <c r="AM787">
        <v>80.834002071</v>
      </c>
      <c r="AN787"/>
      <c r="AO787"/>
      <c r="AP787"/>
      <c r="AQ787">
        <v>61.677463150000001</v>
      </c>
      <c r="AR787"/>
      <c r="AS787">
        <v>54.029149345</v>
      </c>
      <c r="AT787"/>
    </row>
    <row r="788" spans="1:46" x14ac:dyDescent="0.2">
      <c r="A788" s="87">
        <v>30864</v>
      </c>
      <c r="B788"/>
      <c r="C788"/>
      <c r="D788">
        <v>38.995613546000001</v>
      </c>
      <c r="E788">
        <v>53.100480193000003</v>
      </c>
      <c r="F788">
        <v>63.907333459999997</v>
      </c>
      <c r="G788">
        <v>62.308549945000003</v>
      </c>
      <c r="H788"/>
      <c r="I788"/>
      <c r="J788"/>
      <c r="K788"/>
      <c r="L788">
        <v>59.680864127</v>
      </c>
      <c r="M788">
        <v>74.415442976999998</v>
      </c>
      <c r="N788">
        <v>66.671415984999996</v>
      </c>
      <c r="O788">
        <v>83.851680947999995</v>
      </c>
      <c r="P788"/>
      <c r="Q788"/>
      <c r="R788">
        <v>57.299114778000003</v>
      </c>
      <c r="S788">
        <v>81.059643105999996</v>
      </c>
      <c r="T788">
        <v>64.141741147000005</v>
      </c>
      <c r="U788">
        <v>66.140885463000004</v>
      </c>
      <c r="V788">
        <v>111.959553927</v>
      </c>
      <c r="W788"/>
      <c r="X788"/>
      <c r="Y788">
        <v>9.5920430280000009</v>
      </c>
      <c r="Z788"/>
      <c r="AA788"/>
      <c r="AB788">
        <v>90.772214930000004</v>
      </c>
      <c r="AC788">
        <v>81.184455103000005</v>
      </c>
      <c r="AD788"/>
      <c r="AE788">
        <v>57.217166755000001</v>
      </c>
      <c r="AF788"/>
      <c r="AG788">
        <v>56.897216333000003</v>
      </c>
      <c r="AH788">
        <v>66.970869203000007</v>
      </c>
      <c r="AI788">
        <v>62.787578222</v>
      </c>
      <c r="AJ788"/>
      <c r="AK788">
        <v>56.077012390999997</v>
      </c>
      <c r="AL788"/>
      <c r="AM788">
        <v>84.888798058000006</v>
      </c>
      <c r="AN788"/>
      <c r="AO788"/>
      <c r="AP788"/>
      <c r="AQ788">
        <v>60.870468305000003</v>
      </c>
      <c r="AR788"/>
      <c r="AS788">
        <v>54.184071993000003</v>
      </c>
      <c r="AT788"/>
    </row>
    <row r="789" spans="1:46" x14ac:dyDescent="0.2">
      <c r="A789" s="87">
        <v>30895</v>
      </c>
      <c r="B789"/>
      <c r="C789"/>
      <c r="D789">
        <v>39.397622792999996</v>
      </c>
      <c r="E789">
        <v>53.572458875000002</v>
      </c>
      <c r="F789">
        <v>63.527935354999997</v>
      </c>
      <c r="G789">
        <v>62.371517777999998</v>
      </c>
      <c r="H789"/>
      <c r="I789"/>
      <c r="J789"/>
      <c r="K789"/>
      <c r="L789">
        <v>59.063688696</v>
      </c>
      <c r="M789">
        <v>75.040782833999998</v>
      </c>
      <c r="N789">
        <v>68.140419365</v>
      </c>
      <c r="O789">
        <v>87.573949365999994</v>
      </c>
      <c r="P789"/>
      <c r="Q789"/>
      <c r="R789">
        <v>56.741335784999997</v>
      </c>
      <c r="S789">
        <v>81.059643105999996</v>
      </c>
      <c r="T789">
        <v>64.550017087000001</v>
      </c>
      <c r="U789">
        <v>65.818246998000006</v>
      </c>
      <c r="V789">
        <v>126.52941906300001</v>
      </c>
      <c r="W789"/>
      <c r="X789"/>
      <c r="Y789">
        <v>8.850737595</v>
      </c>
      <c r="Z789"/>
      <c r="AA789"/>
      <c r="AB789">
        <v>96.320061616000004</v>
      </c>
      <c r="AC789">
        <v>82.362260668999994</v>
      </c>
      <c r="AD789"/>
      <c r="AE789">
        <v>59.341101543999997</v>
      </c>
      <c r="AF789"/>
      <c r="AG789">
        <v>56.969512668999997</v>
      </c>
      <c r="AH789">
        <v>68.979995278999994</v>
      </c>
      <c r="AI789">
        <v>63.908784976</v>
      </c>
      <c r="AJ789"/>
      <c r="AK789">
        <v>56.560522657</v>
      </c>
      <c r="AL789"/>
      <c r="AM789">
        <v>83.309105575000004</v>
      </c>
      <c r="AN789"/>
      <c r="AO789"/>
      <c r="AP789"/>
      <c r="AQ789">
        <v>62.542100484000002</v>
      </c>
      <c r="AR789"/>
      <c r="AS789">
        <v>54.248400078000003</v>
      </c>
      <c r="AT789"/>
    </row>
    <row r="790" spans="1:46" x14ac:dyDescent="0.2">
      <c r="A790" s="87">
        <v>30926</v>
      </c>
      <c r="B790"/>
      <c r="C790"/>
      <c r="D790">
        <v>41.345776690000001</v>
      </c>
      <c r="E790">
        <v>54.238340022000003</v>
      </c>
      <c r="F790">
        <v>63.155355149999998</v>
      </c>
      <c r="G790">
        <v>61.323620265999999</v>
      </c>
      <c r="H790"/>
      <c r="I790"/>
      <c r="J790"/>
      <c r="K790"/>
      <c r="L790">
        <v>60.298039557000003</v>
      </c>
      <c r="M790">
        <v>75.040782833999998</v>
      </c>
      <c r="N790">
        <v>67.836770620999999</v>
      </c>
      <c r="O790">
        <v>84.313957846999998</v>
      </c>
      <c r="P790"/>
      <c r="Q790"/>
      <c r="R790">
        <v>56.893457327999997</v>
      </c>
      <c r="S790">
        <v>80.897198932999999</v>
      </c>
      <c r="T790">
        <v>64.389834785999994</v>
      </c>
      <c r="U790">
        <v>67.001254704999994</v>
      </c>
      <c r="V790">
        <v>120.78466673299999</v>
      </c>
      <c r="W790"/>
      <c r="X790"/>
      <c r="Y790">
        <v>9.7268258339999996</v>
      </c>
      <c r="Z790"/>
      <c r="AA790"/>
      <c r="AB790">
        <v>94.431432956999998</v>
      </c>
      <c r="AC790">
        <v>81.184455103000005</v>
      </c>
      <c r="AD790"/>
      <c r="AE790">
        <v>60.813209104000002</v>
      </c>
      <c r="AF790"/>
      <c r="AG790">
        <v>58.198550378999997</v>
      </c>
      <c r="AH790">
        <v>68.310286586999993</v>
      </c>
      <c r="AI790">
        <v>66.151198484000005</v>
      </c>
      <c r="AJ790"/>
      <c r="AK790">
        <v>56.481981392999998</v>
      </c>
      <c r="AL790"/>
      <c r="AM790">
        <v>84.075623726000003</v>
      </c>
      <c r="AN790"/>
      <c r="AO790"/>
      <c r="AP790"/>
      <c r="AQ790">
        <v>63.522022796000002</v>
      </c>
      <c r="AR790"/>
      <c r="AS790">
        <v>54.097343062999997</v>
      </c>
      <c r="AT790"/>
    </row>
    <row r="791" spans="1:46" x14ac:dyDescent="0.2">
      <c r="A791" s="87">
        <v>30956</v>
      </c>
      <c r="B791"/>
      <c r="C791"/>
      <c r="D791">
        <v>40.020705479</v>
      </c>
      <c r="E791">
        <v>53.651978657999997</v>
      </c>
      <c r="F791">
        <v>64.054017091999995</v>
      </c>
      <c r="G791">
        <v>62.575928279000003</v>
      </c>
      <c r="H791"/>
      <c r="I791"/>
      <c r="J791"/>
      <c r="K791"/>
      <c r="L791">
        <v>60.051169385000001</v>
      </c>
      <c r="M791">
        <v>75.666122690999998</v>
      </c>
      <c r="N791">
        <v>67.237679857000003</v>
      </c>
      <c r="O791">
        <v>84.522741698000004</v>
      </c>
      <c r="P791"/>
      <c r="Q791"/>
      <c r="R791">
        <v>57.856893771000003</v>
      </c>
      <c r="S791">
        <v>81.222087278999993</v>
      </c>
      <c r="T791">
        <v>64.769875253999999</v>
      </c>
      <c r="U791">
        <v>67.001254704999994</v>
      </c>
      <c r="V791">
        <v>120.16062545699999</v>
      </c>
      <c r="W791"/>
      <c r="X791"/>
      <c r="Y791">
        <v>9.5246516250000006</v>
      </c>
      <c r="Z791"/>
      <c r="AA791"/>
      <c r="AB791">
        <v>93.959275792</v>
      </c>
      <c r="AC791">
        <v>83.540066234999998</v>
      </c>
      <c r="AD791"/>
      <c r="AE791">
        <v>56.149682558000002</v>
      </c>
      <c r="AF791"/>
      <c r="AG791">
        <v>56.174252975000002</v>
      </c>
      <c r="AH791">
        <v>66.301160511000006</v>
      </c>
      <c r="AI791">
        <v>65.590595106999999</v>
      </c>
      <c r="AJ791"/>
      <c r="AK791">
        <v>56.615721995000001</v>
      </c>
      <c r="AL791"/>
      <c r="AM791">
        <v>81.810011204999995</v>
      </c>
      <c r="AN791"/>
      <c r="AO791"/>
      <c r="AP791"/>
      <c r="AQ791">
        <v>63.983162706999998</v>
      </c>
      <c r="AR791"/>
      <c r="AS791">
        <v>54.074149269999999</v>
      </c>
      <c r="AT791"/>
    </row>
    <row r="792" spans="1:46" x14ac:dyDescent="0.2">
      <c r="A792" s="87">
        <v>30987</v>
      </c>
      <c r="B792"/>
      <c r="C792"/>
      <c r="D792">
        <v>38.731547956999997</v>
      </c>
      <c r="E792">
        <v>52.439776577000003</v>
      </c>
      <c r="F792">
        <v>64.674037433999999</v>
      </c>
      <c r="G792">
        <v>62.377156687999999</v>
      </c>
      <c r="H792"/>
      <c r="I792"/>
      <c r="J792"/>
      <c r="K792"/>
      <c r="L792">
        <v>60.544909728999997</v>
      </c>
      <c r="M792">
        <v>76.291462546999995</v>
      </c>
      <c r="N792">
        <v>66.975064728000007</v>
      </c>
      <c r="O792">
        <v>83.432158653000002</v>
      </c>
      <c r="P792"/>
      <c r="Q792"/>
      <c r="R792">
        <v>58.668208671000002</v>
      </c>
      <c r="S792">
        <v>80.003755967000004</v>
      </c>
      <c r="T792">
        <v>64.728364353000003</v>
      </c>
      <c r="U792">
        <v>66.678616238999993</v>
      </c>
      <c r="V792">
        <v>116.876360037</v>
      </c>
      <c r="W792"/>
      <c r="X792"/>
      <c r="Y792">
        <v>9.7717534359999991</v>
      </c>
      <c r="Z792"/>
      <c r="AA792"/>
      <c r="AB792">
        <v>91.83456855</v>
      </c>
      <c r="AC792">
        <v>83.540066234999998</v>
      </c>
      <c r="AD792"/>
      <c r="AE792">
        <v>60.415511834</v>
      </c>
      <c r="AF792"/>
      <c r="AG792">
        <v>57.692476028000002</v>
      </c>
      <c r="AH792">
        <v>67.640577895000007</v>
      </c>
      <c r="AI792">
        <v>66.151198484000005</v>
      </c>
      <c r="AJ792"/>
      <c r="AK792">
        <v>56.662215089999997</v>
      </c>
      <c r="AL792"/>
      <c r="AM792">
        <v>85.038007467</v>
      </c>
      <c r="AN792"/>
      <c r="AO792"/>
      <c r="AP792"/>
      <c r="AQ792">
        <v>64.156090173999999</v>
      </c>
      <c r="AR792"/>
      <c r="AS792">
        <v>54.257618125</v>
      </c>
      <c r="AT792"/>
    </row>
    <row r="793" spans="1:46" x14ac:dyDescent="0.2">
      <c r="A793" s="87">
        <v>31017</v>
      </c>
      <c r="B793"/>
      <c r="C793"/>
      <c r="D793">
        <v>41.467979718999999</v>
      </c>
      <c r="E793">
        <v>55.474374130000001</v>
      </c>
      <c r="F793">
        <v>66.168907203000003</v>
      </c>
      <c r="G793">
        <v>62.455161615000002</v>
      </c>
      <c r="H793"/>
      <c r="I793"/>
      <c r="J793"/>
      <c r="K793"/>
      <c r="L793">
        <v>60.915214988000002</v>
      </c>
      <c r="M793">
        <v>76.916802403999995</v>
      </c>
      <c r="N793">
        <v>67.828563899000002</v>
      </c>
      <c r="O793">
        <v>84.199281013000004</v>
      </c>
      <c r="P793"/>
      <c r="Q793"/>
      <c r="R793">
        <v>60.088009745000001</v>
      </c>
      <c r="S793">
        <v>80.003755967000004</v>
      </c>
      <c r="T793">
        <v>64.904791154999998</v>
      </c>
      <c r="U793">
        <v>67.754077792000004</v>
      </c>
      <c r="V793">
        <v>113.128167961</v>
      </c>
      <c r="W793"/>
      <c r="X793"/>
      <c r="Y793">
        <v>9.9963914460000005</v>
      </c>
      <c r="Z793"/>
      <c r="AA793"/>
      <c r="AB793">
        <v>93.959275792</v>
      </c>
      <c r="AC793">
        <v>83.035292420999994</v>
      </c>
      <c r="AD793"/>
      <c r="AE793">
        <v>62.025192787999998</v>
      </c>
      <c r="AF793"/>
      <c r="AG793">
        <v>58.632328393999998</v>
      </c>
      <c r="AH793">
        <v>66.301160511000006</v>
      </c>
      <c r="AI793">
        <v>65.029991730000006</v>
      </c>
      <c r="AJ793"/>
      <c r="AK793">
        <v>56.924785829999998</v>
      </c>
      <c r="AL793"/>
      <c r="AM793">
        <v>81.396166307000001</v>
      </c>
      <c r="AN793"/>
      <c r="AO793"/>
      <c r="AP793"/>
      <c r="AQ793">
        <v>66.000649820000007</v>
      </c>
      <c r="AR793"/>
      <c r="AS793">
        <v>54.290624676999997</v>
      </c>
      <c r="AT793"/>
    </row>
    <row r="794" spans="1:46" x14ac:dyDescent="0.2">
      <c r="A794" s="87">
        <v>31048</v>
      </c>
      <c r="B794"/>
      <c r="C794"/>
      <c r="D794">
        <v>41.070473405000001</v>
      </c>
      <c r="E794">
        <v>52.974536583000003</v>
      </c>
      <c r="F794">
        <v>66.549496113000004</v>
      </c>
      <c r="G794">
        <v>62.978640462000001</v>
      </c>
      <c r="H794"/>
      <c r="I794"/>
      <c r="J794"/>
      <c r="K794"/>
      <c r="L794">
        <v>60.915214988000002</v>
      </c>
      <c r="M794">
        <v>75.220828507999997</v>
      </c>
      <c r="N794">
        <v>68.394020925000007</v>
      </c>
      <c r="O794">
        <v>84.446280122999994</v>
      </c>
      <c r="P794"/>
      <c r="Q794"/>
      <c r="R794">
        <v>58.265441441999997</v>
      </c>
      <c r="S794">
        <v>80.627866488999999</v>
      </c>
      <c r="T794">
        <v>64.980667479999994</v>
      </c>
      <c r="U794">
        <v>69.044631654</v>
      </c>
      <c r="V794">
        <v>118.052635568</v>
      </c>
      <c r="W794">
        <v>44.217740777000003</v>
      </c>
      <c r="X794"/>
      <c r="Y794">
        <v>9.8166810380000005</v>
      </c>
      <c r="Z794"/>
      <c r="AA794"/>
      <c r="AB794">
        <v>90.654175637999998</v>
      </c>
      <c r="AC794">
        <v>83.876582111000005</v>
      </c>
      <c r="AD794"/>
      <c r="AE794">
        <v>63.307572526000001</v>
      </c>
      <c r="AF794"/>
      <c r="AG794">
        <v>58.560032059000001</v>
      </c>
      <c r="AH794">
        <v>76.366882152000002</v>
      </c>
      <c r="AI794">
        <v>66.151198484000005</v>
      </c>
      <c r="AJ794"/>
      <c r="AK794">
        <v>57.200087172000003</v>
      </c>
      <c r="AL794">
        <v>35.0012428</v>
      </c>
      <c r="AM794">
        <v>82.645121144000001</v>
      </c>
      <c r="AN794"/>
      <c r="AO794"/>
      <c r="AP794"/>
      <c r="AQ794">
        <v>63.694950263000003</v>
      </c>
      <c r="AR794">
        <v>23.564258366000001</v>
      </c>
      <c r="AS794">
        <v>54.238091726</v>
      </c>
      <c r="AT794"/>
    </row>
    <row r="795" spans="1:46" x14ac:dyDescent="0.2">
      <c r="A795" s="87">
        <v>31079</v>
      </c>
      <c r="B795"/>
      <c r="C795"/>
      <c r="D795">
        <v>40.496304133999999</v>
      </c>
      <c r="E795">
        <v>53.917087918</v>
      </c>
      <c r="F795">
        <v>65.290289571000002</v>
      </c>
      <c r="G795">
        <v>63.761979095000001</v>
      </c>
      <c r="H795"/>
      <c r="I795"/>
      <c r="J795"/>
      <c r="K795"/>
      <c r="L795">
        <v>60.976932531000003</v>
      </c>
      <c r="M795">
        <v>75.873976077999998</v>
      </c>
      <c r="N795">
        <v>68.136793099000002</v>
      </c>
      <c r="O795">
        <v>84.099611770999999</v>
      </c>
      <c r="P795"/>
      <c r="Q795"/>
      <c r="R795">
        <v>58.737704391999998</v>
      </c>
      <c r="S795">
        <v>82.003768647000001</v>
      </c>
      <c r="T795">
        <v>65.368603261999993</v>
      </c>
      <c r="U795">
        <v>69.044631654</v>
      </c>
      <c r="V795">
        <v>118.338605719</v>
      </c>
      <c r="W795">
        <v>44.083476382000001</v>
      </c>
      <c r="X795"/>
      <c r="Y795">
        <v>9.681898232</v>
      </c>
      <c r="Z795"/>
      <c r="AA795"/>
      <c r="AB795">
        <v>94.785550830000005</v>
      </c>
      <c r="AC795">
        <v>83.624195204000003</v>
      </c>
      <c r="AD795"/>
      <c r="AE795">
        <v>56.765694187000001</v>
      </c>
      <c r="AF795"/>
      <c r="AG795">
        <v>59.716773433</v>
      </c>
      <c r="AH795">
        <v>72.124277587999998</v>
      </c>
      <c r="AI795">
        <v>66.711801860999998</v>
      </c>
      <c r="AJ795"/>
      <c r="AK795">
        <v>57.408676096000001</v>
      </c>
      <c r="AL795">
        <v>34.761396998999999</v>
      </c>
      <c r="AM795">
        <v>80.361530832</v>
      </c>
      <c r="AN795"/>
      <c r="AO795"/>
      <c r="AP795"/>
      <c r="AQ795">
        <v>63.118525372999997</v>
      </c>
      <c r="AR795">
        <v>21.978710486000001</v>
      </c>
      <c r="AS795">
        <v>54.426120044000001</v>
      </c>
      <c r="AT795"/>
    </row>
    <row r="796" spans="1:46" x14ac:dyDescent="0.2">
      <c r="A796" s="87">
        <v>31107</v>
      </c>
      <c r="B796"/>
      <c r="C796"/>
      <c r="D796">
        <v>40.954817132999999</v>
      </c>
      <c r="E796">
        <v>54.493317830999999</v>
      </c>
      <c r="F796">
        <v>67.109263658000003</v>
      </c>
      <c r="G796">
        <v>64.082457168000005</v>
      </c>
      <c r="H796"/>
      <c r="I796"/>
      <c r="J796"/>
      <c r="K796"/>
      <c r="L796">
        <v>61.532390417999999</v>
      </c>
      <c r="M796">
        <v>70.104505873999997</v>
      </c>
      <c r="N796">
        <v>68.670302664999994</v>
      </c>
      <c r="O796">
        <v>84.529060314999995</v>
      </c>
      <c r="P796"/>
      <c r="Q796"/>
      <c r="R796">
        <v>60.685789059999998</v>
      </c>
      <c r="S796">
        <v>82.370675890000001</v>
      </c>
      <c r="T796">
        <v>65.460847780999998</v>
      </c>
      <c r="U796">
        <v>70.872916293000003</v>
      </c>
      <c r="V796">
        <v>118.522562601</v>
      </c>
      <c r="W796">
        <v>45.068081946</v>
      </c>
      <c r="X796"/>
      <c r="Y796">
        <v>10.310884659999999</v>
      </c>
      <c r="Z796"/>
      <c r="AA796"/>
      <c r="AB796">
        <v>93.487118627000001</v>
      </c>
      <c r="AC796">
        <v>82.951163452000003</v>
      </c>
      <c r="AD796"/>
      <c r="AE796">
        <v>63.684783326000002</v>
      </c>
      <c r="AF796"/>
      <c r="AG796">
        <v>59.572180760999998</v>
      </c>
      <c r="AH796">
        <v>71.417176827000006</v>
      </c>
      <c r="AI796">
        <v>67.833008614999997</v>
      </c>
      <c r="AJ796"/>
      <c r="AK796">
        <v>57.54261735</v>
      </c>
      <c r="AL796">
        <v>35.813615128999999</v>
      </c>
      <c r="AM796">
        <v>83.829460499000007</v>
      </c>
      <c r="AN796"/>
      <c r="AO796"/>
      <c r="AP796"/>
      <c r="AQ796">
        <v>64.847800040999999</v>
      </c>
      <c r="AR796">
        <v>22.614785273999999</v>
      </c>
      <c r="AS796">
        <v>54.499567057</v>
      </c>
      <c r="AT796"/>
    </row>
    <row r="797" spans="1:46" x14ac:dyDescent="0.2">
      <c r="A797" s="87">
        <v>31138</v>
      </c>
      <c r="B797"/>
      <c r="C797"/>
      <c r="D797">
        <v>40.282503636000001</v>
      </c>
      <c r="E797">
        <v>54.694071407999999</v>
      </c>
      <c r="F797">
        <v>61.865079672</v>
      </c>
      <c r="G797">
        <v>63.593281693000002</v>
      </c>
      <c r="H797"/>
      <c r="I797"/>
      <c r="J797"/>
      <c r="K797"/>
      <c r="L797">
        <v>60.853497443999998</v>
      </c>
      <c r="M797">
        <v>68.689352804999999</v>
      </c>
      <c r="N797">
        <v>67.946253967999994</v>
      </c>
      <c r="O797">
        <v>84.983669117000005</v>
      </c>
      <c r="P797"/>
      <c r="Q797"/>
      <c r="R797">
        <v>59.682230292</v>
      </c>
      <c r="S797">
        <v>81.453407784000007</v>
      </c>
      <c r="T797">
        <v>65.448842677000002</v>
      </c>
      <c r="U797">
        <v>71.410647069000007</v>
      </c>
      <c r="V797">
        <v>114.863297831</v>
      </c>
      <c r="W797">
        <v>43.725437995</v>
      </c>
      <c r="X797"/>
      <c r="Y797">
        <v>9.7268258339999996</v>
      </c>
      <c r="Z797"/>
      <c r="AA797"/>
      <c r="AB797">
        <v>92.542804297999993</v>
      </c>
      <c r="AC797">
        <v>84.297226956000003</v>
      </c>
      <c r="AD797"/>
      <c r="AE797">
        <v>62.022822677000001</v>
      </c>
      <c r="AF797"/>
      <c r="AG797">
        <v>58.921513738000002</v>
      </c>
      <c r="AH797">
        <v>69.295874545000004</v>
      </c>
      <c r="AI797">
        <v>67.272405238000005</v>
      </c>
      <c r="AJ797"/>
      <c r="AK797">
        <v>57.446558062000001</v>
      </c>
      <c r="AL797">
        <v>35.199025112999998</v>
      </c>
      <c r="AM797">
        <v>82.236802980999997</v>
      </c>
      <c r="AN797"/>
      <c r="AO797"/>
      <c r="AP797"/>
      <c r="AQ797">
        <v>64.847800040999999</v>
      </c>
      <c r="AR797">
        <v>22.820745871</v>
      </c>
      <c r="AS797">
        <v>54.401637706999999</v>
      </c>
      <c r="AT797"/>
    </row>
    <row r="798" spans="1:46" x14ac:dyDescent="0.2">
      <c r="A798" s="87">
        <v>31168</v>
      </c>
      <c r="B798"/>
      <c r="C798"/>
      <c r="D798">
        <v>40.292366137000002</v>
      </c>
      <c r="E798">
        <v>54.817974309</v>
      </c>
      <c r="F798">
        <v>65.842061842999996</v>
      </c>
      <c r="G798">
        <v>64.045334342000004</v>
      </c>
      <c r="H798"/>
      <c r="I798"/>
      <c r="J798"/>
      <c r="K798"/>
      <c r="L798">
        <v>61.594107960999999</v>
      </c>
      <c r="M798">
        <v>72.717096154999993</v>
      </c>
      <c r="N798">
        <v>68.851314838999997</v>
      </c>
      <c r="O798">
        <v>84.561303593999995</v>
      </c>
      <c r="P798"/>
      <c r="Q798"/>
      <c r="R798">
        <v>60.803854798000003</v>
      </c>
      <c r="S798">
        <v>82.278949079</v>
      </c>
      <c r="T798">
        <v>65.891391983000005</v>
      </c>
      <c r="U798">
        <v>72.055924000999994</v>
      </c>
      <c r="V798">
        <v>121.09646554299999</v>
      </c>
      <c r="W798">
        <v>44.844307954000001</v>
      </c>
      <c r="X798"/>
      <c r="Y798">
        <v>9.7492896350000002</v>
      </c>
      <c r="Z798"/>
      <c r="AA798"/>
      <c r="AB798">
        <v>93.841236500999997</v>
      </c>
      <c r="AC798">
        <v>85.138516645999999</v>
      </c>
      <c r="AD798"/>
      <c r="AE798">
        <v>60.708305848000002</v>
      </c>
      <c r="AF798"/>
      <c r="AG798">
        <v>58.560032059000001</v>
      </c>
      <c r="AH798">
        <v>70.002975305999996</v>
      </c>
      <c r="AI798">
        <v>67.272405238000005</v>
      </c>
      <c r="AJ798"/>
      <c r="AK798">
        <v>57.875193750999998</v>
      </c>
      <c r="AL798">
        <v>35.159465091999998</v>
      </c>
      <c r="AM798">
        <v>82.742746550000007</v>
      </c>
      <c r="AN798"/>
      <c r="AO798"/>
      <c r="AP798"/>
      <c r="AQ798">
        <v>64.617230085000003</v>
      </c>
      <c r="AR798">
        <v>24.948233785999999</v>
      </c>
      <c r="AS798">
        <v>54.467749929999997</v>
      </c>
      <c r="AT798"/>
    </row>
    <row r="799" spans="1:46" x14ac:dyDescent="0.2">
      <c r="A799" s="87">
        <v>31199</v>
      </c>
      <c r="B799"/>
      <c r="C799"/>
      <c r="D799">
        <v>42.268412904999998</v>
      </c>
      <c r="E799">
        <v>54.780886250000002</v>
      </c>
      <c r="F799">
        <v>66.929640812000002</v>
      </c>
      <c r="G799">
        <v>63.972028506999997</v>
      </c>
      <c r="H799"/>
      <c r="I799"/>
      <c r="J799"/>
      <c r="K799"/>
      <c r="L799">
        <v>62.334718477999999</v>
      </c>
      <c r="M799">
        <v>76.418265719999994</v>
      </c>
      <c r="N799">
        <v>68.260643533999996</v>
      </c>
      <c r="O799">
        <v>83.128754842999996</v>
      </c>
      <c r="P799"/>
      <c r="Q799"/>
      <c r="R799">
        <v>60.036427504000002</v>
      </c>
      <c r="S799">
        <v>81.086500541999996</v>
      </c>
      <c r="T799">
        <v>65.863232889000003</v>
      </c>
      <c r="U799">
        <v>73.669116329000005</v>
      </c>
      <c r="V799">
        <v>123.056368811</v>
      </c>
      <c r="W799">
        <v>44.710043558999999</v>
      </c>
      <c r="X799"/>
      <c r="Y799">
        <v>9.5246516250000006</v>
      </c>
      <c r="Z799"/>
      <c r="AA799"/>
      <c r="AB799">
        <v>94.667511539000003</v>
      </c>
      <c r="AC799">
        <v>83.792453141999999</v>
      </c>
      <c r="AD799"/>
      <c r="AE799">
        <v>59.734512183</v>
      </c>
      <c r="AF799"/>
      <c r="AG799">
        <v>59.933662439999999</v>
      </c>
      <c r="AH799">
        <v>70.710076067000003</v>
      </c>
      <c r="AI799">
        <v>63.908784976</v>
      </c>
      <c r="AJ799"/>
      <c r="AK799">
        <v>57.731026303999997</v>
      </c>
      <c r="AL799">
        <v>35.663731249000001</v>
      </c>
      <c r="AM799">
        <v>82.640403194000001</v>
      </c>
      <c r="AN799"/>
      <c r="AO799"/>
      <c r="AP799"/>
      <c r="AQ799">
        <v>65.827722352999999</v>
      </c>
      <c r="AR799">
        <v>19.873238719</v>
      </c>
      <c r="AS799">
        <v>54.442871117000003</v>
      </c>
      <c r="AT799"/>
    </row>
    <row r="800" spans="1:46" x14ac:dyDescent="0.2">
      <c r="A800" s="87">
        <v>31229</v>
      </c>
      <c r="B800"/>
      <c r="C800"/>
      <c r="D800">
        <v>41.126745096000001</v>
      </c>
      <c r="E800">
        <v>53.878606499999997</v>
      </c>
      <c r="F800">
        <v>68.787911266999998</v>
      </c>
      <c r="G800">
        <v>64.154353275999995</v>
      </c>
      <c r="H800"/>
      <c r="I800"/>
      <c r="J800"/>
      <c r="K800"/>
      <c r="L800">
        <v>62.951893908000002</v>
      </c>
      <c r="M800">
        <v>75.220828507999997</v>
      </c>
      <c r="N800">
        <v>68.870368752000005</v>
      </c>
      <c r="O800">
        <v>85.907262149000005</v>
      </c>
      <c r="P800"/>
      <c r="Q800"/>
      <c r="R800">
        <v>57.734145624</v>
      </c>
      <c r="S800">
        <v>81.269954162999994</v>
      </c>
      <c r="T800">
        <v>65.751416659</v>
      </c>
      <c r="U800">
        <v>70.765370137999994</v>
      </c>
      <c r="V800">
        <v>122.07217076000001</v>
      </c>
      <c r="W800">
        <v>46.992538275000001</v>
      </c>
      <c r="X800"/>
      <c r="Y800">
        <v>9.6369706300000004</v>
      </c>
      <c r="Z800"/>
      <c r="AA800"/>
      <c r="AB800">
        <v>93.251040044999996</v>
      </c>
      <c r="AC800">
        <v>85.054387676999994</v>
      </c>
      <c r="AD800"/>
      <c r="AE800">
        <v>64.519753338000001</v>
      </c>
      <c r="AF800"/>
      <c r="AG800">
        <v>60.150551448000002</v>
      </c>
      <c r="AH800">
        <v>68.588773785000001</v>
      </c>
      <c r="AI800">
        <v>68.954215368999996</v>
      </c>
      <c r="AJ800"/>
      <c r="AK800">
        <v>57.748747246000001</v>
      </c>
      <c r="AL800">
        <v>36.121499526000001</v>
      </c>
      <c r="AM800">
        <v>80.935118978000006</v>
      </c>
      <c r="AN800"/>
      <c r="AO800"/>
      <c r="AP800"/>
      <c r="AQ800">
        <v>62.311530527999999</v>
      </c>
      <c r="AR800">
        <v>22.799898044999999</v>
      </c>
      <c r="AS800">
        <v>54.160481724</v>
      </c>
      <c r="AT800"/>
    </row>
    <row r="801" spans="1:46" x14ac:dyDescent="0.2">
      <c r="A801" s="87">
        <v>31260</v>
      </c>
      <c r="B801"/>
      <c r="C801"/>
      <c r="D801">
        <v>41.845431765999997</v>
      </c>
      <c r="E801">
        <v>54.492019116999998</v>
      </c>
      <c r="F801">
        <v>69.392322128000004</v>
      </c>
      <c r="G801">
        <v>64.347016046999997</v>
      </c>
      <c r="H801"/>
      <c r="I801"/>
      <c r="J801"/>
      <c r="K801"/>
      <c r="L801">
        <v>61.347237788999998</v>
      </c>
      <c r="M801">
        <v>74.894254723000003</v>
      </c>
      <c r="N801">
        <v>68.975165273000002</v>
      </c>
      <c r="O801">
        <v>87.028584709</v>
      </c>
      <c r="P801"/>
      <c r="Q801"/>
      <c r="R801">
        <v>59.032868735999998</v>
      </c>
      <c r="S801">
        <v>81.269954162999994</v>
      </c>
      <c r="T801">
        <v>65.705790010000001</v>
      </c>
      <c r="U801">
        <v>71.410647069000007</v>
      </c>
      <c r="V801">
        <v>124.42270235300001</v>
      </c>
      <c r="W801">
        <v>44.710043558999999</v>
      </c>
      <c r="X801"/>
      <c r="Y801">
        <v>9.2550860129999997</v>
      </c>
      <c r="Z801"/>
      <c r="AA801"/>
      <c r="AB801">
        <v>96.083983032999996</v>
      </c>
      <c r="AC801">
        <v>84.297226956000003</v>
      </c>
      <c r="AD801"/>
      <c r="AE801">
        <v>62.218441267999999</v>
      </c>
      <c r="AF801"/>
      <c r="AG801">
        <v>59.716773433</v>
      </c>
      <c r="AH801">
        <v>69.295874545000004</v>
      </c>
      <c r="AI801">
        <v>68.954215368999996</v>
      </c>
      <c r="AJ801"/>
      <c r="AK801">
        <v>57.800404034000003</v>
      </c>
      <c r="AL801">
        <v>36.538277483000002</v>
      </c>
      <c r="AM801">
        <v>82.545850338999998</v>
      </c>
      <c r="AN801"/>
      <c r="AO801"/>
      <c r="AP801"/>
      <c r="AQ801">
        <v>66.115934796999994</v>
      </c>
      <c r="AR801">
        <v>22.995923986000001</v>
      </c>
      <c r="AS801">
        <v>54.343752340999998</v>
      </c>
      <c r="AT801"/>
    </row>
    <row r="802" spans="1:46" x14ac:dyDescent="0.2">
      <c r="A802" s="87">
        <v>31291</v>
      </c>
      <c r="B802"/>
      <c r="C802"/>
      <c r="D802">
        <v>42.196294080999998</v>
      </c>
      <c r="E802">
        <v>55.871029655999997</v>
      </c>
      <c r="F802">
        <v>70.206223765999994</v>
      </c>
      <c r="G802">
        <v>64.587139647000001</v>
      </c>
      <c r="H802"/>
      <c r="I802"/>
      <c r="J802"/>
      <c r="K802"/>
      <c r="L802">
        <v>62.087848305000001</v>
      </c>
      <c r="M802">
        <v>76.962555362000003</v>
      </c>
      <c r="N802">
        <v>68.879895708000006</v>
      </c>
      <c r="O802">
        <v>86.634551275999996</v>
      </c>
      <c r="P802"/>
      <c r="Q802"/>
      <c r="R802">
        <v>59.032868735999998</v>
      </c>
      <c r="S802">
        <v>81.453407784000007</v>
      </c>
      <c r="T802">
        <v>65.782008148000003</v>
      </c>
      <c r="U802">
        <v>72.701200932000006</v>
      </c>
      <c r="V802">
        <v>124.253032686</v>
      </c>
      <c r="W802">
        <v>45.336610735999997</v>
      </c>
      <c r="X802"/>
      <c r="Y802">
        <v>9.681898232</v>
      </c>
      <c r="Z802"/>
      <c r="AA802"/>
      <c r="AB802">
        <v>93.605157918000003</v>
      </c>
      <c r="AC802">
        <v>83.624195204000003</v>
      </c>
      <c r="AD802"/>
      <c r="AE802">
        <v>59.550253753</v>
      </c>
      <c r="AF802"/>
      <c r="AG802">
        <v>59.933662439999999</v>
      </c>
      <c r="AH802">
        <v>67.881673023999994</v>
      </c>
      <c r="AI802">
        <v>68.393611992000004</v>
      </c>
      <c r="AJ802"/>
      <c r="AK802">
        <v>57.867975782000002</v>
      </c>
      <c r="AL802">
        <v>36.756398289000003</v>
      </c>
      <c r="AM802">
        <v>80.289554589999995</v>
      </c>
      <c r="AN802"/>
      <c r="AO802"/>
      <c r="AP802"/>
      <c r="AQ802">
        <v>66.173577285999997</v>
      </c>
      <c r="AR802">
        <v>23.191724948000001</v>
      </c>
      <c r="AS802">
        <v>54.559633036000001</v>
      </c>
      <c r="AT802"/>
    </row>
    <row r="803" spans="1:46" x14ac:dyDescent="0.2">
      <c r="A803" s="87">
        <v>31321</v>
      </c>
      <c r="B803"/>
      <c r="C803"/>
      <c r="D803">
        <v>40.717148311999999</v>
      </c>
      <c r="E803">
        <v>55.369122689000001</v>
      </c>
      <c r="F803">
        <v>71.629293981999993</v>
      </c>
      <c r="G803">
        <v>65.174056235999998</v>
      </c>
      <c r="H803"/>
      <c r="I803"/>
      <c r="J803"/>
      <c r="K803"/>
      <c r="L803">
        <v>62.828458822000002</v>
      </c>
      <c r="M803">
        <v>82.732025566000004</v>
      </c>
      <c r="N803">
        <v>69.499147883000006</v>
      </c>
      <c r="O803">
        <v>87.566317334999994</v>
      </c>
      <c r="P803"/>
      <c r="Q803"/>
      <c r="R803">
        <v>58.737704391999998</v>
      </c>
      <c r="S803">
        <v>82.278949079</v>
      </c>
      <c r="T803">
        <v>65.849452917999997</v>
      </c>
      <c r="U803">
        <v>71.195554759000004</v>
      </c>
      <c r="V803">
        <v>124.717874464</v>
      </c>
      <c r="W803">
        <v>45.068081946</v>
      </c>
      <c r="X803"/>
      <c r="Y803">
        <v>9.5920430280000009</v>
      </c>
      <c r="Z803"/>
      <c r="AA803"/>
      <c r="AB803">
        <v>93.014961462000002</v>
      </c>
      <c r="AC803">
        <v>84.465484893999999</v>
      </c>
      <c r="AD803"/>
      <c r="AE803">
        <v>65.121877728000001</v>
      </c>
      <c r="AF803"/>
      <c r="AG803">
        <v>59.355291753000003</v>
      </c>
      <c r="AH803">
        <v>69.295874545000004</v>
      </c>
      <c r="AI803">
        <v>69.514818746000003</v>
      </c>
      <c r="AJ803"/>
      <c r="AK803">
        <v>57.949959684</v>
      </c>
      <c r="AL803">
        <v>36.865672791000001</v>
      </c>
      <c r="AM803">
        <v>85.601969419</v>
      </c>
      <c r="AN803"/>
      <c r="AO803"/>
      <c r="AP803"/>
      <c r="AQ803">
        <v>64.156090173999999</v>
      </c>
      <c r="AR803">
        <v>23.829488517000001</v>
      </c>
      <c r="AS803">
        <v>54.358521039000003</v>
      </c>
      <c r="AT803"/>
    </row>
    <row r="804" spans="1:46" x14ac:dyDescent="0.2">
      <c r="A804" s="87">
        <v>31352</v>
      </c>
      <c r="B804"/>
      <c r="C804"/>
      <c r="D804">
        <v>42.047483599000003</v>
      </c>
      <c r="E804">
        <v>56.928402792999997</v>
      </c>
      <c r="F804">
        <v>71.852740779000001</v>
      </c>
      <c r="G804">
        <v>65.255350527000004</v>
      </c>
      <c r="H804"/>
      <c r="I804"/>
      <c r="J804"/>
      <c r="K804"/>
      <c r="L804">
        <v>64.001092139999997</v>
      </c>
      <c r="M804">
        <v>86.106621345999997</v>
      </c>
      <c r="N804">
        <v>70.137453969999996</v>
      </c>
      <c r="O804">
        <v>87.551041249999997</v>
      </c>
      <c r="P804"/>
      <c r="Q804"/>
      <c r="R804">
        <v>59.150934473</v>
      </c>
      <c r="S804">
        <v>83.196217184999995</v>
      </c>
      <c r="T804">
        <v>66.304785381000002</v>
      </c>
      <c r="U804">
        <v>72.055924000999994</v>
      </c>
      <c r="V804">
        <v>123.08798231999999</v>
      </c>
      <c r="W804">
        <v>44.799553156000002</v>
      </c>
      <c r="X804"/>
      <c r="Y804">
        <v>9.9290000430000003</v>
      </c>
      <c r="Z804"/>
      <c r="AA804"/>
      <c r="AB804">
        <v>95.139668704000002</v>
      </c>
      <c r="AC804">
        <v>84.297226956000003</v>
      </c>
      <c r="AD804"/>
      <c r="AE804">
        <v>63.112368885999999</v>
      </c>
      <c r="AF804"/>
      <c r="AG804">
        <v>59.355291753000003</v>
      </c>
      <c r="AH804">
        <v>75.659781390999996</v>
      </c>
      <c r="AI804">
        <v>70.075422122999996</v>
      </c>
      <c r="AJ804"/>
      <c r="AK804">
        <v>58.457997732000003</v>
      </c>
      <c r="AL804">
        <v>36.660061337000002</v>
      </c>
      <c r="AM804">
        <v>82.400161381999993</v>
      </c>
      <c r="AN804"/>
      <c r="AO804"/>
      <c r="AP804"/>
      <c r="AQ804">
        <v>63.983162706999998</v>
      </c>
      <c r="AR804">
        <v>25.435991213000001</v>
      </c>
      <c r="AS804">
        <v>54.553091197000001</v>
      </c>
      <c r="AT804"/>
    </row>
    <row r="805" spans="1:46" x14ac:dyDescent="0.2">
      <c r="A805" s="87">
        <v>31382</v>
      </c>
      <c r="B805"/>
      <c r="C805"/>
      <c r="D805">
        <v>41.145676238</v>
      </c>
      <c r="E805">
        <v>55.530148218999997</v>
      </c>
      <c r="F805">
        <v>73.099389818999995</v>
      </c>
      <c r="G805">
        <v>65.332885544999996</v>
      </c>
      <c r="H805"/>
      <c r="I805"/>
      <c r="J805"/>
      <c r="K805"/>
      <c r="L805">
        <v>61.594107960999999</v>
      </c>
      <c r="M805">
        <v>83.058599350999998</v>
      </c>
      <c r="N805">
        <v>69.565836578000003</v>
      </c>
      <c r="O805">
        <v>86.912758761999996</v>
      </c>
      <c r="P805"/>
      <c r="Q805"/>
      <c r="R805">
        <v>59.623197423000001</v>
      </c>
      <c r="S805">
        <v>82.370675890000001</v>
      </c>
      <c r="T805">
        <v>66.026463637000006</v>
      </c>
      <c r="U805">
        <v>70.120093206999996</v>
      </c>
      <c r="V805">
        <v>126.219460919</v>
      </c>
      <c r="W805">
        <v>43.725437995</v>
      </c>
      <c r="X805"/>
      <c r="Y805">
        <v>9.7492896350000002</v>
      </c>
      <c r="Z805"/>
      <c r="AA805"/>
      <c r="AB805">
        <v>94.195354374000004</v>
      </c>
      <c r="AC805">
        <v>84.297226956000003</v>
      </c>
      <c r="AD805"/>
      <c r="AE805">
        <v>62.107419427000004</v>
      </c>
      <c r="AF805"/>
      <c r="AG805">
        <v>58.632328393999998</v>
      </c>
      <c r="AH805">
        <v>67.881673023999994</v>
      </c>
      <c r="AI805">
        <v>70.636025500000002</v>
      </c>
      <c r="AJ805"/>
      <c r="AK805">
        <v>58.038845256999998</v>
      </c>
      <c r="AL805">
        <v>37.507681290000001</v>
      </c>
      <c r="AM805">
        <v>83.167041046999998</v>
      </c>
      <c r="AN805"/>
      <c r="AO805"/>
      <c r="AP805"/>
      <c r="AQ805">
        <v>62.080960572999999</v>
      </c>
      <c r="AR805">
        <v>24.600740455</v>
      </c>
      <c r="AS805">
        <v>55.105876612000003</v>
      </c>
      <c r="AT805"/>
    </row>
    <row r="806" spans="1:46" x14ac:dyDescent="0.2">
      <c r="A806" s="87">
        <v>31413</v>
      </c>
      <c r="B806"/>
      <c r="C806"/>
      <c r="D806">
        <v>41.279838605000002</v>
      </c>
      <c r="E806">
        <v>55.265240280999997</v>
      </c>
      <c r="F806">
        <v>74.359647406999997</v>
      </c>
      <c r="G806">
        <v>65.689546625999995</v>
      </c>
      <c r="H806"/>
      <c r="I806"/>
      <c r="J806"/>
      <c r="K806"/>
      <c r="L806">
        <v>62.828458822000002</v>
      </c>
      <c r="M806">
        <v>80.228293213000001</v>
      </c>
      <c r="N806">
        <v>69.994549621999994</v>
      </c>
      <c r="O806">
        <v>86.853071025999995</v>
      </c>
      <c r="P806"/>
      <c r="Q806"/>
      <c r="R806">
        <v>60.390624717000001</v>
      </c>
      <c r="S806">
        <v>82.737583131999997</v>
      </c>
      <c r="T806">
        <v>66.507051412999999</v>
      </c>
      <c r="U806">
        <v>71.088008603999995</v>
      </c>
      <c r="V806">
        <v>120.49797763399999</v>
      </c>
      <c r="W806">
        <v>44.486269567000001</v>
      </c>
      <c r="X806"/>
      <c r="Y806">
        <v>9.6594344309999993</v>
      </c>
      <c r="Z806"/>
      <c r="AA806"/>
      <c r="AB806">
        <v>95.965943741999993</v>
      </c>
      <c r="AC806">
        <v>84.128969018000006</v>
      </c>
      <c r="AD806"/>
      <c r="AE806">
        <v>65.114470994000001</v>
      </c>
      <c r="AF806"/>
      <c r="AG806">
        <v>58.560032059000001</v>
      </c>
      <c r="AH806">
        <v>68.588773785000001</v>
      </c>
      <c r="AI806">
        <v>70.190564839999993</v>
      </c>
      <c r="AJ806"/>
      <c r="AK806">
        <v>58.342074578000002</v>
      </c>
      <c r="AL806">
        <v>37.161159001999998</v>
      </c>
      <c r="AM806">
        <v>83.336428803999993</v>
      </c>
      <c r="AN806"/>
      <c r="AO806"/>
      <c r="AP806"/>
      <c r="AQ806">
        <v>65.078369996999996</v>
      </c>
      <c r="AR806">
        <v>23.498041829999998</v>
      </c>
      <c r="AS806">
        <v>55.386878342999999</v>
      </c>
      <c r="AT806"/>
    </row>
    <row r="807" spans="1:46" x14ac:dyDescent="0.2">
      <c r="A807" s="87">
        <v>31444</v>
      </c>
      <c r="B807"/>
      <c r="C807"/>
      <c r="D807">
        <v>41.937314129000001</v>
      </c>
      <c r="E807">
        <v>55.516337067999999</v>
      </c>
      <c r="F807">
        <v>74.270400072000001</v>
      </c>
      <c r="G807">
        <v>65.295762718000006</v>
      </c>
      <c r="H807"/>
      <c r="I807"/>
      <c r="J807"/>
      <c r="K807"/>
      <c r="L807">
        <v>63.075328994000003</v>
      </c>
      <c r="M807">
        <v>80.119435284999994</v>
      </c>
      <c r="N807">
        <v>70.223196579000003</v>
      </c>
      <c r="O807">
        <v>87.600252725000004</v>
      </c>
      <c r="P807"/>
      <c r="Q807"/>
      <c r="R807">
        <v>59.859328898000001</v>
      </c>
      <c r="S807">
        <v>81.912041837000004</v>
      </c>
      <c r="T807">
        <v>66.354427901999998</v>
      </c>
      <c r="U807">
        <v>71.518193225000005</v>
      </c>
      <c r="V807">
        <v>121.490135362</v>
      </c>
      <c r="W807">
        <v>44.262495575000003</v>
      </c>
      <c r="X807"/>
      <c r="Y807">
        <v>9.9065362419999996</v>
      </c>
      <c r="Z807"/>
      <c r="AA807"/>
      <c r="AB807">
        <v>96.438100907000006</v>
      </c>
      <c r="AC807">
        <v>84.128969018000006</v>
      </c>
      <c r="AD807"/>
      <c r="AE807">
        <v>63.858979875999999</v>
      </c>
      <c r="AF807"/>
      <c r="AG807">
        <v>58.993810074000002</v>
      </c>
      <c r="AH807">
        <v>74.952680631000007</v>
      </c>
      <c r="AI807">
        <v>71.065213623000005</v>
      </c>
      <c r="AJ807"/>
      <c r="AK807">
        <v>58.337417047000002</v>
      </c>
      <c r="AL807">
        <v>37.293963237</v>
      </c>
      <c r="AM807">
        <v>84.948033030000005</v>
      </c>
      <c r="AN807"/>
      <c r="AO807"/>
      <c r="AP807"/>
      <c r="AQ807">
        <v>64.732515062999994</v>
      </c>
      <c r="AR807">
        <v>22.398133488999999</v>
      </c>
      <c r="AS807">
        <v>55.007253429000002</v>
      </c>
      <c r="AT807"/>
    </row>
    <row r="808" spans="1:46" x14ac:dyDescent="0.2">
      <c r="A808" s="87">
        <v>31472</v>
      </c>
      <c r="B808"/>
      <c r="C808"/>
      <c r="D808">
        <v>42.343766217999999</v>
      </c>
      <c r="E808">
        <v>56.513011370000001</v>
      </c>
      <c r="F808">
        <v>70.087333516000001</v>
      </c>
      <c r="G808">
        <v>64.151063910999994</v>
      </c>
      <c r="H808"/>
      <c r="I808"/>
      <c r="J808"/>
      <c r="K808"/>
      <c r="L808">
        <v>63.198764079999997</v>
      </c>
      <c r="M808">
        <v>80.881440784000006</v>
      </c>
      <c r="N808">
        <v>69.489620926000001</v>
      </c>
      <c r="O808">
        <v>89.298360709999997</v>
      </c>
      <c r="P808"/>
      <c r="Q808"/>
      <c r="R808">
        <v>57.852211361000002</v>
      </c>
      <c r="S808">
        <v>81.636861405000005</v>
      </c>
      <c r="T808">
        <v>66.202480444000003</v>
      </c>
      <c r="U808">
        <v>72.271016310999997</v>
      </c>
      <c r="V808">
        <v>117.652379172</v>
      </c>
      <c r="W808">
        <v>44.307250373999999</v>
      </c>
      <c r="X808"/>
      <c r="Y808">
        <v>10.176101854000001</v>
      </c>
      <c r="Z808"/>
      <c r="AA808"/>
      <c r="AB808">
        <v>97.382415237000004</v>
      </c>
      <c r="AC808">
        <v>84.044840049000001</v>
      </c>
      <c r="AD808"/>
      <c r="AE808">
        <v>62.398886797999999</v>
      </c>
      <c r="AF808"/>
      <c r="AG808">
        <v>57.981661371999998</v>
      </c>
      <c r="AH808">
        <v>67.174572263000002</v>
      </c>
      <c r="AI808">
        <v>71.283875819000002</v>
      </c>
      <c r="AJ808"/>
      <c r="AK808">
        <v>58.163329296999997</v>
      </c>
      <c r="AL808">
        <v>37.233894835999997</v>
      </c>
      <c r="AM808">
        <v>86.678577579000006</v>
      </c>
      <c r="AN808"/>
      <c r="AO808"/>
      <c r="AP808"/>
      <c r="AQ808">
        <v>66.115934796999994</v>
      </c>
      <c r="AR808">
        <v>23.498041829999998</v>
      </c>
      <c r="AS808">
        <v>54.611472155999998</v>
      </c>
      <c r="AT808"/>
    </row>
    <row r="809" spans="1:46" x14ac:dyDescent="0.2">
      <c r="A809" s="87">
        <v>31503</v>
      </c>
      <c r="B809"/>
      <c r="C809"/>
      <c r="D809">
        <v>41.684648140999997</v>
      </c>
      <c r="E809">
        <v>54.582355448999998</v>
      </c>
      <c r="F809">
        <v>74.086561521999997</v>
      </c>
      <c r="G809">
        <v>64.680181668000003</v>
      </c>
      <c r="H809"/>
      <c r="I809"/>
      <c r="J809"/>
      <c r="K809"/>
      <c r="L809">
        <v>63.507351794999998</v>
      </c>
      <c r="M809">
        <v>82.623167637999998</v>
      </c>
      <c r="N809">
        <v>71.204473101000005</v>
      </c>
      <c r="O809">
        <v>88.816614014999999</v>
      </c>
      <c r="P809"/>
      <c r="Q809"/>
      <c r="R809">
        <v>59.859328898000001</v>
      </c>
      <c r="S809">
        <v>83.746578048000003</v>
      </c>
      <c r="T809">
        <v>66.483796009000002</v>
      </c>
      <c r="U809">
        <v>73.131385553000001</v>
      </c>
      <c r="V809">
        <v>127.98421472699999</v>
      </c>
      <c r="W809">
        <v>47.440086258999997</v>
      </c>
      <c r="X809"/>
      <c r="Y809">
        <v>10.041319048</v>
      </c>
      <c r="Z809"/>
      <c r="AA809"/>
      <c r="AB809">
        <v>97.854572400999999</v>
      </c>
      <c r="AC809">
        <v>84.044840049000001</v>
      </c>
      <c r="AD809"/>
      <c r="AE809">
        <v>64.235832092999999</v>
      </c>
      <c r="AF809"/>
      <c r="AG809">
        <v>57.547883356</v>
      </c>
      <c r="AH809">
        <v>74.952680631000007</v>
      </c>
      <c r="AI809">
        <v>48.215014166000003</v>
      </c>
      <c r="AJ809"/>
      <c r="AK809">
        <v>58.328278089999998</v>
      </c>
      <c r="AL809">
        <v>37.728725945999997</v>
      </c>
      <c r="AM809">
        <v>88.909808747</v>
      </c>
      <c r="AN809"/>
      <c r="AO809"/>
      <c r="AP809"/>
      <c r="AQ809">
        <v>63.291452839999998</v>
      </c>
      <c r="AR809">
        <v>23.198066828000002</v>
      </c>
      <c r="AS809">
        <v>54.673916984999998</v>
      </c>
      <c r="AT809"/>
    </row>
    <row r="810" spans="1:46" x14ac:dyDescent="0.2">
      <c r="A810" s="87">
        <v>31533</v>
      </c>
      <c r="B810"/>
      <c r="C810"/>
      <c r="D810">
        <v>41.845883360000002</v>
      </c>
      <c r="E810">
        <v>54.289805825000002</v>
      </c>
      <c r="F810">
        <v>73.753718910000003</v>
      </c>
      <c r="G810">
        <v>63.324023723000003</v>
      </c>
      <c r="H810"/>
      <c r="I810"/>
      <c r="J810"/>
      <c r="K810"/>
      <c r="L810">
        <v>62.890176365000002</v>
      </c>
      <c r="M810">
        <v>81.425730424999998</v>
      </c>
      <c r="N810">
        <v>69.260973969000005</v>
      </c>
      <c r="O810">
        <v>85.739550811000001</v>
      </c>
      <c r="P810"/>
      <c r="Q810"/>
      <c r="R810">
        <v>58.324474311000003</v>
      </c>
      <c r="S810">
        <v>81.178227351999993</v>
      </c>
      <c r="T810">
        <v>66.049790956999999</v>
      </c>
      <c r="U810">
        <v>71.948377844999996</v>
      </c>
      <c r="V810">
        <v>119.95667789700001</v>
      </c>
      <c r="W810">
        <v>45.291855937999998</v>
      </c>
      <c r="X810"/>
      <c r="Y810">
        <v>9.3898688190000001</v>
      </c>
      <c r="Z810"/>
      <c r="AA810"/>
      <c r="AB810">
        <v>95.375747286000006</v>
      </c>
      <c r="AC810">
        <v>84.044840049000001</v>
      </c>
      <c r="AD810"/>
      <c r="AE810">
        <v>61.658887772</v>
      </c>
      <c r="AF810"/>
      <c r="AG810">
        <v>56.824919997999999</v>
      </c>
      <c r="AH810">
        <v>67.174572263000002</v>
      </c>
      <c r="AI810">
        <v>67.894611784999995</v>
      </c>
      <c r="AJ810"/>
      <c r="AK810">
        <v>57.842100361</v>
      </c>
      <c r="AL810">
        <v>37.554407255999998</v>
      </c>
      <c r="AM810">
        <v>86.232770755000004</v>
      </c>
      <c r="AN810"/>
      <c r="AO810"/>
      <c r="AP810"/>
      <c r="AQ810">
        <v>63.406737818000003</v>
      </c>
      <c r="AR810">
        <v>23.09807516</v>
      </c>
      <c r="AS810">
        <v>54.768674535000002</v>
      </c>
      <c r="AT810"/>
    </row>
    <row r="811" spans="1:46" x14ac:dyDescent="0.2">
      <c r="A811" s="87">
        <v>31564</v>
      </c>
      <c r="B811"/>
      <c r="C811"/>
      <c r="D811">
        <v>42.163685473000001</v>
      </c>
      <c r="E811">
        <v>55.169665606000002</v>
      </c>
      <c r="F811">
        <v>75.546054807999994</v>
      </c>
      <c r="G811">
        <v>63.081080667000002</v>
      </c>
      <c r="H811"/>
      <c r="I811"/>
      <c r="J811"/>
      <c r="K811"/>
      <c r="L811">
        <v>63.198764079999997</v>
      </c>
      <c r="M811">
        <v>81.208014568999999</v>
      </c>
      <c r="N811">
        <v>70.404208753000006</v>
      </c>
      <c r="O811">
        <v>91.001296569999994</v>
      </c>
      <c r="P811"/>
      <c r="Q811"/>
      <c r="R811">
        <v>59.564164554000001</v>
      </c>
      <c r="S811">
        <v>81.820315026000003</v>
      </c>
      <c r="T811">
        <v>66.218408847999996</v>
      </c>
      <c r="U811">
        <v>72.916293242999998</v>
      </c>
      <c r="V811">
        <v>122.591138438</v>
      </c>
      <c r="W811">
        <v>45.381365533999997</v>
      </c>
      <c r="X811"/>
      <c r="Y811">
        <v>9.9514638439999992</v>
      </c>
      <c r="Z811"/>
      <c r="AA811"/>
      <c r="AB811">
        <v>97.264375944999998</v>
      </c>
      <c r="AC811">
        <v>84.297226956000003</v>
      </c>
      <c r="AD811"/>
      <c r="AE811">
        <v>62.685373986999998</v>
      </c>
      <c r="AF811"/>
      <c r="AG811">
        <v>55.451289615999997</v>
      </c>
      <c r="AH811">
        <v>70.002975305999996</v>
      </c>
      <c r="AI811">
        <v>73.142504482999996</v>
      </c>
      <c r="AJ811"/>
      <c r="AK811">
        <v>58.184299246000002</v>
      </c>
      <c r="AL811">
        <v>36.931609405000003</v>
      </c>
      <c r="AM811">
        <v>87.543501234999994</v>
      </c>
      <c r="AN811"/>
      <c r="AO811"/>
      <c r="AP811"/>
      <c r="AQ811">
        <v>63.810235239999997</v>
      </c>
      <c r="AR811">
        <v>24.697941837999998</v>
      </c>
      <c r="AS811">
        <v>54.559831273</v>
      </c>
      <c r="AT811"/>
    </row>
    <row r="812" spans="1:46" x14ac:dyDescent="0.2">
      <c r="A812" s="87">
        <v>31594</v>
      </c>
      <c r="B812"/>
      <c r="C812"/>
      <c r="D812">
        <v>41.001956196000002</v>
      </c>
      <c r="E812">
        <v>56.628033742</v>
      </c>
      <c r="F812">
        <v>75.611947826999995</v>
      </c>
      <c r="G812">
        <v>63.538772225999999</v>
      </c>
      <c r="H812"/>
      <c r="I812"/>
      <c r="J812"/>
      <c r="K812"/>
      <c r="L812">
        <v>64.124527225999998</v>
      </c>
      <c r="M812">
        <v>81.861162139000001</v>
      </c>
      <c r="N812">
        <v>70.547113100999994</v>
      </c>
      <c r="O812">
        <v>87.693052338000001</v>
      </c>
      <c r="P812"/>
      <c r="Q812"/>
      <c r="R812">
        <v>61.394183484999999</v>
      </c>
      <c r="S812">
        <v>81.912041837000004</v>
      </c>
      <c r="T812">
        <v>66.557626028000001</v>
      </c>
      <c r="U812">
        <v>72.271016310999997</v>
      </c>
      <c r="V812">
        <v>128.05098308000001</v>
      </c>
      <c r="W812">
        <v>46.679254686999997</v>
      </c>
      <c r="X812"/>
      <c r="Y812">
        <v>9.681898232</v>
      </c>
      <c r="Z812"/>
      <c r="AA812"/>
      <c r="AB812">
        <v>98.562808149000006</v>
      </c>
      <c r="AC812">
        <v>84.297226956000003</v>
      </c>
      <c r="AD812"/>
      <c r="AE812">
        <v>65.057376934999994</v>
      </c>
      <c r="AF812"/>
      <c r="AG812">
        <v>54.728326256999999</v>
      </c>
      <c r="AH812">
        <v>70.710076067000003</v>
      </c>
      <c r="AI812">
        <v>75.438457538999998</v>
      </c>
      <c r="AJ812"/>
      <c r="AK812">
        <v>58.392194879000002</v>
      </c>
      <c r="AL812">
        <v>37.599742843000001</v>
      </c>
      <c r="AM812">
        <v>88.653284619000004</v>
      </c>
      <c r="AN812"/>
      <c r="AO812"/>
      <c r="AP812"/>
      <c r="AQ812">
        <v>64.444302618999998</v>
      </c>
      <c r="AR812">
        <v>24.497958503</v>
      </c>
      <c r="AS812">
        <v>54.884544384000002</v>
      </c>
      <c r="AT812"/>
    </row>
    <row r="813" spans="1:46" x14ac:dyDescent="0.2">
      <c r="A813" s="87">
        <v>31625</v>
      </c>
      <c r="B813"/>
      <c r="C813"/>
      <c r="D813">
        <v>42.058636978000003</v>
      </c>
      <c r="E813">
        <v>56.014584051999996</v>
      </c>
      <c r="F813">
        <v>76.270449776000007</v>
      </c>
      <c r="G813">
        <v>62.967832549999997</v>
      </c>
      <c r="H813"/>
      <c r="I813"/>
      <c r="J813"/>
      <c r="K813"/>
      <c r="L813">
        <v>63.013611451000003</v>
      </c>
      <c r="M813">
        <v>84.147178635000003</v>
      </c>
      <c r="N813">
        <v>70.108873099999997</v>
      </c>
      <c r="O813">
        <v>86.625206094999996</v>
      </c>
      <c r="P813"/>
      <c r="Q813"/>
      <c r="R813">
        <v>60.508690454000003</v>
      </c>
      <c r="S813">
        <v>81.912041837000004</v>
      </c>
      <c r="T813">
        <v>66.009648812999998</v>
      </c>
      <c r="U813">
        <v>72.271016310999997</v>
      </c>
      <c r="V813">
        <v>118.328385371</v>
      </c>
      <c r="W813">
        <v>45.784158720000001</v>
      </c>
      <c r="X813"/>
      <c r="Y813">
        <v>9.9514638439999992</v>
      </c>
      <c r="Z813"/>
      <c r="AA813"/>
      <c r="AB813">
        <v>98.798886730999996</v>
      </c>
      <c r="AC813">
        <v>82.278131700000003</v>
      </c>
      <c r="AD813"/>
      <c r="AE813">
        <v>60.263378109999998</v>
      </c>
      <c r="AF813"/>
      <c r="AG813">
        <v>54.439140913999999</v>
      </c>
      <c r="AH813">
        <v>70.710076067000003</v>
      </c>
      <c r="AI813">
        <v>77.187755104999994</v>
      </c>
      <c r="AJ813"/>
      <c r="AK813">
        <v>58.024150493999997</v>
      </c>
      <c r="AL813">
        <v>36.895107338999999</v>
      </c>
      <c r="AM813">
        <v>90.799689443000005</v>
      </c>
      <c r="AN813"/>
      <c r="AO813"/>
      <c r="AP813"/>
      <c r="AQ813">
        <v>64.847800040999999</v>
      </c>
      <c r="AR813">
        <v>26.097825181000001</v>
      </c>
      <c r="AS813">
        <v>54.797319860999998</v>
      </c>
      <c r="AT813"/>
    </row>
    <row r="814" spans="1:46" x14ac:dyDescent="0.2">
      <c r="A814" s="87">
        <v>31656</v>
      </c>
      <c r="B814"/>
      <c r="C814"/>
      <c r="D814">
        <v>41.477129468999998</v>
      </c>
      <c r="E814">
        <v>55.137239673000003</v>
      </c>
      <c r="F814">
        <v>78.880142137999997</v>
      </c>
      <c r="G814">
        <v>63.251657706000003</v>
      </c>
      <c r="H814"/>
      <c r="I814"/>
      <c r="J814"/>
      <c r="K814"/>
      <c r="L814">
        <v>62.643306193000001</v>
      </c>
      <c r="M814">
        <v>83.494031065000001</v>
      </c>
      <c r="N814">
        <v>70.642382666000003</v>
      </c>
      <c r="O814">
        <v>88.201753589000006</v>
      </c>
      <c r="P814"/>
      <c r="Q814"/>
      <c r="R814">
        <v>60.803854798000003</v>
      </c>
      <c r="S814">
        <v>82.645856320999997</v>
      </c>
      <c r="T814">
        <v>66.615647699999997</v>
      </c>
      <c r="U814">
        <v>74.09930095</v>
      </c>
      <c r="V814">
        <v>118.344945532</v>
      </c>
      <c r="W814">
        <v>46.052687509999998</v>
      </c>
      <c r="X814"/>
      <c r="Y814">
        <v>10.131174251999999</v>
      </c>
      <c r="Z814"/>
      <c r="AA814"/>
      <c r="AB814">
        <v>97.854572400999999</v>
      </c>
      <c r="AC814">
        <v>85.054387676999994</v>
      </c>
      <c r="AD814"/>
      <c r="AE814">
        <v>64.060534232999998</v>
      </c>
      <c r="AF814"/>
      <c r="AG814">
        <v>54.077659234000002</v>
      </c>
      <c r="AH814">
        <v>72.831378349000005</v>
      </c>
      <c r="AI814">
        <v>69.315916056999995</v>
      </c>
      <c r="AJ814"/>
      <c r="AK814">
        <v>58.375537817999998</v>
      </c>
      <c r="AL814">
        <v>38.020937568999997</v>
      </c>
      <c r="AM814">
        <v>91.546173803000002</v>
      </c>
      <c r="AN814"/>
      <c r="AO814"/>
      <c r="AP814"/>
      <c r="AQ814">
        <v>64.501945108000001</v>
      </c>
      <c r="AR814">
        <v>24.297975169000001</v>
      </c>
      <c r="AS814">
        <v>54.957297566000001</v>
      </c>
      <c r="AT814"/>
    </row>
    <row r="815" spans="1:46" x14ac:dyDescent="0.2">
      <c r="A815" s="87">
        <v>31686</v>
      </c>
      <c r="B815"/>
      <c r="C815"/>
      <c r="D815">
        <v>41.357053119</v>
      </c>
      <c r="E815">
        <v>54.947638185000002</v>
      </c>
      <c r="F815">
        <v>79.767456893000002</v>
      </c>
      <c r="G815">
        <v>63.177412052999998</v>
      </c>
      <c r="H815"/>
      <c r="I815"/>
      <c r="J815"/>
      <c r="K815"/>
      <c r="L815">
        <v>62.828458822000002</v>
      </c>
      <c r="M815">
        <v>80.881440784000006</v>
      </c>
      <c r="N815">
        <v>70.528059188</v>
      </c>
      <c r="O815">
        <v>89.318555838999998</v>
      </c>
      <c r="P815"/>
      <c r="Q815"/>
      <c r="R815">
        <v>61.63031496</v>
      </c>
      <c r="S815">
        <v>83.379670805999993</v>
      </c>
      <c r="T815">
        <v>66.619523615000006</v>
      </c>
      <c r="U815">
        <v>74.421939416000001</v>
      </c>
      <c r="V815">
        <v>119.729569704</v>
      </c>
      <c r="W815">
        <v>45.605139526000002</v>
      </c>
      <c r="X815"/>
      <c r="Y815">
        <v>10.243493257000001</v>
      </c>
      <c r="Z815"/>
      <c r="AA815"/>
      <c r="AB815">
        <v>97.736533109999996</v>
      </c>
      <c r="AC815">
        <v>83.960711079999996</v>
      </c>
      <c r="AD815"/>
      <c r="AE815">
        <v>64.268069896</v>
      </c>
      <c r="AF815"/>
      <c r="AG815">
        <v>54.294548241999998</v>
      </c>
      <c r="AH815">
        <v>70.002975305999996</v>
      </c>
      <c r="AI815">
        <v>71.721200210999996</v>
      </c>
      <c r="AJ815"/>
      <c r="AK815">
        <v>58.418617937</v>
      </c>
      <c r="AL815">
        <v>37.662944156000002</v>
      </c>
      <c r="AM815">
        <v>90.676889949</v>
      </c>
      <c r="AN815"/>
      <c r="AO815"/>
      <c r="AP815"/>
      <c r="AQ815">
        <v>64.501945108000001</v>
      </c>
      <c r="AR815">
        <v>25.497875177000001</v>
      </c>
      <c r="AS815">
        <v>55.185964583000001</v>
      </c>
      <c r="AT815"/>
    </row>
    <row r="816" spans="1:46" x14ac:dyDescent="0.2">
      <c r="A816" s="87">
        <v>31717</v>
      </c>
      <c r="B816"/>
      <c r="C816"/>
      <c r="D816">
        <v>40.858995899</v>
      </c>
      <c r="E816">
        <v>54.910824441000003</v>
      </c>
      <c r="F816">
        <v>78.910456351999997</v>
      </c>
      <c r="G816">
        <v>63.041608294</v>
      </c>
      <c r="H816"/>
      <c r="I816"/>
      <c r="J816"/>
      <c r="K816"/>
      <c r="L816">
        <v>63.507351794999998</v>
      </c>
      <c r="M816">
        <v>79.030856001000004</v>
      </c>
      <c r="N816">
        <v>69.851645274000006</v>
      </c>
      <c r="O816">
        <v>88.783117430999994</v>
      </c>
      <c r="P816"/>
      <c r="Q816"/>
      <c r="R816">
        <v>61.807413566000001</v>
      </c>
      <c r="S816">
        <v>82.187222269000003</v>
      </c>
      <c r="T816">
        <v>66.523385630000007</v>
      </c>
      <c r="U816">
        <v>74.09930095</v>
      </c>
      <c r="V816">
        <v>122.308595697</v>
      </c>
      <c r="W816">
        <v>44.799553156000002</v>
      </c>
      <c r="X816"/>
      <c r="Y816">
        <v>10.08624665</v>
      </c>
      <c r="Z816"/>
      <c r="AA816"/>
      <c r="AB816">
        <v>97.500454528000006</v>
      </c>
      <c r="AC816">
        <v>82.782905514000007</v>
      </c>
      <c r="AD816"/>
      <c r="AE816">
        <v>61.961268447999998</v>
      </c>
      <c r="AF816"/>
      <c r="AG816">
        <v>53.788473891000002</v>
      </c>
      <c r="AH816">
        <v>70.002975305999996</v>
      </c>
      <c r="AI816">
        <v>72.814511189000001</v>
      </c>
      <c r="AJ816"/>
      <c r="AK816">
        <v>58.331758131999997</v>
      </c>
      <c r="AL816">
        <v>38.249359794</v>
      </c>
      <c r="AM816">
        <v>91.396268470999999</v>
      </c>
      <c r="AN816"/>
      <c r="AO816"/>
      <c r="AP816"/>
      <c r="AQ816">
        <v>65.654794886000005</v>
      </c>
      <c r="AR816">
        <v>25.597866843999999</v>
      </c>
      <c r="AS816">
        <v>55.390347499999997</v>
      </c>
      <c r="AT816"/>
    </row>
    <row r="817" spans="1:46" x14ac:dyDescent="0.2">
      <c r="A817" s="87">
        <v>31747</v>
      </c>
      <c r="B817"/>
      <c r="C817"/>
      <c r="D817">
        <v>41.644413634000003</v>
      </c>
      <c r="E817">
        <v>55.489767589000003</v>
      </c>
      <c r="F817">
        <v>77.175847231999995</v>
      </c>
      <c r="G817">
        <v>64.157172731000003</v>
      </c>
      <c r="H817"/>
      <c r="I817"/>
      <c r="J817"/>
      <c r="K817"/>
      <c r="L817">
        <v>62.705023736000001</v>
      </c>
      <c r="M817">
        <v>80.119435284999994</v>
      </c>
      <c r="N817">
        <v>70.604274840000002</v>
      </c>
      <c r="O817">
        <v>90.113089595000005</v>
      </c>
      <c r="P817"/>
      <c r="Q817"/>
      <c r="R817">
        <v>61.335150616</v>
      </c>
      <c r="S817">
        <v>82.737583131999997</v>
      </c>
      <c r="T817">
        <v>67.231454323999998</v>
      </c>
      <c r="U817">
        <v>74.421939416000001</v>
      </c>
      <c r="V817">
        <v>119.572918621</v>
      </c>
      <c r="W817">
        <v>46.365971098000003</v>
      </c>
      <c r="X817"/>
      <c r="Y817">
        <v>10.018855246999999</v>
      </c>
      <c r="Z817"/>
      <c r="AA817"/>
      <c r="AB817">
        <v>100.215358225</v>
      </c>
      <c r="AC817">
        <v>84.717871801000001</v>
      </c>
      <c r="AD817"/>
      <c r="AE817">
        <v>60.105968056000002</v>
      </c>
      <c r="AF817"/>
      <c r="AG817">
        <v>53.716177555000002</v>
      </c>
      <c r="AH817">
        <v>71.417176827000006</v>
      </c>
      <c r="AI817">
        <v>75.438457538999998</v>
      </c>
      <c r="AJ817"/>
      <c r="AK817">
        <v>58.890247348999999</v>
      </c>
      <c r="AL817">
        <v>37.759665273000003</v>
      </c>
      <c r="AM817">
        <v>91.372856534999997</v>
      </c>
      <c r="AN817"/>
      <c r="AO817"/>
      <c r="AP817"/>
      <c r="AQ817">
        <v>64.905442530000002</v>
      </c>
      <c r="AR817">
        <v>25.39788351</v>
      </c>
      <c r="AS817">
        <v>55.929652761</v>
      </c>
      <c r="AT817"/>
    </row>
    <row r="818" spans="1:46" x14ac:dyDescent="0.2">
      <c r="A818" s="87">
        <v>31778</v>
      </c>
      <c r="B818"/>
      <c r="C818"/>
      <c r="D818">
        <v>40.558691805000002</v>
      </c>
      <c r="E818">
        <v>54.556168018999998</v>
      </c>
      <c r="F818">
        <v>79.605398295000001</v>
      </c>
      <c r="G818">
        <v>64.820684518999997</v>
      </c>
      <c r="H818"/>
      <c r="I818"/>
      <c r="J818"/>
      <c r="K818"/>
      <c r="L818">
        <v>61.717543046999999</v>
      </c>
      <c r="M818">
        <v>74.894254723000003</v>
      </c>
      <c r="N818">
        <v>69.975495709</v>
      </c>
      <c r="O818">
        <v>86.863236716000003</v>
      </c>
      <c r="P818"/>
      <c r="Q818"/>
      <c r="R818">
        <v>60.685789059999998</v>
      </c>
      <c r="S818">
        <v>80.536139677999998</v>
      </c>
      <c r="T818">
        <v>66.539191868000003</v>
      </c>
      <c r="U818">
        <v>73.023839398000007</v>
      </c>
      <c r="V818">
        <v>116.719639976</v>
      </c>
      <c r="W818">
        <v>43.32264481</v>
      </c>
      <c r="X818"/>
      <c r="Y818">
        <v>9.5246516250000006</v>
      </c>
      <c r="Z818"/>
      <c r="AA818"/>
      <c r="AB818">
        <v>95.729865160000003</v>
      </c>
      <c r="AC818">
        <v>84.465484893999999</v>
      </c>
      <c r="AD818"/>
      <c r="AE818">
        <v>62.077394255999998</v>
      </c>
      <c r="AF818"/>
      <c r="AG818">
        <v>54.149955570000003</v>
      </c>
      <c r="AH818">
        <v>74.952680631000007</v>
      </c>
      <c r="AI818">
        <v>77.406417300000001</v>
      </c>
      <c r="AJ818"/>
      <c r="AK818">
        <v>58.322470952000003</v>
      </c>
      <c r="AL818">
        <v>35.518997945999999</v>
      </c>
      <c r="AM818">
        <v>88.370353621999996</v>
      </c>
      <c r="AN818"/>
      <c r="AO818"/>
      <c r="AP818"/>
      <c r="AQ818">
        <v>62.542100484000002</v>
      </c>
      <c r="AR818">
        <v>25.497875177000001</v>
      </c>
      <c r="AS818">
        <v>55.716943866999998</v>
      </c>
      <c r="AT818"/>
    </row>
    <row r="819" spans="1:46" x14ac:dyDescent="0.2">
      <c r="A819" s="87">
        <v>31809</v>
      </c>
      <c r="B819"/>
      <c r="C819"/>
      <c r="D819">
        <v>41.516355558999997</v>
      </c>
      <c r="E819">
        <v>56.268201406999999</v>
      </c>
      <c r="F819">
        <v>83.981261540000006</v>
      </c>
      <c r="G819">
        <v>64.961187369000001</v>
      </c>
      <c r="H819"/>
      <c r="I819"/>
      <c r="J819"/>
      <c r="K819"/>
      <c r="L819">
        <v>62.951893908000002</v>
      </c>
      <c r="M819">
        <v>78.377708431000002</v>
      </c>
      <c r="N819">
        <v>70.909137448999999</v>
      </c>
      <c r="O819">
        <v>91.671910499000006</v>
      </c>
      <c r="P819"/>
      <c r="Q819"/>
      <c r="R819">
        <v>61.571282091</v>
      </c>
      <c r="S819">
        <v>82.462402699999998</v>
      </c>
      <c r="T819">
        <v>67.421796168</v>
      </c>
      <c r="U819">
        <v>75.389854812999999</v>
      </c>
      <c r="V819">
        <v>126.403199681</v>
      </c>
      <c r="W819">
        <v>46.544990292000001</v>
      </c>
      <c r="X819"/>
      <c r="Y819">
        <v>10.310884659999999</v>
      </c>
      <c r="Z819"/>
      <c r="AA819"/>
      <c r="AB819">
        <v>98.680847439999994</v>
      </c>
      <c r="AC819">
        <v>84.044840049000001</v>
      </c>
      <c r="AD819"/>
      <c r="AE819">
        <v>60.505969442000001</v>
      </c>
      <c r="AF819"/>
      <c r="AG819">
        <v>55.017511601000002</v>
      </c>
      <c r="AH819">
        <v>71.417176827000006</v>
      </c>
      <c r="AI819">
        <v>74.454477658000002</v>
      </c>
      <c r="AJ819"/>
      <c r="AK819">
        <v>59.209455722000001</v>
      </c>
      <c r="AL819">
        <v>39.896326971000001</v>
      </c>
      <c r="AM819">
        <v>92.108348599999999</v>
      </c>
      <c r="AN819"/>
      <c r="AO819"/>
      <c r="AP819"/>
      <c r="AQ819">
        <v>65.136012485999998</v>
      </c>
      <c r="AR819">
        <v>26.097825181000001</v>
      </c>
      <c r="AS819">
        <v>56.456964651</v>
      </c>
      <c r="AT819"/>
    </row>
    <row r="820" spans="1:46" x14ac:dyDescent="0.2">
      <c r="A820" s="87">
        <v>31837</v>
      </c>
      <c r="B820"/>
      <c r="C820"/>
      <c r="D820">
        <v>41.929413754000002</v>
      </c>
      <c r="E820">
        <v>55.373255911999998</v>
      </c>
      <c r="F820">
        <v>79.585876952999996</v>
      </c>
      <c r="G820">
        <v>65.388334830000005</v>
      </c>
      <c r="H820"/>
      <c r="I820"/>
      <c r="J820"/>
      <c r="K820"/>
      <c r="L820">
        <v>62.58158865</v>
      </c>
      <c r="M820">
        <v>79.901719428000007</v>
      </c>
      <c r="N820">
        <v>70.690017448999996</v>
      </c>
      <c r="O820">
        <v>91.045663137999995</v>
      </c>
      <c r="P820"/>
      <c r="Q820"/>
      <c r="R820">
        <v>63.991629709999998</v>
      </c>
      <c r="S820">
        <v>83.379670805999993</v>
      </c>
      <c r="T820">
        <v>67.725052247999997</v>
      </c>
      <c r="U820">
        <v>75.067216346999999</v>
      </c>
      <c r="V820">
        <v>118.715612482</v>
      </c>
      <c r="W820">
        <v>46.947783477000002</v>
      </c>
      <c r="X820"/>
      <c r="Y820">
        <v>10.221029456</v>
      </c>
      <c r="Z820"/>
      <c r="AA820"/>
      <c r="AB820">
        <v>99.979279642999998</v>
      </c>
      <c r="AC820">
        <v>85.306774583999996</v>
      </c>
      <c r="AD820"/>
      <c r="AE820">
        <v>63.579246441000002</v>
      </c>
      <c r="AF820"/>
      <c r="AG820">
        <v>55.740474958999997</v>
      </c>
      <c r="AH820">
        <v>73.538479108999994</v>
      </c>
      <c r="AI820">
        <v>74.017153265999994</v>
      </c>
      <c r="AJ820"/>
      <c r="AK820">
        <v>59.405377946000002</v>
      </c>
      <c r="AL820">
        <v>38.893394976000003</v>
      </c>
      <c r="AM820">
        <v>89.560461312000001</v>
      </c>
      <c r="AN820"/>
      <c r="AO820"/>
      <c r="AP820"/>
      <c r="AQ820">
        <v>64.905442530000002</v>
      </c>
      <c r="AR820">
        <v>25.197900175000001</v>
      </c>
      <c r="AS820">
        <v>56.533880820999997</v>
      </c>
      <c r="AT820"/>
    </row>
    <row r="821" spans="1:46" x14ac:dyDescent="0.2">
      <c r="A821" s="87">
        <v>31868</v>
      </c>
      <c r="B821"/>
      <c r="C821"/>
      <c r="D821">
        <v>41.809457698000003</v>
      </c>
      <c r="E821">
        <v>56.698059636000004</v>
      </c>
      <c r="F821">
        <v>80.678717926999994</v>
      </c>
      <c r="G821">
        <v>65.078194758999999</v>
      </c>
      <c r="H821"/>
      <c r="I821"/>
      <c r="J821"/>
      <c r="K821"/>
      <c r="L821">
        <v>63.445634251999998</v>
      </c>
      <c r="M821">
        <v>79.901719428000007</v>
      </c>
      <c r="N821">
        <v>70.804340926999998</v>
      </c>
      <c r="O821">
        <v>91.298852628999995</v>
      </c>
      <c r="P821"/>
      <c r="Q821"/>
      <c r="R821">
        <v>62.279676516000002</v>
      </c>
      <c r="S821">
        <v>82.554129510999999</v>
      </c>
      <c r="T821">
        <v>67.917646266999995</v>
      </c>
      <c r="U821">
        <v>74.421939416000001</v>
      </c>
      <c r="V821">
        <v>119.925850642</v>
      </c>
      <c r="W821">
        <v>47.798124645999998</v>
      </c>
      <c r="X821"/>
      <c r="Y821">
        <v>10.782624480999999</v>
      </c>
      <c r="Z821"/>
      <c r="AA821"/>
      <c r="AB821">
        <v>101.867908302</v>
      </c>
      <c r="AC821">
        <v>84.633742831999996</v>
      </c>
      <c r="AD821"/>
      <c r="AE821">
        <v>61.149135039999997</v>
      </c>
      <c r="AF821"/>
      <c r="AG821">
        <v>57.041809004999998</v>
      </c>
      <c r="AH821">
        <v>70.002975305999996</v>
      </c>
      <c r="AI821">
        <v>74.235815462000005</v>
      </c>
      <c r="AJ821"/>
      <c r="AK821">
        <v>59.645101185999998</v>
      </c>
      <c r="AL821">
        <v>38.781421326</v>
      </c>
      <c r="AM821">
        <v>92.245598290000004</v>
      </c>
      <c r="AN821"/>
      <c r="AO821"/>
      <c r="AP821"/>
      <c r="AQ821">
        <v>65.251297464000004</v>
      </c>
      <c r="AR821">
        <v>26.197816848999999</v>
      </c>
      <c r="AS821">
        <v>56.893681979</v>
      </c>
      <c r="AT821"/>
    </row>
    <row r="822" spans="1:46" x14ac:dyDescent="0.2">
      <c r="A822" s="87">
        <v>31898</v>
      </c>
      <c r="B822"/>
      <c r="C822"/>
      <c r="D822">
        <v>42.922600834999997</v>
      </c>
      <c r="E822">
        <v>57.052189830000003</v>
      </c>
      <c r="F822">
        <v>79.619607590000001</v>
      </c>
      <c r="G822">
        <v>65.120956496000005</v>
      </c>
      <c r="H822"/>
      <c r="I822"/>
      <c r="J822"/>
      <c r="K822"/>
      <c r="L822">
        <v>64.371397397999999</v>
      </c>
      <c r="M822">
        <v>80.554866997999994</v>
      </c>
      <c r="N822">
        <v>71.709401796999998</v>
      </c>
      <c r="O822">
        <v>93.095777288999997</v>
      </c>
      <c r="P822"/>
      <c r="Q822"/>
      <c r="R822">
        <v>63.755498234999997</v>
      </c>
      <c r="S822">
        <v>83.287943995000006</v>
      </c>
      <c r="T822">
        <v>68.159776034000004</v>
      </c>
      <c r="U822">
        <v>75.820039433999995</v>
      </c>
      <c r="V822">
        <v>118.69986243699999</v>
      </c>
      <c r="W822">
        <v>46.142197105999998</v>
      </c>
      <c r="X822"/>
      <c r="Y822">
        <v>11.119581496</v>
      </c>
      <c r="Z822"/>
      <c r="AA822"/>
      <c r="AB822">
        <v>102.340065467</v>
      </c>
      <c r="AC822">
        <v>83.287679327999996</v>
      </c>
      <c r="AD822"/>
      <c r="AE822">
        <v>62.675110834000002</v>
      </c>
      <c r="AF822"/>
      <c r="AG822">
        <v>57.547883356</v>
      </c>
      <c r="AH822">
        <v>72.124277587999998</v>
      </c>
      <c r="AI822">
        <v>76.094444125999999</v>
      </c>
      <c r="AJ822"/>
      <c r="AK822">
        <v>59.985302855999997</v>
      </c>
      <c r="AL822">
        <v>39.052355220999999</v>
      </c>
      <c r="AM822">
        <v>92.879010824000005</v>
      </c>
      <c r="AN822"/>
      <c r="AO822"/>
      <c r="AP822"/>
      <c r="AQ822">
        <v>66.115934796999994</v>
      </c>
      <c r="AR822">
        <v>26.797766852999999</v>
      </c>
      <c r="AS822">
        <v>57.256258463000002</v>
      </c>
      <c r="AT822"/>
    </row>
    <row r="823" spans="1:46" x14ac:dyDescent="0.2">
      <c r="A823" s="87">
        <v>31929</v>
      </c>
      <c r="B823"/>
      <c r="C823"/>
      <c r="D823">
        <v>41.884900238</v>
      </c>
      <c r="E823">
        <v>57.016961831000003</v>
      </c>
      <c r="F823">
        <v>74.878039164</v>
      </c>
      <c r="G823">
        <v>65.884558943000002</v>
      </c>
      <c r="H823"/>
      <c r="I823"/>
      <c r="J823"/>
      <c r="K823"/>
      <c r="L823">
        <v>63.198764079999997</v>
      </c>
      <c r="M823">
        <v>79.030856001000004</v>
      </c>
      <c r="N823">
        <v>70.956772232000006</v>
      </c>
      <c r="O823">
        <v>92.915083081000006</v>
      </c>
      <c r="P823"/>
      <c r="Q823"/>
      <c r="R823">
        <v>62.574840860000002</v>
      </c>
      <c r="S823">
        <v>83.746578048000003</v>
      </c>
      <c r="T823">
        <v>68.600134836999999</v>
      </c>
      <c r="U823">
        <v>75.497400967999994</v>
      </c>
      <c r="V823">
        <v>116.45562449400001</v>
      </c>
      <c r="W823">
        <v>46.410725896999999</v>
      </c>
      <c r="X823"/>
      <c r="Y823">
        <v>10.782624480999999</v>
      </c>
      <c r="Z823"/>
      <c r="AA823"/>
      <c r="AB823">
        <v>100.805554681</v>
      </c>
      <c r="AC823">
        <v>86.400451181999998</v>
      </c>
      <c r="AD823"/>
      <c r="AE823">
        <v>62.831336688</v>
      </c>
      <c r="AF823"/>
      <c r="AG823">
        <v>57.547883356</v>
      </c>
      <c r="AH823">
        <v>70.710076067000003</v>
      </c>
      <c r="AI823">
        <v>71.830531308999994</v>
      </c>
      <c r="AJ823"/>
      <c r="AK823">
        <v>60.255114839000001</v>
      </c>
      <c r="AL823">
        <v>39.070292854999998</v>
      </c>
      <c r="AM823">
        <v>92.889254880999999</v>
      </c>
      <c r="AN823"/>
      <c r="AO823"/>
      <c r="AP823"/>
      <c r="AQ823">
        <v>65.712437374999993</v>
      </c>
      <c r="AR823">
        <v>27.497708524</v>
      </c>
      <c r="AS823">
        <v>57.560850461999998</v>
      </c>
      <c r="AT823"/>
    </row>
    <row r="824" spans="1:46" x14ac:dyDescent="0.2">
      <c r="A824" s="87">
        <v>31959</v>
      </c>
      <c r="B824"/>
      <c r="C824"/>
      <c r="D824">
        <v>41.774533034999997</v>
      </c>
      <c r="E824">
        <v>56.374053349</v>
      </c>
      <c r="F824">
        <v>70.932274512000006</v>
      </c>
      <c r="G824">
        <v>66.600700560999996</v>
      </c>
      <c r="H824"/>
      <c r="I824"/>
      <c r="J824"/>
      <c r="K824"/>
      <c r="L824">
        <v>62.458153564</v>
      </c>
      <c r="M824">
        <v>82.187735923999995</v>
      </c>
      <c r="N824">
        <v>71.242580927000006</v>
      </c>
      <c r="O824">
        <v>96.322486617999999</v>
      </c>
      <c r="P824"/>
      <c r="Q824"/>
      <c r="R824">
        <v>63.814531103</v>
      </c>
      <c r="S824">
        <v>82.737583131999997</v>
      </c>
      <c r="T824">
        <v>68.833651297000003</v>
      </c>
      <c r="U824">
        <v>76.895500986000002</v>
      </c>
      <c r="V824">
        <v>117.98348215199999</v>
      </c>
      <c r="W824">
        <v>47.126802669999996</v>
      </c>
      <c r="X824"/>
      <c r="Y824">
        <v>11.119581496</v>
      </c>
      <c r="Z824"/>
      <c r="AA824"/>
      <c r="AB824">
        <v>99.979279642999998</v>
      </c>
      <c r="AC824">
        <v>87.157611903000003</v>
      </c>
      <c r="AD824"/>
      <c r="AE824">
        <v>64.597411980999993</v>
      </c>
      <c r="AF824"/>
      <c r="AG824">
        <v>57.837068700000003</v>
      </c>
      <c r="AH824">
        <v>70.710076067000003</v>
      </c>
      <c r="AI824">
        <v>75.219795343000001</v>
      </c>
      <c r="AJ824"/>
      <c r="AK824">
        <v>60.435360629000002</v>
      </c>
      <c r="AL824">
        <v>39.143383749000002</v>
      </c>
      <c r="AM824">
        <v>95.419598711000006</v>
      </c>
      <c r="AN824"/>
      <c r="AO824"/>
      <c r="AP824"/>
      <c r="AQ824">
        <v>65.424224929999994</v>
      </c>
      <c r="AR824">
        <v>25.297891841999999</v>
      </c>
      <c r="AS824">
        <v>57.961885031000001</v>
      </c>
      <c r="AT824"/>
    </row>
    <row r="825" spans="1:46" x14ac:dyDescent="0.2">
      <c r="A825" s="87">
        <v>31990</v>
      </c>
      <c r="B825"/>
      <c r="C825"/>
      <c r="D825">
        <v>42.441859182000002</v>
      </c>
      <c r="E825">
        <v>56.394106618000002</v>
      </c>
      <c r="F825">
        <v>71.974475376000001</v>
      </c>
      <c r="G825">
        <v>67.353025187</v>
      </c>
      <c r="H825"/>
      <c r="I825"/>
      <c r="J825"/>
      <c r="K825"/>
      <c r="L825">
        <v>63.815939511000003</v>
      </c>
      <c r="M825">
        <v>82.623167637999998</v>
      </c>
      <c r="N825">
        <v>71.280688753999996</v>
      </c>
      <c r="O825">
        <v>90.458361379999999</v>
      </c>
      <c r="P825"/>
      <c r="Q825"/>
      <c r="R825">
        <v>64.050662578000001</v>
      </c>
      <c r="S825">
        <v>82.737583131999997</v>
      </c>
      <c r="T825">
        <v>69.245329085999998</v>
      </c>
      <c r="U825">
        <v>76.680408674999995</v>
      </c>
      <c r="V825">
        <v>117.410018128</v>
      </c>
      <c r="W825">
        <v>44.710043558999999</v>
      </c>
      <c r="X825"/>
      <c r="Y825">
        <v>11.546393715000001</v>
      </c>
      <c r="Z825"/>
      <c r="AA825"/>
      <c r="AB825">
        <v>99.743201060999994</v>
      </c>
      <c r="AC825">
        <v>87.157611903000003</v>
      </c>
      <c r="AD825"/>
      <c r="AE825">
        <v>57.737132187</v>
      </c>
      <c r="AF825"/>
      <c r="AG825">
        <v>58.126254043000003</v>
      </c>
      <c r="AH825">
        <v>70.710076067000003</v>
      </c>
      <c r="AI825">
        <v>67.894611784999995</v>
      </c>
      <c r="AJ825"/>
      <c r="AK825">
        <v>60.746603440000001</v>
      </c>
      <c r="AL825">
        <v>39.099360181000002</v>
      </c>
      <c r="AM825">
        <v>90.298249514000005</v>
      </c>
      <c r="AN825"/>
      <c r="AO825"/>
      <c r="AP825"/>
      <c r="AQ825">
        <v>67.960494443000002</v>
      </c>
      <c r="AR825">
        <v>27.997666860999999</v>
      </c>
      <c r="AS825">
        <v>58.388492243999998</v>
      </c>
      <c r="AT825"/>
    </row>
    <row r="826" spans="1:46" x14ac:dyDescent="0.2">
      <c r="A826" s="87">
        <v>32021</v>
      </c>
      <c r="B826"/>
      <c r="C826"/>
      <c r="D826">
        <v>41.603416092000003</v>
      </c>
      <c r="E826">
        <v>56.856285988000003</v>
      </c>
      <c r="F826">
        <v>73.924222838000006</v>
      </c>
      <c r="G826">
        <v>67.723313634999997</v>
      </c>
      <c r="H826"/>
      <c r="I826"/>
      <c r="J826"/>
      <c r="K826"/>
      <c r="L826">
        <v>63.013611451000003</v>
      </c>
      <c r="M826">
        <v>80.337151141999996</v>
      </c>
      <c r="N826">
        <v>71.347377449000007</v>
      </c>
      <c r="O826">
        <v>93.891213704999998</v>
      </c>
      <c r="P826"/>
      <c r="Q826"/>
      <c r="R826">
        <v>63.283235285000004</v>
      </c>
      <c r="S826">
        <v>83.930031669000002</v>
      </c>
      <c r="T826">
        <v>69.528099182999995</v>
      </c>
      <c r="U826">
        <v>76.142677899000006</v>
      </c>
      <c r="V826">
        <v>121.444177608</v>
      </c>
      <c r="W826">
        <v>47.261067064999999</v>
      </c>
      <c r="X826"/>
      <c r="Y826">
        <v>11.186972899000001</v>
      </c>
      <c r="Z826"/>
      <c r="AA826"/>
      <c r="AB826">
        <v>100.451436808</v>
      </c>
      <c r="AC826">
        <v>88.503675407000003</v>
      </c>
      <c r="AD826"/>
      <c r="AE826">
        <v>63.468931171999998</v>
      </c>
      <c r="AF826"/>
      <c r="AG826">
        <v>59.138402745999997</v>
      </c>
      <c r="AH826">
        <v>69.295874545000004</v>
      </c>
      <c r="AI826">
        <v>75.985113028000001</v>
      </c>
      <c r="AJ826"/>
      <c r="AK826">
        <v>61.036461320000001</v>
      </c>
      <c r="AL826">
        <v>38.180385344000001</v>
      </c>
      <c r="AM826">
        <v>92.949914675000002</v>
      </c>
      <c r="AN826"/>
      <c r="AO826"/>
      <c r="AP826"/>
      <c r="AQ826">
        <v>67.326427065000004</v>
      </c>
      <c r="AR826">
        <v>26.997750187000001</v>
      </c>
      <c r="AS826">
        <v>58.602687918999997</v>
      </c>
      <c r="AT826"/>
    </row>
    <row r="827" spans="1:46" x14ac:dyDescent="0.2">
      <c r="A827" s="87">
        <v>32051</v>
      </c>
      <c r="B827"/>
      <c r="C827"/>
      <c r="D827">
        <v>42.498754642999998</v>
      </c>
      <c r="E827">
        <v>57.641723917999997</v>
      </c>
      <c r="F827">
        <v>74.427107303</v>
      </c>
      <c r="G827">
        <v>68.414550066000004</v>
      </c>
      <c r="H827"/>
      <c r="I827"/>
      <c r="J827"/>
      <c r="K827"/>
      <c r="L827">
        <v>64.001092139999997</v>
      </c>
      <c r="M827">
        <v>68.036205234999997</v>
      </c>
      <c r="N827">
        <v>71.871360057999993</v>
      </c>
      <c r="O827">
        <v>93.447443829999997</v>
      </c>
      <c r="P827"/>
      <c r="Q827"/>
      <c r="R827">
        <v>62.870005204000002</v>
      </c>
      <c r="S827">
        <v>84.480392533</v>
      </c>
      <c r="T827">
        <v>70.552764354000004</v>
      </c>
      <c r="U827">
        <v>77.003047140999996</v>
      </c>
      <c r="V827">
        <v>120.143902653</v>
      </c>
      <c r="W827">
        <v>47.753369847000002</v>
      </c>
      <c r="X827"/>
      <c r="Y827">
        <v>11.186972899000001</v>
      </c>
      <c r="Z827"/>
      <c r="AA827"/>
      <c r="AB827">
        <v>103.04830121400001</v>
      </c>
      <c r="AC827">
        <v>89.933867879999994</v>
      </c>
      <c r="AD827"/>
      <c r="AE827">
        <v>65.551213688999994</v>
      </c>
      <c r="AF827"/>
      <c r="AG827">
        <v>58.921513738000002</v>
      </c>
      <c r="AH827">
        <v>71.417176827000006</v>
      </c>
      <c r="AI827">
        <v>76.313106321999996</v>
      </c>
      <c r="AJ827"/>
      <c r="AK827">
        <v>61.798425858999998</v>
      </c>
      <c r="AL827">
        <v>38.400410672</v>
      </c>
      <c r="AM827">
        <v>92.110947972999995</v>
      </c>
      <c r="AN827"/>
      <c r="AO827"/>
      <c r="AP827"/>
      <c r="AQ827">
        <v>67.499354531999998</v>
      </c>
      <c r="AR827">
        <v>27.997666860999999</v>
      </c>
      <c r="AS827">
        <v>59.412587440000003</v>
      </c>
      <c r="AT827"/>
    </row>
    <row r="828" spans="1:46" x14ac:dyDescent="0.2">
      <c r="A828" s="87">
        <v>32082</v>
      </c>
      <c r="B828"/>
      <c r="C828"/>
      <c r="D828">
        <v>42.827710797000002</v>
      </c>
      <c r="E828">
        <v>56.924810788999999</v>
      </c>
      <c r="F828">
        <v>76.804982093999996</v>
      </c>
      <c r="G828">
        <v>68.973272102999999</v>
      </c>
      <c r="H828"/>
      <c r="I828"/>
      <c r="J828"/>
      <c r="K828"/>
      <c r="L828">
        <v>64.371397397999999</v>
      </c>
      <c r="M828">
        <v>69.669074160999998</v>
      </c>
      <c r="N828">
        <v>72.157168753999997</v>
      </c>
      <c r="O828">
        <v>93.979855673000003</v>
      </c>
      <c r="P828"/>
      <c r="Q828"/>
      <c r="R828">
        <v>62.456775122000003</v>
      </c>
      <c r="S828">
        <v>84.480392533</v>
      </c>
      <c r="T828">
        <v>70.800081984000002</v>
      </c>
      <c r="U828">
        <v>77.003047140999996</v>
      </c>
      <c r="V828">
        <v>121.050404417</v>
      </c>
      <c r="W828">
        <v>47.305821864000002</v>
      </c>
      <c r="X828"/>
      <c r="Y828">
        <v>11.389147108</v>
      </c>
      <c r="Z828"/>
      <c r="AA828"/>
      <c r="AB828">
        <v>102.57614404900001</v>
      </c>
      <c r="AC828">
        <v>90.270383757000005</v>
      </c>
      <c r="AD828"/>
      <c r="AE828">
        <v>60.105976126000002</v>
      </c>
      <c r="AF828"/>
      <c r="AG828">
        <v>59.066106410000003</v>
      </c>
      <c r="AH828">
        <v>72.831378349000005</v>
      </c>
      <c r="AI828">
        <v>75.657119734000005</v>
      </c>
      <c r="AJ828"/>
      <c r="AK828">
        <v>62.081654202999999</v>
      </c>
      <c r="AL828">
        <v>38.783353067999997</v>
      </c>
      <c r="AM828">
        <v>92.763793221</v>
      </c>
      <c r="AN828"/>
      <c r="AO828"/>
      <c r="AP828"/>
      <c r="AQ828">
        <v>68.363991866000006</v>
      </c>
      <c r="AR828">
        <v>29.197566868999999</v>
      </c>
      <c r="AS828">
        <v>59.701518673000002</v>
      </c>
      <c r="AT828"/>
    </row>
    <row r="829" spans="1:46" x14ac:dyDescent="0.2">
      <c r="A829" s="87">
        <v>32112</v>
      </c>
      <c r="B829"/>
      <c r="C829"/>
      <c r="D829">
        <v>42.637149489999999</v>
      </c>
      <c r="E829">
        <v>57.216764779999998</v>
      </c>
      <c r="F829">
        <v>74.451047528000004</v>
      </c>
      <c r="G829">
        <v>69.662158986999998</v>
      </c>
      <c r="H829"/>
      <c r="I829"/>
      <c r="J829"/>
      <c r="K829"/>
      <c r="L829">
        <v>64.433114940999999</v>
      </c>
      <c r="M829">
        <v>72.281664441999993</v>
      </c>
      <c r="N829">
        <v>71.976156579999994</v>
      </c>
      <c r="O829">
        <v>93.201749118999999</v>
      </c>
      <c r="P829"/>
      <c r="Q829"/>
      <c r="R829">
        <v>63.755498234999997</v>
      </c>
      <c r="S829">
        <v>85.672841070000004</v>
      </c>
      <c r="T829">
        <v>71.175469715999995</v>
      </c>
      <c r="U829">
        <v>77.540777917</v>
      </c>
      <c r="V829">
        <v>124.019642866</v>
      </c>
      <c r="W829">
        <v>47.350576662000002</v>
      </c>
      <c r="X829"/>
      <c r="Y829">
        <v>10.737696879</v>
      </c>
      <c r="Z829"/>
      <c r="AA829"/>
      <c r="AB829">
        <v>101.041633264</v>
      </c>
      <c r="AC829">
        <v>91.279931384999998</v>
      </c>
      <c r="AD829"/>
      <c r="AE829">
        <v>66.524057478000003</v>
      </c>
      <c r="AF829"/>
      <c r="AG829">
        <v>59.066106410000003</v>
      </c>
      <c r="AH829">
        <v>70.710076067000003</v>
      </c>
      <c r="AI829">
        <v>75.875781930000002</v>
      </c>
      <c r="AJ829"/>
      <c r="AK829">
        <v>62.330309274999998</v>
      </c>
      <c r="AL829">
        <v>39.547007975</v>
      </c>
      <c r="AM829">
        <v>96.004633506999994</v>
      </c>
      <c r="AN829"/>
      <c r="AO829"/>
      <c r="AP829"/>
      <c r="AQ829">
        <v>68.594561820999999</v>
      </c>
      <c r="AR829">
        <v>28.897591866999999</v>
      </c>
      <c r="AS829">
        <v>60.029205347000001</v>
      </c>
      <c r="AT829"/>
    </row>
    <row r="830" spans="1:46" x14ac:dyDescent="0.2">
      <c r="A830" s="87">
        <v>32143</v>
      </c>
      <c r="B830"/>
      <c r="C830"/>
      <c r="D830">
        <v>43.262992304999997</v>
      </c>
      <c r="E830">
        <v>58.939271161999997</v>
      </c>
      <c r="F830">
        <v>74.611764676999996</v>
      </c>
      <c r="G830">
        <v>70.222760660000006</v>
      </c>
      <c r="H830"/>
      <c r="I830"/>
      <c r="J830"/>
      <c r="K830"/>
      <c r="L830">
        <v>64.124527225999998</v>
      </c>
      <c r="M830">
        <v>83.058599350999998</v>
      </c>
      <c r="N830">
        <v>71.833252232000007</v>
      </c>
      <c r="O830">
        <v>91.624311989000006</v>
      </c>
      <c r="P830"/>
      <c r="Q830"/>
      <c r="R830">
        <v>64.936155608999997</v>
      </c>
      <c r="S830">
        <v>85.581114260000007</v>
      </c>
      <c r="T830">
        <v>71.511840535000005</v>
      </c>
      <c r="U830">
        <v>78.293601003999996</v>
      </c>
      <c r="V830">
        <v>126.13198818399999</v>
      </c>
      <c r="W830">
        <v>44.083476382000001</v>
      </c>
      <c r="X830"/>
      <c r="Y830">
        <v>11.726104123000001</v>
      </c>
      <c r="Z830"/>
      <c r="AA830"/>
      <c r="AB830">
        <v>105.999283494</v>
      </c>
      <c r="AC830">
        <v>91.573412719999993</v>
      </c>
      <c r="AD830"/>
      <c r="AE830">
        <v>66.086942089000004</v>
      </c>
      <c r="AF830"/>
      <c r="AG830">
        <v>58.415439386999999</v>
      </c>
      <c r="AH830">
        <v>68.588773785000001</v>
      </c>
      <c r="AI830">
        <v>76.094444125999999</v>
      </c>
      <c r="AJ830"/>
      <c r="AK830">
        <v>62.579377352999998</v>
      </c>
      <c r="AL830">
        <v>39.833471871</v>
      </c>
      <c r="AM830">
        <v>96.317648504000005</v>
      </c>
      <c r="AN830"/>
      <c r="AO830"/>
      <c r="AP830"/>
      <c r="AQ830">
        <v>65.770079863999996</v>
      </c>
      <c r="AR830">
        <v>29.597533539000001</v>
      </c>
      <c r="AS830">
        <v>60.030295654</v>
      </c>
      <c r="AT830"/>
    </row>
    <row r="831" spans="1:46" x14ac:dyDescent="0.2">
      <c r="A831" s="87">
        <v>32174</v>
      </c>
      <c r="B831"/>
      <c r="C831"/>
      <c r="D831">
        <v>42.572428066000001</v>
      </c>
      <c r="E831">
        <v>58.111198680000001</v>
      </c>
      <c r="F831">
        <v>74.716353835999996</v>
      </c>
      <c r="G831">
        <v>70.432810071999995</v>
      </c>
      <c r="H831"/>
      <c r="I831"/>
      <c r="J831"/>
      <c r="K831"/>
      <c r="L831">
        <v>64.61826757</v>
      </c>
      <c r="M831">
        <v>80.663724927000004</v>
      </c>
      <c r="N831">
        <v>72.547773972000002</v>
      </c>
      <c r="O831">
        <v>93.830240605</v>
      </c>
      <c r="P831"/>
      <c r="Q831"/>
      <c r="R831">
        <v>64.877122740999994</v>
      </c>
      <c r="S831">
        <v>86.865289606999994</v>
      </c>
      <c r="T831">
        <v>72.159278469</v>
      </c>
      <c r="U831">
        <v>77.433231762000005</v>
      </c>
      <c r="V831">
        <v>125.217253622</v>
      </c>
      <c r="W831">
        <v>47.082047871999997</v>
      </c>
      <c r="X831"/>
      <c r="Y831">
        <v>11.434074710000001</v>
      </c>
      <c r="Z831"/>
      <c r="AA831"/>
      <c r="AB831">
        <v>104.582812</v>
      </c>
      <c r="AC831">
        <v>94.514308588000006</v>
      </c>
      <c r="AD831"/>
      <c r="AE831">
        <v>65.822794188000003</v>
      </c>
      <c r="AF831"/>
      <c r="AG831">
        <v>58.053957707000002</v>
      </c>
      <c r="AH831">
        <v>69.295874545000004</v>
      </c>
      <c r="AI831">
        <v>76.641099615000002</v>
      </c>
      <c r="AJ831"/>
      <c r="AK831">
        <v>63.024972368</v>
      </c>
      <c r="AL831">
        <v>40.950600494</v>
      </c>
      <c r="AM831">
        <v>96.063307656999996</v>
      </c>
      <c r="AN831"/>
      <c r="AO831"/>
      <c r="AP831"/>
      <c r="AQ831">
        <v>64.617230085000003</v>
      </c>
      <c r="AR831">
        <v>29.397550204000002</v>
      </c>
      <c r="AS831">
        <v>60.326859032999998</v>
      </c>
      <c r="AT831"/>
    </row>
    <row r="832" spans="1:46" x14ac:dyDescent="0.2">
      <c r="A832" s="87">
        <v>32203</v>
      </c>
      <c r="B832"/>
      <c r="C832"/>
      <c r="D832">
        <v>42.382344760999999</v>
      </c>
      <c r="E832">
        <v>58.041141732</v>
      </c>
      <c r="F832">
        <v>78.618533810000002</v>
      </c>
      <c r="G832">
        <v>71.022546116000001</v>
      </c>
      <c r="H832"/>
      <c r="I832"/>
      <c r="J832"/>
      <c r="K832"/>
      <c r="L832">
        <v>64.309679854999999</v>
      </c>
      <c r="M832">
        <v>81.643446281999999</v>
      </c>
      <c r="N832">
        <v>73.481415712</v>
      </c>
      <c r="O832">
        <v>97.671481756000006</v>
      </c>
      <c r="P832"/>
      <c r="Q832"/>
      <c r="R832">
        <v>63.519366759999997</v>
      </c>
      <c r="S832">
        <v>86.957016417999995</v>
      </c>
      <c r="T832">
        <v>72.054939757</v>
      </c>
      <c r="U832">
        <v>78.616239469000007</v>
      </c>
      <c r="V832">
        <v>127.172851795</v>
      </c>
      <c r="W832">
        <v>46.813519081999999</v>
      </c>
      <c r="X832"/>
      <c r="Y832">
        <v>11.479002312</v>
      </c>
      <c r="Z832"/>
      <c r="AA832"/>
      <c r="AB832">
        <v>105.999283494</v>
      </c>
      <c r="AC832">
        <v>92.688924946</v>
      </c>
      <c r="AD832"/>
      <c r="AE832">
        <v>65.837258020999997</v>
      </c>
      <c r="AF832"/>
      <c r="AG832">
        <v>57.909365035999997</v>
      </c>
      <c r="AH832">
        <v>70.002975305999996</v>
      </c>
      <c r="AI832">
        <v>76.094444125999999</v>
      </c>
      <c r="AJ832"/>
      <c r="AK832">
        <v>62.964859109999999</v>
      </c>
      <c r="AL832">
        <v>40.977715085</v>
      </c>
      <c r="AM832">
        <v>91.548688941999998</v>
      </c>
      <c r="AN832"/>
      <c r="AO832"/>
      <c r="AP832"/>
      <c r="AQ832">
        <v>66.231219775</v>
      </c>
      <c r="AR832">
        <v>27.997666860999999</v>
      </c>
      <c r="AS832">
        <v>60.463048231000002</v>
      </c>
      <c r="AT832"/>
    </row>
    <row r="833" spans="1:46" x14ac:dyDescent="0.2">
      <c r="A833" s="87">
        <v>32234</v>
      </c>
      <c r="B833"/>
      <c r="C833"/>
      <c r="D833">
        <v>43.655672262000003</v>
      </c>
      <c r="E833">
        <v>59.632709873000003</v>
      </c>
      <c r="F833">
        <v>75.319715892999994</v>
      </c>
      <c r="G833">
        <v>70.894730813999999</v>
      </c>
      <c r="H833"/>
      <c r="I833"/>
      <c r="J833"/>
      <c r="K833"/>
      <c r="L833">
        <v>64.741702656000001</v>
      </c>
      <c r="M833">
        <v>78.921998072999997</v>
      </c>
      <c r="N833">
        <v>72.376288754000001</v>
      </c>
      <c r="O833">
        <v>93.536185982999996</v>
      </c>
      <c r="P833"/>
      <c r="Q833"/>
      <c r="R833">
        <v>65.526484296999996</v>
      </c>
      <c r="S833">
        <v>85.672841070000004</v>
      </c>
      <c r="T833">
        <v>72.511638880000007</v>
      </c>
      <c r="U833">
        <v>77.970962537999995</v>
      </c>
      <c r="V833">
        <v>123.34378171900001</v>
      </c>
      <c r="W833">
        <v>45.649894324000002</v>
      </c>
      <c r="X833"/>
      <c r="Y833">
        <v>11.613785117999999</v>
      </c>
      <c r="Z833"/>
      <c r="AA833"/>
      <c r="AB833">
        <v>105.29104774699999</v>
      </c>
      <c r="AC833">
        <v>94.919949398</v>
      </c>
      <c r="AD833"/>
      <c r="AE833">
        <v>65.564331336999999</v>
      </c>
      <c r="AF833"/>
      <c r="AG833">
        <v>57.909365035999997</v>
      </c>
      <c r="AH833">
        <v>68.588773785000001</v>
      </c>
      <c r="AI833">
        <v>77.734410593999996</v>
      </c>
      <c r="AJ833"/>
      <c r="AK833">
        <v>63.270338703</v>
      </c>
      <c r="AL833">
        <v>40.085938194999997</v>
      </c>
      <c r="AM833">
        <v>95.095904234000002</v>
      </c>
      <c r="AN833"/>
      <c r="AO833"/>
      <c r="AP833"/>
      <c r="AQ833">
        <v>67.902851953999999</v>
      </c>
      <c r="AR833">
        <v>28.497625198000001</v>
      </c>
      <c r="AS833">
        <v>60.812937511000001</v>
      </c>
      <c r="AT833"/>
    </row>
    <row r="834" spans="1:46" x14ac:dyDescent="0.2">
      <c r="A834" s="87">
        <v>32264</v>
      </c>
      <c r="B834"/>
      <c r="C834"/>
      <c r="D834">
        <v>43.973324925999997</v>
      </c>
      <c r="E834">
        <v>59.587396173000002</v>
      </c>
      <c r="F834">
        <v>73.927697085999995</v>
      </c>
      <c r="G834">
        <v>71.408341566999994</v>
      </c>
      <c r="H834"/>
      <c r="I834"/>
      <c r="J834"/>
      <c r="K834"/>
      <c r="L834">
        <v>64.741702656000001</v>
      </c>
      <c r="M834">
        <v>79.901719428000007</v>
      </c>
      <c r="N834">
        <v>73.500469624999994</v>
      </c>
      <c r="O834">
        <v>95.120487733999994</v>
      </c>
      <c r="P834"/>
      <c r="Q834"/>
      <c r="R834">
        <v>64.818089872000002</v>
      </c>
      <c r="S834">
        <v>86.773562796999997</v>
      </c>
      <c r="T834">
        <v>72.448155782000001</v>
      </c>
      <c r="U834">
        <v>78.831331779999999</v>
      </c>
      <c r="V834">
        <v>124.876667439</v>
      </c>
      <c r="W834">
        <v>46.007932711000002</v>
      </c>
      <c r="X834"/>
      <c r="Y834">
        <v>11.636248919</v>
      </c>
      <c r="Z834"/>
      <c r="AA834"/>
      <c r="AB834">
        <v>105.76320491200001</v>
      </c>
      <c r="AC834">
        <v>93.905847374000004</v>
      </c>
      <c r="AD834"/>
      <c r="AE834">
        <v>67.911730629000004</v>
      </c>
      <c r="AF834"/>
      <c r="AG834">
        <v>57.764772364000002</v>
      </c>
      <c r="AH834">
        <v>70.710076067000003</v>
      </c>
      <c r="AI834">
        <v>75.001133147000004</v>
      </c>
      <c r="AJ834"/>
      <c r="AK834">
        <v>63.275499285000002</v>
      </c>
      <c r="AL834">
        <v>42.108395113999997</v>
      </c>
      <c r="AM834">
        <v>97.595975909000003</v>
      </c>
      <c r="AN834"/>
      <c r="AO834"/>
      <c r="AP834"/>
      <c r="AQ834">
        <v>68.248706888000001</v>
      </c>
      <c r="AR834">
        <v>28.197650196000001</v>
      </c>
      <c r="AS834">
        <v>60.705690994999998</v>
      </c>
      <c r="AT834"/>
    </row>
    <row r="835" spans="1:46" x14ac:dyDescent="0.2">
      <c r="A835" s="87">
        <v>32295</v>
      </c>
      <c r="B835"/>
      <c r="C835"/>
      <c r="D835">
        <v>43.325013427999998</v>
      </c>
      <c r="E835">
        <v>59.333596055000001</v>
      </c>
      <c r="F835">
        <v>76.088380361000006</v>
      </c>
      <c r="G835">
        <v>71.021136388000002</v>
      </c>
      <c r="H835"/>
      <c r="I835"/>
      <c r="J835"/>
      <c r="K835"/>
      <c r="L835">
        <v>65.914335973999997</v>
      </c>
      <c r="M835">
        <v>80.554866997999994</v>
      </c>
      <c r="N835">
        <v>73.548104408</v>
      </c>
      <c r="O835">
        <v>94.560301827999993</v>
      </c>
      <c r="P835"/>
      <c r="Q835"/>
      <c r="R835">
        <v>65.762615772000004</v>
      </c>
      <c r="S835">
        <v>87.323923660000005</v>
      </c>
      <c r="T835">
        <v>72.842095415000003</v>
      </c>
      <c r="U835">
        <v>79.153970246</v>
      </c>
      <c r="V835">
        <v>127.009382762</v>
      </c>
      <c r="W835">
        <v>46.634499888000001</v>
      </c>
      <c r="X835"/>
      <c r="Y835">
        <v>12.10798874</v>
      </c>
      <c r="Z835"/>
      <c r="AA835"/>
      <c r="AB835">
        <v>106.825558532</v>
      </c>
      <c r="AC835">
        <v>94.210077980999998</v>
      </c>
      <c r="AD835"/>
      <c r="AE835">
        <v>68.395381670000006</v>
      </c>
      <c r="AF835"/>
      <c r="AG835">
        <v>58.632328393999998</v>
      </c>
      <c r="AH835">
        <v>72.124277587999998</v>
      </c>
      <c r="AI835">
        <v>73.579828875000004</v>
      </c>
      <c r="AJ835"/>
      <c r="AK835">
        <v>63.540893353000001</v>
      </c>
      <c r="AL835">
        <v>41.510538635000003</v>
      </c>
      <c r="AM835">
        <v>94.836375148000002</v>
      </c>
      <c r="AN835"/>
      <c r="AO835"/>
      <c r="AP835"/>
      <c r="AQ835">
        <v>67.960494443000002</v>
      </c>
      <c r="AR835">
        <v>26.89775852</v>
      </c>
      <c r="AS835">
        <v>60.869534332999997</v>
      </c>
      <c r="AT835"/>
    </row>
    <row r="836" spans="1:46" x14ac:dyDescent="0.2">
      <c r="A836" s="87">
        <v>32325</v>
      </c>
      <c r="B836"/>
      <c r="C836"/>
      <c r="D836">
        <v>45.102102346999999</v>
      </c>
      <c r="E836">
        <v>60.513337149000002</v>
      </c>
      <c r="F836">
        <v>73.576263424000004</v>
      </c>
      <c r="G836">
        <v>70.607616293999996</v>
      </c>
      <c r="H836"/>
      <c r="I836"/>
      <c r="J836"/>
      <c r="K836"/>
      <c r="L836">
        <v>64.371397397999999</v>
      </c>
      <c r="M836">
        <v>75.111970580000005</v>
      </c>
      <c r="N836">
        <v>72.966960059000002</v>
      </c>
      <c r="O836">
        <v>96.030637049999996</v>
      </c>
      <c r="P836"/>
      <c r="Q836"/>
      <c r="R836">
        <v>64.700024134000003</v>
      </c>
      <c r="S836">
        <v>86.681835985999996</v>
      </c>
      <c r="T836">
        <v>72.652863914999998</v>
      </c>
      <c r="U836">
        <v>79.691701022000004</v>
      </c>
      <c r="V836">
        <v>125.225191602</v>
      </c>
      <c r="W836">
        <v>45.381365533999997</v>
      </c>
      <c r="X836"/>
      <c r="Y836">
        <v>11.973205933999999</v>
      </c>
      <c r="Z836"/>
      <c r="AA836"/>
      <c r="AB836">
        <v>106.58947995</v>
      </c>
      <c r="AC836">
        <v>94.615718791000006</v>
      </c>
      <c r="AD836"/>
      <c r="AE836">
        <v>65.420785961999997</v>
      </c>
      <c r="AF836"/>
      <c r="AG836">
        <v>56.897216333000003</v>
      </c>
      <c r="AH836">
        <v>73.538479108999994</v>
      </c>
      <c r="AI836">
        <v>74.017153265999994</v>
      </c>
      <c r="AJ836"/>
      <c r="AK836">
        <v>63.444198425000003</v>
      </c>
      <c r="AL836">
        <v>40.281825677</v>
      </c>
      <c r="AM836">
        <v>96.350410588000003</v>
      </c>
      <c r="AN836"/>
      <c r="AO836"/>
      <c r="AP836"/>
      <c r="AQ836">
        <v>66.922929642</v>
      </c>
      <c r="AR836">
        <v>28.697608533</v>
      </c>
      <c r="AS836">
        <v>60.875679697000002</v>
      </c>
      <c r="AT836"/>
    </row>
    <row r="837" spans="1:46" x14ac:dyDescent="0.2">
      <c r="A837" s="87">
        <v>32356</v>
      </c>
      <c r="B837"/>
      <c r="C837"/>
      <c r="D837">
        <v>43.939989308999998</v>
      </c>
      <c r="E837">
        <v>60.628519853999997</v>
      </c>
      <c r="F837">
        <v>74.146132887999997</v>
      </c>
      <c r="G837">
        <v>70.642389574000006</v>
      </c>
      <c r="H837"/>
      <c r="I837"/>
      <c r="J837"/>
      <c r="K837"/>
      <c r="L837">
        <v>67.025251749000006</v>
      </c>
      <c r="M837">
        <v>77.397987076000007</v>
      </c>
      <c r="N837">
        <v>75.424914844</v>
      </c>
      <c r="O837">
        <v>95.450549554999995</v>
      </c>
      <c r="P837"/>
      <c r="Q837"/>
      <c r="R837">
        <v>64.640991266</v>
      </c>
      <c r="S837">
        <v>86.681835985999996</v>
      </c>
      <c r="T837">
        <v>73.275830307999996</v>
      </c>
      <c r="U837">
        <v>80.552070263000005</v>
      </c>
      <c r="V837">
        <v>128.75893115400001</v>
      </c>
      <c r="W837">
        <v>46.813519081999999</v>
      </c>
      <c r="X837"/>
      <c r="Y837">
        <v>11.928278332</v>
      </c>
      <c r="Z837"/>
      <c r="AA837"/>
      <c r="AB837">
        <v>105.17300845600001</v>
      </c>
      <c r="AC837">
        <v>95.122769801999993</v>
      </c>
      <c r="AD837"/>
      <c r="AE837">
        <v>73.648115051000005</v>
      </c>
      <c r="AF837"/>
      <c r="AG837">
        <v>59.210699081000001</v>
      </c>
      <c r="AH837">
        <v>72.124277587999998</v>
      </c>
      <c r="AI837">
        <v>74.673139852999995</v>
      </c>
      <c r="AJ837"/>
      <c r="AK837">
        <v>63.921813204000003</v>
      </c>
      <c r="AL837">
        <v>40.859473991999998</v>
      </c>
      <c r="AM837">
        <v>95.887596576999997</v>
      </c>
      <c r="AN837"/>
      <c r="AO837"/>
      <c r="AP837"/>
      <c r="AQ837">
        <v>65.308939953000007</v>
      </c>
      <c r="AR837">
        <v>27.497708524</v>
      </c>
      <c r="AS837">
        <v>61.192463306000001</v>
      </c>
      <c r="AT837"/>
    </row>
    <row r="838" spans="1:46" x14ac:dyDescent="0.2">
      <c r="A838" s="87">
        <v>32387</v>
      </c>
      <c r="B838"/>
      <c r="C838"/>
      <c r="D838">
        <v>44.575469116999997</v>
      </c>
      <c r="E838">
        <v>60.755326939</v>
      </c>
      <c r="F838">
        <v>72.961489810000003</v>
      </c>
      <c r="G838">
        <v>71.111358953999996</v>
      </c>
      <c r="H838"/>
      <c r="I838"/>
      <c r="J838"/>
      <c r="K838"/>
      <c r="L838">
        <v>66.222923690000002</v>
      </c>
      <c r="M838">
        <v>78.159992574</v>
      </c>
      <c r="N838">
        <v>74.681812234999995</v>
      </c>
      <c r="O838">
        <v>95.200657125999996</v>
      </c>
      <c r="P838"/>
      <c r="Q838"/>
      <c r="R838">
        <v>66.352944459</v>
      </c>
      <c r="S838">
        <v>88.424645386999998</v>
      </c>
      <c r="T838">
        <v>73.607912163999998</v>
      </c>
      <c r="U838">
        <v>81.197347195000006</v>
      </c>
      <c r="V838">
        <v>126.082836633</v>
      </c>
      <c r="W838">
        <v>46.142197105999998</v>
      </c>
      <c r="X838"/>
      <c r="Y838">
        <v>12.175380143</v>
      </c>
      <c r="Z838"/>
      <c r="AA838"/>
      <c r="AB838">
        <v>108.005951444</v>
      </c>
      <c r="AC838">
        <v>96.643922837000005</v>
      </c>
      <c r="AD838"/>
      <c r="AE838">
        <v>65.521176064000002</v>
      </c>
      <c r="AF838"/>
      <c r="AG838">
        <v>58.849217402000001</v>
      </c>
      <c r="AH838">
        <v>74.24557987</v>
      </c>
      <c r="AI838">
        <v>79.593039258000005</v>
      </c>
      <c r="AJ838"/>
      <c r="AK838">
        <v>64.151910610000002</v>
      </c>
      <c r="AL838">
        <v>40.016382206000003</v>
      </c>
      <c r="AM838">
        <v>94.339516204999995</v>
      </c>
      <c r="AN838"/>
      <c r="AO838"/>
      <c r="AP838"/>
      <c r="AQ838">
        <v>66.519432219999999</v>
      </c>
      <c r="AR838">
        <v>26.497791850999999</v>
      </c>
      <c r="AS838">
        <v>60.997199316</v>
      </c>
      <c r="AT838"/>
    </row>
    <row r="839" spans="1:46" x14ac:dyDescent="0.2">
      <c r="A839" s="87">
        <v>32417</v>
      </c>
      <c r="B839"/>
      <c r="C839"/>
      <c r="D839">
        <v>45.154268199000001</v>
      </c>
      <c r="E839">
        <v>60.294697999999997</v>
      </c>
      <c r="F839">
        <v>69.929969870999997</v>
      </c>
      <c r="G839">
        <v>70.476981537</v>
      </c>
      <c r="H839"/>
      <c r="I839"/>
      <c r="J839"/>
      <c r="K839"/>
      <c r="L839">
        <v>66.469793862000003</v>
      </c>
      <c r="M839">
        <v>87.195200628999999</v>
      </c>
      <c r="N839">
        <v>74.186410495000004</v>
      </c>
      <c r="O839">
        <v>95.899081183999996</v>
      </c>
      <c r="P839"/>
      <c r="Q839"/>
      <c r="R839">
        <v>66.884240277999993</v>
      </c>
      <c r="S839">
        <v>86.406655555</v>
      </c>
      <c r="T839">
        <v>73.337220617</v>
      </c>
      <c r="U839">
        <v>80.336977953000002</v>
      </c>
      <c r="V839">
        <v>124.749625229</v>
      </c>
      <c r="W839">
        <v>46.097442307999998</v>
      </c>
      <c r="X839"/>
      <c r="Y839">
        <v>12.826830372</v>
      </c>
      <c r="Z839"/>
      <c r="AA839"/>
      <c r="AB839">
        <v>107.415754988</v>
      </c>
      <c r="AC839">
        <v>95.325590207000005</v>
      </c>
      <c r="AD839"/>
      <c r="AE839">
        <v>68.532843385999996</v>
      </c>
      <c r="AF839"/>
      <c r="AG839">
        <v>59.861366103999998</v>
      </c>
      <c r="AH839">
        <v>74.24557987</v>
      </c>
      <c r="AI839">
        <v>78.171734986000004</v>
      </c>
      <c r="AJ839"/>
      <c r="AK839">
        <v>64.156593784999998</v>
      </c>
      <c r="AL839">
        <v>39.605133936999998</v>
      </c>
      <c r="AM839">
        <v>97.563818964000006</v>
      </c>
      <c r="AN839"/>
      <c r="AO839"/>
      <c r="AP839"/>
      <c r="AQ839">
        <v>68.825131776999996</v>
      </c>
      <c r="AR839">
        <v>27.797683526</v>
      </c>
      <c r="AS839">
        <v>61.255007253000002</v>
      </c>
      <c r="AT839"/>
    </row>
    <row r="840" spans="1:46" x14ac:dyDescent="0.2">
      <c r="A840" s="87">
        <v>32448</v>
      </c>
      <c r="B840"/>
      <c r="C840"/>
      <c r="D840">
        <v>45.236893756000001</v>
      </c>
      <c r="E840">
        <v>61.250681012000001</v>
      </c>
      <c r="F840">
        <v>69.736803077000005</v>
      </c>
      <c r="G840">
        <v>70.016000613000003</v>
      </c>
      <c r="H840"/>
      <c r="I840"/>
      <c r="J840"/>
      <c r="K840"/>
      <c r="L840">
        <v>66.778381577000005</v>
      </c>
      <c r="M840">
        <v>86.542053058999997</v>
      </c>
      <c r="N840">
        <v>74.881878322000006</v>
      </c>
      <c r="O840">
        <v>97.717233871000005</v>
      </c>
      <c r="P840"/>
      <c r="Q840"/>
      <c r="R840">
        <v>67.297470359000002</v>
      </c>
      <c r="S840">
        <v>88.699825818999997</v>
      </c>
      <c r="T840">
        <v>74.035488313000002</v>
      </c>
      <c r="U840">
        <v>81.089801039999998</v>
      </c>
      <c r="V840">
        <v>125.47458907799999</v>
      </c>
      <c r="W840">
        <v>46.276461501</v>
      </c>
      <c r="X840"/>
      <c r="Y840">
        <v>12.242771546</v>
      </c>
      <c r="Z840"/>
      <c r="AA840"/>
      <c r="AB840">
        <v>109.30438364699999</v>
      </c>
      <c r="AC840">
        <v>97.353794253999993</v>
      </c>
      <c r="AD840"/>
      <c r="AE840">
        <v>71.789634516999996</v>
      </c>
      <c r="AF840"/>
      <c r="AG840">
        <v>61.451885494000003</v>
      </c>
      <c r="AH840">
        <v>73.538479108999994</v>
      </c>
      <c r="AI840">
        <v>79.483708160000006</v>
      </c>
      <c r="AJ840"/>
      <c r="AK840">
        <v>64.722949212000003</v>
      </c>
      <c r="AL840">
        <v>40.422302215999999</v>
      </c>
      <c r="AM840">
        <v>97.095384654</v>
      </c>
      <c r="AN840"/>
      <c r="AO840"/>
      <c r="AP840"/>
      <c r="AQ840">
        <v>68.479276842999994</v>
      </c>
      <c r="AR840">
        <v>26.597783518</v>
      </c>
      <c r="AS840">
        <v>61.409236069000002</v>
      </c>
      <c r="AT840"/>
    </row>
    <row r="841" spans="1:46" x14ac:dyDescent="0.2">
      <c r="A841" s="87">
        <v>32478</v>
      </c>
      <c r="B841"/>
      <c r="C841"/>
      <c r="D841">
        <v>43.287191577000002</v>
      </c>
      <c r="E841">
        <v>60.494321755000001</v>
      </c>
      <c r="F841">
        <v>73.898451675000004</v>
      </c>
      <c r="G841">
        <v>70.974145468000003</v>
      </c>
      <c r="H841"/>
      <c r="I841"/>
      <c r="J841"/>
      <c r="K841"/>
      <c r="L841">
        <v>68.259602610000002</v>
      </c>
      <c r="M841">
        <v>88.828069554999999</v>
      </c>
      <c r="N841">
        <v>75.901262669999994</v>
      </c>
      <c r="O841">
        <v>97.291940967000002</v>
      </c>
      <c r="P841"/>
      <c r="Q841"/>
      <c r="R841">
        <v>66.825207409000001</v>
      </c>
      <c r="S841">
        <v>89.800547546000004</v>
      </c>
      <c r="T841">
        <v>74.686775843999996</v>
      </c>
      <c r="U841">
        <v>80.552070263000005</v>
      </c>
      <c r="V841">
        <v>125.170830364</v>
      </c>
      <c r="W841">
        <v>46.768764283000003</v>
      </c>
      <c r="X841"/>
      <c r="Y841">
        <v>12.647119964</v>
      </c>
      <c r="Z841"/>
      <c r="AA841"/>
      <c r="AB841">
        <v>111.54713018</v>
      </c>
      <c r="AC841">
        <v>98.063665670000006</v>
      </c>
      <c r="AD841"/>
      <c r="AE841">
        <v>74.309534663999997</v>
      </c>
      <c r="AF841"/>
      <c r="AG841">
        <v>61.451885494000003</v>
      </c>
      <c r="AH841">
        <v>71.417176827000006</v>
      </c>
      <c r="AI841">
        <v>79.811701454000001</v>
      </c>
      <c r="AJ841"/>
      <c r="AK841">
        <v>65.197250135000004</v>
      </c>
      <c r="AL841">
        <v>39.362471753000001</v>
      </c>
      <c r="AM841">
        <v>97.757451009999997</v>
      </c>
      <c r="AN841"/>
      <c r="AO841"/>
      <c r="AP841"/>
      <c r="AQ841">
        <v>68.248706888000001</v>
      </c>
      <c r="AR841">
        <v>27.997666860999999</v>
      </c>
      <c r="AS841">
        <v>61.687759831000001</v>
      </c>
      <c r="AT841"/>
    </row>
    <row r="842" spans="1:46" x14ac:dyDescent="0.2">
      <c r="A842" s="87">
        <v>32509</v>
      </c>
      <c r="B842"/>
      <c r="C842"/>
      <c r="D842">
        <v>45.418042020000001</v>
      </c>
      <c r="E842">
        <v>61.578294495000002</v>
      </c>
      <c r="F842">
        <v>73.183472268000003</v>
      </c>
      <c r="G842">
        <v>70.738251051000006</v>
      </c>
      <c r="H842"/>
      <c r="I842"/>
      <c r="J842"/>
      <c r="K842"/>
      <c r="L842">
        <v>67.272121920999993</v>
      </c>
      <c r="M842">
        <v>83.929462778000001</v>
      </c>
      <c r="N842">
        <v>76.063220931000004</v>
      </c>
      <c r="O842">
        <v>98.876037339999996</v>
      </c>
      <c r="P842"/>
      <c r="Q842"/>
      <c r="R842">
        <v>66.471010195999995</v>
      </c>
      <c r="S842">
        <v>89.341913493000007</v>
      </c>
      <c r="T842">
        <v>74.680934636999993</v>
      </c>
      <c r="U842">
        <v>81.089801039999998</v>
      </c>
      <c r="V842">
        <v>127.80732510199999</v>
      </c>
      <c r="W842">
        <v>45.157591543000002</v>
      </c>
      <c r="X842"/>
      <c r="Y842">
        <v>13.029004581000001</v>
      </c>
      <c r="Z842"/>
      <c r="AA842"/>
      <c r="AB842">
        <v>110.012619395</v>
      </c>
      <c r="AC842">
        <v>98.874947289000005</v>
      </c>
      <c r="AD842">
        <v>18.981353865999999</v>
      </c>
      <c r="AE842">
        <v>74.040924111999999</v>
      </c>
      <c r="AF842"/>
      <c r="AG842">
        <v>62.174848851999997</v>
      </c>
      <c r="AH842">
        <v>72.548538043999997</v>
      </c>
      <c r="AI842">
        <v>80.795681334999998</v>
      </c>
      <c r="AJ842"/>
      <c r="AK842">
        <v>65.304417207</v>
      </c>
      <c r="AL842">
        <v>44.705945956999997</v>
      </c>
      <c r="AM842">
        <v>98.310821712999996</v>
      </c>
      <c r="AN842"/>
      <c r="AO842">
        <v>47.269807391999997</v>
      </c>
      <c r="AP842"/>
      <c r="AQ842">
        <v>70.727333912000006</v>
      </c>
      <c r="AR842">
        <v>26.997750187000001</v>
      </c>
      <c r="AS842">
        <v>61.866470984000003</v>
      </c>
      <c r="AT842"/>
    </row>
    <row r="843" spans="1:46" x14ac:dyDescent="0.2">
      <c r="A843" s="87">
        <v>32540</v>
      </c>
      <c r="B843"/>
      <c r="C843"/>
      <c r="D843">
        <v>44.972590531000002</v>
      </c>
      <c r="E843">
        <v>61.479399983999997</v>
      </c>
      <c r="F843">
        <v>69.959202223999995</v>
      </c>
      <c r="G843">
        <v>71.465200580000001</v>
      </c>
      <c r="H843"/>
      <c r="I843"/>
      <c r="J843"/>
      <c r="K843"/>
      <c r="L843">
        <v>67.025251749000006</v>
      </c>
      <c r="M843">
        <v>81.208014568999999</v>
      </c>
      <c r="N843">
        <v>75.872681800999999</v>
      </c>
      <c r="O843">
        <v>98.874108794999998</v>
      </c>
      <c r="P843"/>
      <c r="Q843"/>
      <c r="R843">
        <v>66.057780115</v>
      </c>
      <c r="S843">
        <v>89.158459871999995</v>
      </c>
      <c r="T843">
        <v>74.460599478000006</v>
      </c>
      <c r="U843">
        <v>81.30489335</v>
      </c>
      <c r="V843">
        <v>126.689229821</v>
      </c>
      <c r="W843">
        <v>44.933817550999997</v>
      </c>
      <c r="X843"/>
      <c r="Y843">
        <v>12.714511367</v>
      </c>
      <c r="Z843"/>
      <c r="AA843"/>
      <c r="AB843">
        <v>110.24869797700001</v>
      </c>
      <c r="AC843">
        <v>98.266486075000003</v>
      </c>
      <c r="AD843">
        <v>18.896615679</v>
      </c>
      <c r="AE843">
        <v>71.986447429999998</v>
      </c>
      <c r="AF843"/>
      <c r="AG843">
        <v>62.174848851999997</v>
      </c>
      <c r="AH843">
        <v>72.124277587999998</v>
      </c>
      <c r="AI843">
        <v>80.249025845000006</v>
      </c>
      <c r="AJ843"/>
      <c r="AK843">
        <v>65.184546041000004</v>
      </c>
      <c r="AL843">
        <v>41.325308577000001</v>
      </c>
      <c r="AM843">
        <v>97.062506884000001</v>
      </c>
      <c r="AN843"/>
      <c r="AO843">
        <v>48.369049703999998</v>
      </c>
      <c r="AP843"/>
      <c r="AQ843">
        <v>70.208551510999996</v>
      </c>
      <c r="AR843">
        <v>28.497625198000001</v>
      </c>
      <c r="AS843">
        <v>61.594687299999997</v>
      </c>
      <c r="AT843"/>
    </row>
    <row r="844" spans="1:46" x14ac:dyDescent="0.2">
      <c r="A844" s="87">
        <v>32568</v>
      </c>
      <c r="B844"/>
      <c r="C844"/>
      <c r="D844">
        <v>44.894850167999998</v>
      </c>
      <c r="E844">
        <v>60.472110114000003</v>
      </c>
      <c r="F844">
        <v>72.482738171999998</v>
      </c>
      <c r="G844">
        <v>71.062018488000007</v>
      </c>
      <c r="H844"/>
      <c r="I844"/>
      <c r="J844"/>
      <c r="K844"/>
      <c r="L844">
        <v>67.518992093999998</v>
      </c>
      <c r="M844">
        <v>80.663724927000004</v>
      </c>
      <c r="N844">
        <v>75.844100931</v>
      </c>
      <c r="O844">
        <v>101.632409952</v>
      </c>
      <c r="P844"/>
      <c r="Q844"/>
      <c r="R844">
        <v>66.411977328000006</v>
      </c>
      <c r="S844">
        <v>89.250186682000006</v>
      </c>
      <c r="T844">
        <v>75.029842919999993</v>
      </c>
      <c r="U844">
        <v>80.229431797999993</v>
      </c>
      <c r="V844">
        <v>127.88812835</v>
      </c>
      <c r="W844">
        <v>45.112836743999999</v>
      </c>
      <c r="X844"/>
      <c r="Y844">
        <v>12.984076978999999</v>
      </c>
      <c r="Z844"/>
      <c r="AA844"/>
      <c r="AB844">
        <v>108.71418719099999</v>
      </c>
      <c r="AC844">
        <v>101.815843157</v>
      </c>
      <c r="AD844">
        <v>19.066092052999998</v>
      </c>
      <c r="AE844">
        <v>73.105248372000005</v>
      </c>
      <c r="AF844"/>
      <c r="AG844">
        <v>61.813367173000003</v>
      </c>
      <c r="AH844">
        <v>71.912147360000006</v>
      </c>
      <c r="AI844">
        <v>83.310296586000007</v>
      </c>
      <c r="AJ844"/>
      <c r="AK844">
        <v>65.633816617999997</v>
      </c>
      <c r="AL844">
        <v>40.561437519000002</v>
      </c>
      <c r="AM844">
        <v>101.31225827999999</v>
      </c>
      <c r="AN844"/>
      <c r="AO844">
        <v>44.577044323000003</v>
      </c>
      <c r="AP844"/>
      <c r="AQ844">
        <v>70.150909021999993</v>
      </c>
      <c r="AR844">
        <v>28.197650196000001</v>
      </c>
      <c r="AS844">
        <v>61.755854429999999</v>
      </c>
      <c r="AT844"/>
    </row>
    <row r="845" spans="1:46" x14ac:dyDescent="0.2">
      <c r="A845" s="87">
        <v>32599</v>
      </c>
      <c r="B845"/>
      <c r="C845"/>
      <c r="D845">
        <v>47.374675066999998</v>
      </c>
      <c r="E845">
        <v>61.644695802999998</v>
      </c>
      <c r="F845">
        <v>74.604955783999998</v>
      </c>
      <c r="G845">
        <v>71.489635859000003</v>
      </c>
      <c r="H845"/>
      <c r="I845"/>
      <c r="J845"/>
      <c r="K845"/>
      <c r="L845">
        <v>69.555671013999998</v>
      </c>
      <c r="M845">
        <v>81.970020066999993</v>
      </c>
      <c r="N845">
        <v>77.473210498</v>
      </c>
      <c r="O845">
        <v>99.297160579000007</v>
      </c>
      <c r="P845"/>
      <c r="Q845"/>
      <c r="R845">
        <v>64.286794052999994</v>
      </c>
      <c r="S845">
        <v>90.901269271999993</v>
      </c>
      <c r="T845">
        <v>75.336464217</v>
      </c>
      <c r="U845">
        <v>82.272808746999999</v>
      </c>
      <c r="V845">
        <v>130.66927771799999</v>
      </c>
      <c r="W845">
        <v>44.486269567000001</v>
      </c>
      <c r="X845"/>
      <c r="Y845">
        <v>12.939149377</v>
      </c>
      <c r="Z845"/>
      <c r="AA845"/>
      <c r="AB845">
        <v>109.54046223</v>
      </c>
      <c r="AC845">
        <v>100.19327991999999</v>
      </c>
      <c r="AD845">
        <v>18.070418357000001</v>
      </c>
      <c r="AE845">
        <v>75.987361937000003</v>
      </c>
      <c r="AF845"/>
      <c r="AG845">
        <v>62.319441523999998</v>
      </c>
      <c r="AH845">
        <v>77.922503825000007</v>
      </c>
      <c r="AI845">
        <v>83.856952075999999</v>
      </c>
      <c r="AJ845"/>
      <c r="AK845">
        <v>65.783994264</v>
      </c>
      <c r="AL845">
        <v>42.460713022</v>
      </c>
      <c r="AM845">
        <v>100.525064801</v>
      </c>
      <c r="AN845"/>
      <c r="AO845">
        <v>46.907375233000003</v>
      </c>
      <c r="AP845"/>
      <c r="AQ845">
        <v>70.150909021999993</v>
      </c>
      <c r="AR845">
        <v>26.697775185000001</v>
      </c>
      <c r="AS845">
        <v>61.747627571000002</v>
      </c>
      <c r="AT845"/>
    </row>
    <row r="846" spans="1:46" x14ac:dyDescent="0.2">
      <c r="A846" s="87">
        <v>32629</v>
      </c>
      <c r="B846"/>
      <c r="C846"/>
      <c r="D846">
        <v>45.798778116999998</v>
      </c>
      <c r="E846">
        <v>61.345196444999999</v>
      </c>
      <c r="F846">
        <v>76.530485244000005</v>
      </c>
      <c r="G846">
        <v>70.803568428999995</v>
      </c>
      <c r="H846"/>
      <c r="I846"/>
      <c r="J846"/>
      <c r="K846"/>
      <c r="L846">
        <v>66.222923690000002</v>
      </c>
      <c r="M846">
        <v>82.078877996000003</v>
      </c>
      <c r="N846">
        <v>75.167687017999995</v>
      </c>
      <c r="O846">
        <v>99.601071321000006</v>
      </c>
      <c r="P846"/>
      <c r="Q846"/>
      <c r="R846">
        <v>65.526484296999996</v>
      </c>
      <c r="S846">
        <v>89.892274356000001</v>
      </c>
      <c r="T846">
        <v>74.430215423000007</v>
      </c>
      <c r="U846">
        <v>80.229431797999993</v>
      </c>
      <c r="V846">
        <v>128.19941413500001</v>
      </c>
      <c r="W846">
        <v>45.739403920999997</v>
      </c>
      <c r="X846"/>
      <c r="Y846">
        <v>13.478280601</v>
      </c>
      <c r="Z846"/>
      <c r="AA846"/>
      <c r="AB846">
        <v>108.59614790000001</v>
      </c>
      <c r="AC846">
        <v>100.29469012200001</v>
      </c>
      <c r="AD846">
        <v>19.299122066999999</v>
      </c>
      <c r="AE846">
        <v>74.437242662000003</v>
      </c>
      <c r="AF846"/>
      <c r="AG846">
        <v>62.391737859999999</v>
      </c>
      <c r="AH846">
        <v>75.023390707000004</v>
      </c>
      <c r="AI846">
        <v>83.310296586000007</v>
      </c>
      <c r="AJ846"/>
      <c r="AK846">
        <v>65.263358642</v>
      </c>
      <c r="AL846">
        <v>39.959375301000001</v>
      </c>
      <c r="AM846">
        <v>102.225693225</v>
      </c>
      <c r="AN846"/>
      <c r="AO846">
        <v>47.001491209999998</v>
      </c>
      <c r="AP846"/>
      <c r="AQ846">
        <v>68.191064398999998</v>
      </c>
      <c r="AR846">
        <v>27.997666860999999</v>
      </c>
      <c r="AS846">
        <v>61.402396873999997</v>
      </c>
      <c r="AT846"/>
    </row>
    <row r="847" spans="1:46" x14ac:dyDescent="0.2">
      <c r="A847" s="87">
        <v>32660</v>
      </c>
      <c r="B847"/>
      <c r="C847"/>
      <c r="D847">
        <v>45.551081060000001</v>
      </c>
      <c r="E847">
        <v>60.868358342000001</v>
      </c>
      <c r="F847">
        <v>79.261980211999997</v>
      </c>
      <c r="G847">
        <v>70.265522396999998</v>
      </c>
      <c r="H847"/>
      <c r="I847"/>
      <c r="J847"/>
      <c r="K847"/>
      <c r="L847">
        <v>68.876778040999994</v>
      </c>
      <c r="M847">
        <v>82.623167637999998</v>
      </c>
      <c r="N847">
        <v>77.568480062999996</v>
      </c>
      <c r="O847">
        <v>100.456077256</v>
      </c>
      <c r="P847"/>
      <c r="Q847"/>
      <c r="R847">
        <v>66.411977328000006</v>
      </c>
      <c r="S847">
        <v>91.084722893999995</v>
      </c>
      <c r="T847">
        <v>75.192847065999999</v>
      </c>
      <c r="U847">
        <v>80.229431797999993</v>
      </c>
      <c r="V847">
        <v>126.80284790100001</v>
      </c>
      <c r="W847">
        <v>45.157591543000002</v>
      </c>
      <c r="X847"/>
      <c r="Y847">
        <v>13.343497794999999</v>
      </c>
      <c r="Z847"/>
      <c r="AA847"/>
      <c r="AB847">
        <v>111.31105159800001</v>
      </c>
      <c r="AC847">
        <v>101.51161255</v>
      </c>
      <c r="AD847">
        <v>19.574521174000001</v>
      </c>
      <c r="AE847">
        <v>72.180156961999998</v>
      </c>
      <c r="AF847"/>
      <c r="AG847">
        <v>63.548479233999998</v>
      </c>
      <c r="AH847">
        <v>74.457710098000007</v>
      </c>
      <c r="AI847">
        <v>84.622269760999998</v>
      </c>
      <c r="AJ847"/>
      <c r="AK847">
        <v>65.950909473999999</v>
      </c>
      <c r="AL847">
        <v>41.094557709999997</v>
      </c>
      <c r="AM847">
        <v>102.937909297</v>
      </c>
      <c r="AN847"/>
      <c r="AO847">
        <v>52.466091173999999</v>
      </c>
      <c r="AP847"/>
      <c r="AQ847">
        <v>69.170986710999998</v>
      </c>
      <c r="AR847">
        <v>28.997583535</v>
      </c>
      <c r="AS847">
        <v>61.396449746999998</v>
      </c>
      <c r="AT847"/>
    </row>
    <row r="848" spans="1:46" x14ac:dyDescent="0.2">
      <c r="A848" s="87">
        <v>32690</v>
      </c>
      <c r="B848"/>
      <c r="C848"/>
      <c r="D848">
        <v>47.108420694000003</v>
      </c>
      <c r="E848">
        <v>63.920832617000002</v>
      </c>
      <c r="F848">
        <v>78.398473201000002</v>
      </c>
      <c r="G848">
        <v>69.703510996000006</v>
      </c>
      <c r="H848"/>
      <c r="I848"/>
      <c r="J848"/>
      <c r="K848"/>
      <c r="L848">
        <v>69.247083298999996</v>
      </c>
      <c r="M848">
        <v>79.030856001000004</v>
      </c>
      <c r="N848">
        <v>76.892066149000001</v>
      </c>
      <c r="O848">
        <v>101.43568627400001</v>
      </c>
      <c r="P848"/>
      <c r="Q848"/>
      <c r="R848">
        <v>77.333058043999998</v>
      </c>
      <c r="S848">
        <v>90.075727977</v>
      </c>
      <c r="T848">
        <v>74.472307482000005</v>
      </c>
      <c r="U848">
        <v>80.336977953000002</v>
      </c>
      <c r="V848">
        <v>128.42593877799999</v>
      </c>
      <c r="W848">
        <v>43.993966784999998</v>
      </c>
      <c r="X848"/>
      <c r="Y848">
        <v>14.80364486</v>
      </c>
      <c r="Z848"/>
      <c r="AA848"/>
      <c r="AB848">
        <v>110.012619395</v>
      </c>
      <c r="AC848">
        <v>99.381998300999996</v>
      </c>
      <c r="AD848">
        <v>19.701628454000002</v>
      </c>
      <c r="AE848">
        <v>71.895771350000004</v>
      </c>
      <c r="AF848"/>
      <c r="AG848">
        <v>63.114701218999997</v>
      </c>
      <c r="AH848">
        <v>75.023390707000004</v>
      </c>
      <c r="AI848">
        <v>84.950263054000004</v>
      </c>
      <c r="AJ848"/>
      <c r="AK848">
        <v>65.594732836000006</v>
      </c>
      <c r="AL848">
        <v>37.908907954999997</v>
      </c>
      <c r="AM848">
        <v>101.002330263</v>
      </c>
      <c r="AN848"/>
      <c r="AO848">
        <v>42.218508700999998</v>
      </c>
      <c r="AP848"/>
      <c r="AQ848">
        <v>67.441712042999995</v>
      </c>
      <c r="AR848">
        <v>29.697525206000002</v>
      </c>
      <c r="AS848">
        <v>60.792915518999997</v>
      </c>
      <c r="AT848"/>
    </row>
    <row r="849" spans="1:46" x14ac:dyDescent="0.2">
      <c r="A849" s="87">
        <v>32721</v>
      </c>
      <c r="B849"/>
      <c r="C849"/>
      <c r="D849">
        <v>46.238872471000001</v>
      </c>
      <c r="E849">
        <v>62.507710852000002</v>
      </c>
      <c r="F849">
        <v>78.297045362000006</v>
      </c>
      <c r="G849">
        <v>69.823337842000001</v>
      </c>
      <c r="H849"/>
      <c r="I849"/>
      <c r="J849"/>
      <c r="K849"/>
      <c r="L849">
        <v>69.061930669999995</v>
      </c>
      <c r="M849">
        <v>77.833418789000007</v>
      </c>
      <c r="N849">
        <v>79.188062673000005</v>
      </c>
      <c r="O849">
        <v>99.438546517999995</v>
      </c>
      <c r="P849"/>
      <c r="Q849"/>
      <c r="R849">
        <v>68.891357815000006</v>
      </c>
      <c r="S849">
        <v>90.075727977</v>
      </c>
      <c r="T849">
        <v>75.104722385000002</v>
      </c>
      <c r="U849">
        <v>81.950170280999998</v>
      </c>
      <c r="V849">
        <v>128.193776512</v>
      </c>
      <c r="W849">
        <v>44.217740777000003</v>
      </c>
      <c r="X849"/>
      <c r="Y849">
        <v>12.692047565999999</v>
      </c>
      <c r="Z849"/>
      <c r="AA849"/>
      <c r="AB849">
        <v>109.54046223</v>
      </c>
      <c r="AC849">
        <v>101.105971741</v>
      </c>
      <c r="AD849">
        <v>20.421903043</v>
      </c>
      <c r="AE849">
        <v>77.859834294999999</v>
      </c>
      <c r="AF849"/>
      <c r="AG849">
        <v>63.620775569999999</v>
      </c>
      <c r="AH849">
        <v>75.447651163000003</v>
      </c>
      <c r="AI849">
        <v>85.387587445999998</v>
      </c>
      <c r="AJ849"/>
      <c r="AK849">
        <v>65.981226188999997</v>
      </c>
      <c r="AL849">
        <v>36.785941981999997</v>
      </c>
      <c r="AM849">
        <v>103.705760568</v>
      </c>
      <c r="AN849"/>
      <c r="AO849">
        <v>34.450266691000003</v>
      </c>
      <c r="AP849"/>
      <c r="AQ849">
        <v>68.421634354000005</v>
      </c>
      <c r="AR849">
        <v>29.097575202000002</v>
      </c>
      <c r="AS849">
        <v>61.393575302999999</v>
      </c>
      <c r="AT849"/>
    </row>
    <row r="850" spans="1:46" x14ac:dyDescent="0.2">
      <c r="A850" s="87">
        <v>32752</v>
      </c>
      <c r="B850"/>
      <c r="C850"/>
      <c r="D850">
        <v>46.844455834999998</v>
      </c>
      <c r="E850">
        <v>61.699849360000002</v>
      </c>
      <c r="F850">
        <v>77.097211622000003</v>
      </c>
      <c r="G850">
        <v>70.011771429999996</v>
      </c>
      <c r="H850"/>
      <c r="I850"/>
      <c r="J850"/>
      <c r="K850"/>
      <c r="L850">
        <v>69.432235927999997</v>
      </c>
      <c r="M850">
        <v>80.663724927000004</v>
      </c>
      <c r="N850">
        <v>77.587533976000003</v>
      </c>
      <c r="O850">
        <v>101.31414381800001</v>
      </c>
      <c r="P850"/>
      <c r="Q850"/>
      <c r="R850">
        <v>66.707141671000002</v>
      </c>
      <c r="S850">
        <v>89.984001167000002</v>
      </c>
      <c r="T850">
        <v>75.128946123999995</v>
      </c>
      <c r="U850">
        <v>81.627531816000001</v>
      </c>
      <c r="V850">
        <v>127.179517805</v>
      </c>
      <c r="W850">
        <v>43.591173599999998</v>
      </c>
      <c r="X850"/>
      <c r="Y850">
        <v>13.073932183</v>
      </c>
      <c r="Z850"/>
      <c r="AA850"/>
      <c r="AB850">
        <v>112.137326636</v>
      </c>
      <c r="AC850">
        <v>100.801741134</v>
      </c>
      <c r="AD850">
        <v>19.934658467999999</v>
      </c>
      <c r="AE850">
        <v>72.120593361000005</v>
      </c>
      <c r="AF850"/>
      <c r="AG850">
        <v>62.680923202999999</v>
      </c>
      <c r="AH850">
        <v>76.084041847999998</v>
      </c>
      <c r="AI850">
        <v>85.715580739999993</v>
      </c>
      <c r="AJ850"/>
      <c r="AK850">
        <v>65.984190705000003</v>
      </c>
      <c r="AL850">
        <v>38.484943235000003</v>
      </c>
      <c r="AM850">
        <v>105.20389478200001</v>
      </c>
      <c r="AN850"/>
      <c r="AO850">
        <v>43.514215137000001</v>
      </c>
      <c r="AP850"/>
      <c r="AQ850">
        <v>69.055701733000006</v>
      </c>
      <c r="AR850">
        <v>29.497541871999999</v>
      </c>
      <c r="AS850">
        <v>61.19533775</v>
      </c>
      <c r="AT850"/>
    </row>
    <row r="851" spans="1:46" x14ac:dyDescent="0.2">
      <c r="A851" s="87">
        <v>32782</v>
      </c>
      <c r="B851"/>
      <c r="C851"/>
      <c r="D851">
        <v>46.855430843000001</v>
      </c>
      <c r="E851">
        <v>61.416243721000001</v>
      </c>
      <c r="F851">
        <v>77.931287306000002</v>
      </c>
      <c r="G851">
        <v>69.165464964999998</v>
      </c>
      <c r="H851"/>
      <c r="I851"/>
      <c r="J851"/>
      <c r="K851"/>
      <c r="L851">
        <v>69.617388556999998</v>
      </c>
      <c r="M851">
        <v>83.276315208</v>
      </c>
      <c r="N851">
        <v>78.159151367999996</v>
      </c>
      <c r="O851">
        <v>100.15084408200001</v>
      </c>
      <c r="P851"/>
      <c r="Q851"/>
      <c r="R851">
        <v>66.293911589999993</v>
      </c>
      <c r="S851">
        <v>90.809542461999996</v>
      </c>
      <c r="T851">
        <v>75.011825224999995</v>
      </c>
      <c r="U851">
        <v>81.089801039999998</v>
      </c>
      <c r="V851">
        <v>129.05320587200001</v>
      </c>
      <c r="W851">
        <v>43.188380414999997</v>
      </c>
      <c r="X851"/>
      <c r="Y851">
        <v>13.388425397000001</v>
      </c>
      <c r="Z851"/>
      <c r="AA851"/>
      <c r="AB851">
        <v>112.609483801</v>
      </c>
      <c r="AC851">
        <v>100.19327991999999</v>
      </c>
      <c r="AD851">
        <v>19.765182095</v>
      </c>
      <c r="AE851">
        <v>71.969424817999993</v>
      </c>
      <c r="AF851"/>
      <c r="AG851">
        <v>62.680923202999999</v>
      </c>
      <c r="AH851">
        <v>76.437592228</v>
      </c>
      <c r="AI851">
        <v>85.387587445999998</v>
      </c>
      <c r="AJ851"/>
      <c r="AK851">
        <v>65.83055736</v>
      </c>
      <c r="AL851">
        <v>37.151228918000001</v>
      </c>
      <c r="AM851">
        <v>105.601802377</v>
      </c>
      <c r="AN851"/>
      <c r="AO851">
        <v>43.377199769000001</v>
      </c>
      <c r="AP851"/>
      <c r="AQ851">
        <v>70.150909021999993</v>
      </c>
      <c r="AR851">
        <v>28.397633531</v>
      </c>
      <c r="AS851">
        <v>61.117133035999998</v>
      </c>
      <c r="AT851"/>
    </row>
    <row r="852" spans="1:46" x14ac:dyDescent="0.2">
      <c r="A852" s="87">
        <v>32813</v>
      </c>
      <c r="B852"/>
      <c r="C852"/>
      <c r="D852">
        <v>47.700476342999998</v>
      </c>
      <c r="E852">
        <v>62.649135719</v>
      </c>
      <c r="F852">
        <v>77.161935421999999</v>
      </c>
      <c r="G852">
        <v>69.875497762999998</v>
      </c>
      <c r="H852"/>
      <c r="I852"/>
      <c r="J852"/>
      <c r="K852"/>
      <c r="L852">
        <v>69.925976272</v>
      </c>
      <c r="M852">
        <v>82.949741423000006</v>
      </c>
      <c r="N852">
        <v>78.092462671999996</v>
      </c>
      <c r="O852">
        <v>100.448960171</v>
      </c>
      <c r="P852"/>
      <c r="Q852"/>
      <c r="R852">
        <v>66.352944459</v>
      </c>
      <c r="S852">
        <v>91.818537378000002</v>
      </c>
      <c r="T852">
        <v>75.405710025999994</v>
      </c>
      <c r="U852">
        <v>81.842624126000004</v>
      </c>
      <c r="V852">
        <v>128.357416618</v>
      </c>
      <c r="W852">
        <v>42.651322835000002</v>
      </c>
      <c r="X852"/>
      <c r="Y852">
        <v>13.860165218000001</v>
      </c>
      <c r="Z852"/>
      <c r="AA852"/>
      <c r="AB852">
        <v>112.727523092</v>
      </c>
      <c r="AC852">
        <v>100.90315133599999</v>
      </c>
      <c r="AD852">
        <v>20.061765748999999</v>
      </c>
      <c r="AE852">
        <v>73.373725921000002</v>
      </c>
      <c r="AF852"/>
      <c r="AG852">
        <v>62.753219539</v>
      </c>
      <c r="AH852">
        <v>77.073982912999995</v>
      </c>
      <c r="AI852">
        <v>84.731600858999997</v>
      </c>
      <c r="AJ852"/>
      <c r="AK852">
        <v>66.210754508999997</v>
      </c>
      <c r="AL852">
        <v>35.417636193</v>
      </c>
      <c r="AM852">
        <v>105.282000027</v>
      </c>
      <c r="AN852"/>
      <c r="AO852">
        <v>58.615071307000001</v>
      </c>
      <c r="AP852"/>
      <c r="AQ852">
        <v>70.150909021999993</v>
      </c>
      <c r="AR852">
        <v>29.097575202000002</v>
      </c>
      <c r="AS852">
        <v>61.317551201000001</v>
      </c>
      <c r="AT852"/>
    </row>
    <row r="853" spans="1:46" x14ac:dyDescent="0.2">
      <c r="A853" s="87">
        <v>32843</v>
      </c>
      <c r="B853"/>
      <c r="C853"/>
      <c r="D853">
        <v>48.824585626999998</v>
      </c>
      <c r="E853">
        <v>62.935919834000003</v>
      </c>
      <c r="F853">
        <v>78.606410335000007</v>
      </c>
      <c r="G853">
        <v>70.643329393000002</v>
      </c>
      <c r="H853"/>
      <c r="I853"/>
      <c r="J853"/>
      <c r="K853"/>
      <c r="L853">
        <v>71.098609589999995</v>
      </c>
      <c r="M853">
        <v>86.324337201999995</v>
      </c>
      <c r="N853">
        <v>78.806984412000006</v>
      </c>
      <c r="O853">
        <v>100.547600522</v>
      </c>
      <c r="P853"/>
      <c r="Q853"/>
      <c r="R853">
        <v>65.762615772000004</v>
      </c>
      <c r="S853">
        <v>92.093717810000001</v>
      </c>
      <c r="T853">
        <v>75.934381685000005</v>
      </c>
      <c r="U853">
        <v>81.735077970999996</v>
      </c>
      <c r="V853">
        <v>128.34618489499999</v>
      </c>
      <c r="W853">
        <v>39.294712957999998</v>
      </c>
      <c r="X853"/>
      <c r="Y853">
        <v>14.152194631</v>
      </c>
      <c r="Z853"/>
      <c r="AA853"/>
      <c r="AB853">
        <v>113.55379813</v>
      </c>
      <c r="AC853">
        <v>101.51161255</v>
      </c>
      <c r="AD853">
        <v>19.955843014999999</v>
      </c>
      <c r="AE853">
        <v>73.397121588999994</v>
      </c>
      <c r="AF853"/>
      <c r="AG853">
        <v>62.825515875000001</v>
      </c>
      <c r="AH853">
        <v>79.407415423000003</v>
      </c>
      <c r="AI853">
        <v>83.966283172999994</v>
      </c>
      <c r="AJ853"/>
      <c r="AK853">
        <v>66.661679910000004</v>
      </c>
      <c r="AL853">
        <v>38.127088264000001</v>
      </c>
      <c r="AM853">
        <v>105.25460456899999</v>
      </c>
      <c r="AN853"/>
      <c r="AO853">
        <v>62.533519728000002</v>
      </c>
      <c r="AP853"/>
      <c r="AQ853">
        <v>70.900261377999996</v>
      </c>
      <c r="AR853">
        <v>29.497541871999999</v>
      </c>
      <c r="AS853">
        <v>61.670909639000001</v>
      </c>
      <c r="AT853"/>
    </row>
    <row r="854" spans="1:46" x14ac:dyDescent="0.2">
      <c r="A854" s="87">
        <v>32874</v>
      </c>
      <c r="B854"/>
      <c r="C854"/>
      <c r="D854">
        <v>48.276576923999997</v>
      </c>
      <c r="E854">
        <v>64.099984778000007</v>
      </c>
      <c r="F854">
        <v>76.818840816000005</v>
      </c>
      <c r="G854">
        <v>69.055036302999994</v>
      </c>
      <c r="H854"/>
      <c r="I854"/>
      <c r="J854"/>
      <c r="K854">
        <v>68.266799972000001</v>
      </c>
      <c r="L854">
        <v>70.975174503999995</v>
      </c>
      <c r="M854">
        <v>83.058599350999998</v>
      </c>
      <c r="N854">
        <v>78.892727020999999</v>
      </c>
      <c r="O854">
        <v>100.901404994</v>
      </c>
      <c r="P854"/>
      <c r="Q854"/>
      <c r="R854">
        <v>68.904860348</v>
      </c>
      <c r="S854">
        <v>91.11</v>
      </c>
      <c r="T854">
        <v>75.318585767000002</v>
      </c>
      <c r="U854">
        <v>80.874708729000005</v>
      </c>
      <c r="V854">
        <v>126.87527819899999</v>
      </c>
      <c r="W854">
        <v>42.203774850999999</v>
      </c>
      <c r="X854"/>
      <c r="Y854">
        <v>13.415000946999999</v>
      </c>
      <c r="Z854"/>
      <c r="AA854">
        <v>39.012998564</v>
      </c>
      <c r="AB854">
        <v>110.190817432</v>
      </c>
      <c r="AC854">
        <v>100.90315133599999</v>
      </c>
      <c r="AD854">
        <v>19.767352721000002</v>
      </c>
      <c r="AE854">
        <v>71.467489098000001</v>
      </c>
      <c r="AF854"/>
      <c r="AG854">
        <v>64.994405951000005</v>
      </c>
      <c r="AH854">
        <v>76.629110468999997</v>
      </c>
      <c r="AI854">
        <v>84.075614271000006</v>
      </c>
      <c r="AJ854"/>
      <c r="AK854">
        <v>66.312628906</v>
      </c>
      <c r="AL854">
        <v>31.300471528999999</v>
      </c>
      <c r="AM854">
        <v>106.924487196</v>
      </c>
      <c r="AN854"/>
      <c r="AO854">
        <v>43.171232119000003</v>
      </c>
      <c r="AP854"/>
      <c r="AQ854">
        <v>69.947936456999997</v>
      </c>
      <c r="AR854">
        <v>29.897508541000001</v>
      </c>
      <c r="AS854">
        <v>61.356603999000001</v>
      </c>
      <c r="AT854"/>
    </row>
    <row r="855" spans="1:46" x14ac:dyDescent="0.2">
      <c r="A855" s="87">
        <v>32905</v>
      </c>
      <c r="B855"/>
      <c r="C855"/>
      <c r="D855">
        <v>49.626230778</v>
      </c>
      <c r="E855">
        <v>63.391017714</v>
      </c>
      <c r="F855">
        <v>76.106587071999996</v>
      </c>
      <c r="G855">
        <v>69.414516840000005</v>
      </c>
      <c r="H855"/>
      <c r="I855"/>
      <c r="J855"/>
      <c r="K855">
        <v>65.450760901999999</v>
      </c>
      <c r="L855">
        <v>70.666586788999993</v>
      </c>
      <c r="M855">
        <v>82.405451780999996</v>
      </c>
      <c r="N855">
        <v>79.816841804000006</v>
      </c>
      <c r="O855">
        <v>98.377458700000005</v>
      </c>
      <c r="P855"/>
      <c r="Q855"/>
      <c r="R855">
        <v>68.826559369999998</v>
      </c>
      <c r="S855">
        <v>92.58</v>
      </c>
      <c r="T855">
        <v>75.716566426</v>
      </c>
      <c r="U855">
        <v>80.336977953000002</v>
      </c>
      <c r="V855">
        <v>131.76992914100001</v>
      </c>
      <c r="W855">
        <v>40.726866504999997</v>
      </c>
      <c r="X855"/>
      <c r="Y855">
        <v>13.652434592000001</v>
      </c>
      <c r="Z855"/>
      <c r="AA855">
        <v>39.223122433999997</v>
      </c>
      <c r="AB855">
        <v>110.790767436</v>
      </c>
      <c r="AC855">
        <v>101.410202348</v>
      </c>
      <c r="AD855">
        <v>20.229314223999999</v>
      </c>
      <c r="AE855">
        <v>74.510870883999999</v>
      </c>
      <c r="AF855"/>
      <c r="AG855">
        <v>64.488331599999995</v>
      </c>
      <c r="AH855">
        <v>73.005802428999999</v>
      </c>
      <c r="AI855">
        <v>84.840931956000006</v>
      </c>
      <c r="AJ855"/>
      <c r="AK855">
        <v>66.471598092999997</v>
      </c>
      <c r="AL855">
        <v>28.799041470999999</v>
      </c>
      <c r="AM855">
        <v>105.685188588</v>
      </c>
      <c r="AN855"/>
      <c r="AO855">
        <v>45.458591716000001</v>
      </c>
      <c r="AP855"/>
      <c r="AQ855">
        <v>69.947936456999997</v>
      </c>
      <c r="AR855">
        <v>30.997416882</v>
      </c>
      <c r="AS855">
        <v>61.913552402999997</v>
      </c>
      <c r="AT855"/>
    </row>
    <row r="856" spans="1:46" x14ac:dyDescent="0.2">
      <c r="A856" s="87">
        <v>32933</v>
      </c>
      <c r="B856"/>
      <c r="C856"/>
      <c r="D856">
        <v>49.824120798999999</v>
      </c>
      <c r="E856">
        <v>65.017121322999998</v>
      </c>
      <c r="F856">
        <v>70.209672577000006</v>
      </c>
      <c r="G856">
        <v>69.753321370999998</v>
      </c>
      <c r="H856"/>
      <c r="I856"/>
      <c r="J856"/>
      <c r="K856">
        <v>79.936901214000002</v>
      </c>
      <c r="L856">
        <v>71.345479761999997</v>
      </c>
      <c r="M856">
        <v>83.602888992999993</v>
      </c>
      <c r="N856">
        <v>79.588194846999997</v>
      </c>
      <c r="O856">
        <v>99.402897977999999</v>
      </c>
      <c r="P856"/>
      <c r="Q856"/>
      <c r="R856">
        <v>68.423868627999994</v>
      </c>
      <c r="S856">
        <v>92.16</v>
      </c>
      <c r="T856">
        <v>76.350934889000001</v>
      </c>
      <c r="U856">
        <v>81.519985661000007</v>
      </c>
      <c r="V856">
        <v>126.38228254400001</v>
      </c>
      <c r="W856">
        <v>40.413582916999999</v>
      </c>
      <c r="X856"/>
      <c r="Y856">
        <v>14.127301881999999</v>
      </c>
      <c r="Z856"/>
      <c r="AA856">
        <v>38.872915984000002</v>
      </c>
      <c r="AB856">
        <v>111.190734105</v>
      </c>
      <c r="AC856">
        <v>103.23558599</v>
      </c>
      <c r="AD856">
        <v>20.765269561</v>
      </c>
      <c r="AE856">
        <v>70.429844618999994</v>
      </c>
      <c r="AF856"/>
      <c r="AG856">
        <v>66.368036333000006</v>
      </c>
      <c r="AH856">
        <v>74.701818958000004</v>
      </c>
      <c r="AI856">
        <v>83.747620978</v>
      </c>
      <c r="AJ856"/>
      <c r="AK856">
        <v>67.287351662000006</v>
      </c>
      <c r="AL856">
        <v>28.812765949999999</v>
      </c>
      <c r="AM856">
        <v>108.609181664</v>
      </c>
      <c r="AN856"/>
      <c r="AO856">
        <v>44.788159157999999</v>
      </c>
      <c r="AP856"/>
      <c r="AQ856">
        <v>70.557062173000006</v>
      </c>
      <c r="AR856">
        <v>31.997333556000001</v>
      </c>
      <c r="AS856">
        <v>62.211404326</v>
      </c>
      <c r="AT856"/>
    </row>
    <row r="857" spans="1:46" x14ac:dyDescent="0.2">
      <c r="A857" s="87">
        <v>32964</v>
      </c>
      <c r="B857"/>
      <c r="C857"/>
      <c r="D857">
        <v>49.335188670000001</v>
      </c>
      <c r="E857">
        <v>62.145929496000001</v>
      </c>
      <c r="F857">
        <v>53.535020236999998</v>
      </c>
      <c r="G857">
        <v>69.218564704000002</v>
      </c>
      <c r="H857"/>
      <c r="I857"/>
      <c r="J857"/>
      <c r="K857">
        <v>71.758274037999996</v>
      </c>
      <c r="L857">
        <v>70.111128902000004</v>
      </c>
      <c r="M857">
        <v>82.296593852000001</v>
      </c>
      <c r="N857">
        <v>79.912111369000002</v>
      </c>
      <c r="O857">
        <v>100.75469126</v>
      </c>
      <c r="P857"/>
      <c r="Q857"/>
      <c r="R857">
        <v>67.763903244000005</v>
      </c>
      <c r="S857">
        <v>92.62</v>
      </c>
      <c r="T857">
        <v>76.225986305999996</v>
      </c>
      <c r="U857">
        <v>81.950170280999998</v>
      </c>
      <c r="V857">
        <v>124.754519039</v>
      </c>
      <c r="W857">
        <v>40.413582916999999</v>
      </c>
      <c r="X857"/>
      <c r="Y857">
        <v>13.355642536</v>
      </c>
      <c r="Z857"/>
      <c r="AA857">
        <v>39.293163724999999</v>
      </c>
      <c r="AB857">
        <v>112.090659112</v>
      </c>
      <c r="AC857">
        <v>103.438406395</v>
      </c>
      <c r="AD857">
        <v>20.700274976999999</v>
      </c>
      <c r="AE857">
        <v>73.696919940000001</v>
      </c>
      <c r="AF857"/>
      <c r="AG857">
        <v>65.789665646000003</v>
      </c>
      <c r="AH857">
        <v>76.937477111000007</v>
      </c>
      <c r="AI857">
        <v>83.310296586000007</v>
      </c>
      <c r="AJ857"/>
      <c r="AK857">
        <v>67.132899601000005</v>
      </c>
      <c r="AL857">
        <v>28.529180505999999</v>
      </c>
      <c r="AM857">
        <v>111.53121292100001</v>
      </c>
      <c r="AN857"/>
      <c r="AO857">
        <v>48.476913619000001</v>
      </c>
      <c r="AP857"/>
      <c r="AQ857">
        <v>70.354020267999999</v>
      </c>
      <c r="AR857">
        <v>32.197316890000003</v>
      </c>
      <c r="AS857">
        <v>62.097814208000003</v>
      </c>
      <c r="AT857"/>
    </row>
    <row r="858" spans="1:46" x14ac:dyDescent="0.2">
      <c r="A858" s="87">
        <v>32994</v>
      </c>
      <c r="B858"/>
      <c r="C858"/>
      <c r="D858">
        <v>48.807795982999998</v>
      </c>
      <c r="E858">
        <v>63.571595043999999</v>
      </c>
      <c r="F858">
        <v>67.003042534000002</v>
      </c>
      <c r="G858">
        <v>69.365646283000004</v>
      </c>
      <c r="H858"/>
      <c r="I858"/>
      <c r="J858"/>
      <c r="K858">
        <v>73.778297159000005</v>
      </c>
      <c r="L858">
        <v>71.900937650000003</v>
      </c>
      <c r="M858">
        <v>80.881440784000006</v>
      </c>
      <c r="N858">
        <v>79.893057455999994</v>
      </c>
      <c r="O858">
        <v>99.691884281</v>
      </c>
      <c r="P858"/>
      <c r="Q858"/>
      <c r="R858">
        <v>68.524541313</v>
      </c>
      <c r="S858">
        <v>92.86</v>
      </c>
      <c r="T858">
        <v>76.599907036999994</v>
      </c>
      <c r="U858">
        <v>81.519985661000007</v>
      </c>
      <c r="V858">
        <v>128.443349813</v>
      </c>
      <c r="W858">
        <v>40.234563723000001</v>
      </c>
      <c r="X858"/>
      <c r="Y858">
        <v>13.771151414</v>
      </c>
      <c r="Z858"/>
      <c r="AA858">
        <v>40.413824366</v>
      </c>
      <c r="AB858">
        <v>110.790767436</v>
      </c>
      <c r="AC858">
        <v>104.148277811</v>
      </c>
      <c r="AD858">
        <v>20.368302641</v>
      </c>
      <c r="AE858">
        <v>72.795392813000007</v>
      </c>
      <c r="AF858"/>
      <c r="AG858">
        <v>66.729518012</v>
      </c>
      <c r="AH858">
        <v>76.012377185999995</v>
      </c>
      <c r="AI858">
        <v>86.590229523000005</v>
      </c>
      <c r="AJ858"/>
      <c r="AK858">
        <v>67.311318478000004</v>
      </c>
      <c r="AL858">
        <v>28.866585654000001</v>
      </c>
      <c r="AM858">
        <v>110.759239112</v>
      </c>
      <c r="AN858"/>
      <c r="AO858">
        <v>48.164351289000003</v>
      </c>
      <c r="AP858"/>
      <c r="AQ858">
        <v>70.557062173000006</v>
      </c>
      <c r="AR858">
        <v>30.397466877999999</v>
      </c>
      <c r="AS858">
        <v>62.259080457000003</v>
      </c>
      <c r="AT858"/>
    </row>
    <row r="859" spans="1:46" x14ac:dyDescent="0.2">
      <c r="A859" s="87">
        <v>33025</v>
      </c>
      <c r="B859"/>
      <c r="C859"/>
      <c r="D859">
        <v>50.672127578000001</v>
      </c>
      <c r="E859">
        <v>63.998700569999997</v>
      </c>
      <c r="F859">
        <v>66.783859753000002</v>
      </c>
      <c r="G859">
        <v>69.468086487999997</v>
      </c>
      <c r="H859"/>
      <c r="I859"/>
      <c r="J859"/>
      <c r="K859">
        <v>77.145909888000006</v>
      </c>
      <c r="L859">
        <v>71.900937650000003</v>
      </c>
      <c r="M859">
        <v>80.010577357000003</v>
      </c>
      <c r="N859">
        <v>79.378601803999999</v>
      </c>
      <c r="O859">
        <v>102.297053905</v>
      </c>
      <c r="P859"/>
      <c r="Q859"/>
      <c r="R859">
        <v>67.260539816999994</v>
      </c>
      <c r="S859">
        <v>91.51</v>
      </c>
      <c r="T859">
        <v>76.716200430000001</v>
      </c>
      <c r="U859">
        <v>82.810539523000003</v>
      </c>
      <c r="V859">
        <v>126.681965858</v>
      </c>
      <c r="W859">
        <v>39.742260940999998</v>
      </c>
      <c r="X859"/>
      <c r="Y859">
        <v>14.186660292999999</v>
      </c>
      <c r="Z859"/>
      <c r="AA859">
        <v>39.363205014999998</v>
      </c>
      <c r="AB859">
        <v>109.69085909499999</v>
      </c>
      <c r="AC859">
        <v>104.45250841799999</v>
      </c>
      <c r="AD859">
        <v>20.765269561</v>
      </c>
      <c r="AE859">
        <v>78.392942684999994</v>
      </c>
      <c r="AF859"/>
      <c r="AG859">
        <v>66.874110684000001</v>
      </c>
      <c r="AH859">
        <v>77.245843751999999</v>
      </c>
      <c r="AI859">
        <v>87.902202697000007</v>
      </c>
      <c r="AJ859"/>
      <c r="AK859">
        <v>67.536659606000001</v>
      </c>
      <c r="AL859">
        <v>28.522493829999998</v>
      </c>
      <c r="AM859">
        <v>110.76350225100001</v>
      </c>
      <c r="AN859"/>
      <c r="AO859">
        <v>45.523352695</v>
      </c>
      <c r="AP859"/>
      <c r="AQ859">
        <v>70.658583125999996</v>
      </c>
      <c r="AR859">
        <v>31.197400216999998</v>
      </c>
      <c r="AS859">
        <v>62.47020345</v>
      </c>
      <c r="AT859"/>
    </row>
    <row r="860" spans="1:46" x14ac:dyDescent="0.2">
      <c r="A860" s="87">
        <v>33055</v>
      </c>
      <c r="B860"/>
      <c r="C860"/>
      <c r="D860">
        <v>49.408489920000001</v>
      </c>
      <c r="E860">
        <v>61.362915219999998</v>
      </c>
      <c r="F860">
        <v>70.531876178999994</v>
      </c>
      <c r="G860">
        <v>69.531524230000002</v>
      </c>
      <c r="H860"/>
      <c r="I860"/>
      <c r="J860"/>
      <c r="K860">
        <v>78.186504013999993</v>
      </c>
      <c r="L860">
        <v>72.579830623000007</v>
      </c>
      <c r="M860">
        <v>82.187735923999995</v>
      </c>
      <c r="N860">
        <v>79.683464412999996</v>
      </c>
      <c r="O860">
        <v>99.248418967000006</v>
      </c>
      <c r="P860"/>
      <c r="Q860"/>
      <c r="R860">
        <v>66.220255398999996</v>
      </c>
      <c r="S860">
        <v>91.51</v>
      </c>
      <c r="T860">
        <v>76.808504893000006</v>
      </c>
      <c r="U860">
        <v>80.767162573999997</v>
      </c>
      <c r="V860">
        <v>128.27505596200001</v>
      </c>
      <c r="W860">
        <v>37.862559410000003</v>
      </c>
      <c r="X860"/>
      <c r="Y860">
        <v>14.246018704999999</v>
      </c>
      <c r="Z860"/>
      <c r="AA860">
        <v>39.713411465</v>
      </c>
      <c r="AB860">
        <v>109.990834097</v>
      </c>
      <c r="AC860">
        <v>105.365200239</v>
      </c>
      <c r="AD860">
        <v>21.431214064999999</v>
      </c>
      <c r="AE860">
        <v>75.092902057000003</v>
      </c>
      <c r="AF860"/>
      <c r="AG860">
        <v>67.813963051000002</v>
      </c>
      <c r="AH860">
        <v>77.400027073000004</v>
      </c>
      <c r="AI860">
        <v>79.483708160000006</v>
      </c>
      <c r="AJ860"/>
      <c r="AK860">
        <v>67.574474029000001</v>
      </c>
      <c r="AL860">
        <v>29.628961758999999</v>
      </c>
      <c r="AM860">
        <v>113.55102075400001</v>
      </c>
      <c r="AN860"/>
      <c r="AO860">
        <v>52.193072485999998</v>
      </c>
      <c r="AP860"/>
      <c r="AQ860">
        <v>68.831205976000007</v>
      </c>
      <c r="AR860">
        <v>30.597450211999998</v>
      </c>
      <c r="AS860">
        <v>62.380699194999998</v>
      </c>
      <c r="AT860"/>
    </row>
    <row r="861" spans="1:46" x14ac:dyDescent="0.2">
      <c r="A861" s="87">
        <v>33086</v>
      </c>
      <c r="B861"/>
      <c r="C861"/>
      <c r="D861">
        <v>49.379481126999998</v>
      </c>
      <c r="E861">
        <v>64.210941000000005</v>
      </c>
      <c r="F861">
        <v>72.196615785000006</v>
      </c>
      <c r="G861">
        <v>68.474228534000005</v>
      </c>
      <c r="H861"/>
      <c r="I861"/>
      <c r="J861"/>
      <c r="K861">
        <v>75.47033777</v>
      </c>
      <c r="L861">
        <v>73.011853424999998</v>
      </c>
      <c r="M861">
        <v>84.038320706999997</v>
      </c>
      <c r="N861">
        <v>80.216973977999999</v>
      </c>
      <c r="O861">
        <v>97.957129921999993</v>
      </c>
      <c r="P861"/>
      <c r="Q861"/>
      <c r="R861">
        <v>67.495442749999995</v>
      </c>
      <c r="S861">
        <v>90.95</v>
      </c>
      <c r="T861">
        <v>77.132908337999993</v>
      </c>
      <c r="U861">
        <v>80.874708729000005</v>
      </c>
      <c r="V861">
        <v>121.94795142700001</v>
      </c>
      <c r="W861">
        <v>39.787015740000001</v>
      </c>
      <c r="X861"/>
      <c r="Y861">
        <v>14.186660292999999</v>
      </c>
      <c r="Z861"/>
      <c r="AA861">
        <v>39.993576625000003</v>
      </c>
      <c r="AB861">
        <v>111.190734105</v>
      </c>
      <c r="AC861">
        <v>106.277892061</v>
      </c>
      <c r="AD861">
        <v>21.967169403</v>
      </c>
      <c r="AE861">
        <v>75.334382511000001</v>
      </c>
      <c r="AF861"/>
      <c r="AG861">
        <v>67.813963051000002</v>
      </c>
      <c r="AH861">
        <v>78.170943678</v>
      </c>
      <c r="AI861">
        <v>88.776851480000005</v>
      </c>
      <c r="AJ861"/>
      <c r="AK861">
        <v>67.884957237999998</v>
      </c>
      <c r="AL861">
        <v>29.804973414999999</v>
      </c>
      <c r="AM861">
        <v>116.206026264</v>
      </c>
      <c r="AN861"/>
      <c r="AO861">
        <v>48.107876521999998</v>
      </c>
      <c r="AP861"/>
      <c r="AQ861">
        <v>70.455541221000004</v>
      </c>
      <c r="AR861">
        <v>30.297475210000002</v>
      </c>
      <c r="AS861">
        <v>62.615313338999997</v>
      </c>
      <c r="AT861"/>
    </row>
    <row r="862" spans="1:46" x14ac:dyDescent="0.2">
      <c r="A862" s="87">
        <v>33117</v>
      </c>
      <c r="B862"/>
      <c r="C862"/>
      <c r="D862">
        <v>50.658942125999999</v>
      </c>
      <c r="E862">
        <v>63.445649754000002</v>
      </c>
      <c r="F862">
        <v>72.762072179</v>
      </c>
      <c r="G862">
        <v>67.278309625000006</v>
      </c>
      <c r="H862"/>
      <c r="I862"/>
      <c r="J862"/>
      <c r="K862">
        <v>73.727855098000006</v>
      </c>
      <c r="L862">
        <v>73.690746398000002</v>
      </c>
      <c r="M862">
        <v>81.752304210999995</v>
      </c>
      <c r="N862">
        <v>80.617106152999995</v>
      </c>
      <c r="O862">
        <v>101.362601908</v>
      </c>
      <c r="P862"/>
      <c r="Q862"/>
      <c r="R862">
        <v>66.835477366000006</v>
      </c>
      <c r="S862">
        <v>91.78</v>
      </c>
      <c r="T862">
        <v>77.030364797999994</v>
      </c>
      <c r="U862">
        <v>80.444524107999996</v>
      </c>
      <c r="V862">
        <v>105.852007988</v>
      </c>
      <c r="W862">
        <v>38.981429368999997</v>
      </c>
      <c r="X862"/>
      <c r="Y862">
        <v>14.364735527000001</v>
      </c>
      <c r="Z862"/>
      <c r="AA862">
        <v>40.764030816000002</v>
      </c>
      <c r="AB862">
        <v>110.89075910299999</v>
      </c>
      <c r="AC862">
        <v>105.365200239</v>
      </c>
      <c r="AD862">
        <v>21.902174818999999</v>
      </c>
      <c r="AE862">
        <v>72.137372322999994</v>
      </c>
      <c r="AF862"/>
      <c r="AG862">
        <v>68.103148394000002</v>
      </c>
      <c r="AH862">
        <v>79.404410244000005</v>
      </c>
      <c r="AI862">
        <v>87.355547208000004</v>
      </c>
      <c r="AJ862"/>
      <c r="AK862">
        <v>67.883901999000003</v>
      </c>
      <c r="AL862">
        <v>29.677964089</v>
      </c>
      <c r="AM862">
        <v>113.22951275699999</v>
      </c>
      <c r="AN862"/>
      <c r="AO862">
        <v>43.164105051</v>
      </c>
      <c r="AP862"/>
      <c r="AQ862">
        <v>70.557062173000006</v>
      </c>
      <c r="AR862">
        <v>32.997250229000002</v>
      </c>
      <c r="AS862">
        <v>62.626414642</v>
      </c>
      <c r="AT862"/>
    </row>
    <row r="863" spans="1:46" x14ac:dyDescent="0.2">
      <c r="A863" s="87">
        <v>33147</v>
      </c>
      <c r="B863"/>
      <c r="C863"/>
      <c r="D863">
        <v>49.917573087000001</v>
      </c>
      <c r="E863">
        <v>65.063529975999998</v>
      </c>
      <c r="F863">
        <v>71.472454032000002</v>
      </c>
      <c r="G863">
        <v>67.310263449999994</v>
      </c>
      <c r="H863"/>
      <c r="I863"/>
      <c r="J863"/>
      <c r="K863">
        <v>73.501656535999999</v>
      </c>
      <c r="L863">
        <v>73.814181484000002</v>
      </c>
      <c r="M863">
        <v>83.276315208</v>
      </c>
      <c r="N863">
        <v>80.779064414000004</v>
      </c>
      <c r="O863">
        <v>97.309146600000005</v>
      </c>
      <c r="P863"/>
      <c r="Q863"/>
      <c r="R863">
        <v>66.846663219999996</v>
      </c>
      <c r="S863">
        <v>91.51</v>
      </c>
      <c r="T863">
        <v>77.155722244000003</v>
      </c>
      <c r="U863">
        <v>80.336977953000002</v>
      </c>
      <c r="V863">
        <v>128.834152434</v>
      </c>
      <c r="W863">
        <v>38.489126587000001</v>
      </c>
      <c r="X863"/>
      <c r="Y863">
        <v>14.067943471</v>
      </c>
      <c r="Z863"/>
      <c r="AA863">
        <v>40.553906945999998</v>
      </c>
      <c r="AB863">
        <v>110.290809099</v>
      </c>
      <c r="AC863">
        <v>107.49481448900001</v>
      </c>
      <c r="AD863">
        <v>21.902174818999999</v>
      </c>
      <c r="AE863">
        <v>71.386272923000007</v>
      </c>
      <c r="AF863"/>
      <c r="AG863">
        <v>68.103148394000002</v>
      </c>
      <c r="AH863">
        <v>77.322935412999996</v>
      </c>
      <c r="AI863">
        <v>88.667520382000006</v>
      </c>
      <c r="AJ863"/>
      <c r="AK863">
        <v>67.986012255999995</v>
      </c>
      <c r="AL863">
        <v>29.972344075999999</v>
      </c>
      <c r="AM863">
        <v>113.668448852</v>
      </c>
      <c r="AN863"/>
      <c r="AO863">
        <v>55.880710217000001</v>
      </c>
      <c r="AP863"/>
      <c r="AQ863">
        <v>70.557062173000006</v>
      </c>
      <c r="AR863">
        <v>32.797266894000003</v>
      </c>
      <c r="AS863">
        <v>62.235291951000001</v>
      </c>
      <c r="AT863"/>
    </row>
    <row r="864" spans="1:46" x14ac:dyDescent="0.2">
      <c r="A864" s="87">
        <v>33178</v>
      </c>
      <c r="B864"/>
      <c r="C864"/>
      <c r="D864">
        <v>49.300357822000002</v>
      </c>
      <c r="E864">
        <v>64.345943914000003</v>
      </c>
      <c r="F864">
        <v>69.862768200000005</v>
      </c>
      <c r="G864">
        <v>66.544781366999999</v>
      </c>
      <c r="H864"/>
      <c r="I864"/>
      <c r="J864"/>
      <c r="K864">
        <v>72.175268982999995</v>
      </c>
      <c r="L864">
        <v>73.814181484000002</v>
      </c>
      <c r="M864">
        <v>84.147178635000003</v>
      </c>
      <c r="N864">
        <v>80.016907891000002</v>
      </c>
      <c r="O864">
        <v>100.46351292600001</v>
      </c>
      <c r="P864"/>
      <c r="Q864"/>
      <c r="R864">
        <v>66.600574433000006</v>
      </c>
      <c r="S864">
        <v>90.45</v>
      </c>
      <c r="T864">
        <v>76.465195238999996</v>
      </c>
      <c r="U864">
        <v>79.906793332000007</v>
      </c>
      <c r="V864">
        <v>123.766234598</v>
      </c>
      <c r="W864">
        <v>41.040150093999998</v>
      </c>
      <c r="X864"/>
      <c r="Y864">
        <v>14.067943471</v>
      </c>
      <c r="Z864"/>
      <c r="AA864">
        <v>40.974154685999999</v>
      </c>
      <c r="AB864">
        <v>108.690942421</v>
      </c>
      <c r="AC864">
        <v>106.784943072</v>
      </c>
      <c r="AD864">
        <v>21.967169403</v>
      </c>
      <c r="AE864">
        <v>71.059450493</v>
      </c>
      <c r="AF864"/>
      <c r="AG864">
        <v>67.813963051000002</v>
      </c>
      <c r="AH864">
        <v>78.093852017000003</v>
      </c>
      <c r="AI864">
        <v>89.104844774</v>
      </c>
      <c r="AJ864"/>
      <c r="AK864">
        <v>67.537830240000005</v>
      </c>
      <c r="AL864">
        <v>29.886452017</v>
      </c>
      <c r="AM864">
        <v>113.963815489</v>
      </c>
      <c r="AN864"/>
      <c r="AO864">
        <v>39.214105922000002</v>
      </c>
      <c r="AP864"/>
      <c r="AQ864">
        <v>70.354020267999999</v>
      </c>
      <c r="AR864">
        <v>33.197233564000001</v>
      </c>
      <c r="AS864">
        <v>61.468905573000001</v>
      </c>
      <c r="AT864"/>
    </row>
    <row r="865" spans="1:46" x14ac:dyDescent="0.2">
      <c r="A865" s="87">
        <v>33208</v>
      </c>
      <c r="B865"/>
      <c r="C865"/>
      <c r="D865">
        <v>52.058139083999997</v>
      </c>
      <c r="E865">
        <v>63.533185977000002</v>
      </c>
      <c r="F865">
        <v>65.581495509999996</v>
      </c>
      <c r="G865">
        <v>66.011434426999998</v>
      </c>
      <c r="H865"/>
      <c r="I865"/>
      <c r="J865"/>
      <c r="K865">
        <v>89.358563755999995</v>
      </c>
      <c r="L865">
        <v>74.122769199999993</v>
      </c>
      <c r="M865">
        <v>82.840883493999996</v>
      </c>
      <c r="N865">
        <v>80.855280066000006</v>
      </c>
      <c r="O865">
        <v>99.973275620999999</v>
      </c>
      <c r="P865"/>
      <c r="Q865"/>
      <c r="R865">
        <v>65.224714397</v>
      </c>
      <c r="S865">
        <v>91.59</v>
      </c>
      <c r="T865">
        <v>76.419594454999995</v>
      </c>
      <c r="U865">
        <v>79.476608710999997</v>
      </c>
      <c r="V865">
        <v>128.96907563100001</v>
      </c>
      <c r="W865">
        <v>37.907314208999999</v>
      </c>
      <c r="X865"/>
      <c r="Y865">
        <v>14.542810761</v>
      </c>
      <c r="Z865"/>
      <c r="AA865">
        <v>41.184278556000002</v>
      </c>
      <c r="AB865">
        <v>110.490792434</v>
      </c>
      <c r="AC865">
        <v>106.886353275</v>
      </c>
      <c r="AD865">
        <v>22.364136322</v>
      </c>
      <c r="AE865">
        <v>71.112454649</v>
      </c>
      <c r="AF865"/>
      <c r="AG865">
        <v>66.946407019999995</v>
      </c>
      <c r="AH865">
        <v>80.175326849000001</v>
      </c>
      <c r="AI865">
        <v>87.246216110000006</v>
      </c>
      <c r="AJ865"/>
      <c r="AK865">
        <v>67.610349419000002</v>
      </c>
      <c r="AL865">
        <v>29.244999400000001</v>
      </c>
      <c r="AM865">
        <v>115.32569197799999</v>
      </c>
      <c r="AN865"/>
      <c r="AO865">
        <v>33.951511939</v>
      </c>
      <c r="AP865"/>
      <c r="AQ865">
        <v>71.166187890000003</v>
      </c>
      <c r="AR865">
        <v>31.797350220999999</v>
      </c>
      <c r="AS865">
        <v>61.048741079999999</v>
      </c>
      <c r="AT865"/>
    </row>
    <row r="866" spans="1:46" x14ac:dyDescent="0.2">
      <c r="A866" s="87">
        <v>33239</v>
      </c>
      <c r="B866"/>
      <c r="C866"/>
      <c r="D866">
        <v>50.633525022000001</v>
      </c>
      <c r="E866">
        <v>63.355646872999998</v>
      </c>
      <c r="F866">
        <v>64.297491395999998</v>
      </c>
      <c r="G866">
        <v>66.348829230999996</v>
      </c>
      <c r="H866"/>
      <c r="I866"/>
      <c r="J866"/>
      <c r="K866">
        <v>68.891927366000004</v>
      </c>
      <c r="L866">
        <v>76.393633863999995</v>
      </c>
      <c r="M866">
        <v>81.208014568999999</v>
      </c>
      <c r="N866">
        <v>82.5</v>
      </c>
      <c r="O866">
        <v>100.076157771</v>
      </c>
      <c r="P866"/>
      <c r="Q866"/>
      <c r="R866">
        <v>65.426059768000002</v>
      </c>
      <c r="S866">
        <v>92.76</v>
      </c>
      <c r="T866">
        <v>76.839039919000001</v>
      </c>
      <c r="U866">
        <v>79.261516400999994</v>
      </c>
      <c r="V866">
        <v>123.093425776</v>
      </c>
      <c r="W866">
        <v>39.160448563000003</v>
      </c>
      <c r="X866"/>
      <c r="Y866">
        <v>14.364735527000001</v>
      </c>
      <c r="Z866"/>
      <c r="AA866">
        <v>38.522709534000001</v>
      </c>
      <c r="AB866">
        <v>111.09074243800001</v>
      </c>
      <c r="AC866">
        <v>107.596224691</v>
      </c>
      <c r="AD866">
        <v>22.299141737999999</v>
      </c>
      <c r="AE866">
        <v>71.397977544</v>
      </c>
      <c r="AF866"/>
      <c r="AG866">
        <v>68.681519081000005</v>
      </c>
      <c r="AH866">
        <v>78.633493639999998</v>
      </c>
      <c r="AI866">
        <v>88.339527089000001</v>
      </c>
      <c r="AJ866"/>
      <c r="AK866">
        <v>67.462595703999995</v>
      </c>
      <c r="AL866">
        <v>28.801993811999999</v>
      </c>
      <c r="AM866">
        <v>111.50689504899999</v>
      </c>
      <c r="AN866"/>
      <c r="AO866">
        <v>45.418681567999997</v>
      </c>
      <c r="AP866"/>
      <c r="AQ866">
        <v>70.252499314999994</v>
      </c>
      <c r="AR866">
        <v>27.597700192000001</v>
      </c>
      <c r="AS866">
        <v>60.821659963999998</v>
      </c>
      <c r="AT866"/>
    </row>
    <row r="867" spans="1:46" x14ac:dyDescent="0.2">
      <c r="A867" s="87">
        <v>33270</v>
      </c>
      <c r="B867"/>
      <c r="C867"/>
      <c r="D867">
        <v>50.677916193000001</v>
      </c>
      <c r="E867">
        <v>62.149267070999997</v>
      </c>
      <c r="F867">
        <v>63.261850666000001</v>
      </c>
      <c r="G867">
        <v>65.196141968000006</v>
      </c>
      <c r="H867"/>
      <c r="I867"/>
      <c r="J867"/>
      <c r="K867">
        <v>63.540933723000002</v>
      </c>
      <c r="L867">
        <v>75.493708858000005</v>
      </c>
      <c r="M867">
        <v>82.187735923999995</v>
      </c>
      <c r="N867">
        <v>81.5</v>
      </c>
      <c r="O867">
        <v>98.486489152999994</v>
      </c>
      <c r="P867"/>
      <c r="Q867"/>
      <c r="R867">
        <v>63.345490933000001</v>
      </c>
      <c r="S867">
        <v>92.38</v>
      </c>
      <c r="T867">
        <v>76.387040769999999</v>
      </c>
      <c r="U867">
        <v>79.261516400999994</v>
      </c>
      <c r="V867">
        <v>124.21532244799999</v>
      </c>
      <c r="W867">
        <v>36.743689451000002</v>
      </c>
      <c r="X867"/>
      <c r="Y867">
        <v>14.48345235</v>
      </c>
      <c r="Z867"/>
      <c r="AA867">
        <v>39.503287595000003</v>
      </c>
      <c r="AB867">
        <v>108.990917424</v>
      </c>
      <c r="AC867">
        <v>108.00186549999999</v>
      </c>
      <c r="AD867">
        <v>22.364136322</v>
      </c>
      <c r="AE867">
        <v>72.234836349000005</v>
      </c>
      <c r="AF867"/>
      <c r="AG867">
        <v>68.753815416999998</v>
      </c>
      <c r="AH867">
        <v>80.468275157999997</v>
      </c>
      <c r="AI867">
        <v>89.979493556999998</v>
      </c>
      <c r="AJ867"/>
      <c r="AK867">
        <v>67.270199649999995</v>
      </c>
      <c r="AL867">
        <v>27.161462996000001</v>
      </c>
      <c r="AM867">
        <v>113.70673750100001</v>
      </c>
      <c r="AN867"/>
      <c r="AO867">
        <v>41.719575249999998</v>
      </c>
      <c r="AP867"/>
      <c r="AQ867">
        <v>70.354020267999999</v>
      </c>
      <c r="AR867">
        <v>32.197316890000003</v>
      </c>
      <c r="AS867">
        <v>60.388610030000002</v>
      </c>
      <c r="AT867"/>
    </row>
    <row r="868" spans="1:46" x14ac:dyDescent="0.2">
      <c r="A868" s="87">
        <v>33298</v>
      </c>
      <c r="B868"/>
      <c r="C868"/>
      <c r="D868">
        <v>50.458026117000003</v>
      </c>
      <c r="E868">
        <v>61.987356183999999</v>
      </c>
      <c r="F868">
        <v>62.507061659999998</v>
      </c>
      <c r="G868">
        <v>65.241253251000003</v>
      </c>
      <c r="H868"/>
      <c r="I868"/>
      <c r="J868"/>
      <c r="K868">
        <v>66.609953970000007</v>
      </c>
      <c r="L868">
        <v>74.993750520999996</v>
      </c>
      <c r="M868">
        <v>82.405451780999996</v>
      </c>
      <c r="N868">
        <v>80.7</v>
      </c>
      <c r="O868">
        <v>95.058398582999999</v>
      </c>
      <c r="P868"/>
      <c r="Q868"/>
      <c r="R868">
        <v>63.200074831999999</v>
      </c>
      <c r="S868">
        <v>91.22</v>
      </c>
      <c r="T868">
        <v>75.84226305</v>
      </c>
      <c r="U868">
        <v>78.401147159000004</v>
      </c>
      <c r="V868">
        <v>124.30201640200001</v>
      </c>
      <c r="W868">
        <v>34.595459130000002</v>
      </c>
      <c r="X868"/>
      <c r="Y868">
        <v>13.830509826</v>
      </c>
      <c r="Z868"/>
      <c r="AA868">
        <v>41.674567586999999</v>
      </c>
      <c r="AB868">
        <v>108.39096741900001</v>
      </c>
      <c r="AC868">
        <v>106.987763477</v>
      </c>
      <c r="AD868">
        <v>22.429130906000001</v>
      </c>
      <c r="AE868">
        <v>72.884133035000005</v>
      </c>
      <c r="AF868"/>
      <c r="AG868">
        <v>68.175444729999995</v>
      </c>
      <c r="AH868">
        <v>75.503572227000006</v>
      </c>
      <c r="AI868">
        <v>88.558189283999994</v>
      </c>
      <c r="AJ868"/>
      <c r="AK868">
        <v>66.854440616000005</v>
      </c>
      <c r="AL868">
        <v>26.788281921999999</v>
      </c>
      <c r="AM868">
        <v>112.704947199</v>
      </c>
      <c r="AN868"/>
      <c r="AO868">
        <v>46.121982346999999</v>
      </c>
      <c r="AP868"/>
      <c r="AQ868">
        <v>69.643373599</v>
      </c>
      <c r="AR868">
        <v>33.597200233000002</v>
      </c>
      <c r="AS868">
        <v>60.051407953000002</v>
      </c>
      <c r="AT868"/>
    </row>
    <row r="869" spans="1:46" x14ac:dyDescent="0.2">
      <c r="A869" s="87">
        <v>33329</v>
      </c>
      <c r="B869"/>
      <c r="C869"/>
      <c r="D869">
        <v>51.100158507000003</v>
      </c>
      <c r="E869">
        <v>63.464411777999999</v>
      </c>
      <c r="F869">
        <v>66.763720590999995</v>
      </c>
      <c r="G869">
        <v>65.277436258999998</v>
      </c>
      <c r="H869"/>
      <c r="I869"/>
      <c r="J869">
        <v>49.157261085999998</v>
      </c>
      <c r="K869">
        <v>61.159319427</v>
      </c>
      <c r="L869">
        <v>74.393800517000003</v>
      </c>
      <c r="M869">
        <v>81.643446281999999</v>
      </c>
      <c r="N869">
        <v>80.2</v>
      </c>
      <c r="O869">
        <v>102.14978314699999</v>
      </c>
      <c r="P869"/>
      <c r="Q869"/>
      <c r="R869">
        <v>63.22244654</v>
      </c>
      <c r="S869">
        <v>91.19</v>
      </c>
      <c r="T869">
        <v>75.800051289999999</v>
      </c>
      <c r="U869">
        <v>77.433231762000005</v>
      </c>
      <c r="V869">
        <v>124.762837027</v>
      </c>
      <c r="W869">
        <v>34.819233122</v>
      </c>
      <c r="X869"/>
      <c r="Y869">
        <v>14.246018704999999</v>
      </c>
      <c r="Z869"/>
      <c r="AA869">
        <v>42.374980487000002</v>
      </c>
      <c r="AB869">
        <v>107.391050746</v>
      </c>
      <c r="AC869">
        <v>107.39340428600001</v>
      </c>
      <c r="AD869">
        <v>22.697108574000001</v>
      </c>
      <c r="AE869">
        <v>72.884490146000005</v>
      </c>
      <c r="AF869"/>
      <c r="AG869">
        <v>68.320037401999997</v>
      </c>
      <c r="AH869">
        <v>77.168752092000005</v>
      </c>
      <c r="AI869">
        <v>87.574209404000001</v>
      </c>
      <c r="AJ869"/>
      <c r="AK869">
        <v>66.807715560999995</v>
      </c>
      <c r="AL869">
        <v>25.312622741999999</v>
      </c>
      <c r="AM869">
        <v>108.131344437</v>
      </c>
      <c r="AN869"/>
      <c r="AO869">
        <v>37.343338183999997</v>
      </c>
      <c r="AP869"/>
      <c r="AQ869">
        <v>69.237289787999998</v>
      </c>
      <c r="AR869">
        <v>32.197316890000003</v>
      </c>
      <c r="AS869">
        <v>60.224964931000002</v>
      </c>
      <c r="AT869"/>
    </row>
    <row r="870" spans="1:46" x14ac:dyDescent="0.2">
      <c r="A870" s="87">
        <v>33359</v>
      </c>
      <c r="B870"/>
      <c r="C870"/>
      <c r="D870">
        <v>50.648414481000003</v>
      </c>
      <c r="E870">
        <v>63.001939485000001</v>
      </c>
      <c r="F870">
        <v>67.913457332999997</v>
      </c>
      <c r="G870">
        <v>65.766611733999994</v>
      </c>
      <c r="H870"/>
      <c r="I870"/>
      <c r="J870">
        <v>50.294729396000001</v>
      </c>
      <c r="K870">
        <v>57.694935313000002</v>
      </c>
      <c r="L870">
        <v>73.193900507999999</v>
      </c>
      <c r="M870">
        <v>82.840883493999996</v>
      </c>
      <c r="N870">
        <v>80.2</v>
      </c>
      <c r="O870">
        <v>97.120714164999995</v>
      </c>
      <c r="P870"/>
      <c r="Q870"/>
      <c r="R870">
        <v>62.696711403999998</v>
      </c>
      <c r="S870">
        <v>91.33</v>
      </c>
      <c r="T870">
        <v>76.261215488000005</v>
      </c>
      <c r="U870">
        <v>78.293601003999996</v>
      </c>
      <c r="V870">
        <v>123.299276879</v>
      </c>
      <c r="W870">
        <v>33.700363162999999</v>
      </c>
      <c r="X870"/>
      <c r="Y870">
        <v>13.949226648</v>
      </c>
      <c r="Z870"/>
      <c r="AA870">
        <v>43.075393388000002</v>
      </c>
      <c r="AB870">
        <v>108.690942421</v>
      </c>
      <c r="AC870">
        <v>108.508916512</v>
      </c>
      <c r="AD870">
        <v>22.567119407</v>
      </c>
      <c r="AE870">
        <v>70.633191936000003</v>
      </c>
      <c r="AF870"/>
      <c r="AG870">
        <v>68.753815416999998</v>
      </c>
      <c r="AH870">
        <v>79.604848562000001</v>
      </c>
      <c r="AI870">
        <v>90.854142339999996</v>
      </c>
      <c r="AJ870"/>
      <c r="AK870">
        <v>66.988345503000005</v>
      </c>
      <c r="AL870">
        <v>23.831164398999999</v>
      </c>
      <c r="AM870">
        <v>110.20595246800001</v>
      </c>
      <c r="AN870"/>
      <c r="AO870">
        <v>35.160021200000003</v>
      </c>
      <c r="AP870"/>
      <c r="AQ870">
        <v>68.831205976000007</v>
      </c>
      <c r="AR870">
        <v>33.697191900999997</v>
      </c>
      <c r="AS870">
        <v>60.816505786999997</v>
      </c>
      <c r="AT870"/>
    </row>
    <row r="871" spans="1:46" x14ac:dyDescent="0.2">
      <c r="A871" s="87">
        <v>33390</v>
      </c>
      <c r="B871"/>
      <c r="C871"/>
      <c r="D871">
        <v>51.143852357</v>
      </c>
      <c r="E871">
        <v>62.377126597</v>
      </c>
      <c r="F871">
        <v>70.836070578000005</v>
      </c>
      <c r="G871">
        <v>66.105886174999995</v>
      </c>
      <c r="H871"/>
      <c r="I871"/>
      <c r="J871">
        <v>50.057251880999999</v>
      </c>
      <c r="K871">
        <v>57.997264921000003</v>
      </c>
      <c r="L871">
        <v>76.393633863999995</v>
      </c>
      <c r="M871">
        <v>82.187735923999995</v>
      </c>
      <c r="N871">
        <v>81.7</v>
      </c>
      <c r="O871">
        <v>100.165092278</v>
      </c>
      <c r="P871"/>
      <c r="Q871"/>
      <c r="R871">
        <v>57.070226865999999</v>
      </c>
      <c r="S871">
        <v>91.69</v>
      </c>
      <c r="T871">
        <v>76.502361715999996</v>
      </c>
      <c r="U871">
        <v>78.616239469000007</v>
      </c>
      <c r="V871">
        <v>122.12314240400001</v>
      </c>
      <c r="W871">
        <v>31.910171228999999</v>
      </c>
      <c r="X871"/>
      <c r="Y871">
        <v>14.48345235</v>
      </c>
      <c r="Z871"/>
      <c r="AA871">
        <v>43.285517257999999</v>
      </c>
      <c r="AB871">
        <v>109.090909091</v>
      </c>
      <c r="AC871">
        <v>105.365200239</v>
      </c>
      <c r="AD871">
        <v>22.493125573</v>
      </c>
      <c r="AE871">
        <v>77.644571993</v>
      </c>
      <c r="AF871"/>
      <c r="AG871">
        <v>68.030852057999994</v>
      </c>
      <c r="AH871">
        <v>79.242517758000005</v>
      </c>
      <c r="AI871">
        <v>88.230195991000002</v>
      </c>
      <c r="AJ871"/>
      <c r="AK871">
        <v>67.088359689000001</v>
      </c>
      <c r="AL871">
        <v>24.612951284000001</v>
      </c>
      <c r="AM871">
        <v>113.34864505</v>
      </c>
      <c r="AN871"/>
      <c r="AO871">
        <v>35.034425587000001</v>
      </c>
      <c r="AP871"/>
      <c r="AQ871">
        <v>68.628164071</v>
      </c>
      <c r="AR871">
        <v>31.497375218999998</v>
      </c>
      <c r="AS871">
        <v>61.294654764000001</v>
      </c>
      <c r="AT871"/>
    </row>
    <row r="872" spans="1:46" x14ac:dyDescent="0.2">
      <c r="A872" s="87">
        <v>33420</v>
      </c>
      <c r="B872"/>
      <c r="C872"/>
      <c r="D872">
        <v>50.418593393999998</v>
      </c>
      <c r="E872">
        <v>61.928899481999998</v>
      </c>
      <c r="F872">
        <v>72.222775962</v>
      </c>
      <c r="G872">
        <v>66.288210943999999</v>
      </c>
      <c r="H872"/>
      <c r="I872"/>
      <c r="J872">
        <v>48.905118401000003</v>
      </c>
      <c r="K872">
        <v>55.385298880000001</v>
      </c>
      <c r="L872">
        <v>74.193817182000004</v>
      </c>
      <c r="M872">
        <v>85.126899989999998</v>
      </c>
      <c r="N872">
        <v>80.2</v>
      </c>
      <c r="O872">
        <v>97.713067210999995</v>
      </c>
      <c r="P872"/>
      <c r="Q872"/>
      <c r="R872">
        <v>62.316392370000003</v>
      </c>
      <c r="S872">
        <v>90.15</v>
      </c>
      <c r="T872">
        <v>76.545849337000007</v>
      </c>
      <c r="U872">
        <v>77.863416383000001</v>
      </c>
      <c r="V872">
        <v>120.591488822</v>
      </c>
      <c r="W872">
        <v>32.178700018999997</v>
      </c>
      <c r="X872"/>
      <c r="Y872">
        <v>14.067943471</v>
      </c>
      <c r="Z872"/>
      <c r="AA872">
        <v>43.425599837999997</v>
      </c>
      <c r="AB872">
        <v>109.090909091</v>
      </c>
      <c r="AC872">
        <v>107.697634893</v>
      </c>
      <c r="AD872">
        <v>23.159070076999999</v>
      </c>
      <c r="AE872">
        <v>73.257044884999999</v>
      </c>
      <c r="AF872"/>
      <c r="AG872">
        <v>69.043000759999998</v>
      </c>
      <c r="AH872">
        <v>78.209489508000004</v>
      </c>
      <c r="AI872">
        <v>85.934242935</v>
      </c>
      <c r="AJ872"/>
      <c r="AK872">
        <v>67.153812970999994</v>
      </c>
      <c r="AL872">
        <v>24.312987201999999</v>
      </c>
      <c r="AM872">
        <v>111.39296883</v>
      </c>
      <c r="AN872"/>
      <c r="AO872">
        <v>34.130658726999997</v>
      </c>
      <c r="AP872"/>
      <c r="AQ872">
        <v>68.729685024000005</v>
      </c>
      <c r="AR872">
        <v>32.397300225000002</v>
      </c>
      <c r="AS872">
        <v>61.460084002000002</v>
      </c>
      <c r="AT872"/>
    </row>
    <row r="873" spans="1:46" x14ac:dyDescent="0.2">
      <c r="A873" s="87">
        <v>33451</v>
      </c>
      <c r="B873"/>
      <c r="C873"/>
      <c r="D873">
        <v>51.244698456000002</v>
      </c>
      <c r="E873">
        <v>61.236506562000002</v>
      </c>
      <c r="F873">
        <v>72.714266477999999</v>
      </c>
      <c r="G873">
        <v>66.201277743000006</v>
      </c>
      <c r="H873"/>
      <c r="I873"/>
      <c r="J873">
        <v>50.162272782000002</v>
      </c>
      <c r="K873">
        <v>58.086638237000003</v>
      </c>
      <c r="L873">
        <v>72.993917174000003</v>
      </c>
      <c r="M873">
        <v>83.385173136000006</v>
      </c>
      <c r="N873">
        <v>80.099999999999994</v>
      </c>
      <c r="O873">
        <v>97.486349388999997</v>
      </c>
      <c r="P873"/>
      <c r="Q873"/>
      <c r="R873">
        <v>61.164249411999997</v>
      </c>
      <c r="S873">
        <v>91.06</v>
      </c>
      <c r="T873">
        <v>76.125657837999995</v>
      </c>
      <c r="U873">
        <v>77.110593296000005</v>
      </c>
      <c r="V873">
        <v>124.067448782</v>
      </c>
      <c r="W873">
        <v>30.388508085000002</v>
      </c>
      <c r="X873"/>
      <c r="Y873">
        <v>14.602169172</v>
      </c>
      <c r="Z873"/>
      <c r="AA873">
        <v>44.266095319000001</v>
      </c>
      <c r="AB873">
        <v>109.69085909499999</v>
      </c>
      <c r="AC873">
        <v>105.97366145300001</v>
      </c>
      <c r="AD873">
        <v>24.027997667000001</v>
      </c>
      <c r="AE873">
        <v>74.074535377000004</v>
      </c>
      <c r="AF873"/>
      <c r="AG873">
        <v>68.753815416999998</v>
      </c>
      <c r="AH873">
        <v>78.340545331000001</v>
      </c>
      <c r="AI873">
        <v>81.123674628000003</v>
      </c>
      <c r="AJ873"/>
      <c r="AK873">
        <v>66.933324682999995</v>
      </c>
      <c r="AL873">
        <v>23.718638883000001</v>
      </c>
      <c r="AM873">
        <v>113.05210513599999</v>
      </c>
      <c r="AN873"/>
      <c r="AO873">
        <v>33.782921322999997</v>
      </c>
      <c r="AP873"/>
      <c r="AQ873">
        <v>67.003828827000007</v>
      </c>
      <c r="AR873">
        <v>32.597283560000001</v>
      </c>
      <c r="AS873">
        <v>61.467617029000003</v>
      </c>
      <c r="AT873"/>
    </row>
    <row r="874" spans="1:46" x14ac:dyDescent="0.2">
      <c r="A874" s="87">
        <v>33482</v>
      </c>
      <c r="B874"/>
      <c r="C874"/>
      <c r="D874">
        <v>50.509211262000001</v>
      </c>
      <c r="E874">
        <v>62.698315592999997</v>
      </c>
      <c r="F874">
        <v>69.660003986999996</v>
      </c>
      <c r="G874">
        <v>66.470535713000004</v>
      </c>
      <c r="H874"/>
      <c r="I874"/>
      <c r="J874">
        <v>50.106500216000001</v>
      </c>
      <c r="K874">
        <v>51.390951250000001</v>
      </c>
      <c r="L874">
        <v>72.793933839000005</v>
      </c>
      <c r="M874">
        <v>83.385173136000006</v>
      </c>
      <c r="N874">
        <v>80.3</v>
      </c>
      <c r="O874">
        <v>99.924769441999999</v>
      </c>
      <c r="P874"/>
      <c r="Q874"/>
      <c r="R874">
        <v>61.074762581000002</v>
      </c>
      <c r="S874">
        <v>91.38</v>
      </c>
      <c r="T874">
        <v>76.473826259999996</v>
      </c>
      <c r="U874">
        <v>77.218139452000003</v>
      </c>
      <c r="V874">
        <v>131.48042182899999</v>
      </c>
      <c r="W874">
        <v>29.403902520999999</v>
      </c>
      <c r="X874"/>
      <c r="Y874">
        <v>14.780244406</v>
      </c>
      <c r="Z874"/>
      <c r="AA874">
        <v>42.515063067</v>
      </c>
      <c r="AB874">
        <v>110.89075910299999</v>
      </c>
      <c r="AC874">
        <v>106.07507165600001</v>
      </c>
      <c r="AD874">
        <v>23.824014665</v>
      </c>
      <c r="AE874">
        <v>74.330101003999999</v>
      </c>
      <c r="AF874"/>
      <c r="AG874">
        <v>68.753815416999998</v>
      </c>
      <c r="AH874">
        <v>76.343871324999995</v>
      </c>
      <c r="AI874">
        <v>91.400797828999998</v>
      </c>
      <c r="AJ874"/>
      <c r="AK874">
        <v>67.151926661999994</v>
      </c>
      <c r="AL874">
        <v>23.148961257</v>
      </c>
      <c r="AM874">
        <v>112.36110391699999</v>
      </c>
      <c r="AN874"/>
      <c r="AO874">
        <v>33.211983762999999</v>
      </c>
      <c r="AP874"/>
      <c r="AQ874">
        <v>67.815996448999996</v>
      </c>
      <c r="AR874">
        <v>33.497208565999998</v>
      </c>
      <c r="AS874">
        <v>61.994532442999997</v>
      </c>
      <c r="AT874"/>
    </row>
    <row r="875" spans="1:46" x14ac:dyDescent="0.2">
      <c r="A875" s="87">
        <v>33512</v>
      </c>
      <c r="B875"/>
      <c r="C875"/>
      <c r="D875">
        <v>50.111760857</v>
      </c>
      <c r="E875">
        <v>62.794957103999998</v>
      </c>
      <c r="F875">
        <v>71.388997408999998</v>
      </c>
      <c r="G875">
        <v>66.182011466000006</v>
      </c>
      <c r="H875"/>
      <c r="I875"/>
      <c r="J875">
        <v>51.241542838000001</v>
      </c>
      <c r="K875">
        <v>52.023112396000002</v>
      </c>
      <c r="L875">
        <v>73.893842179999993</v>
      </c>
      <c r="M875">
        <v>81.534588353999993</v>
      </c>
      <c r="N875">
        <v>80.599999999999994</v>
      </c>
      <c r="O875">
        <v>100.52448302000001</v>
      </c>
      <c r="P875"/>
      <c r="Q875"/>
      <c r="R875">
        <v>60.593770861000003</v>
      </c>
      <c r="S875">
        <v>90.97</v>
      </c>
      <c r="T875">
        <v>76.458132413000001</v>
      </c>
      <c r="U875">
        <v>78.186054849000001</v>
      </c>
      <c r="V875">
        <v>123.32081249700001</v>
      </c>
      <c r="W875">
        <v>29.627676513000001</v>
      </c>
      <c r="X875"/>
      <c r="Y875">
        <v>14.720885995</v>
      </c>
      <c r="Z875"/>
      <c r="AA875">
        <v>44.196054029000003</v>
      </c>
      <c r="AB875">
        <v>110.190817432</v>
      </c>
      <c r="AC875">
        <v>105.365200239</v>
      </c>
      <c r="AD875">
        <v>24.027997667000001</v>
      </c>
      <c r="AE875">
        <v>71.469998305999994</v>
      </c>
      <c r="AF875"/>
      <c r="AG875">
        <v>71.067298164999997</v>
      </c>
      <c r="AH875">
        <v>78.803095292999998</v>
      </c>
      <c r="AI875">
        <v>87.683540500999996</v>
      </c>
      <c r="AJ875"/>
      <c r="AK875">
        <v>67.291269744999994</v>
      </c>
      <c r="AL875">
        <v>23.42205015</v>
      </c>
      <c r="AM875">
        <v>111.796482396</v>
      </c>
      <c r="AN875"/>
      <c r="AO875">
        <v>33.884708605999997</v>
      </c>
      <c r="AP875"/>
      <c r="AQ875">
        <v>68.120559306999994</v>
      </c>
      <c r="AR875">
        <v>33.497208565999998</v>
      </c>
      <c r="AS875">
        <v>61.906812326000001</v>
      </c>
      <c r="AT875"/>
    </row>
    <row r="876" spans="1:46" x14ac:dyDescent="0.2">
      <c r="A876" s="87">
        <v>33543</v>
      </c>
      <c r="B876"/>
      <c r="C876"/>
      <c r="D876">
        <v>50.340250992999998</v>
      </c>
      <c r="E876">
        <v>62.085685448</v>
      </c>
      <c r="F876">
        <v>67.114785244999993</v>
      </c>
      <c r="G876">
        <v>65.846026389000002</v>
      </c>
      <c r="H876"/>
      <c r="I876"/>
      <c r="J876">
        <v>52.345714370000003</v>
      </c>
      <c r="K876">
        <v>51.951103054000001</v>
      </c>
      <c r="L876">
        <v>74.693775518999999</v>
      </c>
      <c r="M876">
        <v>82.840883493999996</v>
      </c>
      <c r="N876">
        <v>81.5</v>
      </c>
      <c r="O876">
        <v>100.23098241700001</v>
      </c>
      <c r="P876"/>
      <c r="Q876"/>
      <c r="R876">
        <v>60.112779140999997</v>
      </c>
      <c r="S876">
        <v>92.41</v>
      </c>
      <c r="T876">
        <v>76.744135600999996</v>
      </c>
      <c r="U876">
        <v>78.401147159000004</v>
      </c>
      <c r="V876">
        <v>121.42220815899999</v>
      </c>
      <c r="W876">
        <v>29.806695705999999</v>
      </c>
      <c r="X876"/>
      <c r="Y876">
        <v>15.314470107</v>
      </c>
      <c r="Z876"/>
      <c r="AA876">
        <v>44.196054029000003</v>
      </c>
      <c r="AB876">
        <v>110.790767436</v>
      </c>
      <c r="AC876">
        <v>106.07507165600001</v>
      </c>
      <c r="AD876">
        <v>24.165986168</v>
      </c>
      <c r="AE876">
        <v>74.573271472000002</v>
      </c>
      <c r="AF876"/>
      <c r="AG876">
        <v>70.633520149999995</v>
      </c>
      <c r="AH876">
        <v>80.028852693999994</v>
      </c>
      <c r="AI876">
        <v>88.120864893000004</v>
      </c>
      <c r="AJ876"/>
      <c r="AK876">
        <v>67.478418841000007</v>
      </c>
      <c r="AL876">
        <v>22.748407337</v>
      </c>
      <c r="AM876">
        <v>111.411791321</v>
      </c>
      <c r="AN876"/>
      <c r="AO876">
        <v>33.683314793999998</v>
      </c>
      <c r="AP876"/>
      <c r="AQ876">
        <v>69.135768834999993</v>
      </c>
      <c r="AR876">
        <v>33.397216899</v>
      </c>
      <c r="AS876">
        <v>61.821371941000002</v>
      </c>
      <c r="AT876"/>
    </row>
    <row r="877" spans="1:46" x14ac:dyDescent="0.2">
      <c r="A877" s="87">
        <v>33573</v>
      </c>
      <c r="B877"/>
      <c r="C877"/>
      <c r="D877">
        <v>50.783888963999999</v>
      </c>
      <c r="E877">
        <v>62.476623945999997</v>
      </c>
      <c r="F877">
        <v>63.024882024999997</v>
      </c>
      <c r="G877">
        <v>65.149151047999993</v>
      </c>
      <c r="H877"/>
      <c r="I877"/>
      <c r="J877">
        <v>52.164408010999999</v>
      </c>
      <c r="K877">
        <v>58.728846273999999</v>
      </c>
      <c r="L877">
        <v>74.793767185999997</v>
      </c>
      <c r="M877">
        <v>83.494031065000001</v>
      </c>
      <c r="N877">
        <v>80.900000000000006</v>
      </c>
      <c r="O877">
        <v>101.237651185</v>
      </c>
      <c r="P877"/>
      <c r="Q877"/>
      <c r="R877">
        <v>61.074762581000002</v>
      </c>
      <c r="S877">
        <v>91.58</v>
      </c>
      <c r="T877">
        <v>76.221825568</v>
      </c>
      <c r="U877">
        <v>78.078508693000003</v>
      </c>
      <c r="V877">
        <v>121.618582979</v>
      </c>
      <c r="W877">
        <v>28.956354536999999</v>
      </c>
      <c r="X877"/>
      <c r="Y877">
        <v>14.780244406</v>
      </c>
      <c r="Z877"/>
      <c r="AA877">
        <v>43.705764997999999</v>
      </c>
      <c r="AB877">
        <v>109.290892426</v>
      </c>
      <c r="AC877">
        <v>104.655328823</v>
      </c>
      <c r="AD877">
        <v>24.165986168</v>
      </c>
      <c r="AE877">
        <v>75.165325264000003</v>
      </c>
      <c r="AF877"/>
      <c r="AG877">
        <v>69.621371447000001</v>
      </c>
      <c r="AH877">
        <v>78.810804458999996</v>
      </c>
      <c r="AI877">
        <v>89.214175871999998</v>
      </c>
      <c r="AJ877"/>
      <c r="AK877">
        <v>67.147452819999998</v>
      </c>
      <c r="AL877">
        <v>23.069915980000001</v>
      </c>
      <c r="AM877">
        <v>109.70942050799999</v>
      </c>
      <c r="AN877"/>
      <c r="AO877">
        <v>32.729072240000001</v>
      </c>
      <c r="AP877"/>
      <c r="AQ877">
        <v>68.019038354000003</v>
      </c>
      <c r="AR877">
        <v>33.097241897000004</v>
      </c>
      <c r="AS877">
        <v>61.552660938999999</v>
      </c>
      <c r="AT877"/>
    </row>
    <row r="878" spans="1:46" x14ac:dyDescent="0.2">
      <c r="A878" s="87">
        <v>33604</v>
      </c>
      <c r="B878"/>
      <c r="C878"/>
      <c r="D878">
        <v>50.422900685999998</v>
      </c>
      <c r="E878">
        <v>63.328985047000003</v>
      </c>
      <c r="F878">
        <v>63.209190968000001</v>
      </c>
      <c r="G878">
        <v>66.065473983999993</v>
      </c>
      <c r="H878"/>
      <c r="I878"/>
      <c r="J878">
        <v>53.521703097</v>
      </c>
      <c r="K878">
        <v>53.027305052999999</v>
      </c>
      <c r="L878">
        <v>75.693692192</v>
      </c>
      <c r="M878">
        <v>84.800326205000005</v>
      </c>
      <c r="N878">
        <v>81.900000000000006</v>
      </c>
      <c r="O878">
        <v>99.656083046999996</v>
      </c>
      <c r="P878"/>
      <c r="Q878"/>
      <c r="R878">
        <v>60.817487939999999</v>
      </c>
      <c r="S878">
        <v>91.83</v>
      </c>
      <c r="T878">
        <v>76.161365954000004</v>
      </c>
      <c r="U878">
        <v>77.970962537999995</v>
      </c>
      <c r="V878">
        <v>124.395088902</v>
      </c>
      <c r="W878">
        <v>28.941784335000001</v>
      </c>
      <c r="X878"/>
      <c r="Y878">
        <v>15.43318693</v>
      </c>
      <c r="Z878"/>
      <c r="AA878">
        <v>44.546260478999997</v>
      </c>
      <c r="AB878">
        <v>110.190817432</v>
      </c>
      <c r="AC878">
        <v>103.94545740700001</v>
      </c>
      <c r="AD878">
        <v>24.091992334</v>
      </c>
      <c r="AE878">
        <v>72.200683096000006</v>
      </c>
      <c r="AF878"/>
      <c r="AG878">
        <v>69.621371447000001</v>
      </c>
      <c r="AH878">
        <v>80.283255173000001</v>
      </c>
      <c r="AI878">
        <v>91.072804536000007</v>
      </c>
      <c r="AJ878"/>
      <c r="AK878">
        <v>67.167628880999999</v>
      </c>
      <c r="AL878">
        <v>24.368807151999999</v>
      </c>
      <c r="AM878">
        <v>112.791775374</v>
      </c>
      <c r="AN878"/>
      <c r="AO878">
        <v>33.313066778</v>
      </c>
      <c r="AP878">
        <v>66.965544500999997</v>
      </c>
      <c r="AQ878">
        <v>69.33881074</v>
      </c>
      <c r="AR878">
        <v>33.297225230999999</v>
      </c>
      <c r="AS878">
        <v>61.230029322</v>
      </c>
      <c r="AT878"/>
    </row>
    <row r="879" spans="1:46" x14ac:dyDescent="0.2">
      <c r="A879" s="87">
        <v>33635</v>
      </c>
      <c r="B879"/>
      <c r="C879"/>
      <c r="D879">
        <v>50.324216518999997</v>
      </c>
      <c r="E879">
        <v>63.270105667999999</v>
      </c>
      <c r="F879">
        <v>65.39456844</v>
      </c>
      <c r="G879">
        <v>66.000156606000004</v>
      </c>
      <c r="H879"/>
      <c r="I879"/>
      <c r="J879">
        <v>53.325939708999996</v>
      </c>
      <c r="K879">
        <v>53.155529878000003</v>
      </c>
      <c r="L879">
        <v>76.993583868000002</v>
      </c>
      <c r="M879">
        <v>85.671189631999994</v>
      </c>
      <c r="N879">
        <v>82.2</v>
      </c>
      <c r="O879">
        <v>99.816083180000007</v>
      </c>
      <c r="P879"/>
      <c r="Q879"/>
      <c r="R879">
        <v>62.607224572</v>
      </c>
      <c r="S879">
        <v>91.12</v>
      </c>
      <c r="T879">
        <v>76.499857081000002</v>
      </c>
      <c r="U879">
        <v>78.508693313999999</v>
      </c>
      <c r="V879">
        <v>121.16972515800001</v>
      </c>
      <c r="W879">
        <v>29.322597287000001</v>
      </c>
      <c r="X879"/>
      <c r="Y879">
        <v>15.314470107</v>
      </c>
      <c r="Z879"/>
      <c r="AA879">
        <v>43.495641128000003</v>
      </c>
      <c r="AB879">
        <v>110.190817432</v>
      </c>
      <c r="AC879">
        <v>103.64122679899999</v>
      </c>
      <c r="AD879">
        <v>24.692942254999998</v>
      </c>
      <c r="AE879">
        <v>74.610768116000003</v>
      </c>
      <c r="AF879"/>
      <c r="AG879">
        <v>69.693667782999995</v>
      </c>
      <c r="AH879">
        <v>78.702876134999997</v>
      </c>
      <c r="AI879">
        <v>90.088824654999996</v>
      </c>
      <c r="AJ879"/>
      <c r="AK879">
        <v>67.471397546999995</v>
      </c>
      <c r="AL879">
        <v>24.648195464</v>
      </c>
      <c r="AM879">
        <v>113.567147259</v>
      </c>
      <c r="AN879"/>
      <c r="AO879">
        <v>31.899970849999999</v>
      </c>
      <c r="AP879">
        <v>70.716240108999997</v>
      </c>
      <c r="AQ879">
        <v>69.135768834999993</v>
      </c>
      <c r="AR879">
        <v>32.997250229000002</v>
      </c>
      <c r="AS879">
        <v>61.668431669</v>
      </c>
      <c r="AT879"/>
    </row>
    <row r="880" spans="1:46" x14ac:dyDescent="0.2">
      <c r="A880" s="87">
        <v>33664</v>
      </c>
      <c r="B880"/>
      <c r="C880"/>
      <c r="D880">
        <v>50.208876672999999</v>
      </c>
      <c r="E880">
        <v>62.975422440999999</v>
      </c>
      <c r="F880">
        <v>64.402810791999997</v>
      </c>
      <c r="G880">
        <v>65.945177229999999</v>
      </c>
      <c r="H880"/>
      <c r="I880"/>
      <c r="J880">
        <v>54.431627073000001</v>
      </c>
      <c r="K880">
        <v>53.146839401000001</v>
      </c>
      <c r="L880">
        <v>74.793767185999997</v>
      </c>
      <c r="M880">
        <v>86.759768915999999</v>
      </c>
      <c r="N880">
        <v>81.400000000000006</v>
      </c>
      <c r="O880">
        <v>98.563082136000006</v>
      </c>
      <c r="P880"/>
      <c r="Q880"/>
      <c r="R880">
        <v>62.159790414</v>
      </c>
      <c r="S880">
        <v>92.01</v>
      </c>
      <c r="T880">
        <v>76.168524219000005</v>
      </c>
      <c r="U880">
        <v>78.186054849000001</v>
      </c>
      <c r="V880">
        <v>122.88639761899999</v>
      </c>
      <c r="W880">
        <v>29.322597287000001</v>
      </c>
      <c r="X880"/>
      <c r="Y880">
        <v>15.789337398000001</v>
      </c>
      <c r="Z880"/>
      <c r="AA880">
        <v>45.596879829999999</v>
      </c>
      <c r="AB880">
        <v>109.990834097</v>
      </c>
      <c r="AC880">
        <v>102.120073764</v>
      </c>
      <c r="AD880">
        <v>24.692942254999998</v>
      </c>
      <c r="AE880">
        <v>74.436253601000004</v>
      </c>
      <c r="AF880"/>
      <c r="AG880">
        <v>72.802410226000006</v>
      </c>
      <c r="AH880">
        <v>77.646720387000002</v>
      </c>
      <c r="AI880">
        <v>92.275446611999996</v>
      </c>
      <c r="AJ880"/>
      <c r="AK880">
        <v>67.376734198999998</v>
      </c>
      <c r="AL880">
        <v>25.561879861000001</v>
      </c>
      <c r="AM880">
        <v>109.808239927</v>
      </c>
      <c r="AN880"/>
      <c r="AO880">
        <v>35.886541264999998</v>
      </c>
      <c r="AP880">
        <v>67.043683993000002</v>
      </c>
      <c r="AQ880">
        <v>68.425122165000005</v>
      </c>
      <c r="AR880">
        <v>33.097241897000004</v>
      </c>
      <c r="AS880">
        <v>62.169576202000002</v>
      </c>
      <c r="AT880"/>
    </row>
    <row r="881" spans="1:46" x14ac:dyDescent="0.2">
      <c r="A881" s="87">
        <v>33695</v>
      </c>
      <c r="B881"/>
      <c r="C881"/>
      <c r="D881">
        <v>50.857547209000003</v>
      </c>
      <c r="E881">
        <v>62.686344255999998</v>
      </c>
      <c r="F881">
        <v>64.797758528000003</v>
      </c>
      <c r="G881">
        <v>66.546661002999997</v>
      </c>
      <c r="H881"/>
      <c r="I881"/>
      <c r="J881">
        <v>55.184267712</v>
      </c>
      <c r="K881">
        <v>55.168561435000001</v>
      </c>
      <c r="L881">
        <v>74.693775518999999</v>
      </c>
      <c r="M881">
        <v>86.106621345999997</v>
      </c>
      <c r="N881">
        <v>81.3</v>
      </c>
      <c r="O881">
        <v>98.687082239000006</v>
      </c>
      <c r="P881"/>
      <c r="Q881"/>
      <c r="R881">
        <v>62.003188459</v>
      </c>
      <c r="S881">
        <v>91.34</v>
      </c>
      <c r="T881">
        <v>76.329123146000001</v>
      </c>
      <c r="U881">
        <v>78.723785625000005</v>
      </c>
      <c r="V881">
        <v>120.480934963</v>
      </c>
      <c r="W881">
        <v>29.527650415</v>
      </c>
      <c r="X881"/>
      <c r="Y881">
        <v>15.551903752999999</v>
      </c>
      <c r="Z881"/>
      <c r="AA881">
        <v>45.666921119999998</v>
      </c>
      <c r="AB881">
        <v>110.290809099</v>
      </c>
      <c r="AC881">
        <v>101.613022753</v>
      </c>
      <c r="AD881">
        <v>24.424964586000002</v>
      </c>
      <c r="AE881">
        <v>71.719039034000005</v>
      </c>
      <c r="AF881"/>
      <c r="AG881">
        <v>70.488927477999994</v>
      </c>
      <c r="AH881">
        <v>79.566302730999993</v>
      </c>
      <c r="AI881">
        <v>93.696750885</v>
      </c>
      <c r="AJ881"/>
      <c r="AK881">
        <v>67.437062273999999</v>
      </c>
      <c r="AL881">
        <v>25.773213894000001</v>
      </c>
      <c r="AM881">
        <v>110.82242617199999</v>
      </c>
      <c r="AN881"/>
      <c r="AO881">
        <v>33.228593255</v>
      </c>
      <c r="AP881">
        <v>67.434381451999997</v>
      </c>
      <c r="AQ881">
        <v>69.643373599</v>
      </c>
      <c r="AR881">
        <v>33.097241897000004</v>
      </c>
      <c r="AS881">
        <v>62.641183339000001</v>
      </c>
      <c r="AT881"/>
    </row>
    <row r="882" spans="1:46" x14ac:dyDescent="0.2">
      <c r="A882" s="87">
        <v>33725</v>
      </c>
      <c r="B882"/>
      <c r="C882"/>
      <c r="D882">
        <v>52.213012507000002</v>
      </c>
      <c r="E882">
        <v>62.287512692999996</v>
      </c>
      <c r="F882">
        <v>63.314510364999997</v>
      </c>
      <c r="G882">
        <v>66.201277743000006</v>
      </c>
      <c r="H882"/>
      <c r="I882"/>
      <c r="J882">
        <v>55.707510391</v>
      </c>
      <c r="K882">
        <v>53.860030535</v>
      </c>
      <c r="L882">
        <v>74.193817182000004</v>
      </c>
      <c r="M882">
        <v>85.453473775000006</v>
      </c>
      <c r="N882">
        <v>80.8</v>
      </c>
      <c r="O882">
        <v>97.875081562999995</v>
      </c>
      <c r="P882"/>
      <c r="Q882"/>
      <c r="R882">
        <v>61.980816750999999</v>
      </c>
      <c r="S882">
        <v>91.36</v>
      </c>
      <c r="T882">
        <v>75.814698523000004</v>
      </c>
      <c r="U882">
        <v>77.110593296000005</v>
      </c>
      <c r="V882">
        <v>120.329155645</v>
      </c>
      <c r="W882">
        <v>29.029664246999999</v>
      </c>
      <c r="X882"/>
      <c r="Y882">
        <v>15.670620574999999</v>
      </c>
      <c r="Z882"/>
      <c r="AA882">
        <v>45.807003700000003</v>
      </c>
      <c r="AB882">
        <v>109.990834097</v>
      </c>
      <c r="AC882">
        <v>99.280588098999999</v>
      </c>
      <c r="AD882">
        <v>24.230980752000001</v>
      </c>
      <c r="AE882">
        <v>73.150846974999993</v>
      </c>
      <c r="AF882"/>
      <c r="AG882">
        <v>72.079446867000001</v>
      </c>
      <c r="AH882">
        <v>78.047597021000001</v>
      </c>
      <c r="AI882">
        <v>92.603439906000006</v>
      </c>
      <c r="AJ882"/>
      <c r="AK882">
        <v>67.137186729999996</v>
      </c>
      <c r="AL882">
        <v>24.681543158</v>
      </c>
      <c r="AM882">
        <v>112.64017431000001</v>
      </c>
      <c r="AN882"/>
      <c r="AO882">
        <v>31.202658576000001</v>
      </c>
      <c r="AP882">
        <v>66.965544500999997</v>
      </c>
      <c r="AQ882">
        <v>68.831205976000007</v>
      </c>
      <c r="AR882">
        <v>33.997166903</v>
      </c>
      <c r="AS882">
        <v>62.842097099</v>
      </c>
      <c r="AT882"/>
    </row>
    <row r="883" spans="1:46" x14ac:dyDescent="0.2">
      <c r="A883" s="87">
        <v>33756</v>
      </c>
      <c r="B883"/>
      <c r="C883"/>
      <c r="D883">
        <v>51.384420917</v>
      </c>
      <c r="E883">
        <v>63.230795448000002</v>
      </c>
      <c r="F883">
        <v>64.446693874000005</v>
      </c>
      <c r="G883">
        <v>66.437642069000006</v>
      </c>
      <c r="H883"/>
      <c r="I883"/>
      <c r="J883">
        <v>55.695302063</v>
      </c>
      <c r="K883">
        <v>52.889517771000001</v>
      </c>
      <c r="L883">
        <v>72.993917174000003</v>
      </c>
      <c r="M883">
        <v>87.086342701000007</v>
      </c>
      <c r="N883">
        <v>80</v>
      </c>
      <c r="O883">
        <v>96.495080412999997</v>
      </c>
      <c r="P883"/>
      <c r="Q883"/>
      <c r="R883">
        <v>62.170976267999997</v>
      </c>
      <c r="S883">
        <v>90.27</v>
      </c>
      <c r="T883">
        <v>76.012941616999996</v>
      </c>
      <c r="U883">
        <v>77.970962537999995</v>
      </c>
      <c r="V883">
        <v>122.16767627599999</v>
      </c>
      <c r="W883">
        <v>29.351890591</v>
      </c>
      <c r="X883"/>
      <c r="Y883">
        <v>15.373828519</v>
      </c>
      <c r="Z883"/>
      <c r="AA883">
        <v>45.456797250000001</v>
      </c>
      <c r="AB883">
        <v>109.79085076200001</v>
      </c>
      <c r="AC883">
        <v>101.308792145</v>
      </c>
      <c r="AD883">
        <v>24.563953003999998</v>
      </c>
      <c r="AE883">
        <v>72.016031807000005</v>
      </c>
      <c r="AF883"/>
      <c r="AG883">
        <v>72.224039539000003</v>
      </c>
      <c r="AH883">
        <v>78.248035337999994</v>
      </c>
      <c r="AI883">
        <v>93.696750885</v>
      </c>
      <c r="AJ883"/>
      <c r="AK883">
        <v>67.238147253999998</v>
      </c>
      <c r="AL883">
        <v>24.757032479999999</v>
      </c>
      <c r="AM883">
        <v>110.939318204</v>
      </c>
      <c r="AN883"/>
      <c r="AO883">
        <v>33.092396198000003</v>
      </c>
      <c r="AP883">
        <v>65.090196696999996</v>
      </c>
      <c r="AQ883">
        <v>68.222080259999998</v>
      </c>
      <c r="AR883">
        <v>33.197233564000001</v>
      </c>
      <c r="AS883">
        <v>62.876788671</v>
      </c>
      <c r="AT883"/>
    </row>
    <row r="884" spans="1:46" x14ac:dyDescent="0.2">
      <c r="A884" s="87">
        <v>33786</v>
      </c>
      <c r="B884"/>
      <c r="C884"/>
      <c r="D884">
        <v>49.354527097000002</v>
      </c>
      <c r="E884">
        <v>63.117973534999997</v>
      </c>
      <c r="F884">
        <v>64.455470489999996</v>
      </c>
      <c r="G884">
        <v>65.776949736999995</v>
      </c>
      <c r="H884"/>
      <c r="I884"/>
      <c r="J884">
        <v>58.126563419999997</v>
      </c>
      <c r="K884">
        <v>53.838897953999997</v>
      </c>
      <c r="L884">
        <v>71.694025498000002</v>
      </c>
      <c r="M884">
        <v>85.562331704000002</v>
      </c>
      <c r="N884">
        <v>79</v>
      </c>
      <c r="O884">
        <v>95.550079624999995</v>
      </c>
      <c r="P884"/>
      <c r="Q884"/>
      <c r="R884">
        <v>61.253736244000002</v>
      </c>
      <c r="S884">
        <v>89.96</v>
      </c>
      <c r="T884">
        <v>75.984386127999997</v>
      </c>
      <c r="U884">
        <v>78.508693313999999</v>
      </c>
      <c r="V884">
        <v>123.351725109</v>
      </c>
      <c r="W884">
        <v>28.912491030999998</v>
      </c>
      <c r="X884"/>
      <c r="Y884">
        <v>16.026771043</v>
      </c>
      <c r="Z884"/>
      <c r="AA884">
        <v>46.367334020999998</v>
      </c>
      <c r="AB884">
        <v>108.39096741900001</v>
      </c>
      <c r="AC884">
        <v>101.105971741</v>
      </c>
      <c r="AD884">
        <v>24.960919922999999</v>
      </c>
      <c r="AE884">
        <v>72.266983433999997</v>
      </c>
      <c r="AF884"/>
      <c r="AG884">
        <v>73.453077249000003</v>
      </c>
      <c r="AH884">
        <v>79.635685226000007</v>
      </c>
      <c r="AI884">
        <v>93.587419787000002</v>
      </c>
      <c r="AJ884"/>
      <c r="AK884">
        <v>67.433328265</v>
      </c>
      <c r="AL884">
        <v>26.059639512</v>
      </c>
      <c r="AM884">
        <v>109.32730956499999</v>
      </c>
      <c r="AN884"/>
      <c r="AO884">
        <v>33.367032696000003</v>
      </c>
      <c r="AP884">
        <v>65.715312632000007</v>
      </c>
      <c r="AQ884">
        <v>69.744894551000002</v>
      </c>
      <c r="AR884">
        <v>33.797183568000001</v>
      </c>
      <c r="AS884">
        <v>63.448902246999999</v>
      </c>
      <c r="AT884"/>
    </row>
    <row r="885" spans="1:46" x14ac:dyDescent="0.2">
      <c r="A885" s="87">
        <v>33817</v>
      </c>
      <c r="B885"/>
      <c r="C885"/>
      <c r="D885">
        <v>49.606927747999997</v>
      </c>
      <c r="E885">
        <v>61.964748505999999</v>
      </c>
      <c r="F885">
        <v>64.095629220000006</v>
      </c>
      <c r="G885">
        <v>66.224773202999998</v>
      </c>
      <c r="H885"/>
      <c r="I885"/>
      <c r="J885">
        <v>56.9062731</v>
      </c>
      <c r="K885">
        <v>54.113912145</v>
      </c>
      <c r="L885">
        <v>71.894008833000001</v>
      </c>
      <c r="M885">
        <v>85.888905488999995</v>
      </c>
      <c r="N885">
        <v>78.900000000000006</v>
      </c>
      <c r="O885">
        <v>95.064079219999996</v>
      </c>
      <c r="P885"/>
      <c r="Q885"/>
      <c r="R885">
        <v>62.640782133999998</v>
      </c>
      <c r="S885">
        <v>90.23</v>
      </c>
      <c r="T885">
        <v>75.261329470999996</v>
      </c>
      <c r="U885">
        <v>78.401147159000004</v>
      </c>
      <c r="V885">
        <v>124.104860626</v>
      </c>
      <c r="W885">
        <v>27.008426272000001</v>
      </c>
      <c r="X885"/>
      <c r="Y885">
        <v>15.789337398000001</v>
      </c>
      <c r="Z885"/>
      <c r="AA885">
        <v>45.666921119999998</v>
      </c>
      <c r="AB885">
        <v>106.49112574</v>
      </c>
      <c r="AC885">
        <v>98.165075873000006</v>
      </c>
      <c r="AD885">
        <v>24.757936838999999</v>
      </c>
      <c r="AE885">
        <v>71.293762164</v>
      </c>
      <c r="AF885"/>
      <c r="AG885">
        <v>72.151743202999995</v>
      </c>
      <c r="AH885">
        <v>76.582855472999995</v>
      </c>
      <c r="AI885">
        <v>95.664710647000007</v>
      </c>
      <c r="AJ885"/>
      <c r="AK885">
        <v>66.685909159000005</v>
      </c>
      <c r="AL885">
        <v>25.726196382000001</v>
      </c>
      <c r="AM885">
        <v>99.782305765999993</v>
      </c>
      <c r="AN885"/>
      <c r="AO885">
        <v>32.733715902</v>
      </c>
      <c r="AP885">
        <v>64.465080763000003</v>
      </c>
      <c r="AQ885">
        <v>70.557062173000006</v>
      </c>
      <c r="AR885">
        <v>32.597283560000001</v>
      </c>
      <c r="AS885">
        <v>63.104167142999998</v>
      </c>
      <c r="AT885"/>
    </row>
    <row r="886" spans="1:46" x14ac:dyDescent="0.2">
      <c r="A886" s="87">
        <v>33848</v>
      </c>
      <c r="B886"/>
      <c r="C886"/>
      <c r="D886">
        <v>49.580559739999998</v>
      </c>
      <c r="E886">
        <v>61.953638619000003</v>
      </c>
      <c r="F886">
        <v>65.631537081000005</v>
      </c>
      <c r="G886">
        <v>66.593651922999996</v>
      </c>
      <c r="H886"/>
      <c r="I886"/>
      <c r="J886">
        <v>59.538842459999998</v>
      </c>
      <c r="K886">
        <v>54.694651882999999</v>
      </c>
      <c r="L886">
        <v>71.294058828000004</v>
      </c>
      <c r="M886">
        <v>86.215479274000003</v>
      </c>
      <c r="N886">
        <v>78.2</v>
      </c>
      <c r="O886">
        <v>94.545078787999998</v>
      </c>
      <c r="P886"/>
      <c r="Q886"/>
      <c r="R886">
        <v>62.193347975999998</v>
      </c>
      <c r="S886">
        <v>88.96</v>
      </c>
      <c r="T886">
        <v>75.868918433999994</v>
      </c>
      <c r="U886">
        <v>78.938877934999994</v>
      </c>
      <c r="V886">
        <v>121.460770572</v>
      </c>
      <c r="W886">
        <v>29.322597287000001</v>
      </c>
      <c r="X886"/>
      <c r="Y886">
        <v>16.382921509999999</v>
      </c>
      <c r="Z886"/>
      <c r="AA886">
        <v>46.367334020999998</v>
      </c>
      <c r="AB886">
        <v>105.691192401</v>
      </c>
      <c r="AC886">
        <v>101.91725336</v>
      </c>
      <c r="AD886">
        <v>24.424964586000002</v>
      </c>
      <c r="AE886">
        <v>73.823295896999994</v>
      </c>
      <c r="AF886"/>
      <c r="AG886">
        <v>73.525373584999997</v>
      </c>
      <c r="AH886">
        <v>76.868094615999993</v>
      </c>
      <c r="AI886">
        <v>94.899392961999993</v>
      </c>
      <c r="AJ886"/>
      <c r="AK886">
        <v>67.293536810000006</v>
      </c>
      <c r="AL886">
        <v>25.592361777000001</v>
      </c>
      <c r="AM886">
        <v>106.370848955</v>
      </c>
      <c r="AN886"/>
      <c r="AO886">
        <v>34.195113775999999</v>
      </c>
      <c r="AP886">
        <v>64.699499238000001</v>
      </c>
      <c r="AQ886">
        <v>68.425122165000005</v>
      </c>
      <c r="AR886">
        <v>34.497125240000003</v>
      </c>
      <c r="AS886">
        <v>63.293583124999998</v>
      </c>
      <c r="AT886"/>
    </row>
    <row r="887" spans="1:46" x14ac:dyDescent="0.2">
      <c r="A887" s="87">
        <v>33878</v>
      </c>
      <c r="B887"/>
      <c r="C887"/>
      <c r="D887">
        <v>50.298535381000001</v>
      </c>
      <c r="E887">
        <v>61.232073362999998</v>
      </c>
      <c r="F887">
        <v>65.666643547000007</v>
      </c>
      <c r="G887">
        <v>67.393907287999994</v>
      </c>
      <c r="H887"/>
      <c r="I887"/>
      <c r="J887">
        <v>58.411996360000003</v>
      </c>
      <c r="K887">
        <v>54.302888013999997</v>
      </c>
      <c r="L887">
        <v>71.194067161000007</v>
      </c>
      <c r="M887">
        <v>85.453473775000006</v>
      </c>
      <c r="N887">
        <v>78.400000000000006</v>
      </c>
      <c r="O887">
        <v>94.193078494000005</v>
      </c>
      <c r="P887"/>
      <c r="Q887"/>
      <c r="R887">
        <v>62.383507493000003</v>
      </c>
      <c r="S887">
        <v>89.9</v>
      </c>
      <c r="T887">
        <v>75.685477191000004</v>
      </c>
      <c r="U887">
        <v>79.799247176999998</v>
      </c>
      <c r="V887">
        <v>121.639087862</v>
      </c>
      <c r="W887">
        <v>29.967049973999998</v>
      </c>
      <c r="X887"/>
      <c r="Y887">
        <v>16.501638332999999</v>
      </c>
      <c r="Z887"/>
      <c r="AA887">
        <v>46.717540471</v>
      </c>
      <c r="AB887">
        <v>106.391134072</v>
      </c>
      <c r="AC887">
        <v>98.773537086999994</v>
      </c>
      <c r="AD887">
        <v>24.424964586000002</v>
      </c>
      <c r="AE887">
        <v>74.620229284999994</v>
      </c>
      <c r="AF887"/>
      <c r="AG887">
        <v>72.296335874999997</v>
      </c>
      <c r="AH887">
        <v>81.516721739999994</v>
      </c>
      <c r="AI887">
        <v>93.259426493000007</v>
      </c>
      <c r="AJ887"/>
      <c r="AK887">
        <v>67.202397629000004</v>
      </c>
      <c r="AL887">
        <v>26.35823654</v>
      </c>
      <c r="AM887">
        <v>107.69539183800001</v>
      </c>
      <c r="AN887"/>
      <c r="AO887">
        <v>33.303861230000003</v>
      </c>
      <c r="AP887">
        <v>65.480894156000005</v>
      </c>
      <c r="AQ887">
        <v>68.323601213000003</v>
      </c>
      <c r="AR887">
        <v>34.597116907</v>
      </c>
      <c r="AS887">
        <v>63.742194705999999</v>
      </c>
      <c r="AT887"/>
    </row>
    <row r="888" spans="1:46" x14ac:dyDescent="0.2">
      <c r="A888" s="87">
        <v>33909</v>
      </c>
      <c r="B888"/>
      <c r="C888"/>
      <c r="D888">
        <v>49.063899239999998</v>
      </c>
      <c r="E888">
        <v>60.597511251999997</v>
      </c>
      <c r="F888">
        <v>66.974359383000007</v>
      </c>
      <c r="G888">
        <v>67.572002874000006</v>
      </c>
      <c r="H888"/>
      <c r="I888"/>
      <c r="J888">
        <v>57.691468395000001</v>
      </c>
      <c r="K888">
        <v>54.481277505999998</v>
      </c>
      <c r="L888">
        <v>70.094158820000004</v>
      </c>
      <c r="M888">
        <v>82.623167637999998</v>
      </c>
      <c r="N888">
        <v>77.7</v>
      </c>
      <c r="O888">
        <v>92.168076807000006</v>
      </c>
      <c r="P888"/>
      <c r="Q888"/>
      <c r="R888">
        <v>62.830941651000003</v>
      </c>
      <c r="S888">
        <v>88.72</v>
      </c>
      <c r="T888">
        <v>75.349406983999998</v>
      </c>
      <c r="U888">
        <v>78.723785625000005</v>
      </c>
      <c r="V888">
        <v>122.19001194800001</v>
      </c>
      <c r="W888">
        <v>29.205424070999999</v>
      </c>
      <c r="X888"/>
      <c r="Y888">
        <v>16.442279922000001</v>
      </c>
      <c r="Z888"/>
      <c r="AA888">
        <v>46.997705631000002</v>
      </c>
      <c r="AB888">
        <v>107.09107574399999</v>
      </c>
      <c r="AC888">
        <v>97.556614659000005</v>
      </c>
      <c r="AD888">
        <v>24.498958420000001</v>
      </c>
      <c r="AE888">
        <v>73.302171646000005</v>
      </c>
      <c r="AF888"/>
      <c r="AG888">
        <v>72.079446867000001</v>
      </c>
      <c r="AH888">
        <v>77.762357876999999</v>
      </c>
      <c r="AI888">
        <v>92.603439906000006</v>
      </c>
      <c r="AJ888"/>
      <c r="AK888">
        <v>66.823847689999994</v>
      </c>
      <c r="AL888">
        <v>26.282396846000001</v>
      </c>
      <c r="AM888">
        <v>107.47678352200001</v>
      </c>
      <c r="AN888"/>
      <c r="AO888">
        <v>32.557996060000001</v>
      </c>
      <c r="AP888">
        <v>64.933917714000003</v>
      </c>
      <c r="AQ888">
        <v>66.902307874000002</v>
      </c>
      <c r="AR888">
        <v>34.497125240000003</v>
      </c>
      <c r="AS888">
        <v>63.994055517</v>
      </c>
      <c r="AT888"/>
    </row>
    <row r="889" spans="1:46" x14ac:dyDescent="0.2">
      <c r="A889" s="87">
        <v>33939</v>
      </c>
      <c r="B889"/>
      <c r="C889"/>
      <c r="D889">
        <v>47.310665204000003</v>
      </c>
      <c r="E889">
        <v>59.849292147</v>
      </c>
      <c r="F889">
        <v>66.245900226000003</v>
      </c>
      <c r="G889">
        <v>67.730832183000004</v>
      </c>
      <c r="H889"/>
      <c r="I889"/>
      <c r="J889">
        <v>57.903092225000002</v>
      </c>
      <c r="K889">
        <v>52.286087919000003</v>
      </c>
      <c r="L889">
        <v>68.894258812000004</v>
      </c>
      <c r="M889">
        <v>81.643446281999999</v>
      </c>
      <c r="N889">
        <v>76.3</v>
      </c>
      <c r="O889">
        <v>90.511075426000005</v>
      </c>
      <c r="P889"/>
      <c r="Q889"/>
      <c r="R889">
        <v>62.663153842</v>
      </c>
      <c r="S889">
        <v>87.54</v>
      </c>
      <c r="T889">
        <v>74.994962629</v>
      </c>
      <c r="U889">
        <v>78.616239469000007</v>
      </c>
      <c r="V889">
        <v>121.01425727100001</v>
      </c>
      <c r="W889">
        <v>31.636768301</v>
      </c>
      <c r="X889"/>
      <c r="Y889">
        <v>15.255111696</v>
      </c>
      <c r="Z889"/>
      <c r="AA889">
        <v>47.908242401999999</v>
      </c>
      <c r="AB889">
        <v>105.291225731</v>
      </c>
      <c r="AC889">
        <v>97.150973848999996</v>
      </c>
      <c r="AD889">
        <v>24.627947671000001</v>
      </c>
      <c r="AE889">
        <v>69.285212779999995</v>
      </c>
      <c r="AF889"/>
      <c r="AG889">
        <v>71.501076179999998</v>
      </c>
      <c r="AH889">
        <v>74.509089806999995</v>
      </c>
      <c r="AI889">
        <v>94.352737472000001</v>
      </c>
      <c r="AJ889"/>
      <c r="AK889">
        <v>66.426764446000007</v>
      </c>
      <c r="AL889">
        <v>26.477284735000001</v>
      </c>
      <c r="AM889">
        <v>103.451908253</v>
      </c>
      <c r="AN889"/>
      <c r="AO889">
        <v>33.135967495999999</v>
      </c>
      <c r="AP889">
        <v>63.761825336000001</v>
      </c>
      <c r="AQ889">
        <v>66.902307874000002</v>
      </c>
      <c r="AR889">
        <v>33.597200233000002</v>
      </c>
      <c r="AS889">
        <v>64.078009120000004</v>
      </c>
      <c r="AT889"/>
    </row>
    <row r="890" spans="1:46" x14ac:dyDescent="0.2">
      <c r="A890" s="87">
        <v>33970</v>
      </c>
      <c r="B890"/>
      <c r="C890"/>
      <c r="D890">
        <v>49.242876396</v>
      </c>
      <c r="E890">
        <v>58.612635937</v>
      </c>
      <c r="F890">
        <v>67.597499143999997</v>
      </c>
      <c r="G890">
        <v>67.856767848000004</v>
      </c>
      <c r="H890"/>
      <c r="I890"/>
      <c r="J890">
        <v>56.839669139999998</v>
      </c>
      <c r="K890">
        <v>51.402527687999999</v>
      </c>
      <c r="L890">
        <v>68.094325472999998</v>
      </c>
      <c r="M890">
        <v>79.466287715000007</v>
      </c>
      <c r="N890">
        <v>76.7</v>
      </c>
      <c r="O890">
        <v>92.471077058999995</v>
      </c>
      <c r="P890"/>
      <c r="Q890"/>
      <c r="R890">
        <v>62.819755796999999</v>
      </c>
      <c r="S890">
        <v>87.43</v>
      </c>
      <c r="T890">
        <v>75.461987913000002</v>
      </c>
      <c r="U890">
        <v>78.723785625000005</v>
      </c>
      <c r="V890">
        <v>115.303997274</v>
      </c>
      <c r="W890">
        <v>27.594292352</v>
      </c>
      <c r="X890"/>
      <c r="Y890">
        <v>16.620355154999999</v>
      </c>
      <c r="Z890"/>
      <c r="AA890">
        <v>48.188407562000002</v>
      </c>
      <c r="AB890">
        <v>107.09107574399999</v>
      </c>
      <c r="AC890">
        <v>99.179177895999999</v>
      </c>
      <c r="AD890">
        <v>24.627947671000001</v>
      </c>
      <c r="AE890">
        <v>66.081841834000002</v>
      </c>
      <c r="AF890"/>
      <c r="AG890">
        <v>71.332967341</v>
      </c>
      <c r="AH890">
        <v>77.800903708000007</v>
      </c>
      <c r="AI890">
        <v>89.323506969999997</v>
      </c>
      <c r="AJ890"/>
      <c r="AK890">
        <v>66.794846870000001</v>
      </c>
      <c r="AL890">
        <v>25.735016895000001</v>
      </c>
      <c r="AM890">
        <v>106.38450176000001</v>
      </c>
      <c r="AN890">
        <v>77.425520378000002</v>
      </c>
      <c r="AO890">
        <v>33.679415222000003</v>
      </c>
      <c r="AP890">
        <v>66.184149583000007</v>
      </c>
      <c r="AQ890">
        <v>67.105349778999994</v>
      </c>
      <c r="AR890">
        <v>35.097075244000003</v>
      </c>
      <c r="AS890">
        <v>64.347810429000006</v>
      </c>
      <c r="AT890"/>
    </row>
    <row r="891" spans="1:46" x14ac:dyDescent="0.2">
      <c r="A891" s="87">
        <v>34001</v>
      </c>
      <c r="B891"/>
      <c r="C891"/>
      <c r="D891">
        <v>49.277076200000003</v>
      </c>
      <c r="E891">
        <v>59.168825146000003</v>
      </c>
      <c r="F891">
        <v>69.045640841999997</v>
      </c>
      <c r="G891">
        <v>68.844047072999999</v>
      </c>
      <c r="H891"/>
      <c r="I891"/>
      <c r="J891">
        <v>56.769439732999999</v>
      </c>
      <c r="K891">
        <v>51.820816072</v>
      </c>
      <c r="L891">
        <v>67.094408799000007</v>
      </c>
      <c r="M891">
        <v>80.772582854999996</v>
      </c>
      <c r="N891">
        <v>76.099999999999994</v>
      </c>
      <c r="O891">
        <v>90.937075781000004</v>
      </c>
      <c r="P891"/>
      <c r="Q891"/>
      <c r="R891">
        <v>63.132959708000001</v>
      </c>
      <c r="S891">
        <v>87.57</v>
      </c>
      <c r="T891">
        <v>75.582797022999998</v>
      </c>
      <c r="U891">
        <v>79.906793332000007</v>
      </c>
      <c r="V891">
        <v>119.40286392599999</v>
      </c>
      <c r="W891">
        <v>29.586237022999999</v>
      </c>
      <c r="X891"/>
      <c r="Y891">
        <v>16.620355154999999</v>
      </c>
      <c r="Z891"/>
      <c r="AA891">
        <v>49.028903043</v>
      </c>
      <c r="AB891">
        <v>106.791100742</v>
      </c>
      <c r="AC891">
        <v>99.381998300999996</v>
      </c>
      <c r="AD891">
        <v>24.359970002000001</v>
      </c>
      <c r="AE891">
        <v>70.244349958000001</v>
      </c>
      <c r="AF891"/>
      <c r="AG891">
        <v>72.280324750000005</v>
      </c>
      <c r="AH891">
        <v>77.754648711000002</v>
      </c>
      <c r="AI891">
        <v>92.494108807999993</v>
      </c>
      <c r="AJ891"/>
      <c r="AK891">
        <v>66.921048142000004</v>
      </c>
      <c r="AL891">
        <v>25.927277689</v>
      </c>
      <c r="AM891">
        <v>103.42843948399999</v>
      </c>
      <c r="AN891">
        <v>82.283211234000007</v>
      </c>
      <c r="AO891">
        <v>33.564437720000001</v>
      </c>
      <c r="AP891">
        <v>63.292988385000001</v>
      </c>
      <c r="AQ891">
        <v>66.191661203999999</v>
      </c>
      <c r="AR891">
        <v>35.197066911</v>
      </c>
      <c r="AS891">
        <v>64.640904649999996</v>
      </c>
      <c r="AT891"/>
    </row>
    <row r="892" spans="1:46" x14ac:dyDescent="0.2">
      <c r="A892" s="87">
        <v>34029</v>
      </c>
      <c r="B892"/>
      <c r="C892"/>
      <c r="D892">
        <v>49.343385095000002</v>
      </c>
      <c r="E892">
        <v>59.412603885999999</v>
      </c>
      <c r="F892">
        <v>68.799895585000002</v>
      </c>
      <c r="G892">
        <v>69.547971051999994</v>
      </c>
      <c r="H892"/>
      <c r="I892"/>
      <c r="J892">
        <v>57.780460791000003</v>
      </c>
      <c r="K892">
        <v>50.188150008000001</v>
      </c>
      <c r="L892">
        <v>67.194400466999994</v>
      </c>
      <c r="M892">
        <v>81.534588353999993</v>
      </c>
      <c r="N892">
        <v>75.900000000000006</v>
      </c>
      <c r="O892">
        <v>90.773075644000002</v>
      </c>
      <c r="P892"/>
      <c r="Q892"/>
      <c r="R892">
        <v>63.625137281999997</v>
      </c>
      <c r="S892">
        <v>87.16</v>
      </c>
      <c r="T892">
        <v>74.910028670000003</v>
      </c>
      <c r="U892">
        <v>79.261516400999994</v>
      </c>
      <c r="V892">
        <v>117.691906328</v>
      </c>
      <c r="W892">
        <v>30.435742837999999</v>
      </c>
      <c r="X892"/>
      <c r="Y892">
        <v>16.679713567</v>
      </c>
      <c r="Z892"/>
      <c r="AA892">
        <v>48.538614013</v>
      </c>
      <c r="AB892">
        <v>106.291142405</v>
      </c>
      <c r="AC892">
        <v>96.035461623000003</v>
      </c>
      <c r="AD892">
        <v>25.228897591999999</v>
      </c>
      <c r="AE892">
        <v>70.569405044999996</v>
      </c>
      <c r="AF892"/>
      <c r="AG892">
        <v>72.787195871999998</v>
      </c>
      <c r="AH892">
        <v>77.029987102999996</v>
      </c>
      <c r="AI892">
        <v>96.320697233999994</v>
      </c>
      <c r="AJ892"/>
      <c r="AK892">
        <v>66.510440336000002</v>
      </c>
      <c r="AL892">
        <v>26.147823425999999</v>
      </c>
      <c r="AM892">
        <v>106.450106612</v>
      </c>
      <c r="AN892">
        <v>83.571570152999996</v>
      </c>
      <c r="AO892">
        <v>31.820177931</v>
      </c>
      <c r="AP892">
        <v>62.980430417999997</v>
      </c>
      <c r="AQ892">
        <v>67.409912637999994</v>
      </c>
      <c r="AR892">
        <v>33.997166903</v>
      </c>
      <c r="AS892">
        <v>64.586290204999997</v>
      </c>
      <c r="AT892"/>
    </row>
    <row r="893" spans="1:46" x14ac:dyDescent="0.2">
      <c r="A893" s="87">
        <v>34060</v>
      </c>
      <c r="B893"/>
      <c r="C893"/>
      <c r="D893">
        <v>49.182673311000002</v>
      </c>
      <c r="E893">
        <v>59.662054159</v>
      </c>
      <c r="F893">
        <v>69.484471659999997</v>
      </c>
      <c r="G893">
        <v>69.235951344</v>
      </c>
      <c r="H893"/>
      <c r="I893"/>
      <c r="J893">
        <v>57.243834206000002</v>
      </c>
      <c r="K893">
        <v>51.385031142999999</v>
      </c>
      <c r="L893">
        <v>66.694442129999999</v>
      </c>
      <c r="M893">
        <v>82.405451780999996</v>
      </c>
      <c r="N893">
        <v>75.400000000000006</v>
      </c>
      <c r="O893">
        <v>90.591075493000005</v>
      </c>
      <c r="P893"/>
      <c r="Q893"/>
      <c r="R893">
        <v>64.094943147999999</v>
      </c>
      <c r="S893">
        <v>86.58</v>
      </c>
      <c r="T893">
        <v>75.201209152000004</v>
      </c>
      <c r="U893">
        <v>79.369062556000003</v>
      </c>
      <c r="V893">
        <v>119.04717747799999</v>
      </c>
      <c r="W893">
        <v>30.933729006</v>
      </c>
      <c r="X893"/>
      <c r="Y893">
        <v>16.620355154999999</v>
      </c>
      <c r="Z893"/>
      <c r="AA893">
        <v>48.118366272000003</v>
      </c>
      <c r="AB893">
        <v>106.09115907</v>
      </c>
      <c r="AC893">
        <v>97.860845265999998</v>
      </c>
      <c r="AD893">
        <v>25.089909173999999</v>
      </c>
      <c r="AE893">
        <v>70.145995244000005</v>
      </c>
      <c r="AF893"/>
      <c r="AG893">
        <v>72.388555858999993</v>
      </c>
      <c r="AH893">
        <v>76.189688004999994</v>
      </c>
      <c r="AI893">
        <v>95.992703939999998</v>
      </c>
      <c r="AJ893"/>
      <c r="AK893">
        <v>66.787730773999996</v>
      </c>
      <c r="AL893">
        <v>26.764987929</v>
      </c>
      <c r="AM893">
        <v>104.694312854</v>
      </c>
      <c r="AN893">
        <v>82.170937193</v>
      </c>
      <c r="AO893">
        <v>31.996074298</v>
      </c>
      <c r="AP893">
        <v>63.058569910000003</v>
      </c>
      <c r="AQ893">
        <v>66.699265968000006</v>
      </c>
      <c r="AR893">
        <v>35.697025248000003</v>
      </c>
      <c r="AS893">
        <v>64.774417642000003</v>
      </c>
      <c r="AT893"/>
    </row>
    <row r="894" spans="1:46" x14ac:dyDescent="0.2">
      <c r="A894" s="87">
        <v>34090</v>
      </c>
      <c r="B894"/>
      <c r="C894"/>
      <c r="D894">
        <v>49.236397375999999</v>
      </c>
      <c r="E894">
        <v>58.275178349000001</v>
      </c>
      <c r="F894">
        <v>71.134475534000003</v>
      </c>
      <c r="G894">
        <v>68.873651353</v>
      </c>
      <c r="H894"/>
      <c r="I894"/>
      <c r="J894">
        <v>56.562369732000001</v>
      </c>
      <c r="K894">
        <v>52.697555835000003</v>
      </c>
      <c r="L894">
        <v>66.694442129999999</v>
      </c>
      <c r="M894">
        <v>77.180271219000005</v>
      </c>
      <c r="N894">
        <v>75.3</v>
      </c>
      <c r="O894">
        <v>91.130075942000005</v>
      </c>
      <c r="P894"/>
      <c r="Q894"/>
      <c r="R894">
        <v>63.345490933000001</v>
      </c>
      <c r="S894">
        <v>86.48</v>
      </c>
      <c r="T894">
        <v>75.315016901999996</v>
      </c>
      <c r="U894">
        <v>80.014339487000001</v>
      </c>
      <c r="V894">
        <v>119.582352962</v>
      </c>
      <c r="W894">
        <v>30.084223189999999</v>
      </c>
      <c r="X894"/>
      <c r="Y894">
        <v>16.620355154999999</v>
      </c>
      <c r="Z894"/>
      <c r="AA894">
        <v>48.188407562000002</v>
      </c>
      <c r="AB894">
        <v>105.491209066</v>
      </c>
      <c r="AC894">
        <v>99.179177895999999</v>
      </c>
      <c r="AD894">
        <v>25.025914507</v>
      </c>
      <c r="AE894">
        <v>72.443601650000005</v>
      </c>
      <c r="AF894"/>
      <c r="AG894">
        <v>73.032584439000004</v>
      </c>
      <c r="AH894">
        <v>76.713911295000003</v>
      </c>
      <c r="AI894">
        <v>96.102035037999997</v>
      </c>
      <c r="AJ894"/>
      <c r="AK894">
        <v>66.915431780000006</v>
      </c>
      <c r="AL894">
        <v>27.692609118</v>
      </c>
      <c r="AM894">
        <v>102.767773787</v>
      </c>
      <c r="AN894">
        <v>82.164505671000001</v>
      </c>
      <c r="AO894">
        <v>31.719405149</v>
      </c>
      <c r="AP894">
        <v>62.902290925999999</v>
      </c>
      <c r="AQ894">
        <v>67.714475496000006</v>
      </c>
      <c r="AR894">
        <v>35.297058577999998</v>
      </c>
      <c r="AS894">
        <v>64.525629514000002</v>
      </c>
      <c r="AT894"/>
    </row>
    <row r="895" spans="1:46" x14ac:dyDescent="0.2">
      <c r="A895" s="87">
        <v>34121</v>
      </c>
      <c r="B895"/>
      <c r="C895"/>
      <c r="D895">
        <v>47.830525440000002</v>
      </c>
      <c r="E895">
        <v>59.20358538</v>
      </c>
      <c r="F895">
        <v>70.590325320000005</v>
      </c>
      <c r="G895">
        <v>69.265085714999998</v>
      </c>
      <c r="H895"/>
      <c r="I895"/>
      <c r="J895">
        <v>57.690667513000001</v>
      </c>
      <c r="K895">
        <v>50.926226051999997</v>
      </c>
      <c r="L895">
        <v>66.194483793000003</v>
      </c>
      <c r="M895">
        <v>82.296593852000001</v>
      </c>
      <c r="N895">
        <v>74.900000000000006</v>
      </c>
      <c r="O895">
        <v>90.592075492999996</v>
      </c>
      <c r="P895"/>
      <c r="Q895"/>
      <c r="R895">
        <v>65.213528542999995</v>
      </c>
      <c r="S895">
        <v>85.8</v>
      </c>
      <c r="T895">
        <v>74.905754518999998</v>
      </c>
      <c r="U895">
        <v>79.584154866000006</v>
      </c>
      <c r="V895">
        <v>120.39154661800001</v>
      </c>
      <c r="W895">
        <v>31.197368741999998</v>
      </c>
      <c r="X895"/>
      <c r="Y895">
        <v>16.204846276000001</v>
      </c>
      <c r="Z895"/>
      <c r="AA895">
        <v>49.028903043</v>
      </c>
      <c r="AB895">
        <v>105.091242396</v>
      </c>
      <c r="AC895">
        <v>97.353794253999993</v>
      </c>
      <c r="AD895">
        <v>25.293892176</v>
      </c>
      <c r="AE895">
        <v>71.846794485000004</v>
      </c>
      <c r="AF895"/>
      <c r="AG895">
        <v>72.051951072999998</v>
      </c>
      <c r="AH895">
        <v>75.966122189000004</v>
      </c>
      <c r="AI895">
        <v>92.384777709999994</v>
      </c>
      <c r="AJ895"/>
      <c r="AK895">
        <v>66.639554144000002</v>
      </c>
      <c r="AL895">
        <v>27.396388264999999</v>
      </c>
      <c r="AM895">
        <v>102.69425006900001</v>
      </c>
      <c r="AN895">
        <v>80.716148726</v>
      </c>
      <c r="AO895">
        <v>31.185923807000002</v>
      </c>
      <c r="AP895">
        <v>62.277174991000003</v>
      </c>
      <c r="AQ895">
        <v>68.222080259999998</v>
      </c>
      <c r="AR895">
        <v>36.096991916999997</v>
      </c>
      <c r="AS895">
        <v>64.667864957999996</v>
      </c>
      <c r="AT895"/>
    </row>
    <row r="896" spans="1:46" x14ac:dyDescent="0.2">
      <c r="A896" s="87">
        <v>34151</v>
      </c>
      <c r="B896"/>
      <c r="C896"/>
      <c r="D896">
        <v>48.827751038000002</v>
      </c>
      <c r="E896">
        <v>57.841004794</v>
      </c>
      <c r="F896">
        <v>71.002826288999998</v>
      </c>
      <c r="G896">
        <v>68.813972883999995</v>
      </c>
      <c r="H896"/>
      <c r="I896"/>
      <c r="J896">
        <v>58.478826964</v>
      </c>
      <c r="K896">
        <v>49.761683910999999</v>
      </c>
      <c r="L896">
        <v>64.694608783000007</v>
      </c>
      <c r="M896">
        <v>87.086342701000007</v>
      </c>
      <c r="N896">
        <v>74.5</v>
      </c>
      <c r="O896">
        <v>91.560076300000006</v>
      </c>
      <c r="P896"/>
      <c r="Q896"/>
      <c r="R896">
        <v>66.041281736000002</v>
      </c>
      <c r="S896">
        <v>86.98</v>
      </c>
      <c r="T896">
        <v>74.781714360999999</v>
      </c>
      <c r="U896">
        <v>80.229431797999993</v>
      </c>
      <c r="V896">
        <v>114.908925404</v>
      </c>
      <c r="W896">
        <v>31.724648212999998</v>
      </c>
      <c r="X896"/>
      <c r="Y896">
        <v>16.442279922000001</v>
      </c>
      <c r="Z896"/>
      <c r="AA896">
        <v>49.168985622999998</v>
      </c>
      <c r="AB896">
        <v>104.49129239200001</v>
      </c>
      <c r="AC896">
        <v>97.252384051999996</v>
      </c>
      <c r="AD896">
        <v>25.625864511</v>
      </c>
      <c r="AE896">
        <v>71.066954823000003</v>
      </c>
      <c r="AF896"/>
      <c r="AG896">
        <v>71.827091994</v>
      </c>
      <c r="AH896">
        <v>77.191879589999999</v>
      </c>
      <c r="AI896">
        <v>97.960663702000005</v>
      </c>
      <c r="AJ896"/>
      <c r="AK896">
        <v>66.593507739000003</v>
      </c>
      <c r="AL896">
        <v>26.261774033999998</v>
      </c>
      <c r="AM896">
        <v>103.80021303700001</v>
      </c>
      <c r="AN896">
        <v>77.781530598000003</v>
      </c>
      <c r="AO896">
        <v>30.381176454999999</v>
      </c>
      <c r="AP896">
        <v>62.667872449999997</v>
      </c>
      <c r="AQ896">
        <v>69.33881074</v>
      </c>
      <c r="AR896">
        <v>36.596950253999999</v>
      </c>
      <c r="AS896">
        <v>64.822490248999998</v>
      </c>
      <c r="AT896"/>
    </row>
    <row r="897" spans="1:46" x14ac:dyDescent="0.2">
      <c r="A897" s="87">
        <v>34182</v>
      </c>
      <c r="B897"/>
      <c r="C897"/>
      <c r="D897">
        <v>49.315457742</v>
      </c>
      <c r="E897">
        <v>58.921842087000002</v>
      </c>
      <c r="F897">
        <v>70.230484050000001</v>
      </c>
      <c r="G897">
        <v>69.747212551999993</v>
      </c>
      <c r="H897"/>
      <c r="I897"/>
      <c r="J897">
        <v>58.926981255000001</v>
      </c>
      <c r="K897">
        <v>49.919900964</v>
      </c>
      <c r="L897">
        <v>67.494375469000005</v>
      </c>
      <c r="M897">
        <v>85.888905488999995</v>
      </c>
      <c r="N897">
        <v>75.5</v>
      </c>
      <c r="O897">
        <v>89.635074696000004</v>
      </c>
      <c r="P897"/>
      <c r="Q897"/>
      <c r="R897">
        <v>65.582661724000005</v>
      </c>
      <c r="S897">
        <v>86.36</v>
      </c>
      <c r="T897">
        <v>75.037644645</v>
      </c>
      <c r="U897">
        <v>80.444524107999996</v>
      </c>
      <c r="V897">
        <v>117.36922452100001</v>
      </c>
      <c r="W897">
        <v>29.937756669999999</v>
      </c>
      <c r="X897"/>
      <c r="Y897">
        <v>16.620355154999999</v>
      </c>
      <c r="Z897"/>
      <c r="AA897">
        <v>48.888820463000002</v>
      </c>
      <c r="AB897">
        <v>104.59128406000001</v>
      </c>
      <c r="AC897">
        <v>96.339692229999997</v>
      </c>
      <c r="AD897">
        <v>25.228897591999999</v>
      </c>
      <c r="AE897">
        <v>64.441036683999997</v>
      </c>
      <c r="AF897"/>
      <c r="AG897">
        <v>71.626863108999999</v>
      </c>
      <c r="AH897">
        <v>76.505763811999998</v>
      </c>
      <c r="AI897">
        <v>98.944643583000001</v>
      </c>
      <c r="AJ897"/>
      <c r="AK897">
        <v>66.606332515000005</v>
      </c>
      <c r="AL897">
        <v>26.668099107</v>
      </c>
      <c r="AM897">
        <v>101.369202742</v>
      </c>
      <c r="AN897">
        <v>75.152671393000006</v>
      </c>
      <c r="AO897">
        <v>32.336452582</v>
      </c>
      <c r="AP897">
        <v>65.559033647999996</v>
      </c>
      <c r="AQ897">
        <v>69.643373599</v>
      </c>
      <c r="AR897">
        <v>34.297141904999997</v>
      </c>
      <c r="AS897">
        <v>64.750827373000007</v>
      </c>
      <c r="AT897"/>
    </row>
    <row r="898" spans="1:46" x14ac:dyDescent="0.2">
      <c r="A898" s="87">
        <v>34213</v>
      </c>
      <c r="B898"/>
      <c r="C898"/>
      <c r="D898">
        <v>49.481058922999999</v>
      </c>
      <c r="E898">
        <v>59.670056850000002</v>
      </c>
      <c r="F898">
        <v>69.949632327000003</v>
      </c>
      <c r="G898">
        <v>70.652257667000001</v>
      </c>
      <c r="H898"/>
      <c r="I898"/>
      <c r="J898">
        <v>58.353646441999999</v>
      </c>
      <c r="K898">
        <v>51.669578016999999</v>
      </c>
      <c r="L898">
        <v>67.194400466999994</v>
      </c>
      <c r="M898">
        <v>86.106621345999997</v>
      </c>
      <c r="N898">
        <v>75.8</v>
      </c>
      <c r="O898">
        <v>92.628077189999999</v>
      </c>
      <c r="P898"/>
      <c r="Q898"/>
      <c r="R898">
        <v>66.947335906000006</v>
      </c>
      <c r="S898">
        <v>86.93</v>
      </c>
      <c r="T898">
        <v>75.312336701999996</v>
      </c>
      <c r="U898">
        <v>80.767162573999997</v>
      </c>
      <c r="V898">
        <v>125.670300598</v>
      </c>
      <c r="W898">
        <v>30.465036141999999</v>
      </c>
      <c r="X898"/>
      <c r="Y898">
        <v>16.798430389</v>
      </c>
      <c r="Z898"/>
      <c r="AA898">
        <v>50.149563684</v>
      </c>
      <c r="AB898">
        <v>105.191234064</v>
      </c>
      <c r="AC898">
        <v>96.643922837000005</v>
      </c>
      <c r="AD898">
        <v>26.291809015999998</v>
      </c>
      <c r="AE898">
        <v>70.184848391000003</v>
      </c>
      <c r="AF898"/>
      <c r="AG898">
        <v>71.988756734000006</v>
      </c>
      <c r="AH898">
        <v>79.458374406999994</v>
      </c>
      <c r="AI898">
        <v>98.288656996</v>
      </c>
      <c r="AJ898"/>
      <c r="AK898">
        <v>67.200108276999998</v>
      </c>
      <c r="AL898">
        <v>27.059524870000001</v>
      </c>
      <c r="AM898">
        <v>104.203953181</v>
      </c>
      <c r="AN898">
        <v>73.909511429999995</v>
      </c>
      <c r="AO898">
        <v>31.711938034999999</v>
      </c>
      <c r="AP898">
        <v>65.012057205000005</v>
      </c>
      <c r="AQ898">
        <v>69.744894551000002</v>
      </c>
      <c r="AR898">
        <v>36.496958587000002</v>
      </c>
      <c r="AS898">
        <v>65.077621979</v>
      </c>
      <c r="AT898"/>
    </row>
    <row r="899" spans="1:46" x14ac:dyDescent="0.2">
      <c r="A899" s="87">
        <v>34243</v>
      </c>
      <c r="B899"/>
      <c r="C899"/>
      <c r="D899">
        <v>49.917443013000003</v>
      </c>
      <c r="E899">
        <v>59.233768161</v>
      </c>
      <c r="F899">
        <v>70.599101937</v>
      </c>
      <c r="G899">
        <v>70.671054034999997</v>
      </c>
      <c r="H899"/>
      <c r="I899"/>
      <c r="J899">
        <v>58.801983438999997</v>
      </c>
      <c r="K899">
        <v>50.877961501000001</v>
      </c>
      <c r="L899">
        <v>67.194400466999994</v>
      </c>
      <c r="M899">
        <v>80.990298711999998</v>
      </c>
      <c r="N899">
        <v>76</v>
      </c>
      <c r="O899">
        <v>93.377077814000003</v>
      </c>
      <c r="P899"/>
      <c r="Q899"/>
      <c r="R899">
        <v>67.607301289000006</v>
      </c>
      <c r="S899">
        <v>87.3</v>
      </c>
      <c r="T899">
        <v>75.417584277000003</v>
      </c>
      <c r="U899">
        <v>80.874708729000005</v>
      </c>
      <c r="V899">
        <v>119.583447902</v>
      </c>
      <c r="W899">
        <v>30.406449534</v>
      </c>
      <c r="X899"/>
      <c r="Y899">
        <v>16.739071977999998</v>
      </c>
      <c r="Z899"/>
      <c r="AA899">
        <v>50.569811424000001</v>
      </c>
      <c r="AB899">
        <v>105.091242396</v>
      </c>
      <c r="AC899">
        <v>95.832641218999996</v>
      </c>
      <c r="AD899">
        <v>26.088825930999999</v>
      </c>
      <c r="AE899">
        <v>69.777091949999999</v>
      </c>
      <c r="AF899"/>
      <c r="AG899">
        <v>71.942063043999994</v>
      </c>
      <c r="AH899">
        <v>79.373573579999999</v>
      </c>
      <c r="AI899">
        <v>100.584610051</v>
      </c>
      <c r="AJ899"/>
      <c r="AK899">
        <v>67.241917345000005</v>
      </c>
      <c r="AL899">
        <v>26.814559290999998</v>
      </c>
      <c r="AM899">
        <v>100.05092891699999</v>
      </c>
      <c r="AN899">
        <v>73.477178913000003</v>
      </c>
      <c r="AO899">
        <v>31.082346704999999</v>
      </c>
      <c r="AP899">
        <v>67.356241960000006</v>
      </c>
      <c r="AQ899">
        <v>69.744894551000002</v>
      </c>
      <c r="AR899">
        <v>36.896925256000003</v>
      </c>
      <c r="AS899">
        <v>65.580154174</v>
      </c>
      <c r="AT899"/>
    </row>
    <row r="900" spans="1:46" x14ac:dyDescent="0.2">
      <c r="A900" s="87">
        <v>34274</v>
      </c>
      <c r="B900"/>
      <c r="C900"/>
      <c r="D900">
        <v>49.820383878000001</v>
      </c>
      <c r="E900">
        <v>58.939075633000002</v>
      </c>
      <c r="F900">
        <v>70.169047735999996</v>
      </c>
      <c r="G900">
        <v>70.872175171999999</v>
      </c>
      <c r="H900"/>
      <c r="I900"/>
      <c r="J900">
        <v>60.534623545000002</v>
      </c>
      <c r="K900">
        <v>50.706300734999999</v>
      </c>
      <c r="L900">
        <v>66.594450461999998</v>
      </c>
      <c r="M900">
        <v>81.643446281999999</v>
      </c>
      <c r="N900">
        <v>75.900000000000006</v>
      </c>
      <c r="O900">
        <v>93.641078034000003</v>
      </c>
      <c r="P900"/>
      <c r="Q900"/>
      <c r="R900">
        <v>68.323195941999998</v>
      </c>
      <c r="S900">
        <v>86.71</v>
      </c>
      <c r="T900">
        <v>75.497544496000003</v>
      </c>
      <c r="U900">
        <v>81.627531816000001</v>
      </c>
      <c r="V900">
        <v>120.057058673</v>
      </c>
      <c r="W900">
        <v>31.255955350000001</v>
      </c>
      <c r="X900"/>
      <c r="Y900">
        <v>16.739071977999998</v>
      </c>
      <c r="Z900"/>
      <c r="AA900">
        <v>51.270224325000001</v>
      </c>
      <c r="AB900">
        <v>105.891175735</v>
      </c>
      <c r="AC900">
        <v>95.629820813999999</v>
      </c>
      <c r="AD900">
        <v>26.624781268</v>
      </c>
      <c r="AE900">
        <v>67.051198709999994</v>
      </c>
      <c r="AF900"/>
      <c r="AG900">
        <v>72.493404145</v>
      </c>
      <c r="AH900">
        <v>79.712776886</v>
      </c>
      <c r="AI900">
        <v>101.56858993199999</v>
      </c>
      <c r="AJ900"/>
      <c r="AK900">
        <v>67.366090385999996</v>
      </c>
      <c r="AL900">
        <v>27.514765486999998</v>
      </c>
      <c r="AM900">
        <v>103.067510633</v>
      </c>
      <c r="AN900">
        <v>71.088068577000001</v>
      </c>
      <c r="AO900">
        <v>32.328916198000002</v>
      </c>
      <c r="AP900">
        <v>65.402754665000003</v>
      </c>
      <c r="AQ900">
        <v>70.252499314999994</v>
      </c>
      <c r="AR900">
        <v>35.497041912999997</v>
      </c>
      <c r="AS900">
        <v>65.897235140000006</v>
      </c>
      <c r="AT900"/>
    </row>
    <row r="901" spans="1:46" x14ac:dyDescent="0.2">
      <c r="A901" s="87">
        <v>34304</v>
      </c>
      <c r="B901"/>
      <c r="C901"/>
      <c r="D901">
        <v>49.119801967000001</v>
      </c>
      <c r="E901">
        <v>59.536494853999997</v>
      </c>
      <c r="F901">
        <v>71.362667559000002</v>
      </c>
      <c r="G901">
        <v>70.241557028000003</v>
      </c>
      <c r="H901"/>
      <c r="I901"/>
      <c r="J901">
        <v>58.509853100999997</v>
      </c>
      <c r="K901">
        <v>50.766796002</v>
      </c>
      <c r="L901">
        <v>67.394383801000004</v>
      </c>
      <c r="M901">
        <v>79.792861500000001</v>
      </c>
      <c r="N901">
        <v>76</v>
      </c>
      <c r="O901">
        <v>93.864078219999996</v>
      </c>
      <c r="P901"/>
      <c r="Q901"/>
      <c r="R901">
        <v>68.614028145000006</v>
      </c>
      <c r="S901">
        <v>85.91</v>
      </c>
      <c r="T901">
        <v>75.594916708</v>
      </c>
      <c r="U901">
        <v>81.842624126000004</v>
      </c>
      <c r="V901">
        <v>118.745567503</v>
      </c>
      <c r="W901">
        <v>31.988287949</v>
      </c>
      <c r="X901"/>
      <c r="Y901">
        <v>17.213939268000001</v>
      </c>
      <c r="Z901"/>
      <c r="AA901">
        <v>51.270224325000001</v>
      </c>
      <c r="AB901">
        <v>105.79118406800001</v>
      </c>
      <c r="AC901">
        <v>94.919949398</v>
      </c>
      <c r="AD901">
        <v>27.224731272</v>
      </c>
      <c r="AE901">
        <v>70.402768391999999</v>
      </c>
      <c r="AF901"/>
      <c r="AG901">
        <v>73.876568473000006</v>
      </c>
      <c r="AH901">
        <v>74.909966440999995</v>
      </c>
      <c r="AI901">
        <v>100.91260334499999</v>
      </c>
      <c r="AJ901"/>
      <c r="AK901">
        <v>67.574579041999996</v>
      </c>
      <c r="AL901">
        <v>27.690554184</v>
      </c>
      <c r="AM901">
        <v>105.11013606500001</v>
      </c>
      <c r="AN901">
        <v>66.718890334999998</v>
      </c>
      <c r="AO901">
        <v>32.583797629000003</v>
      </c>
      <c r="AP901">
        <v>67.043683993000002</v>
      </c>
      <c r="AQ901">
        <v>71.572271701000005</v>
      </c>
      <c r="AR901">
        <v>38.296808599000002</v>
      </c>
      <c r="AS901">
        <v>66.250890932999994</v>
      </c>
      <c r="AT901"/>
    </row>
    <row r="902" spans="1:46" x14ac:dyDescent="0.2">
      <c r="A902" s="87">
        <v>34335</v>
      </c>
      <c r="B902"/>
      <c r="C902"/>
      <c r="D902">
        <v>49.565568218000003</v>
      </c>
      <c r="E902">
        <v>61.312516438999999</v>
      </c>
      <c r="F902">
        <v>72.459744603000004</v>
      </c>
      <c r="G902">
        <v>70.971326012999995</v>
      </c>
      <c r="H902"/>
      <c r="I902"/>
      <c r="J902">
        <v>57.647145715000001</v>
      </c>
      <c r="K902">
        <v>50.556450302000002</v>
      </c>
      <c r="L902">
        <v>67.094408799000007</v>
      </c>
      <c r="M902">
        <v>89.154643340000007</v>
      </c>
      <c r="N902">
        <v>76.099999999999994</v>
      </c>
      <c r="O902">
        <v>93.462077884999999</v>
      </c>
      <c r="P902"/>
      <c r="Q902"/>
      <c r="R902">
        <v>69.173320842999999</v>
      </c>
      <c r="S902">
        <v>87.51</v>
      </c>
      <c r="T902">
        <v>75.731270541000001</v>
      </c>
      <c r="U902">
        <v>82.272808746999999</v>
      </c>
      <c r="V902">
        <v>116.81833595000001</v>
      </c>
      <c r="W902">
        <v>32.134754469000001</v>
      </c>
      <c r="X902"/>
      <c r="Y902">
        <v>17.154580856999999</v>
      </c>
      <c r="Z902"/>
      <c r="AA902">
        <v>52.250802385999997</v>
      </c>
      <c r="AB902">
        <v>106.09115907</v>
      </c>
      <c r="AC902">
        <v>94.514308588000006</v>
      </c>
      <c r="AD902">
        <v>26.956753603999999</v>
      </c>
      <c r="AE902">
        <v>73.627542977000004</v>
      </c>
      <c r="AF902"/>
      <c r="AG902">
        <v>74.682736473999995</v>
      </c>
      <c r="AH902">
        <v>78.772258629000007</v>
      </c>
      <c r="AI902">
        <v>102.44323871500001</v>
      </c>
      <c r="AJ902"/>
      <c r="AK902">
        <v>67.866408754000005</v>
      </c>
      <c r="AL902">
        <v>28.567577920000002</v>
      </c>
      <c r="AM902">
        <v>103.258002026</v>
      </c>
      <c r="AN902">
        <v>60.632009896</v>
      </c>
      <c r="AO902">
        <v>32.010061076</v>
      </c>
      <c r="AP902">
        <v>65.480894156000005</v>
      </c>
      <c r="AQ902">
        <v>71.978355511999993</v>
      </c>
      <c r="AR902">
        <v>38.196816931999997</v>
      </c>
      <c r="AS902">
        <v>66.468654885000007</v>
      </c>
      <c r="AT902"/>
    </row>
    <row r="903" spans="1:46" x14ac:dyDescent="0.2">
      <c r="A903" s="87">
        <v>34366</v>
      </c>
      <c r="B903"/>
      <c r="C903"/>
      <c r="D903">
        <v>50.636255910999999</v>
      </c>
      <c r="E903">
        <v>60.866067389000001</v>
      </c>
      <c r="F903">
        <v>71.231018313999996</v>
      </c>
      <c r="G903">
        <v>71.166808239000005</v>
      </c>
      <c r="H903"/>
      <c r="I903"/>
      <c r="J903">
        <v>60.942811358999997</v>
      </c>
      <c r="K903">
        <v>49.866888183999997</v>
      </c>
      <c r="L903">
        <v>68.094325472999998</v>
      </c>
      <c r="M903">
        <v>87.412916486</v>
      </c>
      <c r="N903">
        <v>77.3</v>
      </c>
      <c r="O903">
        <v>96.489080408000007</v>
      </c>
      <c r="P903"/>
      <c r="Q903"/>
      <c r="R903">
        <v>69.520082314999996</v>
      </c>
      <c r="S903">
        <v>87.26</v>
      </c>
      <c r="T903">
        <v>76.150174681999999</v>
      </c>
      <c r="U903">
        <v>82.595447213</v>
      </c>
      <c r="V903">
        <v>118.91479094499999</v>
      </c>
      <c r="W903">
        <v>32.017581253000003</v>
      </c>
      <c r="X903"/>
      <c r="Y903">
        <v>18.22303226</v>
      </c>
      <c r="Z903"/>
      <c r="AA903">
        <v>53.231380446999999</v>
      </c>
      <c r="AB903">
        <v>107.791017415</v>
      </c>
      <c r="AC903">
        <v>95.325590207000005</v>
      </c>
      <c r="AD903">
        <v>27.021748188</v>
      </c>
      <c r="AE903">
        <v>72.142583129000002</v>
      </c>
      <c r="AF903"/>
      <c r="AG903">
        <v>75.008219455000003</v>
      </c>
      <c r="AH903">
        <v>80.475984323999995</v>
      </c>
      <c r="AI903">
        <v>103.864542988</v>
      </c>
      <c r="AJ903"/>
      <c r="AK903">
        <v>68.110512756000006</v>
      </c>
      <c r="AL903">
        <v>28.918752963999999</v>
      </c>
      <c r="AM903">
        <v>103.05304611</v>
      </c>
      <c r="AN903">
        <v>63.098219135000001</v>
      </c>
      <c r="AO903">
        <v>32.800266352999998</v>
      </c>
      <c r="AP903">
        <v>66.106010091000002</v>
      </c>
      <c r="AQ903">
        <v>73.501169804</v>
      </c>
      <c r="AR903">
        <v>34.097158569999998</v>
      </c>
      <c r="AS903">
        <v>66.514645997000002</v>
      </c>
      <c r="AT903"/>
    </row>
    <row r="904" spans="1:46" x14ac:dyDescent="0.2">
      <c r="A904" s="87">
        <v>34394</v>
      </c>
      <c r="B904"/>
      <c r="C904"/>
      <c r="D904">
        <v>49.680867454000001</v>
      </c>
      <c r="E904">
        <v>61.048658920000001</v>
      </c>
      <c r="F904">
        <v>71.924371006000001</v>
      </c>
      <c r="G904">
        <v>72.155027282999995</v>
      </c>
      <c r="H904"/>
      <c r="I904"/>
      <c r="J904">
        <v>60.486001627</v>
      </c>
      <c r="K904">
        <v>50.620164739000003</v>
      </c>
      <c r="L904">
        <v>67.794350471000001</v>
      </c>
      <c r="M904">
        <v>89.807790909999994</v>
      </c>
      <c r="N904">
        <v>77.3</v>
      </c>
      <c r="O904">
        <v>96.209080173999993</v>
      </c>
      <c r="P904"/>
      <c r="Q904"/>
      <c r="R904">
        <v>70.135304282000007</v>
      </c>
      <c r="S904">
        <v>87.24</v>
      </c>
      <c r="T904">
        <v>76.736411373999999</v>
      </c>
      <c r="U904">
        <v>82.918085677999997</v>
      </c>
      <c r="V904">
        <v>118.99106032</v>
      </c>
      <c r="W904">
        <v>31.988287949</v>
      </c>
      <c r="X904"/>
      <c r="Y904">
        <v>17.926240202999999</v>
      </c>
      <c r="Z904"/>
      <c r="AA904">
        <v>51.760513355000001</v>
      </c>
      <c r="AB904">
        <v>109.290892426</v>
      </c>
      <c r="AC904">
        <v>96.339692229999997</v>
      </c>
      <c r="AD904">
        <v>27.492708941</v>
      </c>
      <c r="AE904">
        <v>73.798923655999999</v>
      </c>
      <c r="AF904"/>
      <c r="AG904">
        <v>75.765272882999994</v>
      </c>
      <c r="AH904">
        <v>80.637876810999998</v>
      </c>
      <c r="AI904">
        <v>101.02193444300001</v>
      </c>
      <c r="AJ904"/>
      <c r="AK904">
        <v>68.542747925</v>
      </c>
      <c r="AL904">
        <v>29.361985554</v>
      </c>
      <c r="AM904">
        <v>103.086137818</v>
      </c>
      <c r="AN904">
        <v>61.571358144000001</v>
      </c>
      <c r="AO904">
        <v>33.183880743000003</v>
      </c>
      <c r="AP904">
        <v>68.684613322000004</v>
      </c>
      <c r="AQ904">
        <v>73.907253615000002</v>
      </c>
      <c r="AR904">
        <v>34.097158569999998</v>
      </c>
      <c r="AS904">
        <v>67.181913598999998</v>
      </c>
      <c r="AT904"/>
    </row>
    <row r="905" spans="1:46" x14ac:dyDescent="0.2">
      <c r="A905" s="87">
        <v>34425</v>
      </c>
      <c r="B905"/>
      <c r="C905"/>
      <c r="D905">
        <v>49.180359357999997</v>
      </c>
      <c r="E905">
        <v>59.958918584000003</v>
      </c>
      <c r="F905">
        <v>71.608412817000001</v>
      </c>
      <c r="G905">
        <v>72.660649579999998</v>
      </c>
      <c r="H905"/>
      <c r="I905"/>
      <c r="J905">
        <v>60.509650241999999</v>
      </c>
      <c r="K905">
        <v>51.290196162999997</v>
      </c>
      <c r="L905">
        <v>68.594283809999993</v>
      </c>
      <c r="M905">
        <v>86.650910988000007</v>
      </c>
      <c r="N905">
        <v>78.7</v>
      </c>
      <c r="O905">
        <v>97.807081506000003</v>
      </c>
      <c r="P905"/>
      <c r="Q905"/>
      <c r="R905">
        <v>71.421677486999997</v>
      </c>
      <c r="S905">
        <v>89.64</v>
      </c>
      <c r="T905">
        <v>77.514121166999999</v>
      </c>
      <c r="U905">
        <v>83.993547230999994</v>
      </c>
      <c r="V905">
        <v>120.17018437</v>
      </c>
      <c r="W905">
        <v>32.251927684999998</v>
      </c>
      <c r="X905">
        <v>26.962723091000001</v>
      </c>
      <c r="Y905">
        <v>18.460465905</v>
      </c>
      <c r="Z905"/>
      <c r="AA905">
        <v>51.900595936000002</v>
      </c>
      <c r="AB905">
        <v>111.09074243800001</v>
      </c>
      <c r="AC905">
        <v>97.252384051999996</v>
      </c>
      <c r="AD905">
        <v>27.354720440000001</v>
      </c>
      <c r="AE905">
        <v>74.639093591000005</v>
      </c>
      <c r="AF905"/>
      <c r="AG905">
        <v>78.013483563999998</v>
      </c>
      <c r="AH905">
        <v>80.514530155000003</v>
      </c>
      <c r="AI905">
        <v>100.693941149</v>
      </c>
      <c r="AJ905"/>
      <c r="AK905">
        <v>69.203947485</v>
      </c>
      <c r="AL905">
        <v>29.547579237000001</v>
      </c>
      <c r="AM905">
        <v>102.870073625</v>
      </c>
      <c r="AN905">
        <v>60.671438850000001</v>
      </c>
      <c r="AO905">
        <v>32.503534203999997</v>
      </c>
      <c r="AP905">
        <v>67.434381451999997</v>
      </c>
      <c r="AQ905">
        <v>74.211816472999999</v>
      </c>
      <c r="AR905">
        <v>32.097325222999999</v>
      </c>
      <c r="AS905">
        <v>67.589688244000001</v>
      </c>
      <c r="AT905"/>
    </row>
    <row r="906" spans="1:46" x14ac:dyDescent="0.2">
      <c r="A906" s="87">
        <v>34455</v>
      </c>
      <c r="B906"/>
      <c r="C906"/>
      <c r="D906">
        <v>52.135075630000003</v>
      </c>
      <c r="E906">
        <v>59.751754650000002</v>
      </c>
      <c r="F906">
        <v>73.451502250999994</v>
      </c>
      <c r="G906">
        <v>73.357055012000004</v>
      </c>
      <c r="H906"/>
      <c r="I906"/>
      <c r="J906">
        <v>60.251978569000002</v>
      </c>
      <c r="K906">
        <v>53.211793184000001</v>
      </c>
      <c r="L906">
        <v>68.294308807999997</v>
      </c>
      <c r="M906">
        <v>92.311523262999998</v>
      </c>
      <c r="N906">
        <v>78.5</v>
      </c>
      <c r="O906">
        <v>96.831080693000004</v>
      </c>
      <c r="P906"/>
      <c r="Q906"/>
      <c r="R906">
        <v>72.137572140000003</v>
      </c>
      <c r="S906">
        <v>89.58</v>
      </c>
      <c r="T906">
        <v>77.710406004999996</v>
      </c>
      <c r="U906">
        <v>85.069008783000001</v>
      </c>
      <c r="V906">
        <v>118.695839799</v>
      </c>
      <c r="W906">
        <v>32.662033940999997</v>
      </c>
      <c r="X906">
        <v>27.400253289999998</v>
      </c>
      <c r="Y906">
        <v>18.282390671000002</v>
      </c>
      <c r="Z906"/>
      <c r="AA906">
        <v>52.110719805999999</v>
      </c>
      <c r="AB906">
        <v>111.490709108</v>
      </c>
      <c r="AC906">
        <v>97.150973848999996</v>
      </c>
      <c r="AD906">
        <v>28.223648029</v>
      </c>
      <c r="AE906">
        <v>75.462408281999998</v>
      </c>
      <c r="AF906"/>
      <c r="AG906">
        <v>76.701639223000001</v>
      </c>
      <c r="AH906">
        <v>79.959470199999998</v>
      </c>
      <c r="AI906">
        <v>102.771232009</v>
      </c>
      <c r="AJ906"/>
      <c r="AK906">
        <v>69.353323079999996</v>
      </c>
      <c r="AL906">
        <v>29.851529160999998</v>
      </c>
      <c r="AM906">
        <v>103.77448814</v>
      </c>
      <c r="AN906">
        <v>59.543222030000003</v>
      </c>
      <c r="AO906">
        <v>33.812539217999998</v>
      </c>
      <c r="AP906">
        <v>69.544147731999999</v>
      </c>
      <c r="AQ906">
        <v>74.922463143000002</v>
      </c>
      <c r="AR906">
        <v>31.897341888</v>
      </c>
      <c r="AS906">
        <v>67.909841892000003</v>
      </c>
      <c r="AT906"/>
    </row>
    <row r="907" spans="1:46" x14ac:dyDescent="0.2">
      <c r="A907" s="87">
        <v>34486</v>
      </c>
      <c r="B907"/>
      <c r="C907"/>
      <c r="D907">
        <v>50.779588836000002</v>
      </c>
      <c r="E907">
        <v>60.129899715999997</v>
      </c>
      <c r="F907">
        <v>73.741130591000001</v>
      </c>
      <c r="G907">
        <v>74.309560957000002</v>
      </c>
      <c r="H907"/>
      <c r="I907"/>
      <c r="J907">
        <v>60.663422179000001</v>
      </c>
      <c r="K907">
        <v>52.833651336000003</v>
      </c>
      <c r="L907">
        <v>68.794267144000003</v>
      </c>
      <c r="M907">
        <v>92.093807405999996</v>
      </c>
      <c r="N907">
        <v>79.099999999999994</v>
      </c>
      <c r="O907">
        <v>98.482082067999997</v>
      </c>
      <c r="P907"/>
      <c r="Q907"/>
      <c r="R907">
        <v>72.685678984000006</v>
      </c>
      <c r="S907">
        <v>90.05</v>
      </c>
      <c r="T907">
        <v>78.272189432000005</v>
      </c>
      <c r="U907">
        <v>84.101093386000002</v>
      </c>
      <c r="V907">
        <v>119.09808092999999</v>
      </c>
      <c r="W907">
        <v>33.013553588999997</v>
      </c>
      <c r="X907">
        <v>28.105395483999999</v>
      </c>
      <c r="Y907">
        <v>18.994691606</v>
      </c>
      <c r="Z907"/>
      <c r="AA907">
        <v>52.530967545999999</v>
      </c>
      <c r="AB907">
        <v>112.59061744900001</v>
      </c>
      <c r="AC907">
        <v>98.367896277</v>
      </c>
      <c r="AD907">
        <v>28.620614949</v>
      </c>
      <c r="AE907">
        <v>73.268365024999994</v>
      </c>
      <c r="AF907"/>
      <c r="AG907">
        <v>76.999232479</v>
      </c>
      <c r="AH907">
        <v>80.183036014999999</v>
      </c>
      <c r="AI907">
        <v>106.597820435</v>
      </c>
      <c r="AJ907"/>
      <c r="AK907">
        <v>69.770905482000003</v>
      </c>
      <c r="AL907">
        <v>30.141191290999998</v>
      </c>
      <c r="AM907">
        <v>102.79545830000001</v>
      </c>
      <c r="AN907">
        <v>59.099679858999998</v>
      </c>
      <c r="AO907">
        <v>34.202222831999997</v>
      </c>
      <c r="AP907">
        <v>71.575774519000007</v>
      </c>
      <c r="AQ907">
        <v>76.039193623000003</v>
      </c>
      <c r="AR907">
        <v>30.197483543000001</v>
      </c>
      <c r="AS907">
        <v>68.353101058999997</v>
      </c>
      <c r="AT907"/>
    </row>
    <row r="908" spans="1:46" x14ac:dyDescent="0.2">
      <c r="A908" s="87">
        <v>34516</v>
      </c>
      <c r="B908"/>
      <c r="C908"/>
      <c r="D908">
        <v>51.031849238</v>
      </c>
      <c r="E908">
        <v>55.010369787999998</v>
      </c>
      <c r="F908">
        <v>74.083418628999993</v>
      </c>
      <c r="G908">
        <v>74.292174316000001</v>
      </c>
      <c r="H908"/>
      <c r="I908"/>
      <c r="J908">
        <v>58.855340333999997</v>
      </c>
      <c r="K908">
        <v>53.41689152</v>
      </c>
      <c r="L908">
        <v>68.494292142000006</v>
      </c>
      <c r="M908">
        <v>91.005228122999995</v>
      </c>
      <c r="N908">
        <v>79.3</v>
      </c>
      <c r="O908">
        <v>100.127083439</v>
      </c>
      <c r="P908"/>
      <c r="Q908"/>
      <c r="R908">
        <v>73.401573636999998</v>
      </c>
      <c r="S908">
        <v>90.85</v>
      </c>
      <c r="T908">
        <v>78.535187590999996</v>
      </c>
      <c r="U908">
        <v>84.531278006999997</v>
      </c>
      <c r="V908">
        <v>120.80139704699999</v>
      </c>
      <c r="W908">
        <v>33.39436654</v>
      </c>
      <c r="X908">
        <v>28.357210250000001</v>
      </c>
      <c r="Y908">
        <v>18.401107493000001</v>
      </c>
      <c r="Z908"/>
      <c r="AA908">
        <v>53.161339157</v>
      </c>
      <c r="AB908">
        <v>112.790600783</v>
      </c>
      <c r="AC908">
        <v>99.381998300999996</v>
      </c>
      <c r="AD908">
        <v>27.557703525000001</v>
      </c>
      <c r="AE908">
        <v>71.879657979000001</v>
      </c>
      <c r="AF908"/>
      <c r="AG908">
        <v>77.086995122000005</v>
      </c>
      <c r="AH908">
        <v>81.046462611999999</v>
      </c>
      <c r="AI908">
        <v>102.771232009</v>
      </c>
      <c r="AJ908"/>
      <c r="AK908">
        <v>69.929430843000006</v>
      </c>
      <c r="AL908">
        <v>30.643119865999999</v>
      </c>
      <c r="AM908">
        <v>103.036233447</v>
      </c>
      <c r="AN908">
        <v>58.464274523</v>
      </c>
      <c r="AO908">
        <v>35.590502467999997</v>
      </c>
      <c r="AP908">
        <v>70.247403157999997</v>
      </c>
      <c r="AQ908">
        <v>74.110295519999994</v>
      </c>
      <c r="AR908">
        <v>31.197400216999998</v>
      </c>
      <c r="AS908">
        <v>68.445083283000002</v>
      </c>
      <c r="AT908"/>
    </row>
    <row r="909" spans="1:46" x14ac:dyDescent="0.2">
      <c r="A909" s="87">
        <v>34547</v>
      </c>
      <c r="B909"/>
      <c r="C909"/>
      <c r="D909">
        <v>51.013803267</v>
      </c>
      <c r="E909">
        <v>61.842340579999998</v>
      </c>
      <c r="F909">
        <v>77.488745773000005</v>
      </c>
      <c r="G909">
        <v>74.940179099999995</v>
      </c>
      <c r="H909"/>
      <c r="I909"/>
      <c r="J909">
        <v>61.490477683999998</v>
      </c>
      <c r="K909">
        <v>53.189958154000003</v>
      </c>
      <c r="L909">
        <v>68.494292142000006</v>
      </c>
      <c r="M909">
        <v>87.195200628999999</v>
      </c>
      <c r="N909">
        <v>79.599999999999994</v>
      </c>
      <c r="O909">
        <v>99.860083216999996</v>
      </c>
      <c r="P909"/>
      <c r="Q909"/>
      <c r="R909">
        <v>73.401573636999998</v>
      </c>
      <c r="S909">
        <v>91.36</v>
      </c>
      <c r="T909">
        <v>78.984678865999996</v>
      </c>
      <c r="U909">
        <v>84.853916471999995</v>
      </c>
      <c r="V909">
        <v>121.81353892600001</v>
      </c>
      <c r="W909">
        <v>33.921646011999997</v>
      </c>
      <c r="X909">
        <v>28.526279742</v>
      </c>
      <c r="Y909">
        <v>19.172766840000001</v>
      </c>
      <c r="Z909"/>
      <c r="AA909">
        <v>54.352041088</v>
      </c>
      <c r="AB909">
        <v>113.190567453</v>
      </c>
      <c r="AC909">
        <v>100.19327991999999</v>
      </c>
      <c r="AD909">
        <v>28.287642695999999</v>
      </c>
      <c r="AE909">
        <v>77.767559801999994</v>
      </c>
      <c r="AF909"/>
      <c r="AG909">
        <v>77.599518601</v>
      </c>
      <c r="AH909">
        <v>81.539849238000002</v>
      </c>
      <c r="AI909">
        <v>96.758021626000001</v>
      </c>
      <c r="AJ909"/>
      <c r="AK909">
        <v>70.587562800000001</v>
      </c>
      <c r="AL909">
        <v>31.656809378999998</v>
      </c>
      <c r="AM909">
        <v>103.302822386</v>
      </c>
      <c r="AN909">
        <v>59.237692549999998</v>
      </c>
      <c r="AO909">
        <v>33.715614125000002</v>
      </c>
      <c r="AP909">
        <v>70.091124175000004</v>
      </c>
      <c r="AQ909">
        <v>75.633109812000001</v>
      </c>
      <c r="AR909">
        <v>33.397216899</v>
      </c>
      <c r="AS909">
        <v>68.894884289999993</v>
      </c>
      <c r="AT909"/>
    </row>
    <row r="910" spans="1:46" x14ac:dyDescent="0.2">
      <c r="A910" s="87">
        <v>34578</v>
      </c>
      <c r="B910"/>
      <c r="C910"/>
      <c r="D910">
        <v>50.932774805000001</v>
      </c>
      <c r="E910">
        <v>61.068409936000002</v>
      </c>
      <c r="F910">
        <v>77.918799974999999</v>
      </c>
      <c r="G910">
        <v>75.593822794999994</v>
      </c>
      <c r="H910"/>
      <c r="I910"/>
      <c r="J910">
        <v>60.871103992999998</v>
      </c>
      <c r="K910">
        <v>53.110889165000003</v>
      </c>
      <c r="L910">
        <v>69.494208815999997</v>
      </c>
      <c r="M910">
        <v>88.936927483000005</v>
      </c>
      <c r="N910">
        <v>80</v>
      </c>
      <c r="O910">
        <v>100.04708337300001</v>
      </c>
      <c r="P910"/>
      <c r="Q910"/>
      <c r="R910">
        <v>75.146566852999996</v>
      </c>
      <c r="S910">
        <v>91.07</v>
      </c>
      <c r="T910">
        <v>79.140493337999999</v>
      </c>
      <c r="U910">
        <v>85.714285713999999</v>
      </c>
      <c r="V910">
        <v>126.64784790500001</v>
      </c>
      <c r="W910">
        <v>34.273165659999997</v>
      </c>
      <c r="X910">
        <v>28.655823577</v>
      </c>
      <c r="Y910">
        <v>18.22303226</v>
      </c>
      <c r="Z910"/>
      <c r="AA910">
        <v>53.371463026999997</v>
      </c>
      <c r="AB910">
        <v>113.79051745700001</v>
      </c>
      <c r="AC910">
        <v>99.179177895999999</v>
      </c>
      <c r="AD910">
        <v>29.221564870000002</v>
      </c>
      <c r="AE910">
        <v>71.730591125999993</v>
      </c>
      <c r="AF910"/>
      <c r="AG910">
        <v>77.195041508000003</v>
      </c>
      <c r="AH910">
        <v>82.071781694999999</v>
      </c>
      <c r="AI910">
        <v>104.19253628200001</v>
      </c>
      <c r="AJ910"/>
      <c r="AK910">
        <v>70.756406760000004</v>
      </c>
      <c r="AL910">
        <v>31.209362241000001</v>
      </c>
      <c r="AM910">
        <v>106.245196721</v>
      </c>
      <c r="AN910">
        <v>58.443565499000002</v>
      </c>
      <c r="AO910">
        <v>32.654890025</v>
      </c>
      <c r="AP910">
        <v>68.059497386999993</v>
      </c>
      <c r="AQ910">
        <v>79.084822205999998</v>
      </c>
      <c r="AR910">
        <v>33.997166903</v>
      </c>
      <c r="AS910">
        <v>69.115919160999994</v>
      </c>
      <c r="AT910"/>
    </row>
    <row r="911" spans="1:46" x14ac:dyDescent="0.2">
      <c r="A911" s="87">
        <v>34608</v>
      </c>
      <c r="B911"/>
      <c r="C911"/>
      <c r="D911">
        <v>52.855861822000001</v>
      </c>
      <c r="E911">
        <v>60.650435238</v>
      </c>
      <c r="F911">
        <v>77.971459672999998</v>
      </c>
      <c r="G911">
        <v>75.340071828000006</v>
      </c>
      <c r="H911"/>
      <c r="I911"/>
      <c r="J911">
        <v>60.989990669999997</v>
      </c>
      <c r="K911">
        <v>51.664087309999999</v>
      </c>
      <c r="L911">
        <v>70.794100491999998</v>
      </c>
      <c r="M911">
        <v>90.243222623999998</v>
      </c>
      <c r="N911">
        <v>80.900000000000006</v>
      </c>
      <c r="O911">
        <v>100.94308411900001</v>
      </c>
      <c r="P911"/>
      <c r="Q911"/>
      <c r="R911">
        <v>75.470956618000002</v>
      </c>
      <c r="S911">
        <v>91.95</v>
      </c>
      <c r="T911">
        <v>79.790904983999994</v>
      </c>
      <c r="U911">
        <v>85.821831869999997</v>
      </c>
      <c r="V911">
        <v>122.37512372400001</v>
      </c>
      <c r="W911">
        <v>34.185285747999998</v>
      </c>
      <c r="X911">
        <v>29.139083267</v>
      </c>
      <c r="Y911">
        <v>19.350842073999999</v>
      </c>
      <c r="Z911"/>
      <c r="AA911">
        <v>54.702247538000002</v>
      </c>
      <c r="AB911">
        <v>113.490542455</v>
      </c>
      <c r="AC911">
        <v>100.19327991999999</v>
      </c>
      <c r="AD911">
        <v>29.618531788999999</v>
      </c>
      <c r="AE911">
        <v>72.718174525999999</v>
      </c>
      <c r="AF911"/>
      <c r="AG911">
        <v>77.246818908999998</v>
      </c>
      <c r="AH911">
        <v>85.463814753999998</v>
      </c>
      <c r="AI911">
        <v>106.051164946</v>
      </c>
      <c r="AJ911"/>
      <c r="AK911">
        <v>71.286569865000004</v>
      </c>
      <c r="AL911">
        <v>30.557767229</v>
      </c>
      <c r="AM911">
        <v>102.28036701400001</v>
      </c>
      <c r="AN911">
        <v>59.464008274000001</v>
      </c>
      <c r="AO911">
        <v>33.646246605000002</v>
      </c>
      <c r="AP911">
        <v>67.512520944000002</v>
      </c>
      <c r="AQ911">
        <v>79.896989828000002</v>
      </c>
      <c r="AR911">
        <v>34.797100241999999</v>
      </c>
      <c r="AS911">
        <v>69.654134115999994</v>
      </c>
      <c r="AT911"/>
    </row>
    <row r="912" spans="1:46" x14ac:dyDescent="0.2">
      <c r="A912" s="87">
        <v>34639</v>
      </c>
      <c r="B912"/>
      <c r="C912"/>
      <c r="D912">
        <v>52.771036934000001</v>
      </c>
      <c r="E912">
        <v>62.638334127</v>
      </c>
      <c r="F912">
        <v>79.217739194999993</v>
      </c>
      <c r="G912">
        <v>76.231959485999994</v>
      </c>
      <c r="H912"/>
      <c r="I912"/>
      <c r="J912">
        <v>60.643597989</v>
      </c>
      <c r="K912">
        <v>52.533588109999997</v>
      </c>
      <c r="L912">
        <v>71.194067161000007</v>
      </c>
      <c r="M912">
        <v>92.964670833</v>
      </c>
      <c r="N912">
        <v>81.400000000000006</v>
      </c>
      <c r="O912">
        <v>102.43108535899999</v>
      </c>
      <c r="P912"/>
      <c r="Q912"/>
      <c r="R912">
        <v>75.851275651999998</v>
      </c>
      <c r="S912">
        <v>92.77</v>
      </c>
      <c r="T912">
        <v>80.348421533000007</v>
      </c>
      <c r="U912">
        <v>85.714285713999999</v>
      </c>
      <c r="V912">
        <v>121.798671494</v>
      </c>
      <c r="W912">
        <v>34.302458964000003</v>
      </c>
      <c r="X912">
        <v>29.586125636999999</v>
      </c>
      <c r="Y912">
        <v>19.291483662000001</v>
      </c>
      <c r="Z912"/>
      <c r="AA912">
        <v>55.332619149000003</v>
      </c>
      <c r="AB912">
        <v>115.39038413500001</v>
      </c>
      <c r="AC912">
        <v>100.801741134</v>
      </c>
      <c r="AD912">
        <v>30.21948171</v>
      </c>
      <c r="AE912">
        <v>74.039744174999996</v>
      </c>
      <c r="AF912"/>
      <c r="AG912">
        <v>76.944681622999994</v>
      </c>
      <c r="AH912">
        <v>80.144490184999995</v>
      </c>
      <c r="AI912">
        <v>106.816482631</v>
      </c>
      <c r="AJ912"/>
      <c r="AK912">
        <v>71.738893348999994</v>
      </c>
      <c r="AL912">
        <v>31.230348643999999</v>
      </c>
      <c r="AM912">
        <v>103.953790289</v>
      </c>
      <c r="AN912">
        <v>60.365998470999997</v>
      </c>
      <c r="AO912">
        <v>33.791465066999997</v>
      </c>
      <c r="AP912">
        <v>70.012984682999999</v>
      </c>
      <c r="AQ912">
        <v>80.607636497000001</v>
      </c>
      <c r="AR912">
        <v>34.697108573999998</v>
      </c>
      <c r="AS912">
        <v>70.123659759000006</v>
      </c>
      <c r="AT912"/>
    </row>
    <row r="913" spans="1:46" x14ac:dyDescent="0.2">
      <c r="A913" s="87">
        <v>34669</v>
      </c>
      <c r="B913"/>
      <c r="C913"/>
      <c r="D913">
        <v>53.121508716000001</v>
      </c>
      <c r="E913">
        <v>57.084180076000003</v>
      </c>
      <c r="F913">
        <v>83.562164288999995</v>
      </c>
      <c r="G913">
        <v>77.425528849000003</v>
      </c>
      <c r="H913"/>
      <c r="I913"/>
      <c r="J913">
        <v>61.864689161999998</v>
      </c>
      <c r="K913">
        <v>54.55584056</v>
      </c>
      <c r="L913">
        <v>71.194067161000007</v>
      </c>
      <c r="M913">
        <v>98.625283108999994</v>
      </c>
      <c r="N913">
        <v>82.3</v>
      </c>
      <c r="O913">
        <v>105.616088013</v>
      </c>
      <c r="P913"/>
      <c r="Q913"/>
      <c r="R913">
        <v>76.455311765999994</v>
      </c>
      <c r="S913">
        <v>92.65</v>
      </c>
      <c r="T913">
        <v>81.053541722000006</v>
      </c>
      <c r="U913">
        <v>86.682201110999998</v>
      </c>
      <c r="V913">
        <v>122.074781378</v>
      </c>
      <c r="W913">
        <v>35.415604514999998</v>
      </c>
      <c r="X913">
        <v>29.999163884000001</v>
      </c>
      <c r="Y913">
        <v>20.359935064999998</v>
      </c>
      <c r="Z913"/>
      <c r="AA913">
        <v>55.332619149000003</v>
      </c>
      <c r="AB913">
        <v>118.190150821</v>
      </c>
      <c r="AC913">
        <v>101.51161255</v>
      </c>
      <c r="AD913">
        <v>30.015498707999999</v>
      </c>
      <c r="AE913">
        <v>74.949754917000007</v>
      </c>
      <c r="AF913"/>
      <c r="AG913">
        <v>75.957085156000005</v>
      </c>
      <c r="AH913">
        <v>82.950626623999995</v>
      </c>
      <c r="AI913">
        <v>106.925813729</v>
      </c>
      <c r="AJ913"/>
      <c r="AK913">
        <v>72.313987107000003</v>
      </c>
      <c r="AL913">
        <v>32.838425968999999</v>
      </c>
      <c r="AM913">
        <v>104.718806363</v>
      </c>
      <c r="AN913">
        <v>60.714616210999999</v>
      </c>
      <c r="AO913">
        <v>35.762592339999998</v>
      </c>
      <c r="AP913">
        <v>69.856705699000003</v>
      </c>
      <c r="AQ913">
        <v>81.115241260999994</v>
      </c>
      <c r="AR913">
        <v>33.997166903</v>
      </c>
      <c r="AS913">
        <v>70.835530809999995</v>
      </c>
      <c r="AT913"/>
    </row>
    <row r="914" spans="1:46" x14ac:dyDescent="0.2">
      <c r="A914" s="87">
        <v>34700</v>
      </c>
      <c r="B914"/>
      <c r="C914"/>
      <c r="D914">
        <v>54.652242585000003</v>
      </c>
      <c r="E914">
        <v>62.790572758000003</v>
      </c>
      <c r="F914">
        <v>82.210565371000001</v>
      </c>
      <c r="G914">
        <v>78.251971922999999</v>
      </c>
      <c r="H914"/>
      <c r="I914"/>
      <c r="J914">
        <v>62.753355276000001</v>
      </c>
      <c r="K914">
        <v>58.140279225</v>
      </c>
      <c r="L914">
        <v>69.794183817999993</v>
      </c>
      <c r="M914">
        <v>97.210130039999996</v>
      </c>
      <c r="N914">
        <v>81.7</v>
      </c>
      <c r="O914">
        <v>104.80508733800001</v>
      </c>
      <c r="P914"/>
      <c r="Q914"/>
      <c r="R914">
        <v>80.206683889999994</v>
      </c>
      <c r="S914">
        <v>93.32</v>
      </c>
      <c r="T914">
        <v>80.475095476000007</v>
      </c>
      <c r="U914">
        <v>84.961462628000007</v>
      </c>
      <c r="V914">
        <v>124.416863417</v>
      </c>
      <c r="W914">
        <v>34.741858524000001</v>
      </c>
      <c r="X914">
        <v>30.555643605</v>
      </c>
      <c r="Y914">
        <v>19.944426186000001</v>
      </c>
      <c r="Z914"/>
      <c r="AA914">
        <v>55.402660439000002</v>
      </c>
      <c r="AB914">
        <v>117.79018415100001</v>
      </c>
      <c r="AC914">
        <v>99.483408503000007</v>
      </c>
      <c r="AD914">
        <v>30.681443213000001</v>
      </c>
      <c r="AE914">
        <v>74.463001731000006</v>
      </c>
      <c r="AF914"/>
      <c r="AG914">
        <v>74.433256595000003</v>
      </c>
      <c r="AH914">
        <v>85.007927480999996</v>
      </c>
      <c r="AI914">
        <v>105.61384055400001</v>
      </c>
      <c r="AJ914"/>
      <c r="AK914">
        <v>72.061192641999995</v>
      </c>
      <c r="AL914">
        <v>32.173010286</v>
      </c>
      <c r="AM914">
        <v>105.11284450399999</v>
      </c>
      <c r="AN914">
        <v>60.176069288999997</v>
      </c>
      <c r="AO914">
        <v>33.211801422000001</v>
      </c>
      <c r="AP914">
        <v>73.372982832000005</v>
      </c>
      <c r="AQ914">
        <v>82.333492695000004</v>
      </c>
      <c r="AR914">
        <v>34.497125240000003</v>
      </c>
      <c r="AS914">
        <v>70.956455716999997</v>
      </c>
      <c r="AT914"/>
    </row>
    <row r="915" spans="1:46" x14ac:dyDescent="0.2">
      <c r="A915" s="87">
        <v>34731</v>
      </c>
      <c r="B915"/>
      <c r="C915"/>
      <c r="D915">
        <v>54.511026362999999</v>
      </c>
      <c r="E915">
        <v>63.955603279000002</v>
      </c>
      <c r="F915">
        <v>81.885830565999996</v>
      </c>
      <c r="G915">
        <v>78.261750296000002</v>
      </c>
      <c r="H915"/>
      <c r="I915"/>
      <c r="J915">
        <v>62.724383906</v>
      </c>
      <c r="K915">
        <v>56.020669706</v>
      </c>
      <c r="L915">
        <v>70.794100491999998</v>
      </c>
      <c r="M915">
        <v>94.488681830999994</v>
      </c>
      <c r="N915">
        <v>81.900000000000006</v>
      </c>
      <c r="O915">
        <v>103.69208641</v>
      </c>
      <c r="P915"/>
      <c r="Q915"/>
      <c r="R915">
        <v>79.006583882000001</v>
      </c>
      <c r="S915">
        <v>92.7</v>
      </c>
      <c r="T915">
        <v>80.760546012999995</v>
      </c>
      <c r="U915">
        <v>85.069008783000001</v>
      </c>
      <c r="V915">
        <v>123.94363208599999</v>
      </c>
      <c r="W915">
        <v>34.859031739000002</v>
      </c>
      <c r="X915">
        <v>30.344759653000001</v>
      </c>
      <c r="Y915">
        <v>20.597368710000001</v>
      </c>
      <c r="Z915"/>
      <c r="AA915">
        <v>55.542743019</v>
      </c>
      <c r="AB915">
        <v>117.09024248</v>
      </c>
      <c r="AC915">
        <v>100.90315133599999</v>
      </c>
      <c r="AD915">
        <v>30.496458627999999</v>
      </c>
      <c r="AE915">
        <v>74.590364726999994</v>
      </c>
      <c r="AF915"/>
      <c r="AG915">
        <v>69.547958711000007</v>
      </c>
      <c r="AH915">
        <v>81.807186025999997</v>
      </c>
      <c r="AI915">
        <v>105.28584726</v>
      </c>
      <c r="AJ915"/>
      <c r="AK915">
        <v>71.959161105999996</v>
      </c>
      <c r="AL915">
        <v>32.878072813000003</v>
      </c>
      <c r="AM915">
        <v>106.260125002</v>
      </c>
      <c r="AN915">
        <v>60.420359069</v>
      </c>
      <c r="AO915">
        <v>34.786190249000001</v>
      </c>
      <c r="AP915">
        <v>73.138564356000003</v>
      </c>
      <c r="AQ915">
        <v>82.536534599999996</v>
      </c>
      <c r="AR915">
        <v>33.597200233000002</v>
      </c>
      <c r="AS915">
        <v>70.852777477000004</v>
      </c>
      <c r="AT915"/>
    </row>
    <row r="916" spans="1:46" x14ac:dyDescent="0.2">
      <c r="A916" s="87">
        <v>34759</v>
      </c>
      <c r="B916"/>
      <c r="C916"/>
      <c r="D916">
        <v>51.327273452</v>
      </c>
      <c r="E916">
        <v>64.309892895999994</v>
      </c>
      <c r="F916">
        <v>81.885830565999996</v>
      </c>
      <c r="G916">
        <v>77.704020881999995</v>
      </c>
      <c r="H916"/>
      <c r="I916"/>
      <c r="J916">
        <v>63.292021964</v>
      </c>
      <c r="K916">
        <v>56.472834614999996</v>
      </c>
      <c r="L916">
        <v>69.994167153000006</v>
      </c>
      <c r="M916">
        <v>94.815255616000002</v>
      </c>
      <c r="N916">
        <v>81.8</v>
      </c>
      <c r="O916">
        <v>103.546086288</v>
      </c>
      <c r="P916"/>
      <c r="Q916"/>
      <c r="R916">
        <v>78.806567213999998</v>
      </c>
      <c r="S916">
        <v>93.48</v>
      </c>
      <c r="T916">
        <v>80.920951146999997</v>
      </c>
      <c r="U916">
        <v>85.284101093000004</v>
      </c>
      <c r="V916">
        <v>123.46882334599999</v>
      </c>
      <c r="W916">
        <v>35.005498258999999</v>
      </c>
      <c r="X916">
        <v>30.559821100000001</v>
      </c>
      <c r="Y916">
        <v>21.131594411999998</v>
      </c>
      <c r="Z916"/>
      <c r="AA916">
        <v>55.682825598999997</v>
      </c>
      <c r="AB916">
        <v>117.390217482</v>
      </c>
      <c r="AC916">
        <v>101.91725336</v>
      </c>
      <c r="AD916">
        <v>31.420381634999998</v>
      </c>
      <c r="AE916">
        <v>73.961148894999994</v>
      </c>
      <c r="AF916"/>
      <c r="AG916">
        <v>68.907621300000002</v>
      </c>
      <c r="AH916">
        <v>82.842720025999995</v>
      </c>
      <c r="AI916">
        <v>107.691131414</v>
      </c>
      <c r="AJ916"/>
      <c r="AK916">
        <v>72.088134881000002</v>
      </c>
      <c r="AL916">
        <v>32.095326159000003</v>
      </c>
      <c r="AM916">
        <v>100.780790368</v>
      </c>
      <c r="AN916">
        <v>58.061886786000002</v>
      </c>
      <c r="AO916">
        <v>35.189492848</v>
      </c>
      <c r="AP916">
        <v>70.481821633999999</v>
      </c>
      <c r="AQ916">
        <v>83.856306986000007</v>
      </c>
      <c r="AR916">
        <v>33.497208565999998</v>
      </c>
      <c r="AS916">
        <v>70.965277287999996</v>
      </c>
      <c r="AT916"/>
    </row>
    <row r="917" spans="1:46" x14ac:dyDescent="0.2">
      <c r="A917" s="87">
        <v>34790</v>
      </c>
      <c r="B917"/>
      <c r="C917"/>
      <c r="D917">
        <v>54.471044415999998</v>
      </c>
      <c r="E917">
        <v>63.163701232999998</v>
      </c>
      <c r="F917">
        <v>80.648327660000007</v>
      </c>
      <c r="G917">
        <v>77.537426381000003</v>
      </c>
      <c r="H917"/>
      <c r="I917"/>
      <c r="J917">
        <v>64.965946473000002</v>
      </c>
      <c r="K917">
        <v>56.558466645999999</v>
      </c>
      <c r="L917">
        <v>70.394133822000001</v>
      </c>
      <c r="M917">
        <v>94.924113543999994</v>
      </c>
      <c r="N917">
        <v>82.1</v>
      </c>
      <c r="O917">
        <v>104.094086745</v>
      </c>
      <c r="P917"/>
      <c r="Q917"/>
      <c r="R917">
        <v>78.506542211999999</v>
      </c>
      <c r="S917">
        <v>93.47</v>
      </c>
      <c r="T917">
        <v>81.198597793000005</v>
      </c>
      <c r="U917">
        <v>86.144470334999994</v>
      </c>
      <c r="V917">
        <v>122.68559823699999</v>
      </c>
      <c r="W917">
        <v>35.005498258999999</v>
      </c>
      <c r="X917">
        <v>31.217694046999998</v>
      </c>
      <c r="Y917">
        <v>21.487744879000001</v>
      </c>
      <c r="Z917"/>
      <c r="AA917">
        <v>56.943568820000003</v>
      </c>
      <c r="AB917">
        <v>117.49020914899999</v>
      </c>
      <c r="AC917">
        <v>103.13417578799999</v>
      </c>
      <c r="AD917">
        <v>31.513373886</v>
      </c>
      <c r="AE917">
        <v>74.786797643</v>
      </c>
      <c r="AF917"/>
      <c r="AG917">
        <v>68.326979824000006</v>
      </c>
      <c r="AH917">
        <v>81.618907116000003</v>
      </c>
      <c r="AI917">
        <v>107.90979360999999</v>
      </c>
      <c r="AJ917"/>
      <c r="AK917">
        <v>72.469300335</v>
      </c>
      <c r="AL917">
        <v>32.286192876999998</v>
      </c>
      <c r="AM917">
        <v>110.040935217</v>
      </c>
      <c r="AN917">
        <v>56.964794572000002</v>
      </c>
      <c r="AO917">
        <v>36.331542429000002</v>
      </c>
      <c r="AP917">
        <v>69.466008239999994</v>
      </c>
      <c r="AQ917">
        <v>84.465432703000005</v>
      </c>
      <c r="AR917">
        <v>36.296975252000003</v>
      </c>
      <c r="AS917">
        <v>70.863878779999993</v>
      </c>
      <c r="AT917"/>
    </row>
    <row r="918" spans="1:46" x14ac:dyDescent="0.2">
      <c r="A918" s="87">
        <v>34820</v>
      </c>
      <c r="B918"/>
      <c r="C918"/>
      <c r="D918">
        <v>54.475025363</v>
      </c>
      <c r="E918">
        <v>65.793216072999996</v>
      </c>
      <c r="F918">
        <v>71.608412817000001</v>
      </c>
      <c r="G918">
        <v>77.459199398999999</v>
      </c>
      <c r="H918"/>
      <c r="I918"/>
      <c r="J918">
        <v>65.976059203000005</v>
      </c>
      <c r="K918">
        <v>55.854692753999998</v>
      </c>
      <c r="L918">
        <v>70.794100491999998</v>
      </c>
      <c r="M918">
        <v>94.379823901999998</v>
      </c>
      <c r="N918">
        <v>82.4</v>
      </c>
      <c r="O918">
        <v>104.996087497</v>
      </c>
      <c r="P918"/>
      <c r="Q918"/>
      <c r="R918">
        <v>77.306442204000007</v>
      </c>
      <c r="S918">
        <v>93.02</v>
      </c>
      <c r="T918">
        <v>81.110234438999996</v>
      </c>
      <c r="U918">
        <v>86.03692418</v>
      </c>
      <c r="V918">
        <v>121.946879333</v>
      </c>
      <c r="W918">
        <v>36.118643810999998</v>
      </c>
      <c r="X918">
        <v>30.960927903999998</v>
      </c>
      <c r="Y918">
        <v>22.140687403000001</v>
      </c>
      <c r="Z918"/>
      <c r="AA918">
        <v>57.714023011000002</v>
      </c>
      <c r="AB918">
        <v>118.190150821</v>
      </c>
      <c r="AC918">
        <v>101.410202348</v>
      </c>
      <c r="AD918">
        <v>31.051412381999999</v>
      </c>
      <c r="AE918">
        <v>73.965130962999993</v>
      </c>
      <c r="AF918"/>
      <c r="AG918">
        <v>67.465062094999993</v>
      </c>
      <c r="AH918">
        <v>83.030998935</v>
      </c>
      <c r="AI918">
        <v>109.112435686</v>
      </c>
      <c r="AJ918"/>
      <c r="AK918">
        <v>72.430633451999995</v>
      </c>
      <c r="AL918">
        <v>33.317331568999997</v>
      </c>
      <c r="AM918">
        <v>106.662245915</v>
      </c>
      <c r="AN918">
        <v>59.553289952</v>
      </c>
      <c r="AO918">
        <v>36.867719262999998</v>
      </c>
      <c r="AP918">
        <v>70.012984682999999</v>
      </c>
      <c r="AQ918">
        <v>84.465432703000005</v>
      </c>
      <c r="AR918">
        <v>35.997000249999999</v>
      </c>
      <c r="AS918">
        <v>71.191565455000003</v>
      </c>
      <c r="AT918"/>
    </row>
    <row r="919" spans="1:46" x14ac:dyDescent="0.2">
      <c r="A919" s="87">
        <v>34851</v>
      </c>
      <c r="B919"/>
      <c r="C919"/>
      <c r="D919">
        <v>55.164842061999998</v>
      </c>
      <c r="E919">
        <v>65.192242481999997</v>
      </c>
      <c r="F919">
        <v>76.505764741999997</v>
      </c>
      <c r="G919">
        <v>77.317231910999993</v>
      </c>
      <c r="H919"/>
      <c r="I919"/>
      <c r="J919">
        <v>65.691372642999994</v>
      </c>
      <c r="K919">
        <v>56.645365271000003</v>
      </c>
      <c r="L919">
        <v>69.994167153000006</v>
      </c>
      <c r="M919">
        <v>93.182386690000001</v>
      </c>
      <c r="N919">
        <v>82.1</v>
      </c>
      <c r="O919">
        <v>104.189086824</v>
      </c>
      <c r="P919"/>
      <c r="Q919"/>
      <c r="R919">
        <v>76.706392199000007</v>
      </c>
      <c r="S919">
        <v>93.66</v>
      </c>
      <c r="T919">
        <v>81.066562481000005</v>
      </c>
      <c r="U919">
        <v>85.499193403999996</v>
      </c>
      <c r="V919">
        <v>120.98182725700001</v>
      </c>
      <c r="W919">
        <v>34.683271916000002</v>
      </c>
      <c r="X919">
        <v>31.234106976</v>
      </c>
      <c r="Y919">
        <v>21.606461702000001</v>
      </c>
      <c r="Z919"/>
      <c r="AA919">
        <v>56.453279790000003</v>
      </c>
      <c r="AB919">
        <v>117.990167486</v>
      </c>
      <c r="AC919">
        <v>101.308792145</v>
      </c>
      <c r="AD919">
        <v>32.160319973</v>
      </c>
      <c r="AE919">
        <v>74.949887692000004</v>
      </c>
      <c r="AF919"/>
      <c r="AG919">
        <v>67.346875879999999</v>
      </c>
      <c r="AH919">
        <v>82.183743844000006</v>
      </c>
      <c r="AI919">
        <v>107.035144827</v>
      </c>
      <c r="AJ919"/>
      <c r="AK919">
        <v>72.463029676000005</v>
      </c>
      <c r="AL919">
        <v>33.293820994999997</v>
      </c>
      <c r="AM919">
        <v>103.319929591</v>
      </c>
      <c r="AN919">
        <v>59.735765178999998</v>
      </c>
      <c r="AO919">
        <v>36.908492166000002</v>
      </c>
      <c r="AP919">
        <v>74.466935716999998</v>
      </c>
      <c r="AQ919">
        <v>84.769995561000002</v>
      </c>
      <c r="AR919">
        <v>37.196900257999999</v>
      </c>
      <c r="AS919">
        <v>71.422710441000007</v>
      </c>
      <c r="AT919"/>
    </row>
    <row r="920" spans="1:46" x14ac:dyDescent="0.2">
      <c r="A920" s="87">
        <v>34881</v>
      </c>
      <c r="B920"/>
      <c r="C920"/>
      <c r="D920">
        <v>54.019138534</v>
      </c>
      <c r="E920">
        <v>63.147700516</v>
      </c>
      <c r="F920">
        <v>74.610015610000005</v>
      </c>
      <c r="G920">
        <v>77.07277259</v>
      </c>
      <c r="H920"/>
      <c r="I920"/>
      <c r="J920">
        <v>65.789247700999994</v>
      </c>
      <c r="K920">
        <v>54.818011458999997</v>
      </c>
      <c r="L920">
        <v>69.794183817999993</v>
      </c>
      <c r="M920">
        <v>88.719211627000007</v>
      </c>
      <c r="N920">
        <v>82.1</v>
      </c>
      <c r="O920">
        <v>103.513086261</v>
      </c>
      <c r="P920"/>
      <c r="Q920"/>
      <c r="R920">
        <v>78.006500541999998</v>
      </c>
      <c r="S920">
        <v>94.07</v>
      </c>
      <c r="T920">
        <v>80.688954852999998</v>
      </c>
      <c r="U920">
        <v>86.144470334999994</v>
      </c>
      <c r="V920">
        <v>121.22097589800001</v>
      </c>
      <c r="W920">
        <v>35.210551387000002</v>
      </c>
      <c r="X920">
        <v>31.981578638999999</v>
      </c>
      <c r="Y920">
        <v>22.615554694</v>
      </c>
      <c r="Z920"/>
      <c r="AA920">
        <v>58.134270751000003</v>
      </c>
      <c r="AB920">
        <v>117.89017581900001</v>
      </c>
      <c r="AC920">
        <v>99.889049313000001</v>
      </c>
      <c r="AD920">
        <v>32.160319973</v>
      </c>
      <c r="AE920">
        <v>70.840035807999996</v>
      </c>
      <c r="AF920"/>
      <c r="AG920">
        <v>67.344309099</v>
      </c>
      <c r="AH920">
        <v>82.748580571000005</v>
      </c>
      <c r="AI920">
        <v>111.189726546</v>
      </c>
      <c r="AJ920"/>
      <c r="AK920">
        <v>72.233264422000005</v>
      </c>
      <c r="AL920">
        <v>33.912999902000003</v>
      </c>
      <c r="AM920">
        <v>109.88459979700001</v>
      </c>
      <c r="AN920">
        <v>59.961764946999999</v>
      </c>
      <c r="AO920">
        <v>36.960250297000002</v>
      </c>
      <c r="AP920">
        <v>70.012984682999999</v>
      </c>
      <c r="AQ920">
        <v>84.769995561000002</v>
      </c>
      <c r="AR920">
        <v>37.196900257999999</v>
      </c>
      <c r="AS920">
        <v>71.109891583000007</v>
      </c>
      <c r="AT920"/>
    </row>
    <row r="921" spans="1:46" x14ac:dyDescent="0.2">
      <c r="A921" s="87">
        <v>34912</v>
      </c>
      <c r="B921"/>
      <c r="C921"/>
      <c r="D921">
        <v>53.637375167999998</v>
      </c>
      <c r="E921">
        <v>64.276274138999995</v>
      </c>
      <c r="F921">
        <v>72.907352036999995</v>
      </c>
      <c r="G921">
        <v>77.243713033999995</v>
      </c>
      <c r="H921"/>
      <c r="I921"/>
      <c r="J921">
        <v>63.419300884000002</v>
      </c>
      <c r="K921">
        <v>56.946178699000001</v>
      </c>
      <c r="L921">
        <v>68.994250479000002</v>
      </c>
      <c r="M921">
        <v>91.222943978999993</v>
      </c>
      <c r="N921">
        <v>82</v>
      </c>
      <c r="O921">
        <v>103.23908603300001</v>
      </c>
      <c r="P921"/>
      <c r="Q921"/>
      <c r="R921">
        <v>78.506542211999999</v>
      </c>
      <c r="S921">
        <v>93.5</v>
      </c>
      <c r="T921">
        <v>81.371423957999994</v>
      </c>
      <c r="U921">
        <v>86.252016490000003</v>
      </c>
      <c r="V921">
        <v>122.02453</v>
      </c>
      <c r="W921">
        <v>35.474191122999997</v>
      </c>
      <c r="X921">
        <v>32.067527906000002</v>
      </c>
      <c r="Y921">
        <v>23.149780395000001</v>
      </c>
      <c r="Z921"/>
      <c r="AA921">
        <v>58.484477200999997</v>
      </c>
      <c r="AB921">
        <v>119.990000833</v>
      </c>
      <c r="AC921">
        <v>101.410202348</v>
      </c>
      <c r="AD921">
        <v>32.345304558000002</v>
      </c>
      <c r="AE921">
        <v>78.213720605000006</v>
      </c>
      <c r="AF921"/>
      <c r="AG921">
        <v>67.833380707000003</v>
      </c>
      <c r="AH921">
        <v>83.972393480999997</v>
      </c>
      <c r="AI921">
        <v>108.67511129499999</v>
      </c>
      <c r="AJ921"/>
      <c r="AK921">
        <v>72.800824483</v>
      </c>
      <c r="AL921">
        <v>33.501743314999999</v>
      </c>
      <c r="AM921">
        <v>110.31835282199999</v>
      </c>
      <c r="AN921">
        <v>59.462383879000001</v>
      </c>
      <c r="AO921">
        <v>37.453353804000002</v>
      </c>
      <c r="AP921">
        <v>67.668799927999999</v>
      </c>
      <c r="AQ921">
        <v>84.871516514000007</v>
      </c>
      <c r="AR921">
        <v>37.796850262</v>
      </c>
      <c r="AS921">
        <v>72.045771068999997</v>
      </c>
      <c r="AT921"/>
    </row>
    <row r="922" spans="1:46" x14ac:dyDescent="0.2">
      <c r="A922" s="87">
        <v>34943</v>
      </c>
      <c r="B922"/>
      <c r="C922"/>
      <c r="D922">
        <v>53.225140734</v>
      </c>
      <c r="E922">
        <v>63.321689266</v>
      </c>
      <c r="F922">
        <v>73.565598264000002</v>
      </c>
      <c r="G922">
        <v>76.999253713000002</v>
      </c>
      <c r="H922"/>
      <c r="I922"/>
      <c r="J922">
        <v>64.974242696999994</v>
      </c>
      <c r="K922">
        <v>56.315688211999998</v>
      </c>
      <c r="L922">
        <v>70.394133822000001</v>
      </c>
      <c r="M922">
        <v>91.767233621000003</v>
      </c>
      <c r="N922">
        <v>82.4</v>
      </c>
      <c r="O922">
        <v>104.06408672000001</v>
      </c>
      <c r="P922"/>
      <c r="Q922"/>
      <c r="R922">
        <v>76.306358863</v>
      </c>
      <c r="S922">
        <v>93.64</v>
      </c>
      <c r="T922">
        <v>81.408225154999997</v>
      </c>
      <c r="U922">
        <v>86.574654956000003</v>
      </c>
      <c r="V922">
        <v>122.735497657</v>
      </c>
      <c r="W922">
        <v>35.357017906999999</v>
      </c>
      <c r="X922">
        <v>33.276846046999999</v>
      </c>
      <c r="Y922">
        <v>23.031063572000001</v>
      </c>
      <c r="Z922"/>
      <c r="AA922">
        <v>57.994188170999998</v>
      </c>
      <c r="AB922">
        <v>119.190067494</v>
      </c>
      <c r="AC922">
        <v>99.787639110000001</v>
      </c>
      <c r="AD922">
        <v>32.067327722999998</v>
      </c>
      <c r="AE922">
        <v>76.247984836000001</v>
      </c>
      <c r="AF922"/>
      <c r="AG922">
        <v>68.526198076</v>
      </c>
      <c r="AH922">
        <v>84.066532934999998</v>
      </c>
      <c r="AI922">
        <v>111.73638203500001</v>
      </c>
      <c r="AJ922"/>
      <c r="AK922">
        <v>72.775062974999997</v>
      </c>
      <c r="AL922">
        <v>34.025703125</v>
      </c>
      <c r="AM922">
        <v>107.693450527</v>
      </c>
      <c r="AN922">
        <v>58.993782187000001</v>
      </c>
      <c r="AO922">
        <v>37.207635365000002</v>
      </c>
      <c r="AP922">
        <v>69.075310780999999</v>
      </c>
      <c r="AQ922">
        <v>84.465432703000005</v>
      </c>
      <c r="AR922">
        <v>36.096991916999997</v>
      </c>
      <c r="AS922">
        <v>72.345803603999997</v>
      </c>
      <c r="AT922"/>
    </row>
    <row r="923" spans="1:46" x14ac:dyDescent="0.2">
      <c r="A923" s="87">
        <v>34973</v>
      </c>
      <c r="B923"/>
      <c r="C923"/>
      <c r="D923">
        <v>52.323902613000001</v>
      </c>
      <c r="E923">
        <v>64.390923185999995</v>
      </c>
      <c r="F923">
        <v>74.504696214000006</v>
      </c>
      <c r="G923">
        <v>76.960140222000007</v>
      </c>
      <c r="H923"/>
      <c r="I923"/>
      <c r="J923">
        <v>64.779330324</v>
      </c>
      <c r="K923">
        <v>57.589182651999998</v>
      </c>
      <c r="L923">
        <v>68.594283809999993</v>
      </c>
      <c r="M923">
        <v>93.508960474999995</v>
      </c>
      <c r="N923">
        <v>81.5</v>
      </c>
      <c r="O923">
        <v>102.525085438</v>
      </c>
      <c r="P923"/>
      <c r="Q923"/>
      <c r="R923">
        <v>75.606300524999995</v>
      </c>
      <c r="S923">
        <v>91.84</v>
      </c>
      <c r="T923">
        <v>81.287086797000001</v>
      </c>
      <c r="U923">
        <v>86.252016490000003</v>
      </c>
      <c r="V923">
        <v>123.868108095</v>
      </c>
      <c r="W923">
        <v>35.298431299000001</v>
      </c>
      <c r="X923">
        <v>32.378231976999999</v>
      </c>
      <c r="Y923">
        <v>23.684006096000001</v>
      </c>
      <c r="Z923"/>
      <c r="AA923">
        <v>58.414435910999998</v>
      </c>
      <c r="AB923">
        <v>119.990000833</v>
      </c>
      <c r="AC923">
        <v>101.308792145</v>
      </c>
      <c r="AD923">
        <v>32.252312306999997</v>
      </c>
      <c r="AE923">
        <v>76.444710587000003</v>
      </c>
      <c r="AF923"/>
      <c r="AG923">
        <v>64.703607313000006</v>
      </c>
      <c r="AH923">
        <v>84.066532934999998</v>
      </c>
      <c r="AI923">
        <v>111.080395448</v>
      </c>
      <c r="AJ923"/>
      <c r="AK923">
        <v>72.544668877000007</v>
      </c>
      <c r="AL923">
        <v>33.748407772</v>
      </c>
      <c r="AM923">
        <v>114.26439501599999</v>
      </c>
      <c r="AN923">
        <v>58.345470194000001</v>
      </c>
      <c r="AO923">
        <v>37.412067049000001</v>
      </c>
      <c r="AP923">
        <v>66.574847042000002</v>
      </c>
      <c r="AQ923">
        <v>85.176079372000004</v>
      </c>
      <c r="AR923">
        <v>35.097075244000003</v>
      </c>
      <c r="AS923">
        <v>72.232114367999998</v>
      </c>
      <c r="AT923"/>
    </row>
    <row r="924" spans="1:46" x14ac:dyDescent="0.2">
      <c r="A924" s="87">
        <v>35004</v>
      </c>
      <c r="B924"/>
      <c r="C924"/>
      <c r="D924">
        <v>53.936924564999998</v>
      </c>
      <c r="E924">
        <v>64.071509513999999</v>
      </c>
      <c r="F924">
        <v>74.987410112999996</v>
      </c>
      <c r="G924">
        <v>77.155707677999999</v>
      </c>
      <c r="H924"/>
      <c r="I924"/>
      <c r="J924">
        <v>63.671269123000002</v>
      </c>
      <c r="K924">
        <v>58.198746444000001</v>
      </c>
      <c r="L924">
        <v>68.994250479000002</v>
      </c>
      <c r="M924">
        <v>95.903834900000007</v>
      </c>
      <c r="N924">
        <v>81.8</v>
      </c>
      <c r="O924">
        <v>103.51608626300001</v>
      </c>
      <c r="P924"/>
      <c r="Q924"/>
      <c r="R924">
        <v>75.706308859000004</v>
      </c>
      <c r="S924">
        <v>91.81</v>
      </c>
      <c r="T924">
        <v>81.601003460000001</v>
      </c>
      <c r="U924">
        <v>86.682201110999998</v>
      </c>
      <c r="V924">
        <v>122.77247847700001</v>
      </c>
      <c r="W924">
        <v>34.419632180000001</v>
      </c>
      <c r="X924">
        <v>33.190242298999998</v>
      </c>
      <c r="Y924">
        <v>23.565289274000001</v>
      </c>
      <c r="Z924"/>
      <c r="AA924">
        <v>58.344394620999999</v>
      </c>
      <c r="AB924">
        <v>119.990000833</v>
      </c>
      <c r="AC924">
        <v>102.120073764</v>
      </c>
      <c r="AD924">
        <v>32.437296891999999</v>
      </c>
      <c r="AE924">
        <v>74.762352938000006</v>
      </c>
      <c r="AF924"/>
      <c r="AG924">
        <v>69.358275003000003</v>
      </c>
      <c r="AH924">
        <v>84.254811845000006</v>
      </c>
      <c r="AI924">
        <v>112.829693014</v>
      </c>
      <c r="AJ924"/>
      <c r="AK924">
        <v>73.197204419000002</v>
      </c>
      <c r="AL924">
        <v>34.997340166000001</v>
      </c>
      <c r="AM924">
        <v>110.178191372</v>
      </c>
      <c r="AN924">
        <v>56.759541712000001</v>
      </c>
      <c r="AO924">
        <v>37.268403583999998</v>
      </c>
      <c r="AP924">
        <v>68.762752813000006</v>
      </c>
      <c r="AQ924">
        <v>85.277600324999995</v>
      </c>
      <c r="AR924">
        <v>38.596783600999998</v>
      </c>
      <c r="AS924">
        <v>72.399525980999996</v>
      </c>
      <c r="AT924"/>
    </row>
    <row r="925" spans="1:46" x14ac:dyDescent="0.2">
      <c r="A925" s="87">
        <v>35034</v>
      </c>
      <c r="B925"/>
      <c r="C925"/>
      <c r="D925">
        <v>53.723154848999997</v>
      </c>
      <c r="E925">
        <v>64.028077143000004</v>
      </c>
      <c r="F925">
        <v>75.821188665999998</v>
      </c>
      <c r="G925">
        <v>76.793545721000001</v>
      </c>
      <c r="H925"/>
      <c r="I925"/>
      <c r="J925">
        <v>65.822629567000007</v>
      </c>
      <c r="K925">
        <v>56.968634539</v>
      </c>
      <c r="L925">
        <v>68.994250479000002</v>
      </c>
      <c r="M925">
        <v>99.278430678999996</v>
      </c>
      <c r="N925">
        <v>82.7</v>
      </c>
      <c r="O925">
        <v>105.089087574</v>
      </c>
      <c r="P925"/>
      <c r="Q925"/>
      <c r="R925">
        <v>76.506375531000003</v>
      </c>
      <c r="S925">
        <v>93.77</v>
      </c>
      <c r="T925">
        <v>82.165354891999996</v>
      </c>
      <c r="U925">
        <v>87.004839576999998</v>
      </c>
      <c r="V925">
        <v>124.891350137</v>
      </c>
      <c r="W925">
        <v>35.444897818999998</v>
      </c>
      <c r="X925">
        <v>33.756536005999997</v>
      </c>
      <c r="Y925">
        <v>24.336948620000001</v>
      </c>
      <c r="Z925"/>
      <c r="AA925">
        <v>59.605137841999998</v>
      </c>
      <c r="AB925">
        <v>121.98983418</v>
      </c>
      <c r="AC925">
        <v>103.438406395</v>
      </c>
      <c r="AD925">
        <v>33.176235314000003</v>
      </c>
      <c r="AE925">
        <v>74.658723481999999</v>
      </c>
      <c r="AF925"/>
      <c r="AG925">
        <v>73.447431127000002</v>
      </c>
      <c r="AH925">
        <v>86.514158753999993</v>
      </c>
      <c r="AI925">
        <v>113.813672895</v>
      </c>
      <c r="AJ925"/>
      <c r="AK925">
        <v>73.974166525000001</v>
      </c>
      <c r="AL925">
        <v>34.676265706999999</v>
      </c>
      <c r="AM925">
        <v>116.86543511799999</v>
      </c>
      <c r="AN925">
        <v>56.370704154000002</v>
      </c>
      <c r="AO925">
        <v>37.370792608999999</v>
      </c>
      <c r="AP925">
        <v>67.434381451999997</v>
      </c>
      <c r="AQ925">
        <v>84.262390796999995</v>
      </c>
      <c r="AR925">
        <v>40.196650279000004</v>
      </c>
      <c r="AS925">
        <v>72.668732577</v>
      </c>
      <c r="AT925"/>
    </row>
    <row r="926" spans="1:46" x14ac:dyDescent="0.2">
      <c r="A926" s="87">
        <v>35065</v>
      </c>
      <c r="B926"/>
      <c r="C926"/>
      <c r="D926">
        <v>52.782055905</v>
      </c>
      <c r="E926">
        <v>63.955808595999997</v>
      </c>
      <c r="F926">
        <v>74.943527031000002</v>
      </c>
      <c r="G926">
        <v>77.542496649</v>
      </c>
      <c r="H926"/>
      <c r="I926"/>
      <c r="J926">
        <v>65.294246967999996</v>
      </c>
      <c r="K926">
        <v>59.416713848000001</v>
      </c>
      <c r="L926">
        <v>69.294225480999998</v>
      </c>
      <c r="M926">
        <v>89.698932982000002</v>
      </c>
      <c r="N926">
        <v>81.900000000000006</v>
      </c>
      <c r="O926">
        <v>100.486083738</v>
      </c>
      <c r="P926"/>
      <c r="Q926"/>
      <c r="R926">
        <v>76.806400533000001</v>
      </c>
      <c r="S926">
        <v>92.93</v>
      </c>
      <c r="T926">
        <v>81.626119063000004</v>
      </c>
      <c r="U926">
        <v>86.682201110999998</v>
      </c>
      <c r="V926">
        <v>123.276181963</v>
      </c>
      <c r="W926">
        <v>35.151964778999996</v>
      </c>
      <c r="X926">
        <v>34.136188074000003</v>
      </c>
      <c r="Y926">
        <v>23.862081329999999</v>
      </c>
      <c r="Z926"/>
      <c r="AA926">
        <v>59.254931392000003</v>
      </c>
      <c r="AB926">
        <v>120.189984168</v>
      </c>
      <c r="AC926">
        <v>101.91725336</v>
      </c>
      <c r="AD926">
        <v>33.084242979999999</v>
      </c>
      <c r="AE926">
        <v>75.050622474999997</v>
      </c>
      <c r="AF926"/>
      <c r="AG926">
        <v>75.066381202000002</v>
      </c>
      <c r="AH926">
        <v>85.478624753999995</v>
      </c>
      <c r="AI926">
        <v>114.90698387400001</v>
      </c>
      <c r="AJ926"/>
      <c r="AK926">
        <v>73.382632118000004</v>
      </c>
      <c r="AL926">
        <v>35.074495667999997</v>
      </c>
      <c r="AM926">
        <v>112.53225911600001</v>
      </c>
      <c r="AN926">
        <v>56.462678537999999</v>
      </c>
      <c r="AO926">
        <v>36.713792546999997</v>
      </c>
      <c r="AP926">
        <v>68.762752813000006</v>
      </c>
      <c r="AQ926">
        <v>84.465432703000005</v>
      </c>
      <c r="AR926">
        <v>38.896758603000002</v>
      </c>
      <c r="AS926">
        <v>72.259272913000004</v>
      </c>
      <c r="AT926"/>
    </row>
    <row r="927" spans="1:46" x14ac:dyDescent="0.2">
      <c r="A927" s="87">
        <v>35096</v>
      </c>
      <c r="B927"/>
      <c r="C927"/>
      <c r="D927">
        <v>53.711020091999998</v>
      </c>
      <c r="E927">
        <v>63.037444792999999</v>
      </c>
      <c r="F927">
        <v>74.548579294999996</v>
      </c>
      <c r="G927">
        <v>77.522939902999994</v>
      </c>
      <c r="H927"/>
      <c r="I927"/>
      <c r="J927">
        <v>67.578742879999993</v>
      </c>
      <c r="K927">
        <v>60.184730987000002</v>
      </c>
      <c r="L927">
        <v>68.694275477000005</v>
      </c>
      <c r="M927">
        <v>94.706397687000006</v>
      </c>
      <c r="N927">
        <v>81.599999999999994</v>
      </c>
      <c r="O927">
        <v>100.627083856</v>
      </c>
      <c r="P927"/>
      <c r="Q927"/>
      <c r="R927">
        <v>78.006500541999998</v>
      </c>
      <c r="S927">
        <v>93.22</v>
      </c>
      <c r="T927">
        <v>82.001476393999994</v>
      </c>
      <c r="U927">
        <v>87.327478042999999</v>
      </c>
      <c r="V927">
        <v>122.655762522</v>
      </c>
      <c r="W927">
        <v>35.532777731000003</v>
      </c>
      <c r="X927">
        <v>33.492656535000002</v>
      </c>
      <c r="Y927">
        <v>22.912346750000001</v>
      </c>
      <c r="Z927"/>
      <c r="AA927">
        <v>59.675179131999997</v>
      </c>
      <c r="AB927">
        <v>118.89009249199999</v>
      </c>
      <c r="AC927">
        <v>101.815843157</v>
      </c>
      <c r="AD927">
        <v>33.823181402000003</v>
      </c>
      <c r="AE927">
        <v>73.338125946000005</v>
      </c>
      <c r="AF927"/>
      <c r="AG927">
        <v>74.742360779999998</v>
      </c>
      <c r="AH927">
        <v>85.761043118000003</v>
      </c>
      <c r="AI927">
        <v>118.73357230000001</v>
      </c>
      <c r="AJ927"/>
      <c r="AK927">
        <v>73.689356081</v>
      </c>
      <c r="AL927">
        <v>34.608684863000001</v>
      </c>
      <c r="AM927">
        <v>112.442334464</v>
      </c>
      <c r="AN927">
        <v>55.584212186999999</v>
      </c>
      <c r="AO927">
        <v>36.523261902999998</v>
      </c>
      <c r="AP927">
        <v>67.434381451999997</v>
      </c>
      <c r="AQ927">
        <v>85.176079372000004</v>
      </c>
      <c r="AR927">
        <v>36.196983584999998</v>
      </c>
      <c r="AS927">
        <v>73.303290982999997</v>
      </c>
      <c r="AT927"/>
    </row>
    <row r="928" spans="1:46" x14ac:dyDescent="0.2">
      <c r="A928" s="87">
        <v>35125</v>
      </c>
      <c r="B928"/>
      <c r="C928"/>
      <c r="D928">
        <v>53.204312346999998</v>
      </c>
      <c r="E928">
        <v>63.046283133999999</v>
      </c>
      <c r="F928">
        <v>74.425706665999996</v>
      </c>
      <c r="G928">
        <v>77.033659099000005</v>
      </c>
      <c r="H928"/>
      <c r="I928"/>
      <c r="J928">
        <v>66.189154916000007</v>
      </c>
      <c r="K928">
        <v>58.685518633999997</v>
      </c>
      <c r="L928">
        <v>68.794267144000003</v>
      </c>
      <c r="M928">
        <v>96.121550756000005</v>
      </c>
      <c r="N928">
        <v>81.599999999999994</v>
      </c>
      <c r="O928">
        <v>102.04308503599999</v>
      </c>
      <c r="P928"/>
      <c r="Q928"/>
      <c r="R928">
        <v>76.706392199000007</v>
      </c>
      <c r="S928">
        <v>93.87</v>
      </c>
      <c r="T928">
        <v>81.908590254000003</v>
      </c>
      <c r="U928">
        <v>87.435024197999994</v>
      </c>
      <c r="V928">
        <v>123.125189245</v>
      </c>
      <c r="W928">
        <v>36.089350506999999</v>
      </c>
      <c r="X928">
        <v>34.961819749999997</v>
      </c>
      <c r="Y928">
        <v>23.209138805999999</v>
      </c>
      <c r="Z928"/>
      <c r="AA928">
        <v>60.025385583000002</v>
      </c>
      <c r="AB928">
        <v>117.69019248399999</v>
      </c>
      <c r="AC928">
        <v>101.71443295500001</v>
      </c>
      <c r="AD928">
        <v>33.823181402000003</v>
      </c>
      <c r="AE928">
        <v>78.819440334000006</v>
      </c>
      <c r="AF928"/>
      <c r="AG928">
        <v>75.250309686999998</v>
      </c>
      <c r="AH928">
        <v>86.890716573000006</v>
      </c>
      <c r="AI928">
        <v>113.595010699</v>
      </c>
      <c r="AJ928"/>
      <c r="AK928">
        <v>73.676537053000004</v>
      </c>
      <c r="AL928">
        <v>35.932615300000002</v>
      </c>
      <c r="AM928">
        <v>113.179739138</v>
      </c>
      <c r="AN928">
        <v>56.280133954</v>
      </c>
      <c r="AO928">
        <v>36.323265012</v>
      </c>
      <c r="AP928">
        <v>68.606473829999999</v>
      </c>
      <c r="AQ928">
        <v>83.653265081000001</v>
      </c>
      <c r="AR928">
        <v>36.296975252000003</v>
      </c>
      <c r="AS928">
        <v>73.203775731999997</v>
      </c>
      <c r="AT928"/>
    </row>
    <row r="929" spans="1:46" x14ac:dyDescent="0.2">
      <c r="A929" s="87">
        <v>35156</v>
      </c>
      <c r="B929"/>
      <c r="C929"/>
      <c r="D929">
        <v>53.119861055000001</v>
      </c>
      <c r="E929">
        <v>64.601729331000001</v>
      </c>
      <c r="F929">
        <v>76.365338879999996</v>
      </c>
      <c r="G929">
        <v>77.424794012999996</v>
      </c>
      <c r="H929"/>
      <c r="I929"/>
      <c r="J929">
        <v>65.389288832999995</v>
      </c>
      <c r="K929">
        <v>56.790070008999997</v>
      </c>
      <c r="L929">
        <v>68.794267144000003</v>
      </c>
      <c r="M929">
        <v>98.298709324000001</v>
      </c>
      <c r="N929">
        <v>81</v>
      </c>
      <c r="O929">
        <v>100.24408353699999</v>
      </c>
      <c r="P929"/>
      <c r="Q929"/>
      <c r="R929">
        <v>75.706308859000004</v>
      </c>
      <c r="S929">
        <v>92.92</v>
      </c>
      <c r="T929">
        <v>82.161016212999996</v>
      </c>
      <c r="U929">
        <v>86.467108800999995</v>
      </c>
      <c r="V929">
        <v>122.477190612</v>
      </c>
      <c r="W929">
        <v>35.239844691000002</v>
      </c>
      <c r="X929">
        <v>34.582192599999999</v>
      </c>
      <c r="Y929">
        <v>23.327855628999998</v>
      </c>
      <c r="Z929"/>
      <c r="AA929">
        <v>60.025385583000002</v>
      </c>
      <c r="AB929">
        <v>116.39030080800001</v>
      </c>
      <c r="AC929">
        <v>102.018663562</v>
      </c>
      <c r="AD929">
        <v>34.840096658999997</v>
      </c>
      <c r="AE929">
        <v>73.894403513</v>
      </c>
      <c r="AF929"/>
      <c r="AG929">
        <v>75.849563979999999</v>
      </c>
      <c r="AH929">
        <v>85.007927480999996</v>
      </c>
      <c r="AI929">
        <v>114.469659482</v>
      </c>
      <c r="AJ929"/>
      <c r="AK929">
        <v>73.950012788999999</v>
      </c>
      <c r="AL929">
        <v>35.903216483000001</v>
      </c>
      <c r="AM929">
        <v>113.238941883</v>
      </c>
      <c r="AN929">
        <v>56.609720828999997</v>
      </c>
      <c r="AO929">
        <v>36.041335613000001</v>
      </c>
      <c r="AP929">
        <v>75.013912160000004</v>
      </c>
      <c r="AQ929">
        <v>83.653265081000001</v>
      </c>
      <c r="AR929">
        <v>37.896841930000001</v>
      </c>
      <c r="AS929">
        <v>73.957673143999997</v>
      </c>
      <c r="AT929"/>
    </row>
    <row r="930" spans="1:46" x14ac:dyDescent="0.2">
      <c r="A930" s="87">
        <v>35186</v>
      </c>
      <c r="B930"/>
      <c r="C930"/>
      <c r="D930">
        <v>53.795471374000002</v>
      </c>
      <c r="E930">
        <v>64.538489747</v>
      </c>
      <c r="F930">
        <v>76.382892112999997</v>
      </c>
      <c r="G930">
        <v>77.816291088</v>
      </c>
      <c r="H930"/>
      <c r="I930"/>
      <c r="J930">
        <v>65.045991540000003</v>
      </c>
      <c r="K930">
        <v>56.646887304000003</v>
      </c>
      <c r="L930">
        <v>69.394217148999999</v>
      </c>
      <c r="M930">
        <v>95.141829400999995</v>
      </c>
      <c r="N930">
        <v>81.900000000000006</v>
      </c>
      <c r="O930">
        <v>101.955084963</v>
      </c>
      <c r="P930"/>
      <c r="Q930"/>
      <c r="R930">
        <v>78.106508876000007</v>
      </c>
      <c r="S930">
        <v>94.78</v>
      </c>
      <c r="T930">
        <v>82.739080360000003</v>
      </c>
      <c r="U930">
        <v>86.897293422000004</v>
      </c>
      <c r="V930">
        <v>124.14860373800001</v>
      </c>
      <c r="W930">
        <v>36.323696939000001</v>
      </c>
      <c r="X930">
        <v>34.952608103999999</v>
      </c>
      <c r="Y930">
        <v>24.515023853999999</v>
      </c>
      <c r="Z930"/>
      <c r="AA930">
        <v>59.535096551999999</v>
      </c>
      <c r="AB930">
        <v>116.29030914099999</v>
      </c>
      <c r="AC930">
        <v>102.627124776</v>
      </c>
      <c r="AD930">
        <v>34.932088993000001</v>
      </c>
      <c r="AE930">
        <v>73.386629122000002</v>
      </c>
      <c r="AF930"/>
      <c r="AG930">
        <v>76.272087847999998</v>
      </c>
      <c r="AH930">
        <v>85.19620639</v>
      </c>
      <c r="AI930">
        <v>111.627050938</v>
      </c>
      <c r="AJ930"/>
      <c r="AK930">
        <v>74.401461798</v>
      </c>
      <c r="AL930">
        <v>36.100313905999997</v>
      </c>
      <c r="AM930">
        <v>114.873806767</v>
      </c>
      <c r="AN930">
        <v>56.674443412000002</v>
      </c>
      <c r="AO930">
        <v>36.877636866000003</v>
      </c>
      <c r="AP930">
        <v>69.466008239999994</v>
      </c>
      <c r="AQ930">
        <v>85.176079372000004</v>
      </c>
      <c r="AR930">
        <v>37.596866927999997</v>
      </c>
      <c r="AS930">
        <v>74.487760359000006</v>
      </c>
      <c r="AT930"/>
    </row>
    <row r="931" spans="1:46" x14ac:dyDescent="0.2">
      <c r="A931" s="87">
        <v>35217</v>
      </c>
      <c r="B931"/>
      <c r="C931"/>
      <c r="D931">
        <v>54.302179107999997</v>
      </c>
      <c r="E931">
        <v>63.311529948999997</v>
      </c>
      <c r="F931">
        <v>76.172253319999996</v>
      </c>
      <c r="G931">
        <v>78.007150440000004</v>
      </c>
      <c r="H931"/>
      <c r="I931"/>
      <c r="J931">
        <v>65.152665342000006</v>
      </c>
      <c r="K931">
        <v>56.436601826999997</v>
      </c>
      <c r="L931">
        <v>69.794183817999993</v>
      </c>
      <c r="M931">
        <v>96.230408685</v>
      </c>
      <c r="N931">
        <v>81.900000000000006</v>
      </c>
      <c r="O931">
        <v>103.730086442</v>
      </c>
      <c r="P931"/>
      <c r="Q931"/>
      <c r="R931">
        <v>78.806567213999998</v>
      </c>
      <c r="S931">
        <v>94.04</v>
      </c>
      <c r="T931">
        <v>83.059202858000006</v>
      </c>
      <c r="U931">
        <v>86.574654956000003</v>
      </c>
      <c r="V931">
        <v>125.015081153</v>
      </c>
      <c r="W931">
        <v>35.649950947000001</v>
      </c>
      <c r="X931">
        <v>34.533716773999998</v>
      </c>
      <c r="Y931">
        <v>24.515023853999999</v>
      </c>
      <c r="Z931"/>
      <c r="AA931">
        <v>60.655757192999999</v>
      </c>
      <c r="AB931">
        <v>116.49029247599999</v>
      </c>
      <c r="AC931">
        <v>102.829945181</v>
      </c>
      <c r="AD931">
        <v>33.916173651999998</v>
      </c>
      <c r="AE931">
        <v>74.897883566999994</v>
      </c>
      <c r="AF931"/>
      <c r="AG931">
        <v>76.924646139000004</v>
      </c>
      <c r="AH931">
        <v>84.537230207999997</v>
      </c>
      <c r="AI931">
        <v>116.546950342</v>
      </c>
      <c r="AJ931"/>
      <c r="AK931">
        <v>74.658989782000006</v>
      </c>
      <c r="AL931">
        <v>35.747322615999998</v>
      </c>
      <c r="AM931">
        <v>117.985692113</v>
      </c>
      <c r="AN931">
        <v>56.528089702999999</v>
      </c>
      <c r="AO931">
        <v>36.993128693000003</v>
      </c>
      <c r="AP931">
        <v>68.606473829999999</v>
      </c>
      <c r="AQ931">
        <v>85.379121278</v>
      </c>
      <c r="AR931">
        <v>38.596783600999998</v>
      </c>
      <c r="AS931">
        <v>75.051746195999996</v>
      </c>
      <c r="AT931"/>
    </row>
    <row r="932" spans="1:46" x14ac:dyDescent="0.2">
      <c r="A932" s="87">
        <v>35247</v>
      </c>
      <c r="B932"/>
      <c r="C932"/>
      <c r="D932">
        <v>54.386630400999998</v>
      </c>
      <c r="E932">
        <v>64.732224450000004</v>
      </c>
      <c r="F932">
        <v>80.420135634999994</v>
      </c>
      <c r="G932">
        <v>78.799922964000004</v>
      </c>
      <c r="H932"/>
      <c r="I932"/>
      <c r="J932">
        <v>64.173158934</v>
      </c>
      <c r="K932">
        <v>57.769264651999997</v>
      </c>
      <c r="L932">
        <v>68.994250479000002</v>
      </c>
      <c r="M932">
        <v>95.794976970999997</v>
      </c>
      <c r="N932">
        <v>81.2</v>
      </c>
      <c r="O932">
        <v>101.75908479899999</v>
      </c>
      <c r="P932"/>
      <c r="Q932"/>
      <c r="R932">
        <v>76.006333861000002</v>
      </c>
      <c r="S932">
        <v>92.37</v>
      </c>
      <c r="T932">
        <v>82.986531591000002</v>
      </c>
      <c r="U932">
        <v>86.467108800999995</v>
      </c>
      <c r="V932">
        <v>124.91752191400001</v>
      </c>
      <c r="W932">
        <v>36.060057203</v>
      </c>
      <c r="X932">
        <v>34.104142490000001</v>
      </c>
      <c r="Y932">
        <v>24.455665443000001</v>
      </c>
      <c r="Z932"/>
      <c r="AA932">
        <v>59.114848811999998</v>
      </c>
      <c r="AB932">
        <v>116.39030080800001</v>
      </c>
      <c r="AC932">
        <v>103.438406395</v>
      </c>
      <c r="AD932">
        <v>34.655112074000002</v>
      </c>
      <c r="AE932">
        <v>74.275869028000002</v>
      </c>
      <c r="AF932"/>
      <c r="AG932">
        <v>77.365306181999998</v>
      </c>
      <c r="AH932">
        <v>85.949322026999994</v>
      </c>
      <c r="AI932">
        <v>117.20293693000001</v>
      </c>
      <c r="AJ932"/>
      <c r="AK932">
        <v>74.655299111000005</v>
      </c>
      <c r="AL932">
        <v>36.698910214000001</v>
      </c>
      <c r="AM932">
        <v>114.65208724</v>
      </c>
      <c r="AN932">
        <v>56.289448057999998</v>
      </c>
      <c r="AO932">
        <v>37.437009021000001</v>
      </c>
      <c r="AP932">
        <v>71.575774519000007</v>
      </c>
      <c r="AQ932">
        <v>86.191288900000004</v>
      </c>
      <c r="AR932">
        <v>38.196816931999997</v>
      </c>
      <c r="AS932">
        <v>75.051647076999998</v>
      </c>
      <c r="AT932"/>
    </row>
    <row r="933" spans="1:46" x14ac:dyDescent="0.2">
      <c r="A933" s="87">
        <v>35278</v>
      </c>
      <c r="B933"/>
      <c r="C933"/>
      <c r="D933">
        <v>54.555532976000002</v>
      </c>
      <c r="E933">
        <v>63.500106011</v>
      </c>
      <c r="F933">
        <v>78.743801911999995</v>
      </c>
      <c r="G933">
        <v>79.069009297999997</v>
      </c>
      <c r="H933"/>
      <c r="I933"/>
      <c r="J933">
        <v>65.839314846999997</v>
      </c>
      <c r="K933">
        <v>57.408256934000001</v>
      </c>
      <c r="L933">
        <v>69.894175485000005</v>
      </c>
      <c r="M933">
        <v>98.298709324000001</v>
      </c>
      <c r="N933">
        <v>82.2</v>
      </c>
      <c r="O933">
        <v>102.781085651</v>
      </c>
      <c r="P933"/>
      <c r="Q933"/>
      <c r="R933">
        <v>79.106592215999996</v>
      </c>
      <c r="S933">
        <v>94.38</v>
      </c>
      <c r="T933">
        <v>83.493526512000003</v>
      </c>
      <c r="U933">
        <v>87.112385732000007</v>
      </c>
      <c r="V933">
        <v>122.4369926</v>
      </c>
      <c r="W933">
        <v>35.942883987000002</v>
      </c>
      <c r="X933">
        <v>34.923243311</v>
      </c>
      <c r="Y933">
        <v>23.505930863</v>
      </c>
      <c r="Z933"/>
      <c r="AA933">
        <v>60.375592032999997</v>
      </c>
      <c r="AB933">
        <v>116.990250812</v>
      </c>
      <c r="AC933">
        <v>103.539816597</v>
      </c>
      <c r="AD933">
        <v>34.470127488999999</v>
      </c>
      <c r="AE933">
        <v>72.854930616000004</v>
      </c>
      <c r="AF933"/>
      <c r="AG933">
        <v>76.883037008000002</v>
      </c>
      <c r="AH933">
        <v>85.666903662999999</v>
      </c>
      <c r="AI933">
        <v>116.874943636</v>
      </c>
      <c r="AJ933"/>
      <c r="AK933">
        <v>74.980101672000004</v>
      </c>
      <c r="AL933">
        <v>36.846328591000002</v>
      </c>
      <c r="AM933">
        <v>116.062908087</v>
      </c>
      <c r="AN933">
        <v>56.215106096</v>
      </c>
      <c r="AO933">
        <v>37.345124650000002</v>
      </c>
      <c r="AP933">
        <v>68.137636878999999</v>
      </c>
      <c r="AQ933">
        <v>86.698893663999996</v>
      </c>
      <c r="AR933">
        <v>38.096825265</v>
      </c>
      <c r="AS933">
        <v>75.416998887000005</v>
      </c>
      <c r="AT933"/>
    </row>
    <row r="934" spans="1:46" x14ac:dyDescent="0.2">
      <c r="A934" s="87">
        <v>35309</v>
      </c>
      <c r="B934"/>
      <c r="C934"/>
      <c r="D934">
        <v>55.40004587</v>
      </c>
      <c r="E934">
        <v>65.552645916000003</v>
      </c>
      <c r="F934">
        <v>79.691676478000005</v>
      </c>
      <c r="G934">
        <v>79.049452552000005</v>
      </c>
      <c r="H934"/>
      <c r="I934"/>
      <c r="J934">
        <v>65.982099489000007</v>
      </c>
      <c r="K934">
        <v>58.122322007999998</v>
      </c>
      <c r="L934">
        <v>70.494125490000002</v>
      </c>
      <c r="M934">
        <v>97.427845896999997</v>
      </c>
      <c r="N934">
        <v>82.2</v>
      </c>
      <c r="O934">
        <v>103.23208602699999</v>
      </c>
      <c r="P934"/>
      <c r="Q934"/>
      <c r="R934">
        <v>81.006750562999997</v>
      </c>
      <c r="S934">
        <v>94.52</v>
      </c>
      <c r="T934">
        <v>83.970506350999997</v>
      </c>
      <c r="U934">
        <v>87.650116507999996</v>
      </c>
      <c r="V934">
        <v>123.90474218999999</v>
      </c>
      <c r="W934">
        <v>36.118643810999998</v>
      </c>
      <c r="X934">
        <v>34.522235360000003</v>
      </c>
      <c r="Y934">
        <v>23.031063572000001</v>
      </c>
      <c r="Z934"/>
      <c r="AA934">
        <v>61.286128804000001</v>
      </c>
      <c r="AB934">
        <v>115.39038413500001</v>
      </c>
      <c r="AC934">
        <v>104.655328823</v>
      </c>
      <c r="AD934">
        <v>34.932088993000001</v>
      </c>
      <c r="AE934">
        <v>75.128871970000006</v>
      </c>
      <c r="AF934"/>
      <c r="AG934">
        <v>77.447234499999993</v>
      </c>
      <c r="AH934">
        <v>86.137600935999998</v>
      </c>
      <c r="AI934">
        <v>116.218957049</v>
      </c>
      <c r="AJ934"/>
      <c r="AK934">
        <v>75.361201675999993</v>
      </c>
      <c r="AL934">
        <v>36.807061365000003</v>
      </c>
      <c r="AM934">
        <v>115.544725251</v>
      </c>
      <c r="AN934">
        <v>56.50074111</v>
      </c>
      <c r="AO934">
        <v>38.525238264999999</v>
      </c>
      <c r="AP934">
        <v>71.653914010999998</v>
      </c>
      <c r="AQ934">
        <v>85.379121278</v>
      </c>
      <c r="AR934">
        <v>37.696858595000002</v>
      </c>
      <c r="AS934">
        <v>75.920918744999994</v>
      </c>
      <c r="AT934"/>
    </row>
    <row r="935" spans="1:46" x14ac:dyDescent="0.2">
      <c r="A935" s="87">
        <v>35339</v>
      </c>
      <c r="B935"/>
      <c r="C935"/>
      <c r="D935">
        <v>54.639984267999999</v>
      </c>
      <c r="E935">
        <v>65.805648634999997</v>
      </c>
      <c r="F935">
        <v>80.235826691</v>
      </c>
      <c r="G935">
        <v>78.799922964000004</v>
      </c>
      <c r="H935"/>
      <c r="I935"/>
      <c r="J935">
        <v>66.017325768000006</v>
      </c>
      <c r="K935">
        <v>57.556737081000001</v>
      </c>
      <c r="L935">
        <v>69.494208815999997</v>
      </c>
      <c r="M935">
        <v>94.924113543999994</v>
      </c>
      <c r="N935">
        <v>81.8</v>
      </c>
      <c r="O935">
        <v>103.269086058</v>
      </c>
      <c r="P935"/>
      <c r="Q935"/>
      <c r="R935">
        <v>81.106758897000006</v>
      </c>
      <c r="S935">
        <v>93.55</v>
      </c>
      <c r="T935">
        <v>83.868243485999997</v>
      </c>
      <c r="U935">
        <v>87.435024197999994</v>
      </c>
      <c r="V935">
        <v>122.774580228</v>
      </c>
      <c r="W935">
        <v>36.470163458999998</v>
      </c>
      <c r="X935">
        <v>35.097877005000001</v>
      </c>
      <c r="Y935">
        <v>24.218231798000001</v>
      </c>
      <c r="Z935"/>
      <c r="AA935">
        <v>60.165468163</v>
      </c>
      <c r="AB935">
        <v>115.890342471</v>
      </c>
      <c r="AC935">
        <v>105.26379003700001</v>
      </c>
      <c r="AD935">
        <v>34.470127488999999</v>
      </c>
      <c r="AE935">
        <v>75.073036814999995</v>
      </c>
      <c r="AF935"/>
      <c r="AG935">
        <v>78.441820585000002</v>
      </c>
      <c r="AH935">
        <v>85.478624753999995</v>
      </c>
      <c r="AI935">
        <v>112.392368623</v>
      </c>
      <c r="AJ935"/>
      <c r="AK935">
        <v>75.411172870000001</v>
      </c>
      <c r="AL935">
        <v>37.675645304</v>
      </c>
      <c r="AM935">
        <v>113.389589239</v>
      </c>
      <c r="AN935">
        <v>56.269764154999997</v>
      </c>
      <c r="AO935">
        <v>38.257059744999999</v>
      </c>
      <c r="AP935">
        <v>72.122750961999998</v>
      </c>
      <c r="AQ935">
        <v>84.973037466999997</v>
      </c>
      <c r="AR935">
        <v>40.696608615999999</v>
      </c>
      <c r="AS935">
        <v>75.891480469000001</v>
      </c>
      <c r="AT935"/>
    </row>
    <row r="936" spans="1:46" x14ac:dyDescent="0.2">
      <c r="A936" s="87">
        <v>35370</v>
      </c>
      <c r="B936"/>
      <c r="C936"/>
      <c r="D936">
        <v>55.231143295000003</v>
      </c>
      <c r="E936">
        <v>65.899722568000001</v>
      </c>
      <c r="F936">
        <v>80.736093823999994</v>
      </c>
      <c r="G936">
        <v>80.033084427999995</v>
      </c>
      <c r="H936"/>
      <c r="I936"/>
      <c r="J936">
        <v>66.883693984000004</v>
      </c>
      <c r="K936">
        <v>57.321238807</v>
      </c>
      <c r="L936">
        <v>70.494125490000002</v>
      </c>
      <c r="M936">
        <v>93.182386690000001</v>
      </c>
      <c r="N936">
        <v>82.5</v>
      </c>
      <c r="O936">
        <v>104.810087342</v>
      </c>
      <c r="P936"/>
      <c r="Q936"/>
      <c r="R936">
        <v>81.006750562999997</v>
      </c>
      <c r="S936">
        <v>94.69</v>
      </c>
      <c r="T936">
        <v>84.537302737000005</v>
      </c>
      <c r="U936">
        <v>87.865208819000003</v>
      </c>
      <c r="V936">
        <v>125.023491726</v>
      </c>
      <c r="W936">
        <v>37.173202754000002</v>
      </c>
      <c r="X936">
        <v>33.977217660000001</v>
      </c>
      <c r="Y936">
        <v>25.880267313000001</v>
      </c>
      <c r="Z936"/>
      <c r="AA936">
        <v>59.745220422999999</v>
      </c>
      <c r="AB936">
        <v>115.39038413500001</v>
      </c>
      <c r="AC936">
        <v>105.770841049</v>
      </c>
      <c r="AD936">
        <v>34.932088993000001</v>
      </c>
      <c r="AE936">
        <v>75.702435648999995</v>
      </c>
      <c r="AF936"/>
      <c r="AG936">
        <v>78.913572434000002</v>
      </c>
      <c r="AH936">
        <v>84.443090753999996</v>
      </c>
      <c r="AI936">
        <v>114.79765277600001</v>
      </c>
      <c r="AJ936"/>
      <c r="AK936">
        <v>75.975941504999994</v>
      </c>
      <c r="AL936">
        <v>37.346476889000002</v>
      </c>
      <c r="AM936">
        <v>115.188251419</v>
      </c>
      <c r="AN936">
        <v>55.798469740999998</v>
      </c>
      <c r="AO936">
        <v>37.708684282999997</v>
      </c>
      <c r="AP936">
        <v>72.122750961999998</v>
      </c>
      <c r="AQ936">
        <v>86.089767946999999</v>
      </c>
      <c r="AR936">
        <v>40.896591950999998</v>
      </c>
      <c r="AS936">
        <v>76.568560829000006</v>
      </c>
      <c r="AT936"/>
    </row>
    <row r="937" spans="1:46" x14ac:dyDescent="0.2">
      <c r="A937" s="87">
        <v>35400</v>
      </c>
      <c r="B937"/>
      <c r="C937"/>
      <c r="D937">
        <v>56.160107480999997</v>
      </c>
      <c r="E937">
        <v>66.307110492000007</v>
      </c>
      <c r="F937">
        <v>80.016411282999997</v>
      </c>
      <c r="G937">
        <v>78.697068967999996</v>
      </c>
      <c r="H937"/>
      <c r="I937"/>
      <c r="J937">
        <v>65.998538088999993</v>
      </c>
      <c r="K937">
        <v>54.443688450000003</v>
      </c>
      <c r="L937">
        <v>70.494125490000002</v>
      </c>
      <c r="M937">
        <v>95.250687329000002</v>
      </c>
      <c r="N937">
        <v>82.4</v>
      </c>
      <c r="O937">
        <v>103.193085994</v>
      </c>
      <c r="P937"/>
      <c r="Q937"/>
      <c r="R937">
        <v>78.406533878000005</v>
      </c>
      <c r="S937">
        <v>94.85</v>
      </c>
      <c r="T937">
        <v>84.899750275000002</v>
      </c>
      <c r="U937">
        <v>88.295393439999998</v>
      </c>
      <c r="V937">
        <v>124.120548249</v>
      </c>
      <c r="W937">
        <v>37.319669273999999</v>
      </c>
      <c r="X937">
        <v>35.002885143</v>
      </c>
      <c r="Y937">
        <v>25.108607967000001</v>
      </c>
      <c r="Z937"/>
      <c r="AA937">
        <v>60.165468163</v>
      </c>
      <c r="AB937">
        <v>115.09040913299999</v>
      </c>
      <c r="AC937">
        <v>106.784943072</v>
      </c>
      <c r="AD937">
        <v>35.857011915999998</v>
      </c>
      <c r="AE937">
        <v>74.779104449000002</v>
      </c>
      <c r="AF937"/>
      <c r="AG937">
        <v>80.940608191999999</v>
      </c>
      <c r="AH937">
        <v>85.855182572000004</v>
      </c>
      <c r="AI937">
        <v>115.344308266</v>
      </c>
      <c r="AJ937"/>
      <c r="AK937">
        <v>76.333624134999994</v>
      </c>
      <c r="AL937">
        <v>37.696538920000002</v>
      </c>
      <c r="AM937">
        <v>109.82854363</v>
      </c>
      <c r="AN937">
        <v>54.900188239999999</v>
      </c>
      <c r="AO937">
        <v>37.603107424000001</v>
      </c>
      <c r="AP937">
        <v>71.888332487</v>
      </c>
      <c r="AQ937">
        <v>88.424749860999995</v>
      </c>
      <c r="AR937">
        <v>40.296641946999998</v>
      </c>
      <c r="AS937">
        <v>77.049187774999993</v>
      </c>
      <c r="AT937"/>
    </row>
    <row r="938" spans="1:46" x14ac:dyDescent="0.2">
      <c r="A938" s="87">
        <v>35431</v>
      </c>
      <c r="B938"/>
      <c r="C938"/>
      <c r="D938">
        <v>57.680230684000001</v>
      </c>
      <c r="E938">
        <v>65.072093826</v>
      </c>
      <c r="F938">
        <v>80.077847597000002</v>
      </c>
      <c r="G938">
        <v>80.635866758999995</v>
      </c>
      <c r="H938"/>
      <c r="I938"/>
      <c r="J938">
        <v>67.229616280000002</v>
      </c>
      <c r="K938">
        <v>58.485246384</v>
      </c>
      <c r="L938">
        <v>69.594200482999995</v>
      </c>
      <c r="M938">
        <v>98.080993466999999</v>
      </c>
      <c r="N938">
        <v>82.6</v>
      </c>
      <c r="O938">
        <v>106.057088381</v>
      </c>
      <c r="P938"/>
      <c r="Q938"/>
      <c r="R938">
        <v>80.606717226000001</v>
      </c>
      <c r="S938">
        <v>94.03</v>
      </c>
      <c r="T938">
        <v>85.199531698000001</v>
      </c>
      <c r="U938">
        <v>88.187847284</v>
      </c>
      <c r="V938">
        <v>126.17871062899999</v>
      </c>
      <c r="W938">
        <v>37.934828658000001</v>
      </c>
      <c r="X938">
        <v>34.684009183999997</v>
      </c>
      <c r="Y938">
        <v>27.186152361000001</v>
      </c>
      <c r="Z938"/>
      <c r="AA938">
        <v>61.005963643999998</v>
      </c>
      <c r="AB938">
        <v>115.990334139</v>
      </c>
      <c r="AC938">
        <v>108.40750631</v>
      </c>
      <c r="AD938">
        <v>33.916173651999998</v>
      </c>
      <c r="AE938">
        <v>72.955771908000003</v>
      </c>
      <c r="AF938"/>
      <c r="AG938">
        <v>79.653808017000003</v>
      </c>
      <c r="AH938">
        <v>85.855182572000004</v>
      </c>
      <c r="AI938">
        <v>117.20293693000001</v>
      </c>
      <c r="AJ938"/>
      <c r="AK938">
        <v>76.469127166000007</v>
      </c>
      <c r="AL938">
        <v>38.483776992999999</v>
      </c>
      <c r="AM938">
        <v>113.70311970100001</v>
      </c>
      <c r="AN938">
        <v>55.918929646000002</v>
      </c>
      <c r="AO938">
        <v>36.248010737999998</v>
      </c>
      <c r="AP938">
        <v>66.106010091000002</v>
      </c>
      <c r="AQ938">
        <v>88.729312719000006</v>
      </c>
      <c r="AR938">
        <v>38.896758603000002</v>
      </c>
      <c r="AS938">
        <v>77.184881379999993</v>
      </c>
      <c r="AT938"/>
    </row>
    <row r="939" spans="1:46" x14ac:dyDescent="0.2">
      <c r="A939" s="87">
        <v>35462</v>
      </c>
      <c r="B939"/>
      <c r="C939"/>
      <c r="D939">
        <v>56.920169082999998</v>
      </c>
      <c r="E939">
        <v>66.507448135999994</v>
      </c>
      <c r="F939">
        <v>80.446465484000001</v>
      </c>
      <c r="G939">
        <v>81.523800860999998</v>
      </c>
      <c r="H939"/>
      <c r="I939"/>
      <c r="J939">
        <v>66.666151649</v>
      </c>
      <c r="K939">
        <v>58.682591690999999</v>
      </c>
      <c r="L939">
        <v>70.594117156999999</v>
      </c>
      <c r="M939">
        <v>98.189851395000005</v>
      </c>
      <c r="N939">
        <v>83.1</v>
      </c>
      <c r="O939">
        <v>104.855087379</v>
      </c>
      <c r="P939"/>
      <c r="Q939"/>
      <c r="R939">
        <v>80.306692224000003</v>
      </c>
      <c r="S939">
        <v>94.79</v>
      </c>
      <c r="T939">
        <v>85.972374134999995</v>
      </c>
      <c r="U939">
        <v>88.402939595000007</v>
      </c>
      <c r="V939">
        <v>126.749455759</v>
      </c>
      <c r="W939">
        <v>38.637867952999997</v>
      </c>
      <c r="X939">
        <v>35.500200141999997</v>
      </c>
      <c r="Y939">
        <v>25.761550491000001</v>
      </c>
      <c r="Z939"/>
      <c r="AA939">
        <v>60.375592032999997</v>
      </c>
      <c r="AB939">
        <v>117.990167486</v>
      </c>
      <c r="AC939">
        <v>108.40750631</v>
      </c>
      <c r="AD939">
        <v>35.394050495999998</v>
      </c>
      <c r="AE939">
        <v>80.444433979999999</v>
      </c>
      <c r="AF939"/>
      <c r="AG939">
        <v>79.958338514000005</v>
      </c>
      <c r="AH939">
        <v>83.407556752999994</v>
      </c>
      <c r="AI939">
        <v>117.85892351699999</v>
      </c>
      <c r="AJ939"/>
      <c r="AK939">
        <v>77.152242814000005</v>
      </c>
      <c r="AL939">
        <v>39.314453710999999</v>
      </c>
      <c r="AM939">
        <v>116.648450641</v>
      </c>
      <c r="AN939">
        <v>58.441180711999998</v>
      </c>
      <c r="AO939">
        <v>38.075446038999999</v>
      </c>
      <c r="AP939">
        <v>70.091124175000004</v>
      </c>
      <c r="AQ939">
        <v>87.815624143999997</v>
      </c>
      <c r="AR939">
        <v>39.696691942000001</v>
      </c>
      <c r="AS939">
        <v>78.104901861000002</v>
      </c>
      <c r="AT939"/>
    </row>
    <row r="940" spans="1:46" x14ac:dyDescent="0.2">
      <c r="A940" s="87">
        <v>35490</v>
      </c>
      <c r="B940"/>
      <c r="C940"/>
      <c r="D940">
        <v>56.920169082999998</v>
      </c>
      <c r="E940">
        <v>66.463687965000005</v>
      </c>
      <c r="F940">
        <v>81.446999747999996</v>
      </c>
      <c r="G940">
        <v>81.034754902000003</v>
      </c>
      <c r="H940"/>
      <c r="I940"/>
      <c r="J940">
        <v>65.009014593000003</v>
      </c>
      <c r="K940">
        <v>59.127181512999996</v>
      </c>
      <c r="L940">
        <v>71.394050496000006</v>
      </c>
      <c r="M940">
        <v>97.536703825000004</v>
      </c>
      <c r="N940">
        <v>84.1</v>
      </c>
      <c r="O940">
        <v>109.613091344</v>
      </c>
      <c r="P940"/>
      <c r="Q940"/>
      <c r="R940">
        <v>80.906742229000002</v>
      </c>
      <c r="S940">
        <v>95.1</v>
      </c>
      <c r="T940">
        <v>86.361745098</v>
      </c>
      <c r="U940">
        <v>87.757662663999994</v>
      </c>
      <c r="V940">
        <v>127.038139914</v>
      </c>
      <c r="W940">
        <v>37.671188921999999</v>
      </c>
      <c r="X940">
        <v>36.091020338</v>
      </c>
      <c r="Y940">
        <v>27.245510772999999</v>
      </c>
      <c r="Z940"/>
      <c r="AA940">
        <v>61.426211383999998</v>
      </c>
      <c r="AB940">
        <v>118.59011749</v>
      </c>
      <c r="AC940">
        <v>108.81314711900001</v>
      </c>
      <c r="AD940">
        <v>35.949004250000002</v>
      </c>
      <c r="AE940">
        <v>75.772191985999996</v>
      </c>
      <c r="AF940"/>
      <c r="AG940">
        <v>80.641922539999996</v>
      </c>
      <c r="AH940">
        <v>81.618907116000003</v>
      </c>
      <c r="AI940">
        <v>118.405579006</v>
      </c>
      <c r="AJ940"/>
      <c r="AK940">
        <v>77.614601816999993</v>
      </c>
      <c r="AL940">
        <v>38.050012258000002</v>
      </c>
      <c r="AM940">
        <v>116.41729726200001</v>
      </c>
      <c r="AN940">
        <v>56.352621096999997</v>
      </c>
      <c r="AO940">
        <v>37.16697851</v>
      </c>
      <c r="AP940">
        <v>69.778566206999997</v>
      </c>
      <c r="AQ940">
        <v>87.917145097000002</v>
      </c>
      <c r="AR940">
        <v>41.396550286999997</v>
      </c>
      <c r="AS940">
        <v>78.576013404999998</v>
      </c>
      <c r="AT940"/>
    </row>
    <row r="941" spans="1:46" x14ac:dyDescent="0.2">
      <c r="A941" s="87">
        <v>35521</v>
      </c>
      <c r="B941"/>
      <c r="C941"/>
      <c r="D941">
        <v>57.764681977000002</v>
      </c>
      <c r="E941">
        <v>66.902564428999995</v>
      </c>
      <c r="F941">
        <v>79.867208805000004</v>
      </c>
      <c r="G941">
        <v>82.151695208000007</v>
      </c>
      <c r="H941"/>
      <c r="I941"/>
      <c r="J941">
        <v>66.987457328000005</v>
      </c>
      <c r="K941">
        <v>61.923727274000001</v>
      </c>
      <c r="L941">
        <v>71.094075493999995</v>
      </c>
      <c r="M941">
        <v>98.625283108999994</v>
      </c>
      <c r="N941">
        <v>85</v>
      </c>
      <c r="O941">
        <v>108.979090816</v>
      </c>
      <c r="P941"/>
      <c r="Q941"/>
      <c r="R941">
        <v>83.406950578999997</v>
      </c>
      <c r="S941">
        <v>98.49</v>
      </c>
      <c r="T941">
        <v>86.246160305999993</v>
      </c>
      <c r="U941">
        <v>88.187847284</v>
      </c>
      <c r="V941">
        <v>126.058829796</v>
      </c>
      <c r="W941">
        <v>38.930800992999998</v>
      </c>
      <c r="X941">
        <v>36.080697061000002</v>
      </c>
      <c r="Y941">
        <v>27.364227594999999</v>
      </c>
      <c r="Z941"/>
      <c r="AA941">
        <v>61.636335254000002</v>
      </c>
      <c r="AB941">
        <v>120.689942505</v>
      </c>
      <c r="AC941">
        <v>106.07507165600001</v>
      </c>
      <c r="AD941">
        <v>36.595950336999998</v>
      </c>
      <c r="AE941">
        <v>77.823558723000005</v>
      </c>
      <c r="AF941"/>
      <c r="AG941">
        <v>81.619494727000003</v>
      </c>
      <c r="AH941">
        <v>86.325879845000003</v>
      </c>
      <c r="AI941">
        <v>118.18691681</v>
      </c>
      <c r="AJ941"/>
      <c r="AK941">
        <v>77.907718059000004</v>
      </c>
      <c r="AL941">
        <v>41.306745274999997</v>
      </c>
      <c r="AM941">
        <v>117.034727582</v>
      </c>
      <c r="AN941">
        <v>56.221265981999998</v>
      </c>
      <c r="AO941">
        <v>37.237100095999999</v>
      </c>
      <c r="AP941">
        <v>76.967399455999995</v>
      </c>
      <c r="AQ941">
        <v>89.643001294000001</v>
      </c>
      <c r="AR941">
        <v>41.796516957000001</v>
      </c>
      <c r="AS941">
        <v>78.647180685999999</v>
      </c>
      <c r="AT941"/>
    </row>
    <row r="942" spans="1:46" x14ac:dyDescent="0.2">
      <c r="A942" s="87">
        <v>35551</v>
      </c>
      <c r="B942"/>
      <c r="C942"/>
      <c r="D942">
        <v>55.991204895999999</v>
      </c>
      <c r="E942">
        <v>66.804546067999993</v>
      </c>
      <c r="F942">
        <v>79.402048137999998</v>
      </c>
      <c r="G942">
        <v>82.284657921999994</v>
      </c>
      <c r="H942"/>
      <c r="I942"/>
      <c r="J942">
        <v>70.444101368999995</v>
      </c>
      <c r="K942">
        <v>57.135278734000003</v>
      </c>
      <c r="L942">
        <v>70.194150487000002</v>
      </c>
      <c r="M942">
        <v>99.605004464000004</v>
      </c>
      <c r="N942">
        <v>84.2</v>
      </c>
      <c r="O942">
        <v>107.610089675</v>
      </c>
      <c r="P942"/>
      <c r="Q942"/>
      <c r="R942">
        <v>81.606800566999993</v>
      </c>
      <c r="S942">
        <v>96.66</v>
      </c>
      <c r="T942">
        <v>86.747468158999993</v>
      </c>
      <c r="U942">
        <v>88.187847284</v>
      </c>
      <c r="V942">
        <v>127.349150284</v>
      </c>
      <c r="W942">
        <v>38.110588481999997</v>
      </c>
      <c r="X942">
        <v>36.343425379999999</v>
      </c>
      <c r="Y942">
        <v>27.008077127</v>
      </c>
      <c r="Z942"/>
      <c r="AA942">
        <v>62.126624284999998</v>
      </c>
      <c r="AB942">
        <v>120.38996750299999</v>
      </c>
      <c r="AC942">
        <v>109.218787929</v>
      </c>
      <c r="AD942">
        <v>36.318973419000002</v>
      </c>
      <c r="AE942">
        <v>77.023978525999993</v>
      </c>
      <c r="AF942"/>
      <c r="AG942">
        <v>82.419086481999997</v>
      </c>
      <c r="AH942">
        <v>84.066532934999998</v>
      </c>
      <c r="AI942">
        <v>119.826883279</v>
      </c>
      <c r="AJ942"/>
      <c r="AK942">
        <v>78.106695192000004</v>
      </c>
      <c r="AL942">
        <v>39.440950837999999</v>
      </c>
      <c r="AM942">
        <v>115.085160898</v>
      </c>
      <c r="AN942">
        <v>57.308600081999998</v>
      </c>
      <c r="AO942">
        <v>37.001599327000001</v>
      </c>
      <c r="AP942">
        <v>70.403682141999994</v>
      </c>
      <c r="AQ942">
        <v>89.236917482999999</v>
      </c>
      <c r="AR942">
        <v>41.696525289999997</v>
      </c>
      <c r="AS942">
        <v>79.070021385999993</v>
      </c>
      <c r="AT942"/>
    </row>
    <row r="943" spans="1:46" x14ac:dyDescent="0.2">
      <c r="A943" s="87">
        <v>35582</v>
      </c>
      <c r="B943"/>
      <c r="C943"/>
      <c r="D943">
        <v>57.342425525000003</v>
      </c>
      <c r="E943">
        <v>67.154852613000003</v>
      </c>
      <c r="F943">
        <v>82.307108150999994</v>
      </c>
      <c r="G943">
        <v>81.590148452999998</v>
      </c>
      <c r="H943"/>
      <c r="I943"/>
      <c r="J943">
        <v>68.384478346999998</v>
      </c>
      <c r="K943">
        <v>60.470027578</v>
      </c>
      <c r="L943">
        <v>72.993917174000003</v>
      </c>
      <c r="M943">
        <v>100.47586789099999</v>
      </c>
      <c r="N943">
        <v>85.6</v>
      </c>
      <c r="O943">
        <v>109.12109093399999</v>
      </c>
      <c r="P943"/>
      <c r="Q943"/>
      <c r="R943">
        <v>85.307108925999998</v>
      </c>
      <c r="S943">
        <v>97.37</v>
      </c>
      <c r="T943">
        <v>87.298969502999995</v>
      </c>
      <c r="U943">
        <v>88.510485750000001</v>
      </c>
      <c r="V943">
        <v>126.26064438</v>
      </c>
      <c r="W943">
        <v>40.219706367999997</v>
      </c>
      <c r="X943">
        <v>36.659563824000003</v>
      </c>
      <c r="Y943">
        <v>28.254603763999999</v>
      </c>
      <c r="Z943"/>
      <c r="AA943">
        <v>61.846459123999999</v>
      </c>
      <c r="AB943">
        <v>121.389884176</v>
      </c>
      <c r="AC943">
        <v>108.610326715</v>
      </c>
      <c r="AD943">
        <v>37.149904175000003</v>
      </c>
      <c r="AE943">
        <v>76.968442517</v>
      </c>
      <c r="AF943"/>
      <c r="AG943">
        <v>83.178719027</v>
      </c>
      <c r="AH943">
        <v>84.725509117000001</v>
      </c>
      <c r="AI943">
        <v>118.405579006</v>
      </c>
      <c r="AJ943"/>
      <c r="AK943">
        <v>78.800649335000003</v>
      </c>
      <c r="AL943">
        <v>42.045274092</v>
      </c>
      <c r="AM943">
        <v>118.764937299</v>
      </c>
      <c r="AN943">
        <v>57.760360667</v>
      </c>
      <c r="AO943">
        <v>38.847906608000002</v>
      </c>
      <c r="AP943">
        <v>70.872519092999994</v>
      </c>
      <c r="AQ943">
        <v>88.627791766000001</v>
      </c>
      <c r="AR943">
        <v>42.196483626000003</v>
      </c>
      <c r="AS943">
        <v>79.430318137</v>
      </c>
      <c r="AT943"/>
    </row>
    <row r="944" spans="1:46" x14ac:dyDescent="0.2">
      <c r="A944" s="87">
        <v>35612</v>
      </c>
      <c r="B944"/>
      <c r="C944"/>
      <c r="D944">
        <v>57.764681977000002</v>
      </c>
      <c r="E944">
        <v>69.423138231999999</v>
      </c>
      <c r="F944">
        <v>81.271467420999997</v>
      </c>
      <c r="G944">
        <v>83.613214941999999</v>
      </c>
      <c r="H944"/>
      <c r="I944"/>
      <c r="J944">
        <v>68.954101471000001</v>
      </c>
      <c r="K944">
        <v>59.671760233000001</v>
      </c>
      <c r="L944">
        <v>73.793850512000006</v>
      </c>
      <c r="M944">
        <v>99.169572751000004</v>
      </c>
      <c r="N944">
        <v>86.3</v>
      </c>
      <c r="O944">
        <v>110.362091968</v>
      </c>
      <c r="P944"/>
      <c r="Q944"/>
      <c r="R944">
        <v>85.007083924</v>
      </c>
      <c r="S944">
        <v>97.56</v>
      </c>
      <c r="T944">
        <v>87.986160545000004</v>
      </c>
      <c r="U944">
        <v>89.693493458000006</v>
      </c>
      <c r="V944">
        <v>124.929848474</v>
      </c>
      <c r="W944">
        <v>39.487373769000001</v>
      </c>
      <c r="X944">
        <v>36.915387893999998</v>
      </c>
      <c r="Y944">
        <v>28.729471054000001</v>
      </c>
      <c r="Z944"/>
      <c r="AA944">
        <v>61.846459123999999</v>
      </c>
      <c r="AB944">
        <v>122.189817515</v>
      </c>
      <c r="AC944">
        <v>108.91455732199999</v>
      </c>
      <c r="AD944">
        <v>36.318973419000002</v>
      </c>
      <c r="AE944">
        <v>81.134610355999996</v>
      </c>
      <c r="AF944"/>
      <c r="AG944">
        <v>83.077461060000005</v>
      </c>
      <c r="AH944">
        <v>85.19620639</v>
      </c>
      <c r="AI944">
        <v>121.904174138</v>
      </c>
      <c r="AJ944"/>
      <c r="AK944">
        <v>79.221240436000002</v>
      </c>
      <c r="AL944">
        <v>40.275310310000002</v>
      </c>
      <c r="AM944">
        <v>116.503269956</v>
      </c>
      <c r="AN944">
        <v>58.148404929000002</v>
      </c>
      <c r="AO944">
        <v>37.826849461999998</v>
      </c>
      <c r="AP944">
        <v>72.669727405000003</v>
      </c>
      <c r="AQ944">
        <v>90.353647963</v>
      </c>
      <c r="AR944">
        <v>41.996500292</v>
      </c>
      <c r="AS944">
        <v>80.067949225000007</v>
      </c>
      <c r="AT944"/>
    </row>
    <row r="945" spans="1:46" x14ac:dyDescent="0.2">
      <c r="A945" s="87">
        <v>35643</v>
      </c>
      <c r="B945"/>
      <c r="C945"/>
      <c r="D945">
        <v>59.284805179999999</v>
      </c>
      <c r="E945">
        <v>68.607620741000005</v>
      </c>
      <c r="F945">
        <v>81.938490263999995</v>
      </c>
      <c r="G945">
        <v>83.428886349999999</v>
      </c>
      <c r="H945"/>
      <c r="I945"/>
      <c r="J945">
        <v>68.297858020999996</v>
      </c>
      <c r="K945">
        <v>60.518370468999997</v>
      </c>
      <c r="L945">
        <v>71.394050496000006</v>
      </c>
      <c r="M945">
        <v>96.665840398</v>
      </c>
      <c r="N945">
        <v>86.4</v>
      </c>
      <c r="O945">
        <v>112.179093483</v>
      </c>
      <c r="P945"/>
      <c r="Q945"/>
      <c r="R945">
        <v>83.906992248999998</v>
      </c>
      <c r="S945">
        <v>101.34</v>
      </c>
      <c r="T945">
        <v>88.104311206999995</v>
      </c>
      <c r="U945">
        <v>88.940670370999996</v>
      </c>
      <c r="V945">
        <v>120.32759600200001</v>
      </c>
      <c r="W945">
        <v>40.922745663999997</v>
      </c>
      <c r="X945">
        <v>36.826875061999999</v>
      </c>
      <c r="Y945">
        <v>29.085621522</v>
      </c>
      <c r="Z945"/>
      <c r="AA945">
        <v>60.935922353999999</v>
      </c>
      <c r="AB945">
        <v>122.889759187</v>
      </c>
      <c r="AC945">
        <v>108.40750631</v>
      </c>
      <c r="AD945">
        <v>37.42788101</v>
      </c>
      <c r="AE945">
        <v>78.725043298000003</v>
      </c>
      <c r="AF945"/>
      <c r="AG945">
        <v>83.942630503000004</v>
      </c>
      <c r="AH945">
        <v>86.043461480999994</v>
      </c>
      <c r="AI945">
        <v>116.109625951</v>
      </c>
      <c r="AJ945"/>
      <c r="AK945">
        <v>79.432676767000004</v>
      </c>
      <c r="AL945">
        <v>40.3275346</v>
      </c>
      <c r="AM945">
        <v>116.288685324</v>
      </c>
      <c r="AN945">
        <v>58.647171077000003</v>
      </c>
      <c r="AO945">
        <v>36.777205369000001</v>
      </c>
      <c r="AP945">
        <v>69.153450273000004</v>
      </c>
      <c r="AQ945">
        <v>89.846043198999993</v>
      </c>
      <c r="AR945">
        <v>43.396383634999999</v>
      </c>
      <c r="AS945">
        <v>80.892716562000004</v>
      </c>
      <c r="AT945"/>
    </row>
    <row r="946" spans="1:46" x14ac:dyDescent="0.2">
      <c r="A946" s="87">
        <v>35674</v>
      </c>
      <c r="B946"/>
      <c r="C946"/>
      <c r="D946">
        <v>58.355841003000002</v>
      </c>
      <c r="E946">
        <v>68.699972302999996</v>
      </c>
      <c r="F946">
        <v>83.948335408000005</v>
      </c>
      <c r="G946">
        <v>83.292980799000006</v>
      </c>
      <c r="H946"/>
      <c r="I946"/>
      <c r="J946">
        <v>69.918771053</v>
      </c>
      <c r="K946">
        <v>61.336485289000002</v>
      </c>
      <c r="L946">
        <v>71.994000499999999</v>
      </c>
      <c r="M946">
        <v>99.169572751000004</v>
      </c>
      <c r="N946">
        <v>86.2</v>
      </c>
      <c r="O946">
        <v>111.50809292300001</v>
      </c>
      <c r="P946"/>
      <c r="Q946"/>
      <c r="R946">
        <v>83.906992248999998</v>
      </c>
      <c r="S946">
        <v>98.94</v>
      </c>
      <c r="T946">
        <v>88.362590709000003</v>
      </c>
      <c r="U946">
        <v>90.016131923000003</v>
      </c>
      <c r="V946">
        <v>126.003961031</v>
      </c>
      <c r="W946">
        <v>41.127798792</v>
      </c>
      <c r="X946">
        <v>37.315661200000001</v>
      </c>
      <c r="Y946">
        <v>29.204338344</v>
      </c>
      <c r="Z946"/>
      <c r="AA946">
        <v>61.356170093999999</v>
      </c>
      <c r="AB946">
        <v>122.78976751899999</v>
      </c>
      <c r="AC946">
        <v>107.697634893</v>
      </c>
      <c r="AD946">
        <v>37.612865595000002</v>
      </c>
      <c r="AE946">
        <v>81.165792236000001</v>
      </c>
      <c r="AF946"/>
      <c r="AG946">
        <v>84.059728714000002</v>
      </c>
      <c r="AH946">
        <v>86.514158753999993</v>
      </c>
      <c r="AI946">
        <v>119.49888998500001</v>
      </c>
      <c r="AJ946"/>
      <c r="AK946">
        <v>79.759219931999993</v>
      </c>
      <c r="AL946">
        <v>41.716288341999999</v>
      </c>
      <c r="AM946">
        <v>115.847620482</v>
      </c>
      <c r="AN946">
        <v>58.015414182999997</v>
      </c>
      <c r="AO946">
        <v>37.415070341000003</v>
      </c>
      <c r="AP946">
        <v>71.653914010999998</v>
      </c>
      <c r="AQ946">
        <v>90.150606057999994</v>
      </c>
      <c r="AR946">
        <v>43.296391966999998</v>
      </c>
      <c r="AS946">
        <v>81.676052251000002</v>
      </c>
      <c r="AT946"/>
    </row>
    <row r="947" spans="1:46" x14ac:dyDescent="0.2">
      <c r="A947" s="87">
        <v>35704</v>
      </c>
      <c r="B947"/>
      <c r="C947"/>
      <c r="D947">
        <v>58.693646162999997</v>
      </c>
      <c r="E947">
        <v>68.435183366000004</v>
      </c>
      <c r="F947">
        <v>84.387166226000005</v>
      </c>
      <c r="G947">
        <v>84.268397410999995</v>
      </c>
      <c r="H947"/>
      <c r="I947"/>
      <c r="J947">
        <v>69.256774786999998</v>
      </c>
      <c r="K947">
        <v>62.810229071999998</v>
      </c>
      <c r="L947">
        <v>72.993917174000003</v>
      </c>
      <c r="M947">
        <v>103.088458172</v>
      </c>
      <c r="N947">
        <v>87.4</v>
      </c>
      <c r="O947">
        <v>112.86109405099999</v>
      </c>
      <c r="P947"/>
      <c r="Q947"/>
      <c r="R947">
        <v>85.307108925999998</v>
      </c>
      <c r="S947">
        <v>101.42</v>
      </c>
      <c r="T947">
        <v>89.033028646000005</v>
      </c>
      <c r="U947">
        <v>91.091593476</v>
      </c>
      <c r="V947">
        <v>126.888312918</v>
      </c>
      <c r="W947">
        <v>41.655078263</v>
      </c>
      <c r="X947">
        <v>37.529877489999997</v>
      </c>
      <c r="Y947">
        <v>29.144979932999998</v>
      </c>
      <c r="Z947"/>
      <c r="AA947">
        <v>61.776417834</v>
      </c>
      <c r="AB947">
        <v>124.28964252999999</v>
      </c>
      <c r="AC947">
        <v>106.987763477</v>
      </c>
      <c r="AD947">
        <v>36.780934922</v>
      </c>
      <c r="AE947">
        <v>81.700036217999994</v>
      </c>
      <c r="AF947"/>
      <c r="AG947">
        <v>84.794704326000002</v>
      </c>
      <c r="AH947">
        <v>86.043461480999994</v>
      </c>
      <c r="AI947">
        <v>122.778822922</v>
      </c>
      <c r="AJ947"/>
      <c r="AK947">
        <v>80.276768029999999</v>
      </c>
      <c r="AL947">
        <v>41.444572364000003</v>
      </c>
      <c r="AM947">
        <v>119.016554814</v>
      </c>
      <c r="AN947">
        <v>57.541597136999997</v>
      </c>
      <c r="AO947">
        <v>38.812114809999997</v>
      </c>
      <c r="AP947">
        <v>72.122750961999998</v>
      </c>
      <c r="AQ947">
        <v>91.571899396000006</v>
      </c>
      <c r="AR947">
        <v>42.896425297999997</v>
      </c>
      <c r="AS947">
        <v>82.374046673999999</v>
      </c>
      <c r="AT947"/>
    </row>
    <row r="948" spans="1:46" x14ac:dyDescent="0.2">
      <c r="A948" s="87">
        <v>35735</v>
      </c>
      <c r="B948"/>
      <c r="C948"/>
      <c r="D948">
        <v>59.284805179999999</v>
      </c>
      <c r="E948">
        <v>66.807602243999995</v>
      </c>
      <c r="F948">
        <v>80.613221194999994</v>
      </c>
      <c r="G948">
        <v>84.368988922</v>
      </c>
      <c r="H948"/>
      <c r="I948"/>
      <c r="J948">
        <v>69.655972176000006</v>
      </c>
      <c r="K948">
        <v>64.053160328999994</v>
      </c>
      <c r="L948">
        <v>73.393883842999998</v>
      </c>
      <c r="M948">
        <v>105.701048453</v>
      </c>
      <c r="N948">
        <v>87.1</v>
      </c>
      <c r="O948">
        <v>111.789093158</v>
      </c>
      <c r="P948"/>
      <c r="Q948"/>
      <c r="R948">
        <v>87.207267271999996</v>
      </c>
      <c r="S948">
        <v>99.09</v>
      </c>
      <c r="T948">
        <v>89.044593849999998</v>
      </c>
      <c r="U948">
        <v>91.736870406999998</v>
      </c>
      <c r="V948">
        <v>128.06488390499999</v>
      </c>
      <c r="W948">
        <v>43.031863551000001</v>
      </c>
      <c r="X948">
        <v>37.614994998</v>
      </c>
      <c r="Y948">
        <v>30.272789747000001</v>
      </c>
      <c r="Z948"/>
      <c r="AA948">
        <v>63.317326215999998</v>
      </c>
      <c r="AB948">
        <v>123.589700858</v>
      </c>
      <c r="AC948">
        <v>105.669430846</v>
      </c>
      <c r="AD948">
        <v>36.318973419000002</v>
      </c>
      <c r="AE948">
        <v>83.584627940000004</v>
      </c>
      <c r="AF948"/>
      <c r="AG948">
        <v>84.692387940000003</v>
      </c>
      <c r="AH948">
        <v>87.267274391000001</v>
      </c>
      <c r="AI948">
        <v>120.701532062</v>
      </c>
      <c r="AJ948"/>
      <c r="AK948">
        <v>80.312584442000002</v>
      </c>
      <c r="AL948">
        <v>42.404991477999999</v>
      </c>
      <c r="AM948">
        <v>119.83683888</v>
      </c>
      <c r="AN948">
        <v>58.163992845999999</v>
      </c>
      <c r="AO948">
        <v>39.081231922000001</v>
      </c>
      <c r="AP948">
        <v>73.060424863999998</v>
      </c>
      <c r="AQ948">
        <v>91.267336537999995</v>
      </c>
      <c r="AR948">
        <v>42.296475293999997</v>
      </c>
      <c r="AS948">
        <v>83.015345155999995</v>
      </c>
      <c r="AT948"/>
    </row>
    <row r="949" spans="1:46" x14ac:dyDescent="0.2">
      <c r="A949" s="87">
        <v>35765</v>
      </c>
      <c r="B949"/>
      <c r="C949"/>
      <c r="D949">
        <v>60.973830976999999</v>
      </c>
      <c r="E949">
        <v>70.141204944999998</v>
      </c>
      <c r="F949">
        <v>77.085021420999993</v>
      </c>
      <c r="G949">
        <v>84.644277922000001</v>
      </c>
      <c r="H949"/>
      <c r="I949"/>
      <c r="J949">
        <v>71.127409878999998</v>
      </c>
      <c r="K949">
        <v>59.394598631999997</v>
      </c>
      <c r="L949">
        <v>74.093825515000006</v>
      </c>
      <c r="M949">
        <v>105.15675881200001</v>
      </c>
      <c r="N949">
        <v>88</v>
      </c>
      <c r="O949">
        <v>111.369092808</v>
      </c>
      <c r="P949"/>
      <c r="Q949"/>
      <c r="R949">
        <v>88.407367281000006</v>
      </c>
      <c r="S949">
        <v>101.07</v>
      </c>
      <c r="T949">
        <v>89.337886717000004</v>
      </c>
      <c r="U949">
        <v>92.167055027999993</v>
      </c>
      <c r="V949">
        <v>128.84682526399999</v>
      </c>
      <c r="W949">
        <v>42.065184518999999</v>
      </c>
      <c r="X949">
        <v>37.417510528000001</v>
      </c>
      <c r="Y949">
        <v>29.797922456999999</v>
      </c>
      <c r="Z949"/>
      <c r="AA949">
        <v>61.076004933999997</v>
      </c>
      <c r="AB949">
        <v>124.48962586499999</v>
      </c>
      <c r="AC949">
        <v>104.655328823</v>
      </c>
      <c r="AD949">
        <v>35.764019664999999</v>
      </c>
      <c r="AE949">
        <v>82.548791703000006</v>
      </c>
      <c r="AF949"/>
      <c r="AG949">
        <v>84.061306805000001</v>
      </c>
      <c r="AH949">
        <v>84.160672390000002</v>
      </c>
      <c r="AI949">
        <v>121.138856453</v>
      </c>
      <c r="AJ949"/>
      <c r="AK949">
        <v>80.400854194000004</v>
      </c>
      <c r="AL949">
        <v>42.227016167999999</v>
      </c>
      <c r="AM949">
        <v>118.375391913</v>
      </c>
      <c r="AN949">
        <v>56.010993661999997</v>
      </c>
      <c r="AO949">
        <v>38.941601079999998</v>
      </c>
      <c r="AP949">
        <v>73.138564356000003</v>
      </c>
      <c r="AQ949">
        <v>92.891671782000003</v>
      </c>
      <c r="AR949">
        <v>42.896425297999997</v>
      </c>
      <c r="AS949">
        <v>83.391699149000004</v>
      </c>
      <c r="AT949"/>
    </row>
    <row r="950" spans="1:46" x14ac:dyDescent="0.2">
      <c r="A950" s="87">
        <v>35796</v>
      </c>
      <c r="B950"/>
      <c r="C950"/>
      <c r="D950">
        <v>61.818343871000003</v>
      </c>
      <c r="E950">
        <v>69.437356966999999</v>
      </c>
      <c r="F950">
        <v>78.498056653999996</v>
      </c>
      <c r="G950">
        <v>84.022001717999999</v>
      </c>
      <c r="H950"/>
      <c r="I950"/>
      <c r="J950">
        <v>68.642509326999999</v>
      </c>
      <c r="K950">
        <v>63.840329670999999</v>
      </c>
      <c r="L950">
        <v>74.893758852999994</v>
      </c>
      <c r="M950">
        <v>102.435310602</v>
      </c>
      <c r="N950">
        <v>88.3</v>
      </c>
      <c r="O950">
        <v>113.52709460600001</v>
      </c>
      <c r="P950">
        <v>44.409918415</v>
      </c>
      <c r="Q950"/>
      <c r="R950">
        <v>86.607217267999999</v>
      </c>
      <c r="S950">
        <v>101.07</v>
      </c>
      <c r="T950">
        <v>89.880833060000001</v>
      </c>
      <c r="U950">
        <v>93.134970425000006</v>
      </c>
      <c r="V950">
        <v>132.158310989</v>
      </c>
      <c r="W950">
        <v>41.901429049999997</v>
      </c>
      <c r="X950">
        <v>37.613048438</v>
      </c>
      <c r="Y950">
        <v>31.638033205999999</v>
      </c>
      <c r="Z950">
        <v>25.600218119000001</v>
      </c>
      <c r="AA950">
        <v>60.935922353999999</v>
      </c>
      <c r="AB950">
        <v>123.589700858</v>
      </c>
      <c r="AC950">
        <v>106.19426418099999</v>
      </c>
      <c r="AD950">
        <v>33.731189067999999</v>
      </c>
      <c r="AE950">
        <v>82.025297608000002</v>
      </c>
      <c r="AF950"/>
      <c r="AG950">
        <v>84.657493922</v>
      </c>
      <c r="AH950">
        <v>86.702437662999998</v>
      </c>
      <c r="AI950">
        <v>119.170896691</v>
      </c>
      <c r="AJ950"/>
      <c r="AK950">
        <v>80.769337077000003</v>
      </c>
      <c r="AL950">
        <v>43.037016266999998</v>
      </c>
      <c r="AM950">
        <v>118.833028187</v>
      </c>
      <c r="AN950">
        <v>53.752983145999998</v>
      </c>
      <c r="AO950">
        <v>40.621596555000004</v>
      </c>
      <c r="AP950">
        <v>73.743091155000002</v>
      </c>
      <c r="AQ950">
        <v>91.673420348999997</v>
      </c>
      <c r="AR950">
        <v>43.396383634999999</v>
      </c>
      <c r="AS950">
        <v>83.766566361000002</v>
      </c>
      <c r="AT950"/>
    </row>
    <row r="951" spans="1:46" x14ac:dyDescent="0.2">
      <c r="A951" s="87">
        <v>35827</v>
      </c>
      <c r="B951"/>
      <c r="C951"/>
      <c r="D951">
        <v>62.747308058000002</v>
      </c>
      <c r="E951">
        <v>70.232932434000006</v>
      </c>
      <c r="F951">
        <v>79.963751584999997</v>
      </c>
      <c r="G951">
        <v>85.056810124999998</v>
      </c>
      <c r="H951"/>
      <c r="I951"/>
      <c r="J951">
        <v>68.863943277000004</v>
      </c>
      <c r="K951">
        <v>63.800176927999999</v>
      </c>
      <c r="L951">
        <v>74.693775518999999</v>
      </c>
      <c r="M951">
        <v>101.45558924700001</v>
      </c>
      <c r="N951">
        <v>88.7</v>
      </c>
      <c r="O951">
        <v>116.421097018</v>
      </c>
      <c r="P951">
        <v>43.725905253000001</v>
      </c>
      <c r="Q951"/>
      <c r="R951">
        <v>88.107342278999994</v>
      </c>
      <c r="S951">
        <v>101.77</v>
      </c>
      <c r="T951">
        <v>89.523840992999993</v>
      </c>
      <c r="U951">
        <v>93.887793510999998</v>
      </c>
      <c r="V951">
        <v>134.06696022700001</v>
      </c>
      <c r="W951">
        <v>43.368565920999998</v>
      </c>
      <c r="X951">
        <v>37.996796938999999</v>
      </c>
      <c r="Y951">
        <v>32.943918254000003</v>
      </c>
      <c r="Z951">
        <v>25.582034520000001</v>
      </c>
      <c r="AA951">
        <v>64.718152016999994</v>
      </c>
      <c r="AB951">
        <v>123.489709191</v>
      </c>
      <c r="AC951">
        <v>103.430449498</v>
      </c>
      <c r="AD951">
        <v>34.008165986000002</v>
      </c>
      <c r="AE951">
        <v>85.474521725000002</v>
      </c>
      <c r="AF951"/>
      <c r="AG951">
        <v>86.489518649000004</v>
      </c>
      <c r="AH951">
        <v>85.478624753999995</v>
      </c>
      <c r="AI951">
        <v>118.296247908</v>
      </c>
      <c r="AJ951"/>
      <c r="AK951">
        <v>80.816415922000004</v>
      </c>
      <c r="AL951">
        <v>43.612517314000002</v>
      </c>
      <c r="AM951">
        <v>124.427500166</v>
      </c>
      <c r="AN951">
        <v>56.253887304000003</v>
      </c>
      <c r="AO951">
        <v>40.340142931000003</v>
      </c>
      <c r="AP951">
        <v>74.583202319999998</v>
      </c>
      <c r="AQ951">
        <v>91.571899396000006</v>
      </c>
      <c r="AR951">
        <v>43.496375301999997</v>
      </c>
      <c r="AS951">
        <v>83.895024294999999</v>
      </c>
      <c r="AT951"/>
    </row>
    <row r="952" spans="1:46" x14ac:dyDescent="0.2">
      <c r="A952" s="87">
        <v>35855</v>
      </c>
      <c r="B952"/>
      <c r="C952"/>
      <c r="D952">
        <v>63.1695645</v>
      </c>
      <c r="E952">
        <v>69.698798554999996</v>
      </c>
      <c r="F952">
        <v>79.630240162999996</v>
      </c>
      <c r="G952">
        <v>85.894716002999999</v>
      </c>
      <c r="H952"/>
      <c r="I952"/>
      <c r="J952">
        <v>67.756788795000006</v>
      </c>
      <c r="K952">
        <v>63.991451894999997</v>
      </c>
      <c r="L952">
        <v>75.693692192</v>
      </c>
      <c r="M952">
        <v>103.415031957</v>
      </c>
      <c r="N952">
        <v>88.7</v>
      </c>
      <c r="O952">
        <v>114.311095259</v>
      </c>
      <c r="P952">
        <v>43.543986859</v>
      </c>
      <c r="Q952"/>
      <c r="R952">
        <v>89.307442287000001</v>
      </c>
      <c r="S952">
        <v>100.57</v>
      </c>
      <c r="T952">
        <v>89.242514618000001</v>
      </c>
      <c r="U952">
        <v>94.425524288000005</v>
      </c>
      <c r="V952">
        <v>143.66295287700001</v>
      </c>
      <c r="W952">
        <v>43.485936871</v>
      </c>
      <c r="X952">
        <v>37.480079961999998</v>
      </c>
      <c r="Y952">
        <v>33.240710311000001</v>
      </c>
      <c r="Z952">
        <v>26.092707236999999</v>
      </c>
      <c r="AA952">
        <v>63.737573955999999</v>
      </c>
      <c r="AB952">
        <v>122.889759187</v>
      </c>
      <c r="AC952">
        <v>101.19813763800001</v>
      </c>
      <c r="AD952">
        <v>32.622281477000001</v>
      </c>
      <c r="AE952">
        <v>82.732457850000003</v>
      </c>
      <c r="AF952"/>
      <c r="AG952">
        <v>88.084507681999995</v>
      </c>
      <c r="AH952">
        <v>85.855182572000004</v>
      </c>
      <c r="AI952">
        <v>119.608221083</v>
      </c>
      <c r="AJ952"/>
      <c r="AK952">
        <v>80.593613563000005</v>
      </c>
      <c r="AL952">
        <v>42.467601144</v>
      </c>
      <c r="AM952">
        <v>123.649369863</v>
      </c>
      <c r="AN952">
        <v>55.465830375000003</v>
      </c>
      <c r="AO952">
        <v>41.833381267999997</v>
      </c>
      <c r="AP952">
        <v>73.929782524999993</v>
      </c>
      <c r="AQ952">
        <v>92.282546065999995</v>
      </c>
      <c r="AR952">
        <v>44.196316973999998</v>
      </c>
      <c r="AS952">
        <v>83.922281959000003</v>
      </c>
      <c r="AT952"/>
    </row>
    <row r="953" spans="1:46" x14ac:dyDescent="0.2">
      <c r="A953" s="87">
        <v>35886</v>
      </c>
      <c r="B953"/>
      <c r="C953"/>
      <c r="D953">
        <v>62.662856765000001</v>
      </c>
      <c r="E953">
        <v>69.875011365000006</v>
      </c>
      <c r="F953">
        <v>80.288486390000003</v>
      </c>
      <c r="G953">
        <v>85.518032900999998</v>
      </c>
      <c r="H953"/>
      <c r="I953"/>
      <c r="J953">
        <v>68.862193185999999</v>
      </c>
      <c r="K953">
        <v>63.837806723</v>
      </c>
      <c r="L953">
        <v>74.993750520999996</v>
      </c>
      <c r="M953">
        <v>97.863277609999997</v>
      </c>
      <c r="N953">
        <v>89</v>
      </c>
      <c r="O953">
        <v>115.154095962</v>
      </c>
      <c r="P953">
        <v>42.859973695999997</v>
      </c>
      <c r="Q953"/>
      <c r="R953">
        <v>90.107508959</v>
      </c>
      <c r="S953">
        <v>101.87</v>
      </c>
      <c r="T953">
        <v>89.326634330000005</v>
      </c>
      <c r="U953">
        <v>94.102885822000005</v>
      </c>
      <c r="V953">
        <v>138.500588314</v>
      </c>
      <c r="W953">
        <v>43.955420670000002</v>
      </c>
      <c r="X953">
        <v>37.927994265999999</v>
      </c>
      <c r="Y953">
        <v>32.409692552999999</v>
      </c>
      <c r="Z953">
        <v>26.613786826999998</v>
      </c>
      <c r="AA953">
        <v>62.546872024999999</v>
      </c>
      <c r="AB953">
        <v>123.88967586</v>
      </c>
      <c r="AC953">
        <v>100.985536509</v>
      </c>
      <c r="AD953">
        <v>32.252312306999997</v>
      </c>
      <c r="AE953">
        <v>81.141250103000004</v>
      </c>
      <c r="AF953"/>
      <c r="AG953">
        <v>86.800728409000001</v>
      </c>
      <c r="AH953">
        <v>86.796577118000002</v>
      </c>
      <c r="AI953">
        <v>121.576180845</v>
      </c>
      <c r="AJ953"/>
      <c r="AK953">
        <v>80.555254946000005</v>
      </c>
      <c r="AL953">
        <v>43.197060082</v>
      </c>
      <c r="AM953">
        <v>124.86102071099999</v>
      </c>
      <c r="AN953">
        <v>54.761041419000001</v>
      </c>
      <c r="AO953">
        <v>41.653631414000003</v>
      </c>
      <c r="AP953">
        <v>74.396510950000007</v>
      </c>
      <c r="AQ953">
        <v>93.399276545999996</v>
      </c>
      <c r="AR953">
        <v>43.296391966999998</v>
      </c>
      <c r="AS953">
        <v>84.233812272999998</v>
      </c>
      <c r="AT953"/>
    </row>
    <row r="954" spans="1:46" x14ac:dyDescent="0.2">
      <c r="A954" s="87">
        <v>35916</v>
      </c>
      <c r="B954"/>
      <c r="C954"/>
      <c r="D954">
        <v>63.254015791999997</v>
      </c>
      <c r="E954">
        <v>69.847766618999998</v>
      </c>
      <c r="F954">
        <v>81.868277332999995</v>
      </c>
      <c r="G954">
        <v>84.835027248000003</v>
      </c>
      <c r="H954"/>
      <c r="I954"/>
      <c r="J954">
        <v>67.867054410999998</v>
      </c>
      <c r="K954">
        <v>62.632417545999999</v>
      </c>
      <c r="L954">
        <v>75.393717190000004</v>
      </c>
      <c r="M954">
        <v>98.298709324000001</v>
      </c>
      <c r="N954">
        <v>89.3</v>
      </c>
      <c r="O954">
        <v>116.034096695</v>
      </c>
      <c r="P954">
        <v>41.906721310000002</v>
      </c>
      <c r="Q954"/>
      <c r="R954">
        <v>89.607467288999999</v>
      </c>
      <c r="S954">
        <v>103.15</v>
      </c>
      <c r="T954">
        <v>89.416115337999997</v>
      </c>
      <c r="U954">
        <v>92.704785803999997</v>
      </c>
      <c r="V954">
        <v>134.32139244499999</v>
      </c>
      <c r="W954">
        <v>45.070444692000002</v>
      </c>
      <c r="X954">
        <v>37.983824972999997</v>
      </c>
      <c r="Y954">
        <v>32.765843021000002</v>
      </c>
      <c r="Z954">
        <v>27.112295829000001</v>
      </c>
      <c r="AA954">
        <v>62.686954604999997</v>
      </c>
      <c r="AB954">
        <v>123.689692526</v>
      </c>
      <c r="AC954">
        <v>100.24143255600001</v>
      </c>
      <c r="AD954">
        <v>32.622281477000001</v>
      </c>
      <c r="AE954">
        <v>82.108710595999995</v>
      </c>
      <c r="AF954"/>
      <c r="AG954">
        <v>87.424904386999998</v>
      </c>
      <c r="AH954">
        <v>87.643832208999996</v>
      </c>
      <c r="AI954">
        <v>117.09360583199999</v>
      </c>
      <c r="AJ954"/>
      <c r="AK954">
        <v>80.682491670999994</v>
      </c>
      <c r="AL954">
        <v>43.476796333000003</v>
      </c>
      <c r="AM954">
        <v>125.566798374</v>
      </c>
      <c r="AN954">
        <v>52.366240449999999</v>
      </c>
      <c r="AO954">
        <v>39.958095198999999</v>
      </c>
      <c r="AP954">
        <v>74.209819580000001</v>
      </c>
      <c r="AQ954">
        <v>91.876462255000007</v>
      </c>
      <c r="AR954">
        <v>44.296308641000003</v>
      </c>
      <c r="AS954">
        <v>84.759340023999997</v>
      </c>
      <c r="AT954"/>
    </row>
    <row r="955" spans="1:46" x14ac:dyDescent="0.2">
      <c r="A955" s="87">
        <v>35947</v>
      </c>
      <c r="B955"/>
      <c r="C955"/>
      <c r="D955">
        <v>63.760723526</v>
      </c>
      <c r="E955">
        <v>71.105479540999994</v>
      </c>
      <c r="F955">
        <v>80.700987358000006</v>
      </c>
      <c r="G955">
        <v>84.782858778999994</v>
      </c>
      <c r="H955"/>
      <c r="I955"/>
      <c r="J955">
        <v>66.220512929999998</v>
      </c>
      <c r="K955">
        <v>61.654119184000002</v>
      </c>
      <c r="L955">
        <v>74.793767185999997</v>
      </c>
      <c r="M955">
        <v>110.381939374</v>
      </c>
      <c r="N955">
        <v>88.9</v>
      </c>
      <c r="O955">
        <v>115.53909628300001</v>
      </c>
      <c r="P955">
        <v>41.404626542000003</v>
      </c>
      <c r="Q955"/>
      <c r="R955">
        <v>88.407367281000006</v>
      </c>
      <c r="S955">
        <v>102.48</v>
      </c>
      <c r="T955">
        <v>89.005025265</v>
      </c>
      <c r="U955">
        <v>91.951962717000001</v>
      </c>
      <c r="V955">
        <v>135.92895582200001</v>
      </c>
      <c r="W955">
        <v>45.363872067000003</v>
      </c>
      <c r="X955">
        <v>38.530981666999999</v>
      </c>
      <c r="Y955">
        <v>32.825201432</v>
      </c>
      <c r="Z955">
        <v>27.392984392999999</v>
      </c>
      <c r="AA955">
        <v>64.508028147000005</v>
      </c>
      <c r="AB955">
        <v>123.489709191</v>
      </c>
      <c r="AC955">
        <v>100.24143255600001</v>
      </c>
      <c r="AD955">
        <v>32.160319973</v>
      </c>
      <c r="AE955">
        <v>85.012258337999995</v>
      </c>
      <c r="AF955"/>
      <c r="AG955">
        <v>86.671751146000005</v>
      </c>
      <c r="AH955">
        <v>86.231740391000002</v>
      </c>
      <c r="AI955">
        <v>120.920194258</v>
      </c>
      <c r="AJ955"/>
      <c r="AK955">
        <v>80.223591459000005</v>
      </c>
      <c r="AL955">
        <v>43.147053262</v>
      </c>
      <c r="AM955">
        <v>122.290961938</v>
      </c>
      <c r="AN955">
        <v>51.205833990999999</v>
      </c>
      <c r="AO955">
        <v>39.331336710999999</v>
      </c>
      <c r="AP955">
        <v>72.249560195000001</v>
      </c>
      <c r="AQ955">
        <v>94.008402262999994</v>
      </c>
      <c r="AR955">
        <v>42.296475293999997</v>
      </c>
      <c r="AS955">
        <v>84.248977444999994</v>
      </c>
      <c r="AT955"/>
    </row>
    <row r="956" spans="1:46" x14ac:dyDescent="0.2">
      <c r="A956" s="87">
        <v>35977</v>
      </c>
      <c r="B956"/>
      <c r="C956"/>
      <c r="D956">
        <v>63.845174819</v>
      </c>
      <c r="E956">
        <v>70.694713194000002</v>
      </c>
      <c r="F956">
        <v>81.394340049999997</v>
      </c>
      <c r="G956">
        <v>83.459117309000007</v>
      </c>
      <c r="H956"/>
      <c r="I956"/>
      <c r="J956">
        <v>69.908608685000004</v>
      </c>
      <c r="K956">
        <v>62.169988836000002</v>
      </c>
      <c r="L956">
        <v>76.393633863999995</v>
      </c>
      <c r="M956">
        <v>115.06283029399999</v>
      </c>
      <c r="N956">
        <v>89.9</v>
      </c>
      <c r="O956">
        <v>115.458096215</v>
      </c>
      <c r="P956">
        <v>40.218518611</v>
      </c>
      <c r="Q956"/>
      <c r="R956">
        <v>89.307442287000001</v>
      </c>
      <c r="S956">
        <v>103.1</v>
      </c>
      <c r="T956">
        <v>88.970805377000005</v>
      </c>
      <c r="U956">
        <v>91.414231940999997</v>
      </c>
      <c r="V956">
        <v>136.90707316199999</v>
      </c>
      <c r="W956">
        <v>45.539928490999998</v>
      </c>
      <c r="X956">
        <v>38.318082424000004</v>
      </c>
      <c r="Y956">
        <v>34.012369657000001</v>
      </c>
      <c r="Z956">
        <v>27.630578998000001</v>
      </c>
      <c r="AA956">
        <v>63.247284925999999</v>
      </c>
      <c r="AB956">
        <v>123.289725856</v>
      </c>
      <c r="AC956">
        <v>100.028831426</v>
      </c>
      <c r="AD956">
        <v>31.513373886</v>
      </c>
      <c r="AE956">
        <v>70.629142216000005</v>
      </c>
      <c r="AF956"/>
      <c r="AG956">
        <v>87.344947783999999</v>
      </c>
      <c r="AH956">
        <v>87.549692754999995</v>
      </c>
      <c r="AI956">
        <v>118.405579006</v>
      </c>
      <c r="AJ956"/>
      <c r="AK956">
        <v>80.244092226000006</v>
      </c>
      <c r="AL956">
        <v>42.559201409000003</v>
      </c>
      <c r="AM956">
        <v>124.252449179</v>
      </c>
      <c r="AN956">
        <v>49.786380968000003</v>
      </c>
      <c r="AO956">
        <v>39.991366192000001</v>
      </c>
      <c r="AP956">
        <v>73.089671359999997</v>
      </c>
      <c r="AQ956">
        <v>94.719048932000007</v>
      </c>
      <c r="AR956">
        <v>42.696441962999998</v>
      </c>
      <c r="AS956">
        <v>83.920299583000002</v>
      </c>
      <c r="AT956"/>
    </row>
    <row r="957" spans="1:46" x14ac:dyDescent="0.2">
      <c r="A957" s="87">
        <v>36008</v>
      </c>
      <c r="B957"/>
      <c r="C957"/>
      <c r="D957">
        <v>63.254015791999997</v>
      </c>
      <c r="E957">
        <v>69.564049889000003</v>
      </c>
      <c r="F957">
        <v>80.042741132000003</v>
      </c>
      <c r="G957">
        <v>85.602572574000007</v>
      </c>
      <c r="H957"/>
      <c r="I957"/>
      <c r="J957">
        <v>68.974494488000005</v>
      </c>
      <c r="K957">
        <v>60.932571744000001</v>
      </c>
      <c r="L957">
        <v>74.693775518999999</v>
      </c>
      <c r="M957">
        <v>109.837649732</v>
      </c>
      <c r="N957">
        <v>88.6</v>
      </c>
      <c r="O957">
        <v>115.39209615999999</v>
      </c>
      <c r="P957">
        <v>40.720613379</v>
      </c>
      <c r="Q957"/>
      <c r="R957">
        <v>88.807400616999999</v>
      </c>
      <c r="S957">
        <v>100.48</v>
      </c>
      <c r="T957">
        <v>89.061302596999994</v>
      </c>
      <c r="U957">
        <v>91.629324252000004</v>
      </c>
      <c r="V957">
        <v>139.913234499</v>
      </c>
      <c r="W957">
        <v>45.833355865000001</v>
      </c>
      <c r="X957">
        <v>38.499121176000003</v>
      </c>
      <c r="Y957">
        <v>35.615046761000002</v>
      </c>
      <c r="Z957">
        <v>27.678718674999999</v>
      </c>
      <c r="AA957">
        <v>63.527450086000002</v>
      </c>
      <c r="AB957">
        <v>121.58986751099999</v>
      </c>
      <c r="AC957">
        <v>98.221721825000003</v>
      </c>
      <c r="AD957">
        <v>32.807266061</v>
      </c>
      <c r="AE957">
        <v>77.231017696999999</v>
      </c>
      <c r="AF957"/>
      <c r="AG957">
        <v>87.411307714000003</v>
      </c>
      <c r="AH957">
        <v>86.514158753999993</v>
      </c>
      <c r="AI957">
        <v>111.189726546</v>
      </c>
      <c r="AJ957"/>
      <c r="AK957">
        <v>80.331774060000001</v>
      </c>
      <c r="AL957">
        <v>43.102112820999999</v>
      </c>
      <c r="AM957">
        <v>122.063509899</v>
      </c>
      <c r="AN957">
        <v>49.291151096</v>
      </c>
      <c r="AO957">
        <v>39.770191437000001</v>
      </c>
      <c r="AP957">
        <v>74.116473894999999</v>
      </c>
      <c r="AQ957">
        <v>95.835779412999997</v>
      </c>
      <c r="AR957">
        <v>42.996416965000002</v>
      </c>
      <c r="AS957">
        <v>85.656761423999995</v>
      </c>
      <c r="AT957"/>
    </row>
    <row r="958" spans="1:46" x14ac:dyDescent="0.2">
      <c r="A958" s="87">
        <v>36039</v>
      </c>
      <c r="B958"/>
      <c r="C958"/>
      <c r="D958">
        <v>65.196395447</v>
      </c>
      <c r="E958">
        <v>69.524042152999996</v>
      </c>
      <c r="F958">
        <v>79.691676478000005</v>
      </c>
      <c r="G958">
        <v>85.846025431000001</v>
      </c>
      <c r="H958"/>
      <c r="I958"/>
      <c r="J958">
        <v>67.533499203999995</v>
      </c>
      <c r="K958">
        <v>60.421377456000002</v>
      </c>
      <c r="L958">
        <v>74.193817182000004</v>
      </c>
      <c r="M958">
        <v>108.857928376</v>
      </c>
      <c r="N958">
        <v>88.9</v>
      </c>
      <c r="O958">
        <v>115.675096396</v>
      </c>
      <c r="P958">
        <v>38.442995083</v>
      </c>
      <c r="Q958"/>
      <c r="R958">
        <v>88.307358946999997</v>
      </c>
      <c r="S958">
        <v>102.33</v>
      </c>
      <c r="T958">
        <v>89.335559234000002</v>
      </c>
      <c r="U958">
        <v>90.768955009999999</v>
      </c>
      <c r="V958">
        <v>135.381359207</v>
      </c>
      <c r="W958">
        <v>45.892041339999999</v>
      </c>
      <c r="X958">
        <v>38.381885977000003</v>
      </c>
      <c r="Y958">
        <v>35.199537882999998</v>
      </c>
      <c r="Z958">
        <v>27.301696138000001</v>
      </c>
      <c r="AA958">
        <v>63.317326215999998</v>
      </c>
      <c r="AB958">
        <v>123.38971752400001</v>
      </c>
      <c r="AC958">
        <v>99.497328601999996</v>
      </c>
      <c r="AD958">
        <v>34.655112074000002</v>
      </c>
      <c r="AE958">
        <v>76.320631731999995</v>
      </c>
      <c r="AF958"/>
      <c r="AG958">
        <v>87.296267341000004</v>
      </c>
      <c r="AH958">
        <v>86.984856027000006</v>
      </c>
      <c r="AI958">
        <v>119.49888998500001</v>
      </c>
      <c r="AJ958"/>
      <c r="AK958">
        <v>80.657749687000006</v>
      </c>
      <c r="AL958">
        <v>41.749815501999997</v>
      </c>
      <c r="AM958">
        <v>124.66823266</v>
      </c>
      <c r="AN958">
        <v>46.867131446999998</v>
      </c>
      <c r="AO958">
        <v>39.209143838999999</v>
      </c>
      <c r="AP958">
        <v>73.183017045</v>
      </c>
      <c r="AQ958">
        <v>94.516007027000001</v>
      </c>
      <c r="AR958">
        <v>43.496375301999997</v>
      </c>
      <c r="AS958">
        <v>85.567951000999997</v>
      </c>
      <c r="AT958"/>
    </row>
    <row r="959" spans="1:46" x14ac:dyDescent="0.2">
      <c r="A959" s="87">
        <v>36069</v>
      </c>
      <c r="B959"/>
      <c r="C959"/>
      <c r="D959">
        <v>64.943041579999999</v>
      </c>
      <c r="E959">
        <v>69.743366038999994</v>
      </c>
      <c r="F959">
        <v>77.313213446000006</v>
      </c>
      <c r="G959">
        <v>86.019920329000001</v>
      </c>
      <c r="H959"/>
      <c r="I959"/>
      <c r="J959">
        <v>66.911112959999997</v>
      </c>
      <c r="K959">
        <v>59.424982491999998</v>
      </c>
      <c r="L959">
        <v>74.693775518999999</v>
      </c>
      <c r="M959">
        <v>97.210130039999996</v>
      </c>
      <c r="N959">
        <v>89.1</v>
      </c>
      <c r="O959">
        <v>117.363097803</v>
      </c>
      <c r="P959">
        <v>37.897239900000002</v>
      </c>
      <c r="Q959"/>
      <c r="R959">
        <v>89.007417285000002</v>
      </c>
      <c r="S959">
        <v>102.39</v>
      </c>
      <c r="T959">
        <v>89.573007255999997</v>
      </c>
      <c r="U959">
        <v>90.876501164999993</v>
      </c>
      <c r="V959">
        <v>139.47213973000001</v>
      </c>
      <c r="W959">
        <v>45.715984915999996</v>
      </c>
      <c r="X959">
        <v>37.607267430999997</v>
      </c>
      <c r="Y959">
        <v>35.615046761000002</v>
      </c>
      <c r="Z959">
        <v>26.952626974000001</v>
      </c>
      <c r="AA959">
        <v>63.597491376000001</v>
      </c>
      <c r="AB959">
        <v>122.589784185</v>
      </c>
      <c r="AC959">
        <v>98.965825778999999</v>
      </c>
      <c r="AD959">
        <v>35.487042746</v>
      </c>
      <c r="AE959">
        <v>76.553309055</v>
      </c>
      <c r="AF959"/>
      <c r="AG959">
        <v>87.004277490999996</v>
      </c>
      <c r="AH959">
        <v>88.114529481999995</v>
      </c>
      <c r="AI959">
        <v>117.640261321</v>
      </c>
      <c r="AJ959"/>
      <c r="AK959">
        <v>80.824549626999996</v>
      </c>
      <c r="AL959">
        <v>41.947925894999997</v>
      </c>
      <c r="AM959">
        <v>124.70256955000001</v>
      </c>
      <c r="AN959">
        <v>49.628611798999998</v>
      </c>
      <c r="AO959">
        <v>38.728658430000003</v>
      </c>
      <c r="AP959">
        <v>72.71628862</v>
      </c>
      <c r="AQ959">
        <v>94.516007027000001</v>
      </c>
      <c r="AR959">
        <v>41.996500292</v>
      </c>
      <c r="AS959">
        <v>86.210240670999994</v>
      </c>
      <c r="AT959"/>
    </row>
    <row r="960" spans="1:46" x14ac:dyDescent="0.2">
      <c r="A960" s="87">
        <v>36100</v>
      </c>
      <c r="B960"/>
      <c r="C960"/>
      <c r="D960">
        <v>64.351882552999996</v>
      </c>
      <c r="E960">
        <v>69.446246197999997</v>
      </c>
      <c r="F960">
        <v>77.989012904999996</v>
      </c>
      <c r="G960">
        <v>86.262035533000002</v>
      </c>
      <c r="H960"/>
      <c r="I960"/>
      <c r="J960">
        <v>65.291393006999996</v>
      </c>
      <c r="K960">
        <v>58.517582818000001</v>
      </c>
      <c r="L960">
        <v>73.693858844999994</v>
      </c>
      <c r="M960">
        <v>96.556982469999994</v>
      </c>
      <c r="N960">
        <v>88.6</v>
      </c>
      <c r="O960">
        <v>116.13109677600001</v>
      </c>
      <c r="P960">
        <v>40.262179025000002</v>
      </c>
      <c r="Q960"/>
      <c r="R960">
        <v>88.507375615000001</v>
      </c>
      <c r="S960">
        <v>102.99</v>
      </c>
      <c r="T960">
        <v>89.325926539999998</v>
      </c>
      <c r="U960">
        <v>90.984047320000002</v>
      </c>
      <c r="V960">
        <v>140.048480066</v>
      </c>
      <c r="W960">
        <v>45.833355865000001</v>
      </c>
      <c r="X960">
        <v>39.422153387000002</v>
      </c>
      <c r="Y960">
        <v>34.902745826</v>
      </c>
      <c r="Z960">
        <v>26.525570202000001</v>
      </c>
      <c r="AA960">
        <v>63.737573955999999</v>
      </c>
      <c r="AB960">
        <v>122.189817515</v>
      </c>
      <c r="AC960">
        <v>98.434322954999999</v>
      </c>
      <c r="AD960">
        <v>36.872927255999997</v>
      </c>
      <c r="AE960">
        <v>74.937811722000006</v>
      </c>
      <c r="AF960"/>
      <c r="AG960">
        <v>87.743174914999997</v>
      </c>
      <c r="AH960">
        <v>88.773505663999998</v>
      </c>
      <c r="AI960">
        <v>116.874943636</v>
      </c>
      <c r="AJ960"/>
      <c r="AK960">
        <v>80.643302367999993</v>
      </c>
      <c r="AL960">
        <v>40.883756843999997</v>
      </c>
      <c r="AM960">
        <v>122.908863326</v>
      </c>
      <c r="AN960">
        <v>50.417691198</v>
      </c>
      <c r="AO960">
        <v>38.527170775999998</v>
      </c>
      <c r="AP960">
        <v>74.303165265000004</v>
      </c>
      <c r="AQ960">
        <v>95.023611790000004</v>
      </c>
      <c r="AR960">
        <v>41.396550286999997</v>
      </c>
      <c r="AS960">
        <v>86.134712164000007</v>
      </c>
      <c r="AT960"/>
    </row>
    <row r="961" spans="1:46" x14ac:dyDescent="0.2">
      <c r="A961" s="87">
        <v>36130</v>
      </c>
      <c r="B961"/>
      <c r="C961"/>
      <c r="D961">
        <v>63.1695645</v>
      </c>
      <c r="E961">
        <v>68.979961023000001</v>
      </c>
      <c r="F961">
        <v>75.338474766999994</v>
      </c>
      <c r="G961">
        <v>87.6285819</v>
      </c>
      <c r="H961"/>
      <c r="I961"/>
      <c r="J961">
        <v>64.715006138999996</v>
      </c>
      <c r="K961">
        <v>55.244729220000004</v>
      </c>
      <c r="L961">
        <v>73.993833847000005</v>
      </c>
      <c r="M961">
        <v>95.577261113999995</v>
      </c>
      <c r="N961">
        <v>88.1</v>
      </c>
      <c r="O961">
        <v>117.09809758199999</v>
      </c>
      <c r="P961">
        <v>39.811021408000002</v>
      </c>
      <c r="Q961"/>
      <c r="R961">
        <v>88.207350613000003</v>
      </c>
      <c r="S961">
        <v>102.21</v>
      </c>
      <c r="T961">
        <v>89.40261289</v>
      </c>
      <c r="U961">
        <v>91.414231940999997</v>
      </c>
      <c r="V961">
        <v>139.740370891</v>
      </c>
      <c r="W961">
        <v>47.065750837000003</v>
      </c>
      <c r="X961">
        <v>39.002661113000002</v>
      </c>
      <c r="Y961">
        <v>35.140179471000003</v>
      </c>
      <c r="Z961">
        <v>26.389884384999998</v>
      </c>
      <c r="AA961">
        <v>63.387367505999997</v>
      </c>
      <c r="AB961">
        <v>119.29005916200001</v>
      </c>
      <c r="AC961">
        <v>98.328022390000001</v>
      </c>
      <c r="AD961">
        <v>37.42788101</v>
      </c>
      <c r="AE961">
        <v>73.682519971999994</v>
      </c>
      <c r="AF961"/>
      <c r="AG961">
        <v>88.412600230999999</v>
      </c>
      <c r="AH961">
        <v>84.160672390000002</v>
      </c>
      <c r="AI961">
        <v>115.45363936299999</v>
      </c>
      <c r="AJ961"/>
      <c r="AK961">
        <v>80.473349331999998</v>
      </c>
      <c r="AL961">
        <v>41.335022803999998</v>
      </c>
      <c r="AM961">
        <v>124.26464278500001</v>
      </c>
      <c r="AN961">
        <v>51.799362922</v>
      </c>
      <c r="AO961">
        <v>38.176707327999999</v>
      </c>
      <c r="AP961">
        <v>71.596140399999996</v>
      </c>
      <c r="AQ961">
        <v>94.008402262999994</v>
      </c>
      <c r="AR961">
        <v>39.096741938000001</v>
      </c>
      <c r="AS961">
        <v>86.482519949999997</v>
      </c>
      <c r="AT961"/>
    </row>
    <row r="962" spans="1:46" x14ac:dyDescent="0.2">
      <c r="A962" s="87">
        <v>36161</v>
      </c>
      <c r="B962"/>
      <c r="C962"/>
      <c r="D962">
        <v>63.591820951999999</v>
      </c>
      <c r="E962">
        <v>69.054257245000002</v>
      </c>
      <c r="F962">
        <v>77.664278100000004</v>
      </c>
      <c r="G962">
        <v>88.605871226999994</v>
      </c>
      <c r="H962"/>
      <c r="I962"/>
      <c r="J962">
        <v>64.964808829999996</v>
      </c>
      <c r="K962">
        <v>58.284485713999999</v>
      </c>
      <c r="L962">
        <v>75.193733855999994</v>
      </c>
      <c r="M962">
        <v>104.285895385</v>
      </c>
      <c r="N962">
        <v>89.4</v>
      </c>
      <c r="O962">
        <v>118.970099142</v>
      </c>
      <c r="P962">
        <v>38.304737103000001</v>
      </c>
      <c r="Q962"/>
      <c r="R962">
        <v>89.607467288999999</v>
      </c>
      <c r="S962">
        <v>102.49</v>
      </c>
      <c r="T962">
        <v>90.212919732000003</v>
      </c>
      <c r="U962">
        <v>92.167055027999993</v>
      </c>
      <c r="V962">
        <v>139.172214454</v>
      </c>
      <c r="W962">
        <v>47.535234635999998</v>
      </c>
      <c r="X962">
        <v>39.713605688000001</v>
      </c>
      <c r="Y962">
        <v>39.29526826</v>
      </c>
      <c r="Z962">
        <v>26.292848800000002</v>
      </c>
      <c r="AA962">
        <v>61.636335254000002</v>
      </c>
      <c r="AB962">
        <v>121.58986751099999</v>
      </c>
      <c r="AC962">
        <v>99.603629166999994</v>
      </c>
      <c r="AD962">
        <v>37.149904175000003</v>
      </c>
      <c r="AE962">
        <v>80.365298809999999</v>
      </c>
      <c r="AF962"/>
      <c r="AG962">
        <v>88.988634891999993</v>
      </c>
      <c r="AH962">
        <v>87.643832208999996</v>
      </c>
      <c r="AI962">
        <v>116.546950342</v>
      </c>
      <c r="AJ962"/>
      <c r="AK962">
        <v>81.314826658000001</v>
      </c>
      <c r="AL962">
        <v>41.262385551999998</v>
      </c>
      <c r="AM962">
        <v>125.27882950599999</v>
      </c>
      <c r="AN962">
        <v>52.546812152000001</v>
      </c>
      <c r="AO962">
        <v>38.520840733</v>
      </c>
      <c r="AP962">
        <v>73.463054099999994</v>
      </c>
      <c r="AQ962">
        <v>93.399276545999996</v>
      </c>
      <c r="AR962">
        <v>40.796600282999997</v>
      </c>
      <c r="AS962">
        <v>86.863433407000002</v>
      </c>
      <c r="AT962"/>
    </row>
    <row r="963" spans="1:46" x14ac:dyDescent="0.2">
      <c r="A963" s="87">
        <v>36192</v>
      </c>
      <c r="B963"/>
      <c r="C963"/>
      <c r="D963">
        <v>62.831759339999998</v>
      </c>
      <c r="E963">
        <v>68.351708420999998</v>
      </c>
      <c r="F963">
        <v>76.453105043999997</v>
      </c>
      <c r="G963">
        <v>88.521866614999993</v>
      </c>
      <c r="H963"/>
      <c r="I963"/>
      <c r="J963">
        <v>65.512841451</v>
      </c>
      <c r="K963">
        <v>58.915485109000002</v>
      </c>
      <c r="L963">
        <v>73.793850512000006</v>
      </c>
      <c r="M963">
        <v>102.326452674</v>
      </c>
      <c r="N963">
        <v>88.4</v>
      </c>
      <c r="O963">
        <v>116.38409698700001</v>
      </c>
      <c r="P963">
        <v>38.079158294000003</v>
      </c>
      <c r="Q963"/>
      <c r="R963">
        <v>90.107508959</v>
      </c>
      <c r="S963">
        <v>102.18</v>
      </c>
      <c r="T963">
        <v>90.169106022999998</v>
      </c>
      <c r="U963">
        <v>92.167055027999993</v>
      </c>
      <c r="V963">
        <v>137.58250912400001</v>
      </c>
      <c r="W963">
        <v>45.774670391000001</v>
      </c>
      <c r="X963">
        <v>39.344542490000002</v>
      </c>
      <c r="Y963">
        <v>36.920931809000002</v>
      </c>
      <c r="Z963">
        <v>26.863868674999999</v>
      </c>
      <c r="AA963">
        <v>62.827037185000002</v>
      </c>
      <c r="AB963">
        <v>120.989917507</v>
      </c>
      <c r="AC963">
        <v>99.603629166999994</v>
      </c>
      <c r="AD963">
        <v>38.628780935000002</v>
      </c>
      <c r="AE963">
        <v>82.864290702999995</v>
      </c>
      <c r="AF963"/>
      <c r="AG963">
        <v>88.407231018000004</v>
      </c>
      <c r="AH963">
        <v>88.208668936999999</v>
      </c>
      <c r="AI963">
        <v>116.218957049</v>
      </c>
      <c r="AJ963"/>
      <c r="AK963">
        <v>81.290501817999996</v>
      </c>
      <c r="AL963">
        <v>41.357636151000001</v>
      </c>
      <c r="AM963">
        <v>128.233952614</v>
      </c>
      <c r="AN963">
        <v>50.988406409</v>
      </c>
      <c r="AO963">
        <v>38.236832710999998</v>
      </c>
      <c r="AP963">
        <v>71.316103345000002</v>
      </c>
      <c r="AQ963">
        <v>94.820569884999998</v>
      </c>
      <c r="AR963">
        <v>41.096575285</v>
      </c>
      <c r="AS963">
        <v>87.353179280000006</v>
      </c>
      <c r="AT963"/>
    </row>
    <row r="964" spans="1:46" x14ac:dyDescent="0.2">
      <c r="A964" s="87">
        <v>36220</v>
      </c>
      <c r="B964"/>
      <c r="C964"/>
      <c r="D964">
        <v>64.858590286999998</v>
      </c>
      <c r="E964">
        <v>69.483243963999996</v>
      </c>
      <c r="F964">
        <v>76.558424439999996</v>
      </c>
      <c r="G964">
        <v>88.190931246999995</v>
      </c>
      <c r="H964"/>
      <c r="I964"/>
      <c r="J964">
        <v>65.415598587000005</v>
      </c>
      <c r="K964">
        <v>57.842047289</v>
      </c>
      <c r="L964">
        <v>74.293808849000001</v>
      </c>
      <c r="M964">
        <v>104.503611241</v>
      </c>
      <c r="N964">
        <v>88.6</v>
      </c>
      <c r="O964">
        <v>114.753095628</v>
      </c>
      <c r="P964">
        <v>38.035497878999998</v>
      </c>
      <c r="Q964"/>
      <c r="R964">
        <v>90.907575631</v>
      </c>
      <c r="S964">
        <v>102.13</v>
      </c>
      <c r="T964">
        <v>90.680691378999995</v>
      </c>
      <c r="U964">
        <v>93.995339666999996</v>
      </c>
      <c r="V964">
        <v>135.64861439000001</v>
      </c>
      <c r="W964">
        <v>47.183121786999997</v>
      </c>
      <c r="X964">
        <v>39.207469166999999</v>
      </c>
      <c r="Y964">
        <v>35.377613115999999</v>
      </c>
      <c r="Z964">
        <v>27.354662226999999</v>
      </c>
      <c r="AA964">
        <v>61.426211383999998</v>
      </c>
      <c r="AB964">
        <v>121.389884176</v>
      </c>
      <c r="AC964">
        <v>100.879235944</v>
      </c>
      <c r="AD964">
        <v>39.275727023000002</v>
      </c>
      <c r="AE964">
        <v>84.228792591000001</v>
      </c>
      <c r="AF964"/>
      <c r="AG964">
        <v>88.834220255000005</v>
      </c>
      <c r="AH964">
        <v>89.150063481999993</v>
      </c>
      <c r="AI964">
        <v>116.65628144</v>
      </c>
      <c r="AJ964"/>
      <c r="AK964">
        <v>81.733427659</v>
      </c>
      <c r="AL964">
        <v>43.245714077999999</v>
      </c>
      <c r="AM964">
        <v>125.243786954</v>
      </c>
      <c r="AN964">
        <v>52.21482159</v>
      </c>
      <c r="AO964">
        <v>38.579552112000002</v>
      </c>
      <c r="AP964">
        <v>71.969523140000007</v>
      </c>
      <c r="AQ964">
        <v>95.734258460000007</v>
      </c>
      <c r="AR964">
        <v>41.996500292</v>
      </c>
      <c r="AS964">
        <v>87.520590893000005</v>
      </c>
      <c r="AT964"/>
    </row>
    <row r="965" spans="1:46" x14ac:dyDescent="0.2">
      <c r="A965" s="87">
        <v>36251</v>
      </c>
      <c r="B965"/>
      <c r="C965"/>
      <c r="D965">
        <v>65.365298022000005</v>
      </c>
      <c r="E965">
        <v>69.599578824999995</v>
      </c>
      <c r="F965">
        <v>77.883693508999997</v>
      </c>
      <c r="G965">
        <v>88.729470370000001</v>
      </c>
      <c r="H965"/>
      <c r="I965"/>
      <c r="J965">
        <v>65.160969209000001</v>
      </c>
      <c r="K965">
        <v>59.338672162999998</v>
      </c>
      <c r="L965">
        <v>74.793767185999997</v>
      </c>
      <c r="M965">
        <v>98.189851395000005</v>
      </c>
      <c r="N965">
        <v>89.1</v>
      </c>
      <c r="O965">
        <v>117.61309801100001</v>
      </c>
      <c r="P965">
        <v>38.668573891000001</v>
      </c>
      <c r="Q965"/>
      <c r="R965">
        <v>91.707642304000004</v>
      </c>
      <c r="S965">
        <v>102.92</v>
      </c>
      <c r="T965">
        <v>90.607590043000002</v>
      </c>
      <c r="U965">
        <v>95.285893529000006</v>
      </c>
      <c r="V965">
        <v>135.50629162499999</v>
      </c>
      <c r="W965">
        <v>47.476549161999998</v>
      </c>
      <c r="X965">
        <v>39.823627389999999</v>
      </c>
      <c r="Y965">
        <v>36.267989284999999</v>
      </c>
      <c r="Z965">
        <v>27.940197546</v>
      </c>
      <c r="AA965">
        <v>62.686954604999997</v>
      </c>
      <c r="AB965">
        <v>120.48995917000001</v>
      </c>
      <c r="AC965">
        <v>99.178426908000006</v>
      </c>
      <c r="AD965">
        <v>38.905757854000001</v>
      </c>
      <c r="AE965">
        <v>85.963304178000001</v>
      </c>
      <c r="AF965"/>
      <c r="AG965">
        <v>88.831813584000002</v>
      </c>
      <c r="AH965">
        <v>87.549692754999995</v>
      </c>
      <c r="AI965">
        <v>113.37634850400001</v>
      </c>
      <c r="AJ965"/>
      <c r="AK965">
        <v>81.719040527000004</v>
      </c>
      <c r="AL965">
        <v>43.181080090999998</v>
      </c>
      <c r="AM965">
        <v>128.01288829800001</v>
      </c>
      <c r="AN965">
        <v>51.600683613999998</v>
      </c>
      <c r="AO965">
        <v>38.859733351000003</v>
      </c>
      <c r="AP965">
        <v>70.009263755000006</v>
      </c>
      <c r="AQ965">
        <v>94.109923215999999</v>
      </c>
      <c r="AR965">
        <v>41.396550286999997</v>
      </c>
      <c r="AS965">
        <v>87.714863695000005</v>
      </c>
      <c r="AT965"/>
    </row>
    <row r="966" spans="1:46" x14ac:dyDescent="0.2">
      <c r="A966" s="87">
        <v>36281</v>
      </c>
      <c r="B966"/>
      <c r="C966"/>
      <c r="D966">
        <v>66.294262208000006</v>
      </c>
      <c r="E966">
        <v>69.607146998000005</v>
      </c>
      <c r="F966">
        <v>79.296728741999999</v>
      </c>
      <c r="G966">
        <v>88.564136450999996</v>
      </c>
      <c r="H966"/>
      <c r="I966"/>
      <c r="J966">
        <v>65.538380880000005</v>
      </c>
      <c r="K966">
        <v>61.476699984</v>
      </c>
      <c r="L966">
        <v>75.293725523000006</v>
      </c>
      <c r="M966">
        <v>101.782163032</v>
      </c>
      <c r="N966">
        <v>89.2</v>
      </c>
      <c r="O966">
        <v>116.84509737099999</v>
      </c>
      <c r="P966">
        <v>38.122818709000001</v>
      </c>
      <c r="Q966"/>
      <c r="R966">
        <v>91.507625634999997</v>
      </c>
      <c r="S966">
        <v>103.35</v>
      </c>
      <c r="T966">
        <v>91.313575865999994</v>
      </c>
      <c r="U966">
        <v>97.221724323000004</v>
      </c>
      <c r="V966">
        <v>139.11233436000001</v>
      </c>
      <c r="W966">
        <v>47.065750837000003</v>
      </c>
      <c r="X966">
        <v>40.810925351999998</v>
      </c>
      <c r="Y966">
        <v>36.683498164</v>
      </c>
      <c r="Z966">
        <v>28.180804293000001</v>
      </c>
      <c r="AA966">
        <v>62.266706865000003</v>
      </c>
      <c r="AB966">
        <v>119.590034164</v>
      </c>
      <c r="AC966">
        <v>100.772935379</v>
      </c>
      <c r="AD966">
        <v>41.031580701999999</v>
      </c>
      <c r="AE966">
        <v>87.622188934999997</v>
      </c>
      <c r="AF966"/>
      <c r="AG966">
        <v>88.615563972999993</v>
      </c>
      <c r="AH966">
        <v>87.455553300000005</v>
      </c>
      <c r="AI966">
        <v>116.437619244</v>
      </c>
      <c r="AJ966"/>
      <c r="AK966">
        <v>82.474502177000005</v>
      </c>
      <c r="AL966">
        <v>44.876895513999997</v>
      </c>
      <c r="AM966">
        <v>125.528123196</v>
      </c>
      <c r="AN966">
        <v>51.770654297999997</v>
      </c>
      <c r="AO966">
        <v>39.903900573000001</v>
      </c>
      <c r="AP966">
        <v>72.062868824999995</v>
      </c>
      <c r="AQ966">
        <v>95.125132742999995</v>
      </c>
      <c r="AR966">
        <v>42.796433630999999</v>
      </c>
      <c r="AS966">
        <v>88.260016964000002</v>
      </c>
      <c r="AT966"/>
    </row>
    <row r="967" spans="1:46" x14ac:dyDescent="0.2">
      <c r="A967" s="87">
        <v>36312</v>
      </c>
      <c r="B967"/>
      <c r="C967"/>
      <c r="D967">
        <v>66.716518649999998</v>
      </c>
      <c r="E967">
        <v>69.693647845000001</v>
      </c>
      <c r="F967">
        <v>78.735025295</v>
      </c>
      <c r="G967">
        <v>89.779795553</v>
      </c>
      <c r="H967"/>
      <c r="I967"/>
      <c r="J967">
        <v>65.388258655000001</v>
      </c>
      <c r="K967">
        <v>59.301536841000001</v>
      </c>
      <c r="L967">
        <v>75.293725523000006</v>
      </c>
      <c r="M967">
        <v>101.23787339</v>
      </c>
      <c r="N967">
        <v>90</v>
      </c>
      <c r="O967">
        <v>117.988098323</v>
      </c>
      <c r="P967">
        <v>40.080260631000002</v>
      </c>
      <c r="Q967"/>
      <c r="R967">
        <v>92.107675639999997</v>
      </c>
      <c r="S967">
        <v>104.77</v>
      </c>
      <c r="T967">
        <v>91.371715561000002</v>
      </c>
      <c r="U967">
        <v>97.114178167999995</v>
      </c>
      <c r="V967">
        <v>139.16218695000001</v>
      </c>
      <c r="W967">
        <v>48.474202234000003</v>
      </c>
      <c r="X967">
        <v>40.352697724000002</v>
      </c>
      <c r="Y967">
        <v>37.514515922000001</v>
      </c>
      <c r="Z967">
        <v>28.112778014</v>
      </c>
      <c r="AA967">
        <v>63.037161054999999</v>
      </c>
      <c r="AB967">
        <v>121.489875844</v>
      </c>
      <c r="AC967">
        <v>100.028831426</v>
      </c>
      <c r="AD967">
        <v>41.308557620000002</v>
      </c>
      <c r="AE967">
        <v>86.751214967999999</v>
      </c>
      <c r="AF967"/>
      <c r="AG967">
        <v>88.500145523</v>
      </c>
      <c r="AH967">
        <v>90.279736936999996</v>
      </c>
      <c r="AI967">
        <v>116.874943636</v>
      </c>
      <c r="AJ967"/>
      <c r="AK967">
        <v>82.602777295999999</v>
      </c>
      <c r="AL967">
        <v>43.199515421999997</v>
      </c>
      <c r="AM967">
        <v>129.50610112800001</v>
      </c>
      <c r="AN967">
        <v>51.412136375999999</v>
      </c>
      <c r="AO967">
        <v>38.501152967000003</v>
      </c>
      <c r="AP967">
        <v>73.556399784999996</v>
      </c>
      <c r="AQ967">
        <v>95.632737507000002</v>
      </c>
      <c r="AR967">
        <v>42.796433630999999</v>
      </c>
      <c r="AS967">
        <v>88.196085353000001</v>
      </c>
      <c r="AT967"/>
    </row>
    <row r="968" spans="1:46" x14ac:dyDescent="0.2">
      <c r="A968" s="87">
        <v>36342</v>
      </c>
      <c r="B968"/>
      <c r="C968"/>
      <c r="D968">
        <v>65.872005766000001</v>
      </c>
      <c r="E968">
        <v>70.649339036000001</v>
      </c>
      <c r="F968">
        <v>77.752044264000006</v>
      </c>
      <c r="G968">
        <v>90.290243961000002</v>
      </c>
      <c r="H968"/>
      <c r="I968"/>
      <c r="J968">
        <v>65.701416377000001</v>
      </c>
      <c r="K968">
        <v>58.994993790000002</v>
      </c>
      <c r="L968">
        <v>75.893675526999999</v>
      </c>
      <c r="M968">
        <v>99.713862392999999</v>
      </c>
      <c r="N968">
        <v>90.6</v>
      </c>
      <c r="O968">
        <v>120.17510014600001</v>
      </c>
      <c r="P968">
        <v>40.080260631000002</v>
      </c>
      <c r="Q968"/>
      <c r="R968">
        <v>91.607633969000005</v>
      </c>
      <c r="S968">
        <v>105.02</v>
      </c>
      <c r="T968">
        <v>91.974563142999997</v>
      </c>
      <c r="U968">
        <v>98.619824340999998</v>
      </c>
      <c r="V968">
        <v>142.524797471</v>
      </c>
      <c r="W968">
        <v>49.061056983</v>
      </c>
      <c r="X968">
        <v>40.792437911999997</v>
      </c>
      <c r="Y968">
        <v>39.888852372999999</v>
      </c>
      <c r="Z968">
        <v>27.502276752</v>
      </c>
      <c r="AA968">
        <v>64.017739116000001</v>
      </c>
      <c r="AB968">
        <v>122.38980085</v>
      </c>
      <c r="AC968">
        <v>100.56033425</v>
      </c>
      <c r="AD968">
        <v>42.602449796000002</v>
      </c>
      <c r="AE968">
        <v>87.206023509000005</v>
      </c>
      <c r="AF968"/>
      <c r="AG968">
        <v>89.366386497999997</v>
      </c>
      <c r="AH968">
        <v>90.091458028000005</v>
      </c>
      <c r="AI968">
        <v>119.170896691</v>
      </c>
      <c r="AJ968"/>
      <c r="AK968">
        <v>83.177848444000006</v>
      </c>
      <c r="AL968">
        <v>44.278755715000003</v>
      </c>
      <c r="AM968">
        <v>126.503024963</v>
      </c>
      <c r="AN968">
        <v>52.822745302999998</v>
      </c>
      <c r="AO968">
        <v>38.604158734999999</v>
      </c>
      <c r="AP968">
        <v>72.249560195000001</v>
      </c>
      <c r="AQ968">
        <v>95.328174649000005</v>
      </c>
      <c r="AR968">
        <v>42.096491958999998</v>
      </c>
      <c r="AS968">
        <v>88.726668162999999</v>
      </c>
      <c r="AT968"/>
    </row>
    <row r="969" spans="1:46" x14ac:dyDescent="0.2">
      <c r="A969" s="87">
        <v>36373</v>
      </c>
      <c r="B969"/>
      <c r="C969"/>
      <c r="D969">
        <v>66.885421234999995</v>
      </c>
      <c r="E969">
        <v>71.088705133000005</v>
      </c>
      <c r="F969">
        <v>79.050983484</v>
      </c>
      <c r="G969">
        <v>91.151692531999998</v>
      </c>
      <c r="H969"/>
      <c r="I969"/>
      <c r="J969">
        <v>67.141388282999998</v>
      </c>
      <c r="K969">
        <v>59.922675558999998</v>
      </c>
      <c r="L969">
        <v>76.593617198999993</v>
      </c>
      <c r="M969">
        <v>97.863277609999997</v>
      </c>
      <c r="N969">
        <v>90.6</v>
      </c>
      <c r="O969">
        <v>118.26509855400001</v>
      </c>
      <c r="P969">
        <v>40.080260631000002</v>
      </c>
      <c r="Q969"/>
      <c r="R969">
        <v>90.507542294999993</v>
      </c>
      <c r="S969">
        <v>103.04</v>
      </c>
      <c r="T969">
        <v>92.451509193000007</v>
      </c>
      <c r="U969">
        <v>99.372647427999993</v>
      </c>
      <c r="V969">
        <v>140.94497692300001</v>
      </c>
      <c r="W969">
        <v>50.704250279</v>
      </c>
      <c r="X969">
        <v>41.113708825000003</v>
      </c>
      <c r="Y969">
        <v>38.523608914</v>
      </c>
      <c r="Z969">
        <v>26.603115730999999</v>
      </c>
      <c r="AA969">
        <v>64.437986856999999</v>
      </c>
      <c r="AB969">
        <v>123.18973418900001</v>
      </c>
      <c r="AC969">
        <v>101.517039333</v>
      </c>
      <c r="AD969">
        <v>42.602449796000002</v>
      </c>
      <c r="AE969">
        <v>93.112011975000001</v>
      </c>
      <c r="AF969"/>
      <c r="AG969">
        <v>88.642536183000004</v>
      </c>
      <c r="AH969">
        <v>89.714900209999996</v>
      </c>
      <c r="AI969">
        <v>119.38955888700001</v>
      </c>
      <c r="AJ969"/>
      <c r="AK969">
        <v>83.358363065000006</v>
      </c>
      <c r="AL969">
        <v>44.712855292999997</v>
      </c>
      <c r="AM969">
        <v>128.29043375000001</v>
      </c>
      <c r="AN969">
        <v>52.930558767000001</v>
      </c>
      <c r="AO969">
        <v>39.485141693999999</v>
      </c>
      <c r="AP969">
        <v>73.183017045</v>
      </c>
      <c r="AQ969">
        <v>93.805360356999998</v>
      </c>
      <c r="AR969">
        <v>39.596700275000003</v>
      </c>
      <c r="AS969">
        <v>89.106193957000002</v>
      </c>
      <c r="AT969"/>
    </row>
    <row r="970" spans="1:46" x14ac:dyDescent="0.2">
      <c r="A970" s="87">
        <v>36404</v>
      </c>
      <c r="B970"/>
      <c r="C970"/>
      <c r="D970">
        <v>67.561031553999996</v>
      </c>
      <c r="E970">
        <v>71.110724770999994</v>
      </c>
      <c r="F970">
        <v>80.077847597000002</v>
      </c>
      <c r="G970">
        <v>92.364676328000002</v>
      </c>
      <c r="H970"/>
      <c r="I970"/>
      <c r="J970">
        <v>65.663726386999997</v>
      </c>
      <c r="K970">
        <v>59.298350200000002</v>
      </c>
      <c r="L970">
        <v>76.293642195999993</v>
      </c>
      <c r="M970">
        <v>103.74160574299999</v>
      </c>
      <c r="N970">
        <v>91.4</v>
      </c>
      <c r="O970">
        <v>119.847099873</v>
      </c>
      <c r="P970">
        <v>39.898342237000001</v>
      </c>
      <c r="Q970"/>
      <c r="R970">
        <v>92.807733978000002</v>
      </c>
      <c r="S970">
        <v>105.87</v>
      </c>
      <c r="T970">
        <v>92.610483861999995</v>
      </c>
      <c r="U970">
        <v>99.372647427999993</v>
      </c>
      <c r="V970">
        <v>141.072274781</v>
      </c>
      <c r="W970">
        <v>51.760588826000003</v>
      </c>
      <c r="X970">
        <v>41.086987522999998</v>
      </c>
      <c r="Y970">
        <v>41.135379010000001</v>
      </c>
      <c r="Z970">
        <v>27.186430865999998</v>
      </c>
      <c r="AA970">
        <v>65.628688788000005</v>
      </c>
      <c r="AB970">
        <v>123.689692526</v>
      </c>
      <c r="AC970">
        <v>102.26114328600001</v>
      </c>
      <c r="AD970">
        <v>44.728272644</v>
      </c>
      <c r="AE970">
        <v>93.969932659999998</v>
      </c>
      <c r="AF970"/>
      <c r="AG970">
        <v>88.992751709999993</v>
      </c>
      <c r="AH970">
        <v>89.244202936999997</v>
      </c>
      <c r="AI970">
        <v>117.749592419</v>
      </c>
      <c r="AJ970"/>
      <c r="AK970">
        <v>83.838218918999999</v>
      </c>
      <c r="AL970">
        <v>45.571944293000001</v>
      </c>
      <c r="AM970">
        <v>125.714692426</v>
      </c>
      <c r="AN970">
        <v>53.557379967000003</v>
      </c>
      <c r="AO970">
        <v>38.87293829</v>
      </c>
      <c r="AP970">
        <v>74.116473894999999</v>
      </c>
      <c r="AQ970">
        <v>97.054030846000003</v>
      </c>
      <c r="AR970">
        <v>40.696608615999999</v>
      </c>
      <c r="AS970">
        <v>88.707340001000006</v>
      </c>
      <c r="AT970"/>
    </row>
    <row r="971" spans="1:46" x14ac:dyDescent="0.2">
      <c r="A971" s="87">
        <v>36434</v>
      </c>
      <c r="B971"/>
      <c r="C971"/>
      <c r="D971">
        <v>68.236641872999996</v>
      </c>
      <c r="E971">
        <v>71.571746794999996</v>
      </c>
      <c r="F971">
        <v>81.376786816999996</v>
      </c>
      <c r="G971">
        <v>91.851017553000005</v>
      </c>
      <c r="H971"/>
      <c r="I971"/>
      <c r="J971">
        <v>68.312692494000004</v>
      </c>
      <c r="K971">
        <v>59.766616304000003</v>
      </c>
      <c r="L971">
        <v>77.093575534999999</v>
      </c>
      <c r="M971">
        <v>106.680769809</v>
      </c>
      <c r="N971">
        <v>92.3</v>
      </c>
      <c r="O971">
        <v>120.593100494</v>
      </c>
      <c r="P971">
        <v>41.768463330000003</v>
      </c>
      <c r="Q971"/>
      <c r="R971">
        <v>91.807650637999998</v>
      </c>
      <c r="S971">
        <v>107.21</v>
      </c>
      <c r="T971">
        <v>93.272473607999999</v>
      </c>
      <c r="U971">
        <v>98.404732030999995</v>
      </c>
      <c r="V971">
        <v>143.446930584</v>
      </c>
      <c r="W971">
        <v>52.406129049999997</v>
      </c>
      <c r="X971">
        <v>40.809051060000002</v>
      </c>
      <c r="Y971">
        <v>42.381905646</v>
      </c>
      <c r="Z971">
        <v>27.838481428000001</v>
      </c>
      <c r="AA971">
        <v>65.488606207999993</v>
      </c>
      <c r="AB971">
        <v>124.889592534</v>
      </c>
      <c r="AC971">
        <v>102.15484272099999</v>
      </c>
      <c r="AD971">
        <v>44.820264977999997</v>
      </c>
      <c r="AE971">
        <v>93.063979983999999</v>
      </c>
      <c r="AF971"/>
      <c r="AG971">
        <v>89.042315392000006</v>
      </c>
      <c r="AH971">
        <v>89.809039663999997</v>
      </c>
      <c r="AI971">
        <v>116.218957049</v>
      </c>
      <c r="AJ971"/>
      <c r="AK971">
        <v>84.379080017000007</v>
      </c>
      <c r="AL971">
        <v>45.975086679</v>
      </c>
      <c r="AM971">
        <v>127.538312901</v>
      </c>
      <c r="AN971">
        <v>51.903355859999998</v>
      </c>
      <c r="AO971">
        <v>39.170457931000001</v>
      </c>
      <c r="AP971">
        <v>75.516659169999997</v>
      </c>
      <c r="AQ971">
        <v>97.054030846000003</v>
      </c>
      <c r="AR971">
        <v>40.396633614000002</v>
      </c>
      <c r="AS971">
        <v>89.873472403999997</v>
      </c>
      <c r="AT971"/>
    </row>
    <row r="972" spans="1:46" x14ac:dyDescent="0.2">
      <c r="A972" s="87">
        <v>36465</v>
      </c>
      <c r="B972"/>
      <c r="C972"/>
      <c r="D972">
        <v>72.205852476000004</v>
      </c>
      <c r="E972">
        <v>73.557604312999999</v>
      </c>
      <c r="F972">
        <v>80.753647056000005</v>
      </c>
      <c r="G972">
        <v>93.028419776999996</v>
      </c>
      <c r="H972"/>
      <c r="I972"/>
      <c r="J972">
        <v>70.498267553999995</v>
      </c>
      <c r="K972">
        <v>59.154468377000001</v>
      </c>
      <c r="L972">
        <v>76.993583868000002</v>
      </c>
      <c r="M972">
        <v>108.422496663</v>
      </c>
      <c r="N972">
        <v>92.7</v>
      </c>
      <c r="O972">
        <v>121.059100883</v>
      </c>
      <c r="P972">
        <v>41.179047732999997</v>
      </c>
      <c r="Q972"/>
      <c r="R972">
        <v>91.707642304000004</v>
      </c>
      <c r="S972">
        <v>107.26</v>
      </c>
      <c r="T972">
        <v>93.773955478000005</v>
      </c>
      <c r="U972">
        <v>98.512278186000003</v>
      </c>
      <c r="V972">
        <v>142.60683357400001</v>
      </c>
      <c r="W972">
        <v>53.169040223000003</v>
      </c>
      <c r="X972">
        <v>40.776776147</v>
      </c>
      <c r="Y972">
        <v>41.076020597999999</v>
      </c>
      <c r="Z972">
        <v>28.853140618000001</v>
      </c>
      <c r="AA972">
        <v>66.749349429000006</v>
      </c>
      <c r="AB972">
        <v>125.68952587299999</v>
      </c>
      <c r="AC972">
        <v>103.217848369</v>
      </c>
      <c r="AD972">
        <v>46.854095491999999</v>
      </c>
      <c r="AE972">
        <v>91.395924984000004</v>
      </c>
      <c r="AF972"/>
      <c r="AG972">
        <v>90.131493474999999</v>
      </c>
      <c r="AH972">
        <v>91.503549847000002</v>
      </c>
      <c r="AI972">
        <v>120.373538768</v>
      </c>
      <c r="AJ972"/>
      <c r="AK972">
        <v>85.079985364999999</v>
      </c>
      <c r="AL972">
        <v>46.425912158999999</v>
      </c>
      <c r="AM972">
        <v>129.37762023799999</v>
      </c>
      <c r="AN972">
        <v>53.394090728000002</v>
      </c>
      <c r="AO972">
        <v>39.728023360000002</v>
      </c>
      <c r="AP972">
        <v>74.583202319999998</v>
      </c>
      <c r="AQ972">
        <v>97.358593704</v>
      </c>
      <c r="AR972">
        <v>40.996583618000003</v>
      </c>
      <c r="AS972">
        <v>90.340619196999995</v>
      </c>
      <c r="AT972"/>
    </row>
    <row r="973" spans="1:46" x14ac:dyDescent="0.2">
      <c r="A973" s="87">
        <v>36495</v>
      </c>
      <c r="B973"/>
      <c r="C973"/>
      <c r="D973">
        <v>68.743349608000003</v>
      </c>
      <c r="E973">
        <v>72.166079421999996</v>
      </c>
      <c r="F973">
        <v>81.464552980999997</v>
      </c>
      <c r="G973">
        <v>94.478703225999993</v>
      </c>
      <c r="H973"/>
      <c r="I973"/>
      <c r="J973">
        <v>70.863735485000007</v>
      </c>
      <c r="K973">
        <v>59.134434433000003</v>
      </c>
      <c r="L973">
        <v>77.093575534999999</v>
      </c>
      <c r="M973">
        <v>110.926229015</v>
      </c>
      <c r="N973">
        <v>92.4</v>
      </c>
      <c r="O973">
        <v>122.077101731</v>
      </c>
      <c r="P973">
        <v>41.310028977000002</v>
      </c>
      <c r="Q973"/>
      <c r="R973">
        <v>98.908242353999995</v>
      </c>
      <c r="S973">
        <v>106.36</v>
      </c>
      <c r="T973">
        <v>93.856051433000005</v>
      </c>
      <c r="U973">
        <v>96.038716616000002</v>
      </c>
      <c r="V973">
        <v>145.20442886699999</v>
      </c>
      <c r="W973">
        <v>51.115048602999998</v>
      </c>
      <c r="X973">
        <v>42.087715273000001</v>
      </c>
      <c r="Y973">
        <v>41.313454243000002</v>
      </c>
      <c r="Z973">
        <v>30.053242463</v>
      </c>
      <c r="AA973">
        <v>67.379721039000003</v>
      </c>
      <c r="AB973">
        <v>124.28964252999999</v>
      </c>
      <c r="AC973">
        <v>103.111547804</v>
      </c>
      <c r="AD973">
        <v>46.669110906999997</v>
      </c>
      <c r="AE973">
        <v>93.357963432999995</v>
      </c>
      <c r="AF973"/>
      <c r="AG973">
        <v>90.412879408999999</v>
      </c>
      <c r="AH973">
        <v>91.221131482999994</v>
      </c>
      <c r="AI973">
        <v>122.56016072600001</v>
      </c>
      <c r="AJ973"/>
      <c r="AK973">
        <v>85.294615351000004</v>
      </c>
      <c r="AL973">
        <v>49.156482896999997</v>
      </c>
      <c r="AM973">
        <v>129.29557917400001</v>
      </c>
      <c r="AN973">
        <v>62.033878106000003</v>
      </c>
      <c r="AO973">
        <v>39.233609043000001</v>
      </c>
      <c r="AP973">
        <v>75.890041909999994</v>
      </c>
      <c r="AQ973">
        <v>96.952509892999998</v>
      </c>
      <c r="AR973">
        <v>41.196566953000001</v>
      </c>
      <c r="AS973">
        <v>91.035045342999993</v>
      </c>
      <c r="AT973"/>
    </row>
    <row r="974" spans="1:46" x14ac:dyDescent="0.2">
      <c r="A974" s="87">
        <v>36526</v>
      </c>
      <c r="B974"/>
      <c r="C974"/>
      <c r="D974">
        <v>66.547616074999993</v>
      </c>
      <c r="E974">
        <v>64.894592117000002</v>
      </c>
      <c r="F974">
        <v>80.692210742</v>
      </c>
      <c r="G974">
        <v>94.841207205000003</v>
      </c>
      <c r="H974"/>
      <c r="I974"/>
      <c r="J974">
        <v>70.692216927999993</v>
      </c>
      <c r="K974">
        <v>58.490251624999999</v>
      </c>
      <c r="L974">
        <v>76.493625531000006</v>
      </c>
      <c r="M974">
        <v>107</v>
      </c>
      <c r="N974">
        <v>92.1</v>
      </c>
      <c r="O974">
        <v>122.447102039</v>
      </c>
      <c r="P974">
        <v>44.303691974000003</v>
      </c>
      <c r="Q974"/>
      <c r="R974">
        <v>96.008000667000005</v>
      </c>
      <c r="S974">
        <v>107.12</v>
      </c>
      <c r="T974">
        <v>93.785986147000003</v>
      </c>
      <c r="U974">
        <v>95.823624304999996</v>
      </c>
      <c r="V974">
        <v>149.02613617399999</v>
      </c>
      <c r="W974">
        <v>53.704475373000001</v>
      </c>
      <c r="X974">
        <v>41.653968679999998</v>
      </c>
      <c r="Y974">
        <v>38.761042559000003</v>
      </c>
      <c r="Z974">
        <v>28.944346334999999</v>
      </c>
      <c r="AA974">
        <v>64.648110727000002</v>
      </c>
      <c r="AB974">
        <v>124.58961753200001</v>
      </c>
      <c r="AC974">
        <v>103.005247239</v>
      </c>
      <c r="AD974">
        <v>47.762019832</v>
      </c>
      <c r="AE974">
        <v>86.992750603999994</v>
      </c>
      <c r="AF974">
        <v>57.4</v>
      </c>
      <c r="AG974">
        <v>91.589313360000006</v>
      </c>
      <c r="AH974">
        <v>92.256665483000006</v>
      </c>
      <c r="AI974">
        <v>120.09309542299999</v>
      </c>
      <c r="AJ974"/>
      <c r="AK974">
        <v>85.118401868999996</v>
      </c>
      <c r="AL974">
        <v>44.7</v>
      </c>
      <c r="AM974">
        <v>127.85472502</v>
      </c>
      <c r="AN974">
        <v>58.041024161999999</v>
      </c>
      <c r="AO974">
        <v>39.909977494000003</v>
      </c>
      <c r="AP974">
        <v>74.116473894999999</v>
      </c>
      <c r="AQ974">
        <v>93.307775648000003</v>
      </c>
      <c r="AR974">
        <v>41.496541954999998</v>
      </c>
      <c r="AS974">
        <v>90.985287717000006</v>
      </c>
      <c r="AT974"/>
    </row>
    <row r="975" spans="1:46" x14ac:dyDescent="0.2">
      <c r="A975" s="87">
        <v>36557</v>
      </c>
      <c r="B975"/>
      <c r="C975"/>
      <c r="D975">
        <v>69.672313794000004</v>
      </c>
      <c r="E975">
        <v>67.594367136000002</v>
      </c>
      <c r="F975">
        <v>80.797530137999999</v>
      </c>
      <c r="G975">
        <v>94.475492857999996</v>
      </c>
      <c r="H975"/>
      <c r="I975"/>
      <c r="J975">
        <v>69.496151335999997</v>
      </c>
      <c r="K975">
        <v>60.089985001999999</v>
      </c>
      <c r="L975">
        <v>78.393467211000001</v>
      </c>
      <c r="M975">
        <v>107</v>
      </c>
      <c r="N975">
        <v>93.2</v>
      </c>
      <c r="O975">
        <v>122.39310199400001</v>
      </c>
      <c r="P975">
        <v>44.803733643999998</v>
      </c>
      <c r="Q975"/>
      <c r="R975">
        <v>96.308025669000003</v>
      </c>
      <c r="S975">
        <v>107.45</v>
      </c>
      <c r="T975">
        <v>94.237939815999994</v>
      </c>
      <c r="U975">
        <v>96.038716616000002</v>
      </c>
      <c r="V975">
        <v>149.52555352100001</v>
      </c>
      <c r="W975">
        <v>53.904492040999997</v>
      </c>
      <c r="X975">
        <v>41.087613306000002</v>
      </c>
      <c r="Y975">
        <v>38.761042559000003</v>
      </c>
      <c r="Z975">
        <v>28.234287128999998</v>
      </c>
      <c r="AA975">
        <v>68.010092650000004</v>
      </c>
      <c r="AB975">
        <v>125.189567536</v>
      </c>
      <c r="AC975">
        <v>102.898946674</v>
      </c>
      <c r="AD975">
        <v>47.955003750000003</v>
      </c>
      <c r="AE975">
        <v>89.692525622999995</v>
      </c>
      <c r="AF975">
        <v>57.5</v>
      </c>
      <c r="AG975">
        <v>92.230482996999996</v>
      </c>
      <c r="AH975">
        <v>93.103920575000004</v>
      </c>
      <c r="AI975">
        <v>121.48952676499999</v>
      </c>
      <c r="AJ975"/>
      <c r="AK975">
        <v>85.724008776999995</v>
      </c>
      <c r="AL975">
        <v>46</v>
      </c>
      <c r="AM975">
        <v>128.87858668199999</v>
      </c>
      <c r="AN975">
        <v>56.078170636999999</v>
      </c>
      <c r="AO975">
        <v>40.710177543999997</v>
      </c>
      <c r="AP975">
        <v>76.356770334999993</v>
      </c>
      <c r="AQ975">
        <v>98.008167346999997</v>
      </c>
      <c r="AR975">
        <v>42.996416965000002</v>
      </c>
      <c r="AS975">
        <v>91.315353242</v>
      </c>
      <c r="AT975"/>
    </row>
    <row r="976" spans="1:46" x14ac:dyDescent="0.2">
      <c r="A976" s="87">
        <v>36586</v>
      </c>
      <c r="B976"/>
      <c r="C976"/>
      <c r="D976">
        <v>69.418959916999995</v>
      </c>
      <c r="E976">
        <v>68.694275477000005</v>
      </c>
      <c r="F976">
        <v>82.122799207</v>
      </c>
      <c r="G976">
        <v>95.568890469999999</v>
      </c>
      <c r="H976"/>
      <c r="I976"/>
      <c r="J976">
        <v>69.906532077999998</v>
      </c>
      <c r="K976">
        <v>60.589901683000001</v>
      </c>
      <c r="L976">
        <v>78.493458877999998</v>
      </c>
      <c r="M976">
        <v>108.6</v>
      </c>
      <c r="N976">
        <v>93.6</v>
      </c>
      <c r="O976">
        <v>124.065103388</v>
      </c>
      <c r="P976">
        <v>44.303691974000003</v>
      </c>
      <c r="Q976"/>
      <c r="R976">
        <v>95.507958997000003</v>
      </c>
      <c r="S976">
        <v>108.14</v>
      </c>
      <c r="T976">
        <v>94.820530903999995</v>
      </c>
      <c r="U976">
        <v>95.823624304999996</v>
      </c>
      <c r="V976">
        <v>151.722989845</v>
      </c>
      <c r="W976">
        <v>56.404700392000002</v>
      </c>
      <c r="X976">
        <v>42.589432395000003</v>
      </c>
      <c r="Y976">
        <v>39.948210783999997</v>
      </c>
      <c r="Z976">
        <v>28.276299226999999</v>
      </c>
      <c r="AA976">
        <v>69.200794580999997</v>
      </c>
      <c r="AB976">
        <v>126.289475877</v>
      </c>
      <c r="AC976">
        <v>104.387154581</v>
      </c>
      <c r="AD976">
        <v>48.40896592</v>
      </c>
      <c r="AE976">
        <v>87.392717274000006</v>
      </c>
      <c r="AF976">
        <v>57.5</v>
      </c>
      <c r="AG976">
        <v>92.316600285999996</v>
      </c>
      <c r="AH976">
        <v>93.386338937999994</v>
      </c>
      <c r="AI976">
        <v>123.002327386</v>
      </c>
      <c r="AJ976"/>
      <c r="AK976">
        <v>86.175775489000003</v>
      </c>
      <c r="AL976">
        <v>45.8</v>
      </c>
      <c r="AM976">
        <v>120.815676095</v>
      </c>
      <c r="AN976">
        <v>56.087961149999998</v>
      </c>
      <c r="AO976">
        <v>40.810202551000003</v>
      </c>
      <c r="AP976">
        <v>77.383572869999995</v>
      </c>
      <c r="AQ976">
        <v>98.608217350999993</v>
      </c>
      <c r="AR976">
        <v>42.196483626000003</v>
      </c>
      <c r="AS976">
        <v>91.658403327000002</v>
      </c>
      <c r="AT976"/>
    </row>
    <row r="977" spans="1:46" x14ac:dyDescent="0.2">
      <c r="A977" s="87">
        <v>36617</v>
      </c>
      <c r="B977"/>
      <c r="C977"/>
      <c r="D977">
        <v>70.094570235999996</v>
      </c>
      <c r="E977">
        <v>71.194067161000007</v>
      </c>
      <c r="F977">
        <v>82.886364830000005</v>
      </c>
      <c r="G977">
        <v>95.300022205000005</v>
      </c>
      <c r="H977"/>
      <c r="I977"/>
      <c r="J977">
        <v>69.037339423999995</v>
      </c>
      <c r="K977">
        <v>60.489918347</v>
      </c>
      <c r="L977">
        <v>79.493375552000003</v>
      </c>
      <c r="M977">
        <v>108.6</v>
      </c>
      <c r="N977">
        <v>94.7</v>
      </c>
      <c r="O977">
        <v>123.60410300300001</v>
      </c>
      <c r="P977">
        <v>44.603716976000001</v>
      </c>
      <c r="Q977"/>
      <c r="R977">
        <v>97.008084006999994</v>
      </c>
      <c r="S977">
        <v>108.76</v>
      </c>
      <c r="T977">
        <v>95.692631657999996</v>
      </c>
      <c r="U977">
        <v>97.329270479000002</v>
      </c>
      <c r="V977">
        <v>152.02264025299999</v>
      </c>
      <c r="W977">
        <v>55.604633718999999</v>
      </c>
      <c r="X977">
        <v>42.798170779000003</v>
      </c>
      <c r="Y977">
        <v>43.094206581000002</v>
      </c>
      <c r="Z977">
        <v>28.583011993</v>
      </c>
      <c r="AA977">
        <v>69.901207481</v>
      </c>
      <c r="AB977">
        <v>127.28939255100001</v>
      </c>
      <c r="AC977">
        <v>105.981663052</v>
      </c>
      <c r="AD977">
        <v>47.965002916000003</v>
      </c>
      <c r="AE977">
        <v>92.692275644000006</v>
      </c>
      <c r="AF977">
        <v>57</v>
      </c>
      <c r="AG977">
        <v>92.183907594000004</v>
      </c>
      <c r="AH977">
        <v>93.762896756999993</v>
      </c>
      <c r="AI977">
        <v>117.882079131</v>
      </c>
      <c r="AJ977"/>
      <c r="AK977">
        <v>86.861616405999996</v>
      </c>
      <c r="AL977">
        <v>47</v>
      </c>
      <c r="AM977">
        <v>119.663831726</v>
      </c>
      <c r="AN977">
        <v>61.558842884000001</v>
      </c>
      <c r="AO977">
        <v>41.410352588000002</v>
      </c>
      <c r="AP977">
        <v>77.383572869999995</v>
      </c>
      <c r="AQ977">
        <v>99.708309025999995</v>
      </c>
      <c r="AR977">
        <v>43.296391966999998</v>
      </c>
      <c r="AS977">
        <v>92.241816443999994</v>
      </c>
      <c r="AT977"/>
    </row>
    <row r="978" spans="1:46" x14ac:dyDescent="0.2">
      <c r="A978" s="87">
        <v>36647</v>
      </c>
      <c r="B978"/>
      <c r="C978"/>
      <c r="D978">
        <v>71.361339572000006</v>
      </c>
      <c r="E978">
        <v>71.894008833000001</v>
      </c>
      <c r="F978">
        <v>82.649396187999997</v>
      </c>
      <c r="G978">
        <v>96.747897878000003</v>
      </c>
      <c r="H978"/>
      <c r="I978"/>
      <c r="J978">
        <v>69.804385956000004</v>
      </c>
      <c r="K978">
        <v>61.389768371999999</v>
      </c>
      <c r="L978">
        <v>81.393217231999998</v>
      </c>
      <c r="M978">
        <v>112.8</v>
      </c>
      <c r="N978">
        <v>96</v>
      </c>
      <c r="O978">
        <v>124.840104033</v>
      </c>
      <c r="P978">
        <v>44.903741977999999</v>
      </c>
      <c r="Q978"/>
      <c r="R978">
        <v>101.30844236999999</v>
      </c>
      <c r="S978">
        <v>110.11</v>
      </c>
      <c r="T978">
        <v>96.200654494999995</v>
      </c>
      <c r="U978">
        <v>98.082093564999994</v>
      </c>
      <c r="V978">
        <v>148.22706841999999</v>
      </c>
      <c r="W978">
        <v>57.004750395999999</v>
      </c>
      <c r="X978">
        <v>43.078590943000002</v>
      </c>
      <c r="Y978">
        <v>43.450357048999997</v>
      </c>
      <c r="Z978">
        <v>29.115003804000001</v>
      </c>
      <c r="AA978">
        <v>71.442115862999998</v>
      </c>
      <c r="AB978">
        <v>127.989334222</v>
      </c>
      <c r="AC978">
        <v>105.343859663</v>
      </c>
      <c r="AD978">
        <v>49.682859762</v>
      </c>
      <c r="AE978">
        <v>93.492208982999998</v>
      </c>
      <c r="AF978">
        <v>58.8</v>
      </c>
      <c r="AG978">
        <v>93.181716226999995</v>
      </c>
      <c r="AH978">
        <v>95.080849121</v>
      </c>
      <c r="AI978">
        <v>122.88595810699999</v>
      </c>
      <c r="AJ978"/>
      <c r="AK978">
        <v>87.610426986999997</v>
      </c>
      <c r="AL978">
        <v>48.1</v>
      </c>
      <c r="AM978">
        <v>128.622621267</v>
      </c>
      <c r="AN978">
        <v>56.746772225000001</v>
      </c>
      <c r="AO978">
        <v>39.509877469000003</v>
      </c>
      <c r="AP978">
        <v>79.343832254999995</v>
      </c>
      <c r="AQ978">
        <v>101.508459038</v>
      </c>
      <c r="AR978">
        <v>43.896341972000002</v>
      </c>
      <c r="AS978">
        <v>92.520141968000004</v>
      </c>
      <c r="AT978"/>
    </row>
    <row r="979" spans="1:46" x14ac:dyDescent="0.2">
      <c r="A979" s="87">
        <v>36678</v>
      </c>
      <c r="B979"/>
      <c r="C979"/>
      <c r="D979">
        <v>70.770180554999996</v>
      </c>
      <c r="E979">
        <v>70.994083825999994</v>
      </c>
      <c r="F979">
        <v>84.668017949000003</v>
      </c>
      <c r="G979">
        <v>97.074820286000005</v>
      </c>
      <c r="H979"/>
      <c r="I979"/>
      <c r="J979">
        <v>69.507781229000003</v>
      </c>
      <c r="K979">
        <v>61.289785035999998</v>
      </c>
      <c r="L979">
        <v>79.593367219000001</v>
      </c>
      <c r="M979">
        <v>110.3</v>
      </c>
      <c r="N979">
        <v>94.7</v>
      </c>
      <c r="O979">
        <v>123.52810294</v>
      </c>
      <c r="P979">
        <v>46.803900325000001</v>
      </c>
      <c r="Q979"/>
      <c r="R979">
        <v>97.008084006999994</v>
      </c>
      <c r="S979">
        <v>108.69</v>
      </c>
      <c r="T979">
        <v>96.210297824999998</v>
      </c>
      <c r="U979">
        <v>99.157555117000001</v>
      </c>
      <c r="V979">
        <v>150.22473780600001</v>
      </c>
      <c r="W979">
        <v>58.704892074</v>
      </c>
      <c r="X979">
        <v>42.739902319999999</v>
      </c>
      <c r="Y979">
        <v>43.865865927999998</v>
      </c>
      <c r="Z979">
        <v>29.242759184000001</v>
      </c>
      <c r="AA979">
        <v>71.442115862999998</v>
      </c>
      <c r="AB979">
        <v>127.789350887</v>
      </c>
      <c r="AC979">
        <v>106.72576700499999</v>
      </c>
      <c r="AD979">
        <v>49.390884092999997</v>
      </c>
      <c r="AE979">
        <v>91.292392301000007</v>
      </c>
      <c r="AF979">
        <v>58.6</v>
      </c>
      <c r="AG979">
        <v>93.602912595000006</v>
      </c>
      <c r="AH979">
        <v>93.951175665999997</v>
      </c>
      <c r="AI979">
        <v>120.32583398</v>
      </c>
      <c r="AJ979"/>
      <c r="AK979">
        <v>87.656082557000005</v>
      </c>
      <c r="AL979">
        <v>48.1</v>
      </c>
      <c r="AM979">
        <v>127.726742313</v>
      </c>
      <c r="AN979">
        <v>57.439453583999999</v>
      </c>
      <c r="AO979">
        <v>38.209552387999999</v>
      </c>
      <c r="AP979">
        <v>79.437177939999998</v>
      </c>
      <c r="AQ979">
        <v>104.408700725</v>
      </c>
      <c r="AR979">
        <v>44.496291976000002</v>
      </c>
      <c r="AS979">
        <v>92.567818098999993</v>
      </c>
      <c r="AT979"/>
    </row>
    <row r="980" spans="1:46" x14ac:dyDescent="0.2">
      <c r="A980" s="87">
        <v>36708</v>
      </c>
      <c r="B980"/>
      <c r="C980"/>
      <c r="D980">
        <v>71.699144731000004</v>
      </c>
      <c r="E980">
        <v>70.994083825999994</v>
      </c>
      <c r="F980">
        <v>85.264827861000001</v>
      </c>
      <c r="G980">
        <v>97.079635836999998</v>
      </c>
      <c r="H980"/>
      <c r="I980"/>
      <c r="J980">
        <v>70.063702668000005</v>
      </c>
      <c r="K980">
        <v>61.789701716000003</v>
      </c>
      <c r="L980">
        <v>80.893258895000002</v>
      </c>
      <c r="M980">
        <v>107.4</v>
      </c>
      <c r="N980">
        <v>95.9</v>
      </c>
      <c r="O980">
        <v>124.550103792</v>
      </c>
      <c r="P980">
        <v>43.403616968000001</v>
      </c>
      <c r="Q980"/>
      <c r="R980">
        <v>100.408367364</v>
      </c>
      <c r="S980">
        <v>109.96</v>
      </c>
      <c r="T980">
        <v>96.273361422999997</v>
      </c>
      <c r="U980">
        <v>98.834916652000004</v>
      </c>
      <c r="V980">
        <v>148.02730148200001</v>
      </c>
      <c r="W980">
        <v>59.004917075999998</v>
      </c>
      <c r="X980">
        <v>42.865420194000002</v>
      </c>
      <c r="Y980">
        <v>46.002768734</v>
      </c>
      <c r="Z980">
        <v>29.735978511999999</v>
      </c>
      <c r="AA980">
        <v>72.142528763000001</v>
      </c>
      <c r="AB980">
        <v>126.789434214</v>
      </c>
      <c r="AC980">
        <v>106.513165876</v>
      </c>
      <c r="AD980">
        <v>51.023748021000003</v>
      </c>
      <c r="AE980">
        <v>93.092242313</v>
      </c>
      <c r="AF980">
        <v>58.3</v>
      </c>
      <c r="AG980">
        <v>92.774040826999993</v>
      </c>
      <c r="AH980">
        <v>95.551546393999999</v>
      </c>
      <c r="AI980">
        <v>124.049650892</v>
      </c>
      <c r="AJ980"/>
      <c r="AK980">
        <v>87.858150950999999</v>
      </c>
      <c r="AL980">
        <v>47.7</v>
      </c>
      <c r="AM980">
        <v>125.55103628099999</v>
      </c>
      <c r="AN980">
        <v>57.457497115000002</v>
      </c>
      <c r="AO980">
        <v>40.110027506999998</v>
      </c>
      <c r="AP980">
        <v>79.157140885000004</v>
      </c>
      <c r="AQ980">
        <v>101.008417368</v>
      </c>
      <c r="AR980">
        <v>44.696275309999997</v>
      </c>
      <c r="AS980">
        <v>92.382664224999999</v>
      </c>
      <c r="AT980"/>
    </row>
    <row r="981" spans="1:46" x14ac:dyDescent="0.2">
      <c r="A981" s="87">
        <v>36739</v>
      </c>
      <c r="B981"/>
      <c r="C981"/>
      <c r="D981">
        <v>71.952498598000005</v>
      </c>
      <c r="E981">
        <v>72.993917174000003</v>
      </c>
      <c r="F981">
        <v>85.247274629000003</v>
      </c>
      <c r="G981">
        <v>98.063880960000006</v>
      </c>
      <c r="H981"/>
      <c r="I981"/>
      <c r="J981">
        <v>69.892655421000001</v>
      </c>
      <c r="K981">
        <v>64.589235126999995</v>
      </c>
      <c r="L981">
        <v>81.693192233999994</v>
      </c>
      <c r="M981">
        <v>111.8</v>
      </c>
      <c r="N981">
        <v>95.9</v>
      </c>
      <c r="O981">
        <v>123.858103215</v>
      </c>
      <c r="P981">
        <v>45.403783648999998</v>
      </c>
      <c r="Q981"/>
      <c r="R981">
        <v>100.80840070000001</v>
      </c>
      <c r="S981">
        <v>108.97</v>
      </c>
      <c r="T981">
        <v>96.709899422000007</v>
      </c>
      <c r="U981">
        <v>100.23301667</v>
      </c>
      <c r="V981">
        <v>153.52089229200001</v>
      </c>
      <c r="W981">
        <v>59.504958747000003</v>
      </c>
      <c r="X981">
        <v>42.91359327</v>
      </c>
      <c r="Y981">
        <v>44.637525273999998</v>
      </c>
      <c r="Z981">
        <v>29.993907031999999</v>
      </c>
      <c r="AA981">
        <v>72.842941663999994</v>
      </c>
      <c r="AB981">
        <v>127.989334222</v>
      </c>
      <c r="AC981">
        <v>108.001373782</v>
      </c>
      <c r="AD981">
        <v>51.696691942000001</v>
      </c>
      <c r="AE981">
        <v>94.092158987000005</v>
      </c>
      <c r="AF981">
        <v>59.7</v>
      </c>
      <c r="AG981">
        <v>93.566527363999995</v>
      </c>
      <c r="AH981">
        <v>95.080849121</v>
      </c>
      <c r="AI981">
        <v>121.14041892900001</v>
      </c>
      <c r="AJ981"/>
      <c r="AK981">
        <v>88.433566089999999</v>
      </c>
      <c r="AL981">
        <v>48.3</v>
      </c>
      <c r="AM981">
        <v>131.56622354500001</v>
      </c>
      <c r="AN981">
        <v>57.571606521</v>
      </c>
      <c r="AO981">
        <v>40.610152538000001</v>
      </c>
      <c r="AP981">
        <v>79.063795200000001</v>
      </c>
      <c r="AQ981">
        <v>103.108592383</v>
      </c>
      <c r="AR981">
        <v>45.796183651</v>
      </c>
      <c r="AS981">
        <v>92.144481806000002</v>
      </c>
      <c r="AT981"/>
    </row>
    <row r="982" spans="1:46" x14ac:dyDescent="0.2">
      <c r="A982" s="87">
        <v>36770</v>
      </c>
      <c r="B982"/>
      <c r="C982"/>
      <c r="D982">
        <v>72.121401183000003</v>
      </c>
      <c r="E982">
        <v>74.193817182000004</v>
      </c>
      <c r="F982">
        <v>84.229187132000007</v>
      </c>
      <c r="G982">
        <v>98.025089020999999</v>
      </c>
      <c r="H982"/>
      <c r="I982"/>
      <c r="J982">
        <v>69.692539592000003</v>
      </c>
      <c r="K982">
        <v>64.389268455000007</v>
      </c>
      <c r="L982">
        <v>81.793183901000006</v>
      </c>
      <c r="M982">
        <v>108.2</v>
      </c>
      <c r="N982">
        <v>96</v>
      </c>
      <c r="O982">
        <v>123.834103195</v>
      </c>
      <c r="P982">
        <v>46.303858654999999</v>
      </c>
      <c r="Q982"/>
      <c r="R982">
        <v>102.608550713</v>
      </c>
      <c r="S982">
        <v>109.26</v>
      </c>
      <c r="T982">
        <v>96.496685065999998</v>
      </c>
      <c r="U982">
        <v>100.44810898</v>
      </c>
      <c r="V982">
        <v>146.728816381</v>
      </c>
      <c r="W982">
        <v>61.005083757000001</v>
      </c>
      <c r="X982">
        <v>43.442802639999996</v>
      </c>
      <c r="Y982">
        <v>45.646618265999997</v>
      </c>
      <c r="Z982">
        <v>29.651225474</v>
      </c>
      <c r="AA982">
        <v>71.442115862999998</v>
      </c>
      <c r="AB982">
        <v>127.889342555</v>
      </c>
      <c r="AC982">
        <v>105.76906192200001</v>
      </c>
      <c r="AD982">
        <v>50.782768103000002</v>
      </c>
      <c r="AE982">
        <v>91.892342305</v>
      </c>
      <c r="AF982">
        <v>60.4</v>
      </c>
      <c r="AG982">
        <v>93.469777229000002</v>
      </c>
      <c r="AH982">
        <v>94.045315119999998</v>
      </c>
      <c r="AI982">
        <v>121.48952676499999</v>
      </c>
      <c r="AJ982"/>
      <c r="AK982">
        <v>88.111434528999993</v>
      </c>
      <c r="AL982">
        <v>48.3</v>
      </c>
      <c r="AM982">
        <v>132.462102499</v>
      </c>
      <c r="AN982">
        <v>57.409421559999998</v>
      </c>
      <c r="AO982">
        <v>40.710177543999997</v>
      </c>
      <c r="AP982">
        <v>79.623869310000003</v>
      </c>
      <c r="AQ982">
        <v>103.208600717</v>
      </c>
      <c r="AR982">
        <v>43.996333638999999</v>
      </c>
      <c r="AS982">
        <v>92.530648557999996</v>
      </c>
      <c r="AT982"/>
    </row>
    <row r="983" spans="1:46" x14ac:dyDescent="0.2">
      <c r="A983" s="87">
        <v>36800</v>
      </c>
      <c r="B983"/>
      <c r="C983"/>
      <c r="D983">
        <v>71.868047305999994</v>
      </c>
      <c r="E983">
        <v>74.393800517000003</v>
      </c>
      <c r="F983">
        <v>86.054723332999998</v>
      </c>
      <c r="G983">
        <v>98.242323877999993</v>
      </c>
      <c r="H983"/>
      <c r="I983"/>
      <c r="J983">
        <v>70.868036669000006</v>
      </c>
      <c r="K983">
        <v>65.389101815999993</v>
      </c>
      <c r="L983">
        <v>81.493208898999995</v>
      </c>
      <c r="M983">
        <v>110.9</v>
      </c>
      <c r="N983">
        <v>96.2</v>
      </c>
      <c r="O983">
        <v>121.640101367</v>
      </c>
      <c r="P983">
        <v>45.203766981000001</v>
      </c>
      <c r="Q983"/>
      <c r="R983">
        <v>103.608634053</v>
      </c>
      <c r="S983">
        <v>110.46</v>
      </c>
      <c r="T983">
        <v>96.791574177000001</v>
      </c>
      <c r="U983">
        <v>101.953755153</v>
      </c>
      <c r="V983">
        <v>149.52555352100001</v>
      </c>
      <c r="W983">
        <v>60.105008751</v>
      </c>
      <c r="X983">
        <v>43.326733656999998</v>
      </c>
      <c r="Y983">
        <v>48.317746773000003</v>
      </c>
      <c r="Z983">
        <v>29.468420345999998</v>
      </c>
      <c r="AA983">
        <v>72.142528763000001</v>
      </c>
      <c r="AB983">
        <v>128.38930089199999</v>
      </c>
      <c r="AC983">
        <v>107.36357039400001</v>
      </c>
      <c r="AD983">
        <v>50.292808933000003</v>
      </c>
      <c r="AE983">
        <v>89.292558952999997</v>
      </c>
      <c r="AF983">
        <v>61</v>
      </c>
      <c r="AG983">
        <v>92.518632621999998</v>
      </c>
      <c r="AH983">
        <v>95.269128030000005</v>
      </c>
      <c r="AI983">
        <v>123.235065943</v>
      </c>
      <c r="AJ983"/>
      <c r="AK983">
        <v>88.265554370000004</v>
      </c>
      <c r="AL983">
        <v>48</v>
      </c>
      <c r="AM983">
        <v>130.03043105200001</v>
      </c>
      <c r="AN983">
        <v>57.660253273999999</v>
      </c>
      <c r="AO983">
        <v>41.210302575999997</v>
      </c>
      <c r="AP983">
        <v>78.783758144999993</v>
      </c>
      <c r="AQ983">
        <v>103.708642387</v>
      </c>
      <c r="AR983">
        <v>44.596283643</v>
      </c>
      <c r="AS983">
        <v>92.182345178000006</v>
      </c>
      <c r="AT983"/>
    </row>
    <row r="984" spans="1:46" x14ac:dyDescent="0.2">
      <c r="A984" s="87">
        <v>36831</v>
      </c>
      <c r="B984"/>
      <c r="C984"/>
      <c r="D984">
        <v>74.486037289999999</v>
      </c>
      <c r="E984">
        <v>75.093742187999993</v>
      </c>
      <c r="F984">
        <v>85.335040792000001</v>
      </c>
      <c r="G984">
        <v>98.234833021</v>
      </c>
      <c r="H984"/>
      <c r="I984"/>
      <c r="J984">
        <v>69.232124713999994</v>
      </c>
      <c r="K984">
        <v>64.889185135999995</v>
      </c>
      <c r="L984">
        <v>82.193150571000004</v>
      </c>
      <c r="M984">
        <v>110.2</v>
      </c>
      <c r="N984">
        <v>97.2</v>
      </c>
      <c r="O984">
        <v>125.60910467399999</v>
      </c>
      <c r="P984">
        <v>46.503875323000003</v>
      </c>
      <c r="Q984"/>
      <c r="R984">
        <v>103.208600717</v>
      </c>
      <c r="S984">
        <v>110.25</v>
      </c>
      <c r="T984">
        <v>97.082470795000006</v>
      </c>
      <c r="U984">
        <v>102.383939774</v>
      </c>
      <c r="V984">
        <v>148.82636923600001</v>
      </c>
      <c r="W984">
        <v>61.205100424999998</v>
      </c>
      <c r="X984">
        <v>43.764103265999999</v>
      </c>
      <c r="Y984">
        <v>50.335932755999998</v>
      </c>
      <c r="Z984">
        <v>30.342927051</v>
      </c>
      <c r="AA984">
        <v>70.741702962000005</v>
      </c>
      <c r="AB984">
        <v>129.98916756899999</v>
      </c>
      <c r="AC984">
        <v>107.788772653</v>
      </c>
      <c r="AD984">
        <v>49.579868343999998</v>
      </c>
      <c r="AE984">
        <v>93.892175652000006</v>
      </c>
      <c r="AF984">
        <v>61.4</v>
      </c>
      <c r="AG984">
        <v>91.660128877999995</v>
      </c>
      <c r="AH984">
        <v>94.704291302000001</v>
      </c>
      <c r="AI984">
        <v>119.976726144</v>
      </c>
      <c r="AJ984"/>
      <c r="AK984">
        <v>88.556774392999998</v>
      </c>
      <c r="AL984">
        <v>47.7</v>
      </c>
      <c r="AM984">
        <v>131.438240837</v>
      </c>
      <c r="AN984">
        <v>57.660572942000002</v>
      </c>
      <c r="AO984">
        <v>41.410352588000002</v>
      </c>
      <c r="AP984">
        <v>80.277289104999994</v>
      </c>
      <c r="AQ984">
        <v>107.00891741</v>
      </c>
      <c r="AR984">
        <v>45.196233647</v>
      </c>
      <c r="AS984">
        <v>92.194041193999993</v>
      </c>
      <c r="AT984"/>
    </row>
    <row r="985" spans="1:46" x14ac:dyDescent="0.2">
      <c r="A985" s="87">
        <v>36861</v>
      </c>
      <c r="B985"/>
      <c r="C985"/>
      <c r="D985">
        <v>75.668355333999997</v>
      </c>
      <c r="E985">
        <v>75.293725523000006</v>
      </c>
      <c r="F985">
        <v>89.170422138000006</v>
      </c>
      <c r="G985">
        <v>98.332749225000001</v>
      </c>
      <c r="H985"/>
      <c r="I985"/>
      <c r="J985">
        <v>71.070253268000002</v>
      </c>
      <c r="K985">
        <v>66.288951840999999</v>
      </c>
      <c r="L985">
        <v>82.693108907999999</v>
      </c>
      <c r="M985">
        <v>115.2</v>
      </c>
      <c r="N985">
        <v>97.8</v>
      </c>
      <c r="O985">
        <v>127.035105863</v>
      </c>
      <c r="P985">
        <v>47.903991998999999</v>
      </c>
      <c r="Q985"/>
      <c r="R985">
        <v>102.608550713</v>
      </c>
      <c r="S985">
        <v>111.22</v>
      </c>
      <c r="T985">
        <v>97.370465429999996</v>
      </c>
      <c r="U985">
        <v>102.061301308</v>
      </c>
      <c r="V985">
        <v>150.82403862199999</v>
      </c>
      <c r="W985">
        <v>61.605133760999998</v>
      </c>
      <c r="X985">
        <v>43.702041850999997</v>
      </c>
      <c r="Y985">
        <v>49.920423876999998</v>
      </c>
      <c r="Z985">
        <v>31.377436753000001</v>
      </c>
      <c r="AA985">
        <v>70.741702962000005</v>
      </c>
      <c r="AB985">
        <v>131.78901758200001</v>
      </c>
      <c r="AC985">
        <v>108.85177830000001</v>
      </c>
      <c r="AD985">
        <v>49.002916423999999</v>
      </c>
      <c r="AE985">
        <v>100.091659028</v>
      </c>
      <c r="AF985">
        <v>63.1</v>
      </c>
      <c r="AG985">
        <v>90.625263199000003</v>
      </c>
      <c r="AH985">
        <v>93.668757302000003</v>
      </c>
      <c r="AI985">
        <v>120.558572537</v>
      </c>
      <c r="AJ985"/>
      <c r="AK985">
        <v>88.701284551000001</v>
      </c>
      <c r="AL985">
        <v>51.7</v>
      </c>
      <c r="AM985">
        <v>131.05429271400001</v>
      </c>
      <c r="AN985">
        <v>58.723633098000001</v>
      </c>
      <c r="AO985">
        <v>42.610652663000003</v>
      </c>
      <c r="AP985">
        <v>81.397437324999999</v>
      </c>
      <c r="AQ985">
        <v>101.30844236999999</v>
      </c>
      <c r="AR985">
        <v>43.296391966999998</v>
      </c>
      <c r="AS985">
        <v>91.921563677999998</v>
      </c>
      <c r="AT985"/>
    </row>
    <row r="986" spans="1:46" x14ac:dyDescent="0.2">
      <c r="A986" s="87">
        <v>36892</v>
      </c>
      <c r="B986"/>
      <c r="C986"/>
      <c r="D986">
        <v>73.641524386</v>
      </c>
      <c r="E986">
        <v>76.793600533000003</v>
      </c>
      <c r="F986">
        <v>87.011374515</v>
      </c>
      <c r="G986">
        <v>95.816356287000005</v>
      </c>
      <c r="H986"/>
      <c r="I986"/>
      <c r="J986">
        <v>67.249023158</v>
      </c>
      <c r="K986">
        <v>66.888851857999995</v>
      </c>
      <c r="L986">
        <v>82.493125573</v>
      </c>
      <c r="M986">
        <v>110.4</v>
      </c>
      <c r="N986">
        <v>97</v>
      </c>
      <c r="O986">
        <v>122.687102239</v>
      </c>
      <c r="P986">
        <v>49.504125344000002</v>
      </c>
      <c r="Q986"/>
      <c r="R986">
        <v>103.408617385</v>
      </c>
      <c r="S986">
        <v>110.79</v>
      </c>
      <c r="T986">
        <v>95.779035135000001</v>
      </c>
      <c r="U986">
        <v>98.297185876</v>
      </c>
      <c r="V986">
        <v>153.22124188399999</v>
      </c>
      <c r="W986">
        <v>62.905242104000003</v>
      </c>
      <c r="X986">
        <v>43.228678956000003</v>
      </c>
      <c r="Y986">
        <v>49.801707055000001</v>
      </c>
      <c r="Z986">
        <v>31.499533585999998</v>
      </c>
      <c r="AA986">
        <v>71.442115862999998</v>
      </c>
      <c r="AB986">
        <v>128.18931755700001</v>
      </c>
      <c r="AC986">
        <v>104.81235684000001</v>
      </c>
      <c r="AD986">
        <v>48.411965670000001</v>
      </c>
      <c r="AE986">
        <v>93.692192317000007</v>
      </c>
      <c r="AF986">
        <v>63.3</v>
      </c>
      <c r="AG986">
        <v>91.081789442000002</v>
      </c>
      <c r="AH986">
        <v>92.752165661999996</v>
      </c>
      <c r="AI986">
        <v>122.88595810699999</v>
      </c>
      <c r="AJ986"/>
      <c r="AK986">
        <v>87.228158299</v>
      </c>
      <c r="AL986">
        <v>48.3</v>
      </c>
      <c r="AM986">
        <v>129.51850022100001</v>
      </c>
      <c r="AN986">
        <v>57.780233426999999</v>
      </c>
      <c r="AO986">
        <v>42.610652663000003</v>
      </c>
      <c r="AP986">
        <v>80.370634789999997</v>
      </c>
      <c r="AQ986">
        <v>102.408534045</v>
      </c>
      <c r="AR986">
        <v>41.796516957000001</v>
      </c>
      <c r="AS986">
        <v>91.392864125000003</v>
      </c>
      <c r="AT986"/>
    </row>
    <row r="987" spans="1:46" x14ac:dyDescent="0.2">
      <c r="A987" s="87">
        <v>36923</v>
      </c>
      <c r="B987"/>
      <c r="C987"/>
      <c r="D987">
        <v>73.979329555999996</v>
      </c>
      <c r="E987">
        <v>76.193650528999996</v>
      </c>
      <c r="F987">
        <v>87.906589382999996</v>
      </c>
      <c r="G987">
        <v>95.591095511000006</v>
      </c>
      <c r="H987"/>
      <c r="I987"/>
      <c r="J987">
        <v>69.856889154000001</v>
      </c>
      <c r="K987">
        <v>65.989001833000003</v>
      </c>
      <c r="L987">
        <v>83.393050579000004</v>
      </c>
      <c r="M987">
        <v>115</v>
      </c>
      <c r="N987">
        <v>97.3</v>
      </c>
      <c r="O987">
        <v>123.57510297899999</v>
      </c>
      <c r="P987">
        <v>48.804067005999997</v>
      </c>
      <c r="Q987"/>
      <c r="R987">
        <v>101.708475706</v>
      </c>
      <c r="S987">
        <v>111.52</v>
      </c>
      <c r="T987">
        <v>95.687654945999995</v>
      </c>
      <c r="U987">
        <v>96.576447392000006</v>
      </c>
      <c r="V987">
        <v>150.524388214</v>
      </c>
      <c r="W987">
        <v>61.905158763000003</v>
      </c>
      <c r="X987">
        <v>43.935274624999998</v>
      </c>
      <c r="Y987">
        <v>53.897437431999997</v>
      </c>
      <c r="Z987">
        <v>32.280702898000001</v>
      </c>
      <c r="AA987">
        <v>70.741702962000005</v>
      </c>
      <c r="AB987">
        <v>127.389384218</v>
      </c>
      <c r="AC987">
        <v>105.76906192200001</v>
      </c>
      <c r="AD987">
        <v>48.654945421000001</v>
      </c>
      <c r="AE987">
        <v>96.191984000999994</v>
      </c>
      <c r="AF987">
        <v>64.8</v>
      </c>
      <c r="AG987">
        <v>90.479028122000003</v>
      </c>
      <c r="AH987">
        <v>90.981710750000005</v>
      </c>
      <c r="AI987">
        <v>118.580294802</v>
      </c>
      <c r="AJ987"/>
      <c r="AK987">
        <v>87.154379449000004</v>
      </c>
      <c r="AL987">
        <v>47.7</v>
      </c>
      <c r="AM987">
        <v>130.41437917499999</v>
      </c>
      <c r="AN987">
        <v>58.485847894999999</v>
      </c>
      <c r="AO987">
        <v>40.610152538000001</v>
      </c>
      <c r="AP987">
        <v>80.930708899999999</v>
      </c>
      <c r="AQ987">
        <v>101.408450704</v>
      </c>
      <c r="AR987">
        <v>42.196483626000003</v>
      </c>
      <c r="AS987">
        <v>90.774263843</v>
      </c>
      <c r="AT987"/>
    </row>
    <row r="988" spans="1:46" x14ac:dyDescent="0.2">
      <c r="A988" s="87">
        <v>36951</v>
      </c>
      <c r="B988"/>
      <c r="C988"/>
      <c r="D988">
        <v>73.388170529000007</v>
      </c>
      <c r="E988">
        <v>74.493792184</v>
      </c>
      <c r="F988">
        <v>86.669086477999997</v>
      </c>
      <c r="G988">
        <v>94.867425205000004</v>
      </c>
      <c r="H988"/>
      <c r="I988"/>
      <c r="J988">
        <v>70.381435713000002</v>
      </c>
      <c r="K988">
        <v>66.488918514000005</v>
      </c>
      <c r="L988">
        <v>81.993167236000005</v>
      </c>
      <c r="M988">
        <v>114.3</v>
      </c>
      <c r="N988">
        <v>96.7</v>
      </c>
      <c r="O988">
        <v>122.950102458</v>
      </c>
      <c r="P988">
        <v>49.204100341999997</v>
      </c>
      <c r="Q988"/>
      <c r="R988">
        <v>102.608550713</v>
      </c>
      <c r="S988">
        <v>111.99</v>
      </c>
      <c r="T988">
        <v>95.085942915000004</v>
      </c>
      <c r="U988">
        <v>97.221724323000004</v>
      </c>
      <c r="V988">
        <v>142.234060263</v>
      </c>
      <c r="W988">
        <v>58.904908742000003</v>
      </c>
      <c r="X988">
        <v>43.800471383000001</v>
      </c>
      <c r="Y988">
        <v>50.632724813000003</v>
      </c>
      <c r="Z988">
        <v>32.456377246000002</v>
      </c>
      <c r="AA988">
        <v>69.761124901000002</v>
      </c>
      <c r="AB988">
        <v>127.489375885</v>
      </c>
      <c r="AC988">
        <v>103.961952322</v>
      </c>
      <c r="AD988">
        <v>49.067911006999999</v>
      </c>
      <c r="AE988">
        <v>98.591784017999998</v>
      </c>
      <c r="AF988">
        <v>65.400000000000006</v>
      </c>
      <c r="AG988">
        <v>90.653559577999999</v>
      </c>
      <c r="AH988">
        <v>94.817696392000002</v>
      </c>
      <c r="AI988">
        <v>120.32583398</v>
      </c>
      <c r="AJ988"/>
      <c r="AK988">
        <v>86.701295055000003</v>
      </c>
      <c r="AL988">
        <v>48.3</v>
      </c>
      <c r="AM988">
        <v>133.86991228400001</v>
      </c>
      <c r="AN988">
        <v>58.136187366999998</v>
      </c>
      <c r="AO988">
        <v>42.210552638000003</v>
      </c>
      <c r="AP988">
        <v>81.397437324999999</v>
      </c>
      <c r="AQ988">
        <v>101.708475706</v>
      </c>
      <c r="AR988">
        <v>39.796683610000002</v>
      </c>
      <c r="AS988">
        <v>90.551643071000001</v>
      </c>
      <c r="AT988"/>
    </row>
    <row r="989" spans="1:46" x14ac:dyDescent="0.2">
      <c r="A989" s="87">
        <v>36982</v>
      </c>
      <c r="B989"/>
      <c r="C989"/>
      <c r="D989">
        <v>72.121401183000003</v>
      </c>
      <c r="E989">
        <v>73.093908841000001</v>
      </c>
      <c r="F989">
        <v>86.370681521999998</v>
      </c>
      <c r="G989">
        <v>95.187926879000003</v>
      </c>
      <c r="H989"/>
      <c r="I989"/>
      <c r="J989">
        <v>70.569746260000002</v>
      </c>
      <c r="K989">
        <v>66.788868522000001</v>
      </c>
      <c r="L989">
        <v>80.593283893000006</v>
      </c>
      <c r="M989">
        <v>113.6</v>
      </c>
      <c r="N989">
        <v>95.9</v>
      </c>
      <c r="O989">
        <v>120.85810071500001</v>
      </c>
      <c r="P989">
        <v>46.703891990999999</v>
      </c>
      <c r="Q989"/>
      <c r="R989">
        <v>98.308192348999995</v>
      </c>
      <c r="S989">
        <v>110.16</v>
      </c>
      <c r="T989">
        <v>94.607030199999997</v>
      </c>
      <c r="U989">
        <v>99.372647427999993</v>
      </c>
      <c r="V989">
        <v>140.23639087699999</v>
      </c>
      <c r="W989">
        <v>61.005083757000001</v>
      </c>
      <c r="X989">
        <v>43.936012671999997</v>
      </c>
      <c r="Y989">
        <v>50.751441634999999</v>
      </c>
      <c r="Z989">
        <v>32.989139872999999</v>
      </c>
      <c r="AA989">
        <v>68.640464260000002</v>
      </c>
      <c r="AB989">
        <v>126.18948421</v>
      </c>
      <c r="AC989">
        <v>103.217848369</v>
      </c>
      <c r="AD989">
        <v>49.317890175999999</v>
      </c>
      <c r="AE989">
        <v>93.392217314999996</v>
      </c>
      <c r="AF989">
        <v>64.900000000000006</v>
      </c>
      <c r="AG989">
        <v>88.162622580000004</v>
      </c>
      <c r="AH989">
        <v>95.702923847999998</v>
      </c>
      <c r="AI989">
        <v>120.907680372</v>
      </c>
      <c r="AJ989"/>
      <c r="AK989">
        <v>86.135271904000007</v>
      </c>
      <c r="AL989">
        <v>47.7</v>
      </c>
      <c r="AM989">
        <v>129.134552098</v>
      </c>
      <c r="AN989">
        <v>58.145179810999998</v>
      </c>
      <c r="AO989">
        <v>41.210302575999997</v>
      </c>
      <c r="AP989">
        <v>81.117400270000005</v>
      </c>
      <c r="AQ989">
        <v>96.708059004999996</v>
      </c>
      <c r="AR989">
        <v>39.496708607999999</v>
      </c>
      <c r="AS989">
        <v>90.269451915000005</v>
      </c>
      <c r="AT989"/>
    </row>
    <row r="990" spans="1:46" x14ac:dyDescent="0.2">
      <c r="A990" s="87">
        <v>37012</v>
      </c>
      <c r="B990"/>
      <c r="C990"/>
      <c r="D990">
        <v>72.459206343000005</v>
      </c>
      <c r="E990">
        <v>75.793683860000002</v>
      </c>
      <c r="F990">
        <v>87.037704364000007</v>
      </c>
      <c r="G990">
        <v>95.315271449999997</v>
      </c>
      <c r="H990"/>
      <c r="I990"/>
      <c r="J990">
        <v>71.862361676000006</v>
      </c>
      <c r="K990">
        <v>66.888851857999995</v>
      </c>
      <c r="L990">
        <v>81.493208898999995</v>
      </c>
      <c r="M990">
        <v>108.3</v>
      </c>
      <c r="N990">
        <v>96.2</v>
      </c>
      <c r="O990">
        <v>123.645103038</v>
      </c>
      <c r="P990">
        <v>49.104092008000002</v>
      </c>
      <c r="Q990"/>
      <c r="R990">
        <v>99.108259021999999</v>
      </c>
      <c r="S990">
        <v>110.99</v>
      </c>
      <c r="T990">
        <v>94.184922501000003</v>
      </c>
      <c r="U990">
        <v>99.802832049000003</v>
      </c>
      <c r="V990">
        <v>144.33161311800001</v>
      </c>
      <c r="W990">
        <v>62.105175430999999</v>
      </c>
      <c r="X990">
        <v>43.812703601000003</v>
      </c>
      <c r="Y990">
        <v>45.053034152999999</v>
      </c>
      <c r="Z990">
        <v>33.530657308999999</v>
      </c>
      <c r="AA990">
        <v>67.239638459000005</v>
      </c>
      <c r="AB990">
        <v>126.089492542</v>
      </c>
      <c r="AC990">
        <v>101.19813763800001</v>
      </c>
      <c r="AD990">
        <v>49.613865511</v>
      </c>
      <c r="AE990">
        <v>96.391967335999993</v>
      </c>
      <c r="AF990">
        <v>65.599999999999994</v>
      </c>
      <c r="AG990">
        <v>89.440941924000001</v>
      </c>
      <c r="AH990">
        <v>96.489792698000002</v>
      </c>
      <c r="AI990">
        <v>115.55469356099999</v>
      </c>
      <c r="AJ990"/>
      <c r="AK990">
        <v>86.017908332999994</v>
      </c>
      <c r="AL990">
        <v>48</v>
      </c>
      <c r="AM990">
        <v>133.22999874499999</v>
      </c>
      <c r="AN990">
        <v>60.540796114000003</v>
      </c>
      <c r="AO990">
        <v>42.010502625999997</v>
      </c>
      <c r="AP990">
        <v>80.930708899999999</v>
      </c>
      <c r="AQ990">
        <v>100.708392366</v>
      </c>
      <c r="AR990">
        <v>39.396716939999997</v>
      </c>
      <c r="AS990">
        <v>89.735697305000002</v>
      </c>
      <c r="AT990"/>
    </row>
    <row r="991" spans="1:46" x14ac:dyDescent="0.2">
      <c r="A991" s="87">
        <v>37043</v>
      </c>
      <c r="B991"/>
      <c r="C991"/>
      <c r="D991">
        <v>72.543657635000002</v>
      </c>
      <c r="E991">
        <v>76.793600533000003</v>
      </c>
      <c r="F991">
        <v>85.958180553000005</v>
      </c>
      <c r="G991">
        <v>94.377041593000001</v>
      </c>
      <c r="H991"/>
      <c r="I991"/>
      <c r="J991">
        <v>74.011923770999999</v>
      </c>
      <c r="K991">
        <v>66.788868522000001</v>
      </c>
      <c r="L991">
        <v>81.893175568999993</v>
      </c>
      <c r="M991">
        <v>108.9</v>
      </c>
      <c r="N991">
        <v>96.2</v>
      </c>
      <c r="O991">
        <v>123.615103013</v>
      </c>
      <c r="P991">
        <v>48.204017000999997</v>
      </c>
      <c r="Q991"/>
      <c r="R991">
        <v>99.008250688000004</v>
      </c>
      <c r="S991">
        <v>111.02</v>
      </c>
      <c r="T991">
        <v>93.880186346000002</v>
      </c>
      <c r="U991">
        <v>101.416024377</v>
      </c>
      <c r="V991">
        <v>141.734642917</v>
      </c>
      <c r="W991">
        <v>59.204933744000002</v>
      </c>
      <c r="X991">
        <v>44.044662633000002</v>
      </c>
      <c r="Y991">
        <v>49.564273409999998</v>
      </c>
      <c r="Z991">
        <v>33.568181455999998</v>
      </c>
      <c r="AA991">
        <v>65.208441046999994</v>
      </c>
      <c r="AB991">
        <v>126.289475877</v>
      </c>
      <c r="AC991">
        <v>100.13513199099999</v>
      </c>
      <c r="AD991">
        <v>49.871844013</v>
      </c>
      <c r="AE991">
        <v>96.491959003000005</v>
      </c>
      <c r="AF991">
        <v>65.3</v>
      </c>
      <c r="AG991">
        <v>90.114032883999997</v>
      </c>
      <c r="AH991">
        <v>93.834110330000001</v>
      </c>
      <c r="AI991">
        <v>118.69666408099999</v>
      </c>
      <c r="AJ991"/>
      <c r="AK991">
        <v>85.885512129000006</v>
      </c>
      <c r="AL991">
        <v>47.1</v>
      </c>
      <c r="AM991">
        <v>132.97403333</v>
      </c>
      <c r="AN991">
        <v>59.945871492999999</v>
      </c>
      <c r="AO991">
        <v>43.410852712999997</v>
      </c>
      <c r="AP991">
        <v>81.024054585000002</v>
      </c>
      <c r="AQ991">
        <v>99.908325693999998</v>
      </c>
      <c r="AR991">
        <v>39.696691942000001</v>
      </c>
      <c r="AS991">
        <v>89.238814880000007</v>
      </c>
      <c r="AT991"/>
    </row>
    <row r="992" spans="1:46" x14ac:dyDescent="0.2">
      <c r="A992" s="87">
        <v>37073</v>
      </c>
      <c r="B992"/>
      <c r="C992"/>
      <c r="D992">
        <v>73.219267943999995</v>
      </c>
      <c r="E992">
        <v>72.493958836999994</v>
      </c>
      <c r="F992">
        <v>85.747541760999994</v>
      </c>
      <c r="G992">
        <v>93.062931226000003</v>
      </c>
      <c r="H992"/>
      <c r="I992"/>
      <c r="J992">
        <v>69.726698077999998</v>
      </c>
      <c r="K992">
        <v>65.589068488999999</v>
      </c>
      <c r="L992">
        <v>79.393383885000006</v>
      </c>
      <c r="M992">
        <v>110.6</v>
      </c>
      <c r="N992">
        <v>94.5</v>
      </c>
      <c r="O992">
        <v>120.848100707</v>
      </c>
      <c r="P992">
        <v>49.504125344000002</v>
      </c>
      <c r="Q992"/>
      <c r="R992">
        <v>96.908075672999999</v>
      </c>
      <c r="S992">
        <v>109.48</v>
      </c>
      <c r="T992">
        <v>92.749362188999996</v>
      </c>
      <c r="U992">
        <v>101.416024377</v>
      </c>
      <c r="V992">
        <v>141.035458632</v>
      </c>
      <c r="W992">
        <v>59.004917075999998</v>
      </c>
      <c r="X992">
        <v>43.747360147999999</v>
      </c>
      <c r="Y992">
        <v>46.952503313999998</v>
      </c>
      <c r="Z992">
        <v>35.893432818000001</v>
      </c>
      <c r="AA992">
        <v>66.749349429000006</v>
      </c>
      <c r="AB992">
        <v>123.88967586</v>
      </c>
      <c r="AC992">
        <v>98.753224649000003</v>
      </c>
      <c r="AD992">
        <v>48.928922589999999</v>
      </c>
      <c r="AE992">
        <v>97.791850679000007</v>
      </c>
      <c r="AF992">
        <v>66.3</v>
      </c>
      <c r="AG992">
        <v>91.262110031999995</v>
      </c>
      <c r="AH992">
        <v>92.948882874000006</v>
      </c>
      <c r="AI992">
        <v>118.580294802</v>
      </c>
      <c r="AJ992"/>
      <c r="AK992">
        <v>84.953628413999994</v>
      </c>
      <c r="AL992">
        <v>47.3</v>
      </c>
      <c r="AM992">
        <v>128.622621267</v>
      </c>
      <c r="AN992">
        <v>59.852908122000002</v>
      </c>
      <c r="AO992">
        <v>42.110527632</v>
      </c>
      <c r="AP992">
        <v>81.770820064999995</v>
      </c>
      <c r="AQ992">
        <v>99.808317360000004</v>
      </c>
      <c r="AR992">
        <v>40.196650279000004</v>
      </c>
      <c r="AS992">
        <v>88.689300384000006</v>
      </c>
      <c r="AT992"/>
    </row>
    <row r="993" spans="1:46" x14ac:dyDescent="0.2">
      <c r="A993" s="87">
        <v>37104</v>
      </c>
      <c r="B993"/>
      <c r="C993"/>
      <c r="D993">
        <v>73.472621812</v>
      </c>
      <c r="E993">
        <v>75.893675526999999</v>
      </c>
      <c r="F993">
        <v>85.765094993000005</v>
      </c>
      <c r="G993">
        <v>93.555722614000004</v>
      </c>
      <c r="H993"/>
      <c r="I993"/>
      <c r="J993">
        <v>71.114365921000001</v>
      </c>
      <c r="K993">
        <v>66.988835194000004</v>
      </c>
      <c r="L993">
        <v>81.593200566999997</v>
      </c>
      <c r="M993">
        <v>114.6</v>
      </c>
      <c r="N993">
        <v>96.8</v>
      </c>
      <c r="O993">
        <v>125.783104819</v>
      </c>
      <c r="P993">
        <v>49.104092008000002</v>
      </c>
      <c r="Q993"/>
      <c r="R993">
        <v>100.80840070000001</v>
      </c>
      <c r="S993">
        <v>112.19</v>
      </c>
      <c r="T993">
        <v>93.198413203000001</v>
      </c>
      <c r="U993">
        <v>103.997132103</v>
      </c>
      <c r="V993">
        <v>143.232894956</v>
      </c>
      <c r="W993">
        <v>62.105175430999999</v>
      </c>
      <c r="X993">
        <v>44.136582066999999</v>
      </c>
      <c r="Y993">
        <v>49.564273409999998</v>
      </c>
      <c r="Z993">
        <v>38.086228638999998</v>
      </c>
      <c r="AA993">
        <v>65.978895238000007</v>
      </c>
      <c r="AB993">
        <v>126.089492542</v>
      </c>
      <c r="AC993">
        <v>97.371317306999998</v>
      </c>
      <c r="AD993">
        <v>49.960836596999997</v>
      </c>
      <c r="AE993">
        <v>96.191984000999994</v>
      </c>
      <c r="AF993">
        <v>66.099999999999994</v>
      </c>
      <c r="AG993">
        <v>90.521215349000002</v>
      </c>
      <c r="AH993">
        <v>96.096358273000007</v>
      </c>
      <c r="AI993">
        <v>119.74398758700001</v>
      </c>
      <c r="AJ993"/>
      <c r="AK993">
        <v>85.692327938999995</v>
      </c>
      <c r="AL993">
        <v>48.8</v>
      </c>
      <c r="AM993">
        <v>131.82218896000001</v>
      </c>
      <c r="AN993">
        <v>59.529936978000002</v>
      </c>
      <c r="AO993">
        <v>42.210552638000003</v>
      </c>
      <c r="AP993">
        <v>81.584128695000004</v>
      </c>
      <c r="AQ993">
        <v>102.008500708</v>
      </c>
      <c r="AR993">
        <v>41.396550286999997</v>
      </c>
      <c r="AS993">
        <v>88.596128734000004</v>
      </c>
      <c r="AT993"/>
    </row>
    <row r="994" spans="1:46" x14ac:dyDescent="0.2">
      <c r="A994" s="87">
        <v>37135</v>
      </c>
      <c r="B994"/>
      <c r="C994"/>
      <c r="D994">
        <v>72.965914076999994</v>
      </c>
      <c r="E994">
        <v>74.793767185999997</v>
      </c>
      <c r="F994">
        <v>84.123867735000005</v>
      </c>
      <c r="G994">
        <v>92.121491001999999</v>
      </c>
      <c r="H994"/>
      <c r="I994"/>
      <c r="J994">
        <v>71.299879461000003</v>
      </c>
      <c r="K994">
        <v>66.288951840999999</v>
      </c>
      <c r="L994">
        <v>80.493292225999994</v>
      </c>
      <c r="M994">
        <v>112.6</v>
      </c>
      <c r="N994">
        <v>95.4</v>
      </c>
      <c r="O994">
        <v>123.029102524</v>
      </c>
      <c r="P994">
        <v>48.504042003999999</v>
      </c>
      <c r="Q994"/>
      <c r="R994">
        <v>100.108342362</v>
      </c>
      <c r="S994">
        <v>110.49</v>
      </c>
      <c r="T994">
        <v>92.216315072</v>
      </c>
      <c r="U994">
        <v>103.674493637</v>
      </c>
      <c r="V994">
        <v>141.23522557000001</v>
      </c>
      <c r="W994">
        <v>58.404867072000002</v>
      </c>
      <c r="X994">
        <v>44.284223730000001</v>
      </c>
      <c r="Y994">
        <v>48.792614063000002</v>
      </c>
      <c r="Z994">
        <v>37.343851864999998</v>
      </c>
      <c r="AA994">
        <v>66.189019107999997</v>
      </c>
      <c r="AB994">
        <v>124.18965086199999</v>
      </c>
      <c r="AC994">
        <v>95.564207706999994</v>
      </c>
      <c r="AD994">
        <v>50.193817181999997</v>
      </c>
      <c r="AE994">
        <v>95.892008998999998</v>
      </c>
      <c r="AF994">
        <v>66.2</v>
      </c>
      <c r="AG994">
        <v>90.662276418999994</v>
      </c>
      <c r="AH994">
        <v>94.424261967000007</v>
      </c>
      <c r="AI994">
        <v>123.235065943</v>
      </c>
      <c r="AJ994"/>
      <c r="AK994">
        <v>84.920147209000007</v>
      </c>
      <c r="AL994">
        <v>47.6</v>
      </c>
      <c r="AM994">
        <v>132.462102499</v>
      </c>
      <c r="AN994">
        <v>60.215301902999997</v>
      </c>
      <c r="AO994">
        <v>42.510627657000001</v>
      </c>
      <c r="AP994">
        <v>80.650671845000005</v>
      </c>
      <c r="AQ994">
        <v>100.80840070000001</v>
      </c>
      <c r="AR994">
        <v>41.196566953000001</v>
      </c>
      <c r="AS994">
        <v>88.142561213999997</v>
      </c>
      <c r="AT994"/>
    </row>
    <row r="995" spans="1:46" x14ac:dyDescent="0.2">
      <c r="A995" s="87">
        <v>37165</v>
      </c>
      <c r="B995"/>
      <c r="C995"/>
      <c r="D995">
        <v>73.979329555999996</v>
      </c>
      <c r="E995">
        <v>73.193900507999999</v>
      </c>
      <c r="F995">
        <v>82.193012138</v>
      </c>
      <c r="G995">
        <v>92.395174818000001</v>
      </c>
      <c r="H995"/>
      <c r="I995"/>
      <c r="J995">
        <v>70.325701397000003</v>
      </c>
      <c r="K995">
        <v>66.688885185999993</v>
      </c>
      <c r="L995">
        <v>79.093408882999995</v>
      </c>
      <c r="M995">
        <v>109.5</v>
      </c>
      <c r="N995">
        <v>94.2</v>
      </c>
      <c r="O995">
        <v>121.710101425</v>
      </c>
      <c r="P995">
        <v>50.204183682</v>
      </c>
      <c r="Q995"/>
      <c r="R995">
        <v>99.208267355999993</v>
      </c>
      <c r="S995">
        <v>109.73</v>
      </c>
      <c r="T995">
        <v>91.829934820000005</v>
      </c>
      <c r="U995">
        <v>103.674493637</v>
      </c>
      <c r="V995">
        <v>142.63359414000001</v>
      </c>
      <c r="W995">
        <v>61.805150429000001</v>
      </c>
      <c r="X995">
        <v>44.412588358000001</v>
      </c>
      <c r="Y995">
        <v>46.893144903</v>
      </c>
      <c r="Z995">
        <v>36.888958905999999</v>
      </c>
      <c r="AA995">
        <v>65.558647497999999</v>
      </c>
      <c r="AB995">
        <v>123.489709191</v>
      </c>
      <c r="AC995">
        <v>95.564207706999994</v>
      </c>
      <c r="AD995">
        <v>50.612782267999997</v>
      </c>
      <c r="AE995">
        <v>96.091992333999997</v>
      </c>
      <c r="AF995">
        <v>66.2</v>
      </c>
      <c r="AG995">
        <v>88.732865220999997</v>
      </c>
      <c r="AH995">
        <v>90.981710750000005</v>
      </c>
      <c r="AI995">
        <v>120.907680372</v>
      </c>
      <c r="AJ995"/>
      <c r="AK995">
        <v>84.404822734999996</v>
      </c>
      <c r="AL995">
        <v>47.8</v>
      </c>
      <c r="AM995">
        <v>133.22999874499999</v>
      </c>
      <c r="AN995">
        <v>60.792603554000003</v>
      </c>
      <c r="AO995">
        <v>42.410602650999998</v>
      </c>
      <c r="AP995">
        <v>82.050857120000003</v>
      </c>
      <c r="AQ995">
        <v>101.008417368</v>
      </c>
      <c r="AR995">
        <v>38.896758603000002</v>
      </c>
      <c r="AS995">
        <v>87.855414119000002</v>
      </c>
      <c r="AT995"/>
    </row>
    <row r="996" spans="1:46" x14ac:dyDescent="0.2">
      <c r="A996" s="87">
        <v>37196</v>
      </c>
      <c r="B996"/>
      <c r="C996"/>
      <c r="D996">
        <v>71.952498598000005</v>
      </c>
      <c r="E996">
        <v>73.093908841000001</v>
      </c>
      <c r="F996">
        <v>83.149663320000002</v>
      </c>
      <c r="G996">
        <v>92.478911898999996</v>
      </c>
      <c r="H996"/>
      <c r="I996"/>
      <c r="J996">
        <v>70.976842821000005</v>
      </c>
      <c r="K996">
        <v>67.188801866000006</v>
      </c>
      <c r="L996">
        <v>78.093492209000004</v>
      </c>
      <c r="M996">
        <v>117.8</v>
      </c>
      <c r="N996">
        <v>93.5</v>
      </c>
      <c r="O996">
        <v>119.88909990800001</v>
      </c>
      <c r="P996">
        <v>51.904325360000001</v>
      </c>
      <c r="Q996"/>
      <c r="R996">
        <v>99.208267355999993</v>
      </c>
      <c r="S996">
        <v>108.49</v>
      </c>
      <c r="T996">
        <v>91.070560645</v>
      </c>
      <c r="U996">
        <v>104.534862879</v>
      </c>
      <c r="V996">
        <v>144.73114699499999</v>
      </c>
      <c r="W996">
        <v>59.804983749000002</v>
      </c>
      <c r="X996">
        <v>44.871561681999999</v>
      </c>
      <c r="Y996">
        <v>47.783521071999999</v>
      </c>
      <c r="Z996">
        <v>36.268818623000001</v>
      </c>
      <c r="AA996">
        <v>64.928275886999998</v>
      </c>
      <c r="AB996">
        <v>121.68985917800001</v>
      </c>
      <c r="AC996">
        <v>94.075999800000005</v>
      </c>
      <c r="AD996">
        <v>50.845762852999997</v>
      </c>
      <c r="AE996">
        <v>96.691942338000004</v>
      </c>
      <c r="AF996">
        <v>65.8</v>
      </c>
      <c r="AG996">
        <v>90.667005222</v>
      </c>
      <c r="AH996">
        <v>94.030827541999997</v>
      </c>
      <c r="AI996">
        <v>122.304111715</v>
      </c>
      <c r="AJ996"/>
      <c r="AK996">
        <v>84.061556861</v>
      </c>
      <c r="AL996">
        <v>47.2</v>
      </c>
      <c r="AM996">
        <v>134.76579123799999</v>
      </c>
      <c r="AN996">
        <v>61.374591285000001</v>
      </c>
      <c r="AO996">
        <v>41.410352588000002</v>
      </c>
      <c r="AP996">
        <v>81.024054585000002</v>
      </c>
      <c r="AQ996">
        <v>101.508459038</v>
      </c>
      <c r="AR996">
        <v>39.596700275000003</v>
      </c>
      <c r="AS996">
        <v>87.329390774000004</v>
      </c>
      <c r="AT996"/>
    </row>
    <row r="997" spans="1:46" x14ac:dyDescent="0.2">
      <c r="A997" s="87">
        <v>37226</v>
      </c>
      <c r="B997"/>
      <c r="C997"/>
      <c r="D997">
        <v>72.628108917999995</v>
      </c>
      <c r="E997">
        <v>72.293975501999995</v>
      </c>
      <c r="F997">
        <v>83.395408578000001</v>
      </c>
      <c r="G997">
        <v>90.677093225999997</v>
      </c>
      <c r="H997"/>
      <c r="I997"/>
      <c r="J997">
        <v>67.532820947000005</v>
      </c>
      <c r="K997">
        <v>67.288785202</v>
      </c>
      <c r="L997">
        <v>78.593450546</v>
      </c>
      <c r="M997">
        <v>113.7</v>
      </c>
      <c r="N997">
        <v>94.2</v>
      </c>
      <c r="O997">
        <v>119.76409980299999</v>
      </c>
      <c r="P997">
        <v>52.704392032999998</v>
      </c>
      <c r="Q997"/>
      <c r="R997">
        <v>95.407950662999994</v>
      </c>
      <c r="S997">
        <v>109.19</v>
      </c>
      <c r="T997">
        <v>91.402330348000007</v>
      </c>
      <c r="U997">
        <v>105.502778276</v>
      </c>
      <c r="V997">
        <v>132.64524721199999</v>
      </c>
      <c r="W997">
        <v>59.504958747000003</v>
      </c>
      <c r="X997">
        <v>44.934386609999997</v>
      </c>
      <c r="Y997">
        <v>52.472835562</v>
      </c>
      <c r="Z997">
        <v>35.804759294</v>
      </c>
      <c r="AA997">
        <v>65.138399757000002</v>
      </c>
      <c r="AB997">
        <v>123.38971752400001</v>
      </c>
      <c r="AC997">
        <v>95.032704882999994</v>
      </c>
      <c r="AD997">
        <v>49.724856262000003</v>
      </c>
      <c r="AE997">
        <v>98.291809016000002</v>
      </c>
      <c r="AF997">
        <v>66.3</v>
      </c>
      <c r="AG997">
        <v>90.383365272000006</v>
      </c>
      <c r="AH997">
        <v>95.801282454000003</v>
      </c>
      <c r="AI997">
        <v>126.493405741</v>
      </c>
      <c r="AJ997"/>
      <c r="AK997">
        <v>84.203664333000006</v>
      </c>
      <c r="AL997">
        <v>49.1</v>
      </c>
      <c r="AM997">
        <v>132.84605062200001</v>
      </c>
      <c r="AN997">
        <v>59.573427916999997</v>
      </c>
      <c r="AO997">
        <v>41.010252563000002</v>
      </c>
      <c r="AP997">
        <v>81.864165749999998</v>
      </c>
      <c r="AQ997">
        <v>101.10842570200001</v>
      </c>
      <c r="AR997">
        <v>39.496708607999999</v>
      </c>
      <c r="AS997">
        <v>87.313432650999999</v>
      </c>
      <c r="AT997"/>
    </row>
    <row r="998" spans="1:46" x14ac:dyDescent="0.2">
      <c r="A998" s="87">
        <v>37257</v>
      </c>
      <c r="B998"/>
      <c r="C998"/>
      <c r="D998">
        <v>72.374755050000005</v>
      </c>
      <c r="E998">
        <v>73.693858844999994</v>
      </c>
      <c r="F998">
        <v>85.549132947999993</v>
      </c>
      <c r="G998">
        <v>93.866058124000006</v>
      </c>
      <c r="H998"/>
      <c r="I998"/>
      <c r="J998">
        <v>71.206621659000007</v>
      </c>
      <c r="K998">
        <v>65.389101815999993</v>
      </c>
      <c r="L998">
        <v>78.993417214999994</v>
      </c>
      <c r="M998">
        <v>115.6</v>
      </c>
      <c r="N998">
        <v>94.2</v>
      </c>
      <c r="O998">
        <v>121.36110113399999</v>
      </c>
      <c r="P998">
        <v>51.204267022000003</v>
      </c>
      <c r="Q998"/>
      <c r="R998">
        <v>98.508209016999999</v>
      </c>
      <c r="S998">
        <v>109.15</v>
      </c>
      <c r="T998">
        <v>91.803979021999993</v>
      </c>
      <c r="U998">
        <v>106.793332138</v>
      </c>
      <c r="V998">
        <v>141.13534210099999</v>
      </c>
      <c r="W998">
        <v>59.704975415</v>
      </c>
      <c r="X998">
        <v>44.815693535999998</v>
      </c>
      <c r="Y998">
        <v>53.185136497000002</v>
      </c>
      <c r="Z998">
        <v>37.217298605000003</v>
      </c>
      <c r="AA998">
        <v>64.788193307</v>
      </c>
      <c r="AB998">
        <v>122.289809183</v>
      </c>
      <c r="AC998">
        <v>94.501202058999993</v>
      </c>
      <c r="AD998">
        <v>51.011749021</v>
      </c>
      <c r="AE998">
        <v>97.991834014000005</v>
      </c>
      <c r="AF998">
        <v>67.7</v>
      </c>
      <c r="AG998">
        <v>88.718234741000003</v>
      </c>
      <c r="AH998">
        <v>94.129186149000006</v>
      </c>
      <c r="AI998">
        <v>122.536850272</v>
      </c>
      <c r="AJ998"/>
      <c r="AK998">
        <v>84.555808999000007</v>
      </c>
      <c r="AL998">
        <v>48.1</v>
      </c>
      <c r="AM998">
        <v>130.15841376</v>
      </c>
      <c r="AN998">
        <v>60.365356087000002</v>
      </c>
      <c r="AO998">
        <v>41.510377593999998</v>
      </c>
      <c r="AP998">
        <v>82.984313970000002</v>
      </c>
      <c r="AQ998">
        <v>99.708309025999995</v>
      </c>
      <c r="AR998">
        <v>40.796600282999997</v>
      </c>
      <c r="AS998">
        <v>87.889213622</v>
      </c>
      <c r="AT998"/>
    </row>
    <row r="999" spans="1:46" x14ac:dyDescent="0.2">
      <c r="A999" s="87">
        <v>37288</v>
      </c>
      <c r="B999"/>
      <c r="C999"/>
      <c r="D999">
        <v>72.881462784999997</v>
      </c>
      <c r="E999">
        <v>73.493875509999995</v>
      </c>
      <c r="F999">
        <v>88.301679053000001</v>
      </c>
      <c r="G999">
        <v>95.134688287000003</v>
      </c>
      <c r="H999"/>
      <c r="I999"/>
      <c r="J999">
        <v>71.250484963999995</v>
      </c>
      <c r="K999">
        <v>66.888851857999995</v>
      </c>
      <c r="L999">
        <v>79.193400550000007</v>
      </c>
      <c r="M999">
        <v>113.4</v>
      </c>
      <c r="N999">
        <v>94.5</v>
      </c>
      <c r="O999">
        <v>121.901101584</v>
      </c>
      <c r="P999">
        <v>50.904242019999998</v>
      </c>
      <c r="Q999"/>
      <c r="R999">
        <v>97.408117343000001</v>
      </c>
      <c r="S999">
        <v>109.53</v>
      </c>
      <c r="T999">
        <v>92.273820698999998</v>
      </c>
      <c r="U999">
        <v>107.54615522500001</v>
      </c>
      <c r="V999">
        <v>145.03079740300001</v>
      </c>
      <c r="W999">
        <v>63.205267106000001</v>
      </c>
      <c r="X999">
        <v>45.094241056999998</v>
      </c>
      <c r="Y999">
        <v>50.751441634999999</v>
      </c>
      <c r="Z999">
        <v>39.444161444999999</v>
      </c>
      <c r="AA999">
        <v>65.418564916999998</v>
      </c>
      <c r="AB999">
        <v>123.789684193</v>
      </c>
      <c r="AC999">
        <v>95.670508272000006</v>
      </c>
      <c r="AD999">
        <v>52.037663528000003</v>
      </c>
      <c r="AE999">
        <v>99.091742354999994</v>
      </c>
      <c r="AF999">
        <v>66.7</v>
      </c>
      <c r="AG999">
        <v>87.696883427000003</v>
      </c>
      <c r="AH999">
        <v>90.293200506000005</v>
      </c>
      <c r="AI999">
        <v>124.63149728499999</v>
      </c>
      <c r="AJ999"/>
      <c r="AK999">
        <v>85.005694972000001</v>
      </c>
      <c r="AL999">
        <v>47.9</v>
      </c>
      <c r="AM999">
        <v>128.110690436</v>
      </c>
      <c r="AN999">
        <v>60.373658223</v>
      </c>
      <c r="AO999">
        <v>43.310827707000001</v>
      </c>
      <c r="AP999">
        <v>82.704276914999994</v>
      </c>
      <c r="AQ999">
        <v>102.008500708</v>
      </c>
      <c r="AR999">
        <v>43.196400300000001</v>
      </c>
      <c r="AS999">
        <v>87.890898641000007</v>
      </c>
      <c r="AT999"/>
    </row>
    <row r="1000" spans="1:46" x14ac:dyDescent="0.2">
      <c r="A1000" s="87">
        <v>37316</v>
      </c>
      <c r="B1000"/>
      <c r="C1000"/>
      <c r="D1000">
        <v>71.952498598000005</v>
      </c>
      <c r="E1000">
        <v>75.693692192</v>
      </c>
      <c r="F1000">
        <v>87.861271676000001</v>
      </c>
      <c r="G1000">
        <v>94.980055593000003</v>
      </c>
      <c r="H1000"/>
      <c r="I1000"/>
      <c r="J1000">
        <v>72.145933127999996</v>
      </c>
      <c r="K1000">
        <v>66.488918514000005</v>
      </c>
      <c r="L1000">
        <v>79.393383885000006</v>
      </c>
      <c r="M1000">
        <v>111.7</v>
      </c>
      <c r="N1000">
        <v>95.3</v>
      </c>
      <c r="O1000">
        <v>121.159100966</v>
      </c>
      <c r="P1000">
        <v>50.604217018</v>
      </c>
      <c r="Q1000"/>
      <c r="R1000">
        <v>102.508542379</v>
      </c>
      <c r="S1000">
        <v>110.07</v>
      </c>
      <c r="T1000">
        <v>92.873426135000003</v>
      </c>
      <c r="U1000">
        <v>109.80462448500001</v>
      </c>
      <c r="V1000">
        <v>142.63359414000001</v>
      </c>
      <c r="W1000">
        <v>62.505208766999999</v>
      </c>
      <c r="X1000">
        <v>45.369981854999999</v>
      </c>
      <c r="Y1000">
        <v>55.618831358999998</v>
      </c>
      <c r="Z1000">
        <v>37.826260683000001</v>
      </c>
      <c r="AA1000">
        <v>66.539225557999998</v>
      </c>
      <c r="AB1000">
        <v>124.58961753200001</v>
      </c>
      <c r="AC1000">
        <v>96.095710530999995</v>
      </c>
      <c r="AD1000">
        <v>53.285559536999997</v>
      </c>
      <c r="AE1000">
        <v>97.091909008000002</v>
      </c>
      <c r="AF1000">
        <v>67.400000000000006</v>
      </c>
      <c r="AG1000">
        <v>88.371202154000002</v>
      </c>
      <c r="AH1000">
        <v>94.030827541999997</v>
      </c>
      <c r="AI1000">
        <v>112.994569434</v>
      </c>
      <c r="AJ1000"/>
      <c r="AK1000">
        <v>85.584801533999993</v>
      </c>
      <c r="AL1000">
        <v>48</v>
      </c>
      <c r="AM1000">
        <v>132.84605062200001</v>
      </c>
      <c r="AN1000">
        <v>60.341769245999998</v>
      </c>
      <c r="AO1000">
        <v>42.210552638000003</v>
      </c>
      <c r="AP1000">
        <v>82.330894174999997</v>
      </c>
      <c r="AQ1000">
        <v>102.408534045</v>
      </c>
      <c r="AR1000">
        <v>43.696358637000003</v>
      </c>
      <c r="AS1000">
        <v>88.574917315999997</v>
      </c>
      <c r="AT1000"/>
    </row>
    <row r="1001" spans="1:46" x14ac:dyDescent="0.2">
      <c r="A1001" s="87">
        <v>37347</v>
      </c>
      <c r="B1001"/>
      <c r="C1001"/>
      <c r="D1001">
        <v>74.908293732000004</v>
      </c>
      <c r="E1001">
        <v>75.093742187999993</v>
      </c>
      <c r="F1001">
        <v>87.641067988000003</v>
      </c>
      <c r="G1001">
        <v>96.335633204999993</v>
      </c>
      <c r="H1001"/>
      <c r="I1001"/>
      <c r="J1001">
        <v>72.268024366000006</v>
      </c>
      <c r="K1001">
        <v>67.088818529999998</v>
      </c>
      <c r="L1001">
        <v>79.493375552000003</v>
      </c>
      <c r="M1001">
        <v>115.5</v>
      </c>
      <c r="N1001">
        <v>95.1</v>
      </c>
      <c r="O1001">
        <v>122.742102285</v>
      </c>
      <c r="P1001">
        <v>52.904408701000001</v>
      </c>
      <c r="Q1001"/>
      <c r="R1001">
        <v>100.30835903000001</v>
      </c>
      <c r="S1001">
        <v>110.76</v>
      </c>
      <c r="T1001">
        <v>92.677502914000002</v>
      </c>
      <c r="U1001">
        <v>104.642409034</v>
      </c>
      <c r="V1001">
        <v>144.83103046400001</v>
      </c>
      <c r="W1001">
        <v>62.305192099000003</v>
      </c>
      <c r="X1001">
        <v>45.885141449000002</v>
      </c>
      <c r="Y1001">
        <v>52.472835562</v>
      </c>
      <c r="Z1001">
        <v>36.931598813000001</v>
      </c>
      <c r="AA1001">
        <v>66.679308139</v>
      </c>
      <c r="AB1001">
        <v>120.88992584</v>
      </c>
      <c r="AC1001">
        <v>95.989409965999997</v>
      </c>
      <c r="AD1001">
        <v>53.682526455999998</v>
      </c>
      <c r="AE1001">
        <v>99.991667360999998</v>
      </c>
      <c r="AF1001">
        <v>68.7</v>
      </c>
      <c r="AG1001">
        <v>89.179797402000005</v>
      </c>
      <c r="AH1001">
        <v>96.293075485000003</v>
      </c>
      <c r="AI1001">
        <v>126.493405741</v>
      </c>
      <c r="AJ1001"/>
      <c r="AK1001">
        <v>85.738210605000006</v>
      </c>
      <c r="AL1001">
        <v>46.8</v>
      </c>
      <c r="AM1001">
        <v>135.27772206899999</v>
      </c>
      <c r="AN1001">
        <v>60.407801276000001</v>
      </c>
      <c r="AO1001">
        <v>43.610902725999999</v>
      </c>
      <c r="AP1001">
        <v>84.197807875999999</v>
      </c>
      <c r="AQ1001">
        <v>101.008417368</v>
      </c>
      <c r="AR1001">
        <v>44.496291976000002</v>
      </c>
      <c r="AS1001">
        <v>89.002020122999994</v>
      </c>
      <c r="AT1001"/>
    </row>
    <row r="1002" spans="1:46" x14ac:dyDescent="0.2">
      <c r="A1002" s="87">
        <v>37377</v>
      </c>
      <c r="B1002"/>
      <c r="C1002"/>
      <c r="D1002">
        <v>74.148232131</v>
      </c>
      <c r="E1002">
        <v>75.893675526999999</v>
      </c>
      <c r="F1002">
        <v>87.090558767000005</v>
      </c>
      <c r="G1002">
        <v>96.277579062000001</v>
      </c>
      <c r="H1002"/>
      <c r="I1002"/>
      <c r="J1002">
        <v>72.183352404000004</v>
      </c>
      <c r="K1002">
        <v>67.188801866000006</v>
      </c>
      <c r="L1002">
        <v>78.693442212999997</v>
      </c>
      <c r="M1002">
        <v>113.8</v>
      </c>
      <c r="N1002">
        <v>95.5</v>
      </c>
      <c r="O1002">
        <v>121.43210119299999</v>
      </c>
      <c r="P1002">
        <v>53.904492040999997</v>
      </c>
      <c r="Q1002"/>
      <c r="R1002">
        <v>100.708392366</v>
      </c>
      <c r="S1002">
        <v>109.81</v>
      </c>
      <c r="T1002">
        <v>93.743150463999996</v>
      </c>
      <c r="U1002">
        <v>106.148055207</v>
      </c>
      <c r="V1002">
        <v>139.13767271500001</v>
      </c>
      <c r="W1002">
        <v>61.305108758999999</v>
      </c>
      <c r="X1002">
        <v>45.695676675000001</v>
      </c>
      <c r="Y1002">
        <v>55.203322479999997</v>
      </c>
      <c r="Z1002">
        <v>35.968831512999998</v>
      </c>
      <c r="AA1002">
        <v>66.118977818000005</v>
      </c>
      <c r="AB1002">
        <v>125.189567536</v>
      </c>
      <c r="AC1002">
        <v>99.816230297000004</v>
      </c>
      <c r="AD1002">
        <v>52.990584118000001</v>
      </c>
      <c r="AE1002">
        <v>100.7916007</v>
      </c>
      <c r="AF1002">
        <v>68.400000000000006</v>
      </c>
      <c r="AG1002">
        <v>89.470858475</v>
      </c>
      <c r="AH1002">
        <v>97.079944334999993</v>
      </c>
      <c r="AI1002">
        <v>124.166020171</v>
      </c>
      <c r="AJ1002"/>
      <c r="AK1002">
        <v>86.315077959000007</v>
      </c>
      <c r="AL1002">
        <v>47.2</v>
      </c>
      <c r="AM1002">
        <v>131.950171668</v>
      </c>
      <c r="AN1002">
        <v>59.873650304000002</v>
      </c>
      <c r="AO1002">
        <v>44.411102776</v>
      </c>
      <c r="AP1002">
        <v>81.864165749999998</v>
      </c>
      <c r="AQ1002">
        <v>101.30844236999999</v>
      </c>
      <c r="AR1002">
        <v>43.096408633000003</v>
      </c>
      <c r="AS1002">
        <v>89.368363119999998</v>
      </c>
      <c r="AT1002"/>
    </row>
    <row r="1003" spans="1:46" x14ac:dyDescent="0.2">
      <c r="A1003" s="87">
        <v>37408</v>
      </c>
      <c r="B1003"/>
      <c r="C1003"/>
      <c r="D1003">
        <v>75.077196306999994</v>
      </c>
      <c r="E1003">
        <v>74.593783850999998</v>
      </c>
      <c r="F1003">
        <v>87.420864299000002</v>
      </c>
      <c r="G1003">
        <v>95.590025389000004</v>
      </c>
      <c r="H1003"/>
      <c r="I1003"/>
      <c r="J1003">
        <v>72.532897785000003</v>
      </c>
      <c r="K1003">
        <v>67.188801866000006</v>
      </c>
      <c r="L1003">
        <v>80.893258895000002</v>
      </c>
      <c r="M1003">
        <v>112.7</v>
      </c>
      <c r="N1003">
        <v>95.9</v>
      </c>
      <c r="O1003">
        <v>121.263101053</v>
      </c>
      <c r="P1003">
        <v>52.804400367</v>
      </c>
      <c r="Q1003"/>
      <c r="R1003">
        <v>102.908575715</v>
      </c>
      <c r="S1003">
        <v>109.61</v>
      </c>
      <c r="T1003">
        <v>93.720810415000003</v>
      </c>
      <c r="U1003">
        <v>100.34056282500001</v>
      </c>
      <c r="V1003">
        <v>141.63475944699999</v>
      </c>
      <c r="W1003">
        <v>62.105175430999999</v>
      </c>
      <c r="X1003">
        <v>46.129930663000003</v>
      </c>
      <c r="Y1003">
        <v>56.568565939000003</v>
      </c>
      <c r="Z1003">
        <v>34.522359618999999</v>
      </c>
      <c r="AA1003">
        <v>65.978895238000007</v>
      </c>
      <c r="AB1003">
        <v>123.88967586</v>
      </c>
      <c r="AC1003">
        <v>98.646924084000005</v>
      </c>
      <c r="AD1003">
        <v>52.603616365000001</v>
      </c>
      <c r="AE1003">
        <v>101.49154237099999</v>
      </c>
      <c r="AF1003">
        <v>70.5</v>
      </c>
      <c r="AG1003">
        <v>89.189811817999995</v>
      </c>
      <c r="AH1003">
        <v>96.194716878999998</v>
      </c>
      <c r="AI1003">
        <v>124.166020171</v>
      </c>
      <c r="AJ1003"/>
      <c r="AK1003">
        <v>86.303192519000007</v>
      </c>
      <c r="AL1003">
        <v>48.2</v>
      </c>
      <c r="AM1003">
        <v>132.462102499</v>
      </c>
      <c r="AN1003">
        <v>61.182442424000001</v>
      </c>
      <c r="AO1003">
        <v>45.611402851000001</v>
      </c>
      <c r="AP1003">
        <v>82.050857120000003</v>
      </c>
      <c r="AQ1003">
        <v>99.708309025999995</v>
      </c>
      <c r="AR1003">
        <v>43.496375301999997</v>
      </c>
      <c r="AS1003">
        <v>90.106698885</v>
      </c>
      <c r="AT1003"/>
    </row>
    <row r="1004" spans="1:46" x14ac:dyDescent="0.2">
      <c r="A1004" s="87">
        <v>37438</v>
      </c>
      <c r="B1004"/>
      <c r="C1004"/>
      <c r="D1004">
        <v>73.725975679000001</v>
      </c>
      <c r="E1004">
        <v>74.093825515000006</v>
      </c>
      <c r="F1004">
        <v>87.751169832000002</v>
      </c>
      <c r="G1004">
        <v>96.581761368000002</v>
      </c>
      <c r="H1004"/>
      <c r="I1004"/>
      <c r="J1004">
        <v>74.126518665999996</v>
      </c>
      <c r="K1004">
        <v>68.688551907999994</v>
      </c>
      <c r="L1004">
        <v>79.393383885000006</v>
      </c>
      <c r="M1004">
        <v>114.1</v>
      </c>
      <c r="N1004">
        <v>95.2</v>
      </c>
      <c r="O1004">
        <v>122.14910179100001</v>
      </c>
      <c r="P1004">
        <v>53.104425368999998</v>
      </c>
      <c r="Q1004"/>
      <c r="R1004">
        <v>101.508459038</v>
      </c>
      <c r="S1004">
        <v>108.49</v>
      </c>
      <c r="T1004">
        <v>93.703120436000006</v>
      </c>
      <c r="U1004">
        <v>102.168847464</v>
      </c>
      <c r="V1004">
        <v>141.734642917</v>
      </c>
      <c r="W1004">
        <v>63.205267106000001</v>
      </c>
      <c r="X1004">
        <v>46.647601184000003</v>
      </c>
      <c r="Y1004">
        <v>53.363211731</v>
      </c>
      <c r="Z1004">
        <v>35.151780006999999</v>
      </c>
      <c r="AA1004">
        <v>65.068358466999996</v>
      </c>
      <c r="AB1004">
        <v>123.489709191</v>
      </c>
      <c r="AC1004">
        <v>99.391028038000002</v>
      </c>
      <c r="AD1004">
        <v>54.036496958999997</v>
      </c>
      <c r="AE1004">
        <v>99.091742354999994</v>
      </c>
      <c r="AF1004">
        <v>70.400000000000006</v>
      </c>
      <c r="AG1004">
        <v>89.689664038999993</v>
      </c>
      <c r="AH1004">
        <v>96.194716878999998</v>
      </c>
      <c r="AI1004">
        <v>120.32583398</v>
      </c>
      <c r="AJ1004"/>
      <c r="AK1004">
        <v>86.435253863</v>
      </c>
      <c r="AL1004">
        <v>48.8</v>
      </c>
      <c r="AM1004">
        <v>132.97403333</v>
      </c>
      <c r="AN1004">
        <v>62.190064172</v>
      </c>
      <c r="AO1004">
        <v>45.611402851000001</v>
      </c>
      <c r="AP1004">
        <v>83.264351026</v>
      </c>
      <c r="AQ1004">
        <v>100.408367364</v>
      </c>
      <c r="AR1004">
        <v>43.996333638999999</v>
      </c>
      <c r="AS1004">
        <v>90.075278233000006</v>
      </c>
      <c r="AT1004"/>
    </row>
    <row r="1005" spans="1:46" x14ac:dyDescent="0.2">
      <c r="A1005" s="87">
        <v>37469</v>
      </c>
      <c r="B1005"/>
      <c r="C1005"/>
      <c r="D1005">
        <v>71.783596024000005</v>
      </c>
      <c r="E1005">
        <v>75.393717190000004</v>
      </c>
      <c r="F1005">
        <v>86.540049546000006</v>
      </c>
      <c r="G1005">
        <v>96.382451062000001</v>
      </c>
      <c r="H1005"/>
      <c r="I1005"/>
      <c r="J1005">
        <v>72.357448153000007</v>
      </c>
      <c r="K1005">
        <v>67.188801866000006</v>
      </c>
      <c r="L1005">
        <v>81.293225565</v>
      </c>
      <c r="M1005">
        <v>112.9</v>
      </c>
      <c r="N1005">
        <v>95.6</v>
      </c>
      <c r="O1005">
        <v>122.92810244</v>
      </c>
      <c r="P1005">
        <v>54.904575381000001</v>
      </c>
      <c r="Q1005"/>
      <c r="R1005">
        <v>101.208434036</v>
      </c>
      <c r="S1005">
        <v>110.52</v>
      </c>
      <c r="T1005">
        <v>93.972292429000007</v>
      </c>
      <c r="U1005">
        <v>100.985839756</v>
      </c>
      <c r="V1005">
        <v>139.33743965400001</v>
      </c>
      <c r="W1005">
        <v>62.205183765000001</v>
      </c>
      <c r="X1005">
        <v>46.963305286000001</v>
      </c>
      <c r="Y1005">
        <v>52.888344441000001</v>
      </c>
      <c r="Z1005">
        <v>35.588791008999998</v>
      </c>
      <c r="AA1005">
        <v>65.418564916999998</v>
      </c>
      <c r="AB1005">
        <v>121.889842513</v>
      </c>
      <c r="AC1005">
        <v>99.816230297000004</v>
      </c>
      <c r="AD1005">
        <v>54.418465128000001</v>
      </c>
      <c r="AE1005">
        <v>99.591700692000003</v>
      </c>
      <c r="AF1005">
        <v>72.099999999999994</v>
      </c>
      <c r="AG1005">
        <v>89.887022079000005</v>
      </c>
      <c r="AH1005">
        <v>96.588151303999993</v>
      </c>
      <c r="AI1005">
        <v>120.558572537</v>
      </c>
      <c r="AJ1005"/>
      <c r="AK1005">
        <v>86.636740072999999</v>
      </c>
      <c r="AL1005">
        <v>49.4</v>
      </c>
      <c r="AM1005">
        <v>129.646482929</v>
      </c>
      <c r="AN1005">
        <v>62.894363312000003</v>
      </c>
      <c r="AO1005">
        <v>46.011502876000002</v>
      </c>
      <c r="AP1005">
        <v>83.171005340999997</v>
      </c>
      <c r="AQ1005">
        <v>100.108342362</v>
      </c>
      <c r="AR1005">
        <v>44.096325305999997</v>
      </c>
      <c r="AS1005">
        <v>89.984981027000003</v>
      </c>
      <c r="AT1005"/>
    </row>
    <row r="1006" spans="1:46" x14ac:dyDescent="0.2">
      <c r="A1006" s="87">
        <v>37500</v>
      </c>
      <c r="B1006"/>
      <c r="C1006"/>
      <c r="D1006">
        <v>74.317134714999995</v>
      </c>
      <c r="E1006">
        <v>75.293725523000006</v>
      </c>
      <c r="F1006">
        <v>87.641067988000003</v>
      </c>
      <c r="G1006">
        <v>95.504950653999998</v>
      </c>
      <c r="H1006"/>
      <c r="I1006"/>
      <c r="J1006">
        <v>72.431457530000003</v>
      </c>
      <c r="K1006">
        <v>68.688551907999994</v>
      </c>
      <c r="L1006">
        <v>80.193317223999998</v>
      </c>
      <c r="M1006">
        <v>113.8</v>
      </c>
      <c r="N1006">
        <v>95.9</v>
      </c>
      <c r="O1006">
        <v>122.949102458</v>
      </c>
      <c r="P1006">
        <v>55.204600382999999</v>
      </c>
      <c r="Q1006"/>
      <c r="R1006">
        <v>100.908409034</v>
      </c>
      <c r="S1006">
        <v>109.15</v>
      </c>
      <c r="T1006">
        <v>94.027789080999995</v>
      </c>
      <c r="U1006">
        <v>101.52357053199999</v>
      </c>
      <c r="V1006">
        <v>139.437323123</v>
      </c>
      <c r="W1006">
        <v>63.505292107999999</v>
      </c>
      <c r="X1006">
        <v>46.829103662000001</v>
      </c>
      <c r="Y1006">
        <v>54.787813601000003</v>
      </c>
      <c r="Z1006">
        <v>35.978720350000003</v>
      </c>
      <c r="AA1006">
        <v>65.768771368000003</v>
      </c>
      <c r="AB1006">
        <v>124.28964252999999</v>
      </c>
      <c r="AC1006">
        <v>100.454033685</v>
      </c>
      <c r="AD1006">
        <v>53.857511873999997</v>
      </c>
      <c r="AE1006">
        <v>100.991584035</v>
      </c>
      <c r="AF1006">
        <v>71</v>
      </c>
      <c r="AG1006">
        <v>89.677976658999995</v>
      </c>
      <c r="AH1006">
        <v>96.096358273000007</v>
      </c>
      <c r="AI1006">
        <v>115.671062839</v>
      </c>
      <c r="AJ1006"/>
      <c r="AK1006">
        <v>86.707023900999999</v>
      </c>
      <c r="AL1006">
        <v>49.6</v>
      </c>
      <c r="AM1006">
        <v>130.54236188300001</v>
      </c>
      <c r="AN1006">
        <v>62.471403166999998</v>
      </c>
      <c r="AO1006">
        <v>45.611402851000001</v>
      </c>
      <c r="AP1006">
        <v>83.544388080999994</v>
      </c>
      <c r="AQ1006">
        <v>100.108342362</v>
      </c>
      <c r="AR1006">
        <v>45.396216981999999</v>
      </c>
      <c r="AS1006">
        <v>90.092128424999999</v>
      </c>
      <c r="AT1006"/>
    </row>
    <row r="1007" spans="1:46" x14ac:dyDescent="0.2">
      <c r="A1007" s="87">
        <v>37530</v>
      </c>
      <c r="B1007"/>
      <c r="C1007"/>
      <c r="D1007">
        <v>73.388170529000007</v>
      </c>
      <c r="E1007">
        <v>76.393633863999995</v>
      </c>
      <c r="F1007">
        <v>88.301679053000001</v>
      </c>
      <c r="G1007">
        <v>96.151839674000001</v>
      </c>
      <c r="H1007"/>
      <c r="I1007"/>
      <c r="J1007">
        <v>73.397090009999999</v>
      </c>
      <c r="K1007">
        <v>69.788368605000002</v>
      </c>
      <c r="L1007">
        <v>79.593367219000001</v>
      </c>
      <c r="M1007">
        <v>117.6</v>
      </c>
      <c r="N1007">
        <v>95.3</v>
      </c>
      <c r="O1007">
        <v>124.03910336600001</v>
      </c>
      <c r="P1007">
        <v>56.604717059999999</v>
      </c>
      <c r="Q1007"/>
      <c r="R1007">
        <v>102.608550713</v>
      </c>
      <c r="S1007">
        <v>108.29</v>
      </c>
      <c r="T1007">
        <v>93.555039866000001</v>
      </c>
      <c r="U1007">
        <v>98.297185876</v>
      </c>
      <c r="V1007">
        <v>143.133011487</v>
      </c>
      <c r="W1007">
        <v>61.105092091000003</v>
      </c>
      <c r="X1007">
        <v>47.303374253000001</v>
      </c>
      <c r="Y1007">
        <v>52.769627618000001</v>
      </c>
      <c r="Z1007">
        <v>36.677681540000002</v>
      </c>
      <c r="AA1007">
        <v>65.208441046999994</v>
      </c>
      <c r="AB1007">
        <v>122.78976751899999</v>
      </c>
      <c r="AC1007">
        <v>100.454033685</v>
      </c>
      <c r="AD1007">
        <v>54.673443880000001</v>
      </c>
      <c r="AE1007">
        <v>107.291059078</v>
      </c>
      <c r="AF1007">
        <v>72.5</v>
      </c>
      <c r="AG1007">
        <v>90.322029193999995</v>
      </c>
      <c r="AH1007">
        <v>97.079944334999993</v>
      </c>
      <c r="AI1007">
        <v>119.860356866</v>
      </c>
      <c r="AJ1007"/>
      <c r="AK1007">
        <v>86.557019419</v>
      </c>
      <c r="AL1007">
        <v>49.2</v>
      </c>
      <c r="AM1007">
        <v>132.71806791399999</v>
      </c>
      <c r="AN1007">
        <v>62.818024076</v>
      </c>
      <c r="AO1007">
        <v>45.711427856999997</v>
      </c>
      <c r="AP1007">
        <v>82.517585545000003</v>
      </c>
      <c r="AQ1007">
        <v>100.80840070000001</v>
      </c>
      <c r="AR1007">
        <v>44.296308641000003</v>
      </c>
      <c r="AS1007">
        <v>89.830256618000007</v>
      </c>
      <c r="AT1007"/>
    </row>
    <row r="1008" spans="1:46" x14ac:dyDescent="0.2">
      <c r="A1008" s="87">
        <v>37561</v>
      </c>
      <c r="B1008"/>
      <c r="C1008"/>
      <c r="D1008">
        <v>73.557073103999997</v>
      </c>
      <c r="E1008">
        <v>77.193567203000001</v>
      </c>
      <c r="F1008">
        <v>88.411780897</v>
      </c>
      <c r="G1008">
        <v>95.546685428999993</v>
      </c>
      <c r="H1008"/>
      <c r="I1008"/>
      <c r="J1008">
        <v>74.683302190000006</v>
      </c>
      <c r="K1008">
        <v>70.888185301999997</v>
      </c>
      <c r="L1008">
        <v>80.993250562</v>
      </c>
      <c r="M1008">
        <v>114.2</v>
      </c>
      <c r="N1008">
        <v>95.9</v>
      </c>
      <c r="O1008">
        <v>123.50410291999999</v>
      </c>
      <c r="P1008">
        <v>56.004667056000002</v>
      </c>
      <c r="Q1008"/>
      <c r="R1008">
        <v>103.708642387</v>
      </c>
      <c r="S1008">
        <v>109.34</v>
      </c>
      <c r="T1008">
        <v>94.115594102000003</v>
      </c>
      <c r="U1008">
        <v>98.512278186000003</v>
      </c>
      <c r="V1008">
        <v>143.33277842499999</v>
      </c>
      <c r="W1008">
        <v>63.705308776000003</v>
      </c>
      <c r="X1008">
        <v>46.975479516999997</v>
      </c>
      <c r="Y1008">
        <v>53.719362199000003</v>
      </c>
      <c r="Z1008">
        <v>35.985811061</v>
      </c>
      <c r="AA1008">
        <v>64.578069436999996</v>
      </c>
      <c r="AB1008">
        <v>124.989584201</v>
      </c>
      <c r="AC1008">
        <v>100.34773312</v>
      </c>
      <c r="AD1008">
        <v>55.477376884999998</v>
      </c>
      <c r="AE1008">
        <v>105.291225731</v>
      </c>
      <c r="AF1008">
        <v>74.599999999999994</v>
      </c>
      <c r="AG1008">
        <v>89.872917649000001</v>
      </c>
      <c r="AH1008">
        <v>94.424261967000007</v>
      </c>
      <c r="AI1008">
        <v>118.69666408099999</v>
      </c>
      <c r="AJ1008"/>
      <c r="AK1008">
        <v>86.935630334999999</v>
      </c>
      <c r="AL1008">
        <v>50.8</v>
      </c>
      <c r="AM1008">
        <v>128.49463855900001</v>
      </c>
      <c r="AN1008">
        <v>62.085272514000003</v>
      </c>
      <c r="AO1008">
        <v>47.711927981999999</v>
      </c>
      <c r="AP1008">
        <v>82.42423986</v>
      </c>
      <c r="AQ1008">
        <v>101.80848404</v>
      </c>
      <c r="AR1008">
        <v>43.396383634999999</v>
      </c>
      <c r="AS1008">
        <v>90.333482645000004</v>
      </c>
      <c r="AT1008"/>
    </row>
    <row r="1009" spans="1:46" x14ac:dyDescent="0.2">
      <c r="A1009" s="87">
        <v>37591</v>
      </c>
      <c r="B1009"/>
      <c r="C1009"/>
      <c r="D1009">
        <v>73.472621812</v>
      </c>
      <c r="E1009">
        <v>73.493875509999995</v>
      </c>
      <c r="F1009">
        <v>87.530966144000004</v>
      </c>
      <c r="G1009">
        <v>94.479773347999995</v>
      </c>
      <c r="H1009"/>
      <c r="I1009"/>
      <c r="J1009">
        <v>74.833142643000002</v>
      </c>
      <c r="K1009">
        <v>70.388268621999998</v>
      </c>
      <c r="L1009">
        <v>79.593367219000001</v>
      </c>
      <c r="M1009">
        <v>112.7</v>
      </c>
      <c r="N1009">
        <v>94.4</v>
      </c>
      <c r="O1009">
        <v>122.358101965</v>
      </c>
      <c r="P1009">
        <v>56.104675389999997</v>
      </c>
      <c r="Q1009"/>
      <c r="R1009">
        <v>100.108342362</v>
      </c>
      <c r="S1009">
        <v>106.75</v>
      </c>
      <c r="T1009">
        <v>93.431977532000005</v>
      </c>
      <c r="U1009">
        <v>98.942462806999998</v>
      </c>
      <c r="V1009">
        <v>143.133011487</v>
      </c>
      <c r="W1009">
        <v>64.805400449999993</v>
      </c>
      <c r="X1009">
        <v>47.513326276999997</v>
      </c>
      <c r="Y1009">
        <v>48.911330886000002</v>
      </c>
      <c r="Z1009">
        <v>35.536932471</v>
      </c>
      <c r="AA1009">
        <v>65.768771368000003</v>
      </c>
      <c r="AB1009">
        <v>123.689692526</v>
      </c>
      <c r="AC1009">
        <v>100.24143255600001</v>
      </c>
      <c r="AD1009">
        <v>56.215315390000001</v>
      </c>
      <c r="AE1009">
        <v>103.09140904900001</v>
      </c>
      <c r="AF1009">
        <v>72.400000000000006</v>
      </c>
      <c r="AG1009">
        <v>90.053802763999997</v>
      </c>
      <c r="AH1009">
        <v>93.047241479999997</v>
      </c>
      <c r="AI1009">
        <v>117.416602017</v>
      </c>
      <c r="AJ1009"/>
      <c r="AK1009">
        <v>86.544067912000003</v>
      </c>
      <c r="AL1009">
        <v>50.5</v>
      </c>
      <c r="AM1009">
        <v>130.41437917499999</v>
      </c>
      <c r="AN1009">
        <v>62.062065760999999</v>
      </c>
      <c r="AO1009">
        <v>47.911977993999997</v>
      </c>
      <c r="AP1009">
        <v>82.237548489999995</v>
      </c>
      <c r="AQ1009">
        <v>102.208517376</v>
      </c>
      <c r="AR1009">
        <v>45.996166985999999</v>
      </c>
      <c r="AS1009">
        <v>89.838681714000003</v>
      </c>
      <c r="AT1009"/>
    </row>
    <row r="1010" spans="1:46" x14ac:dyDescent="0.2">
      <c r="A1010" s="87">
        <v>37622</v>
      </c>
      <c r="B1010"/>
      <c r="C1010"/>
      <c r="D1010">
        <v>77.526283706000001</v>
      </c>
      <c r="E1010">
        <v>76.093658861999998</v>
      </c>
      <c r="F1010">
        <v>87.861271676000001</v>
      </c>
      <c r="G1010">
        <v>95.516186939999997</v>
      </c>
      <c r="H1010"/>
      <c r="I1010"/>
      <c r="J1010">
        <v>74.025298105999994</v>
      </c>
      <c r="K1010">
        <v>69.188468588999996</v>
      </c>
      <c r="L1010">
        <v>80.193317223999998</v>
      </c>
      <c r="M1010">
        <v>113.7</v>
      </c>
      <c r="N1010">
        <v>96</v>
      </c>
      <c r="O1010">
        <v>123.762103135</v>
      </c>
      <c r="P1010">
        <v>57.304775397999997</v>
      </c>
      <c r="Q1010"/>
      <c r="R1010">
        <v>99.908325693999998</v>
      </c>
      <c r="S1010">
        <v>108.95</v>
      </c>
      <c r="T1010">
        <v>94.390141744999994</v>
      </c>
      <c r="U1010">
        <v>99.480193583000002</v>
      </c>
      <c r="V1010">
        <v>142.13417679400001</v>
      </c>
      <c r="W1010">
        <v>63.605300442000001</v>
      </c>
      <c r="X1010">
        <v>47.765008260000002</v>
      </c>
      <c r="Y1010">
        <v>53.066419674999999</v>
      </c>
      <c r="Z1010">
        <v>35.658041216999997</v>
      </c>
      <c r="AA1010">
        <v>65.698730077999997</v>
      </c>
      <c r="AB1010">
        <v>124.989584201</v>
      </c>
      <c r="AC1010">
        <v>101.62333989699999</v>
      </c>
      <c r="AD1010">
        <v>54.762436463999997</v>
      </c>
      <c r="AE1010">
        <v>104.891259062</v>
      </c>
      <c r="AF1010">
        <v>72.7</v>
      </c>
      <c r="AG1010">
        <v>89.906097287999998</v>
      </c>
      <c r="AH1010">
        <v>96.784868516000003</v>
      </c>
      <c r="AI1010">
        <v>119.74398758700001</v>
      </c>
      <c r="AJ1010"/>
      <c r="AK1010">
        <v>87.290884473999995</v>
      </c>
      <c r="AL1010">
        <v>49.5</v>
      </c>
      <c r="AM1010">
        <v>129.774465636</v>
      </c>
      <c r="AN1010">
        <v>63.849962157999997</v>
      </c>
      <c r="AO1010">
        <v>49.512378095000003</v>
      </c>
      <c r="AP1010">
        <v>81.864165749999998</v>
      </c>
      <c r="AQ1010">
        <v>102.70855904699999</v>
      </c>
      <c r="AR1010">
        <v>47.296058662</v>
      </c>
      <c r="AS1010">
        <v>90.579891923000005</v>
      </c>
      <c r="AT1010"/>
    </row>
    <row r="1011" spans="1:46" x14ac:dyDescent="0.2">
      <c r="A1011" s="87">
        <v>37653</v>
      </c>
      <c r="B1011"/>
      <c r="C1011"/>
      <c r="D1011">
        <v>76.681770811999996</v>
      </c>
      <c r="E1011">
        <v>75.993667193999997</v>
      </c>
      <c r="F1011">
        <v>87.751169832000002</v>
      </c>
      <c r="G1011">
        <v>95.668679389000005</v>
      </c>
      <c r="H1011"/>
      <c r="I1011"/>
      <c r="J1011">
        <v>75.707690186999997</v>
      </c>
      <c r="K1011">
        <v>68.688551907999994</v>
      </c>
      <c r="L1011">
        <v>80.193317223999998</v>
      </c>
      <c r="M1011">
        <v>115.9</v>
      </c>
      <c r="N1011">
        <v>96.2</v>
      </c>
      <c r="O1011">
        <v>124.302103585</v>
      </c>
      <c r="P1011">
        <v>58.404867072000002</v>
      </c>
      <c r="Q1011"/>
      <c r="R1011">
        <v>102.408534045</v>
      </c>
      <c r="S1011">
        <v>109.95</v>
      </c>
      <c r="T1011">
        <v>94.422692429999998</v>
      </c>
      <c r="U1011">
        <v>101.84620899799999</v>
      </c>
      <c r="V1011">
        <v>139.637090062</v>
      </c>
      <c r="W1011">
        <v>63.305275440000003</v>
      </c>
      <c r="X1011">
        <v>48.398342134000004</v>
      </c>
      <c r="Y1011">
        <v>55.203322479999997</v>
      </c>
      <c r="Z1011">
        <v>36.136758338</v>
      </c>
      <c r="AA1011">
        <v>65.348523627000006</v>
      </c>
      <c r="AB1011">
        <v>122.489792517</v>
      </c>
      <c r="AC1011">
        <v>101.188587641</v>
      </c>
      <c r="AD1011">
        <v>54.901424880999997</v>
      </c>
      <c r="AE1011">
        <v>106.09115907</v>
      </c>
      <c r="AF1011">
        <v>72.900000000000006</v>
      </c>
      <c r="AG1011">
        <v>90.918072542999994</v>
      </c>
      <c r="AH1011">
        <v>97.571737365999994</v>
      </c>
      <c r="AI1011">
        <v>119.162141195</v>
      </c>
      <c r="AJ1011"/>
      <c r="AK1011">
        <v>87.381200399999997</v>
      </c>
      <c r="AL1011">
        <v>49.9</v>
      </c>
      <c r="AM1011">
        <v>133.86991228400001</v>
      </c>
      <c r="AN1011">
        <v>65.454492766000001</v>
      </c>
      <c r="AO1011">
        <v>49.712428107000001</v>
      </c>
      <c r="AP1011">
        <v>83.637733765999997</v>
      </c>
      <c r="AQ1011">
        <v>100.208350696</v>
      </c>
      <c r="AR1011">
        <v>45.996166985999999</v>
      </c>
      <c r="AS1011">
        <v>90.687733151000003</v>
      </c>
      <c r="AT1011"/>
    </row>
    <row r="1012" spans="1:46" x14ac:dyDescent="0.2">
      <c r="A1012" s="87">
        <v>37681</v>
      </c>
      <c r="B1012"/>
      <c r="C1012"/>
      <c r="D1012">
        <v>76.935124680000001</v>
      </c>
      <c r="E1012">
        <v>74.993750520999996</v>
      </c>
      <c r="F1012">
        <v>87.861271676000001</v>
      </c>
      <c r="G1012">
        <v>95.315271449999997</v>
      </c>
      <c r="H1012"/>
      <c r="I1012"/>
      <c r="J1012">
        <v>76.148890871000006</v>
      </c>
      <c r="K1012">
        <v>68.488585236000006</v>
      </c>
      <c r="L1012">
        <v>79.993333888999999</v>
      </c>
      <c r="M1012">
        <v>112.6</v>
      </c>
      <c r="N1012">
        <v>95.4</v>
      </c>
      <c r="O1012">
        <v>123.55210296</v>
      </c>
      <c r="P1012">
        <v>58.204850403999998</v>
      </c>
      <c r="Q1012"/>
      <c r="R1012">
        <v>99.108259021999999</v>
      </c>
      <c r="S1012">
        <v>109.08</v>
      </c>
      <c r="T1012">
        <v>94.496594477000002</v>
      </c>
      <c r="U1012">
        <v>104.10467825800001</v>
      </c>
      <c r="V1012">
        <v>140.23639087699999</v>
      </c>
      <c r="W1012">
        <v>64.905408784000002</v>
      </c>
      <c r="X1012">
        <v>47.998991148999998</v>
      </c>
      <c r="Y1012">
        <v>54.609738368000002</v>
      </c>
      <c r="Z1012">
        <v>35.076544673000001</v>
      </c>
      <c r="AA1012">
        <v>64.648110727000002</v>
      </c>
      <c r="AB1012">
        <v>122.589784185</v>
      </c>
      <c r="AC1012">
        <v>101.94940409</v>
      </c>
      <c r="AD1012">
        <v>56.087326056000002</v>
      </c>
      <c r="AE1012">
        <v>105.59120073299999</v>
      </c>
      <c r="AF1012">
        <v>73</v>
      </c>
      <c r="AG1012">
        <v>90.402303244999999</v>
      </c>
      <c r="AH1012">
        <v>94.325903361000002</v>
      </c>
      <c r="AI1012">
        <v>119.162141195</v>
      </c>
      <c r="AJ1012"/>
      <c r="AK1012">
        <v>87.406511487000003</v>
      </c>
      <c r="AL1012">
        <v>50.5</v>
      </c>
      <c r="AM1012">
        <v>127.726742313</v>
      </c>
      <c r="AN1012">
        <v>66.638175283999999</v>
      </c>
      <c r="AO1012">
        <v>50.112528132000001</v>
      </c>
      <c r="AP1012">
        <v>83.077659655000005</v>
      </c>
      <c r="AQ1012">
        <v>100.408367364</v>
      </c>
      <c r="AR1012">
        <v>46.696108658</v>
      </c>
      <c r="AS1012">
        <v>90.417138891999997</v>
      </c>
      <c r="AT1012"/>
    </row>
    <row r="1013" spans="1:46" x14ac:dyDescent="0.2">
      <c r="A1013" s="87">
        <v>37712</v>
      </c>
      <c r="B1013"/>
      <c r="C1013"/>
      <c r="D1013">
        <v>76.597319519999999</v>
      </c>
      <c r="E1013">
        <v>76.993583868000002</v>
      </c>
      <c r="F1013">
        <v>87.420864299000002</v>
      </c>
      <c r="G1013">
        <v>94.971762143999996</v>
      </c>
      <c r="H1013"/>
      <c r="I1013"/>
      <c r="J1013">
        <v>75.937779527999993</v>
      </c>
      <c r="K1013">
        <v>70.188301949999996</v>
      </c>
      <c r="L1013">
        <v>79.793350554</v>
      </c>
      <c r="M1013">
        <v>114.6</v>
      </c>
      <c r="N1013">
        <v>95.8</v>
      </c>
      <c r="O1013">
        <v>124.131103443</v>
      </c>
      <c r="P1013">
        <v>59.604967080999998</v>
      </c>
      <c r="Q1013"/>
      <c r="R1013">
        <v>103.00858404900001</v>
      </c>
      <c r="S1013">
        <v>109.11</v>
      </c>
      <c r="T1013">
        <v>94.056328371999996</v>
      </c>
      <c r="U1013">
        <v>104.534862879</v>
      </c>
      <c r="V1013">
        <v>142.433827202</v>
      </c>
      <c r="W1013">
        <v>64.205350445999997</v>
      </c>
      <c r="X1013">
        <v>48.075040502</v>
      </c>
      <c r="Y1013">
        <v>54.312946310999997</v>
      </c>
      <c r="Z1013">
        <v>34.499400303000002</v>
      </c>
      <c r="AA1013">
        <v>65.208441046999994</v>
      </c>
      <c r="AB1013">
        <v>124.28964252999999</v>
      </c>
      <c r="AC1013">
        <v>100.536459257</v>
      </c>
      <c r="AD1013">
        <v>55.033413881999998</v>
      </c>
      <c r="AE1013">
        <v>107.791017415</v>
      </c>
      <c r="AF1013">
        <v>73.8</v>
      </c>
      <c r="AG1013">
        <v>90.153610778000001</v>
      </c>
      <c r="AH1013">
        <v>93.539034510999997</v>
      </c>
      <c r="AI1013">
        <v>116.485647789</v>
      </c>
      <c r="AJ1013"/>
      <c r="AK1013">
        <v>87.059567827999999</v>
      </c>
      <c r="AL1013">
        <v>50.7</v>
      </c>
      <c r="AM1013">
        <v>131.310258129</v>
      </c>
      <c r="AN1013">
        <v>66.919905064999995</v>
      </c>
      <c r="AO1013">
        <v>50.612653162999997</v>
      </c>
      <c r="AP1013">
        <v>82.330894174999997</v>
      </c>
      <c r="AQ1013">
        <v>103.908659055</v>
      </c>
      <c r="AR1013">
        <v>45.296225315000001</v>
      </c>
      <c r="AS1013">
        <v>89.846016503000001</v>
      </c>
      <c r="AT1013"/>
    </row>
    <row r="1014" spans="1:46" x14ac:dyDescent="0.2">
      <c r="A1014" s="87">
        <v>37742</v>
      </c>
      <c r="B1014"/>
      <c r="C1014"/>
      <c r="D1014">
        <v>75.161647599000005</v>
      </c>
      <c r="E1014">
        <v>74.193817182000004</v>
      </c>
      <c r="F1014">
        <v>85.659234792000007</v>
      </c>
      <c r="G1014">
        <v>95.032491593000003</v>
      </c>
      <c r="H1014"/>
      <c r="I1014"/>
      <c r="J1014">
        <v>75.372045576999994</v>
      </c>
      <c r="K1014">
        <v>68.688551907999994</v>
      </c>
      <c r="L1014">
        <v>79.093408882999995</v>
      </c>
      <c r="M1014">
        <v>112.8</v>
      </c>
      <c r="N1014">
        <v>94.2</v>
      </c>
      <c r="O1014">
        <v>122.826102355</v>
      </c>
      <c r="P1014">
        <v>58.204850403999998</v>
      </c>
      <c r="Q1014"/>
      <c r="R1014">
        <v>99.308275690000002</v>
      </c>
      <c r="S1014">
        <v>106.52</v>
      </c>
      <c r="T1014">
        <v>93.880273179</v>
      </c>
      <c r="U1014">
        <v>105.610324431</v>
      </c>
      <c r="V1014">
        <v>142.733477609</v>
      </c>
      <c r="W1014">
        <v>64.005333777999994</v>
      </c>
      <c r="X1014">
        <v>48.799338720999998</v>
      </c>
      <c r="Y1014">
        <v>54.906530424000003</v>
      </c>
      <c r="Z1014">
        <v>34.694156782999997</v>
      </c>
      <c r="AA1014">
        <v>65.138399757000002</v>
      </c>
      <c r="AB1014">
        <v>120.189984168</v>
      </c>
      <c r="AC1014">
        <v>101.84071602500001</v>
      </c>
      <c r="AD1014">
        <v>54.667444379999999</v>
      </c>
      <c r="AE1014">
        <v>105.191234064</v>
      </c>
      <c r="AF1014">
        <v>75.099999999999994</v>
      </c>
      <c r="AG1014">
        <v>90.284007618000004</v>
      </c>
      <c r="AH1014">
        <v>92.752165661999996</v>
      </c>
      <c r="AI1014">
        <v>116.020170675</v>
      </c>
      <c r="AJ1014"/>
      <c r="AK1014">
        <v>86.821431177999997</v>
      </c>
      <c r="AL1014">
        <v>51.6</v>
      </c>
      <c r="AM1014">
        <v>130.798327298</v>
      </c>
      <c r="AN1014">
        <v>66.795729894000004</v>
      </c>
      <c r="AO1014">
        <v>50.412603150999999</v>
      </c>
      <c r="AP1014">
        <v>83.077659655000005</v>
      </c>
      <c r="AQ1014">
        <v>101.80848404</v>
      </c>
      <c r="AR1014">
        <v>45.396216981999999</v>
      </c>
      <c r="AS1014">
        <v>89.817767652000001</v>
      </c>
      <c r="AT1014"/>
    </row>
    <row r="1015" spans="1:46" x14ac:dyDescent="0.2">
      <c r="A1015" s="87">
        <v>37773</v>
      </c>
      <c r="B1015"/>
      <c r="C1015"/>
      <c r="D1015">
        <v>76.259514370000005</v>
      </c>
      <c r="E1015">
        <v>75.593700525000003</v>
      </c>
      <c r="F1015">
        <v>86.099642169000006</v>
      </c>
      <c r="G1015">
        <v>94.585715469999997</v>
      </c>
      <c r="H1015"/>
      <c r="I1015"/>
      <c r="J1015">
        <v>76.328999742999997</v>
      </c>
      <c r="K1015">
        <v>69.488418597000006</v>
      </c>
      <c r="L1015">
        <v>78.693442212999997</v>
      </c>
      <c r="M1015">
        <v>113.5</v>
      </c>
      <c r="N1015">
        <v>94.2</v>
      </c>
      <c r="O1015">
        <v>123.190102658</v>
      </c>
      <c r="P1015">
        <v>58.704892074</v>
      </c>
      <c r="Q1015"/>
      <c r="R1015">
        <v>100.30835903000001</v>
      </c>
      <c r="S1015">
        <v>106.26</v>
      </c>
      <c r="T1015">
        <v>93.837166823999993</v>
      </c>
      <c r="U1015">
        <v>107.008424449</v>
      </c>
      <c r="V1015">
        <v>143.932079241</v>
      </c>
      <c r="W1015">
        <v>66.005500458</v>
      </c>
      <c r="X1015">
        <v>48.968049458000003</v>
      </c>
      <c r="Y1015">
        <v>55.084605658000001</v>
      </c>
      <c r="Z1015">
        <v>34.480225531000002</v>
      </c>
      <c r="AA1015">
        <v>64.578069436999996</v>
      </c>
      <c r="AB1015">
        <v>121.68985917800001</v>
      </c>
      <c r="AC1015">
        <v>100.971211513</v>
      </c>
      <c r="AD1015">
        <v>56.420298308</v>
      </c>
      <c r="AE1015">
        <v>101.69152570599999</v>
      </c>
      <c r="AF1015">
        <v>75.099999999999994</v>
      </c>
      <c r="AG1015">
        <v>90.765999070000007</v>
      </c>
      <c r="AH1015">
        <v>91.080069355999996</v>
      </c>
      <c r="AI1015">
        <v>116.25290923199999</v>
      </c>
      <c r="AJ1015"/>
      <c r="AK1015">
        <v>87.029491097999994</v>
      </c>
      <c r="AL1015">
        <v>51.9</v>
      </c>
      <c r="AM1015">
        <v>129.262534805</v>
      </c>
      <c r="AN1015">
        <v>66.749511651999995</v>
      </c>
      <c r="AO1015">
        <v>52.113028257000003</v>
      </c>
      <c r="AP1015">
        <v>82.42423986</v>
      </c>
      <c r="AQ1015">
        <v>102.408534045</v>
      </c>
      <c r="AR1015">
        <v>47.196066993999999</v>
      </c>
      <c r="AS1015">
        <v>89.937602252000005</v>
      </c>
      <c r="AT1015"/>
    </row>
    <row r="1016" spans="1:46" x14ac:dyDescent="0.2">
      <c r="A1016" s="87">
        <v>37803</v>
      </c>
      <c r="B1016"/>
      <c r="C1016"/>
      <c r="D1016">
        <v>76.259514370000005</v>
      </c>
      <c r="E1016">
        <v>77.793517206999994</v>
      </c>
      <c r="F1016">
        <v>85.218827415000007</v>
      </c>
      <c r="G1016">
        <v>95.620791409000006</v>
      </c>
      <c r="H1016"/>
      <c r="I1016"/>
      <c r="J1016">
        <v>75.726906385999996</v>
      </c>
      <c r="K1016">
        <v>69.588401933</v>
      </c>
      <c r="L1016">
        <v>80.593283893000006</v>
      </c>
      <c r="M1016">
        <v>113.5</v>
      </c>
      <c r="N1016">
        <v>95.8</v>
      </c>
      <c r="O1016">
        <v>124.037103364</v>
      </c>
      <c r="P1016">
        <v>59.404950413000002</v>
      </c>
      <c r="Q1016"/>
      <c r="R1016">
        <v>101.708475706</v>
      </c>
      <c r="S1016">
        <v>108.12</v>
      </c>
      <c r="T1016">
        <v>94.752123683999997</v>
      </c>
      <c r="U1016">
        <v>108.621616777</v>
      </c>
      <c r="V1016">
        <v>143.732312302</v>
      </c>
      <c r="W1016">
        <v>66.305525459999998</v>
      </c>
      <c r="X1016">
        <v>49.594288183000003</v>
      </c>
      <c r="Y1016">
        <v>56.568565939000003</v>
      </c>
      <c r="Z1016">
        <v>34.705698791000003</v>
      </c>
      <c r="AA1016">
        <v>65.348523627000006</v>
      </c>
      <c r="AB1016">
        <v>123.38971752400001</v>
      </c>
      <c r="AC1016">
        <v>101.405963769</v>
      </c>
      <c r="AD1016">
        <v>53.913507207999999</v>
      </c>
      <c r="AE1016">
        <v>103.891342388</v>
      </c>
      <c r="AF1016">
        <v>77</v>
      </c>
      <c r="AG1016">
        <v>90.752064722</v>
      </c>
      <c r="AH1016">
        <v>92.358731237000001</v>
      </c>
      <c r="AI1016">
        <v>118.114817688</v>
      </c>
      <c r="AJ1016"/>
      <c r="AK1016">
        <v>87.745438703000005</v>
      </c>
      <c r="AL1016">
        <v>53.9</v>
      </c>
      <c r="AM1016">
        <v>131.69420625199999</v>
      </c>
      <c r="AN1016">
        <v>67.403829748000007</v>
      </c>
      <c r="AO1016">
        <v>52.713178294999999</v>
      </c>
      <c r="AP1016">
        <v>83.171005340999997</v>
      </c>
      <c r="AQ1016">
        <v>103.80865072100001</v>
      </c>
      <c r="AR1016">
        <v>48.295975335000001</v>
      </c>
      <c r="AS1016">
        <v>90.399099274999998</v>
      </c>
      <c r="AT1016"/>
    </row>
    <row r="1017" spans="1:46" x14ac:dyDescent="0.2">
      <c r="A1017" s="87">
        <v>37834</v>
      </c>
      <c r="B1017"/>
      <c r="C1017"/>
      <c r="D1017">
        <v>76.766222104999997</v>
      </c>
      <c r="E1017">
        <v>75.693692192</v>
      </c>
      <c r="F1017">
        <v>86.429947702000007</v>
      </c>
      <c r="G1017">
        <v>94.336109409000002</v>
      </c>
      <c r="H1017"/>
      <c r="I1017"/>
      <c r="J1017">
        <v>79.125054684999995</v>
      </c>
      <c r="K1017">
        <v>71.088151975000002</v>
      </c>
      <c r="L1017">
        <v>78.593450546</v>
      </c>
      <c r="M1017">
        <v>115.4</v>
      </c>
      <c r="N1017">
        <v>94.7</v>
      </c>
      <c r="O1017">
        <v>123.88810324000001</v>
      </c>
      <c r="P1017">
        <v>60.605050421000001</v>
      </c>
      <c r="Q1017"/>
      <c r="R1017">
        <v>101.30844236999999</v>
      </c>
      <c r="S1017">
        <v>107.69</v>
      </c>
      <c r="T1017">
        <v>93.966555146000005</v>
      </c>
      <c r="U1017">
        <v>108.83670908800001</v>
      </c>
      <c r="V1017">
        <v>137.140003329</v>
      </c>
      <c r="W1017">
        <v>68.505708808999998</v>
      </c>
      <c r="X1017">
        <v>49.869231962000001</v>
      </c>
      <c r="Y1017">
        <v>59.180336035000003</v>
      </c>
      <c r="Z1017">
        <v>34.924923767000003</v>
      </c>
      <c r="AA1017">
        <v>64.508028147000005</v>
      </c>
      <c r="AB1017">
        <v>120.789934172</v>
      </c>
      <c r="AC1017">
        <v>100.427771193</v>
      </c>
      <c r="AD1017">
        <v>56.500291642000001</v>
      </c>
      <c r="AE1017">
        <v>108.49095908699999</v>
      </c>
      <c r="AF1017">
        <v>76.5</v>
      </c>
      <c r="AG1017">
        <v>90.538700405</v>
      </c>
      <c r="AH1017">
        <v>93.342317299000001</v>
      </c>
      <c r="AI1017">
        <v>116.834755625</v>
      </c>
      <c r="AJ1017"/>
      <c r="AK1017">
        <v>87.468527261999995</v>
      </c>
      <c r="AL1017">
        <v>54</v>
      </c>
      <c r="AM1017">
        <v>129.90244834399999</v>
      </c>
      <c r="AN1017">
        <v>67.264103362</v>
      </c>
      <c r="AO1017">
        <v>52.513128281999997</v>
      </c>
      <c r="AP1017">
        <v>83.264351026</v>
      </c>
      <c r="AQ1017">
        <v>102.70855904699999</v>
      </c>
      <c r="AR1017">
        <v>49.495875343999998</v>
      </c>
      <c r="AS1017">
        <v>90.209881530999994</v>
      </c>
      <c r="AT1017"/>
    </row>
    <row r="1018" spans="1:46" x14ac:dyDescent="0.2">
      <c r="A1018" s="87">
        <v>37865</v>
      </c>
      <c r="B1018"/>
      <c r="C1018"/>
      <c r="D1018">
        <v>76.343965652999998</v>
      </c>
      <c r="E1018">
        <v>75.893675526999999</v>
      </c>
      <c r="F1018">
        <v>89.402697494999998</v>
      </c>
      <c r="G1018">
        <v>96.213639246</v>
      </c>
      <c r="H1018"/>
      <c r="I1018"/>
      <c r="J1018">
        <v>76.998236640000002</v>
      </c>
      <c r="K1018">
        <v>71.388101982999999</v>
      </c>
      <c r="L1018">
        <v>78.393467211000001</v>
      </c>
      <c r="M1018">
        <v>117</v>
      </c>
      <c r="N1018">
        <v>94.4</v>
      </c>
      <c r="O1018">
        <v>122.785102321</v>
      </c>
      <c r="P1018">
        <v>61.005083757000001</v>
      </c>
      <c r="Q1018"/>
      <c r="R1018">
        <v>101.60846737200001</v>
      </c>
      <c r="S1018">
        <v>107.28</v>
      </c>
      <c r="T1018">
        <v>94.857743149000001</v>
      </c>
      <c r="U1018">
        <v>108.406524467</v>
      </c>
      <c r="V1018">
        <v>145.72998168800001</v>
      </c>
      <c r="W1018">
        <v>67.505625468999995</v>
      </c>
      <c r="X1018">
        <v>50.172986946000002</v>
      </c>
      <c r="Y1018">
        <v>53.719362199000003</v>
      </c>
      <c r="Z1018">
        <v>35.297867474</v>
      </c>
      <c r="AA1018">
        <v>64.718152016999994</v>
      </c>
      <c r="AB1018">
        <v>121.289892509</v>
      </c>
      <c r="AC1018">
        <v>103.471036986</v>
      </c>
      <c r="AD1018">
        <v>57.775185401000002</v>
      </c>
      <c r="AE1018">
        <v>109.190900758</v>
      </c>
      <c r="AF1018">
        <v>78.2</v>
      </c>
      <c r="AG1018">
        <v>90.584479943000005</v>
      </c>
      <c r="AH1018">
        <v>93.342317299000001</v>
      </c>
      <c r="AI1018">
        <v>118.463925524</v>
      </c>
      <c r="AJ1018"/>
      <c r="AK1018">
        <v>88.143963925999998</v>
      </c>
      <c r="AL1018">
        <v>54</v>
      </c>
      <c r="AM1018">
        <v>134.125877699</v>
      </c>
      <c r="AN1018">
        <v>68.542233201000002</v>
      </c>
      <c r="AO1018">
        <v>52.113028257000003</v>
      </c>
      <c r="AP1018">
        <v>83.731079450999999</v>
      </c>
      <c r="AQ1018">
        <v>103.308609051</v>
      </c>
      <c r="AR1018">
        <v>49.495875343999998</v>
      </c>
      <c r="AS1018">
        <v>90.82798622</v>
      </c>
      <c r="AT1018"/>
    </row>
    <row r="1019" spans="1:46" x14ac:dyDescent="0.2">
      <c r="A1019" s="87">
        <v>37895</v>
      </c>
      <c r="B1019"/>
      <c r="C1019"/>
      <c r="D1019">
        <v>76.343965652999998</v>
      </c>
      <c r="E1019">
        <v>76.393633863999995</v>
      </c>
      <c r="F1019">
        <v>89.843104871999998</v>
      </c>
      <c r="G1019">
        <v>96.756191326999996</v>
      </c>
      <c r="H1019"/>
      <c r="I1019"/>
      <c r="J1019">
        <v>76.098434655999995</v>
      </c>
      <c r="K1019">
        <v>71.788035327000003</v>
      </c>
      <c r="L1019">
        <v>80.793267228000005</v>
      </c>
      <c r="M1019">
        <v>114.8</v>
      </c>
      <c r="N1019">
        <v>96.8</v>
      </c>
      <c r="O1019">
        <v>125.50310458600001</v>
      </c>
      <c r="P1019">
        <v>61.905158763000003</v>
      </c>
      <c r="Q1019"/>
      <c r="R1019">
        <v>101.508459038</v>
      </c>
      <c r="S1019">
        <v>109.88</v>
      </c>
      <c r="T1019">
        <v>95.885072049000001</v>
      </c>
      <c r="U1019">
        <v>110.880086037</v>
      </c>
      <c r="V1019">
        <v>144.73114699499999</v>
      </c>
      <c r="W1019">
        <v>68.005667138999996</v>
      </c>
      <c r="X1019">
        <v>49.970358359999999</v>
      </c>
      <c r="Y1019">
        <v>61.376597252000003</v>
      </c>
      <c r="Z1019">
        <v>35.976724519000001</v>
      </c>
      <c r="AA1019">
        <v>68.150175230000002</v>
      </c>
      <c r="AB1019">
        <v>122.589784185</v>
      </c>
      <c r="AC1019">
        <v>104.666605691</v>
      </c>
      <c r="AD1019">
        <v>59.215065410999998</v>
      </c>
      <c r="AE1019">
        <v>108.590950754</v>
      </c>
      <c r="AF1019">
        <v>78.599999999999994</v>
      </c>
      <c r="AG1019">
        <v>91.041636885000003</v>
      </c>
      <c r="AH1019">
        <v>96.883227122999998</v>
      </c>
      <c r="AI1019">
        <v>121.024049651</v>
      </c>
      <c r="AJ1019"/>
      <c r="AK1019">
        <v>89.173741436</v>
      </c>
      <c r="AL1019">
        <v>55.2</v>
      </c>
      <c r="AM1019">
        <v>131.05429271400001</v>
      </c>
      <c r="AN1019">
        <v>68.342439795999994</v>
      </c>
      <c r="AO1019">
        <v>52.813203301000001</v>
      </c>
      <c r="AP1019">
        <v>85.597993150999997</v>
      </c>
      <c r="AQ1019">
        <v>102.908575715</v>
      </c>
      <c r="AR1019">
        <v>48.995917007000003</v>
      </c>
      <c r="AS1019">
        <v>90.928790015000004</v>
      </c>
      <c r="AT1019"/>
    </row>
    <row r="1020" spans="1:46" x14ac:dyDescent="0.2">
      <c r="A1020" s="87">
        <v>37926</v>
      </c>
      <c r="B1020"/>
      <c r="C1020"/>
      <c r="D1020">
        <v>76.343965652999998</v>
      </c>
      <c r="E1020">
        <v>75.893675526999999</v>
      </c>
      <c r="F1020">
        <v>90.944123313999995</v>
      </c>
      <c r="G1020">
        <v>96.836182980000004</v>
      </c>
      <c r="H1020"/>
      <c r="I1020"/>
      <c r="J1020">
        <v>77.452867501</v>
      </c>
      <c r="K1020">
        <v>72.787868689000007</v>
      </c>
      <c r="L1020">
        <v>81.593200566999997</v>
      </c>
      <c r="M1020">
        <v>112.8</v>
      </c>
      <c r="N1020">
        <v>96.5</v>
      </c>
      <c r="O1020">
        <v>124.46510372100001</v>
      </c>
      <c r="P1020">
        <v>62.705225435000003</v>
      </c>
      <c r="Q1020"/>
      <c r="R1020">
        <v>102.808567381</v>
      </c>
      <c r="S1020">
        <v>107.75</v>
      </c>
      <c r="T1020">
        <v>96.056622896999997</v>
      </c>
      <c r="U1020">
        <v>107.43860907</v>
      </c>
      <c r="V1020">
        <v>141.83452638599999</v>
      </c>
      <c r="W1020">
        <v>69.005750479</v>
      </c>
      <c r="X1020">
        <v>51.176624338000003</v>
      </c>
      <c r="Y1020">
        <v>61.376597252000003</v>
      </c>
      <c r="Z1020">
        <v>35.445785729000001</v>
      </c>
      <c r="AA1020">
        <v>64.648110727000002</v>
      </c>
      <c r="AB1020">
        <v>123.989667528</v>
      </c>
      <c r="AC1020">
        <v>104.883981819</v>
      </c>
      <c r="AD1020">
        <v>59.285059578000002</v>
      </c>
      <c r="AE1020">
        <v>107.491042413</v>
      </c>
      <c r="AF1020">
        <v>78.3</v>
      </c>
      <c r="AG1020">
        <v>91.345469300999994</v>
      </c>
      <c r="AH1020">
        <v>94.325903361000002</v>
      </c>
      <c r="AI1020">
        <v>119.04577191600001</v>
      </c>
      <c r="AJ1020"/>
      <c r="AK1020">
        <v>89.258129018000005</v>
      </c>
      <c r="AL1020">
        <v>55.4</v>
      </c>
      <c r="AM1020">
        <v>131.82218896000001</v>
      </c>
      <c r="AN1020">
        <v>68.358305145000003</v>
      </c>
      <c r="AO1020">
        <v>54.313578395</v>
      </c>
      <c r="AP1020">
        <v>85.971375890999994</v>
      </c>
      <c r="AQ1020">
        <v>102.70855904699999</v>
      </c>
      <c r="AR1020">
        <v>48.795933671999997</v>
      </c>
      <c r="AS1020">
        <v>91.536685469999995</v>
      </c>
      <c r="AT1020"/>
    </row>
    <row r="1021" spans="1:46" x14ac:dyDescent="0.2">
      <c r="A1021" s="87">
        <v>37956</v>
      </c>
      <c r="B1021"/>
      <c r="C1021"/>
      <c r="D1021">
        <v>77.695186290999999</v>
      </c>
      <c r="E1021">
        <v>78.493458877999998</v>
      </c>
      <c r="F1021">
        <v>89.402697494999998</v>
      </c>
      <c r="G1021">
        <v>97.030677734999998</v>
      </c>
      <c r="H1021"/>
      <c r="I1021"/>
      <c r="J1021">
        <v>76.646127477999997</v>
      </c>
      <c r="K1021">
        <v>74.487585401999993</v>
      </c>
      <c r="L1021">
        <v>81.993167236000005</v>
      </c>
      <c r="M1021">
        <v>111.2</v>
      </c>
      <c r="N1021">
        <v>96.8</v>
      </c>
      <c r="O1021">
        <v>123.445102871</v>
      </c>
      <c r="P1021">
        <v>62.305192099000003</v>
      </c>
      <c r="Q1021"/>
      <c r="R1021">
        <v>101.30844236999999</v>
      </c>
      <c r="S1021">
        <v>108.4</v>
      </c>
      <c r="T1021">
        <v>95.874039984999996</v>
      </c>
      <c r="U1021">
        <v>103.244309016</v>
      </c>
      <c r="V1021">
        <v>146.82869984999999</v>
      </c>
      <c r="W1021">
        <v>72.206017168000002</v>
      </c>
      <c r="X1021">
        <v>50.908852981000003</v>
      </c>
      <c r="Y1021">
        <v>58.171243044000001</v>
      </c>
      <c r="Z1021">
        <v>35.231618279000003</v>
      </c>
      <c r="AA1021">
        <v>66.259060398000003</v>
      </c>
      <c r="AB1021">
        <v>124.089659195</v>
      </c>
      <c r="AC1021">
        <v>104.55791762699999</v>
      </c>
      <c r="AD1021">
        <v>60.545954504000001</v>
      </c>
      <c r="AE1021">
        <v>105.091242396</v>
      </c>
      <c r="AF1021">
        <v>79.900000000000006</v>
      </c>
      <c r="AG1021">
        <v>92.660462003000006</v>
      </c>
      <c r="AH1021">
        <v>92.260372630999996</v>
      </c>
      <c r="AI1021">
        <v>120.09309542299999</v>
      </c>
      <c r="AJ1021"/>
      <c r="AK1021">
        <v>89.402939399000005</v>
      </c>
      <c r="AL1021">
        <v>56.7</v>
      </c>
      <c r="AM1021">
        <v>133.48596416000001</v>
      </c>
      <c r="AN1021">
        <v>70.004844806999998</v>
      </c>
      <c r="AO1021">
        <v>55.813953488000003</v>
      </c>
      <c r="AP1021">
        <v>84.757881986000001</v>
      </c>
      <c r="AQ1021">
        <v>105.008750729</v>
      </c>
      <c r="AR1021">
        <v>49.695858678</v>
      </c>
      <c r="AS1021">
        <v>91.587632521000003</v>
      </c>
      <c r="AT1021"/>
    </row>
    <row r="1022" spans="1:46" x14ac:dyDescent="0.2">
      <c r="A1022" s="87">
        <v>37987</v>
      </c>
      <c r="B1022"/>
      <c r="C1022"/>
      <c r="D1022">
        <v>77.948540148000006</v>
      </c>
      <c r="E1022">
        <v>76.893592201000004</v>
      </c>
      <c r="F1022">
        <v>91.054225157999994</v>
      </c>
      <c r="G1022">
        <v>96.629649348000001</v>
      </c>
      <c r="H1022"/>
      <c r="I1022"/>
      <c r="J1022">
        <v>79.234750749</v>
      </c>
      <c r="K1022">
        <v>74.387602065999999</v>
      </c>
      <c r="L1022">
        <v>81.293225565</v>
      </c>
      <c r="M1022">
        <v>111.3</v>
      </c>
      <c r="N1022">
        <v>96.7</v>
      </c>
      <c r="O1022">
        <v>123.71910309899999</v>
      </c>
      <c r="P1022">
        <v>62.905242104000003</v>
      </c>
      <c r="Q1022"/>
      <c r="R1022">
        <v>101.80848404</v>
      </c>
      <c r="S1022">
        <v>109.1</v>
      </c>
      <c r="T1022">
        <v>96.017680188</v>
      </c>
      <c r="U1022">
        <v>100.01792435900001</v>
      </c>
      <c r="V1022">
        <v>140.835691693</v>
      </c>
      <c r="W1022">
        <v>69.805817150999999</v>
      </c>
      <c r="X1022">
        <v>51.665673988000002</v>
      </c>
      <c r="Y1022">
        <v>55.678189770000003</v>
      </c>
      <c r="Z1022">
        <v>35.873129663</v>
      </c>
      <c r="AA1022">
        <v>69.695550350999994</v>
      </c>
      <c r="AB1022">
        <v>124.089659195</v>
      </c>
      <c r="AC1022">
        <v>106.405614716</v>
      </c>
      <c r="AD1022">
        <v>60.182984750999999</v>
      </c>
      <c r="AE1022">
        <v>108.790934089</v>
      </c>
      <c r="AF1022">
        <v>79.8</v>
      </c>
      <c r="AG1022">
        <v>93.231218862000006</v>
      </c>
      <c r="AH1022">
        <v>97.571737365999994</v>
      </c>
      <c r="AI1022">
        <v>118.463925524</v>
      </c>
      <c r="AJ1022"/>
      <c r="AK1022">
        <v>89.564380646000004</v>
      </c>
      <c r="AL1022">
        <v>57.9</v>
      </c>
      <c r="AM1022">
        <v>129.84301691499999</v>
      </c>
      <c r="AN1022">
        <v>70.119873810000001</v>
      </c>
      <c r="AO1022">
        <v>51.312828207000003</v>
      </c>
      <c r="AP1022">
        <v>85.784684521000003</v>
      </c>
      <c r="AQ1022">
        <v>106.408867406</v>
      </c>
      <c r="AR1022">
        <v>50.495792016999999</v>
      </c>
      <c r="AS1022">
        <v>91.748601413000003</v>
      </c>
      <c r="AT1022"/>
    </row>
    <row r="1023" spans="1:46" x14ac:dyDescent="0.2">
      <c r="A1023" s="87">
        <v>38018</v>
      </c>
      <c r="B1023"/>
      <c r="C1023"/>
      <c r="D1023">
        <v>78.370796600000006</v>
      </c>
      <c r="E1023">
        <v>77.993500542000007</v>
      </c>
      <c r="F1023">
        <v>92.485549133000006</v>
      </c>
      <c r="G1023">
        <v>96.296841266000001</v>
      </c>
      <c r="H1023"/>
      <c r="I1023"/>
      <c r="J1023">
        <v>80.865534765999996</v>
      </c>
      <c r="K1023">
        <v>76.687218797</v>
      </c>
      <c r="L1023">
        <v>81.693192233999994</v>
      </c>
      <c r="M1023">
        <v>111.7</v>
      </c>
      <c r="N1023">
        <v>97.1</v>
      </c>
      <c r="O1023">
        <v>124.14110345100001</v>
      </c>
      <c r="P1023">
        <v>62.405200432999997</v>
      </c>
      <c r="Q1023"/>
      <c r="R1023">
        <v>103.608634053</v>
      </c>
      <c r="S1023">
        <v>110.19</v>
      </c>
      <c r="T1023">
        <v>96.299686436000002</v>
      </c>
      <c r="U1023">
        <v>100.44810898</v>
      </c>
      <c r="V1023">
        <v>143.43266189400001</v>
      </c>
      <c r="W1023">
        <v>70.805900492000006</v>
      </c>
      <c r="X1023">
        <v>50.875982184999998</v>
      </c>
      <c r="Y1023">
        <v>56.331132294</v>
      </c>
      <c r="Z1023">
        <v>36.686728051000003</v>
      </c>
      <c r="AA1023">
        <v>68.758782201000002</v>
      </c>
      <c r="AB1023">
        <v>123.689692526</v>
      </c>
      <c r="AC1023">
        <v>106.079550524</v>
      </c>
      <c r="AD1023">
        <v>62.909757519999999</v>
      </c>
      <c r="AE1023">
        <v>109.590867428</v>
      </c>
      <c r="AF1023">
        <v>80</v>
      </c>
      <c r="AG1023">
        <v>93.439979219999998</v>
      </c>
      <c r="AH1023">
        <v>97.965171791000003</v>
      </c>
      <c r="AI1023">
        <v>117.882079131</v>
      </c>
      <c r="AJ1023"/>
      <c r="AK1023">
        <v>90.079743969999996</v>
      </c>
      <c r="AL1023">
        <v>58.1</v>
      </c>
      <c r="AM1023">
        <v>126.869512711</v>
      </c>
      <c r="AN1023">
        <v>70.525992312</v>
      </c>
      <c r="AO1023">
        <v>54.913728431999999</v>
      </c>
      <c r="AP1023">
        <v>85.691338836</v>
      </c>
      <c r="AQ1023">
        <v>106.608884074</v>
      </c>
      <c r="AR1023">
        <v>50.895758686999997</v>
      </c>
      <c r="AS1023">
        <v>92.288699625000007</v>
      </c>
      <c r="AT1023"/>
    </row>
    <row r="1024" spans="1:46" x14ac:dyDescent="0.2">
      <c r="A1024" s="87">
        <v>38047</v>
      </c>
      <c r="B1024"/>
      <c r="C1024"/>
      <c r="D1024">
        <v>78.539699185000003</v>
      </c>
      <c r="E1024">
        <v>78.593450546</v>
      </c>
      <c r="F1024">
        <v>93.036058354000005</v>
      </c>
      <c r="G1024">
        <v>97.473975960000004</v>
      </c>
      <c r="H1024"/>
      <c r="I1024"/>
      <c r="J1024">
        <v>80.002639610000003</v>
      </c>
      <c r="K1024">
        <v>76.087318780000004</v>
      </c>
      <c r="L1024">
        <v>81.193233896999999</v>
      </c>
      <c r="M1024">
        <v>112.9</v>
      </c>
      <c r="N1024">
        <v>96.9</v>
      </c>
      <c r="O1024">
        <v>126.238105198</v>
      </c>
      <c r="P1024">
        <v>62.705225435000003</v>
      </c>
      <c r="Q1024"/>
      <c r="R1024">
        <v>103.608634053</v>
      </c>
      <c r="S1024">
        <v>109.83</v>
      </c>
      <c r="T1024">
        <v>95.938755239000002</v>
      </c>
      <c r="U1024">
        <v>101.30847822200001</v>
      </c>
      <c r="V1024">
        <v>146.92858331900001</v>
      </c>
      <c r="W1024">
        <v>70.405867155999999</v>
      </c>
      <c r="X1024">
        <v>51.481993052999997</v>
      </c>
      <c r="Y1024">
        <v>57.874450987000003</v>
      </c>
      <c r="Z1024">
        <v>38.090064568999999</v>
      </c>
      <c r="AA1024">
        <v>70.163934425999997</v>
      </c>
      <c r="AB1024">
        <v>121.489875844</v>
      </c>
      <c r="AC1024">
        <v>105.536110204</v>
      </c>
      <c r="AD1024">
        <v>62.018831763999998</v>
      </c>
      <c r="AE1024">
        <v>113.090575785</v>
      </c>
      <c r="AF1024">
        <v>81.5</v>
      </c>
      <c r="AG1024">
        <v>95.001299349000007</v>
      </c>
      <c r="AH1024">
        <v>97.571737365999994</v>
      </c>
      <c r="AI1024">
        <v>119.627618309</v>
      </c>
      <c r="AJ1024"/>
      <c r="AK1024">
        <v>90.037134460999994</v>
      </c>
      <c r="AL1024">
        <v>59.6</v>
      </c>
      <c r="AM1024">
        <v>132.81652111899999</v>
      </c>
      <c r="AN1024">
        <v>71.041517884000001</v>
      </c>
      <c r="AO1024">
        <v>53.013253313</v>
      </c>
      <c r="AP1024">
        <v>86.904832741000007</v>
      </c>
      <c r="AQ1024">
        <v>105.008750729</v>
      </c>
      <c r="AR1024">
        <v>51.195733689000001</v>
      </c>
      <c r="AS1024">
        <v>91.923050459999999</v>
      </c>
      <c r="AT1024"/>
    </row>
    <row r="1025" spans="1:46" x14ac:dyDescent="0.2">
      <c r="A1025" s="87">
        <v>38078</v>
      </c>
      <c r="B1025"/>
      <c r="C1025"/>
      <c r="D1025">
        <v>79.722017229000002</v>
      </c>
      <c r="E1025">
        <v>80.493292225999994</v>
      </c>
      <c r="F1025">
        <v>93.806771263000002</v>
      </c>
      <c r="G1025">
        <v>97.296068102999996</v>
      </c>
      <c r="H1025"/>
      <c r="I1025"/>
      <c r="J1025">
        <v>80.054853581000003</v>
      </c>
      <c r="K1025">
        <v>77.187135476999998</v>
      </c>
      <c r="L1025">
        <v>82.393133906000003</v>
      </c>
      <c r="M1025">
        <v>114.3</v>
      </c>
      <c r="N1025">
        <v>97.8</v>
      </c>
      <c r="O1025">
        <v>125.442104535</v>
      </c>
      <c r="P1025">
        <v>64.105342112000002</v>
      </c>
      <c r="Q1025"/>
      <c r="R1025">
        <v>104.60871739300001</v>
      </c>
      <c r="S1025">
        <v>109.86</v>
      </c>
      <c r="T1025">
        <v>96.790522576000001</v>
      </c>
      <c r="U1025">
        <v>102.061301308</v>
      </c>
      <c r="V1025">
        <v>147.32811719700001</v>
      </c>
      <c r="W1025">
        <v>70.905908826000001</v>
      </c>
      <c r="X1025">
        <v>53.980227618999997</v>
      </c>
      <c r="Y1025">
        <v>58.705468744999997</v>
      </c>
      <c r="Z1025">
        <v>39.334009997000003</v>
      </c>
      <c r="AA1025">
        <v>69.039812646000001</v>
      </c>
      <c r="AB1025">
        <v>123.789684193</v>
      </c>
      <c r="AC1025">
        <v>107.383807293</v>
      </c>
      <c r="AD1025">
        <v>62.493792184</v>
      </c>
      <c r="AE1025">
        <v>109.89084243000001</v>
      </c>
      <c r="AF1025">
        <v>82.6</v>
      </c>
      <c r="AG1025">
        <v>94.408334257000007</v>
      </c>
      <c r="AH1025">
        <v>96.883227122999998</v>
      </c>
      <c r="AI1025">
        <v>117.416602017</v>
      </c>
      <c r="AJ1025"/>
      <c r="AK1025">
        <v>90.696331584999996</v>
      </c>
      <c r="AL1025">
        <v>61.6</v>
      </c>
      <c r="AM1025">
        <v>131.94924906</v>
      </c>
      <c r="AN1025">
        <v>71.761191908000001</v>
      </c>
      <c r="AO1025">
        <v>52.513128281999997</v>
      </c>
      <c r="AP1025">
        <v>87.558252535999998</v>
      </c>
      <c r="AQ1025">
        <v>108.209017418</v>
      </c>
      <c r="AR1025">
        <v>52.095658694999997</v>
      </c>
      <c r="AS1025">
        <v>92.304855986000007</v>
      </c>
      <c r="AT1025"/>
    </row>
    <row r="1026" spans="1:46" x14ac:dyDescent="0.2">
      <c r="A1026" s="87">
        <v>38108</v>
      </c>
      <c r="B1026"/>
      <c r="C1026"/>
      <c r="D1026">
        <v>80.313176255000002</v>
      </c>
      <c r="E1026">
        <v>79.193400550000007</v>
      </c>
      <c r="F1026">
        <v>94.577484173000002</v>
      </c>
      <c r="G1026">
        <v>96.879255408999995</v>
      </c>
      <c r="H1026"/>
      <c r="I1026"/>
      <c r="J1026">
        <v>82.388974247999997</v>
      </c>
      <c r="K1026">
        <v>76.687218797</v>
      </c>
      <c r="L1026">
        <v>83.293058912000006</v>
      </c>
      <c r="M1026">
        <v>114.1</v>
      </c>
      <c r="N1026">
        <v>97.9</v>
      </c>
      <c r="O1026">
        <v>126.12610510499999</v>
      </c>
      <c r="P1026">
        <v>64.805400449999993</v>
      </c>
      <c r="Q1026"/>
      <c r="R1026">
        <v>107.00891741</v>
      </c>
      <c r="S1026">
        <v>109.26</v>
      </c>
      <c r="T1026">
        <v>97.269067609000004</v>
      </c>
      <c r="U1026">
        <v>103.78203979200001</v>
      </c>
      <c r="V1026">
        <v>146.92858331900001</v>
      </c>
      <c r="W1026">
        <v>70.605883824000003</v>
      </c>
      <c r="X1026">
        <v>53.637921597999998</v>
      </c>
      <c r="Y1026">
        <v>55.737548181999998</v>
      </c>
      <c r="Z1026">
        <v>39.059363183000002</v>
      </c>
      <c r="AA1026">
        <v>69.039812646000001</v>
      </c>
      <c r="AB1026">
        <v>123.489709191</v>
      </c>
      <c r="AC1026">
        <v>107.492495357</v>
      </c>
      <c r="AD1026">
        <v>63.331722356</v>
      </c>
      <c r="AE1026">
        <v>108.49095908699999</v>
      </c>
      <c r="AF1026">
        <v>80.599999999999994</v>
      </c>
      <c r="AG1026">
        <v>94.129203466999996</v>
      </c>
      <c r="AH1026">
        <v>97.965171791000003</v>
      </c>
      <c r="AI1026">
        <v>118.463925524</v>
      </c>
      <c r="AJ1026"/>
      <c r="AK1026">
        <v>91.080296587000007</v>
      </c>
      <c r="AL1026">
        <v>59.4</v>
      </c>
      <c r="AM1026">
        <v>130.33860094900001</v>
      </c>
      <c r="AN1026">
        <v>72.198439621999995</v>
      </c>
      <c r="AO1026">
        <v>54.513628406999999</v>
      </c>
      <c r="AP1026">
        <v>85.317956096000003</v>
      </c>
      <c r="AQ1026">
        <v>107.208934078</v>
      </c>
      <c r="AR1026">
        <v>53.595533705999998</v>
      </c>
      <c r="AS1026">
        <v>92.970438568000006</v>
      </c>
      <c r="AT1026"/>
    </row>
    <row r="1027" spans="1:46" x14ac:dyDescent="0.2">
      <c r="A1027" s="87">
        <v>38139</v>
      </c>
      <c r="B1027"/>
      <c r="C1027"/>
      <c r="D1027">
        <v>80.988786574000002</v>
      </c>
      <c r="E1027">
        <v>80.693275560000004</v>
      </c>
      <c r="F1027">
        <v>94.797687861</v>
      </c>
      <c r="G1027">
        <v>98.295294939000001</v>
      </c>
      <c r="H1027"/>
      <c r="I1027"/>
      <c r="J1027">
        <v>82.702664819999995</v>
      </c>
      <c r="K1027">
        <v>76.487252124999998</v>
      </c>
      <c r="L1027">
        <v>82.693108907999999</v>
      </c>
      <c r="M1027">
        <v>114.3</v>
      </c>
      <c r="N1027">
        <v>97.8</v>
      </c>
      <c r="O1027">
        <v>126.784105653</v>
      </c>
      <c r="P1027">
        <v>64.805400449999993</v>
      </c>
      <c r="Q1027"/>
      <c r="R1027">
        <v>108.40903408600001</v>
      </c>
      <c r="S1027">
        <v>110.32</v>
      </c>
      <c r="T1027">
        <v>97.128028686999997</v>
      </c>
      <c r="U1027">
        <v>105.610324431</v>
      </c>
      <c r="V1027">
        <v>144.23172964899999</v>
      </c>
      <c r="W1027">
        <v>71.205933827999999</v>
      </c>
      <c r="X1027">
        <v>53.721649405000001</v>
      </c>
      <c r="Y1027">
        <v>57.162150052000001</v>
      </c>
      <c r="Z1027">
        <v>38.527496126000003</v>
      </c>
      <c r="AA1027">
        <v>70.257611241000006</v>
      </c>
      <c r="AB1027">
        <v>122.78976751899999</v>
      </c>
      <c r="AC1027">
        <v>107.818559549</v>
      </c>
      <c r="AD1027">
        <v>61.681859844999998</v>
      </c>
      <c r="AE1027">
        <v>115.890342471</v>
      </c>
      <c r="AF1027">
        <v>79.900000000000006</v>
      </c>
      <c r="AG1027">
        <v>94.239516023999997</v>
      </c>
      <c r="AH1027">
        <v>98.063530396999994</v>
      </c>
      <c r="AI1027">
        <v>125.67882079100001</v>
      </c>
      <c r="AJ1027"/>
      <c r="AK1027">
        <v>90.973518917999996</v>
      </c>
      <c r="AL1027">
        <v>58.8</v>
      </c>
      <c r="AM1027">
        <v>129.96691292400001</v>
      </c>
      <c r="AN1027">
        <v>72.790001962000005</v>
      </c>
      <c r="AO1027">
        <v>53.013253313</v>
      </c>
      <c r="AP1027">
        <v>86.344758631000005</v>
      </c>
      <c r="AQ1027">
        <v>106.80890074200001</v>
      </c>
      <c r="AR1027">
        <v>53.095575369000002</v>
      </c>
      <c r="AS1027">
        <v>92.247565332999997</v>
      </c>
      <c r="AT1027"/>
    </row>
    <row r="1028" spans="1:46" x14ac:dyDescent="0.2">
      <c r="A1028" s="87">
        <v>38169</v>
      </c>
      <c r="B1028"/>
      <c r="C1028"/>
      <c r="D1028">
        <v>81.748848175999996</v>
      </c>
      <c r="E1028">
        <v>82.593117239999998</v>
      </c>
      <c r="F1028">
        <v>95.458298927000001</v>
      </c>
      <c r="G1028">
        <v>97.630481368000005</v>
      </c>
      <c r="H1028"/>
      <c r="I1028"/>
      <c r="J1028">
        <v>83.255951448000005</v>
      </c>
      <c r="K1028">
        <v>77.687052158</v>
      </c>
      <c r="L1028">
        <v>83.693025581000001</v>
      </c>
      <c r="M1028">
        <v>111.9</v>
      </c>
      <c r="N1028">
        <v>98.7</v>
      </c>
      <c r="O1028">
        <v>126.762105635</v>
      </c>
      <c r="P1028">
        <v>66.205517126000004</v>
      </c>
      <c r="Q1028"/>
      <c r="R1028">
        <v>105.208767397</v>
      </c>
      <c r="S1028">
        <v>110.78</v>
      </c>
      <c r="T1028">
        <v>97.823863697999997</v>
      </c>
      <c r="U1028">
        <v>104.857501344</v>
      </c>
      <c r="V1028">
        <v>146.728816381</v>
      </c>
      <c r="W1028">
        <v>71.005917159999996</v>
      </c>
      <c r="X1028">
        <v>55.462977158000001</v>
      </c>
      <c r="Y1028">
        <v>63.572858469000003</v>
      </c>
      <c r="Z1028">
        <v>37.909007946999999</v>
      </c>
      <c r="AA1028">
        <v>69.227166276000005</v>
      </c>
      <c r="AB1028">
        <v>123.08974252100001</v>
      </c>
      <c r="AC1028">
        <v>109.340192446</v>
      </c>
      <c r="AD1028">
        <v>60.948920923000003</v>
      </c>
      <c r="AE1028">
        <v>112.29064244600001</v>
      </c>
      <c r="AF1028">
        <v>80.8</v>
      </c>
      <c r="AG1028">
        <v>94.059590447000005</v>
      </c>
      <c r="AH1028">
        <v>100.424136946</v>
      </c>
      <c r="AI1028">
        <v>115.438324282</v>
      </c>
      <c r="AJ1028"/>
      <c r="AK1028">
        <v>91.442720253999994</v>
      </c>
      <c r="AL1028">
        <v>58.7</v>
      </c>
      <c r="AM1028">
        <v>129.595224898</v>
      </c>
      <c r="AN1028">
        <v>72.617449037</v>
      </c>
      <c r="AO1028">
        <v>52.813203301000001</v>
      </c>
      <c r="AP1028">
        <v>86.811487056000004</v>
      </c>
      <c r="AQ1028">
        <v>105.40878406500001</v>
      </c>
      <c r="AR1028">
        <v>53.895508708000001</v>
      </c>
      <c r="AS1028">
        <v>92.938324085000005</v>
      </c>
      <c r="AT1028"/>
    </row>
    <row r="1029" spans="1:46" x14ac:dyDescent="0.2">
      <c r="A1029" s="87">
        <v>38200</v>
      </c>
      <c r="B1029"/>
      <c r="C1029"/>
      <c r="D1029">
        <v>82.340007202999999</v>
      </c>
      <c r="E1029">
        <v>80.493292225999994</v>
      </c>
      <c r="F1029">
        <v>96.449215523999996</v>
      </c>
      <c r="G1029">
        <v>98.156714081999993</v>
      </c>
      <c r="H1029"/>
      <c r="I1029"/>
      <c r="J1029">
        <v>84.877250184000005</v>
      </c>
      <c r="K1029">
        <v>77.787035493999994</v>
      </c>
      <c r="L1029">
        <v>82.893092241999994</v>
      </c>
      <c r="M1029">
        <v>111.5</v>
      </c>
      <c r="N1029">
        <v>96.6</v>
      </c>
      <c r="O1029">
        <v>124.779103983</v>
      </c>
      <c r="P1029">
        <v>67.505625468999995</v>
      </c>
      <c r="Q1029"/>
      <c r="R1029">
        <v>108.209017418</v>
      </c>
      <c r="S1029">
        <v>106.87</v>
      </c>
      <c r="T1029">
        <v>97.160098775999998</v>
      </c>
      <c r="U1029">
        <v>105.28768596499999</v>
      </c>
      <c r="V1029">
        <v>135.54186782100001</v>
      </c>
      <c r="W1029">
        <v>70.805900492000006</v>
      </c>
      <c r="X1029">
        <v>55.809229025999997</v>
      </c>
      <c r="Y1029">
        <v>50.929516868999997</v>
      </c>
      <c r="Z1029">
        <v>37.476393432999998</v>
      </c>
      <c r="AA1029">
        <v>70.725995315999995</v>
      </c>
      <c r="AB1029">
        <v>120.48995917000001</v>
      </c>
      <c r="AC1029">
        <v>107.818559549</v>
      </c>
      <c r="AD1029">
        <v>61.620864928000003</v>
      </c>
      <c r="AE1029">
        <v>111.09074243800001</v>
      </c>
      <c r="AF1029">
        <v>79.599999999999994</v>
      </c>
      <c r="AG1029">
        <v>93.929814073000003</v>
      </c>
      <c r="AH1029">
        <v>96.784868516000003</v>
      </c>
      <c r="AI1029">
        <v>106.012412723</v>
      </c>
      <c r="AJ1029"/>
      <c r="AK1029">
        <v>90.767837469</v>
      </c>
      <c r="AL1029">
        <v>59.1</v>
      </c>
      <c r="AM1029">
        <v>124.01990451499999</v>
      </c>
      <c r="AN1029">
        <v>74.143526945000005</v>
      </c>
      <c r="AO1029">
        <v>53.413353338</v>
      </c>
      <c r="AP1029">
        <v>87.651598221</v>
      </c>
      <c r="AQ1029">
        <v>108.50904242</v>
      </c>
      <c r="AR1029">
        <v>53.495542038000004</v>
      </c>
      <c r="AS1029">
        <v>93.024557419999994</v>
      </c>
      <c r="AT1029"/>
    </row>
    <row r="1030" spans="1:46" x14ac:dyDescent="0.2">
      <c r="A1030" s="87">
        <v>38231</v>
      </c>
      <c r="B1030"/>
      <c r="C1030"/>
      <c r="D1030">
        <v>83.015617521999999</v>
      </c>
      <c r="E1030">
        <v>82.293142238000001</v>
      </c>
      <c r="F1030">
        <v>97.109826589999997</v>
      </c>
      <c r="G1030">
        <v>98.651913245000003</v>
      </c>
      <c r="H1030"/>
      <c r="I1030"/>
      <c r="J1030">
        <v>85.353950936999993</v>
      </c>
      <c r="K1030">
        <v>77.487085485999998</v>
      </c>
      <c r="L1030">
        <v>82.693108907999999</v>
      </c>
      <c r="M1030">
        <v>112.1</v>
      </c>
      <c r="N1030">
        <v>98.1</v>
      </c>
      <c r="O1030">
        <v>127.05810588200001</v>
      </c>
      <c r="P1030">
        <v>67.305608801000005</v>
      </c>
      <c r="Q1030"/>
      <c r="R1030">
        <v>107.80898408199999</v>
      </c>
      <c r="S1030">
        <v>110.61</v>
      </c>
      <c r="T1030">
        <v>97.603391482999996</v>
      </c>
      <c r="U1030">
        <v>106.148055207</v>
      </c>
      <c r="V1030">
        <v>144.73114699499999</v>
      </c>
      <c r="W1030">
        <v>71.305942161999994</v>
      </c>
      <c r="X1030">
        <v>56.725073025</v>
      </c>
      <c r="Y1030">
        <v>57.043433229999998</v>
      </c>
      <c r="Z1030">
        <v>38.079809425000001</v>
      </c>
      <c r="AA1030">
        <v>70.257611241000006</v>
      </c>
      <c r="AB1030">
        <v>122.189817515</v>
      </c>
      <c r="AC1030">
        <v>108.144623741</v>
      </c>
      <c r="AD1030">
        <v>62.851762352999998</v>
      </c>
      <c r="AE1030">
        <v>112.29064244600001</v>
      </c>
      <c r="AF1030">
        <v>81.400000000000006</v>
      </c>
      <c r="AG1030">
        <v>94.477477081999993</v>
      </c>
      <c r="AH1030">
        <v>99.047116458999994</v>
      </c>
      <c r="AI1030">
        <v>114.85647788999999</v>
      </c>
      <c r="AJ1030"/>
      <c r="AK1030">
        <v>91.366306938999998</v>
      </c>
      <c r="AL1030">
        <v>59.3</v>
      </c>
      <c r="AM1030">
        <v>123.27652846399999</v>
      </c>
      <c r="AN1030">
        <v>72.389952786999999</v>
      </c>
      <c r="AO1030">
        <v>53.613403351000002</v>
      </c>
      <c r="AP1030">
        <v>87.744943906000003</v>
      </c>
      <c r="AQ1030">
        <v>108.90907575599999</v>
      </c>
      <c r="AR1030">
        <v>52.395633697000001</v>
      </c>
      <c r="AS1030">
        <v>93.111484587000007</v>
      </c>
      <c r="AT1030"/>
    </row>
    <row r="1031" spans="1:46" x14ac:dyDescent="0.2">
      <c r="A1031" s="87">
        <v>38261</v>
      </c>
      <c r="B1031"/>
      <c r="C1031"/>
      <c r="D1031">
        <v>83.268971389000001</v>
      </c>
      <c r="E1031">
        <v>84.392967252999995</v>
      </c>
      <c r="F1031">
        <v>96.339113679999997</v>
      </c>
      <c r="G1031">
        <v>98.557742469999994</v>
      </c>
      <c r="H1031"/>
      <c r="I1031"/>
      <c r="J1031">
        <v>85.212177510999993</v>
      </c>
      <c r="K1031">
        <v>78.286952174999996</v>
      </c>
      <c r="L1031">
        <v>83.693025581000001</v>
      </c>
      <c r="M1031">
        <v>110.3</v>
      </c>
      <c r="N1031">
        <v>98.6</v>
      </c>
      <c r="O1031">
        <v>125.972104977</v>
      </c>
      <c r="P1031">
        <v>67.405617135</v>
      </c>
      <c r="Q1031"/>
      <c r="R1031">
        <v>108.00900075</v>
      </c>
      <c r="S1031">
        <v>111.44</v>
      </c>
      <c r="T1031">
        <v>97.972908015000002</v>
      </c>
      <c r="U1031">
        <v>108.406524467</v>
      </c>
      <c r="V1031">
        <v>138.43848843000001</v>
      </c>
      <c r="W1031">
        <v>72.806067171999999</v>
      </c>
      <c r="X1031">
        <v>56.892696176999998</v>
      </c>
      <c r="Y1031">
        <v>57.518300519999997</v>
      </c>
      <c r="Z1031">
        <v>38.986103208999999</v>
      </c>
      <c r="AA1031">
        <v>73.817330210999998</v>
      </c>
      <c r="AB1031">
        <v>123.18973418900001</v>
      </c>
      <c r="AC1031">
        <v>106.079550524</v>
      </c>
      <c r="AD1031">
        <v>62.859761687000002</v>
      </c>
      <c r="AE1031">
        <v>110.790767436</v>
      </c>
      <c r="AF1031">
        <v>80.8</v>
      </c>
      <c r="AG1031">
        <v>95.153249965000001</v>
      </c>
      <c r="AH1031">
        <v>98.260247609999993</v>
      </c>
      <c r="AI1031">
        <v>119.860356866</v>
      </c>
      <c r="AJ1031"/>
      <c r="AK1031">
        <v>91.660819165000007</v>
      </c>
      <c r="AL1031">
        <v>59.9</v>
      </c>
      <c r="AM1031">
        <v>125.754448634</v>
      </c>
      <c r="AN1031">
        <v>72.751557137999995</v>
      </c>
      <c r="AO1031">
        <v>54.313578395</v>
      </c>
      <c r="AP1031">
        <v>87.371561166000006</v>
      </c>
      <c r="AQ1031">
        <v>108.809067422</v>
      </c>
      <c r="AR1031">
        <v>50.595783685000001</v>
      </c>
      <c r="AS1031">
        <v>93.965789319999999</v>
      </c>
      <c r="AT1031"/>
    </row>
    <row r="1032" spans="1:46" x14ac:dyDescent="0.2">
      <c r="A1032" s="87">
        <v>38292</v>
      </c>
      <c r="B1032"/>
      <c r="C1032"/>
      <c r="D1032">
        <v>83.860130416000004</v>
      </c>
      <c r="E1032">
        <v>83.593033914000003</v>
      </c>
      <c r="F1032">
        <v>96.229011835999998</v>
      </c>
      <c r="G1032">
        <v>98.568443693999996</v>
      </c>
      <c r="H1032"/>
      <c r="I1032"/>
      <c r="J1032">
        <v>84.371329177000007</v>
      </c>
      <c r="K1032">
        <v>78.386935511000004</v>
      </c>
      <c r="L1032">
        <v>82.293142238000001</v>
      </c>
      <c r="M1032">
        <v>112.8</v>
      </c>
      <c r="N1032">
        <v>97.4</v>
      </c>
      <c r="O1032">
        <v>126.963105803</v>
      </c>
      <c r="P1032">
        <v>67.605633803000003</v>
      </c>
      <c r="Q1032"/>
      <c r="R1032">
        <v>106.50887573999999</v>
      </c>
      <c r="S1032">
        <v>109.59</v>
      </c>
      <c r="T1032">
        <v>97.961786864999993</v>
      </c>
      <c r="U1032">
        <v>109.374439864</v>
      </c>
      <c r="V1032">
        <v>143.53254536399999</v>
      </c>
      <c r="W1032">
        <v>73.006083840000002</v>
      </c>
      <c r="X1032">
        <v>56.815320763999999</v>
      </c>
      <c r="Y1032">
        <v>56.865357996</v>
      </c>
      <c r="Z1032">
        <v>39.352546619999998</v>
      </c>
      <c r="AA1032">
        <v>71.100702576000003</v>
      </c>
      <c r="AB1032">
        <v>121.189900842</v>
      </c>
      <c r="AC1032">
        <v>107.383807293</v>
      </c>
      <c r="AD1032">
        <v>63.905674527000002</v>
      </c>
      <c r="AE1032">
        <v>111.990667444</v>
      </c>
      <c r="AF1032">
        <v>81.3</v>
      </c>
      <c r="AG1032">
        <v>95.271903222000006</v>
      </c>
      <c r="AH1032">
        <v>97.866813184999998</v>
      </c>
      <c r="AI1032">
        <v>116.718386346</v>
      </c>
      <c r="AJ1032"/>
      <c r="AK1032">
        <v>91.782419563999994</v>
      </c>
      <c r="AL1032">
        <v>60.3</v>
      </c>
      <c r="AM1032">
        <v>127.86068077900001</v>
      </c>
      <c r="AN1032">
        <v>74.057075956999995</v>
      </c>
      <c r="AO1032">
        <v>52.213053262999999</v>
      </c>
      <c r="AP1032">
        <v>87.091524110999998</v>
      </c>
      <c r="AQ1032">
        <v>109.20910075800001</v>
      </c>
      <c r="AR1032">
        <v>50.895758686999997</v>
      </c>
      <c r="AS1032">
        <v>94.200403463000001</v>
      </c>
      <c r="AT1032"/>
    </row>
    <row r="1033" spans="1:46" x14ac:dyDescent="0.2">
      <c r="A1033" s="87">
        <v>38322</v>
      </c>
      <c r="B1033"/>
      <c r="C1033"/>
      <c r="D1033">
        <v>81.917750760999994</v>
      </c>
      <c r="E1033">
        <v>83.793017249000002</v>
      </c>
      <c r="F1033">
        <v>97.330030277999995</v>
      </c>
      <c r="G1033">
        <v>98.622752407999997</v>
      </c>
      <c r="H1033"/>
      <c r="I1033"/>
      <c r="J1033">
        <v>84.268844655999999</v>
      </c>
      <c r="K1033">
        <v>77.587068822000006</v>
      </c>
      <c r="L1033">
        <v>81.893175568999993</v>
      </c>
      <c r="M1033">
        <v>111.3</v>
      </c>
      <c r="N1033">
        <v>97.5</v>
      </c>
      <c r="O1033">
        <v>124.150103458</v>
      </c>
      <c r="P1033">
        <v>68.105675473000005</v>
      </c>
      <c r="Q1033"/>
      <c r="R1033">
        <v>111.60930077499999</v>
      </c>
      <c r="S1033">
        <v>109.82</v>
      </c>
      <c r="T1033">
        <v>97.758251509000004</v>
      </c>
      <c r="U1033">
        <v>106.793332138</v>
      </c>
      <c r="V1033">
        <v>141.83452638599999</v>
      </c>
      <c r="W1033">
        <v>71.505958829999997</v>
      </c>
      <c r="X1033">
        <v>57.227195711</v>
      </c>
      <c r="Y1033">
        <v>58.883543979000002</v>
      </c>
      <c r="Z1033">
        <v>40.112081785000001</v>
      </c>
      <c r="AA1033">
        <v>69.601873535999999</v>
      </c>
      <c r="AB1033">
        <v>120.28997583500001</v>
      </c>
      <c r="AC1033">
        <v>105.97086246000001</v>
      </c>
      <c r="AD1033">
        <v>63.084742937999998</v>
      </c>
      <c r="AE1033">
        <v>110.09082576500001</v>
      </c>
      <c r="AF1033">
        <v>81.5</v>
      </c>
      <c r="AG1033">
        <v>94.803980766999999</v>
      </c>
      <c r="AH1033">
        <v>97.768454578999993</v>
      </c>
      <c r="AI1033">
        <v>113.11093871200001</v>
      </c>
      <c r="AJ1033"/>
      <c r="AK1033">
        <v>91.454479313999997</v>
      </c>
      <c r="AL1033">
        <v>58</v>
      </c>
      <c r="AM1033">
        <v>126.37392867699999</v>
      </c>
      <c r="AN1033">
        <v>74.538439752000002</v>
      </c>
      <c r="AO1033">
        <v>59.614903726000001</v>
      </c>
      <c r="AP1033">
        <v>86.344758631000005</v>
      </c>
      <c r="AQ1033">
        <v>105.10875906299999</v>
      </c>
      <c r="AR1033">
        <v>51.795683693000001</v>
      </c>
      <c r="AS1033">
        <v>94.899587311000005</v>
      </c>
      <c r="AT1033"/>
    </row>
    <row r="1034" spans="1:46" x14ac:dyDescent="0.2">
      <c r="A1034" s="87">
        <v>38353</v>
      </c>
      <c r="B1034"/>
      <c r="C1034"/>
      <c r="D1034">
        <v>80.904335291999999</v>
      </c>
      <c r="E1034">
        <v>85.392883925999996</v>
      </c>
      <c r="F1034">
        <v>97.660335810999996</v>
      </c>
      <c r="G1034">
        <v>99.890579979999998</v>
      </c>
      <c r="H1034"/>
      <c r="I1034"/>
      <c r="J1034">
        <v>84.748565944999996</v>
      </c>
      <c r="K1034">
        <v>77.287118813999996</v>
      </c>
      <c r="L1034">
        <v>84.392967252999995</v>
      </c>
      <c r="M1034">
        <v>113.7</v>
      </c>
      <c r="N1034">
        <v>98.3</v>
      </c>
      <c r="O1034">
        <v>124.796103997</v>
      </c>
      <c r="P1034">
        <v>65.905492124000006</v>
      </c>
      <c r="Q1034"/>
      <c r="R1034">
        <v>105.808817401</v>
      </c>
      <c r="S1034">
        <v>111.62</v>
      </c>
      <c r="T1034">
        <v>98.764301184000004</v>
      </c>
      <c r="U1034">
        <v>104.10467825800001</v>
      </c>
      <c r="V1034">
        <v>143.133011487</v>
      </c>
      <c r="W1034">
        <v>72.806067171999999</v>
      </c>
      <c r="X1034">
        <v>57.191933571</v>
      </c>
      <c r="Y1034">
        <v>57.458942108999999</v>
      </c>
      <c r="Z1034">
        <v>39.812064147000001</v>
      </c>
      <c r="AA1034">
        <v>73.255269321</v>
      </c>
      <c r="AB1034">
        <v>120.38996750299999</v>
      </c>
      <c r="AC1034">
        <v>108.47068793299999</v>
      </c>
      <c r="AD1034">
        <v>64.794600450000004</v>
      </c>
      <c r="AE1034">
        <v>112.49062578100001</v>
      </c>
      <c r="AF1034">
        <v>81.8</v>
      </c>
      <c r="AG1034">
        <v>95.985819929000002</v>
      </c>
      <c r="AH1034">
        <v>96.391967335999993</v>
      </c>
      <c r="AI1034">
        <v>112.76183087699999</v>
      </c>
      <c r="AJ1034"/>
      <c r="AK1034">
        <v>92.621972557000007</v>
      </c>
      <c r="AL1034">
        <v>60.5</v>
      </c>
      <c r="AM1034">
        <v>125.69046147900001</v>
      </c>
      <c r="AN1034">
        <v>73.568040788999994</v>
      </c>
      <c r="AO1034">
        <v>52.313078269999998</v>
      </c>
      <c r="AP1034">
        <v>88.007333943999996</v>
      </c>
      <c r="AQ1034">
        <v>105.808817401</v>
      </c>
      <c r="AR1034">
        <v>60.194983751000002</v>
      </c>
      <c r="AS1034">
        <v>95.269399465000006</v>
      </c>
      <c r="AT1034"/>
    </row>
    <row r="1035" spans="1:46" x14ac:dyDescent="0.2">
      <c r="A1035" s="87">
        <v>38384</v>
      </c>
      <c r="B1035"/>
      <c r="C1035"/>
      <c r="D1035">
        <v>81.748848175999996</v>
      </c>
      <c r="E1035">
        <v>82.993083909999996</v>
      </c>
      <c r="F1035">
        <v>96.229011835999998</v>
      </c>
      <c r="G1035">
        <v>98.882257101999997</v>
      </c>
      <c r="H1035"/>
      <c r="I1035"/>
      <c r="J1035">
        <v>84.885882234999997</v>
      </c>
      <c r="K1035">
        <v>77.287118813999996</v>
      </c>
      <c r="L1035">
        <v>83.093075576999993</v>
      </c>
      <c r="M1035">
        <v>113</v>
      </c>
      <c r="N1035">
        <v>98.1</v>
      </c>
      <c r="O1035">
        <v>125.642104702</v>
      </c>
      <c r="P1035">
        <v>70.605883824000003</v>
      </c>
      <c r="Q1035"/>
      <c r="R1035">
        <v>104.808734061</v>
      </c>
      <c r="S1035">
        <v>110.35</v>
      </c>
      <c r="T1035">
        <v>98.637536339999997</v>
      </c>
      <c r="U1035">
        <v>101.52357053199999</v>
      </c>
      <c r="V1035">
        <v>142.83336107900001</v>
      </c>
      <c r="W1035">
        <v>72.006000499999999</v>
      </c>
      <c r="X1035">
        <v>57.888359600999998</v>
      </c>
      <c r="Y1035">
        <v>59.239694446999998</v>
      </c>
      <c r="Z1035">
        <v>39.068874940000001</v>
      </c>
      <c r="AA1035">
        <v>73.067915690999996</v>
      </c>
      <c r="AB1035">
        <v>120.88992584</v>
      </c>
      <c r="AC1035">
        <v>108.47068793299999</v>
      </c>
      <c r="AD1035">
        <v>63.473710523999998</v>
      </c>
      <c r="AE1035">
        <v>106.591117407</v>
      </c>
      <c r="AF1035">
        <v>82.9</v>
      </c>
      <c r="AG1035">
        <v>95.721354958999996</v>
      </c>
      <c r="AH1035">
        <v>98.091825681000003</v>
      </c>
      <c r="AI1035">
        <v>115.55469356099999</v>
      </c>
      <c r="AJ1035"/>
      <c r="AK1035">
        <v>92.428808248999999</v>
      </c>
      <c r="AL1035">
        <v>60.4</v>
      </c>
      <c r="AM1035">
        <v>128.46233988099999</v>
      </c>
      <c r="AN1035">
        <v>77.674760840999994</v>
      </c>
      <c r="AO1035">
        <v>51.812953237999999</v>
      </c>
      <c r="AP1035">
        <v>86.307192266000001</v>
      </c>
      <c r="AQ1035">
        <v>110.60921743500001</v>
      </c>
      <c r="AR1035">
        <v>57.695192067000001</v>
      </c>
      <c r="AS1035">
        <v>95.966799175000006</v>
      </c>
      <c r="AT1035"/>
    </row>
    <row r="1036" spans="1:46" x14ac:dyDescent="0.2">
      <c r="A1036" s="87">
        <v>38412</v>
      </c>
      <c r="B1036"/>
      <c r="C1036"/>
      <c r="D1036">
        <v>81.748848175999996</v>
      </c>
      <c r="E1036">
        <v>83.293058912000006</v>
      </c>
      <c r="F1036">
        <v>97.109826589999997</v>
      </c>
      <c r="G1036">
        <v>97.853334368000006</v>
      </c>
      <c r="H1036"/>
      <c r="I1036"/>
      <c r="J1036">
        <v>85.038190916000005</v>
      </c>
      <c r="K1036">
        <v>77.387102150000004</v>
      </c>
      <c r="L1036">
        <v>84.192983917999996</v>
      </c>
      <c r="M1036">
        <v>117</v>
      </c>
      <c r="N1036">
        <v>98</v>
      </c>
      <c r="O1036">
        <v>126.178105148</v>
      </c>
      <c r="P1036">
        <v>72.706058838000004</v>
      </c>
      <c r="Q1036"/>
      <c r="R1036">
        <v>105.808817401</v>
      </c>
      <c r="S1036">
        <v>107.96</v>
      </c>
      <c r="T1036">
        <v>98.430017344999996</v>
      </c>
      <c r="U1036">
        <v>98.189639720000002</v>
      </c>
      <c r="V1036">
        <v>138.43848843000001</v>
      </c>
      <c r="W1036">
        <v>73.706142178999997</v>
      </c>
      <c r="X1036">
        <v>58.822031355</v>
      </c>
      <c r="Y1036">
        <v>56.924716406999998</v>
      </c>
      <c r="Z1036">
        <v>39.536722368</v>
      </c>
      <c r="AA1036">
        <v>72.224824355999999</v>
      </c>
      <c r="AB1036">
        <v>120.989917507</v>
      </c>
      <c r="AC1036">
        <v>108.796752125</v>
      </c>
      <c r="AD1036">
        <v>65.460544955000003</v>
      </c>
      <c r="AE1036">
        <v>108.790934089</v>
      </c>
      <c r="AF1036">
        <v>83.3</v>
      </c>
      <c r="AG1036">
        <v>95.843035835999999</v>
      </c>
      <c r="AH1036">
        <v>97.591867343999994</v>
      </c>
      <c r="AI1036">
        <v>114.04189294</v>
      </c>
      <c r="AJ1036"/>
      <c r="AK1036">
        <v>92.385335542000007</v>
      </c>
      <c r="AL1036">
        <v>58.9</v>
      </c>
      <c r="AM1036">
        <v>125.033808452</v>
      </c>
      <c r="AN1036">
        <v>74.925947454999999</v>
      </c>
      <c r="AO1036">
        <v>51.312828207000003</v>
      </c>
      <c r="AP1036">
        <v>88.207350613000003</v>
      </c>
      <c r="AQ1036">
        <v>110.30919243300001</v>
      </c>
      <c r="AR1036">
        <v>57.095242063000001</v>
      </c>
      <c r="AS1036">
        <v>95.82059898</v>
      </c>
      <c r="AT1036"/>
    </row>
    <row r="1037" spans="1:46" x14ac:dyDescent="0.2">
      <c r="A1037" s="87">
        <v>38443</v>
      </c>
      <c r="B1037"/>
      <c r="C1037"/>
      <c r="D1037">
        <v>83.437873964000005</v>
      </c>
      <c r="E1037">
        <v>83.893008915999999</v>
      </c>
      <c r="F1037">
        <v>97.219928433999996</v>
      </c>
      <c r="G1037">
        <v>99.092268633000003</v>
      </c>
      <c r="H1037"/>
      <c r="I1037"/>
      <c r="J1037">
        <v>86.700767771000002</v>
      </c>
      <c r="K1037">
        <v>78.986835526999997</v>
      </c>
      <c r="L1037">
        <v>84.792933922000003</v>
      </c>
      <c r="M1037">
        <v>119.8</v>
      </c>
      <c r="N1037">
        <v>99.4</v>
      </c>
      <c r="O1037">
        <v>127.66810639000001</v>
      </c>
      <c r="P1037">
        <v>70.705892157999997</v>
      </c>
      <c r="Q1037"/>
      <c r="R1037">
        <v>107.408950746</v>
      </c>
      <c r="S1037">
        <v>110.73</v>
      </c>
      <c r="T1037">
        <v>99.330627485999997</v>
      </c>
      <c r="U1037">
        <v>103.351855171</v>
      </c>
      <c r="V1037">
        <v>138.538371899</v>
      </c>
      <c r="W1037">
        <v>76.506375531000003</v>
      </c>
      <c r="X1037">
        <v>56.346594474</v>
      </c>
      <c r="Y1037">
        <v>59.477128092000001</v>
      </c>
      <c r="Z1037">
        <v>39.731772284999998</v>
      </c>
      <c r="AA1037">
        <v>74.004683841000002</v>
      </c>
      <c r="AB1037">
        <v>123.489709191</v>
      </c>
      <c r="AC1037">
        <v>109.231504382</v>
      </c>
      <c r="AD1037">
        <v>64.570619115</v>
      </c>
      <c r="AE1037">
        <v>110.390800767</v>
      </c>
      <c r="AF1037">
        <v>85.5</v>
      </c>
      <c r="AG1037">
        <v>96.139747338999996</v>
      </c>
      <c r="AH1037">
        <v>99.891675694</v>
      </c>
      <c r="AI1037">
        <v>122.536850272</v>
      </c>
      <c r="AJ1037"/>
      <c r="AK1037">
        <v>93.263825025000003</v>
      </c>
      <c r="AL1037">
        <v>60.9</v>
      </c>
      <c r="AM1037">
        <v>127.660190165</v>
      </c>
      <c r="AN1037">
        <v>75.883625495999993</v>
      </c>
      <c r="AO1037">
        <v>53.113278319999999</v>
      </c>
      <c r="AP1037">
        <v>88.707392283000004</v>
      </c>
      <c r="AQ1037">
        <v>107.208934078</v>
      </c>
      <c r="AR1037">
        <v>57.695192067000001</v>
      </c>
      <c r="AS1037">
        <v>96.010213199000006</v>
      </c>
      <c r="AT1037"/>
    </row>
    <row r="1038" spans="1:46" x14ac:dyDescent="0.2">
      <c r="A1038" s="87">
        <v>38473</v>
      </c>
      <c r="B1038"/>
      <c r="C1038"/>
      <c r="D1038">
        <v>83.775679123000003</v>
      </c>
      <c r="E1038">
        <v>81.293225565</v>
      </c>
      <c r="F1038">
        <v>100.52298376</v>
      </c>
      <c r="G1038">
        <v>99.931512162999994</v>
      </c>
      <c r="H1038"/>
      <c r="I1038"/>
      <c r="J1038">
        <v>87.133495343000007</v>
      </c>
      <c r="K1038">
        <v>77.987002165999996</v>
      </c>
      <c r="L1038">
        <v>83.693025581000001</v>
      </c>
      <c r="M1038">
        <v>117.6</v>
      </c>
      <c r="N1038">
        <v>98.1</v>
      </c>
      <c r="O1038">
        <v>126.356105297</v>
      </c>
      <c r="P1038">
        <v>70.305858822000005</v>
      </c>
      <c r="Q1038"/>
      <c r="R1038">
        <v>100.408367364</v>
      </c>
      <c r="S1038">
        <v>109.54</v>
      </c>
      <c r="T1038">
        <v>98.888120205999996</v>
      </c>
      <c r="U1038">
        <v>103.566947482</v>
      </c>
      <c r="V1038">
        <v>141.63475944699999</v>
      </c>
      <c r="W1038">
        <v>77.206433868999994</v>
      </c>
      <c r="X1038">
        <v>56.704279946</v>
      </c>
      <c r="Y1038">
        <v>59.299052858000003</v>
      </c>
      <c r="Z1038">
        <v>40.677793813999997</v>
      </c>
      <c r="AA1038">
        <v>73.536299765999999</v>
      </c>
      <c r="AB1038">
        <v>120.689942505</v>
      </c>
      <c r="AC1038">
        <v>108.361999869</v>
      </c>
      <c r="AD1038">
        <v>64.442629780999994</v>
      </c>
      <c r="AE1038">
        <v>111.690692442</v>
      </c>
      <c r="AF1038">
        <v>86.3</v>
      </c>
      <c r="AG1038">
        <v>97.795366888999993</v>
      </c>
      <c r="AH1038">
        <v>98.491792351000001</v>
      </c>
      <c r="AI1038">
        <v>119.627618309</v>
      </c>
      <c r="AJ1038"/>
      <c r="AK1038">
        <v>92.845578231000005</v>
      </c>
      <c r="AL1038">
        <v>60</v>
      </c>
      <c r="AM1038">
        <v>121.361733152</v>
      </c>
      <c r="AN1038">
        <v>74.183129295000001</v>
      </c>
      <c r="AO1038">
        <v>52.713178294999999</v>
      </c>
      <c r="AP1038">
        <v>90.407533960999999</v>
      </c>
      <c r="AQ1038">
        <v>107.80898408199999</v>
      </c>
      <c r="AR1038">
        <v>58.195150404000003</v>
      </c>
      <c r="AS1038">
        <v>96.107746074999994</v>
      </c>
      <c r="AT1038"/>
    </row>
    <row r="1039" spans="1:46" x14ac:dyDescent="0.2">
      <c r="A1039" s="87">
        <v>38504</v>
      </c>
      <c r="B1039"/>
      <c r="C1039"/>
      <c r="D1039">
        <v>85.211351043999997</v>
      </c>
      <c r="E1039">
        <v>82.993083909999996</v>
      </c>
      <c r="F1039">
        <v>98.541150564000006</v>
      </c>
      <c r="G1039">
        <v>99.271246611999999</v>
      </c>
      <c r="H1039"/>
      <c r="I1039"/>
      <c r="J1039">
        <v>86.396972884999997</v>
      </c>
      <c r="K1039">
        <v>79.286785535999996</v>
      </c>
      <c r="L1039">
        <v>85.492875593999997</v>
      </c>
      <c r="M1039">
        <v>116.8</v>
      </c>
      <c r="N1039">
        <v>99</v>
      </c>
      <c r="O1039">
        <v>126.926105772</v>
      </c>
      <c r="P1039">
        <v>72.606050503999995</v>
      </c>
      <c r="Q1039"/>
      <c r="R1039">
        <v>97.708142344999999</v>
      </c>
      <c r="S1039">
        <v>109.45</v>
      </c>
      <c r="T1039">
        <v>99.428915091999997</v>
      </c>
      <c r="U1039">
        <v>104.642409034</v>
      </c>
      <c r="V1039">
        <v>137.93907108400001</v>
      </c>
      <c r="W1039">
        <v>75.706308859000004</v>
      </c>
      <c r="X1039">
        <v>57.679032714000002</v>
      </c>
      <c r="Y1039">
        <v>59.892636971000002</v>
      </c>
      <c r="Z1039">
        <v>41.484284109000001</v>
      </c>
      <c r="AA1039">
        <v>73.067915690999996</v>
      </c>
      <c r="AB1039">
        <v>120.689942505</v>
      </c>
      <c r="AC1039">
        <v>108.796752125</v>
      </c>
      <c r="AD1039">
        <v>65.318556787000006</v>
      </c>
      <c r="AE1039">
        <v>113.29055912</v>
      </c>
      <c r="AF1039">
        <v>87.7</v>
      </c>
      <c r="AG1039">
        <v>95.975705270000006</v>
      </c>
      <c r="AH1039">
        <v>100.69160903300001</v>
      </c>
      <c r="AI1039">
        <v>113.925523662</v>
      </c>
      <c r="AJ1039"/>
      <c r="AK1039">
        <v>93.291431478999996</v>
      </c>
      <c r="AL1039">
        <v>61.4</v>
      </c>
      <c r="AM1039">
        <v>126.250157415</v>
      </c>
      <c r="AN1039">
        <v>76.741929737999996</v>
      </c>
      <c r="AO1039">
        <v>52.813203301000001</v>
      </c>
      <c r="AP1039">
        <v>91.407617301000002</v>
      </c>
      <c r="AQ1039">
        <v>111.509292441</v>
      </c>
      <c r="AR1039">
        <v>57.995167068999997</v>
      </c>
      <c r="AS1039">
        <v>96.495102251999995</v>
      </c>
      <c r="AT1039"/>
    </row>
    <row r="1040" spans="1:46" x14ac:dyDescent="0.2">
      <c r="A1040" s="87">
        <v>38534</v>
      </c>
      <c r="B1040"/>
      <c r="C1040"/>
      <c r="D1040">
        <v>85.042448458999999</v>
      </c>
      <c r="E1040">
        <v>82.193150571000004</v>
      </c>
      <c r="F1040">
        <v>97.880539498999994</v>
      </c>
      <c r="G1040">
        <v>99.558574489999998</v>
      </c>
      <c r="H1040"/>
      <c r="I1040"/>
      <c r="J1040">
        <v>87.788777244000002</v>
      </c>
      <c r="K1040">
        <v>79.386768872000005</v>
      </c>
      <c r="L1040">
        <v>86.792767268999995</v>
      </c>
      <c r="M1040">
        <v>110.5</v>
      </c>
      <c r="N1040">
        <v>99.5</v>
      </c>
      <c r="O1040">
        <v>127.159105966</v>
      </c>
      <c r="P1040">
        <v>73.306108842</v>
      </c>
      <c r="Q1040"/>
      <c r="R1040">
        <v>105.508792399</v>
      </c>
      <c r="S1040">
        <v>109.1</v>
      </c>
      <c r="T1040">
        <v>99.404188844000004</v>
      </c>
      <c r="U1040">
        <v>103.78203979200001</v>
      </c>
      <c r="V1040">
        <v>138.63825536900001</v>
      </c>
      <c r="W1040">
        <v>76.206350529000005</v>
      </c>
      <c r="X1040">
        <v>56.627095842999999</v>
      </c>
      <c r="Y1040">
        <v>57.755734165</v>
      </c>
      <c r="Z1040">
        <v>41.973533541000002</v>
      </c>
      <c r="AA1040">
        <v>73.161592506000005</v>
      </c>
      <c r="AB1040">
        <v>122.38980085</v>
      </c>
      <c r="AC1040">
        <v>108.144623741</v>
      </c>
      <c r="AD1040">
        <v>65.643529705999995</v>
      </c>
      <c r="AE1040">
        <v>122.98975085399999</v>
      </c>
      <c r="AF1040">
        <v>88.3</v>
      </c>
      <c r="AG1040">
        <v>94.361916554000004</v>
      </c>
      <c r="AH1040">
        <v>98.991750687000007</v>
      </c>
      <c r="AI1040">
        <v>113.925523662</v>
      </c>
      <c r="AJ1040"/>
      <c r="AK1040">
        <v>93.267105434000001</v>
      </c>
      <c r="AL1040">
        <v>61.7</v>
      </c>
      <c r="AM1040">
        <v>123.12494295899999</v>
      </c>
      <c r="AN1040">
        <v>76.539318101999996</v>
      </c>
      <c r="AO1040">
        <v>54.113528381999998</v>
      </c>
      <c r="AP1040">
        <v>94.307858988000007</v>
      </c>
      <c r="AQ1040">
        <v>112.309359113</v>
      </c>
      <c r="AR1040">
        <v>59.295058744999999</v>
      </c>
      <c r="AS1040">
        <v>96.187338452000006</v>
      </c>
      <c r="AT1040"/>
    </row>
    <row r="1041" spans="1:46" x14ac:dyDescent="0.2">
      <c r="A1041" s="87">
        <v>38565</v>
      </c>
      <c r="B1041"/>
      <c r="C1041"/>
      <c r="D1041">
        <v>84.451289442999993</v>
      </c>
      <c r="E1041">
        <v>81.693192233999994</v>
      </c>
      <c r="F1041">
        <v>98.100743187000006</v>
      </c>
      <c r="G1041">
        <v>100.41734775499999</v>
      </c>
      <c r="H1041"/>
      <c r="I1041"/>
      <c r="J1041">
        <v>88.625470945000004</v>
      </c>
      <c r="K1041">
        <v>80.186635561000003</v>
      </c>
      <c r="L1041">
        <v>84.292975584999994</v>
      </c>
      <c r="M1041">
        <v>116.6</v>
      </c>
      <c r="N1041">
        <v>98.4</v>
      </c>
      <c r="O1041">
        <v>128.283106903</v>
      </c>
      <c r="P1041">
        <v>71.505958829999997</v>
      </c>
      <c r="Q1041"/>
      <c r="R1041">
        <v>106.408867406</v>
      </c>
      <c r="S1041">
        <v>108.51</v>
      </c>
      <c r="T1041">
        <v>99.155367710999997</v>
      </c>
      <c r="U1041">
        <v>103.889585947</v>
      </c>
      <c r="V1041">
        <v>140.43615781599999</v>
      </c>
      <c r="W1041">
        <v>75.806317192999998</v>
      </c>
      <c r="X1041">
        <v>58.056971185999998</v>
      </c>
      <c r="Y1041">
        <v>59.773920148000002</v>
      </c>
      <c r="Z1041">
        <v>43.065727199000001</v>
      </c>
      <c r="AA1041">
        <v>73.442622951000004</v>
      </c>
      <c r="AB1041">
        <v>121.489875844</v>
      </c>
      <c r="AC1041">
        <v>108.144623741</v>
      </c>
      <c r="AD1041">
        <v>65.593533871999995</v>
      </c>
      <c r="AE1041">
        <v>117.190234147</v>
      </c>
      <c r="AF1041">
        <v>87</v>
      </c>
      <c r="AG1041">
        <v>97.052197794999998</v>
      </c>
      <c r="AH1041">
        <v>97.391884009999998</v>
      </c>
      <c r="AI1041">
        <v>117.765709853</v>
      </c>
      <c r="AJ1041"/>
      <c r="AK1041">
        <v>93.292149811000002</v>
      </c>
      <c r="AL1041">
        <v>62.3</v>
      </c>
      <c r="AM1041">
        <v>116.43875777700001</v>
      </c>
      <c r="AN1041">
        <v>76.552482968999996</v>
      </c>
      <c r="AO1041">
        <v>52.813203301000001</v>
      </c>
      <c r="AP1041">
        <v>88.007333943999996</v>
      </c>
      <c r="AQ1041">
        <v>107.50895908</v>
      </c>
      <c r="AR1041">
        <v>60.294975418999996</v>
      </c>
      <c r="AS1041">
        <v>96.527414973000006</v>
      </c>
      <c r="AT1041"/>
    </row>
    <row r="1042" spans="1:46" x14ac:dyDescent="0.2">
      <c r="A1042" s="87">
        <v>38596</v>
      </c>
      <c r="B1042"/>
      <c r="C1042"/>
      <c r="D1042">
        <v>85.549156203999999</v>
      </c>
      <c r="E1042">
        <v>83.893008915999999</v>
      </c>
      <c r="F1042">
        <v>97.109826589999997</v>
      </c>
      <c r="G1042">
        <v>100.59418549</v>
      </c>
      <c r="H1042"/>
      <c r="I1042"/>
      <c r="J1042">
        <v>88.995220262999993</v>
      </c>
      <c r="K1042">
        <v>80.386602233000005</v>
      </c>
      <c r="L1042">
        <v>86.692775601999998</v>
      </c>
      <c r="M1042">
        <v>119.5</v>
      </c>
      <c r="N1042">
        <v>99.7</v>
      </c>
      <c r="O1042">
        <v>127.626106355</v>
      </c>
      <c r="P1042">
        <v>76.606383864999998</v>
      </c>
      <c r="Q1042"/>
      <c r="R1042">
        <v>107.00891741</v>
      </c>
      <c r="S1042">
        <v>111.25</v>
      </c>
      <c r="T1042">
        <v>99.071278511000003</v>
      </c>
      <c r="U1042">
        <v>104.427316723</v>
      </c>
      <c r="V1042">
        <v>143.033128017</v>
      </c>
      <c r="W1042">
        <v>77.506458871999996</v>
      </c>
      <c r="X1042">
        <v>57.789861752999997</v>
      </c>
      <c r="Y1042">
        <v>59.002260802000002</v>
      </c>
      <c r="Z1042">
        <v>44.074856859999997</v>
      </c>
      <c r="AA1042">
        <v>73.911007025999993</v>
      </c>
      <c r="AB1042">
        <v>122.089825848</v>
      </c>
      <c r="AC1042">
        <v>109.014128254</v>
      </c>
      <c r="AD1042">
        <v>66.020498291999999</v>
      </c>
      <c r="AE1042">
        <v>118.99008415999999</v>
      </c>
      <c r="AF1042">
        <v>88.5</v>
      </c>
      <c r="AG1042">
        <v>97.035534001000002</v>
      </c>
      <c r="AH1042">
        <v>97.391884009999998</v>
      </c>
      <c r="AI1042">
        <v>120.209464701</v>
      </c>
      <c r="AJ1042"/>
      <c r="AK1042">
        <v>93.452327887999999</v>
      </c>
      <c r="AL1042">
        <v>62.9</v>
      </c>
      <c r="AM1042">
        <v>122.77915453999999</v>
      </c>
      <c r="AN1042">
        <v>77.270640424999996</v>
      </c>
      <c r="AO1042">
        <v>53.013253313</v>
      </c>
      <c r="AP1042">
        <v>91.307608966999993</v>
      </c>
      <c r="AQ1042">
        <v>111.309275773</v>
      </c>
      <c r="AR1042">
        <v>60.994917090000001</v>
      </c>
      <c r="AS1042">
        <v>94.667352018000003</v>
      </c>
      <c r="AT1042"/>
    </row>
    <row r="1043" spans="1:46" x14ac:dyDescent="0.2">
      <c r="A1043" s="87">
        <v>38626</v>
      </c>
      <c r="B1043"/>
      <c r="C1043"/>
      <c r="D1043">
        <v>86.984828124000003</v>
      </c>
      <c r="E1043">
        <v>82.793100574999997</v>
      </c>
      <c r="F1043">
        <v>96.449215523999996</v>
      </c>
      <c r="G1043">
        <v>100.67738751</v>
      </c>
      <c r="H1043"/>
      <c r="I1043"/>
      <c r="J1043">
        <v>88.515304564000004</v>
      </c>
      <c r="K1043">
        <v>81.186468922000003</v>
      </c>
      <c r="L1043">
        <v>88.392633946999993</v>
      </c>
      <c r="M1043">
        <v>113.8</v>
      </c>
      <c r="N1043">
        <v>99.9</v>
      </c>
      <c r="O1043">
        <v>126.604105503</v>
      </c>
      <c r="P1043">
        <v>75.006250520999998</v>
      </c>
      <c r="Q1043"/>
      <c r="R1043">
        <v>110.709225769</v>
      </c>
      <c r="S1043">
        <v>107.98</v>
      </c>
      <c r="T1043">
        <v>99.503822005000004</v>
      </c>
      <c r="U1043">
        <v>104.9650475</v>
      </c>
      <c r="V1043">
        <v>141.335109039</v>
      </c>
      <c r="W1043">
        <v>78.906575548000006</v>
      </c>
      <c r="X1043">
        <v>59.032143529999999</v>
      </c>
      <c r="Y1043">
        <v>60.011353792999998</v>
      </c>
      <c r="Z1043">
        <v>45.345834453999998</v>
      </c>
      <c r="AA1043">
        <v>74.004683841000002</v>
      </c>
      <c r="AB1043">
        <v>122.189817515</v>
      </c>
      <c r="AC1043">
        <v>108.035935677</v>
      </c>
      <c r="AD1043">
        <v>67.711357387000007</v>
      </c>
      <c r="AE1043">
        <v>116.69027581</v>
      </c>
      <c r="AF1043">
        <v>89.5</v>
      </c>
      <c r="AG1043">
        <v>96.901558050000006</v>
      </c>
      <c r="AH1043">
        <v>95.492042330000004</v>
      </c>
      <c r="AI1043">
        <v>116.136539953</v>
      </c>
      <c r="AJ1043"/>
      <c r="AK1043">
        <v>93.872847018000002</v>
      </c>
      <c r="AL1043">
        <v>64.599999999999994</v>
      </c>
      <c r="AM1043">
        <v>121.46105692499999</v>
      </c>
      <c r="AN1043">
        <v>77.123249764999997</v>
      </c>
      <c r="AO1043">
        <v>54.213553388000001</v>
      </c>
      <c r="AP1043">
        <v>93.007750646000005</v>
      </c>
      <c r="AQ1043">
        <v>112.309359113</v>
      </c>
      <c r="AR1043">
        <v>61.994833763999999</v>
      </c>
      <c r="AS1043">
        <v>95.792845721999996</v>
      </c>
      <c r="AT1043"/>
    </row>
    <row r="1044" spans="1:46" x14ac:dyDescent="0.2">
      <c r="A1044" s="87">
        <v>38657</v>
      </c>
      <c r="B1044"/>
      <c r="C1044"/>
      <c r="D1044">
        <v>87.913792310999995</v>
      </c>
      <c r="E1044">
        <v>87.792683943</v>
      </c>
      <c r="F1044">
        <v>97.550233965999993</v>
      </c>
      <c r="G1044">
        <v>101.447875673</v>
      </c>
      <c r="H1044"/>
      <c r="I1044"/>
      <c r="J1044">
        <v>89.200021728999999</v>
      </c>
      <c r="K1044">
        <v>82.386268955000006</v>
      </c>
      <c r="L1044">
        <v>87.392717274000006</v>
      </c>
      <c r="M1044">
        <v>112.9</v>
      </c>
      <c r="N1044">
        <v>101.6</v>
      </c>
      <c r="O1044">
        <v>128.57810714799999</v>
      </c>
      <c r="P1044">
        <v>76.006333861000002</v>
      </c>
      <c r="Q1044"/>
      <c r="R1044">
        <v>108.209017418</v>
      </c>
      <c r="S1044">
        <v>112.32</v>
      </c>
      <c r="T1044">
        <v>100.593488396</v>
      </c>
      <c r="U1044">
        <v>105.610324431</v>
      </c>
      <c r="V1044">
        <v>141.63475944699999</v>
      </c>
      <c r="W1044">
        <v>78.606550545999994</v>
      </c>
      <c r="X1044">
        <v>58.138430423999999</v>
      </c>
      <c r="Y1044">
        <v>68.202814548000006</v>
      </c>
      <c r="Z1044">
        <v>48.716992542</v>
      </c>
      <c r="AA1044">
        <v>75.690866510999996</v>
      </c>
      <c r="AB1044">
        <v>123.489709191</v>
      </c>
      <c r="AC1044">
        <v>110.20969695799999</v>
      </c>
      <c r="AD1044">
        <v>70.588117656999998</v>
      </c>
      <c r="AE1044">
        <v>115.39038413500001</v>
      </c>
      <c r="AF1044">
        <v>90.2</v>
      </c>
      <c r="AG1044">
        <v>98.745943283000003</v>
      </c>
      <c r="AH1044">
        <v>99.891675694</v>
      </c>
      <c r="AI1044">
        <v>117.416602017</v>
      </c>
      <c r="AJ1044"/>
      <c r="AK1044">
        <v>95.186629174000004</v>
      </c>
      <c r="AL1044">
        <v>65.8</v>
      </c>
      <c r="AM1044">
        <v>125.320865459</v>
      </c>
      <c r="AN1044">
        <v>78.275291358000004</v>
      </c>
      <c r="AO1044">
        <v>54.913728431999999</v>
      </c>
      <c r="AP1044">
        <v>93.607800650000001</v>
      </c>
      <c r="AQ1044">
        <v>110.00916743099999</v>
      </c>
      <c r="AR1044">
        <v>62.194817098999998</v>
      </c>
      <c r="AS1044">
        <v>96.812877048999994</v>
      </c>
      <c r="AT1044"/>
    </row>
    <row r="1045" spans="1:46" x14ac:dyDescent="0.2">
      <c r="A1045" s="87">
        <v>38687</v>
      </c>
      <c r="B1045"/>
      <c r="C1045"/>
      <c r="D1045">
        <v>86.984828124000003</v>
      </c>
      <c r="E1045">
        <v>90.392467293999999</v>
      </c>
      <c r="F1045">
        <v>99.642169006000003</v>
      </c>
      <c r="G1045">
        <v>102.127670959</v>
      </c>
      <c r="H1045"/>
      <c r="I1045"/>
      <c r="J1045">
        <v>88.785918566999996</v>
      </c>
      <c r="K1045">
        <v>82.286285618999997</v>
      </c>
      <c r="L1045">
        <v>87.192733938999993</v>
      </c>
      <c r="M1045">
        <v>117</v>
      </c>
      <c r="N1045">
        <v>100.5</v>
      </c>
      <c r="O1045">
        <v>129.97510831299999</v>
      </c>
      <c r="P1045">
        <v>77.406450538000001</v>
      </c>
      <c r="Q1045"/>
      <c r="R1045">
        <v>111.009250771</v>
      </c>
      <c r="S1045">
        <v>110.97</v>
      </c>
      <c r="T1045">
        <v>100.759228256</v>
      </c>
      <c r="U1045">
        <v>105.825416741</v>
      </c>
      <c r="V1045">
        <v>138.937905777</v>
      </c>
      <c r="W1045">
        <v>78.906575548000006</v>
      </c>
      <c r="X1045">
        <v>60.267204372000002</v>
      </c>
      <c r="Y1045">
        <v>56.034340237999999</v>
      </c>
      <c r="Z1045">
        <v>52.267694685000002</v>
      </c>
      <c r="AA1045">
        <v>75.409836065999997</v>
      </c>
      <c r="AB1045">
        <v>121.68985917800001</v>
      </c>
      <c r="AC1045">
        <v>110.64444921400001</v>
      </c>
      <c r="AD1045">
        <v>68.724272976999998</v>
      </c>
      <c r="AE1045">
        <v>115.890342471</v>
      </c>
      <c r="AF1045">
        <v>90.3</v>
      </c>
      <c r="AG1045">
        <v>99.842262374000001</v>
      </c>
      <c r="AH1045">
        <v>100.091659028</v>
      </c>
      <c r="AI1045">
        <v>116.60201706700001</v>
      </c>
      <c r="AJ1045"/>
      <c r="AK1045">
        <v>95.195681945000004</v>
      </c>
      <c r="AL1045">
        <v>66.900000000000006</v>
      </c>
      <c r="AM1045">
        <v>122.92084186</v>
      </c>
      <c r="AN1045">
        <v>78.784718405000007</v>
      </c>
      <c r="AO1045">
        <v>58.214553637999998</v>
      </c>
      <c r="AP1045">
        <v>95.407950662999994</v>
      </c>
      <c r="AQ1045">
        <v>109.109092424</v>
      </c>
      <c r="AR1045">
        <v>61.594867094000001</v>
      </c>
      <c r="AS1045">
        <v>97.345343115000006</v>
      </c>
      <c r="AT1045"/>
    </row>
    <row r="1046" spans="1:46" x14ac:dyDescent="0.2">
      <c r="A1046" s="87">
        <v>38718</v>
      </c>
      <c r="B1046"/>
      <c r="C1046"/>
      <c r="D1046">
        <v>87.660438443000004</v>
      </c>
      <c r="E1046">
        <v>86.192817265000002</v>
      </c>
      <c r="F1046">
        <v>99.972474539000004</v>
      </c>
      <c r="G1046">
        <v>101.69748173399999</v>
      </c>
      <c r="H1046"/>
      <c r="I1046"/>
      <c r="J1046">
        <v>89.627746618000003</v>
      </c>
      <c r="K1046">
        <v>83.886018996999994</v>
      </c>
      <c r="L1046">
        <v>87.692692276000002</v>
      </c>
      <c r="M1046">
        <v>118.8</v>
      </c>
      <c r="N1046">
        <v>101.3</v>
      </c>
      <c r="O1046">
        <v>130.468108723</v>
      </c>
      <c r="P1046">
        <v>76.006333861000002</v>
      </c>
      <c r="Q1046"/>
      <c r="R1046">
        <v>119.70997583099999</v>
      </c>
      <c r="S1046">
        <v>110.24</v>
      </c>
      <c r="T1046">
        <v>100.95818814099999</v>
      </c>
      <c r="U1046">
        <v>106.57823982799999</v>
      </c>
      <c r="V1046">
        <v>137.539537207</v>
      </c>
      <c r="W1046">
        <v>79.206600550000005</v>
      </c>
      <c r="X1046">
        <v>61.259643070000003</v>
      </c>
      <c r="Y1046">
        <v>62.919915945</v>
      </c>
      <c r="Z1046">
        <v>48.141484636000001</v>
      </c>
      <c r="AA1046">
        <v>75.222482436000007</v>
      </c>
      <c r="AB1046">
        <v>122.189817515</v>
      </c>
      <c r="AC1046">
        <v>110.970513407</v>
      </c>
      <c r="AD1046">
        <v>71.175068744000001</v>
      </c>
      <c r="AE1046">
        <v>116.790267478</v>
      </c>
      <c r="AF1046">
        <v>90.3</v>
      </c>
      <c r="AG1046">
        <v>99.994478086000001</v>
      </c>
      <c r="AH1046">
        <v>99.691692359000001</v>
      </c>
      <c r="AI1046">
        <v>115.90380139600001</v>
      </c>
      <c r="AJ1046"/>
      <c r="AK1046">
        <v>95.619115093000005</v>
      </c>
      <c r="AL1046">
        <v>65.3</v>
      </c>
      <c r="AM1046">
        <v>119.620581362</v>
      </c>
      <c r="AN1046">
        <v>78.400000000000006</v>
      </c>
      <c r="AO1046">
        <v>57.714428607000002</v>
      </c>
      <c r="AP1046">
        <v>93.907825652</v>
      </c>
      <c r="AQ1046">
        <v>113.20943412</v>
      </c>
      <c r="AR1046">
        <v>62.094825430999997</v>
      </c>
      <c r="AS1046">
        <v>97.468745991000006</v>
      </c>
      <c r="AT1046"/>
    </row>
    <row r="1047" spans="1:46" x14ac:dyDescent="0.2">
      <c r="A1047" s="87">
        <v>38749</v>
      </c>
      <c r="B1047"/>
      <c r="C1047"/>
      <c r="D1047">
        <v>87.660438443000004</v>
      </c>
      <c r="E1047">
        <v>88.092658944999997</v>
      </c>
      <c r="F1047">
        <v>100.633085604</v>
      </c>
      <c r="G1047">
        <v>101.45884442800001</v>
      </c>
      <c r="H1047"/>
      <c r="I1047"/>
      <c r="J1047">
        <v>88.904484695999997</v>
      </c>
      <c r="K1047">
        <v>82.486252291</v>
      </c>
      <c r="L1047">
        <v>88.192650611999994</v>
      </c>
      <c r="M1047">
        <v>120.7</v>
      </c>
      <c r="N1047">
        <v>101.2</v>
      </c>
      <c r="O1047">
        <v>130.57510881300001</v>
      </c>
      <c r="P1047">
        <v>77.106425535</v>
      </c>
      <c r="Q1047"/>
      <c r="R1047">
        <v>117.30977581499999</v>
      </c>
      <c r="S1047">
        <v>109.51</v>
      </c>
      <c r="T1047">
        <v>100.965536359</v>
      </c>
      <c r="U1047">
        <v>104.857501344</v>
      </c>
      <c r="V1047">
        <v>141.734642917</v>
      </c>
      <c r="W1047">
        <v>79.906658887999995</v>
      </c>
      <c r="X1047">
        <v>61.559545319000001</v>
      </c>
      <c r="Y1047">
        <v>53.897437431999997</v>
      </c>
      <c r="Z1047">
        <v>41.925381475999998</v>
      </c>
      <c r="AA1047">
        <v>76.627634659999998</v>
      </c>
      <c r="AB1047">
        <v>124.48962586499999</v>
      </c>
      <c r="AC1047">
        <v>110.753137278</v>
      </c>
      <c r="AD1047">
        <v>70.333138904999998</v>
      </c>
      <c r="AE1047">
        <v>113.99050079200001</v>
      </c>
      <c r="AF1047">
        <v>91.7</v>
      </c>
      <c r="AG1047">
        <v>99.095563982000002</v>
      </c>
      <c r="AH1047">
        <v>101.091575702</v>
      </c>
      <c r="AI1047">
        <v>115.438324282</v>
      </c>
      <c r="AJ1047"/>
      <c r="AK1047">
        <v>95.519185390999994</v>
      </c>
      <c r="AL1047">
        <v>66.400000000000006</v>
      </c>
      <c r="AM1047">
        <v>118.811184607</v>
      </c>
      <c r="AN1047">
        <v>79.2</v>
      </c>
      <c r="AO1047">
        <v>56.314078520000002</v>
      </c>
      <c r="AP1047">
        <v>92.907742311999996</v>
      </c>
      <c r="AQ1047">
        <v>111.209267439</v>
      </c>
      <c r="AR1047">
        <v>62.494792101000002</v>
      </c>
      <c r="AS1047">
        <v>97.474593999000007</v>
      </c>
      <c r="AT1047"/>
    </row>
    <row r="1048" spans="1:46" x14ac:dyDescent="0.2">
      <c r="A1048" s="87">
        <v>38777</v>
      </c>
      <c r="B1048"/>
      <c r="C1048"/>
      <c r="D1048">
        <v>88.167146177999996</v>
      </c>
      <c r="E1048">
        <v>87.592700608000001</v>
      </c>
      <c r="F1048">
        <v>99.862372695000005</v>
      </c>
      <c r="G1048">
        <v>101.611336877</v>
      </c>
      <c r="H1048"/>
      <c r="I1048"/>
      <c r="J1048">
        <v>87.942774217999997</v>
      </c>
      <c r="K1048">
        <v>83.986002333000002</v>
      </c>
      <c r="L1048">
        <v>87.392717274000006</v>
      </c>
      <c r="M1048">
        <v>118.6</v>
      </c>
      <c r="N1048">
        <v>101.9</v>
      </c>
      <c r="O1048">
        <v>131.25610938</v>
      </c>
      <c r="P1048">
        <v>78.306525543999996</v>
      </c>
      <c r="Q1048"/>
      <c r="R1048">
        <v>115.309609134</v>
      </c>
      <c r="S1048">
        <v>111.53</v>
      </c>
      <c r="T1048">
        <v>101.33737298</v>
      </c>
      <c r="U1048">
        <v>106.363147517</v>
      </c>
      <c r="V1048">
        <v>145.23056434200001</v>
      </c>
      <c r="W1048">
        <v>82.906908908999995</v>
      </c>
      <c r="X1048">
        <v>62.688661482999997</v>
      </c>
      <c r="Y1048">
        <v>59.773920148000002</v>
      </c>
      <c r="Z1048">
        <v>45.918917831999998</v>
      </c>
      <c r="AA1048">
        <v>76.06557377</v>
      </c>
      <c r="AB1048">
        <v>125.089575869</v>
      </c>
      <c r="AC1048">
        <v>111.513953727</v>
      </c>
      <c r="AD1048">
        <v>71.165069578000001</v>
      </c>
      <c r="AE1048">
        <v>114.190484126</v>
      </c>
      <c r="AF1048">
        <v>91.6</v>
      </c>
      <c r="AG1048">
        <v>100.575892814</v>
      </c>
      <c r="AH1048">
        <v>104.091325723</v>
      </c>
      <c r="AI1048">
        <v>115.55469356099999</v>
      </c>
      <c r="AJ1048"/>
      <c r="AK1048">
        <v>96.14321314</v>
      </c>
      <c r="AL1048">
        <v>66.900000000000006</v>
      </c>
      <c r="AM1048">
        <v>123.99255802899999</v>
      </c>
      <c r="AN1048">
        <v>80.099999999999994</v>
      </c>
      <c r="AO1048">
        <v>59.414853712999999</v>
      </c>
      <c r="AP1048">
        <v>91.407617301000002</v>
      </c>
      <c r="AQ1048">
        <v>111.60930077499999</v>
      </c>
      <c r="AR1048">
        <v>64.094658777999996</v>
      </c>
      <c r="AS1048">
        <v>97.722688296000001</v>
      </c>
      <c r="AT1048"/>
    </row>
    <row r="1049" spans="1:46" x14ac:dyDescent="0.2">
      <c r="A1049" s="87">
        <v>38808</v>
      </c>
      <c r="B1049"/>
      <c r="C1049"/>
      <c r="D1049">
        <v>88.504951336999994</v>
      </c>
      <c r="E1049">
        <v>88.292642279999995</v>
      </c>
      <c r="F1049">
        <v>100.633085604</v>
      </c>
      <c r="G1049">
        <v>100.959364775</v>
      </c>
      <c r="H1049"/>
      <c r="I1049"/>
      <c r="J1049">
        <v>91.591855494000001</v>
      </c>
      <c r="K1049">
        <v>82.886185635999993</v>
      </c>
      <c r="L1049">
        <v>89.392550620999998</v>
      </c>
      <c r="M1049">
        <v>118</v>
      </c>
      <c r="N1049">
        <v>102.3</v>
      </c>
      <c r="O1049">
        <v>129.93310827799999</v>
      </c>
      <c r="P1049">
        <v>79.006583882000001</v>
      </c>
      <c r="Q1049"/>
      <c r="R1049">
        <v>116.909742479</v>
      </c>
      <c r="S1049">
        <v>110.97</v>
      </c>
      <c r="T1049">
        <v>101.924906218</v>
      </c>
      <c r="U1049">
        <v>104.534862879</v>
      </c>
      <c r="V1049">
        <v>142.63359414000001</v>
      </c>
      <c r="W1049">
        <v>82.606883906999997</v>
      </c>
      <c r="X1049">
        <v>62.049456958999997</v>
      </c>
      <c r="Y1049">
        <v>62.029539776</v>
      </c>
      <c r="Z1049">
        <v>48.684414087</v>
      </c>
      <c r="AA1049">
        <v>75.971896955999995</v>
      </c>
      <c r="AB1049">
        <v>124.089659195</v>
      </c>
      <c r="AC1049">
        <v>113.57902694400001</v>
      </c>
      <c r="AD1049">
        <v>70.872093992000003</v>
      </c>
      <c r="AE1049">
        <v>112.890592451</v>
      </c>
      <c r="AF1049">
        <v>91.6</v>
      </c>
      <c r="AG1049">
        <v>100.744765742</v>
      </c>
      <c r="AH1049">
        <v>102.791434047</v>
      </c>
      <c r="AI1049">
        <v>113.80915438300001</v>
      </c>
      <c r="AJ1049"/>
      <c r="AK1049">
        <v>96.499105469</v>
      </c>
      <c r="AL1049">
        <v>67.8</v>
      </c>
      <c r="AM1049">
        <v>116.861642753</v>
      </c>
      <c r="AN1049">
        <v>80.5</v>
      </c>
      <c r="AO1049">
        <v>58.914728682000003</v>
      </c>
      <c r="AP1049">
        <v>93.407783981999998</v>
      </c>
      <c r="AQ1049">
        <v>112.40936744699999</v>
      </c>
      <c r="AR1049">
        <v>63.594700441999997</v>
      </c>
      <c r="AS1049">
        <v>98.032632710000001</v>
      </c>
      <c r="AT1049"/>
    </row>
    <row r="1050" spans="1:46" x14ac:dyDescent="0.2">
      <c r="A1050" s="87">
        <v>38838</v>
      </c>
      <c r="B1050"/>
      <c r="C1050"/>
      <c r="D1050">
        <v>89.771720673000004</v>
      </c>
      <c r="E1050">
        <v>89.592533955999997</v>
      </c>
      <c r="F1050">
        <v>101.513900358</v>
      </c>
      <c r="G1050">
        <v>100.612645102</v>
      </c>
      <c r="H1050"/>
      <c r="I1050"/>
      <c r="J1050">
        <v>90.013872223000007</v>
      </c>
      <c r="K1050">
        <v>86.385602399999996</v>
      </c>
      <c r="L1050">
        <v>90.692442295999996</v>
      </c>
      <c r="M1050">
        <v>122</v>
      </c>
      <c r="N1050">
        <v>103.8</v>
      </c>
      <c r="O1050">
        <v>131.85110987600001</v>
      </c>
      <c r="P1050">
        <v>80.706725559999995</v>
      </c>
      <c r="Q1050"/>
      <c r="R1050">
        <v>114.509542462</v>
      </c>
      <c r="S1050">
        <v>112.74</v>
      </c>
      <c r="T1050">
        <v>102.092307956</v>
      </c>
      <c r="U1050">
        <v>106.040509052</v>
      </c>
      <c r="V1050">
        <v>144.73114699499999</v>
      </c>
      <c r="W1050">
        <v>83.206933910999993</v>
      </c>
      <c r="X1050">
        <v>62.770372027000001</v>
      </c>
      <c r="Y1050">
        <v>65.887836508999996</v>
      </c>
      <c r="Z1050">
        <v>50.937281087999999</v>
      </c>
      <c r="AA1050">
        <v>77.751756439999994</v>
      </c>
      <c r="AB1050">
        <v>126.989417549</v>
      </c>
      <c r="AC1050">
        <v>111.840017919</v>
      </c>
      <c r="AD1050">
        <v>71.901008249</v>
      </c>
      <c r="AE1050">
        <v>118.090159153</v>
      </c>
      <c r="AF1050">
        <v>91.1</v>
      </c>
      <c r="AG1050">
        <v>101.784486235</v>
      </c>
      <c r="AH1050">
        <v>99.691692359000001</v>
      </c>
      <c r="AI1050">
        <v>115.438324282</v>
      </c>
      <c r="AJ1050"/>
      <c r="AK1050">
        <v>97.007548239000002</v>
      </c>
      <c r="AL1050">
        <v>69.8</v>
      </c>
      <c r="AM1050">
        <v>124.340601628</v>
      </c>
      <c r="AN1050">
        <v>81.599999999999994</v>
      </c>
      <c r="AO1050">
        <v>60.215053763</v>
      </c>
      <c r="AP1050">
        <v>97.408117343000001</v>
      </c>
      <c r="AQ1050">
        <v>114.509542462</v>
      </c>
      <c r="AR1050">
        <v>64.094658777999996</v>
      </c>
      <c r="AS1050">
        <v>98.028370601999995</v>
      </c>
      <c r="AT1050"/>
    </row>
    <row r="1051" spans="1:46" x14ac:dyDescent="0.2">
      <c r="A1051" s="87">
        <v>38869</v>
      </c>
      <c r="B1051"/>
      <c r="C1051"/>
      <c r="D1051">
        <v>90.447330992000005</v>
      </c>
      <c r="E1051">
        <v>89.692525622999995</v>
      </c>
      <c r="F1051">
        <v>99.752270851000006</v>
      </c>
      <c r="G1051">
        <v>100.076781286</v>
      </c>
      <c r="H1051"/>
      <c r="I1051"/>
      <c r="J1051">
        <v>90.999329170999999</v>
      </c>
      <c r="K1051">
        <v>86.085652390999996</v>
      </c>
      <c r="L1051">
        <v>90.192483960000004</v>
      </c>
      <c r="M1051">
        <v>121.3</v>
      </c>
      <c r="N1051">
        <v>103.7</v>
      </c>
      <c r="O1051">
        <v>132.52511043800001</v>
      </c>
      <c r="P1051">
        <v>79.606633885999997</v>
      </c>
      <c r="Q1051"/>
      <c r="R1051">
        <v>120.310025835</v>
      </c>
      <c r="S1051">
        <v>112.55</v>
      </c>
      <c r="T1051">
        <v>102.49655387</v>
      </c>
      <c r="U1051">
        <v>107.331062915</v>
      </c>
      <c r="V1051">
        <v>143.033128017</v>
      </c>
      <c r="W1051">
        <v>84.907075590000005</v>
      </c>
      <c r="X1051">
        <v>62.887549221999997</v>
      </c>
      <c r="Y1051">
        <v>62.445048655000001</v>
      </c>
      <c r="Z1051">
        <v>53.169703525000003</v>
      </c>
      <c r="AA1051">
        <v>79.625292740000006</v>
      </c>
      <c r="AB1051">
        <v>127.389384218</v>
      </c>
      <c r="AC1051">
        <v>113.36165081599999</v>
      </c>
      <c r="AD1051">
        <v>71.266061162</v>
      </c>
      <c r="AE1051">
        <v>115.490375802</v>
      </c>
      <c r="AF1051">
        <v>92.5</v>
      </c>
      <c r="AG1051">
        <v>101.6047662</v>
      </c>
      <c r="AH1051">
        <v>102.09149237600001</v>
      </c>
      <c r="AI1051">
        <v>116.25290923199999</v>
      </c>
      <c r="AJ1051"/>
      <c r="AK1051">
        <v>97.321353998000006</v>
      </c>
      <c r="AL1051">
        <v>70.400000000000006</v>
      </c>
      <c r="AM1051">
        <v>123.904471763</v>
      </c>
      <c r="AN1051">
        <v>80.599999999999994</v>
      </c>
      <c r="AO1051">
        <v>61.815453863000002</v>
      </c>
      <c r="AP1051">
        <v>93.607800650000001</v>
      </c>
      <c r="AQ1051">
        <v>112.309359113</v>
      </c>
      <c r="AR1051">
        <v>64.494625447999994</v>
      </c>
      <c r="AS1051">
        <v>98.33474674</v>
      </c>
      <c r="AT1051"/>
    </row>
    <row r="1052" spans="1:46" x14ac:dyDescent="0.2">
      <c r="A1052" s="87">
        <v>38899</v>
      </c>
      <c r="B1052"/>
      <c r="C1052"/>
      <c r="D1052">
        <v>91.883002912999999</v>
      </c>
      <c r="E1052">
        <v>88.092658944999997</v>
      </c>
      <c r="F1052">
        <v>100.853289293</v>
      </c>
      <c r="G1052">
        <v>100.11664334699999</v>
      </c>
      <c r="H1052"/>
      <c r="I1052"/>
      <c r="J1052">
        <v>90.197978120000002</v>
      </c>
      <c r="K1052">
        <v>85.985669055000002</v>
      </c>
      <c r="L1052">
        <v>91.792350636999998</v>
      </c>
      <c r="M1052">
        <v>118.6</v>
      </c>
      <c r="N1052">
        <v>103.5</v>
      </c>
      <c r="O1052">
        <v>131.63710969799999</v>
      </c>
      <c r="P1052">
        <v>80.106675555999999</v>
      </c>
      <c r="Q1052"/>
      <c r="R1052">
        <v>119.109925827</v>
      </c>
      <c r="S1052">
        <v>111</v>
      </c>
      <c r="T1052">
        <v>102.53593470200001</v>
      </c>
      <c r="U1052">
        <v>106.25560136199999</v>
      </c>
      <c r="V1052">
        <v>138.83802230699999</v>
      </c>
      <c r="W1052">
        <v>85.407117260000007</v>
      </c>
      <c r="X1052">
        <v>65.039191078000002</v>
      </c>
      <c r="Y1052">
        <v>61.792106130999997</v>
      </c>
      <c r="Z1052">
        <v>55.206646200000002</v>
      </c>
      <c r="AA1052">
        <v>78.313817330000006</v>
      </c>
      <c r="AB1052">
        <v>125.48954253799999</v>
      </c>
      <c r="AC1052">
        <v>113.796403072</v>
      </c>
      <c r="AD1052">
        <v>67.531372386000001</v>
      </c>
      <c r="AE1052">
        <v>118.490125823</v>
      </c>
      <c r="AF1052">
        <v>92</v>
      </c>
      <c r="AG1052">
        <v>101.222141824</v>
      </c>
      <c r="AH1052">
        <v>99.491709024000002</v>
      </c>
      <c r="AI1052">
        <v>114.274631497</v>
      </c>
      <c r="AJ1052"/>
      <c r="AK1052">
        <v>97.002205676000003</v>
      </c>
      <c r="AL1052">
        <v>71</v>
      </c>
      <c r="AM1052">
        <v>125.250085849</v>
      </c>
      <c r="AN1052">
        <v>81.3</v>
      </c>
      <c r="AO1052">
        <v>63.115778945000002</v>
      </c>
      <c r="AP1052">
        <v>98.908242353999995</v>
      </c>
      <c r="AQ1052">
        <v>109.80915076300001</v>
      </c>
      <c r="AR1052">
        <v>64.394633780999996</v>
      </c>
      <c r="AS1052">
        <v>98.273590455000004</v>
      </c>
      <c r="AT1052"/>
    </row>
    <row r="1053" spans="1:46" x14ac:dyDescent="0.2">
      <c r="A1053" s="87">
        <v>38930</v>
      </c>
      <c r="B1053"/>
      <c r="C1053"/>
      <c r="D1053">
        <v>91.798551621000001</v>
      </c>
      <c r="E1053">
        <v>87.492708941000004</v>
      </c>
      <c r="F1053">
        <v>100.633085604</v>
      </c>
      <c r="G1053">
        <v>99.405011918</v>
      </c>
      <c r="H1053"/>
      <c r="I1053"/>
      <c r="J1053">
        <v>89.761508531999993</v>
      </c>
      <c r="K1053">
        <v>85.685719047000006</v>
      </c>
      <c r="L1053">
        <v>92.392300641999995</v>
      </c>
      <c r="M1053">
        <v>119.6</v>
      </c>
      <c r="N1053">
        <v>103.8</v>
      </c>
      <c r="O1053">
        <v>131.45410954499999</v>
      </c>
      <c r="P1053">
        <v>81.906825569000006</v>
      </c>
      <c r="Q1053"/>
      <c r="R1053">
        <v>115.90965913799999</v>
      </c>
      <c r="S1053">
        <v>110.26</v>
      </c>
      <c r="T1053">
        <v>102.962729807</v>
      </c>
      <c r="U1053">
        <v>107.65370138</v>
      </c>
      <c r="V1053">
        <v>142.433827202</v>
      </c>
      <c r="W1053">
        <v>82.106842236999995</v>
      </c>
      <c r="X1053">
        <v>63.901003029999998</v>
      </c>
      <c r="Y1053">
        <v>61.614030896999999</v>
      </c>
      <c r="Z1053">
        <v>58.298788258000002</v>
      </c>
      <c r="AA1053">
        <v>80.562060889999998</v>
      </c>
      <c r="AB1053">
        <v>127.189400883</v>
      </c>
      <c r="AC1053">
        <v>114.12246726399999</v>
      </c>
      <c r="AD1053">
        <v>72.246979417999995</v>
      </c>
      <c r="AE1053">
        <v>116.69027581</v>
      </c>
      <c r="AF1053">
        <v>93.7</v>
      </c>
      <c r="AG1053">
        <v>102.05112417399999</v>
      </c>
      <c r="AH1053">
        <v>99.091742354999994</v>
      </c>
      <c r="AI1053">
        <v>113.80915438300001</v>
      </c>
      <c r="AJ1053"/>
      <c r="AK1053">
        <v>97.622305236000003</v>
      </c>
      <c r="AL1053">
        <v>70.7</v>
      </c>
      <c r="AM1053">
        <v>125.207639903</v>
      </c>
      <c r="AN1053">
        <v>82.4</v>
      </c>
      <c r="AO1053">
        <v>64.616154038999994</v>
      </c>
      <c r="AP1053">
        <v>96.208017334999994</v>
      </c>
      <c r="AQ1053">
        <v>112.109342445</v>
      </c>
      <c r="AR1053">
        <v>64.194650445999997</v>
      </c>
      <c r="AS1053">
        <v>98.703964181000003</v>
      </c>
      <c r="AT1053"/>
    </row>
    <row r="1054" spans="1:46" x14ac:dyDescent="0.2">
      <c r="A1054" s="87">
        <v>38961</v>
      </c>
      <c r="B1054"/>
      <c r="C1054"/>
      <c r="D1054">
        <v>92.051905477999995</v>
      </c>
      <c r="E1054">
        <v>89.692525622999995</v>
      </c>
      <c r="F1054">
        <v>99.421965318000005</v>
      </c>
      <c r="G1054">
        <v>97.774412837</v>
      </c>
      <c r="H1054"/>
      <c r="I1054"/>
      <c r="J1054">
        <v>89.839205285000006</v>
      </c>
      <c r="K1054">
        <v>87.585402432999999</v>
      </c>
      <c r="L1054">
        <v>92.292308973999994</v>
      </c>
      <c r="M1054">
        <v>115</v>
      </c>
      <c r="N1054">
        <v>103.9</v>
      </c>
      <c r="O1054">
        <v>132.820110683</v>
      </c>
      <c r="P1054">
        <v>80.006667222000004</v>
      </c>
      <c r="Q1054"/>
      <c r="R1054">
        <v>116.109675806</v>
      </c>
      <c r="S1054">
        <v>111.95</v>
      </c>
      <c r="T1054">
        <v>102.906897454</v>
      </c>
      <c r="U1054">
        <v>108.944255243</v>
      </c>
      <c r="V1054">
        <v>139.437323123</v>
      </c>
      <c r="W1054">
        <v>85.207100592000003</v>
      </c>
      <c r="X1054">
        <v>65.578205280999995</v>
      </c>
      <c r="Y1054">
        <v>61.970181365000002</v>
      </c>
      <c r="Z1054">
        <v>53.310687586</v>
      </c>
      <c r="AA1054">
        <v>80.936768150000006</v>
      </c>
      <c r="AB1054">
        <v>126.88942588099999</v>
      </c>
      <c r="AC1054">
        <v>114.0137792</v>
      </c>
      <c r="AD1054">
        <v>73.160903258000005</v>
      </c>
      <c r="AE1054">
        <v>120.88992584</v>
      </c>
      <c r="AF1054">
        <v>94</v>
      </c>
      <c r="AG1054">
        <v>101.89767160700001</v>
      </c>
      <c r="AH1054">
        <v>97.091909008000002</v>
      </c>
      <c r="AI1054">
        <v>112.994569434</v>
      </c>
      <c r="AJ1054"/>
      <c r="AK1054">
        <v>97.740077171999999</v>
      </c>
      <c r="AL1054">
        <v>71.7</v>
      </c>
      <c r="AM1054">
        <v>124.34997104999999</v>
      </c>
      <c r="AN1054">
        <v>82.6</v>
      </c>
      <c r="AO1054">
        <v>64.116029006999995</v>
      </c>
      <c r="AP1054">
        <v>97.508125676999995</v>
      </c>
      <c r="AQ1054">
        <v>114.309525794</v>
      </c>
      <c r="AR1054">
        <v>64.194650445999997</v>
      </c>
      <c r="AS1054">
        <v>98.537246398999997</v>
      </c>
      <c r="AT1054"/>
    </row>
    <row r="1055" spans="1:46" x14ac:dyDescent="0.2">
      <c r="A1055" s="87">
        <v>38991</v>
      </c>
      <c r="B1055"/>
      <c r="C1055"/>
      <c r="D1055">
        <v>92.980869654000003</v>
      </c>
      <c r="E1055">
        <v>91.592367303000003</v>
      </c>
      <c r="F1055">
        <v>99.972474539000004</v>
      </c>
      <c r="G1055">
        <v>97.581255734999999</v>
      </c>
      <c r="H1055"/>
      <c r="I1055"/>
      <c r="J1055">
        <v>91.704063774999995</v>
      </c>
      <c r="K1055">
        <v>87.185469088000005</v>
      </c>
      <c r="L1055">
        <v>92.092325639999999</v>
      </c>
      <c r="M1055">
        <v>121</v>
      </c>
      <c r="N1055">
        <v>103.6</v>
      </c>
      <c r="O1055">
        <v>131.71210976</v>
      </c>
      <c r="P1055">
        <v>81.406783899000004</v>
      </c>
      <c r="Q1055"/>
      <c r="R1055">
        <v>115.309609134</v>
      </c>
      <c r="S1055">
        <v>111.03</v>
      </c>
      <c r="T1055">
        <v>102.827551689</v>
      </c>
      <c r="U1055">
        <v>108.406524467</v>
      </c>
      <c r="V1055">
        <v>142.034293324</v>
      </c>
      <c r="W1055">
        <v>87.107258938000001</v>
      </c>
      <c r="X1055">
        <v>64.425943868999994</v>
      </c>
      <c r="Y1055">
        <v>59.833278559</v>
      </c>
      <c r="Z1055">
        <v>48.924912026000001</v>
      </c>
      <c r="AA1055">
        <v>81.873536299999998</v>
      </c>
      <c r="AB1055">
        <v>127.08940921600001</v>
      </c>
      <c r="AC1055">
        <v>114.448531457</v>
      </c>
      <c r="AD1055">
        <v>76.686609449000002</v>
      </c>
      <c r="AE1055">
        <v>117.69019248399999</v>
      </c>
      <c r="AF1055">
        <v>93.2</v>
      </c>
      <c r="AG1055">
        <v>101.15987957999999</v>
      </c>
      <c r="AH1055">
        <v>97.091909008000002</v>
      </c>
      <c r="AI1055">
        <v>110.89992242</v>
      </c>
      <c r="AJ1055"/>
      <c r="AK1055">
        <v>97.952761563999999</v>
      </c>
      <c r="AL1055">
        <v>72.099999999999994</v>
      </c>
      <c r="AM1055">
        <v>123.98938395499999</v>
      </c>
      <c r="AN1055">
        <v>83.2</v>
      </c>
      <c r="AO1055">
        <v>64.116029006999995</v>
      </c>
      <c r="AP1055">
        <v>98.80823402</v>
      </c>
      <c r="AQ1055">
        <v>115.309609134</v>
      </c>
      <c r="AR1055">
        <v>64.594617115000005</v>
      </c>
      <c r="AS1055">
        <v>98.418105629999999</v>
      </c>
      <c r="AT1055"/>
    </row>
    <row r="1056" spans="1:46" x14ac:dyDescent="0.2">
      <c r="A1056" s="87">
        <v>39022</v>
      </c>
      <c r="B1056"/>
      <c r="C1056"/>
      <c r="D1056">
        <v>93.572028670999998</v>
      </c>
      <c r="E1056">
        <v>90.892425630999995</v>
      </c>
      <c r="F1056">
        <v>101.403798514</v>
      </c>
      <c r="G1056">
        <v>97.503671858000004</v>
      </c>
      <c r="H1056"/>
      <c r="I1056"/>
      <c r="J1056">
        <v>91.081981718999998</v>
      </c>
      <c r="K1056">
        <v>88.985169138000003</v>
      </c>
      <c r="L1056">
        <v>93.692192317000007</v>
      </c>
      <c r="M1056">
        <v>120</v>
      </c>
      <c r="N1056">
        <v>104.6</v>
      </c>
      <c r="O1056">
        <v>133.58811132299999</v>
      </c>
      <c r="P1056">
        <v>82.606883906999997</v>
      </c>
      <c r="Q1056"/>
      <c r="R1056">
        <v>116.309692474</v>
      </c>
      <c r="S1056">
        <v>110.4</v>
      </c>
      <c r="T1056">
        <v>103.252193776</v>
      </c>
      <c r="U1056">
        <v>109.266893709</v>
      </c>
      <c r="V1056">
        <v>137.63942067599999</v>
      </c>
      <c r="W1056">
        <v>87.607300608000003</v>
      </c>
      <c r="X1056">
        <v>70.022550128999995</v>
      </c>
      <c r="Y1056">
        <v>59.773920148000002</v>
      </c>
      <c r="Z1056">
        <v>49.062413149000001</v>
      </c>
      <c r="AA1056">
        <v>84.402810303999999</v>
      </c>
      <c r="AB1056">
        <v>127.28939255100001</v>
      </c>
      <c r="AC1056">
        <v>115.53541209700001</v>
      </c>
      <c r="AD1056">
        <v>75.633697192</v>
      </c>
      <c r="AE1056">
        <v>120.789934172</v>
      </c>
      <c r="AF1056">
        <v>92.2</v>
      </c>
      <c r="AG1056">
        <v>101.16410231099999</v>
      </c>
      <c r="AH1056">
        <v>100.891592367</v>
      </c>
      <c r="AI1056">
        <v>110.66718386300001</v>
      </c>
      <c r="AJ1056"/>
      <c r="AK1056">
        <v>98.262268857999999</v>
      </c>
      <c r="AL1056">
        <v>71.599999999999994</v>
      </c>
      <c r="AM1056">
        <v>125.98694770900001</v>
      </c>
      <c r="AN1056">
        <v>83.7</v>
      </c>
      <c r="AO1056">
        <v>65.116279070000004</v>
      </c>
      <c r="AP1056">
        <v>100.80840070000001</v>
      </c>
      <c r="AQ1056">
        <v>115.70964247000001</v>
      </c>
      <c r="AR1056">
        <v>64.294642112999995</v>
      </c>
      <c r="AS1056">
        <v>98.363094709999999</v>
      </c>
      <c r="AT1056"/>
    </row>
    <row r="1057" spans="1:46" x14ac:dyDescent="0.2">
      <c r="A1057" s="87">
        <v>39052</v>
      </c>
      <c r="B1057"/>
      <c r="C1057"/>
      <c r="D1057">
        <v>94.078736434999996</v>
      </c>
      <c r="E1057">
        <v>94.892092325999997</v>
      </c>
      <c r="F1057">
        <v>102.725020644</v>
      </c>
      <c r="G1057">
        <v>98.504771407999996</v>
      </c>
      <c r="H1057"/>
      <c r="I1057"/>
      <c r="J1057">
        <v>93.069486604000005</v>
      </c>
      <c r="K1057">
        <v>90.084985836000001</v>
      </c>
      <c r="L1057">
        <v>94.592117324</v>
      </c>
      <c r="M1057">
        <v>122.1</v>
      </c>
      <c r="N1057">
        <v>106.1</v>
      </c>
      <c r="O1057">
        <v>136.647113873</v>
      </c>
      <c r="P1057">
        <v>84.307025585000005</v>
      </c>
      <c r="Q1057"/>
      <c r="R1057">
        <v>113.80948412399999</v>
      </c>
      <c r="S1057">
        <v>112.27</v>
      </c>
      <c r="T1057">
        <v>104.07196804100001</v>
      </c>
      <c r="U1057">
        <v>108.406524467</v>
      </c>
      <c r="V1057">
        <v>142.13417679400001</v>
      </c>
      <c r="W1057">
        <v>90.307525627000004</v>
      </c>
      <c r="X1057">
        <v>68.873982921000007</v>
      </c>
      <c r="Y1057">
        <v>63.632216880999998</v>
      </c>
      <c r="Z1057">
        <v>49.145572033000001</v>
      </c>
      <c r="AA1057">
        <v>82.997658079999994</v>
      </c>
      <c r="AB1057">
        <v>129.389217565</v>
      </c>
      <c r="AC1057">
        <v>115.644100161</v>
      </c>
      <c r="AD1057">
        <v>72.619948338</v>
      </c>
      <c r="AE1057">
        <v>118.190150821</v>
      </c>
      <c r="AF1057">
        <v>95.8</v>
      </c>
      <c r="AG1057">
        <v>100.729786268</v>
      </c>
      <c r="AH1057">
        <v>101.591534039</v>
      </c>
      <c r="AI1057">
        <v>114.623739333</v>
      </c>
      <c r="AJ1057"/>
      <c r="AK1057">
        <v>99.045578473000006</v>
      </c>
      <c r="AL1057">
        <v>74.900000000000006</v>
      </c>
      <c r="AM1057">
        <v>130.041862718</v>
      </c>
      <c r="AN1057">
        <v>84.3</v>
      </c>
      <c r="AO1057">
        <v>65.916479120000005</v>
      </c>
      <c r="AP1057">
        <v>103.708642387</v>
      </c>
      <c r="AQ1057">
        <v>119.109925827</v>
      </c>
      <c r="AR1057">
        <v>66.694442129999999</v>
      </c>
      <c r="AS1057">
        <v>99.369150289000004</v>
      </c>
      <c r="AT1057"/>
    </row>
    <row r="1058" spans="1:46" x14ac:dyDescent="0.2">
      <c r="A1058" s="87">
        <v>39083</v>
      </c>
      <c r="B1058"/>
      <c r="C1058"/>
      <c r="D1058">
        <v>94.247639019999994</v>
      </c>
      <c r="E1058">
        <v>93.992167319000004</v>
      </c>
      <c r="F1058">
        <v>102.064409579</v>
      </c>
      <c r="G1058">
        <v>98.077525021</v>
      </c>
      <c r="H1058"/>
      <c r="I1058"/>
      <c r="J1058">
        <v>91.951891903000003</v>
      </c>
      <c r="K1058">
        <v>93.984335943999994</v>
      </c>
      <c r="L1058">
        <v>95.092075660000006</v>
      </c>
      <c r="M1058">
        <v>116.5</v>
      </c>
      <c r="N1058">
        <v>105.7</v>
      </c>
      <c r="O1058">
        <v>134.55311212800001</v>
      </c>
      <c r="P1058">
        <v>80.106675555999999</v>
      </c>
      <c r="Q1058"/>
      <c r="R1058">
        <v>119.809984165</v>
      </c>
      <c r="S1058">
        <v>111</v>
      </c>
      <c r="T1058">
        <v>103.653875103</v>
      </c>
      <c r="U1058">
        <v>109.69707832899999</v>
      </c>
      <c r="V1058">
        <v>149.62543699</v>
      </c>
      <c r="W1058">
        <v>88.007333943999996</v>
      </c>
      <c r="X1058">
        <v>69.788139154000007</v>
      </c>
      <c r="Y1058">
        <v>63.454141647</v>
      </c>
      <c r="Z1058">
        <v>52.028275397000002</v>
      </c>
      <c r="AA1058">
        <v>82.435597189999996</v>
      </c>
      <c r="AB1058">
        <v>128.08932589</v>
      </c>
      <c r="AC1058">
        <v>114.448531457</v>
      </c>
      <c r="AD1058">
        <v>73.234897091999997</v>
      </c>
      <c r="AE1058">
        <v>120.88992584</v>
      </c>
      <c r="AF1058">
        <v>94.4</v>
      </c>
      <c r="AG1058">
        <v>101.066896507</v>
      </c>
      <c r="AH1058">
        <v>101.291559037</v>
      </c>
      <c r="AI1058">
        <v>112.878200155</v>
      </c>
      <c r="AJ1058"/>
      <c r="AK1058">
        <v>98.866285680000004</v>
      </c>
      <c r="AL1058">
        <v>74.400000000000006</v>
      </c>
      <c r="AM1058">
        <v>126.053553354</v>
      </c>
      <c r="AN1058">
        <v>85.9</v>
      </c>
      <c r="AO1058">
        <v>68.917229306999999</v>
      </c>
      <c r="AP1058">
        <v>102.408534045</v>
      </c>
      <c r="AQ1058">
        <v>116.909742479</v>
      </c>
      <c r="AR1058">
        <v>69.394217148999999</v>
      </c>
      <c r="AS1058">
        <v>98.980009972999994</v>
      </c>
      <c r="AT1058"/>
    </row>
    <row r="1059" spans="1:46" x14ac:dyDescent="0.2">
      <c r="A1059" s="87">
        <v>39114</v>
      </c>
      <c r="B1059"/>
      <c r="C1059"/>
      <c r="D1059">
        <v>95.598859628</v>
      </c>
      <c r="E1059">
        <v>93.792183984999994</v>
      </c>
      <c r="F1059">
        <v>103.38563170899999</v>
      </c>
      <c r="G1059">
        <v>99.131328101999998</v>
      </c>
      <c r="H1059"/>
      <c r="I1059"/>
      <c r="J1059">
        <v>93.005756520999995</v>
      </c>
      <c r="K1059">
        <v>93.584402600000004</v>
      </c>
      <c r="L1059">
        <v>95.492042330000004</v>
      </c>
      <c r="M1059">
        <v>118.6</v>
      </c>
      <c r="N1059">
        <v>106.3</v>
      </c>
      <c r="O1059">
        <v>134.48111206799999</v>
      </c>
      <c r="P1059">
        <v>82.506875573000002</v>
      </c>
      <c r="Q1059"/>
      <c r="R1059">
        <v>121.11009250799999</v>
      </c>
      <c r="S1059">
        <v>112.02</v>
      </c>
      <c r="T1059">
        <v>104.33276964</v>
      </c>
      <c r="U1059">
        <v>108.191432156</v>
      </c>
      <c r="V1059">
        <v>148.32695188899999</v>
      </c>
      <c r="W1059">
        <v>88.507375615000001</v>
      </c>
      <c r="X1059">
        <v>70.209056329999996</v>
      </c>
      <c r="Y1059">
        <v>64.819385105999999</v>
      </c>
      <c r="Z1059">
        <v>53.790159777</v>
      </c>
      <c r="AA1059">
        <v>82.903981264999999</v>
      </c>
      <c r="AB1059">
        <v>128.88925922799999</v>
      </c>
      <c r="AC1059">
        <v>115.100659841</v>
      </c>
      <c r="AD1059">
        <v>74.409799183000004</v>
      </c>
      <c r="AE1059">
        <v>120.28997583500001</v>
      </c>
      <c r="AF1059">
        <v>94.3</v>
      </c>
      <c r="AG1059">
        <v>101.606880721</v>
      </c>
      <c r="AH1059">
        <v>102.591450712</v>
      </c>
      <c r="AI1059">
        <v>112.296353763</v>
      </c>
      <c r="AJ1059"/>
      <c r="AK1059">
        <v>99.431874676000007</v>
      </c>
      <c r="AL1059">
        <v>74.3</v>
      </c>
      <c r="AM1059">
        <v>122.144479129</v>
      </c>
      <c r="AN1059">
        <v>85.3</v>
      </c>
      <c r="AO1059">
        <v>67.716929231999998</v>
      </c>
      <c r="AP1059">
        <v>101.208434036</v>
      </c>
      <c r="AQ1059">
        <v>118.509875823</v>
      </c>
      <c r="AR1059">
        <v>67.794350471000001</v>
      </c>
      <c r="AS1059">
        <v>99.921241871999996</v>
      </c>
      <c r="AT1059"/>
    </row>
    <row r="1060" spans="1:46" x14ac:dyDescent="0.2">
      <c r="A1060" s="87">
        <v>39142</v>
      </c>
      <c r="B1060"/>
      <c r="C1060"/>
      <c r="D1060">
        <v>96.021116050000003</v>
      </c>
      <c r="E1060">
        <v>94.192150654000002</v>
      </c>
      <c r="F1060">
        <v>104.48665015100001</v>
      </c>
      <c r="G1060">
        <v>99.314854101999998</v>
      </c>
      <c r="H1060"/>
      <c r="I1060"/>
      <c r="J1060">
        <v>93.342014453000004</v>
      </c>
      <c r="K1060">
        <v>94.584235961000005</v>
      </c>
      <c r="L1060">
        <v>95.992000666999999</v>
      </c>
      <c r="M1060">
        <v>114.6</v>
      </c>
      <c r="N1060">
        <v>106.8</v>
      </c>
      <c r="O1060">
        <v>136.48111373399999</v>
      </c>
      <c r="P1060">
        <v>83.506958913000005</v>
      </c>
      <c r="Q1060"/>
      <c r="R1060">
        <v>122.310192516</v>
      </c>
      <c r="S1060">
        <v>112.87</v>
      </c>
      <c r="T1060">
        <v>104.590770646</v>
      </c>
      <c r="U1060">
        <v>107.976339846</v>
      </c>
      <c r="V1060">
        <v>141.734642917</v>
      </c>
      <c r="W1060">
        <v>88.307358946999997</v>
      </c>
      <c r="X1060">
        <v>71.697790666000003</v>
      </c>
      <c r="Y1060">
        <v>64.641309871999994</v>
      </c>
      <c r="Z1060">
        <v>53.366668369999999</v>
      </c>
      <c r="AA1060">
        <v>84.683840748999998</v>
      </c>
      <c r="AB1060">
        <v>129.78918423499999</v>
      </c>
      <c r="AC1060">
        <v>115.100659841</v>
      </c>
      <c r="AD1060">
        <v>73.733855512000005</v>
      </c>
      <c r="AE1060">
        <v>119.09007582700001</v>
      </c>
      <c r="AF1060">
        <v>96.9</v>
      </c>
      <c r="AG1060">
        <v>103.006116374</v>
      </c>
      <c r="AH1060">
        <v>102.69144238</v>
      </c>
      <c r="AI1060">
        <v>111.132660978</v>
      </c>
      <c r="AJ1060"/>
      <c r="AK1060">
        <v>99.783742949000001</v>
      </c>
      <c r="AL1060">
        <v>75.8</v>
      </c>
      <c r="AM1060">
        <v>124.014866243</v>
      </c>
      <c r="AN1060">
        <v>86.4</v>
      </c>
      <c r="AO1060">
        <v>70.417604401000006</v>
      </c>
      <c r="AP1060">
        <v>100.708392366</v>
      </c>
      <c r="AQ1060">
        <v>119.509959163</v>
      </c>
      <c r="AR1060">
        <v>68.894258812000004</v>
      </c>
      <c r="AS1060">
        <v>100.135437548</v>
      </c>
      <c r="AT1060"/>
    </row>
    <row r="1061" spans="1:46" x14ac:dyDescent="0.2">
      <c r="A1061" s="87">
        <v>39173</v>
      </c>
      <c r="B1061"/>
      <c r="C1061"/>
      <c r="D1061">
        <v>95.092151864000002</v>
      </c>
      <c r="E1061">
        <v>93.792183984999994</v>
      </c>
      <c r="F1061">
        <v>105.69777043800001</v>
      </c>
      <c r="G1061">
        <v>98.874766245000004</v>
      </c>
      <c r="H1061"/>
      <c r="I1061"/>
      <c r="J1061">
        <v>96.037206056000002</v>
      </c>
      <c r="K1061">
        <v>93.284452591000004</v>
      </c>
      <c r="L1061">
        <v>95.092075660000006</v>
      </c>
      <c r="M1061">
        <v>113.9</v>
      </c>
      <c r="N1061">
        <v>105.5</v>
      </c>
      <c r="O1061">
        <v>132.51111042599999</v>
      </c>
      <c r="P1061">
        <v>86.307192266000001</v>
      </c>
      <c r="Q1061"/>
      <c r="R1061">
        <v>119.109925827</v>
      </c>
      <c r="S1061">
        <v>111.02</v>
      </c>
      <c r="T1061">
        <v>104.440627689</v>
      </c>
      <c r="U1061">
        <v>107.115970604</v>
      </c>
      <c r="V1061">
        <v>142.63359414000001</v>
      </c>
      <c r="W1061">
        <v>89.507458955000004</v>
      </c>
      <c r="X1061">
        <v>72.577260187999997</v>
      </c>
      <c r="Y1061">
        <v>64.047725759000002</v>
      </c>
      <c r="Z1061">
        <v>52.143261189999997</v>
      </c>
      <c r="AA1061">
        <v>83.278688525000007</v>
      </c>
      <c r="AB1061">
        <v>127.389384218</v>
      </c>
      <c r="AC1061">
        <v>114.77459564900001</v>
      </c>
      <c r="AD1061">
        <v>75.348720940000007</v>
      </c>
      <c r="AE1061">
        <v>115.790350804</v>
      </c>
      <c r="AF1061">
        <v>91.5</v>
      </c>
      <c r="AG1061">
        <v>102.55051697499999</v>
      </c>
      <c r="AH1061">
        <v>101.091575702</v>
      </c>
      <c r="AI1061">
        <v>117.99844840999999</v>
      </c>
      <c r="AJ1061"/>
      <c r="AK1061">
        <v>99.668942111999996</v>
      </c>
      <c r="AL1061">
        <v>74.599999999999994</v>
      </c>
      <c r="AM1061">
        <v>119.723073708</v>
      </c>
      <c r="AN1061">
        <v>85.9</v>
      </c>
      <c r="AO1061">
        <v>68.817204301000004</v>
      </c>
      <c r="AP1061">
        <v>102.808567381</v>
      </c>
      <c r="AQ1061">
        <v>118.009834153</v>
      </c>
      <c r="AR1061">
        <v>69.294225480999998</v>
      </c>
      <c r="AS1061">
        <v>100.853057488</v>
      </c>
      <c r="AT1061"/>
    </row>
    <row r="1062" spans="1:46" x14ac:dyDescent="0.2">
      <c r="A1062" s="87">
        <v>39203</v>
      </c>
      <c r="B1062"/>
      <c r="C1062"/>
      <c r="D1062">
        <v>96.105567393000001</v>
      </c>
      <c r="E1062">
        <v>96.191984000999994</v>
      </c>
      <c r="F1062">
        <v>106.02807597</v>
      </c>
      <c r="G1062">
        <v>99.095211469999995</v>
      </c>
      <c r="H1062"/>
      <c r="I1062"/>
      <c r="J1062">
        <v>94.43556452</v>
      </c>
      <c r="K1062">
        <v>93.784369272000006</v>
      </c>
      <c r="L1062">
        <v>96.791934005000002</v>
      </c>
      <c r="M1062">
        <v>112.7</v>
      </c>
      <c r="N1062">
        <v>107.3</v>
      </c>
      <c r="O1062">
        <v>136.492113743</v>
      </c>
      <c r="P1062">
        <v>86.807233936000003</v>
      </c>
      <c r="Q1062"/>
      <c r="R1062">
        <v>119.009917493</v>
      </c>
      <c r="S1062">
        <v>113.68</v>
      </c>
      <c r="T1062">
        <v>105.28330909899999</v>
      </c>
      <c r="U1062">
        <v>107.976339846</v>
      </c>
      <c r="V1062">
        <v>146.728816381</v>
      </c>
      <c r="W1062">
        <v>88.407367281000006</v>
      </c>
      <c r="X1062">
        <v>74.674527660999999</v>
      </c>
      <c r="Y1062">
        <v>61.020446784999997</v>
      </c>
      <c r="Z1062">
        <v>51.360789441000001</v>
      </c>
      <c r="AA1062">
        <v>85.245901638999996</v>
      </c>
      <c r="AB1062">
        <v>130.08915923699999</v>
      </c>
      <c r="AC1062">
        <v>116.07885241699999</v>
      </c>
      <c r="AD1062">
        <v>75.974668777999995</v>
      </c>
      <c r="AE1062">
        <v>115.690359137</v>
      </c>
      <c r="AF1062">
        <v>94.5</v>
      </c>
      <c r="AG1062">
        <v>102.368249002</v>
      </c>
      <c r="AH1062">
        <v>101.69152570599999</v>
      </c>
      <c r="AI1062">
        <v>111.598138092</v>
      </c>
      <c r="AJ1062"/>
      <c r="AK1062">
        <v>100.39167535199999</v>
      </c>
      <c r="AL1062">
        <v>75.599999999999994</v>
      </c>
      <c r="AM1062">
        <v>123.22559151999999</v>
      </c>
      <c r="AN1062">
        <v>86.8</v>
      </c>
      <c r="AO1062">
        <v>72.718179544999998</v>
      </c>
      <c r="AP1062">
        <v>101.408450704</v>
      </c>
      <c r="AQ1062">
        <v>118.209850821</v>
      </c>
      <c r="AR1062">
        <v>70.394133822000001</v>
      </c>
      <c r="AS1062">
        <v>100.917583811</v>
      </c>
      <c r="AT1062"/>
    </row>
    <row r="1063" spans="1:46" x14ac:dyDescent="0.2">
      <c r="A1063" s="87">
        <v>39234</v>
      </c>
      <c r="B1063"/>
      <c r="C1063"/>
      <c r="D1063">
        <v>95.176603205999996</v>
      </c>
      <c r="E1063">
        <v>96.291975668999996</v>
      </c>
      <c r="F1063">
        <v>106.79878888</v>
      </c>
      <c r="G1063">
        <v>99.368895285999997</v>
      </c>
      <c r="H1063"/>
      <c r="I1063"/>
      <c r="J1063">
        <v>94.977603603999995</v>
      </c>
      <c r="K1063">
        <v>93.784369272000006</v>
      </c>
      <c r="L1063">
        <v>96.691942338000004</v>
      </c>
      <c r="M1063">
        <v>115.4</v>
      </c>
      <c r="N1063">
        <v>107.4</v>
      </c>
      <c r="O1063">
        <v>136.75711396400001</v>
      </c>
      <c r="P1063">
        <v>87.207267271999996</v>
      </c>
      <c r="Q1063"/>
      <c r="R1063">
        <v>124.010334195</v>
      </c>
      <c r="S1063">
        <v>113.24</v>
      </c>
      <c r="T1063">
        <v>105.11949630700001</v>
      </c>
      <c r="U1063">
        <v>105.932962897</v>
      </c>
      <c r="V1063">
        <v>145.03079740300001</v>
      </c>
      <c r="W1063">
        <v>90.407533960999999</v>
      </c>
      <c r="X1063">
        <v>75.170974181000005</v>
      </c>
      <c r="Y1063">
        <v>60.901729961999997</v>
      </c>
      <c r="Z1063">
        <v>50.637623861999998</v>
      </c>
      <c r="AA1063">
        <v>82.903981264999999</v>
      </c>
      <c r="AB1063">
        <v>129.28922589800001</v>
      </c>
      <c r="AC1063">
        <v>116.07885241699999</v>
      </c>
      <c r="AD1063">
        <v>75.858678443000002</v>
      </c>
      <c r="AE1063">
        <v>119.490042496</v>
      </c>
      <c r="AF1063">
        <v>92.7</v>
      </c>
      <c r="AG1063">
        <v>102.593634847</v>
      </c>
      <c r="AH1063">
        <v>103.891342388</v>
      </c>
      <c r="AI1063">
        <v>107.292474787</v>
      </c>
      <c r="AJ1063"/>
      <c r="AK1063">
        <v>100.30671478399999</v>
      </c>
      <c r="AL1063">
        <v>76</v>
      </c>
      <c r="AM1063">
        <v>122.21860841199999</v>
      </c>
      <c r="AN1063">
        <v>87.2</v>
      </c>
      <c r="AO1063">
        <v>71.317829457000002</v>
      </c>
      <c r="AP1063">
        <v>104.508709059</v>
      </c>
      <c r="AQ1063">
        <v>118.009834153</v>
      </c>
      <c r="AR1063">
        <v>68.894258812000004</v>
      </c>
      <c r="AS1063">
        <v>100.944940594</v>
      </c>
      <c r="AT1063"/>
    </row>
    <row r="1064" spans="1:46" x14ac:dyDescent="0.2">
      <c r="A1064" s="87">
        <v>39264</v>
      </c>
      <c r="B1064"/>
      <c r="C1064"/>
      <c r="D1064">
        <v>96.021116050000003</v>
      </c>
      <c r="E1064">
        <v>95.092075660000006</v>
      </c>
      <c r="F1064">
        <v>106.248279659</v>
      </c>
      <c r="G1064">
        <v>98.323653183999994</v>
      </c>
      <c r="H1064"/>
      <c r="I1064"/>
      <c r="J1064">
        <v>96.392207826999993</v>
      </c>
      <c r="K1064">
        <v>95.084152641000003</v>
      </c>
      <c r="L1064">
        <v>97.391884009999998</v>
      </c>
      <c r="M1064">
        <v>114</v>
      </c>
      <c r="N1064">
        <v>107.6</v>
      </c>
      <c r="O1064">
        <v>133.070110892</v>
      </c>
      <c r="P1064">
        <v>86.107175597999998</v>
      </c>
      <c r="Q1064"/>
      <c r="R1064">
        <v>122.610217518</v>
      </c>
      <c r="S1064">
        <v>113.38</v>
      </c>
      <c r="T1064">
        <v>105.04938774999999</v>
      </c>
      <c r="U1064">
        <v>105.28768596499999</v>
      </c>
      <c r="V1064">
        <v>145.43033127999999</v>
      </c>
      <c r="W1064">
        <v>92.807733978000002</v>
      </c>
      <c r="X1064">
        <v>75.286714086999993</v>
      </c>
      <c r="Y1064">
        <v>67.490513613000005</v>
      </c>
      <c r="Z1064">
        <v>49.782900118000001</v>
      </c>
      <c r="AA1064">
        <v>85.152224824000001</v>
      </c>
      <c r="AB1064">
        <v>128.48929255900001</v>
      </c>
      <c r="AC1064">
        <v>116.187540482</v>
      </c>
      <c r="AD1064">
        <v>76.430630781000005</v>
      </c>
      <c r="AE1064">
        <v>115.990334139</v>
      </c>
      <c r="AF1064">
        <v>92.4</v>
      </c>
      <c r="AG1064">
        <v>103.137635563</v>
      </c>
      <c r="AH1064">
        <v>104.19131738999999</v>
      </c>
      <c r="AI1064">
        <v>114.15826221899999</v>
      </c>
      <c r="AJ1064"/>
      <c r="AK1064">
        <v>100.389051975</v>
      </c>
      <c r="AL1064">
        <v>76.8</v>
      </c>
      <c r="AM1064">
        <v>118.18261884499999</v>
      </c>
      <c r="AN1064">
        <v>88.1</v>
      </c>
      <c r="AO1064">
        <v>72.218054514000002</v>
      </c>
      <c r="AP1064">
        <v>106.108842404</v>
      </c>
      <c r="AQ1064">
        <v>116.109675806</v>
      </c>
      <c r="AR1064">
        <v>68.594283809999993</v>
      </c>
      <c r="AS1064">
        <v>100.82451128</v>
      </c>
      <c r="AT1064"/>
    </row>
    <row r="1065" spans="1:46" x14ac:dyDescent="0.2">
      <c r="A1065" s="87">
        <v>39295</v>
      </c>
      <c r="B1065"/>
      <c r="C1065"/>
      <c r="D1065">
        <v>96.612275156999999</v>
      </c>
      <c r="E1065">
        <v>96.291975668999996</v>
      </c>
      <c r="F1065">
        <v>107.899807322</v>
      </c>
      <c r="G1065">
        <v>98.938170999999997</v>
      </c>
      <c r="H1065"/>
      <c r="I1065"/>
      <c r="J1065">
        <v>93.805882378000007</v>
      </c>
      <c r="K1065">
        <v>93.584402600000004</v>
      </c>
      <c r="L1065">
        <v>97.691859011999995</v>
      </c>
      <c r="M1065">
        <v>115.7</v>
      </c>
      <c r="N1065">
        <v>108.3</v>
      </c>
      <c r="O1065">
        <v>133.44411120300001</v>
      </c>
      <c r="P1065">
        <v>86.607217267999999</v>
      </c>
      <c r="Q1065"/>
      <c r="R1065">
        <v>120.61005083800001</v>
      </c>
      <c r="S1065">
        <v>114.05</v>
      </c>
      <c r="T1065">
        <v>106.02814073099999</v>
      </c>
      <c r="U1065">
        <v>104.749955189</v>
      </c>
      <c r="V1065">
        <v>142.933244548</v>
      </c>
      <c r="W1065">
        <v>92.707725644000007</v>
      </c>
      <c r="X1065">
        <v>75.474924917999999</v>
      </c>
      <c r="Y1065">
        <v>63.216708001999997</v>
      </c>
      <c r="Z1065">
        <v>49.742824411999997</v>
      </c>
      <c r="AA1065">
        <v>84.402810303999999</v>
      </c>
      <c r="AB1065">
        <v>133.288892592</v>
      </c>
      <c r="AC1065">
        <v>119.122118211</v>
      </c>
      <c r="AD1065">
        <v>78.795433713999998</v>
      </c>
      <c r="AE1065">
        <v>113.390550787</v>
      </c>
      <c r="AF1065">
        <v>94.1</v>
      </c>
      <c r="AG1065">
        <v>101.99533127700001</v>
      </c>
      <c r="AH1065">
        <v>104.39130072499999</v>
      </c>
      <c r="AI1065">
        <v>113.576415826</v>
      </c>
      <c r="AJ1065"/>
      <c r="AK1065">
        <v>101.11411774299999</v>
      </c>
      <c r="AL1065">
        <v>77.099999999999994</v>
      </c>
      <c r="AM1065">
        <v>116.739249773</v>
      </c>
      <c r="AN1065">
        <v>87.6</v>
      </c>
      <c r="AO1065">
        <v>70.717679419999996</v>
      </c>
      <c r="AP1065">
        <v>105.808817401</v>
      </c>
      <c r="AQ1065">
        <v>117.809817485</v>
      </c>
      <c r="AR1065">
        <v>69.694192150999996</v>
      </c>
      <c r="AS1065">
        <v>101.065369907</v>
      </c>
      <c r="AT1065"/>
    </row>
    <row r="1066" spans="1:46" x14ac:dyDescent="0.2">
      <c r="A1066" s="87">
        <v>39326</v>
      </c>
      <c r="B1066"/>
      <c r="C1066"/>
      <c r="D1066">
        <v>95.598859628</v>
      </c>
      <c r="E1066">
        <v>96.991917340000001</v>
      </c>
      <c r="F1066">
        <v>106.79878888</v>
      </c>
      <c r="G1066">
        <v>98.408192857000003</v>
      </c>
      <c r="H1066"/>
      <c r="I1066"/>
      <c r="J1066">
        <v>95.169400197000002</v>
      </c>
      <c r="K1066">
        <v>93.884352608</v>
      </c>
      <c r="L1066">
        <v>98.691775684999996</v>
      </c>
      <c r="M1066">
        <v>113.1</v>
      </c>
      <c r="N1066">
        <v>107.8</v>
      </c>
      <c r="O1066">
        <v>134.41911201600001</v>
      </c>
      <c r="P1066">
        <v>86.807233936000003</v>
      </c>
      <c r="Q1066"/>
      <c r="R1066">
        <v>121.810150846</v>
      </c>
      <c r="S1066">
        <v>111.44</v>
      </c>
      <c r="T1066">
        <v>105.541366137</v>
      </c>
      <c r="U1066">
        <v>103.566947482</v>
      </c>
      <c r="V1066">
        <v>143.33277842499999</v>
      </c>
      <c r="W1066">
        <v>92.607717309999998</v>
      </c>
      <c r="X1066">
        <v>74.497412503000007</v>
      </c>
      <c r="Y1066">
        <v>62.563765478000001</v>
      </c>
      <c r="Z1066">
        <v>49.308806638999997</v>
      </c>
      <c r="AA1066">
        <v>86.651053864000005</v>
      </c>
      <c r="AB1066">
        <v>129.78918423499999</v>
      </c>
      <c r="AC1066">
        <v>117.383109186</v>
      </c>
      <c r="AD1066">
        <v>77.860511623999997</v>
      </c>
      <c r="AE1066">
        <v>112.29064244600001</v>
      </c>
      <c r="AF1066">
        <v>92.3</v>
      </c>
      <c r="AG1066">
        <v>103.095789897</v>
      </c>
      <c r="AH1066">
        <v>106.191150737</v>
      </c>
      <c r="AI1066">
        <v>115.089216447</v>
      </c>
      <c r="AJ1066"/>
      <c r="AK1066">
        <v>100.89336204599999</v>
      </c>
      <c r="AL1066">
        <v>77.400000000000006</v>
      </c>
      <c r="AM1066">
        <v>117.89539883800001</v>
      </c>
      <c r="AN1066">
        <v>87.2</v>
      </c>
      <c r="AO1066">
        <v>73.818454614000004</v>
      </c>
      <c r="AP1066">
        <v>103.80865072100001</v>
      </c>
      <c r="AQ1066">
        <v>115.609634136</v>
      </c>
      <c r="AR1066">
        <v>70.194150487000002</v>
      </c>
      <c r="AS1066">
        <v>101.301669069</v>
      </c>
      <c r="AT1066"/>
    </row>
    <row r="1067" spans="1:46" x14ac:dyDescent="0.2">
      <c r="A1067" s="87">
        <v>39356</v>
      </c>
      <c r="B1067"/>
      <c r="C1067"/>
      <c r="D1067">
        <v>96.696726398999999</v>
      </c>
      <c r="E1067">
        <v>100.591617365</v>
      </c>
      <c r="F1067">
        <v>109.551334985</v>
      </c>
      <c r="G1067">
        <v>97.716091164000005</v>
      </c>
      <c r="H1067"/>
      <c r="I1067"/>
      <c r="J1067">
        <v>93.757095036999999</v>
      </c>
      <c r="K1067">
        <v>95.084152641000003</v>
      </c>
      <c r="L1067">
        <v>98.791767352999997</v>
      </c>
      <c r="M1067">
        <v>118.8</v>
      </c>
      <c r="N1067">
        <v>108.7</v>
      </c>
      <c r="O1067">
        <v>134.15111179300001</v>
      </c>
      <c r="P1067">
        <v>86.707225601999994</v>
      </c>
      <c r="Q1067"/>
      <c r="R1067">
        <v>120.810067506</v>
      </c>
      <c r="S1067">
        <v>113.98</v>
      </c>
      <c r="T1067">
        <v>105.771587005</v>
      </c>
      <c r="U1067">
        <v>104.642409034</v>
      </c>
      <c r="V1067">
        <v>142.433827202</v>
      </c>
      <c r="W1067">
        <v>92.507708976000004</v>
      </c>
      <c r="X1067">
        <v>76.679054492999995</v>
      </c>
      <c r="Y1067">
        <v>67.906022492000005</v>
      </c>
      <c r="Z1067">
        <v>49.229786986000001</v>
      </c>
      <c r="AA1067">
        <v>86.182669789000002</v>
      </c>
      <c r="AB1067">
        <v>128.48929255900001</v>
      </c>
      <c r="AC1067">
        <v>118.904742083</v>
      </c>
      <c r="AD1067">
        <v>81.410215815000001</v>
      </c>
      <c r="AE1067">
        <v>114.690442463</v>
      </c>
      <c r="AF1067">
        <v>91.9</v>
      </c>
      <c r="AG1067">
        <v>102.682858666</v>
      </c>
      <c r="AH1067">
        <v>106.791100742</v>
      </c>
      <c r="AI1067">
        <v>114.391000776</v>
      </c>
      <c r="AJ1067"/>
      <c r="AK1067">
        <v>101.38343178700001</v>
      </c>
      <c r="AL1067">
        <v>78.400000000000006</v>
      </c>
      <c r="AM1067">
        <v>124.481652553</v>
      </c>
      <c r="AN1067">
        <v>87.2</v>
      </c>
      <c r="AO1067">
        <v>73.718429607000004</v>
      </c>
      <c r="AP1067">
        <v>106.308859072</v>
      </c>
      <c r="AQ1067">
        <v>117.009750813</v>
      </c>
      <c r="AR1067">
        <v>69.694192150999996</v>
      </c>
      <c r="AS1067">
        <v>100.989444924</v>
      </c>
      <c r="AT1067"/>
    </row>
    <row r="1068" spans="1:46" x14ac:dyDescent="0.2">
      <c r="A1068" s="87">
        <v>39387</v>
      </c>
      <c r="B1068"/>
      <c r="C1068"/>
      <c r="D1068">
        <v>94.078736434999996</v>
      </c>
      <c r="E1068">
        <v>97.591867343999994</v>
      </c>
      <c r="F1068">
        <v>108.450316543</v>
      </c>
      <c r="G1068">
        <v>97.381410368000004</v>
      </c>
      <c r="H1068"/>
      <c r="I1068"/>
      <c r="J1068">
        <v>95.014604137999996</v>
      </c>
      <c r="K1068">
        <v>95.684052657999999</v>
      </c>
      <c r="L1068">
        <v>98.591784017999998</v>
      </c>
      <c r="M1068">
        <v>117.4</v>
      </c>
      <c r="N1068">
        <v>108</v>
      </c>
      <c r="O1068">
        <v>132.71211059300001</v>
      </c>
      <c r="P1068">
        <v>85.707142262000005</v>
      </c>
      <c r="Q1068"/>
      <c r="R1068">
        <v>128.310692558</v>
      </c>
      <c r="S1068">
        <v>111.98</v>
      </c>
      <c r="T1068">
        <v>105.59592569599999</v>
      </c>
      <c r="U1068">
        <v>104.642409034</v>
      </c>
      <c r="V1068">
        <v>143.732312302</v>
      </c>
      <c r="W1068">
        <v>92.407700641999995</v>
      </c>
      <c r="X1068">
        <v>77.259660623000002</v>
      </c>
      <c r="Y1068">
        <v>67.193721557000003</v>
      </c>
      <c r="Z1068">
        <v>49.122828128000002</v>
      </c>
      <c r="AA1068">
        <v>87.400468384000007</v>
      </c>
      <c r="AB1068">
        <v>127.08940921600001</v>
      </c>
      <c r="AC1068">
        <v>117.709173378</v>
      </c>
      <c r="AD1068">
        <v>81.526206149000004</v>
      </c>
      <c r="AE1068">
        <v>116.59028414300001</v>
      </c>
      <c r="AF1068">
        <v>94.9</v>
      </c>
      <c r="AG1068">
        <v>101.52394019800001</v>
      </c>
      <c r="AH1068">
        <v>109.390884093</v>
      </c>
      <c r="AI1068">
        <v>112.179984484</v>
      </c>
      <c r="AJ1068"/>
      <c r="AK1068">
        <v>101.25745891699999</v>
      </c>
      <c r="AL1068">
        <v>77.8</v>
      </c>
      <c r="AM1068">
        <v>120.578784977</v>
      </c>
      <c r="AN1068">
        <v>89</v>
      </c>
      <c r="AO1068">
        <v>78.719679920000004</v>
      </c>
      <c r="AP1068">
        <v>104.408700725</v>
      </c>
      <c r="AQ1068">
        <v>120.41003417</v>
      </c>
      <c r="AR1068">
        <v>69.894175485000005</v>
      </c>
      <c r="AS1068">
        <v>101.568695053</v>
      </c>
      <c r="AT1068"/>
    </row>
    <row r="1069" spans="1:46" x14ac:dyDescent="0.2">
      <c r="A1069" s="87">
        <v>39417</v>
      </c>
      <c r="B1069"/>
      <c r="C1069"/>
      <c r="D1069">
        <v>97.287885415999995</v>
      </c>
      <c r="E1069">
        <v>100.091659028</v>
      </c>
      <c r="F1069">
        <v>108.89072392</v>
      </c>
      <c r="G1069">
        <v>95.617848572</v>
      </c>
      <c r="H1069"/>
      <c r="I1069"/>
      <c r="J1069">
        <v>95.680312666999995</v>
      </c>
      <c r="K1069">
        <v>97.183802700000001</v>
      </c>
      <c r="L1069">
        <v>99.591700692000003</v>
      </c>
      <c r="M1069">
        <v>114.5</v>
      </c>
      <c r="N1069">
        <v>108.6</v>
      </c>
      <c r="O1069">
        <v>133.78411148699999</v>
      </c>
      <c r="P1069">
        <v>84.407033919</v>
      </c>
      <c r="Q1069"/>
      <c r="R1069">
        <v>121.710142512</v>
      </c>
      <c r="S1069">
        <v>112.16</v>
      </c>
      <c r="T1069">
        <v>105.772362684</v>
      </c>
      <c r="U1069">
        <v>104.10467825800001</v>
      </c>
      <c r="V1069">
        <v>143.232894956</v>
      </c>
      <c r="W1069">
        <v>97.608134011000004</v>
      </c>
      <c r="X1069">
        <v>78.431436736999999</v>
      </c>
      <c r="Y1069">
        <v>67.431155201999999</v>
      </c>
      <c r="Z1069">
        <v>48.633131624000001</v>
      </c>
      <c r="AA1069">
        <v>87.587822013999997</v>
      </c>
      <c r="AB1069">
        <v>127.989334222</v>
      </c>
      <c r="AC1069">
        <v>118.361301763</v>
      </c>
      <c r="AD1069">
        <v>80.736271977000001</v>
      </c>
      <c r="AE1069">
        <v>115.290392467</v>
      </c>
      <c r="AF1069">
        <v>94.3</v>
      </c>
      <c r="AG1069">
        <v>103.27425161399999</v>
      </c>
      <c r="AH1069">
        <v>108.890925756</v>
      </c>
      <c r="AI1069">
        <v>110.31807602799999</v>
      </c>
      <c r="AJ1069"/>
      <c r="AK1069">
        <v>101.56272436099999</v>
      </c>
      <c r="AL1069">
        <v>79.8</v>
      </c>
      <c r="AM1069">
        <v>119.20724550600001</v>
      </c>
      <c r="AN1069">
        <v>89</v>
      </c>
      <c r="AO1069">
        <v>75.018754689000005</v>
      </c>
      <c r="AP1069">
        <v>104.108675723</v>
      </c>
      <c r="AQ1069">
        <v>120.01000083300001</v>
      </c>
      <c r="AR1069">
        <v>71.794017165</v>
      </c>
      <c r="AS1069">
        <v>101.55917965</v>
      </c>
      <c r="AT1069"/>
    </row>
    <row r="1070" spans="1:46" x14ac:dyDescent="0.2">
      <c r="A1070" s="87">
        <v>39448</v>
      </c>
      <c r="B1070"/>
      <c r="C1070"/>
      <c r="D1070">
        <v>98.639106024</v>
      </c>
      <c r="E1070">
        <v>102.591450712</v>
      </c>
      <c r="F1070">
        <v>110.76245527099999</v>
      </c>
      <c r="G1070">
        <v>95.380013857999998</v>
      </c>
      <c r="H1070"/>
      <c r="I1070"/>
      <c r="J1070">
        <v>95.823842568000003</v>
      </c>
      <c r="K1070">
        <v>97.183802700000001</v>
      </c>
      <c r="L1070">
        <v>101.091575702</v>
      </c>
      <c r="M1070">
        <v>117.4</v>
      </c>
      <c r="N1070">
        <v>109.5</v>
      </c>
      <c r="O1070">
        <v>134.77911231600001</v>
      </c>
      <c r="P1070">
        <v>84.507042253999998</v>
      </c>
      <c r="Q1070"/>
      <c r="R1070">
        <v>128.210684224</v>
      </c>
      <c r="S1070">
        <v>113.18</v>
      </c>
      <c r="T1070">
        <v>106.281758825</v>
      </c>
      <c r="U1070">
        <v>104.857501344</v>
      </c>
      <c r="V1070">
        <v>147.62776760400001</v>
      </c>
      <c r="W1070">
        <v>94.507875655999996</v>
      </c>
      <c r="X1070">
        <v>79.251701030000007</v>
      </c>
      <c r="Y1070">
        <v>63.335424824</v>
      </c>
      <c r="Z1070">
        <v>54.088783442999997</v>
      </c>
      <c r="AA1070">
        <v>89.836065574000003</v>
      </c>
      <c r="AB1070">
        <v>130.68910924100001</v>
      </c>
      <c r="AC1070">
        <v>119.16530175600001</v>
      </c>
      <c r="AD1070">
        <v>82.188150987</v>
      </c>
      <c r="AE1070">
        <v>115.19040080000001</v>
      </c>
      <c r="AF1070">
        <v>97.5</v>
      </c>
      <c r="AG1070">
        <v>103.202026182</v>
      </c>
      <c r="AH1070">
        <v>104.791267394</v>
      </c>
      <c r="AI1070">
        <v>112.41272304100001</v>
      </c>
      <c r="AJ1070"/>
      <c r="AK1070">
        <v>102.142098893</v>
      </c>
      <c r="AL1070">
        <v>82.3</v>
      </c>
      <c r="AM1070">
        <v>123.175904734</v>
      </c>
      <c r="AN1070">
        <v>91.9</v>
      </c>
      <c r="AO1070">
        <v>91.122780695000003</v>
      </c>
      <c r="AP1070">
        <v>107.60896741400001</v>
      </c>
      <c r="AQ1070">
        <v>120.91007584</v>
      </c>
      <c r="AR1070">
        <v>70.794100491999998</v>
      </c>
      <c r="AS1070">
        <v>101.41317769299999</v>
      </c>
      <c r="AT1070"/>
    </row>
    <row r="1071" spans="1:46" x14ac:dyDescent="0.2">
      <c r="A1071" s="87">
        <v>39479</v>
      </c>
      <c r="B1071"/>
      <c r="C1071"/>
      <c r="D1071">
        <v>99.905875379999998</v>
      </c>
      <c r="E1071">
        <v>101.49154237099999</v>
      </c>
      <c r="F1071">
        <v>110.32204789399999</v>
      </c>
      <c r="G1071">
        <v>95.532238776</v>
      </c>
      <c r="H1071"/>
      <c r="I1071"/>
      <c r="J1071">
        <v>95.321314845000003</v>
      </c>
      <c r="K1071">
        <v>98.383602733000004</v>
      </c>
      <c r="L1071">
        <v>100.7916007</v>
      </c>
      <c r="M1071">
        <v>114.2</v>
      </c>
      <c r="N1071">
        <v>109.3</v>
      </c>
      <c r="O1071">
        <v>133.49811124799999</v>
      </c>
      <c r="P1071">
        <v>84.607050588000007</v>
      </c>
      <c r="Q1071"/>
      <c r="R1071">
        <v>125.110425869</v>
      </c>
      <c r="S1071">
        <v>114.18</v>
      </c>
      <c r="T1071">
        <v>106.179202463</v>
      </c>
      <c r="U1071">
        <v>105.717870586</v>
      </c>
      <c r="V1071">
        <v>139.03778924599999</v>
      </c>
      <c r="W1071">
        <v>97.108092341000003</v>
      </c>
      <c r="X1071">
        <v>79.260127452000006</v>
      </c>
      <c r="Y1071">
        <v>63.572858469000003</v>
      </c>
      <c r="Z1071">
        <v>58.731502779000003</v>
      </c>
      <c r="AA1071">
        <v>89.742388758999994</v>
      </c>
      <c r="AB1071">
        <v>129.68919256699999</v>
      </c>
      <c r="AC1071">
        <v>119.473222433</v>
      </c>
      <c r="AD1071">
        <v>82.597116907</v>
      </c>
      <c r="AE1071">
        <v>117.09024248</v>
      </c>
      <c r="AF1071">
        <v>98.6</v>
      </c>
      <c r="AG1071">
        <v>103.735892698</v>
      </c>
      <c r="AH1071">
        <v>106.591117407</v>
      </c>
      <c r="AI1071">
        <v>110.550814585</v>
      </c>
      <c r="AJ1071"/>
      <c r="AK1071">
        <v>102.13322145399999</v>
      </c>
      <c r="AL1071">
        <v>81.900000000000006</v>
      </c>
      <c r="AM1071">
        <v>123.087053075</v>
      </c>
      <c r="AN1071">
        <v>89.9</v>
      </c>
      <c r="AO1071">
        <v>91.622905725999999</v>
      </c>
      <c r="AP1071">
        <v>109.109092424</v>
      </c>
      <c r="AQ1071">
        <v>120.710059172</v>
      </c>
      <c r="AR1071">
        <v>72.193983834999997</v>
      </c>
      <c r="AS1071">
        <v>101.040094619</v>
      </c>
      <c r="AT1071"/>
    </row>
    <row r="1072" spans="1:46" x14ac:dyDescent="0.2">
      <c r="A1072" s="87">
        <v>39508</v>
      </c>
      <c r="B1072"/>
      <c r="C1072"/>
      <c r="D1072">
        <v>99.990326722999995</v>
      </c>
      <c r="E1072">
        <v>101.391550704</v>
      </c>
      <c r="F1072">
        <v>110.65235342699999</v>
      </c>
      <c r="G1072">
        <v>94.667579837999995</v>
      </c>
      <c r="H1072"/>
      <c r="I1072"/>
      <c r="J1072">
        <v>97.438834632999999</v>
      </c>
      <c r="K1072">
        <v>94.684219296999999</v>
      </c>
      <c r="L1072">
        <v>100.091659028</v>
      </c>
      <c r="M1072">
        <v>116.2</v>
      </c>
      <c r="N1072">
        <v>108.8</v>
      </c>
      <c r="O1072">
        <v>130.79310899399999</v>
      </c>
      <c r="P1072">
        <v>82.906908908999995</v>
      </c>
      <c r="Q1072"/>
      <c r="R1072">
        <v>123.51029252399999</v>
      </c>
      <c r="S1072">
        <v>112.86</v>
      </c>
      <c r="T1072">
        <v>105.53229717400001</v>
      </c>
      <c r="U1072">
        <v>104.10467825800001</v>
      </c>
      <c r="V1072">
        <v>136.74046945200001</v>
      </c>
      <c r="W1072">
        <v>94.307858988000007</v>
      </c>
      <c r="X1072">
        <v>80.183331913999993</v>
      </c>
      <c r="Y1072">
        <v>63.157349590000003</v>
      </c>
      <c r="Z1072">
        <v>63.432100953000003</v>
      </c>
      <c r="AA1072">
        <v>93.208430913000001</v>
      </c>
      <c r="AB1072">
        <v>130.38913423899999</v>
      </c>
      <c r="AC1072">
        <v>118.241539727</v>
      </c>
      <c r="AD1072">
        <v>83.079076744000005</v>
      </c>
      <c r="AE1072">
        <v>117.190234147</v>
      </c>
      <c r="AF1072">
        <v>96.4</v>
      </c>
      <c r="AG1072">
        <v>103.005609124</v>
      </c>
      <c r="AH1072">
        <v>107.391050746</v>
      </c>
      <c r="AI1072">
        <v>112.645461598</v>
      </c>
      <c r="AJ1072"/>
      <c r="AK1072">
        <v>101.507663347</v>
      </c>
      <c r="AL1072">
        <v>79.7</v>
      </c>
      <c r="AM1072">
        <v>114.64828689799999</v>
      </c>
      <c r="AN1072">
        <v>89.9</v>
      </c>
      <c r="AO1072">
        <v>88.122030507999995</v>
      </c>
      <c r="AP1072">
        <v>108.00900075</v>
      </c>
      <c r="AQ1072">
        <v>119.509959163</v>
      </c>
      <c r="AR1072">
        <v>72.193983834999997</v>
      </c>
      <c r="AS1072">
        <v>100.695161277</v>
      </c>
      <c r="AT1072"/>
    </row>
    <row r="1073" spans="1:46" x14ac:dyDescent="0.2">
      <c r="A1073" s="87">
        <v>39539</v>
      </c>
      <c r="B1073"/>
      <c r="C1073"/>
      <c r="D1073">
        <v>99.314716374</v>
      </c>
      <c r="E1073">
        <v>102.591450712</v>
      </c>
      <c r="F1073">
        <v>110.542251583</v>
      </c>
      <c r="G1073">
        <v>95.672157287000005</v>
      </c>
      <c r="H1073"/>
      <c r="I1073"/>
      <c r="J1073">
        <v>95.273678758000003</v>
      </c>
      <c r="K1073">
        <v>96.683886018999999</v>
      </c>
      <c r="L1073">
        <v>100.29164236299999</v>
      </c>
      <c r="M1073">
        <v>115</v>
      </c>
      <c r="N1073">
        <v>110.1</v>
      </c>
      <c r="O1073">
        <v>133.08811090699999</v>
      </c>
      <c r="P1073">
        <v>86.007167264000003</v>
      </c>
      <c r="Q1073"/>
      <c r="R1073">
        <v>127.510625885</v>
      </c>
      <c r="S1073">
        <v>115.29</v>
      </c>
      <c r="T1073">
        <v>105.450059053</v>
      </c>
      <c r="U1073">
        <v>104.749955189</v>
      </c>
      <c r="V1073">
        <v>144.23172964899999</v>
      </c>
      <c r="W1073">
        <v>95.207933994000001</v>
      </c>
      <c r="X1073">
        <v>79.926459066999996</v>
      </c>
      <c r="Y1073">
        <v>60.783013140000001</v>
      </c>
      <c r="Z1073">
        <v>66.300900986000002</v>
      </c>
      <c r="AA1073">
        <v>92.740046837999998</v>
      </c>
      <c r="AB1073">
        <v>131.689025915</v>
      </c>
      <c r="AC1073">
        <v>117.7283386</v>
      </c>
      <c r="AD1073">
        <v>83.718023497999994</v>
      </c>
      <c r="AE1073">
        <v>120.089992501</v>
      </c>
      <c r="AF1073">
        <v>94.6</v>
      </c>
      <c r="AG1073">
        <v>102.361845065</v>
      </c>
      <c r="AH1073">
        <v>113.190567453</v>
      </c>
      <c r="AI1073">
        <v>114.274631497</v>
      </c>
      <c r="AJ1073"/>
      <c r="AK1073">
        <v>101.673705228</v>
      </c>
      <c r="AL1073">
        <v>81.599999999999994</v>
      </c>
      <c r="AM1073">
        <v>121.38224608100001</v>
      </c>
      <c r="AN1073">
        <v>90.2</v>
      </c>
      <c r="AO1073">
        <v>87.721930482999994</v>
      </c>
      <c r="AP1073">
        <v>108.50904242</v>
      </c>
      <c r="AQ1073">
        <v>118.90990915899999</v>
      </c>
      <c r="AR1073">
        <v>71.294058828000004</v>
      </c>
      <c r="AS1073">
        <v>100.020558886</v>
      </c>
      <c r="AT1073"/>
    </row>
    <row r="1074" spans="1:46" x14ac:dyDescent="0.2">
      <c r="A1074" s="87">
        <v>39569</v>
      </c>
      <c r="B1074"/>
      <c r="C1074"/>
      <c r="D1074">
        <v>99.230265121000002</v>
      </c>
      <c r="E1074">
        <v>100.191650696</v>
      </c>
      <c r="F1074">
        <v>111.31296449200001</v>
      </c>
      <c r="G1074">
        <v>95.395798163999999</v>
      </c>
      <c r="H1074"/>
      <c r="I1074"/>
      <c r="J1074">
        <v>94.345550305000003</v>
      </c>
      <c r="K1074">
        <v>95.484085985999997</v>
      </c>
      <c r="L1074">
        <v>98.291809016000002</v>
      </c>
      <c r="M1074">
        <v>114.6</v>
      </c>
      <c r="N1074">
        <v>106.9</v>
      </c>
      <c r="O1074">
        <v>128.69610724699999</v>
      </c>
      <c r="P1074">
        <v>83.506958913000005</v>
      </c>
      <c r="Q1074"/>
      <c r="R1074">
        <v>126.710559213</v>
      </c>
      <c r="S1074">
        <v>109.87</v>
      </c>
      <c r="T1074">
        <v>104.435993973</v>
      </c>
      <c r="U1074">
        <v>104.212224413</v>
      </c>
      <c r="V1074">
        <v>136.64058598299999</v>
      </c>
      <c r="W1074">
        <v>93.407783981999998</v>
      </c>
      <c r="X1074">
        <v>80.186253755999999</v>
      </c>
      <c r="Y1074">
        <v>64.403876226999998</v>
      </c>
      <c r="Z1074">
        <v>66.366856600000006</v>
      </c>
      <c r="AA1074">
        <v>88.992974239000006</v>
      </c>
      <c r="AB1074">
        <v>127.08940921600001</v>
      </c>
      <c r="AC1074">
        <v>118.34417995299999</v>
      </c>
      <c r="AD1074">
        <v>82.934088826000007</v>
      </c>
      <c r="AE1074">
        <v>114.190484126</v>
      </c>
      <c r="AF1074">
        <v>93.4</v>
      </c>
      <c r="AG1074">
        <v>102.634220454</v>
      </c>
      <c r="AH1074">
        <v>103.791350721</v>
      </c>
      <c r="AI1074">
        <v>114.972847168</v>
      </c>
      <c r="AJ1074"/>
      <c r="AK1074">
        <v>100.471874829</v>
      </c>
      <c r="AL1074">
        <v>78.2</v>
      </c>
      <c r="AM1074">
        <v>114.631952634</v>
      </c>
      <c r="AN1074">
        <v>91.3</v>
      </c>
      <c r="AO1074">
        <v>88.022005500999995</v>
      </c>
      <c r="AP1074">
        <v>107.408950746</v>
      </c>
      <c r="AQ1074">
        <v>117.90982581900001</v>
      </c>
      <c r="AR1074">
        <v>71.094075493999995</v>
      </c>
      <c r="AS1074">
        <v>99.423368259</v>
      </c>
      <c r="AT1074"/>
    </row>
    <row r="1075" spans="1:46" x14ac:dyDescent="0.2">
      <c r="A1075" s="87">
        <v>39600</v>
      </c>
      <c r="B1075"/>
      <c r="C1075"/>
      <c r="D1075">
        <v>97.203434164000001</v>
      </c>
      <c r="E1075">
        <v>100.191650696</v>
      </c>
      <c r="F1075">
        <v>113.294797688</v>
      </c>
      <c r="G1075">
        <v>96.079873939999999</v>
      </c>
      <c r="H1075"/>
      <c r="I1075"/>
      <c r="J1075">
        <v>95.345550841000005</v>
      </c>
      <c r="K1075">
        <v>94.484252624999996</v>
      </c>
      <c r="L1075">
        <v>99.391717357000005</v>
      </c>
      <c r="M1075">
        <v>113.1</v>
      </c>
      <c r="N1075">
        <v>107.1</v>
      </c>
      <c r="O1075">
        <v>123.762103135</v>
      </c>
      <c r="P1075">
        <v>84.907075590000005</v>
      </c>
      <c r="Q1075"/>
      <c r="R1075">
        <v>123.310275856</v>
      </c>
      <c r="S1075">
        <v>109.55</v>
      </c>
      <c r="T1075">
        <v>104.00025490900001</v>
      </c>
      <c r="U1075">
        <v>103.997132103</v>
      </c>
      <c r="V1075">
        <v>143.83219577200001</v>
      </c>
      <c r="W1075">
        <v>91.807650637999998</v>
      </c>
      <c r="X1075">
        <v>81.284905319000003</v>
      </c>
      <c r="Y1075">
        <v>62.029539776</v>
      </c>
      <c r="Z1075">
        <v>66.754354981000006</v>
      </c>
      <c r="AA1075">
        <v>92.646370023000003</v>
      </c>
      <c r="AB1075">
        <v>128.48929255900001</v>
      </c>
      <c r="AC1075">
        <v>115.162332963</v>
      </c>
      <c r="AD1075">
        <v>82.526122822999994</v>
      </c>
      <c r="AE1075">
        <v>111.690692442</v>
      </c>
      <c r="AF1075">
        <v>91.4</v>
      </c>
      <c r="AG1075">
        <v>103.01761822500001</v>
      </c>
      <c r="AH1075">
        <v>105.291225731</v>
      </c>
      <c r="AI1075">
        <v>114.50737005400001</v>
      </c>
      <c r="AJ1075"/>
      <c r="AK1075">
        <v>100.108899467</v>
      </c>
      <c r="AL1075">
        <v>78.8</v>
      </c>
      <c r="AM1075">
        <v>115.26680334300001</v>
      </c>
      <c r="AN1075">
        <v>89.6</v>
      </c>
      <c r="AO1075">
        <v>86.121530383000007</v>
      </c>
      <c r="AP1075">
        <v>111.709309109</v>
      </c>
      <c r="AQ1075">
        <v>116.609717476</v>
      </c>
      <c r="AR1075">
        <v>71.394050496000006</v>
      </c>
      <c r="AS1075">
        <v>99.203324576</v>
      </c>
      <c r="AT1075"/>
    </row>
    <row r="1076" spans="1:46" x14ac:dyDescent="0.2">
      <c r="A1076" s="87">
        <v>39630</v>
      </c>
      <c r="B1076"/>
      <c r="C1076"/>
      <c r="D1076">
        <v>96.190018635000001</v>
      </c>
      <c r="E1076">
        <v>103.19140071699999</v>
      </c>
      <c r="F1076">
        <v>113.62510322</v>
      </c>
      <c r="G1076">
        <v>97.601855592000007</v>
      </c>
      <c r="H1076"/>
      <c r="I1076"/>
      <c r="J1076">
        <v>95.495510394999997</v>
      </c>
      <c r="K1076">
        <v>91.784702550000006</v>
      </c>
      <c r="L1076">
        <v>97.691859011999995</v>
      </c>
      <c r="M1076">
        <v>112.8</v>
      </c>
      <c r="N1076">
        <v>106</v>
      </c>
      <c r="O1076">
        <v>127.23310602799999</v>
      </c>
      <c r="P1076">
        <v>84.807067255999996</v>
      </c>
      <c r="Q1076"/>
      <c r="R1076">
        <v>126.51054254500001</v>
      </c>
      <c r="S1076">
        <v>110.35</v>
      </c>
      <c r="T1076">
        <v>103.46639443399999</v>
      </c>
      <c r="U1076">
        <v>104.10467825800001</v>
      </c>
      <c r="V1076">
        <v>140.23639087699999</v>
      </c>
      <c r="W1076">
        <v>91.407617301000002</v>
      </c>
      <c r="X1076">
        <v>79.190139148</v>
      </c>
      <c r="Y1076">
        <v>61.317238840999998</v>
      </c>
      <c r="Z1076">
        <v>68.657053103999999</v>
      </c>
      <c r="AA1076">
        <v>92.084309133000005</v>
      </c>
      <c r="AB1076">
        <v>124.38963419700001</v>
      </c>
      <c r="AC1076">
        <v>115.162332963</v>
      </c>
      <c r="AD1076">
        <v>81.806182817999996</v>
      </c>
      <c r="AE1076">
        <v>116.990250812</v>
      </c>
      <c r="AF1076">
        <v>90</v>
      </c>
      <c r="AG1076">
        <v>102.394615734</v>
      </c>
      <c r="AH1076">
        <v>105.291225731</v>
      </c>
      <c r="AI1076">
        <v>115.55469356099999</v>
      </c>
      <c r="AJ1076"/>
      <c r="AK1076">
        <v>99.653547341999996</v>
      </c>
      <c r="AL1076">
        <v>78.5</v>
      </c>
      <c r="AM1076">
        <v>114.75494270900001</v>
      </c>
      <c r="AN1076">
        <v>89</v>
      </c>
      <c r="AO1076">
        <v>85.621405351000007</v>
      </c>
      <c r="AP1076">
        <v>105.208767397</v>
      </c>
      <c r="AQ1076">
        <v>116.009667472</v>
      </c>
      <c r="AR1076">
        <v>69.894175485000005</v>
      </c>
      <c r="AS1076">
        <v>98.734591882999993</v>
      </c>
      <c r="AT1076"/>
    </row>
    <row r="1077" spans="1:46" x14ac:dyDescent="0.2">
      <c r="A1077" s="87">
        <v>39661</v>
      </c>
      <c r="B1077"/>
      <c r="C1077"/>
      <c r="D1077">
        <v>98.639106024</v>
      </c>
      <c r="E1077">
        <v>100.49162569800001</v>
      </c>
      <c r="F1077">
        <v>112.19377924600001</v>
      </c>
      <c r="G1077">
        <v>96.461372592999993</v>
      </c>
      <c r="H1077"/>
      <c r="I1077"/>
      <c r="J1077">
        <v>93.368484476999996</v>
      </c>
      <c r="K1077">
        <v>89.785035827000002</v>
      </c>
      <c r="L1077">
        <v>99.691692359000001</v>
      </c>
      <c r="M1077">
        <v>112.5</v>
      </c>
      <c r="N1077">
        <v>105.6</v>
      </c>
      <c r="O1077">
        <v>122.57910214899999</v>
      </c>
      <c r="P1077">
        <v>82.906908908999995</v>
      </c>
      <c r="Q1077"/>
      <c r="R1077">
        <v>122.010167514</v>
      </c>
      <c r="S1077">
        <v>108.84</v>
      </c>
      <c r="T1077">
        <v>102.00312406800001</v>
      </c>
      <c r="U1077">
        <v>104.9650475</v>
      </c>
      <c r="V1077">
        <v>136.44081904399999</v>
      </c>
      <c r="W1077">
        <v>92.107675639999997</v>
      </c>
      <c r="X1077">
        <v>80.172656333999996</v>
      </c>
      <c r="Y1077">
        <v>65.353610806999995</v>
      </c>
      <c r="Z1077">
        <v>71.789421376000007</v>
      </c>
      <c r="AA1077">
        <v>92.927400468000002</v>
      </c>
      <c r="AB1077">
        <v>121.189900842</v>
      </c>
      <c r="AC1077">
        <v>110.95408372</v>
      </c>
      <c r="AD1077">
        <v>81.870177484999999</v>
      </c>
      <c r="AE1077">
        <v>115.590367469</v>
      </c>
      <c r="AF1077">
        <v>86.8</v>
      </c>
      <c r="AG1077">
        <v>102.19861168600001</v>
      </c>
      <c r="AH1077">
        <v>103.791350721</v>
      </c>
      <c r="AI1077">
        <v>107.757951901</v>
      </c>
      <c r="AJ1077"/>
      <c r="AK1077">
        <v>98.286002014999994</v>
      </c>
      <c r="AL1077">
        <v>77.2</v>
      </c>
      <c r="AM1077">
        <v>111.967863034</v>
      </c>
      <c r="AN1077">
        <v>89.5</v>
      </c>
      <c r="AO1077">
        <v>82.120530133000003</v>
      </c>
      <c r="AP1077">
        <v>108.40903408600001</v>
      </c>
      <c r="AQ1077">
        <v>116.70972580999999</v>
      </c>
      <c r="AR1077">
        <v>68.994250479000002</v>
      </c>
      <c r="AS1077">
        <v>97.195971119000006</v>
      </c>
      <c r="AT1077"/>
    </row>
    <row r="1078" spans="1:46" x14ac:dyDescent="0.2">
      <c r="A1078" s="87">
        <v>39692</v>
      </c>
      <c r="B1078"/>
      <c r="C1078"/>
      <c r="D1078">
        <v>98.132398350000003</v>
      </c>
      <c r="E1078">
        <v>100.891592367</v>
      </c>
      <c r="F1078">
        <v>113.735205065</v>
      </c>
      <c r="G1078">
        <v>95.505753245999998</v>
      </c>
      <c r="H1078"/>
      <c r="I1078"/>
      <c r="J1078">
        <v>94.390688678999993</v>
      </c>
      <c r="K1078">
        <v>90.484919180000006</v>
      </c>
      <c r="L1078">
        <v>97.391884009999998</v>
      </c>
      <c r="M1078">
        <v>111.1</v>
      </c>
      <c r="N1078">
        <v>104.8</v>
      </c>
      <c r="O1078">
        <v>121.708101423</v>
      </c>
      <c r="P1078">
        <v>83.906992248999998</v>
      </c>
      <c r="Q1078"/>
      <c r="R1078">
        <v>125.310442537</v>
      </c>
      <c r="S1078">
        <v>108.38</v>
      </c>
      <c r="T1078">
        <v>99.931439386999998</v>
      </c>
      <c r="U1078">
        <v>105.39523212</v>
      </c>
      <c r="V1078">
        <v>136.540702514</v>
      </c>
      <c r="W1078">
        <v>89.107425618999997</v>
      </c>
      <c r="X1078">
        <v>82.172448841999994</v>
      </c>
      <c r="Y1078">
        <v>63.454141647</v>
      </c>
      <c r="Z1078">
        <v>74.645796028000007</v>
      </c>
      <c r="AA1078">
        <v>87.119437938999994</v>
      </c>
      <c r="AB1078">
        <v>120.38996750299999</v>
      </c>
      <c r="AC1078">
        <v>112.391046876</v>
      </c>
      <c r="AD1078">
        <v>80.568285975999999</v>
      </c>
      <c r="AE1078">
        <v>115.690359137</v>
      </c>
      <c r="AF1078">
        <v>88</v>
      </c>
      <c r="AG1078">
        <v>100.751352356</v>
      </c>
      <c r="AH1078">
        <v>106.691109074</v>
      </c>
      <c r="AI1078">
        <v>111.249030256</v>
      </c>
      <c r="AJ1078"/>
      <c r="AK1078">
        <v>96.820039233000003</v>
      </c>
      <c r="AL1078">
        <v>77.8</v>
      </c>
      <c r="AM1078">
        <v>111.845522054</v>
      </c>
      <c r="AN1078">
        <v>88.1</v>
      </c>
      <c r="AO1078">
        <v>81.420355088999997</v>
      </c>
      <c r="AP1078">
        <v>107.50895908</v>
      </c>
      <c r="AQ1078">
        <v>113.30944245400001</v>
      </c>
      <c r="AR1078">
        <v>68.794267144000003</v>
      </c>
      <c r="AS1078">
        <v>93.018114699999998</v>
      </c>
      <c r="AT1078"/>
    </row>
    <row r="1079" spans="1:46" x14ac:dyDescent="0.2">
      <c r="A1079" s="87">
        <v>39722</v>
      </c>
      <c r="B1079"/>
      <c r="C1079"/>
      <c r="D1079">
        <v>94.332090272000002</v>
      </c>
      <c r="E1079">
        <v>98.791767352999997</v>
      </c>
      <c r="F1079">
        <v>110.32204789399999</v>
      </c>
      <c r="G1079">
        <v>95.127732491000003</v>
      </c>
      <c r="H1079"/>
      <c r="I1079"/>
      <c r="J1079">
        <v>92.534204462999995</v>
      </c>
      <c r="K1079">
        <v>88.085319112999997</v>
      </c>
      <c r="L1079">
        <v>95.292058995000005</v>
      </c>
      <c r="M1079">
        <v>110.3</v>
      </c>
      <c r="N1079">
        <v>102.1</v>
      </c>
      <c r="O1079">
        <v>114.870095725</v>
      </c>
      <c r="P1079">
        <v>75.406283857000005</v>
      </c>
      <c r="Q1079"/>
      <c r="R1079">
        <v>123.91032586</v>
      </c>
      <c r="S1079">
        <v>106.34</v>
      </c>
      <c r="T1079">
        <v>99.363699847999996</v>
      </c>
      <c r="U1079">
        <v>106.040509052</v>
      </c>
      <c r="V1079">
        <v>135.04245047399999</v>
      </c>
      <c r="W1079">
        <v>87.407283939999999</v>
      </c>
      <c r="X1079">
        <v>79.667212038000002</v>
      </c>
      <c r="Y1079">
        <v>61.198522017999998</v>
      </c>
      <c r="Z1079">
        <v>77.902443238999993</v>
      </c>
      <c r="AA1079">
        <v>89.742388758999994</v>
      </c>
      <c r="AB1079">
        <v>117.89017581900001</v>
      </c>
      <c r="AC1079">
        <v>109.92768146500001</v>
      </c>
      <c r="AD1079">
        <v>80.176318640000005</v>
      </c>
      <c r="AE1079">
        <v>102.591450712</v>
      </c>
      <c r="AF1079">
        <v>86.2</v>
      </c>
      <c r="AG1079">
        <v>100.76948824500001</v>
      </c>
      <c r="AH1079">
        <v>106.891092409</v>
      </c>
      <c r="AI1079">
        <v>114.04189294</v>
      </c>
      <c r="AJ1079"/>
      <c r="AK1079">
        <v>95.871730358999997</v>
      </c>
      <c r="AL1079">
        <v>76.7</v>
      </c>
      <c r="AM1079">
        <v>111.400229465</v>
      </c>
      <c r="AN1079">
        <v>85.5</v>
      </c>
      <c r="AO1079">
        <v>79.119779945000005</v>
      </c>
      <c r="AP1079">
        <v>107.30894241199999</v>
      </c>
      <c r="AQ1079">
        <v>110.409200767</v>
      </c>
      <c r="AR1079">
        <v>65.394550453999997</v>
      </c>
      <c r="AS1079">
        <v>93.869049394000001</v>
      </c>
      <c r="AT1079"/>
    </row>
    <row r="1080" spans="1:46" x14ac:dyDescent="0.2">
      <c r="A1080" s="87">
        <v>39753</v>
      </c>
      <c r="B1080"/>
      <c r="C1080"/>
      <c r="D1080">
        <v>91.714100337999994</v>
      </c>
      <c r="E1080">
        <v>93.792183984999994</v>
      </c>
      <c r="F1080">
        <v>103.93614092999999</v>
      </c>
      <c r="G1080">
        <v>93.352666878999997</v>
      </c>
      <c r="H1080"/>
      <c r="I1080"/>
      <c r="J1080">
        <v>90.773451785999995</v>
      </c>
      <c r="K1080">
        <v>84.985835694000002</v>
      </c>
      <c r="L1080">
        <v>91.092408965999994</v>
      </c>
      <c r="M1080">
        <v>108</v>
      </c>
      <c r="N1080">
        <v>98.4</v>
      </c>
      <c r="O1080">
        <v>111.086092572</v>
      </c>
      <c r="P1080">
        <v>71.805983831999995</v>
      </c>
      <c r="Q1080"/>
      <c r="R1080">
        <v>119.409950829</v>
      </c>
      <c r="S1080">
        <v>101.01</v>
      </c>
      <c r="T1080">
        <v>96.182115905000003</v>
      </c>
      <c r="U1080">
        <v>103.029216706</v>
      </c>
      <c r="V1080">
        <v>130.24804394899999</v>
      </c>
      <c r="W1080">
        <v>84.607050588000007</v>
      </c>
      <c r="X1080">
        <v>78.980321920999998</v>
      </c>
      <c r="Y1080">
        <v>67.490513613000005</v>
      </c>
      <c r="Z1080">
        <v>77.231407704999995</v>
      </c>
      <c r="AA1080">
        <v>88.618266978999998</v>
      </c>
      <c r="AB1080">
        <v>113.890509124</v>
      </c>
      <c r="AC1080">
        <v>102.845505909</v>
      </c>
      <c r="AD1080">
        <v>71.749020915000003</v>
      </c>
      <c r="AE1080">
        <v>95.392050662000003</v>
      </c>
      <c r="AF1080">
        <v>82.2</v>
      </c>
      <c r="AG1080">
        <v>99.332569562000003</v>
      </c>
      <c r="AH1080">
        <v>101.591534039</v>
      </c>
      <c r="AI1080">
        <v>113.227307991</v>
      </c>
      <c r="AJ1080"/>
      <c r="AK1080">
        <v>92.551694269999999</v>
      </c>
      <c r="AL1080">
        <v>72.599999999999994</v>
      </c>
      <c r="AM1080">
        <v>108.411239373</v>
      </c>
      <c r="AN1080">
        <v>79.400000000000006</v>
      </c>
      <c r="AO1080">
        <v>76.819204800999998</v>
      </c>
      <c r="AP1080">
        <v>94.407867322000001</v>
      </c>
      <c r="AQ1080">
        <v>106.408867406</v>
      </c>
      <c r="AR1080">
        <v>62.894758770000003</v>
      </c>
      <c r="AS1080">
        <v>92.649987565000004</v>
      </c>
      <c r="AT1080"/>
    </row>
    <row r="1081" spans="1:46" x14ac:dyDescent="0.2">
      <c r="A1081" s="87">
        <v>39783</v>
      </c>
      <c r="B1081"/>
      <c r="C1081"/>
      <c r="D1081">
        <v>92.980869654000003</v>
      </c>
      <c r="E1081">
        <v>93.192233981000001</v>
      </c>
      <c r="F1081">
        <v>92.265345444999994</v>
      </c>
      <c r="G1081">
        <v>90.390835471000003</v>
      </c>
      <c r="H1081"/>
      <c r="I1081"/>
      <c r="J1081">
        <v>90.293818424999998</v>
      </c>
      <c r="K1081">
        <v>82.686218964000005</v>
      </c>
      <c r="L1081">
        <v>87.692692276000002</v>
      </c>
      <c r="M1081">
        <v>108</v>
      </c>
      <c r="N1081">
        <v>95</v>
      </c>
      <c r="O1081">
        <v>107.09808924799999</v>
      </c>
      <c r="P1081">
        <v>67.605633803000003</v>
      </c>
      <c r="Q1081"/>
      <c r="R1081">
        <v>104.108675723</v>
      </c>
      <c r="S1081">
        <v>99.62</v>
      </c>
      <c r="T1081">
        <v>92.469304835000003</v>
      </c>
      <c r="U1081">
        <v>102.168847464</v>
      </c>
      <c r="V1081">
        <v>129.249209256</v>
      </c>
      <c r="W1081">
        <v>75.206267189000002</v>
      </c>
      <c r="X1081">
        <v>76.862184321000001</v>
      </c>
      <c r="Y1081">
        <v>60.308145848999999</v>
      </c>
      <c r="Z1081">
        <v>75.752588971999998</v>
      </c>
      <c r="AA1081">
        <v>89.367681499</v>
      </c>
      <c r="AB1081">
        <v>109.190900758</v>
      </c>
      <c r="AC1081">
        <v>94.531647645999996</v>
      </c>
      <c r="AD1081">
        <v>63.819681693</v>
      </c>
      <c r="AE1081">
        <v>86.192817265000002</v>
      </c>
      <c r="AF1081">
        <v>81.3</v>
      </c>
      <c r="AG1081">
        <v>98.202058269999995</v>
      </c>
      <c r="AH1081">
        <v>97.591867343999994</v>
      </c>
      <c r="AI1081">
        <v>113.692785105</v>
      </c>
      <c r="AJ1081"/>
      <c r="AK1081">
        <v>89.037403866999995</v>
      </c>
      <c r="AL1081">
        <v>72.3</v>
      </c>
      <c r="AM1081">
        <v>104.77436118</v>
      </c>
      <c r="AN1081">
        <v>76.3</v>
      </c>
      <c r="AO1081">
        <v>74.218554639000004</v>
      </c>
      <c r="AP1081">
        <v>85.307108925999998</v>
      </c>
      <c r="AQ1081">
        <v>98.80823402</v>
      </c>
      <c r="AR1081">
        <v>61.094908758000003</v>
      </c>
      <c r="AS1081">
        <v>90.024628538000002</v>
      </c>
      <c r="AT1081"/>
    </row>
    <row r="1082" spans="1:46" x14ac:dyDescent="0.2">
      <c r="A1082" s="87">
        <v>39814</v>
      </c>
      <c r="B1082"/>
      <c r="C1082"/>
      <c r="D1082">
        <v>90.531782274999998</v>
      </c>
      <c r="E1082">
        <v>88.092658944999997</v>
      </c>
      <c r="F1082">
        <v>94.357280484</v>
      </c>
      <c r="G1082">
        <v>88.645733288000002</v>
      </c>
      <c r="H1082"/>
      <c r="I1082"/>
      <c r="J1082">
        <v>87.618709654</v>
      </c>
      <c r="K1082">
        <v>78.286952174999996</v>
      </c>
      <c r="L1082">
        <v>80.693275560000004</v>
      </c>
      <c r="M1082">
        <v>104.7</v>
      </c>
      <c r="N1082">
        <v>91.1</v>
      </c>
      <c r="O1082">
        <v>106.65708888100001</v>
      </c>
      <c r="P1082">
        <v>66.005500458</v>
      </c>
      <c r="Q1082"/>
      <c r="R1082">
        <v>99.808317360000004</v>
      </c>
      <c r="S1082">
        <v>95.93</v>
      </c>
      <c r="T1082">
        <v>88.542529950000002</v>
      </c>
      <c r="U1082">
        <v>101.093385911</v>
      </c>
      <c r="V1082">
        <v>123.555851507</v>
      </c>
      <c r="W1082">
        <v>74.306192182999993</v>
      </c>
      <c r="X1082">
        <v>75.370250265999999</v>
      </c>
      <c r="Y1082">
        <v>62.741840711000002</v>
      </c>
      <c r="Z1082">
        <v>70.574202924999994</v>
      </c>
      <c r="AA1082">
        <v>86.088992974000007</v>
      </c>
      <c r="AB1082">
        <v>104.991250729</v>
      </c>
      <c r="AC1082">
        <v>86.936270962999998</v>
      </c>
      <c r="AD1082">
        <v>65.178568452999997</v>
      </c>
      <c r="AE1082">
        <v>90.092492292000003</v>
      </c>
      <c r="AF1082">
        <v>76.5</v>
      </c>
      <c r="AG1082">
        <v>95.415792326000002</v>
      </c>
      <c r="AH1082">
        <v>100.49162569800001</v>
      </c>
      <c r="AI1082">
        <v>111.481768813</v>
      </c>
      <c r="AJ1082"/>
      <c r="AK1082">
        <v>85.948384636</v>
      </c>
      <c r="AL1082">
        <v>71.3</v>
      </c>
      <c r="AM1082">
        <v>100.77724409</v>
      </c>
      <c r="AN1082">
        <v>76.099999999999994</v>
      </c>
      <c r="AO1082">
        <v>69.817454364</v>
      </c>
      <c r="AP1082">
        <v>91.107592299000004</v>
      </c>
      <c r="AQ1082">
        <v>95.907992332999996</v>
      </c>
      <c r="AR1082">
        <v>56.995250396000003</v>
      </c>
      <c r="AS1082">
        <v>87.802385573999999</v>
      </c>
      <c r="AT1082"/>
    </row>
    <row r="1083" spans="1:46" x14ac:dyDescent="0.2">
      <c r="A1083" s="87">
        <v>39845</v>
      </c>
      <c r="B1083"/>
      <c r="C1083"/>
      <c r="D1083">
        <v>88.167146177999996</v>
      </c>
      <c r="E1083">
        <v>87.592700608000001</v>
      </c>
      <c r="F1083">
        <v>96.449215523999996</v>
      </c>
      <c r="G1083">
        <v>87.567049859999997</v>
      </c>
      <c r="H1083"/>
      <c r="I1083"/>
      <c r="J1083">
        <v>86.731737043999999</v>
      </c>
      <c r="K1083">
        <v>78.586902183000007</v>
      </c>
      <c r="L1083">
        <v>78.193483876000002</v>
      </c>
      <c r="M1083">
        <v>101.8</v>
      </c>
      <c r="N1083">
        <v>89.1</v>
      </c>
      <c r="O1083">
        <v>106.03108835899999</v>
      </c>
      <c r="P1083">
        <v>65.505458787999999</v>
      </c>
      <c r="Q1083"/>
      <c r="R1083">
        <v>104.108675723</v>
      </c>
      <c r="S1083">
        <v>94.59</v>
      </c>
      <c r="T1083">
        <v>86.059366908000001</v>
      </c>
      <c r="U1083">
        <v>99.587739737999996</v>
      </c>
      <c r="V1083">
        <v>129.14932578700001</v>
      </c>
      <c r="W1083">
        <v>71.705975498000001</v>
      </c>
      <c r="X1083">
        <v>76.240268013999994</v>
      </c>
      <c r="Y1083">
        <v>61.910822953999997</v>
      </c>
      <c r="Z1083">
        <v>61.896357305000002</v>
      </c>
      <c r="AA1083">
        <v>85.807962528999994</v>
      </c>
      <c r="AB1083">
        <v>101.191567369</v>
      </c>
      <c r="AC1083">
        <v>79.648814955000006</v>
      </c>
      <c r="AD1083">
        <v>70.650112491000002</v>
      </c>
      <c r="AE1083">
        <v>87.192733938999993</v>
      </c>
      <c r="AF1083">
        <v>76.099999999999994</v>
      </c>
      <c r="AG1083">
        <v>95.869237464999998</v>
      </c>
      <c r="AH1083">
        <v>96.691942338000004</v>
      </c>
      <c r="AI1083">
        <v>114.50737005400001</v>
      </c>
      <c r="AJ1083"/>
      <c r="AK1083">
        <v>84.718605561000004</v>
      </c>
      <c r="AL1083">
        <v>72.7</v>
      </c>
      <c r="AM1083">
        <v>100.710498246</v>
      </c>
      <c r="AN1083">
        <v>76.900000000000006</v>
      </c>
      <c r="AO1083">
        <v>72.518129532000003</v>
      </c>
      <c r="AP1083">
        <v>87.007250604000006</v>
      </c>
      <c r="AQ1083">
        <v>98.308192348999995</v>
      </c>
      <c r="AR1083">
        <v>58.195150404000003</v>
      </c>
      <c r="AS1083">
        <v>87.231362304000001</v>
      </c>
      <c r="AT1083"/>
    </row>
    <row r="1084" spans="1:46" x14ac:dyDescent="0.2">
      <c r="A1084" s="87">
        <v>39873</v>
      </c>
      <c r="B1084"/>
      <c r="C1084"/>
      <c r="D1084">
        <v>89.349464230999999</v>
      </c>
      <c r="E1084">
        <v>85.792850595999994</v>
      </c>
      <c r="F1084">
        <v>96.889622900999996</v>
      </c>
      <c r="G1084">
        <v>85.791716717</v>
      </c>
      <c r="H1084"/>
      <c r="I1084"/>
      <c r="J1084">
        <v>86.244590383000002</v>
      </c>
      <c r="K1084">
        <v>79.986668889000001</v>
      </c>
      <c r="L1084">
        <v>78.493458877999998</v>
      </c>
      <c r="M1084">
        <v>98.3</v>
      </c>
      <c r="N1084">
        <v>87.9</v>
      </c>
      <c r="O1084">
        <v>102.710085592</v>
      </c>
      <c r="P1084">
        <v>61.405117093000001</v>
      </c>
      <c r="Q1084"/>
      <c r="R1084">
        <v>102.208517376</v>
      </c>
      <c r="S1084">
        <v>92.85</v>
      </c>
      <c r="T1084">
        <v>85.188002136999998</v>
      </c>
      <c r="U1084">
        <v>99.050008962000007</v>
      </c>
      <c r="V1084">
        <v>125.05410354599999</v>
      </c>
      <c r="W1084">
        <v>75.106258854999993</v>
      </c>
      <c r="X1084">
        <v>75.681893352000003</v>
      </c>
      <c r="Y1084">
        <v>63.454141647</v>
      </c>
      <c r="Z1084">
        <v>63.9711584</v>
      </c>
      <c r="AA1084">
        <v>81.405152224999995</v>
      </c>
      <c r="AB1084">
        <v>97.191900674999999</v>
      </c>
      <c r="AC1084">
        <v>80.367296533000001</v>
      </c>
      <c r="AD1084">
        <v>73.535872010999995</v>
      </c>
      <c r="AE1084">
        <v>82.393133906000003</v>
      </c>
      <c r="AF1084">
        <v>73</v>
      </c>
      <c r="AG1084">
        <v>94.953457373000006</v>
      </c>
      <c r="AH1084">
        <v>94.792100657999995</v>
      </c>
      <c r="AI1084">
        <v>110.89992242</v>
      </c>
      <c r="AJ1084"/>
      <c r="AK1084">
        <v>84.072031976000005</v>
      </c>
      <c r="AL1084">
        <v>74.5</v>
      </c>
      <c r="AM1084">
        <v>101.31876657700001</v>
      </c>
      <c r="AN1084">
        <v>76.7</v>
      </c>
      <c r="AO1084">
        <v>71.817954489000002</v>
      </c>
      <c r="AP1084">
        <v>86.007167264000003</v>
      </c>
      <c r="AQ1084">
        <v>94.207850653999998</v>
      </c>
      <c r="AR1084">
        <v>57.595200400000003</v>
      </c>
      <c r="AS1084">
        <v>85.841320585999995</v>
      </c>
      <c r="AT1084"/>
    </row>
    <row r="1085" spans="1:46" x14ac:dyDescent="0.2">
      <c r="A1085" s="87">
        <v>39904</v>
      </c>
      <c r="B1085"/>
      <c r="C1085"/>
      <c r="D1085">
        <v>87.153730698999993</v>
      </c>
      <c r="E1085">
        <v>85.692858928000007</v>
      </c>
      <c r="F1085">
        <v>98.100743187000006</v>
      </c>
      <c r="G1085">
        <v>84.177169473000006</v>
      </c>
      <c r="H1085"/>
      <c r="I1085"/>
      <c r="J1085">
        <v>85.857078798000003</v>
      </c>
      <c r="K1085">
        <v>78.386935511000004</v>
      </c>
      <c r="L1085">
        <v>76.193650528999996</v>
      </c>
      <c r="M1085">
        <v>96.5</v>
      </c>
      <c r="N1085">
        <v>86.6</v>
      </c>
      <c r="O1085">
        <v>103.96208663500001</v>
      </c>
      <c r="P1085">
        <v>58.804900408000002</v>
      </c>
      <c r="Q1085"/>
      <c r="R1085">
        <v>99.208267355999993</v>
      </c>
      <c r="S1085">
        <v>92.81</v>
      </c>
      <c r="T1085">
        <v>85.243245396000006</v>
      </c>
      <c r="U1085">
        <v>99.910378203999997</v>
      </c>
      <c r="V1085">
        <v>123.356084568</v>
      </c>
      <c r="W1085">
        <v>71.805983831999995</v>
      </c>
      <c r="X1085">
        <v>78.040487854000006</v>
      </c>
      <c r="Y1085">
        <v>62.860557534000002</v>
      </c>
      <c r="Z1085">
        <v>65.096035133000001</v>
      </c>
      <c r="AA1085">
        <v>82.341920375000001</v>
      </c>
      <c r="AB1085">
        <v>97.691859011999995</v>
      </c>
      <c r="AC1085">
        <v>83.857064199000007</v>
      </c>
      <c r="AD1085">
        <v>76.269644196000002</v>
      </c>
      <c r="AE1085">
        <v>88.492625614999994</v>
      </c>
      <c r="AF1085">
        <v>75</v>
      </c>
      <c r="AG1085">
        <v>95.012823337</v>
      </c>
      <c r="AH1085">
        <v>91.392383968000004</v>
      </c>
      <c r="AI1085">
        <v>109.736229635</v>
      </c>
      <c r="AJ1085"/>
      <c r="AK1085">
        <v>84.152899687000001</v>
      </c>
      <c r="AL1085">
        <v>73.3</v>
      </c>
      <c r="AM1085">
        <v>102.58241894699999</v>
      </c>
      <c r="AN1085">
        <v>76.900000000000006</v>
      </c>
      <c r="AO1085">
        <v>70.017504376000005</v>
      </c>
      <c r="AP1085">
        <v>81.206767231000001</v>
      </c>
      <c r="AQ1085">
        <v>94.007833985999994</v>
      </c>
      <c r="AR1085">
        <v>58.495125406</v>
      </c>
      <c r="AS1085">
        <v>85.18327103</v>
      </c>
      <c r="AT1085"/>
    </row>
    <row r="1086" spans="1:46" x14ac:dyDescent="0.2">
      <c r="A1086" s="87">
        <v>39934</v>
      </c>
      <c r="B1086"/>
      <c r="C1086"/>
      <c r="D1086">
        <v>85.295802335999994</v>
      </c>
      <c r="E1086">
        <v>95.692025665000003</v>
      </c>
      <c r="F1086">
        <v>99.421965318000005</v>
      </c>
      <c r="G1086">
        <v>83.430759065000004</v>
      </c>
      <c r="H1086"/>
      <c r="I1086"/>
      <c r="J1086">
        <v>86.372153716</v>
      </c>
      <c r="K1086">
        <v>78.286952174999996</v>
      </c>
      <c r="L1086">
        <v>79.693358887000002</v>
      </c>
      <c r="M1086">
        <v>94.5</v>
      </c>
      <c r="N1086">
        <v>88.7</v>
      </c>
      <c r="O1086">
        <v>103.02008585</v>
      </c>
      <c r="P1086">
        <v>59.10492541</v>
      </c>
      <c r="Q1086"/>
      <c r="R1086">
        <v>97.308109009000006</v>
      </c>
      <c r="S1086">
        <v>93.93</v>
      </c>
      <c r="T1086">
        <v>85.993646521000002</v>
      </c>
      <c r="U1086">
        <v>98.082093564999994</v>
      </c>
      <c r="V1086">
        <v>124.255035792</v>
      </c>
      <c r="W1086">
        <v>72.406033836000006</v>
      </c>
      <c r="X1086">
        <v>79.007656539999999</v>
      </c>
      <c r="Y1086">
        <v>60.486221082999997</v>
      </c>
      <c r="Z1086">
        <v>66.518260871999999</v>
      </c>
      <c r="AA1086">
        <v>81.967213115000007</v>
      </c>
      <c r="AB1086">
        <v>99.391717357000005</v>
      </c>
      <c r="AC1086">
        <v>86.936270962999998</v>
      </c>
      <c r="AD1086">
        <v>77.323556370000006</v>
      </c>
      <c r="AE1086">
        <v>89.492542287999996</v>
      </c>
      <c r="AF1086">
        <v>73.3</v>
      </c>
      <c r="AG1086">
        <v>94.501937526999995</v>
      </c>
      <c r="AH1086">
        <v>96.091992333999997</v>
      </c>
      <c r="AI1086">
        <v>105.314197052</v>
      </c>
      <c r="AJ1086"/>
      <c r="AK1086">
        <v>84.822304325999994</v>
      </c>
      <c r="AL1086">
        <v>73.900000000000006</v>
      </c>
      <c r="AM1086">
        <v>100.151825101</v>
      </c>
      <c r="AN1086">
        <v>77.099999999999994</v>
      </c>
      <c r="AO1086">
        <v>69.717429357</v>
      </c>
      <c r="AP1086">
        <v>84.307025585000005</v>
      </c>
      <c r="AQ1086">
        <v>91.207600632999998</v>
      </c>
      <c r="AR1086">
        <v>60.394967086000001</v>
      </c>
      <c r="AS1086">
        <v>84.313900243999996</v>
      </c>
      <c r="AT1086"/>
    </row>
    <row r="1087" spans="1:46" x14ac:dyDescent="0.2">
      <c r="A1087" s="87">
        <v>39965</v>
      </c>
      <c r="B1087"/>
      <c r="C1087"/>
      <c r="D1087">
        <v>86.647022965000005</v>
      </c>
      <c r="E1087">
        <v>86.892758936999996</v>
      </c>
      <c r="F1087">
        <v>100.743187448</v>
      </c>
      <c r="G1087">
        <v>83.068790145999998</v>
      </c>
      <c r="H1087"/>
      <c r="I1087"/>
      <c r="J1087">
        <v>88.289889285000001</v>
      </c>
      <c r="K1087">
        <v>80.686552241000001</v>
      </c>
      <c r="L1087">
        <v>80.293308890999995</v>
      </c>
      <c r="M1087">
        <v>97.3</v>
      </c>
      <c r="N1087">
        <v>89.3</v>
      </c>
      <c r="O1087">
        <v>103.712086427</v>
      </c>
      <c r="P1087">
        <v>60.205017085000001</v>
      </c>
      <c r="Q1087"/>
      <c r="R1087">
        <v>100.00833402799999</v>
      </c>
      <c r="S1087">
        <v>95.13</v>
      </c>
      <c r="T1087">
        <v>86.274924409999997</v>
      </c>
      <c r="U1087">
        <v>98.727370496999995</v>
      </c>
      <c r="V1087">
        <v>123.356084568</v>
      </c>
      <c r="W1087">
        <v>74.206183848999999</v>
      </c>
      <c r="X1087">
        <v>79.569937758999998</v>
      </c>
      <c r="Y1087">
        <v>61.435955663999998</v>
      </c>
      <c r="Z1087">
        <v>68.643021716999996</v>
      </c>
      <c r="AA1087">
        <v>84.121779859</v>
      </c>
      <c r="AB1087">
        <v>98.691775684999996</v>
      </c>
      <c r="AC1087">
        <v>88.373234119000003</v>
      </c>
      <c r="AD1087">
        <v>80.524289643000003</v>
      </c>
      <c r="AE1087">
        <v>91.392383968000004</v>
      </c>
      <c r="AF1087">
        <v>74.2</v>
      </c>
      <c r="AG1087">
        <v>94.604367198999995</v>
      </c>
      <c r="AH1087">
        <v>97.091909008000002</v>
      </c>
      <c r="AI1087">
        <v>106.710628394</v>
      </c>
      <c r="AJ1087"/>
      <c r="AK1087">
        <v>85.394949307999994</v>
      </c>
      <c r="AL1087">
        <v>75</v>
      </c>
      <c r="AM1087">
        <v>100.354065416</v>
      </c>
      <c r="AN1087">
        <v>77.599999999999994</v>
      </c>
      <c r="AO1087">
        <v>70.917729432000002</v>
      </c>
      <c r="AP1087">
        <v>84.807067255999996</v>
      </c>
      <c r="AQ1087">
        <v>93.507792316000007</v>
      </c>
      <c r="AR1087">
        <v>62.094825430999997</v>
      </c>
      <c r="AS1087">
        <v>84.036962383000002</v>
      </c>
      <c r="AT1087"/>
    </row>
    <row r="1088" spans="1:46" x14ac:dyDescent="0.2">
      <c r="A1088" s="87">
        <v>39995</v>
      </c>
      <c r="B1088"/>
      <c r="C1088"/>
      <c r="D1088">
        <v>86.815925539999995</v>
      </c>
      <c r="E1088">
        <v>86.392800600000001</v>
      </c>
      <c r="F1088">
        <v>101.954307735</v>
      </c>
      <c r="G1088">
        <v>83.160553145999998</v>
      </c>
      <c r="H1088"/>
      <c r="I1088"/>
      <c r="J1088">
        <v>84.394419190999997</v>
      </c>
      <c r="K1088">
        <v>78.786868854999994</v>
      </c>
      <c r="L1088">
        <v>79.493375552000003</v>
      </c>
      <c r="M1088">
        <v>96.4</v>
      </c>
      <c r="N1088">
        <v>89.4</v>
      </c>
      <c r="O1088">
        <v>104.768087307</v>
      </c>
      <c r="P1088">
        <v>61.105092091000003</v>
      </c>
      <c r="Q1088"/>
      <c r="R1088">
        <v>101.10842570200001</v>
      </c>
      <c r="S1088">
        <v>94.8</v>
      </c>
      <c r="T1088">
        <v>86.924510071</v>
      </c>
      <c r="U1088">
        <v>99.157555117000001</v>
      </c>
      <c r="V1088">
        <v>124.554686199</v>
      </c>
      <c r="W1088">
        <v>74.006167180999995</v>
      </c>
      <c r="X1088">
        <v>80.432426135</v>
      </c>
      <c r="Y1088">
        <v>60.842371550999999</v>
      </c>
      <c r="Z1088">
        <v>72.107162076999998</v>
      </c>
      <c r="AA1088">
        <v>79.625292740000006</v>
      </c>
      <c r="AB1088">
        <v>100.891592367</v>
      </c>
      <c r="AC1088">
        <v>89.399636373999996</v>
      </c>
      <c r="AD1088">
        <v>82.295142071000001</v>
      </c>
      <c r="AE1088">
        <v>92.592283976000004</v>
      </c>
      <c r="AF1088">
        <v>72.2</v>
      </c>
      <c r="AG1088">
        <v>95.863926926999994</v>
      </c>
      <c r="AH1088">
        <v>99.191734022000006</v>
      </c>
      <c r="AI1088">
        <v>107.408844065</v>
      </c>
      <c r="AJ1088"/>
      <c r="AK1088">
        <v>86.089277750999997</v>
      </c>
      <c r="AL1088">
        <v>75</v>
      </c>
      <c r="AM1088">
        <v>104.36551028700001</v>
      </c>
      <c r="AN1088">
        <v>78.599999999999994</v>
      </c>
      <c r="AO1088">
        <v>72.118029507000003</v>
      </c>
      <c r="AP1088">
        <v>84.007000583000007</v>
      </c>
      <c r="AQ1088">
        <v>93.007750646000005</v>
      </c>
      <c r="AR1088">
        <v>63.194733771999999</v>
      </c>
      <c r="AS1088">
        <v>84.991476198000001</v>
      </c>
      <c r="AT1088"/>
    </row>
    <row r="1089" spans="1:46" x14ac:dyDescent="0.2">
      <c r="A1089" s="87">
        <v>40026</v>
      </c>
      <c r="B1089"/>
      <c r="C1089"/>
      <c r="D1089">
        <v>86.309217805000003</v>
      </c>
      <c r="E1089">
        <v>90.692442295999996</v>
      </c>
      <c r="F1089">
        <v>103.495733554</v>
      </c>
      <c r="G1089">
        <v>82.912017207999995</v>
      </c>
      <c r="H1089"/>
      <c r="I1089"/>
      <c r="J1089">
        <v>89.137216938999998</v>
      </c>
      <c r="K1089">
        <v>81.386435594000005</v>
      </c>
      <c r="L1089">
        <v>80.493292225999994</v>
      </c>
      <c r="M1089">
        <v>97</v>
      </c>
      <c r="N1089">
        <v>89.4</v>
      </c>
      <c r="O1089">
        <v>104.86708738900001</v>
      </c>
      <c r="P1089">
        <v>62.005167096999998</v>
      </c>
      <c r="Q1089"/>
      <c r="R1089">
        <v>101.60846737200001</v>
      </c>
      <c r="S1089">
        <v>96.35</v>
      </c>
      <c r="T1089">
        <v>87.543757252000006</v>
      </c>
      <c r="U1089">
        <v>96.361355082000003</v>
      </c>
      <c r="V1089">
        <v>119.061095389</v>
      </c>
      <c r="W1089">
        <v>73.506125510000004</v>
      </c>
      <c r="X1089">
        <v>84.564172831999997</v>
      </c>
      <c r="Y1089">
        <v>54.312946310999997</v>
      </c>
      <c r="Z1089">
        <v>76.869791668999994</v>
      </c>
      <c r="AA1089">
        <v>85.714285713999999</v>
      </c>
      <c r="AB1089">
        <v>98.591784017999998</v>
      </c>
      <c r="AC1089">
        <v>90.733959304999999</v>
      </c>
      <c r="AD1089">
        <v>83.045079576999996</v>
      </c>
      <c r="AE1089">
        <v>95.092075660000006</v>
      </c>
      <c r="AF1089">
        <v>73.3</v>
      </c>
      <c r="AG1089">
        <v>94.913969193</v>
      </c>
      <c r="AH1089">
        <v>98.291809016000002</v>
      </c>
      <c r="AI1089">
        <v>107.641582622</v>
      </c>
      <c r="AJ1089"/>
      <c r="AK1089">
        <v>86.571195083999996</v>
      </c>
      <c r="AL1089">
        <v>75.5</v>
      </c>
      <c r="AM1089">
        <v>102.08607758300001</v>
      </c>
      <c r="AN1089">
        <v>78.2</v>
      </c>
      <c r="AO1089">
        <v>76.819204800999998</v>
      </c>
      <c r="AP1089">
        <v>87.407283939999999</v>
      </c>
      <c r="AQ1089">
        <v>94.507875655999996</v>
      </c>
      <c r="AR1089">
        <v>62.394800433</v>
      </c>
      <c r="AS1089">
        <v>85.945296182000007</v>
      </c>
      <c r="AT1089"/>
    </row>
    <row r="1090" spans="1:46" x14ac:dyDescent="0.2">
      <c r="A1090" s="87">
        <v>40057</v>
      </c>
      <c r="B1090"/>
      <c r="C1090"/>
      <c r="D1090">
        <v>88.082694884999995</v>
      </c>
      <c r="E1090">
        <v>89.092575619000002</v>
      </c>
      <c r="F1090">
        <v>105.14726121699999</v>
      </c>
      <c r="G1090">
        <v>84.334745002999995</v>
      </c>
      <c r="H1090"/>
      <c r="I1090"/>
      <c r="J1090">
        <v>89.611957634000007</v>
      </c>
      <c r="K1090">
        <v>81.486418929999999</v>
      </c>
      <c r="L1090">
        <v>84.092992250999998</v>
      </c>
      <c r="M1090">
        <v>93.7</v>
      </c>
      <c r="N1090">
        <v>91.6</v>
      </c>
      <c r="O1090">
        <v>106.012088343</v>
      </c>
      <c r="P1090">
        <v>60.505042087</v>
      </c>
      <c r="Q1090"/>
      <c r="R1090">
        <v>99.908325693999998</v>
      </c>
      <c r="S1090">
        <v>96.84</v>
      </c>
      <c r="T1090">
        <v>89.242377712999996</v>
      </c>
      <c r="U1090">
        <v>97.436816633999996</v>
      </c>
      <c r="V1090">
        <v>123.356084568</v>
      </c>
      <c r="W1090">
        <v>75.506292191</v>
      </c>
      <c r="X1090">
        <v>83.592095301000001</v>
      </c>
      <c r="Y1090">
        <v>59.477128092000001</v>
      </c>
      <c r="Z1090">
        <v>76.005396528999995</v>
      </c>
      <c r="AA1090">
        <v>86.276346603999997</v>
      </c>
      <c r="AB1090">
        <v>101.49154237099999</v>
      </c>
      <c r="AC1090">
        <v>93.505245392000006</v>
      </c>
      <c r="AD1090">
        <v>85.492875593999997</v>
      </c>
      <c r="AE1090">
        <v>105.391217399</v>
      </c>
      <c r="AF1090">
        <v>72.3</v>
      </c>
      <c r="AG1090">
        <v>95.214373441999996</v>
      </c>
      <c r="AH1090">
        <v>97.691859011999995</v>
      </c>
      <c r="AI1090">
        <v>110.201706749</v>
      </c>
      <c r="AJ1090"/>
      <c r="AK1090">
        <v>88.050793487000007</v>
      </c>
      <c r="AL1090">
        <v>76.5</v>
      </c>
      <c r="AM1090">
        <v>105.50978995200001</v>
      </c>
      <c r="AN1090">
        <v>78.900000000000006</v>
      </c>
      <c r="AO1090">
        <v>75.718929732000007</v>
      </c>
      <c r="AP1090">
        <v>89.607467288999999</v>
      </c>
      <c r="AQ1090">
        <v>95.907992332999996</v>
      </c>
      <c r="AR1090">
        <v>63.094742105000002</v>
      </c>
      <c r="AS1090">
        <v>86.636947003000003</v>
      </c>
      <c r="AT1090"/>
    </row>
    <row r="1091" spans="1:46" x14ac:dyDescent="0.2">
      <c r="A1091" s="87">
        <v>40087</v>
      </c>
      <c r="B1091"/>
      <c r="C1091"/>
      <c r="D1091">
        <v>88.589402620000001</v>
      </c>
      <c r="E1091">
        <v>89.892508957999993</v>
      </c>
      <c r="F1091">
        <v>107.239196257</v>
      </c>
      <c r="G1091">
        <v>84.338490432</v>
      </c>
      <c r="H1091"/>
      <c r="I1091"/>
      <c r="J1091">
        <v>90.166653890000006</v>
      </c>
      <c r="K1091">
        <v>82.386268955000006</v>
      </c>
      <c r="L1091">
        <v>82.293142238000001</v>
      </c>
      <c r="M1091">
        <v>93.6</v>
      </c>
      <c r="N1091">
        <v>91.2</v>
      </c>
      <c r="O1091">
        <v>105.349087791</v>
      </c>
      <c r="P1091">
        <v>61.205100424999998</v>
      </c>
      <c r="Q1091"/>
      <c r="R1091">
        <v>101.208434036</v>
      </c>
      <c r="S1091">
        <v>96.19</v>
      </c>
      <c r="T1091">
        <v>89.655361197000005</v>
      </c>
      <c r="U1091">
        <v>97.114178167999995</v>
      </c>
      <c r="V1091">
        <v>120.559347428</v>
      </c>
      <c r="W1091">
        <v>77.606467206000005</v>
      </c>
      <c r="X1091">
        <v>81.670290295000001</v>
      </c>
      <c r="Y1091">
        <v>59.595844913999997</v>
      </c>
      <c r="Z1091">
        <v>75.880603340999997</v>
      </c>
      <c r="AA1091">
        <v>88.430913348999994</v>
      </c>
      <c r="AB1091">
        <v>103.19140071699999</v>
      </c>
      <c r="AC1091">
        <v>96.071251028000006</v>
      </c>
      <c r="AD1091">
        <v>84.598950087000006</v>
      </c>
      <c r="AE1091">
        <v>97.791850679000007</v>
      </c>
      <c r="AF1091">
        <v>73.599999999999994</v>
      </c>
      <c r="AG1091">
        <v>96.101712379000006</v>
      </c>
      <c r="AH1091">
        <v>99.691692359000001</v>
      </c>
      <c r="AI1091">
        <v>107.87432117900001</v>
      </c>
      <c r="AJ1091"/>
      <c r="AK1091">
        <v>88.405654064000004</v>
      </c>
      <c r="AL1091">
        <v>77.400000000000006</v>
      </c>
      <c r="AM1091">
        <v>105.890176082</v>
      </c>
      <c r="AN1091">
        <v>79.5</v>
      </c>
      <c r="AO1091">
        <v>74.518629657000005</v>
      </c>
      <c r="AP1091">
        <v>86.807233936000003</v>
      </c>
      <c r="AQ1091">
        <v>95.007917325999998</v>
      </c>
      <c r="AR1091">
        <v>64.294642112999995</v>
      </c>
      <c r="AS1091">
        <v>86.887023674999995</v>
      </c>
      <c r="AT1091"/>
    </row>
    <row r="1092" spans="1:46" x14ac:dyDescent="0.2">
      <c r="A1092" s="87">
        <v>40118</v>
      </c>
      <c r="B1092"/>
      <c r="C1092"/>
      <c r="D1092">
        <v>89.096110354000004</v>
      </c>
      <c r="E1092">
        <v>91.492375635000002</v>
      </c>
      <c r="F1092">
        <v>109.000825764</v>
      </c>
      <c r="G1092">
        <v>85.646447594999998</v>
      </c>
      <c r="H1092"/>
      <c r="I1092"/>
      <c r="J1092">
        <v>88.235065222000003</v>
      </c>
      <c r="K1092">
        <v>81.086485585999995</v>
      </c>
      <c r="L1092">
        <v>83.293058912000006</v>
      </c>
      <c r="M1092">
        <v>95.2</v>
      </c>
      <c r="N1092">
        <v>91.5</v>
      </c>
      <c r="O1092">
        <v>104.77408731200001</v>
      </c>
      <c r="P1092">
        <v>63.105258771999999</v>
      </c>
      <c r="Q1092"/>
      <c r="R1092">
        <v>101.008417368</v>
      </c>
      <c r="S1092">
        <v>97.14</v>
      </c>
      <c r="T1092">
        <v>90.475044017000002</v>
      </c>
      <c r="U1092">
        <v>97.114178167999995</v>
      </c>
      <c r="V1092">
        <v>122.756783752</v>
      </c>
      <c r="W1092">
        <v>76.406367196999994</v>
      </c>
      <c r="X1092">
        <v>84.060035554999999</v>
      </c>
      <c r="Y1092">
        <v>56.746641173</v>
      </c>
      <c r="Z1092">
        <v>77.701142090000005</v>
      </c>
      <c r="AA1092">
        <v>87.962529274000005</v>
      </c>
      <c r="AB1092">
        <v>103.491375719</v>
      </c>
      <c r="AC1092">
        <v>98.021415312000002</v>
      </c>
      <c r="AD1092">
        <v>85.177901841999997</v>
      </c>
      <c r="AE1092">
        <v>97.291892341999997</v>
      </c>
      <c r="AF1092">
        <v>76.7</v>
      </c>
      <c r="AG1092">
        <v>97.700484598000003</v>
      </c>
      <c r="AH1092">
        <v>99.291725690000007</v>
      </c>
      <c r="AI1092">
        <v>107.87432117900001</v>
      </c>
      <c r="AJ1092"/>
      <c r="AK1092">
        <v>89.149366538999999</v>
      </c>
      <c r="AL1092">
        <v>77.8</v>
      </c>
      <c r="AM1092">
        <v>102.85683666</v>
      </c>
      <c r="AN1092">
        <v>81</v>
      </c>
      <c r="AO1092">
        <v>77.019254814000007</v>
      </c>
      <c r="AP1092">
        <v>89.907492290999997</v>
      </c>
      <c r="AQ1092">
        <v>94.007833985999994</v>
      </c>
      <c r="AR1092">
        <v>66.994417131999995</v>
      </c>
      <c r="AS1092">
        <v>87.230569353999996</v>
      </c>
      <c r="AT1092"/>
    </row>
    <row r="1093" spans="1:46" x14ac:dyDescent="0.2">
      <c r="A1093" s="87">
        <v>40148</v>
      </c>
      <c r="B1093"/>
      <c r="C1093"/>
      <c r="D1093">
        <v>89.433915524</v>
      </c>
      <c r="E1093">
        <v>90.392467293999999</v>
      </c>
      <c r="F1093">
        <v>109.110927608</v>
      </c>
      <c r="G1093">
        <v>85.146165350000004</v>
      </c>
      <c r="H1093"/>
      <c r="I1093"/>
      <c r="J1093">
        <v>87.592732718999997</v>
      </c>
      <c r="K1093">
        <v>82.686218964000005</v>
      </c>
      <c r="L1093">
        <v>83.293058912000006</v>
      </c>
      <c r="M1093">
        <v>89.8</v>
      </c>
      <c r="N1093">
        <v>91.5</v>
      </c>
      <c r="O1093">
        <v>105.671088059</v>
      </c>
      <c r="P1093">
        <v>63.105258771999999</v>
      </c>
      <c r="Q1093"/>
      <c r="R1093">
        <v>102.908575715</v>
      </c>
      <c r="S1093">
        <v>96.84</v>
      </c>
      <c r="T1093">
        <v>90.608450214000001</v>
      </c>
      <c r="U1093">
        <v>96.683993547</v>
      </c>
      <c r="V1093">
        <v>119.960046612</v>
      </c>
      <c r="W1093">
        <v>76.306358863</v>
      </c>
      <c r="X1093">
        <v>84.242951985000005</v>
      </c>
      <c r="Y1093">
        <v>57.815092575999998</v>
      </c>
      <c r="Z1093">
        <v>78.442483181</v>
      </c>
      <c r="AA1093">
        <v>85.152224824000001</v>
      </c>
      <c r="AB1093">
        <v>101.991500708</v>
      </c>
      <c r="AC1093">
        <v>98.842537116000003</v>
      </c>
      <c r="AD1093">
        <v>85.925839513</v>
      </c>
      <c r="AE1093">
        <v>97.891842346000004</v>
      </c>
      <c r="AF1093">
        <v>75.8</v>
      </c>
      <c r="AG1093">
        <v>97.335472602999999</v>
      </c>
      <c r="AH1093">
        <v>100.49162569800001</v>
      </c>
      <c r="AI1093">
        <v>107.05973623</v>
      </c>
      <c r="AJ1093"/>
      <c r="AK1093">
        <v>89.177700973</v>
      </c>
      <c r="AL1093">
        <v>76.3</v>
      </c>
      <c r="AM1093">
        <v>105.547557037</v>
      </c>
      <c r="AN1093">
        <v>81.2</v>
      </c>
      <c r="AO1093">
        <v>81.220305076000002</v>
      </c>
      <c r="AP1093">
        <v>87.707308941999997</v>
      </c>
      <c r="AQ1093">
        <v>94.907908992000003</v>
      </c>
      <c r="AR1093">
        <v>64.194650445999997</v>
      </c>
      <c r="AS1093">
        <v>87.503938938999994</v>
      </c>
      <c r="AT1093"/>
    </row>
    <row r="1094" spans="1:46" x14ac:dyDescent="0.2">
      <c r="A1094" s="87">
        <v>40179</v>
      </c>
      <c r="B1094"/>
      <c r="C1094"/>
      <c r="D1094">
        <v>87.972443722999998</v>
      </c>
      <c r="E1094">
        <v>93.592200649999995</v>
      </c>
      <c r="F1094">
        <v>110.87255711500001</v>
      </c>
      <c r="G1094">
        <v>86.084662738000006</v>
      </c>
      <c r="H1094"/>
      <c r="I1094"/>
      <c r="J1094">
        <v>87.140547193000003</v>
      </c>
      <c r="K1094">
        <v>81.986335611000001</v>
      </c>
      <c r="L1094">
        <v>84.092992250999998</v>
      </c>
      <c r="M1094">
        <v>95.3</v>
      </c>
      <c r="N1094">
        <v>93.1</v>
      </c>
      <c r="O1094">
        <v>104.33708694800001</v>
      </c>
      <c r="P1094">
        <v>67.805650471000007</v>
      </c>
      <c r="Q1094"/>
      <c r="R1094">
        <v>102.408534045</v>
      </c>
      <c r="S1094">
        <v>97.87</v>
      </c>
      <c r="T1094">
        <v>91.924089319000004</v>
      </c>
      <c r="U1094">
        <v>96.791539701999994</v>
      </c>
      <c r="V1094">
        <v>115.864824372</v>
      </c>
      <c r="W1094">
        <v>78.606550545999994</v>
      </c>
      <c r="X1094">
        <v>85.825364915999998</v>
      </c>
      <c r="Y1094">
        <v>63.217934898000003</v>
      </c>
      <c r="Z1094">
        <v>80.405377471999998</v>
      </c>
      <c r="AA1094">
        <v>90.398126464000001</v>
      </c>
      <c r="AB1094">
        <v>105.59120073299999</v>
      </c>
      <c r="AC1094">
        <v>101.10062207599999</v>
      </c>
      <c r="AD1094">
        <v>86.617781851999993</v>
      </c>
      <c r="AE1094">
        <v>100.591617365</v>
      </c>
      <c r="AF1094">
        <v>80.8</v>
      </c>
      <c r="AG1094">
        <v>97.950946459999997</v>
      </c>
      <c r="AH1094">
        <v>104.59128406000001</v>
      </c>
      <c r="AI1094">
        <v>107.17610550800001</v>
      </c>
      <c r="AJ1094"/>
      <c r="AK1094">
        <v>90.284680209000001</v>
      </c>
      <c r="AL1094">
        <v>79.400000000000006</v>
      </c>
      <c r="AM1094">
        <v>103.169282856</v>
      </c>
      <c r="AN1094">
        <v>82.6</v>
      </c>
      <c r="AO1094">
        <v>80.320080020000006</v>
      </c>
      <c r="AP1094">
        <v>86.307192266000001</v>
      </c>
      <c r="AQ1094">
        <v>97.508125676999995</v>
      </c>
      <c r="AR1094">
        <v>63.594700441999997</v>
      </c>
      <c r="AS1094">
        <v>88.487692792999994</v>
      </c>
      <c r="AT1094"/>
    </row>
    <row r="1095" spans="1:46" x14ac:dyDescent="0.2">
      <c r="A1095" s="87">
        <v>40210</v>
      </c>
      <c r="B1095"/>
      <c r="C1095"/>
      <c r="D1095">
        <v>89.167471696999996</v>
      </c>
      <c r="E1095">
        <v>95.092075660000006</v>
      </c>
      <c r="F1095">
        <v>110.65235342699999</v>
      </c>
      <c r="G1095">
        <v>87.217654879999998</v>
      </c>
      <c r="H1095"/>
      <c r="I1095"/>
      <c r="J1095">
        <v>88.697711904000002</v>
      </c>
      <c r="K1095">
        <v>81.886352274999993</v>
      </c>
      <c r="L1095">
        <v>83.293058912000006</v>
      </c>
      <c r="M1095">
        <v>96.4</v>
      </c>
      <c r="N1095">
        <v>92.6</v>
      </c>
      <c r="O1095">
        <v>104.19008682499999</v>
      </c>
      <c r="P1095">
        <v>68.405700475000003</v>
      </c>
      <c r="Q1095"/>
      <c r="R1095">
        <v>102.008500708</v>
      </c>
      <c r="S1095">
        <v>97.23</v>
      </c>
      <c r="T1095">
        <v>91.983406094000003</v>
      </c>
      <c r="U1095">
        <v>97.114178167999995</v>
      </c>
      <c r="V1095">
        <v>115.864824372</v>
      </c>
      <c r="W1095">
        <v>77.506458871999996</v>
      </c>
      <c r="X1095">
        <v>86.701702101999999</v>
      </c>
      <c r="Y1095">
        <v>63.532765251000001</v>
      </c>
      <c r="Z1095">
        <v>78.943641962000001</v>
      </c>
      <c r="AA1095">
        <v>90.117096019000002</v>
      </c>
      <c r="AB1095">
        <v>104.59128406000001</v>
      </c>
      <c r="AC1095">
        <v>101.408542752</v>
      </c>
      <c r="AD1095">
        <v>89.232563952999996</v>
      </c>
      <c r="AE1095">
        <v>96.891925673000003</v>
      </c>
      <c r="AF1095">
        <v>79.5</v>
      </c>
      <c r="AG1095">
        <v>98.169740868999995</v>
      </c>
      <c r="AH1095">
        <v>103.19140071699999</v>
      </c>
      <c r="AI1095">
        <v>106.82699767299999</v>
      </c>
      <c r="AJ1095"/>
      <c r="AK1095">
        <v>90.558202631</v>
      </c>
      <c r="AL1095">
        <v>79.599999999999994</v>
      </c>
      <c r="AM1095">
        <v>102.865733986</v>
      </c>
      <c r="AN1095">
        <v>82.6</v>
      </c>
      <c r="AO1095">
        <v>77.419354838999993</v>
      </c>
      <c r="AP1095">
        <v>89.107425618999997</v>
      </c>
      <c r="AQ1095">
        <v>96.408034002999997</v>
      </c>
      <c r="AR1095">
        <v>65.094575452000001</v>
      </c>
      <c r="AS1095">
        <v>88.775533719999999</v>
      </c>
      <c r="AT1095"/>
    </row>
    <row r="1096" spans="1:46" x14ac:dyDescent="0.2">
      <c r="A1096" s="87">
        <v>40238</v>
      </c>
      <c r="B1096"/>
      <c r="C1096"/>
      <c r="D1096">
        <v>89.627097844999994</v>
      </c>
      <c r="E1096">
        <v>94.892092325999997</v>
      </c>
      <c r="F1096">
        <v>113.404899532</v>
      </c>
      <c r="G1096">
        <v>88.335397778000001</v>
      </c>
      <c r="H1096"/>
      <c r="I1096"/>
      <c r="J1096">
        <v>82.164916457000004</v>
      </c>
      <c r="K1096">
        <v>84.785869022</v>
      </c>
      <c r="L1096">
        <v>86.092825598000005</v>
      </c>
      <c r="M1096">
        <v>98.2</v>
      </c>
      <c r="N1096">
        <v>94.3</v>
      </c>
      <c r="O1096">
        <v>106.846089038</v>
      </c>
      <c r="P1096">
        <v>69.805817150999999</v>
      </c>
      <c r="Q1096"/>
      <c r="R1096">
        <v>103.208600717</v>
      </c>
      <c r="S1096">
        <v>99.16</v>
      </c>
      <c r="T1096">
        <v>93.022742284000003</v>
      </c>
      <c r="U1096">
        <v>98.727370496999995</v>
      </c>
      <c r="V1096">
        <v>117.762610288</v>
      </c>
      <c r="W1096">
        <v>77.906492208000003</v>
      </c>
      <c r="X1096">
        <v>86.599090310999998</v>
      </c>
      <c r="Y1096">
        <v>65.484713439999993</v>
      </c>
      <c r="Z1096">
        <v>81.315882285000001</v>
      </c>
      <c r="AA1096">
        <v>91.990632318999999</v>
      </c>
      <c r="AB1096">
        <v>105.191234064</v>
      </c>
      <c r="AC1096">
        <v>101.716463429</v>
      </c>
      <c r="AD1096">
        <v>90.220481626999998</v>
      </c>
      <c r="AE1096">
        <v>100.39163403000001</v>
      </c>
      <c r="AF1096">
        <v>80</v>
      </c>
      <c r="AG1096">
        <v>98.983976124999998</v>
      </c>
      <c r="AH1096">
        <v>104.891259062</v>
      </c>
      <c r="AI1096">
        <v>105.663304888</v>
      </c>
      <c r="AJ1096"/>
      <c r="AK1096">
        <v>91.602307805999999</v>
      </c>
      <c r="AL1096">
        <v>82</v>
      </c>
      <c r="AM1096">
        <v>105.165533221</v>
      </c>
      <c r="AN1096">
        <v>83.5</v>
      </c>
      <c r="AO1096">
        <v>81.520380094999993</v>
      </c>
      <c r="AP1096">
        <v>90.707558962999997</v>
      </c>
      <c r="AQ1096">
        <v>99.108259021999999</v>
      </c>
      <c r="AR1096">
        <v>66.294475460000001</v>
      </c>
      <c r="AS1096">
        <v>89.434475344000006</v>
      </c>
      <c r="AT1096"/>
    </row>
    <row r="1097" spans="1:46" x14ac:dyDescent="0.2">
      <c r="A1097" s="87">
        <v>40269</v>
      </c>
      <c r="B1097"/>
      <c r="C1097"/>
      <c r="D1097">
        <v>89.535172615999997</v>
      </c>
      <c r="E1097">
        <v>94.292142321</v>
      </c>
      <c r="F1097">
        <v>113.62510322</v>
      </c>
      <c r="G1097">
        <v>88.162037940999994</v>
      </c>
      <c r="H1097"/>
      <c r="I1097"/>
      <c r="J1097">
        <v>89.970897777999994</v>
      </c>
      <c r="K1097">
        <v>85.785702383</v>
      </c>
      <c r="L1097">
        <v>87.692692276000002</v>
      </c>
      <c r="M1097">
        <v>100</v>
      </c>
      <c r="N1097">
        <v>94.8</v>
      </c>
      <c r="O1097">
        <v>106.840089033</v>
      </c>
      <c r="P1097">
        <v>70.705892157999997</v>
      </c>
      <c r="Q1097"/>
      <c r="R1097">
        <v>102.30852571</v>
      </c>
      <c r="S1097">
        <v>98.76</v>
      </c>
      <c r="T1097">
        <v>93.651018370000003</v>
      </c>
      <c r="U1097">
        <v>98.942462806999998</v>
      </c>
      <c r="V1097">
        <v>114.266688863</v>
      </c>
      <c r="W1097">
        <v>79.406617217999994</v>
      </c>
      <c r="X1097">
        <v>88.010335015999999</v>
      </c>
      <c r="Y1097">
        <v>61.014122426</v>
      </c>
      <c r="Z1097">
        <v>83.649449468</v>
      </c>
      <c r="AA1097">
        <v>94.800936768</v>
      </c>
      <c r="AB1097">
        <v>106.09115907</v>
      </c>
      <c r="AC1097">
        <v>102.948146134</v>
      </c>
      <c r="AD1097">
        <v>91.626364469999999</v>
      </c>
      <c r="AE1097">
        <v>102.891425715</v>
      </c>
      <c r="AF1097">
        <v>82.5</v>
      </c>
      <c r="AG1097">
        <v>99.789577408</v>
      </c>
      <c r="AH1097">
        <v>104.891259062</v>
      </c>
      <c r="AI1097">
        <v>104.848719938</v>
      </c>
      <c r="AJ1097"/>
      <c r="AK1097">
        <v>92.227933836999995</v>
      </c>
      <c r="AL1097">
        <v>80.599999999999994</v>
      </c>
      <c r="AM1097">
        <v>102.972062999</v>
      </c>
      <c r="AN1097">
        <v>82.6</v>
      </c>
      <c r="AO1097">
        <v>82.320580144999994</v>
      </c>
      <c r="AP1097">
        <v>90.007500625000006</v>
      </c>
      <c r="AQ1097">
        <v>100.608384032</v>
      </c>
      <c r="AR1097">
        <v>66.994417131999995</v>
      </c>
      <c r="AS1097">
        <v>89.770785352000004</v>
      </c>
      <c r="AT1097"/>
    </row>
    <row r="1098" spans="1:46" x14ac:dyDescent="0.2">
      <c r="A1098" s="87">
        <v>40299</v>
      </c>
      <c r="B1098"/>
      <c r="C1098"/>
      <c r="D1098">
        <v>91.741378095000002</v>
      </c>
      <c r="E1098">
        <v>96.591950671000006</v>
      </c>
      <c r="F1098">
        <v>113.404899532</v>
      </c>
      <c r="G1098">
        <v>90.347227982000007</v>
      </c>
      <c r="H1098"/>
      <c r="I1098"/>
      <c r="J1098">
        <v>88.007018228999996</v>
      </c>
      <c r="K1098">
        <v>84.785869022</v>
      </c>
      <c r="L1098">
        <v>90.392467293999999</v>
      </c>
      <c r="M1098">
        <v>99.8</v>
      </c>
      <c r="N1098">
        <v>96.5</v>
      </c>
      <c r="O1098">
        <v>105.933088278</v>
      </c>
      <c r="P1098">
        <v>72.006000499999999</v>
      </c>
      <c r="Q1098"/>
      <c r="R1098">
        <v>105.90882573499999</v>
      </c>
      <c r="S1098">
        <v>99.55</v>
      </c>
      <c r="T1098">
        <v>94.708320377000007</v>
      </c>
      <c r="U1098">
        <v>98.834916652000004</v>
      </c>
      <c r="V1098">
        <v>116.164474779</v>
      </c>
      <c r="W1098">
        <v>83.406950578999997</v>
      </c>
      <c r="X1098">
        <v>85.624094333000002</v>
      </c>
      <c r="Y1098">
        <v>62.021579555999999</v>
      </c>
      <c r="Z1098">
        <v>82.260679805999999</v>
      </c>
      <c r="AA1098">
        <v>95.644028102999997</v>
      </c>
      <c r="AB1098">
        <v>106.49112574</v>
      </c>
      <c r="AC1098">
        <v>102.537585232</v>
      </c>
      <c r="AD1098">
        <v>92.851262395000006</v>
      </c>
      <c r="AE1098">
        <v>102.191484043</v>
      </c>
      <c r="AF1098">
        <v>82.2</v>
      </c>
      <c r="AG1098">
        <v>99.704145249000007</v>
      </c>
      <c r="AH1098">
        <v>109.79085076200001</v>
      </c>
      <c r="AI1098">
        <v>104.848719938</v>
      </c>
      <c r="AJ1098"/>
      <c r="AK1098">
        <v>93.281353707999997</v>
      </c>
      <c r="AL1098">
        <v>83.7</v>
      </c>
      <c r="AM1098">
        <v>103.62286177599999</v>
      </c>
      <c r="AN1098">
        <v>82.8</v>
      </c>
      <c r="AO1098">
        <v>82.320580144999994</v>
      </c>
      <c r="AP1098">
        <v>93.10775898</v>
      </c>
      <c r="AQ1098">
        <v>103.108592383</v>
      </c>
      <c r="AR1098">
        <v>68.894258812000004</v>
      </c>
      <c r="AS1098">
        <v>91.015518943999993</v>
      </c>
      <c r="AT1098"/>
    </row>
    <row r="1099" spans="1:46" x14ac:dyDescent="0.2">
      <c r="A1099" s="87">
        <v>40330</v>
      </c>
      <c r="B1099"/>
      <c r="C1099"/>
      <c r="D1099">
        <v>93.212181758</v>
      </c>
      <c r="E1099">
        <v>97.391884009999998</v>
      </c>
      <c r="F1099">
        <v>112.63418662300001</v>
      </c>
      <c r="G1099">
        <v>90.928304471000004</v>
      </c>
      <c r="H1099"/>
      <c r="I1099"/>
      <c r="J1099">
        <v>90.771367007999999</v>
      </c>
      <c r="K1099">
        <v>86.685552408000007</v>
      </c>
      <c r="L1099">
        <v>90.092492292000003</v>
      </c>
      <c r="M1099">
        <v>99.5</v>
      </c>
      <c r="N1099">
        <v>96.6</v>
      </c>
      <c r="O1099">
        <v>106.47608873</v>
      </c>
      <c r="P1099">
        <v>74.206183848999999</v>
      </c>
      <c r="Q1099"/>
      <c r="R1099">
        <v>114.509542462</v>
      </c>
      <c r="S1099">
        <v>99.15</v>
      </c>
      <c r="T1099">
        <v>94.732084818999994</v>
      </c>
      <c r="U1099">
        <v>97.544362789000004</v>
      </c>
      <c r="V1099">
        <v>116.264358249</v>
      </c>
      <c r="W1099">
        <v>83.406950578999997</v>
      </c>
      <c r="X1099">
        <v>85.456183362999994</v>
      </c>
      <c r="Y1099">
        <v>64.036493816000004</v>
      </c>
      <c r="Z1099">
        <v>82.466433905000002</v>
      </c>
      <c r="AA1099">
        <v>96.018735363000005</v>
      </c>
      <c r="AB1099">
        <v>109.090909091</v>
      </c>
      <c r="AC1099">
        <v>101.921743879</v>
      </c>
      <c r="AD1099">
        <v>93.294225480999998</v>
      </c>
      <c r="AE1099">
        <v>104.49129239200001</v>
      </c>
      <c r="AF1099">
        <v>83.3</v>
      </c>
      <c r="AG1099">
        <v>99.739214423000007</v>
      </c>
      <c r="AH1099">
        <v>103.391384051</v>
      </c>
      <c r="AI1099">
        <v>102.055857254</v>
      </c>
      <c r="AJ1099"/>
      <c r="AK1099">
        <v>93.452549422000004</v>
      </c>
      <c r="AL1099">
        <v>85.6</v>
      </c>
      <c r="AM1099">
        <v>104.052776894</v>
      </c>
      <c r="AN1099">
        <v>82.8</v>
      </c>
      <c r="AO1099">
        <v>81.520380094999993</v>
      </c>
      <c r="AP1099">
        <v>93.007750646000005</v>
      </c>
      <c r="AQ1099">
        <v>105.10875906299999</v>
      </c>
      <c r="AR1099">
        <v>69.294225480999998</v>
      </c>
      <c r="AS1099">
        <v>91.196212473000003</v>
      </c>
      <c r="AT1099"/>
    </row>
    <row r="1100" spans="1:46" x14ac:dyDescent="0.2">
      <c r="A1100" s="87">
        <v>40360</v>
      </c>
      <c r="B1100"/>
      <c r="C1100"/>
      <c r="D1100">
        <v>92.201004243</v>
      </c>
      <c r="E1100">
        <v>97.891842346000004</v>
      </c>
      <c r="F1100">
        <v>112.08367740200001</v>
      </c>
      <c r="G1100">
        <v>90.958267899999996</v>
      </c>
      <c r="H1100"/>
      <c r="I1100"/>
      <c r="J1100">
        <v>91.461559354000002</v>
      </c>
      <c r="K1100">
        <v>87.085485751999997</v>
      </c>
      <c r="L1100">
        <v>89.492542287999996</v>
      </c>
      <c r="M1100">
        <v>99.6</v>
      </c>
      <c r="N1100">
        <v>96.2</v>
      </c>
      <c r="O1100">
        <v>105.196087663</v>
      </c>
      <c r="P1100">
        <v>77.806483873999994</v>
      </c>
      <c r="Q1100"/>
      <c r="R1100">
        <v>103.80865072100001</v>
      </c>
      <c r="S1100">
        <v>99.88</v>
      </c>
      <c r="T1100">
        <v>95.034627279000006</v>
      </c>
      <c r="U1100">
        <v>97.006632013000001</v>
      </c>
      <c r="V1100">
        <v>109.272515399</v>
      </c>
      <c r="W1100">
        <v>83.006917243000004</v>
      </c>
      <c r="X1100">
        <v>88.688327696000002</v>
      </c>
      <c r="Y1100">
        <v>63.343867039000003</v>
      </c>
      <c r="Z1100">
        <v>79.296380174999996</v>
      </c>
      <c r="AA1100">
        <v>96.955503512999996</v>
      </c>
      <c r="AB1100">
        <v>108.790934089</v>
      </c>
      <c r="AC1100">
        <v>103.15342658500001</v>
      </c>
      <c r="AD1100">
        <v>93.662194817</v>
      </c>
      <c r="AE1100">
        <v>97.891842346000004</v>
      </c>
      <c r="AF1100">
        <v>86.6</v>
      </c>
      <c r="AG1100">
        <v>100.088996771</v>
      </c>
      <c r="AH1100">
        <v>101.89150904100001</v>
      </c>
      <c r="AI1100">
        <v>100.54305663300001</v>
      </c>
      <c r="AJ1100"/>
      <c r="AK1100">
        <v>93.494803657000006</v>
      </c>
      <c r="AL1100">
        <v>84.8</v>
      </c>
      <c r="AM1100">
        <v>102.730099016</v>
      </c>
      <c r="AN1100">
        <v>83</v>
      </c>
      <c r="AO1100">
        <v>82.520630158000003</v>
      </c>
      <c r="AP1100">
        <v>92.107675639999997</v>
      </c>
      <c r="AQ1100">
        <v>105.308775731</v>
      </c>
      <c r="AR1100">
        <v>69.794183817999993</v>
      </c>
      <c r="AS1100">
        <v>91.582478343999995</v>
      </c>
      <c r="AT1100"/>
    </row>
    <row r="1101" spans="1:46" x14ac:dyDescent="0.2">
      <c r="A1101" s="87">
        <v>40391</v>
      </c>
      <c r="B1101"/>
      <c r="C1101"/>
      <c r="D1101">
        <v>93.579882666000003</v>
      </c>
      <c r="E1101">
        <v>95.992000666999999</v>
      </c>
      <c r="F1101">
        <v>111.64327002500001</v>
      </c>
      <c r="G1101">
        <v>90.982345655000003</v>
      </c>
      <c r="H1101"/>
      <c r="I1101"/>
      <c r="J1101">
        <v>93.011094326000006</v>
      </c>
      <c r="K1101">
        <v>89.085152475000001</v>
      </c>
      <c r="L1101">
        <v>90.992417298999996</v>
      </c>
      <c r="M1101">
        <v>93.5</v>
      </c>
      <c r="N1101">
        <v>97</v>
      </c>
      <c r="O1101">
        <v>104.20108683399999</v>
      </c>
      <c r="P1101">
        <v>77.106425535</v>
      </c>
      <c r="Q1101"/>
      <c r="R1101">
        <v>107.30894241199999</v>
      </c>
      <c r="S1101">
        <v>98.72</v>
      </c>
      <c r="T1101">
        <v>95.641666405999999</v>
      </c>
      <c r="U1101">
        <v>97.221724323000004</v>
      </c>
      <c r="V1101">
        <v>116.963542534</v>
      </c>
      <c r="W1101">
        <v>85.107092257999994</v>
      </c>
      <c r="X1101">
        <v>88.045869244000002</v>
      </c>
      <c r="Y1101">
        <v>58.810309955000001</v>
      </c>
      <c r="Z1101">
        <v>77.015397032999999</v>
      </c>
      <c r="AA1101">
        <v>90.960187353999999</v>
      </c>
      <c r="AB1101">
        <v>112.39063411399999</v>
      </c>
      <c r="AC1101">
        <v>103.66662771199999</v>
      </c>
      <c r="AD1101">
        <v>93.224231313999994</v>
      </c>
      <c r="AE1101">
        <v>97.591867343999994</v>
      </c>
      <c r="AF1101">
        <v>87.7</v>
      </c>
      <c r="AG1101">
        <v>101.44499476</v>
      </c>
      <c r="AH1101">
        <v>104.19131738999999</v>
      </c>
      <c r="AI1101">
        <v>93.677269201000001</v>
      </c>
      <c r="AJ1101"/>
      <c r="AK1101">
        <v>93.956292012999995</v>
      </c>
      <c r="AL1101">
        <v>83.9</v>
      </c>
      <c r="AM1101">
        <v>103.21631736400001</v>
      </c>
      <c r="AN1101">
        <v>83.3</v>
      </c>
      <c r="AO1101">
        <v>83.220805201000005</v>
      </c>
      <c r="AP1101">
        <v>95.007917325999998</v>
      </c>
      <c r="AQ1101">
        <v>103.608634053</v>
      </c>
      <c r="AR1101">
        <v>71.494042163000003</v>
      </c>
      <c r="AS1101">
        <v>91.894801607999995</v>
      </c>
      <c r="AT1101"/>
    </row>
    <row r="1102" spans="1:46" x14ac:dyDescent="0.2">
      <c r="A1102" s="87">
        <v>40422</v>
      </c>
      <c r="B1102"/>
      <c r="C1102"/>
      <c r="D1102">
        <v>93.763733126000005</v>
      </c>
      <c r="E1102">
        <v>97.691859011999995</v>
      </c>
      <c r="F1102">
        <v>111.863473713</v>
      </c>
      <c r="G1102">
        <v>90.546538287999994</v>
      </c>
      <c r="H1102"/>
      <c r="I1102"/>
      <c r="J1102">
        <v>90.194548482000002</v>
      </c>
      <c r="K1102">
        <v>90.784869188000002</v>
      </c>
      <c r="L1102">
        <v>92.392300641999995</v>
      </c>
      <c r="M1102">
        <v>102.4</v>
      </c>
      <c r="N1102">
        <v>97.2</v>
      </c>
      <c r="O1102">
        <v>104.509087091</v>
      </c>
      <c r="P1102">
        <v>79.906658887999995</v>
      </c>
      <c r="Q1102"/>
      <c r="R1102">
        <v>108.309025752</v>
      </c>
      <c r="S1102">
        <v>100.02</v>
      </c>
      <c r="T1102">
        <v>95.960900472000006</v>
      </c>
      <c r="U1102">
        <v>97.329270479000002</v>
      </c>
      <c r="V1102">
        <v>108.173797237</v>
      </c>
      <c r="W1102">
        <v>84.207017250999996</v>
      </c>
      <c r="X1102">
        <v>88.790933066999997</v>
      </c>
      <c r="Y1102">
        <v>64.41429024</v>
      </c>
      <c r="Z1102">
        <v>76.498109510000006</v>
      </c>
      <c r="AA1102">
        <v>88.149882903999995</v>
      </c>
      <c r="AB1102">
        <v>107.99100075</v>
      </c>
      <c r="AC1102">
        <v>105.000950643</v>
      </c>
      <c r="AD1102">
        <v>93.595200399999996</v>
      </c>
      <c r="AE1102">
        <v>101.49154237099999</v>
      </c>
      <c r="AF1102">
        <v>87.3</v>
      </c>
      <c r="AG1102">
        <v>101.01185780500001</v>
      </c>
      <c r="AH1102">
        <v>102.99141738199999</v>
      </c>
      <c r="AI1102">
        <v>97.517455392000002</v>
      </c>
      <c r="AJ1102"/>
      <c r="AK1102">
        <v>94.294101072000004</v>
      </c>
      <c r="AL1102">
        <v>85.4</v>
      </c>
      <c r="AM1102">
        <v>103.43012408200001</v>
      </c>
      <c r="AN1102">
        <v>84</v>
      </c>
      <c r="AO1102">
        <v>83.120780194999995</v>
      </c>
      <c r="AP1102">
        <v>94.107842320000003</v>
      </c>
      <c r="AQ1102">
        <v>104.408700725</v>
      </c>
      <c r="AR1102">
        <v>71.594033831000004</v>
      </c>
      <c r="AS1102">
        <v>92.106321077000004</v>
      </c>
      <c r="AT1102"/>
    </row>
    <row r="1103" spans="1:46" x14ac:dyDescent="0.2">
      <c r="A1103" s="87">
        <v>40452</v>
      </c>
      <c r="B1103"/>
      <c r="C1103"/>
      <c r="D1103">
        <v>94.223359273</v>
      </c>
      <c r="E1103">
        <v>100.49162569800001</v>
      </c>
      <c r="F1103">
        <v>111.53316818099999</v>
      </c>
      <c r="G1103">
        <v>91.310070655000004</v>
      </c>
      <c r="H1103">
        <v>94.169491257999994</v>
      </c>
      <c r="I1103"/>
      <c r="J1103">
        <v>90.138888324999996</v>
      </c>
      <c r="K1103">
        <v>90.784869188000002</v>
      </c>
      <c r="L1103">
        <v>94.392133989000001</v>
      </c>
      <c r="M1103">
        <v>100.7</v>
      </c>
      <c r="N1103">
        <v>98</v>
      </c>
      <c r="O1103">
        <v>105.210087675</v>
      </c>
      <c r="P1103">
        <v>83.806983915000004</v>
      </c>
      <c r="Q1103"/>
      <c r="R1103">
        <v>108.90907575599999</v>
      </c>
      <c r="S1103">
        <v>99.85</v>
      </c>
      <c r="T1103">
        <v>95.727164869000006</v>
      </c>
      <c r="U1103">
        <v>98.189639720000002</v>
      </c>
      <c r="V1103">
        <v>115.565173964</v>
      </c>
      <c r="W1103">
        <v>85.007083924</v>
      </c>
      <c r="X1103">
        <v>91.220919428000002</v>
      </c>
      <c r="Y1103">
        <v>59.691834943000003</v>
      </c>
      <c r="Z1103">
        <v>76.909870772999994</v>
      </c>
      <c r="AA1103">
        <v>89.367681499</v>
      </c>
      <c r="AB1103">
        <v>108.39096741900001</v>
      </c>
      <c r="AC1103">
        <v>102.024384105</v>
      </c>
      <c r="AD1103">
        <v>93.226231146999993</v>
      </c>
      <c r="AE1103">
        <v>102.791434047</v>
      </c>
      <c r="AF1103">
        <v>89.9</v>
      </c>
      <c r="AG1103">
        <v>100.746733159</v>
      </c>
      <c r="AH1103">
        <v>105.691192401</v>
      </c>
      <c r="AI1103">
        <v>104.965089216</v>
      </c>
      <c r="AJ1103"/>
      <c r="AK1103">
        <v>94.306309393000006</v>
      </c>
      <c r="AL1103">
        <v>85.5</v>
      </c>
      <c r="AM1103">
        <v>101.91117514</v>
      </c>
      <c r="AN1103">
        <v>85.7</v>
      </c>
      <c r="AO1103">
        <v>84.121030258000005</v>
      </c>
      <c r="AP1103">
        <v>94.307858988000007</v>
      </c>
      <c r="AQ1103">
        <v>104.30869239099999</v>
      </c>
      <c r="AR1103">
        <v>72.293975501999995</v>
      </c>
      <c r="AS1103">
        <v>91.894504252000004</v>
      </c>
      <c r="AT1103"/>
    </row>
    <row r="1104" spans="1:46" x14ac:dyDescent="0.2">
      <c r="A1104" s="87">
        <v>40483</v>
      </c>
      <c r="B1104"/>
      <c r="C1104"/>
      <c r="D1104">
        <v>94.315284492999993</v>
      </c>
      <c r="E1104">
        <v>101.49154237099999</v>
      </c>
      <c r="F1104">
        <v>112.524084778</v>
      </c>
      <c r="G1104">
        <v>91.338161369000005</v>
      </c>
      <c r="H1104">
        <v>94.116388638000004</v>
      </c>
      <c r="I1104"/>
      <c r="J1104">
        <v>91.063139390000003</v>
      </c>
      <c r="K1104">
        <v>90.284952508000003</v>
      </c>
      <c r="L1104">
        <v>93.892175652000006</v>
      </c>
      <c r="M1104">
        <v>99.4</v>
      </c>
      <c r="N1104">
        <v>98.9</v>
      </c>
      <c r="O1104">
        <v>108.23009019200001</v>
      </c>
      <c r="P1104">
        <v>84.107008917000002</v>
      </c>
      <c r="Q1104"/>
      <c r="R1104">
        <v>109.00908409</v>
      </c>
      <c r="S1104">
        <v>101.16</v>
      </c>
      <c r="T1104">
        <v>96.031992539000001</v>
      </c>
      <c r="U1104">
        <v>97.221724323000004</v>
      </c>
      <c r="V1104">
        <v>113.96703845499999</v>
      </c>
      <c r="W1104">
        <v>87.107258938000001</v>
      </c>
      <c r="X1104">
        <v>89.505142464000002</v>
      </c>
      <c r="Y1104">
        <v>65.673611652000005</v>
      </c>
      <c r="Z1104">
        <v>81.416952500999997</v>
      </c>
      <c r="AA1104">
        <v>88.992974239000006</v>
      </c>
      <c r="AB1104">
        <v>108.990917424</v>
      </c>
      <c r="AC1104">
        <v>103.769267938</v>
      </c>
      <c r="AD1104">
        <v>94.200149988000007</v>
      </c>
      <c r="AE1104">
        <v>103.491375719</v>
      </c>
      <c r="AF1104">
        <v>87.7</v>
      </c>
      <c r="AG1104">
        <v>100.790920476</v>
      </c>
      <c r="AH1104">
        <v>106.891092409</v>
      </c>
      <c r="AI1104">
        <v>102.521334368</v>
      </c>
      <c r="AJ1104"/>
      <c r="AK1104">
        <v>94.825824968000006</v>
      </c>
      <c r="AL1104">
        <v>85.4</v>
      </c>
      <c r="AM1104">
        <v>104.191965134</v>
      </c>
      <c r="AN1104">
        <v>86.1</v>
      </c>
      <c r="AO1104">
        <v>85.121280319999997</v>
      </c>
      <c r="AP1104">
        <v>95.107925660000006</v>
      </c>
      <c r="AQ1104">
        <v>107.30894241199999</v>
      </c>
      <c r="AR1104">
        <v>74.593783850999998</v>
      </c>
      <c r="AS1104">
        <v>91.936134138</v>
      </c>
      <c r="AT1104"/>
    </row>
    <row r="1105" spans="1:46" x14ac:dyDescent="0.2">
      <c r="A1105" s="87">
        <v>40513</v>
      </c>
      <c r="B1105"/>
      <c r="C1105"/>
      <c r="D1105">
        <v>93.947583585000004</v>
      </c>
      <c r="E1105">
        <v>98.791767352999997</v>
      </c>
      <c r="F1105">
        <v>113.074593999</v>
      </c>
      <c r="G1105">
        <v>93.066409124000003</v>
      </c>
      <c r="H1105">
        <v>95.159058067999993</v>
      </c>
      <c r="I1105"/>
      <c r="J1105">
        <v>91.288740333999996</v>
      </c>
      <c r="K1105">
        <v>89.085152475000001</v>
      </c>
      <c r="L1105">
        <v>95.392050662000003</v>
      </c>
      <c r="M1105">
        <v>99.1</v>
      </c>
      <c r="N1105">
        <v>99.7</v>
      </c>
      <c r="O1105">
        <v>105.143087619</v>
      </c>
      <c r="P1105">
        <v>84.807067255999996</v>
      </c>
      <c r="Q1105"/>
      <c r="R1105">
        <v>110.109175765</v>
      </c>
      <c r="S1105">
        <v>102.47</v>
      </c>
      <c r="T1105">
        <v>96.828749283999997</v>
      </c>
      <c r="U1105">
        <v>95.608531995000007</v>
      </c>
      <c r="V1105">
        <v>114.16680539399999</v>
      </c>
      <c r="W1105">
        <v>81.306775564999995</v>
      </c>
      <c r="X1105">
        <v>91.140544288000001</v>
      </c>
      <c r="Y1105">
        <v>65.106917015999997</v>
      </c>
      <c r="Z1105">
        <v>85.028560342000006</v>
      </c>
      <c r="AA1105">
        <v>90.023419204000007</v>
      </c>
      <c r="AB1105">
        <v>109.89084243000001</v>
      </c>
      <c r="AC1105">
        <v>104.07718861399999</v>
      </c>
      <c r="AD1105">
        <v>95.382051496000003</v>
      </c>
      <c r="AE1105">
        <v>100.591617365</v>
      </c>
      <c r="AF1105">
        <v>89.2</v>
      </c>
      <c r="AG1105">
        <v>101.51921324600001</v>
      </c>
      <c r="AH1105">
        <v>107.291059078</v>
      </c>
      <c r="AI1105">
        <v>103.568657874</v>
      </c>
      <c r="AJ1105"/>
      <c r="AK1105">
        <v>95.336333202999995</v>
      </c>
      <c r="AL1105">
        <v>83.3</v>
      </c>
      <c r="AM1105">
        <v>106.402722711</v>
      </c>
      <c r="AN1105">
        <v>86.1</v>
      </c>
      <c r="AO1105">
        <v>83.720930233000004</v>
      </c>
      <c r="AP1105">
        <v>97.308109009000006</v>
      </c>
      <c r="AQ1105">
        <v>106.208850738</v>
      </c>
      <c r="AR1105">
        <v>75.793683860000002</v>
      </c>
      <c r="AS1105">
        <v>92.823941016999996</v>
      </c>
      <c r="AT1105"/>
    </row>
    <row r="1106" spans="1:46" x14ac:dyDescent="0.2">
      <c r="A1106" s="87">
        <v>40544</v>
      </c>
      <c r="B1106"/>
      <c r="C1106"/>
      <c r="D1106">
        <v>95.418387237999994</v>
      </c>
      <c r="E1106">
        <v>100.7916007</v>
      </c>
      <c r="F1106">
        <v>113.184695844</v>
      </c>
      <c r="G1106">
        <v>92.851582042000004</v>
      </c>
      <c r="H1106">
        <v>96.158447858000002</v>
      </c>
      <c r="I1106"/>
      <c r="J1106">
        <v>94.384933442000005</v>
      </c>
      <c r="K1106">
        <v>92.184635893999996</v>
      </c>
      <c r="L1106">
        <v>95.192067327999993</v>
      </c>
      <c r="M1106">
        <v>100.3</v>
      </c>
      <c r="N1106">
        <v>99.1</v>
      </c>
      <c r="O1106">
        <v>105.73208811000001</v>
      </c>
      <c r="P1106">
        <v>88.907408950999994</v>
      </c>
      <c r="Q1106"/>
      <c r="R1106">
        <v>111.709309109</v>
      </c>
      <c r="S1106">
        <v>103.66</v>
      </c>
      <c r="T1106">
        <v>96.670963546999999</v>
      </c>
      <c r="U1106">
        <v>93.780247356000004</v>
      </c>
      <c r="V1106">
        <v>111.46995172299999</v>
      </c>
      <c r="W1106">
        <v>87.607300608000003</v>
      </c>
      <c r="X1106">
        <v>92.263122308999996</v>
      </c>
      <c r="Y1106">
        <v>62.525308121000002</v>
      </c>
      <c r="Z1106">
        <v>85.852824854000005</v>
      </c>
      <c r="AA1106">
        <v>96.955503512999996</v>
      </c>
      <c r="AB1106">
        <v>107.791017415</v>
      </c>
      <c r="AC1106">
        <v>104.795670192</v>
      </c>
      <c r="AD1106">
        <v>97.667861012000003</v>
      </c>
      <c r="AE1106">
        <v>105.59120073299999</v>
      </c>
      <c r="AF1106">
        <v>87.8</v>
      </c>
      <c r="AG1106">
        <v>101.757739661</v>
      </c>
      <c r="AH1106">
        <v>105.79118406800001</v>
      </c>
      <c r="AI1106">
        <v>99.96121024</v>
      </c>
      <c r="AJ1106"/>
      <c r="AK1106">
        <v>95.725089324999999</v>
      </c>
      <c r="AL1106">
        <v>85.8</v>
      </c>
      <c r="AM1106">
        <v>102.885008625</v>
      </c>
      <c r="AN1106">
        <v>87.3</v>
      </c>
      <c r="AO1106">
        <v>87.921980495</v>
      </c>
      <c r="AP1106">
        <v>94.507875655999996</v>
      </c>
      <c r="AQ1106">
        <v>106.708892408</v>
      </c>
      <c r="AR1106">
        <v>78.993417214999994</v>
      </c>
      <c r="AS1106">
        <v>92.653060246999999</v>
      </c>
      <c r="AT1106"/>
    </row>
    <row r="1107" spans="1:46" x14ac:dyDescent="0.2">
      <c r="A1107" s="87">
        <v>40575</v>
      </c>
      <c r="B1107"/>
      <c r="C1107"/>
      <c r="D1107">
        <v>95.786088156000005</v>
      </c>
      <c r="E1107">
        <v>102.69144238</v>
      </c>
      <c r="F1107">
        <v>114.726121663</v>
      </c>
      <c r="G1107">
        <v>92.475701532000002</v>
      </c>
      <c r="H1107">
        <v>98.259824727999998</v>
      </c>
      <c r="I1107"/>
      <c r="J1107">
        <v>89.767313654999995</v>
      </c>
      <c r="K1107">
        <v>90.984835860999993</v>
      </c>
      <c r="L1107">
        <v>96.291975668999996</v>
      </c>
      <c r="M1107">
        <v>97.9</v>
      </c>
      <c r="N1107">
        <v>100.1</v>
      </c>
      <c r="O1107">
        <v>106.93208911000001</v>
      </c>
      <c r="P1107">
        <v>88.707392283000004</v>
      </c>
      <c r="Q1107"/>
      <c r="R1107">
        <v>109.20910075800001</v>
      </c>
      <c r="S1107">
        <v>104.02</v>
      </c>
      <c r="T1107">
        <v>96.682396586999999</v>
      </c>
      <c r="U1107">
        <v>90.661408855000005</v>
      </c>
      <c r="V1107">
        <v>110.97053437700001</v>
      </c>
      <c r="W1107">
        <v>88.807400616999999</v>
      </c>
      <c r="X1107">
        <v>92.421749879999993</v>
      </c>
      <c r="Y1107">
        <v>62.966070615</v>
      </c>
      <c r="Z1107">
        <v>85.628957810000003</v>
      </c>
      <c r="AA1107">
        <v>94.332552692999997</v>
      </c>
      <c r="AB1107">
        <v>110.590784101</v>
      </c>
      <c r="AC1107">
        <v>105.206231094</v>
      </c>
      <c r="AD1107">
        <v>96.023998000000006</v>
      </c>
      <c r="AE1107">
        <v>107.19106741100001</v>
      </c>
      <c r="AF1107">
        <v>89.2</v>
      </c>
      <c r="AG1107">
        <v>101.921559668</v>
      </c>
      <c r="AH1107">
        <v>106.791100742</v>
      </c>
      <c r="AI1107">
        <v>100.19394879799999</v>
      </c>
      <c r="AJ1107"/>
      <c r="AK1107">
        <v>95.638422829999996</v>
      </c>
      <c r="AL1107">
        <v>88.1</v>
      </c>
      <c r="AM1107">
        <v>104.18523429</v>
      </c>
      <c r="AN1107">
        <v>87</v>
      </c>
      <c r="AO1107">
        <v>87.121780444999999</v>
      </c>
      <c r="AP1107">
        <v>93.507792316000007</v>
      </c>
      <c r="AQ1107">
        <v>108.00900075</v>
      </c>
      <c r="AR1107">
        <v>77.793517206999994</v>
      </c>
      <c r="AS1107">
        <v>92.241618207000002</v>
      </c>
      <c r="AT1107"/>
    </row>
    <row r="1108" spans="1:46" x14ac:dyDescent="0.2">
      <c r="A1108" s="87">
        <v>40603</v>
      </c>
      <c r="B1108"/>
      <c r="C1108"/>
      <c r="D1108">
        <v>96.245714293999995</v>
      </c>
      <c r="E1108">
        <v>105.391217399</v>
      </c>
      <c r="F1108">
        <v>115.386732728</v>
      </c>
      <c r="G1108">
        <v>93.528166960999997</v>
      </c>
      <c r="H1108">
        <v>94.494269418000002</v>
      </c>
      <c r="I1108"/>
      <c r="J1108">
        <v>92.814606159999997</v>
      </c>
      <c r="K1108">
        <v>90.584902516</v>
      </c>
      <c r="L1108">
        <v>96.891925673000003</v>
      </c>
      <c r="M1108">
        <v>100.3</v>
      </c>
      <c r="N1108">
        <v>100.2</v>
      </c>
      <c r="O1108">
        <v>105.410087842</v>
      </c>
      <c r="P1108">
        <v>90.407533960999999</v>
      </c>
      <c r="Q1108"/>
      <c r="R1108">
        <v>108.309025752</v>
      </c>
      <c r="S1108">
        <v>102.71</v>
      </c>
      <c r="T1108">
        <v>94.145191499999996</v>
      </c>
      <c r="U1108">
        <v>90.446316543999998</v>
      </c>
      <c r="V1108">
        <v>110.870650907</v>
      </c>
      <c r="W1108">
        <v>85.907158929999994</v>
      </c>
      <c r="X1108">
        <v>94.647891260999998</v>
      </c>
      <c r="Y1108">
        <v>62.399375980000002</v>
      </c>
      <c r="Z1108">
        <v>84.783398340999995</v>
      </c>
      <c r="AA1108">
        <v>95.362997657999998</v>
      </c>
      <c r="AB1108">
        <v>110.790767436</v>
      </c>
      <c r="AC1108">
        <v>88.578514569999996</v>
      </c>
      <c r="AD1108">
        <v>98.017831846999997</v>
      </c>
      <c r="AE1108">
        <v>106.09115907</v>
      </c>
      <c r="AF1108">
        <v>90.3</v>
      </c>
      <c r="AG1108">
        <v>102.567367602</v>
      </c>
      <c r="AH1108">
        <v>106.191150737</v>
      </c>
      <c r="AI1108">
        <v>99.262994569</v>
      </c>
      <c r="AJ1108"/>
      <c r="AK1108">
        <v>94.070946832000004</v>
      </c>
      <c r="AL1108">
        <v>87.2</v>
      </c>
      <c r="AM1108">
        <v>108.11544453800001</v>
      </c>
      <c r="AN1108">
        <v>86.7</v>
      </c>
      <c r="AO1108">
        <v>85.221305326000007</v>
      </c>
      <c r="AP1108">
        <v>95.307942328999999</v>
      </c>
      <c r="AQ1108">
        <v>106.608884074</v>
      </c>
      <c r="AR1108">
        <v>77.493542204999997</v>
      </c>
      <c r="AS1108">
        <v>93.195834665999996</v>
      </c>
      <c r="AT1108"/>
    </row>
    <row r="1109" spans="1:46" x14ac:dyDescent="0.2">
      <c r="A1109" s="87">
        <v>40634</v>
      </c>
      <c r="B1109"/>
      <c r="C1109"/>
      <c r="D1109">
        <v>96.337639523000007</v>
      </c>
      <c r="E1109">
        <v>102.69144238</v>
      </c>
      <c r="F1109">
        <v>112.413982934</v>
      </c>
      <c r="G1109">
        <v>93.891473532000006</v>
      </c>
      <c r="H1109">
        <v>95.097324397999998</v>
      </c>
      <c r="I1109"/>
      <c r="J1109">
        <v>92.540353068000002</v>
      </c>
      <c r="K1109">
        <v>90.984835860999993</v>
      </c>
      <c r="L1109">
        <v>97.491875676999996</v>
      </c>
      <c r="M1109">
        <v>100.8</v>
      </c>
      <c r="N1109">
        <v>99.8</v>
      </c>
      <c r="O1109">
        <v>104.919087433</v>
      </c>
      <c r="P1109">
        <v>90.507542294999993</v>
      </c>
      <c r="Q1109"/>
      <c r="R1109">
        <v>109.309109092</v>
      </c>
      <c r="S1109">
        <v>100.97</v>
      </c>
      <c r="T1109">
        <v>94.369606250999993</v>
      </c>
      <c r="U1109">
        <v>90.338770389000004</v>
      </c>
      <c r="V1109">
        <v>107.274846013</v>
      </c>
      <c r="W1109">
        <v>86.207183932000007</v>
      </c>
      <c r="X1109">
        <v>92.859002838999999</v>
      </c>
      <c r="Y1109">
        <v>63.343867039000003</v>
      </c>
      <c r="Z1109">
        <v>85.595485865000001</v>
      </c>
      <c r="AA1109">
        <v>96.018735363000005</v>
      </c>
      <c r="AB1109">
        <v>111.890675777</v>
      </c>
      <c r="AC1109">
        <v>90.220758176999993</v>
      </c>
      <c r="AD1109">
        <v>96.747937672000006</v>
      </c>
      <c r="AE1109">
        <v>105.691192401</v>
      </c>
      <c r="AF1109">
        <v>92.3</v>
      </c>
      <c r="AG1109">
        <v>102.575348612</v>
      </c>
      <c r="AH1109">
        <v>102.791434047</v>
      </c>
      <c r="AI1109">
        <v>96.121024050000003</v>
      </c>
      <c r="AJ1109"/>
      <c r="AK1109">
        <v>94.025288032999995</v>
      </c>
      <c r="AL1109">
        <v>88</v>
      </c>
      <c r="AM1109">
        <v>105.191416905</v>
      </c>
      <c r="AN1109">
        <v>87.7</v>
      </c>
      <c r="AO1109">
        <v>86.521630407999993</v>
      </c>
      <c r="AP1109">
        <v>94.007833985999994</v>
      </c>
      <c r="AQ1109">
        <v>106.108842404</v>
      </c>
      <c r="AR1109">
        <v>77.393550536999996</v>
      </c>
      <c r="AS1109">
        <v>92.875383662000004</v>
      </c>
      <c r="AT1109"/>
    </row>
    <row r="1110" spans="1:46" x14ac:dyDescent="0.2">
      <c r="A1110" s="87">
        <v>40664</v>
      </c>
      <c r="B1110"/>
      <c r="C1110"/>
      <c r="D1110">
        <v>96.981116130000004</v>
      </c>
      <c r="E1110">
        <v>102.29147571</v>
      </c>
      <c r="F1110">
        <v>115.71703826</v>
      </c>
      <c r="G1110">
        <v>92.247230388999995</v>
      </c>
      <c r="H1110">
        <v>98.021921957999993</v>
      </c>
      <c r="I1110"/>
      <c r="J1110">
        <v>92.292706781999996</v>
      </c>
      <c r="K1110">
        <v>92.884519247</v>
      </c>
      <c r="L1110">
        <v>98.691775684999996</v>
      </c>
      <c r="M1110">
        <v>105.7</v>
      </c>
      <c r="N1110">
        <v>100.4</v>
      </c>
      <c r="O1110">
        <v>104.07508672900001</v>
      </c>
      <c r="P1110">
        <v>90.507542294999993</v>
      </c>
      <c r="Q1110"/>
      <c r="R1110">
        <v>110.209184099</v>
      </c>
      <c r="S1110">
        <v>104.27</v>
      </c>
      <c r="T1110">
        <v>95.729742982000005</v>
      </c>
      <c r="U1110">
        <v>91.736870406999998</v>
      </c>
      <c r="V1110">
        <v>108.473447644</v>
      </c>
      <c r="W1110">
        <v>84.707058922000002</v>
      </c>
      <c r="X1110">
        <v>90.515444388999995</v>
      </c>
      <c r="Y1110">
        <v>63.343867039000003</v>
      </c>
      <c r="Z1110">
        <v>89.990011457999998</v>
      </c>
      <c r="AA1110">
        <v>95.362997657999998</v>
      </c>
      <c r="AB1110">
        <v>109.69085909499999</v>
      </c>
      <c r="AC1110">
        <v>96.173891253999997</v>
      </c>
      <c r="AD1110">
        <v>97.972835597</v>
      </c>
      <c r="AE1110">
        <v>105.491209066</v>
      </c>
      <c r="AF1110">
        <v>92</v>
      </c>
      <c r="AG1110">
        <v>103.41227242399999</v>
      </c>
      <c r="AH1110">
        <v>104.19131738999999</v>
      </c>
      <c r="AI1110">
        <v>91.815360745000007</v>
      </c>
      <c r="AJ1110"/>
      <c r="AK1110">
        <v>95.103801705999999</v>
      </c>
      <c r="AL1110">
        <v>88.2</v>
      </c>
      <c r="AM1110">
        <v>103.518261748</v>
      </c>
      <c r="AN1110">
        <v>87.7</v>
      </c>
      <c r="AO1110">
        <v>85.621405351000007</v>
      </c>
      <c r="AP1110">
        <v>96.308025669000003</v>
      </c>
      <c r="AQ1110">
        <v>107.208934078</v>
      </c>
      <c r="AR1110">
        <v>78.193483876000002</v>
      </c>
      <c r="AS1110">
        <v>93.021980331999998</v>
      </c>
      <c r="AT1110"/>
    </row>
    <row r="1111" spans="1:46" x14ac:dyDescent="0.2">
      <c r="A1111" s="87">
        <v>40695</v>
      </c>
      <c r="B1111"/>
      <c r="C1111"/>
      <c r="D1111">
        <v>96.889190901000006</v>
      </c>
      <c r="E1111">
        <v>100.191650696</v>
      </c>
      <c r="F1111">
        <v>113.184695844</v>
      </c>
      <c r="G1111">
        <v>92.821083552000005</v>
      </c>
      <c r="H1111">
        <v>94.887514187999997</v>
      </c>
      <c r="I1111"/>
      <c r="J1111">
        <v>91.687961974999993</v>
      </c>
      <c r="K1111">
        <v>92.184635893999996</v>
      </c>
      <c r="L1111">
        <v>97.091909008000002</v>
      </c>
      <c r="M1111">
        <v>102.1</v>
      </c>
      <c r="N1111">
        <v>99</v>
      </c>
      <c r="O1111">
        <v>104.425087021</v>
      </c>
      <c r="P1111">
        <v>91.907658971999993</v>
      </c>
      <c r="Q1111"/>
      <c r="R1111">
        <v>107.208934078</v>
      </c>
      <c r="S1111">
        <v>101.47</v>
      </c>
      <c r="T1111">
        <v>96.205946819000005</v>
      </c>
      <c r="U1111">
        <v>92.274601183000001</v>
      </c>
      <c r="V1111">
        <v>103.978691527</v>
      </c>
      <c r="W1111">
        <v>85.007083924</v>
      </c>
      <c r="X1111">
        <v>93.727839130000007</v>
      </c>
      <c r="Y1111">
        <v>62.084545626999997</v>
      </c>
      <c r="Z1111">
        <v>96.350996534000004</v>
      </c>
      <c r="AA1111">
        <v>94.051522247999998</v>
      </c>
      <c r="AB1111">
        <v>108.890925756</v>
      </c>
      <c r="AC1111">
        <v>100.074219821</v>
      </c>
      <c r="AD1111">
        <v>98.750770768999999</v>
      </c>
      <c r="AE1111">
        <v>100.891592367</v>
      </c>
      <c r="AF1111">
        <v>93.5</v>
      </c>
      <c r="AG1111">
        <v>103.028382017</v>
      </c>
      <c r="AH1111">
        <v>103.391384051</v>
      </c>
      <c r="AI1111">
        <v>97.284716834999998</v>
      </c>
      <c r="AJ1111"/>
      <c r="AK1111">
        <v>95.358367608999998</v>
      </c>
      <c r="AL1111">
        <v>87.7</v>
      </c>
      <c r="AM1111">
        <v>100.82574248500001</v>
      </c>
      <c r="AN1111">
        <v>88.2</v>
      </c>
      <c r="AO1111">
        <v>88.32208052</v>
      </c>
      <c r="AP1111">
        <v>92.707725644000007</v>
      </c>
      <c r="AQ1111">
        <v>103.608634053</v>
      </c>
      <c r="AR1111">
        <v>79.693358887000002</v>
      </c>
      <c r="AS1111">
        <v>93.255305930999995</v>
      </c>
      <c r="AT1111"/>
    </row>
    <row r="1112" spans="1:46" x14ac:dyDescent="0.2">
      <c r="A1112" s="87">
        <v>40725</v>
      </c>
      <c r="B1112"/>
      <c r="C1112"/>
      <c r="D1112">
        <v>96.061863845000005</v>
      </c>
      <c r="E1112">
        <v>101.191567369</v>
      </c>
      <c r="F1112">
        <v>113.515001376</v>
      </c>
      <c r="G1112">
        <v>94.466396817000003</v>
      </c>
      <c r="H1112">
        <v>97.178852277999994</v>
      </c>
      <c r="I1112"/>
      <c r="J1112">
        <v>87.023400312000007</v>
      </c>
      <c r="K1112">
        <v>90.784869188000002</v>
      </c>
      <c r="L1112">
        <v>100.091659028</v>
      </c>
      <c r="M1112">
        <v>97.1</v>
      </c>
      <c r="N1112">
        <v>100</v>
      </c>
      <c r="O1112">
        <v>104.646087205</v>
      </c>
      <c r="P1112">
        <v>94.407867322000001</v>
      </c>
      <c r="Q1112"/>
      <c r="R1112">
        <v>104.60871739300001</v>
      </c>
      <c r="S1112">
        <v>102.56</v>
      </c>
      <c r="T1112">
        <v>97.119040064000004</v>
      </c>
      <c r="U1112">
        <v>92.059508872999999</v>
      </c>
      <c r="V1112">
        <v>110.870650907</v>
      </c>
      <c r="W1112">
        <v>86.107175597999998</v>
      </c>
      <c r="X1112">
        <v>92.124996327999995</v>
      </c>
      <c r="Y1112">
        <v>58.369547461000003</v>
      </c>
      <c r="Z1112">
        <v>94.363751539999996</v>
      </c>
      <c r="AA1112">
        <v>94.988290398000004</v>
      </c>
      <c r="AB1112">
        <v>108.49095908699999</v>
      </c>
      <c r="AC1112">
        <v>100.99798185</v>
      </c>
      <c r="AD1112">
        <v>98.524789600999995</v>
      </c>
      <c r="AE1112">
        <v>102.491459045</v>
      </c>
      <c r="AF1112">
        <v>93.1</v>
      </c>
      <c r="AG1112">
        <v>103.369802092</v>
      </c>
      <c r="AH1112">
        <v>105.99116740300001</v>
      </c>
      <c r="AI1112">
        <v>96.819239721000002</v>
      </c>
      <c r="AJ1112"/>
      <c r="AK1112">
        <v>96.030709657000003</v>
      </c>
      <c r="AL1112">
        <v>88.2</v>
      </c>
      <c r="AM1112">
        <v>100.866739444</v>
      </c>
      <c r="AN1112">
        <v>88.5</v>
      </c>
      <c r="AO1112">
        <v>87.121780444999999</v>
      </c>
      <c r="AP1112">
        <v>93.607800650000001</v>
      </c>
      <c r="AQ1112">
        <v>106.308859072</v>
      </c>
      <c r="AR1112">
        <v>81.193233896999999</v>
      </c>
      <c r="AS1112">
        <v>93.754567206999994</v>
      </c>
      <c r="AT1112"/>
    </row>
    <row r="1113" spans="1:46" x14ac:dyDescent="0.2">
      <c r="A1113" s="87">
        <v>40756</v>
      </c>
      <c r="B1113"/>
      <c r="C1113"/>
      <c r="D1113">
        <v>96.705340441999994</v>
      </c>
      <c r="E1113">
        <v>104.691275727</v>
      </c>
      <c r="F1113">
        <v>112.413982934</v>
      </c>
      <c r="G1113">
        <v>95.465356123000007</v>
      </c>
      <c r="H1113">
        <v>95.460225198000003</v>
      </c>
      <c r="I1113"/>
      <c r="J1113">
        <v>91.985053875000006</v>
      </c>
      <c r="K1113">
        <v>91.484752541000006</v>
      </c>
      <c r="L1113">
        <v>99.291725690000007</v>
      </c>
      <c r="M1113">
        <v>99</v>
      </c>
      <c r="N1113">
        <v>100.1</v>
      </c>
      <c r="O1113">
        <v>104.65608721300001</v>
      </c>
      <c r="P1113">
        <v>94.307858988000007</v>
      </c>
      <c r="Q1113"/>
      <c r="R1113">
        <v>107.108925744</v>
      </c>
      <c r="S1113">
        <v>101.71</v>
      </c>
      <c r="T1113">
        <v>97.499597409000003</v>
      </c>
      <c r="U1113">
        <v>91.736870406999998</v>
      </c>
      <c r="V1113">
        <v>105.876477443</v>
      </c>
      <c r="W1113">
        <v>85.607133927999996</v>
      </c>
      <c r="X1113">
        <v>90.626095558000003</v>
      </c>
      <c r="Y1113">
        <v>63.910561674999997</v>
      </c>
      <c r="Z1113">
        <v>93.485661348999997</v>
      </c>
      <c r="AA1113">
        <v>91.428571429000002</v>
      </c>
      <c r="AB1113">
        <v>107.791017415</v>
      </c>
      <c r="AC1113">
        <v>102.537585232</v>
      </c>
      <c r="AD1113">
        <v>98.242813099000003</v>
      </c>
      <c r="AE1113">
        <v>103.591367386</v>
      </c>
      <c r="AF1113">
        <v>92.7</v>
      </c>
      <c r="AG1113">
        <v>103.53398189399999</v>
      </c>
      <c r="AH1113">
        <v>106.291142405</v>
      </c>
      <c r="AI1113">
        <v>100.077579519</v>
      </c>
      <c r="AJ1113"/>
      <c r="AK1113">
        <v>96.565321675999996</v>
      </c>
      <c r="AL1113">
        <v>90.4</v>
      </c>
      <c r="AM1113">
        <v>103.55996810000001</v>
      </c>
      <c r="AN1113">
        <v>88</v>
      </c>
      <c r="AO1113">
        <v>85.921480369999998</v>
      </c>
      <c r="AP1113">
        <v>92.607717309999998</v>
      </c>
      <c r="AQ1113">
        <v>103.50862571899999</v>
      </c>
      <c r="AR1113">
        <v>83.593033914000003</v>
      </c>
      <c r="AS1113">
        <v>94.321923083000001</v>
      </c>
      <c r="AT1113"/>
    </row>
    <row r="1114" spans="1:46" x14ac:dyDescent="0.2">
      <c r="A1114" s="87">
        <v>40787</v>
      </c>
      <c r="B1114"/>
      <c r="C1114"/>
      <c r="D1114">
        <v>96.705340441999994</v>
      </c>
      <c r="E1114">
        <v>102.09149237600001</v>
      </c>
      <c r="F1114">
        <v>110.32204789399999</v>
      </c>
      <c r="G1114">
        <v>96.107697122999994</v>
      </c>
      <c r="H1114">
        <v>97.865141308000005</v>
      </c>
      <c r="I1114"/>
      <c r="J1114">
        <v>93.882368877999994</v>
      </c>
      <c r="K1114">
        <v>91.284785869000004</v>
      </c>
      <c r="L1114">
        <v>97.791850679000007</v>
      </c>
      <c r="M1114">
        <v>98.7</v>
      </c>
      <c r="N1114">
        <v>99.1</v>
      </c>
      <c r="O1114">
        <v>103.207086006</v>
      </c>
      <c r="P1114">
        <v>89.807483957000002</v>
      </c>
      <c r="Q1114"/>
      <c r="R1114">
        <v>107.208934078</v>
      </c>
      <c r="S1114">
        <v>100.98</v>
      </c>
      <c r="T1114">
        <v>97.126612477999998</v>
      </c>
      <c r="U1114">
        <v>91.951962717000001</v>
      </c>
      <c r="V1114">
        <v>111.569835192</v>
      </c>
      <c r="W1114">
        <v>86.807233936000003</v>
      </c>
      <c r="X1114">
        <v>91.016845287999999</v>
      </c>
      <c r="Y1114">
        <v>65.610645581</v>
      </c>
      <c r="Z1114">
        <v>91.755065830999996</v>
      </c>
      <c r="AA1114">
        <v>93.957845433000003</v>
      </c>
      <c r="AB1114">
        <v>107.291059078</v>
      </c>
      <c r="AC1114">
        <v>101.921743879</v>
      </c>
      <c r="AD1114">
        <v>98.741771518999997</v>
      </c>
      <c r="AE1114">
        <v>99.591700692000003</v>
      </c>
      <c r="AF1114">
        <v>95.1</v>
      </c>
      <c r="AG1114">
        <v>104.158153016</v>
      </c>
      <c r="AH1114">
        <v>104.19131738999999</v>
      </c>
      <c r="AI1114">
        <v>101.93948797500001</v>
      </c>
      <c r="AJ1114"/>
      <c r="AK1114">
        <v>96.270300020999997</v>
      </c>
      <c r="AL1114">
        <v>91.2</v>
      </c>
      <c r="AM1114">
        <v>101.277027725</v>
      </c>
      <c r="AN1114">
        <v>88.1</v>
      </c>
      <c r="AO1114">
        <v>85.721430358000006</v>
      </c>
      <c r="AP1114">
        <v>95.507958997000003</v>
      </c>
      <c r="AQ1114">
        <v>105.608800733</v>
      </c>
      <c r="AR1114">
        <v>79.193400550000007</v>
      </c>
      <c r="AS1114">
        <v>94.247584000000003</v>
      </c>
      <c r="AT1114"/>
    </row>
    <row r="1115" spans="1:46" x14ac:dyDescent="0.2">
      <c r="A1115" s="87">
        <v>40817</v>
      </c>
      <c r="B1115"/>
      <c r="C1115"/>
      <c r="D1115">
        <v>96.705340441999994</v>
      </c>
      <c r="E1115">
        <v>99.891675694</v>
      </c>
      <c r="F1115">
        <v>109.221029452</v>
      </c>
      <c r="G1115">
        <v>95.470974265999999</v>
      </c>
      <c r="H1115">
        <v>96.889790947999998</v>
      </c>
      <c r="I1115"/>
      <c r="J1115">
        <v>93.675884709000002</v>
      </c>
      <c r="K1115">
        <v>91.884685886</v>
      </c>
      <c r="L1115">
        <v>98.891759019999995</v>
      </c>
      <c r="M1115">
        <v>98.7</v>
      </c>
      <c r="N1115">
        <v>98.8</v>
      </c>
      <c r="O1115">
        <v>101.283084403</v>
      </c>
      <c r="P1115">
        <v>90.007500625000006</v>
      </c>
      <c r="Q1115"/>
      <c r="R1115">
        <v>106.908909076</v>
      </c>
      <c r="S1115">
        <v>101.18</v>
      </c>
      <c r="T1115">
        <v>97.788042908999998</v>
      </c>
      <c r="U1115">
        <v>92.489693493000004</v>
      </c>
      <c r="V1115">
        <v>102.08090561</v>
      </c>
      <c r="W1115">
        <v>87.407283939999999</v>
      </c>
      <c r="X1115">
        <v>86.634410556999995</v>
      </c>
      <c r="Y1115">
        <v>64.540222381000007</v>
      </c>
      <c r="Z1115">
        <v>91.468855222000002</v>
      </c>
      <c r="AA1115">
        <v>93.489461358</v>
      </c>
      <c r="AB1115">
        <v>105.99116740300001</v>
      </c>
      <c r="AC1115">
        <v>103.56398748700001</v>
      </c>
      <c r="AD1115">
        <v>99.062744770999998</v>
      </c>
      <c r="AE1115">
        <v>97.591867343999994</v>
      </c>
      <c r="AF1115">
        <v>94.2</v>
      </c>
      <c r="AG1115">
        <v>104.77735636600001</v>
      </c>
      <c r="AH1115">
        <v>102.29147571</v>
      </c>
      <c r="AI1115">
        <v>98.448409620000007</v>
      </c>
      <c r="AJ1115"/>
      <c r="AK1115">
        <v>96.711695746999993</v>
      </c>
      <c r="AL1115">
        <v>90.8</v>
      </c>
      <c r="AM1115">
        <v>99.065296025999999</v>
      </c>
      <c r="AN1115">
        <v>88.8</v>
      </c>
      <c r="AO1115">
        <v>88.32208052</v>
      </c>
      <c r="AP1115">
        <v>94.807900657999994</v>
      </c>
      <c r="AQ1115">
        <v>105.608800733</v>
      </c>
      <c r="AR1115">
        <v>83.693025581000001</v>
      </c>
      <c r="AS1115">
        <v>94.846955241000003</v>
      </c>
      <c r="AT1115"/>
    </row>
    <row r="1116" spans="1:46" x14ac:dyDescent="0.2">
      <c r="A1116" s="87">
        <v>40848</v>
      </c>
      <c r="B1116"/>
      <c r="C1116"/>
      <c r="D1116">
        <v>97.808443186000005</v>
      </c>
      <c r="E1116">
        <v>99.791684025999999</v>
      </c>
      <c r="F1116">
        <v>109.991742362</v>
      </c>
      <c r="G1116">
        <v>95.225648695000004</v>
      </c>
      <c r="H1116">
        <v>97.388198738</v>
      </c>
      <c r="I1116"/>
      <c r="J1116">
        <v>93.642155509000006</v>
      </c>
      <c r="K1116">
        <v>94.484252624999996</v>
      </c>
      <c r="L1116">
        <v>98.191817349000004</v>
      </c>
      <c r="M1116">
        <v>98.9</v>
      </c>
      <c r="N1116">
        <v>99.1</v>
      </c>
      <c r="O1116">
        <v>100.82108401799999</v>
      </c>
      <c r="P1116">
        <v>91.407617301000002</v>
      </c>
      <c r="Q1116"/>
      <c r="R1116">
        <v>109.609134095</v>
      </c>
      <c r="S1116">
        <v>103.23</v>
      </c>
      <c r="T1116">
        <v>97.425645963999997</v>
      </c>
      <c r="U1116">
        <v>91.736870406999998</v>
      </c>
      <c r="V1116">
        <v>105.277176627</v>
      </c>
      <c r="W1116">
        <v>90.107508959</v>
      </c>
      <c r="X1116">
        <v>95.108884095999997</v>
      </c>
      <c r="Y1116">
        <v>61.958613485999997</v>
      </c>
      <c r="Z1116">
        <v>91.328986379</v>
      </c>
      <c r="AA1116">
        <v>91.709601874000001</v>
      </c>
      <c r="AB1116">
        <v>106.791100742</v>
      </c>
      <c r="AC1116">
        <v>101.51118297799999</v>
      </c>
      <c r="AD1116">
        <v>97.748854261999995</v>
      </c>
      <c r="AE1116">
        <v>102.69144238</v>
      </c>
      <c r="AF1116">
        <v>95</v>
      </c>
      <c r="AG1116">
        <v>104.919201137</v>
      </c>
      <c r="AH1116">
        <v>102.591450712</v>
      </c>
      <c r="AI1116">
        <v>101.24127230400001</v>
      </c>
      <c r="AJ1116"/>
      <c r="AK1116">
        <v>96.489158833000005</v>
      </c>
      <c r="AL1116">
        <v>92.1</v>
      </c>
      <c r="AM1116">
        <v>99.159020984999998</v>
      </c>
      <c r="AN1116">
        <v>89.1</v>
      </c>
      <c r="AO1116">
        <v>87.421855464000004</v>
      </c>
      <c r="AP1116">
        <v>95.807983999000001</v>
      </c>
      <c r="AQ1116">
        <v>102.10850904199999</v>
      </c>
      <c r="AR1116">
        <v>82.893092241999994</v>
      </c>
      <c r="AS1116">
        <v>94.887098344999998</v>
      </c>
      <c r="AT1116"/>
    </row>
    <row r="1117" spans="1:46" x14ac:dyDescent="0.2">
      <c r="A1117" s="87">
        <v>40878</v>
      </c>
      <c r="B1117"/>
      <c r="C1117"/>
      <c r="D1117">
        <v>98.084218864999997</v>
      </c>
      <c r="E1117">
        <v>99.591700692000003</v>
      </c>
      <c r="F1117">
        <v>112.854390311</v>
      </c>
      <c r="G1117">
        <v>96.138730674000001</v>
      </c>
      <c r="H1117">
        <v>97.710567298000001</v>
      </c>
      <c r="I1117"/>
      <c r="J1117">
        <v>96.612727602000007</v>
      </c>
      <c r="K1117">
        <v>93.284452591000004</v>
      </c>
      <c r="L1117">
        <v>96.791934005000002</v>
      </c>
      <c r="M1117">
        <v>97.6</v>
      </c>
      <c r="N1117">
        <v>98.5</v>
      </c>
      <c r="O1117">
        <v>102.674085562</v>
      </c>
      <c r="P1117">
        <v>89.807483957000002</v>
      </c>
      <c r="Q1117"/>
      <c r="R1117">
        <v>111.309275773</v>
      </c>
      <c r="S1117">
        <v>101.18</v>
      </c>
      <c r="T1117">
        <v>97.814438899999999</v>
      </c>
      <c r="U1117">
        <v>91.629324252000004</v>
      </c>
      <c r="V1117">
        <v>99.683702346999993</v>
      </c>
      <c r="W1117">
        <v>86.907242269999998</v>
      </c>
      <c r="X1117">
        <v>93.926546598000002</v>
      </c>
      <c r="Y1117">
        <v>62.021579555999999</v>
      </c>
      <c r="Z1117">
        <v>90.473201431999996</v>
      </c>
      <c r="AA1117">
        <v>93.770491802999999</v>
      </c>
      <c r="AB1117">
        <v>107.691025748</v>
      </c>
      <c r="AC1117">
        <v>103.56398748700001</v>
      </c>
      <c r="AD1117">
        <v>95.766019498000006</v>
      </c>
      <c r="AE1117">
        <v>95.392050662000003</v>
      </c>
      <c r="AF1117">
        <v>92.2</v>
      </c>
      <c r="AG1117">
        <v>105.44163446100001</v>
      </c>
      <c r="AH1117">
        <v>102.491459045</v>
      </c>
      <c r="AI1117">
        <v>98.215671063000002</v>
      </c>
      <c r="AJ1117"/>
      <c r="AK1117">
        <v>96.665953178999999</v>
      </c>
      <c r="AL1117">
        <v>94.1</v>
      </c>
      <c r="AM1117">
        <v>97.621269749000007</v>
      </c>
      <c r="AN1117">
        <v>89.7</v>
      </c>
      <c r="AO1117">
        <v>89.822455614000006</v>
      </c>
      <c r="AP1117">
        <v>93.707808983999996</v>
      </c>
      <c r="AQ1117">
        <v>101.60846737200001</v>
      </c>
      <c r="AR1117">
        <v>82.893092241999994</v>
      </c>
      <c r="AS1117">
        <v>95.356921344</v>
      </c>
      <c r="AT1117"/>
    </row>
    <row r="1118" spans="1:46" x14ac:dyDescent="0.2">
      <c r="A1118" s="87">
        <v>40909</v>
      </c>
      <c r="B1118"/>
      <c r="C1118"/>
      <c r="D1118">
        <v>96.889190901000006</v>
      </c>
      <c r="E1118">
        <v>100.591617365</v>
      </c>
      <c r="F1118">
        <v>107.899807322</v>
      </c>
      <c r="G1118">
        <v>96.149699428999995</v>
      </c>
      <c r="H1118">
        <v>98.256297697999997</v>
      </c>
      <c r="I1118"/>
      <c r="J1118">
        <v>94.667864788000003</v>
      </c>
      <c r="K1118">
        <v>92.184635893999996</v>
      </c>
      <c r="L1118">
        <v>97.291892341999997</v>
      </c>
      <c r="M1118">
        <v>98.1</v>
      </c>
      <c r="N1118">
        <v>97.8</v>
      </c>
      <c r="O1118">
        <v>100.671083893</v>
      </c>
      <c r="P1118">
        <v>91.207600632999998</v>
      </c>
      <c r="Q1118"/>
      <c r="R1118">
        <v>106.50887573999999</v>
      </c>
      <c r="S1118">
        <v>100.75</v>
      </c>
      <c r="T1118">
        <v>97.914638805999999</v>
      </c>
      <c r="U1118">
        <v>91.199139630999994</v>
      </c>
      <c r="V1118">
        <v>103.679041119</v>
      </c>
      <c r="W1118">
        <v>86.007167264000003</v>
      </c>
      <c r="X1118">
        <v>92.943262239999996</v>
      </c>
      <c r="Y1118">
        <v>62.336409908999997</v>
      </c>
      <c r="Z1118">
        <v>94.242140144999993</v>
      </c>
      <c r="AA1118">
        <v>94.894613582999995</v>
      </c>
      <c r="AB1118">
        <v>103.591367386</v>
      </c>
      <c r="AC1118">
        <v>103.871908163</v>
      </c>
      <c r="AD1118">
        <v>98.119823347999997</v>
      </c>
      <c r="AE1118">
        <v>99.691692359000001</v>
      </c>
      <c r="AF1118">
        <v>96.6</v>
      </c>
      <c r="AG1118">
        <v>105.467852243</v>
      </c>
      <c r="AH1118">
        <v>102.891425715</v>
      </c>
      <c r="AI1118">
        <v>102.98681148199999</v>
      </c>
      <c r="AJ1118"/>
      <c r="AK1118">
        <v>96.793143982000004</v>
      </c>
      <c r="AL1118">
        <v>91</v>
      </c>
      <c r="AM1118">
        <v>97.042640961000004</v>
      </c>
      <c r="AN1118">
        <v>90.1</v>
      </c>
      <c r="AO1118">
        <v>89.722430607999996</v>
      </c>
      <c r="AP1118">
        <v>94.607883990000005</v>
      </c>
      <c r="AQ1118">
        <v>107.80898408199999</v>
      </c>
      <c r="AR1118">
        <v>81.993167236000005</v>
      </c>
      <c r="AS1118">
        <v>95.924376338000002</v>
      </c>
      <c r="AT1118"/>
    </row>
    <row r="1119" spans="1:46" x14ac:dyDescent="0.2">
      <c r="A1119" s="87">
        <v>40940</v>
      </c>
      <c r="B1119"/>
      <c r="C1119"/>
      <c r="D1119">
        <v>95.786088156000005</v>
      </c>
      <c r="E1119">
        <v>102.491459045</v>
      </c>
      <c r="F1119">
        <v>109.000825764</v>
      </c>
      <c r="G1119">
        <v>94.061087939999993</v>
      </c>
      <c r="H1119">
        <v>97.350154728000007</v>
      </c>
      <c r="I1119"/>
      <c r="J1119">
        <v>93.565376474999994</v>
      </c>
      <c r="K1119">
        <v>93.284452591000004</v>
      </c>
      <c r="L1119">
        <v>97.191900674999999</v>
      </c>
      <c r="M1119">
        <v>100.5</v>
      </c>
      <c r="N1119">
        <v>98.4</v>
      </c>
      <c r="O1119">
        <v>99.040082533000003</v>
      </c>
      <c r="P1119">
        <v>90.407533960999999</v>
      </c>
      <c r="Q1119"/>
      <c r="R1119">
        <v>106.50887573999999</v>
      </c>
      <c r="S1119">
        <v>101.6</v>
      </c>
      <c r="T1119">
        <v>97.935777551000001</v>
      </c>
      <c r="U1119">
        <v>91.091593476</v>
      </c>
      <c r="V1119">
        <v>102.18078907899999</v>
      </c>
      <c r="W1119">
        <v>86.507208934000005</v>
      </c>
      <c r="X1119">
        <v>93.04440099</v>
      </c>
      <c r="Y1119">
        <v>62.273443839000002</v>
      </c>
      <c r="Z1119">
        <v>98.195393062999997</v>
      </c>
      <c r="AA1119">
        <v>92.459016392999999</v>
      </c>
      <c r="AB1119">
        <v>103.891342388</v>
      </c>
      <c r="AC1119">
        <v>103.66662771199999</v>
      </c>
      <c r="AD1119">
        <v>101.47954337100001</v>
      </c>
      <c r="AE1119">
        <v>95.992000666999999</v>
      </c>
      <c r="AF1119">
        <v>97.8</v>
      </c>
      <c r="AG1119">
        <v>105.731929104</v>
      </c>
      <c r="AH1119">
        <v>106.891092409</v>
      </c>
      <c r="AI1119">
        <v>103.452288596</v>
      </c>
      <c r="AJ1119"/>
      <c r="AK1119">
        <v>96.878035037000004</v>
      </c>
      <c r="AL1119">
        <v>88.6</v>
      </c>
      <c r="AM1119">
        <v>97.237890653999997</v>
      </c>
      <c r="AN1119">
        <v>90.8</v>
      </c>
      <c r="AO1119">
        <v>89.922480620000002</v>
      </c>
      <c r="AP1119">
        <v>95.307942328999999</v>
      </c>
      <c r="AQ1119">
        <v>101.80848404</v>
      </c>
      <c r="AR1119">
        <v>80.893258895000002</v>
      </c>
      <c r="AS1119">
        <v>96.195763548000002</v>
      </c>
      <c r="AT1119"/>
    </row>
    <row r="1120" spans="1:46" x14ac:dyDescent="0.2">
      <c r="A1120" s="87">
        <v>40969</v>
      </c>
      <c r="B1120"/>
      <c r="C1120"/>
      <c r="D1120">
        <v>97.624592727000007</v>
      </c>
      <c r="E1120">
        <v>103.09140904900001</v>
      </c>
      <c r="F1120">
        <v>108.230112854</v>
      </c>
      <c r="G1120">
        <v>94.225886797000001</v>
      </c>
      <c r="H1120">
        <v>96.668626677999995</v>
      </c>
      <c r="I1120"/>
      <c r="J1120">
        <v>95.395540026000006</v>
      </c>
      <c r="K1120">
        <v>92.384602565999998</v>
      </c>
      <c r="L1120">
        <v>98.391800683</v>
      </c>
      <c r="M1120">
        <v>98.4</v>
      </c>
      <c r="N1120">
        <v>98.2</v>
      </c>
      <c r="O1120">
        <v>97.986081655000007</v>
      </c>
      <c r="P1120">
        <v>89.507458955000004</v>
      </c>
      <c r="Q1120"/>
      <c r="R1120">
        <v>107.00891741</v>
      </c>
      <c r="S1120">
        <v>100.67</v>
      </c>
      <c r="T1120">
        <v>97.805345442999993</v>
      </c>
      <c r="U1120">
        <v>90.553862699000007</v>
      </c>
      <c r="V1120">
        <v>101.781255202</v>
      </c>
      <c r="W1120">
        <v>86.207183932000007</v>
      </c>
      <c r="X1120">
        <v>92.242130025999998</v>
      </c>
      <c r="Y1120">
        <v>63.029036685999998</v>
      </c>
      <c r="Z1120">
        <v>99.938465335999993</v>
      </c>
      <c r="AA1120">
        <v>96.861826698000002</v>
      </c>
      <c r="AB1120">
        <v>104.291309058</v>
      </c>
      <c r="AC1120">
        <v>103.461347261</v>
      </c>
      <c r="AD1120">
        <v>98.836763602999994</v>
      </c>
      <c r="AE1120">
        <v>98.291809016000002</v>
      </c>
      <c r="AF1120">
        <v>98.2</v>
      </c>
      <c r="AG1120">
        <v>105.892569549</v>
      </c>
      <c r="AH1120">
        <v>103.791350721</v>
      </c>
      <c r="AI1120">
        <v>102.055857254</v>
      </c>
      <c r="AJ1120"/>
      <c r="AK1120">
        <v>96.740143936999999</v>
      </c>
      <c r="AL1120">
        <v>90.2</v>
      </c>
      <c r="AM1120">
        <v>97.510168254999996</v>
      </c>
      <c r="AN1120">
        <v>90.1</v>
      </c>
      <c r="AO1120">
        <v>90.622655664000007</v>
      </c>
      <c r="AP1120">
        <v>94.607883990000005</v>
      </c>
      <c r="AQ1120">
        <v>102.508542379</v>
      </c>
      <c r="AR1120">
        <v>82.693108907999999</v>
      </c>
      <c r="AS1120">
        <v>95.720389897000004</v>
      </c>
      <c r="AT1120"/>
    </row>
    <row r="1121" spans="1:46" x14ac:dyDescent="0.2">
      <c r="A1121" s="87">
        <v>41000</v>
      </c>
      <c r="B1121"/>
      <c r="C1121"/>
      <c r="D1121">
        <v>97.900368416000006</v>
      </c>
      <c r="E1121">
        <v>99.091742354999994</v>
      </c>
      <c r="F1121">
        <v>108.450316543</v>
      </c>
      <c r="G1121">
        <v>95.072086123000005</v>
      </c>
      <c r="H1121">
        <v>99.310560207999998</v>
      </c>
      <c r="I1121"/>
      <c r="J1121">
        <v>96.669268617</v>
      </c>
      <c r="K1121">
        <v>92.284619230000004</v>
      </c>
      <c r="L1121">
        <v>96.591950671000006</v>
      </c>
      <c r="M1121">
        <v>97</v>
      </c>
      <c r="N1121">
        <v>97.5</v>
      </c>
      <c r="O1121">
        <v>96.996080829999997</v>
      </c>
      <c r="P1121">
        <v>90.707558962999997</v>
      </c>
      <c r="Q1121"/>
      <c r="R1121">
        <v>107.908992416</v>
      </c>
      <c r="S1121">
        <v>100.98</v>
      </c>
      <c r="T1121">
        <v>97.824699332999998</v>
      </c>
      <c r="U1121">
        <v>91.521778096000006</v>
      </c>
      <c r="V1121">
        <v>102.680206426</v>
      </c>
      <c r="W1121">
        <v>84.107008917000002</v>
      </c>
      <c r="X1121">
        <v>90.617516620999993</v>
      </c>
      <c r="Y1121">
        <v>61.014122426</v>
      </c>
      <c r="Z1121">
        <v>104.27169029</v>
      </c>
      <c r="AA1121">
        <v>100.32786885199999</v>
      </c>
      <c r="AB1121">
        <v>102.791434047</v>
      </c>
      <c r="AC1121">
        <v>102.948146134</v>
      </c>
      <c r="AD1121">
        <v>100.02366469499999</v>
      </c>
      <c r="AE1121">
        <v>98.091825681000003</v>
      </c>
      <c r="AF1121">
        <v>96.3</v>
      </c>
      <c r="AG1121">
        <v>106.470885133</v>
      </c>
      <c r="AH1121">
        <v>106.791100742</v>
      </c>
      <c r="AI1121">
        <v>103.10318076</v>
      </c>
      <c r="AJ1121"/>
      <c r="AK1121">
        <v>96.874946538000003</v>
      </c>
      <c r="AL1121">
        <v>90.4</v>
      </c>
      <c r="AM1121">
        <v>92.759628122999999</v>
      </c>
      <c r="AN1121">
        <v>90.2</v>
      </c>
      <c r="AO1121">
        <v>91.422855713999994</v>
      </c>
      <c r="AP1121">
        <v>96.108009000999999</v>
      </c>
      <c r="AQ1121">
        <v>102.908575715</v>
      </c>
      <c r="AR1121">
        <v>83.693025581000001</v>
      </c>
      <c r="AS1121">
        <v>96.456346811000003</v>
      </c>
      <c r="AT1121"/>
    </row>
    <row r="1122" spans="1:46" x14ac:dyDescent="0.2">
      <c r="A1122" s="87">
        <v>41030</v>
      </c>
      <c r="B1122"/>
      <c r="C1122"/>
      <c r="D1122">
        <v>99.371172068999996</v>
      </c>
      <c r="E1122">
        <v>100.591617365</v>
      </c>
      <c r="F1122">
        <v>108.89072392</v>
      </c>
      <c r="G1122">
        <v>95.018044939999996</v>
      </c>
      <c r="H1122">
        <v>97.367458577999997</v>
      </c>
      <c r="I1122"/>
      <c r="J1122">
        <v>96.114251882000005</v>
      </c>
      <c r="K1122">
        <v>92.484585902000006</v>
      </c>
      <c r="L1122">
        <v>98.491792351000001</v>
      </c>
      <c r="M1122">
        <v>100</v>
      </c>
      <c r="N1122">
        <v>98.3</v>
      </c>
      <c r="O1122">
        <v>97.977081647999995</v>
      </c>
      <c r="P1122">
        <v>91.307608966999993</v>
      </c>
      <c r="Q1122"/>
      <c r="R1122">
        <v>107.00891741</v>
      </c>
      <c r="S1122">
        <v>99.52</v>
      </c>
      <c r="T1122">
        <v>97.950810387000004</v>
      </c>
      <c r="U1122">
        <v>93.027424269999997</v>
      </c>
      <c r="V1122">
        <v>105.377060097</v>
      </c>
      <c r="W1122">
        <v>87.107258938000001</v>
      </c>
      <c r="X1122">
        <v>92.728016722999996</v>
      </c>
      <c r="Y1122">
        <v>63.658697392000001</v>
      </c>
      <c r="Z1122">
        <v>97.548970324999999</v>
      </c>
      <c r="AA1122">
        <v>99.578454332999996</v>
      </c>
      <c r="AB1122">
        <v>104.291309058</v>
      </c>
      <c r="AC1122">
        <v>101.10062207599999</v>
      </c>
      <c r="AD1122">
        <v>101.340554954</v>
      </c>
      <c r="AE1122">
        <v>96.791934005000002</v>
      </c>
      <c r="AF1122">
        <v>97.2</v>
      </c>
      <c r="AG1122">
        <v>106.57558507900001</v>
      </c>
      <c r="AH1122">
        <v>105.391217399</v>
      </c>
      <c r="AI1122">
        <v>103.91776571</v>
      </c>
      <c r="AJ1122"/>
      <c r="AK1122">
        <v>97.195126149999993</v>
      </c>
      <c r="AL1122">
        <v>91.9</v>
      </c>
      <c r="AM1122">
        <v>96.506164511999998</v>
      </c>
      <c r="AN1122">
        <v>90.8</v>
      </c>
      <c r="AO1122">
        <v>90.722680670000003</v>
      </c>
      <c r="AP1122">
        <v>93.307775648000003</v>
      </c>
      <c r="AQ1122">
        <v>107.108925744</v>
      </c>
      <c r="AR1122">
        <v>83.993000582999997</v>
      </c>
      <c r="AS1122">
        <v>96.607998538000004</v>
      </c>
      <c r="AT1122"/>
    </row>
    <row r="1123" spans="1:46" x14ac:dyDescent="0.2">
      <c r="A1123" s="87">
        <v>41061</v>
      </c>
      <c r="B1123"/>
      <c r="C1123"/>
      <c r="D1123">
        <v>98.727695471999994</v>
      </c>
      <c r="E1123">
        <v>99.691692359000001</v>
      </c>
      <c r="F1123">
        <v>109.000825764</v>
      </c>
      <c r="G1123">
        <v>94.471747429999994</v>
      </c>
      <c r="H1123">
        <v>98.691615678000005</v>
      </c>
      <c r="I1123"/>
      <c r="J1123">
        <v>95.213031951999994</v>
      </c>
      <c r="K1123">
        <v>92.284619230000004</v>
      </c>
      <c r="L1123">
        <v>97.291892341999997</v>
      </c>
      <c r="M1123">
        <v>98.5</v>
      </c>
      <c r="N1123">
        <v>97.4</v>
      </c>
      <c r="O1123">
        <v>97.559081298999999</v>
      </c>
      <c r="P1123">
        <v>92.007667306000002</v>
      </c>
      <c r="Q1123"/>
      <c r="R1123">
        <v>108.309025752</v>
      </c>
      <c r="S1123">
        <v>98.75</v>
      </c>
      <c r="T1123">
        <v>97.367908983000007</v>
      </c>
      <c r="U1123">
        <v>91.629324252000004</v>
      </c>
      <c r="V1123">
        <v>103.778924588</v>
      </c>
      <c r="W1123">
        <v>84.607050588000007</v>
      </c>
      <c r="X1123">
        <v>91.565209378000006</v>
      </c>
      <c r="Y1123">
        <v>62.588274192</v>
      </c>
      <c r="Z1123">
        <v>93.304944203000005</v>
      </c>
      <c r="AA1123">
        <v>97.236533957999995</v>
      </c>
      <c r="AB1123">
        <v>102.191484043</v>
      </c>
      <c r="AC1123">
        <v>100.382140498</v>
      </c>
      <c r="AD1123">
        <v>99.403716356999993</v>
      </c>
      <c r="AE1123">
        <v>101.191567369</v>
      </c>
      <c r="AF1123">
        <v>98.3</v>
      </c>
      <c r="AG1123">
        <v>107.19918536</v>
      </c>
      <c r="AH1123">
        <v>105.391217399</v>
      </c>
      <c r="AI1123">
        <v>103.452288596</v>
      </c>
      <c r="AJ1123"/>
      <c r="AK1123">
        <v>96.653138107999993</v>
      </c>
      <c r="AL1123">
        <v>90.7</v>
      </c>
      <c r="AM1123">
        <v>96.437127957000001</v>
      </c>
      <c r="AN1123">
        <v>90.9</v>
      </c>
      <c r="AO1123">
        <v>88.722180545000001</v>
      </c>
      <c r="AP1123">
        <v>95.107925660000006</v>
      </c>
      <c r="AQ1123">
        <v>104.708725727</v>
      </c>
      <c r="AR1123">
        <v>83.393050579000004</v>
      </c>
      <c r="AS1123">
        <v>96.598879611000001</v>
      </c>
      <c r="AT1123"/>
    </row>
    <row r="1124" spans="1:46" x14ac:dyDescent="0.2">
      <c r="A1124" s="87">
        <v>41091</v>
      </c>
      <c r="B1124"/>
      <c r="C1124"/>
      <c r="D1124">
        <v>99.371172068999996</v>
      </c>
      <c r="E1124">
        <v>99.791684025999999</v>
      </c>
      <c r="F1124">
        <v>110.65235342699999</v>
      </c>
      <c r="G1124">
        <v>94.114861593000001</v>
      </c>
      <c r="H1124">
        <v>97.646006397999997</v>
      </c>
      <c r="I1124"/>
      <c r="J1124">
        <v>92.743758366999998</v>
      </c>
      <c r="K1124">
        <v>92.384602565999998</v>
      </c>
      <c r="L1124">
        <v>98.391800683</v>
      </c>
      <c r="M1124">
        <v>101.6</v>
      </c>
      <c r="N1124">
        <v>97.7</v>
      </c>
      <c r="O1124">
        <v>96.752080626999998</v>
      </c>
      <c r="P1124">
        <v>90.207517292999995</v>
      </c>
      <c r="Q1124"/>
      <c r="R1124">
        <v>107.408950746</v>
      </c>
      <c r="S1124">
        <v>99.44</v>
      </c>
      <c r="T1124">
        <v>97.792357043999999</v>
      </c>
      <c r="U1124">
        <v>94.533070443</v>
      </c>
      <c r="V1124">
        <v>106.375894789</v>
      </c>
      <c r="W1124">
        <v>84.907075590000005</v>
      </c>
      <c r="X1124">
        <v>90.961441721</v>
      </c>
      <c r="Y1124">
        <v>61.706749203000001</v>
      </c>
      <c r="Z1124">
        <v>91.755290263000006</v>
      </c>
      <c r="AA1124">
        <v>99.953161593000004</v>
      </c>
      <c r="AB1124">
        <v>103.19140071699999</v>
      </c>
      <c r="AC1124">
        <v>99.868939370000007</v>
      </c>
      <c r="AD1124">
        <v>98.437796849999998</v>
      </c>
      <c r="AE1124">
        <v>101.091575702</v>
      </c>
      <c r="AF1124">
        <v>97.3</v>
      </c>
      <c r="AG1124">
        <v>106.823937301</v>
      </c>
      <c r="AH1124">
        <v>101.69152570599999</v>
      </c>
      <c r="AI1124">
        <v>99.96121024</v>
      </c>
      <c r="AJ1124"/>
      <c r="AK1124">
        <v>96.789357167000006</v>
      </c>
      <c r="AL1124">
        <v>90.7</v>
      </c>
      <c r="AM1124">
        <v>97.800604175000004</v>
      </c>
      <c r="AN1124">
        <v>91.3</v>
      </c>
      <c r="AO1124">
        <v>92.323080770000004</v>
      </c>
      <c r="AP1124">
        <v>93.907825652</v>
      </c>
      <c r="AQ1124">
        <v>104.30869239099999</v>
      </c>
      <c r="AR1124">
        <v>84.192983917999996</v>
      </c>
      <c r="AS1124">
        <v>96.817832988000006</v>
      </c>
      <c r="AT1124"/>
    </row>
    <row r="1125" spans="1:46" x14ac:dyDescent="0.2">
      <c r="A1125" s="87">
        <v>41122</v>
      </c>
      <c r="B1125"/>
      <c r="C1125"/>
      <c r="D1125">
        <v>100.658125223</v>
      </c>
      <c r="E1125">
        <v>100.891592367</v>
      </c>
      <c r="F1125">
        <v>112.964492155</v>
      </c>
      <c r="G1125">
        <v>93.168338286999997</v>
      </c>
      <c r="H1125">
        <v>99.292986768000006</v>
      </c>
      <c r="I1125"/>
      <c r="J1125">
        <v>97.143063290000001</v>
      </c>
      <c r="K1125">
        <v>89.685052490999993</v>
      </c>
      <c r="L1125">
        <v>98.391800683</v>
      </c>
      <c r="M1125">
        <v>99.2</v>
      </c>
      <c r="N1125">
        <v>98.4</v>
      </c>
      <c r="O1125">
        <v>99.226082688000005</v>
      </c>
      <c r="P1125">
        <v>94.007833985999994</v>
      </c>
      <c r="Q1125"/>
      <c r="R1125">
        <v>105.40878406500001</v>
      </c>
      <c r="S1125">
        <v>101.66</v>
      </c>
      <c r="T1125">
        <v>97.394304355000003</v>
      </c>
      <c r="U1125">
        <v>93.780247356000004</v>
      </c>
      <c r="V1125">
        <v>106.47577825899999</v>
      </c>
      <c r="W1125">
        <v>87.807317276000006</v>
      </c>
      <c r="X1125">
        <v>91.173767236000003</v>
      </c>
      <c r="Y1125">
        <v>64.918018805000003</v>
      </c>
      <c r="Z1125">
        <v>91.204108103999999</v>
      </c>
      <c r="AA1125">
        <v>102.669789227</v>
      </c>
      <c r="AB1125">
        <v>102.591450712</v>
      </c>
      <c r="AC1125">
        <v>98.637256664999995</v>
      </c>
      <c r="AD1125">
        <v>97.005916174000006</v>
      </c>
      <c r="AE1125">
        <v>96.591950671000006</v>
      </c>
      <c r="AF1125">
        <v>100.5</v>
      </c>
      <c r="AG1125">
        <v>105.992023832</v>
      </c>
      <c r="AH1125">
        <v>103.29139238400001</v>
      </c>
      <c r="AI1125">
        <v>101.24127230400001</v>
      </c>
      <c r="AJ1125"/>
      <c r="AK1125">
        <v>96.571326976999998</v>
      </c>
      <c r="AL1125">
        <v>90.6</v>
      </c>
      <c r="AM1125">
        <v>99.973732216000002</v>
      </c>
      <c r="AN1125">
        <v>92.1</v>
      </c>
      <c r="AO1125">
        <v>88.722180545000001</v>
      </c>
      <c r="AP1125">
        <v>96.008000667000005</v>
      </c>
      <c r="AQ1125">
        <v>107.708975748</v>
      </c>
      <c r="AR1125">
        <v>82.993083909999996</v>
      </c>
      <c r="AS1125">
        <v>96.426908534000006</v>
      </c>
      <c r="AT1125"/>
    </row>
    <row r="1126" spans="1:46" x14ac:dyDescent="0.2">
      <c r="A1126" s="87">
        <v>41153</v>
      </c>
      <c r="B1126"/>
      <c r="C1126"/>
      <c r="D1126">
        <v>99.003471150999999</v>
      </c>
      <c r="E1126">
        <v>101.191567369</v>
      </c>
      <c r="F1126">
        <v>110.76245527099999</v>
      </c>
      <c r="G1126">
        <v>92.855059940000004</v>
      </c>
      <c r="H1126">
        <v>98.424774717999995</v>
      </c>
      <c r="I1126"/>
      <c r="J1126">
        <v>96.556587261000004</v>
      </c>
      <c r="K1126">
        <v>90.184969171999995</v>
      </c>
      <c r="L1126">
        <v>97.091909008000002</v>
      </c>
      <c r="M1126">
        <v>100.2</v>
      </c>
      <c r="N1126">
        <v>96.6</v>
      </c>
      <c r="O1126">
        <v>95.559079632999996</v>
      </c>
      <c r="P1126">
        <v>94.807900657999994</v>
      </c>
      <c r="Q1126"/>
      <c r="R1126">
        <v>105.508792399</v>
      </c>
      <c r="S1126">
        <v>99.41</v>
      </c>
      <c r="T1126">
        <v>96.515318597000004</v>
      </c>
      <c r="U1126">
        <v>91.414231940999997</v>
      </c>
      <c r="V1126">
        <v>103.978691527</v>
      </c>
      <c r="W1126">
        <v>87.007250604000006</v>
      </c>
      <c r="X1126">
        <v>89.874177849000006</v>
      </c>
      <c r="Y1126">
        <v>56.480565341999998</v>
      </c>
      <c r="Z1126">
        <v>93.771965277999996</v>
      </c>
      <c r="AA1126">
        <v>101.733021077</v>
      </c>
      <c r="AB1126">
        <v>102.391467378</v>
      </c>
      <c r="AC1126">
        <v>96.481811930000006</v>
      </c>
      <c r="AD1126">
        <v>97.885842846000003</v>
      </c>
      <c r="AE1126">
        <v>99.791684025999999</v>
      </c>
      <c r="AF1126">
        <v>97.5</v>
      </c>
      <c r="AG1126">
        <v>107.276085322</v>
      </c>
      <c r="AH1126">
        <v>102.491459045</v>
      </c>
      <c r="AI1126">
        <v>95.539177656999996</v>
      </c>
      <c r="AJ1126"/>
      <c r="AK1126">
        <v>95.851893450999995</v>
      </c>
      <c r="AL1126">
        <v>91</v>
      </c>
      <c r="AM1126">
        <v>96.130299374000003</v>
      </c>
      <c r="AN1126">
        <v>91.5</v>
      </c>
      <c r="AO1126">
        <v>89.722430607999996</v>
      </c>
      <c r="AP1126">
        <v>94.307858988000007</v>
      </c>
      <c r="AQ1126">
        <v>101.10842570200001</v>
      </c>
      <c r="AR1126">
        <v>84.892925590000004</v>
      </c>
      <c r="AS1126">
        <v>96.372690563000006</v>
      </c>
      <c r="AT1126"/>
    </row>
    <row r="1127" spans="1:46" x14ac:dyDescent="0.2">
      <c r="A1127" s="87">
        <v>41183</v>
      </c>
      <c r="B1127"/>
      <c r="C1127"/>
      <c r="D1127">
        <v>100.382349604</v>
      </c>
      <c r="E1127">
        <v>96.891925673000003</v>
      </c>
      <c r="F1127">
        <v>112.413982934</v>
      </c>
      <c r="G1127">
        <v>92.831784776999996</v>
      </c>
      <c r="H1127">
        <v>98.951999767999993</v>
      </c>
      <c r="I1127"/>
      <c r="J1127">
        <v>96.820141888999999</v>
      </c>
      <c r="K1127">
        <v>88.785202466000001</v>
      </c>
      <c r="L1127">
        <v>95.792017332</v>
      </c>
      <c r="M1127">
        <v>99.6</v>
      </c>
      <c r="N1127">
        <v>95.8</v>
      </c>
      <c r="O1127">
        <v>96.259080216000001</v>
      </c>
      <c r="P1127">
        <v>90.007500625000006</v>
      </c>
      <c r="Q1127"/>
      <c r="R1127">
        <v>104.60871739300001</v>
      </c>
      <c r="S1127">
        <v>97.95</v>
      </c>
      <c r="T1127">
        <v>96.311325182000004</v>
      </c>
      <c r="U1127">
        <v>91.199139630999994</v>
      </c>
      <c r="V1127">
        <v>105.377060097</v>
      </c>
      <c r="W1127">
        <v>84.507042253999998</v>
      </c>
      <c r="X1127">
        <v>92.221756357999993</v>
      </c>
      <c r="Y1127">
        <v>61.454884921000001</v>
      </c>
      <c r="Z1127">
        <v>97.524851040000001</v>
      </c>
      <c r="AA1127">
        <v>100.234192037</v>
      </c>
      <c r="AB1127">
        <v>100.49162569800001</v>
      </c>
      <c r="AC1127">
        <v>96.789732607000005</v>
      </c>
      <c r="AD1127">
        <v>99.647696025000002</v>
      </c>
      <c r="AE1127">
        <v>98.491792351000001</v>
      </c>
      <c r="AF1127">
        <v>97.1</v>
      </c>
      <c r="AG1127">
        <v>105.547158947</v>
      </c>
      <c r="AH1127">
        <v>102.391467378</v>
      </c>
      <c r="AI1127">
        <v>100.54305663300001</v>
      </c>
      <c r="AJ1127"/>
      <c r="AK1127">
        <v>95.800722758000006</v>
      </c>
      <c r="AL1127">
        <v>90.7</v>
      </c>
      <c r="AM1127">
        <v>94.773439131000003</v>
      </c>
      <c r="AN1127">
        <v>90.7</v>
      </c>
      <c r="AO1127">
        <v>89.122280570000001</v>
      </c>
      <c r="AP1127">
        <v>93.707808983999996</v>
      </c>
      <c r="AQ1127">
        <v>102.70855904699999</v>
      </c>
      <c r="AR1127">
        <v>84.992917257000002</v>
      </c>
      <c r="AS1127">
        <v>96.674903712000003</v>
      </c>
      <c r="AT1127"/>
    </row>
    <row r="1128" spans="1:46" x14ac:dyDescent="0.2">
      <c r="A1128" s="87">
        <v>41214</v>
      </c>
      <c r="B1128"/>
      <c r="C1128"/>
      <c r="D1128">
        <v>98.635770242000007</v>
      </c>
      <c r="E1128">
        <v>96.291975668999996</v>
      </c>
      <c r="F1128">
        <v>110.76245527099999</v>
      </c>
      <c r="G1128">
        <v>93.780180797</v>
      </c>
      <c r="H1128">
        <v>99.876423938000002</v>
      </c>
      <c r="I1128"/>
      <c r="J1128">
        <v>97.245370625000007</v>
      </c>
      <c r="K1128">
        <v>88.085319112999997</v>
      </c>
      <c r="L1128">
        <v>95.092075660000006</v>
      </c>
      <c r="M1128">
        <v>101.8</v>
      </c>
      <c r="N1128">
        <v>95.1</v>
      </c>
      <c r="O1128">
        <v>93.832078193000001</v>
      </c>
      <c r="P1128">
        <v>93.207767313999994</v>
      </c>
      <c r="Q1128"/>
      <c r="R1128">
        <v>103.708642387</v>
      </c>
      <c r="S1128">
        <v>97.9</v>
      </c>
      <c r="T1128">
        <v>96.252204320999994</v>
      </c>
      <c r="U1128">
        <v>91.199139630999994</v>
      </c>
      <c r="V1128">
        <v>101.981022141</v>
      </c>
      <c r="W1128">
        <v>84.007000583000007</v>
      </c>
      <c r="X1128">
        <v>91.104957471999995</v>
      </c>
      <c r="Y1128">
        <v>60.069631366999999</v>
      </c>
      <c r="Z1128">
        <v>89.149416122999995</v>
      </c>
      <c r="AA1128">
        <v>99.016393442999998</v>
      </c>
      <c r="AB1128">
        <v>99.091742354999994</v>
      </c>
      <c r="AC1128">
        <v>96.071251028000006</v>
      </c>
      <c r="AD1128">
        <v>100.65661194899999</v>
      </c>
      <c r="AE1128">
        <v>90.492458962000001</v>
      </c>
      <c r="AF1128">
        <v>98.2</v>
      </c>
      <c r="AG1128">
        <v>107.16803158899999</v>
      </c>
      <c r="AH1128">
        <v>103.691359053</v>
      </c>
      <c r="AI1128">
        <v>98.099301784000005</v>
      </c>
      <c r="AJ1128"/>
      <c r="AK1128">
        <v>95.648223798000004</v>
      </c>
      <c r="AL1128">
        <v>89.4</v>
      </c>
      <c r="AM1128">
        <v>94.796097732999996</v>
      </c>
      <c r="AN1128">
        <v>91.2</v>
      </c>
      <c r="AO1128">
        <v>86.721680419999998</v>
      </c>
      <c r="AP1128">
        <v>91.507625634999997</v>
      </c>
      <c r="AQ1128">
        <v>101.60846737200001</v>
      </c>
      <c r="AR1128">
        <v>83.793017249000002</v>
      </c>
      <c r="AS1128">
        <v>97.120244373999995</v>
      </c>
      <c r="AT1128"/>
    </row>
    <row r="1129" spans="1:46" x14ac:dyDescent="0.2">
      <c r="A1129" s="87">
        <v>41244</v>
      </c>
      <c r="B1129"/>
      <c r="C1129"/>
      <c r="D1129">
        <v>98.451919782999994</v>
      </c>
      <c r="E1129">
        <v>97.991834014000005</v>
      </c>
      <c r="F1129">
        <v>111.53316818099999</v>
      </c>
      <c r="G1129">
        <v>93.372731674999997</v>
      </c>
      <c r="H1129">
        <v>98.580946257999997</v>
      </c>
      <c r="I1129"/>
      <c r="J1129">
        <v>96.432567176000006</v>
      </c>
      <c r="K1129">
        <v>89.185135810999995</v>
      </c>
      <c r="L1129">
        <v>95.892008998999998</v>
      </c>
      <c r="M1129">
        <v>99.8</v>
      </c>
      <c r="N1129">
        <v>95.6</v>
      </c>
      <c r="O1129">
        <v>94.371078643000004</v>
      </c>
      <c r="P1129">
        <v>96.608050671000001</v>
      </c>
      <c r="Q1129"/>
      <c r="R1129">
        <v>104.408700725</v>
      </c>
      <c r="S1129">
        <v>98.82</v>
      </c>
      <c r="T1129">
        <v>96.769587845000004</v>
      </c>
      <c r="U1129">
        <v>91.091593476</v>
      </c>
      <c r="V1129">
        <v>100.58265357099999</v>
      </c>
      <c r="W1129">
        <v>85.707142262000005</v>
      </c>
      <c r="X1129">
        <v>91.402732012000001</v>
      </c>
      <c r="Y1129">
        <v>61.391918850000003</v>
      </c>
      <c r="Z1129">
        <v>80.456293372000005</v>
      </c>
      <c r="AA1129">
        <v>95.831381733000001</v>
      </c>
      <c r="AB1129">
        <v>99.891675694</v>
      </c>
      <c r="AC1129">
        <v>97.405573958999994</v>
      </c>
      <c r="AD1129">
        <v>100.411632364</v>
      </c>
      <c r="AE1129">
        <v>94.492125655999999</v>
      </c>
      <c r="AF1129">
        <v>101.3</v>
      </c>
      <c r="AG1129">
        <v>105.848857583</v>
      </c>
      <c r="AH1129">
        <v>102.591450712</v>
      </c>
      <c r="AI1129">
        <v>99.262994569</v>
      </c>
      <c r="AJ1129"/>
      <c r="AK1129">
        <v>95.989349480000001</v>
      </c>
      <c r="AL1129">
        <v>89</v>
      </c>
      <c r="AM1129">
        <v>93.975541010000001</v>
      </c>
      <c r="AN1129">
        <v>91.6</v>
      </c>
      <c r="AO1129">
        <v>88.122030507999995</v>
      </c>
      <c r="AP1129">
        <v>92.007667306000002</v>
      </c>
      <c r="AQ1129">
        <v>102.70855904699999</v>
      </c>
      <c r="AR1129">
        <v>84.992917257000002</v>
      </c>
      <c r="AS1129">
        <v>97.346730777999994</v>
      </c>
      <c r="AT1129"/>
    </row>
    <row r="1130" spans="1:46" x14ac:dyDescent="0.2">
      <c r="A1130" s="87">
        <v>41275</v>
      </c>
      <c r="B1130"/>
      <c r="C1130"/>
      <c r="D1130">
        <v>97.624592727000007</v>
      </c>
      <c r="E1130">
        <v>96.391967335999993</v>
      </c>
      <c r="F1130">
        <v>112.413982934</v>
      </c>
      <c r="G1130">
        <v>94.095599389</v>
      </c>
      <c r="H1130">
        <v>98.122560027999995</v>
      </c>
      <c r="I1130"/>
      <c r="J1130">
        <v>100.518912758</v>
      </c>
      <c r="K1130">
        <v>87.485419097000005</v>
      </c>
      <c r="L1130">
        <v>94.692108990999998</v>
      </c>
      <c r="M1130">
        <v>101.2</v>
      </c>
      <c r="N1130">
        <v>95.2</v>
      </c>
      <c r="O1130">
        <v>95.332079442999998</v>
      </c>
      <c r="P1130">
        <v>96.908075672999999</v>
      </c>
      <c r="Q1130"/>
      <c r="R1130">
        <v>104.408700725</v>
      </c>
      <c r="S1130">
        <v>98.64</v>
      </c>
      <c r="T1130">
        <v>96.122313644000002</v>
      </c>
      <c r="U1130">
        <v>88.833124216000002</v>
      </c>
      <c r="V1130">
        <v>100.482770102</v>
      </c>
      <c r="W1130">
        <v>84.907075590000005</v>
      </c>
      <c r="X1130">
        <v>91.323754890000004</v>
      </c>
      <c r="Y1130">
        <v>59.565902801999997</v>
      </c>
      <c r="Z1130">
        <v>90.147097467999998</v>
      </c>
      <c r="AA1130">
        <v>96.112412178</v>
      </c>
      <c r="AB1130">
        <v>99.891675694</v>
      </c>
      <c r="AC1130">
        <v>95.392050662000003</v>
      </c>
      <c r="AD1130">
        <v>100.666611116</v>
      </c>
      <c r="AE1130">
        <v>92.992250646000002</v>
      </c>
      <c r="AF1130">
        <v>99.6</v>
      </c>
      <c r="AG1130">
        <v>105.33302945699999</v>
      </c>
      <c r="AH1130">
        <v>104.291309058</v>
      </c>
      <c r="AI1130">
        <v>95.306439100000006</v>
      </c>
      <c r="AJ1130"/>
      <c r="AK1130">
        <v>95.553446496999996</v>
      </c>
      <c r="AL1130">
        <v>89.2</v>
      </c>
      <c r="AM1130">
        <v>96.073619426999997</v>
      </c>
      <c r="AN1130">
        <v>89.6</v>
      </c>
      <c r="AO1130">
        <v>88.222055514000004</v>
      </c>
      <c r="AP1130">
        <v>93.607800650000001</v>
      </c>
      <c r="AQ1130">
        <v>100.00833402799999</v>
      </c>
      <c r="AR1130">
        <v>85.392883925999996</v>
      </c>
      <c r="AS1130">
        <v>97.301334378000007</v>
      </c>
      <c r="AT1130"/>
    </row>
    <row r="1131" spans="1:46" x14ac:dyDescent="0.2">
      <c r="A1131" s="87">
        <v>41306</v>
      </c>
      <c r="B1131"/>
      <c r="C1131"/>
      <c r="D1131">
        <v>97.348817038999996</v>
      </c>
      <c r="E1131">
        <v>96.391967335999993</v>
      </c>
      <c r="F1131">
        <v>109.77153867299999</v>
      </c>
      <c r="G1131">
        <v>95.097501531999995</v>
      </c>
      <c r="H1131">
        <v>100.37841309700001</v>
      </c>
      <c r="I1131"/>
      <c r="J1131">
        <v>99.156042916999994</v>
      </c>
      <c r="K1131">
        <v>88.785202466000001</v>
      </c>
      <c r="L1131">
        <v>95.492042330000004</v>
      </c>
      <c r="M1131">
        <v>98.7</v>
      </c>
      <c r="N1131">
        <v>95.4</v>
      </c>
      <c r="O1131">
        <v>94.670078892000006</v>
      </c>
      <c r="P1131">
        <v>94.707892323999999</v>
      </c>
      <c r="Q1131"/>
      <c r="R1131">
        <v>103.80865072100001</v>
      </c>
      <c r="S1131">
        <v>99.71</v>
      </c>
      <c r="T1131">
        <v>96.823246409000006</v>
      </c>
      <c r="U1131">
        <v>88.940670370999996</v>
      </c>
      <c r="V1131">
        <v>98.984518062000006</v>
      </c>
      <c r="W1131">
        <v>84.507042253999998</v>
      </c>
      <c r="X1131">
        <v>91.142631492999996</v>
      </c>
      <c r="Y1131">
        <v>59.251072448999999</v>
      </c>
      <c r="Z1131">
        <v>101.726184807</v>
      </c>
      <c r="AA1131">
        <v>98.922716628000003</v>
      </c>
      <c r="AB1131">
        <v>99.291725690000007</v>
      </c>
      <c r="AC1131">
        <v>96.991917340000001</v>
      </c>
      <c r="AD1131">
        <v>100.457628531</v>
      </c>
      <c r="AE1131">
        <v>93.492208982999998</v>
      </c>
      <c r="AF1131">
        <v>96.9</v>
      </c>
      <c r="AG1131">
        <v>105.879786745</v>
      </c>
      <c r="AH1131">
        <v>105.291225731</v>
      </c>
      <c r="AI1131">
        <v>93.211792087000006</v>
      </c>
      <c r="AJ1131"/>
      <c r="AK1131">
        <v>96.060176346000006</v>
      </c>
      <c r="AL1131">
        <v>90.2</v>
      </c>
      <c r="AM1131">
        <v>95.309575084000002</v>
      </c>
      <c r="AN1131">
        <v>90.2</v>
      </c>
      <c r="AO1131">
        <v>88.32208052</v>
      </c>
      <c r="AP1131">
        <v>95.107925660000006</v>
      </c>
      <c r="AQ1131">
        <v>99.708309025999995</v>
      </c>
      <c r="AR1131">
        <v>87.292725606000005</v>
      </c>
      <c r="AS1131">
        <v>97.776509791999999</v>
      </c>
      <c r="AT1131"/>
    </row>
    <row r="1132" spans="1:46" x14ac:dyDescent="0.2">
      <c r="A1132" s="87">
        <v>41334</v>
      </c>
      <c r="B1132"/>
      <c r="C1132"/>
      <c r="D1132">
        <v>96.889190901000006</v>
      </c>
      <c r="E1132">
        <v>98.991750687000007</v>
      </c>
      <c r="F1132">
        <v>111.42306633600001</v>
      </c>
      <c r="G1132">
        <v>95.688209122999993</v>
      </c>
      <c r="H1132">
        <v>99.952518928000003</v>
      </c>
      <c r="I1132"/>
      <c r="J1132">
        <v>99.951168048</v>
      </c>
      <c r="K1132">
        <v>88.085319112999997</v>
      </c>
      <c r="L1132">
        <v>96.791934005000002</v>
      </c>
      <c r="M1132">
        <v>98.3</v>
      </c>
      <c r="N1132">
        <v>96.4</v>
      </c>
      <c r="O1132">
        <v>95.546079621999993</v>
      </c>
      <c r="P1132">
        <v>97.808150678999993</v>
      </c>
      <c r="Q1132"/>
      <c r="R1132">
        <v>105.508792399</v>
      </c>
      <c r="S1132">
        <v>99.84</v>
      </c>
      <c r="T1132">
        <v>97.494309381999997</v>
      </c>
      <c r="U1132">
        <v>90.984047320000002</v>
      </c>
      <c r="V1132">
        <v>101.281837856</v>
      </c>
      <c r="W1132">
        <v>84.907075590000005</v>
      </c>
      <c r="X1132">
        <v>92.908375121000006</v>
      </c>
      <c r="Y1132">
        <v>60.384461719999997</v>
      </c>
      <c r="Z1132">
        <v>93.602910703999996</v>
      </c>
      <c r="AA1132">
        <v>96.299765808000004</v>
      </c>
      <c r="AB1132">
        <v>98.791767352999997</v>
      </c>
      <c r="AC1132">
        <v>97.891842346000004</v>
      </c>
      <c r="AD1132">
        <v>98.609782518000003</v>
      </c>
      <c r="AE1132">
        <v>90.192483960000004</v>
      </c>
      <c r="AF1132">
        <v>95.8</v>
      </c>
      <c r="AG1132">
        <v>106.310317502</v>
      </c>
      <c r="AH1132">
        <v>107.19106741100001</v>
      </c>
      <c r="AI1132">
        <v>93.211792087000006</v>
      </c>
      <c r="AJ1132"/>
      <c r="AK1132">
        <v>96.516379716000003</v>
      </c>
      <c r="AL1132">
        <v>89.6</v>
      </c>
      <c r="AM1132">
        <v>98.242872739000006</v>
      </c>
      <c r="AN1132">
        <v>93.4</v>
      </c>
      <c r="AO1132">
        <v>90.122530632999997</v>
      </c>
      <c r="AP1132">
        <v>91.207600632999998</v>
      </c>
      <c r="AQ1132">
        <v>101.008417368</v>
      </c>
      <c r="AR1132">
        <v>86.992750603999994</v>
      </c>
      <c r="AS1132">
        <v>98.186762407000003</v>
      </c>
      <c r="AT1132"/>
    </row>
    <row r="1133" spans="1:46" x14ac:dyDescent="0.2">
      <c r="A1133" s="87">
        <v>41365</v>
      </c>
      <c r="B1133"/>
      <c r="C1133"/>
      <c r="D1133">
        <v>99.371172068999996</v>
      </c>
      <c r="E1133">
        <v>99.391717357000005</v>
      </c>
      <c r="F1133">
        <v>113.294797688</v>
      </c>
      <c r="G1133">
        <v>95.024465673999998</v>
      </c>
      <c r="H1133">
        <v>98.735060297999993</v>
      </c>
      <c r="I1133"/>
      <c r="J1133">
        <v>96.411170994000003</v>
      </c>
      <c r="K1133">
        <v>89.485085819000005</v>
      </c>
      <c r="L1133">
        <v>97.091909008000002</v>
      </c>
      <c r="M1133">
        <v>100.2</v>
      </c>
      <c r="N1133">
        <v>96.6</v>
      </c>
      <c r="O1133">
        <v>94.282078568000003</v>
      </c>
      <c r="P1133">
        <v>92.807733978000002</v>
      </c>
      <c r="Q1133"/>
      <c r="R1133">
        <v>101.30844236999999</v>
      </c>
      <c r="S1133">
        <v>101.47</v>
      </c>
      <c r="T1133">
        <v>97.636336354999997</v>
      </c>
      <c r="U1133">
        <v>92.382147337999996</v>
      </c>
      <c r="V1133">
        <v>102.87997336399999</v>
      </c>
      <c r="W1133">
        <v>85.307108925999998</v>
      </c>
      <c r="X1133">
        <v>93.605349832000002</v>
      </c>
      <c r="Y1133">
        <v>61.077088496999998</v>
      </c>
      <c r="Z1133">
        <v>89.327424149999999</v>
      </c>
      <c r="AA1133">
        <v>97.798594847999993</v>
      </c>
      <c r="AB1133">
        <v>97.991834014000005</v>
      </c>
      <c r="AC1133">
        <v>98.091825681000003</v>
      </c>
      <c r="AD1133">
        <v>99.523706357999998</v>
      </c>
      <c r="AE1133">
        <v>92.592283976000004</v>
      </c>
      <c r="AF1133">
        <v>95.7</v>
      </c>
      <c r="AG1133">
        <v>105.199888676</v>
      </c>
      <c r="AH1133">
        <v>107.291059078</v>
      </c>
      <c r="AI1133">
        <v>96.702870442000005</v>
      </c>
      <c r="AJ1133"/>
      <c r="AK1133">
        <v>96.647042623000004</v>
      </c>
      <c r="AL1133">
        <v>90.8</v>
      </c>
      <c r="AM1133">
        <v>96.879186212999997</v>
      </c>
      <c r="AN1133">
        <v>92.4</v>
      </c>
      <c r="AO1133">
        <v>89.922480620000002</v>
      </c>
      <c r="AP1133">
        <v>93.10775898</v>
      </c>
      <c r="AQ1133">
        <v>98.708225685000002</v>
      </c>
      <c r="AR1133">
        <v>87.692692276000002</v>
      </c>
      <c r="AS1133">
        <v>98.120352826000001</v>
      </c>
      <c r="AT1133"/>
    </row>
    <row r="1134" spans="1:46" x14ac:dyDescent="0.2">
      <c r="A1134" s="87">
        <v>41395</v>
      </c>
      <c r="B1134"/>
      <c r="C1134"/>
      <c r="D1134">
        <v>99.003471150999999</v>
      </c>
      <c r="E1134">
        <v>100.49162569800001</v>
      </c>
      <c r="F1134">
        <v>112.854390311</v>
      </c>
      <c r="G1134">
        <v>94.824620307000004</v>
      </c>
      <c r="H1134">
        <v>99.855968378</v>
      </c>
      <c r="I1134"/>
      <c r="J1134">
        <v>96.551655322000002</v>
      </c>
      <c r="K1134">
        <v>89.885019162999996</v>
      </c>
      <c r="L1134">
        <v>96.491959003000005</v>
      </c>
      <c r="M1134">
        <v>98.2</v>
      </c>
      <c r="N1134">
        <v>96.8</v>
      </c>
      <c r="O1134">
        <v>94.939079116000002</v>
      </c>
      <c r="P1134">
        <v>97.208100674999997</v>
      </c>
      <c r="Q1134"/>
      <c r="R1134">
        <v>102.608550713</v>
      </c>
      <c r="S1134">
        <v>101.07</v>
      </c>
      <c r="T1134">
        <v>98.042921124000003</v>
      </c>
      <c r="U1134">
        <v>93.995339666999996</v>
      </c>
      <c r="V1134">
        <v>101.082070917</v>
      </c>
      <c r="W1134">
        <v>84.907075590000005</v>
      </c>
      <c r="X1134">
        <v>93.138084007000003</v>
      </c>
      <c r="Y1134">
        <v>63.406833110000001</v>
      </c>
      <c r="Z1134">
        <v>87.603629338999994</v>
      </c>
      <c r="AA1134">
        <v>95.737704918000006</v>
      </c>
      <c r="AB1134">
        <v>99.791684025999999</v>
      </c>
      <c r="AC1134">
        <v>99.591700692000003</v>
      </c>
      <c r="AD1134">
        <v>99.689692526000002</v>
      </c>
      <c r="AE1134">
        <v>93.492208982999998</v>
      </c>
      <c r="AF1134">
        <v>97.5</v>
      </c>
      <c r="AG1134">
        <v>105.271609051</v>
      </c>
      <c r="AH1134">
        <v>107.09107574399999</v>
      </c>
      <c r="AI1134">
        <v>99.030256011999995</v>
      </c>
      <c r="AJ1134"/>
      <c r="AK1134">
        <v>97.014293440000003</v>
      </c>
      <c r="AL1134">
        <v>92.3</v>
      </c>
      <c r="AM1134">
        <v>96.656293641000005</v>
      </c>
      <c r="AN1134">
        <v>94.2</v>
      </c>
      <c r="AO1134">
        <v>90.722680670000003</v>
      </c>
      <c r="AP1134">
        <v>91.107592299000004</v>
      </c>
      <c r="AQ1134">
        <v>97.108092341000003</v>
      </c>
      <c r="AR1134">
        <v>87.892675609999998</v>
      </c>
      <c r="AS1134">
        <v>98.199548729</v>
      </c>
      <c r="AT1134"/>
    </row>
    <row r="1135" spans="1:46" x14ac:dyDescent="0.2">
      <c r="A1135" s="87">
        <v>41426</v>
      </c>
      <c r="B1135"/>
      <c r="C1135"/>
      <c r="D1135">
        <v>98.543845012999995</v>
      </c>
      <c r="E1135">
        <v>100.39163403000001</v>
      </c>
      <c r="F1135">
        <v>113.62510322</v>
      </c>
      <c r="G1135">
        <v>94.534082061999996</v>
      </c>
      <c r="H1135">
        <v>100.098356897</v>
      </c>
      <c r="I1135"/>
      <c r="J1135">
        <v>98.334629088</v>
      </c>
      <c r="K1135">
        <v>90.684885851999994</v>
      </c>
      <c r="L1135">
        <v>98.191817349000004</v>
      </c>
      <c r="M1135">
        <v>98</v>
      </c>
      <c r="N1135">
        <v>96.8</v>
      </c>
      <c r="O1135">
        <v>96.053080043999998</v>
      </c>
      <c r="P1135">
        <v>96.808067339000004</v>
      </c>
      <c r="Q1135"/>
      <c r="R1135">
        <v>103.50862571899999</v>
      </c>
      <c r="S1135">
        <v>99.82</v>
      </c>
      <c r="T1135">
        <v>98.149031496000006</v>
      </c>
      <c r="U1135">
        <v>95.178347373999998</v>
      </c>
      <c r="V1135">
        <v>106.27601131999999</v>
      </c>
      <c r="W1135">
        <v>85.407117260000007</v>
      </c>
      <c r="X1135">
        <v>90.948772356000006</v>
      </c>
      <c r="Y1135">
        <v>61.077088496999998</v>
      </c>
      <c r="Z1135">
        <v>87.680643928999999</v>
      </c>
      <c r="AA1135">
        <v>96.768149883000007</v>
      </c>
      <c r="AB1135">
        <v>99.691692359000001</v>
      </c>
      <c r="AC1135">
        <v>98.591784017999998</v>
      </c>
      <c r="AD1135">
        <v>99.742688108999999</v>
      </c>
      <c r="AE1135">
        <v>90.792433963999997</v>
      </c>
      <c r="AF1135">
        <v>97.8</v>
      </c>
      <c r="AG1135">
        <v>105.554799696</v>
      </c>
      <c r="AH1135">
        <v>103.19140071699999</v>
      </c>
      <c r="AI1135">
        <v>97.401086113000005</v>
      </c>
      <c r="AJ1135"/>
      <c r="AK1135">
        <v>97.222476857000004</v>
      </c>
      <c r="AL1135">
        <v>93.2</v>
      </c>
      <c r="AM1135">
        <v>95.185316989</v>
      </c>
      <c r="AN1135">
        <v>92.7</v>
      </c>
      <c r="AO1135">
        <v>89.622405600999997</v>
      </c>
      <c r="AP1135">
        <v>93.007750646000005</v>
      </c>
      <c r="AQ1135">
        <v>98.208184015</v>
      </c>
      <c r="AR1135">
        <v>90.592450628999998</v>
      </c>
      <c r="AS1135">
        <v>98.332268769999999</v>
      </c>
      <c r="AT1135"/>
    </row>
    <row r="1136" spans="1:46" x14ac:dyDescent="0.2">
      <c r="A1136" s="87">
        <v>41456</v>
      </c>
      <c r="B1136"/>
      <c r="C1136"/>
      <c r="D1136">
        <v>99.738872986999993</v>
      </c>
      <c r="E1136">
        <v>101.991500708</v>
      </c>
      <c r="F1136">
        <v>112.744288467</v>
      </c>
      <c r="G1136">
        <v>94.917720959999997</v>
      </c>
      <c r="H1136">
        <v>102.57188579699999</v>
      </c>
      <c r="I1136"/>
      <c r="J1136">
        <v>100.76059576599999</v>
      </c>
      <c r="K1136">
        <v>92.784535911000006</v>
      </c>
      <c r="L1136">
        <v>96.491959003000005</v>
      </c>
      <c r="M1136">
        <v>100.1</v>
      </c>
      <c r="N1136">
        <v>96</v>
      </c>
      <c r="O1136">
        <v>95.640079700000001</v>
      </c>
      <c r="P1136">
        <v>98.608217350999993</v>
      </c>
      <c r="Q1136"/>
      <c r="R1136">
        <v>102.808567381</v>
      </c>
      <c r="S1136">
        <v>99.12</v>
      </c>
      <c r="T1136">
        <v>98.005085065000003</v>
      </c>
      <c r="U1136">
        <v>94.855708907999997</v>
      </c>
      <c r="V1136">
        <v>98.684867654000001</v>
      </c>
      <c r="W1136">
        <v>86.607217267999999</v>
      </c>
      <c r="X1136">
        <v>93.600219902999996</v>
      </c>
      <c r="Y1136">
        <v>60.006665296999998</v>
      </c>
      <c r="Z1136">
        <v>87.912010843999994</v>
      </c>
      <c r="AA1136">
        <v>97.798594847999993</v>
      </c>
      <c r="AB1136">
        <v>99.491709024000002</v>
      </c>
      <c r="AC1136">
        <v>100.091659028</v>
      </c>
      <c r="AD1136">
        <v>98.632780601999997</v>
      </c>
      <c r="AE1136">
        <v>95.792017332</v>
      </c>
      <c r="AF1136">
        <v>99</v>
      </c>
      <c r="AG1136">
        <v>105.78360774799999</v>
      </c>
      <c r="AH1136">
        <v>100.69160903300001</v>
      </c>
      <c r="AI1136">
        <v>100.54305663300001</v>
      </c>
      <c r="AJ1136"/>
      <c r="AK1136">
        <v>97.191877321000007</v>
      </c>
      <c r="AL1136">
        <v>94.3</v>
      </c>
      <c r="AM1136">
        <v>93.561470321000002</v>
      </c>
      <c r="AN1136">
        <v>91.8</v>
      </c>
      <c r="AO1136">
        <v>90.922730682999997</v>
      </c>
      <c r="AP1136">
        <v>91.607633969000005</v>
      </c>
      <c r="AQ1136">
        <v>100.30835903000001</v>
      </c>
      <c r="AR1136">
        <v>90.092492292000003</v>
      </c>
      <c r="AS1136">
        <v>98.048689951</v>
      </c>
      <c r="AT1136"/>
    </row>
    <row r="1137" spans="1:46" x14ac:dyDescent="0.2">
      <c r="A1137" s="87">
        <v>41487</v>
      </c>
      <c r="B1137"/>
      <c r="C1137"/>
      <c r="D1137">
        <v>99.738872986999993</v>
      </c>
      <c r="E1137">
        <v>99.591700692000003</v>
      </c>
      <c r="F1137">
        <v>113.404899532</v>
      </c>
      <c r="G1137">
        <v>95.744658083000004</v>
      </c>
      <c r="H1137">
        <v>101.276844797</v>
      </c>
      <c r="I1137"/>
      <c r="J1137">
        <v>100.291203716</v>
      </c>
      <c r="K1137">
        <v>93.584402600000004</v>
      </c>
      <c r="L1137">
        <v>98.691775684999996</v>
      </c>
      <c r="M1137">
        <v>96.2</v>
      </c>
      <c r="N1137">
        <v>96.4</v>
      </c>
      <c r="O1137">
        <v>96.851080709000001</v>
      </c>
      <c r="P1137">
        <v>96.408034002999997</v>
      </c>
      <c r="Q1137"/>
      <c r="R1137">
        <v>104.408700725</v>
      </c>
      <c r="S1137">
        <v>98.34</v>
      </c>
      <c r="T1137">
        <v>98.494947206999996</v>
      </c>
      <c r="U1137">
        <v>94.210431976999999</v>
      </c>
      <c r="V1137">
        <v>100.183119694</v>
      </c>
      <c r="W1137">
        <v>88.707392283000004</v>
      </c>
      <c r="X1137">
        <v>95.000947979000003</v>
      </c>
      <c r="Y1137">
        <v>59.817767085</v>
      </c>
      <c r="Z1137">
        <v>89.148472483000006</v>
      </c>
      <c r="AA1137">
        <v>93.770491802999999</v>
      </c>
      <c r="AB1137">
        <v>97.891842346000004</v>
      </c>
      <c r="AC1137">
        <v>100.39163403000001</v>
      </c>
      <c r="AD1137">
        <v>100.43963003099999</v>
      </c>
      <c r="AE1137">
        <v>96.591950671000006</v>
      </c>
      <c r="AF1137">
        <v>97.9</v>
      </c>
      <c r="AG1137">
        <v>106.06008955</v>
      </c>
      <c r="AH1137">
        <v>103.09140904900001</v>
      </c>
      <c r="AI1137">
        <v>96.935608998999996</v>
      </c>
      <c r="AJ1137"/>
      <c r="AK1137">
        <v>97.517190798000001</v>
      </c>
      <c r="AL1137">
        <v>95</v>
      </c>
      <c r="AM1137">
        <v>96.012053069999993</v>
      </c>
      <c r="AN1137">
        <v>91.3</v>
      </c>
      <c r="AO1137">
        <v>91.522880720000003</v>
      </c>
      <c r="AP1137">
        <v>92.807733978000002</v>
      </c>
      <c r="AQ1137">
        <v>98.608217350999993</v>
      </c>
      <c r="AR1137">
        <v>87.592700608000001</v>
      </c>
      <c r="AS1137">
        <v>98.622785902999993</v>
      </c>
      <c r="AT1137"/>
    </row>
    <row r="1138" spans="1:46" x14ac:dyDescent="0.2">
      <c r="A1138" s="87">
        <v>41518</v>
      </c>
      <c r="B1138"/>
      <c r="C1138"/>
      <c r="D1138">
        <v>100.93390094199999</v>
      </c>
      <c r="E1138">
        <v>98.591784017999998</v>
      </c>
      <c r="F1138">
        <v>113.955408753</v>
      </c>
      <c r="G1138">
        <v>96.533338326999996</v>
      </c>
      <c r="H1138">
        <v>101.451441097</v>
      </c>
      <c r="I1138"/>
      <c r="J1138">
        <v>99.157690646000006</v>
      </c>
      <c r="K1138">
        <v>91.784702550000006</v>
      </c>
      <c r="L1138">
        <v>98.191817349000004</v>
      </c>
      <c r="M1138">
        <v>95.8</v>
      </c>
      <c r="N1138">
        <v>96.6</v>
      </c>
      <c r="O1138">
        <v>96.419080348999998</v>
      </c>
      <c r="P1138">
        <v>96.508042337000006</v>
      </c>
      <c r="Q1138"/>
      <c r="R1138">
        <v>101.60846737200001</v>
      </c>
      <c r="S1138">
        <v>98.9</v>
      </c>
      <c r="T1138">
        <v>99.123469345999993</v>
      </c>
      <c r="U1138">
        <v>96.253808926000005</v>
      </c>
      <c r="V1138">
        <v>101.181954387</v>
      </c>
      <c r="W1138">
        <v>89.507458955000004</v>
      </c>
      <c r="X1138">
        <v>95.491228374000002</v>
      </c>
      <c r="Y1138">
        <v>60.888190285</v>
      </c>
      <c r="Z1138">
        <v>89.223522903000003</v>
      </c>
      <c r="AA1138">
        <v>94.988290398000004</v>
      </c>
      <c r="AB1138">
        <v>99.691692359000001</v>
      </c>
      <c r="AC1138">
        <v>101.191567369</v>
      </c>
      <c r="AD1138">
        <v>98.768769269000003</v>
      </c>
      <c r="AE1138">
        <v>96.191984000999994</v>
      </c>
      <c r="AF1138">
        <v>97.8</v>
      </c>
      <c r="AG1138">
        <v>105.786815245</v>
      </c>
      <c r="AH1138">
        <v>104.791267394</v>
      </c>
      <c r="AI1138">
        <v>95.306439100000006</v>
      </c>
      <c r="AJ1138"/>
      <c r="AK1138">
        <v>98.010395415999994</v>
      </c>
      <c r="AL1138">
        <v>94.5</v>
      </c>
      <c r="AM1138">
        <v>97.385516444000004</v>
      </c>
      <c r="AN1138">
        <v>92.7</v>
      </c>
      <c r="AO1138">
        <v>92.423105776</v>
      </c>
      <c r="AP1138">
        <v>92.707725644000007</v>
      </c>
      <c r="AQ1138">
        <v>99.208267355999993</v>
      </c>
      <c r="AR1138">
        <v>92.692275644000006</v>
      </c>
      <c r="AS1138">
        <v>99.175075724999999</v>
      </c>
      <c r="AT1138"/>
    </row>
    <row r="1139" spans="1:46" x14ac:dyDescent="0.2">
      <c r="A1139" s="87">
        <v>41548</v>
      </c>
      <c r="B1139"/>
      <c r="C1139"/>
      <c r="D1139">
        <v>100.198499125</v>
      </c>
      <c r="E1139">
        <v>100.991584035</v>
      </c>
      <c r="F1139">
        <v>112.744288467</v>
      </c>
      <c r="G1139">
        <v>97.877144591999993</v>
      </c>
      <c r="H1139">
        <v>98.859865798000001</v>
      </c>
      <c r="I1139"/>
      <c r="J1139">
        <v>99.893331055000004</v>
      </c>
      <c r="K1139">
        <v>93.484419263000007</v>
      </c>
      <c r="L1139">
        <v>97.491875676999996</v>
      </c>
      <c r="M1139">
        <v>102.7</v>
      </c>
      <c r="N1139">
        <v>96.1</v>
      </c>
      <c r="O1139">
        <v>95.269079391000005</v>
      </c>
      <c r="P1139">
        <v>97.608134011000004</v>
      </c>
      <c r="Q1139"/>
      <c r="R1139">
        <v>102.408534045</v>
      </c>
      <c r="S1139">
        <v>99.07</v>
      </c>
      <c r="T1139">
        <v>99.170917982000006</v>
      </c>
      <c r="U1139">
        <v>97.114178167999995</v>
      </c>
      <c r="V1139">
        <v>99.683702346999993</v>
      </c>
      <c r="W1139">
        <v>89.307442287000001</v>
      </c>
      <c r="X1139">
        <v>94.065166559000005</v>
      </c>
      <c r="Y1139">
        <v>56.795395695000003</v>
      </c>
      <c r="Z1139">
        <v>90.760496384000007</v>
      </c>
      <c r="AA1139">
        <v>97.330210773000005</v>
      </c>
      <c r="AB1139">
        <v>100.091659028</v>
      </c>
      <c r="AC1139">
        <v>101.49154237099999</v>
      </c>
      <c r="AD1139">
        <v>101.17456878599999</v>
      </c>
      <c r="AE1139">
        <v>98.391800683</v>
      </c>
      <c r="AF1139">
        <v>98.2</v>
      </c>
      <c r="AG1139">
        <v>106.108589724</v>
      </c>
      <c r="AH1139">
        <v>102.29147571</v>
      </c>
      <c r="AI1139">
        <v>92.746314972999997</v>
      </c>
      <c r="AJ1139"/>
      <c r="AK1139">
        <v>98.046041629000001</v>
      </c>
      <c r="AL1139">
        <v>94.8</v>
      </c>
      <c r="AM1139">
        <v>97.920616534999994</v>
      </c>
      <c r="AN1139">
        <v>92.3</v>
      </c>
      <c r="AO1139">
        <v>92.423105776</v>
      </c>
      <c r="AP1139">
        <v>92.607717309999998</v>
      </c>
      <c r="AQ1139">
        <v>95.007917325999998</v>
      </c>
      <c r="AR1139">
        <v>91.692358970000001</v>
      </c>
      <c r="AS1139">
        <v>99.036309438000004</v>
      </c>
      <c r="AT1139"/>
    </row>
    <row r="1140" spans="1:46" x14ac:dyDescent="0.2">
      <c r="A1140" s="87">
        <v>41579</v>
      </c>
      <c r="B1140"/>
      <c r="C1140"/>
      <c r="D1140">
        <v>99.555022527999995</v>
      </c>
      <c r="E1140">
        <v>103.591367386</v>
      </c>
      <c r="F1140">
        <v>113.404899532</v>
      </c>
      <c r="G1140">
        <v>97.541126143</v>
      </c>
      <c r="H1140">
        <v>101.201847097</v>
      </c>
      <c r="I1140"/>
      <c r="J1140">
        <v>100.85456771200001</v>
      </c>
      <c r="K1140">
        <v>93.184469254999996</v>
      </c>
      <c r="L1140">
        <v>99.691692359000001</v>
      </c>
      <c r="M1140">
        <v>100.3</v>
      </c>
      <c r="N1140">
        <v>97.4</v>
      </c>
      <c r="O1140">
        <v>96.490080407999997</v>
      </c>
      <c r="P1140">
        <v>96.708059004999996</v>
      </c>
      <c r="Q1140"/>
      <c r="R1140">
        <v>103.608634053</v>
      </c>
      <c r="S1140">
        <v>100.75</v>
      </c>
      <c r="T1140">
        <v>99.759847230000005</v>
      </c>
      <c r="U1140">
        <v>97.651908943999999</v>
      </c>
      <c r="V1140">
        <v>96.387547861000002</v>
      </c>
      <c r="W1140">
        <v>89.107425618999997</v>
      </c>
      <c r="X1140">
        <v>94.516616893999995</v>
      </c>
      <c r="Y1140">
        <v>60.195563507999999</v>
      </c>
      <c r="Z1140">
        <v>89.845078056999995</v>
      </c>
      <c r="AA1140">
        <v>97.798594847999993</v>
      </c>
      <c r="AB1140">
        <v>99.691692359000001</v>
      </c>
      <c r="AC1140">
        <v>101.89150904100001</v>
      </c>
      <c r="AD1140">
        <v>100.194650446</v>
      </c>
      <c r="AE1140">
        <v>95.092075660000006</v>
      </c>
      <c r="AF1140">
        <v>98.4</v>
      </c>
      <c r="AG1140">
        <v>106.579359106</v>
      </c>
      <c r="AH1140">
        <v>104.991250729</v>
      </c>
      <c r="AI1140">
        <v>96.470131885000001</v>
      </c>
      <c r="AJ1140"/>
      <c r="AK1140">
        <v>98.679351976999996</v>
      </c>
      <c r="AL1140">
        <v>96.2</v>
      </c>
      <c r="AM1140">
        <v>98.162787976999994</v>
      </c>
      <c r="AN1140">
        <v>95.4</v>
      </c>
      <c r="AO1140">
        <v>93.723430858</v>
      </c>
      <c r="AP1140">
        <v>93.707808983999996</v>
      </c>
      <c r="AQ1140">
        <v>100.108342362</v>
      </c>
      <c r="AR1140">
        <v>92.292308973999994</v>
      </c>
      <c r="AS1140">
        <v>99.293423544000007</v>
      </c>
      <c r="AT1140"/>
    </row>
    <row r="1141" spans="1:46" x14ac:dyDescent="0.2">
      <c r="A1141" s="87">
        <v>41609</v>
      </c>
      <c r="B1141"/>
      <c r="C1141"/>
      <c r="D1141">
        <v>99.463097298999998</v>
      </c>
      <c r="E1141">
        <v>102.29147571</v>
      </c>
      <c r="F1141">
        <v>109.000825764</v>
      </c>
      <c r="G1141">
        <v>96.697869654000002</v>
      </c>
      <c r="H1141">
        <v>102.356389897</v>
      </c>
      <c r="I1141"/>
      <c r="J1141">
        <v>98.687641166999995</v>
      </c>
      <c r="K1141">
        <v>94.584235961000005</v>
      </c>
      <c r="L1141">
        <v>99.791684025999999</v>
      </c>
      <c r="M1141">
        <v>101.5</v>
      </c>
      <c r="N1141">
        <v>97.3</v>
      </c>
      <c r="O1141">
        <v>96.706080588000006</v>
      </c>
      <c r="P1141">
        <v>90.607550629000002</v>
      </c>
      <c r="Q1141"/>
      <c r="R1141">
        <v>98.708225685000002</v>
      </c>
      <c r="S1141">
        <v>99.51</v>
      </c>
      <c r="T1141">
        <v>99.727221044999993</v>
      </c>
      <c r="U1141">
        <v>98.297185876</v>
      </c>
      <c r="V1141">
        <v>99.483935408999997</v>
      </c>
      <c r="W1141">
        <v>89.407450620999995</v>
      </c>
      <c r="X1141">
        <v>94.733305904999995</v>
      </c>
      <c r="Y1141">
        <v>62.147511696999999</v>
      </c>
      <c r="Z1141">
        <v>88.845140188000002</v>
      </c>
      <c r="AA1141">
        <v>98.735362997999999</v>
      </c>
      <c r="AB1141">
        <v>98.691775684999996</v>
      </c>
      <c r="AC1141">
        <v>101.89150904100001</v>
      </c>
      <c r="AD1141">
        <v>101.465544538</v>
      </c>
      <c r="AE1141">
        <v>100.39163403000001</v>
      </c>
      <c r="AF1141">
        <v>97.2</v>
      </c>
      <c r="AG1141">
        <v>106.750800533</v>
      </c>
      <c r="AH1141">
        <v>103.691359053</v>
      </c>
      <c r="AI1141">
        <v>96.935608998999996</v>
      </c>
      <c r="AJ1141"/>
      <c r="AK1141">
        <v>98.633434758000007</v>
      </c>
      <c r="AL1141">
        <v>92.8</v>
      </c>
      <c r="AM1141">
        <v>98.703218082999996</v>
      </c>
      <c r="AN1141">
        <v>96</v>
      </c>
      <c r="AO1141">
        <v>93.023255813999995</v>
      </c>
      <c r="AP1141">
        <v>96.208017334999994</v>
      </c>
      <c r="AQ1141">
        <v>100.30835903000001</v>
      </c>
      <c r="AR1141">
        <v>91.792350636999998</v>
      </c>
      <c r="AS1141">
        <v>99.481352743000002</v>
      </c>
      <c r="AT1141"/>
    </row>
    <row r="1142" spans="1:46" x14ac:dyDescent="0.2">
      <c r="A1142" s="87">
        <v>41640</v>
      </c>
      <c r="B1142"/>
      <c r="C1142"/>
      <c r="D1142">
        <v>100.841975702</v>
      </c>
      <c r="E1142">
        <v>100.191650696</v>
      </c>
      <c r="F1142">
        <v>110.76245527099999</v>
      </c>
      <c r="G1142">
        <v>97.052347714999996</v>
      </c>
      <c r="H1142">
        <v>100.678321997</v>
      </c>
      <c r="I1142"/>
      <c r="J1142">
        <v>99.188193196</v>
      </c>
      <c r="K1142">
        <v>92.784535911000006</v>
      </c>
      <c r="L1142">
        <v>99.291725690000007</v>
      </c>
      <c r="M1142">
        <v>100.7</v>
      </c>
      <c r="N1142">
        <v>96.9</v>
      </c>
      <c r="O1142">
        <v>96.475080395999996</v>
      </c>
      <c r="P1142">
        <v>97.708142344999999</v>
      </c>
      <c r="Q1142"/>
      <c r="R1142">
        <v>101.10842570200001</v>
      </c>
      <c r="S1142">
        <v>98</v>
      </c>
      <c r="T1142">
        <v>99.882091802000005</v>
      </c>
      <c r="U1142">
        <v>98.619824340999998</v>
      </c>
      <c r="V1142">
        <v>97.286499083999999</v>
      </c>
      <c r="W1142">
        <v>90.207517292999995</v>
      </c>
      <c r="X1142">
        <v>95.926920768000002</v>
      </c>
      <c r="Y1142">
        <v>65.232849157999993</v>
      </c>
      <c r="Z1142">
        <v>87.938202094999994</v>
      </c>
      <c r="AA1142">
        <v>98.735362997999999</v>
      </c>
      <c r="AB1142">
        <v>100.29164236299999</v>
      </c>
      <c r="AC1142">
        <v>103.591367386</v>
      </c>
      <c r="AD1142">
        <v>101.37655195400001</v>
      </c>
      <c r="AE1142">
        <v>96.891925673000003</v>
      </c>
      <c r="AF1142">
        <v>97.3</v>
      </c>
      <c r="AG1142">
        <v>107.273191719</v>
      </c>
      <c r="AH1142">
        <v>101.091575702</v>
      </c>
      <c r="AI1142">
        <v>98.681148176999997</v>
      </c>
      <c r="AJ1142"/>
      <c r="AK1142">
        <v>98.923108533000004</v>
      </c>
      <c r="AL1142">
        <v>94.9</v>
      </c>
      <c r="AM1142">
        <v>100.32884702600001</v>
      </c>
      <c r="AN1142">
        <v>90.3</v>
      </c>
      <c r="AO1142">
        <v>92.323080770000004</v>
      </c>
      <c r="AP1142">
        <v>93.10775898</v>
      </c>
      <c r="AQ1142">
        <v>100.208350696</v>
      </c>
      <c r="AR1142">
        <v>95.192067327999993</v>
      </c>
      <c r="AS1142">
        <v>99.156441395000002</v>
      </c>
      <c r="AT1142"/>
    </row>
    <row r="1143" spans="1:46" x14ac:dyDescent="0.2">
      <c r="A1143" s="87">
        <v>41671</v>
      </c>
      <c r="B1143"/>
      <c r="C1143"/>
      <c r="D1143">
        <v>99.646947757999996</v>
      </c>
      <c r="E1143">
        <v>104.791267394</v>
      </c>
      <c r="F1143">
        <v>111.42306633600001</v>
      </c>
      <c r="G1143">
        <v>98.855771571999995</v>
      </c>
      <c r="H1143">
        <v>100.804755597</v>
      </c>
      <c r="I1143"/>
      <c r="J1143">
        <v>100.51166011399999</v>
      </c>
      <c r="K1143">
        <v>94.284285952000005</v>
      </c>
      <c r="L1143">
        <v>99.391717357000005</v>
      </c>
      <c r="M1143">
        <v>102</v>
      </c>
      <c r="N1143">
        <v>97.6</v>
      </c>
      <c r="O1143">
        <v>97.305081087999994</v>
      </c>
      <c r="P1143">
        <v>97.308109009000006</v>
      </c>
      <c r="Q1143"/>
      <c r="R1143">
        <v>101.708475706</v>
      </c>
      <c r="S1143">
        <v>99.49</v>
      </c>
      <c r="T1143">
        <v>100.23831061200001</v>
      </c>
      <c r="U1143">
        <v>98.619824340999998</v>
      </c>
      <c r="V1143">
        <v>99.583818878000002</v>
      </c>
      <c r="W1143">
        <v>91.207600632999998</v>
      </c>
      <c r="X1143">
        <v>96.023309604999994</v>
      </c>
      <c r="Y1143">
        <v>68.758949111999996</v>
      </c>
      <c r="Z1143">
        <v>87.463172049999997</v>
      </c>
      <c r="AA1143">
        <v>102.857142857</v>
      </c>
      <c r="AB1143">
        <v>99.491709024000002</v>
      </c>
      <c r="AC1143">
        <v>102.891425715</v>
      </c>
      <c r="AD1143">
        <v>101.001583201</v>
      </c>
      <c r="AE1143">
        <v>99.991667360999998</v>
      </c>
      <c r="AF1143">
        <v>97.5</v>
      </c>
      <c r="AG1143">
        <v>107.403113971</v>
      </c>
      <c r="AH1143">
        <v>100.091659028</v>
      </c>
      <c r="AI1143">
        <v>98.797517455000005</v>
      </c>
      <c r="AJ1143"/>
      <c r="AK1143">
        <v>99.274058271000001</v>
      </c>
      <c r="AL1143">
        <v>94.7</v>
      </c>
      <c r="AM1143">
        <v>99.946267504000005</v>
      </c>
      <c r="AN1143">
        <v>92.9</v>
      </c>
      <c r="AO1143">
        <v>93.023255813999995</v>
      </c>
      <c r="AP1143">
        <v>91.207600632999998</v>
      </c>
      <c r="AQ1143">
        <v>100.108342362</v>
      </c>
      <c r="AR1143">
        <v>94.292142321</v>
      </c>
      <c r="AS1143">
        <v>99.903598729999999</v>
      </c>
      <c r="AT1143"/>
    </row>
    <row r="1144" spans="1:46" x14ac:dyDescent="0.2">
      <c r="A1144" s="87">
        <v>41699</v>
      </c>
      <c r="B1144"/>
      <c r="C1144"/>
      <c r="D1144">
        <v>98.359994553999996</v>
      </c>
      <c r="E1144">
        <v>101.091575702</v>
      </c>
      <c r="F1144">
        <v>111.20286264800001</v>
      </c>
      <c r="G1144">
        <v>99.169584979999996</v>
      </c>
      <c r="H1144">
        <v>100.700176997</v>
      </c>
      <c r="I1144"/>
      <c r="J1144">
        <v>98.677387456000005</v>
      </c>
      <c r="K1144">
        <v>95.684052657999999</v>
      </c>
      <c r="L1144">
        <v>99.791684025999999</v>
      </c>
      <c r="M1144">
        <v>98.9</v>
      </c>
      <c r="N1144">
        <v>97.1</v>
      </c>
      <c r="O1144">
        <v>96.330080275</v>
      </c>
      <c r="P1144">
        <v>96.808067339000004</v>
      </c>
      <c r="Q1144"/>
      <c r="R1144">
        <v>101.008417368</v>
      </c>
      <c r="S1144">
        <v>98.77</v>
      </c>
      <c r="T1144">
        <v>100.834600835</v>
      </c>
      <c r="U1144">
        <v>97.544362789000004</v>
      </c>
      <c r="V1144">
        <v>97.586149492000004</v>
      </c>
      <c r="W1144">
        <v>92.107675639999997</v>
      </c>
      <c r="X1144">
        <v>95.886104165999996</v>
      </c>
      <c r="Y1144">
        <v>70.270134807000005</v>
      </c>
      <c r="Z1144">
        <v>84.499925743000006</v>
      </c>
      <c r="AA1144">
        <v>93.583138172999995</v>
      </c>
      <c r="AB1144">
        <v>98.491792351000001</v>
      </c>
      <c r="AC1144">
        <v>104.291309058</v>
      </c>
      <c r="AD1144">
        <v>101.700524956</v>
      </c>
      <c r="AE1144">
        <v>97.091909008000002</v>
      </c>
      <c r="AF1144">
        <v>94.5</v>
      </c>
      <c r="AG1144">
        <v>107.771609146</v>
      </c>
      <c r="AH1144">
        <v>98.791767352999997</v>
      </c>
      <c r="AI1144">
        <v>100.19394879799999</v>
      </c>
      <c r="AJ1144"/>
      <c r="AK1144">
        <v>99.534041604999999</v>
      </c>
      <c r="AL1144">
        <v>94.4</v>
      </c>
      <c r="AM1144">
        <v>96.224031402999998</v>
      </c>
      <c r="AN1144">
        <v>92.2</v>
      </c>
      <c r="AO1144">
        <v>92.123030757999999</v>
      </c>
      <c r="AP1144">
        <v>94.207850653999998</v>
      </c>
      <c r="AQ1144">
        <v>97.808150678999993</v>
      </c>
      <c r="AR1144">
        <v>94.492125655999999</v>
      </c>
      <c r="AS1144">
        <v>100.88130633900001</v>
      </c>
      <c r="AT1144"/>
    </row>
    <row r="1145" spans="1:46" x14ac:dyDescent="0.2">
      <c r="A1145" s="87">
        <v>41730</v>
      </c>
      <c r="B1145"/>
      <c r="C1145"/>
      <c r="D1145">
        <v>99.095396379999997</v>
      </c>
      <c r="E1145">
        <v>104.091325723</v>
      </c>
      <c r="F1145">
        <v>110.21194604999999</v>
      </c>
      <c r="G1145">
        <v>100.463898082</v>
      </c>
      <c r="H1145">
        <v>101.456565197</v>
      </c>
      <c r="I1145"/>
      <c r="J1145">
        <v>100.44222758799999</v>
      </c>
      <c r="K1145">
        <v>95.684052657999999</v>
      </c>
      <c r="L1145">
        <v>99.391717357000005</v>
      </c>
      <c r="M1145">
        <v>99.6</v>
      </c>
      <c r="N1145">
        <v>98.6</v>
      </c>
      <c r="O1145">
        <v>97.572081310000002</v>
      </c>
      <c r="P1145">
        <v>100.00833402799999</v>
      </c>
      <c r="Q1145"/>
      <c r="R1145">
        <v>102.70855904699999</v>
      </c>
      <c r="S1145">
        <v>99.15</v>
      </c>
      <c r="T1145">
        <v>100.08235536700001</v>
      </c>
      <c r="U1145">
        <v>96.361355082000003</v>
      </c>
      <c r="V1145">
        <v>99.883469285999993</v>
      </c>
      <c r="W1145">
        <v>92.807733978000002</v>
      </c>
      <c r="X1145">
        <v>97.370336076000001</v>
      </c>
      <c r="Y1145">
        <v>81.792925729000004</v>
      </c>
      <c r="Z1145">
        <v>84.131868519999998</v>
      </c>
      <c r="AA1145">
        <v>92.646370023000003</v>
      </c>
      <c r="AB1145">
        <v>99.491709024000002</v>
      </c>
      <c r="AC1145">
        <v>99.791684025999999</v>
      </c>
      <c r="AD1145">
        <v>102.27647696</v>
      </c>
      <c r="AE1145">
        <v>97.791850679000007</v>
      </c>
      <c r="AF1145">
        <v>96.4</v>
      </c>
      <c r="AG1145">
        <v>108.508799971</v>
      </c>
      <c r="AH1145">
        <v>104.091325723</v>
      </c>
      <c r="AI1145">
        <v>99.262994569</v>
      </c>
      <c r="AJ1145"/>
      <c r="AK1145">
        <v>99.458552789999999</v>
      </c>
      <c r="AL1145">
        <v>95.8</v>
      </c>
      <c r="AM1145">
        <v>98.737948794000005</v>
      </c>
      <c r="AN1145">
        <v>94.5</v>
      </c>
      <c r="AO1145">
        <v>93.823455863999996</v>
      </c>
      <c r="AP1145">
        <v>93.507792316000007</v>
      </c>
      <c r="AQ1145">
        <v>98.508209016999999</v>
      </c>
      <c r="AR1145">
        <v>93.592200649999995</v>
      </c>
      <c r="AS1145">
        <v>100.93631726</v>
      </c>
      <c r="AT1145"/>
    </row>
    <row r="1146" spans="1:46" x14ac:dyDescent="0.2">
      <c r="A1146" s="87">
        <v>41760</v>
      </c>
      <c r="B1146"/>
      <c r="C1146"/>
      <c r="D1146">
        <v>97.440742267999994</v>
      </c>
      <c r="E1146">
        <v>101.191567369</v>
      </c>
      <c r="F1146">
        <v>108.780622075</v>
      </c>
      <c r="G1146">
        <v>100.72928844899999</v>
      </c>
      <c r="H1146">
        <v>99.803239598000005</v>
      </c>
      <c r="I1146"/>
      <c r="J1146">
        <v>101.211903858</v>
      </c>
      <c r="K1146">
        <v>94.584235961000005</v>
      </c>
      <c r="L1146">
        <v>98.691775684999996</v>
      </c>
      <c r="M1146">
        <v>98.2</v>
      </c>
      <c r="N1146">
        <v>97.8</v>
      </c>
      <c r="O1146">
        <v>97.349081123999994</v>
      </c>
      <c r="P1146">
        <v>100.50837569799999</v>
      </c>
      <c r="Q1146"/>
      <c r="R1146">
        <v>101.90849237400001</v>
      </c>
      <c r="S1146">
        <v>96.94</v>
      </c>
      <c r="T1146">
        <v>100.253703843</v>
      </c>
      <c r="U1146">
        <v>95.070801219000003</v>
      </c>
      <c r="V1146">
        <v>105.476943566</v>
      </c>
      <c r="W1146">
        <v>92.407700641999995</v>
      </c>
      <c r="X1146">
        <v>97.262070187999996</v>
      </c>
      <c r="Y1146">
        <v>84.122670342000006</v>
      </c>
      <c r="Z1146">
        <v>84.741170089999997</v>
      </c>
      <c r="AA1146">
        <v>96.018735363000005</v>
      </c>
      <c r="AB1146">
        <v>97.991834014000005</v>
      </c>
      <c r="AC1146">
        <v>101.89150904100001</v>
      </c>
      <c r="AD1146">
        <v>99.450712440999993</v>
      </c>
      <c r="AE1146">
        <v>97.191900674999999</v>
      </c>
      <c r="AF1146">
        <v>96.6</v>
      </c>
      <c r="AG1146">
        <v>108.97812038399999</v>
      </c>
      <c r="AH1146">
        <v>103.691359053</v>
      </c>
      <c r="AI1146">
        <v>94.608223429000006</v>
      </c>
      <c r="AJ1146"/>
      <c r="AK1146">
        <v>99.230776136000003</v>
      </c>
      <c r="AL1146">
        <v>94.2</v>
      </c>
      <c r="AM1146">
        <v>97.369710646000001</v>
      </c>
      <c r="AN1146">
        <v>94</v>
      </c>
      <c r="AO1146">
        <v>93.623405851000001</v>
      </c>
      <c r="AP1146">
        <v>93.407783981999998</v>
      </c>
      <c r="AQ1146">
        <v>95.707975665000006</v>
      </c>
      <c r="AR1146">
        <v>92.392300641999995</v>
      </c>
      <c r="AS1146">
        <v>101.33160294</v>
      </c>
      <c r="AT1146"/>
    </row>
    <row r="1147" spans="1:46" x14ac:dyDescent="0.2">
      <c r="A1147" s="87">
        <v>41791</v>
      </c>
      <c r="B1147"/>
      <c r="C1147"/>
      <c r="D1147">
        <v>101.025826181</v>
      </c>
      <c r="E1147">
        <v>102.591450712</v>
      </c>
      <c r="F1147">
        <v>105.80787228200001</v>
      </c>
      <c r="G1147">
        <v>101.577092959</v>
      </c>
      <c r="H1147">
        <v>104.465559197</v>
      </c>
      <c r="I1147"/>
      <c r="J1147">
        <v>100.82874357199999</v>
      </c>
      <c r="K1147">
        <v>95.284119313000005</v>
      </c>
      <c r="L1147">
        <v>98.791767352999997</v>
      </c>
      <c r="M1147">
        <v>97.4</v>
      </c>
      <c r="N1147">
        <v>97.3</v>
      </c>
      <c r="O1147">
        <v>96.608080506999997</v>
      </c>
      <c r="P1147">
        <v>100.00833402799999</v>
      </c>
      <c r="Q1147"/>
      <c r="R1147">
        <v>99.808317360000004</v>
      </c>
      <c r="S1147">
        <v>99</v>
      </c>
      <c r="T1147">
        <v>100.449184031</v>
      </c>
      <c r="U1147">
        <v>94.748162753000003</v>
      </c>
      <c r="V1147">
        <v>98.285333777000005</v>
      </c>
      <c r="W1147">
        <v>95.707975665000006</v>
      </c>
      <c r="X1147">
        <v>98.321686435000004</v>
      </c>
      <c r="Y1147">
        <v>63.910561674999997</v>
      </c>
      <c r="Z1147">
        <v>86.402213575999994</v>
      </c>
      <c r="AA1147">
        <v>96.112412178</v>
      </c>
      <c r="AB1147">
        <v>99.891675694</v>
      </c>
      <c r="AC1147">
        <v>100.591617365</v>
      </c>
      <c r="AD1147">
        <v>102.18048496</v>
      </c>
      <c r="AE1147">
        <v>97.791850679000007</v>
      </c>
      <c r="AF1147">
        <v>95.8</v>
      </c>
      <c r="AG1147">
        <v>108.762534563</v>
      </c>
      <c r="AH1147">
        <v>101.991500708</v>
      </c>
      <c r="AI1147">
        <v>99.262994569</v>
      </c>
      <c r="AJ1147"/>
      <c r="AK1147">
        <v>99.458071086000004</v>
      </c>
      <c r="AL1147">
        <v>94.9</v>
      </c>
      <c r="AM1147">
        <v>96.848495998999994</v>
      </c>
      <c r="AN1147">
        <v>95.1</v>
      </c>
      <c r="AO1147">
        <v>95.923980994999994</v>
      </c>
      <c r="AP1147">
        <v>95.707975665000006</v>
      </c>
      <c r="AQ1147">
        <v>97.608134011000004</v>
      </c>
      <c r="AR1147">
        <v>94.192150654000002</v>
      </c>
      <c r="AS1147">
        <v>101.668309423</v>
      </c>
      <c r="AT1147"/>
    </row>
    <row r="1148" spans="1:46" x14ac:dyDescent="0.2">
      <c r="A1148" s="87">
        <v>41821</v>
      </c>
      <c r="B1148"/>
      <c r="C1148"/>
      <c r="D1148">
        <v>98.176144094999998</v>
      </c>
      <c r="E1148">
        <v>100.991584035</v>
      </c>
      <c r="F1148">
        <v>108.230112854</v>
      </c>
      <c r="G1148">
        <v>100.987187959</v>
      </c>
      <c r="H1148">
        <v>100.559684897</v>
      </c>
      <c r="I1148"/>
      <c r="J1148">
        <v>98.925598239999999</v>
      </c>
      <c r="K1148">
        <v>95.484085985999997</v>
      </c>
      <c r="L1148">
        <v>100.891592367</v>
      </c>
      <c r="M1148">
        <v>97.5</v>
      </c>
      <c r="N1148">
        <v>98.1</v>
      </c>
      <c r="O1148">
        <v>96.518080432000005</v>
      </c>
      <c r="P1148">
        <v>102.70855904699999</v>
      </c>
      <c r="Q1148"/>
      <c r="R1148">
        <v>101.408450704</v>
      </c>
      <c r="S1148">
        <v>100.33</v>
      </c>
      <c r="T1148">
        <v>100.791229902</v>
      </c>
      <c r="U1148">
        <v>94.748162753000003</v>
      </c>
      <c r="V1148">
        <v>97.686032961999999</v>
      </c>
      <c r="W1148">
        <v>97.408117343000001</v>
      </c>
      <c r="X1148">
        <v>98.775387042000006</v>
      </c>
      <c r="Y1148">
        <v>71.151659795</v>
      </c>
      <c r="Z1148">
        <v>89.438128263999999</v>
      </c>
      <c r="AA1148">
        <v>98.173302108000001</v>
      </c>
      <c r="AB1148">
        <v>98.491792351000001</v>
      </c>
      <c r="AC1148">
        <v>100.39163403000001</v>
      </c>
      <c r="AD1148">
        <v>102.71644029700001</v>
      </c>
      <c r="AE1148">
        <v>100.39163403000001</v>
      </c>
      <c r="AF1148">
        <v>96.6</v>
      </c>
      <c r="AG1148">
        <v>108.911273017</v>
      </c>
      <c r="AH1148">
        <v>102.69144238</v>
      </c>
      <c r="AI1148">
        <v>97.866563227</v>
      </c>
      <c r="AJ1148"/>
      <c r="AK1148">
        <v>99.857761237999995</v>
      </c>
      <c r="AL1148">
        <v>96.7</v>
      </c>
      <c r="AM1148">
        <v>98.437760424999993</v>
      </c>
      <c r="AN1148">
        <v>94.5</v>
      </c>
      <c r="AO1148">
        <v>92.923230808</v>
      </c>
      <c r="AP1148">
        <v>96.608050671000001</v>
      </c>
      <c r="AQ1148">
        <v>95.507958997000003</v>
      </c>
      <c r="AR1148">
        <v>96.491959003000005</v>
      </c>
      <c r="AS1148">
        <v>101.941579889</v>
      </c>
      <c r="AT1148"/>
    </row>
    <row r="1149" spans="1:46" x14ac:dyDescent="0.2">
      <c r="A1149" s="87">
        <v>41852</v>
      </c>
      <c r="B1149"/>
      <c r="C1149"/>
      <c r="D1149">
        <v>97.256891808999995</v>
      </c>
      <c r="E1149">
        <v>97.991834014000005</v>
      </c>
      <c r="F1149">
        <v>109.331131296</v>
      </c>
      <c r="G1149">
        <v>99.307898305999998</v>
      </c>
      <c r="H1149">
        <v>101.357119697</v>
      </c>
      <c r="I1149"/>
      <c r="J1149">
        <v>98.084964955999993</v>
      </c>
      <c r="K1149">
        <v>95.384102650000003</v>
      </c>
      <c r="L1149">
        <v>96.691942338000004</v>
      </c>
      <c r="M1149">
        <v>102.8</v>
      </c>
      <c r="N1149">
        <v>96.4</v>
      </c>
      <c r="O1149">
        <v>97.132080943000005</v>
      </c>
      <c r="P1149">
        <v>100.80840070000001</v>
      </c>
      <c r="Q1149"/>
      <c r="R1149">
        <v>102.008500708</v>
      </c>
      <c r="S1149">
        <v>98.14</v>
      </c>
      <c r="T1149">
        <v>99.599763221000003</v>
      </c>
      <c r="U1149">
        <v>93.780247356000004</v>
      </c>
      <c r="V1149">
        <v>96.087897452999997</v>
      </c>
      <c r="W1149">
        <v>91.807650637999998</v>
      </c>
      <c r="X1149">
        <v>98.123300309000001</v>
      </c>
      <c r="Y1149">
        <v>74.866657962000005</v>
      </c>
      <c r="Z1149">
        <v>93.646691379000004</v>
      </c>
      <c r="AA1149">
        <v>97.985948477999997</v>
      </c>
      <c r="AB1149">
        <v>97.191900674999999</v>
      </c>
      <c r="AC1149">
        <v>99.491709024000002</v>
      </c>
      <c r="AD1149">
        <v>99.313723855999996</v>
      </c>
      <c r="AE1149">
        <v>97.791850679000007</v>
      </c>
      <c r="AF1149">
        <v>97.1</v>
      </c>
      <c r="AG1149">
        <v>109.04737239000001</v>
      </c>
      <c r="AH1149">
        <v>102.99141738199999</v>
      </c>
      <c r="AI1149">
        <v>98.797517455000005</v>
      </c>
      <c r="AJ1149"/>
      <c r="AK1149">
        <v>98.717801354000002</v>
      </c>
      <c r="AL1149">
        <v>95.6</v>
      </c>
      <c r="AM1149">
        <v>96.917924111000005</v>
      </c>
      <c r="AN1149">
        <v>94.7</v>
      </c>
      <c r="AO1149">
        <v>94.423605901000002</v>
      </c>
      <c r="AP1149">
        <v>95.007917325999998</v>
      </c>
      <c r="AQ1149">
        <v>97.708142344999999</v>
      </c>
      <c r="AR1149">
        <v>91.792350636999998</v>
      </c>
      <c r="AS1149">
        <v>101.74453176199999</v>
      </c>
      <c r="AT1149"/>
    </row>
    <row r="1150" spans="1:46" x14ac:dyDescent="0.2">
      <c r="A1150" s="87">
        <v>41883</v>
      </c>
      <c r="B1150"/>
      <c r="C1150"/>
      <c r="D1150">
        <v>98.543845012999995</v>
      </c>
      <c r="E1150">
        <v>102.69144238</v>
      </c>
      <c r="F1150">
        <v>109.441233141</v>
      </c>
      <c r="G1150">
        <v>101.212983796</v>
      </c>
      <c r="H1150">
        <v>101.37363579700001</v>
      </c>
      <c r="I1150"/>
      <c r="J1150">
        <v>98.077239445000004</v>
      </c>
      <c r="K1150">
        <v>97.083819363000003</v>
      </c>
      <c r="L1150">
        <v>99.091742354999994</v>
      </c>
      <c r="M1150">
        <v>101.3</v>
      </c>
      <c r="N1150">
        <v>97.4</v>
      </c>
      <c r="O1150">
        <v>97.337081114</v>
      </c>
      <c r="P1150">
        <v>101.60846737200001</v>
      </c>
      <c r="Q1150"/>
      <c r="R1150">
        <v>100.00833402799999</v>
      </c>
      <c r="S1150">
        <v>99.16</v>
      </c>
      <c r="T1150">
        <v>100.504718137</v>
      </c>
      <c r="U1150">
        <v>94.102885822000005</v>
      </c>
      <c r="V1150">
        <v>97.286499083999999</v>
      </c>
      <c r="W1150">
        <v>94.007833985999994</v>
      </c>
      <c r="X1150">
        <v>98.887440550999997</v>
      </c>
      <c r="Y1150">
        <v>73.355472266999996</v>
      </c>
      <c r="Z1150">
        <v>96.768320837999994</v>
      </c>
      <c r="AA1150">
        <v>102.669789227</v>
      </c>
      <c r="AB1150">
        <v>97.891842346000004</v>
      </c>
      <c r="AC1150">
        <v>100.591617365</v>
      </c>
      <c r="AD1150">
        <v>99.117740187999999</v>
      </c>
      <c r="AE1150">
        <v>99.591700692000003</v>
      </c>
      <c r="AF1150">
        <v>98.5</v>
      </c>
      <c r="AG1150">
        <v>109.29712762699999</v>
      </c>
      <c r="AH1150">
        <v>101.291559037</v>
      </c>
      <c r="AI1150">
        <v>101.823118697</v>
      </c>
      <c r="AJ1150"/>
      <c r="AK1150">
        <v>99.570835059999993</v>
      </c>
      <c r="AL1150">
        <v>96.5</v>
      </c>
      <c r="AM1150">
        <v>96.959881210999995</v>
      </c>
      <c r="AN1150">
        <v>96</v>
      </c>
      <c r="AO1150">
        <v>93.623405851000001</v>
      </c>
      <c r="AP1150">
        <v>94.007833985999994</v>
      </c>
      <c r="AQ1150">
        <v>95.407950662999994</v>
      </c>
      <c r="AR1150">
        <v>96.091992333999997</v>
      </c>
      <c r="AS1150">
        <v>102.07826468099999</v>
      </c>
      <c r="AT1150"/>
    </row>
    <row r="1151" spans="1:46" x14ac:dyDescent="0.2">
      <c r="A1151" s="87">
        <v>41913</v>
      </c>
      <c r="B1151"/>
      <c r="C1151"/>
      <c r="D1151">
        <v>98.084218864999997</v>
      </c>
      <c r="E1151">
        <v>99.891675694</v>
      </c>
      <c r="F1151">
        <v>109.77153867299999</v>
      </c>
      <c r="G1151">
        <v>102.027079449</v>
      </c>
      <c r="H1151">
        <v>103.908375197</v>
      </c>
      <c r="I1151"/>
      <c r="J1151">
        <v>99.106028883999997</v>
      </c>
      <c r="K1151">
        <v>96.583902683000005</v>
      </c>
      <c r="L1151">
        <v>99.291725690000007</v>
      </c>
      <c r="M1151">
        <v>100.4</v>
      </c>
      <c r="N1151">
        <v>97.1</v>
      </c>
      <c r="O1151">
        <v>96.675080562999995</v>
      </c>
      <c r="P1151">
        <v>100.80840070000001</v>
      </c>
      <c r="Q1151"/>
      <c r="R1151">
        <v>101.30844236999999</v>
      </c>
      <c r="S1151">
        <v>97.64</v>
      </c>
      <c r="T1151">
        <v>100.438052511</v>
      </c>
      <c r="U1151">
        <v>93.457608890000003</v>
      </c>
      <c r="V1151">
        <v>99.883469285999993</v>
      </c>
      <c r="W1151">
        <v>91.107592299000004</v>
      </c>
      <c r="X1151">
        <v>94.648551932000004</v>
      </c>
      <c r="Y1151">
        <v>76.440809727000001</v>
      </c>
      <c r="Z1151">
        <v>101.172380906</v>
      </c>
      <c r="AA1151">
        <v>100.88992974200001</v>
      </c>
      <c r="AB1151">
        <v>97.691859011999995</v>
      </c>
      <c r="AC1151">
        <v>100.591617365</v>
      </c>
      <c r="AD1151">
        <v>98.271810681999995</v>
      </c>
      <c r="AE1151">
        <v>99.991667360999998</v>
      </c>
      <c r="AF1151">
        <v>98.6</v>
      </c>
      <c r="AG1151">
        <v>109.360423129</v>
      </c>
      <c r="AH1151">
        <v>100.191650696</v>
      </c>
      <c r="AI1151">
        <v>103.10318076</v>
      </c>
      <c r="AJ1151"/>
      <c r="AK1151">
        <v>99.464242952999996</v>
      </c>
      <c r="AL1151">
        <v>96.6</v>
      </c>
      <c r="AM1151">
        <v>98.861917950999995</v>
      </c>
      <c r="AN1151">
        <v>97.1</v>
      </c>
      <c r="AO1151">
        <v>94.023505876000002</v>
      </c>
      <c r="AP1151">
        <v>95.807983999000001</v>
      </c>
      <c r="AQ1151">
        <v>95.907992332999996</v>
      </c>
      <c r="AR1151">
        <v>94.892092325999997</v>
      </c>
      <c r="AS1151">
        <v>102.083517976</v>
      </c>
      <c r="AT1151"/>
    </row>
    <row r="1152" spans="1:46" x14ac:dyDescent="0.2">
      <c r="A1152" s="87">
        <v>41944</v>
      </c>
      <c r="B1152"/>
      <c r="C1152"/>
      <c r="D1152">
        <v>97.348817038999996</v>
      </c>
      <c r="E1152">
        <v>99.091742354999994</v>
      </c>
      <c r="F1152">
        <v>108.560418387</v>
      </c>
      <c r="G1152">
        <v>101.65815473399999</v>
      </c>
      <c r="H1152">
        <v>103.474188997</v>
      </c>
      <c r="I1152"/>
      <c r="J1152">
        <v>97.972344781999993</v>
      </c>
      <c r="K1152">
        <v>97.583736044000005</v>
      </c>
      <c r="L1152">
        <v>99.391717357000005</v>
      </c>
      <c r="M1152">
        <v>100.1</v>
      </c>
      <c r="N1152">
        <v>96.8</v>
      </c>
      <c r="O1152">
        <v>96.371080309000007</v>
      </c>
      <c r="P1152">
        <v>102.30852571</v>
      </c>
      <c r="Q1152"/>
      <c r="R1152">
        <v>100.50837569799999</v>
      </c>
      <c r="S1152">
        <v>96.62</v>
      </c>
      <c r="T1152">
        <v>100.73586748699999</v>
      </c>
      <c r="U1152">
        <v>94.317978131999993</v>
      </c>
      <c r="V1152">
        <v>99.284168469999997</v>
      </c>
      <c r="W1152">
        <v>95.307942328999999</v>
      </c>
      <c r="X1152">
        <v>101.433078822</v>
      </c>
      <c r="Y1152">
        <v>75.937081161999998</v>
      </c>
      <c r="Z1152">
        <v>99.588354140000007</v>
      </c>
      <c r="AA1152">
        <v>100.983606557</v>
      </c>
      <c r="AB1152">
        <v>97.791850679000007</v>
      </c>
      <c r="AC1152">
        <v>100.591617365</v>
      </c>
      <c r="AD1152">
        <v>98.517790184000006</v>
      </c>
      <c r="AE1152">
        <v>100.191650696</v>
      </c>
      <c r="AF1152">
        <v>96.3</v>
      </c>
      <c r="AG1152">
        <v>109.5572142</v>
      </c>
      <c r="AH1152">
        <v>100.69160903300001</v>
      </c>
      <c r="AI1152">
        <v>100.77579519</v>
      </c>
      <c r="AJ1152"/>
      <c r="AK1152">
        <v>99.662959142999995</v>
      </c>
      <c r="AL1152">
        <v>96.5</v>
      </c>
      <c r="AM1152">
        <v>97.751337915999997</v>
      </c>
      <c r="AN1152">
        <v>97.7</v>
      </c>
      <c r="AO1152">
        <v>94.223555888999996</v>
      </c>
      <c r="AP1152">
        <v>96.008000667000005</v>
      </c>
      <c r="AQ1152">
        <v>95.507958997000003</v>
      </c>
      <c r="AR1152">
        <v>95.692025665000003</v>
      </c>
      <c r="AS1152">
        <v>102.753362666</v>
      </c>
      <c r="AT1152"/>
    </row>
    <row r="1153" spans="1:46" x14ac:dyDescent="0.2">
      <c r="A1153" s="87">
        <v>41974</v>
      </c>
      <c r="B1153"/>
      <c r="C1153"/>
      <c r="D1153">
        <v>99.371172068999996</v>
      </c>
      <c r="E1153">
        <v>99.691692359000001</v>
      </c>
      <c r="F1153">
        <v>105.037159372</v>
      </c>
      <c r="G1153">
        <v>102.06961681600001</v>
      </c>
      <c r="H1153">
        <v>103.065553697</v>
      </c>
      <c r="I1153"/>
      <c r="J1153">
        <v>99.525048436999995</v>
      </c>
      <c r="K1153">
        <v>98.98350275</v>
      </c>
      <c r="L1153">
        <v>101.091575702</v>
      </c>
      <c r="M1153">
        <v>100.2</v>
      </c>
      <c r="N1153">
        <v>98.1</v>
      </c>
      <c r="O1153">
        <v>96.656080547000002</v>
      </c>
      <c r="P1153">
        <v>101.90849237400001</v>
      </c>
      <c r="Q1153"/>
      <c r="R1153">
        <v>98.508209016999999</v>
      </c>
      <c r="S1153">
        <v>99.47</v>
      </c>
      <c r="T1153">
        <v>101.25546789000001</v>
      </c>
      <c r="U1153">
        <v>96.468901236999997</v>
      </c>
      <c r="V1153">
        <v>96.687198269000007</v>
      </c>
      <c r="W1153">
        <v>93.707808983999996</v>
      </c>
      <c r="X1153">
        <v>98.653227846999997</v>
      </c>
      <c r="Y1153">
        <v>70.081236594999993</v>
      </c>
      <c r="Z1153">
        <v>98.477595368999999</v>
      </c>
      <c r="AA1153">
        <v>99.016393442999998</v>
      </c>
      <c r="AB1153">
        <v>98.791767352999997</v>
      </c>
      <c r="AC1153">
        <v>100.191650696</v>
      </c>
      <c r="AD1153">
        <v>101.235563703</v>
      </c>
      <c r="AE1153">
        <v>101.591534039</v>
      </c>
      <c r="AF1153">
        <v>97.1</v>
      </c>
      <c r="AG1153">
        <v>109.59960657400001</v>
      </c>
      <c r="AH1153">
        <v>100.7916007</v>
      </c>
      <c r="AI1153">
        <v>101.357641583</v>
      </c>
      <c r="AJ1153"/>
      <c r="AK1153">
        <v>100.229065834</v>
      </c>
      <c r="AL1153">
        <v>98</v>
      </c>
      <c r="AM1153">
        <v>97.356714303999993</v>
      </c>
      <c r="AN1153">
        <v>100.1</v>
      </c>
      <c r="AO1153">
        <v>96.424106026999993</v>
      </c>
      <c r="AP1153">
        <v>96.608050671000001</v>
      </c>
      <c r="AQ1153">
        <v>99.808317360000004</v>
      </c>
      <c r="AR1153">
        <v>95.592033997000001</v>
      </c>
      <c r="AS1153">
        <v>102.700829715</v>
      </c>
      <c r="AT1153"/>
    </row>
    <row r="1154" spans="1:46" x14ac:dyDescent="0.2">
      <c r="A1154" s="87">
        <v>42005</v>
      </c>
      <c r="B1154"/>
      <c r="C1154"/>
      <c r="D1154">
        <v>100.49162569800001</v>
      </c>
      <c r="E1154">
        <v>101.391550704</v>
      </c>
      <c r="F1154">
        <v>105.69777043800001</v>
      </c>
      <c r="G1154">
        <v>101.38634363200001</v>
      </c>
      <c r="H1154">
        <v>103.397276397</v>
      </c>
      <c r="I1154"/>
      <c r="J1154">
        <v>102.79378834400001</v>
      </c>
      <c r="K1154">
        <v>97.883686052000002</v>
      </c>
      <c r="L1154">
        <v>98.791767352999997</v>
      </c>
      <c r="M1154">
        <v>97.3</v>
      </c>
      <c r="N1154">
        <v>97.8</v>
      </c>
      <c r="O1154">
        <v>96.799080665999995</v>
      </c>
      <c r="P1154">
        <v>99.108259021999999</v>
      </c>
      <c r="Q1154"/>
      <c r="R1154">
        <v>97.308109009000006</v>
      </c>
      <c r="S1154">
        <v>99.51</v>
      </c>
      <c r="T1154">
        <v>101.116393847</v>
      </c>
      <c r="U1154">
        <v>98.942462806999998</v>
      </c>
      <c r="V1154">
        <v>97.885799899999995</v>
      </c>
      <c r="W1154">
        <v>97.608134011000004</v>
      </c>
      <c r="X1154">
        <v>98.102776434999996</v>
      </c>
      <c r="Y1154">
        <v>77.806483873999994</v>
      </c>
      <c r="Z1154">
        <v>99.280554359000007</v>
      </c>
      <c r="AA1154">
        <v>99.016393442999998</v>
      </c>
      <c r="AB1154">
        <v>98.291809016000002</v>
      </c>
      <c r="AC1154">
        <v>102.69144238</v>
      </c>
      <c r="AD1154">
        <v>97.391884009999998</v>
      </c>
      <c r="AE1154">
        <v>100.191650696</v>
      </c>
      <c r="AF1154">
        <v>96.5</v>
      </c>
      <c r="AG1154">
        <v>109.27652395299999</v>
      </c>
      <c r="AH1154">
        <v>102.891425715</v>
      </c>
      <c r="AI1154">
        <v>98.564778898</v>
      </c>
      <c r="AJ1154"/>
      <c r="AK1154">
        <v>99.930902519</v>
      </c>
      <c r="AL1154">
        <v>98.6</v>
      </c>
      <c r="AM1154">
        <v>95.879201007000006</v>
      </c>
      <c r="AN1154">
        <v>101.2</v>
      </c>
      <c r="AO1154">
        <v>97.624406101999995</v>
      </c>
      <c r="AP1154">
        <v>98.408200683000004</v>
      </c>
      <c r="AQ1154">
        <v>94.607883990000005</v>
      </c>
      <c r="AR1154">
        <v>95.192067327999993</v>
      </c>
      <c r="AS1154">
        <v>101.941579889</v>
      </c>
      <c r="AT1154"/>
    </row>
    <row r="1155" spans="1:46" x14ac:dyDescent="0.2">
      <c r="A1155" s="87">
        <v>42036</v>
      </c>
      <c r="B1155"/>
      <c r="C1155"/>
      <c r="D1155">
        <v>99.691692359000001</v>
      </c>
      <c r="E1155">
        <v>97.291892341999997</v>
      </c>
      <c r="F1155">
        <v>105.037159372</v>
      </c>
      <c r="G1155">
        <v>100.746142877</v>
      </c>
      <c r="H1155">
        <v>98.458159608000003</v>
      </c>
      <c r="I1155"/>
      <c r="J1155">
        <v>100.502996076</v>
      </c>
      <c r="K1155">
        <v>98.783536076999994</v>
      </c>
      <c r="L1155">
        <v>99.391717357000005</v>
      </c>
      <c r="M1155">
        <v>98.5</v>
      </c>
      <c r="N1155">
        <v>100.3</v>
      </c>
      <c r="O1155">
        <v>98.314081927999993</v>
      </c>
      <c r="P1155">
        <v>102.408534045</v>
      </c>
      <c r="Q1155"/>
      <c r="R1155">
        <v>98.80823402</v>
      </c>
      <c r="S1155">
        <v>100.09</v>
      </c>
      <c r="T1155">
        <v>100.556242377</v>
      </c>
      <c r="U1155">
        <v>100.66320129099999</v>
      </c>
      <c r="V1155">
        <v>101.581488264</v>
      </c>
      <c r="W1155">
        <v>96.308025669000003</v>
      </c>
      <c r="X1155">
        <v>98.943579432999996</v>
      </c>
      <c r="Y1155">
        <v>109.50912576</v>
      </c>
      <c r="Z1155">
        <v>101.416981928</v>
      </c>
      <c r="AA1155">
        <v>101.17096018700001</v>
      </c>
      <c r="AB1155">
        <v>99.091742354999994</v>
      </c>
      <c r="AC1155">
        <v>99.791684025999999</v>
      </c>
      <c r="AD1155">
        <v>100.69160903300001</v>
      </c>
      <c r="AE1155">
        <v>100.69160903300001</v>
      </c>
      <c r="AF1155">
        <v>97.1</v>
      </c>
      <c r="AG1155">
        <v>109.590521705</v>
      </c>
      <c r="AH1155">
        <v>103.491375719</v>
      </c>
      <c r="AI1155">
        <v>100.77579519</v>
      </c>
      <c r="AJ1155"/>
      <c r="AK1155">
        <v>100.09369786000001</v>
      </c>
      <c r="AL1155">
        <v>99.2</v>
      </c>
      <c r="AM1155">
        <v>97.799185007000005</v>
      </c>
      <c r="AN1155">
        <v>100.1</v>
      </c>
      <c r="AO1155">
        <v>95.923980994999994</v>
      </c>
      <c r="AP1155">
        <v>97.108092341000003</v>
      </c>
      <c r="AQ1155">
        <v>95.707975665000006</v>
      </c>
      <c r="AR1155">
        <v>95.192067327999993</v>
      </c>
      <c r="AS1155">
        <v>101.32833202</v>
      </c>
      <c r="AT1155"/>
    </row>
    <row r="1156" spans="1:46" x14ac:dyDescent="0.2">
      <c r="A1156" s="87">
        <v>42064</v>
      </c>
      <c r="B1156"/>
      <c r="C1156"/>
      <c r="D1156">
        <v>100.191650696</v>
      </c>
      <c r="E1156">
        <v>100.29164236299999</v>
      </c>
      <c r="F1156">
        <v>104.59675199599999</v>
      </c>
      <c r="G1156">
        <v>100.143128878</v>
      </c>
      <c r="H1156">
        <v>98.134204448000006</v>
      </c>
      <c r="I1156"/>
      <c r="J1156">
        <v>98.408950566000001</v>
      </c>
      <c r="K1156">
        <v>99.483419429999998</v>
      </c>
      <c r="L1156">
        <v>99.391717357000005</v>
      </c>
      <c r="M1156">
        <v>102.1</v>
      </c>
      <c r="N1156">
        <v>100.4</v>
      </c>
      <c r="O1156">
        <v>98.852082377000002</v>
      </c>
      <c r="P1156">
        <v>101.008417368</v>
      </c>
      <c r="Q1156"/>
      <c r="R1156">
        <v>100.708392366</v>
      </c>
      <c r="S1156">
        <v>99.89</v>
      </c>
      <c r="T1156">
        <v>100.351079024</v>
      </c>
      <c r="U1156">
        <v>101.63111668800001</v>
      </c>
      <c r="V1156">
        <v>101.581488264</v>
      </c>
      <c r="W1156">
        <v>99.408284023999997</v>
      </c>
      <c r="X1156">
        <v>98.172470693999998</v>
      </c>
      <c r="Y1156">
        <v>110.909242437</v>
      </c>
      <c r="Z1156">
        <v>103.55149900399999</v>
      </c>
      <c r="AA1156">
        <v>100.234192037</v>
      </c>
      <c r="AB1156">
        <v>99.391717357000005</v>
      </c>
      <c r="AC1156">
        <v>99.291725690000007</v>
      </c>
      <c r="AD1156">
        <v>98.691775684999996</v>
      </c>
      <c r="AE1156">
        <v>99.391717357000005</v>
      </c>
      <c r="AF1156">
        <v>101.3</v>
      </c>
      <c r="AG1156">
        <v>109.693842453</v>
      </c>
      <c r="AH1156">
        <v>100.7916007</v>
      </c>
      <c r="AI1156">
        <v>102.172226532</v>
      </c>
      <c r="AJ1156"/>
      <c r="AK1156">
        <v>100.099880485</v>
      </c>
      <c r="AL1156">
        <v>100.2</v>
      </c>
      <c r="AM1156">
        <v>98.159182006999998</v>
      </c>
      <c r="AN1156">
        <v>99.6</v>
      </c>
      <c r="AO1156">
        <v>99.124781194999997</v>
      </c>
      <c r="AP1156">
        <v>99.408284023999997</v>
      </c>
      <c r="AQ1156">
        <v>96.108009000999999</v>
      </c>
      <c r="AR1156">
        <v>99.091742354999994</v>
      </c>
      <c r="AS1156">
        <v>100.996581476</v>
      </c>
      <c r="AT1156"/>
    </row>
    <row r="1157" spans="1:46" x14ac:dyDescent="0.2">
      <c r="A1157" s="87">
        <v>42095</v>
      </c>
      <c r="B1157"/>
      <c r="C1157"/>
      <c r="D1157">
        <v>100.091659028</v>
      </c>
      <c r="E1157">
        <v>101.49154237099999</v>
      </c>
      <c r="F1157">
        <v>102.394715111</v>
      </c>
      <c r="G1157">
        <v>99.276062163000006</v>
      </c>
      <c r="H1157">
        <v>100.501752897</v>
      </c>
      <c r="I1157"/>
      <c r="J1157">
        <v>100.648121914</v>
      </c>
      <c r="K1157">
        <v>100.383269455</v>
      </c>
      <c r="L1157">
        <v>99.991667360999998</v>
      </c>
      <c r="M1157">
        <v>101.1</v>
      </c>
      <c r="N1157">
        <v>99.9</v>
      </c>
      <c r="O1157">
        <v>99.730083108000002</v>
      </c>
      <c r="P1157">
        <v>101.30844236999999</v>
      </c>
      <c r="Q1157"/>
      <c r="R1157">
        <v>100.30835903000001</v>
      </c>
      <c r="S1157">
        <v>99.4</v>
      </c>
      <c r="T1157">
        <v>100.142216592</v>
      </c>
      <c r="U1157">
        <v>100.878293601</v>
      </c>
      <c r="V1157">
        <v>100.58265357099999</v>
      </c>
      <c r="W1157">
        <v>98.908242353999995</v>
      </c>
      <c r="X1157">
        <v>97.994894501999994</v>
      </c>
      <c r="Y1157">
        <v>99.408284023999997</v>
      </c>
      <c r="Z1157">
        <v>107.166310948</v>
      </c>
      <c r="AA1157">
        <v>97.985948477999997</v>
      </c>
      <c r="AB1157">
        <v>99.691692359000001</v>
      </c>
      <c r="AC1157">
        <v>99.691692359000001</v>
      </c>
      <c r="AD1157">
        <v>99.891675694</v>
      </c>
      <c r="AE1157">
        <v>100.49162569800001</v>
      </c>
      <c r="AF1157">
        <v>102.6</v>
      </c>
      <c r="AG1157">
        <v>110.453685118</v>
      </c>
      <c r="AH1157">
        <v>98.591784017999998</v>
      </c>
      <c r="AI1157">
        <v>95.306439100000006</v>
      </c>
      <c r="AJ1157"/>
      <c r="AK1157">
        <v>99.972523483000003</v>
      </c>
      <c r="AL1157">
        <v>97.9</v>
      </c>
      <c r="AM1157">
        <v>99.849167924</v>
      </c>
      <c r="AN1157">
        <v>99.5</v>
      </c>
      <c r="AO1157">
        <v>97.924481119999996</v>
      </c>
      <c r="AP1157">
        <v>98.308192348999995</v>
      </c>
      <c r="AQ1157">
        <v>101.90849237400001</v>
      </c>
      <c r="AR1157">
        <v>99.391717357000005</v>
      </c>
      <c r="AS1157">
        <v>100.39334460400001</v>
      </c>
      <c r="AT1157"/>
    </row>
    <row r="1158" spans="1:46" x14ac:dyDescent="0.2">
      <c r="A1158" s="87">
        <v>42125</v>
      </c>
      <c r="B1158"/>
      <c r="C1158"/>
      <c r="D1158">
        <v>99.291725690000007</v>
      </c>
      <c r="E1158">
        <v>101.591534039</v>
      </c>
      <c r="F1158">
        <v>101.513900358</v>
      </c>
      <c r="G1158">
        <v>98.354954265999993</v>
      </c>
      <c r="H1158">
        <v>100.721382397</v>
      </c>
      <c r="I1158"/>
      <c r="J1158">
        <v>100.746786496</v>
      </c>
      <c r="K1158">
        <v>99.683386102</v>
      </c>
      <c r="L1158">
        <v>100.091659028</v>
      </c>
      <c r="M1158">
        <v>100.8</v>
      </c>
      <c r="N1158">
        <v>100.2</v>
      </c>
      <c r="O1158">
        <v>100.906084088</v>
      </c>
      <c r="P1158">
        <v>101.008417368</v>
      </c>
      <c r="Q1158"/>
      <c r="R1158">
        <v>99.508292358000006</v>
      </c>
      <c r="S1158">
        <v>100.21</v>
      </c>
      <c r="T1158">
        <v>99.971022672000004</v>
      </c>
      <c r="U1158">
        <v>100.23301667</v>
      </c>
      <c r="V1158">
        <v>96.087897452999997</v>
      </c>
      <c r="W1158">
        <v>98.208184015</v>
      </c>
      <c r="X1158">
        <v>98.899089681999996</v>
      </c>
      <c r="Y1158">
        <v>100.00833402799999</v>
      </c>
      <c r="Z1158">
        <v>105.742773571</v>
      </c>
      <c r="AA1158">
        <v>97.892271663000002</v>
      </c>
      <c r="AB1158">
        <v>100.49162569800001</v>
      </c>
      <c r="AC1158">
        <v>99.691692359000001</v>
      </c>
      <c r="AD1158">
        <v>97.891842346000004</v>
      </c>
      <c r="AE1158">
        <v>100.29164236299999</v>
      </c>
      <c r="AF1158">
        <v>99.6</v>
      </c>
      <c r="AG1158">
        <v>108.96808965699999</v>
      </c>
      <c r="AH1158">
        <v>97.891842346000004</v>
      </c>
      <c r="AI1158">
        <v>99.030256011999995</v>
      </c>
      <c r="AJ1158"/>
      <c r="AK1158">
        <v>99.741140771999994</v>
      </c>
      <c r="AL1158">
        <v>99</v>
      </c>
      <c r="AM1158">
        <v>100.089165924</v>
      </c>
      <c r="AN1158">
        <v>100.1</v>
      </c>
      <c r="AO1158">
        <v>99.824956239000002</v>
      </c>
      <c r="AP1158">
        <v>99.708309025999995</v>
      </c>
      <c r="AQ1158">
        <v>100.408367364</v>
      </c>
      <c r="AR1158">
        <v>99.491709024000002</v>
      </c>
      <c r="AS1158">
        <v>99.952166930999994</v>
      </c>
      <c r="AT1158"/>
    </row>
    <row r="1159" spans="1:46" x14ac:dyDescent="0.2">
      <c r="A1159" s="87">
        <v>42156</v>
      </c>
      <c r="B1159"/>
      <c r="C1159"/>
      <c r="D1159">
        <v>100.191650696</v>
      </c>
      <c r="E1159">
        <v>97.491875676999996</v>
      </c>
      <c r="F1159">
        <v>100.52298376</v>
      </c>
      <c r="G1159">
        <v>99.156475979999996</v>
      </c>
      <c r="H1159">
        <v>96.614848257999995</v>
      </c>
      <c r="I1159"/>
      <c r="J1159">
        <v>103.15310741099999</v>
      </c>
      <c r="K1159">
        <v>100.283286119</v>
      </c>
      <c r="L1159">
        <v>100.091659028</v>
      </c>
      <c r="M1159">
        <v>105.2</v>
      </c>
      <c r="N1159">
        <v>100.5</v>
      </c>
      <c r="O1159">
        <v>101.285084404</v>
      </c>
      <c r="P1159">
        <v>101.60846737200001</v>
      </c>
      <c r="Q1159"/>
      <c r="R1159">
        <v>101.408450704</v>
      </c>
      <c r="S1159">
        <v>100.22</v>
      </c>
      <c r="T1159">
        <v>99.983964315999998</v>
      </c>
      <c r="U1159">
        <v>100.34056282500001</v>
      </c>
      <c r="V1159">
        <v>95.188946228999995</v>
      </c>
      <c r="W1159">
        <v>100.30835903000001</v>
      </c>
      <c r="X1159">
        <v>99.199986447000001</v>
      </c>
      <c r="Y1159">
        <v>103.50862571899999</v>
      </c>
      <c r="Z1159">
        <v>105.02693641</v>
      </c>
      <c r="AA1159">
        <v>100.234192037</v>
      </c>
      <c r="AB1159">
        <v>99.991667360999998</v>
      </c>
      <c r="AC1159">
        <v>100.49162569800001</v>
      </c>
      <c r="AD1159">
        <v>99.991667360999998</v>
      </c>
      <c r="AE1159">
        <v>98.791767352999997</v>
      </c>
      <c r="AF1159">
        <v>98.7</v>
      </c>
      <c r="AG1159">
        <v>109.43369717900001</v>
      </c>
      <c r="AH1159">
        <v>100.69160903300001</v>
      </c>
      <c r="AI1159">
        <v>102.521334368</v>
      </c>
      <c r="AJ1159"/>
      <c r="AK1159">
        <v>100.063465666</v>
      </c>
      <c r="AL1159">
        <v>99.6</v>
      </c>
      <c r="AM1159">
        <v>100.599161674</v>
      </c>
      <c r="AN1159">
        <v>99.8</v>
      </c>
      <c r="AO1159">
        <v>99.924981244999998</v>
      </c>
      <c r="AP1159">
        <v>100.30835903000001</v>
      </c>
      <c r="AQ1159">
        <v>100.208350696</v>
      </c>
      <c r="AR1159">
        <v>100.39163403000001</v>
      </c>
      <c r="AS1159">
        <v>99.620614623999998</v>
      </c>
      <c r="AT1159"/>
    </row>
    <row r="1160" spans="1:46" x14ac:dyDescent="0.2">
      <c r="A1160" s="87">
        <v>42186</v>
      </c>
      <c r="B1160"/>
      <c r="C1160"/>
      <c r="D1160">
        <v>100.091659028</v>
      </c>
      <c r="E1160">
        <v>98.591784017999998</v>
      </c>
      <c r="F1160">
        <v>98.651252408000005</v>
      </c>
      <c r="G1160">
        <v>100.61746065299999</v>
      </c>
      <c r="H1160">
        <v>100.875831797</v>
      </c>
      <c r="I1160"/>
      <c r="J1160">
        <v>99.255302247000003</v>
      </c>
      <c r="K1160">
        <v>103.282786202</v>
      </c>
      <c r="L1160">
        <v>101.49154237099999</v>
      </c>
      <c r="M1160">
        <v>100.1</v>
      </c>
      <c r="N1160">
        <v>101</v>
      </c>
      <c r="O1160">
        <v>102.31208526</v>
      </c>
      <c r="P1160">
        <v>100.108342362</v>
      </c>
      <c r="Q1160"/>
      <c r="R1160">
        <v>99.308275690000002</v>
      </c>
      <c r="S1160">
        <v>99.11</v>
      </c>
      <c r="T1160">
        <v>100.514033528</v>
      </c>
      <c r="U1160">
        <v>99.802832049000003</v>
      </c>
      <c r="V1160">
        <v>97.486266022999999</v>
      </c>
      <c r="W1160">
        <v>101.30844236999999</v>
      </c>
      <c r="X1160">
        <v>100.033741386</v>
      </c>
      <c r="Y1160">
        <v>101.008417368</v>
      </c>
      <c r="Z1160">
        <v>100.226348699</v>
      </c>
      <c r="AA1160">
        <v>97.330210773000005</v>
      </c>
      <c r="AB1160">
        <v>100.991584035</v>
      </c>
      <c r="AC1160">
        <v>100.39163403000001</v>
      </c>
      <c r="AD1160">
        <v>98.791767352999997</v>
      </c>
      <c r="AE1160">
        <v>98.691775684999996</v>
      </c>
      <c r="AF1160">
        <v>101.5</v>
      </c>
      <c r="AG1160">
        <v>109.87663395200001</v>
      </c>
      <c r="AH1160">
        <v>100.49162569800001</v>
      </c>
      <c r="AI1160">
        <v>99.262994569</v>
      </c>
      <c r="AJ1160"/>
      <c r="AK1160">
        <v>100.382238074</v>
      </c>
      <c r="AL1160">
        <v>100.8</v>
      </c>
      <c r="AM1160">
        <v>103.499137507</v>
      </c>
      <c r="AN1160">
        <v>100.1</v>
      </c>
      <c r="AO1160">
        <v>103.52588147</v>
      </c>
      <c r="AP1160">
        <v>99.308275690000002</v>
      </c>
      <c r="AQ1160">
        <v>98.108175681000006</v>
      </c>
      <c r="AR1160">
        <v>99.791684025999999</v>
      </c>
      <c r="AS1160">
        <v>100.291450502</v>
      </c>
      <c r="AT1160"/>
    </row>
    <row r="1161" spans="1:46" x14ac:dyDescent="0.2">
      <c r="A1161" s="87">
        <v>42217</v>
      </c>
      <c r="B1161"/>
      <c r="C1161"/>
      <c r="D1161">
        <v>99.891675694</v>
      </c>
      <c r="E1161">
        <v>97.991834014000005</v>
      </c>
      <c r="F1161">
        <v>99.421965318000005</v>
      </c>
      <c r="G1161">
        <v>101.706577775</v>
      </c>
      <c r="H1161">
        <v>99.619363488000005</v>
      </c>
      <c r="I1161"/>
      <c r="J1161">
        <v>95.027707859000003</v>
      </c>
      <c r="K1161">
        <v>100.483252791</v>
      </c>
      <c r="L1161">
        <v>98.791767352999997</v>
      </c>
      <c r="M1161">
        <v>103.5</v>
      </c>
      <c r="N1161">
        <v>99.7</v>
      </c>
      <c r="O1161">
        <v>99.42008285</v>
      </c>
      <c r="P1161">
        <v>100.908409034</v>
      </c>
      <c r="Q1161"/>
      <c r="R1161">
        <v>100.00833402799999</v>
      </c>
      <c r="S1161">
        <v>99.81</v>
      </c>
      <c r="T1161">
        <v>99.701153332999993</v>
      </c>
      <c r="U1161">
        <v>100.34056282500001</v>
      </c>
      <c r="V1161">
        <v>100.882303979</v>
      </c>
      <c r="W1161">
        <v>97.608134011000004</v>
      </c>
      <c r="X1161">
        <v>101.44121715</v>
      </c>
      <c r="Y1161">
        <v>106.908909076</v>
      </c>
      <c r="Z1161">
        <v>96.249366486</v>
      </c>
      <c r="AA1161">
        <v>99.484777518000001</v>
      </c>
      <c r="AB1161">
        <v>98.791767352999997</v>
      </c>
      <c r="AC1161">
        <v>98.791767352999997</v>
      </c>
      <c r="AD1161">
        <v>101.89150904100001</v>
      </c>
      <c r="AE1161">
        <v>100.891592367</v>
      </c>
      <c r="AF1161">
        <v>101.4</v>
      </c>
      <c r="AG1161">
        <v>110.309803085</v>
      </c>
      <c r="AH1161">
        <v>96.991917340000001</v>
      </c>
      <c r="AI1161">
        <v>102.172226532</v>
      </c>
      <c r="AJ1161"/>
      <c r="AK1161">
        <v>99.992795440999998</v>
      </c>
      <c r="AL1161">
        <v>98.6</v>
      </c>
      <c r="AM1161">
        <v>98.259181173000002</v>
      </c>
      <c r="AN1161">
        <v>100.9</v>
      </c>
      <c r="AO1161">
        <v>96.924231058000004</v>
      </c>
      <c r="AP1161">
        <v>99.808317360000004</v>
      </c>
      <c r="AQ1161">
        <v>103.50862571899999</v>
      </c>
      <c r="AR1161">
        <v>102.591450712</v>
      </c>
      <c r="AS1161">
        <v>100.022243905</v>
      </c>
      <c r="AT1161"/>
    </row>
    <row r="1162" spans="1:46" x14ac:dyDescent="0.2">
      <c r="A1162" s="87">
        <v>42248</v>
      </c>
      <c r="B1162"/>
      <c r="C1162"/>
      <c r="D1162">
        <v>99.791684025999999</v>
      </c>
      <c r="E1162">
        <v>101.191567369</v>
      </c>
      <c r="F1162">
        <v>97.109826589999997</v>
      </c>
      <c r="G1162">
        <v>99.550013509999999</v>
      </c>
      <c r="H1162">
        <v>100.659252397</v>
      </c>
      <c r="I1162"/>
      <c r="J1162">
        <v>100.085772112</v>
      </c>
      <c r="K1162">
        <v>100.08331944699999</v>
      </c>
      <c r="L1162">
        <v>99.191734022000006</v>
      </c>
      <c r="M1162">
        <v>99.8</v>
      </c>
      <c r="N1162">
        <v>100.2</v>
      </c>
      <c r="O1162">
        <v>101.23808436500001</v>
      </c>
      <c r="P1162">
        <v>100.708392366</v>
      </c>
      <c r="Q1162"/>
      <c r="R1162">
        <v>101.60846737200001</v>
      </c>
      <c r="S1162">
        <v>101.2</v>
      </c>
      <c r="T1162">
        <v>99.905565468000006</v>
      </c>
      <c r="U1162">
        <v>99.695285893999994</v>
      </c>
      <c r="V1162">
        <v>100.482770102</v>
      </c>
      <c r="W1162">
        <v>101.408450704</v>
      </c>
      <c r="X1162">
        <v>100.763387053</v>
      </c>
      <c r="Y1162">
        <v>99.108259021999999</v>
      </c>
      <c r="Z1162">
        <v>93.741077685999997</v>
      </c>
      <c r="AA1162">
        <v>97.985948477999997</v>
      </c>
      <c r="AB1162">
        <v>99.791684025999999</v>
      </c>
      <c r="AC1162">
        <v>100.49162569800001</v>
      </c>
      <c r="AD1162">
        <v>102.891425715</v>
      </c>
      <c r="AE1162">
        <v>98.791767352999997</v>
      </c>
      <c r="AF1162">
        <v>100.8</v>
      </c>
      <c r="AG1162">
        <v>110.869408404</v>
      </c>
      <c r="AH1162">
        <v>98.591784017999998</v>
      </c>
      <c r="AI1162">
        <v>104.615981381</v>
      </c>
      <c r="AJ1162"/>
      <c r="AK1162">
        <v>100.418600711</v>
      </c>
      <c r="AL1162">
        <v>100.7</v>
      </c>
      <c r="AM1162">
        <v>101.499154174</v>
      </c>
      <c r="AN1162">
        <v>99.8</v>
      </c>
      <c r="AO1162">
        <v>101.825456364</v>
      </c>
      <c r="AP1162">
        <v>100.108342362</v>
      </c>
      <c r="AQ1162">
        <v>103.108592383</v>
      </c>
      <c r="AR1162">
        <v>102.69144238</v>
      </c>
      <c r="AS1162">
        <v>99.681770908999994</v>
      </c>
      <c r="AT1162"/>
    </row>
    <row r="1163" spans="1:46" x14ac:dyDescent="0.2">
      <c r="A1163" s="87">
        <v>42278</v>
      </c>
      <c r="B1163"/>
      <c r="C1163"/>
      <c r="D1163">
        <v>100.49162569800001</v>
      </c>
      <c r="E1163">
        <v>101.89150904100001</v>
      </c>
      <c r="F1163">
        <v>96.889622900999996</v>
      </c>
      <c r="G1163">
        <v>99.326625449000005</v>
      </c>
      <c r="H1163">
        <v>101.280961197</v>
      </c>
      <c r="I1163"/>
      <c r="J1163">
        <v>100.36371258</v>
      </c>
      <c r="K1163">
        <v>102.182969505</v>
      </c>
      <c r="L1163">
        <v>100.191650696</v>
      </c>
      <c r="M1163">
        <v>96.8</v>
      </c>
      <c r="N1163">
        <v>100.3</v>
      </c>
      <c r="O1163">
        <v>100.82408402</v>
      </c>
      <c r="P1163">
        <v>101.30844236999999</v>
      </c>
      <c r="Q1163"/>
      <c r="R1163">
        <v>99.908325693999998</v>
      </c>
      <c r="S1163">
        <v>101.52</v>
      </c>
      <c r="T1163">
        <v>99.912444335000004</v>
      </c>
      <c r="U1163">
        <v>99.910378203999997</v>
      </c>
      <c r="V1163">
        <v>99.583818878000002</v>
      </c>
      <c r="W1163">
        <v>102.008500708</v>
      </c>
      <c r="X1163">
        <v>103.65106637300001</v>
      </c>
      <c r="Y1163">
        <v>93.207767313999994</v>
      </c>
      <c r="Z1163">
        <v>92.875559421999995</v>
      </c>
      <c r="AA1163">
        <v>97.236533957999995</v>
      </c>
      <c r="AB1163">
        <v>99.891675694</v>
      </c>
      <c r="AC1163">
        <v>100.591617365</v>
      </c>
      <c r="AD1163">
        <v>101.391550704</v>
      </c>
      <c r="AE1163">
        <v>100.091659028</v>
      </c>
      <c r="AF1163">
        <v>100.7</v>
      </c>
      <c r="AG1163">
        <v>110.012802271</v>
      </c>
      <c r="AH1163">
        <v>100.891592367</v>
      </c>
      <c r="AI1163">
        <v>100.310318076</v>
      </c>
      <c r="AJ1163"/>
      <c r="AK1163">
        <v>100.20739205</v>
      </c>
      <c r="AL1163">
        <v>101.5</v>
      </c>
      <c r="AM1163">
        <v>104.239131341</v>
      </c>
      <c r="AN1163">
        <v>100.4</v>
      </c>
      <c r="AO1163">
        <v>101.525381345</v>
      </c>
      <c r="AP1163">
        <v>99.208267355999993</v>
      </c>
      <c r="AQ1163">
        <v>102.508542379</v>
      </c>
      <c r="AR1163">
        <v>100.29164236299999</v>
      </c>
      <c r="AS1163">
        <v>99.276176875999994</v>
      </c>
      <c r="AT1163"/>
    </row>
    <row r="1164" spans="1:46" x14ac:dyDescent="0.2">
      <c r="A1164" s="87">
        <v>42309</v>
      </c>
      <c r="B1164"/>
      <c r="C1164"/>
      <c r="D1164">
        <v>101.091575702</v>
      </c>
      <c r="E1164">
        <v>100.991584035</v>
      </c>
      <c r="F1164">
        <v>95.127993394000001</v>
      </c>
      <c r="G1164">
        <v>99.645521939000005</v>
      </c>
      <c r="H1164">
        <v>100.682006297</v>
      </c>
      <c r="I1164"/>
      <c r="J1164">
        <v>97.910721386999995</v>
      </c>
      <c r="K1164">
        <v>99.983336111</v>
      </c>
      <c r="L1164">
        <v>99.191734022000006</v>
      </c>
      <c r="M1164">
        <v>95.6</v>
      </c>
      <c r="N1164">
        <v>99.8</v>
      </c>
      <c r="O1164">
        <v>100.15208346</v>
      </c>
      <c r="P1164">
        <v>98.308192348999995</v>
      </c>
      <c r="Q1164"/>
      <c r="R1164">
        <v>98.708225685000002</v>
      </c>
      <c r="S1164">
        <v>99.3</v>
      </c>
      <c r="T1164">
        <v>99.194695234999998</v>
      </c>
      <c r="U1164">
        <v>98.727370496999995</v>
      </c>
      <c r="V1164">
        <v>102.780089895</v>
      </c>
      <c r="W1164">
        <v>101.508459038</v>
      </c>
      <c r="X1164">
        <v>101.650090836</v>
      </c>
      <c r="Y1164">
        <v>95.007917325999998</v>
      </c>
      <c r="Z1164">
        <v>95.571336367000001</v>
      </c>
      <c r="AA1164">
        <v>105.761124122</v>
      </c>
      <c r="AB1164">
        <v>100.591617365</v>
      </c>
      <c r="AC1164">
        <v>99.991667360999998</v>
      </c>
      <c r="AD1164">
        <v>100.49162569800001</v>
      </c>
      <c r="AE1164">
        <v>101.591534039</v>
      </c>
      <c r="AF1164">
        <v>100.3</v>
      </c>
      <c r="AG1164">
        <v>109.23084278899999</v>
      </c>
      <c r="AH1164">
        <v>101.091575702</v>
      </c>
      <c r="AI1164">
        <v>99.262994569</v>
      </c>
      <c r="AJ1164"/>
      <c r="AK1164">
        <v>99.731605144</v>
      </c>
      <c r="AL1164">
        <v>101.8</v>
      </c>
      <c r="AM1164">
        <v>99.799168339999994</v>
      </c>
      <c r="AN1164">
        <v>100</v>
      </c>
      <c r="AO1164">
        <v>103.42585646400001</v>
      </c>
      <c r="AP1164">
        <v>100.30835903000001</v>
      </c>
      <c r="AQ1164">
        <v>102.808567381</v>
      </c>
      <c r="AR1164">
        <v>102.491459045</v>
      </c>
      <c r="AS1164">
        <v>98.533876360999997</v>
      </c>
      <c r="AT1164"/>
    </row>
    <row r="1165" spans="1:46" x14ac:dyDescent="0.2">
      <c r="A1165" s="87">
        <v>42339</v>
      </c>
      <c r="B1165"/>
      <c r="C1165"/>
      <c r="D1165">
        <v>98.591784017999998</v>
      </c>
      <c r="E1165">
        <v>99.791684025999999</v>
      </c>
      <c r="F1165">
        <v>93.366363887000006</v>
      </c>
      <c r="G1165">
        <v>100.090692878</v>
      </c>
      <c r="H1165">
        <v>99.054960758000007</v>
      </c>
      <c r="I1165"/>
      <c r="J1165">
        <v>98.719795020000007</v>
      </c>
      <c r="K1165">
        <v>99.283452757999996</v>
      </c>
      <c r="L1165">
        <v>99.991667360999998</v>
      </c>
      <c r="M1165">
        <v>99.2</v>
      </c>
      <c r="N1165">
        <v>100</v>
      </c>
      <c r="O1165">
        <v>100.16708347300001</v>
      </c>
      <c r="P1165">
        <v>96.008000667000005</v>
      </c>
      <c r="Q1165"/>
      <c r="R1165">
        <v>102.408534045</v>
      </c>
      <c r="S1165">
        <v>99.75</v>
      </c>
      <c r="T1165">
        <v>98.651189271999996</v>
      </c>
      <c r="U1165">
        <v>98.834916652000004</v>
      </c>
      <c r="V1165">
        <v>105.876477443</v>
      </c>
      <c r="W1165">
        <v>101.10842570200001</v>
      </c>
      <c r="X1165">
        <v>102.12859363</v>
      </c>
      <c r="Y1165">
        <v>102.608550713</v>
      </c>
      <c r="Z1165">
        <v>99.151255117000005</v>
      </c>
      <c r="AA1165">
        <v>101.92037470699999</v>
      </c>
      <c r="AB1165">
        <v>98.691775684999996</v>
      </c>
      <c r="AC1165">
        <v>98.091825681000003</v>
      </c>
      <c r="AD1165">
        <v>99.891675694</v>
      </c>
      <c r="AE1165">
        <v>100.091659028</v>
      </c>
      <c r="AF1165">
        <v>99.4</v>
      </c>
      <c r="AG1165">
        <v>109.74631474900001</v>
      </c>
      <c r="AH1165">
        <v>98.391800683</v>
      </c>
      <c r="AI1165">
        <v>98.913886734000002</v>
      </c>
      <c r="AJ1165"/>
      <c r="AK1165">
        <v>99.365757794999993</v>
      </c>
      <c r="AL1165">
        <v>102.1</v>
      </c>
      <c r="AM1165">
        <v>100.30916409</v>
      </c>
      <c r="AN1165">
        <v>99.2</v>
      </c>
      <c r="AO1165">
        <v>102.12553138299999</v>
      </c>
      <c r="AP1165">
        <v>98.80823402</v>
      </c>
      <c r="AQ1165">
        <v>101.008417368</v>
      </c>
      <c r="AR1165">
        <v>103.29139238400001</v>
      </c>
      <c r="AS1165">
        <v>97.961961021999997</v>
      </c>
      <c r="AT1165"/>
    </row>
    <row r="1166" spans="1:46" x14ac:dyDescent="0.2">
      <c r="A1166" s="87">
        <v>42370</v>
      </c>
      <c r="B1166"/>
      <c r="C1166"/>
      <c r="D1166">
        <v>102.29147571</v>
      </c>
      <c r="E1166">
        <v>105.091242396</v>
      </c>
      <c r="F1166">
        <v>94.687586017000001</v>
      </c>
      <c r="G1166">
        <v>100.697987367</v>
      </c>
      <c r="H1166">
        <v>99.592709537999994</v>
      </c>
      <c r="I1166"/>
      <c r="J1166">
        <v>99.080291192000004</v>
      </c>
      <c r="K1166">
        <v>102.382936177</v>
      </c>
      <c r="L1166">
        <v>101.89150904100001</v>
      </c>
      <c r="M1166">
        <v>104.6</v>
      </c>
      <c r="N1166">
        <v>102.9</v>
      </c>
      <c r="O1166">
        <v>102.064085053</v>
      </c>
      <c r="P1166">
        <v>101.10842570200001</v>
      </c>
      <c r="Q1166"/>
      <c r="R1166">
        <v>100.408367364</v>
      </c>
      <c r="S1166">
        <v>101.59</v>
      </c>
      <c r="T1166">
        <v>100.087445041</v>
      </c>
      <c r="U1166">
        <v>101.52357053199999</v>
      </c>
      <c r="V1166">
        <v>101.981022141</v>
      </c>
      <c r="W1166">
        <v>99.808317360000004</v>
      </c>
      <c r="X1166">
        <v>102.52688884200001</v>
      </c>
      <c r="Y1166">
        <v>117.809817485</v>
      </c>
      <c r="Z1166">
        <v>94.680152081000003</v>
      </c>
      <c r="AA1166">
        <v>99.953161593000004</v>
      </c>
      <c r="AB1166">
        <v>101.69152570599999</v>
      </c>
      <c r="AC1166">
        <v>100.29164236299999</v>
      </c>
      <c r="AD1166">
        <v>98.491792351000001</v>
      </c>
      <c r="AE1166">
        <v>100.191650696</v>
      </c>
      <c r="AF1166">
        <v>102.7</v>
      </c>
      <c r="AG1166">
        <v>110.083003502</v>
      </c>
      <c r="AH1166">
        <v>100.69160903300001</v>
      </c>
      <c r="AI1166">
        <v>99.495733126000005</v>
      </c>
      <c r="AJ1166"/>
      <c r="AK1166">
        <v>100.563665388</v>
      </c>
      <c r="AL1166">
        <v>102</v>
      </c>
      <c r="AM1166">
        <v>100.649161257</v>
      </c>
      <c r="AN1166">
        <v>100.5</v>
      </c>
      <c r="AO1166">
        <v>103.82595648900001</v>
      </c>
      <c r="AP1166">
        <v>106.208850738</v>
      </c>
      <c r="AQ1166">
        <v>101.30844236999999</v>
      </c>
      <c r="AR1166">
        <v>102.591450712</v>
      </c>
      <c r="AS1166">
        <v>98.603061267000001</v>
      </c>
      <c r="AT1166"/>
    </row>
    <row r="1167" spans="1:46" x14ac:dyDescent="0.2">
      <c r="A1167" s="87">
        <v>42401</v>
      </c>
      <c r="B1167"/>
      <c r="C1167"/>
      <c r="D1167">
        <v>101.991500708</v>
      </c>
      <c r="E1167">
        <v>102.191484043</v>
      </c>
      <c r="F1167">
        <v>93.476465731000005</v>
      </c>
      <c r="G1167">
        <v>99.773401570999994</v>
      </c>
      <c r="H1167">
        <v>102.39597719699999</v>
      </c>
      <c r="I1167"/>
      <c r="J1167">
        <v>99.302572287000004</v>
      </c>
      <c r="K1167">
        <v>103.982669555</v>
      </c>
      <c r="L1167">
        <v>101.79151737399999</v>
      </c>
      <c r="M1167">
        <v>100</v>
      </c>
      <c r="N1167">
        <v>100.9</v>
      </c>
      <c r="O1167">
        <v>100.563083803</v>
      </c>
      <c r="P1167">
        <v>98.708225685000002</v>
      </c>
      <c r="Q1167"/>
      <c r="R1167">
        <v>102.408534045</v>
      </c>
      <c r="S1167">
        <v>100.64</v>
      </c>
      <c r="T1167">
        <v>99.537388218999993</v>
      </c>
      <c r="U1167">
        <v>101.953755153</v>
      </c>
      <c r="V1167">
        <v>98.285333777000005</v>
      </c>
      <c r="W1167">
        <v>98.208184015</v>
      </c>
      <c r="X1167">
        <v>102.290167141</v>
      </c>
      <c r="Y1167">
        <v>94.607883990000005</v>
      </c>
      <c r="Z1167">
        <v>90.758607264000005</v>
      </c>
      <c r="AA1167">
        <v>98.266978922999996</v>
      </c>
      <c r="AB1167">
        <v>100.39163403000001</v>
      </c>
      <c r="AC1167">
        <v>99.491709024000002</v>
      </c>
      <c r="AD1167">
        <v>101.291559037</v>
      </c>
      <c r="AE1167">
        <v>102.09149237600001</v>
      </c>
      <c r="AF1167">
        <v>97.8</v>
      </c>
      <c r="AG1167">
        <v>110.00717554400001</v>
      </c>
      <c r="AH1167">
        <v>101.49154237099999</v>
      </c>
      <c r="AI1167">
        <v>99.495733126000005</v>
      </c>
      <c r="AJ1167"/>
      <c r="AK1167">
        <v>100.111300485</v>
      </c>
      <c r="AL1167">
        <v>101.5</v>
      </c>
      <c r="AM1167">
        <v>102.309147424</v>
      </c>
      <c r="AN1167">
        <v>99.8</v>
      </c>
      <c r="AO1167">
        <v>105.82645661399999</v>
      </c>
      <c r="AP1167">
        <v>107.408950746</v>
      </c>
      <c r="AQ1167">
        <v>101.60846737200001</v>
      </c>
      <c r="AR1167">
        <v>103.691359053</v>
      </c>
      <c r="AS1167">
        <v>98.086255967</v>
      </c>
      <c r="AT1167"/>
    </row>
    <row r="1168" spans="1:46" x14ac:dyDescent="0.2">
      <c r="A1168" s="87">
        <v>42430</v>
      </c>
      <c r="B1168"/>
      <c r="C1168"/>
      <c r="D1168">
        <v>102.491459045</v>
      </c>
      <c r="E1168">
        <v>103.691359053</v>
      </c>
      <c r="F1168">
        <v>94.137076796000002</v>
      </c>
      <c r="G1168">
        <v>98.756785245000003</v>
      </c>
      <c r="H1168">
        <v>101.834482697</v>
      </c>
      <c r="I1168"/>
      <c r="J1168">
        <v>101.788577968</v>
      </c>
      <c r="K1168">
        <v>102.88285285800001</v>
      </c>
      <c r="L1168">
        <v>100.49162569800001</v>
      </c>
      <c r="M1168">
        <v>103.6</v>
      </c>
      <c r="N1168">
        <v>100.3</v>
      </c>
      <c r="O1168">
        <v>102.22008518299999</v>
      </c>
      <c r="P1168">
        <v>97.108092341000003</v>
      </c>
      <c r="Q1168"/>
      <c r="R1168">
        <v>100.208350696</v>
      </c>
      <c r="S1168">
        <v>100.2</v>
      </c>
      <c r="T1168">
        <v>99.014592950999997</v>
      </c>
      <c r="U1168">
        <v>101.63111668800001</v>
      </c>
      <c r="V1168">
        <v>99.683702346999993</v>
      </c>
      <c r="W1168">
        <v>96.608050671000001</v>
      </c>
      <c r="X1168">
        <v>103.069516455</v>
      </c>
      <c r="Y1168">
        <v>91.907658971999993</v>
      </c>
      <c r="Z1168">
        <v>88.777774421999993</v>
      </c>
      <c r="AA1168">
        <v>100.60889929699999</v>
      </c>
      <c r="AB1168">
        <v>100.49162569800001</v>
      </c>
      <c r="AC1168">
        <v>99.891675694</v>
      </c>
      <c r="AD1168">
        <v>101.091575702</v>
      </c>
      <c r="AE1168">
        <v>101.79151737399999</v>
      </c>
      <c r="AF1168">
        <v>103.4</v>
      </c>
      <c r="AG1168">
        <v>109.59574379</v>
      </c>
      <c r="AH1168">
        <v>102.591450712</v>
      </c>
      <c r="AI1168">
        <v>100.310318076</v>
      </c>
      <c r="AJ1168"/>
      <c r="AK1168">
        <v>99.713082638000003</v>
      </c>
      <c r="AL1168">
        <v>100.6</v>
      </c>
      <c r="AM1168">
        <v>100.46916275700001</v>
      </c>
      <c r="AN1168">
        <v>100.7</v>
      </c>
      <c r="AO1168">
        <v>100.025006252</v>
      </c>
      <c r="AP1168">
        <v>103.80865072100001</v>
      </c>
      <c r="AQ1168">
        <v>101.208434036</v>
      </c>
      <c r="AR1168">
        <v>102.591450712</v>
      </c>
      <c r="AS1168">
        <v>97.330078822999994</v>
      </c>
      <c r="AT1168"/>
    </row>
    <row r="1169" spans="1:46" x14ac:dyDescent="0.2">
      <c r="A1169" s="87">
        <v>42461</v>
      </c>
      <c r="B1169"/>
      <c r="C1169"/>
      <c r="D1169">
        <v>102.191484043</v>
      </c>
      <c r="E1169">
        <v>105.291225731</v>
      </c>
      <c r="F1169">
        <v>94.026974952000003</v>
      </c>
      <c r="G1169">
        <v>99.012009449000004</v>
      </c>
      <c r="H1169">
        <v>101.059700397</v>
      </c>
      <c r="I1169"/>
      <c r="J1169">
        <v>97.931699867999995</v>
      </c>
      <c r="K1169">
        <v>102.782869522</v>
      </c>
      <c r="L1169">
        <v>101.291559037</v>
      </c>
      <c r="M1169">
        <v>102</v>
      </c>
      <c r="N1169">
        <v>101.6</v>
      </c>
      <c r="O1169">
        <v>102.902085752</v>
      </c>
      <c r="P1169">
        <v>102.10850904199999</v>
      </c>
      <c r="Q1169"/>
      <c r="R1169">
        <v>105.208767397</v>
      </c>
      <c r="S1169">
        <v>101.21</v>
      </c>
      <c r="T1169">
        <v>99.388348590000007</v>
      </c>
      <c r="U1169">
        <v>103.674493637</v>
      </c>
      <c r="V1169">
        <v>102.979856834</v>
      </c>
      <c r="W1169">
        <v>102.30852571</v>
      </c>
      <c r="X1169">
        <v>104.104671333</v>
      </c>
      <c r="Y1169">
        <v>96.908075672999999</v>
      </c>
      <c r="Z1169">
        <v>87.590319320000006</v>
      </c>
      <c r="AA1169">
        <v>100.046838407</v>
      </c>
      <c r="AB1169">
        <v>102.09149237600001</v>
      </c>
      <c r="AC1169">
        <v>99.191734022000006</v>
      </c>
      <c r="AD1169">
        <v>100.091659028</v>
      </c>
      <c r="AE1169">
        <v>98.991750687000007</v>
      </c>
      <c r="AF1169">
        <v>102.9</v>
      </c>
      <c r="AG1169">
        <v>109.27924983</v>
      </c>
      <c r="AH1169">
        <v>102.191484043</v>
      </c>
      <c r="AI1169">
        <v>100.659425912</v>
      </c>
      <c r="AJ1169"/>
      <c r="AK1169">
        <v>100.054968217</v>
      </c>
      <c r="AL1169">
        <v>103.5</v>
      </c>
      <c r="AM1169">
        <v>103.799135007</v>
      </c>
      <c r="AN1169">
        <v>100.3</v>
      </c>
      <c r="AO1169">
        <v>104.526131533</v>
      </c>
      <c r="AP1169">
        <v>104.60871739300001</v>
      </c>
      <c r="AQ1169">
        <v>104.208684057</v>
      </c>
      <c r="AR1169">
        <v>102.791434047</v>
      </c>
      <c r="AS1169">
        <v>97.599582776000005</v>
      </c>
      <c r="AT1169"/>
    </row>
    <row r="1170" spans="1:46" x14ac:dyDescent="0.2">
      <c r="A1170" s="87">
        <v>42491</v>
      </c>
      <c r="B1170"/>
      <c r="C1170"/>
      <c r="D1170">
        <v>101.391550704</v>
      </c>
      <c r="E1170">
        <v>101.391550704</v>
      </c>
      <c r="F1170">
        <v>94.467382329000003</v>
      </c>
      <c r="G1170">
        <v>95.219227959999998</v>
      </c>
      <c r="H1170">
        <v>99.741629118000006</v>
      </c>
      <c r="I1170"/>
      <c r="J1170">
        <v>98.684359598</v>
      </c>
      <c r="K1170">
        <v>100.58323612700001</v>
      </c>
      <c r="L1170">
        <v>99.391717357000005</v>
      </c>
      <c r="M1170">
        <v>103.3</v>
      </c>
      <c r="N1170">
        <v>100.3</v>
      </c>
      <c r="O1170">
        <v>100.407083673</v>
      </c>
      <c r="P1170">
        <v>99.608300692</v>
      </c>
      <c r="Q1170"/>
      <c r="R1170">
        <v>104.008667389</v>
      </c>
      <c r="S1170">
        <v>99.6</v>
      </c>
      <c r="T1170">
        <v>98.454610044000006</v>
      </c>
      <c r="U1170">
        <v>101.30847822200001</v>
      </c>
      <c r="V1170">
        <v>100.882303979</v>
      </c>
      <c r="W1170">
        <v>101.708475706</v>
      </c>
      <c r="X1170">
        <v>105.644357422</v>
      </c>
      <c r="Y1170">
        <v>100.108342362</v>
      </c>
      <c r="Z1170">
        <v>89.613868667999995</v>
      </c>
      <c r="AA1170">
        <v>101.264637002</v>
      </c>
      <c r="AB1170">
        <v>100.49162569800001</v>
      </c>
      <c r="AC1170">
        <v>98.691775684999996</v>
      </c>
      <c r="AD1170">
        <v>103.09140904900001</v>
      </c>
      <c r="AE1170">
        <v>99.291725690000007</v>
      </c>
      <c r="AF1170">
        <v>104.4</v>
      </c>
      <c r="AG1170">
        <v>109.342396458</v>
      </c>
      <c r="AH1170">
        <v>100.39163403000001</v>
      </c>
      <c r="AI1170">
        <v>100.77579519</v>
      </c>
      <c r="AJ1170"/>
      <c r="AK1170">
        <v>99.535484873000001</v>
      </c>
      <c r="AL1170">
        <v>102.1</v>
      </c>
      <c r="AM1170">
        <v>100.60916159</v>
      </c>
      <c r="AN1170">
        <v>100.4</v>
      </c>
      <c r="AO1170">
        <v>103.625906477</v>
      </c>
      <c r="AP1170">
        <v>105.40878406500001</v>
      </c>
      <c r="AQ1170">
        <v>99.908325693999998</v>
      </c>
      <c r="AR1170">
        <v>104.49129239200001</v>
      </c>
      <c r="AS1170">
        <v>97.422754878999996</v>
      </c>
      <c r="AT1170"/>
    </row>
    <row r="1171" spans="1:46" x14ac:dyDescent="0.2">
      <c r="A1171" s="87">
        <v>42522</v>
      </c>
      <c r="B1171"/>
      <c r="C1171"/>
      <c r="D1171">
        <v>101.091575702</v>
      </c>
      <c r="E1171">
        <v>102.791434047</v>
      </c>
      <c r="F1171">
        <v>93.366363887000006</v>
      </c>
      <c r="G1171">
        <v>97.696293897999993</v>
      </c>
      <c r="H1171">
        <v>98.076590388</v>
      </c>
      <c r="I1171"/>
      <c r="J1171">
        <v>98.581506875000002</v>
      </c>
      <c r="K1171">
        <v>104.282619563</v>
      </c>
      <c r="L1171">
        <v>101.69152570599999</v>
      </c>
      <c r="M1171">
        <v>101.9</v>
      </c>
      <c r="N1171">
        <v>101.1</v>
      </c>
      <c r="O1171">
        <v>100.785083988</v>
      </c>
      <c r="P1171">
        <v>99.808317360000004</v>
      </c>
      <c r="Q1171"/>
      <c r="R1171">
        <v>105.308775731</v>
      </c>
      <c r="S1171">
        <v>99.31</v>
      </c>
      <c r="T1171">
        <v>98.994266951</v>
      </c>
      <c r="U1171">
        <v>99.587739737999996</v>
      </c>
      <c r="V1171">
        <v>101.88113867200001</v>
      </c>
      <c r="W1171">
        <v>100.108342362</v>
      </c>
      <c r="X1171">
        <v>107.29739442899999</v>
      </c>
      <c r="Y1171">
        <v>102.008500708</v>
      </c>
      <c r="Z1171">
        <v>91.627233606999994</v>
      </c>
      <c r="AA1171">
        <v>101.545667447</v>
      </c>
      <c r="AB1171">
        <v>99.291725690000007</v>
      </c>
      <c r="AC1171">
        <v>99.191734022000006</v>
      </c>
      <c r="AD1171">
        <v>103.391384051</v>
      </c>
      <c r="AE1171">
        <v>99.491709024000002</v>
      </c>
      <c r="AF1171">
        <v>105.7</v>
      </c>
      <c r="AG1171">
        <v>109.53695911200001</v>
      </c>
      <c r="AH1171">
        <v>101.991500708</v>
      </c>
      <c r="AI1171">
        <v>96.470131885000001</v>
      </c>
      <c r="AJ1171"/>
      <c r="AK1171">
        <v>99.984320507999996</v>
      </c>
      <c r="AL1171">
        <v>103.3</v>
      </c>
      <c r="AM1171">
        <v>102.449146257</v>
      </c>
      <c r="AN1171">
        <v>100.7</v>
      </c>
      <c r="AO1171">
        <v>104.126031508</v>
      </c>
      <c r="AP1171">
        <v>105.90882573499999</v>
      </c>
      <c r="AQ1171">
        <v>99.308275690000002</v>
      </c>
      <c r="AR1171">
        <v>103.991334055</v>
      </c>
      <c r="AS1171">
        <v>97.850155041999997</v>
      </c>
      <c r="AT1171"/>
    </row>
    <row r="1172" spans="1:46" x14ac:dyDescent="0.2">
      <c r="A1172" s="87">
        <v>42552</v>
      </c>
      <c r="B1172"/>
      <c r="C1172"/>
      <c r="D1172">
        <v>100.69160903300001</v>
      </c>
      <c r="E1172">
        <v>107.791017415</v>
      </c>
      <c r="F1172">
        <v>94.137076796000002</v>
      </c>
      <c r="G1172">
        <v>100.25736444899999</v>
      </c>
      <c r="H1172">
        <v>98.681962928000004</v>
      </c>
      <c r="I1172"/>
      <c r="J1172">
        <v>97.516317329000003</v>
      </c>
      <c r="K1172">
        <v>101.683052825</v>
      </c>
      <c r="L1172">
        <v>99.991667360999998</v>
      </c>
      <c r="M1172">
        <v>107.7</v>
      </c>
      <c r="N1172">
        <v>101.1</v>
      </c>
      <c r="O1172">
        <v>101.068084223</v>
      </c>
      <c r="P1172">
        <v>104.508709059</v>
      </c>
      <c r="Q1172"/>
      <c r="R1172">
        <v>106.608884074</v>
      </c>
      <c r="S1172">
        <v>99</v>
      </c>
      <c r="T1172">
        <v>99.127617818999994</v>
      </c>
      <c r="U1172">
        <v>99.372647427999993</v>
      </c>
      <c r="V1172">
        <v>103.179623772</v>
      </c>
      <c r="W1172">
        <v>101.708475706</v>
      </c>
      <c r="X1172">
        <v>105.146695944</v>
      </c>
      <c r="Y1172">
        <v>103.908659055</v>
      </c>
      <c r="Z1172">
        <v>93.901338335999995</v>
      </c>
      <c r="AA1172">
        <v>99.953161593000004</v>
      </c>
      <c r="AB1172">
        <v>101.191567369</v>
      </c>
      <c r="AC1172">
        <v>99.691692359000001</v>
      </c>
      <c r="AD1172">
        <v>102.391467378</v>
      </c>
      <c r="AE1172">
        <v>99.991667360999998</v>
      </c>
      <c r="AF1172">
        <v>104.2</v>
      </c>
      <c r="AG1172">
        <v>109.813602027</v>
      </c>
      <c r="AH1172">
        <v>100.49162569800001</v>
      </c>
      <c r="AI1172">
        <v>99.612102405000002</v>
      </c>
      <c r="AJ1172"/>
      <c r="AK1172">
        <v>99.697201433999993</v>
      </c>
      <c r="AL1172">
        <v>102.3</v>
      </c>
      <c r="AM1172">
        <v>101.80915159</v>
      </c>
      <c r="AN1172">
        <v>102</v>
      </c>
      <c r="AO1172">
        <v>100.425106277</v>
      </c>
      <c r="AP1172">
        <v>107.408950746</v>
      </c>
      <c r="AQ1172">
        <v>101.708475706</v>
      </c>
      <c r="AR1172">
        <v>97.691859011999995</v>
      </c>
      <c r="AS1172">
        <v>98.027676771000003</v>
      </c>
      <c r="AT1172"/>
    </row>
    <row r="1173" spans="1:46" x14ac:dyDescent="0.2">
      <c r="A1173" s="87">
        <v>42583</v>
      </c>
      <c r="B1173"/>
      <c r="C1173"/>
      <c r="D1173">
        <v>103.19140071699999</v>
      </c>
      <c r="E1173">
        <v>105.59120073299999</v>
      </c>
      <c r="F1173">
        <v>91.935039911999993</v>
      </c>
      <c r="G1173">
        <v>100.66427851</v>
      </c>
      <c r="H1173">
        <v>101.511565797</v>
      </c>
      <c r="I1173"/>
      <c r="J1173">
        <v>97.527729113999996</v>
      </c>
      <c r="K1173">
        <v>103.982669555</v>
      </c>
      <c r="L1173">
        <v>101.69152570599999</v>
      </c>
      <c r="M1173">
        <v>106.8</v>
      </c>
      <c r="N1173">
        <v>101.1</v>
      </c>
      <c r="O1173">
        <v>102.331085276</v>
      </c>
      <c r="P1173">
        <v>103.50862571899999</v>
      </c>
      <c r="Q1173"/>
      <c r="R1173">
        <v>103.708642387</v>
      </c>
      <c r="S1173">
        <v>100.94</v>
      </c>
      <c r="T1173">
        <v>99.614760050000001</v>
      </c>
      <c r="U1173">
        <v>98.727370496999995</v>
      </c>
      <c r="V1173">
        <v>103.27950724199999</v>
      </c>
      <c r="W1173">
        <v>101.208434036</v>
      </c>
      <c r="X1173">
        <v>104.756290714</v>
      </c>
      <c r="Y1173">
        <v>86.607217267999999</v>
      </c>
      <c r="Z1173">
        <v>97.527279890000003</v>
      </c>
      <c r="AA1173">
        <v>99.859484777999995</v>
      </c>
      <c r="AB1173">
        <v>102.09149237600001</v>
      </c>
      <c r="AC1173">
        <v>100.591617365</v>
      </c>
      <c r="AD1173">
        <v>101.391550704</v>
      </c>
      <c r="AE1173">
        <v>97.391884009999998</v>
      </c>
      <c r="AF1173">
        <v>101.4</v>
      </c>
      <c r="AG1173">
        <v>109.41944788399999</v>
      </c>
      <c r="AH1173">
        <v>99.391717357000005</v>
      </c>
      <c r="AI1173">
        <v>95.190069821999998</v>
      </c>
      <c r="AJ1173"/>
      <c r="AK1173">
        <v>100.28883469199999</v>
      </c>
      <c r="AL1173">
        <v>103.8</v>
      </c>
      <c r="AM1173">
        <v>103.219139841</v>
      </c>
      <c r="AN1173">
        <v>101.6</v>
      </c>
      <c r="AO1173">
        <v>108.42710677700001</v>
      </c>
      <c r="AP1173">
        <v>107.00891741</v>
      </c>
      <c r="AQ1173">
        <v>98.608217350999993</v>
      </c>
      <c r="AR1173">
        <v>104.991250729</v>
      </c>
      <c r="AS1173">
        <v>97.854912744000003</v>
      </c>
      <c r="AT1173"/>
    </row>
    <row r="1174" spans="1:46" x14ac:dyDescent="0.2">
      <c r="A1174" s="87">
        <v>42614</v>
      </c>
      <c r="B1174"/>
      <c r="C1174"/>
      <c r="D1174">
        <v>102.791434047</v>
      </c>
      <c r="E1174">
        <v>103.29139238400001</v>
      </c>
      <c r="F1174">
        <v>93.036058354000005</v>
      </c>
      <c r="G1174">
        <v>101.849706653</v>
      </c>
      <c r="H1174">
        <v>100.309361397</v>
      </c>
      <c r="I1174"/>
      <c r="J1174">
        <v>97.977054195999997</v>
      </c>
      <c r="K1174">
        <v>102.982836194</v>
      </c>
      <c r="L1174">
        <v>101.49154237099999</v>
      </c>
      <c r="M1174">
        <v>93.8</v>
      </c>
      <c r="N1174">
        <v>101.4</v>
      </c>
      <c r="O1174">
        <v>101.74408478700001</v>
      </c>
      <c r="P1174">
        <v>107.208934078</v>
      </c>
      <c r="Q1174"/>
      <c r="R1174">
        <v>105.608800733</v>
      </c>
      <c r="S1174">
        <v>100.03</v>
      </c>
      <c r="T1174">
        <v>99.602945211999995</v>
      </c>
      <c r="U1174">
        <v>98.619824340999998</v>
      </c>
      <c r="V1174">
        <v>101.68137173300001</v>
      </c>
      <c r="W1174">
        <v>99.308275690000002</v>
      </c>
      <c r="X1174">
        <v>105.659001726</v>
      </c>
      <c r="Y1174">
        <v>96.708059004999996</v>
      </c>
      <c r="Z1174">
        <v>92.278772641000003</v>
      </c>
      <c r="AA1174">
        <v>98.829039812999994</v>
      </c>
      <c r="AB1174">
        <v>101.991500708</v>
      </c>
      <c r="AC1174">
        <v>100.991584035</v>
      </c>
      <c r="AD1174">
        <v>101.79151737399999</v>
      </c>
      <c r="AE1174">
        <v>97.591867343999994</v>
      </c>
      <c r="AF1174">
        <v>103.5</v>
      </c>
      <c r="AG1174">
        <v>109.416771755</v>
      </c>
      <c r="AH1174">
        <v>99.291725690000007</v>
      </c>
      <c r="AI1174">
        <v>90.768037238000005</v>
      </c>
      <c r="AJ1174"/>
      <c r="AK1174">
        <v>100.142723338</v>
      </c>
      <c r="AL1174">
        <v>104.1</v>
      </c>
      <c r="AM1174">
        <v>103.35913867399999</v>
      </c>
      <c r="AN1174">
        <v>102.2</v>
      </c>
      <c r="AO1174">
        <v>105.526381595</v>
      </c>
      <c r="AP1174">
        <v>107.80898408199999</v>
      </c>
      <c r="AQ1174">
        <v>105.708809067</v>
      </c>
      <c r="AR1174">
        <v>101.991500708</v>
      </c>
      <c r="AS1174">
        <v>97.737060518999996</v>
      </c>
      <c r="AT1174"/>
    </row>
    <row r="1175" spans="1:46" x14ac:dyDescent="0.2">
      <c r="A1175" s="87">
        <v>42644</v>
      </c>
      <c r="B1175"/>
      <c r="C1175"/>
      <c r="D1175">
        <v>103.29139238400001</v>
      </c>
      <c r="E1175">
        <v>103.591367386</v>
      </c>
      <c r="F1175">
        <v>91.714836223999995</v>
      </c>
      <c r="G1175">
        <v>101.307422102</v>
      </c>
      <c r="H1175">
        <v>99.197160898000007</v>
      </c>
      <c r="I1175"/>
      <c r="J1175">
        <v>96.377578873000004</v>
      </c>
      <c r="K1175">
        <v>103.782702883</v>
      </c>
      <c r="L1175">
        <v>102.09149237600001</v>
      </c>
      <c r="M1175">
        <v>108.6</v>
      </c>
      <c r="N1175">
        <v>102.5</v>
      </c>
      <c r="O1175">
        <v>101.993084994</v>
      </c>
      <c r="P1175">
        <v>107.208934078</v>
      </c>
      <c r="Q1175"/>
      <c r="R1175">
        <v>106.408867406</v>
      </c>
      <c r="S1175">
        <v>99.56</v>
      </c>
      <c r="T1175">
        <v>99.645495394999998</v>
      </c>
      <c r="U1175">
        <v>97.436816633999996</v>
      </c>
      <c r="V1175">
        <v>105.476943566</v>
      </c>
      <c r="W1175">
        <v>99.808317360000004</v>
      </c>
      <c r="X1175">
        <v>108.501311073</v>
      </c>
      <c r="Y1175">
        <v>110.709225769</v>
      </c>
      <c r="Z1175">
        <v>88.628063901999994</v>
      </c>
      <c r="AA1175">
        <v>97.142857143000001</v>
      </c>
      <c r="AB1175">
        <v>102.391467378</v>
      </c>
      <c r="AC1175">
        <v>101.091575702</v>
      </c>
      <c r="AD1175">
        <v>100.49162569800001</v>
      </c>
      <c r="AE1175">
        <v>97.991834014000005</v>
      </c>
      <c r="AF1175">
        <v>108.3</v>
      </c>
      <c r="AG1175">
        <v>109.70323496499999</v>
      </c>
      <c r="AH1175">
        <v>100.39163403000001</v>
      </c>
      <c r="AI1175">
        <v>101.24127230400001</v>
      </c>
      <c r="AJ1175"/>
      <c r="AK1175">
        <v>100.538203494</v>
      </c>
      <c r="AL1175">
        <v>102.6</v>
      </c>
      <c r="AM1175">
        <v>101.279156007</v>
      </c>
      <c r="AN1175">
        <v>104.1</v>
      </c>
      <c r="AO1175">
        <v>106.126531633</v>
      </c>
      <c r="AP1175">
        <v>108.00900075</v>
      </c>
      <c r="AQ1175">
        <v>101.80848404</v>
      </c>
      <c r="AR1175">
        <v>106.49112574</v>
      </c>
      <c r="AS1175">
        <v>97.800793892000002</v>
      </c>
      <c r="AT1175"/>
    </row>
    <row r="1176" spans="1:46" x14ac:dyDescent="0.2">
      <c r="A1176" s="87">
        <v>42675</v>
      </c>
      <c r="B1176"/>
      <c r="C1176"/>
      <c r="D1176">
        <v>104.59128406000001</v>
      </c>
      <c r="E1176">
        <v>103.791350721</v>
      </c>
      <c r="F1176">
        <v>92.485549133000006</v>
      </c>
      <c r="G1176">
        <v>102.579530163</v>
      </c>
      <c r="H1176">
        <v>99.573286397999993</v>
      </c>
      <c r="I1176"/>
      <c r="J1176">
        <v>98.967797325999996</v>
      </c>
      <c r="K1176">
        <v>104.68255290800001</v>
      </c>
      <c r="L1176">
        <v>101.79151737399999</v>
      </c>
      <c r="M1176">
        <v>108.7</v>
      </c>
      <c r="N1176">
        <v>102.8</v>
      </c>
      <c r="O1176">
        <v>103.20808600700001</v>
      </c>
      <c r="P1176">
        <v>108.209017418</v>
      </c>
      <c r="Q1176"/>
      <c r="R1176">
        <v>105.708809067</v>
      </c>
      <c r="S1176">
        <v>102.25</v>
      </c>
      <c r="T1176">
        <v>99.914050592999999</v>
      </c>
      <c r="U1176">
        <v>98.297185876</v>
      </c>
      <c r="V1176">
        <v>104.87764275000001</v>
      </c>
      <c r="W1176">
        <v>102.30852571</v>
      </c>
      <c r="X1176">
        <v>106.207802349</v>
      </c>
      <c r="Y1176">
        <v>102.508542379</v>
      </c>
      <c r="Z1176">
        <v>88.013203204999996</v>
      </c>
      <c r="AA1176">
        <v>100.515222482</v>
      </c>
      <c r="AB1176">
        <v>103.391384051</v>
      </c>
      <c r="AC1176">
        <v>102.09149237600001</v>
      </c>
      <c r="AD1176">
        <v>104.791267394</v>
      </c>
      <c r="AE1176">
        <v>98.491792351000001</v>
      </c>
      <c r="AF1176">
        <v>111</v>
      </c>
      <c r="AG1176">
        <v>109.78157659199999</v>
      </c>
      <c r="AH1176">
        <v>103.09140904900001</v>
      </c>
      <c r="AI1176">
        <v>100.54305663300001</v>
      </c>
      <c r="AJ1176"/>
      <c r="AK1176">
        <v>101.068196169</v>
      </c>
      <c r="AL1176">
        <v>104.9</v>
      </c>
      <c r="AM1176">
        <v>103.169140257</v>
      </c>
      <c r="AN1176">
        <v>104.7</v>
      </c>
      <c r="AO1176">
        <v>106.326581645</v>
      </c>
      <c r="AP1176">
        <v>108.40903408600001</v>
      </c>
      <c r="AQ1176">
        <v>102.10850904199999</v>
      </c>
      <c r="AR1176">
        <v>105.691192401</v>
      </c>
      <c r="AS1176">
        <v>97.363184494999999</v>
      </c>
      <c r="AT1176"/>
    </row>
    <row r="1177" spans="1:46" x14ac:dyDescent="0.2">
      <c r="A1177" s="87">
        <v>42705</v>
      </c>
      <c r="B1177"/>
      <c r="C1177"/>
      <c r="D1177">
        <v>103.691359053</v>
      </c>
      <c r="E1177">
        <v>110.09082576500001</v>
      </c>
      <c r="F1177">
        <v>94.137076796000002</v>
      </c>
      <c r="G1177">
        <v>102.808803897</v>
      </c>
      <c r="H1177">
        <v>101.96688239700001</v>
      </c>
      <c r="I1177"/>
      <c r="J1177">
        <v>97.822871180999996</v>
      </c>
      <c r="K1177">
        <v>103.682719547</v>
      </c>
      <c r="L1177">
        <v>99.991667360999998</v>
      </c>
      <c r="M1177">
        <v>109.6</v>
      </c>
      <c r="N1177">
        <v>102.5</v>
      </c>
      <c r="O1177">
        <v>103.005085838</v>
      </c>
      <c r="P1177">
        <v>106.108842404</v>
      </c>
      <c r="Q1177"/>
      <c r="R1177">
        <v>104.408700725</v>
      </c>
      <c r="S1177">
        <v>100.87</v>
      </c>
      <c r="T1177">
        <v>99.983053151999997</v>
      </c>
      <c r="U1177">
        <v>100.44810898</v>
      </c>
      <c r="V1177">
        <v>106.975195605</v>
      </c>
      <c r="W1177">
        <v>102.70855904699999</v>
      </c>
      <c r="X1177">
        <v>105.005930318</v>
      </c>
      <c r="Y1177">
        <v>102.30852571</v>
      </c>
      <c r="Z1177">
        <v>88.600286482000001</v>
      </c>
      <c r="AA1177">
        <v>101.264637002</v>
      </c>
      <c r="AB1177">
        <v>104.891259062</v>
      </c>
      <c r="AC1177">
        <v>101.49154237099999</v>
      </c>
      <c r="AD1177">
        <v>104.091325723</v>
      </c>
      <c r="AE1177">
        <v>102.791434047</v>
      </c>
      <c r="AF1177">
        <v>110</v>
      </c>
      <c r="AG1177">
        <v>109.63820547100001</v>
      </c>
      <c r="AH1177">
        <v>103.991334055</v>
      </c>
      <c r="AI1177">
        <v>97.866563227</v>
      </c>
      <c r="AJ1177"/>
      <c r="AK1177">
        <v>101.14938817300001</v>
      </c>
      <c r="AL1177">
        <v>106.8</v>
      </c>
      <c r="AM1177">
        <v>104.669127757</v>
      </c>
      <c r="AN1177">
        <v>103.9</v>
      </c>
      <c r="AO1177">
        <v>106.126531633</v>
      </c>
      <c r="AP1177">
        <v>110.509209101</v>
      </c>
      <c r="AQ1177">
        <v>102.008500708</v>
      </c>
      <c r="AR1177">
        <v>104.991250729</v>
      </c>
      <c r="AS1177">
        <v>98.024306731999999</v>
      </c>
      <c r="AT1177"/>
    </row>
    <row r="1178" spans="1:46" x14ac:dyDescent="0.2">
      <c r="A1178" s="87">
        <v>42736</v>
      </c>
      <c r="B1178"/>
      <c r="C1178"/>
      <c r="D1178">
        <v>102.391467378</v>
      </c>
      <c r="E1178">
        <v>102.99141738199999</v>
      </c>
      <c r="F1178">
        <v>95.127993394000001</v>
      </c>
      <c r="G1178">
        <v>103.53407938700001</v>
      </c>
      <c r="H1178">
        <v>105.583076597</v>
      </c>
      <c r="I1178"/>
      <c r="J1178">
        <v>97.917476394000005</v>
      </c>
      <c r="K1178">
        <v>107.18213631099999</v>
      </c>
      <c r="L1178">
        <v>101.591534039</v>
      </c>
      <c r="M1178">
        <v>103</v>
      </c>
      <c r="N1178">
        <v>102.2</v>
      </c>
      <c r="O1178">
        <v>104.094086745</v>
      </c>
      <c r="P1178">
        <v>103.708642387</v>
      </c>
      <c r="Q1178"/>
      <c r="R1178">
        <v>107.50895908</v>
      </c>
      <c r="S1178">
        <v>101.34</v>
      </c>
      <c r="T1178">
        <v>99.812976644000003</v>
      </c>
      <c r="U1178">
        <v>99.587739737999996</v>
      </c>
      <c r="V1178">
        <v>107.075079074</v>
      </c>
      <c r="W1178">
        <v>101.90849237400001</v>
      </c>
      <c r="X1178">
        <v>105.93489904099999</v>
      </c>
      <c r="Y1178">
        <v>99.008250688000004</v>
      </c>
      <c r="Z1178">
        <v>86.844985057000002</v>
      </c>
      <c r="AA1178">
        <v>100.421545667</v>
      </c>
      <c r="AB1178">
        <v>101.89150904100001</v>
      </c>
      <c r="AC1178">
        <v>100.69160903300001</v>
      </c>
      <c r="AD1178">
        <v>106.09115907</v>
      </c>
      <c r="AE1178">
        <v>97.491875676999996</v>
      </c>
      <c r="AF1178">
        <v>109.5</v>
      </c>
      <c r="AG1178">
        <v>109.740365635</v>
      </c>
      <c r="AH1178">
        <v>101.191567369</v>
      </c>
      <c r="AI1178">
        <v>100.659425912</v>
      </c>
      <c r="AJ1178"/>
      <c r="AK1178">
        <v>101.163479184</v>
      </c>
      <c r="AL1178">
        <v>106.4</v>
      </c>
      <c r="AM1178">
        <v>104.80912659099999</v>
      </c>
      <c r="AN1178">
        <v>105.6</v>
      </c>
      <c r="AO1178">
        <v>107.426856714</v>
      </c>
      <c r="AP1178">
        <v>108.00900075</v>
      </c>
      <c r="AQ1178">
        <v>103.50862571899999</v>
      </c>
      <c r="AR1178">
        <v>105.891175735</v>
      </c>
      <c r="AS1178">
        <v>97.874439143000004</v>
      </c>
      <c r="AT1178"/>
    </row>
    <row r="1179" spans="1:46" x14ac:dyDescent="0.2">
      <c r="A1179" s="87">
        <v>42767</v>
      </c>
      <c r="B1179"/>
      <c r="C1179"/>
      <c r="D1179">
        <v>104.991250729</v>
      </c>
      <c r="E1179">
        <v>106.791100742</v>
      </c>
      <c r="F1179">
        <v>96.229011835999998</v>
      </c>
      <c r="G1179">
        <v>103.129305571</v>
      </c>
      <c r="H1179">
        <v>100.470882597</v>
      </c>
      <c r="I1179"/>
      <c r="J1179">
        <v>93.675064022000001</v>
      </c>
      <c r="K1179">
        <v>107.68205299100001</v>
      </c>
      <c r="L1179">
        <v>102.891425715</v>
      </c>
      <c r="M1179">
        <v>106.9</v>
      </c>
      <c r="N1179">
        <v>102.9</v>
      </c>
      <c r="O1179">
        <v>103.55608629699999</v>
      </c>
      <c r="P1179">
        <v>105.508792399</v>
      </c>
      <c r="Q1179"/>
      <c r="R1179">
        <v>106.108842404</v>
      </c>
      <c r="S1179">
        <v>100.15</v>
      </c>
      <c r="T1179">
        <v>99.938528085000002</v>
      </c>
      <c r="U1179">
        <v>98.834916652000004</v>
      </c>
      <c r="V1179">
        <v>108.673214583</v>
      </c>
      <c r="W1179">
        <v>104.408700725</v>
      </c>
      <c r="X1179">
        <v>107.25313265699999</v>
      </c>
      <c r="Y1179">
        <v>101.008417368</v>
      </c>
      <c r="Z1179">
        <v>86.163810866999995</v>
      </c>
      <c r="AA1179">
        <v>97.892271663000002</v>
      </c>
      <c r="AB1179">
        <v>102.99141738199999</v>
      </c>
      <c r="AC1179">
        <v>101.391550704</v>
      </c>
      <c r="AD1179">
        <v>104.691275727</v>
      </c>
      <c r="AE1179">
        <v>101.591534039</v>
      </c>
      <c r="AF1179">
        <v>111.1</v>
      </c>
      <c r="AG1179">
        <v>109.618610586</v>
      </c>
      <c r="AH1179">
        <v>103.891342388</v>
      </c>
      <c r="AI1179">
        <v>101.008533747</v>
      </c>
      <c r="AJ1179"/>
      <c r="AK1179">
        <v>101.236196581</v>
      </c>
      <c r="AL1179">
        <v>106.4</v>
      </c>
      <c r="AM1179">
        <v>103.11914067399999</v>
      </c>
      <c r="AN1179">
        <v>104.4</v>
      </c>
      <c r="AO1179">
        <v>106.72668167</v>
      </c>
      <c r="AP1179">
        <v>111.60930077499999</v>
      </c>
      <c r="AQ1179">
        <v>104.408700725</v>
      </c>
      <c r="AR1179">
        <v>107.491042413</v>
      </c>
      <c r="AS1179">
        <v>97.500761355999998</v>
      </c>
      <c r="AT1179"/>
    </row>
    <row r="1180" spans="1:46" x14ac:dyDescent="0.2">
      <c r="A1180" s="87">
        <v>42795</v>
      </c>
      <c r="B1180"/>
      <c r="C1180"/>
      <c r="D1180">
        <v>106.09115907</v>
      </c>
      <c r="E1180">
        <v>105.891175735</v>
      </c>
      <c r="F1180">
        <v>94.247178640000001</v>
      </c>
      <c r="G1180">
        <v>103.363127326</v>
      </c>
      <c r="H1180">
        <v>104.463548097</v>
      </c>
      <c r="I1180"/>
      <c r="J1180">
        <v>90.562136592000002</v>
      </c>
      <c r="K1180">
        <v>107.982002999</v>
      </c>
      <c r="L1180">
        <v>102.391467378</v>
      </c>
      <c r="M1180">
        <v>108.1</v>
      </c>
      <c r="N1180">
        <v>102.7</v>
      </c>
      <c r="O1180">
        <v>103.067085889</v>
      </c>
      <c r="P1180">
        <v>108.40903408600001</v>
      </c>
      <c r="Q1180"/>
      <c r="R1180">
        <v>105.208767397</v>
      </c>
      <c r="S1180">
        <v>101.39</v>
      </c>
      <c r="T1180">
        <v>100.30013840700001</v>
      </c>
      <c r="U1180">
        <v>98.297185876</v>
      </c>
      <c r="V1180">
        <v>107.57449642100001</v>
      </c>
      <c r="W1180">
        <v>105.10875906299999</v>
      </c>
      <c r="X1180">
        <v>107.614655313</v>
      </c>
      <c r="Y1180">
        <v>95.807983999000001</v>
      </c>
      <c r="Z1180">
        <v>87.560653884999994</v>
      </c>
      <c r="AA1180">
        <v>102.014051522</v>
      </c>
      <c r="AB1180">
        <v>103.891342388</v>
      </c>
      <c r="AC1180">
        <v>101.49154237099999</v>
      </c>
      <c r="AD1180">
        <v>106.391134072</v>
      </c>
      <c r="AE1180">
        <v>104.291309058</v>
      </c>
      <c r="AF1180">
        <v>113.8</v>
      </c>
      <c r="AG1180">
        <v>109.736496632</v>
      </c>
      <c r="AH1180">
        <v>102.891425715</v>
      </c>
      <c r="AI1180">
        <v>101.474010861</v>
      </c>
      <c r="AJ1180"/>
      <c r="AK1180">
        <v>101.680531308</v>
      </c>
      <c r="AL1180">
        <v>109.1</v>
      </c>
      <c r="AM1180">
        <v>106.93910884100001</v>
      </c>
      <c r="AN1180">
        <v>104.2</v>
      </c>
      <c r="AO1180">
        <v>107.826956739</v>
      </c>
      <c r="AP1180">
        <v>113.109425785</v>
      </c>
      <c r="AQ1180">
        <v>105.008750729</v>
      </c>
      <c r="AR1180">
        <v>108.890925756</v>
      </c>
      <c r="AS1180">
        <v>98.233149994000001</v>
      </c>
      <c r="AT1180"/>
    </row>
    <row r="1181" spans="1:46" x14ac:dyDescent="0.2">
      <c r="A1181" s="87">
        <v>42826</v>
      </c>
      <c r="B1181"/>
      <c r="C1181"/>
      <c r="D1181">
        <v>106.291142405</v>
      </c>
      <c r="E1181">
        <v>107.791017415</v>
      </c>
      <c r="F1181">
        <v>94.577484173000002</v>
      </c>
      <c r="G1181">
        <v>104.323027162</v>
      </c>
      <c r="H1181">
        <v>101.064666797</v>
      </c>
      <c r="I1181"/>
      <c r="J1181">
        <v>96.597117671000007</v>
      </c>
      <c r="K1181">
        <v>110.481586402</v>
      </c>
      <c r="L1181">
        <v>103.591367386</v>
      </c>
      <c r="M1181">
        <v>106.5</v>
      </c>
      <c r="N1181">
        <v>103.5</v>
      </c>
      <c r="O1181">
        <v>103.143085953</v>
      </c>
      <c r="P1181">
        <v>110.00916743099999</v>
      </c>
      <c r="Q1181"/>
      <c r="R1181">
        <v>106.00883407000001</v>
      </c>
      <c r="S1181">
        <v>101.07</v>
      </c>
      <c r="T1181">
        <v>101.35731334499999</v>
      </c>
      <c r="U1181">
        <v>98.727370496999995</v>
      </c>
      <c r="V1181">
        <v>103.179623772</v>
      </c>
      <c r="W1181">
        <v>105.708809067</v>
      </c>
      <c r="X1181">
        <v>107.72937227200001</v>
      </c>
      <c r="Y1181">
        <v>104.408700725</v>
      </c>
      <c r="Z1181">
        <v>88.803067695999999</v>
      </c>
      <c r="AA1181">
        <v>102.857142857</v>
      </c>
      <c r="AB1181">
        <v>103.591367386</v>
      </c>
      <c r="AC1181">
        <v>103.791350721</v>
      </c>
      <c r="AD1181">
        <v>104.49129239200001</v>
      </c>
      <c r="AE1181">
        <v>102.791434047</v>
      </c>
      <c r="AF1181">
        <v>113.3</v>
      </c>
      <c r="AG1181">
        <v>109.497057723</v>
      </c>
      <c r="AH1181">
        <v>101.291559037</v>
      </c>
      <c r="AI1181">
        <v>101.93948797500001</v>
      </c>
      <c r="AJ1181"/>
      <c r="AK1181">
        <v>102.461710443</v>
      </c>
      <c r="AL1181">
        <v>107.8</v>
      </c>
      <c r="AM1181">
        <v>101.879151007</v>
      </c>
      <c r="AN1181">
        <v>105.6</v>
      </c>
      <c r="AO1181">
        <v>106.126531633</v>
      </c>
      <c r="AP1181">
        <v>113.30944245400001</v>
      </c>
      <c r="AQ1181">
        <v>105.008750729</v>
      </c>
      <c r="AR1181">
        <v>111.890675777</v>
      </c>
      <c r="AS1181">
        <v>99.154756375999995</v>
      </c>
      <c r="AT1181"/>
    </row>
    <row r="1182" spans="1:46" x14ac:dyDescent="0.2">
      <c r="A1182" s="87">
        <v>42856</v>
      </c>
      <c r="B1182"/>
      <c r="C1182"/>
      <c r="D1182">
        <v>107.19106741100001</v>
      </c>
      <c r="E1182">
        <v>106.49112574</v>
      </c>
      <c r="F1182">
        <v>94.907789704999999</v>
      </c>
      <c r="G1182">
        <v>105.473676325</v>
      </c>
      <c r="H1182">
        <v>103.602714697</v>
      </c>
      <c r="I1182"/>
      <c r="J1182">
        <v>96.970368711000006</v>
      </c>
      <c r="K1182">
        <v>112.581236461</v>
      </c>
      <c r="L1182">
        <v>104.091325723</v>
      </c>
      <c r="M1182">
        <v>108.1</v>
      </c>
      <c r="N1182">
        <v>103.9</v>
      </c>
      <c r="O1182">
        <v>105.236087697</v>
      </c>
      <c r="P1182">
        <v>108.309025752</v>
      </c>
      <c r="Q1182"/>
      <c r="R1182">
        <v>107.408950746</v>
      </c>
      <c r="S1182">
        <v>103.22</v>
      </c>
      <c r="T1182">
        <v>101.423040551</v>
      </c>
      <c r="U1182">
        <v>99.265101272999999</v>
      </c>
      <c r="V1182">
        <v>107.274846013</v>
      </c>
      <c r="W1182">
        <v>107.408950746</v>
      </c>
      <c r="X1182">
        <v>108.217466511</v>
      </c>
      <c r="Y1182">
        <v>95.107925660000006</v>
      </c>
      <c r="Z1182">
        <v>86.686641804000004</v>
      </c>
      <c r="AA1182">
        <v>102.107728337</v>
      </c>
      <c r="AB1182">
        <v>104.39130072499999</v>
      </c>
      <c r="AC1182">
        <v>102.191484043</v>
      </c>
      <c r="AD1182">
        <v>105.191234064</v>
      </c>
      <c r="AE1182">
        <v>102.69144238</v>
      </c>
      <c r="AF1182">
        <v>115.1</v>
      </c>
      <c r="AG1182">
        <v>109.388121197</v>
      </c>
      <c r="AH1182">
        <v>101.391550704</v>
      </c>
      <c r="AI1182">
        <v>101.008533747</v>
      </c>
      <c r="AJ1182"/>
      <c r="AK1182">
        <v>102.567572283</v>
      </c>
      <c r="AL1182">
        <v>108.8</v>
      </c>
      <c r="AM1182">
        <v>107.099107507</v>
      </c>
      <c r="AN1182">
        <v>106.6</v>
      </c>
      <c r="AO1182">
        <v>106.426606652</v>
      </c>
      <c r="AP1182">
        <v>114.10950912600001</v>
      </c>
      <c r="AQ1182">
        <v>106.00883407000001</v>
      </c>
      <c r="AR1182">
        <v>110.490792434</v>
      </c>
      <c r="AS1182">
        <v>99.264480860999996</v>
      </c>
      <c r="AT1182"/>
    </row>
    <row r="1183" spans="1:46" x14ac:dyDescent="0.2">
      <c r="A1183" s="87">
        <v>42887</v>
      </c>
      <c r="B1183"/>
      <c r="C1183"/>
      <c r="D1183">
        <v>107.391050746</v>
      </c>
      <c r="E1183">
        <v>107.59103408</v>
      </c>
      <c r="F1183">
        <v>95.788604458999998</v>
      </c>
      <c r="G1183">
        <v>105.566241917</v>
      </c>
      <c r="H1183">
        <v>102.896915897</v>
      </c>
      <c r="I1183"/>
      <c r="J1183">
        <v>97.309523679999998</v>
      </c>
      <c r="K1183">
        <v>108.581903016</v>
      </c>
      <c r="L1183">
        <v>104.19131738999999</v>
      </c>
      <c r="M1183">
        <v>108.3</v>
      </c>
      <c r="N1183">
        <v>103.5</v>
      </c>
      <c r="O1183">
        <v>105.04908754100001</v>
      </c>
      <c r="P1183">
        <v>108.40903408600001</v>
      </c>
      <c r="Q1183"/>
      <c r="R1183">
        <v>107.708975748</v>
      </c>
      <c r="S1183">
        <v>102.05</v>
      </c>
      <c r="T1183">
        <v>101.68184496000001</v>
      </c>
      <c r="U1183">
        <v>99.372647427999993</v>
      </c>
      <c r="V1183">
        <v>107.075079074</v>
      </c>
      <c r="W1183">
        <v>106.408867406</v>
      </c>
      <c r="X1183">
        <v>106.978422662</v>
      </c>
      <c r="Y1183">
        <v>84.707058922000002</v>
      </c>
      <c r="Z1183">
        <v>84.715606136000005</v>
      </c>
      <c r="AA1183">
        <v>101.264637002</v>
      </c>
      <c r="AB1183">
        <v>105.59120073299999</v>
      </c>
      <c r="AC1183">
        <v>102.99141738199999</v>
      </c>
      <c r="AD1183">
        <v>104.19131738999999</v>
      </c>
      <c r="AE1183">
        <v>104.091325723</v>
      </c>
      <c r="AF1183">
        <v>113.5</v>
      </c>
      <c r="AG1183">
        <v>109.42160856</v>
      </c>
      <c r="AH1183">
        <v>102.591450712</v>
      </c>
      <c r="AI1183">
        <v>101.474010861</v>
      </c>
      <c r="AJ1183"/>
      <c r="AK1183">
        <v>102.59931688099999</v>
      </c>
      <c r="AL1183">
        <v>110.4</v>
      </c>
      <c r="AM1183">
        <v>106.329113924</v>
      </c>
      <c r="AN1183">
        <v>106.8</v>
      </c>
      <c r="AO1183">
        <v>106.72668167</v>
      </c>
      <c r="AP1183">
        <v>113.509459122</v>
      </c>
      <c r="AQ1183">
        <v>106.80890074200001</v>
      </c>
      <c r="AR1183">
        <v>111.190734105</v>
      </c>
      <c r="AS1183">
        <v>99.420295577000005</v>
      </c>
      <c r="AT1183"/>
    </row>
    <row r="1184" spans="1:46" x14ac:dyDescent="0.2">
      <c r="A1184" s="87">
        <v>42917</v>
      </c>
      <c r="B1184"/>
      <c r="C1184"/>
      <c r="D1184">
        <v>108.49095908699999</v>
      </c>
      <c r="E1184">
        <v>111.690692442</v>
      </c>
      <c r="F1184">
        <v>96.229011835999998</v>
      </c>
      <c r="G1184">
        <v>106.10692128399999</v>
      </c>
      <c r="H1184">
        <v>108.76946179700001</v>
      </c>
      <c r="I1184"/>
      <c r="J1184">
        <v>99.360212020000006</v>
      </c>
      <c r="K1184">
        <v>107.782036327</v>
      </c>
      <c r="L1184">
        <v>104.691275727</v>
      </c>
      <c r="M1184">
        <v>104.6</v>
      </c>
      <c r="N1184">
        <v>105</v>
      </c>
      <c r="O1184">
        <v>104.322086935</v>
      </c>
      <c r="P1184">
        <v>105.308775731</v>
      </c>
      <c r="Q1184"/>
      <c r="R1184">
        <v>108.90907575599999</v>
      </c>
      <c r="S1184">
        <v>102.61</v>
      </c>
      <c r="T1184">
        <v>101.76154723000001</v>
      </c>
      <c r="U1184">
        <v>99.910378203999997</v>
      </c>
      <c r="V1184">
        <v>105.676710504</v>
      </c>
      <c r="W1184">
        <v>102.808567381</v>
      </c>
      <c r="X1184">
        <v>106.30324754900001</v>
      </c>
      <c r="Y1184">
        <v>102.70855904699999</v>
      </c>
      <c r="Z1184">
        <v>91.538577064999998</v>
      </c>
      <c r="AA1184">
        <v>101.17096018700001</v>
      </c>
      <c r="AB1184">
        <v>106.391134072</v>
      </c>
      <c r="AC1184">
        <v>102.491459045</v>
      </c>
      <c r="AD1184">
        <v>104.791267394</v>
      </c>
      <c r="AE1184">
        <v>102.191484043</v>
      </c>
      <c r="AF1184">
        <v>113.4</v>
      </c>
      <c r="AG1184">
        <v>108.43618519100001</v>
      </c>
      <c r="AH1184">
        <v>101.79151737399999</v>
      </c>
      <c r="AI1184">
        <v>101.24127230400001</v>
      </c>
      <c r="AJ1184"/>
      <c r="AK1184">
        <v>102.887489918</v>
      </c>
      <c r="AL1184">
        <v>109</v>
      </c>
      <c r="AM1184">
        <v>108.759093674</v>
      </c>
      <c r="AN1184">
        <v>106.7</v>
      </c>
      <c r="AO1184">
        <v>108.02700675200001</v>
      </c>
      <c r="AP1184">
        <v>114.809567464</v>
      </c>
      <c r="AQ1184">
        <v>107.00891741</v>
      </c>
      <c r="AR1184">
        <v>110.89075910299999</v>
      </c>
      <c r="AS1184">
        <v>99.326132740000006</v>
      </c>
      <c r="AT1184"/>
    </row>
    <row r="1185" spans="1:46" x14ac:dyDescent="0.2">
      <c r="A1185" s="87">
        <v>42948</v>
      </c>
      <c r="B1185"/>
      <c r="C1185"/>
      <c r="D1185">
        <v>109.590867428</v>
      </c>
      <c r="E1185">
        <v>109.89084243000001</v>
      </c>
      <c r="F1185">
        <v>95.788604458999998</v>
      </c>
      <c r="G1185">
        <v>104.886981693</v>
      </c>
      <c r="H1185">
        <v>109.218255497</v>
      </c>
      <c r="I1185"/>
      <c r="J1185">
        <v>101.12068084000001</v>
      </c>
      <c r="K1185">
        <v>110.881519747</v>
      </c>
      <c r="L1185">
        <v>106.99108407600001</v>
      </c>
      <c r="M1185">
        <v>108.3</v>
      </c>
      <c r="N1185">
        <v>105.6</v>
      </c>
      <c r="O1185">
        <v>104.821087351</v>
      </c>
      <c r="P1185">
        <v>104.508709059</v>
      </c>
      <c r="Q1185"/>
      <c r="R1185">
        <v>107.50895908</v>
      </c>
      <c r="S1185">
        <v>102.81</v>
      </c>
      <c r="T1185">
        <v>102.234333324</v>
      </c>
      <c r="U1185">
        <v>100.01792435900001</v>
      </c>
      <c r="V1185">
        <v>108.97286499099999</v>
      </c>
      <c r="W1185">
        <v>106.908909076</v>
      </c>
      <c r="X1185">
        <v>109.795726868</v>
      </c>
      <c r="Y1185">
        <v>90.807567297000006</v>
      </c>
      <c r="Z1185">
        <v>100.142881812</v>
      </c>
      <c r="AA1185">
        <v>101.17096018700001</v>
      </c>
      <c r="AB1185">
        <v>108.190984085</v>
      </c>
      <c r="AC1185">
        <v>103.791350721</v>
      </c>
      <c r="AD1185">
        <v>105.091242396</v>
      </c>
      <c r="AE1185">
        <v>104.39130072499999</v>
      </c>
      <c r="AF1185">
        <v>112.9</v>
      </c>
      <c r="AG1185">
        <v>108.79111857300001</v>
      </c>
      <c r="AH1185">
        <v>101.69152570599999</v>
      </c>
      <c r="AI1185">
        <v>101.706749418</v>
      </c>
      <c r="AJ1185"/>
      <c r="AK1185">
        <v>103.46971161800001</v>
      </c>
      <c r="AL1185">
        <v>113.2</v>
      </c>
      <c r="AM1185">
        <v>113.609053258</v>
      </c>
      <c r="AN1185">
        <v>106.8</v>
      </c>
      <c r="AO1185">
        <v>108.927231808</v>
      </c>
      <c r="AP1185">
        <v>116.009667472</v>
      </c>
      <c r="AQ1185">
        <v>105.90882573499999</v>
      </c>
      <c r="AR1185">
        <v>114.390467461</v>
      </c>
      <c r="AS1185">
        <v>98.826871464000007</v>
      </c>
      <c r="AT1185"/>
    </row>
    <row r="1186" spans="1:46" x14ac:dyDescent="0.2">
      <c r="A1186" s="87">
        <v>42979</v>
      </c>
      <c r="B1186"/>
      <c r="C1186"/>
      <c r="D1186">
        <v>109.390884093</v>
      </c>
      <c r="E1186">
        <v>108.190984085</v>
      </c>
      <c r="F1186">
        <v>96.229011835999998</v>
      </c>
      <c r="G1186">
        <v>105.332687693</v>
      </c>
      <c r="H1186">
        <v>107.564197397</v>
      </c>
      <c r="I1186"/>
      <c r="J1186">
        <v>100.139997079</v>
      </c>
      <c r="K1186">
        <v>111.48141976300001</v>
      </c>
      <c r="L1186">
        <v>105.99116740300001</v>
      </c>
      <c r="M1186">
        <v>102.5</v>
      </c>
      <c r="N1186">
        <v>105.2</v>
      </c>
      <c r="O1186">
        <v>105.429087858</v>
      </c>
      <c r="P1186">
        <v>107.708975748</v>
      </c>
      <c r="Q1186"/>
      <c r="R1186">
        <v>106.80890074200001</v>
      </c>
      <c r="S1186">
        <v>103.72</v>
      </c>
      <c r="T1186">
        <v>101.858080173</v>
      </c>
      <c r="U1186">
        <v>102.061301308</v>
      </c>
      <c r="V1186">
        <v>104.278341934</v>
      </c>
      <c r="W1186">
        <v>106.308859072</v>
      </c>
      <c r="X1186">
        <v>110.384353738</v>
      </c>
      <c r="Y1186">
        <v>98.408200683000004</v>
      </c>
      <c r="Z1186">
        <v>95.64025556</v>
      </c>
      <c r="AA1186">
        <v>101.264637002</v>
      </c>
      <c r="AB1186">
        <v>105.191234064</v>
      </c>
      <c r="AC1186">
        <v>102.591450712</v>
      </c>
      <c r="AD1186">
        <v>105.191234064</v>
      </c>
      <c r="AE1186">
        <v>104.291309058</v>
      </c>
      <c r="AF1186">
        <v>116.2</v>
      </c>
      <c r="AG1186">
        <v>108.298839109</v>
      </c>
      <c r="AH1186">
        <v>102.491459045</v>
      </c>
      <c r="AI1186">
        <v>102.055857254</v>
      </c>
      <c r="AJ1186"/>
      <c r="AK1186">
        <v>103.24719871800001</v>
      </c>
      <c r="AL1186">
        <v>111.6</v>
      </c>
      <c r="AM1186">
        <v>106.879109341</v>
      </c>
      <c r="AN1186">
        <v>107</v>
      </c>
      <c r="AO1186">
        <v>110.02750687699999</v>
      </c>
      <c r="AP1186">
        <v>119.809984165</v>
      </c>
      <c r="AQ1186">
        <v>107.50895908</v>
      </c>
      <c r="AR1186">
        <v>115.790350804</v>
      </c>
      <c r="AS1186">
        <v>98.869492536999999</v>
      </c>
      <c r="AT1186"/>
    </row>
    <row r="1187" spans="1:46" x14ac:dyDescent="0.2">
      <c r="A1187" s="87">
        <v>43009</v>
      </c>
      <c r="B1187"/>
      <c r="C1187"/>
      <c r="D1187">
        <v>109.090909091</v>
      </c>
      <c r="E1187">
        <v>107.291059078</v>
      </c>
      <c r="F1187">
        <v>96.779521056999997</v>
      </c>
      <c r="G1187">
        <v>104.646739203</v>
      </c>
      <c r="H1187">
        <v>106.551841897</v>
      </c>
      <c r="I1187"/>
      <c r="J1187">
        <v>100.273910684</v>
      </c>
      <c r="K1187">
        <v>109.581736377</v>
      </c>
      <c r="L1187">
        <v>104.291309058</v>
      </c>
      <c r="M1187">
        <v>105.3</v>
      </c>
      <c r="N1187">
        <v>105</v>
      </c>
      <c r="O1187">
        <v>105.655088046</v>
      </c>
      <c r="P1187">
        <v>109.109092424</v>
      </c>
      <c r="Q1187"/>
      <c r="R1187">
        <v>108.309025752</v>
      </c>
      <c r="S1187">
        <v>104.11</v>
      </c>
      <c r="T1187">
        <v>102.335750847</v>
      </c>
      <c r="U1187">
        <v>103.244309016</v>
      </c>
      <c r="V1187">
        <v>107.57449642100001</v>
      </c>
      <c r="W1187">
        <v>107.708975748</v>
      </c>
      <c r="X1187">
        <v>110.245712746</v>
      </c>
      <c r="Y1187">
        <v>100.408367364</v>
      </c>
      <c r="Z1187">
        <v>92.934800706999994</v>
      </c>
      <c r="AA1187">
        <v>103.79391100700001</v>
      </c>
      <c r="AB1187">
        <v>105.691192401</v>
      </c>
      <c r="AC1187">
        <v>103.19140071699999</v>
      </c>
      <c r="AD1187">
        <v>105.99116740300001</v>
      </c>
      <c r="AE1187">
        <v>101.591534039</v>
      </c>
      <c r="AF1187">
        <v>115.2</v>
      </c>
      <c r="AG1187">
        <v>108.80872064899999</v>
      </c>
      <c r="AH1187">
        <v>104.091325723</v>
      </c>
      <c r="AI1187">
        <v>99.030256011999995</v>
      </c>
      <c r="AJ1187"/>
      <c r="AK1187">
        <v>103.705553181</v>
      </c>
      <c r="AL1187">
        <v>112.8</v>
      </c>
      <c r="AM1187">
        <v>105.929117257</v>
      </c>
      <c r="AN1187">
        <v>105.8</v>
      </c>
      <c r="AO1187">
        <v>110.42760690199999</v>
      </c>
      <c r="AP1187">
        <v>118.509875823</v>
      </c>
      <c r="AQ1187">
        <v>107.80898408199999</v>
      </c>
      <c r="AR1187">
        <v>116.29030914099999</v>
      </c>
      <c r="AS1187">
        <v>100.09806976900001</v>
      </c>
      <c r="AT1187"/>
    </row>
    <row r="1188" spans="1:46" x14ac:dyDescent="0.2">
      <c r="A1188" s="87">
        <v>43040</v>
      </c>
      <c r="B1188"/>
      <c r="C1188"/>
      <c r="D1188">
        <v>111.490709108</v>
      </c>
      <c r="E1188">
        <v>108.190984085</v>
      </c>
      <c r="F1188">
        <v>97.330030277999995</v>
      </c>
      <c r="G1188">
        <v>105.794445529</v>
      </c>
      <c r="H1188">
        <v>108.788172997</v>
      </c>
      <c r="I1188"/>
      <c r="J1188">
        <v>100.910450772</v>
      </c>
      <c r="K1188">
        <v>113.181136477</v>
      </c>
      <c r="L1188">
        <v>108.29097575199999</v>
      </c>
      <c r="M1188">
        <v>106.7</v>
      </c>
      <c r="N1188">
        <v>107.4</v>
      </c>
      <c r="O1188">
        <v>107.504089587</v>
      </c>
      <c r="P1188">
        <v>107.108925744</v>
      </c>
      <c r="Q1188"/>
      <c r="R1188">
        <v>109.909159097</v>
      </c>
      <c r="S1188">
        <v>104.69</v>
      </c>
      <c r="T1188">
        <v>103.40869969400001</v>
      </c>
      <c r="U1188">
        <v>103.029216706</v>
      </c>
      <c r="V1188">
        <v>106.47577825899999</v>
      </c>
      <c r="W1188">
        <v>106.408867406</v>
      </c>
      <c r="X1188">
        <v>115.01311569799999</v>
      </c>
      <c r="Y1188">
        <v>106.108842404</v>
      </c>
      <c r="Z1188">
        <v>96.896902148999999</v>
      </c>
      <c r="AA1188">
        <v>104.449648712</v>
      </c>
      <c r="AB1188">
        <v>107.391050746</v>
      </c>
      <c r="AC1188">
        <v>103.991334055</v>
      </c>
      <c r="AD1188">
        <v>105.391217399</v>
      </c>
      <c r="AE1188">
        <v>107.391050746</v>
      </c>
      <c r="AF1188">
        <v>115.5</v>
      </c>
      <c r="AG1188">
        <v>108.19686280099999</v>
      </c>
      <c r="AH1188">
        <v>104.49129239200001</v>
      </c>
      <c r="AI1188">
        <v>98.681148176999997</v>
      </c>
      <c r="AJ1188"/>
      <c r="AK1188">
        <v>104.60626532000001</v>
      </c>
      <c r="AL1188">
        <v>112</v>
      </c>
      <c r="AM1188">
        <v>106.359113674</v>
      </c>
      <c r="AN1188">
        <v>105.5</v>
      </c>
      <c r="AO1188">
        <v>112.428107027</v>
      </c>
      <c r="AP1188">
        <v>119.809984165</v>
      </c>
      <c r="AQ1188">
        <v>109.109092424</v>
      </c>
      <c r="AR1188">
        <v>116.990250812</v>
      </c>
      <c r="AS1188">
        <v>100.380558282</v>
      </c>
      <c r="AT1188"/>
    </row>
    <row r="1189" spans="1:46" x14ac:dyDescent="0.2">
      <c r="A1189" s="87">
        <v>43070</v>
      </c>
      <c r="B1189"/>
      <c r="C1189"/>
      <c r="D1189">
        <v>111.490709108</v>
      </c>
      <c r="E1189">
        <v>107.491042413</v>
      </c>
      <c r="F1189">
        <v>100.52298376</v>
      </c>
      <c r="G1189">
        <v>106.223297101</v>
      </c>
      <c r="H1189">
        <v>115.163711597</v>
      </c>
      <c r="I1189"/>
      <c r="J1189">
        <v>99.363203576000004</v>
      </c>
      <c r="K1189">
        <v>113.581069822</v>
      </c>
      <c r="L1189">
        <v>107.791017415</v>
      </c>
      <c r="M1189">
        <v>106.9</v>
      </c>
      <c r="N1189">
        <v>108</v>
      </c>
      <c r="O1189">
        <v>109.79609149700001</v>
      </c>
      <c r="P1189">
        <v>109.20910075800001</v>
      </c>
      <c r="Q1189"/>
      <c r="R1189">
        <v>111.309275773</v>
      </c>
      <c r="S1189">
        <v>105.7</v>
      </c>
      <c r="T1189">
        <v>103.859221155</v>
      </c>
      <c r="U1189">
        <v>101.52357053199999</v>
      </c>
      <c r="V1189">
        <v>108.173797237</v>
      </c>
      <c r="W1189">
        <v>108.40903408600001</v>
      </c>
      <c r="X1189">
        <v>113.105909137</v>
      </c>
      <c r="Y1189">
        <v>106.608884074</v>
      </c>
      <c r="Z1189">
        <v>102.41819142200001</v>
      </c>
      <c r="AA1189">
        <v>104.54332552699999</v>
      </c>
      <c r="AB1189">
        <v>110.590784101</v>
      </c>
      <c r="AC1189">
        <v>105.491209066</v>
      </c>
      <c r="AD1189">
        <v>103.491375719</v>
      </c>
      <c r="AE1189">
        <v>108.29097575199999</v>
      </c>
      <c r="AF1189">
        <v>115</v>
      </c>
      <c r="AG1189">
        <v>109.72650742099999</v>
      </c>
      <c r="AH1189">
        <v>104.59128406000001</v>
      </c>
      <c r="AI1189">
        <v>98.797517455000005</v>
      </c>
      <c r="AJ1189"/>
      <c r="AK1189">
        <v>105.278801273</v>
      </c>
      <c r="AL1189">
        <v>115.3</v>
      </c>
      <c r="AM1189">
        <v>104.459129507</v>
      </c>
      <c r="AN1189">
        <v>104.7</v>
      </c>
      <c r="AO1189">
        <v>109.727431858</v>
      </c>
      <c r="AP1189">
        <v>123.210267522</v>
      </c>
      <c r="AQ1189">
        <v>110.109175765</v>
      </c>
      <c r="AR1189">
        <v>120.089992501</v>
      </c>
      <c r="AS1189">
        <v>100.476307019</v>
      </c>
      <c r="AT1189"/>
    </row>
    <row r="1190" spans="1:46" x14ac:dyDescent="0.2">
      <c r="A1190" s="87">
        <v>43101</v>
      </c>
      <c r="B1190"/>
      <c r="C1190"/>
      <c r="D1190">
        <v>109.89084243000001</v>
      </c>
      <c r="E1190">
        <v>108.29097575199999</v>
      </c>
      <c r="F1190">
        <v>97.880539498999994</v>
      </c>
      <c r="G1190">
        <v>105.725155101</v>
      </c>
      <c r="H1190">
        <v>110.716079697</v>
      </c>
      <c r="I1190"/>
      <c r="J1190">
        <v>100.475781786</v>
      </c>
      <c r="K1190">
        <v>113.681053158</v>
      </c>
      <c r="L1190">
        <v>107.09107574399999</v>
      </c>
      <c r="M1190">
        <v>107.5</v>
      </c>
      <c r="N1190">
        <v>105.9</v>
      </c>
      <c r="O1190">
        <v>104.07508672900001</v>
      </c>
      <c r="P1190">
        <v>111.209267439</v>
      </c>
      <c r="Q1190"/>
      <c r="R1190">
        <v>111.409284107</v>
      </c>
      <c r="S1190">
        <v>102</v>
      </c>
      <c r="T1190">
        <v>102.32786743200001</v>
      </c>
      <c r="U1190">
        <v>99.802832049000003</v>
      </c>
      <c r="V1190">
        <v>107.37472948200001</v>
      </c>
      <c r="W1190">
        <v>108.90907575599999</v>
      </c>
      <c r="X1190">
        <v>113.592982186</v>
      </c>
      <c r="Y1190">
        <v>100.908409034</v>
      </c>
      <c r="Z1190">
        <v>99.974499350000002</v>
      </c>
      <c r="AA1190">
        <v>105.948477752</v>
      </c>
      <c r="AB1190">
        <v>106.291142405</v>
      </c>
      <c r="AC1190">
        <v>101.291559037</v>
      </c>
      <c r="AD1190">
        <v>104.59128406000001</v>
      </c>
      <c r="AE1190">
        <v>104.59128406000001</v>
      </c>
      <c r="AF1190">
        <v>116.5</v>
      </c>
      <c r="AG1190">
        <v>109.216625881</v>
      </c>
      <c r="AH1190">
        <v>105.191234064</v>
      </c>
      <c r="AI1190">
        <v>101.93948797500001</v>
      </c>
      <c r="AJ1190"/>
      <c r="AK1190">
        <v>103.899243148</v>
      </c>
      <c r="AL1190">
        <v>113</v>
      </c>
      <c r="AM1190">
        <v>107.409104924</v>
      </c>
      <c r="AN1190">
        <v>108.3</v>
      </c>
      <c r="AO1190">
        <v>107.426856714</v>
      </c>
      <c r="AP1190">
        <v>123.110259188</v>
      </c>
      <c r="AQ1190">
        <v>109.109092424</v>
      </c>
      <c r="AR1190">
        <v>117.89017581900001</v>
      </c>
      <c r="AS1190">
        <v>100.462925985</v>
      </c>
      <c r="AT1190"/>
    </row>
    <row r="1191" spans="1:46" x14ac:dyDescent="0.2">
      <c r="A1191" s="87">
        <v>43132</v>
      </c>
      <c r="B1191"/>
      <c r="C1191"/>
      <c r="D1191">
        <v>111.890675777</v>
      </c>
      <c r="E1191">
        <v>106.191150737</v>
      </c>
      <c r="F1191">
        <v>97.550233965999993</v>
      </c>
      <c r="G1191">
        <v>107.125945386</v>
      </c>
      <c r="H1191">
        <v>111.67916179700001</v>
      </c>
      <c r="I1191"/>
      <c r="J1191">
        <v>103.187959929</v>
      </c>
      <c r="K1191">
        <v>110.881519747</v>
      </c>
      <c r="L1191">
        <v>105.491209066</v>
      </c>
      <c r="M1191">
        <v>107.2</v>
      </c>
      <c r="N1191">
        <v>105.2</v>
      </c>
      <c r="O1191">
        <v>106.170088475</v>
      </c>
      <c r="P1191">
        <v>107.00891741</v>
      </c>
      <c r="Q1191"/>
      <c r="R1191">
        <v>111.309275773</v>
      </c>
      <c r="S1191">
        <v>103.27</v>
      </c>
      <c r="T1191">
        <v>102.78302915499999</v>
      </c>
      <c r="U1191">
        <v>99.372647427999993</v>
      </c>
      <c r="V1191">
        <v>107.874146829</v>
      </c>
      <c r="W1191">
        <v>108.309025752</v>
      </c>
      <c r="X1191">
        <v>114.647975776</v>
      </c>
      <c r="Y1191">
        <v>95.407950662999994</v>
      </c>
      <c r="Z1191">
        <v>98.675195286999994</v>
      </c>
      <c r="AA1191">
        <v>103.887587822</v>
      </c>
      <c r="AB1191">
        <v>105.99116740300001</v>
      </c>
      <c r="AC1191">
        <v>103.791350721</v>
      </c>
      <c r="AD1191">
        <v>106.591117407</v>
      </c>
      <c r="AE1191">
        <v>101.49154237099999</v>
      </c>
      <c r="AF1191">
        <v>119.9</v>
      </c>
      <c r="AG1191">
        <v>110.33836526899999</v>
      </c>
      <c r="AH1191">
        <v>104.59128406000001</v>
      </c>
      <c r="AI1191">
        <v>102.172226532</v>
      </c>
      <c r="AJ1191"/>
      <c r="AK1191">
        <v>104.33759256499999</v>
      </c>
      <c r="AL1191">
        <v>114</v>
      </c>
      <c r="AM1191">
        <v>105.079124341</v>
      </c>
      <c r="AN1191">
        <v>107.3</v>
      </c>
      <c r="AO1191">
        <v>109.427356839</v>
      </c>
      <c r="AP1191">
        <v>119.609967497</v>
      </c>
      <c r="AQ1191">
        <v>108.709059088</v>
      </c>
      <c r="AR1191">
        <v>117.09024248</v>
      </c>
      <c r="AS1191">
        <v>100.753740474</v>
      </c>
      <c r="AT1191"/>
    </row>
    <row r="1192" spans="1:46" x14ac:dyDescent="0.2">
      <c r="A1192" s="87">
        <v>43160</v>
      </c>
      <c r="B1192"/>
      <c r="C1192"/>
      <c r="D1192">
        <v>110.490792434</v>
      </c>
      <c r="E1192">
        <v>109.990834097</v>
      </c>
      <c r="F1192">
        <v>98.651252408000005</v>
      </c>
      <c r="G1192">
        <v>108.369427672</v>
      </c>
      <c r="H1192">
        <v>110.937389297</v>
      </c>
      <c r="I1192"/>
      <c r="J1192">
        <v>101.57217686</v>
      </c>
      <c r="K1192">
        <v>112.48125312400001</v>
      </c>
      <c r="L1192">
        <v>106.691109074</v>
      </c>
      <c r="M1192">
        <v>106.3</v>
      </c>
      <c r="N1192">
        <v>105.4</v>
      </c>
      <c r="O1192">
        <v>108.118090098</v>
      </c>
      <c r="P1192">
        <v>111.309275773</v>
      </c>
      <c r="Q1192"/>
      <c r="R1192">
        <v>113.20943412</v>
      </c>
      <c r="S1192">
        <v>104.28</v>
      </c>
      <c r="T1192">
        <v>103.69526505100001</v>
      </c>
      <c r="U1192">
        <v>99.802832049000003</v>
      </c>
      <c r="V1192">
        <v>108.573331114</v>
      </c>
      <c r="W1192">
        <v>107.708975748</v>
      </c>
      <c r="X1192">
        <v>113.61856266700001</v>
      </c>
      <c r="Y1192">
        <v>79.906658887999995</v>
      </c>
      <c r="Z1192"/>
      <c r="AA1192">
        <v>104.074941452</v>
      </c>
      <c r="AB1192">
        <v>107.59103408</v>
      </c>
      <c r="AC1192">
        <v>104.891259062</v>
      </c>
      <c r="AD1192">
        <v>104.59128406000001</v>
      </c>
      <c r="AE1192">
        <v>101.69152570599999</v>
      </c>
      <c r="AF1192">
        <v>115.2</v>
      </c>
      <c r="AG1192"/>
      <c r="AH1192">
        <v>105.191234064</v>
      </c>
      <c r="AI1192">
        <v>101.93948797500001</v>
      </c>
      <c r="AJ1192"/>
      <c r="AK1192">
        <v>104.80138568300001</v>
      </c>
      <c r="AL1192">
        <v>113.4</v>
      </c>
      <c r="AM1192">
        <v>109.899084174</v>
      </c>
      <c r="AN1192">
        <v>107.9</v>
      </c>
      <c r="AO1192">
        <v>110.127531883</v>
      </c>
      <c r="AP1192">
        <v>120.810067506</v>
      </c>
      <c r="AQ1192">
        <v>109.909159097</v>
      </c>
      <c r="AR1192">
        <v>117.09024248</v>
      </c>
      <c r="AS1192">
        <v>101.39652573799999</v>
      </c>
      <c r="AT1192"/>
    </row>
    <row r="1193" spans="1:46" x14ac:dyDescent="0.2">
      <c r="A1193" s="87">
        <v>43191</v>
      </c>
      <c r="B1193"/>
      <c r="C1193"/>
      <c r="D1193">
        <v>111.890675777</v>
      </c>
      <c r="E1193">
        <v>110.09082576500001</v>
      </c>
      <c r="F1193">
        <v>99.201761629999993</v>
      </c>
      <c r="G1193">
        <v>108.619568794</v>
      </c>
      <c r="H1193">
        <v>110.858975997</v>
      </c>
      <c r="I1193"/>
      <c r="J1193">
        <v>100.641887039</v>
      </c>
      <c r="K1193">
        <v>110.581569738</v>
      </c>
      <c r="L1193">
        <v>106.09115907</v>
      </c>
      <c r="M1193">
        <v>107.6</v>
      </c>
      <c r="N1193">
        <v>105.1</v>
      </c>
      <c r="O1193">
        <v>104.76708730599999</v>
      </c>
      <c r="P1193">
        <v>113.80948412399999</v>
      </c>
      <c r="Q1193"/>
      <c r="R1193">
        <v>107.908992416</v>
      </c>
      <c r="S1193">
        <v>102.91</v>
      </c>
      <c r="T1193">
        <v>103.865465653</v>
      </c>
      <c r="U1193">
        <v>100.985839756</v>
      </c>
      <c r="V1193">
        <v>106.375894789</v>
      </c>
      <c r="W1193">
        <v>108.709059088</v>
      </c>
      <c r="X1193">
        <v>112.271514827</v>
      </c>
      <c r="Y1193">
        <v>92.907742311999996</v>
      </c>
      <c r="Z1193"/>
      <c r="AA1193">
        <v>104.168618267</v>
      </c>
      <c r="AB1193">
        <v>105.99116740300001</v>
      </c>
      <c r="AC1193">
        <v>104.291309058</v>
      </c>
      <c r="AD1193">
        <v>107.09107574399999</v>
      </c>
      <c r="AE1193">
        <v>99.891675694</v>
      </c>
      <c r="AF1193">
        <v>115.9</v>
      </c>
      <c r="AG1193"/>
      <c r="AH1193">
        <v>103.19140071699999</v>
      </c>
      <c r="AI1193">
        <v>100.659425912</v>
      </c>
      <c r="AJ1193"/>
      <c r="AK1193">
        <v>105.074453992</v>
      </c>
      <c r="AL1193">
        <v>115</v>
      </c>
      <c r="AM1193">
        <v>106.759110341</v>
      </c>
      <c r="AN1193">
        <v>108.5</v>
      </c>
      <c r="AO1193">
        <v>109.52738184499999</v>
      </c>
      <c r="AP1193">
        <v>120.710059172</v>
      </c>
      <c r="AQ1193">
        <v>106.208850738</v>
      </c>
      <c r="AR1193">
        <v>118.490125823</v>
      </c>
      <c r="AS1193">
        <v>102.498230936</v>
      </c>
      <c r="AT1193"/>
    </row>
    <row r="1194" spans="1:46" x14ac:dyDescent="0.2">
      <c r="A1194" s="87">
        <v>43221</v>
      </c>
      <c r="B1194"/>
      <c r="C1194"/>
      <c r="D1194">
        <v>115.19040080000001</v>
      </c>
      <c r="E1194">
        <v>110.390800767</v>
      </c>
      <c r="F1194">
        <v>88.301679053000001</v>
      </c>
      <c r="G1194">
        <v>108.37879124299999</v>
      </c>
      <c r="H1194">
        <v>112.51543249700001</v>
      </c>
      <c r="I1194"/>
      <c r="J1194">
        <v>101.195062032</v>
      </c>
      <c r="K1194">
        <v>113.681053158</v>
      </c>
      <c r="L1194">
        <v>107.99100075</v>
      </c>
      <c r="M1194">
        <v>105</v>
      </c>
      <c r="N1194">
        <v>106.5</v>
      </c>
      <c r="O1194">
        <v>106.922089102</v>
      </c>
      <c r="P1194">
        <v>113.909492458</v>
      </c>
      <c r="Q1194"/>
      <c r="R1194">
        <v>112.109342445</v>
      </c>
      <c r="S1194">
        <v>101.89</v>
      </c>
      <c r="T1194">
        <v>103.881254969</v>
      </c>
      <c r="U1194">
        <v>101.953755153</v>
      </c>
      <c r="V1194">
        <v>108.573331114</v>
      </c>
      <c r="W1194">
        <v>110.80923410299999</v>
      </c>
      <c r="X1194">
        <v>112.26559566500001</v>
      </c>
      <c r="Y1194">
        <v>100.108342362</v>
      </c>
      <c r="Z1194"/>
      <c r="AA1194">
        <v>104.26229508199999</v>
      </c>
      <c r="AB1194">
        <v>106.791100742</v>
      </c>
      <c r="AC1194">
        <v>104.59128406000001</v>
      </c>
      <c r="AD1194">
        <v>107.59103408</v>
      </c>
      <c r="AE1194">
        <v>101.391550704</v>
      </c>
      <c r="AF1194">
        <v>114.4</v>
      </c>
      <c r="AG1194"/>
      <c r="AH1194">
        <v>103.391384051</v>
      </c>
      <c r="AI1194">
        <v>99.146625291000007</v>
      </c>
      <c r="AJ1194"/>
      <c r="AK1194">
        <v>105.401612086</v>
      </c>
      <c r="AL1194">
        <v>116.9</v>
      </c>
      <c r="AM1194">
        <v>105.28912259099999</v>
      </c>
      <c r="AN1194">
        <v>110.6</v>
      </c>
      <c r="AO1194">
        <v>113.028257064</v>
      </c>
      <c r="AP1194">
        <v>121.510125844</v>
      </c>
      <c r="AQ1194">
        <v>110.509209101</v>
      </c>
      <c r="AR1194">
        <v>116.69027581</v>
      </c>
      <c r="AS1194">
        <v>101.63718612700001</v>
      </c>
      <c r="AT1194"/>
    </row>
    <row r="1195" spans="1:46" x14ac:dyDescent="0.2">
      <c r="A1195" s="87">
        <v>43252</v>
      </c>
      <c r="B1195"/>
      <c r="C1195"/>
      <c r="D1195">
        <v>113.59053412199999</v>
      </c>
      <c r="E1195">
        <v>106.09115907</v>
      </c>
      <c r="F1195">
        <v>99.532067162000004</v>
      </c>
      <c r="G1195">
        <v>109.233284019</v>
      </c>
      <c r="H1195">
        <v>112.18690509699999</v>
      </c>
      <c r="I1195"/>
      <c r="J1195">
        <v>102.359871267</v>
      </c>
      <c r="K1195">
        <v>116.080653224</v>
      </c>
      <c r="L1195">
        <v>107.891009083</v>
      </c>
      <c r="M1195">
        <v>106.6</v>
      </c>
      <c r="N1195">
        <v>106.3</v>
      </c>
      <c r="O1195">
        <v>105.77008814200001</v>
      </c>
      <c r="P1195">
        <v>111.709309109</v>
      </c>
      <c r="Q1195"/>
      <c r="R1195">
        <v>111.309275773</v>
      </c>
      <c r="S1195">
        <v>103.8</v>
      </c>
      <c r="T1195">
        <v>104.31913517300001</v>
      </c>
      <c r="U1195">
        <v>104.642409034</v>
      </c>
      <c r="V1195">
        <v>108.77309805199999</v>
      </c>
      <c r="W1195">
        <v>109.909159097</v>
      </c>
      <c r="X1195">
        <v>114.891955588</v>
      </c>
      <c r="Y1195">
        <v>96.008000667000005</v>
      </c>
      <c r="Z1195"/>
      <c r="AA1195">
        <v>103.044496487</v>
      </c>
      <c r="AB1195">
        <v>107.09107574399999</v>
      </c>
      <c r="AC1195">
        <v>103.591367386</v>
      </c>
      <c r="AD1195">
        <v>108.39096741900001</v>
      </c>
      <c r="AE1195">
        <v>101.79151737399999</v>
      </c>
      <c r="AF1195">
        <v>113.3</v>
      </c>
      <c r="AG1195"/>
      <c r="AH1195">
        <v>103.29139238400001</v>
      </c>
      <c r="AI1195">
        <v>104.150504267</v>
      </c>
      <c r="AJ1195"/>
      <c r="AK1195">
        <v>105.594704331</v>
      </c>
      <c r="AL1195">
        <v>117.9</v>
      </c>
      <c r="AM1195">
        <v>106.319114007</v>
      </c>
      <c r="AN1195">
        <v>110.2</v>
      </c>
      <c r="AO1195">
        <v>113.528382096</v>
      </c>
      <c r="AP1195">
        <v>122.010167514</v>
      </c>
      <c r="AQ1195">
        <v>110.509209101</v>
      </c>
      <c r="AR1195">
        <v>113.390550787</v>
      </c>
      <c r="AS1195">
        <v>102.394156221</v>
      </c>
      <c r="AT1195"/>
    </row>
    <row r="1196" spans="1:46" x14ac:dyDescent="0.2">
      <c r="A1196" s="87">
        <v>43282</v>
      </c>
      <c r="B1196"/>
      <c r="C1196"/>
      <c r="D1196">
        <v>113.29055912</v>
      </c>
      <c r="E1196">
        <v>109.190900758</v>
      </c>
      <c r="F1196">
        <v>99.311863474000006</v>
      </c>
      <c r="G1196">
        <v>110.20575779399999</v>
      </c>
      <c r="H1196">
        <v>110.668108297</v>
      </c>
      <c r="I1196"/>
      <c r="J1196">
        <v>101.235632896</v>
      </c>
      <c r="K1196">
        <v>115.580736544</v>
      </c>
      <c r="L1196">
        <v>105.59120073299999</v>
      </c>
      <c r="M1196">
        <v>108.2</v>
      </c>
      <c r="N1196">
        <v>105</v>
      </c>
      <c r="O1196">
        <v>105.172087643</v>
      </c>
      <c r="P1196">
        <v>111.209267439</v>
      </c>
      <c r="Q1196"/>
      <c r="R1196">
        <v>109.709142429</v>
      </c>
      <c r="S1196">
        <v>103.6</v>
      </c>
      <c r="T1196">
        <v>104.07831450400001</v>
      </c>
      <c r="U1196">
        <v>104.642409034</v>
      </c>
      <c r="V1196">
        <v>109.472282337</v>
      </c>
      <c r="W1196">
        <v>106.908909076</v>
      </c>
      <c r="X1196">
        <v>113.019102566</v>
      </c>
      <c r="Y1196">
        <v>91.107592299000004</v>
      </c>
      <c r="Z1196"/>
      <c r="AA1196">
        <v>104.355971897</v>
      </c>
      <c r="AB1196">
        <v>105.99116740300001</v>
      </c>
      <c r="AC1196">
        <v>103.791350721</v>
      </c>
      <c r="AD1196">
        <v>108.190984085</v>
      </c>
      <c r="AE1196">
        <v>101.991500708</v>
      </c>
      <c r="AF1196">
        <v>117</v>
      </c>
      <c r="AG1196"/>
      <c r="AH1196">
        <v>101.79151737399999</v>
      </c>
      <c r="AI1196">
        <v>101.93948797500001</v>
      </c>
      <c r="AJ1196"/>
      <c r="AK1196">
        <v>105.336084961</v>
      </c>
      <c r="AL1196">
        <v>117.7</v>
      </c>
      <c r="AM1196">
        <v>107.799101674</v>
      </c>
      <c r="AN1196">
        <v>109.9</v>
      </c>
      <c r="AO1196">
        <v>111.827956989</v>
      </c>
      <c r="AP1196">
        <v>120.310025835</v>
      </c>
      <c r="AQ1196">
        <v>106.208850738</v>
      </c>
      <c r="AR1196">
        <v>116.090325806</v>
      </c>
      <c r="AS1196">
        <v>102.634915729</v>
      </c>
      <c r="AT1196"/>
    </row>
    <row r="1197" spans="1:46" x14ac:dyDescent="0.2">
      <c r="A1197" s="87">
        <v>43313</v>
      </c>
      <c r="B1197"/>
      <c r="C1197"/>
      <c r="D1197">
        <v>112.790600783</v>
      </c>
      <c r="E1197">
        <v>111.890675777</v>
      </c>
      <c r="F1197">
        <v>97.990641342999993</v>
      </c>
      <c r="G1197">
        <v>110.41362908000001</v>
      </c>
      <c r="H1197">
        <v>111.164474497</v>
      </c>
      <c r="I1197"/>
      <c r="J1197">
        <v>100.63328762899999</v>
      </c>
      <c r="K1197">
        <v>113.181136477</v>
      </c>
      <c r="L1197">
        <v>105.891175735</v>
      </c>
      <c r="M1197">
        <v>106.5</v>
      </c>
      <c r="N1197">
        <v>106.2</v>
      </c>
      <c r="O1197">
        <v>105.538087948</v>
      </c>
      <c r="P1197">
        <v>111.809317443</v>
      </c>
      <c r="Q1197"/>
      <c r="R1197">
        <v>110.109175765</v>
      </c>
      <c r="S1197">
        <v>104.19</v>
      </c>
      <c r="T1197">
        <v>104.535145251</v>
      </c>
      <c r="U1197">
        <v>105.932962897</v>
      </c>
      <c r="V1197">
        <v>109.372398868</v>
      </c>
      <c r="W1197">
        <v>111.60930077499999</v>
      </c>
      <c r="X1197">
        <v>115.10719189300001</v>
      </c>
      <c r="Y1197">
        <v>98.908242353999995</v>
      </c>
      <c r="Z1197"/>
      <c r="AA1197">
        <v>107.915690867</v>
      </c>
      <c r="AB1197">
        <v>106.99108407600001</v>
      </c>
      <c r="AC1197">
        <v>103.591367386</v>
      </c>
      <c r="AD1197">
        <v>109.190900758</v>
      </c>
      <c r="AE1197">
        <v>102.09149237600001</v>
      </c>
      <c r="AF1197">
        <v>118.4</v>
      </c>
      <c r="AG1197"/>
      <c r="AH1197">
        <v>102.69144238</v>
      </c>
      <c r="AI1197">
        <v>104.150504267</v>
      </c>
      <c r="AJ1197"/>
      <c r="AK1197">
        <v>105.983787699</v>
      </c>
      <c r="AL1197">
        <v>119.2</v>
      </c>
      <c r="AM1197">
        <v>109.33908884100001</v>
      </c>
      <c r="AN1197">
        <v>109.6</v>
      </c>
      <c r="AO1197">
        <v>116.62915728900001</v>
      </c>
      <c r="AP1197">
        <v>122.310192516</v>
      </c>
      <c r="AQ1197">
        <v>108.50904242</v>
      </c>
      <c r="AR1197">
        <v>115.790350804</v>
      </c>
      <c r="AS1197">
        <v>103.24796535999999</v>
      </c>
      <c r="AT1197"/>
    </row>
    <row r="1198" spans="1:46" x14ac:dyDescent="0.2">
      <c r="A1198" s="87">
        <v>43344</v>
      </c>
      <c r="B1198"/>
      <c r="C1198"/>
      <c r="D1198">
        <v>113.99050079200001</v>
      </c>
      <c r="E1198">
        <v>106.891092409</v>
      </c>
      <c r="F1198">
        <v>95.238095238</v>
      </c>
      <c r="G1198">
        <v>110.185960529</v>
      </c>
      <c r="H1198">
        <v>110.441035297</v>
      </c>
      <c r="I1198"/>
      <c r="J1198">
        <v>99.821805014999995</v>
      </c>
      <c r="K1198">
        <v>114.380936511</v>
      </c>
      <c r="L1198">
        <v>105.59120073299999</v>
      </c>
      <c r="M1198">
        <v>107</v>
      </c>
      <c r="N1198">
        <v>105.5</v>
      </c>
      <c r="O1198">
        <v>104.94908745799999</v>
      </c>
      <c r="P1198">
        <v>112.209350779</v>
      </c>
      <c r="Q1198"/>
      <c r="R1198">
        <v>113.009417451</v>
      </c>
      <c r="S1198">
        <v>102.99</v>
      </c>
      <c r="T1198">
        <v>104.373213914</v>
      </c>
      <c r="U1198">
        <v>106.363147517</v>
      </c>
      <c r="V1198">
        <v>107.974030298</v>
      </c>
      <c r="W1198">
        <v>108.50904242</v>
      </c>
      <c r="X1198">
        <v>115.814364572</v>
      </c>
      <c r="Y1198">
        <v>97.408117343000001</v>
      </c>
      <c r="Z1198"/>
      <c r="AA1198">
        <v>104.168618267</v>
      </c>
      <c r="AB1198">
        <v>107.09107574399999</v>
      </c>
      <c r="AC1198">
        <v>103.29139238400001</v>
      </c>
      <c r="AD1198">
        <v>106.191150737</v>
      </c>
      <c r="AE1198">
        <v>100.591617365</v>
      </c>
      <c r="AF1198">
        <v>113.6</v>
      </c>
      <c r="AG1198"/>
      <c r="AH1198">
        <v>102.791434047</v>
      </c>
      <c r="AI1198">
        <v>102.055857254</v>
      </c>
      <c r="AJ1198"/>
      <c r="AK1198">
        <v>105.348452216</v>
      </c>
      <c r="AL1198">
        <v>117.5</v>
      </c>
      <c r="AM1198">
        <v>106.669111091</v>
      </c>
      <c r="AN1198">
        <v>110</v>
      </c>
      <c r="AO1198">
        <v>115.128782196</v>
      </c>
      <c r="AP1198">
        <v>121.610134178</v>
      </c>
      <c r="AQ1198">
        <v>108.809067422</v>
      </c>
      <c r="AR1198">
        <v>112.090659112</v>
      </c>
      <c r="AS1198">
        <v>103.21386850099999</v>
      </c>
      <c r="AT1198"/>
    </row>
    <row r="1199" spans="1:46" x14ac:dyDescent="0.2">
      <c r="A1199" s="87">
        <v>43374</v>
      </c>
      <c r="B1199"/>
      <c r="C1199"/>
      <c r="D1199">
        <v>116.29030914099999</v>
      </c>
      <c r="E1199">
        <v>107.09107574399999</v>
      </c>
      <c r="F1199">
        <v>96.118909991999999</v>
      </c>
      <c r="G1199">
        <v>110.62792109999999</v>
      </c>
      <c r="H1199">
        <v>115.670623197</v>
      </c>
      <c r="I1199"/>
      <c r="J1199">
        <v>99.948704436</v>
      </c>
      <c r="K1199">
        <v>112.78120313300001</v>
      </c>
      <c r="L1199">
        <v>105.391217399</v>
      </c>
      <c r="M1199">
        <v>109.5</v>
      </c>
      <c r="N1199">
        <v>105.6</v>
      </c>
      <c r="O1199">
        <v>106.223088519</v>
      </c>
      <c r="P1199">
        <v>112.40936744699999</v>
      </c>
      <c r="Q1199"/>
      <c r="R1199">
        <v>111.10925910500001</v>
      </c>
      <c r="S1199">
        <v>103.81</v>
      </c>
      <c r="T1199">
        <v>104.743277814</v>
      </c>
      <c r="U1199">
        <v>107.115970604</v>
      </c>
      <c r="V1199">
        <v>107.974030298</v>
      </c>
      <c r="W1199">
        <v>110.509209101</v>
      </c>
      <c r="X1199">
        <v>119.24054641399999</v>
      </c>
      <c r="Y1199">
        <v>98.208184015</v>
      </c>
      <c r="Z1199"/>
      <c r="AA1199">
        <v>103.51288056200001</v>
      </c>
      <c r="AB1199">
        <v>106.691109074</v>
      </c>
      <c r="AC1199">
        <v>105.291225731</v>
      </c>
      <c r="AD1199">
        <v>107.691025748</v>
      </c>
      <c r="AE1199">
        <v>104.291309058</v>
      </c>
      <c r="AF1199">
        <v>114.5</v>
      </c>
      <c r="AG1199"/>
      <c r="AH1199">
        <v>103.19140071699999</v>
      </c>
      <c r="AI1199">
        <v>103.33591931700001</v>
      </c>
      <c r="AJ1199"/>
      <c r="AK1199">
        <v>105.80034586399999</v>
      </c>
      <c r="AL1199">
        <v>118.4</v>
      </c>
      <c r="AM1199">
        <v>106.469112757</v>
      </c>
      <c r="AN1199">
        <v>110.4</v>
      </c>
      <c r="AO1199">
        <v>116.929232308</v>
      </c>
      <c r="AP1199">
        <v>122.610217518</v>
      </c>
      <c r="AQ1199">
        <v>111.60930077499999</v>
      </c>
      <c r="AR1199">
        <v>109.79085076200001</v>
      </c>
      <c r="AS1199">
        <v>103.071038344</v>
      </c>
      <c r="AT1199"/>
    </row>
    <row r="1200" spans="1:46" x14ac:dyDescent="0.2">
      <c r="A1200" s="87">
        <v>43405</v>
      </c>
      <c r="B1200"/>
      <c r="C1200"/>
      <c r="D1200">
        <v>115.19040080000001</v>
      </c>
      <c r="E1200">
        <v>112.090659112</v>
      </c>
      <c r="F1200">
        <v>96.229011835999998</v>
      </c>
      <c r="G1200">
        <v>109.670429039</v>
      </c>
      <c r="H1200">
        <v>115.231361197</v>
      </c>
      <c r="I1200"/>
      <c r="J1200">
        <v>103.835025563</v>
      </c>
      <c r="K1200">
        <v>114.78086985500001</v>
      </c>
      <c r="L1200">
        <v>103.491375719</v>
      </c>
      <c r="M1200">
        <v>110.5</v>
      </c>
      <c r="N1200">
        <v>104.2</v>
      </c>
      <c r="O1200">
        <v>103.961086634</v>
      </c>
      <c r="P1200">
        <v>116.409700808</v>
      </c>
      <c r="Q1200"/>
      <c r="R1200">
        <v>111.009250771</v>
      </c>
      <c r="S1200">
        <v>103.09</v>
      </c>
      <c r="T1200">
        <v>104.038119477</v>
      </c>
      <c r="U1200">
        <v>107.65370138</v>
      </c>
      <c r="V1200">
        <v>112.56866988500001</v>
      </c>
      <c r="W1200">
        <v>110.209184099</v>
      </c>
      <c r="X1200">
        <v>115.157540591</v>
      </c>
      <c r="Y1200">
        <v>91.507625634999997</v>
      </c>
      <c r="Z1200"/>
      <c r="AA1200">
        <v>100.796252927</v>
      </c>
      <c r="AB1200">
        <v>104.991250729</v>
      </c>
      <c r="AC1200">
        <v>104.091325723</v>
      </c>
      <c r="AD1200">
        <v>105.691192401</v>
      </c>
      <c r="AE1200">
        <v>103.19140071699999</v>
      </c>
      <c r="AF1200">
        <v>115.7</v>
      </c>
      <c r="AG1200"/>
      <c r="AH1200">
        <v>103.491375719</v>
      </c>
      <c r="AI1200">
        <v>100.77579519</v>
      </c>
      <c r="AJ1200"/>
      <c r="AK1200">
        <v>105.092822625</v>
      </c>
      <c r="AL1200">
        <v>117.8</v>
      </c>
      <c r="AM1200">
        <v>103.12914059000001</v>
      </c>
      <c r="AN1200">
        <v>110.2</v>
      </c>
      <c r="AO1200">
        <v>114.428607152</v>
      </c>
      <c r="AP1200">
        <v>122.91024252</v>
      </c>
      <c r="AQ1200">
        <v>110.209184099</v>
      </c>
      <c r="AR1200">
        <v>109.990834097</v>
      </c>
      <c r="AS1200">
        <v>102.996996618</v>
      </c>
      <c r="AT1200"/>
    </row>
    <row r="1201" spans="1:46" x14ac:dyDescent="0.2">
      <c r="A1201" s="87">
        <v>43435</v>
      </c>
      <c r="B1201"/>
      <c r="C1201"/>
      <c r="D1201">
        <v>117.49020914899999</v>
      </c>
      <c r="E1201">
        <v>107.19106741100001</v>
      </c>
      <c r="F1201">
        <v>96.669419212999998</v>
      </c>
      <c r="G1201">
        <v>108.663978876</v>
      </c>
      <c r="H1201">
        <v>116.122130097</v>
      </c>
      <c r="I1201"/>
      <c r="J1201">
        <v>102.27292879399999</v>
      </c>
      <c r="K1201">
        <v>114.180969838</v>
      </c>
      <c r="L1201">
        <v>104.691275727</v>
      </c>
      <c r="M1201">
        <v>119.2</v>
      </c>
      <c r="N1201">
        <v>104.6</v>
      </c>
      <c r="O1201">
        <v>103.085085904</v>
      </c>
      <c r="P1201">
        <v>116.909742479</v>
      </c>
      <c r="Q1201"/>
      <c r="R1201">
        <v>113.109425785</v>
      </c>
      <c r="S1201">
        <v>104.13</v>
      </c>
      <c r="T1201">
        <v>104.304405058</v>
      </c>
      <c r="U1201">
        <v>107.761247535</v>
      </c>
      <c r="V1201">
        <v>110.57100049899999</v>
      </c>
      <c r="W1201">
        <v>116.109675806</v>
      </c>
      <c r="X1201">
        <v>116.03693669099999</v>
      </c>
      <c r="Y1201">
        <v>88.107342278999994</v>
      </c>
      <c r="Z1201"/>
      <c r="AA1201">
        <v>104.26229508199999</v>
      </c>
      <c r="AB1201">
        <v>105.391217399</v>
      </c>
      <c r="AC1201">
        <v>104.39130072499999</v>
      </c>
      <c r="AD1201">
        <v>104.39130072499999</v>
      </c>
      <c r="AE1201">
        <v>104.891259062</v>
      </c>
      <c r="AF1201">
        <v>119.3</v>
      </c>
      <c r="AG1201"/>
      <c r="AH1201">
        <v>100.7916007</v>
      </c>
      <c r="AI1201">
        <v>100.310318076</v>
      </c>
      <c r="AJ1201"/>
      <c r="AK1201">
        <v>105.084445671</v>
      </c>
      <c r="AL1201">
        <v>118.8</v>
      </c>
      <c r="AM1201">
        <v>103.06914109</v>
      </c>
      <c r="AN1201">
        <v>111.2</v>
      </c>
      <c r="AO1201">
        <v>117.02925731400001</v>
      </c>
      <c r="AP1201">
        <v>122.110175848</v>
      </c>
      <c r="AQ1201">
        <v>111.509292441</v>
      </c>
      <c r="AR1201">
        <v>108.190984085</v>
      </c>
      <c r="AS1201">
        <v>102.951699338</v>
      </c>
      <c r="AT1201"/>
    </row>
    <row r="1202" spans="1:46" x14ac:dyDescent="0.2">
      <c r="A1202" s="87">
        <v>43466</v>
      </c>
      <c r="B1202"/>
      <c r="C1202"/>
      <c r="D1202">
        <v>117.290225815</v>
      </c>
      <c r="E1202">
        <v>112.19065077899999</v>
      </c>
      <c r="F1202">
        <v>95.678502614999999</v>
      </c>
      <c r="G1202">
        <v>107.381972182</v>
      </c>
      <c r="H1202">
        <v>115.848191297</v>
      </c>
      <c r="I1202"/>
      <c r="J1202">
        <v>99.813510379999997</v>
      </c>
      <c r="K1202">
        <v>113.181136477</v>
      </c>
      <c r="L1202">
        <v>103.491375719</v>
      </c>
      <c r="M1202">
        <v>110.2</v>
      </c>
      <c r="N1202">
        <v>105.3</v>
      </c>
      <c r="O1202">
        <v>106.995089163</v>
      </c>
      <c r="P1202">
        <v>131.61096758100001</v>
      </c>
      <c r="Q1202"/>
      <c r="R1202">
        <v>113.509459122</v>
      </c>
      <c r="S1202">
        <v>104.69</v>
      </c>
      <c r="T1202">
        <v>103.53459587899999</v>
      </c>
      <c r="U1202">
        <v>108.51407062200001</v>
      </c>
      <c r="V1202">
        <v>110.870650907</v>
      </c>
      <c r="W1202">
        <v>114.60955079599999</v>
      </c>
      <c r="X1202"/>
      <c r="Y1202">
        <v>93.807817318000005</v>
      </c>
      <c r="Z1202"/>
      <c r="AA1202">
        <v>105.199063232</v>
      </c>
      <c r="AB1202">
        <v>105.691192401</v>
      </c>
      <c r="AC1202">
        <v>102.391467378</v>
      </c>
      <c r="AD1202">
        <v>104.891259062</v>
      </c>
      <c r="AE1202">
        <v>102.09149237600001</v>
      </c>
      <c r="AF1202">
        <v>117.1</v>
      </c>
      <c r="AG1202"/>
      <c r="AH1202">
        <v>103.991334055</v>
      </c>
      <c r="AI1202">
        <v>98.332040340999995</v>
      </c>
      <c r="AJ1202"/>
      <c r="AK1202">
        <v>104.874116875</v>
      </c>
      <c r="AL1202">
        <v>119.6</v>
      </c>
      <c r="AM1202">
        <v>104.649127924</v>
      </c>
      <c r="AN1202">
        <v>111.2</v>
      </c>
      <c r="AO1202">
        <v>114.228557139</v>
      </c>
      <c r="AP1202">
        <v>127.31060921700001</v>
      </c>
      <c r="AQ1202">
        <v>112.609384115</v>
      </c>
      <c r="AR1202">
        <v>109.69085909499999</v>
      </c>
      <c r="AS1202">
        <v>102.391975608</v>
      </c>
      <c r="AT1202"/>
    </row>
    <row r="1203" spans="1:46" x14ac:dyDescent="0.2">
      <c r="A1203" s="87">
        <v>43497</v>
      </c>
      <c r="B1203"/>
      <c r="C1203"/>
      <c r="D1203">
        <v>117.590200817</v>
      </c>
      <c r="E1203">
        <v>111.79068411</v>
      </c>
      <c r="F1203">
        <v>96.229011835999998</v>
      </c>
      <c r="G1203">
        <v>106.820960488</v>
      </c>
      <c r="H1203">
        <v>115.698274697</v>
      </c>
      <c r="I1203"/>
      <c r="J1203">
        <v>99.031633177000003</v>
      </c>
      <c r="K1203">
        <v>112.98116980499999</v>
      </c>
      <c r="L1203">
        <v>103.891342388</v>
      </c>
      <c r="M1203">
        <v>109.8</v>
      </c>
      <c r="N1203">
        <v>105.2</v>
      </c>
      <c r="O1203">
        <v>105.962088302</v>
      </c>
      <c r="P1203">
        <v>124.41036753100001</v>
      </c>
      <c r="Q1203"/>
      <c r="R1203">
        <v>111.409284107</v>
      </c>
      <c r="S1203">
        <v>104.61</v>
      </c>
      <c r="T1203">
        <v>103.482290272</v>
      </c>
      <c r="U1203">
        <v>108.72916293199999</v>
      </c>
      <c r="V1203">
        <v>109.87181621400001</v>
      </c>
      <c r="W1203">
        <v>114.509542462</v>
      </c>
      <c r="X1203"/>
      <c r="Y1203">
        <v>95.107925660000006</v>
      </c>
      <c r="Z1203"/>
      <c r="AA1203">
        <v>106.042154567</v>
      </c>
      <c r="AB1203">
        <v>106.591117407</v>
      </c>
      <c r="AC1203">
        <v>102.891425715</v>
      </c>
      <c r="AD1203">
        <v>102.591450712</v>
      </c>
      <c r="AE1203">
        <v>101.291559037</v>
      </c>
      <c r="AF1203">
        <v>116.4</v>
      </c>
      <c r="AG1203"/>
      <c r="AH1203">
        <v>102.891425715</v>
      </c>
      <c r="AI1203">
        <v>96.237393327999996</v>
      </c>
      <c r="AJ1203"/>
      <c r="AK1203">
        <v>104.745649767</v>
      </c>
      <c r="AL1203">
        <v>121.3</v>
      </c>
      <c r="AM1203">
        <v>103.10914075700001</v>
      </c>
      <c r="AN1203">
        <v>110.9</v>
      </c>
      <c r="AO1203">
        <v>115.228807202</v>
      </c>
      <c r="AP1203">
        <v>124.11034252899999</v>
      </c>
      <c r="AQ1203">
        <v>111.709309109</v>
      </c>
      <c r="AR1203">
        <v>111.690692442</v>
      </c>
      <c r="AS1203">
        <v>101.822736476</v>
      </c>
      <c r="AT1203"/>
    </row>
    <row r="1204" spans="1:46" x14ac:dyDescent="0.2">
      <c r="A1204" s="87">
        <v>43525</v>
      </c>
      <c r="B1204"/>
      <c r="C1204"/>
      <c r="D1204">
        <v>117.590200817</v>
      </c>
      <c r="E1204">
        <v>110.790767436</v>
      </c>
      <c r="F1204">
        <v>95.788604458999998</v>
      </c>
      <c r="G1204">
        <v>108.72203301899999</v>
      </c>
      <c r="H1204">
        <v>115.574945097</v>
      </c>
      <c r="I1204"/>
      <c r="J1204">
        <v>99.467426871000001</v>
      </c>
      <c r="K1204">
        <v>113.681053158</v>
      </c>
      <c r="L1204">
        <v>104.691275727</v>
      </c>
      <c r="M1204">
        <v>112.5</v>
      </c>
      <c r="N1204">
        <v>105.3</v>
      </c>
      <c r="O1204">
        <v>105.25208771</v>
      </c>
      <c r="P1204">
        <v>126.310525877</v>
      </c>
      <c r="Q1204"/>
      <c r="R1204">
        <v>111.209267439</v>
      </c>
      <c r="S1204">
        <v>104.36</v>
      </c>
      <c r="T1204">
        <v>103.666165177</v>
      </c>
      <c r="U1204">
        <v>110.01971679499999</v>
      </c>
      <c r="V1204">
        <v>107.67437989</v>
      </c>
      <c r="W1204">
        <v>116.20968413999999</v>
      </c>
      <c r="X1204"/>
      <c r="Y1204">
        <v>96.208017334999994</v>
      </c>
      <c r="Z1204"/>
      <c r="AA1204">
        <v>106.229508197</v>
      </c>
      <c r="AB1204">
        <v>105.691192401</v>
      </c>
      <c r="AC1204">
        <v>102.491459045</v>
      </c>
      <c r="AD1204">
        <v>104.091325723</v>
      </c>
      <c r="AE1204">
        <v>101.49154237099999</v>
      </c>
      <c r="AF1204">
        <v>118</v>
      </c>
      <c r="AG1204"/>
      <c r="AH1204">
        <v>103.391384051</v>
      </c>
      <c r="AI1204">
        <v>95.422808379000003</v>
      </c>
      <c r="AJ1204"/>
      <c r="AK1204">
        <v>105.142279019</v>
      </c>
      <c r="AL1204">
        <v>122.1</v>
      </c>
      <c r="AM1204">
        <v>102.809143257</v>
      </c>
      <c r="AN1204">
        <v>111.2</v>
      </c>
      <c r="AO1204">
        <v>117.12928232100001</v>
      </c>
      <c r="AP1204">
        <v>125.21043420300001</v>
      </c>
      <c r="AQ1204">
        <v>109.909159097</v>
      </c>
      <c r="AR1204">
        <v>114.79043412999999</v>
      </c>
      <c r="AS1204">
        <v>101.957042418</v>
      </c>
      <c r="AT1204"/>
    </row>
    <row r="1205" spans="1:46" x14ac:dyDescent="0.2">
      <c r="A1205" s="87">
        <v>43556</v>
      </c>
      <c r="B1205"/>
      <c r="C1205"/>
      <c r="D1205">
        <v>115.09040913299999</v>
      </c>
      <c r="E1205">
        <v>116.890259145</v>
      </c>
      <c r="F1205">
        <v>96.339113679999997</v>
      </c>
      <c r="G1205">
        <v>111.285511345</v>
      </c>
      <c r="H1205">
        <v>115.423624397</v>
      </c>
      <c r="I1205"/>
      <c r="J1205">
        <v>101.885667551</v>
      </c>
      <c r="K1205">
        <v>114.98083652699999</v>
      </c>
      <c r="L1205">
        <v>101.89150904100001</v>
      </c>
      <c r="M1205">
        <v>112.7</v>
      </c>
      <c r="N1205">
        <v>104.2</v>
      </c>
      <c r="O1205">
        <v>106.22708852300001</v>
      </c>
      <c r="P1205">
        <v>124.510375865</v>
      </c>
      <c r="Q1205"/>
      <c r="R1205">
        <v>115.009584132</v>
      </c>
      <c r="S1205">
        <v>104.38</v>
      </c>
      <c r="T1205">
        <v>102.862609256</v>
      </c>
      <c r="U1205">
        <v>106.685785983</v>
      </c>
      <c r="V1205">
        <v>109.07274846</v>
      </c>
      <c r="W1205">
        <v>115.509625802</v>
      </c>
      <c r="X1205"/>
      <c r="Y1205">
        <v>95.507958997000003</v>
      </c>
      <c r="Z1205"/>
      <c r="AA1205">
        <v>106.88524590199999</v>
      </c>
      <c r="AB1205">
        <v>104.59128406000001</v>
      </c>
      <c r="AC1205">
        <v>102.69144238</v>
      </c>
      <c r="AD1205">
        <v>106.09115907</v>
      </c>
      <c r="AE1205">
        <v>100.991584035</v>
      </c>
      <c r="AF1205">
        <v>114</v>
      </c>
      <c r="AG1205"/>
      <c r="AH1205">
        <v>102.29147571</v>
      </c>
      <c r="AI1205">
        <v>96.470131885000001</v>
      </c>
      <c r="AJ1205"/>
      <c r="AK1205">
        <v>104.854498409</v>
      </c>
      <c r="AL1205">
        <v>122.4</v>
      </c>
      <c r="AM1205">
        <v>105.839118007</v>
      </c>
      <c r="AN1205">
        <v>113.3</v>
      </c>
      <c r="AO1205">
        <v>116.62915728900001</v>
      </c>
      <c r="AP1205">
        <v>126.310525877</v>
      </c>
      <c r="AQ1205">
        <v>111.809317443</v>
      </c>
      <c r="AR1205">
        <v>114.090492459</v>
      </c>
      <c r="AS1205">
        <v>101.35321083300001</v>
      </c>
      <c r="AT1205"/>
    </row>
    <row r="1206" spans="1:46" x14ac:dyDescent="0.2">
      <c r="A1206" s="87">
        <v>43586</v>
      </c>
      <c r="B1206"/>
      <c r="C1206"/>
      <c r="D1206">
        <v>115.490375802</v>
      </c>
      <c r="E1206">
        <v>112.59061744900001</v>
      </c>
      <c r="F1206">
        <v>96.339113679999997</v>
      </c>
      <c r="G1206">
        <v>111.37754187500001</v>
      </c>
      <c r="H1206">
        <v>116.661148197</v>
      </c>
      <c r="I1206"/>
      <c r="J1206">
        <v>102.07615477500001</v>
      </c>
      <c r="K1206">
        <v>117.28045325799999</v>
      </c>
      <c r="L1206">
        <v>102.891425715</v>
      </c>
      <c r="M1206">
        <v>118.2</v>
      </c>
      <c r="N1206">
        <v>105.4</v>
      </c>
      <c r="O1206">
        <v>109.66809139</v>
      </c>
      <c r="P1206">
        <v>124.41036753100001</v>
      </c>
      <c r="Q1206"/>
      <c r="R1206">
        <v>112.009334111</v>
      </c>
      <c r="S1206">
        <v>105.78</v>
      </c>
      <c r="T1206">
        <v>103.600590395</v>
      </c>
      <c r="U1206">
        <v>107.761247535</v>
      </c>
      <c r="V1206">
        <v>108.27368070599999</v>
      </c>
      <c r="W1206">
        <v>118.809900825</v>
      </c>
      <c r="X1206"/>
      <c r="Y1206">
        <v>102.208517376</v>
      </c>
      <c r="Z1206"/>
      <c r="AA1206">
        <v>106.229508197</v>
      </c>
      <c r="AB1206">
        <v>106.49112574</v>
      </c>
      <c r="AC1206">
        <v>103.891342388</v>
      </c>
      <c r="AD1206">
        <v>105.391217399</v>
      </c>
      <c r="AE1206">
        <v>100.7916007</v>
      </c>
      <c r="AF1206">
        <v>116.8</v>
      </c>
      <c r="AG1206"/>
      <c r="AH1206">
        <v>102.69144238</v>
      </c>
      <c r="AI1206">
        <v>96.586501163999998</v>
      </c>
      <c r="AJ1206"/>
      <c r="AK1206">
        <v>105.615131762</v>
      </c>
      <c r="AL1206">
        <v>122.7</v>
      </c>
      <c r="AM1206">
        <v>106.369113591</v>
      </c>
      <c r="AN1206">
        <v>112.9</v>
      </c>
      <c r="AO1206">
        <v>117.12928232100001</v>
      </c>
      <c r="AP1206">
        <v>125.310442537</v>
      </c>
      <c r="AQ1206">
        <v>112.70939244900001</v>
      </c>
      <c r="AR1206">
        <v>115.290392467</v>
      </c>
      <c r="AS1206">
        <v>101.549069535</v>
      </c>
      <c r="AT1206"/>
    </row>
    <row r="1207" spans="1:46" x14ac:dyDescent="0.2">
      <c r="A1207" s="87">
        <v>43617</v>
      </c>
      <c r="B1207"/>
      <c r="C1207"/>
      <c r="D1207">
        <v>115.890342471</v>
      </c>
      <c r="E1207">
        <v>116.49029247599999</v>
      </c>
      <c r="F1207">
        <v>95.458298927000001</v>
      </c>
      <c r="G1207">
        <v>110.54926709999999</v>
      </c>
      <c r="H1207">
        <v>118.692045197</v>
      </c>
      <c r="I1207"/>
      <c r="J1207">
        <v>100.347797685</v>
      </c>
      <c r="K1207">
        <v>112.681219797</v>
      </c>
      <c r="L1207">
        <v>101.89150904100001</v>
      </c>
      <c r="M1207">
        <v>110.6</v>
      </c>
      <c r="N1207">
        <v>104</v>
      </c>
      <c r="O1207">
        <v>108.32309026900001</v>
      </c>
      <c r="P1207">
        <v>115.2096008</v>
      </c>
      <c r="Q1207"/>
      <c r="R1207">
        <v>114.309525794</v>
      </c>
      <c r="S1207">
        <v>103.45</v>
      </c>
      <c r="T1207">
        <v>102.69459929200001</v>
      </c>
      <c r="U1207">
        <v>107.008424449</v>
      </c>
      <c r="V1207">
        <v>108.373564175</v>
      </c>
      <c r="W1207">
        <v>114.70955913</v>
      </c>
      <c r="X1207"/>
      <c r="Y1207">
        <v>94.307858988000007</v>
      </c>
      <c r="Z1207"/>
      <c r="AA1207">
        <v>105.761124122</v>
      </c>
      <c r="AB1207">
        <v>105.79118406800001</v>
      </c>
      <c r="AC1207">
        <v>101.391550704</v>
      </c>
      <c r="AD1207">
        <v>106.291142405</v>
      </c>
      <c r="AE1207">
        <v>98.491792351000001</v>
      </c>
      <c r="AF1207">
        <v>116.6</v>
      </c>
      <c r="AG1207"/>
      <c r="AH1207">
        <v>101.591534039</v>
      </c>
      <c r="AI1207">
        <v>95.306439100000006</v>
      </c>
      <c r="AJ1207"/>
      <c r="AK1207">
        <v>104.391276183</v>
      </c>
      <c r="AL1207">
        <v>120.3</v>
      </c>
      <c r="AM1207">
        <v>100.72916059000001</v>
      </c>
      <c r="AN1207">
        <v>114.7</v>
      </c>
      <c r="AO1207">
        <v>113.628407102</v>
      </c>
      <c r="AP1207">
        <v>123.610300858</v>
      </c>
      <c r="AQ1207">
        <v>112.209350779</v>
      </c>
      <c r="AR1207">
        <v>109.69085909499999</v>
      </c>
      <c r="AS1207">
        <v>101.481767886</v>
      </c>
      <c r="AT1207"/>
    </row>
    <row r="1208" spans="1:46" x14ac:dyDescent="0.2">
      <c r="A1208" s="87">
        <v>43647</v>
      </c>
      <c r="B1208"/>
      <c r="C1208"/>
      <c r="D1208">
        <v>115.590367469</v>
      </c>
      <c r="E1208">
        <v>109.090909091</v>
      </c>
      <c r="F1208">
        <v>95.017891550000002</v>
      </c>
      <c r="G1208">
        <v>108.53021357</v>
      </c>
      <c r="H1208">
        <v>118.38096519699999</v>
      </c>
      <c r="I1208"/>
      <c r="J1208">
        <v>100.87724294500001</v>
      </c>
      <c r="K1208">
        <v>112.581236461</v>
      </c>
      <c r="L1208">
        <v>101.391550704</v>
      </c>
      <c r="M1208">
        <v>113.7</v>
      </c>
      <c r="N1208">
        <v>103.7</v>
      </c>
      <c r="O1208">
        <v>106.33208861</v>
      </c>
      <c r="P1208">
        <v>112.209350779</v>
      </c>
      <c r="Q1208"/>
      <c r="R1208">
        <v>114.809567464</v>
      </c>
      <c r="S1208">
        <v>103.98</v>
      </c>
      <c r="T1208">
        <v>102.530649967</v>
      </c>
      <c r="U1208">
        <v>107.43860907</v>
      </c>
      <c r="V1208">
        <v>106.67554519700001</v>
      </c>
      <c r="W1208">
        <v>116.70972580999999</v>
      </c>
      <c r="X1208"/>
      <c r="Y1208">
        <v>94.907908992000003</v>
      </c>
      <c r="Z1208"/>
      <c r="AA1208">
        <v>109.133489461</v>
      </c>
      <c r="AB1208">
        <v>106.09115907</v>
      </c>
      <c r="AC1208">
        <v>101.79151737399999</v>
      </c>
      <c r="AD1208">
        <v>108.590950754</v>
      </c>
      <c r="AE1208">
        <v>98.191817349000004</v>
      </c>
      <c r="AF1208">
        <v>114.7</v>
      </c>
      <c r="AG1208"/>
      <c r="AH1208">
        <v>101.69152570599999</v>
      </c>
      <c r="AI1208">
        <v>96.470131885000001</v>
      </c>
      <c r="AJ1208"/>
      <c r="AK1208">
        <v>104.677575043</v>
      </c>
      <c r="AL1208">
        <v>121.8</v>
      </c>
      <c r="AM1208">
        <v>106.409113257</v>
      </c>
      <c r="AN1208">
        <v>114</v>
      </c>
      <c r="AO1208">
        <v>112.428107027</v>
      </c>
      <c r="AP1208">
        <v>125.310442537</v>
      </c>
      <c r="AQ1208">
        <v>112.909409117</v>
      </c>
      <c r="AR1208">
        <v>114.690442463</v>
      </c>
      <c r="AS1208">
        <v>101.15745124999999</v>
      </c>
      <c r="AT1208"/>
    </row>
    <row r="1209" spans="1:46" x14ac:dyDescent="0.2">
      <c r="A1209" s="87">
        <v>43678</v>
      </c>
      <c r="B1209"/>
      <c r="C1209"/>
      <c r="D1209">
        <v>113.390550787</v>
      </c>
      <c r="E1209">
        <v>116.890259145</v>
      </c>
      <c r="F1209">
        <v>95.788604458999998</v>
      </c>
      <c r="G1209">
        <v>108.622779162</v>
      </c>
      <c r="H1209">
        <v>118.39641739699999</v>
      </c>
      <c r="I1209"/>
      <c r="J1209">
        <v>102.401835359</v>
      </c>
      <c r="K1209">
        <v>112.681219797</v>
      </c>
      <c r="L1209">
        <v>101.69152570599999</v>
      </c>
      <c r="M1209">
        <v>110.2</v>
      </c>
      <c r="N1209">
        <v>104</v>
      </c>
      <c r="O1209">
        <v>106.753088961</v>
      </c>
      <c r="P1209">
        <v>117.009750813</v>
      </c>
      <c r="Q1209"/>
      <c r="R1209">
        <v>113.70947579</v>
      </c>
      <c r="S1209">
        <v>102.88</v>
      </c>
      <c r="T1209">
        <v>102.461264958</v>
      </c>
      <c r="U1209">
        <v>106.470693673</v>
      </c>
      <c r="V1209">
        <v>109.172631929</v>
      </c>
      <c r="W1209">
        <v>115.109592466</v>
      </c>
      <c r="X1209"/>
      <c r="Y1209">
        <v>98.708225685000002</v>
      </c>
      <c r="Z1209"/>
      <c r="AA1209">
        <v>108.477751756</v>
      </c>
      <c r="AB1209">
        <v>105.491209066</v>
      </c>
      <c r="AC1209">
        <v>100.49162569800001</v>
      </c>
      <c r="AD1209">
        <v>106.791100742</v>
      </c>
      <c r="AE1209">
        <v>101.191567369</v>
      </c>
      <c r="AF1209">
        <v>119.5</v>
      </c>
      <c r="AG1209"/>
      <c r="AH1209">
        <v>101.89150904100001</v>
      </c>
      <c r="AI1209">
        <v>94.840961985999996</v>
      </c>
      <c r="AJ1209"/>
      <c r="AK1209">
        <v>104.396129415</v>
      </c>
      <c r="AL1209">
        <v>120.5</v>
      </c>
      <c r="AM1209">
        <v>103.529137257</v>
      </c>
      <c r="AN1209">
        <v>114.6</v>
      </c>
      <c r="AO1209">
        <v>109.92748186999999</v>
      </c>
      <c r="AP1209">
        <v>123.110259188</v>
      </c>
      <c r="AQ1209">
        <v>112.809400783</v>
      </c>
      <c r="AR1209">
        <v>110.89075910299999</v>
      </c>
      <c r="AS1209">
        <v>101.783287203</v>
      </c>
      <c r="AT1209"/>
    </row>
    <row r="1210" spans="1:46" x14ac:dyDescent="0.2">
      <c r="A1210" s="87">
        <v>43709</v>
      </c>
      <c r="B1210"/>
      <c r="C1210"/>
      <c r="D1210">
        <v>114.490459128</v>
      </c>
      <c r="E1210">
        <v>115.590367469</v>
      </c>
      <c r="F1210">
        <v>95.678502614999999</v>
      </c>
      <c r="G1210">
        <v>108.323144876</v>
      </c>
      <c r="H1210">
        <v>121.70067209699999</v>
      </c>
      <c r="I1210"/>
      <c r="J1210">
        <v>100.590215031</v>
      </c>
      <c r="K1210">
        <v>113.181136477</v>
      </c>
      <c r="L1210">
        <v>100.591617365</v>
      </c>
      <c r="M1210">
        <v>111.9</v>
      </c>
      <c r="N1210">
        <v>103.7</v>
      </c>
      <c r="O1210">
        <v>105.003087503</v>
      </c>
      <c r="P1210">
        <v>115.609634136</v>
      </c>
      <c r="Q1210"/>
      <c r="R1210">
        <v>114.009500792</v>
      </c>
      <c r="S1210">
        <v>103.97</v>
      </c>
      <c r="T1210">
        <v>102.55477086400001</v>
      </c>
      <c r="U1210">
        <v>107.115970604</v>
      </c>
      <c r="V1210">
        <v>109.572165807</v>
      </c>
      <c r="W1210">
        <v>118.40986748900001</v>
      </c>
      <c r="X1210"/>
      <c r="Y1210">
        <v>99.608300692</v>
      </c>
      <c r="Z1210"/>
      <c r="AA1210">
        <v>108.38407494099999</v>
      </c>
      <c r="AB1210">
        <v>104.891259062</v>
      </c>
      <c r="AC1210">
        <v>102.491459045</v>
      </c>
      <c r="AD1210">
        <v>108.090992417</v>
      </c>
      <c r="AE1210">
        <v>99.591700692000003</v>
      </c>
      <c r="AF1210">
        <v>120.3</v>
      </c>
      <c r="AG1210"/>
      <c r="AH1210">
        <v>103.09140904900001</v>
      </c>
      <c r="AI1210">
        <v>93.910007758000006</v>
      </c>
      <c r="AJ1210"/>
      <c r="AK1210">
        <v>104.78331838699999</v>
      </c>
      <c r="AL1210">
        <v>121.3</v>
      </c>
      <c r="AM1210">
        <v>100.84915959</v>
      </c>
      <c r="AN1210">
        <v>114.6</v>
      </c>
      <c r="AO1210">
        <v>111.827956989</v>
      </c>
      <c r="AP1210">
        <v>124.41036753100001</v>
      </c>
      <c r="AQ1210">
        <v>112.40936744699999</v>
      </c>
      <c r="AR1210">
        <v>115.590367469</v>
      </c>
      <c r="AS1210">
        <v>101.41268209899999</v>
      </c>
      <c r="AT1210"/>
    </row>
    <row r="1211" spans="1:46" x14ac:dyDescent="0.2">
      <c r="A1211" s="87">
        <v>43739</v>
      </c>
      <c r="B1211"/>
      <c r="C1211"/>
      <c r="D1211">
        <v>114.590450796</v>
      </c>
      <c r="E1211">
        <v>112.39063411399999</v>
      </c>
      <c r="F1211">
        <v>97.219928433999996</v>
      </c>
      <c r="G1211">
        <v>109.096575876</v>
      </c>
      <c r="H1211">
        <v>119.84743789700001</v>
      </c>
      <c r="I1211"/>
      <c r="J1211">
        <v>97.583962514999996</v>
      </c>
      <c r="K1211">
        <v>112.381269788</v>
      </c>
      <c r="L1211">
        <v>99.391717357000005</v>
      </c>
      <c r="M1211">
        <v>109.5</v>
      </c>
      <c r="N1211">
        <v>103.4</v>
      </c>
      <c r="O1211">
        <v>103.936086613</v>
      </c>
      <c r="P1211">
        <v>115.509625802</v>
      </c>
      <c r="Q1211"/>
      <c r="R1211">
        <v>112.70939244900001</v>
      </c>
      <c r="S1211">
        <v>103.55</v>
      </c>
      <c r="T1211">
        <v>101.17913644799999</v>
      </c>
      <c r="U1211">
        <v>107.65370138</v>
      </c>
      <c r="V1211">
        <v>107.174962544</v>
      </c>
      <c r="W1211">
        <v>117.10975914700001</v>
      </c>
      <c r="X1211"/>
      <c r="Y1211">
        <v>108.809067422</v>
      </c>
      <c r="Z1211"/>
      <c r="AA1211">
        <v>110.351288056</v>
      </c>
      <c r="AB1211">
        <v>103.991334055</v>
      </c>
      <c r="AC1211">
        <v>98.291809016000002</v>
      </c>
      <c r="AD1211">
        <v>106.891092409</v>
      </c>
      <c r="AE1211">
        <v>96.691942338000004</v>
      </c>
      <c r="AF1211">
        <v>118.3</v>
      </c>
      <c r="AG1211"/>
      <c r="AH1211">
        <v>102.891425715</v>
      </c>
      <c r="AI1211">
        <v>97.401086113000005</v>
      </c>
      <c r="AJ1211"/>
      <c r="AK1211">
        <v>103.804033233</v>
      </c>
      <c r="AL1211">
        <v>122.6</v>
      </c>
      <c r="AM1211">
        <v>104.26913109100001</v>
      </c>
      <c r="AN1211">
        <v>115</v>
      </c>
      <c r="AO1211">
        <v>112.228057014</v>
      </c>
      <c r="AP1211">
        <v>125.510459205</v>
      </c>
      <c r="AQ1211">
        <v>110.60921743500001</v>
      </c>
      <c r="AR1211">
        <v>114.090492459</v>
      </c>
      <c r="AS1211">
        <v>100.57037073799999</v>
      </c>
      <c r="AT1211"/>
    </row>
    <row r="1212" spans="1:46" x14ac:dyDescent="0.2">
      <c r="A1212" s="87">
        <v>43770</v>
      </c>
      <c r="B1212"/>
      <c r="C1212"/>
      <c r="D1212">
        <v>113.69052579</v>
      </c>
      <c r="E1212">
        <v>114.690442463</v>
      </c>
      <c r="F1212">
        <v>95.348197081999999</v>
      </c>
      <c r="G1212">
        <v>108.166639468</v>
      </c>
      <c r="H1212">
        <v>117.527063297</v>
      </c>
      <c r="I1212"/>
      <c r="J1212">
        <v>100.69697341600001</v>
      </c>
      <c r="K1212">
        <v>111.281453091</v>
      </c>
      <c r="L1212">
        <v>99.891675694</v>
      </c>
      <c r="M1212">
        <v>104.7</v>
      </c>
      <c r="N1212">
        <v>102.8</v>
      </c>
      <c r="O1212">
        <v>105.505087921</v>
      </c>
      <c r="P1212">
        <v>118.90990915899999</v>
      </c>
      <c r="Q1212"/>
      <c r="R1212">
        <v>112.309359113</v>
      </c>
      <c r="S1212">
        <v>103.61</v>
      </c>
      <c r="T1212">
        <v>101.337741436</v>
      </c>
      <c r="U1212">
        <v>106.793332138</v>
      </c>
      <c r="V1212">
        <v>101.781255202</v>
      </c>
      <c r="W1212">
        <v>116.109675806</v>
      </c>
      <c r="X1212"/>
      <c r="Y1212">
        <v>92.407700641999995</v>
      </c>
      <c r="Z1212"/>
      <c r="AA1212">
        <v>109.601873536</v>
      </c>
      <c r="AB1212">
        <v>104.691275727</v>
      </c>
      <c r="AC1212">
        <v>97.691859011999995</v>
      </c>
      <c r="AD1212">
        <v>107.59103408</v>
      </c>
      <c r="AE1212">
        <v>95.692025665000003</v>
      </c>
      <c r="AF1212">
        <v>116</v>
      </c>
      <c r="AG1212"/>
      <c r="AH1212">
        <v>101.69152570599999</v>
      </c>
      <c r="AI1212">
        <v>99.96121024</v>
      </c>
      <c r="AJ1212"/>
      <c r="AK1212">
        <v>103.77879562699999</v>
      </c>
      <c r="AL1212">
        <v>124.1</v>
      </c>
      <c r="AM1212">
        <v>103.12914059000001</v>
      </c>
      <c r="AN1212">
        <v>113</v>
      </c>
      <c r="AO1212">
        <v>111.22780695199999</v>
      </c>
      <c r="AP1212">
        <v>125.010417535</v>
      </c>
      <c r="AQ1212">
        <v>112.40936744699999</v>
      </c>
      <c r="AR1212">
        <v>115.39038413500001</v>
      </c>
      <c r="AS1212">
        <v>101.088861057</v>
      </c>
      <c r="AT1212"/>
    </row>
    <row r="1213" spans="1:46" x14ac:dyDescent="0.2">
      <c r="A1213" s="87">
        <v>43800</v>
      </c>
      <c r="B1213"/>
      <c r="C1213"/>
      <c r="D1213">
        <v>113.490542455</v>
      </c>
      <c r="E1213">
        <v>118.290142488</v>
      </c>
      <c r="F1213">
        <v>94.577484173000002</v>
      </c>
      <c r="G1213">
        <v>107.319102488</v>
      </c>
      <c r="H1213">
        <v>114.740383697</v>
      </c>
      <c r="I1213"/>
      <c r="J1213">
        <v>104.066136564</v>
      </c>
      <c r="K1213">
        <v>110.381603066</v>
      </c>
      <c r="L1213">
        <v>98.191817349000004</v>
      </c>
      <c r="M1213">
        <v>112</v>
      </c>
      <c r="N1213">
        <v>101.4</v>
      </c>
      <c r="O1213">
        <v>103.468086223</v>
      </c>
      <c r="P1213">
        <v>117.60980081700001</v>
      </c>
      <c r="Q1213"/>
      <c r="R1213">
        <v>112.40936744699999</v>
      </c>
      <c r="S1213">
        <v>101.13</v>
      </c>
      <c r="T1213">
        <v>100.54553412999999</v>
      </c>
      <c r="U1213">
        <v>106.363147517</v>
      </c>
      <c r="V1213">
        <v>106.076244382</v>
      </c>
      <c r="W1213">
        <v>112.609384115</v>
      </c>
      <c r="X1213"/>
      <c r="Y1213">
        <v>91.407617301000002</v>
      </c>
      <c r="Z1213"/>
      <c r="AA1213">
        <v>110.070257611</v>
      </c>
      <c r="AB1213">
        <v>101.89150904100001</v>
      </c>
      <c r="AC1213">
        <v>97.791850679000007</v>
      </c>
      <c r="AD1213">
        <v>111.29072577300001</v>
      </c>
      <c r="AE1213">
        <v>93.392217314999996</v>
      </c>
      <c r="AF1213">
        <v>115.5</v>
      </c>
      <c r="AG1213"/>
      <c r="AH1213">
        <v>100.191650696</v>
      </c>
      <c r="AI1213">
        <v>100.77579519</v>
      </c>
      <c r="AJ1213"/>
      <c r="AK1213">
        <v>103.484250557</v>
      </c>
      <c r="AL1213">
        <v>120.6</v>
      </c>
      <c r="AM1213">
        <v>106.439113007</v>
      </c>
      <c r="AN1213">
        <v>112.4</v>
      </c>
      <c r="AO1213">
        <v>110.127531883</v>
      </c>
      <c r="AP1213">
        <v>124.11034252899999</v>
      </c>
      <c r="AQ1213">
        <v>110.409200767</v>
      </c>
      <c r="AR1213">
        <v>117.79018415100001</v>
      </c>
      <c r="AS1213">
        <v>100.722418941</v>
      </c>
      <c r="AT1213"/>
    </row>
    <row r="1214" spans="1:46" x14ac:dyDescent="0.2">
      <c r="A1214" s="87">
        <v>43831</v>
      </c>
      <c r="B1214"/>
      <c r="C1214"/>
      <c r="D1214">
        <v>117.590200817</v>
      </c>
      <c r="E1214">
        <v>112.49062578100001</v>
      </c>
      <c r="F1214">
        <v>95.348197081999999</v>
      </c>
      <c r="G1214">
        <v>107.855501366</v>
      </c>
      <c r="H1214">
        <v>119.52696549700001</v>
      </c>
      <c r="I1214"/>
      <c r="J1214">
        <v>101.98081025</v>
      </c>
      <c r="K1214">
        <v>112.581236461</v>
      </c>
      <c r="L1214">
        <v>100.591617365</v>
      </c>
      <c r="M1214">
        <v>107</v>
      </c>
      <c r="N1214">
        <v>103.1</v>
      </c>
      <c r="O1214">
        <v>103.63408636200001</v>
      </c>
      <c r="P1214">
        <v>114.20951746</v>
      </c>
      <c r="Q1214"/>
      <c r="R1214">
        <v>110.60921743500001</v>
      </c>
      <c r="S1214">
        <v>101.31</v>
      </c>
      <c r="T1214">
        <v>100.953897072</v>
      </c>
      <c r="U1214">
        <v>106.25560136199999</v>
      </c>
      <c r="V1214">
        <v>110.77076743799999</v>
      </c>
      <c r="W1214">
        <v>118.309859155</v>
      </c>
      <c r="X1214"/>
      <c r="Y1214">
        <v>95.507958997000003</v>
      </c>
      <c r="Z1214"/>
      <c r="AA1214">
        <v>112.131147541</v>
      </c>
      <c r="AB1214">
        <v>104.691275727</v>
      </c>
      <c r="AC1214">
        <v>98.091825681000003</v>
      </c>
      <c r="AD1214">
        <v>108.39096741900001</v>
      </c>
      <c r="AE1214">
        <v>96.591950671000006</v>
      </c>
      <c r="AF1214">
        <v>114.3</v>
      </c>
      <c r="AG1214"/>
      <c r="AH1214">
        <v>102.69144238</v>
      </c>
      <c r="AI1214">
        <v>98.448409620000007</v>
      </c>
      <c r="AJ1214"/>
      <c r="AK1214">
        <v>103.829133447</v>
      </c>
      <c r="AL1214">
        <v>123.3</v>
      </c>
      <c r="AM1214">
        <v>107.049107924</v>
      </c>
      <c r="AN1214">
        <v>112.8</v>
      </c>
      <c r="AO1214">
        <v>115.128782196</v>
      </c>
      <c r="AP1214">
        <v>123.610300858</v>
      </c>
      <c r="AQ1214">
        <v>111.209267439</v>
      </c>
      <c r="AR1214">
        <v>117.390217482</v>
      </c>
      <c r="AS1214">
        <v>100.20095505899999</v>
      </c>
      <c r="AT1214"/>
    </row>
    <row r="1215" spans="1:46" x14ac:dyDescent="0.2">
      <c r="A1215" s="87">
        <v>43862</v>
      </c>
      <c r="B1215"/>
      <c r="C1215"/>
      <c r="D1215">
        <v>115.590367469</v>
      </c>
      <c r="E1215">
        <v>114.290475794</v>
      </c>
      <c r="F1215">
        <v>96.339113679999997</v>
      </c>
      <c r="G1215">
        <v>108.829847855</v>
      </c>
      <c r="H1215">
        <v>117.298648997</v>
      </c>
      <c r="I1215"/>
      <c r="J1215">
        <v>100.933389283</v>
      </c>
      <c r="K1215">
        <v>113.481086486</v>
      </c>
      <c r="L1215">
        <v>102.09149237600001</v>
      </c>
      <c r="M1215">
        <v>109</v>
      </c>
      <c r="N1215">
        <v>103.3</v>
      </c>
      <c r="O1215">
        <v>103.420086183</v>
      </c>
      <c r="P1215">
        <v>124.210350863</v>
      </c>
      <c r="Q1215"/>
      <c r="R1215">
        <v>110.00916743099999</v>
      </c>
      <c r="S1215">
        <v>103.23</v>
      </c>
      <c r="T1215">
        <v>101.399668328</v>
      </c>
      <c r="U1215">
        <v>106.25560136199999</v>
      </c>
      <c r="V1215">
        <v>106.775428667</v>
      </c>
      <c r="W1215">
        <v>116.50970914200001</v>
      </c>
      <c r="X1215"/>
      <c r="Y1215">
        <v>90.707558962999997</v>
      </c>
      <c r="Z1215"/>
      <c r="AA1215">
        <v>112.59953161599999</v>
      </c>
      <c r="AB1215">
        <v>103.29139238400001</v>
      </c>
      <c r="AC1215">
        <v>98.391800683</v>
      </c>
      <c r="AD1215">
        <v>105.491209066</v>
      </c>
      <c r="AE1215">
        <v>97.691859011999995</v>
      </c>
      <c r="AF1215">
        <v>116.9</v>
      </c>
      <c r="AG1215"/>
      <c r="AH1215">
        <v>102.69144238</v>
      </c>
      <c r="AI1215">
        <v>100.89216446899999</v>
      </c>
      <c r="AJ1215"/>
      <c r="AK1215">
        <v>104.01449807500001</v>
      </c>
      <c r="AL1215">
        <v>124.8</v>
      </c>
      <c r="AM1215">
        <v>104.57912850699999</v>
      </c>
      <c r="AN1215">
        <v>113.9</v>
      </c>
      <c r="AO1215">
        <v>114.028507127</v>
      </c>
      <c r="AP1215">
        <v>128.11067589000001</v>
      </c>
      <c r="AQ1215">
        <v>110.80923410299999</v>
      </c>
      <c r="AR1215">
        <v>120.38996750299999</v>
      </c>
      <c r="AS1215">
        <v>100.43180268899999</v>
      </c>
      <c r="AT1215"/>
    </row>
    <row r="1216" spans="1:46" x14ac:dyDescent="0.2">
      <c r="A1216" s="87">
        <v>43891</v>
      </c>
      <c r="B1216"/>
      <c r="C1216"/>
      <c r="D1216">
        <v>107.09107574399999</v>
      </c>
      <c r="E1216">
        <v>107.491042413</v>
      </c>
      <c r="F1216">
        <v>88.631984586000002</v>
      </c>
      <c r="G1216">
        <v>102.29246981599999</v>
      </c>
      <c r="H1216">
        <v>113.16764479699999</v>
      </c>
      <c r="I1216"/>
      <c r="J1216">
        <v>100.305872112</v>
      </c>
      <c r="K1216">
        <v>99.883352775000006</v>
      </c>
      <c r="L1216">
        <v>90.992417298999996</v>
      </c>
      <c r="M1216">
        <v>108.4</v>
      </c>
      <c r="N1216">
        <v>91.7</v>
      </c>
      <c r="O1216">
        <v>90.327075273000005</v>
      </c>
      <c r="P1216">
        <v>113.70947579</v>
      </c>
      <c r="Q1216"/>
      <c r="R1216">
        <v>113.409450788</v>
      </c>
      <c r="S1216">
        <v>85.47</v>
      </c>
      <c r="T1216">
        <v>94.077589904000007</v>
      </c>
      <c r="U1216">
        <v>100.44810898</v>
      </c>
      <c r="V1216">
        <v>107.774263359</v>
      </c>
      <c r="W1216">
        <v>104.408700725</v>
      </c>
      <c r="X1216"/>
      <c r="Y1216">
        <v>121.210100842</v>
      </c>
      <c r="Z1216"/>
      <c r="AA1216">
        <v>100.60889929699999</v>
      </c>
      <c r="AB1216">
        <v>74.293808849000001</v>
      </c>
      <c r="AC1216">
        <v>96.291975668999996</v>
      </c>
      <c r="AD1216">
        <v>109.89084243000001</v>
      </c>
      <c r="AE1216">
        <v>79.793350554</v>
      </c>
      <c r="AF1216">
        <v>115</v>
      </c>
      <c r="AG1216"/>
      <c r="AH1216">
        <v>100.591617365</v>
      </c>
      <c r="AI1216">
        <v>102.404965089</v>
      </c>
      <c r="AJ1216"/>
      <c r="AK1216">
        <v>97.941563076999998</v>
      </c>
      <c r="AL1216">
        <v>116</v>
      </c>
      <c r="AM1216">
        <v>95.979200172999995</v>
      </c>
      <c r="AN1216">
        <v>113</v>
      </c>
      <c r="AO1216">
        <v>91.222805700999999</v>
      </c>
      <c r="AP1216">
        <v>114.509542462</v>
      </c>
      <c r="AQ1216">
        <v>109.50912576</v>
      </c>
      <c r="AR1216">
        <v>113.090575785</v>
      </c>
      <c r="AS1216">
        <v>96.588967733000004</v>
      </c>
      <c r="AT1216"/>
    </row>
    <row r="1217" spans="1:46" x14ac:dyDescent="0.2">
      <c r="A1217" s="87">
        <v>43922</v>
      </c>
      <c r="B1217"/>
      <c r="C1217"/>
      <c r="D1217">
        <v>91.192400633000005</v>
      </c>
      <c r="E1217">
        <v>94.792100657999995</v>
      </c>
      <c r="F1217">
        <v>71.456096889999998</v>
      </c>
      <c r="G1217">
        <v>89.075119920999995</v>
      </c>
      <c r="H1217">
        <v>106.625956797</v>
      </c>
      <c r="I1217"/>
      <c r="J1217">
        <v>97.351227719999997</v>
      </c>
      <c r="K1217">
        <v>75.587402100000006</v>
      </c>
      <c r="L1217">
        <v>70.894092158999996</v>
      </c>
      <c r="M1217">
        <v>102.9</v>
      </c>
      <c r="N1217">
        <v>74</v>
      </c>
      <c r="O1217">
        <v>69.709058091000003</v>
      </c>
      <c r="P1217">
        <v>103.108592383</v>
      </c>
      <c r="Q1217"/>
      <c r="R1217">
        <v>110.00916743099999</v>
      </c>
      <c r="S1217">
        <v>67.84</v>
      </c>
      <c r="T1217">
        <v>79.753422052999994</v>
      </c>
      <c r="U1217">
        <v>79.691701022000004</v>
      </c>
      <c r="V1217">
        <v>97.486266022999999</v>
      </c>
      <c r="W1217">
        <v>73.106092173999997</v>
      </c>
      <c r="X1217"/>
      <c r="Y1217">
        <v>96.808067339000004</v>
      </c>
      <c r="Z1217"/>
      <c r="AA1217">
        <v>102.95081967199999</v>
      </c>
      <c r="AB1217">
        <v>58.595117074000001</v>
      </c>
      <c r="AC1217">
        <v>87.092742271000006</v>
      </c>
      <c r="AD1217">
        <v>103.591367386</v>
      </c>
      <c r="AE1217">
        <v>68.094325472999998</v>
      </c>
      <c r="AF1217">
        <v>103.4</v>
      </c>
      <c r="AG1217"/>
      <c r="AH1217">
        <v>94.292142321</v>
      </c>
      <c r="AI1217">
        <v>101.823118697</v>
      </c>
      <c r="AJ1217"/>
      <c r="AK1217">
        <v>82.800286530999998</v>
      </c>
      <c r="AL1217">
        <v>91.6</v>
      </c>
      <c r="AM1217">
        <v>74.449379589000003</v>
      </c>
      <c r="AN1217">
        <v>108.4</v>
      </c>
      <c r="AO1217">
        <v>66.816704176000002</v>
      </c>
      <c r="AP1217">
        <v>95.007917325999998</v>
      </c>
      <c r="AQ1217">
        <v>92.707725644000007</v>
      </c>
      <c r="AR1217">
        <v>79.093408882999995</v>
      </c>
      <c r="AS1217">
        <v>83.459793748999999</v>
      </c>
      <c r="AT1217"/>
    </row>
    <row r="1218" spans="1:46" x14ac:dyDescent="0.2">
      <c r="A1218" s="87">
        <v>43952</v>
      </c>
      <c r="B1218"/>
      <c r="C1218"/>
      <c r="D1218">
        <v>98.991750687000007</v>
      </c>
      <c r="E1218">
        <v>107.291059078</v>
      </c>
      <c r="F1218">
        <v>77.071290943999998</v>
      </c>
      <c r="G1218">
        <v>93.025476940000004</v>
      </c>
      <c r="H1218">
        <v>103.130881497</v>
      </c>
      <c r="I1218"/>
      <c r="J1218">
        <v>97.513577999999995</v>
      </c>
      <c r="K1218">
        <v>89.585069154999999</v>
      </c>
      <c r="L1218">
        <v>79.193400550000007</v>
      </c>
      <c r="M1218">
        <v>100.5</v>
      </c>
      <c r="N1218">
        <v>84.5</v>
      </c>
      <c r="O1218">
        <v>84.130070107999998</v>
      </c>
      <c r="P1218">
        <v>102.508542379</v>
      </c>
      <c r="Q1218"/>
      <c r="R1218">
        <v>106.80890074200001</v>
      </c>
      <c r="S1218">
        <v>80.819999999999993</v>
      </c>
      <c r="T1218">
        <v>83.005652132999998</v>
      </c>
      <c r="U1218">
        <v>84.638824162000006</v>
      </c>
      <c r="V1218">
        <v>99.683702346999993</v>
      </c>
      <c r="W1218">
        <v>86.107175597999998</v>
      </c>
      <c r="X1218"/>
      <c r="Y1218">
        <v>91.207600632999998</v>
      </c>
      <c r="Z1218"/>
      <c r="AA1218">
        <v>107.353629977</v>
      </c>
      <c r="AB1218">
        <v>84.792933922000003</v>
      </c>
      <c r="AC1218">
        <v>78.293475544000003</v>
      </c>
      <c r="AD1218">
        <v>95.592033997000001</v>
      </c>
      <c r="AE1218">
        <v>78.593450546</v>
      </c>
      <c r="AF1218">
        <v>109.5</v>
      </c>
      <c r="AG1218"/>
      <c r="AH1218">
        <v>94.192150654000002</v>
      </c>
      <c r="AI1218">
        <v>100.54305663300001</v>
      </c>
      <c r="AJ1218"/>
      <c r="AK1218">
        <v>86.473583968</v>
      </c>
      <c r="AL1218">
        <v>103.9</v>
      </c>
      <c r="AM1218">
        <v>76.839359672000001</v>
      </c>
      <c r="AN1218">
        <v>105.4</v>
      </c>
      <c r="AO1218">
        <v>81.020255063999997</v>
      </c>
      <c r="AP1218">
        <v>104.808734061</v>
      </c>
      <c r="AQ1218">
        <v>93.907825652</v>
      </c>
      <c r="AR1218">
        <v>94.192150654000002</v>
      </c>
      <c r="AS1218">
        <v>85.086927579999994</v>
      </c>
      <c r="AT1218"/>
    </row>
    <row r="1219" spans="1:46" x14ac:dyDescent="0.2">
      <c r="A1219" s="87">
        <v>43983</v>
      </c>
      <c r="B1219"/>
      <c r="C1219"/>
      <c r="D1219">
        <v>105.091242396</v>
      </c>
      <c r="E1219">
        <v>103.491375719</v>
      </c>
      <c r="F1219">
        <v>84.448114505999996</v>
      </c>
      <c r="G1219">
        <v>96.879790470000003</v>
      </c>
      <c r="H1219">
        <v>108.38664109699999</v>
      </c>
      <c r="I1219"/>
      <c r="J1219">
        <v>96.588081212000006</v>
      </c>
      <c r="K1219">
        <v>102.08298616899999</v>
      </c>
      <c r="L1219">
        <v>88.292642279999995</v>
      </c>
      <c r="M1219">
        <v>105.9</v>
      </c>
      <c r="N1219">
        <v>92.4</v>
      </c>
      <c r="O1219">
        <v>93.657078048000002</v>
      </c>
      <c r="P1219">
        <v>110.509209101</v>
      </c>
      <c r="Q1219"/>
      <c r="R1219">
        <v>107.50895908</v>
      </c>
      <c r="S1219">
        <v>91.37</v>
      </c>
      <c r="T1219">
        <v>89.150076397999996</v>
      </c>
      <c r="U1219">
        <v>94.102885822000005</v>
      </c>
      <c r="V1219">
        <v>103.27950724199999</v>
      </c>
      <c r="W1219">
        <v>101.30844236999999</v>
      </c>
      <c r="X1219"/>
      <c r="Y1219">
        <v>100.80840070000001</v>
      </c>
      <c r="Z1219"/>
      <c r="AA1219">
        <v>112.505854801</v>
      </c>
      <c r="AB1219">
        <v>91.292392301000007</v>
      </c>
      <c r="AC1219">
        <v>82.093158903000003</v>
      </c>
      <c r="AD1219">
        <v>103.391384051</v>
      </c>
      <c r="AE1219">
        <v>85.392883925999996</v>
      </c>
      <c r="AF1219">
        <v>114.6</v>
      </c>
      <c r="AG1219"/>
      <c r="AH1219">
        <v>95.292058995000005</v>
      </c>
      <c r="AI1219">
        <v>99.379363847999997</v>
      </c>
      <c r="AJ1219"/>
      <c r="AK1219">
        <v>93.340718089999996</v>
      </c>
      <c r="AL1219">
        <v>115.4</v>
      </c>
      <c r="AM1219">
        <v>85.839284672999995</v>
      </c>
      <c r="AN1219">
        <v>106.3</v>
      </c>
      <c r="AO1219">
        <v>100.92523130799999</v>
      </c>
      <c r="AP1219">
        <v>109.109092424</v>
      </c>
      <c r="AQ1219">
        <v>99.808317360000004</v>
      </c>
      <c r="AR1219">
        <v>109.79085076200001</v>
      </c>
      <c r="AS1219">
        <v>90.358857051000001</v>
      </c>
      <c r="AT1219"/>
    </row>
    <row r="1220" spans="1:46" x14ac:dyDescent="0.2">
      <c r="A1220" s="87">
        <v>44013</v>
      </c>
      <c r="B1220"/>
      <c r="C1220"/>
      <c r="D1220">
        <v>110.690775769</v>
      </c>
      <c r="E1220">
        <v>109.290892426</v>
      </c>
      <c r="F1220">
        <v>92.815854666000007</v>
      </c>
      <c r="G1220">
        <v>99.863559387999999</v>
      </c>
      <c r="H1220">
        <v>111.609695597</v>
      </c>
      <c r="I1220"/>
      <c r="J1220">
        <v>97.289785948000002</v>
      </c>
      <c r="K1220">
        <v>106.982169638</v>
      </c>
      <c r="L1220">
        <v>89.992500625000005</v>
      </c>
      <c r="M1220">
        <v>100.9</v>
      </c>
      <c r="N1220">
        <v>96.3</v>
      </c>
      <c r="O1220">
        <v>99.376082812999996</v>
      </c>
      <c r="P1220">
        <v>111.90932577700001</v>
      </c>
      <c r="Q1220"/>
      <c r="R1220">
        <v>108.60905075399999</v>
      </c>
      <c r="S1220">
        <v>94.43</v>
      </c>
      <c r="T1220">
        <v>93.076463899999993</v>
      </c>
      <c r="U1220">
        <v>99.587739737999996</v>
      </c>
      <c r="V1220">
        <v>106.575661728</v>
      </c>
      <c r="W1220">
        <v>108.309025752</v>
      </c>
      <c r="X1220"/>
      <c r="Y1220">
        <v>106.80890074200001</v>
      </c>
      <c r="Z1220"/>
      <c r="AA1220">
        <v>108.196721311</v>
      </c>
      <c r="AB1220">
        <v>97.791850679000007</v>
      </c>
      <c r="AC1220">
        <v>87.392717274000006</v>
      </c>
      <c r="AD1220">
        <v>105.391217399</v>
      </c>
      <c r="AE1220">
        <v>90.892425630999995</v>
      </c>
      <c r="AF1220">
        <v>114.4</v>
      </c>
      <c r="AG1220"/>
      <c r="AH1220">
        <v>97.791850679000007</v>
      </c>
      <c r="AI1220">
        <v>101.706749418</v>
      </c>
      <c r="AJ1220"/>
      <c r="AK1220">
        <v>97.531749024000007</v>
      </c>
      <c r="AL1220">
        <v>123.2</v>
      </c>
      <c r="AM1220">
        <v>97.919184006999998</v>
      </c>
      <c r="AN1220">
        <v>108.1</v>
      </c>
      <c r="AO1220">
        <v>105.02625656399999</v>
      </c>
      <c r="AP1220">
        <v>118.309859155</v>
      </c>
      <c r="AQ1220">
        <v>103.50862571899999</v>
      </c>
      <c r="AR1220">
        <v>120.48995917000001</v>
      </c>
      <c r="AS1220">
        <v>94.052518249000002</v>
      </c>
      <c r="AT1220"/>
    </row>
    <row r="1221" spans="1:46" x14ac:dyDescent="0.2">
      <c r="A1221" s="87">
        <v>44044</v>
      </c>
      <c r="B1221"/>
      <c r="C1221"/>
      <c r="D1221">
        <v>110.490792434</v>
      </c>
      <c r="E1221">
        <v>109.49087575999999</v>
      </c>
      <c r="F1221">
        <v>95.127993394000001</v>
      </c>
      <c r="G1221">
        <v>99.586665203999999</v>
      </c>
      <c r="H1221">
        <v>112.57173449699999</v>
      </c>
      <c r="I1221"/>
      <c r="J1221">
        <v>97.784171165999993</v>
      </c>
      <c r="K1221">
        <v>110.381603066</v>
      </c>
      <c r="L1221">
        <v>89.692525622999995</v>
      </c>
      <c r="M1221">
        <v>104.9</v>
      </c>
      <c r="N1221">
        <v>97.2</v>
      </c>
      <c r="O1221">
        <v>100.59908383299999</v>
      </c>
      <c r="P1221">
        <v>112.309359113</v>
      </c>
      <c r="Q1221"/>
      <c r="R1221">
        <v>109.909159097</v>
      </c>
      <c r="S1221">
        <v>95.52</v>
      </c>
      <c r="T1221">
        <v>94.539257464000002</v>
      </c>
      <c r="U1221">
        <v>101.093385911</v>
      </c>
      <c r="V1221">
        <v>105.377060097</v>
      </c>
      <c r="W1221">
        <v>115.009584132</v>
      </c>
      <c r="X1221"/>
      <c r="Y1221">
        <v>94.107842320000003</v>
      </c>
      <c r="Z1221"/>
      <c r="AA1221">
        <v>111.85011709600001</v>
      </c>
      <c r="AB1221">
        <v>104.791267394</v>
      </c>
      <c r="AC1221">
        <v>89.892508957999993</v>
      </c>
      <c r="AD1221">
        <v>106.09115907</v>
      </c>
      <c r="AE1221">
        <v>91.192400633000005</v>
      </c>
      <c r="AF1221">
        <v>116</v>
      </c>
      <c r="AG1221"/>
      <c r="AH1221">
        <v>97.791850679000007</v>
      </c>
      <c r="AI1221">
        <v>103.33591931700001</v>
      </c>
      <c r="AJ1221"/>
      <c r="AK1221">
        <v>98.814041924999998</v>
      </c>
      <c r="AL1221">
        <v>122.6</v>
      </c>
      <c r="AM1221">
        <v>106.97910850700001</v>
      </c>
      <c r="AN1221">
        <v>111</v>
      </c>
      <c r="AO1221">
        <v>110.32758189499999</v>
      </c>
      <c r="AP1221">
        <v>120.110009167</v>
      </c>
      <c r="AQ1221">
        <v>111.10925910500001</v>
      </c>
      <c r="AR1221">
        <v>122.38980085</v>
      </c>
      <c r="AS1221">
        <v>95.047373406000006</v>
      </c>
      <c r="AT1221"/>
    </row>
    <row r="1222" spans="1:46" x14ac:dyDescent="0.2">
      <c r="A1222" s="87">
        <v>44075</v>
      </c>
      <c r="B1222"/>
      <c r="C1222"/>
      <c r="D1222">
        <v>112.990584118</v>
      </c>
      <c r="E1222">
        <v>110.790767436</v>
      </c>
      <c r="F1222">
        <v>97.550233965999993</v>
      </c>
      <c r="G1222">
        <v>101.163758163</v>
      </c>
      <c r="H1222">
        <v>116.503294497</v>
      </c>
      <c r="I1222"/>
      <c r="J1222">
        <v>99.866253169000004</v>
      </c>
      <c r="K1222">
        <v>111.281453091</v>
      </c>
      <c r="L1222">
        <v>91.892342305</v>
      </c>
      <c r="M1222">
        <v>106.5</v>
      </c>
      <c r="N1222">
        <v>97.1</v>
      </c>
      <c r="O1222">
        <v>101.49608458</v>
      </c>
      <c r="P1222">
        <v>113.409450788</v>
      </c>
      <c r="Q1222"/>
      <c r="R1222">
        <v>107.908992416</v>
      </c>
      <c r="S1222">
        <v>97.21</v>
      </c>
      <c r="T1222">
        <v>95.037510288999997</v>
      </c>
      <c r="U1222">
        <v>101.84620899799999</v>
      </c>
      <c r="V1222">
        <v>106.975195605</v>
      </c>
      <c r="W1222">
        <v>117.209767481</v>
      </c>
      <c r="X1222"/>
      <c r="Y1222">
        <v>84.407033919</v>
      </c>
      <c r="Z1222"/>
      <c r="AA1222">
        <v>113.723653396</v>
      </c>
      <c r="AB1222">
        <v>100.091659028</v>
      </c>
      <c r="AC1222">
        <v>91.992333971999997</v>
      </c>
      <c r="AD1222">
        <v>109.390884093</v>
      </c>
      <c r="AE1222">
        <v>93.892175652000006</v>
      </c>
      <c r="AF1222">
        <v>116.5</v>
      </c>
      <c r="AG1222"/>
      <c r="AH1222">
        <v>98.491792351000001</v>
      </c>
      <c r="AI1222">
        <v>101.59038013999999</v>
      </c>
      <c r="AJ1222"/>
      <c r="AK1222">
        <v>99.573715625000006</v>
      </c>
      <c r="AL1222">
        <v>125.4</v>
      </c>
      <c r="AM1222">
        <v>103.919134007</v>
      </c>
      <c r="AN1222">
        <v>109.9</v>
      </c>
      <c r="AO1222">
        <v>113.128282071</v>
      </c>
      <c r="AP1222">
        <v>120.61005083800001</v>
      </c>
      <c r="AQ1222">
        <v>110.109175765</v>
      </c>
      <c r="AR1222">
        <v>125.189567536</v>
      </c>
      <c r="AS1222">
        <v>94.759433361000006</v>
      </c>
      <c r="AT1222"/>
    </row>
    <row r="1223" spans="1:46" x14ac:dyDescent="0.2">
      <c r="A1223" s="87">
        <v>44105</v>
      </c>
      <c r="B1223"/>
      <c r="C1223"/>
      <c r="D1223">
        <v>114.590450796</v>
      </c>
      <c r="E1223">
        <v>118.090159153</v>
      </c>
      <c r="F1223">
        <v>98.210845031999995</v>
      </c>
      <c r="G1223">
        <v>101.104633898</v>
      </c>
      <c r="H1223">
        <v>112.40325879700001</v>
      </c>
      <c r="I1223"/>
      <c r="J1223">
        <v>101.375516809</v>
      </c>
      <c r="K1223">
        <v>113.88101983</v>
      </c>
      <c r="L1223">
        <v>95.092075660000006</v>
      </c>
      <c r="M1223">
        <v>99.9</v>
      </c>
      <c r="N1223">
        <v>99.9</v>
      </c>
      <c r="O1223">
        <v>102.297085248</v>
      </c>
      <c r="P1223">
        <v>116.80973414499999</v>
      </c>
      <c r="Q1223"/>
      <c r="R1223">
        <v>109.80915076300001</v>
      </c>
      <c r="S1223">
        <v>99.08</v>
      </c>
      <c r="T1223">
        <v>96.566931566999997</v>
      </c>
      <c r="U1223">
        <v>102.70657824</v>
      </c>
      <c r="V1223">
        <v>103.579157649</v>
      </c>
      <c r="W1223">
        <v>119.009917493</v>
      </c>
      <c r="X1223"/>
      <c r="Y1223">
        <v>92.407700641999995</v>
      </c>
      <c r="Z1223"/>
      <c r="AA1223">
        <v>112.131147541</v>
      </c>
      <c r="AB1223">
        <v>101.991500708</v>
      </c>
      <c r="AC1223">
        <v>93.692192317000007</v>
      </c>
      <c r="AD1223">
        <v>108.790934089</v>
      </c>
      <c r="AE1223">
        <v>94.192150654000002</v>
      </c>
      <c r="AF1223">
        <v>117.9</v>
      </c>
      <c r="AG1223"/>
      <c r="AH1223">
        <v>100.69160903300001</v>
      </c>
      <c r="AI1223">
        <v>97.517455392000002</v>
      </c>
      <c r="AJ1223"/>
      <c r="AK1223">
        <v>100.925762331</v>
      </c>
      <c r="AL1223">
        <v>126.6</v>
      </c>
      <c r="AM1223">
        <v>105.619119841</v>
      </c>
      <c r="AN1223">
        <v>110.1</v>
      </c>
      <c r="AO1223">
        <v>110.32758189499999</v>
      </c>
      <c r="AP1223">
        <v>124.11034252899999</v>
      </c>
      <c r="AQ1223">
        <v>110.00916743099999</v>
      </c>
      <c r="AR1223">
        <v>125.88950920800001</v>
      </c>
      <c r="AS1223">
        <v>95.793737790999998</v>
      </c>
      <c r="AT1223"/>
    </row>
    <row r="1224" spans="1:46" x14ac:dyDescent="0.2">
      <c r="A1224" s="87">
        <v>44136</v>
      </c>
      <c r="B1224"/>
      <c r="C1224"/>
      <c r="D1224">
        <v>114.190484126</v>
      </c>
      <c r="E1224">
        <v>115.290392467</v>
      </c>
      <c r="F1224">
        <v>98.871456097000006</v>
      </c>
      <c r="G1224">
        <v>103.48966930500001</v>
      </c>
      <c r="H1224">
        <v>116.56542979699999</v>
      </c>
      <c r="I1224"/>
      <c r="J1224">
        <v>99.795687219000001</v>
      </c>
      <c r="K1224">
        <v>113.78103649400001</v>
      </c>
      <c r="L1224">
        <v>96.291975668999996</v>
      </c>
      <c r="M1224">
        <v>107.7</v>
      </c>
      <c r="N1224">
        <v>102</v>
      </c>
      <c r="O1224">
        <v>101.358084465</v>
      </c>
      <c r="P1224">
        <v>116.309692474</v>
      </c>
      <c r="Q1224"/>
      <c r="R1224">
        <v>110.60921743500001</v>
      </c>
      <c r="S1224">
        <v>98.59</v>
      </c>
      <c r="T1224">
        <v>97.065589680000002</v>
      </c>
      <c r="U1224">
        <v>103.78203979200001</v>
      </c>
      <c r="V1224">
        <v>110.870650907</v>
      </c>
      <c r="W1224">
        <v>118.209850821</v>
      </c>
      <c r="X1224"/>
      <c r="Y1224">
        <v>128.51070922599999</v>
      </c>
      <c r="Z1224"/>
      <c r="AA1224">
        <v>112.974238876</v>
      </c>
      <c r="AB1224">
        <v>100.591617365</v>
      </c>
      <c r="AC1224">
        <v>93.992167319000004</v>
      </c>
      <c r="AD1224">
        <v>109.290892426</v>
      </c>
      <c r="AE1224">
        <v>94.692108990999998</v>
      </c>
      <c r="AF1224">
        <v>119.7</v>
      </c>
      <c r="AG1224"/>
      <c r="AH1224">
        <v>99.991667360999998</v>
      </c>
      <c r="AI1224">
        <v>99.262994569</v>
      </c>
      <c r="AJ1224"/>
      <c r="AK1224">
        <v>102.039589177</v>
      </c>
      <c r="AL1224">
        <v>127.6</v>
      </c>
      <c r="AM1224">
        <v>100.03916633999999</v>
      </c>
      <c r="AN1224">
        <v>111.8</v>
      </c>
      <c r="AO1224">
        <v>114.428607152</v>
      </c>
      <c r="AP1224">
        <v>124.11034252899999</v>
      </c>
      <c r="AQ1224">
        <v>110.409200767</v>
      </c>
      <c r="AR1224">
        <v>127.789350887</v>
      </c>
      <c r="AS1224">
        <v>96.304695082999999</v>
      </c>
      <c r="AT1224"/>
    </row>
    <row r="1225" spans="1:46" x14ac:dyDescent="0.2">
      <c r="A1225" s="87">
        <v>44166</v>
      </c>
      <c r="B1225"/>
      <c r="C1225"/>
      <c r="D1225">
        <v>110.290809099</v>
      </c>
      <c r="E1225">
        <v>113.69052579</v>
      </c>
      <c r="F1225">
        <v>99.532067162000004</v>
      </c>
      <c r="G1225">
        <v>104.666803999</v>
      </c>
      <c r="H1225">
        <v>115.82625619700001</v>
      </c>
      <c r="I1225"/>
      <c r="J1225">
        <v>99.741976993999998</v>
      </c>
      <c r="K1225">
        <v>113.481086486</v>
      </c>
      <c r="L1225">
        <v>97.691859011999995</v>
      </c>
      <c r="M1225">
        <v>108.8</v>
      </c>
      <c r="N1225">
        <v>102</v>
      </c>
      <c r="O1225">
        <v>102.232085193</v>
      </c>
      <c r="P1225">
        <v>118.509875823</v>
      </c>
      <c r="Q1225"/>
      <c r="R1225">
        <v>110.209184099</v>
      </c>
      <c r="S1225">
        <v>98.11</v>
      </c>
      <c r="T1225">
        <v>97.803274052000006</v>
      </c>
      <c r="U1225">
        <v>103.566947482</v>
      </c>
      <c r="V1225">
        <v>110.77076743799999</v>
      </c>
      <c r="W1225">
        <v>116.20968413999999</v>
      </c>
      <c r="X1225"/>
      <c r="Y1225">
        <v>122.510209184</v>
      </c>
      <c r="Z1225"/>
      <c r="AA1225">
        <v>112.974238876</v>
      </c>
      <c r="AB1225">
        <v>100.7916007</v>
      </c>
      <c r="AC1225">
        <v>94.092158987000005</v>
      </c>
      <c r="AD1225">
        <v>112.29064244600001</v>
      </c>
      <c r="AE1225">
        <v>91.492375635000002</v>
      </c>
      <c r="AF1225">
        <v>120.8</v>
      </c>
      <c r="AG1225"/>
      <c r="AH1225">
        <v>100.191650696</v>
      </c>
      <c r="AI1225">
        <v>102.28859581099999</v>
      </c>
      <c r="AJ1225"/>
      <c r="AK1225">
        <v>102.729584671</v>
      </c>
      <c r="AL1225">
        <v>128</v>
      </c>
      <c r="AM1225">
        <v>101.639153007</v>
      </c>
      <c r="AN1225">
        <v>115.3</v>
      </c>
      <c r="AO1225">
        <v>113.428357089</v>
      </c>
      <c r="AP1225">
        <v>123.01025085400001</v>
      </c>
      <c r="AQ1225">
        <v>111.709309109</v>
      </c>
      <c r="AR1225">
        <v>129.28922589800001</v>
      </c>
      <c r="AS1225">
        <v>97.419285721999998</v>
      </c>
      <c r="AT1225"/>
    </row>
    <row r="1226" spans="1:46" x14ac:dyDescent="0.2">
      <c r="A1226" s="87">
        <v>44197</v>
      </c>
      <c r="B1226"/>
      <c r="C1226"/>
      <c r="D1226">
        <v>113.29055912</v>
      </c>
      <c r="E1226">
        <v>120.48995917000001</v>
      </c>
      <c r="F1226">
        <v>99.752270851000006</v>
      </c>
      <c r="G1226">
        <v>106.024254325</v>
      </c>
      <c r="H1226">
        <v>118.739368797</v>
      </c>
      <c r="I1226"/>
      <c r="J1226">
        <v>101.092316149</v>
      </c>
      <c r="K1226">
        <v>112.281286452</v>
      </c>
      <c r="L1226">
        <v>97.491875676999996</v>
      </c>
      <c r="M1226">
        <v>109.4</v>
      </c>
      <c r="N1226">
        <v>103.1</v>
      </c>
      <c r="O1226">
        <v>101.51108459300001</v>
      </c>
      <c r="P1226">
        <v>117.709809151</v>
      </c>
      <c r="Q1226"/>
      <c r="R1226">
        <v>110.60921743500001</v>
      </c>
      <c r="S1226">
        <v>101.47</v>
      </c>
      <c r="T1226">
        <v>99.036223598000007</v>
      </c>
      <c r="U1226">
        <v>102.061301308</v>
      </c>
      <c r="V1226">
        <v>114.466455802</v>
      </c>
      <c r="W1226">
        <v>115.309609134</v>
      </c>
      <c r="X1226"/>
      <c r="Y1226">
        <v>121.710142512</v>
      </c>
      <c r="Z1226"/>
      <c r="AA1226">
        <v>111.662763466</v>
      </c>
      <c r="AB1226">
        <v>102.29147571</v>
      </c>
      <c r="AC1226">
        <v>96.691942338000004</v>
      </c>
      <c r="AD1226">
        <v>110.89075910299999</v>
      </c>
      <c r="AE1226">
        <v>96.391967335999993</v>
      </c>
      <c r="AF1226">
        <v>119</v>
      </c>
      <c r="AG1226"/>
      <c r="AH1226">
        <v>101.49154237099999</v>
      </c>
      <c r="AI1226">
        <v>103.452288596</v>
      </c>
      <c r="AJ1226"/>
      <c r="AK1226">
        <v>103.727033957</v>
      </c>
      <c r="AL1226">
        <v>129.80000000000001</v>
      </c>
      <c r="AM1226">
        <v>100.569161924</v>
      </c>
      <c r="AN1226">
        <v>111.9</v>
      </c>
      <c r="AO1226">
        <v>114.228557139</v>
      </c>
      <c r="AP1226">
        <v>125.610467539</v>
      </c>
      <c r="AQ1226">
        <v>111.60930077499999</v>
      </c>
      <c r="AR1226">
        <v>130.68910924100001</v>
      </c>
      <c r="AS1226">
        <v>98.531596629000006</v>
      </c>
      <c r="AT1226"/>
    </row>
    <row r="1227" spans="1:46" x14ac:dyDescent="0.2">
      <c r="A1227" s="87">
        <v>44228</v>
      </c>
      <c r="B1227"/>
      <c r="C1227"/>
      <c r="D1227">
        <v>117.390217482</v>
      </c>
      <c r="E1227">
        <v>118.290142488</v>
      </c>
      <c r="F1227">
        <v>98.761354252999993</v>
      </c>
      <c r="G1227">
        <v>103.97737761099999</v>
      </c>
      <c r="H1227">
        <v>119.150778097</v>
      </c>
      <c r="I1227"/>
      <c r="J1227">
        <v>100.85540340999999</v>
      </c>
      <c r="K1227">
        <v>110.481586402</v>
      </c>
      <c r="L1227">
        <v>95.492042330000004</v>
      </c>
      <c r="M1227">
        <v>108</v>
      </c>
      <c r="N1227">
        <v>101.8</v>
      </c>
      <c r="O1227">
        <v>101.494084578</v>
      </c>
      <c r="P1227">
        <v>117.509792483</v>
      </c>
      <c r="Q1227"/>
      <c r="R1227">
        <v>113.109425785</v>
      </c>
      <c r="S1227">
        <v>96.83</v>
      </c>
      <c r="T1227">
        <v>96.851348302000005</v>
      </c>
      <c r="U1227">
        <v>102.70657824</v>
      </c>
      <c r="V1227">
        <v>111.569835192</v>
      </c>
      <c r="W1227">
        <v>120.810067506</v>
      </c>
      <c r="X1227"/>
      <c r="Y1227">
        <v>126.51054254500001</v>
      </c>
      <c r="Z1227"/>
      <c r="AA1227">
        <v>110.444964871</v>
      </c>
      <c r="AB1227">
        <v>102.391467378</v>
      </c>
      <c r="AC1227">
        <v>95.392050662000003</v>
      </c>
      <c r="AD1227">
        <v>115.590367469</v>
      </c>
      <c r="AE1227">
        <v>94.792100657999995</v>
      </c>
      <c r="AF1227">
        <v>120.4</v>
      </c>
      <c r="AG1227"/>
      <c r="AH1227">
        <v>99.491709024000002</v>
      </c>
      <c r="AI1227">
        <v>102.055857254</v>
      </c>
      <c r="AJ1227"/>
      <c r="AK1227">
        <v>102.611806366</v>
      </c>
      <c r="AL1227">
        <v>130.19999999999999</v>
      </c>
      <c r="AM1227">
        <v>102.07914934</v>
      </c>
      <c r="AN1227">
        <v>112.9</v>
      </c>
      <c r="AO1227">
        <v>113.928482121</v>
      </c>
      <c r="AP1227">
        <v>126.81056754700001</v>
      </c>
      <c r="AQ1227">
        <v>112.509375781</v>
      </c>
      <c r="AR1227">
        <v>130.889092576</v>
      </c>
      <c r="AS1227">
        <v>95.547130276000004</v>
      </c>
      <c r="AT1227"/>
    </row>
    <row r="1228" spans="1:46" x14ac:dyDescent="0.2">
      <c r="A1228" s="87">
        <v>44256</v>
      </c>
      <c r="B1228"/>
      <c r="C1228"/>
      <c r="D1228">
        <v>121.489875844</v>
      </c>
      <c r="E1228">
        <v>122.889759187</v>
      </c>
      <c r="F1228">
        <v>96.118909991999999</v>
      </c>
      <c r="G1228">
        <v>104.71041148899999</v>
      </c>
      <c r="H1228">
        <v>126.85961669700001</v>
      </c>
      <c r="I1228"/>
      <c r="J1228">
        <v>102.234491252</v>
      </c>
      <c r="K1228">
        <v>113.281119813</v>
      </c>
      <c r="L1228">
        <v>96.291975668999996</v>
      </c>
      <c r="M1228">
        <v>114.1</v>
      </c>
      <c r="N1228">
        <v>102.4</v>
      </c>
      <c r="O1228">
        <v>102.09408507800001</v>
      </c>
      <c r="P1228">
        <v>115.40961746799999</v>
      </c>
      <c r="Q1228"/>
      <c r="R1228">
        <v>110.709225769</v>
      </c>
      <c r="S1228">
        <v>97.78</v>
      </c>
      <c r="T1228">
        <v>98.700953588999994</v>
      </c>
      <c r="U1228">
        <v>103.889585947</v>
      </c>
      <c r="V1228">
        <v>114.066921924</v>
      </c>
      <c r="W1228">
        <v>120.810067506</v>
      </c>
      <c r="X1228"/>
      <c r="Y1228">
        <v>123.01025085400001</v>
      </c>
      <c r="Z1228"/>
      <c r="AA1228">
        <v>114.004683841</v>
      </c>
      <c r="AB1228">
        <v>102.791434047</v>
      </c>
      <c r="AC1228">
        <v>97.091909008000002</v>
      </c>
      <c r="AD1228">
        <v>114.79043412999999</v>
      </c>
      <c r="AE1228">
        <v>95.392050662000003</v>
      </c>
      <c r="AF1228">
        <v>120.9</v>
      </c>
      <c r="AG1228"/>
      <c r="AH1228">
        <v>102.69144238</v>
      </c>
      <c r="AI1228">
        <v>103.10318076</v>
      </c>
      <c r="AJ1228"/>
      <c r="AK1228">
        <v>104.286637658</v>
      </c>
      <c r="AL1228">
        <v>133.69999999999999</v>
      </c>
      <c r="AM1228">
        <v>101.69915250699999</v>
      </c>
      <c r="AN1228">
        <v>114.1</v>
      </c>
      <c r="AO1228">
        <v>114.228557139</v>
      </c>
      <c r="AP1228">
        <v>127.410617551</v>
      </c>
      <c r="AQ1228">
        <v>114.60955079599999</v>
      </c>
      <c r="AR1228">
        <v>131.989000917</v>
      </c>
      <c r="AS1228">
        <v>98.287962676999996</v>
      </c>
      <c r="AT1228"/>
    </row>
    <row r="1229" spans="1:46" x14ac:dyDescent="0.2">
      <c r="A1229" s="87">
        <v>44287</v>
      </c>
      <c r="B1229"/>
      <c r="C1229"/>
      <c r="D1229">
        <v>121.78985084599999</v>
      </c>
      <c r="E1229">
        <v>128.28930922399999</v>
      </c>
      <c r="F1229">
        <v>94.687586017000001</v>
      </c>
      <c r="G1229">
        <v>103.759340162</v>
      </c>
      <c r="H1229">
        <v>125.86367159700001</v>
      </c>
      <c r="I1229"/>
      <c r="J1229">
        <v>102.40678611</v>
      </c>
      <c r="K1229">
        <v>114.880853191</v>
      </c>
      <c r="L1229">
        <v>95.992000666999999</v>
      </c>
      <c r="M1229">
        <v>110.8</v>
      </c>
      <c r="N1229">
        <v>103.1</v>
      </c>
      <c r="O1229">
        <v>103.468086223</v>
      </c>
      <c r="P1229">
        <v>120.510042504</v>
      </c>
      <c r="Q1229"/>
      <c r="R1229">
        <v>112.309359113</v>
      </c>
      <c r="S1229">
        <v>97.55</v>
      </c>
      <c r="T1229">
        <v>99.257468082000003</v>
      </c>
      <c r="U1229">
        <v>103.45940132600001</v>
      </c>
      <c r="V1229">
        <v>118.96121191899999</v>
      </c>
      <c r="W1229">
        <v>116.70972580999999</v>
      </c>
      <c r="X1229"/>
      <c r="Y1229">
        <v>123.51029252399999</v>
      </c>
      <c r="Z1229"/>
      <c r="AA1229">
        <v>113.536299766</v>
      </c>
      <c r="AB1229">
        <v>104.49129239200001</v>
      </c>
      <c r="AC1229">
        <v>99.791684025999999</v>
      </c>
      <c r="AD1229">
        <v>112.59061744900001</v>
      </c>
      <c r="AE1229">
        <v>96.591950671000006</v>
      </c>
      <c r="AF1229">
        <v>124</v>
      </c>
      <c r="AG1229"/>
      <c r="AH1229">
        <v>102.591450712</v>
      </c>
      <c r="AI1229">
        <v>102.98681148199999</v>
      </c>
      <c r="AJ1229"/>
      <c r="AK1229">
        <v>104.569302966</v>
      </c>
      <c r="AL1229">
        <v>132.69999999999999</v>
      </c>
      <c r="AM1229">
        <v>102.17914850699999</v>
      </c>
      <c r="AN1229">
        <v>115.9</v>
      </c>
      <c r="AO1229">
        <v>113.028257064</v>
      </c>
      <c r="AP1229">
        <v>128.71072589400001</v>
      </c>
      <c r="AQ1229">
        <v>114.309525794</v>
      </c>
      <c r="AR1229">
        <v>130.889092576</v>
      </c>
      <c r="AS1229">
        <v>98.367059460999997</v>
      </c>
      <c r="AT1229"/>
    </row>
    <row r="1230" spans="1:46" x14ac:dyDescent="0.2">
      <c r="A1230" s="87">
        <v>44317</v>
      </c>
      <c r="B1230"/>
      <c r="C1230"/>
      <c r="D1230">
        <v>119.690025831</v>
      </c>
      <c r="E1230">
        <v>128.38930089199999</v>
      </c>
      <c r="F1230">
        <v>95.788604458999998</v>
      </c>
      <c r="G1230">
        <v>103.235782754</v>
      </c>
      <c r="H1230">
        <v>122.319737597</v>
      </c>
      <c r="I1230"/>
      <c r="J1230">
        <v>100.683578422</v>
      </c>
      <c r="K1230">
        <v>111.081486419</v>
      </c>
      <c r="L1230">
        <v>95.192067327999993</v>
      </c>
      <c r="M1230">
        <v>111.8</v>
      </c>
      <c r="N1230">
        <v>102</v>
      </c>
      <c r="O1230">
        <v>104.941087451</v>
      </c>
      <c r="P1230">
        <v>118.70989249100001</v>
      </c>
      <c r="Q1230"/>
      <c r="R1230">
        <v>114.509542462</v>
      </c>
      <c r="S1230">
        <v>97.2</v>
      </c>
      <c r="T1230">
        <v>98.185157055000005</v>
      </c>
      <c r="U1230">
        <v>104.427316723</v>
      </c>
      <c r="V1230">
        <v>113.667388047</v>
      </c>
      <c r="W1230">
        <v>120.510042504</v>
      </c>
      <c r="X1230"/>
      <c r="Y1230">
        <v>118.009834153</v>
      </c>
      <c r="Z1230"/>
      <c r="AA1230">
        <v>111.662763466</v>
      </c>
      <c r="AB1230">
        <v>102.791434047</v>
      </c>
      <c r="AC1230">
        <v>93.792183984999994</v>
      </c>
      <c r="AD1230">
        <v>111.09074243800001</v>
      </c>
      <c r="AE1230">
        <v>94.692108990999998</v>
      </c>
      <c r="AF1230">
        <v>121.2</v>
      </c>
      <c r="AG1230"/>
      <c r="AH1230">
        <v>102.99141738199999</v>
      </c>
      <c r="AI1230">
        <v>102.63770364600001</v>
      </c>
      <c r="AJ1230"/>
      <c r="AK1230">
        <v>103.30438107099999</v>
      </c>
      <c r="AL1230">
        <v>134.80000000000001</v>
      </c>
      <c r="AM1230">
        <v>97.339188840000006</v>
      </c>
      <c r="AN1230">
        <v>116.7</v>
      </c>
      <c r="AO1230">
        <v>110.32758189499999</v>
      </c>
      <c r="AP1230">
        <v>128.01066755599999</v>
      </c>
      <c r="AQ1230">
        <v>113.80948412399999</v>
      </c>
      <c r="AR1230">
        <v>133.088909258</v>
      </c>
      <c r="AS1230">
        <v>99.042058327000007</v>
      </c>
      <c r="AT1230"/>
    </row>
    <row r="1231" spans="1:46" x14ac:dyDescent="0.2">
      <c r="A1231" s="87">
        <v>44348</v>
      </c>
      <c r="B1231"/>
      <c r="C1231"/>
      <c r="D1231">
        <v>122.189817515</v>
      </c>
      <c r="E1231">
        <v>138.98841763199999</v>
      </c>
      <c r="F1231">
        <v>95.348197081999999</v>
      </c>
      <c r="G1231">
        <v>105.642220611</v>
      </c>
      <c r="H1231">
        <v>122.198846797</v>
      </c>
      <c r="I1231"/>
      <c r="J1231">
        <v>103.515616386</v>
      </c>
      <c r="K1231">
        <v>112.281286452</v>
      </c>
      <c r="L1231">
        <v>94.792100657999995</v>
      </c>
      <c r="M1231">
        <v>109.9</v>
      </c>
      <c r="N1231">
        <v>102.3</v>
      </c>
      <c r="O1231">
        <v>103.726086438</v>
      </c>
      <c r="P1231">
        <v>122.41020085</v>
      </c>
      <c r="Q1231"/>
      <c r="R1231">
        <v>112.509375781</v>
      </c>
      <c r="S1231">
        <v>97.77</v>
      </c>
      <c r="T1231">
        <v>99.668505065999994</v>
      </c>
      <c r="U1231">
        <v>103.78203979200001</v>
      </c>
      <c r="V1231">
        <v>112.868320293</v>
      </c>
      <c r="W1231">
        <v>120.01000083300001</v>
      </c>
      <c r="X1231"/>
      <c r="Y1231">
        <v>113.109425785</v>
      </c>
      <c r="Z1231"/>
      <c r="AA1231">
        <v>115.50351288100001</v>
      </c>
      <c r="AB1231">
        <v>103.891342388</v>
      </c>
      <c r="AC1231">
        <v>99.791684025999999</v>
      </c>
      <c r="AD1231">
        <v>113.59053412199999</v>
      </c>
      <c r="AE1231">
        <v>95.292058995000005</v>
      </c>
      <c r="AF1231">
        <v>122.6</v>
      </c>
      <c r="AG1231"/>
      <c r="AH1231">
        <v>104.991250729</v>
      </c>
      <c r="AI1231">
        <v>103.68502715299999</v>
      </c>
      <c r="AJ1231"/>
      <c r="AK1231">
        <v>105.116204177</v>
      </c>
      <c r="AL1231">
        <v>136.19999999999999</v>
      </c>
      <c r="AM1231">
        <v>95.209206589999994</v>
      </c>
      <c r="AN1231">
        <v>116.4</v>
      </c>
      <c r="AO1231">
        <v>113.32833208300001</v>
      </c>
      <c r="AP1231">
        <v>130.910909242</v>
      </c>
      <c r="AQ1231">
        <v>115.009584132</v>
      </c>
      <c r="AR1231">
        <v>135.98866761100001</v>
      </c>
      <c r="AS1231">
        <v>99.585030982999996</v>
      </c>
      <c r="AT1231"/>
    </row>
    <row r="1232" spans="1:46" x14ac:dyDescent="0.2">
      <c r="A1232" s="87">
        <v>44378</v>
      </c>
      <c r="B1232"/>
      <c r="C1232"/>
      <c r="D1232">
        <v>120.789934172</v>
      </c>
      <c r="E1232">
        <v>133.088909258</v>
      </c>
      <c r="F1232">
        <v>94.247178640000001</v>
      </c>
      <c r="G1232">
        <v>105.92152256999999</v>
      </c>
      <c r="H1232">
        <v>122.953497797</v>
      </c>
      <c r="I1232"/>
      <c r="J1232">
        <v>102.649696457</v>
      </c>
      <c r="K1232">
        <v>112.881186469</v>
      </c>
      <c r="L1232">
        <v>96.191984000999994</v>
      </c>
      <c r="M1232">
        <v>115.5</v>
      </c>
      <c r="N1232">
        <v>103.5</v>
      </c>
      <c r="O1232">
        <v>102.62408551999999</v>
      </c>
      <c r="P1232">
        <v>121.010084174</v>
      </c>
      <c r="Q1232"/>
      <c r="R1232">
        <v>112.809400783</v>
      </c>
      <c r="S1232">
        <v>98.17</v>
      </c>
      <c r="T1232">
        <v>100.234488826</v>
      </c>
      <c r="U1232">
        <v>104.10467825800001</v>
      </c>
      <c r="V1232">
        <v>115.665057433</v>
      </c>
      <c r="W1232">
        <v>119.20993416100001</v>
      </c>
      <c r="X1232"/>
      <c r="Y1232">
        <v>123.110259188</v>
      </c>
      <c r="Z1232"/>
      <c r="AA1232">
        <v>117.28337236500001</v>
      </c>
      <c r="AB1232">
        <v>104.791267394</v>
      </c>
      <c r="AC1232">
        <v>98.791767352999997</v>
      </c>
      <c r="AD1232">
        <v>113.79051745700001</v>
      </c>
      <c r="AE1232">
        <v>92.792267311000003</v>
      </c>
      <c r="AF1232">
        <v>123.9</v>
      </c>
      <c r="AG1232"/>
      <c r="AH1232">
        <v>106.191150737</v>
      </c>
      <c r="AI1232">
        <v>103.68502715299999</v>
      </c>
      <c r="AJ1232"/>
      <c r="AK1232">
        <v>105.58376465800001</v>
      </c>
      <c r="AL1232">
        <v>137.4</v>
      </c>
      <c r="AM1232">
        <v>98.649177924</v>
      </c>
      <c r="AN1232">
        <v>116.5</v>
      </c>
      <c r="AO1232">
        <v>114.428607152</v>
      </c>
      <c r="AP1232">
        <v>128.51070922599999</v>
      </c>
      <c r="AQ1232">
        <v>115.109592466</v>
      </c>
      <c r="AR1232">
        <v>131.38905091199999</v>
      </c>
      <c r="AS1232">
        <v>100.352012074</v>
      </c>
      <c r="AT1232"/>
    </row>
    <row r="1233" spans="1:46" x14ac:dyDescent="0.2">
      <c r="A1233" s="87">
        <v>44409</v>
      </c>
      <c r="B1233"/>
      <c r="C1233"/>
      <c r="D1233">
        <v>119.390050829</v>
      </c>
      <c r="E1233">
        <v>130.08915923699999</v>
      </c>
      <c r="F1233">
        <v>93.586567575000004</v>
      </c>
      <c r="G1233">
        <v>106.481731672</v>
      </c>
      <c r="H1233">
        <v>122.48305049699999</v>
      </c>
      <c r="I1233"/>
      <c r="J1233">
        <v>101.48047156299999</v>
      </c>
      <c r="K1233">
        <v>110.481586402</v>
      </c>
      <c r="L1233">
        <v>92.092325639999999</v>
      </c>
      <c r="M1233">
        <v>120.8</v>
      </c>
      <c r="N1233">
        <v>101.7</v>
      </c>
      <c r="O1233">
        <v>102.386085322</v>
      </c>
      <c r="P1233">
        <v>117.209767481</v>
      </c>
      <c r="Q1233"/>
      <c r="R1233">
        <v>114.309525794</v>
      </c>
      <c r="S1233">
        <v>99.17</v>
      </c>
      <c r="T1233">
        <v>99.037450867999993</v>
      </c>
      <c r="U1233">
        <v>105.18013981</v>
      </c>
      <c r="V1233">
        <v>116.364241718</v>
      </c>
      <c r="W1233">
        <v>115.809650804</v>
      </c>
      <c r="X1233"/>
      <c r="Y1233">
        <v>117.90982581900001</v>
      </c>
      <c r="Z1233"/>
      <c r="AA1233">
        <v>114.004683841</v>
      </c>
      <c r="AB1233">
        <v>104.49129239200001</v>
      </c>
      <c r="AC1233">
        <v>95.292058995000005</v>
      </c>
      <c r="AD1233">
        <v>113.190567453</v>
      </c>
      <c r="AE1233">
        <v>95.592033997000001</v>
      </c>
      <c r="AF1233">
        <v>121.3</v>
      </c>
      <c r="AG1233"/>
      <c r="AH1233">
        <v>103.391384051</v>
      </c>
      <c r="AI1233">
        <v>106.47788983700001</v>
      </c>
      <c r="AJ1233"/>
      <c r="AK1233">
        <v>104.762118782</v>
      </c>
      <c r="AL1233">
        <v>135.69999999999999</v>
      </c>
      <c r="AM1233">
        <v>96.759193672999999</v>
      </c>
      <c r="AN1233">
        <v>115.4</v>
      </c>
      <c r="AO1233">
        <v>109.92748186999999</v>
      </c>
      <c r="AP1233">
        <v>129.71080923400001</v>
      </c>
      <c r="AQ1233">
        <v>113.409450788</v>
      </c>
      <c r="AR1233">
        <v>138.78843429700001</v>
      </c>
      <c r="AS1233">
        <v>100.21512904399999</v>
      </c>
      <c r="AT1233"/>
    </row>
    <row r="1234" spans="1:46" x14ac:dyDescent="0.2">
      <c r="A1234" s="87">
        <v>44440</v>
      </c>
      <c r="B1234"/>
      <c r="C1234"/>
      <c r="D1234">
        <v>116.59028414300001</v>
      </c>
      <c r="E1234">
        <v>130.889092576</v>
      </c>
      <c r="F1234">
        <v>93.256262042000003</v>
      </c>
      <c r="G1234">
        <v>106.05582293800001</v>
      </c>
      <c r="H1234">
        <v>123.65937919700001</v>
      </c>
      <c r="I1234"/>
      <c r="J1234">
        <v>99.532339003000004</v>
      </c>
      <c r="K1234">
        <v>107.18213631099999</v>
      </c>
      <c r="L1234">
        <v>90.892425630999995</v>
      </c>
      <c r="M1234">
        <v>112</v>
      </c>
      <c r="N1234">
        <v>101.5</v>
      </c>
      <c r="O1234">
        <v>102.73208561</v>
      </c>
      <c r="P1234">
        <v>123.01025085400001</v>
      </c>
      <c r="Q1234"/>
      <c r="R1234">
        <v>114.90957579800001</v>
      </c>
      <c r="S1234">
        <v>97.7</v>
      </c>
      <c r="T1234">
        <v>97.084297942999996</v>
      </c>
      <c r="U1234">
        <v>104.749955189</v>
      </c>
      <c r="V1234">
        <v>118.062260696</v>
      </c>
      <c r="W1234">
        <v>115.40961746799999</v>
      </c>
      <c r="X1234"/>
      <c r="Y1234">
        <v>122.010167514</v>
      </c>
      <c r="Z1234"/>
      <c r="AA1234">
        <v>113.817330211</v>
      </c>
      <c r="AB1234">
        <v>104.59128406000001</v>
      </c>
      <c r="AC1234">
        <v>89.792517290000006</v>
      </c>
      <c r="AD1234">
        <v>111.990667444</v>
      </c>
      <c r="AE1234">
        <v>95.092075660000006</v>
      </c>
      <c r="AF1234">
        <v>123.1</v>
      </c>
      <c r="AG1234"/>
      <c r="AH1234">
        <v>104.49129239200001</v>
      </c>
      <c r="AI1234">
        <v>109.96896819200001</v>
      </c>
      <c r="AJ1234"/>
      <c r="AK1234">
        <v>103.28427507799999</v>
      </c>
      <c r="AL1234">
        <v>136.6</v>
      </c>
      <c r="AM1234">
        <v>98.289180923000004</v>
      </c>
      <c r="AN1234">
        <v>117.4</v>
      </c>
      <c r="AO1234">
        <v>108.227056764</v>
      </c>
      <c r="AP1234">
        <v>130.01083423599999</v>
      </c>
      <c r="AQ1234">
        <v>113.409450788</v>
      </c>
      <c r="AR1234">
        <v>136.68860928300001</v>
      </c>
      <c r="AS1234">
        <v>99.199161587000006</v>
      </c>
      <c r="AT1234"/>
    </row>
    <row r="1235" spans="1:46" x14ac:dyDescent="0.2">
      <c r="A1235" s="87">
        <v>44470</v>
      </c>
      <c r="B1235"/>
      <c r="C1235"/>
      <c r="D1235">
        <v>120.989917507</v>
      </c>
      <c r="E1235">
        <v>130.98908424300001</v>
      </c>
      <c r="F1235">
        <v>92.375447288999993</v>
      </c>
      <c r="G1235">
        <v>108.361669284</v>
      </c>
      <c r="H1235"/>
      <c r="I1235"/>
      <c r="J1235">
        <v>103.20642818</v>
      </c>
      <c r="K1235">
        <v>108.18196967199999</v>
      </c>
      <c r="L1235">
        <v>93.792183984999994</v>
      </c>
      <c r="M1235">
        <v>114.4</v>
      </c>
      <c r="N1235">
        <v>102.6</v>
      </c>
      <c r="O1235">
        <v>101.746084788</v>
      </c>
      <c r="P1235">
        <v>120.110009167</v>
      </c>
      <c r="Q1235"/>
      <c r="R1235">
        <v>115.3</v>
      </c>
      <c r="S1235">
        <v>98.54</v>
      </c>
      <c r="T1235"/>
      <c r="U1235">
        <v>104.10467825800001</v>
      </c>
      <c r="V1235">
        <v>120.95888130500001</v>
      </c>
      <c r="W1235">
        <v>115.809650804</v>
      </c>
      <c r="X1235"/>
      <c r="Y1235">
        <v>90.084985836000001</v>
      </c>
      <c r="Z1235"/>
      <c r="AA1235">
        <v>116.62763466</v>
      </c>
      <c r="AB1235">
        <v>103.991334055</v>
      </c>
      <c r="AC1235">
        <v>90.792433963999997</v>
      </c>
      <c r="AD1235">
        <v>108.590950754</v>
      </c>
      <c r="AE1235">
        <v>95.392050662000003</v>
      </c>
      <c r="AF1235">
        <v>121.3</v>
      </c>
      <c r="AG1235"/>
      <c r="AH1235">
        <v>103.491375719</v>
      </c>
      <c r="AI1235">
        <v>104.150504267</v>
      </c>
      <c r="AJ1235"/>
      <c r="AK1235"/>
      <c r="AL1235">
        <v>139.30000000000001</v>
      </c>
      <c r="AM1235">
        <v>98.989175090000003</v>
      </c>
      <c r="AN1235">
        <v>118.8</v>
      </c>
      <c r="AO1235">
        <v>111.52788197</v>
      </c>
      <c r="AP1235">
        <v>131.41095091299999</v>
      </c>
      <c r="AQ1235">
        <v>115.009584132</v>
      </c>
      <c r="AR1235">
        <v>137.58853428899999</v>
      </c>
      <c r="AS1235">
        <v>100.86425791000001</v>
      </c>
      <c r="AT1235"/>
    </row>
    <row r="1236" spans="1:46" x14ac:dyDescent="0.2">
      <c r="A1236" s="87">
        <v>44501</v>
      </c>
      <c r="B1236"/>
      <c r="C1236"/>
      <c r="D1236">
        <v>123.38971752400001</v>
      </c>
      <c r="E1236">
        <v>126.489459212</v>
      </c>
      <c r="F1236">
        <v>92.155243600000006</v>
      </c>
      <c r="G1236"/>
      <c r="H1236"/>
      <c r="I1236"/>
      <c r="J1236">
        <v>102.335383569</v>
      </c>
      <c r="K1236">
        <v>113.681053158</v>
      </c>
      <c r="L1236">
        <v>93.892175652000006</v>
      </c>
      <c r="M1236">
        <v>118.5</v>
      </c>
      <c r="N1236">
        <v>103.217202867</v>
      </c>
      <c r="O1236">
        <v>106.29608858</v>
      </c>
      <c r="P1236">
        <v>124.010334195</v>
      </c>
      <c r="Q1236"/>
      <c r="R1236"/>
      <c r="S1236">
        <v>98.1</v>
      </c>
      <c r="T1236"/>
      <c r="U1236"/>
      <c r="V1236">
        <v>119.560512735</v>
      </c>
      <c r="W1236">
        <v>119.809984165</v>
      </c>
      <c r="X1236"/>
      <c r="Y1236">
        <v>123.679386769</v>
      </c>
      <c r="Z1236"/>
      <c r="AA1236"/>
      <c r="AB1236">
        <v>106.291142405</v>
      </c>
      <c r="AC1236">
        <v>97.291892341999997</v>
      </c>
      <c r="AD1236">
        <v>114.090492459</v>
      </c>
      <c r="AE1236">
        <v>92.692275644000006</v>
      </c>
      <c r="AF1236">
        <v>121.4</v>
      </c>
      <c r="AG1236"/>
      <c r="AH1236"/>
      <c r="AI1236">
        <v>101.008533747</v>
      </c>
      <c r="AJ1236"/>
      <c r="AK1236"/>
      <c r="AL1236">
        <v>147.30000000000001</v>
      </c>
      <c r="AM1236">
        <v>100.21916484</v>
      </c>
      <c r="AN1236">
        <v>118.9</v>
      </c>
      <c r="AO1236">
        <v>116.929232308</v>
      </c>
      <c r="AP1236">
        <v>135.11125927200001</v>
      </c>
      <c r="AQ1236">
        <v>115.78070321600001</v>
      </c>
      <c r="AR1236"/>
      <c r="AS1236">
        <v>101.383838535</v>
      </c>
      <c r="AT1236"/>
    </row>
    <row r="1237" spans="1:46" x14ac:dyDescent="0.2">
      <c r="A1237" s="87">
        <v>44531</v>
      </c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</row>
    <row r="1238" spans="1:46" x14ac:dyDescent="0.2">
      <c r="A1238" s="87">
        <v>44562</v>
      </c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</row>
    <row r="1239" spans="1:46" x14ac:dyDescent="0.2">
      <c r="A1239" s="87">
        <v>44593</v>
      </c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</row>
    <row r="1240" spans="1:46" x14ac:dyDescent="0.2">
      <c r="A1240" s="87">
        <v>44621</v>
      </c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</row>
    <row r="1241" spans="1:46" x14ac:dyDescent="0.2">
      <c r="A1241" s="87">
        <v>44652</v>
      </c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</row>
    <row r="1242" spans="1:46" x14ac:dyDescent="0.2">
      <c r="A1242" s="87">
        <v>44682</v>
      </c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</row>
    <row r="1243" spans="1:46" x14ac:dyDescent="0.2">
      <c r="A1243" s="87">
        <v>44713</v>
      </c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</row>
    <row r="1244" spans="1:46" x14ac:dyDescent="0.2">
      <c r="A1244" s="87">
        <v>44743</v>
      </c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</row>
    <row r="1245" spans="1:46" x14ac:dyDescent="0.2">
      <c r="A1245" s="87">
        <v>44774</v>
      </c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</row>
    <row r="1246" spans="1:46" x14ac:dyDescent="0.2">
      <c r="A1246" s="87">
        <v>44805</v>
      </c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</row>
    <row r="1247" spans="1:46" x14ac:dyDescent="0.2">
      <c r="A1247" s="87">
        <v>44835</v>
      </c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</row>
    <row r="1248" spans="1:46" x14ac:dyDescent="0.2">
      <c r="A1248" s="87">
        <v>44866</v>
      </c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</row>
    <row r="1249" spans="1:46" x14ac:dyDescent="0.2">
      <c r="A1249" s="87">
        <v>44896</v>
      </c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</row>
    <row r="1250" spans="1:46" x14ac:dyDescent="0.2">
      <c r="A1250" s="87">
        <v>44927</v>
      </c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D182"/>
  <sheetViews>
    <sheetView zoomScale="190" zoomScaleNormal="190" workbookViewId="0">
      <selection activeCell="AW1" sqref="AW1"/>
    </sheetView>
  </sheetViews>
  <sheetFormatPr baseColWidth="10" defaultRowHeight="15" x14ac:dyDescent="0.2"/>
  <cols>
    <col min="3" max="3" width="21.1640625" style="75" customWidth="1"/>
  </cols>
  <sheetData>
    <row r="1" spans="1:4" x14ac:dyDescent="0.2">
      <c r="A1" t="s">
        <v>8</v>
      </c>
      <c r="B1" t="s">
        <v>540</v>
      </c>
      <c r="C1" t="s">
        <v>541</v>
      </c>
      <c r="D1" t="s">
        <v>542</v>
      </c>
    </row>
    <row r="2" spans="1:4" x14ac:dyDescent="0.2">
      <c r="A2" t="s">
        <v>432</v>
      </c>
      <c r="B2">
        <v>20937</v>
      </c>
      <c r="C2">
        <v>21.151673807080801</v>
      </c>
      <c r="D2" t="s">
        <v>431</v>
      </c>
    </row>
    <row r="3" spans="1:4" x14ac:dyDescent="0.2">
      <c r="A3" t="s">
        <v>95</v>
      </c>
      <c r="B3">
        <v>14723</v>
      </c>
      <c r="C3">
        <v>43.543957585250702</v>
      </c>
      <c r="D3" t="s">
        <v>94</v>
      </c>
    </row>
    <row r="4" spans="1:4" x14ac:dyDescent="0.2">
      <c r="A4" t="s">
        <v>492</v>
      </c>
      <c r="B4">
        <v>13011</v>
      </c>
      <c r="C4">
        <v>21.252284106983399</v>
      </c>
      <c r="D4" t="s">
        <v>506</v>
      </c>
    </row>
    <row r="5" spans="1:4" x14ac:dyDescent="0.2">
      <c r="A5" t="s">
        <v>231</v>
      </c>
      <c r="B5">
        <v>4975</v>
      </c>
      <c r="C5">
        <v>25.5064392440487</v>
      </c>
      <c r="D5" t="s">
        <v>230</v>
      </c>
    </row>
    <row r="6" spans="1:4" x14ac:dyDescent="0.2">
      <c r="A6" t="s">
        <v>127</v>
      </c>
      <c r="B6">
        <v>3846</v>
      </c>
      <c r="C6">
        <v>21.149021843708798</v>
      </c>
      <c r="D6" t="s">
        <v>126</v>
      </c>
    </row>
    <row r="7" spans="1:4" x14ac:dyDescent="0.2">
      <c r="A7" t="s">
        <v>177</v>
      </c>
      <c r="B7">
        <v>2708</v>
      </c>
      <c r="C7">
        <v>16.741455414543001</v>
      </c>
      <c r="D7" t="s">
        <v>176</v>
      </c>
    </row>
    <row r="8" spans="1:4" x14ac:dyDescent="0.2">
      <c r="A8" t="s">
        <v>159</v>
      </c>
      <c r="B8">
        <v>2630</v>
      </c>
      <c r="C8">
        <v>23.811868719765901</v>
      </c>
      <c r="D8" t="s">
        <v>158</v>
      </c>
    </row>
    <row r="9" spans="1:4" x14ac:dyDescent="0.2">
      <c r="A9" t="s">
        <v>211</v>
      </c>
      <c r="B9">
        <v>2623</v>
      </c>
      <c r="C9">
        <v>29.2776504852473</v>
      </c>
      <c r="D9" t="s">
        <v>210</v>
      </c>
    </row>
    <row r="10" spans="1:4" x14ac:dyDescent="0.2">
      <c r="A10" t="s">
        <v>225</v>
      </c>
      <c r="B10">
        <v>1886</v>
      </c>
      <c r="C10">
        <v>17.584162384435398</v>
      </c>
      <c r="D10" t="s">
        <v>224</v>
      </c>
    </row>
    <row r="11" spans="1:4" x14ac:dyDescent="0.2">
      <c r="A11" t="s">
        <v>87</v>
      </c>
      <c r="B11">
        <v>1644</v>
      </c>
      <c r="C11">
        <v>22.078003360688999</v>
      </c>
      <c r="D11" t="s">
        <v>86</v>
      </c>
    </row>
    <row r="12" spans="1:4" x14ac:dyDescent="0.2">
      <c r="A12" t="s">
        <v>243</v>
      </c>
      <c r="B12">
        <v>1631</v>
      </c>
      <c r="C12">
        <v>31.861011061517999</v>
      </c>
      <c r="D12" t="s">
        <v>534</v>
      </c>
    </row>
    <row r="13" spans="1:4" x14ac:dyDescent="0.2">
      <c r="A13" t="s">
        <v>456</v>
      </c>
      <c r="B13">
        <v>1484</v>
      </c>
      <c r="C13">
        <v>23.9879493606627</v>
      </c>
      <c r="D13" t="s">
        <v>537</v>
      </c>
    </row>
    <row r="14" spans="1:4" x14ac:dyDescent="0.2">
      <c r="A14" t="s">
        <v>75</v>
      </c>
      <c r="B14">
        <v>1445</v>
      </c>
      <c r="C14">
        <v>15.4048651869991</v>
      </c>
      <c r="D14" t="s">
        <v>74</v>
      </c>
    </row>
    <row r="15" spans="1:4" x14ac:dyDescent="0.2">
      <c r="A15" t="s">
        <v>49</v>
      </c>
      <c r="B15">
        <v>1331</v>
      </c>
      <c r="C15">
        <v>22.268947016103098</v>
      </c>
      <c r="D15" t="s">
        <v>48</v>
      </c>
    </row>
    <row r="16" spans="1:4" x14ac:dyDescent="0.2">
      <c r="A16" t="s">
        <v>147</v>
      </c>
      <c r="B16">
        <v>1281</v>
      </c>
      <c r="C16">
        <v>20.6911550267927</v>
      </c>
      <c r="D16" t="s">
        <v>146</v>
      </c>
    </row>
    <row r="17" spans="1:4" x14ac:dyDescent="0.2">
      <c r="A17" t="s">
        <v>277</v>
      </c>
      <c r="B17">
        <v>1076</v>
      </c>
      <c r="C17">
        <v>19.3065996427008</v>
      </c>
      <c r="D17" t="s">
        <v>276</v>
      </c>
    </row>
    <row r="18" spans="1:4" x14ac:dyDescent="0.2">
      <c r="A18" t="s">
        <v>209</v>
      </c>
      <c r="B18">
        <v>1058</v>
      </c>
      <c r="C18">
        <v>32.3674628282469</v>
      </c>
      <c r="D18" t="s">
        <v>208</v>
      </c>
    </row>
    <row r="19" spans="1:4" x14ac:dyDescent="0.2">
      <c r="A19" t="s">
        <v>315</v>
      </c>
      <c r="B19">
        <v>914</v>
      </c>
      <c r="C19">
        <v>21.742168117536</v>
      </c>
      <c r="D19" t="s">
        <v>314</v>
      </c>
    </row>
    <row r="20" spans="1:4" x14ac:dyDescent="0.2">
      <c r="A20" t="s">
        <v>91</v>
      </c>
      <c r="B20">
        <v>752</v>
      </c>
    </row>
    <row r="21" spans="1:4" x14ac:dyDescent="0.2">
      <c r="A21" t="s">
        <v>419</v>
      </c>
      <c r="B21">
        <v>720</v>
      </c>
    </row>
    <row r="22" spans="1:4" x14ac:dyDescent="0.2">
      <c r="A22" t="s">
        <v>363</v>
      </c>
      <c r="B22">
        <v>700</v>
      </c>
    </row>
    <row r="23" spans="1:4" x14ac:dyDescent="0.2">
      <c r="A23" t="s">
        <v>523</v>
      </c>
      <c r="B23">
        <v>669</v>
      </c>
    </row>
    <row r="24" spans="1:4" x14ac:dyDescent="0.2">
      <c r="A24" t="s">
        <v>347</v>
      </c>
      <c r="B24">
        <v>594</v>
      </c>
    </row>
    <row r="25" spans="1:4" x14ac:dyDescent="0.2">
      <c r="A25" t="s">
        <v>391</v>
      </c>
      <c r="B25">
        <v>541</v>
      </c>
    </row>
    <row r="26" spans="1:4" x14ac:dyDescent="0.2">
      <c r="A26" t="s">
        <v>55</v>
      </c>
      <c r="B26">
        <v>515</v>
      </c>
    </row>
    <row r="27" spans="1:4" x14ac:dyDescent="0.2">
      <c r="A27" t="s">
        <v>405</v>
      </c>
      <c r="B27">
        <v>502</v>
      </c>
    </row>
    <row r="28" spans="1:4" x14ac:dyDescent="0.2">
      <c r="A28" t="s">
        <v>470</v>
      </c>
      <c r="B28">
        <v>482</v>
      </c>
    </row>
    <row r="29" spans="1:4" x14ac:dyDescent="0.2">
      <c r="A29" t="s">
        <v>309</v>
      </c>
      <c r="B29">
        <v>432</v>
      </c>
    </row>
    <row r="30" spans="1:4" x14ac:dyDescent="0.2">
      <c r="A30" t="s">
        <v>51</v>
      </c>
      <c r="B30">
        <v>431</v>
      </c>
    </row>
    <row r="31" spans="1:4" x14ac:dyDescent="0.2">
      <c r="A31" t="s">
        <v>215</v>
      </c>
      <c r="B31">
        <v>426</v>
      </c>
    </row>
    <row r="32" spans="1:4" x14ac:dyDescent="0.2">
      <c r="A32" t="s">
        <v>36</v>
      </c>
      <c r="B32">
        <v>421</v>
      </c>
    </row>
    <row r="33" spans="1:2" x14ac:dyDescent="0.2">
      <c r="A33" t="s">
        <v>223</v>
      </c>
      <c r="B33">
        <v>402</v>
      </c>
    </row>
    <row r="34" spans="1:2" x14ac:dyDescent="0.2">
      <c r="A34" t="s">
        <v>38</v>
      </c>
      <c r="B34">
        <v>383</v>
      </c>
    </row>
    <row r="35" spans="1:2" x14ac:dyDescent="0.2">
      <c r="A35" t="s">
        <v>141</v>
      </c>
      <c r="B35">
        <v>363</v>
      </c>
    </row>
    <row r="36" spans="1:2" x14ac:dyDescent="0.2">
      <c r="A36" t="s">
        <v>319</v>
      </c>
      <c r="B36">
        <v>363</v>
      </c>
    </row>
    <row r="37" spans="1:2" x14ac:dyDescent="0.2">
      <c r="A37" t="s">
        <v>341</v>
      </c>
      <c r="B37">
        <v>361</v>
      </c>
    </row>
    <row r="38" spans="1:2" x14ac:dyDescent="0.2">
      <c r="A38" t="s">
        <v>133</v>
      </c>
      <c r="B38">
        <v>356</v>
      </c>
    </row>
    <row r="39" spans="1:2" x14ac:dyDescent="0.2">
      <c r="A39" t="s">
        <v>201</v>
      </c>
      <c r="B39">
        <v>347</v>
      </c>
    </row>
    <row r="40" spans="1:2" x14ac:dyDescent="0.2">
      <c r="A40" t="s">
        <v>371</v>
      </c>
      <c r="B40">
        <v>340</v>
      </c>
    </row>
    <row r="41" spans="1:2" x14ac:dyDescent="0.2">
      <c r="A41" t="s">
        <v>301</v>
      </c>
      <c r="B41">
        <v>337</v>
      </c>
    </row>
    <row r="42" spans="1:2" x14ac:dyDescent="0.2">
      <c r="A42" t="s">
        <v>61</v>
      </c>
      <c r="B42">
        <v>324</v>
      </c>
    </row>
    <row r="43" spans="1:2" x14ac:dyDescent="0.2">
      <c r="A43" t="s">
        <v>484</v>
      </c>
      <c r="B43">
        <v>302</v>
      </c>
    </row>
    <row r="44" spans="1:2" x14ac:dyDescent="0.2">
      <c r="A44" t="s">
        <v>476</v>
      </c>
      <c r="B44">
        <v>271</v>
      </c>
    </row>
    <row r="45" spans="1:2" x14ac:dyDescent="0.2">
      <c r="A45" t="s">
        <v>107</v>
      </c>
      <c r="B45">
        <v>271</v>
      </c>
    </row>
    <row r="46" spans="1:2" x14ac:dyDescent="0.2">
      <c r="A46" t="s">
        <v>153</v>
      </c>
      <c r="B46">
        <v>270</v>
      </c>
    </row>
    <row r="47" spans="1:2" x14ac:dyDescent="0.2">
      <c r="A47" t="s">
        <v>333</v>
      </c>
      <c r="B47">
        <v>264</v>
      </c>
    </row>
    <row r="48" spans="1:2" x14ac:dyDescent="0.2">
      <c r="A48" t="s">
        <v>93</v>
      </c>
      <c r="B48">
        <v>253</v>
      </c>
    </row>
    <row r="49" spans="1:2" x14ac:dyDescent="0.2">
      <c r="A49" t="s">
        <v>359</v>
      </c>
      <c r="B49">
        <v>249</v>
      </c>
    </row>
    <row r="50" spans="1:2" x14ac:dyDescent="0.2">
      <c r="A50" t="s">
        <v>117</v>
      </c>
      <c r="B50">
        <v>245</v>
      </c>
    </row>
    <row r="51" spans="1:2" x14ac:dyDescent="0.2">
      <c r="A51" t="s">
        <v>351</v>
      </c>
      <c r="B51">
        <v>231</v>
      </c>
    </row>
    <row r="52" spans="1:2" x14ac:dyDescent="0.2">
      <c r="A52" t="s">
        <v>325</v>
      </c>
      <c r="B52">
        <v>211</v>
      </c>
    </row>
    <row r="53" spans="1:2" x14ac:dyDescent="0.2">
      <c r="A53" t="s">
        <v>217</v>
      </c>
      <c r="B53">
        <v>203</v>
      </c>
    </row>
    <row r="54" spans="1:2" x14ac:dyDescent="0.2">
      <c r="A54" t="s">
        <v>339</v>
      </c>
      <c r="B54">
        <v>202</v>
      </c>
    </row>
    <row r="55" spans="1:2" x14ac:dyDescent="0.2">
      <c r="A55" t="s">
        <v>191</v>
      </c>
      <c r="B55">
        <v>189</v>
      </c>
    </row>
    <row r="56" spans="1:2" x14ac:dyDescent="0.2">
      <c r="A56" t="s">
        <v>446</v>
      </c>
      <c r="B56">
        <v>170</v>
      </c>
    </row>
    <row r="57" spans="1:2" x14ac:dyDescent="0.2">
      <c r="A57" t="s">
        <v>219</v>
      </c>
      <c r="B57">
        <v>167</v>
      </c>
    </row>
    <row r="58" spans="1:2" x14ac:dyDescent="0.2">
      <c r="A58" t="s">
        <v>462</v>
      </c>
      <c r="B58">
        <v>156</v>
      </c>
    </row>
    <row r="59" spans="1:2" x14ac:dyDescent="0.2">
      <c r="A59" t="s">
        <v>207</v>
      </c>
      <c r="B59">
        <v>155</v>
      </c>
    </row>
    <row r="60" spans="1:2" x14ac:dyDescent="0.2">
      <c r="A60" t="s">
        <v>357</v>
      </c>
      <c r="B60">
        <v>146</v>
      </c>
    </row>
    <row r="61" spans="1:2" x14ac:dyDescent="0.2">
      <c r="A61" t="s">
        <v>137</v>
      </c>
      <c r="B61">
        <v>145</v>
      </c>
    </row>
    <row r="62" spans="1:2" x14ac:dyDescent="0.2">
      <c r="A62" t="s">
        <v>247</v>
      </c>
      <c r="B62">
        <v>136</v>
      </c>
    </row>
    <row r="63" spans="1:2" x14ac:dyDescent="0.2">
      <c r="A63" t="s">
        <v>269</v>
      </c>
      <c r="B63">
        <v>113</v>
      </c>
    </row>
    <row r="64" spans="1:2" x14ac:dyDescent="0.2">
      <c r="A64" t="s">
        <v>149</v>
      </c>
      <c r="B64">
        <v>108</v>
      </c>
    </row>
    <row r="65" spans="1:2" x14ac:dyDescent="0.2">
      <c r="A65" t="s">
        <v>522</v>
      </c>
      <c r="B65">
        <v>105</v>
      </c>
    </row>
    <row r="66" spans="1:2" x14ac:dyDescent="0.2">
      <c r="A66" t="s">
        <v>121</v>
      </c>
      <c r="B66">
        <v>103</v>
      </c>
    </row>
    <row r="67" spans="1:2" x14ac:dyDescent="0.2">
      <c r="A67" t="s">
        <v>349</v>
      </c>
      <c r="B67">
        <v>103</v>
      </c>
    </row>
    <row r="68" spans="1:2" x14ac:dyDescent="0.2">
      <c r="A68" t="s">
        <v>233</v>
      </c>
      <c r="B68">
        <v>99</v>
      </c>
    </row>
    <row r="69" spans="1:2" x14ac:dyDescent="0.2">
      <c r="A69" t="s">
        <v>139</v>
      </c>
      <c r="B69">
        <v>99</v>
      </c>
    </row>
    <row r="70" spans="1:2" x14ac:dyDescent="0.2">
      <c r="A70" t="s">
        <v>261</v>
      </c>
      <c r="B70">
        <v>81</v>
      </c>
    </row>
    <row r="71" spans="1:2" x14ac:dyDescent="0.2">
      <c r="A71" t="s">
        <v>135</v>
      </c>
      <c r="B71">
        <v>79</v>
      </c>
    </row>
    <row r="72" spans="1:2" x14ac:dyDescent="0.2">
      <c r="A72" t="s">
        <v>195</v>
      </c>
      <c r="B72">
        <v>78</v>
      </c>
    </row>
    <row r="73" spans="1:2" x14ac:dyDescent="0.2">
      <c r="A73" t="s">
        <v>285</v>
      </c>
      <c r="B73">
        <v>76</v>
      </c>
    </row>
    <row r="74" spans="1:2" x14ac:dyDescent="0.2">
      <c r="A74" t="s">
        <v>265</v>
      </c>
      <c r="B74">
        <v>73</v>
      </c>
    </row>
    <row r="75" spans="1:2" x14ac:dyDescent="0.2">
      <c r="A75" t="s">
        <v>179</v>
      </c>
      <c r="B75">
        <v>72</v>
      </c>
    </row>
    <row r="76" spans="1:2" x14ac:dyDescent="0.2">
      <c r="A76" t="s">
        <v>63</v>
      </c>
      <c r="B76">
        <v>69</v>
      </c>
    </row>
    <row r="77" spans="1:2" x14ac:dyDescent="0.2">
      <c r="A77" t="s">
        <v>329</v>
      </c>
      <c r="B77">
        <v>65</v>
      </c>
    </row>
    <row r="78" spans="1:2" x14ac:dyDescent="0.2">
      <c r="A78" t="s">
        <v>397</v>
      </c>
      <c r="B78">
        <v>65</v>
      </c>
    </row>
    <row r="79" spans="1:2" x14ac:dyDescent="0.2">
      <c r="A79" t="s">
        <v>543</v>
      </c>
      <c r="B79">
        <v>62</v>
      </c>
    </row>
    <row r="80" spans="1:2" x14ac:dyDescent="0.2">
      <c r="A80" t="s">
        <v>21</v>
      </c>
      <c r="B80">
        <v>62</v>
      </c>
    </row>
    <row r="81" spans="1:2" x14ac:dyDescent="0.2">
      <c r="A81" t="s">
        <v>113</v>
      </c>
      <c r="B81">
        <v>62</v>
      </c>
    </row>
    <row r="82" spans="1:2" x14ac:dyDescent="0.2">
      <c r="A82" t="s">
        <v>515</v>
      </c>
      <c r="B82">
        <v>61</v>
      </c>
    </row>
    <row r="83" spans="1:2" x14ac:dyDescent="0.2">
      <c r="A83" t="s">
        <v>440</v>
      </c>
      <c r="B83">
        <v>60</v>
      </c>
    </row>
    <row r="84" spans="1:2" x14ac:dyDescent="0.2">
      <c r="A84" t="s">
        <v>464</v>
      </c>
      <c r="B84">
        <v>58</v>
      </c>
    </row>
    <row r="85" spans="1:2" x14ac:dyDescent="0.2">
      <c r="A85" t="s">
        <v>167</v>
      </c>
      <c r="B85">
        <v>56</v>
      </c>
    </row>
    <row r="86" spans="1:2" x14ac:dyDescent="0.2">
      <c r="A86" t="s">
        <v>450</v>
      </c>
      <c r="B86">
        <v>56</v>
      </c>
    </row>
    <row r="87" spans="1:2" x14ac:dyDescent="0.2">
      <c r="A87" t="s">
        <v>267</v>
      </c>
      <c r="B87">
        <v>55</v>
      </c>
    </row>
    <row r="88" spans="1:2" x14ac:dyDescent="0.2">
      <c r="A88" t="s">
        <v>430</v>
      </c>
      <c r="B88">
        <v>54</v>
      </c>
    </row>
    <row r="89" spans="1:2" x14ac:dyDescent="0.2">
      <c r="A89" t="s">
        <v>171</v>
      </c>
      <c r="B89">
        <v>54</v>
      </c>
    </row>
    <row r="90" spans="1:2" x14ac:dyDescent="0.2">
      <c r="A90" t="s">
        <v>335</v>
      </c>
      <c r="B90">
        <v>53</v>
      </c>
    </row>
    <row r="91" spans="1:2" x14ac:dyDescent="0.2">
      <c r="A91" t="s">
        <v>521</v>
      </c>
      <c r="B91">
        <v>53</v>
      </c>
    </row>
    <row r="92" spans="1:2" x14ac:dyDescent="0.2">
      <c r="A92" t="s">
        <v>103</v>
      </c>
      <c r="B92">
        <v>50</v>
      </c>
    </row>
    <row r="93" spans="1:2" x14ac:dyDescent="0.2">
      <c r="A93" t="s">
        <v>544</v>
      </c>
      <c r="B93">
        <v>45</v>
      </c>
    </row>
    <row r="94" spans="1:2" x14ac:dyDescent="0.2">
      <c r="A94" t="s">
        <v>229</v>
      </c>
      <c r="B94">
        <v>44</v>
      </c>
    </row>
    <row r="95" spans="1:2" x14ac:dyDescent="0.2">
      <c r="A95" t="s">
        <v>502</v>
      </c>
      <c r="B95">
        <v>43</v>
      </c>
    </row>
    <row r="96" spans="1:2" x14ac:dyDescent="0.2">
      <c r="A96" t="s">
        <v>99</v>
      </c>
      <c r="B96">
        <v>40</v>
      </c>
    </row>
    <row r="97" spans="1:2" x14ac:dyDescent="0.2">
      <c r="A97" t="s">
        <v>417</v>
      </c>
      <c r="B97">
        <v>39</v>
      </c>
    </row>
    <row r="98" spans="1:2" x14ac:dyDescent="0.2">
      <c r="A98" t="s">
        <v>65</v>
      </c>
      <c r="B98">
        <v>38</v>
      </c>
    </row>
    <row r="99" spans="1:2" x14ac:dyDescent="0.2">
      <c r="A99" t="s">
        <v>73</v>
      </c>
      <c r="B99">
        <v>37</v>
      </c>
    </row>
    <row r="100" spans="1:2" x14ac:dyDescent="0.2">
      <c r="A100" t="s">
        <v>545</v>
      </c>
      <c r="B100">
        <v>37</v>
      </c>
    </row>
    <row r="101" spans="1:2" x14ac:dyDescent="0.2">
      <c r="A101" t="s">
        <v>353</v>
      </c>
      <c r="B101">
        <v>35</v>
      </c>
    </row>
    <row r="102" spans="1:2" x14ac:dyDescent="0.2">
      <c r="A102" t="s">
        <v>321</v>
      </c>
      <c r="B102">
        <v>34</v>
      </c>
    </row>
    <row r="103" spans="1:2" x14ac:dyDescent="0.2">
      <c r="A103" t="s">
        <v>452</v>
      </c>
      <c r="B103">
        <v>34</v>
      </c>
    </row>
    <row r="104" spans="1:2" x14ac:dyDescent="0.2">
      <c r="A104" t="s">
        <v>251</v>
      </c>
      <c r="B104">
        <v>33</v>
      </c>
    </row>
    <row r="105" spans="1:2" x14ac:dyDescent="0.2">
      <c r="A105" t="s">
        <v>442</v>
      </c>
      <c r="B105">
        <v>31</v>
      </c>
    </row>
    <row r="106" spans="1:2" x14ac:dyDescent="0.2">
      <c r="A106" t="s">
        <v>367</v>
      </c>
      <c r="B106">
        <v>26</v>
      </c>
    </row>
    <row r="107" spans="1:2" x14ac:dyDescent="0.2">
      <c r="A107" t="s">
        <v>381</v>
      </c>
      <c r="B107">
        <v>25</v>
      </c>
    </row>
    <row r="108" spans="1:2" x14ac:dyDescent="0.2">
      <c r="A108" t="s">
        <v>235</v>
      </c>
      <c r="B108">
        <v>25</v>
      </c>
    </row>
    <row r="109" spans="1:2" x14ac:dyDescent="0.2">
      <c r="A109" t="s">
        <v>255</v>
      </c>
      <c r="B109">
        <v>25</v>
      </c>
    </row>
    <row r="110" spans="1:2" x14ac:dyDescent="0.2">
      <c r="A110" t="s">
        <v>369</v>
      </c>
      <c r="B110">
        <v>25</v>
      </c>
    </row>
    <row r="111" spans="1:2" x14ac:dyDescent="0.2">
      <c r="A111" t="s">
        <v>345</v>
      </c>
      <c r="B111">
        <v>24</v>
      </c>
    </row>
    <row r="112" spans="1:2" x14ac:dyDescent="0.2">
      <c r="A112" t="s">
        <v>203</v>
      </c>
      <c r="B112">
        <v>24</v>
      </c>
    </row>
    <row r="113" spans="1:2" x14ac:dyDescent="0.2">
      <c r="A113" t="s">
        <v>125</v>
      </c>
      <c r="B113">
        <v>24</v>
      </c>
    </row>
    <row r="114" spans="1:2" x14ac:dyDescent="0.2">
      <c r="A114" t="s">
        <v>482</v>
      </c>
      <c r="B114">
        <v>23</v>
      </c>
    </row>
    <row r="115" spans="1:2" x14ac:dyDescent="0.2">
      <c r="A115" t="s">
        <v>546</v>
      </c>
      <c r="B115">
        <v>22</v>
      </c>
    </row>
    <row r="116" spans="1:2" x14ac:dyDescent="0.2">
      <c r="A116" t="s">
        <v>221</v>
      </c>
      <c r="B116">
        <v>22</v>
      </c>
    </row>
    <row r="117" spans="1:2" x14ac:dyDescent="0.2">
      <c r="A117" t="s">
        <v>547</v>
      </c>
      <c r="B117">
        <v>20</v>
      </c>
    </row>
    <row r="118" spans="1:2" x14ac:dyDescent="0.2">
      <c r="A118" t="s">
        <v>13</v>
      </c>
      <c r="B118">
        <v>20</v>
      </c>
    </row>
    <row r="119" spans="1:2" x14ac:dyDescent="0.2">
      <c r="A119" t="s">
        <v>249</v>
      </c>
      <c r="B119">
        <v>19</v>
      </c>
    </row>
    <row r="120" spans="1:2" x14ac:dyDescent="0.2">
      <c r="A120" t="s">
        <v>486</v>
      </c>
      <c r="B120">
        <v>19</v>
      </c>
    </row>
    <row r="121" spans="1:2" x14ac:dyDescent="0.2">
      <c r="A121" t="s">
        <v>488</v>
      </c>
      <c r="B121">
        <v>17</v>
      </c>
    </row>
    <row r="122" spans="1:2" x14ac:dyDescent="0.2">
      <c r="A122" t="s">
        <v>281</v>
      </c>
      <c r="B122">
        <v>17</v>
      </c>
    </row>
    <row r="123" spans="1:2" x14ac:dyDescent="0.2">
      <c r="A123" t="s">
        <v>59</v>
      </c>
      <c r="B123">
        <v>17</v>
      </c>
    </row>
    <row r="124" spans="1:2" x14ac:dyDescent="0.2">
      <c r="A124" t="s">
        <v>83</v>
      </c>
      <c r="B124">
        <v>16</v>
      </c>
    </row>
    <row r="125" spans="1:2" x14ac:dyDescent="0.2">
      <c r="A125" t="s">
        <v>57</v>
      </c>
      <c r="B125">
        <v>16</v>
      </c>
    </row>
    <row r="126" spans="1:2" x14ac:dyDescent="0.2">
      <c r="A126" t="s">
        <v>183</v>
      </c>
      <c r="B126">
        <v>16</v>
      </c>
    </row>
    <row r="127" spans="1:2" x14ac:dyDescent="0.2">
      <c r="A127" t="s">
        <v>444</v>
      </c>
      <c r="B127">
        <v>16</v>
      </c>
    </row>
    <row r="128" spans="1:2" x14ac:dyDescent="0.2">
      <c r="A128" t="s">
        <v>175</v>
      </c>
      <c r="B128">
        <v>16</v>
      </c>
    </row>
    <row r="129" spans="1:2" x14ac:dyDescent="0.2">
      <c r="A129" t="s">
        <v>519</v>
      </c>
      <c r="B129">
        <v>16</v>
      </c>
    </row>
    <row r="130" spans="1:2" x14ac:dyDescent="0.2">
      <c r="A130" t="s">
        <v>283</v>
      </c>
      <c r="B130">
        <v>15</v>
      </c>
    </row>
    <row r="131" spans="1:2" x14ac:dyDescent="0.2">
      <c r="A131" t="s">
        <v>27</v>
      </c>
      <c r="B131">
        <v>15</v>
      </c>
    </row>
    <row r="132" spans="1:2" x14ac:dyDescent="0.2">
      <c r="A132" t="s">
        <v>273</v>
      </c>
      <c r="B132">
        <v>14</v>
      </c>
    </row>
    <row r="133" spans="1:2" x14ac:dyDescent="0.2">
      <c r="A133" t="s">
        <v>227</v>
      </c>
      <c r="B133">
        <v>14</v>
      </c>
    </row>
    <row r="134" spans="1:2" x14ac:dyDescent="0.2">
      <c r="A134" t="s">
        <v>291</v>
      </c>
      <c r="B134">
        <v>14</v>
      </c>
    </row>
    <row r="135" spans="1:2" x14ac:dyDescent="0.2">
      <c r="A135" t="s">
        <v>305</v>
      </c>
      <c r="B135">
        <v>14</v>
      </c>
    </row>
    <row r="136" spans="1:2" x14ac:dyDescent="0.2">
      <c r="A136" t="s">
        <v>287</v>
      </c>
      <c r="B136">
        <v>13</v>
      </c>
    </row>
    <row r="137" spans="1:2" x14ac:dyDescent="0.2">
      <c r="A137" t="s">
        <v>311</v>
      </c>
      <c r="B137">
        <v>13</v>
      </c>
    </row>
    <row r="138" spans="1:2" x14ac:dyDescent="0.2">
      <c r="A138" t="s">
        <v>436</v>
      </c>
      <c r="B138">
        <v>13</v>
      </c>
    </row>
    <row r="139" spans="1:2" x14ac:dyDescent="0.2">
      <c r="A139" t="s">
        <v>205</v>
      </c>
      <c r="B139">
        <v>13</v>
      </c>
    </row>
    <row r="140" spans="1:2" x14ac:dyDescent="0.2">
      <c r="A140" t="s">
        <v>548</v>
      </c>
      <c r="B140">
        <v>12</v>
      </c>
    </row>
    <row r="141" spans="1:2" x14ac:dyDescent="0.2">
      <c r="A141" t="s">
        <v>299</v>
      </c>
      <c r="B141">
        <v>12</v>
      </c>
    </row>
    <row r="142" spans="1:2" x14ac:dyDescent="0.2">
      <c r="A142" t="s">
        <v>454</v>
      </c>
      <c r="B142">
        <v>12</v>
      </c>
    </row>
    <row r="143" spans="1:2" x14ac:dyDescent="0.2">
      <c r="A143" t="s">
        <v>169</v>
      </c>
      <c r="B143">
        <v>12</v>
      </c>
    </row>
    <row r="144" spans="1:2" x14ac:dyDescent="0.2">
      <c r="A144" t="s">
        <v>297</v>
      </c>
      <c r="B144">
        <v>11</v>
      </c>
    </row>
    <row r="145" spans="1:2" x14ac:dyDescent="0.2">
      <c r="A145" t="s">
        <v>303</v>
      </c>
      <c r="B145">
        <v>11</v>
      </c>
    </row>
    <row r="146" spans="1:2" x14ac:dyDescent="0.2">
      <c r="A146" t="s">
        <v>549</v>
      </c>
      <c r="B146">
        <v>11</v>
      </c>
    </row>
    <row r="147" spans="1:2" x14ac:dyDescent="0.2">
      <c r="A147" t="s">
        <v>67</v>
      </c>
      <c r="B147">
        <v>11</v>
      </c>
    </row>
    <row r="148" spans="1:2" x14ac:dyDescent="0.2">
      <c r="A148" t="s">
        <v>401</v>
      </c>
      <c r="B148">
        <v>10</v>
      </c>
    </row>
    <row r="149" spans="1:2" x14ac:dyDescent="0.2">
      <c r="A149" t="s">
        <v>189</v>
      </c>
      <c r="B149">
        <v>10</v>
      </c>
    </row>
    <row r="150" spans="1:2" x14ac:dyDescent="0.2">
      <c r="A150" t="s">
        <v>361</v>
      </c>
      <c r="B150">
        <v>10</v>
      </c>
    </row>
    <row r="151" spans="1:2" x14ac:dyDescent="0.2">
      <c r="A151" t="s">
        <v>550</v>
      </c>
      <c r="B151">
        <v>10</v>
      </c>
    </row>
    <row r="152" spans="1:2" x14ac:dyDescent="0.2">
      <c r="A152" t="s">
        <v>271</v>
      </c>
      <c r="B152">
        <v>8</v>
      </c>
    </row>
    <row r="153" spans="1:2" x14ac:dyDescent="0.2">
      <c r="A153" t="s">
        <v>293</v>
      </c>
      <c r="B153">
        <v>8</v>
      </c>
    </row>
    <row r="154" spans="1:2" x14ac:dyDescent="0.2">
      <c r="A154" t="s">
        <v>517</v>
      </c>
      <c r="B154">
        <v>8</v>
      </c>
    </row>
    <row r="155" spans="1:2" x14ac:dyDescent="0.2">
      <c r="A155" t="s">
        <v>516</v>
      </c>
      <c r="B155">
        <v>8</v>
      </c>
    </row>
    <row r="156" spans="1:2" x14ac:dyDescent="0.2">
      <c r="A156" t="s">
        <v>403</v>
      </c>
      <c r="B156">
        <v>8</v>
      </c>
    </row>
    <row r="157" spans="1:2" x14ac:dyDescent="0.2">
      <c r="A157" t="s">
        <v>524</v>
      </c>
      <c r="B157">
        <v>8</v>
      </c>
    </row>
    <row r="158" spans="1:2" x14ac:dyDescent="0.2">
      <c r="A158" t="s">
        <v>259</v>
      </c>
      <c r="B158">
        <v>7</v>
      </c>
    </row>
    <row r="159" spans="1:2" x14ac:dyDescent="0.2">
      <c r="A159" t="s">
        <v>143</v>
      </c>
      <c r="B159">
        <v>7</v>
      </c>
    </row>
    <row r="160" spans="1:2" x14ac:dyDescent="0.2">
      <c r="A160" t="s">
        <v>123</v>
      </c>
      <c r="B160">
        <v>6</v>
      </c>
    </row>
    <row r="161" spans="1:2" x14ac:dyDescent="0.2">
      <c r="A161" t="s">
        <v>199</v>
      </c>
      <c r="B161">
        <v>5</v>
      </c>
    </row>
    <row r="162" spans="1:2" x14ac:dyDescent="0.2">
      <c r="A162" t="s">
        <v>518</v>
      </c>
      <c r="B162">
        <v>5</v>
      </c>
    </row>
    <row r="163" spans="1:2" x14ac:dyDescent="0.2">
      <c r="A163" t="s">
        <v>385</v>
      </c>
      <c r="B163">
        <v>5</v>
      </c>
    </row>
    <row r="164" spans="1:2" x14ac:dyDescent="0.2">
      <c r="A164" t="s">
        <v>379</v>
      </c>
      <c r="B164">
        <v>4</v>
      </c>
    </row>
    <row r="165" spans="1:2" x14ac:dyDescent="0.2">
      <c r="A165" t="s">
        <v>389</v>
      </c>
      <c r="B165">
        <v>4</v>
      </c>
    </row>
    <row r="166" spans="1:2" x14ac:dyDescent="0.2">
      <c r="A166" t="s">
        <v>393</v>
      </c>
      <c r="B166">
        <v>4</v>
      </c>
    </row>
    <row r="167" spans="1:2" x14ac:dyDescent="0.2">
      <c r="A167" t="s">
        <v>275</v>
      </c>
      <c r="B167">
        <v>4</v>
      </c>
    </row>
    <row r="168" spans="1:2" x14ac:dyDescent="0.2">
      <c r="A168" t="s">
        <v>155</v>
      </c>
      <c r="B168">
        <v>4</v>
      </c>
    </row>
    <row r="169" spans="1:2" x14ac:dyDescent="0.2">
      <c r="A169" t="s">
        <v>129</v>
      </c>
      <c r="B169">
        <v>3</v>
      </c>
    </row>
    <row r="170" spans="1:2" x14ac:dyDescent="0.2">
      <c r="A170" t="s">
        <v>53</v>
      </c>
      <c r="B170">
        <v>3</v>
      </c>
    </row>
    <row r="171" spans="1:2" x14ac:dyDescent="0.2">
      <c r="A171" t="s">
        <v>253</v>
      </c>
      <c r="B171">
        <v>3</v>
      </c>
    </row>
    <row r="172" spans="1:2" x14ac:dyDescent="0.2">
      <c r="A172" t="s">
        <v>263</v>
      </c>
      <c r="B172">
        <v>2</v>
      </c>
    </row>
    <row r="173" spans="1:2" x14ac:dyDescent="0.2">
      <c r="A173" t="s">
        <v>111</v>
      </c>
      <c r="B173">
        <v>2</v>
      </c>
    </row>
    <row r="174" spans="1:2" x14ac:dyDescent="0.2">
      <c r="A174" t="s">
        <v>85</v>
      </c>
      <c r="B174">
        <v>2</v>
      </c>
    </row>
    <row r="175" spans="1:2" x14ac:dyDescent="0.2">
      <c r="A175" t="s">
        <v>81</v>
      </c>
      <c r="B175">
        <v>2</v>
      </c>
    </row>
    <row r="176" spans="1:2" x14ac:dyDescent="0.2">
      <c r="A176" t="s">
        <v>411</v>
      </c>
      <c r="B176">
        <v>2</v>
      </c>
    </row>
    <row r="177" spans="1:2" x14ac:dyDescent="0.2">
      <c r="A177" t="s">
        <v>185</v>
      </c>
      <c r="B177">
        <v>2</v>
      </c>
    </row>
    <row r="178" spans="1:2" x14ac:dyDescent="0.2">
      <c r="A178" t="s">
        <v>513</v>
      </c>
      <c r="B178">
        <v>1</v>
      </c>
    </row>
    <row r="179" spans="1:2" x14ac:dyDescent="0.2">
      <c r="A179" t="s">
        <v>109</v>
      </c>
      <c r="B179">
        <v>1</v>
      </c>
    </row>
    <row r="180" spans="1:2" x14ac:dyDescent="0.2">
      <c r="A180" t="s">
        <v>395</v>
      </c>
      <c r="B180">
        <v>1</v>
      </c>
    </row>
    <row r="181" spans="1:2" x14ac:dyDescent="0.2">
      <c r="A181" t="s">
        <v>551</v>
      </c>
      <c r="B181">
        <v>1</v>
      </c>
    </row>
    <row r="182" spans="1:2" x14ac:dyDescent="0.2">
      <c r="A182" t="s">
        <v>552</v>
      </c>
      <c r="B18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theme="6"/>
  </sheetPr>
  <dimension ref="A1:C368"/>
  <sheetViews>
    <sheetView workbookViewId="0">
      <selection activeCell="P369" sqref="P369"/>
    </sheetView>
  </sheetViews>
  <sheetFormatPr baseColWidth="10" defaultRowHeight="15" x14ac:dyDescent="0.2"/>
  <cols>
    <col min="1" max="1" width="20.1640625" style="75" customWidth="1"/>
  </cols>
  <sheetData>
    <row r="1" spans="1:3" x14ac:dyDescent="0.2">
      <c r="A1" t="s">
        <v>553</v>
      </c>
      <c r="B1" t="s">
        <v>554</v>
      </c>
      <c r="C1" t="s">
        <v>555</v>
      </c>
    </row>
    <row r="2" spans="1:3" x14ac:dyDescent="0.2">
      <c r="A2" s="87">
        <v>32932</v>
      </c>
      <c r="B2">
        <v>0.05</v>
      </c>
    </row>
    <row r="3" spans="1:3" x14ac:dyDescent="0.2">
      <c r="A3" s="87">
        <v>32963</v>
      </c>
      <c r="B3">
        <v>8.0000000000000002E-3</v>
      </c>
    </row>
    <row r="4" spans="1:3" x14ac:dyDescent="0.2">
      <c r="A4" s="87">
        <v>32993</v>
      </c>
      <c r="B4">
        <v>1.7000000000000001E-2</v>
      </c>
    </row>
    <row r="5" spans="1:3" x14ac:dyDescent="0.2">
      <c r="A5" s="87">
        <v>33024</v>
      </c>
      <c r="B5">
        <v>3.3000000000000002E-2</v>
      </c>
    </row>
    <row r="6" spans="1:3" x14ac:dyDescent="0.2">
      <c r="A6" s="87">
        <v>33054</v>
      </c>
      <c r="B6">
        <v>0.05</v>
      </c>
    </row>
    <row r="7" spans="1:3" x14ac:dyDescent="0.2">
      <c r="A7" s="87">
        <v>33085</v>
      </c>
      <c r="B7">
        <v>2.5000000000000001E-2</v>
      </c>
    </row>
    <row r="8" spans="1:3" x14ac:dyDescent="0.2">
      <c r="A8" s="87">
        <v>33116</v>
      </c>
      <c r="B8">
        <v>4.2000000000000003E-2</v>
      </c>
    </row>
    <row r="9" spans="1:3" x14ac:dyDescent="0.2">
      <c r="A9" s="87">
        <v>33146</v>
      </c>
      <c r="B9">
        <v>6.7000000000000004E-2</v>
      </c>
    </row>
    <row r="10" spans="1:3" x14ac:dyDescent="0.2">
      <c r="A10" s="87">
        <v>33177</v>
      </c>
      <c r="B10">
        <v>0.109</v>
      </c>
    </row>
    <row r="11" spans="1:3" x14ac:dyDescent="0.2">
      <c r="A11" s="87">
        <v>33207</v>
      </c>
      <c r="B11">
        <v>0.126</v>
      </c>
    </row>
    <row r="12" spans="1:3" x14ac:dyDescent="0.2">
      <c r="A12" s="87">
        <v>33238</v>
      </c>
      <c r="B12">
        <v>0.126</v>
      </c>
    </row>
    <row r="13" spans="1:3" x14ac:dyDescent="0.2">
      <c r="A13" s="87">
        <v>33269</v>
      </c>
      <c r="B13">
        <v>0.23499999999999999</v>
      </c>
    </row>
    <row r="14" spans="1:3" x14ac:dyDescent="0.2">
      <c r="A14" s="87">
        <v>33297</v>
      </c>
      <c r="B14">
        <v>9.1999999999999998E-2</v>
      </c>
    </row>
    <row r="15" spans="1:3" x14ac:dyDescent="0.2">
      <c r="A15" s="87">
        <v>33328</v>
      </c>
      <c r="B15">
        <v>0.109</v>
      </c>
    </row>
    <row r="16" spans="1:3" x14ac:dyDescent="0.2">
      <c r="A16" s="87">
        <v>33358</v>
      </c>
      <c r="B16">
        <v>0.109</v>
      </c>
    </row>
    <row r="17" spans="1:2" x14ac:dyDescent="0.2">
      <c r="A17" s="87">
        <v>33389</v>
      </c>
      <c r="B17">
        <v>0.109</v>
      </c>
    </row>
    <row r="18" spans="1:2" x14ac:dyDescent="0.2">
      <c r="A18" s="87">
        <v>33419</v>
      </c>
      <c r="B18">
        <v>9.1999999999999998E-2</v>
      </c>
    </row>
    <row r="19" spans="1:2" x14ac:dyDescent="0.2">
      <c r="A19" s="87">
        <v>33450</v>
      </c>
      <c r="B19">
        <v>0.109</v>
      </c>
    </row>
    <row r="20" spans="1:2" x14ac:dyDescent="0.2">
      <c r="A20" s="87">
        <v>33481</v>
      </c>
      <c r="B20">
        <v>0.11799999999999999</v>
      </c>
    </row>
    <row r="21" spans="1:2" x14ac:dyDescent="0.2">
      <c r="A21" s="87">
        <v>33511</v>
      </c>
      <c r="B21">
        <v>0.126</v>
      </c>
    </row>
    <row r="22" spans="1:2" x14ac:dyDescent="0.2">
      <c r="A22" s="87">
        <v>33542</v>
      </c>
      <c r="B22">
        <v>0.11799999999999999</v>
      </c>
    </row>
    <row r="23" spans="1:2" x14ac:dyDescent="0.2">
      <c r="A23" s="87">
        <v>33572</v>
      </c>
      <c r="B23">
        <v>7.5999999999999998E-2</v>
      </c>
    </row>
    <row r="24" spans="1:2" x14ac:dyDescent="0.2">
      <c r="A24" s="87">
        <v>33603</v>
      </c>
      <c r="B24">
        <v>0.05</v>
      </c>
    </row>
    <row r="25" spans="1:2" x14ac:dyDescent="0.2">
      <c r="A25" s="87">
        <v>33634</v>
      </c>
      <c r="B25">
        <v>0.109</v>
      </c>
    </row>
    <row r="26" spans="1:2" x14ac:dyDescent="0.2">
      <c r="A26" s="87">
        <v>33663</v>
      </c>
      <c r="B26">
        <v>0.185</v>
      </c>
    </row>
    <row r="27" spans="1:2" x14ac:dyDescent="0.2">
      <c r="A27" s="87">
        <v>33694</v>
      </c>
      <c r="B27">
        <v>0.16800000000000001</v>
      </c>
    </row>
    <row r="28" spans="1:2" x14ac:dyDescent="0.2">
      <c r="A28" s="87">
        <v>33724</v>
      </c>
      <c r="B28">
        <v>0.151</v>
      </c>
    </row>
    <row r="29" spans="1:2" x14ac:dyDescent="0.2">
      <c r="A29" s="87">
        <v>33755</v>
      </c>
      <c r="B29">
        <v>0.14299999999999999</v>
      </c>
    </row>
    <row r="30" spans="1:2" x14ac:dyDescent="0.2">
      <c r="A30" s="87">
        <v>33785</v>
      </c>
      <c r="B30">
        <v>0.16800000000000001</v>
      </c>
    </row>
    <row r="31" spans="1:2" x14ac:dyDescent="0.2">
      <c r="A31" s="87">
        <v>33816</v>
      </c>
      <c r="B31">
        <v>0.193</v>
      </c>
    </row>
    <row r="32" spans="1:2" x14ac:dyDescent="0.2">
      <c r="A32" s="87">
        <v>33847</v>
      </c>
      <c r="B32">
        <v>0.17599999999999999</v>
      </c>
    </row>
    <row r="33" spans="1:2" x14ac:dyDescent="0.2">
      <c r="A33" s="87">
        <v>33877</v>
      </c>
      <c r="B33">
        <v>0.17599999999999999</v>
      </c>
    </row>
    <row r="34" spans="1:2" x14ac:dyDescent="0.2">
      <c r="A34" s="87">
        <v>33908</v>
      </c>
      <c r="B34">
        <v>0.185</v>
      </c>
    </row>
    <row r="35" spans="1:2" x14ac:dyDescent="0.2">
      <c r="A35" s="87">
        <v>33938</v>
      </c>
      <c r="B35">
        <v>0.218</v>
      </c>
    </row>
    <row r="36" spans="1:2" x14ac:dyDescent="0.2">
      <c r="A36" s="87">
        <v>33969</v>
      </c>
      <c r="B36">
        <v>0.26900000000000002</v>
      </c>
    </row>
    <row r="37" spans="1:2" x14ac:dyDescent="0.2">
      <c r="A37" s="87">
        <v>34000</v>
      </c>
      <c r="B37">
        <v>8.4000000000000005E-2</v>
      </c>
    </row>
    <row r="38" spans="1:2" x14ac:dyDescent="0.2">
      <c r="A38" s="87">
        <v>34028</v>
      </c>
      <c r="B38">
        <v>0.27700000000000002</v>
      </c>
    </row>
    <row r="39" spans="1:2" x14ac:dyDescent="0.2">
      <c r="A39" s="87">
        <v>34059</v>
      </c>
      <c r="B39">
        <v>0.218</v>
      </c>
    </row>
    <row r="40" spans="1:2" x14ac:dyDescent="0.2">
      <c r="A40" s="87">
        <v>34089</v>
      </c>
      <c r="B40">
        <v>0.21</v>
      </c>
    </row>
    <row r="41" spans="1:2" x14ac:dyDescent="0.2">
      <c r="A41" s="87">
        <v>34120</v>
      </c>
      <c r="B41">
        <v>0.22700000000000001</v>
      </c>
    </row>
    <row r="42" spans="1:2" x14ac:dyDescent="0.2">
      <c r="A42" s="87">
        <v>34150</v>
      </c>
      <c r="B42">
        <v>0.252</v>
      </c>
    </row>
    <row r="43" spans="1:2" x14ac:dyDescent="0.2">
      <c r="A43" s="87">
        <v>34181</v>
      </c>
      <c r="B43">
        <v>0.21</v>
      </c>
    </row>
    <row r="44" spans="1:2" x14ac:dyDescent="0.2">
      <c r="A44" s="87">
        <v>34212</v>
      </c>
      <c r="B44">
        <v>0.193</v>
      </c>
    </row>
    <row r="45" spans="1:2" x14ac:dyDescent="0.2">
      <c r="A45" s="87">
        <v>34242</v>
      </c>
      <c r="B45">
        <v>0.16</v>
      </c>
    </row>
    <row r="46" spans="1:2" x14ac:dyDescent="0.2">
      <c r="A46" s="87">
        <v>34273</v>
      </c>
      <c r="B46">
        <v>0.13400000000000001</v>
      </c>
    </row>
    <row r="47" spans="1:2" x14ac:dyDescent="0.2">
      <c r="A47" s="87">
        <v>34303</v>
      </c>
      <c r="B47">
        <v>0.16</v>
      </c>
    </row>
    <row r="48" spans="1:2" x14ac:dyDescent="0.2">
      <c r="A48" s="87">
        <v>34334</v>
      </c>
      <c r="B48">
        <v>0.252</v>
      </c>
    </row>
    <row r="49" spans="1:2" x14ac:dyDescent="0.2">
      <c r="A49" s="87">
        <v>34365</v>
      </c>
      <c r="B49">
        <v>0.27700000000000002</v>
      </c>
    </row>
    <row r="50" spans="1:2" x14ac:dyDescent="0.2">
      <c r="A50" s="87">
        <v>34393</v>
      </c>
      <c r="B50">
        <v>3.4000000000000002E-2</v>
      </c>
    </row>
    <row r="51" spans="1:2" x14ac:dyDescent="0.2">
      <c r="A51" s="87">
        <v>34424</v>
      </c>
      <c r="B51">
        <v>0.16</v>
      </c>
    </row>
    <row r="52" spans="1:2" x14ac:dyDescent="0.2">
      <c r="A52" s="87">
        <v>34454</v>
      </c>
      <c r="B52">
        <v>0.16800000000000001</v>
      </c>
    </row>
    <row r="53" spans="1:2" x14ac:dyDescent="0.2">
      <c r="A53" s="87">
        <v>34485</v>
      </c>
      <c r="B53">
        <v>0.17599999999999999</v>
      </c>
    </row>
    <row r="54" spans="1:2" x14ac:dyDescent="0.2">
      <c r="A54" s="87">
        <v>34515</v>
      </c>
      <c r="B54">
        <v>0.151</v>
      </c>
    </row>
    <row r="55" spans="1:2" x14ac:dyDescent="0.2">
      <c r="A55" s="87">
        <v>34546</v>
      </c>
      <c r="B55">
        <v>0.151</v>
      </c>
    </row>
    <row r="56" spans="1:2" x14ac:dyDescent="0.2">
      <c r="A56" s="87">
        <v>34577</v>
      </c>
      <c r="B56">
        <v>0.29399999999999998</v>
      </c>
    </row>
    <row r="57" spans="1:2" x14ac:dyDescent="0.2">
      <c r="A57" s="87">
        <v>34607</v>
      </c>
      <c r="B57">
        <v>0.218</v>
      </c>
    </row>
    <row r="58" spans="1:2" x14ac:dyDescent="0.2">
      <c r="A58" s="87">
        <v>34638</v>
      </c>
      <c r="B58">
        <v>0.24399999999999999</v>
      </c>
    </row>
    <row r="59" spans="1:2" x14ac:dyDescent="0.2">
      <c r="A59" s="87">
        <v>34668</v>
      </c>
      <c r="B59">
        <v>0.23499999999999999</v>
      </c>
    </row>
    <row r="60" spans="1:2" x14ac:dyDescent="0.2">
      <c r="A60" s="87">
        <v>34699</v>
      </c>
      <c r="B60">
        <v>0.185</v>
      </c>
    </row>
    <row r="61" spans="1:2" x14ac:dyDescent="0.2">
      <c r="A61" s="87">
        <v>34730</v>
      </c>
      <c r="B61">
        <v>0.114</v>
      </c>
    </row>
    <row r="62" spans="1:2" x14ac:dyDescent="0.2">
      <c r="A62" s="87">
        <v>34758</v>
      </c>
      <c r="B62">
        <v>0.155</v>
      </c>
    </row>
    <row r="63" spans="1:2" x14ac:dyDescent="0.2">
      <c r="A63" s="87">
        <v>34789</v>
      </c>
      <c r="B63">
        <v>0.16400000000000001</v>
      </c>
    </row>
    <row r="64" spans="1:2" x14ac:dyDescent="0.2">
      <c r="A64" s="87">
        <v>34819</v>
      </c>
      <c r="B64">
        <v>0.154</v>
      </c>
    </row>
    <row r="65" spans="1:2" x14ac:dyDescent="0.2">
      <c r="A65" s="87">
        <v>34850</v>
      </c>
      <c r="B65">
        <v>0.13100000000000001</v>
      </c>
    </row>
    <row r="66" spans="1:2" x14ac:dyDescent="0.2">
      <c r="A66" s="87">
        <v>34880</v>
      </c>
      <c r="B66">
        <v>0.13900000000000001</v>
      </c>
    </row>
    <row r="67" spans="1:2" x14ac:dyDescent="0.2">
      <c r="A67" s="87">
        <v>34911</v>
      </c>
      <c r="B67">
        <v>0.13600000000000001</v>
      </c>
    </row>
    <row r="68" spans="1:2" x14ac:dyDescent="0.2">
      <c r="A68" s="87">
        <v>34942</v>
      </c>
      <c r="B68">
        <v>0.11799999999999999</v>
      </c>
    </row>
    <row r="69" spans="1:2" x14ac:dyDescent="0.2">
      <c r="A69" s="87">
        <v>34972</v>
      </c>
      <c r="B69">
        <v>0.114</v>
      </c>
    </row>
    <row r="70" spans="1:2" x14ac:dyDescent="0.2">
      <c r="A70" s="87">
        <v>35003</v>
      </c>
      <c r="B70">
        <v>0.129</v>
      </c>
    </row>
    <row r="71" spans="1:2" x14ac:dyDescent="0.2">
      <c r="A71" s="87">
        <v>35033</v>
      </c>
      <c r="B71">
        <v>0.121</v>
      </c>
    </row>
    <row r="72" spans="1:2" x14ac:dyDescent="0.2">
      <c r="A72" s="87">
        <v>35064</v>
      </c>
      <c r="B72">
        <v>0.14899999999999999</v>
      </c>
    </row>
    <row r="73" spans="1:2" x14ac:dyDescent="0.2">
      <c r="A73" s="87">
        <v>35095</v>
      </c>
      <c r="B73">
        <v>0.16900000000000001</v>
      </c>
    </row>
    <row r="74" spans="1:2" x14ac:dyDescent="0.2">
      <c r="A74" s="87">
        <v>35124</v>
      </c>
      <c r="B74">
        <v>0.122</v>
      </c>
    </row>
    <row r="75" spans="1:2" x14ac:dyDescent="0.2">
      <c r="A75" s="87">
        <v>35155</v>
      </c>
      <c r="B75">
        <v>0.122</v>
      </c>
    </row>
    <row r="76" spans="1:2" x14ac:dyDescent="0.2">
      <c r="A76" s="87">
        <v>35185</v>
      </c>
      <c r="B76">
        <v>0.13700000000000001</v>
      </c>
    </row>
    <row r="77" spans="1:2" x14ac:dyDescent="0.2">
      <c r="A77" s="87">
        <v>35216</v>
      </c>
      <c r="B77">
        <v>0.13100000000000001</v>
      </c>
    </row>
    <row r="78" spans="1:2" x14ac:dyDescent="0.2">
      <c r="A78" s="87">
        <v>35246</v>
      </c>
      <c r="B78">
        <v>0.13800000000000001</v>
      </c>
    </row>
    <row r="79" spans="1:2" x14ac:dyDescent="0.2">
      <c r="A79" s="87">
        <v>35277</v>
      </c>
      <c r="B79">
        <v>0.122</v>
      </c>
    </row>
    <row r="80" spans="1:2" x14ac:dyDescent="0.2">
      <c r="A80" s="87">
        <v>35308</v>
      </c>
      <c r="B80">
        <v>0.106</v>
      </c>
    </row>
    <row r="81" spans="1:2" x14ac:dyDescent="0.2">
      <c r="A81" s="87">
        <v>35338</v>
      </c>
      <c r="B81">
        <v>0.13700000000000001</v>
      </c>
    </row>
    <row r="82" spans="1:2" x14ac:dyDescent="0.2">
      <c r="A82" s="87">
        <v>35369</v>
      </c>
      <c r="B82">
        <v>0.13300000000000001</v>
      </c>
    </row>
    <row r="83" spans="1:2" x14ac:dyDescent="0.2">
      <c r="A83" s="87">
        <v>35399</v>
      </c>
      <c r="B83">
        <v>0.13400000000000001</v>
      </c>
    </row>
    <row r="84" spans="1:2" x14ac:dyDescent="0.2">
      <c r="A84" s="87">
        <v>35430</v>
      </c>
      <c r="B84">
        <v>0.14000000000000001</v>
      </c>
    </row>
    <row r="85" spans="1:2" x14ac:dyDescent="0.2">
      <c r="A85" s="87">
        <v>35461</v>
      </c>
      <c r="B85">
        <v>0.10299999999999999</v>
      </c>
    </row>
    <row r="86" spans="1:2" x14ac:dyDescent="0.2">
      <c r="A86" s="87">
        <v>35489</v>
      </c>
      <c r="B86">
        <v>0.104</v>
      </c>
    </row>
    <row r="87" spans="1:2" x14ac:dyDescent="0.2">
      <c r="A87" s="87">
        <v>35520</v>
      </c>
      <c r="B87">
        <v>0.13500000000000001</v>
      </c>
    </row>
    <row r="88" spans="1:2" x14ac:dyDescent="0.2">
      <c r="A88" s="87">
        <v>35550</v>
      </c>
      <c r="B88">
        <v>0.11899999999999999</v>
      </c>
    </row>
    <row r="89" spans="1:2" x14ac:dyDescent="0.2">
      <c r="A89" s="87">
        <v>35581</v>
      </c>
      <c r="B89">
        <v>0.11899999999999999</v>
      </c>
    </row>
    <row r="90" spans="1:2" x14ac:dyDescent="0.2">
      <c r="A90" s="87">
        <v>35611</v>
      </c>
      <c r="B90">
        <v>0.121</v>
      </c>
    </row>
    <row r="91" spans="1:2" x14ac:dyDescent="0.2">
      <c r="A91" s="87">
        <v>35642</v>
      </c>
      <c r="B91">
        <v>8.4000000000000005E-2</v>
      </c>
    </row>
    <row r="92" spans="1:2" x14ac:dyDescent="0.2">
      <c r="A92" s="87">
        <v>35673</v>
      </c>
      <c r="B92">
        <v>0.109</v>
      </c>
    </row>
    <row r="93" spans="1:2" x14ac:dyDescent="0.2">
      <c r="A93" s="87">
        <v>35703</v>
      </c>
      <c r="B93">
        <v>0.111</v>
      </c>
    </row>
    <row r="94" spans="1:2" x14ac:dyDescent="0.2">
      <c r="A94" s="87">
        <v>35734</v>
      </c>
      <c r="B94">
        <v>0.11799999999999999</v>
      </c>
    </row>
    <row r="95" spans="1:2" x14ac:dyDescent="0.2">
      <c r="A95" s="87">
        <v>35764</v>
      </c>
      <c r="B95">
        <v>0.11600000000000001</v>
      </c>
    </row>
    <row r="96" spans="1:2" x14ac:dyDescent="0.2">
      <c r="A96" s="87">
        <v>35795</v>
      </c>
      <c r="B96">
        <v>9.1999999999999998E-2</v>
      </c>
    </row>
    <row r="97" spans="1:2" x14ac:dyDescent="0.2">
      <c r="A97" s="87">
        <v>35826</v>
      </c>
      <c r="B97">
        <v>1.7999999999999999E-2</v>
      </c>
    </row>
    <row r="98" spans="1:2" x14ac:dyDescent="0.2">
      <c r="A98" s="87">
        <v>35854</v>
      </c>
      <c r="B98">
        <v>9.5000000000000001E-2</v>
      </c>
    </row>
    <row r="99" spans="1:2" x14ac:dyDescent="0.2">
      <c r="A99" s="87">
        <v>35885</v>
      </c>
      <c r="B99">
        <v>0.09</v>
      </c>
    </row>
    <row r="100" spans="1:2" x14ac:dyDescent="0.2">
      <c r="A100" s="87">
        <v>35915</v>
      </c>
      <c r="B100">
        <v>7.1999999999999995E-2</v>
      </c>
    </row>
    <row r="101" spans="1:2" x14ac:dyDescent="0.2">
      <c r="A101" s="87">
        <v>35946</v>
      </c>
      <c r="B101">
        <v>0.08</v>
      </c>
    </row>
    <row r="102" spans="1:2" x14ac:dyDescent="0.2">
      <c r="A102" s="87">
        <v>35976</v>
      </c>
      <c r="B102">
        <v>7.9000000000000001E-2</v>
      </c>
    </row>
    <row r="103" spans="1:2" x14ac:dyDescent="0.2">
      <c r="A103" s="87">
        <v>36007</v>
      </c>
      <c r="B103">
        <v>7.5999999999999998E-2</v>
      </c>
    </row>
    <row r="104" spans="1:2" x14ac:dyDescent="0.2">
      <c r="A104" s="87">
        <v>36038</v>
      </c>
      <c r="B104">
        <v>7.9000000000000001E-2</v>
      </c>
    </row>
    <row r="105" spans="1:2" x14ac:dyDescent="0.2">
      <c r="A105" s="87">
        <v>36068</v>
      </c>
      <c r="B105">
        <v>0.10199999999999999</v>
      </c>
    </row>
    <row r="106" spans="1:2" x14ac:dyDescent="0.2">
      <c r="A106" s="87">
        <v>36099</v>
      </c>
      <c r="B106">
        <v>0.106</v>
      </c>
    </row>
    <row r="107" spans="1:2" x14ac:dyDescent="0.2">
      <c r="A107" s="87">
        <v>36129</v>
      </c>
      <c r="B107">
        <v>0.11</v>
      </c>
    </row>
    <row r="108" spans="1:2" x14ac:dyDescent="0.2">
      <c r="A108" s="87">
        <v>36160</v>
      </c>
      <c r="B108">
        <v>0.115</v>
      </c>
    </row>
    <row r="109" spans="1:2" x14ac:dyDescent="0.2">
      <c r="A109" s="87">
        <v>36191</v>
      </c>
      <c r="B109">
        <v>0.17899999999999999</v>
      </c>
    </row>
    <row r="110" spans="1:2" x14ac:dyDescent="0.2">
      <c r="A110" s="87">
        <v>36219</v>
      </c>
      <c r="B110">
        <v>2.1000000000000001E-2</v>
      </c>
    </row>
    <row r="111" spans="1:2" x14ac:dyDescent="0.2">
      <c r="A111" s="87">
        <v>36250</v>
      </c>
      <c r="B111">
        <v>0.09</v>
      </c>
    </row>
    <row r="112" spans="1:2" x14ac:dyDescent="0.2">
      <c r="A112" s="87">
        <v>36280</v>
      </c>
      <c r="B112">
        <v>9.0999999999999998E-2</v>
      </c>
    </row>
    <row r="113" spans="1:2" x14ac:dyDescent="0.2">
      <c r="A113" s="87">
        <v>36311</v>
      </c>
      <c r="B113">
        <v>8.8999999999999996E-2</v>
      </c>
    </row>
    <row r="114" spans="1:2" x14ac:dyDescent="0.2">
      <c r="A114" s="87">
        <v>36341</v>
      </c>
      <c r="B114">
        <v>9.0999999999999998E-2</v>
      </c>
    </row>
    <row r="115" spans="1:2" x14ac:dyDescent="0.2">
      <c r="A115" s="87">
        <v>36372</v>
      </c>
      <c r="B115">
        <v>9.2999999999999999E-2</v>
      </c>
    </row>
    <row r="116" spans="1:2" x14ac:dyDescent="0.2">
      <c r="A116" s="87">
        <v>36403</v>
      </c>
      <c r="B116">
        <v>9.5000000000000001E-2</v>
      </c>
    </row>
    <row r="117" spans="1:2" x14ac:dyDescent="0.2">
      <c r="A117" s="87">
        <v>36433</v>
      </c>
      <c r="B117">
        <v>8.2000000000000003E-2</v>
      </c>
    </row>
    <row r="118" spans="1:2" x14ac:dyDescent="0.2">
      <c r="A118" s="87">
        <v>36464</v>
      </c>
      <c r="B118">
        <v>7.0000000000000007E-2</v>
      </c>
    </row>
    <row r="119" spans="1:2" x14ac:dyDescent="0.2">
      <c r="A119" s="87">
        <v>36494</v>
      </c>
      <c r="B119">
        <v>7.5999999999999998E-2</v>
      </c>
    </row>
    <row r="120" spans="1:2" x14ac:dyDescent="0.2">
      <c r="A120" s="87">
        <v>36525</v>
      </c>
      <c r="B120">
        <v>7.3999999999999996E-2</v>
      </c>
    </row>
    <row r="121" spans="1:2" x14ac:dyDescent="0.2">
      <c r="A121" s="87">
        <v>36556</v>
      </c>
      <c r="B121">
        <v>8.8999999999999996E-2</v>
      </c>
    </row>
    <row r="122" spans="1:2" x14ac:dyDescent="0.2">
      <c r="A122" s="87">
        <v>36585</v>
      </c>
      <c r="B122">
        <v>0.12</v>
      </c>
    </row>
    <row r="123" spans="1:2" x14ac:dyDescent="0.2">
      <c r="A123" s="87">
        <v>36616</v>
      </c>
      <c r="B123">
        <v>0.11899999999999999</v>
      </c>
    </row>
    <row r="124" spans="1:2" x14ac:dyDescent="0.2">
      <c r="A124" s="87">
        <v>36646</v>
      </c>
      <c r="B124">
        <v>0.114</v>
      </c>
    </row>
    <row r="125" spans="1:2" x14ac:dyDescent="0.2">
      <c r="A125" s="87">
        <v>36677</v>
      </c>
      <c r="B125">
        <v>0.115</v>
      </c>
    </row>
    <row r="126" spans="1:2" x14ac:dyDescent="0.2">
      <c r="A126" s="87">
        <v>36707</v>
      </c>
      <c r="B126">
        <v>0.122</v>
      </c>
    </row>
    <row r="127" spans="1:2" x14ac:dyDescent="0.2">
      <c r="A127" s="87">
        <v>36738</v>
      </c>
      <c r="B127">
        <v>0.128</v>
      </c>
    </row>
    <row r="128" spans="1:2" x14ac:dyDescent="0.2">
      <c r="A128" s="87">
        <v>36769</v>
      </c>
      <c r="B128">
        <v>0.128</v>
      </c>
    </row>
    <row r="129" spans="1:2" x14ac:dyDescent="0.2">
      <c r="A129" s="87">
        <v>36799</v>
      </c>
      <c r="B129">
        <v>0.12</v>
      </c>
    </row>
    <row r="130" spans="1:2" x14ac:dyDescent="0.2">
      <c r="A130" s="87">
        <v>36830</v>
      </c>
      <c r="B130">
        <v>0.114</v>
      </c>
    </row>
    <row r="131" spans="1:2" x14ac:dyDescent="0.2">
      <c r="A131" s="87">
        <v>36860</v>
      </c>
      <c r="B131">
        <v>0.106</v>
      </c>
    </row>
    <row r="132" spans="1:2" x14ac:dyDescent="0.2">
      <c r="A132" s="87">
        <v>36891</v>
      </c>
      <c r="B132">
        <v>0.104</v>
      </c>
    </row>
    <row r="133" spans="1:2" x14ac:dyDescent="0.2">
      <c r="A133" s="87">
        <v>36922</v>
      </c>
      <c r="B133">
        <v>2.3E-2</v>
      </c>
    </row>
    <row r="134" spans="1:2" x14ac:dyDescent="0.2">
      <c r="A134" s="87">
        <v>36950</v>
      </c>
      <c r="B134">
        <v>0.19</v>
      </c>
    </row>
    <row r="135" spans="1:2" x14ac:dyDescent="0.2">
      <c r="A135" s="87">
        <v>36981</v>
      </c>
      <c r="B135">
        <v>0.121</v>
      </c>
    </row>
    <row r="136" spans="1:2" x14ac:dyDescent="0.2">
      <c r="A136" s="87">
        <v>37011</v>
      </c>
      <c r="B136">
        <v>0.115</v>
      </c>
    </row>
    <row r="137" spans="1:2" x14ac:dyDescent="0.2">
      <c r="A137" s="87">
        <v>37042</v>
      </c>
      <c r="B137">
        <v>0.10199999999999999</v>
      </c>
    </row>
    <row r="138" spans="1:2" x14ac:dyDescent="0.2">
      <c r="A138" s="87">
        <v>37072</v>
      </c>
      <c r="B138">
        <v>0.10100000000000001</v>
      </c>
    </row>
    <row r="139" spans="1:2" x14ac:dyDescent="0.2">
      <c r="A139" s="87">
        <v>37103</v>
      </c>
      <c r="B139">
        <v>8.1000000000000003E-2</v>
      </c>
    </row>
    <row r="140" spans="1:2" x14ac:dyDescent="0.2">
      <c r="A140" s="87">
        <v>37134</v>
      </c>
      <c r="B140">
        <v>8.1000000000000003E-2</v>
      </c>
    </row>
    <row r="141" spans="1:2" x14ac:dyDescent="0.2">
      <c r="A141" s="87">
        <v>37164</v>
      </c>
      <c r="B141">
        <v>9.5000000000000001E-2</v>
      </c>
    </row>
    <row r="142" spans="1:2" x14ac:dyDescent="0.2">
      <c r="A142" s="87">
        <v>37195</v>
      </c>
      <c r="B142">
        <v>8.7999999999999995E-2</v>
      </c>
    </row>
    <row r="143" spans="1:2" x14ac:dyDescent="0.2">
      <c r="A143" s="87">
        <v>37225</v>
      </c>
      <c r="B143">
        <v>7.9000000000000001E-2</v>
      </c>
    </row>
    <row r="144" spans="1:2" x14ac:dyDescent="0.2">
      <c r="A144" s="87">
        <v>37256</v>
      </c>
      <c r="B144">
        <v>8.6999999999999994E-2</v>
      </c>
    </row>
    <row r="145" spans="1:2" x14ac:dyDescent="0.2">
      <c r="A145" s="87">
        <v>37287</v>
      </c>
      <c r="B145">
        <v>0.186</v>
      </c>
    </row>
    <row r="146" spans="1:2" x14ac:dyDescent="0.2">
      <c r="A146" s="87">
        <v>37315</v>
      </c>
      <c r="B146">
        <v>2.7E-2</v>
      </c>
    </row>
    <row r="147" spans="1:2" x14ac:dyDescent="0.2">
      <c r="A147" s="87">
        <v>37346</v>
      </c>
      <c r="B147">
        <v>0.109</v>
      </c>
    </row>
    <row r="148" spans="1:2" x14ac:dyDescent="0.2">
      <c r="A148" s="87">
        <v>37376</v>
      </c>
      <c r="B148">
        <v>0.121</v>
      </c>
    </row>
    <row r="149" spans="1:2" x14ac:dyDescent="0.2">
      <c r="A149" s="87">
        <v>37407</v>
      </c>
      <c r="B149">
        <v>0.129</v>
      </c>
    </row>
    <row r="150" spans="1:2" x14ac:dyDescent="0.2">
      <c r="A150" s="87">
        <v>37437</v>
      </c>
      <c r="B150">
        <v>0.124</v>
      </c>
    </row>
    <row r="151" spans="1:2" x14ac:dyDescent="0.2">
      <c r="A151" s="87">
        <v>37468</v>
      </c>
      <c r="B151">
        <v>0.128</v>
      </c>
    </row>
    <row r="152" spans="1:2" x14ac:dyDescent="0.2">
      <c r="A152" s="87">
        <v>37499</v>
      </c>
      <c r="B152">
        <v>0.127</v>
      </c>
    </row>
    <row r="153" spans="1:2" x14ac:dyDescent="0.2">
      <c r="A153" s="87">
        <v>37529</v>
      </c>
      <c r="B153">
        <v>0.13800000000000001</v>
      </c>
    </row>
    <row r="154" spans="1:2" x14ac:dyDescent="0.2">
      <c r="A154" s="87">
        <v>37560</v>
      </c>
      <c r="B154">
        <v>0.14199999999999999</v>
      </c>
    </row>
    <row r="155" spans="1:2" x14ac:dyDescent="0.2">
      <c r="A155" s="87">
        <v>37590</v>
      </c>
      <c r="B155">
        <v>0.14499999999999999</v>
      </c>
    </row>
    <row r="156" spans="1:2" x14ac:dyDescent="0.2">
      <c r="A156" s="87">
        <v>37621</v>
      </c>
      <c r="B156">
        <v>0.14899999999999999</v>
      </c>
    </row>
    <row r="157" spans="1:2" x14ac:dyDescent="0.2">
      <c r="A157" s="87">
        <v>37652</v>
      </c>
      <c r="B157">
        <v>0.14799999999999999</v>
      </c>
    </row>
    <row r="158" spans="1:2" x14ac:dyDescent="0.2">
      <c r="A158" s="87">
        <v>37680</v>
      </c>
      <c r="B158">
        <v>0.19800000000000001</v>
      </c>
    </row>
    <row r="159" spans="1:2" x14ac:dyDescent="0.2">
      <c r="A159" s="87">
        <v>37711</v>
      </c>
      <c r="B159">
        <v>0.16900000000000001</v>
      </c>
    </row>
    <row r="160" spans="1:2" x14ac:dyDescent="0.2">
      <c r="A160" s="87">
        <v>37741</v>
      </c>
      <c r="B160">
        <v>0.14899999999999999</v>
      </c>
    </row>
    <row r="161" spans="1:2" x14ac:dyDescent="0.2">
      <c r="A161" s="87">
        <v>37772</v>
      </c>
      <c r="B161">
        <v>0.13700000000000001</v>
      </c>
    </row>
    <row r="162" spans="1:2" x14ac:dyDescent="0.2">
      <c r="A162" s="87">
        <v>37802</v>
      </c>
      <c r="B162">
        <v>0.16900000000000001</v>
      </c>
    </row>
    <row r="163" spans="1:2" x14ac:dyDescent="0.2">
      <c r="A163" s="87">
        <v>37833</v>
      </c>
      <c r="B163">
        <v>0.16500000000000001</v>
      </c>
    </row>
    <row r="164" spans="1:2" x14ac:dyDescent="0.2">
      <c r="A164" s="87">
        <v>37864</v>
      </c>
      <c r="B164">
        <v>0.17100000000000001</v>
      </c>
    </row>
    <row r="165" spans="1:2" x14ac:dyDescent="0.2">
      <c r="A165" s="87">
        <v>37894</v>
      </c>
      <c r="B165">
        <v>0.16300000000000001</v>
      </c>
    </row>
    <row r="166" spans="1:2" x14ac:dyDescent="0.2">
      <c r="A166" s="87">
        <v>37925</v>
      </c>
      <c r="B166">
        <v>0.17199999999999999</v>
      </c>
    </row>
    <row r="167" spans="1:2" x14ac:dyDescent="0.2">
      <c r="A167" s="87">
        <v>37955</v>
      </c>
      <c r="B167">
        <v>0.17899999999999999</v>
      </c>
    </row>
    <row r="168" spans="1:2" x14ac:dyDescent="0.2">
      <c r="A168" s="87">
        <v>37986</v>
      </c>
      <c r="B168">
        <v>0.18099999999999999</v>
      </c>
    </row>
    <row r="169" spans="1:2" x14ac:dyDescent="0.2">
      <c r="A169" s="87">
        <v>38017</v>
      </c>
      <c r="B169">
        <v>7.1999999999999995E-2</v>
      </c>
    </row>
    <row r="170" spans="1:2" x14ac:dyDescent="0.2">
      <c r="A170" s="87">
        <v>38046</v>
      </c>
      <c r="B170">
        <v>0.23200000000000001</v>
      </c>
    </row>
    <row r="171" spans="1:2" x14ac:dyDescent="0.2">
      <c r="A171" s="87">
        <v>38077</v>
      </c>
      <c r="B171">
        <v>0.19400000000000001</v>
      </c>
    </row>
    <row r="172" spans="1:2" x14ac:dyDescent="0.2">
      <c r="A172" s="87">
        <v>38107</v>
      </c>
      <c r="B172">
        <v>0.191</v>
      </c>
    </row>
    <row r="173" spans="1:2" x14ac:dyDescent="0.2">
      <c r="A173" s="87">
        <v>38138</v>
      </c>
      <c r="B173">
        <v>0.17499999999999999</v>
      </c>
    </row>
    <row r="174" spans="1:2" x14ac:dyDescent="0.2">
      <c r="A174" s="87">
        <v>38168</v>
      </c>
      <c r="B174">
        <v>0.16200000000000001</v>
      </c>
    </row>
    <row r="175" spans="1:2" x14ac:dyDescent="0.2">
      <c r="A175" s="87">
        <v>38199</v>
      </c>
      <c r="B175">
        <v>0.155</v>
      </c>
    </row>
    <row r="176" spans="1:2" x14ac:dyDescent="0.2">
      <c r="A176" s="87">
        <v>38230</v>
      </c>
      <c r="B176">
        <v>0.159</v>
      </c>
    </row>
    <row r="177" spans="1:3" x14ac:dyDescent="0.2">
      <c r="A177" s="87">
        <v>38260</v>
      </c>
      <c r="B177">
        <v>0.161</v>
      </c>
    </row>
    <row r="178" spans="1:3" x14ac:dyDescent="0.2">
      <c r="A178" s="87">
        <v>38291</v>
      </c>
      <c r="B178">
        <v>0.157</v>
      </c>
    </row>
    <row r="179" spans="1:3" x14ac:dyDescent="0.2">
      <c r="A179" s="87">
        <v>38321</v>
      </c>
      <c r="B179">
        <v>0.14799999999999999</v>
      </c>
    </row>
    <row r="180" spans="1:3" x14ac:dyDescent="0.2">
      <c r="A180" s="87">
        <v>38352</v>
      </c>
      <c r="B180">
        <v>0.14399999999999999</v>
      </c>
    </row>
    <row r="181" spans="1:3" x14ac:dyDescent="0.2">
      <c r="A181" s="87">
        <v>38383</v>
      </c>
      <c r="B181">
        <v>0.20899999999999999</v>
      </c>
      <c r="C181">
        <v>52.1</v>
      </c>
    </row>
    <row r="182" spans="1:3" x14ac:dyDescent="0.2">
      <c r="A182" s="87">
        <v>38411</v>
      </c>
      <c r="B182">
        <v>7.5999999999999998E-2</v>
      </c>
      <c r="C182">
        <v>52.9</v>
      </c>
    </row>
    <row r="183" spans="1:3" x14ac:dyDescent="0.2">
      <c r="A183" s="87">
        <v>38442</v>
      </c>
      <c r="B183">
        <v>0.151</v>
      </c>
      <c r="C183">
        <v>55.2</v>
      </c>
    </row>
    <row r="184" spans="1:3" x14ac:dyDescent="0.2">
      <c r="A184" s="87">
        <v>38472</v>
      </c>
      <c r="B184">
        <v>0.16</v>
      </c>
      <c r="C184">
        <v>54.4</v>
      </c>
    </row>
    <row r="185" spans="1:3" x14ac:dyDescent="0.2">
      <c r="A185" s="87">
        <v>38503</v>
      </c>
      <c r="B185">
        <v>0.16600000000000001</v>
      </c>
      <c r="C185">
        <v>53.3</v>
      </c>
    </row>
    <row r="186" spans="1:3" x14ac:dyDescent="0.2">
      <c r="A186" s="87">
        <v>38533</v>
      </c>
      <c r="B186">
        <v>0.16800000000000001</v>
      </c>
      <c r="C186">
        <v>51</v>
      </c>
    </row>
    <row r="187" spans="1:3" x14ac:dyDescent="0.2">
      <c r="A187" s="87">
        <v>38564</v>
      </c>
      <c r="B187">
        <v>0.161</v>
      </c>
      <c r="C187">
        <v>51.5</v>
      </c>
    </row>
    <row r="188" spans="1:3" x14ac:dyDescent="0.2">
      <c r="A188" s="87">
        <v>38595</v>
      </c>
      <c r="B188">
        <v>0.16</v>
      </c>
      <c r="C188">
        <v>50.6</v>
      </c>
    </row>
    <row r="189" spans="1:3" x14ac:dyDescent="0.2">
      <c r="A189" s="87">
        <v>38625</v>
      </c>
      <c r="B189">
        <v>0.16500000000000001</v>
      </c>
      <c r="C189">
        <v>50.9</v>
      </c>
    </row>
    <row r="190" spans="1:3" x14ac:dyDescent="0.2">
      <c r="A190" s="87">
        <v>38656</v>
      </c>
      <c r="B190">
        <v>0.161</v>
      </c>
      <c r="C190">
        <v>50.1</v>
      </c>
    </row>
    <row r="191" spans="1:3" x14ac:dyDescent="0.2">
      <c r="A191" s="87">
        <v>38686</v>
      </c>
      <c r="B191">
        <v>0.16600000000000001</v>
      </c>
      <c r="C191">
        <v>49.8</v>
      </c>
    </row>
    <row r="192" spans="1:3" x14ac:dyDescent="0.2">
      <c r="A192" s="87">
        <v>38717</v>
      </c>
      <c r="B192">
        <v>0.16500000000000001</v>
      </c>
      <c r="C192">
        <v>50.1</v>
      </c>
    </row>
    <row r="193" spans="1:3" x14ac:dyDescent="0.2">
      <c r="A193" s="87">
        <v>38776</v>
      </c>
      <c r="B193">
        <v>0.20100000000000001</v>
      </c>
      <c r="C193">
        <v>50.7</v>
      </c>
    </row>
    <row r="194" spans="1:3" x14ac:dyDescent="0.2">
      <c r="A194" s="87">
        <v>38807</v>
      </c>
      <c r="B194">
        <v>0.17799999999999999</v>
      </c>
      <c r="C194">
        <v>51</v>
      </c>
    </row>
    <row r="195" spans="1:3" x14ac:dyDescent="0.2">
      <c r="A195" s="87">
        <v>38837</v>
      </c>
      <c r="B195">
        <v>0.16600000000000001</v>
      </c>
      <c r="C195">
        <v>52.7</v>
      </c>
    </row>
    <row r="196" spans="1:3" x14ac:dyDescent="0.2">
      <c r="A196" s="87">
        <v>38868</v>
      </c>
      <c r="B196">
        <v>0.17899999999999999</v>
      </c>
      <c r="C196">
        <v>52.8</v>
      </c>
    </row>
    <row r="197" spans="1:3" x14ac:dyDescent="0.2">
      <c r="A197" s="87">
        <v>38898</v>
      </c>
      <c r="B197">
        <v>0.19500000000000001</v>
      </c>
      <c r="C197">
        <v>52.9</v>
      </c>
    </row>
    <row r="198" spans="1:3" x14ac:dyDescent="0.2">
      <c r="A198" s="87">
        <v>38929</v>
      </c>
      <c r="B198">
        <v>0.16700000000000001</v>
      </c>
      <c r="C198">
        <v>53</v>
      </c>
    </row>
    <row r="199" spans="1:3" x14ac:dyDescent="0.2">
      <c r="A199" s="87">
        <v>38960</v>
      </c>
      <c r="B199">
        <v>0.157</v>
      </c>
      <c r="C199">
        <v>52.6</v>
      </c>
    </row>
    <row r="200" spans="1:3" x14ac:dyDescent="0.2">
      <c r="A200" s="87">
        <v>38990</v>
      </c>
      <c r="B200">
        <v>0.161</v>
      </c>
      <c r="C200">
        <v>52.4</v>
      </c>
    </row>
    <row r="201" spans="1:3" x14ac:dyDescent="0.2">
      <c r="A201" s="87">
        <v>39021</v>
      </c>
      <c r="B201">
        <v>0.14699999999999999</v>
      </c>
      <c r="C201">
        <v>52.1</v>
      </c>
    </row>
    <row r="202" spans="1:3" x14ac:dyDescent="0.2">
      <c r="A202" s="87">
        <v>39051</v>
      </c>
      <c r="B202">
        <v>0.14899999999999999</v>
      </c>
      <c r="C202">
        <v>53</v>
      </c>
    </row>
    <row r="203" spans="1:3" x14ac:dyDescent="0.2">
      <c r="A203" s="87">
        <v>39082</v>
      </c>
      <c r="B203">
        <v>0.14699999999999999</v>
      </c>
      <c r="C203">
        <v>52.4</v>
      </c>
    </row>
    <row r="204" spans="1:3" x14ac:dyDescent="0.2">
      <c r="A204" s="87">
        <v>39141</v>
      </c>
      <c r="B204">
        <v>0.126</v>
      </c>
      <c r="C204">
        <v>53</v>
      </c>
    </row>
    <row r="205" spans="1:3" x14ac:dyDescent="0.2">
      <c r="A205" s="87">
        <v>39172</v>
      </c>
      <c r="B205">
        <v>0.17599999999999999</v>
      </c>
      <c r="C205">
        <v>52.3</v>
      </c>
    </row>
    <row r="206" spans="1:3" x14ac:dyDescent="0.2">
      <c r="A206" s="87">
        <v>39202</v>
      </c>
      <c r="B206">
        <v>0.17399999999999999</v>
      </c>
      <c r="C206">
        <v>53.3</v>
      </c>
    </row>
    <row r="207" spans="1:3" x14ac:dyDescent="0.2">
      <c r="A207" s="87">
        <v>39233</v>
      </c>
      <c r="B207">
        <v>0.18099999999999999</v>
      </c>
      <c r="C207">
        <v>54.1</v>
      </c>
    </row>
    <row r="208" spans="1:3" x14ac:dyDescent="0.2">
      <c r="A208" s="87">
        <v>39263</v>
      </c>
      <c r="B208">
        <v>0.19400000000000001</v>
      </c>
      <c r="C208">
        <v>55</v>
      </c>
    </row>
    <row r="209" spans="1:3" x14ac:dyDescent="0.2">
      <c r="A209" s="87">
        <v>39294</v>
      </c>
      <c r="B209">
        <v>0.18</v>
      </c>
      <c r="C209">
        <v>53.2</v>
      </c>
    </row>
    <row r="210" spans="1:3" x14ac:dyDescent="0.2">
      <c r="A210" s="87">
        <v>39325</v>
      </c>
      <c r="B210">
        <v>0.17499999999999999</v>
      </c>
      <c r="C210">
        <v>53.4</v>
      </c>
    </row>
    <row r="211" spans="1:3" x14ac:dyDescent="0.2">
      <c r="A211" s="87">
        <v>39355</v>
      </c>
      <c r="B211">
        <v>0.189</v>
      </c>
      <c r="C211">
        <v>55</v>
      </c>
    </row>
    <row r="212" spans="1:3" x14ac:dyDescent="0.2">
      <c r="A212" s="87">
        <v>39386</v>
      </c>
      <c r="B212">
        <v>0.17899999999999999</v>
      </c>
      <c r="C212">
        <v>55.2</v>
      </c>
    </row>
    <row r="213" spans="1:3" x14ac:dyDescent="0.2">
      <c r="A213" s="87">
        <v>39416</v>
      </c>
      <c r="B213">
        <v>0.17299999999999999</v>
      </c>
      <c r="C213">
        <v>52.8</v>
      </c>
    </row>
    <row r="214" spans="1:3" x14ac:dyDescent="0.2">
      <c r="A214" s="87">
        <v>39447</v>
      </c>
      <c r="B214">
        <v>0.17399999999999999</v>
      </c>
      <c r="C214">
        <v>53.3</v>
      </c>
    </row>
    <row r="215" spans="1:3" x14ac:dyDescent="0.2">
      <c r="A215" s="87">
        <v>39507</v>
      </c>
      <c r="B215">
        <v>0.154</v>
      </c>
      <c r="C215">
        <v>52.8</v>
      </c>
    </row>
    <row r="216" spans="1:3" x14ac:dyDescent="0.2">
      <c r="A216" s="87">
        <v>39538</v>
      </c>
      <c r="B216">
        <v>0.17799999999999999</v>
      </c>
      <c r="C216">
        <v>54.4</v>
      </c>
    </row>
    <row r="217" spans="1:3" x14ac:dyDescent="0.2">
      <c r="A217" s="87">
        <v>39568</v>
      </c>
      <c r="B217">
        <v>0.157</v>
      </c>
      <c r="C217">
        <v>55.4</v>
      </c>
    </row>
    <row r="218" spans="1:3" x14ac:dyDescent="0.2">
      <c r="A218" s="87">
        <v>39599</v>
      </c>
      <c r="B218">
        <v>0.16</v>
      </c>
      <c r="C218">
        <v>54.7</v>
      </c>
    </row>
    <row r="219" spans="1:3" x14ac:dyDescent="0.2">
      <c r="A219" s="87">
        <v>39629</v>
      </c>
      <c r="B219">
        <v>0.16</v>
      </c>
      <c r="C219">
        <v>53.3</v>
      </c>
    </row>
    <row r="220" spans="1:3" x14ac:dyDescent="0.2">
      <c r="A220" s="87">
        <v>39660</v>
      </c>
      <c r="B220">
        <v>0.14699999999999999</v>
      </c>
      <c r="C220">
        <v>53.3</v>
      </c>
    </row>
    <row r="221" spans="1:3" x14ac:dyDescent="0.2">
      <c r="A221" s="87">
        <v>39691</v>
      </c>
      <c r="B221">
        <v>0.128</v>
      </c>
      <c r="C221">
        <v>49.2</v>
      </c>
    </row>
    <row r="222" spans="1:3" x14ac:dyDescent="0.2">
      <c r="A222" s="87">
        <v>39721</v>
      </c>
      <c r="B222">
        <v>0.114</v>
      </c>
      <c r="C222">
        <v>47.7</v>
      </c>
    </row>
    <row r="223" spans="1:3" x14ac:dyDescent="0.2">
      <c r="A223" s="87">
        <v>39752</v>
      </c>
      <c r="B223">
        <v>8.2000000000000003E-2</v>
      </c>
      <c r="C223">
        <v>45.2</v>
      </c>
    </row>
    <row r="224" spans="1:3" x14ac:dyDescent="0.2">
      <c r="A224" s="87">
        <v>39782</v>
      </c>
      <c r="B224">
        <v>5.3999999999999999E-2</v>
      </c>
      <c r="C224">
        <v>40.9</v>
      </c>
    </row>
    <row r="225" spans="1:3" x14ac:dyDescent="0.2">
      <c r="A225" s="87">
        <v>39813</v>
      </c>
      <c r="B225">
        <v>5.7000000000000002E-2</v>
      </c>
      <c r="C225">
        <v>41.2</v>
      </c>
    </row>
    <row r="226" spans="1:3" x14ac:dyDescent="0.2">
      <c r="A226" s="87">
        <v>39872</v>
      </c>
      <c r="B226">
        <v>0.11</v>
      </c>
      <c r="C226">
        <v>45.1</v>
      </c>
    </row>
    <row r="227" spans="1:3" x14ac:dyDescent="0.2">
      <c r="A227" s="87">
        <v>39903</v>
      </c>
      <c r="B227">
        <v>8.3000000000000004E-2</v>
      </c>
      <c r="C227">
        <v>44.8</v>
      </c>
    </row>
    <row r="228" spans="1:3" x14ac:dyDescent="0.2">
      <c r="A228" s="87">
        <v>39933</v>
      </c>
      <c r="B228">
        <v>7.2999999999999995E-2</v>
      </c>
      <c r="C228">
        <v>50.1</v>
      </c>
    </row>
    <row r="229" spans="1:3" x14ac:dyDescent="0.2">
      <c r="A229" s="87">
        <v>39964</v>
      </c>
      <c r="B229">
        <v>8.8999999999999996E-2</v>
      </c>
      <c r="C229">
        <v>51.2</v>
      </c>
    </row>
    <row r="230" spans="1:3" x14ac:dyDescent="0.2">
      <c r="A230" s="87">
        <v>39994</v>
      </c>
      <c r="B230">
        <v>0.107</v>
      </c>
      <c r="C230">
        <v>51.8</v>
      </c>
    </row>
    <row r="231" spans="1:3" x14ac:dyDescent="0.2">
      <c r="A231" s="87">
        <v>40025</v>
      </c>
      <c r="B231">
        <v>0.108</v>
      </c>
      <c r="C231">
        <v>52.8</v>
      </c>
    </row>
    <row r="232" spans="1:3" x14ac:dyDescent="0.2">
      <c r="A232" s="87">
        <v>40056</v>
      </c>
      <c r="B232">
        <v>0.123</v>
      </c>
      <c r="C232">
        <v>55.1</v>
      </c>
    </row>
    <row r="233" spans="1:3" x14ac:dyDescent="0.2">
      <c r="A233" s="87">
        <v>40086</v>
      </c>
      <c r="B233">
        <v>0.13900000000000001</v>
      </c>
      <c r="C233">
        <v>55</v>
      </c>
    </row>
    <row r="234" spans="1:3" x14ac:dyDescent="0.2">
      <c r="A234" s="87">
        <v>40117</v>
      </c>
      <c r="B234">
        <v>0.161</v>
      </c>
      <c r="C234">
        <v>55.4</v>
      </c>
    </row>
    <row r="235" spans="1:3" x14ac:dyDescent="0.2">
      <c r="A235" s="87">
        <v>40147</v>
      </c>
      <c r="B235">
        <v>0.192</v>
      </c>
      <c r="C235">
        <v>55.7</v>
      </c>
    </row>
    <row r="236" spans="1:3" x14ac:dyDescent="0.2">
      <c r="A236" s="87">
        <v>40178</v>
      </c>
      <c r="B236">
        <v>0.185</v>
      </c>
      <c r="C236">
        <v>56.1</v>
      </c>
    </row>
    <row r="237" spans="1:3" x14ac:dyDescent="0.2">
      <c r="A237" s="87">
        <v>40237</v>
      </c>
      <c r="B237">
        <v>0.128</v>
      </c>
      <c r="C237">
        <v>55.8</v>
      </c>
    </row>
    <row r="238" spans="1:3" x14ac:dyDescent="0.2">
      <c r="A238" s="87">
        <v>40268</v>
      </c>
      <c r="B238">
        <v>0.18099999999999999</v>
      </c>
      <c r="C238">
        <v>57</v>
      </c>
    </row>
    <row r="239" spans="1:3" x14ac:dyDescent="0.2">
      <c r="A239" s="87">
        <v>40298</v>
      </c>
      <c r="B239">
        <v>0.17799999999999999</v>
      </c>
      <c r="C239">
        <v>55.4</v>
      </c>
    </row>
    <row r="240" spans="1:3" x14ac:dyDescent="0.2">
      <c r="A240" s="87">
        <v>40329</v>
      </c>
      <c r="B240">
        <v>0.16500000000000001</v>
      </c>
      <c r="C240">
        <v>52.7</v>
      </c>
    </row>
    <row r="241" spans="1:3" x14ac:dyDescent="0.2">
      <c r="A241" s="87">
        <v>40359</v>
      </c>
      <c r="B241">
        <v>0.13700000000000001</v>
      </c>
      <c r="C241">
        <v>50.4</v>
      </c>
    </row>
    <row r="242" spans="1:3" x14ac:dyDescent="0.2">
      <c r="A242" s="87">
        <v>40390</v>
      </c>
      <c r="B242">
        <v>0.13400000000000001</v>
      </c>
      <c r="C242">
        <v>49.4</v>
      </c>
    </row>
    <row r="243" spans="1:3" x14ac:dyDescent="0.2">
      <c r="A243" s="87">
        <v>40421</v>
      </c>
      <c r="B243">
        <v>0.13900000000000001</v>
      </c>
      <c r="C243">
        <v>51.9</v>
      </c>
    </row>
    <row r="244" spans="1:3" x14ac:dyDescent="0.2">
      <c r="A244" s="87">
        <v>40451</v>
      </c>
      <c r="B244">
        <v>0.13300000000000001</v>
      </c>
      <c r="C244">
        <v>52.9</v>
      </c>
    </row>
    <row r="245" spans="1:3" x14ac:dyDescent="0.2">
      <c r="A245" s="87">
        <v>40482</v>
      </c>
      <c r="B245">
        <v>0.13100000000000001</v>
      </c>
      <c r="C245">
        <v>54.8</v>
      </c>
    </row>
    <row r="246" spans="1:3" x14ac:dyDescent="0.2">
      <c r="A246" s="87">
        <v>40512</v>
      </c>
      <c r="B246">
        <v>0.13300000000000001</v>
      </c>
      <c r="C246">
        <v>55.3</v>
      </c>
    </row>
    <row r="247" spans="1:3" x14ac:dyDescent="0.2">
      <c r="A247" s="87">
        <v>40543</v>
      </c>
      <c r="B247">
        <v>0.13500000000000001</v>
      </c>
      <c r="C247">
        <v>54.4</v>
      </c>
    </row>
    <row r="248" spans="1:3" x14ac:dyDescent="0.2">
      <c r="A248" s="87">
        <v>40602</v>
      </c>
      <c r="B248">
        <v>0.14099999999999999</v>
      </c>
      <c r="C248">
        <v>51.7</v>
      </c>
    </row>
    <row r="249" spans="1:3" x14ac:dyDescent="0.2">
      <c r="A249" s="87">
        <v>40633</v>
      </c>
      <c r="B249">
        <v>0.14799999999999999</v>
      </c>
      <c r="C249">
        <v>51.8</v>
      </c>
    </row>
    <row r="250" spans="1:3" x14ac:dyDescent="0.2">
      <c r="A250" s="87">
        <v>40663</v>
      </c>
      <c r="B250">
        <v>0.13400000000000001</v>
      </c>
      <c r="C250">
        <v>51.8</v>
      </c>
    </row>
    <row r="251" spans="1:3" x14ac:dyDescent="0.2">
      <c r="A251" s="87">
        <v>40694</v>
      </c>
      <c r="B251">
        <v>0.13300000000000001</v>
      </c>
      <c r="C251">
        <v>51.6</v>
      </c>
    </row>
    <row r="252" spans="1:3" x14ac:dyDescent="0.2">
      <c r="A252" s="87">
        <v>40724</v>
      </c>
      <c r="B252">
        <v>0.151</v>
      </c>
      <c r="C252">
        <v>50.1</v>
      </c>
    </row>
    <row r="253" spans="1:3" x14ac:dyDescent="0.2">
      <c r="A253" s="87">
        <v>40755</v>
      </c>
      <c r="B253">
        <v>0.14000000000000001</v>
      </c>
      <c r="C253">
        <v>49.3</v>
      </c>
    </row>
    <row r="254" spans="1:3" x14ac:dyDescent="0.2">
      <c r="A254" s="87">
        <v>40786</v>
      </c>
      <c r="B254">
        <v>0.13500000000000001</v>
      </c>
      <c r="C254">
        <v>49.9</v>
      </c>
    </row>
    <row r="255" spans="1:3" x14ac:dyDescent="0.2">
      <c r="A255" s="87">
        <v>40816</v>
      </c>
      <c r="B255">
        <v>0.13800000000000001</v>
      </c>
      <c r="C255">
        <v>49.9</v>
      </c>
    </row>
    <row r="256" spans="1:3" x14ac:dyDescent="0.2">
      <c r="A256" s="87">
        <v>40847</v>
      </c>
      <c r="B256">
        <v>0.13200000000000001</v>
      </c>
      <c r="C256">
        <v>51</v>
      </c>
    </row>
    <row r="257" spans="1:3" x14ac:dyDescent="0.2">
      <c r="A257" s="87">
        <v>40877</v>
      </c>
      <c r="B257">
        <v>0.124</v>
      </c>
      <c r="C257">
        <v>47.7</v>
      </c>
    </row>
    <row r="258" spans="1:3" x14ac:dyDescent="0.2">
      <c r="A258" s="87">
        <v>40908</v>
      </c>
      <c r="B258">
        <v>0.128</v>
      </c>
      <c r="C258">
        <v>48.7</v>
      </c>
    </row>
    <row r="259" spans="1:3" x14ac:dyDescent="0.2">
      <c r="A259" s="87">
        <v>40968</v>
      </c>
      <c r="B259">
        <v>0.114</v>
      </c>
      <c r="C259">
        <v>49.6</v>
      </c>
    </row>
    <row r="260" spans="1:3" x14ac:dyDescent="0.2">
      <c r="A260" s="87">
        <v>40999</v>
      </c>
      <c r="B260">
        <v>0.11899999999999999</v>
      </c>
      <c r="C260">
        <v>48.3</v>
      </c>
    </row>
    <row r="261" spans="1:3" x14ac:dyDescent="0.2">
      <c r="A261" s="87">
        <v>41029</v>
      </c>
      <c r="B261">
        <v>9.2999999999999999E-2</v>
      </c>
      <c r="C261">
        <v>49.3</v>
      </c>
    </row>
    <row r="262" spans="1:3" x14ac:dyDescent="0.2">
      <c r="A262" s="87">
        <v>41060</v>
      </c>
      <c r="B262">
        <v>9.6000000000000002E-2</v>
      </c>
      <c r="C262">
        <v>48.4</v>
      </c>
    </row>
    <row r="263" spans="1:3" x14ac:dyDescent="0.2">
      <c r="A263" s="87">
        <v>41090</v>
      </c>
      <c r="B263">
        <v>9.5000000000000001E-2</v>
      </c>
      <c r="C263">
        <v>48.2</v>
      </c>
    </row>
    <row r="264" spans="1:3" x14ac:dyDescent="0.2">
      <c r="A264" s="87">
        <v>41121</v>
      </c>
      <c r="B264">
        <v>9.1999999999999998E-2</v>
      </c>
      <c r="C264">
        <v>49.3</v>
      </c>
    </row>
    <row r="265" spans="1:3" x14ac:dyDescent="0.2">
      <c r="A265" s="87">
        <v>41152</v>
      </c>
      <c r="B265">
        <v>8.8999999999999996E-2</v>
      </c>
      <c r="C265">
        <v>47.7</v>
      </c>
    </row>
    <row r="266" spans="1:3" x14ac:dyDescent="0.2">
      <c r="A266" s="87">
        <v>41182</v>
      </c>
      <c r="B266">
        <v>9.1999999999999998E-2</v>
      </c>
      <c r="C266">
        <v>47.9</v>
      </c>
    </row>
    <row r="267" spans="1:3" x14ac:dyDescent="0.2">
      <c r="A267" s="87">
        <v>41213</v>
      </c>
      <c r="B267">
        <v>9.6000000000000002E-2</v>
      </c>
      <c r="C267">
        <v>49.5</v>
      </c>
    </row>
    <row r="268" spans="1:3" x14ac:dyDescent="0.2">
      <c r="A268" s="87">
        <v>41243</v>
      </c>
      <c r="B268">
        <v>0.10100000000000001</v>
      </c>
      <c r="C268">
        <v>50.5</v>
      </c>
    </row>
    <row r="269" spans="1:3" x14ac:dyDescent="0.2">
      <c r="A269" s="87">
        <v>41274</v>
      </c>
      <c r="B269">
        <v>0.10299999999999999</v>
      </c>
      <c r="C269">
        <v>51.5</v>
      </c>
    </row>
    <row r="270" spans="1:3" x14ac:dyDescent="0.2">
      <c r="A270" s="87">
        <v>41333</v>
      </c>
      <c r="B270">
        <v>9.9000000000000005E-2</v>
      </c>
      <c r="C270">
        <v>50.4</v>
      </c>
    </row>
    <row r="271" spans="1:3" x14ac:dyDescent="0.2">
      <c r="A271" s="87">
        <v>41364</v>
      </c>
      <c r="B271">
        <v>8.8999999999999996E-2</v>
      </c>
      <c r="C271">
        <v>51.6</v>
      </c>
    </row>
    <row r="272" spans="1:3" x14ac:dyDescent="0.2">
      <c r="A272" s="87">
        <v>41394</v>
      </c>
      <c r="B272">
        <v>9.2999999999999999E-2</v>
      </c>
      <c r="C272">
        <v>50.4</v>
      </c>
    </row>
    <row r="273" spans="1:3" x14ac:dyDescent="0.2">
      <c r="A273" s="87">
        <v>41425</v>
      </c>
      <c r="B273">
        <v>9.1999999999999998E-2</v>
      </c>
      <c r="C273">
        <v>49.2</v>
      </c>
    </row>
    <row r="274" spans="1:3" x14ac:dyDescent="0.2">
      <c r="A274" s="87">
        <v>41455</v>
      </c>
      <c r="B274">
        <v>8.8999999999999996E-2</v>
      </c>
      <c r="C274">
        <v>48.2</v>
      </c>
    </row>
    <row r="275" spans="1:3" x14ac:dyDescent="0.2">
      <c r="A275" s="87">
        <v>41486</v>
      </c>
      <c r="B275">
        <v>9.7000000000000003E-2</v>
      </c>
      <c r="C275">
        <v>47.7</v>
      </c>
    </row>
    <row r="276" spans="1:3" x14ac:dyDescent="0.2">
      <c r="A276" s="87">
        <v>41517</v>
      </c>
      <c r="B276">
        <v>0.104</v>
      </c>
      <c r="C276">
        <v>50.1</v>
      </c>
    </row>
    <row r="277" spans="1:3" x14ac:dyDescent="0.2">
      <c r="A277" s="87">
        <v>41547</v>
      </c>
      <c r="B277">
        <v>0.10199999999999999</v>
      </c>
      <c r="C277">
        <v>50.2</v>
      </c>
    </row>
    <row r="278" spans="1:3" x14ac:dyDescent="0.2">
      <c r="A278" s="87">
        <v>41578</v>
      </c>
      <c r="B278">
        <v>0.10299999999999999</v>
      </c>
      <c r="C278">
        <v>50.9</v>
      </c>
    </row>
    <row r="279" spans="1:3" x14ac:dyDescent="0.2">
      <c r="A279" s="87">
        <v>41608</v>
      </c>
      <c r="B279">
        <v>0.1</v>
      </c>
      <c r="C279">
        <v>50.8</v>
      </c>
    </row>
    <row r="280" spans="1:3" x14ac:dyDescent="0.2">
      <c r="A280" s="87">
        <v>41639</v>
      </c>
      <c r="B280">
        <v>9.7000000000000003E-2</v>
      </c>
      <c r="C280">
        <v>50.5</v>
      </c>
    </row>
    <row r="281" spans="1:3" x14ac:dyDescent="0.2">
      <c r="A281" s="87">
        <v>41698</v>
      </c>
      <c r="B281">
        <v>8.5999999999999993E-2</v>
      </c>
      <c r="C281">
        <v>48.5</v>
      </c>
    </row>
    <row r="282" spans="1:3" x14ac:dyDescent="0.2">
      <c r="A282" s="87">
        <v>41729</v>
      </c>
      <c r="B282">
        <v>8.7999999999999995E-2</v>
      </c>
      <c r="C282">
        <v>48</v>
      </c>
    </row>
    <row r="283" spans="1:3" x14ac:dyDescent="0.2">
      <c r="A283" s="87">
        <v>41759</v>
      </c>
      <c r="B283">
        <v>8.6999999999999994E-2</v>
      </c>
      <c r="C283">
        <v>48.1</v>
      </c>
    </row>
    <row r="284" spans="1:3" x14ac:dyDescent="0.2">
      <c r="A284" s="87">
        <v>41790</v>
      </c>
      <c r="B284">
        <v>8.7999999999999995E-2</v>
      </c>
      <c r="C284">
        <v>49.4</v>
      </c>
    </row>
    <row r="285" spans="1:3" x14ac:dyDescent="0.2">
      <c r="A285" s="87">
        <v>41820</v>
      </c>
      <c r="B285">
        <v>9.1999999999999998E-2</v>
      </c>
      <c r="C285">
        <v>50.7</v>
      </c>
    </row>
    <row r="286" spans="1:3" x14ac:dyDescent="0.2">
      <c r="A286" s="87">
        <v>41851</v>
      </c>
      <c r="B286">
        <v>0.09</v>
      </c>
      <c r="C286">
        <v>51.7</v>
      </c>
    </row>
    <row r="287" spans="1:3" x14ac:dyDescent="0.2">
      <c r="A287" s="87">
        <v>41882</v>
      </c>
      <c r="B287">
        <v>6.9000000000000006E-2</v>
      </c>
      <c r="C287">
        <v>50.2</v>
      </c>
    </row>
    <row r="288" spans="1:3" x14ac:dyDescent="0.2">
      <c r="A288" s="87">
        <v>41912</v>
      </c>
      <c r="B288">
        <v>0.08</v>
      </c>
      <c r="C288">
        <v>51.1</v>
      </c>
    </row>
    <row r="289" spans="1:3" x14ac:dyDescent="0.2">
      <c r="A289" s="87">
        <v>41943</v>
      </c>
      <c r="B289">
        <v>7.6999999999999999E-2</v>
      </c>
      <c r="C289">
        <v>50.8</v>
      </c>
    </row>
    <row r="290" spans="1:3" x14ac:dyDescent="0.2">
      <c r="A290" s="87">
        <v>41973</v>
      </c>
      <c r="B290">
        <v>7.1999999999999995E-2</v>
      </c>
      <c r="C290">
        <v>50.3</v>
      </c>
    </row>
    <row r="291" spans="1:3" x14ac:dyDescent="0.2">
      <c r="A291" s="87">
        <v>42004</v>
      </c>
      <c r="B291">
        <v>7.9000000000000001E-2</v>
      </c>
      <c r="C291">
        <v>50.1</v>
      </c>
    </row>
    <row r="292" spans="1:3" x14ac:dyDescent="0.2">
      <c r="A292" s="87">
        <v>42063</v>
      </c>
      <c r="B292">
        <v>6.8000000000000005E-2</v>
      </c>
      <c r="C292">
        <v>49.9</v>
      </c>
    </row>
    <row r="293" spans="1:3" x14ac:dyDescent="0.2">
      <c r="A293" s="87">
        <v>42094</v>
      </c>
      <c r="B293">
        <v>5.6000000000000001E-2</v>
      </c>
      <c r="C293">
        <v>50.1</v>
      </c>
    </row>
    <row r="294" spans="1:3" x14ac:dyDescent="0.2">
      <c r="A294" s="87">
        <v>42124</v>
      </c>
      <c r="B294">
        <v>5.8999999999999997E-2</v>
      </c>
      <c r="C294">
        <v>50.1</v>
      </c>
    </row>
    <row r="295" spans="1:3" x14ac:dyDescent="0.2">
      <c r="A295" s="87">
        <v>42155</v>
      </c>
      <c r="B295">
        <v>6.0999999999999999E-2</v>
      </c>
      <c r="C295">
        <v>50.2</v>
      </c>
    </row>
    <row r="296" spans="1:3" x14ac:dyDescent="0.2">
      <c r="A296" s="87">
        <v>42185</v>
      </c>
      <c r="B296">
        <v>6.8000000000000005E-2</v>
      </c>
      <c r="C296">
        <v>50.2</v>
      </c>
    </row>
    <row r="297" spans="1:3" x14ac:dyDescent="0.2">
      <c r="A297" s="87">
        <v>42216</v>
      </c>
      <c r="B297">
        <v>0.06</v>
      </c>
      <c r="C297">
        <v>50</v>
      </c>
    </row>
    <row r="298" spans="1:3" x14ac:dyDescent="0.2">
      <c r="A298" s="87">
        <v>42247</v>
      </c>
      <c r="B298">
        <v>6.0999999999999999E-2</v>
      </c>
      <c r="C298">
        <v>47.3</v>
      </c>
    </row>
    <row r="299" spans="1:3" x14ac:dyDescent="0.2">
      <c r="A299" s="87">
        <v>42277</v>
      </c>
      <c r="B299">
        <v>5.7000000000000002E-2</v>
      </c>
      <c r="C299">
        <v>47.2</v>
      </c>
    </row>
    <row r="300" spans="1:3" x14ac:dyDescent="0.2">
      <c r="A300" s="87">
        <v>42308</v>
      </c>
      <c r="B300">
        <v>5.6000000000000001E-2</v>
      </c>
      <c r="C300">
        <v>48.3</v>
      </c>
    </row>
    <row r="301" spans="1:3" x14ac:dyDescent="0.2">
      <c r="A301" s="87">
        <v>42338</v>
      </c>
      <c r="B301">
        <v>6.2E-2</v>
      </c>
      <c r="C301">
        <v>48.6</v>
      </c>
    </row>
    <row r="302" spans="1:3" x14ac:dyDescent="0.2">
      <c r="A302" s="87">
        <v>42369</v>
      </c>
      <c r="B302">
        <v>5.8999999999999997E-2</v>
      </c>
      <c r="C302">
        <v>48.2</v>
      </c>
    </row>
    <row r="303" spans="1:3" x14ac:dyDescent="0.2">
      <c r="A303" s="87">
        <v>42400</v>
      </c>
      <c r="B303">
        <v>5.3999999999999999E-2</v>
      </c>
      <c r="C303">
        <v>48.4</v>
      </c>
    </row>
    <row r="304" spans="1:3" x14ac:dyDescent="0.2">
      <c r="A304" s="87">
        <v>42460</v>
      </c>
      <c r="B304">
        <v>6.8000000000000005E-2</v>
      </c>
      <c r="C304">
        <v>49.7</v>
      </c>
    </row>
    <row r="305" spans="1:3" x14ac:dyDescent="0.2">
      <c r="A305" s="87">
        <v>42490</v>
      </c>
      <c r="B305">
        <v>0.06</v>
      </c>
      <c r="C305">
        <v>49.4</v>
      </c>
    </row>
    <row r="306" spans="1:3" x14ac:dyDescent="0.2">
      <c r="A306" s="87">
        <v>42521</v>
      </c>
      <c r="B306">
        <v>0.06</v>
      </c>
      <c r="C306">
        <v>49.2</v>
      </c>
    </row>
    <row r="307" spans="1:3" x14ac:dyDescent="0.2">
      <c r="A307" s="87">
        <v>42551</v>
      </c>
      <c r="B307">
        <v>6.2E-2</v>
      </c>
      <c r="C307">
        <v>48.6</v>
      </c>
    </row>
    <row r="308" spans="1:3" x14ac:dyDescent="0.2">
      <c r="A308" s="87">
        <v>42582</v>
      </c>
      <c r="B308">
        <v>0.06</v>
      </c>
      <c r="C308">
        <v>50.6</v>
      </c>
    </row>
    <row r="309" spans="1:3" x14ac:dyDescent="0.2">
      <c r="A309" s="87">
        <v>42613</v>
      </c>
      <c r="B309">
        <v>6.3E-2</v>
      </c>
      <c r="C309">
        <v>50</v>
      </c>
    </row>
    <row r="310" spans="1:3" x14ac:dyDescent="0.2">
      <c r="A310" s="87">
        <v>42643</v>
      </c>
      <c r="B310">
        <v>6.0999999999999999E-2</v>
      </c>
      <c r="C310">
        <v>50.1</v>
      </c>
    </row>
    <row r="311" spans="1:3" x14ac:dyDescent="0.2">
      <c r="A311" s="87">
        <v>42674</v>
      </c>
      <c r="B311">
        <v>6.0999999999999999E-2</v>
      </c>
      <c r="C311">
        <v>51.2</v>
      </c>
    </row>
    <row r="312" spans="1:3" x14ac:dyDescent="0.2">
      <c r="A312" s="87">
        <v>42704</v>
      </c>
      <c r="B312">
        <v>6.2E-2</v>
      </c>
      <c r="C312">
        <v>50.9</v>
      </c>
    </row>
    <row r="313" spans="1:3" x14ac:dyDescent="0.2">
      <c r="A313" s="87">
        <v>42735</v>
      </c>
      <c r="B313">
        <v>0.06</v>
      </c>
      <c r="C313">
        <v>51.9</v>
      </c>
    </row>
    <row r="314" spans="1:3" x14ac:dyDescent="0.2">
      <c r="A314" s="87">
        <v>42766</v>
      </c>
      <c r="B314">
        <v>6.3E-2</v>
      </c>
      <c r="C314">
        <v>51</v>
      </c>
    </row>
    <row r="315" spans="1:3" x14ac:dyDescent="0.2">
      <c r="A315" s="87">
        <v>42825</v>
      </c>
      <c r="B315">
        <v>7.5999999999999998E-2</v>
      </c>
      <c r="C315">
        <v>51.2</v>
      </c>
    </row>
    <row r="316" spans="1:3" x14ac:dyDescent="0.2">
      <c r="A316" s="87">
        <v>42855</v>
      </c>
      <c r="B316">
        <v>6.5000000000000002E-2</v>
      </c>
      <c r="C316">
        <v>50.3</v>
      </c>
    </row>
    <row r="317" spans="1:3" x14ac:dyDescent="0.2">
      <c r="A317" s="87">
        <v>42886</v>
      </c>
      <c r="B317">
        <v>6.5000000000000002E-2</v>
      </c>
      <c r="C317">
        <v>49.6</v>
      </c>
    </row>
    <row r="318" spans="1:3" x14ac:dyDescent="0.2">
      <c r="A318" s="87">
        <v>42916</v>
      </c>
      <c r="B318">
        <v>7.5999999999999998E-2</v>
      </c>
      <c r="C318">
        <v>50.4</v>
      </c>
    </row>
    <row r="319" spans="1:3" x14ac:dyDescent="0.2">
      <c r="A319" s="87">
        <v>42947</v>
      </c>
      <c r="B319">
        <v>6.4000000000000001E-2</v>
      </c>
      <c r="C319">
        <v>51.1</v>
      </c>
    </row>
    <row r="320" spans="1:3" x14ac:dyDescent="0.2">
      <c r="A320" s="87">
        <v>42978</v>
      </c>
      <c r="B320">
        <v>0.06</v>
      </c>
      <c r="C320">
        <v>51.6</v>
      </c>
    </row>
    <row r="321" spans="1:3" x14ac:dyDescent="0.2">
      <c r="A321" s="87">
        <v>43008</v>
      </c>
      <c r="B321">
        <v>6.6000000000000003E-2</v>
      </c>
      <c r="C321">
        <v>51</v>
      </c>
    </row>
    <row r="322" spans="1:3" x14ac:dyDescent="0.2">
      <c r="A322" s="87">
        <v>43039</v>
      </c>
      <c r="B322">
        <v>6.2E-2</v>
      </c>
      <c r="C322">
        <v>51</v>
      </c>
    </row>
    <row r="323" spans="1:3" x14ac:dyDescent="0.2">
      <c r="A323" s="87">
        <v>43069</v>
      </c>
      <c r="B323">
        <v>6.0999999999999999E-2</v>
      </c>
      <c r="C323">
        <v>50.8</v>
      </c>
    </row>
    <row r="324" spans="1:3" x14ac:dyDescent="0.2">
      <c r="A324" s="87">
        <v>43100</v>
      </c>
      <c r="B324">
        <v>6.2E-2</v>
      </c>
      <c r="C324">
        <v>51.5</v>
      </c>
    </row>
    <row r="325" spans="1:3" x14ac:dyDescent="0.2">
      <c r="A325" s="87">
        <v>43159</v>
      </c>
      <c r="B325">
        <v>7.1999999999999995E-2</v>
      </c>
      <c r="C325">
        <v>51.5</v>
      </c>
    </row>
    <row r="326" spans="1:3" x14ac:dyDescent="0.2">
      <c r="A326" s="87">
        <v>43190</v>
      </c>
      <c r="B326">
        <v>0.06</v>
      </c>
      <c r="C326">
        <v>51</v>
      </c>
    </row>
    <row r="327" spans="1:3" x14ac:dyDescent="0.2">
      <c r="A327" s="87">
        <v>43220</v>
      </c>
      <c r="B327">
        <v>7.0000000000000007E-2</v>
      </c>
      <c r="C327">
        <v>51.1</v>
      </c>
    </row>
    <row r="328" spans="1:3" x14ac:dyDescent="0.2">
      <c r="A328" s="87">
        <v>43251</v>
      </c>
      <c r="B328">
        <v>6.8000000000000005E-2</v>
      </c>
      <c r="C328">
        <v>51.1</v>
      </c>
    </row>
    <row r="329" spans="1:3" x14ac:dyDescent="0.2">
      <c r="A329" s="87">
        <v>43281</v>
      </c>
      <c r="B329">
        <v>0.06</v>
      </c>
      <c r="C329">
        <v>51</v>
      </c>
    </row>
    <row r="330" spans="1:3" x14ac:dyDescent="0.2">
      <c r="A330" s="87">
        <v>43312</v>
      </c>
      <c r="B330">
        <v>0.06</v>
      </c>
      <c r="C330">
        <v>50.8</v>
      </c>
    </row>
    <row r="331" spans="1:3" x14ac:dyDescent="0.2">
      <c r="A331" s="87">
        <v>43343</v>
      </c>
      <c r="B331">
        <v>6.0999999999999999E-2</v>
      </c>
      <c r="C331">
        <v>50.6</v>
      </c>
    </row>
    <row r="332" spans="1:3" x14ac:dyDescent="0.2">
      <c r="A332" s="87">
        <v>43373</v>
      </c>
      <c r="B332">
        <v>5.8000000000000003E-2</v>
      </c>
      <c r="C332">
        <v>50</v>
      </c>
    </row>
    <row r="333" spans="1:3" x14ac:dyDescent="0.2">
      <c r="A333" s="87">
        <v>43404</v>
      </c>
      <c r="B333">
        <v>5.8999999999999997E-2</v>
      </c>
      <c r="C333">
        <v>50.1</v>
      </c>
    </row>
    <row r="334" spans="1:3" x14ac:dyDescent="0.2">
      <c r="A334" s="87">
        <v>43434</v>
      </c>
      <c r="B334">
        <v>5.3999999999999999E-2</v>
      </c>
      <c r="C334">
        <v>50.2</v>
      </c>
    </row>
    <row r="335" spans="1:3" x14ac:dyDescent="0.2">
      <c r="A335" s="87">
        <v>43465</v>
      </c>
      <c r="B335">
        <v>5.7000000000000002E-2</v>
      </c>
      <c r="C335">
        <v>49.7</v>
      </c>
    </row>
    <row r="336" spans="1:3" x14ac:dyDescent="0.2">
      <c r="A336" s="87">
        <v>43496</v>
      </c>
      <c r="B336">
        <v>5.2999999999999999E-2</v>
      </c>
      <c r="C336">
        <v>48.3</v>
      </c>
    </row>
    <row r="337" spans="1:3" x14ac:dyDescent="0.2">
      <c r="A337" s="87">
        <v>43524</v>
      </c>
      <c r="B337">
        <v>8.5000000000000006E-2</v>
      </c>
      <c r="C337">
        <v>49.9</v>
      </c>
    </row>
    <row r="338" spans="1:3" x14ac:dyDescent="0.2">
      <c r="A338" s="87">
        <v>43555</v>
      </c>
      <c r="B338">
        <v>5.3999999999999999E-2</v>
      </c>
      <c r="C338">
        <v>50.8</v>
      </c>
    </row>
    <row r="339" spans="1:3" x14ac:dyDescent="0.2">
      <c r="A339" s="87">
        <v>43585</v>
      </c>
      <c r="B339">
        <v>5.3999999999999999E-2</v>
      </c>
      <c r="C339">
        <v>50.2</v>
      </c>
    </row>
    <row r="340" spans="1:3" x14ac:dyDescent="0.2">
      <c r="A340" s="87">
        <v>43616</v>
      </c>
      <c r="B340">
        <v>0.05</v>
      </c>
      <c r="C340">
        <v>50.2</v>
      </c>
    </row>
    <row r="341" spans="1:3" x14ac:dyDescent="0.2">
      <c r="A341" s="87">
        <v>43646</v>
      </c>
      <c r="B341">
        <v>6.3E-2</v>
      </c>
      <c r="C341">
        <v>49.4</v>
      </c>
    </row>
    <row r="342" spans="1:3" x14ac:dyDescent="0.2">
      <c r="A342" s="87">
        <v>43677</v>
      </c>
      <c r="B342">
        <v>4.8000000000000001E-2</v>
      </c>
      <c r="C342">
        <v>49.9</v>
      </c>
    </row>
    <row r="343" spans="1:3" x14ac:dyDescent="0.2">
      <c r="A343" s="87">
        <v>43708</v>
      </c>
      <c r="B343">
        <v>4.3999999999999997E-2</v>
      </c>
      <c r="C343">
        <v>50.4</v>
      </c>
    </row>
    <row r="344" spans="1:3" x14ac:dyDescent="0.2">
      <c r="A344" s="87">
        <v>43738</v>
      </c>
      <c r="B344">
        <v>5.8000000000000003E-2</v>
      </c>
      <c r="C344">
        <v>51.4</v>
      </c>
    </row>
    <row r="345" spans="1:3" x14ac:dyDescent="0.2">
      <c r="A345" s="87">
        <v>43769</v>
      </c>
      <c r="B345">
        <v>4.7E-2</v>
      </c>
      <c r="C345">
        <v>51.7</v>
      </c>
    </row>
    <row r="346" spans="1:3" x14ac:dyDescent="0.2">
      <c r="A346" s="87">
        <v>43799</v>
      </c>
      <c r="B346">
        <v>6.2E-2</v>
      </c>
      <c r="C346">
        <v>51.8</v>
      </c>
    </row>
    <row r="347" spans="1:3" x14ac:dyDescent="0.2">
      <c r="A347" s="87">
        <v>43830</v>
      </c>
      <c r="B347">
        <v>6.9000000000000006E-2</v>
      </c>
      <c r="C347">
        <v>51.5</v>
      </c>
    </row>
    <row r="348" spans="1:3" x14ac:dyDescent="0.2">
      <c r="A348" s="87">
        <v>43890</v>
      </c>
      <c r="B348">
        <v>-0.13500000000000001</v>
      </c>
      <c r="C348">
        <v>51.1</v>
      </c>
    </row>
    <row r="349" spans="1:3" x14ac:dyDescent="0.2">
      <c r="A349" s="87">
        <v>43921</v>
      </c>
      <c r="B349">
        <v>-1.0999999999999999E-2</v>
      </c>
      <c r="C349">
        <v>40.299999999999997</v>
      </c>
    </row>
    <row r="350" spans="1:3" x14ac:dyDescent="0.2">
      <c r="A350" s="87">
        <v>43951</v>
      </c>
      <c r="B350">
        <v>3.9E-2</v>
      </c>
      <c r="C350">
        <v>50.1</v>
      </c>
    </row>
    <row r="351" spans="1:3" x14ac:dyDescent="0.2">
      <c r="A351" s="87">
        <v>43982</v>
      </c>
      <c r="B351">
        <v>4.3999999999999997E-2</v>
      </c>
      <c r="C351">
        <v>49.4</v>
      </c>
    </row>
    <row r="352" spans="1:3" x14ac:dyDescent="0.2">
      <c r="A352" s="87">
        <v>44012</v>
      </c>
      <c r="B352">
        <v>4.8000000000000001E-2</v>
      </c>
      <c r="C352">
        <v>50.7</v>
      </c>
    </row>
    <row r="353" spans="1:3" x14ac:dyDescent="0.2">
      <c r="A353" s="87">
        <v>44043</v>
      </c>
      <c r="B353">
        <v>4.8000000000000001E-2</v>
      </c>
      <c r="C353">
        <v>51.2</v>
      </c>
    </row>
    <row r="354" spans="1:3" x14ac:dyDescent="0.2">
      <c r="A354" s="87">
        <v>44074</v>
      </c>
      <c r="B354">
        <v>5.6000000000000001E-2</v>
      </c>
      <c r="C354">
        <v>52.8</v>
      </c>
    </row>
    <row r="355" spans="1:3" x14ac:dyDescent="0.2">
      <c r="A355" s="87">
        <v>44104</v>
      </c>
      <c r="B355">
        <v>6.9000000000000006E-2</v>
      </c>
      <c r="C355">
        <v>53.1</v>
      </c>
    </row>
    <row r="356" spans="1:3" x14ac:dyDescent="0.2">
      <c r="A356" s="87">
        <v>44135</v>
      </c>
      <c r="B356">
        <v>6.9000000000000006E-2</v>
      </c>
      <c r="C356">
        <v>53</v>
      </c>
    </row>
    <row r="357" spans="1:3" x14ac:dyDescent="0.2">
      <c r="A357" s="87">
        <v>44165</v>
      </c>
      <c r="B357">
        <v>7.0000000000000007E-2</v>
      </c>
      <c r="C357">
        <v>53.6</v>
      </c>
    </row>
    <row r="358" spans="1:3" x14ac:dyDescent="0.2">
      <c r="A358" s="87">
        <v>44196</v>
      </c>
      <c r="B358">
        <v>3.7999999999999999E-2</v>
      </c>
      <c r="C358">
        <v>49.9</v>
      </c>
    </row>
    <row r="359" spans="1:3" x14ac:dyDescent="0.2">
      <c r="A359" s="87">
        <v>44227</v>
      </c>
      <c r="B359">
        <v>0.35099999999999998</v>
      </c>
      <c r="C359">
        <v>51.5</v>
      </c>
    </row>
    <row r="360" spans="1:3" x14ac:dyDescent="0.2">
      <c r="A360" s="87">
        <v>44255</v>
      </c>
      <c r="B360">
        <v>0.14099999999999999</v>
      </c>
      <c r="C360">
        <v>50.9</v>
      </c>
    </row>
    <row r="361" spans="1:3" x14ac:dyDescent="0.2">
      <c r="A361" s="87">
        <v>44286</v>
      </c>
      <c r="B361">
        <v>9.8000000000000004E-2</v>
      </c>
      <c r="C361">
        <v>50.6</v>
      </c>
    </row>
    <row r="362" spans="1:3" x14ac:dyDescent="0.2">
      <c r="A362" s="87">
        <v>44316</v>
      </c>
      <c r="B362">
        <v>8.7999999999999995E-2</v>
      </c>
      <c r="C362">
        <v>51.9</v>
      </c>
    </row>
    <row r="363" spans="1:3" x14ac:dyDescent="0.2">
      <c r="A363" s="87">
        <v>44347</v>
      </c>
      <c r="B363">
        <v>8.3000000000000004E-2</v>
      </c>
      <c r="C363">
        <v>52</v>
      </c>
    </row>
    <row r="364" spans="1:3" x14ac:dyDescent="0.2">
      <c r="A364" s="87">
        <v>44377</v>
      </c>
      <c r="B364">
        <v>6.4000000000000001E-2</v>
      </c>
      <c r="C364">
        <v>51.3</v>
      </c>
    </row>
    <row r="365" spans="1:3" x14ac:dyDescent="0.2">
      <c r="A365" s="87">
        <v>44408</v>
      </c>
      <c r="B365">
        <v>5.2999999999999999E-2</v>
      </c>
      <c r="C365">
        <v>50.3</v>
      </c>
    </row>
    <row r="366" spans="1:3" x14ac:dyDescent="0.2">
      <c r="A366" s="87">
        <v>44439</v>
      </c>
      <c r="B366">
        <v>3.1E-2</v>
      </c>
      <c r="C366">
        <v>49.2</v>
      </c>
    </row>
    <row r="367" spans="1:3" x14ac:dyDescent="0.2">
      <c r="A367" s="87">
        <v>44469</v>
      </c>
      <c r="B367">
        <v>3.5000000000000003E-2</v>
      </c>
      <c r="C367">
        <v>50</v>
      </c>
    </row>
    <row r="368" spans="1:3" x14ac:dyDescent="0.2">
      <c r="A368" s="87">
        <v>44500</v>
      </c>
      <c r="B368">
        <v>3.7999999999999999E-2</v>
      </c>
      <c r="C368">
        <v>50.6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 tint="0.59999389629810485"/>
  </sheetPr>
  <dimension ref="B1:M221"/>
  <sheetViews>
    <sheetView showGridLines="0" zoomScale="150" zoomScaleNormal="150" workbookViewId="0">
      <selection activeCell="J20" sqref="J20"/>
    </sheetView>
  </sheetViews>
  <sheetFormatPr baseColWidth="10" defaultColWidth="9.1640625" defaultRowHeight="15" x14ac:dyDescent="0.2"/>
  <cols>
    <col min="1" max="1" width="9.1640625" style="83" customWidth="1"/>
    <col min="2" max="2" width="2.1640625" style="83" customWidth="1"/>
    <col min="3" max="3" width="27.33203125" style="83" customWidth="1"/>
    <col min="4" max="6" width="32.6640625" style="85" customWidth="1"/>
    <col min="7" max="22" width="9.1640625" style="83" customWidth="1"/>
    <col min="23" max="16384" width="9.1640625" style="83"/>
  </cols>
  <sheetData>
    <row r="1" spans="2:9" x14ac:dyDescent="0.2">
      <c r="B1" s="103" t="s">
        <v>45</v>
      </c>
      <c r="C1" s="88"/>
      <c r="D1" s="104"/>
      <c r="E1" s="104"/>
      <c r="F1" s="104"/>
    </row>
    <row r="2" spans="2:9" ht="16" customHeight="1" thickBot="1" x14ac:dyDescent="0.25">
      <c r="B2" s="95"/>
      <c r="C2" s="95"/>
      <c r="D2" s="95"/>
      <c r="E2" s="95"/>
      <c r="F2" s="95"/>
    </row>
    <row r="3" spans="2:9" ht="16" customHeight="1" thickBot="1" x14ac:dyDescent="0.25">
      <c r="B3" s="96" t="s">
        <v>0</v>
      </c>
      <c r="C3" s="97"/>
      <c r="D3" s="97"/>
      <c r="E3" s="97"/>
      <c r="F3" s="98"/>
    </row>
    <row r="7" spans="2:9" ht="20" customHeight="1" x14ac:dyDescent="0.2">
      <c r="D7" s="66" t="s">
        <v>489</v>
      </c>
      <c r="E7" s="66" t="s">
        <v>490</v>
      </c>
      <c r="F7" s="66" t="s">
        <v>491</v>
      </c>
    </row>
    <row r="8" spans="2:9" ht="19" customHeight="1" x14ac:dyDescent="0.25">
      <c r="C8" s="67" t="s">
        <v>432</v>
      </c>
      <c r="D8" s="11">
        <f>VLOOKUP(C8,'Data World GDP'!$A$2:$B$182,2,FALSE)/$D$28</f>
        <v>0.21416296720607189</v>
      </c>
      <c r="E8" s="12">
        <f>VLOOKUP(C8,'Data World GDP'!$A$2:$C$182,3,FALSE)</f>
        <v>21.151673807080801</v>
      </c>
      <c r="F8" s="12">
        <f>VLOOKUP(C8,'World Production data'!$A$2:$E$115,2,)</f>
        <v>5.3</v>
      </c>
      <c r="I8" s="83">
        <f>VLOOKUP(C8,'World Production data'!$A$2:$E$115,2,)</f>
        <v>5.3</v>
      </c>
    </row>
    <row r="9" spans="2:9" ht="19" customHeight="1" x14ac:dyDescent="0.25">
      <c r="C9" s="67" t="s">
        <v>492</v>
      </c>
      <c r="D9" s="11">
        <f>VLOOKUP(C9,'Data World GDP'!$A$2:$B$182,2,FALSE)/$D$28</f>
        <v>0.13308852110226876</v>
      </c>
      <c r="E9" s="12">
        <f>VLOOKUP(C9,'Data World GDP'!$A$2:$C$182,3,FALSE)</f>
        <v>21.252284106983399</v>
      </c>
      <c r="F9" s="12">
        <f>VLOOKUP(C9,'World Production data'!$A$2:$E$115,2,)</f>
        <v>3.3</v>
      </c>
    </row>
    <row r="10" spans="2:9" ht="19" customHeight="1" x14ac:dyDescent="0.25">
      <c r="C10" s="67" t="s">
        <v>95</v>
      </c>
      <c r="D10" s="11">
        <f>VLOOKUP(C10,'Data World GDP'!$A$2:$B$182,2,FALSE)/$D$28</f>
        <v>0.1506004377979174</v>
      </c>
      <c r="E10" s="12">
        <f>VLOOKUP(C10,'Data World GDP'!$A$2:$C$182,3,FALSE)</f>
        <v>43.543957585250702</v>
      </c>
      <c r="F10" s="12">
        <f>VLOOKUP(C10,'World Production data'!$A$2:$E$115,2,)</f>
        <v>3.8</v>
      </c>
    </row>
    <row r="11" spans="2:9" ht="19" customHeight="1" x14ac:dyDescent="0.25">
      <c r="C11" s="67" t="s">
        <v>231</v>
      </c>
      <c r="D11" s="11">
        <f>VLOOKUP(C11,'Data World GDP'!$A$2:$B$182,2,FALSE)/$D$28</f>
        <v>5.0888893435077021E-2</v>
      </c>
      <c r="E11" s="12">
        <f>VLOOKUP(C11,'Data World GDP'!$A$2:$C$182,3,FALSE)</f>
        <v>25.5064392440487</v>
      </c>
      <c r="F11" s="12">
        <f>VLOOKUP(C11,'World Production data'!$A$2:$E$115,2,)</f>
        <v>-4.0999999999999996</v>
      </c>
    </row>
    <row r="12" spans="2:9" ht="19" customHeight="1" x14ac:dyDescent="0.25">
      <c r="C12" s="67" t="s">
        <v>127</v>
      </c>
      <c r="D12" s="11">
        <f>VLOOKUP(C12,'Data World GDP'!$A$2:$B$182,2,FALSE)/$D$28</f>
        <v>3.9340439025388189E-2</v>
      </c>
      <c r="E12" s="12">
        <f>VLOOKUP(C12,'Data World GDP'!$A$2:$C$182,3,FALSE)</f>
        <v>21.149021843708798</v>
      </c>
      <c r="F12" s="12">
        <f>VLOOKUP(C12,'World Production data'!$A$2:$E$115,2,)</f>
        <v>-0.6</v>
      </c>
    </row>
    <row r="13" spans="2:9" ht="19" customHeight="1" x14ac:dyDescent="0.25">
      <c r="C13" s="67" t="s">
        <v>177</v>
      </c>
      <c r="D13" s="11">
        <f>VLOOKUP(C13,'Data World GDP'!$A$2:$B$182,2,FALSE)/$D$28</f>
        <v>2.7699924305967554E-2</v>
      </c>
      <c r="E13" s="12">
        <f>VLOOKUP(C13,'Data World GDP'!$A$2:$C$182,3,FALSE)</f>
        <v>16.741455414543001</v>
      </c>
      <c r="F13" s="12">
        <f>VLOOKUP(C13,'World Production data'!$A$2:$E$115,2,)</f>
        <v>1.4</v>
      </c>
    </row>
    <row r="14" spans="2:9" ht="19" customHeight="1" x14ac:dyDescent="0.25">
      <c r="C14" s="67" t="s">
        <v>211</v>
      </c>
      <c r="D14" s="11">
        <f>VLOOKUP(C14,'Data World GDP'!$A$2:$B$182,2,FALSE)/$D$28</f>
        <v>2.6830465825167241E-2</v>
      </c>
      <c r="E14" s="12">
        <f>VLOOKUP(C14,'Data World GDP'!$A$2:$C$182,3,FALSE)</f>
        <v>29.2776504852473</v>
      </c>
      <c r="F14" s="12">
        <f>VLOOKUP(C14,'World Production data'!$A$2:$E$115,2,)</f>
        <v>3.2</v>
      </c>
    </row>
    <row r="15" spans="2:9" ht="19" customHeight="1" x14ac:dyDescent="0.25">
      <c r="C15" s="67" t="s">
        <v>159</v>
      </c>
      <c r="D15" s="11">
        <f>VLOOKUP(C15,'Data World GDP'!$A$2:$B$182,2,FALSE)/$D$28</f>
        <v>2.6902068288291975E-2</v>
      </c>
      <c r="E15" s="12">
        <f>VLOOKUP(C15,'Data World GDP'!$A$2:$C$182,3,FALSE)</f>
        <v>23.811868719765901</v>
      </c>
      <c r="F15" s="12">
        <f>VLOOKUP(C15,'World Production data'!$A$2:$E$115,2,)</f>
        <v>0.8</v>
      </c>
    </row>
    <row r="16" spans="2:9" ht="19" customHeight="1" x14ac:dyDescent="0.25">
      <c r="C16" s="67" t="s">
        <v>75</v>
      </c>
      <c r="D16" s="11">
        <f>VLOOKUP(C16,'Data World GDP'!$A$2:$B$182,2,FALSE)/$D$28</f>
        <v>1.4780794173605286E-2</v>
      </c>
      <c r="E16" s="12">
        <f>VLOOKUP(C16,'Data World GDP'!$A$2:$C$182,3,FALSE)</f>
        <v>15.4048651869991</v>
      </c>
      <c r="F16" s="12">
        <f>VLOOKUP(C16,'World Production data'!$A$2:$E$115,2,)</f>
        <v>-7.8</v>
      </c>
    </row>
    <row r="17" spans="3:13" ht="19" customHeight="1" x14ac:dyDescent="0.25">
      <c r="C17" s="67" t="s">
        <v>225</v>
      </c>
      <c r="D17" s="11">
        <f>VLOOKUP(C17,'Data World GDP'!$A$2:$B$182,2,FALSE)/$D$28</f>
        <v>1.9291749350463371E-2</v>
      </c>
      <c r="E17" s="12">
        <f>VLOOKUP(C17,'Data World GDP'!$A$2:$C$182,3,FALSE)</f>
        <v>17.584162384435398</v>
      </c>
      <c r="F17" s="12">
        <f>VLOOKUP(C17,'World Production data'!$A$2:$E$115,2,)</f>
        <v>2</v>
      </c>
    </row>
    <row r="18" spans="3:13" ht="19" customHeight="1" x14ac:dyDescent="0.25">
      <c r="C18" s="67" t="s">
        <v>87</v>
      </c>
      <c r="D18" s="11">
        <f>VLOOKUP(C18,'Data World GDP'!$A$2:$B$182,2,FALSE)/$D$28</f>
        <v>1.6816349911008367E-2</v>
      </c>
      <c r="E18" s="12">
        <f>VLOOKUP(C18,'Data World GDP'!$A$2:$C$182,3,FALSE)</f>
        <v>22.078003360688999</v>
      </c>
      <c r="F18" s="12">
        <f>VLOOKUP(C18,'World Production data'!$A$2:$E$115,2,)</f>
        <v>3.89</v>
      </c>
    </row>
    <row r="19" spans="3:13" ht="19" customHeight="1" x14ac:dyDescent="0.25">
      <c r="C19" s="67" t="s">
        <v>456</v>
      </c>
      <c r="D19" s="11">
        <f>VLOOKUP(C19,'Data World GDP'!$A$2:$B$182,2,FALSE)/$D$28</f>
        <v>1.5179722182443076E-2</v>
      </c>
      <c r="E19" s="12">
        <f>VLOOKUP(C19,'Data World GDP'!$A$2:$C$182,3,FALSE)</f>
        <v>23.9879493606627</v>
      </c>
      <c r="F19" s="12">
        <f>VLOOKUP(C19,'World Production data'!$A$2:$E$115,2,)</f>
        <v>7</v>
      </c>
    </row>
    <row r="20" spans="3:13" ht="19" customHeight="1" x14ac:dyDescent="0.25">
      <c r="C20" s="67" t="s">
        <v>243</v>
      </c>
      <c r="D20" s="11">
        <f>VLOOKUP(C20,'Data World GDP'!$A$2:$B$182,2,FALSE)/$D$28</f>
        <v>1.6683373908062436E-2</v>
      </c>
      <c r="E20" s="12">
        <f>VLOOKUP(C20,'Data World GDP'!$A$2:$C$182,3,FALSE)</f>
        <v>31.861011061517999</v>
      </c>
      <c r="F20" s="12">
        <f>VLOOKUP(C20,'World Production data'!$A$2:$E$115,2,)</f>
        <v>4.5</v>
      </c>
    </row>
    <row r="21" spans="3:13" ht="19" customHeight="1" x14ac:dyDescent="0.25">
      <c r="C21" s="67" t="s">
        <v>49</v>
      </c>
      <c r="D21" s="11">
        <f>VLOOKUP(C21,'Data World GDP'!$A$2:$B$182,2,FALSE)/$D$28</f>
        <v>1.3614696917002516E-2</v>
      </c>
      <c r="E21" s="12">
        <f>VLOOKUP(C21,'Data World GDP'!$A$2:$C$182,3,FALSE)</f>
        <v>22.268947016103098</v>
      </c>
      <c r="F21" s="12">
        <f>VLOOKUP(C21,'World Production data'!$A$2:$E$115,2,)</f>
        <v>0.8</v>
      </c>
    </row>
    <row r="22" spans="3:13" ht="19" customHeight="1" x14ac:dyDescent="0.25">
      <c r="C22" s="67" t="s">
        <v>147</v>
      </c>
      <c r="D22" s="11">
        <f>VLOOKUP(C22,'Data World GDP'!$A$2:$B$182,2,FALSE)/$D$28</f>
        <v>1.3103250751825862E-2</v>
      </c>
      <c r="E22" s="12">
        <f>VLOOKUP(C22,'Data World GDP'!$A$2:$C$182,3,FALSE)</f>
        <v>20.6911550267927</v>
      </c>
      <c r="F22" s="12">
        <f>VLOOKUP(C22,'World Production data'!$A$2:$E$115,2,)</f>
        <v>-0.9</v>
      </c>
    </row>
    <row r="23" spans="3:13" ht="19" customHeight="1" x14ac:dyDescent="0.25">
      <c r="C23" s="67" t="s">
        <v>277</v>
      </c>
      <c r="D23" s="11">
        <f>VLOOKUP(C23,'Data World GDP'!$A$2:$B$182,2,FALSE)/$D$28</f>
        <v>1.1006321474601583E-2</v>
      </c>
      <c r="E23" s="12">
        <f>VLOOKUP(C23,'Data World GDP'!$A$2:$C$182,3,FALSE)</f>
        <v>19.3065996427008</v>
      </c>
      <c r="F23" s="12">
        <f>VLOOKUP(C23,'World Production data'!$A$2:$E$115,2,)</f>
        <v>0.7</v>
      </c>
    </row>
    <row r="24" spans="3:13" ht="19" customHeight="1" x14ac:dyDescent="0.25">
      <c r="C24" s="67" t="s">
        <v>209</v>
      </c>
      <c r="D24" s="11">
        <f>VLOOKUP(C24,'Data World GDP'!$A$2:$B$182,2,FALSE)/$D$28</f>
        <v>1.0822200855137989E-2</v>
      </c>
      <c r="E24" s="12">
        <f>VLOOKUP(C24,'Data World GDP'!$A$2:$C$182,3,FALSE)</f>
        <v>32.3674628282469</v>
      </c>
      <c r="F24" s="12">
        <f>VLOOKUP(C24,'World Production data'!$A$2:$E$115,2,)</f>
        <v>2.35</v>
      </c>
    </row>
    <row r="25" spans="3:13" ht="19" customHeight="1" x14ac:dyDescent="0.25">
      <c r="C25" s="67" t="s">
        <v>419</v>
      </c>
      <c r="D25" s="11">
        <f>VLOOKUP(C25,'Data World GDP'!$A$2:$B$182,2,FALSE)/$D$28</f>
        <v>7.3648247785438109E-3</v>
      </c>
      <c r="E25" s="12">
        <f>VLOOKUP(C25,'Data World GDP'!$A$2:$C$182,3,FALSE)</f>
        <v>0</v>
      </c>
      <c r="F25" s="12">
        <f>VLOOKUP(C25,'World Production data'!$A$2:$E$115,2,)</f>
        <v>8.5</v>
      </c>
    </row>
    <row r="26" spans="3:13" ht="19" customHeight="1" x14ac:dyDescent="0.25">
      <c r="C26" s="67" t="s">
        <v>315</v>
      </c>
      <c r="D26" s="11">
        <f>VLOOKUP(C26,'Data World GDP'!$A$2:$B$182,2,FALSE)/$D$28</f>
        <v>9.3492358994292264E-3</v>
      </c>
      <c r="E26" s="12">
        <f>VLOOKUP(C26,'Data World GDP'!$A$2:$C$182,3,FALSE)</f>
        <v>21.742168117536</v>
      </c>
      <c r="F26" s="12">
        <f>VLOOKUP(C26,'World Production data'!$A$2:$E$115,2,)</f>
        <v>10.5</v>
      </c>
    </row>
    <row r="28" spans="3:13" x14ac:dyDescent="0.2">
      <c r="C28" s="64" t="s">
        <v>493</v>
      </c>
      <c r="D28" s="86">
        <f>SUM('Data World GDP'!$B$2:$B$182)</f>
        <v>97762</v>
      </c>
      <c r="E28" s="71"/>
      <c r="F28" s="71"/>
    </row>
    <row r="29" spans="3:13" x14ac:dyDescent="0.2">
      <c r="C29" s="64" t="s">
        <v>494</v>
      </c>
      <c r="D29" s="83">
        <f>D28-VLOOKUP("Euro Area",'Data World GDP'!$A$2:$B$182,2,)</f>
        <v>84751</v>
      </c>
    </row>
    <row r="30" spans="3:13" x14ac:dyDescent="0.2">
      <c r="C30" s="105"/>
      <c r="D30" s="106"/>
      <c r="E30" s="104"/>
      <c r="F30" s="104"/>
      <c r="G30" s="88"/>
      <c r="H30" s="88"/>
      <c r="I30" s="88"/>
      <c r="J30" s="88"/>
      <c r="K30" s="88"/>
      <c r="L30" s="88"/>
      <c r="M30" s="88"/>
    </row>
    <row r="31" spans="3:13" x14ac:dyDescent="0.2">
      <c r="C31" s="88"/>
      <c r="D31" s="104"/>
      <c r="E31" s="104"/>
      <c r="F31" s="104"/>
      <c r="G31" s="88"/>
      <c r="H31" s="88"/>
      <c r="I31" s="88"/>
      <c r="J31" s="88"/>
      <c r="K31" s="88"/>
      <c r="L31" s="88"/>
      <c r="M31" s="88"/>
    </row>
    <row r="92" spans="6:6" x14ac:dyDescent="0.2">
      <c r="F92" s="72"/>
    </row>
    <row r="94" spans="6:6" x14ac:dyDescent="0.2">
      <c r="F94" s="73"/>
    </row>
    <row r="96" spans="6:6" x14ac:dyDescent="0.2">
      <c r="F96" s="73"/>
    </row>
    <row r="97" spans="6:12" x14ac:dyDescent="0.2">
      <c r="F97" s="73"/>
      <c r="G97" s="73"/>
      <c r="J97" s="73"/>
      <c r="K97" s="73"/>
      <c r="L97" s="73"/>
    </row>
    <row r="101" spans="6:12" x14ac:dyDescent="0.2">
      <c r="F101" s="72"/>
    </row>
    <row r="103" spans="6:12" x14ac:dyDescent="0.2">
      <c r="F103" s="73"/>
    </row>
    <row r="104" spans="6:12" x14ac:dyDescent="0.2">
      <c r="F104" s="73"/>
    </row>
    <row r="108" spans="6:12" x14ac:dyDescent="0.2">
      <c r="F108" s="73"/>
      <c r="G108" s="73"/>
    </row>
    <row r="111" spans="6:12" x14ac:dyDescent="0.2">
      <c r="F111" s="72"/>
    </row>
    <row r="112" spans="6:12" x14ac:dyDescent="0.2">
      <c r="F112" s="73"/>
    </row>
    <row r="113" spans="6:7" x14ac:dyDescent="0.2">
      <c r="F113" s="73"/>
    </row>
    <row r="120" spans="6:7" x14ac:dyDescent="0.2">
      <c r="F120" s="73"/>
    </row>
    <row r="123" spans="6:7" x14ac:dyDescent="0.2">
      <c r="F123" s="73"/>
      <c r="G123" s="73"/>
    </row>
    <row r="124" spans="6:7" x14ac:dyDescent="0.2">
      <c r="F124" s="73"/>
    </row>
    <row r="126" spans="6:7" x14ac:dyDescent="0.2">
      <c r="F126" s="72"/>
    </row>
    <row r="132" spans="6:6" x14ac:dyDescent="0.2">
      <c r="F132" s="73"/>
    </row>
    <row r="134" spans="6:6" x14ac:dyDescent="0.2">
      <c r="F134" s="73"/>
    </row>
    <row r="139" spans="6:6" x14ac:dyDescent="0.2">
      <c r="F139" s="73"/>
    </row>
    <row r="141" spans="6:6" x14ac:dyDescent="0.2">
      <c r="F141" s="73"/>
    </row>
    <row r="144" spans="6:6" x14ac:dyDescent="0.2">
      <c r="F144" s="73"/>
    </row>
    <row r="145" spans="6:11" x14ac:dyDescent="0.2">
      <c r="F145" s="72"/>
    </row>
    <row r="147" spans="6:11" x14ac:dyDescent="0.2">
      <c r="F147" s="72"/>
    </row>
    <row r="148" spans="6:11" x14ac:dyDescent="0.2">
      <c r="F148" s="73"/>
    </row>
    <row r="149" spans="6:11" x14ac:dyDescent="0.2">
      <c r="F149" s="73"/>
    </row>
    <row r="150" spans="6:11" x14ac:dyDescent="0.2">
      <c r="F150" s="73"/>
    </row>
    <row r="151" spans="6:11" x14ac:dyDescent="0.2">
      <c r="F151" s="73"/>
    </row>
    <row r="152" spans="6:11" x14ac:dyDescent="0.2">
      <c r="F152" s="73"/>
      <c r="K152" s="73"/>
    </row>
    <row r="153" spans="6:11" x14ac:dyDescent="0.2">
      <c r="F153" s="73"/>
    </row>
    <row r="155" spans="6:11" x14ac:dyDescent="0.2">
      <c r="F155" s="73"/>
    </row>
    <row r="156" spans="6:11" x14ac:dyDescent="0.2">
      <c r="F156" s="73"/>
    </row>
    <row r="157" spans="6:11" x14ac:dyDescent="0.2">
      <c r="F157" s="73"/>
    </row>
    <row r="159" spans="6:11" x14ac:dyDescent="0.2">
      <c r="F159" s="73"/>
      <c r="G159" s="73"/>
    </row>
    <row r="162" spans="6:7" x14ac:dyDescent="0.2">
      <c r="F162" s="73"/>
    </row>
    <row r="167" spans="6:7" x14ac:dyDescent="0.2">
      <c r="F167" s="73"/>
      <c r="G167" s="72"/>
    </row>
    <row r="169" spans="6:7" x14ac:dyDescent="0.2">
      <c r="F169" s="73"/>
    </row>
    <row r="170" spans="6:7" x14ac:dyDescent="0.2">
      <c r="F170" s="73"/>
    </row>
    <row r="176" spans="6:7" x14ac:dyDescent="0.2">
      <c r="F176" s="73"/>
    </row>
    <row r="177" spans="5:12" x14ac:dyDescent="0.2">
      <c r="F177" s="73"/>
    </row>
    <row r="178" spans="5:12" x14ac:dyDescent="0.2">
      <c r="F178" s="73"/>
    </row>
    <row r="179" spans="5:12" x14ac:dyDescent="0.2">
      <c r="F179" s="73"/>
    </row>
    <row r="181" spans="5:12" x14ac:dyDescent="0.2">
      <c r="E181" s="72"/>
      <c r="F181" s="73"/>
      <c r="J181" s="73"/>
      <c r="K181" s="73"/>
      <c r="L181" s="73"/>
    </row>
    <row r="182" spans="5:12" x14ac:dyDescent="0.2">
      <c r="F182" s="73"/>
    </row>
    <row r="183" spans="5:12" x14ac:dyDescent="0.2">
      <c r="F183" s="73"/>
    </row>
    <row r="184" spans="5:12" x14ac:dyDescent="0.2">
      <c r="F184" s="73"/>
      <c r="G184" s="73"/>
      <c r="K184" s="72"/>
    </row>
    <row r="185" spans="5:12" x14ac:dyDescent="0.2">
      <c r="F185" s="73"/>
    </row>
    <row r="186" spans="5:12" x14ac:dyDescent="0.2">
      <c r="F186" s="73"/>
    </row>
    <row r="187" spans="5:12" x14ac:dyDescent="0.2">
      <c r="F187" s="73"/>
      <c r="G187" s="73"/>
      <c r="H187" s="73"/>
      <c r="I187" s="73"/>
      <c r="J187" s="73"/>
      <c r="K187" s="73"/>
      <c r="L187" s="73"/>
    </row>
    <row r="188" spans="5:12" x14ac:dyDescent="0.2">
      <c r="F188" s="73"/>
      <c r="G188" s="73"/>
      <c r="I188" s="72"/>
      <c r="J188" s="73"/>
      <c r="K188" s="73"/>
      <c r="L188" s="73"/>
    </row>
    <row r="189" spans="5:12" x14ac:dyDescent="0.2">
      <c r="F189" s="73"/>
      <c r="G189" s="73"/>
    </row>
    <row r="190" spans="5:12" x14ac:dyDescent="0.2">
      <c r="F190" s="73"/>
      <c r="G190" s="73"/>
    </row>
    <row r="191" spans="5:12" x14ac:dyDescent="0.2">
      <c r="F191" s="73"/>
      <c r="J191" s="72"/>
      <c r="K191" s="72"/>
    </row>
    <row r="192" spans="5:12" x14ac:dyDescent="0.2">
      <c r="F192" s="73"/>
      <c r="G192" s="73"/>
    </row>
    <row r="193" spans="6:12" x14ac:dyDescent="0.2">
      <c r="F193" s="73"/>
      <c r="G193" s="73"/>
      <c r="I193" s="73"/>
      <c r="J193" s="73"/>
      <c r="K193" s="73"/>
      <c r="L193" s="73"/>
    </row>
    <row r="194" spans="6:12" x14ac:dyDescent="0.2">
      <c r="F194" s="73"/>
    </row>
    <row r="195" spans="6:12" x14ac:dyDescent="0.2">
      <c r="F195" s="73"/>
    </row>
    <row r="196" spans="6:12" x14ac:dyDescent="0.2">
      <c r="F196" s="73"/>
    </row>
    <row r="197" spans="6:12" x14ac:dyDescent="0.2">
      <c r="F197" s="73"/>
    </row>
    <row r="198" spans="6:12" x14ac:dyDescent="0.2">
      <c r="F198" s="73"/>
    </row>
    <row r="199" spans="6:12" x14ac:dyDescent="0.2">
      <c r="F199" s="73"/>
    </row>
    <row r="200" spans="6:12" x14ac:dyDescent="0.2">
      <c r="F200" s="73"/>
    </row>
    <row r="201" spans="6:12" x14ac:dyDescent="0.2">
      <c r="F201" s="73"/>
    </row>
    <row r="202" spans="6:12" x14ac:dyDescent="0.2">
      <c r="F202" s="73"/>
    </row>
    <row r="203" spans="6:12" x14ac:dyDescent="0.2">
      <c r="F203" s="72"/>
    </row>
    <row r="204" spans="6:12" x14ac:dyDescent="0.2">
      <c r="F204" s="73"/>
    </row>
    <row r="205" spans="6:12" x14ac:dyDescent="0.2">
      <c r="F205" s="73"/>
    </row>
    <row r="206" spans="6:12" x14ac:dyDescent="0.2">
      <c r="F206" s="73"/>
      <c r="G206" s="73"/>
      <c r="K206" s="73"/>
    </row>
    <row r="207" spans="6:12" x14ac:dyDescent="0.2">
      <c r="F207" s="73"/>
    </row>
    <row r="208" spans="6:12" x14ac:dyDescent="0.2">
      <c r="F208" s="73"/>
    </row>
    <row r="209" spans="5:12" x14ac:dyDescent="0.2">
      <c r="F209" s="73"/>
    </row>
    <row r="211" spans="5:12" x14ac:dyDescent="0.2">
      <c r="F211" s="73"/>
      <c r="G211" s="72"/>
      <c r="J211" s="73"/>
      <c r="K211" s="73"/>
      <c r="L211" s="73"/>
    </row>
    <row r="212" spans="5:12" x14ac:dyDescent="0.2">
      <c r="F212" s="73"/>
    </row>
    <row r="213" spans="5:12" x14ac:dyDescent="0.2">
      <c r="E213" s="71"/>
      <c r="F213" s="71"/>
    </row>
    <row r="214" spans="5:12" x14ac:dyDescent="0.2">
      <c r="E214" s="71"/>
      <c r="F214" s="71"/>
    </row>
    <row r="215" spans="5:12" x14ac:dyDescent="0.2">
      <c r="E215" s="71"/>
      <c r="F215" s="71"/>
    </row>
    <row r="216" spans="5:12" x14ac:dyDescent="0.2">
      <c r="E216" s="71"/>
      <c r="F216" s="71"/>
    </row>
    <row r="217" spans="5:12" x14ac:dyDescent="0.2">
      <c r="E217" s="71"/>
      <c r="F217" s="71"/>
    </row>
    <row r="218" spans="5:12" x14ac:dyDescent="0.2">
      <c r="E218" s="71"/>
      <c r="F218" s="71"/>
    </row>
    <row r="219" spans="5:12" x14ac:dyDescent="0.2">
      <c r="E219" s="71"/>
      <c r="F219" s="71"/>
    </row>
    <row r="220" spans="5:12" x14ac:dyDescent="0.2">
      <c r="E220" s="71"/>
      <c r="F220" s="71"/>
    </row>
    <row r="221" spans="5:12" x14ac:dyDescent="0.2">
      <c r="E221" s="71"/>
      <c r="F221" s="71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1" r:id="rId1" xr:uid="{00000000-0004-0000-01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59999389629810485"/>
  </sheetPr>
  <dimension ref="A1:BO825"/>
  <sheetViews>
    <sheetView tabSelected="1" zoomScale="150" zoomScaleNormal="15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 activeCell="AA36" sqref="AA36"/>
    </sheetView>
  </sheetViews>
  <sheetFormatPr baseColWidth="10" defaultColWidth="8.83203125" defaultRowHeight="15" x14ac:dyDescent="0.2"/>
  <cols>
    <col min="1" max="1" width="10.6640625" style="83" bestFit="1" customWidth="1"/>
    <col min="2" max="2" width="13.6640625" style="75" customWidth="1"/>
    <col min="3" max="3" width="7.1640625" style="75" customWidth="1"/>
    <col min="4" max="4" width="7" style="75" customWidth="1"/>
    <col min="5" max="11" width="6.1640625" style="75" customWidth="1"/>
    <col min="12" max="13" width="6.33203125" style="75" hidden="1" customWidth="1"/>
    <col min="14" max="14" width="6.1640625" style="75" hidden="1" customWidth="1"/>
    <col min="15" max="20" width="6.1640625" style="75" customWidth="1"/>
    <col min="21" max="21" width="6.6640625" style="75" customWidth="1"/>
    <col min="22" max="22" width="6.1640625" style="75" customWidth="1"/>
    <col min="23" max="23" width="6.1640625" style="83" customWidth="1"/>
    <col min="24" max="25" width="15.33203125" style="83" customWidth="1"/>
    <col min="26" max="26" width="10.6640625" style="83" bestFit="1" customWidth="1"/>
    <col min="27" max="67" width="9.1640625" style="83" customWidth="1"/>
  </cols>
  <sheetData>
    <row r="1" spans="2:26" x14ac:dyDescent="0.2">
      <c r="C1" t="s">
        <v>431</v>
      </c>
      <c r="D1" t="s">
        <v>530</v>
      </c>
      <c r="E1" t="s">
        <v>230</v>
      </c>
      <c r="F1" t="s">
        <v>126</v>
      </c>
      <c r="G1" t="s">
        <v>158</v>
      </c>
      <c r="H1" t="s">
        <v>176</v>
      </c>
      <c r="I1" t="s">
        <v>224</v>
      </c>
      <c r="J1" t="s">
        <v>146</v>
      </c>
      <c r="K1" t="s">
        <v>390</v>
      </c>
      <c r="L1" t="s">
        <v>276</v>
      </c>
      <c r="M1" t="s">
        <v>537</v>
      </c>
      <c r="N1" t="s">
        <v>210</v>
      </c>
      <c r="O1" t="s">
        <v>86</v>
      </c>
      <c r="P1" t="s">
        <v>534</v>
      </c>
      <c r="Q1" t="s">
        <v>74</v>
      </c>
      <c r="R1" t="s">
        <v>190</v>
      </c>
      <c r="S1" t="s">
        <v>214</v>
      </c>
      <c r="T1" t="s">
        <v>418</v>
      </c>
      <c r="U1" t="s">
        <v>529</v>
      </c>
      <c r="V1" t="s">
        <v>346</v>
      </c>
      <c r="Z1" s="15" t="s">
        <v>556</v>
      </c>
    </row>
    <row r="2" spans="2:26" s="83" customFormat="1" ht="16" customHeight="1" thickBot="1" x14ac:dyDescent="0.25">
      <c r="Y2" s="83" t="s">
        <v>557</v>
      </c>
      <c r="Z2" s="14">
        <v>44501</v>
      </c>
    </row>
    <row r="3" spans="2:26" ht="75.75" customHeight="1" x14ac:dyDescent="0.2">
      <c r="B3" s="49"/>
      <c r="C3" s="50" t="s">
        <v>558</v>
      </c>
      <c r="D3" s="51" t="s">
        <v>559</v>
      </c>
      <c r="E3" s="52" t="s">
        <v>560</v>
      </c>
      <c r="F3" s="53" t="s">
        <v>127</v>
      </c>
      <c r="G3" s="53" t="s">
        <v>159</v>
      </c>
      <c r="H3" s="53" t="s">
        <v>561</v>
      </c>
      <c r="I3" s="53" t="s">
        <v>562</v>
      </c>
      <c r="J3" s="53" t="s">
        <v>147</v>
      </c>
      <c r="K3" s="53" t="s">
        <v>391</v>
      </c>
      <c r="L3" s="53" t="s">
        <v>277</v>
      </c>
      <c r="M3" s="53" t="s">
        <v>456</v>
      </c>
      <c r="N3" s="53" t="s">
        <v>211</v>
      </c>
      <c r="O3" s="53" t="s">
        <v>87</v>
      </c>
      <c r="P3" s="53" t="s">
        <v>563</v>
      </c>
      <c r="Q3" s="53" t="s">
        <v>75</v>
      </c>
      <c r="R3" s="53" t="s">
        <v>191</v>
      </c>
      <c r="S3" s="53" t="s">
        <v>215</v>
      </c>
      <c r="T3" s="53" t="s">
        <v>419</v>
      </c>
      <c r="U3" s="53" t="s">
        <v>564</v>
      </c>
      <c r="V3" s="54" t="s">
        <v>347</v>
      </c>
      <c r="Z3" s="16">
        <f>EDATE(Z2,-1)</f>
        <v>44470</v>
      </c>
    </row>
    <row r="4" spans="2:26" x14ac:dyDescent="0.2">
      <c r="B4" s="55" t="s">
        <v>565</v>
      </c>
      <c r="C4" s="3">
        <f t="shared" ref="C4:V4" si="0">MAX(C382:C393)</f>
        <v>-1.3660345764993823E-2</v>
      </c>
      <c r="D4" s="3">
        <f t="shared" si="0"/>
        <v>-1.3435700575815793E-2</v>
      </c>
      <c r="E4" s="3">
        <f t="shared" si="0"/>
        <v>-4.199218750452078E-2</v>
      </c>
      <c r="F4" s="3">
        <f t="shared" si="0"/>
        <v>-1.7324350332082007E-2</v>
      </c>
      <c r="G4" s="3">
        <f t="shared" si="0"/>
        <v>5.0441361916771362E-3</v>
      </c>
      <c r="H4" s="3">
        <f t="shared" si="0"/>
        <v>-7.9920079938825446E-3</v>
      </c>
      <c r="I4" s="3">
        <f t="shared" si="0"/>
        <v>-2.8571428563536425E-3</v>
      </c>
      <c r="J4" s="3">
        <f t="shared" si="0"/>
        <v>1.4851723245599876E-2</v>
      </c>
      <c r="K4" s="3">
        <f t="shared" si="0"/>
        <v>1.9963702353731152E-2</v>
      </c>
      <c r="L4" s="3">
        <f t="shared" si="0"/>
        <v>0</v>
      </c>
      <c r="M4" s="3">
        <f t="shared" si="0"/>
        <v>0</v>
      </c>
      <c r="N4" s="3">
        <f t="shared" si="0"/>
        <v>0</v>
      </c>
      <c r="O4" s="3">
        <f t="shared" si="0"/>
        <v>1.8806115932890093E-2</v>
      </c>
      <c r="P4" s="3">
        <f t="shared" si="0"/>
        <v>6.6091954023786897E-2</v>
      </c>
      <c r="Q4" s="3">
        <f t="shared" si="0"/>
        <v>1.9562715760003475E-2</v>
      </c>
      <c r="R4" s="3">
        <f t="shared" si="0"/>
        <v>9.2764378213318745E-4</v>
      </c>
      <c r="S4" s="3">
        <f t="shared" si="0"/>
        <v>0.25987525987508708</v>
      </c>
      <c r="T4" s="3">
        <f t="shared" si="0"/>
        <v>0.103697024350958</v>
      </c>
      <c r="U4" s="3">
        <f t="shared" si="0"/>
        <v>1.3345195732609035E-2</v>
      </c>
      <c r="V4" s="56">
        <f t="shared" si="0"/>
        <v>5.3480475382003373E-2</v>
      </c>
      <c r="Z4" s="16">
        <f>EDATE(Z2,-12)</f>
        <v>44136</v>
      </c>
    </row>
    <row r="5" spans="2:26" x14ac:dyDescent="0.2">
      <c r="B5" s="55" t="s">
        <v>566</v>
      </c>
      <c r="C5" s="3">
        <f t="shared" ref="C5:V5" si="1">MIN(C382:C393)</f>
        <v>-0.17654514284192777</v>
      </c>
      <c r="D5" s="3">
        <f t="shared" si="1"/>
        <v>-0.28982725527831094</v>
      </c>
      <c r="E5" s="3">
        <f t="shared" si="1"/>
        <v>-0.24639076034267013</v>
      </c>
      <c r="F5" s="3">
        <f t="shared" si="1"/>
        <v>-0.30421982335669401</v>
      </c>
      <c r="G5" s="3">
        <f t="shared" si="1"/>
        <v>-0.3500670626556811</v>
      </c>
      <c r="H5" s="3">
        <f t="shared" si="1"/>
        <v>-0.25302419354440908</v>
      </c>
      <c r="I5" s="3">
        <f t="shared" si="1"/>
        <v>-0.43977055449107755</v>
      </c>
      <c r="J5" s="3">
        <f t="shared" si="1"/>
        <v>-0.34377324032648432</v>
      </c>
      <c r="K5" s="3">
        <f t="shared" si="1"/>
        <v>-0.17084078711720888</v>
      </c>
      <c r="L5" s="3">
        <f t="shared" si="1"/>
        <v>0</v>
      </c>
      <c r="M5" s="3">
        <f t="shared" si="1"/>
        <v>0</v>
      </c>
      <c r="N5" s="3">
        <f t="shared" si="1"/>
        <v>0</v>
      </c>
      <c r="O5" s="3">
        <f t="shared" si="1"/>
        <v>-0.19958026121787603</v>
      </c>
      <c r="P5" s="3">
        <f t="shared" si="1"/>
        <v>-9.2979127140180237E-2</v>
      </c>
      <c r="Q5" s="3">
        <f t="shared" si="1"/>
        <v>-0.25828571428061325</v>
      </c>
      <c r="R5" s="3">
        <f t="shared" si="1"/>
        <v>-0.10622710622579649</v>
      </c>
      <c r="S5" s="3">
        <f t="shared" si="1"/>
        <v>-0.15261044177436595</v>
      </c>
      <c r="T5" s="3">
        <f t="shared" si="1"/>
        <v>-0.30674846625433488</v>
      </c>
      <c r="U5" s="3">
        <f t="shared" si="1"/>
        <v>-0.34260869564772695</v>
      </c>
      <c r="V5" s="56">
        <f t="shared" si="1"/>
        <v>-0.25163398692810468</v>
      </c>
    </row>
    <row r="6" spans="2:26" x14ac:dyDescent="0.2">
      <c r="B6" s="55" t="s">
        <v>567</v>
      </c>
      <c r="C6" s="3">
        <f t="shared" ref="C6:V6" si="2">AVERAGE(C382:C393)</f>
        <v>-6.8805474734248875E-2</v>
      </c>
      <c r="D6" s="3">
        <f t="shared" si="2"/>
        <v>-8.7169438182831405E-2</v>
      </c>
      <c r="E6" s="3">
        <f t="shared" si="2"/>
        <v>-0.1046412770669497</v>
      </c>
      <c r="F6" s="3">
        <f t="shared" si="2"/>
        <v>-0.1084353316659691</v>
      </c>
      <c r="G6" s="3">
        <f t="shared" si="2"/>
        <v>-0.10205184462597412</v>
      </c>
      <c r="H6" s="3">
        <f t="shared" si="2"/>
        <v>-7.9871212042695414E-2</v>
      </c>
      <c r="I6" s="3">
        <f t="shared" si="2"/>
        <v>-0.1086648321336738</v>
      </c>
      <c r="J6" s="3">
        <f t="shared" si="2"/>
        <v>-8.8575177794498305E-2</v>
      </c>
      <c r="K6" s="3">
        <f t="shared" si="2"/>
        <v>-4.8868536231400028E-2</v>
      </c>
      <c r="L6" s="3" t="e">
        <f t="shared" si="2"/>
        <v>#DIV/0!</v>
      </c>
      <c r="M6" s="3" t="e">
        <f t="shared" si="2"/>
        <v>#DIV/0!</v>
      </c>
      <c r="N6" s="3" t="e">
        <f t="shared" si="2"/>
        <v>#DIV/0!</v>
      </c>
      <c r="O6" s="3">
        <f t="shared" si="2"/>
        <v>-7.1033808288006886E-2</v>
      </c>
      <c r="P6" s="3">
        <f t="shared" si="2"/>
        <v>4.2807860595229265E-3</v>
      </c>
      <c r="Q6" s="3">
        <f t="shared" si="2"/>
        <v>-5.6813031801622706E-2</v>
      </c>
      <c r="R6" s="3">
        <f t="shared" si="2"/>
        <v>-4.0846453960549631E-2</v>
      </c>
      <c r="S6" s="3">
        <f t="shared" si="2"/>
        <v>2.4481918733303431E-3</v>
      </c>
      <c r="T6" s="3">
        <f t="shared" si="2"/>
        <v>1.0247896704300468E-2</v>
      </c>
      <c r="U6" s="3">
        <f t="shared" si="2"/>
        <v>-7.7700141572332862E-2</v>
      </c>
      <c r="V6" s="56">
        <f t="shared" si="2"/>
        <v>-2.2647724031265169E-2</v>
      </c>
    </row>
    <row r="7" spans="2:26" x14ac:dyDescent="0.2">
      <c r="B7" s="55" t="s">
        <v>568</v>
      </c>
      <c r="C7" s="4" t="str">
        <f t="shared" ref="C7:V7" si="3">IF((VLOOKUP($Z$2,$B:$V,MATCH(C3,$B$3:$V$3,),))&gt;C6,"above","below")</f>
        <v>above</v>
      </c>
      <c r="D7" s="4" t="str">
        <f t="shared" si="3"/>
        <v>above</v>
      </c>
      <c r="E7" s="4" t="str">
        <f t="shared" si="3"/>
        <v>above</v>
      </c>
      <c r="F7" s="4" t="str">
        <f t="shared" si="3"/>
        <v>above</v>
      </c>
      <c r="G7" s="4" t="str">
        <f t="shared" si="3"/>
        <v>above</v>
      </c>
      <c r="H7" s="4" t="str">
        <f t="shared" si="3"/>
        <v>below</v>
      </c>
      <c r="I7" s="4" t="str">
        <f t="shared" si="3"/>
        <v>above</v>
      </c>
      <c r="J7" s="4" t="str">
        <f t="shared" si="3"/>
        <v>above</v>
      </c>
      <c r="K7" s="4" t="str">
        <f t="shared" si="3"/>
        <v>above</v>
      </c>
      <c r="L7" s="4" t="e">
        <f t="shared" si="3"/>
        <v>#DIV/0!</v>
      </c>
      <c r="M7" s="4" t="e">
        <f t="shared" si="3"/>
        <v>#DIV/0!</v>
      </c>
      <c r="N7" s="4" t="e">
        <f t="shared" si="3"/>
        <v>#DIV/0!</v>
      </c>
      <c r="O7" s="4" t="str">
        <f t="shared" si="3"/>
        <v>below</v>
      </c>
      <c r="P7" s="4" t="str">
        <f t="shared" si="3"/>
        <v>above</v>
      </c>
      <c r="Q7" s="4" t="str">
        <f t="shared" si="3"/>
        <v>below</v>
      </c>
      <c r="R7" s="4" t="str">
        <f t="shared" si="3"/>
        <v>above</v>
      </c>
      <c r="S7" s="4" t="str">
        <f t="shared" si="3"/>
        <v>below</v>
      </c>
      <c r="T7" s="4" t="str">
        <f t="shared" si="3"/>
        <v>below</v>
      </c>
      <c r="U7" s="4" t="str">
        <f t="shared" si="3"/>
        <v>above</v>
      </c>
      <c r="V7" s="57" t="str">
        <f t="shared" si="3"/>
        <v>above</v>
      </c>
    </row>
    <row r="8" spans="2:26" x14ac:dyDescent="0.2">
      <c r="B8" s="55" t="s">
        <v>569</v>
      </c>
      <c r="C8" s="17">
        <f t="shared" ref="C8:V8" si="4">VLOOKUP($Z$2,$B:$V,MATCH(C3,$B$3:$V$3,),)-VLOOKUP($Z$4,$B:$V,MATCH(C3,$B$3:$V$3,),)</f>
        <v>0.10006669295162152</v>
      </c>
      <c r="D8" s="17">
        <f t="shared" si="4"/>
        <v>1.9715462608491593E-2</v>
      </c>
      <c r="E8" s="17">
        <f t="shared" si="4"/>
        <v>7.297741676310826E-2</v>
      </c>
      <c r="F8" s="17">
        <f t="shared" si="4"/>
        <v>1.1113917652486704E-2</v>
      </c>
      <c r="G8" s="17">
        <f t="shared" si="4"/>
        <v>4.348084362447472E-2</v>
      </c>
      <c r="H8" s="17">
        <f t="shared" si="4"/>
        <v>-0.97180261833099513</v>
      </c>
      <c r="I8" s="17">
        <f t="shared" si="4"/>
        <v>9.5819543110502919E-2</v>
      </c>
      <c r="J8" s="17">
        <f t="shared" si="4"/>
        <v>8.8024598093451145E-2</v>
      </c>
      <c r="K8" s="17">
        <f t="shared" si="4"/>
        <v>6.6444453212218896E-2</v>
      </c>
      <c r="L8" s="17">
        <f t="shared" si="4"/>
        <v>0</v>
      </c>
      <c r="M8" s="17">
        <f t="shared" si="4"/>
        <v>0</v>
      </c>
      <c r="N8" s="17">
        <f t="shared" si="4"/>
        <v>0</v>
      </c>
      <c r="O8" s="17">
        <f t="shared" si="4"/>
        <v>-0.95676143600279251</v>
      </c>
      <c r="P8" s="17">
        <f t="shared" si="4"/>
        <v>2.8116571479506303E-2</v>
      </c>
      <c r="Q8" s="17">
        <f t="shared" si="4"/>
        <v>-0.10488023167579776</v>
      </c>
      <c r="R8" s="17">
        <f t="shared" si="4"/>
        <v>-1.0924860089444779E-2</v>
      </c>
      <c r="S8" s="17">
        <f t="shared" si="4"/>
        <v>-0.42828734766981436</v>
      </c>
      <c r="T8" s="17">
        <f t="shared" si="4"/>
        <v>-1.1074523396810425</v>
      </c>
      <c r="U8" s="17">
        <f t="shared" si="4"/>
        <v>-2.3340549537947713E-2</v>
      </c>
      <c r="V8" s="58">
        <f t="shared" si="4"/>
        <v>0.12618565268680595</v>
      </c>
    </row>
    <row r="9" spans="2:26" ht="16" customHeight="1" thickBot="1" x14ac:dyDescent="0.25">
      <c r="B9" s="59" t="s">
        <v>570</v>
      </c>
      <c r="C9" s="60">
        <f t="shared" ref="C9:V9" si="5">VLOOKUP($Z$2,$B:$V,MATCH(C3,$B$3:$V$3,),)-VLOOKUP($Z$3,$B:$V,MATCH(C3,$B$3:$V$3,),)</f>
        <v>-1.912936535291912E-4</v>
      </c>
      <c r="D9" s="60">
        <f t="shared" si="5"/>
        <v>-1.5093665585850465E-2</v>
      </c>
      <c r="E9" s="60">
        <f t="shared" si="5"/>
        <v>6.605622288947631E-2</v>
      </c>
      <c r="F9" s="60">
        <f t="shared" si="5"/>
        <v>-1.1252297149902869E-2</v>
      </c>
      <c r="G9" s="60">
        <f t="shared" si="5"/>
        <v>4.8006319873215072E-4</v>
      </c>
      <c r="H9" s="60">
        <f t="shared" si="5"/>
        <v>-1.01361256544574</v>
      </c>
      <c r="I9" s="60">
        <f t="shared" si="5"/>
        <v>3.7052196630589937E-2</v>
      </c>
      <c r="J9" s="60">
        <f t="shared" si="5"/>
        <v>5.410468129324314E-2</v>
      </c>
      <c r="K9" s="60">
        <f t="shared" si="5"/>
        <v>3.1963134602494003E-3</v>
      </c>
      <c r="L9" s="60">
        <f t="shared" si="5"/>
        <v>0</v>
      </c>
      <c r="M9" s="60">
        <f t="shared" si="5"/>
        <v>0</v>
      </c>
      <c r="N9" s="60">
        <f t="shared" si="5"/>
        <v>0</v>
      </c>
      <c r="O9" s="60">
        <f t="shared" si="5"/>
        <v>-1.0717774755341214</v>
      </c>
      <c r="P9" s="60">
        <f t="shared" si="5"/>
        <v>4.5754063289836722E-2</v>
      </c>
      <c r="Q9" s="60">
        <f t="shared" si="5"/>
        <v>-8.5116901572014347E-3</v>
      </c>
      <c r="R9" s="60">
        <f t="shared" si="5"/>
        <v>-8.9413328470126521E-2</v>
      </c>
      <c r="S9" s="60">
        <f t="shared" si="5"/>
        <v>-1.2459195653929143E-2</v>
      </c>
      <c r="T9" s="60">
        <f t="shared" si="5"/>
        <v>-1.0929308975354759</v>
      </c>
      <c r="U9" s="60">
        <f t="shared" si="5"/>
        <v>4.9165163532423506E-2</v>
      </c>
      <c r="V9" s="61">
        <f t="shared" si="5"/>
        <v>5.4072758967349588E-2</v>
      </c>
    </row>
    <row r="10" spans="2:26" x14ac:dyDescent="0.2">
      <c r="B10" s="47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</row>
    <row r="11" spans="2:26" hidden="1" x14ac:dyDescent="0.2">
      <c r="B11" s="18">
        <v>42064</v>
      </c>
      <c r="C11" s="5">
        <v>55.3</v>
      </c>
      <c r="D11" s="5">
        <v>52.2</v>
      </c>
      <c r="E11" s="5">
        <v>50.3</v>
      </c>
      <c r="F11" s="5">
        <v>52.8</v>
      </c>
      <c r="G11" s="5">
        <v>48.8</v>
      </c>
      <c r="H11" s="5">
        <v>54.4</v>
      </c>
      <c r="I11" s="5">
        <v>53.3</v>
      </c>
      <c r="J11" s="5">
        <v>54.3</v>
      </c>
      <c r="K11" s="5">
        <v>9.9999999999994316E-2</v>
      </c>
      <c r="L11" s="5">
        <v>53.8</v>
      </c>
      <c r="M11" s="5">
        <v>48.1</v>
      </c>
      <c r="N11" s="5">
        <v>52.1</v>
      </c>
      <c r="O11" s="5">
        <v>48.9</v>
      </c>
      <c r="P11" s="5">
        <v>49.2</v>
      </c>
      <c r="Q11" s="5">
        <v>51</v>
      </c>
      <c r="R11" s="5">
        <v>48.9</v>
      </c>
      <c r="S11" s="5">
        <v>56.8</v>
      </c>
      <c r="T11" s="5">
        <v>48</v>
      </c>
      <c r="U11" s="5">
        <v>56.1</v>
      </c>
      <c r="V11" s="5">
        <v>54.8</v>
      </c>
    </row>
    <row r="12" spans="2:26" hidden="1" x14ac:dyDescent="0.2">
      <c r="B12" s="18">
        <v>42095</v>
      </c>
      <c r="C12" s="5">
        <v>54.1</v>
      </c>
      <c r="D12" s="5">
        <v>52</v>
      </c>
      <c r="E12" s="5">
        <v>49.9</v>
      </c>
      <c r="F12" s="5">
        <v>52.1</v>
      </c>
      <c r="G12" s="5">
        <v>48</v>
      </c>
      <c r="H12" s="5">
        <v>51.9</v>
      </c>
      <c r="I12" s="5">
        <v>53.8</v>
      </c>
      <c r="J12" s="5">
        <v>54.2</v>
      </c>
      <c r="K12" s="5">
        <v>-9.9999999999994316E-2</v>
      </c>
      <c r="L12" s="5">
        <v>53.8</v>
      </c>
      <c r="M12" s="5">
        <v>48.9</v>
      </c>
      <c r="N12" s="5">
        <v>51.3</v>
      </c>
      <c r="O12" s="5">
        <v>49</v>
      </c>
      <c r="P12" s="5">
        <v>48.8</v>
      </c>
      <c r="Q12" s="5">
        <v>49.2</v>
      </c>
      <c r="R12" s="5">
        <v>46.5</v>
      </c>
      <c r="S12" s="5">
        <v>55.8</v>
      </c>
      <c r="T12" s="5">
        <v>48.5</v>
      </c>
      <c r="U12" s="5">
        <v>54.7</v>
      </c>
      <c r="V12" s="5">
        <v>54</v>
      </c>
    </row>
    <row r="13" spans="2:26" hidden="1" x14ac:dyDescent="0.2">
      <c r="B13" s="18">
        <v>42125</v>
      </c>
      <c r="C13" s="5">
        <v>53.8</v>
      </c>
      <c r="D13" s="5">
        <v>52.2</v>
      </c>
      <c r="E13" s="5">
        <v>50.9</v>
      </c>
      <c r="F13" s="5">
        <v>51.1</v>
      </c>
      <c r="G13" s="5">
        <v>49.4</v>
      </c>
      <c r="H13" s="5">
        <v>52.2</v>
      </c>
      <c r="I13" s="5">
        <v>54.8</v>
      </c>
      <c r="J13" s="5">
        <v>55.8</v>
      </c>
      <c r="K13" s="5">
        <v>1.5999999999999941</v>
      </c>
      <c r="L13" s="5">
        <v>53.3</v>
      </c>
      <c r="M13" s="5">
        <v>47.6</v>
      </c>
      <c r="N13" s="5">
        <v>52.6</v>
      </c>
      <c r="O13" s="5">
        <v>49.8</v>
      </c>
      <c r="P13" s="5">
        <v>47.8</v>
      </c>
      <c r="Q13" s="5">
        <v>49.3</v>
      </c>
      <c r="R13" s="5">
        <v>48</v>
      </c>
      <c r="S13" s="5">
        <v>57.1</v>
      </c>
      <c r="T13" s="5">
        <v>50.2</v>
      </c>
      <c r="U13" s="5">
        <v>55.5</v>
      </c>
      <c r="V13" s="5">
        <v>52.4</v>
      </c>
    </row>
    <row r="14" spans="2:26" hidden="1" x14ac:dyDescent="0.2">
      <c r="B14" s="18">
        <v>42156</v>
      </c>
      <c r="C14" s="5">
        <v>53.6</v>
      </c>
      <c r="D14" s="5">
        <v>52.5</v>
      </c>
      <c r="E14" s="5">
        <v>50.1</v>
      </c>
      <c r="F14" s="5">
        <v>51.9</v>
      </c>
      <c r="G14" s="5">
        <v>50.7</v>
      </c>
      <c r="H14" s="5">
        <v>51.9</v>
      </c>
      <c r="I14" s="5">
        <v>54.1</v>
      </c>
      <c r="J14" s="5">
        <v>54.5</v>
      </c>
      <c r="K14" s="5">
        <v>-1.2999999999999969</v>
      </c>
      <c r="L14" s="5">
        <v>52</v>
      </c>
      <c r="M14" s="5">
        <v>48.7</v>
      </c>
      <c r="N14" s="5">
        <v>51.3</v>
      </c>
      <c r="O14" s="5">
        <v>51.3</v>
      </c>
      <c r="P14" s="5">
        <v>46.1</v>
      </c>
      <c r="Q14" s="5">
        <v>46.3</v>
      </c>
      <c r="R14" s="5">
        <v>46.9</v>
      </c>
      <c r="S14" s="5">
        <v>54.6</v>
      </c>
      <c r="T14" s="5">
        <v>49</v>
      </c>
      <c r="U14" s="5">
        <v>56.9</v>
      </c>
      <c r="V14" s="5">
        <v>54.3</v>
      </c>
    </row>
    <row r="15" spans="2:26" hidden="1" x14ac:dyDescent="0.2">
      <c r="B15" s="18">
        <v>42186</v>
      </c>
      <c r="C15" s="5">
        <v>53.8</v>
      </c>
      <c r="D15" s="5">
        <v>52.4</v>
      </c>
      <c r="E15" s="5">
        <v>51.2</v>
      </c>
      <c r="F15" s="5">
        <v>51.8</v>
      </c>
      <c r="G15" s="5">
        <v>49.6</v>
      </c>
      <c r="H15" s="5">
        <v>52.5</v>
      </c>
      <c r="I15" s="5">
        <v>55.3</v>
      </c>
      <c r="J15" s="5">
        <v>53.6</v>
      </c>
      <c r="K15" s="5">
        <v>-0.89999999999999858</v>
      </c>
      <c r="L15" s="5">
        <v>52.9</v>
      </c>
      <c r="M15" s="5">
        <v>48.3</v>
      </c>
      <c r="N15" s="5">
        <v>52.7</v>
      </c>
      <c r="O15" s="5">
        <v>50.8</v>
      </c>
      <c r="P15" s="5">
        <v>47.6</v>
      </c>
      <c r="Q15" s="5">
        <v>47.1</v>
      </c>
      <c r="R15" s="5">
        <v>30.2</v>
      </c>
      <c r="S15" s="5">
        <v>56.7</v>
      </c>
      <c r="T15" s="5">
        <v>50.1</v>
      </c>
      <c r="U15" s="5">
        <v>57.5</v>
      </c>
      <c r="V15" s="5">
        <v>54.5</v>
      </c>
    </row>
    <row r="16" spans="2:26" hidden="1" x14ac:dyDescent="0.2">
      <c r="B16" s="18">
        <v>42217</v>
      </c>
      <c r="C16" s="5">
        <v>53</v>
      </c>
      <c r="D16" s="5">
        <v>52.3</v>
      </c>
      <c r="E16" s="5">
        <v>51.7</v>
      </c>
      <c r="F16" s="5">
        <v>53.3</v>
      </c>
      <c r="G16" s="5">
        <v>48.3</v>
      </c>
      <c r="H16" s="5">
        <v>51.6</v>
      </c>
      <c r="I16" s="5">
        <v>53.8</v>
      </c>
      <c r="J16" s="5">
        <v>53.2</v>
      </c>
      <c r="K16" s="5">
        <v>-0.39999999999999858</v>
      </c>
      <c r="L16" s="5">
        <v>52.4</v>
      </c>
      <c r="M16" s="5">
        <v>47.9</v>
      </c>
      <c r="N16" s="5">
        <v>52.3</v>
      </c>
      <c r="O16" s="5">
        <v>49.4</v>
      </c>
      <c r="P16" s="5">
        <v>47.9</v>
      </c>
      <c r="Q16" s="5">
        <v>46.1</v>
      </c>
      <c r="R16" s="5">
        <v>39.1</v>
      </c>
      <c r="S16" s="5">
        <v>53.6</v>
      </c>
      <c r="T16" s="5">
        <v>49.3</v>
      </c>
      <c r="U16" s="5">
        <v>56.6</v>
      </c>
      <c r="V16" s="5">
        <v>51.1</v>
      </c>
    </row>
    <row r="17" spans="1:24" hidden="1" x14ac:dyDescent="0.2">
      <c r="B17" s="18">
        <v>42248</v>
      </c>
      <c r="C17" s="5">
        <v>53.1</v>
      </c>
      <c r="D17" s="5">
        <v>52</v>
      </c>
      <c r="E17" s="5">
        <v>51</v>
      </c>
      <c r="F17" s="5">
        <v>52.3</v>
      </c>
      <c r="G17" s="5">
        <v>50.6</v>
      </c>
      <c r="H17" s="5">
        <v>51.6</v>
      </c>
      <c r="I17" s="5">
        <v>52.7</v>
      </c>
      <c r="J17" s="5">
        <v>51.7</v>
      </c>
      <c r="K17" s="5">
        <v>-1.5</v>
      </c>
      <c r="L17" s="5">
        <v>52.1</v>
      </c>
      <c r="M17" s="5">
        <v>49.1</v>
      </c>
      <c r="N17" s="5">
        <v>51.2</v>
      </c>
      <c r="O17" s="5">
        <v>48.6</v>
      </c>
      <c r="P17" s="5">
        <v>49.2</v>
      </c>
      <c r="Q17" s="5">
        <v>46.9</v>
      </c>
      <c r="R17" s="5">
        <v>43.3</v>
      </c>
      <c r="S17" s="5">
        <v>53.8</v>
      </c>
      <c r="T17" s="5">
        <v>48.8</v>
      </c>
      <c r="U17" s="5">
        <v>55.5</v>
      </c>
      <c r="V17" s="5">
        <v>50.9</v>
      </c>
    </row>
    <row r="18" spans="1:24" hidden="1" x14ac:dyDescent="0.2">
      <c r="B18" s="18">
        <v>42278</v>
      </c>
      <c r="C18" s="5">
        <v>54.1</v>
      </c>
      <c r="D18" s="5">
        <v>52.3</v>
      </c>
      <c r="E18" s="5">
        <v>52.4</v>
      </c>
      <c r="F18" s="5">
        <v>52.1</v>
      </c>
      <c r="G18" s="5">
        <v>50.6</v>
      </c>
      <c r="H18" s="5">
        <v>54.3</v>
      </c>
      <c r="I18" s="5">
        <v>54.1</v>
      </c>
      <c r="J18" s="5">
        <v>51.3</v>
      </c>
      <c r="K18" s="5">
        <v>-0.40000000000000568</v>
      </c>
      <c r="L18" s="5">
        <v>53</v>
      </c>
      <c r="M18" s="5">
        <v>50.2</v>
      </c>
      <c r="N18" s="5">
        <v>50.7</v>
      </c>
      <c r="O18" s="5">
        <v>48</v>
      </c>
      <c r="P18" s="5">
        <v>49.1</v>
      </c>
      <c r="Q18" s="5">
        <v>47.8</v>
      </c>
      <c r="R18" s="5">
        <v>47.3</v>
      </c>
      <c r="S18" s="5">
        <v>53.6</v>
      </c>
      <c r="T18" s="5">
        <v>49.5</v>
      </c>
      <c r="U18" s="5">
        <v>54</v>
      </c>
      <c r="V18" s="5">
        <v>52.2</v>
      </c>
    </row>
    <row r="19" spans="1:24" hidden="1" x14ac:dyDescent="0.2">
      <c r="B19" s="18">
        <v>42309</v>
      </c>
      <c r="C19" s="5">
        <v>52.8</v>
      </c>
      <c r="D19" s="5">
        <v>52.8</v>
      </c>
      <c r="E19" s="5">
        <v>52.6</v>
      </c>
      <c r="F19" s="5">
        <v>52.9</v>
      </c>
      <c r="G19" s="5">
        <v>50.6</v>
      </c>
      <c r="H19" s="5">
        <v>52.3</v>
      </c>
      <c r="I19" s="5">
        <v>54.9</v>
      </c>
      <c r="J19" s="5">
        <v>53.1</v>
      </c>
      <c r="K19" s="5">
        <v>1.800000000000004</v>
      </c>
      <c r="L19" s="5">
        <v>53</v>
      </c>
      <c r="M19" s="5">
        <v>50.1</v>
      </c>
      <c r="N19" s="5">
        <v>50.3</v>
      </c>
      <c r="O19" s="5">
        <v>48.6</v>
      </c>
      <c r="P19" s="5">
        <v>49.1</v>
      </c>
      <c r="Q19" s="5">
        <v>49.5</v>
      </c>
      <c r="R19" s="5">
        <v>48.1</v>
      </c>
      <c r="S19" s="5">
        <v>53.3</v>
      </c>
      <c r="T19" s="5">
        <v>50.9</v>
      </c>
      <c r="U19" s="5">
        <v>54.2</v>
      </c>
      <c r="V19" s="5">
        <v>52.1</v>
      </c>
    </row>
    <row r="20" spans="1:24" hidden="1" x14ac:dyDescent="0.2">
      <c r="B20" s="18">
        <v>42339</v>
      </c>
      <c r="C20" s="5">
        <v>51.2</v>
      </c>
      <c r="D20" s="5">
        <v>53.2</v>
      </c>
      <c r="E20" s="5">
        <v>52.6</v>
      </c>
      <c r="F20" s="5">
        <v>53.2</v>
      </c>
      <c r="G20" s="5">
        <v>51.4</v>
      </c>
      <c r="H20" s="5">
        <v>51</v>
      </c>
      <c r="I20" s="5">
        <v>55.6</v>
      </c>
      <c r="J20" s="5">
        <v>53</v>
      </c>
      <c r="K20" s="5">
        <v>-0.10000000000000139</v>
      </c>
      <c r="L20" s="5">
        <v>52.4</v>
      </c>
      <c r="M20" s="5">
        <v>48.7</v>
      </c>
      <c r="N20" s="5">
        <v>49.1</v>
      </c>
      <c r="O20" s="5">
        <v>47.5</v>
      </c>
      <c r="P20" s="5">
        <v>50.7</v>
      </c>
      <c r="Q20" s="5">
        <v>51.7</v>
      </c>
      <c r="R20" s="5">
        <v>50.2</v>
      </c>
      <c r="S20" s="5">
        <v>54.2</v>
      </c>
      <c r="T20" s="5">
        <v>52.2</v>
      </c>
      <c r="U20" s="5">
        <v>55.6</v>
      </c>
      <c r="V20" s="5">
        <v>52.1</v>
      </c>
    </row>
    <row r="21" spans="1:24" hidden="1" x14ac:dyDescent="0.2">
      <c r="B21" s="18">
        <v>42370</v>
      </c>
      <c r="C21" s="5">
        <v>52.4</v>
      </c>
      <c r="D21" s="5">
        <v>52.3</v>
      </c>
      <c r="E21" s="5">
        <v>52.3</v>
      </c>
      <c r="F21" s="5">
        <v>52.3</v>
      </c>
      <c r="G21" s="5">
        <v>50</v>
      </c>
      <c r="H21" s="5">
        <v>52.2</v>
      </c>
      <c r="I21" s="5">
        <v>53.2</v>
      </c>
      <c r="J21" s="5">
        <v>55.4</v>
      </c>
      <c r="K21" s="5">
        <v>2.399999999999999</v>
      </c>
      <c r="L21" s="5">
        <v>52.2</v>
      </c>
      <c r="M21" s="5">
        <v>49.8</v>
      </c>
      <c r="N21" s="5">
        <v>51.1</v>
      </c>
      <c r="O21" s="5">
        <v>49.3</v>
      </c>
      <c r="P21" s="5">
        <v>49.5</v>
      </c>
      <c r="Q21" s="5">
        <v>50.6</v>
      </c>
      <c r="R21" s="5">
        <v>50</v>
      </c>
      <c r="S21" s="5">
        <v>54.3</v>
      </c>
      <c r="T21" s="5">
        <v>50.9</v>
      </c>
      <c r="U21" s="5">
        <v>56.9</v>
      </c>
      <c r="V21" s="5">
        <v>50.9</v>
      </c>
    </row>
    <row r="22" spans="1:24" hidden="1" x14ac:dyDescent="0.2">
      <c r="B22" s="18">
        <v>42401</v>
      </c>
      <c r="C22" s="5">
        <v>51.3</v>
      </c>
      <c r="D22" s="5">
        <v>51.2</v>
      </c>
      <c r="E22" s="5">
        <v>50.1</v>
      </c>
      <c r="F22" s="5">
        <v>50.5</v>
      </c>
      <c r="G22" s="5">
        <v>50.2</v>
      </c>
      <c r="H22" s="5">
        <v>50.8</v>
      </c>
      <c r="I22" s="5">
        <v>52.2</v>
      </c>
      <c r="J22" s="5">
        <v>54.1</v>
      </c>
      <c r="K22" s="5">
        <v>-1.2999999999999969</v>
      </c>
      <c r="L22" s="5">
        <v>53.1</v>
      </c>
      <c r="M22" s="5">
        <v>49.3</v>
      </c>
      <c r="N22" s="5">
        <v>51.1</v>
      </c>
      <c r="O22" s="5">
        <v>49.4</v>
      </c>
      <c r="P22" s="5">
        <v>48.7</v>
      </c>
      <c r="Q22" s="5">
        <v>49.4</v>
      </c>
      <c r="R22" s="5">
        <v>48.4</v>
      </c>
      <c r="S22" s="5">
        <v>52.9</v>
      </c>
      <c r="T22" s="5">
        <v>50.3</v>
      </c>
      <c r="U22" s="5">
        <v>55.5</v>
      </c>
      <c r="V22" s="5">
        <v>52.8</v>
      </c>
    </row>
    <row r="23" spans="1:24" hidden="1" x14ac:dyDescent="0.2">
      <c r="B23" s="18">
        <v>42430</v>
      </c>
      <c r="C23" s="5">
        <v>51.5</v>
      </c>
      <c r="D23" s="5">
        <v>51.6</v>
      </c>
      <c r="E23" s="5">
        <v>49.1</v>
      </c>
      <c r="F23" s="5">
        <v>50.7</v>
      </c>
      <c r="G23" s="5">
        <v>49.6</v>
      </c>
      <c r="H23" s="5">
        <v>51.1</v>
      </c>
      <c r="I23" s="5">
        <v>53.5</v>
      </c>
      <c r="J23" s="5">
        <v>53.4</v>
      </c>
      <c r="K23" s="5">
        <v>-0.70000000000000284</v>
      </c>
      <c r="L23" s="5">
        <v>53.2</v>
      </c>
      <c r="M23" s="5">
        <v>48.3</v>
      </c>
      <c r="N23" s="5">
        <v>52.4</v>
      </c>
      <c r="O23" s="5">
        <v>51.5</v>
      </c>
      <c r="P23" s="5">
        <v>49.5</v>
      </c>
      <c r="Q23" s="5">
        <v>51.1</v>
      </c>
      <c r="R23" s="5">
        <v>49</v>
      </c>
      <c r="S23" s="5">
        <v>54.9</v>
      </c>
      <c r="T23" s="5">
        <v>49.2</v>
      </c>
      <c r="U23" s="5">
        <v>54.3</v>
      </c>
      <c r="V23" s="5">
        <v>53.8</v>
      </c>
    </row>
    <row r="24" spans="1:24" s="83" customFormat="1" x14ac:dyDescent="0.2">
      <c r="A24" s="43"/>
      <c r="B24" s="78">
        <v>32874</v>
      </c>
      <c r="C24" s="13">
        <f>((((VLOOKUP(B24,Database!$A:$AS,MATCH($C$1,Database!$A$1:$AS$1,),))))-(((VLOOKUP(EDATE(B24,-12),Database!$A:$AS,MATCH($C$1,Database!$A$1:$AS$1,),)))))/(((VLOOKUP(EDATE(B24,-12),Database!$A:$AS,MATCH($C$1,Database!$A$1:$AS$1,),))))</f>
        <v>-8.2414105231873452E-3</v>
      </c>
      <c r="D24" s="13">
        <f>((((VLOOKUP(B24,Database!$A:$AS,MATCH($D$1,Database!$A$1:$AS$1,),))))-(((VLOOKUP(EDATE(B24,-12),Database!$A:$AS,MATCH($D$1,Database!$A$1:$AS$1,),)))))/(((VLOOKUP(EDATE(B24,-12),Database!$A:$AS,MATCH($D$1,Database!$A$1:$AS$1,),))))</f>
        <v>3.719939880756238E-2</v>
      </c>
      <c r="E24" s="13">
        <f>((((VLOOKUP(B24,Database!$A:$AS,MATCH($E$1,Database!$A$1:$AS$1,),))))-(((VLOOKUP(EDATE(B24,-12),Database!$A:$AS,MATCH($E$1,Database!$A$1:$AS$1,),)))))/(((VLOOKUP(EDATE(B24,-12),Database!$A:$AS,MATCH($E$1,Database!$A$1:$AS$1,),))))</f>
        <v>2.0512820513287185E-2</v>
      </c>
      <c r="F24" s="13">
        <f>((((VLOOKUP(B24,Database!$A:$AS,MATCH($F$1,Database!$A$1:$AS$1,),))))-(((VLOOKUP(EDATE(B24,-12),Database!$A:$AS,MATCH($F$1,Database!$A$1:$AS$1,),)))))/(((VLOOKUP(EDATE(B24,-12),Database!$A:$AS,MATCH($F$1,Database!$A$1:$AS$1,),))))</f>
        <v>5.5045871562496955E-2</v>
      </c>
      <c r="G24" s="13">
        <f>((((VLOOKUP(B24,Database!$A:$AS,MATCH($G$1,Database!$A$1:$AS$1,),))))-(((VLOOKUP(EDATE(B24,-12),Database!$A:$AS,MATCH($G$1,Database!$A$1:$AS$1,),)))))/(((VLOOKUP(EDATE(B24,-12),Database!$A:$AS,MATCH($G$1,Database!$A$1:$AS$1,),))))</f>
        <v>1.9790112365776932E-2</v>
      </c>
      <c r="H24" s="13">
        <f>((((VLOOKUP(B24,Database!$A:$AS,MATCH($H$1,Database!$A$1:$AS$1,),))))-(((VLOOKUP(EDATE(B24,-12),Database!$A:$AS,MATCH($H$1,Database!$A$1:$AS$1,),)))))/(((VLOOKUP(EDATE(B24,-12),Database!$A:$AS,MATCH($H$1,Database!$A$1:$AS$1,),))))</f>
        <v>-2.6525199006702639E-3</v>
      </c>
      <c r="I24" s="13">
        <f>((((VLOOKUP(B24,Database!$A:$AS,MATCH($I$1,Database!$A$1:$AS$1,),))))-(((VLOOKUP(EDATE(B24,-12),Database!$A:$AS,MATCH($I$1,Database!$A$1:$AS$1,),)))))/(((VLOOKUP(EDATE(B24,-12),Database!$A:$AS,MATCH($I$1,Database!$A$1:$AS$1,),))))</f>
        <v>1.6197963286391883E-3</v>
      </c>
      <c r="J24" s="13">
        <f>((((VLOOKUP(B24,Database!$A:$AS,MATCH($J$1,Database!$A$1:$AS$1,),))))-(((VLOOKUP(EDATE(B24,-12),Database!$A:$AS,MATCH($J$1,Database!$A$1:$AS$1,),)))))/(((VLOOKUP(EDATE(B24,-12),Database!$A:$AS,MATCH($J$1,Database!$A$1:$AS$1,),))))</f>
        <v>2.0483908017424671E-2</v>
      </c>
      <c r="K24" s="13">
        <f>((((VLOOKUP(B24,Database!$A:$AS,MATCH($K$1,Database!$A$1:$AS$1,),))))-(((VLOOKUP(EDATE(B24,-12),Database!$A:$AS,MATCH($K$1,Database!$A$1:$AS$1,),)))))/(((VLOOKUP(EDATE(B24,-12),Database!$A:$AS,MATCH($K$1,Database!$A$1:$AS$1,),))))</f>
        <v>-1.1019748828221725E-2</v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>4.534883720765668E-2</v>
      </c>
      <c r="M24" s="13" t="e">
        <f>((((VLOOKUP(B24,Database!$A:$AS,MATCH($M$1,Database!$A$1:$AS$1,),))))-(((VLOOKUP(EDATE(B24,-12),Database!$A:$AS,MATCH($M$1,Database!$A$1:$AS$1,),)))))/(((VLOOKUP(EDATE(B24,-12),Database!$A:$AS,MATCH($M$1,Database!$A$1:$AS$1,),))))</f>
        <v>#DIV/0!</v>
      </c>
      <c r="N24" s="13" t="e">
        <f>((((VLOOKUP(B24,Database!$A:$AS,MATCH($N$1,Database!$A$1:$AS$1,),))))-(((VLOOKUP(EDATE(B24,-12),Database!$A:$AS,MATCH($N$1,Database!$A$1:$AS$1,),)))))/(((VLOOKUP(EDATE(B24,-12),Database!$A:$AS,MATCH($N$1,Database!$A$1:$AS$1,),))))</f>
        <v>#DIV/0!</v>
      </c>
      <c r="O24" s="13">
        <f>((((VLOOKUP(B24,Database!$A:$AS,MATCH($O$1,Database!$A$1:$AS$1,),))))-(((VLOOKUP(EDATE(B24,-12),Database!$A:$AS,MATCH($O$1,Database!$A$1:$AS$1,),)))))/(((VLOOKUP(EDATE(B24,-12),Database!$A:$AS,MATCH($O$1,Database!$A$1:$AS$1,),))))</f>
        <v>-2.3794972634911031E-2</v>
      </c>
      <c r="P24" s="13">
        <f>((((VLOOKUP(B24,Database!$A:$AS,MATCH($P$1,Database!$A$1:$AS$1,),))))-(((VLOOKUP(EDATE(B24,-12),Database!$A:$AS,MATCH($P$1,Database!$A$1:$AS$1,),)))))/(((VLOOKUP(EDATE(B24,-12),Database!$A:$AS,MATCH($P$1,Database!$A$1:$AS$1,),))))</f>
        <v>4.1408998565055387E-2</v>
      </c>
      <c r="Q24" s="13">
        <f>((((VLOOKUP(B24,Database!$A:$AS,MATCH($Q$1,Database!$A$1:$AS$1,),))))-(((VLOOKUP(EDATE(B24,-12),Database!$A:$AS,MATCH($Q$1,Database!$A$1:$AS$1,),)))))/(((VLOOKUP(EDATE(B24,-12),Database!$A:$AS,MATCH($Q$1,Database!$A$1:$AS$1,),))))</f>
        <v>4.967472074414804E-2</v>
      </c>
      <c r="R24" s="13">
        <f>((((VLOOKUP(B24,Database!$A:$AS,MATCH($R$1,Database!$A$1:$AS$1,),))))-(((VLOOKUP(EDATE(B24,-12),Database!$A:$AS,MATCH($R$1,Database!$A$1:$AS$1,),)))))/(((VLOOKUP(EDATE(B24,-12),Database!$A:$AS,MATCH($R$1,Database!$A$1:$AS$1,),))))</f>
        <v>-7.2925937715710371E-3</v>
      </c>
      <c r="S24" s="13">
        <f>((((VLOOKUP(B24,Database!$A:$AS,MATCH($S$1,Database!$A$1:$AS$1,),))))-(((VLOOKUP(EDATE(B24,-12),Database!$A:$AS,MATCH($S$1,Database!$A$1:$AS$1,),)))))/(((VLOOKUP(EDATE(B24,-12),Database!$A:$AS,MATCH($S$1,Database!$A$1:$AS$1,),))))</f>
        <v>2.9625929103048395E-2</v>
      </c>
      <c r="T24" s="13">
        <f>((((VLOOKUP(B24,Database!$A:$AS,MATCH($T$1,Database!$A$1:$AS$1,),))))-(((VLOOKUP(EDATE(B24,-12),Database!$A:$AS,MATCH($T$1,Database!$A$1:$AS$1,),)))))/(((VLOOKUP(EDATE(B24,-12),Database!$A:$AS,MATCH($T$1,Database!$A$1:$AS$1,),))))</f>
        <v>0.10740740742894553</v>
      </c>
      <c r="U24" s="13" t="e">
        <f>((((VLOOKUP(B24,Database!$A:$AS,MATCH($U$1,Database!$A$1:$AS$1,),))))-(((VLOOKUP(EDATE(B24,-12),Database!$A:$AS,MATCH($U$1,Database!$A$1:$AS$1,),)))))/(((VLOOKUP(EDATE(B24,-12),Database!$A:$AS,MATCH($U$1,Database!$A$1:$AS$1,),))))</f>
        <v>#DIV/0!</v>
      </c>
      <c r="V24" s="13">
        <f>((((VLOOKUP(B24,Database!$A:$AS,MATCH($V$1,Database!$A$1:$AS$1,),))))-(((VLOOKUP(EDATE(B24,-12),Database!$A:$AS,MATCH($V$1,Database!$A$1:$AS$1,),)))))/(((VLOOKUP(EDATE(B24,-12),Database!$A:$AS,MATCH($V$1,Database!$A$1:$AS$1,),))))</f>
        <v>-0.29985886979986803</v>
      </c>
      <c r="X24" s="43">
        <f>DATE(YEAR(B24),MONTH(B24)-12,DAY(B24))</f>
        <v>32509</v>
      </c>
    </row>
    <row r="25" spans="1:24" s="83" customFormat="1" x14ac:dyDescent="0.2">
      <c r="A25" s="43"/>
      <c r="B25" s="78">
        <v>32905</v>
      </c>
      <c r="C25" s="13">
        <f>((((VLOOKUP(B25,Database!$A:$AS,MATCH($C$1,Database!$A$1:$AS$1,),))))-(((VLOOKUP(EDATE(B25,-12),Database!$A:$AS,MATCH($C$1,Database!$A$1:$AS$1,),)))))/(((VLOOKUP(EDATE(B25,-12),Database!$A:$AS,MATCH($C$1,Database!$A$1:$AS$1,),))))</f>
        <v>5.1768280184125602E-3</v>
      </c>
      <c r="D25" s="13">
        <f>((((VLOOKUP(B25,Database!$A:$AS,MATCH($D$1,Database!$A$1:$AS$1,),))))-(((VLOOKUP(EDATE(B25,-12),Database!$A:$AS,MATCH($D$1,Database!$A$1:$AS$1,),)))))/(((VLOOKUP(EDATE(B25,-12),Database!$A:$AS,MATCH($D$1,Database!$A$1:$AS$1,),))))</f>
        <v>5.1983927671685692E-2</v>
      </c>
      <c r="E25" s="13">
        <f>((((VLOOKUP(B25,Database!$A:$AS,MATCH($E$1,Database!$A$1:$AS$1,),))))-(((VLOOKUP(EDATE(B25,-12),Database!$A:$AS,MATCH($E$1,Database!$A$1:$AS$1,),)))))/(((VLOOKUP(EDATE(B25,-12),Database!$A:$AS,MATCH($E$1,Database!$A$1:$AS$1,),))))</f>
        <v>3.199174406827384E-2</v>
      </c>
      <c r="F25" s="13">
        <f>((((VLOOKUP(B25,Database!$A:$AS,MATCH($F$1,Database!$A$1:$AS$1,),))))-(((VLOOKUP(EDATE(B25,-12),Database!$A:$AS,MATCH($F$1,Database!$A$1:$AS$1,),)))))/(((VLOOKUP(EDATE(B25,-12),Database!$A:$AS,MATCH($F$1,Database!$A$1:$AS$1,),))))</f>
        <v>5.4327808474875512E-2</v>
      </c>
      <c r="G25" s="13">
        <f>((((VLOOKUP(B25,Database!$A:$AS,MATCH($G$1,Database!$A$1:$AS$1,),))))-(((VLOOKUP(EDATE(B25,-12),Database!$A:$AS,MATCH($G$1,Database!$A$1:$AS$1,),)))))/(((VLOOKUP(EDATE(B25,-12),Database!$A:$AS,MATCH($G$1,Database!$A$1:$AS$1,),))))</f>
        <v>3.8375944727086192E-2</v>
      </c>
      <c r="H25" s="13">
        <f>((((VLOOKUP(B25,Database!$A:$AS,MATCH($H$1,Database!$A$1:$AS$1,),))))-(((VLOOKUP(EDATE(B25,-12),Database!$A:$AS,MATCH($H$1,Database!$A$1:$AS$1,),)))))/(((VLOOKUP(EDATE(B25,-12),Database!$A:$AS,MATCH($H$1,Database!$A$1:$AS$1,),))))</f>
        <v>-1.1904761904469046E-2</v>
      </c>
      <c r="I25" s="13">
        <f>((((VLOOKUP(B25,Database!$A:$AS,MATCH($I$1,Database!$A$1:$AS$1,),))))-(((VLOOKUP(EDATE(B25,-12),Database!$A:$AS,MATCH($I$1,Database!$A$1:$AS$1,),)))))/(((VLOOKUP(EDATE(B25,-12),Database!$A:$AS,MATCH($I$1,Database!$A$1:$AS$1,),))))</f>
        <v>4.916787852796917E-3</v>
      </c>
      <c r="J25" s="13">
        <f>((((VLOOKUP(B25,Database!$A:$AS,MATCH($J$1,Database!$A$1:$AS$1,),))))-(((VLOOKUP(EDATE(B25,-12),Database!$A:$AS,MATCH($J$1,Database!$A$1:$AS$1,),)))))/(((VLOOKUP(EDATE(B25,-12),Database!$A:$AS,MATCH($J$1,Database!$A$1:$AS$1,),))))</f>
        <v>-5.0230550854290772E-3</v>
      </c>
      <c r="K25" s="13">
        <f>((((VLOOKUP(B25,Database!$A:$AS,MATCH($K$1,Database!$A$1:$AS$1,),))))-(((VLOOKUP(EDATE(B25,-12),Database!$A:$AS,MATCH($K$1,Database!$A$1:$AS$1,),)))))/(((VLOOKUP(EDATE(B25,-12),Database!$A:$AS,MATCH($K$1,Database!$A$1:$AS$1,),))))</f>
        <v>-3.712012972652863E-3</v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>3.72093023258806E-2</v>
      </c>
      <c r="M25" s="13" t="e">
        <f>((((VLOOKUP(B25,Database!$A:$AS,MATCH($M$1,Database!$A$1:$AS$1,),))))-(((VLOOKUP(EDATE(B25,-12),Database!$A:$AS,MATCH($M$1,Database!$A$1:$AS$1,),)))))/(((VLOOKUP(EDATE(B25,-12),Database!$A:$AS,MATCH($M$1,Database!$A$1:$AS$1,),))))</f>
        <v>#DIV/0!</v>
      </c>
      <c r="N25" s="13" t="e">
        <f>((((VLOOKUP(B25,Database!$A:$AS,MATCH($N$1,Database!$A$1:$AS$1,),))))-(((VLOOKUP(EDATE(B25,-12),Database!$A:$AS,MATCH($N$1,Database!$A$1:$AS$1,),)))))/(((VLOOKUP(EDATE(B25,-12),Database!$A:$AS,MATCH($N$1,Database!$A$1:$AS$1,),))))</f>
        <v>#DIV/0!</v>
      </c>
      <c r="O25" s="13">
        <f>((((VLOOKUP(B25,Database!$A:$AS,MATCH($O$1,Database!$A$1:$AS$1,),))))-(((VLOOKUP(EDATE(B25,-12),Database!$A:$AS,MATCH($O$1,Database!$A$1:$AS$1,),)))))/(((VLOOKUP(EDATE(B25,-12),Database!$A:$AS,MATCH($O$1,Database!$A$1:$AS$1,),))))</f>
        <v>-2.8694857404120876E-2</v>
      </c>
      <c r="P25" s="13">
        <f>((((VLOOKUP(B25,Database!$A:$AS,MATCH($P$1,Database!$A$1:$AS$1,),))))-(((VLOOKUP(EDATE(B25,-12),Database!$A:$AS,MATCH($P$1,Database!$A$1:$AS$1,),)))))/(((VLOOKUP(EDATE(B25,-12),Database!$A:$AS,MATCH($P$1,Database!$A$1:$AS$1,),))))</f>
        <v>7.0525779199766492E-2</v>
      </c>
      <c r="Q25" s="13">
        <f>((((VLOOKUP(B25,Database!$A:$AS,MATCH($Q$1,Database!$A$1:$AS$1,),))))-(((VLOOKUP(EDATE(B25,-12),Database!$A:$AS,MATCH($Q$1,Database!$A$1:$AS$1,),)))))/(((VLOOKUP(EDATE(B25,-12),Database!$A:$AS,MATCH($Q$1,Database!$A$1:$AS$1,),))))</f>
        <v>8.7870996989315261E-2</v>
      </c>
      <c r="R25" s="13">
        <f>((((VLOOKUP(B25,Database!$A:$AS,MATCH($R$1,Database!$A$1:$AS$1,),))))-(((VLOOKUP(EDATE(B25,-12),Database!$A:$AS,MATCH($R$1,Database!$A$1:$AS$1,),)))))/(((VLOOKUP(EDATE(B25,-12),Database!$A:$AS,MATCH($R$1,Database!$A$1:$AS$1,),))))</f>
        <v>4.0103640437143394E-2</v>
      </c>
      <c r="S25" s="13">
        <f>((((VLOOKUP(B25,Database!$A:$AS,MATCH($S$1,Database!$A$1:$AS$1,),))))-(((VLOOKUP(EDATE(B25,-12),Database!$A:$AS,MATCH($S$1,Database!$A$1:$AS$1,),)))))/(((VLOOKUP(EDATE(B25,-12),Database!$A:$AS,MATCH($S$1,Database!$A$1:$AS$1,),))))</f>
        <v>7.3767933184938766E-2</v>
      </c>
      <c r="T25" s="13">
        <f>((((VLOOKUP(B25,Database!$A:$AS,MATCH($T$1,Database!$A$1:$AS$1,),))))-(((VLOOKUP(EDATE(B25,-12),Database!$A:$AS,MATCH($T$1,Database!$A$1:$AS$1,),)))))/(((VLOOKUP(EDATE(B25,-12),Database!$A:$AS,MATCH($T$1,Database!$A$1:$AS$1,),))))</f>
        <v>8.771929824438271E-2</v>
      </c>
      <c r="U25" s="13" t="e">
        <f>((((VLOOKUP(B25,Database!$A:$AS,MATCH($U$1,Database!$A$1:$AS$1,),))))-(((VLOOKUP(EDATE(B25,-12),Database!$A:$AS,MATCH($U$1,Database!$A$1:$AS$1,),)))))/(((VLOOKUP(EDATE(B25,-12),Database!$A:$AS,MATCH($U$1,Database!$A$1:$AS$1,),))))</f>
        <v>#DIV/0!</v>
      </c>
      <c r="V25" s="13">
        <f>((((VLOOKUP(B25,Database!$A:$AS,MATCH($V$1,Database!$A$1:$AS$1,),))))-(((VLOOKUP(EDATE(B25,-12),Database!$A:$AS,MATCH($V$1,Database!$A$1:$AS$1,),)))))/(((VLOOKUP(EDATE(B25,-12),Database!$A:$AS,MATCH($V$1,Database!$A$1:$AS$1,),))))</f>
        <v>-0.3031136980540689</v>
      </c>
      <c r="X25" s="43" t="e">
        <f>EDATE(A25,-12)</f>
        <v>#NUM!</v>
      </c>
    </row>
    <row r="26" spans="1:24" s="83" customFormat="1" x14ac:dyDescent="0.2">
      <c r="A26" s="43"/>
      <c r="B26" s="78">
        <v>32933</v>
      </c>
      <c r="C26" s="13">
        <f>((((VLOOKUP(B26,Database!$A:$AS,MATCH($C$1,Database!$A$1:$AS$1,),))))-(((VLOOKUP(EDATE(B26,-12),Database!$A:$AS,MATCH($C$1,Database!$A$1:$AS$1,),)))))/(((VLOOKUP(EDATE(B26,-12),Database!$A:$AS,MATCH($C$1,Database!$A$1:$AS$1,),))))</f>
        <v>7.3766268834700478E-3</v>
      </c>
      <c r="D26" s="13">
        <f>((((VLOOKUP(B26,Database!$A:$AS,MATCH($D$1,Database!$A$1:$AS$1,),))))-(((VLOOKUP(EDATE(B26,-12),Database!$A:$AS,MATCH($D$1,Database!$A$1:$AS$1,),)))))/(((VLOOKUP(EDATE(B26,-12),Database!$A:$AS,MATCH($D$1,Database!$A$1:$AS$1,),))))</f>
        <v>4.9365657579700593E-2</v>
      </c>
      <c r="E26" s="13">
        <f>((((VLOOKUP(B26,Database!$A:$AS,MATCH($E$1,Database!$A$1:$AS$1,),))))-(((VLOOKUP(EDATE(B26,-12),Database!$A:$AS,MATCH($E$1,Database!$A$1:$AS$1,),)))))/(((VLOOKUP(EDATE(B26,-12),Database!$A:$AS,MATCH($E$1,Database!$A$1:$AS$1,),))))</f>
        <v>1.3944223108880587E-2</v>
      </c>
      <c r="F26" s="13">
        <f>((((VLOOKUP(B26,Database!$A:$AS,MATCH($F$1,Database!$A$1:$AS$1,),))))-(((VLOOKUP(EDATE(B26,-12),Database!$A:$AS,MATCH($F$1,Database!$A$1:$AS$1,),)))))/(((VLOOKUP(EDATE(B26,-12),Database!$A:$AS,MATCH($F$1,Database!$A$1:$AS$1,),))))</f>
        <v>5.6672760497857542E-2</v>
      </c>
      <c r="G26" s="13">
        <f>((((VLOOKUP(B26,Database!$A:$AS,MATCH($G$1,Database!$A$1:$AS$1,),))))-(((VLOOKUP(EDATE(B26,-12),Database!$A:$AS,MATCH($G$1,Database!$A$1:$AS$1,),)))))/(((VLOOKUP(EDATE(B26,-12),Database!$A:$AS,MATCH($G$1,Database!$A$1:$AS$1,),))))</f>
        <v>3.260288214710079E-2</v>
      </c>
      <c r="H26" s="13">
        <f>((((VLOOKUP(B26,Database!$A:$AS,MATCH($H$1,Database!$A$1:$AS$1,),))))-(((VLOOKUP(EDATE(B26,-12),Database!$A:$AS,MATCH($H$1,Database!$A$1:$AS$1,),)))))/(((VLOOKUP(EDATE(B26,-12),Database!$A:$AS,MATCH($H$1,Database!$A$1:$AS$1,),))))</f>
        <v>1.6085790888427872E-2</v>
      </c>
      <c r="I26" s="13">
        <f>((((VLOOKUP(B26,Database!$A:$AS,MATCH($I$1,Database!$A$1:$AS$1,),))))-(((VLOOKUP(EDATE(B26,-12),Database!$A:$AS,MATCH($I$1,Database!$A$1:$AS$1,),)))))/(((VLOOKUP(EDATE(B26,-12),Database!$A:$AS,MATCH($I$1,Database!$A$1:$AS$1,),))))</f>
        <v>2.2780347054878539E-2</v>
      </c>
      <c r="J26" s="13">
        <f>((((VLOOKUP(B26,Database!$A:$AS,MATCH($J$1,Database!$A$1:$AS$1,),))))-(((VLOOKUP(EDATE(B26,-12),Database!$A:$AS,MATCH($J$1,Database!$A$1:$AS$1,),)))))/(((VLOOKUP(EDATE(B26,-12),Database!$A:$AS,MATCH($J$1,Database!$A$1:$AS$1,),))))</f>
        <v>-2.1937017680216199E-2</v>
      </c>
      <c r="K26" s="13">
        <f>((((VLOOKUP(B26,Database!$A:$AS,MATCH($K$1,Database!$A$1:$AS$1,),))))-(((VLOOKUP(EDATE(B26,-12),Database!$A:$AS,MATCH($K$1,Database!$A$1:$AS$1,),)))))/(((VLOOKUP(EDATE(B26,-12),Database!$A:$AS,MATCH($K$1,Database!$A$1:$AS$1,),))))</f>
        <v>5.7897061729112985E-3</v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>7.3684210524442628E-2</v>
      </c>
      <c r="M26" s="13" t="e">
        <f>((((VLOOKUP(B26,Database!$A:$AS,MATCH($M$1,Database!$A$1:$AS$1,),))))-(((VLOOKUP(EDATE(B26,-12),Database!$A:$AS,MATCH($M$1,Database!$A$1:$AS$1,),)))))/(((VLOOKUP(EDATE(B26,-12),Database!$A:$AS,MATCH($M$1,Database!$A$1:$AS$1,),))))</f>
        <v>#DIV/0!</v>
      </c>
      <c r="N26" s="13" t="e">
        <f>((((VLOOKUP(B26,Database!$A:$AS,MATCH($N$1,Database!$A$1:$AS$1,),))))-(((VLOOKUP(EDATE(B26,-12),Database!$A:$AS,MATCH($N$1,Database!$A$1:$AS$1,),)))))/(((VLOOKUP(EDATE(B26,-12),Database!$A:$AS,MATCH($N$1,Database!$A$1:$AS$1,),))))</f>
        <v>#DIV/0!</v>
      </c>
      <c r="O26" s="13">
        <f>((((VLOOKUP(B26,Database!$A:$AS,MATCH($O$1,Database!$A$1:$AS$1,),))))-(((VLOOKUP(EDATE(B26,-12),Database!$A:$AS,MATCH($O$1,Database!$A$1:$AS$1,),)))))/(((VLOOKUP(EDATE(B26,-12),Database!$A:$AS,MATCH($O$1,Database!$A$1:$AS$1,),))))</f>
        <v>-1.8416267154316809E-2</v>
      </c>
      <c r="P26" s="13">
        <f>((((VLOOKUP(B26,Database!$A:$AS,MATCH($P$1,Database!$A$1:$AS$1,),))))-(((VLOOKUP(EDATE(B26,-12),Database!$A:$AS,MATCH($P$1,Database!$A$1:$AS$1,),)))))/(((VLOOKUP(EDATE(B26,-12),Database!$A:$AS,MATCH($P$1,Database!$A$1:$AS$1,),))))</f>
        <v>8.9120387296810558E-2</v>
      </c>
      <c r="Q26" s="13">
        <f>((((VLOOKUP(B26,Database!$A:$AS,MATCH($Q$1,Database!$A$1:$AS$1,),))))-(((VLOOKUP(EDATE(B26,-12),Database!$A:$AS,MATCH($Q$1,Database!$A$1:$AS$1,),)))))/(((VLOOKUP(EDATE(B26,-12),Database!$A:$AS,MATCH($Q$1,Database!$A$1:$AS$1,),))))</f>
        <v>-3.1360095552765338E-2</v>
      </c>
      <c r="R26" s="13">
        <f>((((VLOOKUP(B26,Database!$A:$AS,MATCH($R$1,Database!$A$1:$AS$1,),))))-(((VLOOKUP(EDATE(B26,-12),Database!$A:$AS,MATCH($R$1,Database!$A$1:$AS$1,),)))))/(((VLOOKUP(EDATE(B26,-12),Database!$A:$AS,MATCH($R$1,Database!$A$1:$AS$1,),))))</f>
        <v>-1.1774711424963913E-2</v>
      </c>
      <c r="S26" s="13">
        <f>((((VLOOKUP(B26,Database!$A:$AS,MATCH($S$1,Database!$A$1:$AS$1,),))))-(((VLOOKUP(EDATE(B26,-12),Database!$A:$AS,MATCH($S$1,Database!$A$1:$AS$1,),)))))/(((VLOOKUP(EDATE(B26,-12),Database!$A:$AS,MATCH($S$1,Database!$A$1:$AS$1,),))))</f>
        <v>8.8048222823155844E-2</v>
      </c>
      <c r="T26" s="13">
        <f>((((VLOOKUP(B26,Database!$A:$AS,MATCH($T$1,Database!$A$1:$AS$1,),))))-(((VLOOKUP(EDATE(B26,-12),Database!$A:$AS,MATCH($T$1,Database!$A$1:$AS$1,),)))))/(((VLOOKUP(EDATE(B26,-12),Database!$A:$AS,MATCH($T$1,Database!$A$1:$AS$1,),))))</f>
        <v>0.13475177305869998</v>
      </c>
      <c r="U26" s="13" t="e">
        <f>((((VLOOKUP(B26,Database!$A:$AS,MATCH($U$1,Database!$A$1:$AS$1,),))))-(((VLOOKUP(EDATE(B26,-12),Database!$A:$AS,MATCH($U$1,Database!$A$1:$AS$1,),)))))/(((VLOOKUP(EDATE(B26,-12),Database!$A:$AS,MATCH($U$1,Database!$A$1:$AS$1,),))))</f>
        <v>#DIV/0!</v>
      </c>
      <c r="V26" s="13">
        <f>((((VLOOKUP(B26,Database!$A:$AS,MATCH($V$1,Database!$A$1:$AS$1,),))))-(((VLOOKUP(EDATE(B26,-12),Database!$A:$AS,MATCH($V$1,Database!$A$1:$AS$1,),)))))/(((VLOOKUP(EDATE(B26,-12),Database!$A:$AS,MATCH($V$1,Database!$A$1:$AS$1,),))))</f>
        <v>-0.28965126207611919</v>
      </c>
    </row>
    <row r="27" spans="1:24" s="83" customFormat="1" x14ac:dyDescent="0.2">
      <c r="A27" s="43"/>
      <c r="B27" s="78">
        <v>32964</v>
      </c>
      <c r="C27" s="13">
        <f>((((VLOOKUP(B27,Database!$A:$AS,MATCH($C$1,Database!$A$1:$AS$1,),))))-(((VLOOKUP(EDATE(B27,-12),Database!$A:$AS,MATCH($C$1,Database!$A$1:$AS$1,),)))))/(((VLOOKUP(EDATE(B27,-12),Database!$A:$AS,MATCH($C$1,Database!$A$1:$AS$1,),))))</f>
        <v>5.6712565449958535E-3</v>
      </c>
      <c r="D27" s="13">
        <f>((((VLOOKUP(B27,Database!$A:$AS,MATCH($D$1,Database!$A$1:$AS$1,),))))-(((VLOOKUP(EDATE(B27,-12),Database!$A:$AS,MATCH($D$1,Database!$A$1:$AS$1,),)))))/(((VLOOKUP(EDATE(B27,-12),Database!$A:$AS,MATCH($D$1,Database!$A$1:$AS$1,),))))</f>
        <v>3.1480570578173758E-2</v>
      </c>
      <c r="E27" s="13">
        <f>((((VLOOKUP(B27,Database!$A:$AS,MATCH($E$1,Database!$A$1:$AS$1,),))))-(((VLOOKUP(EDATE(B27,-12),Database!$A:$AS,MATCH($E$1,Database!$A$1:$AS$1,),)))))/(((VLOOKUP(EDATE(B27,-12),Database!$A:$AS,MATCH($E$1,Database!$A$1:$AS$1,),))))</f>
        <v>3.2388663966197134E-2</v>
      </c>
      <c r="F27" s="13">
        <f>((((VLOOKUP(B27,Database!$A:$AS,MATCH($F$1,Database!$A$1:$AS$1,),))))-(((VLOOKUP(EDATE(B27,-12),Database!$A:$AS,MATCH($F$1,Database!$A$1:$AS$1,),)))))/(((VLOOKUP(EDATE(B27,-12),Database!$A:$AS,MATCH($F$1,Database!$A$1:$AS$1,),))))</f>
        <v>7.985803025150966E-3</v>
      </c>
      <c r="G27" s="13">
        <f>((((VLOOKUP(B27,Database!$A:$AS,MATCH($G$1,Database!$A$1:$AS$1,),))))-(((VLOOKUP(EDATE(B27,-12),Database!$A:$AS,MATCH($G$1,Database!$A$1:$AS$1,),)))))/(((VLOOKUP(EDATE(B27,-12),Database!$A:$AS,MATCH($G$1,Database!$A$1:$AS$1,),))))</f>
        <v>1.8907664785814227E-2</v>
      </c>
      <c r="H27" s="13">
        <f>((((VLOOKUP(B27,Database!$A:$AS,MATCH($H$1,Database!$A$1:$AS$1,),))))-(((VLOOKUP(EDATE(B27,-12),Database!$A:$AS,MATCH($H$1,Database!$A$1:$AS$1,),)))))/(((VLOOKUP(EDATE(B27,-12),Database!$A:$AS,MATCH($H$1,Database!$A$1:$AS$1,),))))</f>
        <v>-3.9215686314072202E-3</v>
      </c>
      <c r="I27" s="13">
        <f>((((VLOOKUP(B27,Database!$A:$AS,MATCH($I$1,Database!$A$1:$AS$1,),))))-(((VLOOKUP(EDATE(B27,-12),Database!$A:$AS,MATCH($I$1,Database!$A$1:$AS$1,),)))))/(((VLOOKUP(EDATE(B27,-12),Database!$A:$AS,MATCH($I$1,Database!$A$1:$AS$1,),))))</f>
        <v>2.3280866540853144E-2</v>
      </c>
      <c r="J27" s="13">
        <f>((((VLOOKUP(B27,Database!$A:$AS,MATCH($J$1,Database!$A$1:$AS$1,),))))-(((VLOOKUP(EDATE(B27,-12),Database!$A:$AS,MATCH($J$1,Database!$A$1:$AS$1,),)))))/(((VLOOKUP(EDATE(B27,-12),Database!$A:$AS,MATCH($J$1,Database!$A$1:$AS$1,),))))</f>
        <v>1.4678472903969847E-2</v>
      </c>
      <c r="K27" s="13">
        <f>((((VLOOKUP(B27,Database!$A:$AS,MATCH($K$1,Database!$A$1:$AS$1,),))))-(((VLOOKUP(EDATE(B27,-12),Database!$A:$AS,MATCH($K$1,Database!$A$1:$AS$1,),)))))/(((VLOOKUP(EDATE(B27,-12),Database!$A:$AS,MATCH($K$1,Database!$A$1:$AS$1,),))))</f>
        <v>2.8953473138360664E-3</v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>5.5684454756603968E-2</v>
      </c>
      <c r="M27" s="13" t="e">
        <f>((((VLOOKUP(B27,Database!$A:$AS,MATCH($M$1,Database!$A$1:$AS$1,),))))-(((VLOOKUP(EDATE(B27,-12),Database!$A:$AS,MATCH($M$1,Database!$A$1:$AS$1,),)))))/(((VLOOKUP(EDATE(B27,-12),Database!$A:$AS,MATCH($M$1,Database!$A$1:$AS$1,),))))</f>
        <v>#DIV/0!</v>
      </c>
      <c r="N27" s="13" t="e">
        <f>((((VLOOKUP(B27,Database!$A:$AS,MATCH($N$1,Database!$A$1:$AS$1,),))))-(((VLOOKUP(EDATE(B27,-12),Database!$A:$AS,MATCH($N$1,Database!$A$1:$AS$1,),)))))/(((VLOOKUP(EDATE(B27,-12),Database!$A:$AS,MATCH($N$1,Database!$A$1:$AS$1,),))))</f>
        <v>#DIV/0!</v>
      </c>
      <c r="O27" s="13">
        <f>((((VLOOKUP(B27,Database!$A:$AS,MATCH($O$1,Database!$A$1:$AS$1,),))))-(((VLOOKUP(EDATE(B27,-12),Database!$A:$AS,MATCH($O$1,Database!$A$1:$AS$1,),)))))/(((VLOOKUP(EDATE(B27,-12),Database!$A:$AS,MATCH($O$1,Database!$A$1:$AS$1,),))))</f>
        <v>-3.1767837781119301E-2</v>
      </c>
      <c r="P27" s="13">
        <f>((((VLOOKUP(B27,Database!$A:$AS,MATCH($P$1,Database!$A$1:$AS$1,),))))-(((VLOOKUP(EDATE(B27,-12),Database!$A:$AS,MATCH($P$1,Database!$A$1:$AS$1,),)))))/(((VLOOKUP(EDATE(B27,-12),Database!$A:$AS,MATCH($P$1,Database!$A$1:$AS$1,),))))</f>
        <v>0.14553379827984234</v>
      </c>
      <c r="Q27" s="13">
        <f>((((VLOOKUP(B27,Database!$A:$AS,MATCH($Q$1,Database!$A$1:$AS$1,),))))-(((VLOOKUP(EDATE(B27,-12),Database!$A:$AS,MATCH($Q$1,Database!$A$1:$AS$1,),)))))/(((VLOOKUP(EDATE(B27,-12),Database!$A:$AS,MATCH($Q$1,Database!$A$1:$AS$1,),))))</f>
        <v>-0.28242005273755183</v>
      </c>
      <c r="R27" s="13">
        <f>((((VLOOKUP(B27,Database!$A:$AS,MATCH($R$1,Database!$A$1:$AS$1,),))))-(((VLOOKUP(EDATE(B27,-12),Database!$A:$AS,MATCH($R$1,Database!$A$1:$AS$1,),)))))/(((VLOOKUP(EDATE(B27,-12),Database!$A:$AS,MATCH($R$1,Database!$A$1:$AS$1,),))))</f>
        <v>-4.52651057868763E-2</v>
      </c>
      <c r="S27" s="13">
        <f>((((VLOOKUP(B27,Database!$A:$AS,MATCH($S$1,Database!$A$1:$AS$1,),))))-(((VLOOKUP(EDATE(B27,-12),Database!$A:$AS,MATCH($S$1,Database!$A$1:$AS$1,),)))))/(((VLOOKUP(EDATE(B27,-12),Database!$A:$AS,MATCH($S$1,Database!$A$1:$AS$1,),))))</f>
        <v>3.2188604278758678E-2</v>
      </c>
      <c r="T27" s="13">
        <f>((((VLOOKUP(B27,Database!$A:$AS,MATCH($T$1,Database!$A$1:$AS$1,),))))-(((VLOOKUP(EDATE(B27,-12),Database!$A:$AS,MATCH($T$1,Database!$A$1:$AS$1,),)))))/(((VLOOKUP(EDATE(B27,-12),Database!$A:$AS,MATCH($T$1,Database!$A$1:$AS$1,),))))</f>
        <v>0.2059925093717131</v>
      </c>
      <c r="U27" s="13" t="e">
        <f>((((VLOOKUP(B27,Database!$A:$AS,MATCH($U$1,Database!$A$1:$AS$1,),))))-(((VLOOKUP(EDATE(B27,-12),Database!$A:$AS,MATCH($U$1,Database!$A$1:$AS$1,),)))))/(((VLOOKUP(EDATE(B27,-12),Database!$A:$AS,MATCH($U$1,Database!$A$1:$AS$1,),))))</f>
        <v>#DIV/0!</v>
      </c>
      <c r="V27" s="13">
        <f>((((VLOOKUP(B27,Database!$A:$AS,MATCH($V$1,Database!$A$1:$AS$1,),))))-(((VLOOKUP(EDATE(B27,-12),Database!$A:$AS,MATCH($V$1,Database!$A$1:$AS$1,),)))))/(((VLOOKUP(EDATE(B27,-12),Database!$A:$AS,MATCH($V$1,Database!$A$1:$AS$1,),))))</f>
        <v>-0.32810406430955863</v>
      </c>
    </row>
    <row r="28" spans="1:24" s="83" customFormat="1" x14ac:dyDescent="0.2">
      <c r="A28" s="43"/>
      <c r="B28" s="78">
        <v>32994</v>
      </c>
      <c r="C28" s="13">
        <f>((((VLOOKUP(B28,Database!$A:$AS,MATCH($C$1,Database!$A$1:$AS$1,),))))-(((VLOOKUP(EDATE(B28,-12),Database!$A:$AS,MATCH($C$1,Database!$A$1:$AS$1,),)))))/(((VLOOKUP(EDATE(B28,-12),Database!$A:$AS,MATCH($C$1,Database!$A$1:$AS$1,),))))</f>
        <v>1.3951956708757681E-2</v>
      </c>
      <c r="D28" s="13">
        <f>((((VLOOKUP(B28,Database!$A:$AS,MATCH($D$1,Database!$A$1:$AS$1,),))))-(((VLOOKUP(EDATE(B28,-12),Database!$A:$AS,MATCH($D$1,Database!$A$1:$AS$1,),)))))/(((VLOOKUP(EDATE(B28,-12),Database!$A:$AS,MATCH($D$1,Database!$A$1:$AS$1,),))))</f>
        <v>6.2864385289232591E-2</v>
      </c>
      <c r="E28" s="13">
        <f>((((VLOOKUP(B28,Database!$A:$AS,MATCH($E$1,Database!$A$1:$AS$1,),))))-(((VLOOKUP(EDATE(B28,-12),Database!$A:$AS,MATCH($E$1,Database!$A$1:$AS$1,),)))))/(((VLOOKUP(EDATE(B28,-12),Database!$A:$AS,MATCH($E$1,Database!$A$1:$AS$1,),))))</f>
        <v>3.8422649138378416E-2</v>
      </c>
      <c r="F28" s="13">
        <f>((((VLOOKUP(B28,Database!$A:$AS,MATCH($F$1,Database!$A$1:$AS$1,),))))-(((VLOOKUP(EDATE(B28,-12),Database!$A:$AS,MATCH($F$1,Database!$A$1:$AS$1,),)))))/(((VLOOKUP(EDATE(B28,-12),Database!$A:$AS,MATCH($F$1,Database!$A$1:$AS$1,),))))</f>
        <v>8.5740913321490975E-2</v>
      </c>
      <c r="G28" s="13">
        <f>((((VLOOKUP(B28,Database!$A:$AS,MATCH($G$1,Database!$A$1:$AS$1,),))))-(((VLOOKUP(EDATE(B28,-12),Database!$A:$AS,MATCH($G$1,Database!$A$1:$AS$1,),)))))/(((VLOOKUP(EDATE(B28,-12),Database!$A:$AS,MATCH($G$1,Database!$A$1:$AS$1,),))))</f>
        <v>3.301424583214934E-2</v>
      </c>
      <c r="H28" s="13">
        <f>((((VLOOKUP(B28,Database!$A:$AS,MATCH($H$1,Database!$A$1:$AS$1,),))))-(((VLOOKUP(EDATE(B28,-12),Database!$A:$AS,MATCH($H$1,Database!$A$1:$AS$1,),)))))/(((VLOOKUP(EDATE(B28,-12),Database!$A:$AS,MATCH($H$1,Database!$A$1:$AS$1,),))))</f>
        <v>1.6085790888427872E-2</v>
      </c>
      <c r="I28" s="13">
        <f>((((VLOOKUP(B28,Database!$A:$AS,MATCH($I$1,Database!$A$1:$AS$1,),))))-(((VLOOKUP(EDATE(B28,-12),Database!$A:$AS,MATCH($I$1,Database!$A$1:$AS$1,),)))))/(((VLOOKUP(EDATE(B28,-12),Database!$A:$AS,MATCH($I$1,Database!$A$1:$AS$1,),))))</f>
        <v>2.0208999844275235E-2</v>
      </c>
      <c r="J28" s="13">
        <f>((((VLOOKUP(B28,Database!$A:$AS,MATCH($J$1,Database!$A$1:$AS$1,),))))-(((VLOOKUP(EDATE(B28,-12),Database!$A:$AS,MATCH($J$1,Database!$A$1:$AS$1,),)))))/(((VLOOKUP(EDATE(B28,-12),Database!$A:$AS,MATCH($J$1,Database!$A$1:$AS$1,),))))</f>
        <v>9.1176689964826436E-4</v>
      </c>
      <c r="K28" s="13">
        <f>((((VLOOKUP(B28,Database!$A:$AS,MATCH($K$1,Database!$A$1:$AS$1,),))))-(((VLOOKUP(EDATE(B28,-12),Database!$A:$AS,MATCH($K$1,Database!$A$1:$AS$1,),)))))/(((VLOOKUP(EDATE(B28,-12),Database!$A:$AS,MATCH($K$1,Database!$A$1:$AS$1,),))))</f>
        <v>3.4696595438898942E-2</v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>6.9524913085984047E-2</v>
      </c>
      <c r="M28" s="13" t="e">
        <f>((((VLOOKUP(B28,Database!$A:$AS,MATCH($M$1,Database!$A$1:$AS$1,),))))-(((VLOOKUP(EDATE(B28,-12),Database!$A:$AS,MATCH($M$1,Database!$A$1:$AS$1,),)))))/(((VLOOKUP(EDATE(B28,-12),Database!$A:$AS,MATCH($M$1,Database!$A$1:$AS$1,),))))</f>
        <v>#DIV/0!</v>
      </c>
      <c r="N28" s="13" t="e">
        <f>((((VLOOKUP(B28,Database!$A:$AS,MATCH($N$1,Database!$A$1:$AS$1,),))))-(((VLOOKUP(EDATE(B28,-12),Database!$A:$AS,MATCH($N$1,Database!$A$1:$AS$1,),)))))/(((VLOOKUP(EDATE(B28,-12),Database!$A:$AS,MATCH($N$1,Database!$A$1:$AS$1,),))))</f>
        <v>#DIV/0!</v>
      </c>
      <c r="O28" s="13">
        <f>((((VLOOKUP(B28,Database!$A:$AS,MATCH($O$1,Database!$A$1:$AS$1,),))))-(((VLOOKUP(EDATE(B28,-12),Database!$A:$AS,MATCH($O$1,Database!$A$1:$AS$1,),)))))/(((VLOOKUP(EDATE(B28,-12),Database!$A:$AS,MATCH($O$1,Database!$A$1:$AS$1,),))))</f>
        <v>-2.030861124523551E-2</v>
      </c>
      <c r="P28" s="13">
        <f>((((VLOOKUP(B28,Database!$A:$AS,MATCH($P$1,Database!$A$1:$AS$1,),))))-(((VLOOKUP(EDATE(B28,-12),Database!$A:$AS,MATCH($P$1,Database!$A$1:$AS$1,),)))))/(((VLOOKUP(EDATE(B28,-12),Database!$A:$AS,MATCH($P$1,Database!$A$1:$AS$1,),))))</f>
        <v>5.540047730089321E-2</v>
      </c>
      <c r="Q28" s="13">
        <f>((((VLOOKUP(B28,Database!$A:$AS,MATCH($Q$1,Database!$A$1:$AS$1,),))))-(((VLOOKUP(EDATE(B28,-12),Database!$A:$AS,MATCH($Q$1,Database!$A$1:$AS$1,),)))))/(((VLOOKUP(EDATE(B28,-12),Database!$A:$AS,MATCH($Q$1,Database!$A$1:$AS$1,),))))</f>
        <v>-0.12449212466932522</v>
      </c>
      <c r="R28" s="13">
        <f>((((VLOOKUP(B28,Database!$A:$AS,MATCH($R$1,Database!$A$1:$AS$1,),))))-(((VLOOKUP(EDATE(B28,-12),Database!$A:$AS,MATCH($R$1,Database!$A$1:$AS$1,),)))))/(((VLOOKUP(EDATE(B28,-12),Database!$A:$AS,MATCH($R$1,Database!$A$1:$AS$1,),))))</f>
        <v>1.9027830949610251E-3</v>
      </c>
      <c r="S28" s="13">
        <f>((((VLOOKUP(B28,Database!$A:$AS,MATCH($S$1,Database!$A$1:$AS$1,),))))-(((VLOOKUP(EDATE(B28,-12),Database!$A:$AS,MATCH($S$1,Database!$A$1:$AS$1,),)))))/(((VLOOKUP(EDATE(B28,-12),Database!$A:$AS,MATCH($S$1,Database!$A$1:$AS$1,),))))</f>
        <v>2.1729093025283308E-2</v>
      </c>
      <c r="T28" s="13">
        <f>((((VLOOKUP(B28,Database!$A:$AS,MATCH($T$1,Database!$A$1:$AS$1,),))))-(((VLOOKUP(EDATE(B28,-12),Database!$A:$AS,MATCH($T$1,Database!$A$1:$AS$1,),)))))/(((VLOOKUP(EDATE(B28,-12),Database!$A:$AS,MATCH($T$1,Database!$A$1:$AS$1,),))))</f>
        <v>8.5714285726531655E-2</v>
      </c>
      <c r="U28" s="13" t="e">
        <f>((((VLOOKUP(B28,Database!$A:$AS,MATCH($U$1,Database!$A$1:$AS$1,),))))-(((VLOOKUP(EDATE(B28,-12),Database!$A:$AS,MATCH($U$1,Database!$A$1:$AS$1,),)))))/(((VLOOKUP(EDATE(B28,-12),Database!$A:$AS,MATCH($U$1,Database!$A$1:$AS$1,),))))</f>
        <v>#DIV/0!</v>
      </c>
      <c r="V28" s="13">
        <f>((((VLOOKUP(B28,Database!$A:$AS,MATCH($V$1,Database!$A$1:$AS$1,),))))-(((VLOOKUP(EDATE(B28,-12),Database!$A:$AS,MATCH($V$1,Database!$A$1:$AS$1,),)))))/(((VLOOKUP(EDATE(B28,-12),Database!$A:$AS,MATCH($V$1,Database!$A$1:$AS$1,),))))</f>
        <v>-0.2776016782905612</v>
      </c>
    </row>
    <row r="29" spans="1:24" s="83" customFormat="1" x14ac:dyDescent="0.2">
      <c r="A29" s="43"/>
      <c r="B29" s="78">
        <v>33025</v>
      </c>
      <c r="C29" s="13">
        <f>((((VLOOKUP(B29,Database!$A:$AS,MATCH($C$1,Database!$A$1:$AS$1,),))))-(((VLOOKUP(EDATE(B29,-12),Database!$A:$AS,MATCH($C$1,Database!$A$1:$AS$1,),)))))/(((VLOOKUP(EDATE(B29,-12),Database!$A:$AS,MATCH($C$1,Database!$A$1:$AS$1,),))))</f>
        <v>1.7488856561326951E-2</v>
      </c>
      <c r="D29" s="13">
        <f>((((VLOOKUP(B29,Database!$A:$AS,MATCH($D$1,Database!$A$1:$AS$1,),))))-(((VLOOKUP(EDATE(B29,-12),Database!$A:$AS,MATCH($D$1,Database!$A$1:$AS$1,),)))))/(((VLOOKUP(EDATE(B29,-12),Database!$A:$AS,MATCH($D$1,Database!$A$1:$AS$1,),))))</f>
        <v>2.3335789737401694E-2</v>
      </c>
      <c r="E29" s="13">
        <f>((((VLOOKUP(B29,Database!$A:$AS,MATCH($E$1,Database!$A$1:$AS$1,),))))-(((VLOOKUP(EDATE(B29,-12),Database!$A:$AS,MATCH($E$1,Database!$A$1:$AS$1,),)))))/(((VLOOKUP(EDATE(B29,-12),Database!$A:$AS,MATCH($E$1,Database!$A$1:$AS$1,),))))</f>
        <v>2.8971028970221975E-2</v>
      </c>
      <c r="F29" s="13">
        <f>((((VLOOKUP(B29,Database!$A:$AS,MATCH($F$1,Database!$A$1:$AS$1,),))))-(((VLOOKUP(EDATE(B29,-12),Database!$A:$AS,MATCH($F$1,Database!$A$1:$AS$1,),)))))/(((VLOOKUP(EDATE(B29,-12),Database!$A:$AS,MATCH($F$1,Database!$A$1:$AS$1,),))))</f>
        <v>4.390681003109393E-2</v>
      </c>
      <c r="G29" s="13">
        <f>((((VLOOKUP(B29,Database!$A:$AS,MATCH($G$1,Database!$A$1:$AS$1,),))))-(((VLOOKUP(EDATE(B29,-12),Database!$A:$AS,MATCH($G$1,Database!$A$1:$AS$1,),)))))/(((VLOOKUP(EDATE(B29,-12),Database!$A:$AS,MATCH($G$1,Database!$A$1:$AS$1,),))))</f>
        <v>4.6690278291226395E-3</v>
      </c>
      <c r="H29" s="13">
        <f>((((VLOOKUP(B29,Database!$A:$AS,MATCH($H$1,Database!$A$1:$AS$1,),))))-(((VLOOKUP(EDATE(B29,-12),Database!$A:$AS,MATCH($H$1,Database!$A$1:$AS$1,),)))))/(((VLOOKUP(EDATE(B29,-12),Database!$A:$AS,MATCH($H$1,Database!$A$1:$AS$1,),))))</f>
        <v>3.217158176439127E-2</v>
      </c>
      <c r="I29" s="13">
        <f>((((VLOOKUP(B29,Database!$A:$AS,MATCH($I$1,Database!$A$1:$AS$1,),))))-(((VLOOKUP(EDATE(B29,-12),Database!$A:$AS,MATCH($I$1,Database!$A$1:$AS$1,),)))))/(((VLOOKUP(EDATE(B29,-12),Database!$A:$AS,MATCH($I$1,Database!$A$1:$AS$1,),))))</f>
        <v>-1.4555540350578483E-2</v>
      </c>
      <c r="J29" s="13">
        <f>((((VLOOKUP(B29,Database!$A:$AS,MATCH($J$1,Database!$A$1:$AS$1,),))))-(((VLOOKUP(EDATE(B29,-12),Database!$A:$AS,MATCH($J$1,Database!$A$1:$AS$1,),)))))/(((VLOOKUP(EDATE(B29,-12),Database!$A:$AS,MATCH($J$1,Database!$A$1:$AS$1,),))))</f>
        <v>1.8326184928647918E-2</v>
      </c>
      <c r="K29" s="13">
        <f>((((VLOOKUP(B29,Database!$A:$AS,MATCH($K$1,Database!$A$1:$AS$1,),))))-(((VLOOKUP(EDATE(B29,-12),Database!$A:$AS,MATCH($K$1,Database!$A$1:$AS$1,),)))))/(((VLOOKUP(EDATE(B29,-12),Database!$A:$AS,MATCH($K$1,Database!$A$1:$AS$1,),))))</f>
        <v>2.1506074811615084E-2</v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>5.2332195673074559E-2</v>
      </c>
      <c r="M29" s="13" t="e">
        <f>((((VLOOKUP(B29,Database!$A:$AS,MATCH($M$1,Database!$A$1:$AS$1,),))))-(((VLOOKUP(EDATE(B29,-12),Database!$A:$AS,MATCH($M$1,Database!$A$1:$AS$1,),)))))/(((VLOOKUP(EDATE(B29,-12),Database!$A:$AS,MATCH($M$1,Database!$A$1:$AS$1,),))))</f>
        <v>#DIV/0!</v>
      </c>
      <c r="N29" s="13" t="e">
        <f>((((VLOOKUP(B29,Database!$A:$AS,MATCH($N$1,Database!$A$1:$AS$1,),))))-(((VLOOKUP(EDATE(B29,-12),Database!$A:$AS,MATCH($N$1,Database!$A$1:$AS$1,),)))))/(((VLOOKUP(EDATE(B29,-12),Database!$A:$AS,MATCH($N$1,Database!$A$1:$AS$1,),))))</f>
        <v>#DIV/0!</v>
      </c>
      <c r="O29" s="13">
        <f>((((VLOOKUP(B29,Database!$A:$AS,MATCH($O$1,Database!$A$1:$AS$1,),))))-(((VLOOKUP(EDATE(B29,-12),Database!$A:$AS,MATCH($O$1,Database!$A$1:$AS$1,),)))))/(((VLOOKUP(EDATE(B29,-12),Database!$A:$AS,MATCH($O$1,Database!$A$1:$AS$1,),))))</f>
        <v>-1.1348893195363868E-2</v>
      </c>
      <c r="P29" s="13">
        <f>((((VLOOKUP(B29,Database!$A:$AS,MATCH($P$1,Database!$A$1:$AS$1,),))))-(((VLOOKUP(EDATE(B29,-12),Database!$A:$AS,MATCH($P$1,Database!$A$1:$AS$1,),)))))/(((VLOOKUP(EDATE(B29,-12),Database!$A:$AS,MATCH($P$1,Database!$A$1:$AS$1,),))))</f>
        <v>6.0831546090722229E-2</v>
      </c>
      <c r="Q29" s="13">
        <f>((((VLOOKUP(B29,Database!$A:$AS,MATCH($Q$1,Database!$A$1:$AS$1,),))))-(((VLOOKUP(EDATE(B29,-12),Database!$A:$AS,MATCH($Q$1,Database!$A$1:$AS$1,),)))))/(((VLOOKUP(EDATE(B29,-12),Database!$A:$AS,MATCH($Q$1,Database!$A$1:$AS$1,),))))</f>
        <v>-0.15742882559362112</v>
      </c>
      <c r="R29" s="13">
        <f>((((VLOOKUP(B29,Database!$A:$AS,MATCH($R$1,Database!$A$1:$AS$1,),))))-(((VLOOKUP(EDATE(B29,-12),Database!$A:$AS,MATCH($R$1,Database!$A$1:$AS$1,),)))))/(((VLOOKUP(EDATE(B29,-12),Database!$A:$AS,MATCH($R$1,Database!$A$1:$AS$1,),))))</f>
        <v>-9.5330700375425485E-4</v>
      </c>
      <c r="S29" s="13">
        <f>((((VLOOKUP(B29,Database!$A:$AS,MATCH($S$1,Database!$A$1:$AS$1,),))))-(((VLOOKUP(EDATE(B29,-12),Database!$A:$AS,MATCH($S$1,Database!$A$1:$AS$1,),)))))/(((VLOOKUP(EDATE(B29,-12),Database!$A:$AS,MATCH($S$1,Database!$A$1:$AS$1,),))))</f>
        <v>6.3189016175050072E-2</v>
      </c>
      <c r="T29" s="13">
        <f>((((VLOOKUP(B29,Database!$A:$AS,MATCH($T$1,Database!$A$1:$AS$1,),))))-(((VLOOKUP(EDATE(B29,-12),Database!$A:$AS,MATCH($T$1,Database!$A$1:$AS$1,),)))))/(((VLOOKUP(EDATE(B29,-12),Database!$A:$AS,MATCH($T$1,Database!$A$1:$AS$1,),))))</f>
        <v>7.5862068966706331E-2</v>
      </c>
      <c r="U29" s="13" t="e">
        <f>((((VLOOKUP(B29,Database!$A:$AS,MATCH($U$1,Database!$A$1:$AS$1,),))))-(((VLOOKUP(EDATE(B29,-12),Database!$A:$AS,MATCH($U$1,Database!$A$1:$AS$1,),)))))/(((VLOOKUP(EDATE(B29,-12),Database!$A:$AS,MATCH($U$1,Database!$A$1:$AS$1,),))))</f>
        <v>#DIV/0!</v>
      </c>
      <c r="V29" s="13">
        <f>((((VLOOKUP(B29,Database!$A:$AS,MATCH($V$1,Database!$A$1:$AS$1,),))))-(((VLOOKUP(EDATE(B29,-12),Database!$A:$AS,MATCH($V$1,Database!$A$1:$AS$1,),)))))/(((VLOOKUP(EDATE(B29,-12),Database!$A:$AS,MATCH($V$1,Database!$A$1:$AS$1,),))))</f>
        <v>-0.30593014210591435</v>
      </c>
    </row>
    <row r="30" spans="1:24" s="83" customFormat="1" x14ac:dyDescent="0.2">
      <c r="A30" s="43"/>
      <c r="B30" s="78">
        <v>33055</v>
      </c>
      <c r="C30" s="13">
        <f>((((VLOOKUP(B30,Database!$A:$AS,MATCH($C$1,Database!$A$1:$AS$1,),))))-(((VLOOKUP(EDATE(B30,-12),Database!$A:$AS,MATCH($C$1,Database!$A$1:$AS$1,),)))))/(((VLOOKUP(EDATE(B30,-12),Database!$A:$AS,MATCH($C$1,Database!$A$1:$AS$1,),))))</f>
        <v>2.6117906378478602E-2</v>
      </c>
      <c r="D30" s="13">
        <f>((((VLOOKUP(B30,Database!$A:$AS,MATCH($D$1,Database!$A$1:$AS$1,),))))-(((VLOOKUP(EDATE(B30,-12),Database!$A:$AS,MATCH($D$1,Database!$A$1:$AS$1,),)))))/(((VLOOKUP(EDATE(B30,-12),Database!$A:$AS,MATCH($D$1,Database!$A$1:$AS$1,),))))</f>
        <v>3.6302812550138466E-2</v>
      </c>
      <c r="E30" s="13">
        <f>((((VLOOKUP(B30,Database!$A:$AS,MATCH($E$1,Database!$A$1:$AS$1,),))))-(((VLOOKUP(EDATE(B30,-12),Database!$A:$AS,MATCH($E$1,Database!$A$1:$AS$1,),)))))/(((VLOOKUP(EDATE(B30,-12),Database!$A:$AS,MATCH($E$1,Database!$A$1:$AS$1,),))))</f>
        <v>6.0204081627324289E-2</v>
      </c>
      <c r="F30" s="13">
        <f>((((VLOOKUP(B30,Database!$A:$AS,MATCH($F$1,Database!$A$1:$AS$1,),))))-(((VLOOKUP(EDATE(B30,-12),Database!$A:$AS,MATCH($F$1,Database!$A$1:$AS$1,),)))))/(((VLOOKUP(EDATE(B30,-12),Database!$A:$AS,MATCH($F$1,Database!$A$1:$AS$1,),))))</f>
        <v>4.8128342238035297E-2</v>
      </c>
      <c r="G30" s="13">
        <f>((((VLOOKUP(B30,Database!$A:$AS,MATCH($G$1,Database!$A$1:$AS$1,),))))-(((VLOOKUP(EDATE(B30,-12),Database!$A:$AS,MATCH($G$1,Database!$A$1:$AS$1,),)))))/(((VLOOKUP(EDATE(B30,-12),Database!$A:$AS,MATCH($G$1,Database!$A$1:$AS$1,),))))</f>
        <v>1.5922957884572785E-2</v>
      </c>
      <c r="H30" s="13">
        <f>((((VLOOKUP(B30,Database!$A:$AS,MATCH($H$1,Database!$A$1:$AS$1,),))))-(((VLOOKUP(EDATE(B30,-12),Database!$A:$AS,MATCH($H$1,Database!$A$1:$AS$1,),)))))/(((VLOOKUP(EDATE(B30,-12),Database!$A:$AS,MATCH($H$1,Database!$A$1:$AS$1,),))))</f>
        <v>5.3547523439538445E-3</v>
      </c>
      <c r="I30" s="13">
        <f>((((VLOOKUP(B30,Database!$A:$AS,MATCH($I$1,Database!$A$1:$AS$1,),))))-(((VLOOKUP(EDATE(B30,-12),Database!$A:$AS,MATCH($I$1,Database!$A$1:$AS$1,),)))))/(((VLOOKUP(EDATE(B30,-12),Database!$A:$AS,MATCH($I$1,Database!$A$1:$AS$1,),))))</f>
        <v>-1.9802544580615301E-4</v>
      </c>
      <c r="J30" s="13">
        <f>((((VLOOKUP(B30,Database!$A:$AS,MATCH($J$1,Database!$A$1:$AS$1,),))))-(((VLOOKUP(EDATE(B30,-12),Database!$A:$AS,MATCH($J$1,Database!$A$1:$AS$1,),)))))/(((VLOOKUP(EDATE(B30,-12),Database!$A:$AS,MATCH($J$1,Database!$A$1:$AS$1,),))))</f>
        <v>-2.1563094679437678E-2</v>
      </c>
      <c r="K30" s="13">
        <f>((((VLOOKUP(B30,Database!$A:$AS,MATCH($K$1,Database!$A$1:$AS$1,),))))-(((VLOOKUP(EDATE(B30,-12),Database!$A:$AS,MATCH($K$1,Database!$A$1:$AS$1,),)))))/(((VLOOKUP(EDATE(B30,-12),Database!$A:$AS,MATCH($K$1,Database!$A$1:$AS$1,),))))</f>
        <v>2.0602886417149188E-2</v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>7.4455899200000383E-2</v>
      </c>
      <c r="M30" s="13" t="e">
        <f>((((VLOOKUP(B30,Database!$A:$AS,MATCH($M$1,Database!$A$1:$AS$1,),))))-(((VLOOKUP(EDATE(B30,-12),Database!$A:$AS,MATCH($M$1,Database!$A$1:$AS$1,),)))))/(((VLOOKUP(EDATE(B30,-12),Database!$A:$AS,MATCH($M$1,Database!$A$1:$AS$1,),))))</f>
        <v>#DIV/0!</v>
      </c>
      <c r="N30" s="13" t="e">
        <f>((((VLOOKUP(B30,Database!$A:$AS,MATCH($N$1,Database!$A$1:$AS$1,),))))-(((VLOOKUP(EDATE(B30,-12),Database!$A:$AS,MATCH($N$1,Database!$A$1:$AS$1,),)))))/(((VLOOKUP(EDATE(B30,-12),Database!$A:$AS,MATCH($N$1,Database!$A$1:$AS$1,),))))</f>
        <v>#DIV/0!</v>
      </c>
      <c r="O30" s="13">
        <f>((((VLOOKUP(B30,Database!$A:$AS,MATCH($O$1,Database!$A$1:$AS$1,),))))-(((VLOOKUP(EDATE(B30,-12),Database!$A:$AS,MATCH($O$1,Database!$A$1:$AS$1,),)))))/(((VLOOKUP(EDATE(B30,-12),Database!$A:$AS,MATCH($O$1,Database!$A$1:$AS$1,),))))</f>
        <v>-2.4674046334606159E-3</v>
      </c>
      <c r="P30" s="13">
        <f>((((VLOOKUP(B30,Database!$A:$AS,MATCH($P$1,Database!$A$1:$AS$1,),))))-(((VLOOKUP(EDATE(B30,-12),Database!$A:$AS,MATCH($P$1,Database!$A$1:$AS$1,),)))))/(((VLOOKUP(EDATE(B30,-12),Database!$A:$AS,MATCH($P$1,Database!$A$1:$AS$1,),))))</f>
        <v>8.7788967040886484E-2</v>
      </c>
      <c r="Q30" s="13">
        <f>((((VLOOKUP(B30,Database!$A:$AS,MATCH($Q$1,Database!$A$1:$AS$1,),))))-(((VLOOKUP(EDATE(B30,-12),Database!$A:$AS,MATCH($Q$1,Database!$A$1:$AS$1,),)))))/(((VLOOKUP(EDATE(B30,-12),Database!$A:$AS,MATCH($Q$1,Database!$A$1:$AS$1,),))))</f>
        <v>-0.10034120182202307</v>
      </c>
      <c r="R30" s="13">
        <f>((((VLOOKUP(B30,Database!$A:$AS,MATCH($R$1,Database!$A$1:$AS$1,),))))-(((VLOOKUP(EDATE(B30,-12),Database!$A:$AS,MATCH($R$1,Database!$A$1:$AS$1,),)))))/(((VLOOKUP(EDATE(B30,-12),Database!$A:$AS,MATCH($R$1,Database!$A$1:$AS$1,),))))</f>
        <v>-1.174862472765704E-3</v>
      </c>
      <c r="S30" s="13">
        <f>((((VLOOKUP(B30,Database!$A:$AS,MATCH($S$1,Database!$A$1:$AS$1,),))))-(((VLOOKUP(EDATE(B30,-12),Database!$A:$AS,MATCH($S$1,Database!$A$1:$AS$1,),)))))/(((VLOOKUP(EDATE(B30,-12),Database!$A:$AS,MATCH($S$1,Database!$A$1:$AS$1,),))))</f>
        <v>-3.7668166203225252E-2</v>
      </c>
      <c r="T30" s="13">
        <f>((((VLOOKUP(B30,Database!$A:$AS,MATCH($T$1,Database!$A$1:$AS$1,),))))-(((VLOOKUP(EDATE(B30,-12),Database!$A:$AS,MATCH($T$1,Database!$A$1:$AS$1,),)))))/(((VLOOKUP(EDATE(B30,-12),Database!$A:$AS,MATCH($T$1,Database!$A$1:$AS$1,),))))</f>
        <v>3.0303030294867073E-2</v>
      </c>
      <c r="U30" s="13" t="e">
        <f>((((VLOOKUP(B30,Database!$A:$AS,MATCH($U$1,Database!$A$1:$AS$1,),))))-(((VLOOKUP(EDATE(B30,-12),Database!$A:$AS,MATCH($U$1,Database!$A$1:$AS$1,),)))))/(((VLOOKUP(EDATE(B30,-12),Database!$A:$AS,MATCH($U$1,Database!$A$1:$AS$1,),))))</f>
        <v>#DIV/0!</v>
      </c>
      <c r="V30" s="13">
        <f>((((VLOOKUP(B30,Database!$A:$AS,MATCH($V$1,Database!$A$1:$AS$1,),))))-(((VLOOKUP(EDATE(B30,-12),Database!$A:$AS,MATCH($V$1,Database!$A$1:$AS$1,),)))))/(((VLOOKUP(EDATE(B30,-12),Database!$A:$AS,MATCH($V$1,Database!$A$1:$AS$1,),))))</f>
        <v>-0.21841690100460712</v>
      </c>
    </row>
    <row r="31" spans="1:24" s="83" customFormat="1" x14ac:dyDescent="0.2">
      <c r="A31" s="43"/>
      <c r="B31" s="78">
        <v>33086</v>
      </c>
      <c r="C31" s="13">
        <f>((((VLOOKUP(B31,Database!$A:$AS,MATCH($C$1,Database!$A$1:$AS$1,),))))-(((VLOOKUP(EDATE(B31,-12),Database!$A:$AS,MATCH($C$1,Database!$A$1:$AS$1,),)))))/(((VLOOKUP(EDATE(B31,-12),Database!$A:$AS,MATCH($C$1,Database!$A$1:$AS$1,),))))</f>
        <v>1.9900095897172773E-2</v>
      </c>
      <c r="D31" s="13">
        <f>((((VLOOKUP(B31,Database!$A:$AS,MATCH($D$1,Database!$A$1:$AS$1,),))))-(((VLOOKUP(EDATE(B31,-12),Database!$A:$AS,MATCH($D$1,Database!$A$1:$AS$1,),)))))/(((VLOOKUP(EDATE(B31,-12),Database!$A:$AS,MATCH($D$1,Database!$A$1:$AS$1,),))))</f>
        <v>1.2993262750331334E-2</v>
      </c>
      <c r="E31" s="13">
        <f>((((VLOOKUP(B31,Database!$A:$AS,MATCH($E$1,Database!$A$1:$AS$1,),))))-(((VLOOKUP(EDATE(B31,-12),Database!$A:$AS,MATCH($E$1,Database!$A$1:$AS$1,),)))))/(((VLOOKUP(EDATE(B31,-12),Database!$A:$AS,MATCH($E$1,Database!$A$1:$AS$1,),))))</f>
        <v>5.1153460383613583E-2</v>
      </c>
      <c r="F31" s="13">
        <f>((((VLOOKUP(B31,Database!$A:$AS,MATCH($F$1,Database!$A$1:$AS$1,),))))-(((VLOOKUP(EDATE(B31,-12),Database!$A:$AS,MATCH($F$1,Database!$A$1:$AS$1,),)))))/(((VLOOKUP(EDATE(B31,-12),Database!$A:$AS,MATCH($F$1,Database!$A$1:$AS$1,),))))</f>
        <v>5.7193923145212919E-2</v>
      </c>
      <c r="G31" s="13">
        <f>((((VLOOKUP(B31,Database!$A:$AS,MATCH($G$1,Database!$A$1:$AS$1,),))))-(((VLOOKUP(EDATE(B31,-12),Database!$A:$AS,MATCH($G$1,Database!$A$1:$AS$1,),)))))/(((VLOOKUP(EDATE(B31,-12),Database!$A:$AS,MATCH($G$1,Database!$A$1:$AS$1,),))))</f>
        <v>9.7059667752365034E-3</v>
      </c>
      <c r="H31" s="13">
        <f>((((VLOOKUP(B31,Database!$A:$AS,MATCH($H$1,Database!$A$1:$AS$1,),))))-(((VLOOKUP(EDATE(B31,-12),Database!$A:$AS,MATCH($H$1,Database!$A$1:$AS$1,),)))))/(((VLOOKUP(EDATE(B31,-12),Database!$A:$AS,MATCH($H$1,Database!$A$1:$AS$1,),))))</f>
        <v>-1.3123359577073836E-2</v>
      </c>
      <c r="I31" s="13">
        <f>((((VLOOKUP(B31,Database!$A:$AS,MATCH($I$1,Database!$A$1:$AS$1,),))))-(((VLOOKUP(EDATE(B31,-12),Database!$A:$AS,MATCH($I$1,Database!$A$1:$AS$1,),)))))/(((VLOOKUP(EDATE(B31,-12),Database!$A:$AS,MATCH($I$1,Database!$A$1:$AS$1,),))))</f>
        <v>1.5065409086324259E-2</v>
      </c>
      <c r="J31" s="13">
        <f>((((VLOOKUP(B31,Database!$A:$AS,MATCH($J$1,Database!$A$1:$AS$1,),))))-(((VLOOKUP(EDATE(B31,-12),Database!$A:$AS,MATCH($J$1,Database!$A$1:$AS$1,),)))))/(((VLOOKUP(EDATE(B31,-12),Database!$A:$AS,MATCH($J$1,Database!$A$1:$AS$1,),))))</f>
        <v>-1.4897810234302268E-2</v>
      </c>
      <c r="K31" s="13">
        <f>((((VLOOKUP(B31,Database!$A:$AS,MATCH($K$1,Database!$A$1:$AS$1,),))))-(((VLOOKUP(EDATE(B31,-12),Database!$A:$AS,MATCH($K$1,Database!$A$1:$AS$1,),)))))/(((VLOOKUP(EDATE(B31,-12),Database!$A:$AS,MATCH($K$1,Database!$A$1:$AS$1,),))))</f>
        <v>2.9726078399077212E-2</v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>6.5909090913020482E-2</v>
      </c>
      <c r="M31" s="13" t="e">
        <f>((((VLOOKUP(B31,Database!$A:$AS,MATCH($M$1,Database!$A$1:$AS$1,),))))-(((VLOOKUP(EDATE(B31,-12),Database!$A:$AS,MATCH($M$1,Database!$A$1:$AS$1,),)))))/(((VLOOKUP(EDATE(B31,-12),Database!$A:$AS,MATCH($M$1,Database!$A$1:$AS$1,),))))</f>
        <v>#DIV/0!</v>
      </c>
      <c r="N31" s="13" t="e">
        <f>((((VLOOKUP(B31,Database!$A:$AS,MATCH($N$1,Database!$A$1:$AS$1,),))))-(((VLOOKUP(EDATE(B31,-12),Database!$A:$AS,MATCH($N$1,Database!$A$1:$AS$1,),)))))/(((VLOOKUP(EDATE(B31,-12),Database!$A:$AS,MATCH($N$1,Database!$A$1:$AS$1,),))))</f>
        <v>#DIV/0!</v>
      </c>
      <c r="O31" s="13">
        <f>((((VLOOKUP(B31,Database!$A:$AS,MATCH($O$1,Database!$A$1:$AS$1,),))))-(((VLOOKUP(EDATE(B31,-12),Database!$A:$AS,MATCH($O$1,Database!$A$1:$AS$1,),)))))/(((VLOOKUP(EDATE(B31,-12),Database!$A:$AS,MATCH($O$1,Database!$A$1:$AS$1,),))))</f>
        <v>-1.9321753294762743E-2</v>
      </c>
      <c r="P31" s="13">
        <f>((((VLOOKUP(B31,Database!$A:$AS,MATCH($P$1,Database!$A$1:$AS$1,),))))-(((VLOOKUP(EDATE(B31,-12),Database!$A:$AS,MATCH($P$1,Database!$A$1:$AS$1,),)))))/(((VLOOKUP(EDATE(B31,-12),Database!$A:$AS,MATCH($P$1,Database!$A$1:$AS$1,),))))</f>
        <v>7.5667108826553225E-2</v>
      </c>
      <c r="Q31" s="13">
        <f>((((VLOOKUP(B31,Database!$A:$AS,MATCH($Q$1,Database!$A$1:$AS$1,),))))-(((VLOOKUP(EDATE(B31,-12),Database!$A:$AS,MATCH($Q$1,Database!$A$1:$AS$1,),)))))/(((VLOOKUP(EDATE(B31,-12),Database!$A:$AS,MATCH($Q$1,Database!$A$1:$AS$1,),))))</f>
        <v>-7.7913918064151225E-2</v>
      </c>
      <c r="R31" s="13">
        <f>((((VLOOKUP(B31,Database!$A:$AS,MATCH($R$1,Database!$A$1:$AS$1,),))))-(((VLOOKUP(EDATE(B31,-12),Database!$A:$AS,MATCH($R$1,Database!$A$1:$AS$1,),)))))/(((VLOOKUP(EDATE(B31,-12),Database!$A:$AS,MATCH($R$1,Database!$A$1:$AS$1,),))))</f>
        <v>-4.8721749642934749E-2</v>
      </c>
      <c r="S31" s="13">
        <f>((((VLOOKUP(B31,Database!$A:$AS,MATCH($S$1,Database!$A$1:$AS$1,),))))-(((VLOOKUP(EDATE(B31,-12),Database!$A:$AS,MATCH($S$1,Database!$A$1:$AS$1,),)))))/(((VLOOKUP(EDATE(B31,-12),Database!$A:$AS,MATCH($S$1,Database!$A$1:$AS$1,),))))</f>
        <v>0.11775977983283267</v>
      </c>
      <c r="T31" s="13">
        <f>((((VLOOKUP(B31,Database!$A:$AS,MATCH($T$1,Database!$A$1:$AS$1,),))))-(((VLOOKUP(EDATE(B31,-12),Database!$A:$AS,MATCH($T$1,Database!$A$1:$AS$1,),)))))/(((VLOOKUP(EDATE(B31,-12),Database!$A:$AS,MATCH($T$1,Database!$A$1:$AS$1,),))))</f>
        <v>4.123711339072425E-2</v>
      </c>
      <c r="U31" s="13" t="e">
        <f>((((VLOOKUP(B31,Database!$A:$AS,MATCH($U$1,Database!$A$1:$AS$1,),))))-(((VLOOKUP(EDATE(B31,-12),Database!$A:$AS,MATCH($U$1,Database!$A$1:$AS$1,),)))))/(((VLOOKUP(EDATE(B31,-12),Database!$A:$AS,MATCH($U$1,Database!$A$1:$AS$1,),))))</f>
        <v>#DIV/0!</v>
      </c>
      <c r="V31" s="13">
        <f>((((VLOOKUP(B31,Database!$A:$AS,MATCH($V$1,Database!$A$1:$AS$1,),))))-(((VLOOKUP(EDATE(B31,-12),Database!$A:$AS,MATCH($V$1,Database!$A$1:$AS$1,),)))))/(((VLOOKUP(EDATE(B31,-12),Database!$A:$AS,MATCH($V$1,Database!$A$1:$AS$1,),))))</f>
        <v>-0.18977272813663185</v>
      </c>
    </row>
    <row r="32" spans="1:24" s="83" customFormat="1" x14ac:dyDescent="0.2">
      <c r="A32" s="43"/>
      <c r="B32" s="78">
        <v>33117</v>
      </c>
      <c r="C32" s="13">
        <f>((((VLOOKUP(B32,Database!$A:$AS,MATCH($C$1,Database!$A$1:$AS$1,),))))-(((VLOOKUP(EDATE(B32,-12),Database!$A:$AS,MATCH($C$1,Database!$A$1:$AS$1,),)))))/(((VLOOKUP(EDATE(B32,-12),Database!$A:$AS,MATCH($C$1,Database!$A$1:$AS$1,),))))</f>
        <v>2.3385390858472712E-2</v>
      </c>
      <c r="D32" s="13">
        <f>((((VLOOKUP(B32,Database!$A:$AS,MATCH($D$1,Database!$A$1:$AS$1,),))))-(((VLOOKUP(EDATE(B32,-12),Database!$A:$AS,MATCH($D$1,Database!$A$1:$AS$1,),)))))/(((VLOOKUP(EDATE(B32,-12),Database!$A:$AS,MATCH($D$1,Database!$A$1:$AS$1,),))))</f>
        <v>3.9047151285116537E-2</v>
      </c>
      <c r="E32" s="13">
        <f>((((VLOOKUP(B32,Database!$A:$AS,MATCH($E$1,Database!$A$1:$AS$1,),))))-(((VLOOKUP(EDATE(B32,-12),Database!$A:$AS,MATCH($E$1,Database!$A$1:$AS$1,),)))))/(((VLOOKUP(EDATE(B32,-12),Database!$A:$AS,MATCH($E$1,Database!$A$1:$AS$1,),))))</f>
        <v>4.527162977208507E-2</v>
      </c>
      <c r="F32" s="13">
        <f>((((VLOOKUP(B32,Database!$A:$AS,MATCH($F$1,Database!$A$1:$AS$1,),))))-(((VLOOKUP(EDATE(B32,-12),Database!$A:$AS,MATCH($F$1,Database!$A$1:$AS$1,),)))))/(((VLOOKUP(EDATE(B32,-12),Database!$A:$AS,MATCH($F$1,Database!$A$1:$AS$1,),))))</f>
        <v>6.1333333329723169E-2</v>
      </c>
      <c r="G32" s="13">
        <f>((((VLOOKUP(B32,Database!$A:$AS,MATCH($G$1,Database!$A$1:$AS$1,),))))-(((VLOOKUP(EDATE(B32,-12),Database!$A:$AS,MATCH($G$1,Database!$A$1:$AS$1,),)))))/(((VLOOKUP(EDATE(B32,-12),Database!$A:$AS,MATCH($G$1,Database!$A$1:$AS$1,),))))</f>
        <v>1.9959090612861618E-2</v>
      </c>
      <c r="H32" s="13">
        <f>((((VLOOKUP(B32,Database!$A:$AS,MATCH($H$1,Database!$A$1:$AS$1,),))))-(((VLOOKUP(EDATE(B32,-12),Database!$A:$AS,MATCH($H$1,Database!$A$1:$AS$1,),)))))/(((VLOOKUP(EDATE(B32,-12),Database!$A:$AS,MATCH($H$1,Database!$A$1:$AS$1,),))))</f>
        <v>-1.4492753629580175E-2</v>
      </c>
      <c r="I32" s="13">
        <f>((((VLOOKUP(B32,Database!$A:$AS,MATCH($I$1,Database!$A$1:$AS$1,),))))-(((VLOOKUP(EDATE(B32,-12),Database!$A:$AS,MATCH($I$1,Database!$A$1:$AS$1,),)))))/(((VLOOKUP(EDATE(B32,-12),Database!$A:$AS,MATCH($I$1,Database!$A$1:$AS$1,),))))</f>
        <v>-1.1116437054419774E-2</v>
      </c>
      <c r="J32" s="13">
        <f>((((VLOOKUP(B32,Database!$A:$AS,MATCH($J$1,Database!$A$1:$AS$1,),))))-(((VLOOKUP(EDATE(B32,-12),Database!$A:$AS,MATCH($J$1,Database!$A$1:$AS$1,),)))))/(((VLOOKUP(EDATE(B32,-12),Database!$A:$AS,MATCH($J$1,Database!$A$1:$AS$1,),))))</f>
        <v>4.7829541043199915E-4</v>
      </c>
      <c r="K32" s="13">
        <f>((((VLOOKUP(B32,Database!$A:$AS,MATCH($K$1,Database!$A$1:$AS$1,),))))-(((VLOOKUP(EDATE(B32,-12),Database!$A:$AS,MATCH($K$1,Database!$A$1:$AS$1,),)))))/(((VLOOKUP(EDATE(B32,-12),Database!$A:$AS,MATCH($K$1,Database!$A$1:$AS$1,),))))</f>
        <v>2.1741295828184109E-2</v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>8.6505190318263966E-2</v>
      </c>
      <c r="M32" s="13" t="e">
        <f>((((VLOOKUP(B32,Database!$A:$AS,MATCH($M$1,Database!$A$1:$AS$1,),))))-(((VLOOKUP(EDATE(B32,-12),Database!$A:$AS,MATCH($M$1,Database!$A$1:$AS$1,),)))))/(((VLOOKUP(EDATE(B32,-12),Database!$A:$AS,MATCH($M$1,Database!$A$1:$AS$1,),))))</f>
        <v>#DIV/0!</v>
      </c>
      <c r="N32" s="13" t="e">
        <f>((((VLOOKUP(B32,Database!$A:$AS,MATCH($N$1,Database!$A$1:$AS$1,),))))-(((VLOOKUP(EDATE(B32,-12),Database!$A:$AS,MATCH($N$1,Database!$A$1:$AS$1,),)))))/(((VLOOKUP(EDATE(B32,-12),Database!$A:$AS,MATCH($N$1,Database!$A$1:$AS$1,),))))</f>
        <v>#DIV/0!</v>
      </c>
      <c r="O32" s="13">
        <f>((((VLOOKUP(B32,Database!$A:$AS,MATCH($O$1,Database!$A$1:$AS$1,),))))-(((VLOOKUP(EDATE(B32,-12),Database!$A:$AS,MATCH($O$1,Database!$A$1:$AS$1,),)))))/(((VLOOKUP(EDATE(B32,-12),Database!$A:$AS,MATCH($O$1,Database!$A$1:$AS$1,),))))</f>
        <v>-3.9042888776682258E-2</v>
      </c>
      <c r="P32" s="13">
        <f>((((VLOOKUP(B32,Database!$A:$AS,MATCH($P$1,Database!$A$1:$AS$1,),))))-(((VLOOKUP(EDATE(B32,-12),Database!$A:$AS,MATCH($P$1,Database!$A$1:$AS$1,),)))))/(((VLOOKUP(EDATE(B32,-12),Database!$A:$AS,MATCH($P$1,Database!$A$1:$AS$1,),))))</f>
        <v>9.8698272366107773E-2</v>
      </c>
      <c r="Q32" s="13">
        <f>((((VLOOKUP(B32,Database!$A:$AS,MATCH($Q$1,Database!$A$1:$AS$1,),))))-(((VLOOKUP(EDATE(B32,-12),Database!$A:$AS,MATCH($Q$1,Database!$A$1:$AS$1,),)))))/(((VLOOKUP(EDATE(B32,-12),Database!$A:$AS,MATCH($Q$1,Database!$A$1:$AS$1,),))))</f>
        <v>-5.6229523114983228E-2</v>
      </c>
      <c r="R32" s="13">
        <f>((((VLOOKUP(B32,Database!$A:$AS,MATCH($R$1,Database!$A$1:$AS$1,),))))-(((VLOOKUP(EDATE(B32,-12),Database!$A:$AS,MATCH($R$1,Database!$A$1:$AS$1,),)))))/(((VLOOKUP(EDATE(B32,-12),Database!$A:$AS,MATCH($R$1,Database!$A$1:$AS$1,),))))</f>
        <v>-0.16769610535637308</v>
      </c>
      <c r="S32" s="13">
        <f>((((VLOOKUP(B32,Database!$A:$AS,MATCH($S$1,Database!$A$1:$AS$1,),))))-(((VLOOKUP(EDATE(B32,-12),Database!$A:$AS,MATCH($S$1,Database!$A$1:$AS$1,),)))))/(((VLOOKUP(EDATE(B32,-12),Database!$A:$AS,MATCH($S$1,Database!$A$1:$AS$1,),))))</f>
        <v>9.8731072330207476E-2</v>
      </c>
      <c r="T32" s="13">
        <f>((((VLOOKUP(B32,Database!$A:$AS,MATCH($T$1,Database!$A$1:$AS$1,),))))-(((VLOOKUP(EDATE(B32,-12),Database!$A:$AS,MATCH($T$1,Database!$A$1:$AS$1,),)))))/(((VLOOKUP(EDATE(B32,-12),Database!$A:$AS,MATCH($T$1,Database!$A$1:$AS$1,),))))</f>
        <v>0.11864406777305186</v>
      </c>
      <c r="U32" s="13" t="e">
        <f>((((VLOOKUP(B32,Database!$A:$AS,MATCH($U$1,Database!$A$1:$AS$1,),))))-(((VLOOKUP(EDATE(B32,-12),Database!$A:$AS,MATCH($U$1,Database!$A$1:$AS$1,),)))))/(((VLOOKUP(EDATE(B32,-12),Database!$A:$AS,MATCH($U$1,Database!$A$1:$AS$1,),))))</f>
        <v>#DIV/0!</v>
      </c>
      <c r="V32" s="13">
        <f>((((VLOOKUP(B32,Database!$A:$AS,MATCH($V$1,Database!$A$1:$AS$1,),))))-(((VLOOKUP(EDATE(B32,-12),Database!$A:$AS,MATCH($V$1,Database!$A$1:$AS$1,),)))))/(((VLOOKUP(EDATE(B32,-12),Database!$A:$AS,MATCH($V$1,Database!$A$1:$AS$1,),))))</f>
        <v>-0.22884220179882001</v>
      </c>
    </row>
    <row r="33" spans="1:22" s="83" customFormat="1" x14ac:dyDescent="0.2">
      <c r="A33" s="43"/>
      <c r="B33" s="78">
        <v>33147</v>
      </c>
      <c r="C33" s="13">
        <f>((((VLOOKUP(B33,Database!$A:$AS,MATCH($C$1,Database!$A$1:$AS$1,),))))-(((VLOOKUP(EDATE(B33,-12),Database!$A:$AS,MATCH($C$1,Database!$A$1:$AS$1,),)))))/(((VLOOKUP(EDATE(B33,-12),Database!$A:$AS,MATCH($C$1,Database!$A$1:$AS$1,),))))</f>
        <v>1.8295343047936653E-2</v>
      </c>
      <c r="D33" s="13">
        <f>((((VLOOKUP(B33,Database!$A:$AS,MATCH($D$1,Database!$A$1:$AS$1,),))))-(((VLOOKUP(EDATE(B33,-12),Database!$A:$AS,MATCH($D$1,Database!$A$1:$AS$1,),)))))/(((VLOOKUP(EDATE(B33,-12),Database!$A:$AS,MATCH($D$1,Database!$A$1:$AS$1,),))))</f>
        <v>3.3520234037145075E-2</v>
      </c>
      <c r="E33" s="13">
        <f>((((VLOOKUP(B33,Database!$A:$AS,MATCH($E$1,Database!$A$1:$AS$1,),))))-(((VLOOKUP(EDATE(B33,-12),Database!$A:$AS,MATCH($E$1,Database!$A$1:$AS$1,),)))))/(((VLOOKUP(EDATE(B33,-12),Database!$A:$AS,MATCH($E$1,Database!$A$1:$AS$1,),))))</f>
        <v>7.2874493926438702E-2</v>
      </c>
      <c r="F33" s="13">
        <f>((((VLOOKUP(B33,Database!$A:$AS,MATCH($F$1,Database!$A$1:$AS$1,),))))-(((VLOOKUP(EDATE(B33,-12),Database!$A:$AS,MATCH($F$1,Database!$A$1:$AS$1,),)))))/(((VLOOKUP(EDATE(B33,-12),Database!$A:$AS,MATCH($F$1,Database!$A$1:$AS$1,),))))</f>
        <v>6.0283687940460941E-2</v>
      </c>
      <c r="G33" s="13">
        <f>((((VLOOKUP(B33,Database!$A:$AS,MATCH($G$1,Database!$A$1:$AS$1,),))))-(((VLOOKUP(EDATE(B33,-12),Database!$A:$AS,MATCH($G$1,Database!$A$1:$AS$1,),)))))/(((VLOOKUP(EDATE(B33,-12),Database!$A:$AS,MATCH($G$1,Database!$A$1:$AS$1,),))))</f>
        <v>7.7134794318903365E-3</v>
      </c>
      <c r="H33" s="13">
        <f>((((VLOOKUP(B33,Database!$A:$AS,MATCH($H$1,Database!$A$1:$AS$1,),))))-(((VLOOKUP(EDATE(B33,-12),Database!$A:$AS,MATCH($H$1,Database!$A$1:$AS$1,),)))))/(((VLOOKUP(EDATE(B33,-12),Database!$A:$AS,MATCH($H$1,Database!$A$1:$AS$1,),))))</f>
        <v>-9.2838196338481966E-3</v>
      </c>
      <c r="I33" s="13">
        <f>((((VLOOKUP(B33,Database!$A:$AS,MATCH($I$1,Database!$A$1:$AS$1,),))))-(((VLOOKUP(EDATE(B33,-12),Database!$A:$AS,MATCH($I$1,Database!$A$1:$AS$1,),)))))/(((VLOOKUP(EDATE(B33,-12),Database!$A:$AS,MATCH($I$1,Database!$A$1:$AS$1,),))))</f>
        <v>-2.0590403434381122E-2</v>
      </c>
      <c r="J33" s="13">
        <f>((((VLOOKUP(B33,Database!$A:$AS,MATCH($J$1,Database!$A$1:$AS$1,),))))-(((VLOOKUP(EDATE(B33,-12),Database!$A:$AS,MATCH($J$1,Database!$A$1:$AS$1,),)))))/(((VLOOKUP(EDATE(B33,-12),Database!$A:$AS,MATCH($J$1,Database!$A$1:$AS$1,),))))</f>
        <v>-2.8374174057617711E-2</v>
      </c>
      <c r="K33" s="13">
        <f>((((VLOOKUP(B33,Database!$A:$AS,MATCH($K$1,Database!$A$1:$AS$1,),))))-(((VLOOKUP(EDATE(B33,-12),Database!$A:$AS,MATCH($K$1,Database!$A$1:$AS$1,),)))))/(((VLOOKUP(EDATE(B33,-12),Database!$A:$AS,MATCH($K$1,Database!$A$1:$AS$1,),))))</f>
        <v>5.7897061729112985E-3</v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>8.6505190318263966E-2</v>
      </c>
      <c r="M33" s="13" t="e">
        <f>((((VLOOKUP(B33,Database!$A:$AS,MATCH($M$1,Database!$A$1:$AS$1,),))))-(((VLOOKUP(EDATE(B33,-12),Database!$A:$AS,MATCH($M$1,Database!$A$1:$AS$1,),)))))/(((VLOOKUP(EDATE(B33,-12),Database!$A:$AS,MATCH($M$1,Database!$A$1:$AS$1,),))))</f>
        <v>#DIV/0!</v>
      </c>
      <c r="N33" s="13" t="e">
        <f>((((VLOOKUP(B33,Database!$A:$AS,MATCH($N$1,Database!$A$1:$AS$1,),))))-(((VLOOKUP(EDATE(B33,-12),Database!$A:$AS,MATCH($N$1,Database!$A$1:$AS$1,),)))))/(((VLOOKUP(EDATE(B33,-12),Database!$A:$AS,MATCH($N$1,Database!$A$1:$AS$1,),))))</f>
        <v>#DIV/0!</v>
      </c>
      <c r="O33" s="13">
        <f>((((VLOOKUP(B33,Database!$A:$AS,MATCH($O$1,Database!$A$1:$AS$1,),))))-(((VLOOKUP(EDATE(B33,-12),Database!$A:$AS,MATCH($O$1,Database!$A$1:$AS$1,),)))))/(((VLOOKUP(EDATE(B33,-12),Database!$A:$AS,MATCH($O$1,Database!$A$1:$AS$1,),))))</f>
        <v>-2.6822656595149003E-2</v>
      </c>
      <c r="P33" s="13">
        <f>((((VLOOKUP(B33,Database!$A:$AS,MATCH($P$1,Database!$A$1:$AS$1,),))))-(((VLOOKUP(EDATE(B33,-12),Database!$A:$AS,MATCH($P$1,Database!$A$1:$AS$1,),)))))/(((VLOOKUP(EDATE(B33,-12),Database!$A:$AS,MATCH($P$1,Database!$A$1:$AS$1,),))))</f>
        <v>0.10811905064818979</v>
      </c>
      <c r="Q33" s="13">
        <f>((((VLOOKUP(B33,Database!$A:$AS,MATCH($Q$1,Database!$A$1:$AS$1,),))))-(((VLOOKUP(EDATE(B33,-12),Database!$A:$AS,MATCH($Q$1,Database!$A$1:$AS$1,),)))))/(((VLOOKUP(EDATE(B33,-12),Database!$A:$AS,MATCH($Q$1,Database!$A$1:$AS$1,),))))</f>
        <v>-8.2878565172921609E-2</v>
      </c>
      <c r="R33" s="13">
        <f>((((VLOOKUP(B33,Database!$A:$AS,MATCH($R$1,Database!$A$1:$AS$1,),))))-(((VLOOKUP(EDATE(B33,-12),Database!$A:$AS,MATCH($R$1,Database!$A$1:$AS$1,),)))))/(((VLOOKUP(EDATE(B33,-12),Database!$A:$AS,MATCH($R$1,Database!$A$1:$AS$1,),))))</f>
        <v>-1.6973885810885538E-3</v>
      </c>
      <c r="S33" s="13">
        <f>((((VLOOKUP(B33,Database!$A:$AS,MATCH($S$1,Database!$A$1:$AS$1,),))))-(((VLOOKUP(EDATE(B33,-12),Database!$A:$AS,MATCH($S$1,Database!$A$1:$AS$1,),)))))/(((VLOOKUP(EDATE(B33,-12),Database!$A:$AS,MATCH($S$1,Database!$A$1:$AS$1,),))))</f>
        <v>5.0754144258985175E-2</v>
      </c>
      <c r="T33" s="13">
        <f>((((VLOOKUP(B33,Database!$A:$AS,MATCH($T$1,Database!$A$1:$AS$1,),))))-(((VLOOKUP(EDATE(B33,-12),Database!$A:$AS,MATCH($T$1,Database!$A$1:$AS$1,),)))))/(((VLOOKUP(EDATE(B33,-12),Database!$A:$AS,MATCH($T$1,Database!$A$1:$AS$1,),))))</f>
        <v>0.15492957743106256</v>
      </c>
      <c r="U33" s="13" t="e">
        <f>((((VLOOKUP(B33,Database!$A:$AS,MATCH($U$1,Database!$A$1:$AS$1,),))))-(((VLOOKUP(EDATE(B33,-12),Database!$A:$AS,MATCH($U$1,Database!$A$1:$AS$1,),)))))/(((VLOOKUP(EDATE(B33,-12),Database!$A:$AS,MATCH($U$1,Database!$A$1:$AS$1,),))))</f>
        <v>#DIV/0!</v>
      </c>
      <c r="V33" s="13">
        <f>((((VLOOKUP(B33,Database!$A:$AS,MATCH($V$1,Database!$A$1:$AS$1,),))))-(((VLOOKUP(EDATE(B33,-12),Database!$A:$AS,MATCH($V$1,Database!$A$1:$AS$1,),)))))/(((VLOOKUP(EDATE(B33,-12),Database!$A:$AS,MATCH($V$1,Database!$A$1:$AS$1,),))))</f>
        <v>-0.19323411502336033</v>
      </c>
    </row>
    <row r="34" spans="1:22" s="83" customFormat="1" x14ac:dyDescent="0.2">
      <c r="A34" s="43"/>
      <c r="B34" s="78">
        <v>33178</v>
      </c>
      <c r="C34" s="13">
        <f>((((VLOOKUP(B34,Database!$A:$AS,MATCH($C$1,Database!$A$1:$AS$1,),))))-(((VLOOKUP(EDATE(B34,-12),Database!$A:$AS,MATCH($C$1,Database!$A$1:$AS$1,),)))))/(((VLOOKUP(EDATE(B34,-12),Database!$A:$AS,MATCH($C$1,Database!$A$1:$AS$1,),))))</f>
        <v>2.4683694804421962E-3</v>
      </c>
      <c r="D34" s="13">
        <f>((((VLOOKUP(B34,Database!$A:$AS,MATCH($D$1,Database!$A$1:$AS$1,),))))-(((VLOOKUP(EDATE(B34,-12),Database!$A:$AS,MATCH($D$1,Database!$A$1:$AS$1,),)))))/(((VLOOKUP(EDATE(B34,-12),Database!$A:$AS,MATCH($D$1,Database!$A$1:$AS$1,),))))</f>
        <v>2.464316213311089E-2</v>
      </c>
      <c r="E34" s="13">
        <f>((((VLOOKUP(B34,Database!$A:$AS,MATCH($E$1,Database!$A$1:$AS$1,),))))-(((VLOOKUP(EDATE(B34,-12),Database!$A:$AS,MATCH($E$1,Database!$A$1:$AS$1,),)))))/(((VLOOKUP(EDATE(B34,-12),Database!$A:$AS,MATCH($E$1,Database!$A$1:$AS$1,),))))</f>
        <v>5.8291457284758944E-2</v>
      </c>
      <c r="F34" s="13">
        <f>((((VLOOKUP(B34,Database!$A:$AS,MATCH($F$1,Database!$A$1:$AS$1,),))))-(((VLOOKUP(EDATE(B34,-12),Database!$A:$AS,MATCH($F$1,Database!$A$1:$AS$1,),)))))/(((VLOOKUP(EDATE(B34,-12),Database!$A:$AS,MATCH($F$1,Database!$A$1:$AS$1,),))))</f>
        <v>5.5604589585929474E-2</v>
      </c>
      <c r="G34" s="13">
        <f>((((VLOOKUP(B34,Database!$A:$AS,MATCH($G$1,Database!$A$1:$AS$1,),))))-(((VLOOKUP(EDATE(B34,-12),Database!$A:$AS,MATCH($G$1,Database!$A$1:$AS$1,),)))))/(((VLOOKUP(EDATE(B34,-12),Database!$A:$AS,MATCH($G$1,Database!$A$1:$AS$1,),))))</f>
        <v>-1.4904804814805347E-2</v>
      </c>
      <c r="H34" s="13">
        <f>((((VLOOKUP(B34,Database!$A:$AS,MATCH($H$1,Database!$A$1:$AS$1,),))))-(((VLOOKUP(EDATE(B34,-12),Database!$A:$AS,MATCH($H$1,Database!$A$1:$AS$1,),)))))/(((VLOOKUP(EDATE(B34,-12),Database!$A:$AS,MATCH($H$1,Database!$A$1:$AS$1,),))))</f>
        <v>-2.3653088041504001E-2</v>
      </c>
      <c r="I34" s="13">
        <f>((((VLOOKUP(B34,Database!$A:$AS,MATCH($I$1,Database!$A$1:$AS$1,),))))-(((VLOOKUP(EDATE(B34,-12),Database!$A:$AS,MATCH($I$1,Database!$A$1:$AS$1,),)))))/(((VLOOKUP(EDATE(B34,-12),Database!$A:$AS,MATCH($I$1,Database!$A$1:$AS$1,),))))</f>
        <v>-3.5808297390741324E-2</v>
      </c>
      <c r="J34" s="13">
        <f>((((VLOOKUP(B34,Database!$A:$AS,MATCH($J$1,Database!$A$1:$AS$1,),))))-(((VLOOKUP(EDATE(B34,-12),Database!$A:$AS,MATCH($J$1,Database!$A$1:$AS$1,),)))))/(((VLOOKUP(EDATE(B34,-12),Database!$A:$AS,MATCH($J$1,Database!$A$1:$AS$1,),))))</f>
        <v>1.4487710948164211E-4</v>
      </c>
      <c r="K34" s="13">
        <f>((((VLOOKUP(B34,Database!$A:$AS,MATCH($K$1,Database!$A$1:$AS$1,),))))-(((VLOOKUP(EDATE(B34,-12),Database!$A:$AS,MATCH($K$1,Database!$A$1:$AS$1,),)))))/(((VLOOKUP(EDATE(B34,-12),Database!$A:$AS,MATCH($K$1,Database!$A$1:$AS$1,),))))</f>
        <v>2.8953473138360664E-3</v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>8.0645161302916754E-2</v>
      </c>
      <c r="M34" s="13" t="e">
        <f>((((VLOOKUP(B34,Database!$A:$AS,MATCH($M$1,Database!$A$1:$AS$1,),))))-(((VLOOKUP(EDATE(B34,-12),Database!$A:$AS,MATCH($M$1,Database!$A$1:$AS$1,),)))))/(((VLOOKUP(EDATE(B34,-12),Database!$A:$AS,MATCH($M$1,Database!$A$1:$AS$1,),))))</f>
        <v>#DIV/0!</v>
      </c>
      <c r="N34" s="13" t="e">
        <f>((((VLOOKUP(B34,Database!$A:$AS,MATCH($N$1,Database!$A$1:$AS$1,),))))-(((VLOOKUP(EDATE(B34,-12),Database!$A:$AS,MATCH($N$1,Database!$A$1:$AS$1,),)))))/(((VLOOKUP(EDATE(B34,-12),Database!$A:$AS,MATCH($N$1,Database!$A$1:$AS$1,),))))</f>
        <v>#DIV/0!</v>
      </c>
      <c r="O34" s="13">
        <f>((((VLOOKUP(B34,Database!$A:$AS,MATCH($O$1,Database!$A$1:$AS$1,),))))-(((VLOOKUP(EDATE(B34,-12),Database!$A:$AS,MATCH($O$1,Database!$A$1:$AS$1,),)))))/(((VLOOKUP(EDATE(B34,-12),Database!$A:$AS,MATCH($O$1,Database!$A$1:$AS$1,),))))</f>
        <v>-4.7666442496008356E-2</v>
      </c>
      <c r="P34" s="13">
        <f>((((VLOOKUP(B34,Database!$A:$AS,MATCH($P$1,Database!$A$1:$AS$1,),))))-(((VLOOKUP(EDATE(B34,-12),Database!$A:$AS,MATCH($P$1,Database!$A$1:$AS$1,),)))))/(((VLOOKUP(EDATE(B34,-12),Database!$A:$AS,MATCH($P$1,Database!$A$1:$AS$1,),))))</f>
        <v>9.4976866834115908E-2</v>
      </c>
      <c r="Q34" s="13">
        <f>((((VLOOKUP(B34,Database!$A:$AS,MATCH($Q$1,Database!$A$1:$AS$1,),))))-(((VLOOKUP(EDATE(B34,-12),Database!$A:$AS,MATCH($Q$1,Database!$A$1:$AS$1,),)))))/(((VLOOKUP(EDATE(B34,-12),Database!$A:$AS,MATCH($Q$1,Database!$A$1:$AS$1,),))))</f>
        <v>-9.4595439863978503E-2</v>
      </c>
      <c r="R34" s="13">
        <f>((((VLOOKUP(B34,Database!$A:$AS,MATCH($R$1,Database!$A$1:$AS$1,),))))-(((VLOOKUP(EDATE(B34,-12),Database!$A:$AS,MATCH($R$1,Database!$A$1:$AS$1,),)))))/(((VLOOKUP(EDATE(B34,-12),Database!$A:$AS,MATCH($R$1,Database!$A$1:$AS$1,),))))</f>
        <v>-3.576873188141251E-2</v>
      </c>
      <c r="S34" s="13">
        <f>((((VLOOKUP(B34,Database!$A:$AS,MATCH($S$1,Database!$A$1:$AS$1,),))))-(((VLOOKUP(EDATE(B34,-12),Database!$A:$AS,MATCH($S$1,Database!$A$1:$AS$1,),)))))/(((VLOOKUP(EDATE(B34,-12),Database!$A:$AS,MATCH($S$1,Database!$A$1:$AS$1,),))))</f>
        <v>1.4991037244647005E-2</v>
      </c>
      <c r="T34" s="13">
        <f>((((VLOOKUP(B34,Database!$A:$AS,MATCH($T$1,Database!$A$1:$AS$1,),))))-(((VLOOKUP(EDATE(B34,-12),Database!$A:$AS,MATCH($T$1,Database!$A$1:$AS$1,),)))))/(((VLOOKUP(EDATE(B34,-12),Database!$A:$AS,MATCH($T$1,Database!$A$1:$AS$1,),))))</f>
        <v>0.14089347079746398</v>
      </c>
      <c r="U34" s="13" t="e">
        <f>((((VLOOKUP(B34,Database!$A:$AS,MATCH($U$1,Database!$A$1:$AS$1,),))))-(((VLOOKUP(EDATE(B34,-12),Database!$A:$AS,MATCH($U$1,Database!$A$1:$AS$1,),)))))/(((VLOOKUP(EDATE(B34,-12),Database!$A:$AS,MATCH($U$1,Database!$A$1:$AS$1,),))))</f>
        <v>#DIV/0!</v>
      </c>
      <c r="V34" s="13">
        <f>((((VLOOKUP(B34,Database!$A:$AS,MATCH($V$1,Database!$A$1:$AS$1,),))))-(((VLOOKUP(EDATE(B34,-12),Database!$A:$AS,MATCH($V$1,Database!$A$1:$AS$1,),)))))/(((VLOOKUP(EDATE(B34,-12),Database!$A:$AS,MATCH($V$1,Database!$A$1:$AS$1,),))))</f>
        <v>-0.15617033688694312</v>
      </c>
    </row>
    <row r="35" spans="1:22" s="83" customFormat="1" x14ac:dyDescent="0.2">
      <c r="A35" s="43"/>
      <c r="B35" s="78">
        <v>33208</v>
      </c>
      <c r="C35" s="13">
        <f>((((VLOOKUP(B35,Database!$A:$AS,MATCH($C$1,Database!$A$1:$AS$1,),))))-(((VLOOKUP(EDATE(B35,-12),Database!$A:$AS,MATCH($C$1,Database!$A$1:$AS$1,),)))))/(((VLOOKUP(EDATE(B35,-12),Database!$A:$AS,MATCH($C$1,Database!$A$1:$AS$1,),))))</f>
        <v>-1.0088525735098768E-2</v>
      </c>
      <c r="D35" s="13">
        <f>((((VLOOKUP(B35,Database!$A:$AS,MATCH($D$1,Database!$A$1:$AS$1,),))))-(((VLOOKUP(EDATE(B35,-12),Database!$A:$AS,MATCH($D$1,Database!$A$1:$AS$1,),)))))/(((VLOOKUP(EDATE(B35,-12),Database!$A:$AS,MATCH($D$1,Database!$A$1:$AS$1,),))))</f>
        <v>2.5991295940110921E-2</v>
      </c>
      <c r="E35" s="13">
        <f>((((VLOOKUP(B35,Database!$A:$AS,MATCH($E$1,Database!$A$1:$AS$1,),))))-(((VLOOKUP(EDATE(B35,-12),Database!$A:$AS,MATCH($E$1,Database!$A$1:$AS$1,),)))))/(((VLOOKUP(EDATE(B35,-12),Database!$A:$AS,MATCH($E$1,Database!$A$1:$AS$1,),))))</f>
        <v>5.2947052952711758E-2</v>
      </c>
      <c r="F35" s="13">
        <f>((((VLOOKUP(B35,Database!$A:$AS,MATCH($F$1,Database!$A$1:$AS$1,),))))-(((VLOOKUP(EDATE(B35,-12),Database!$A:$AS,MATCH($F$1,Database!$A$1:$AS$1,),)))))/(((VLOOKUP(EDATE(B35,-12),Database!$A:$AS,MATCH($F$1,Database!$A$1:$AS$1,),))))</f>
        <v>4.2534722232111633E-2</v>
      </c>
      <c r="G35" s="13">
        <f>((((VLOOKUP(B35,Database!$A:$AS,MATCH($G$1,Database!$A$1:$AS$1,),))))-(((VLOOKUP(EDATE(B35,-12),Database!$A:$AS,MATCH($G$1,Database!$A$1:$AS$1,),)))))/(((VLOOKUP(EDATE(B35,-12),Database!$A:$AS,MATCH($G$1,Database!$A$1:$AS$1,),))))</f>
        <v>-5.469621837172714E-3</v>
      </c>
      <c r="H35" s="13">
        <f>((((VLOOKUP(B35,Database!$A:$AS,MATCH($H$1,Database!$A$1:$AS$1,),))))-(((VLOOKUP(EDATE(B35,-12),Database!$A:$AS,MATCH($H$1,Database!$A$1:$AS$1,),)))))/(((VLOOKUP(EDATE(B35,-12),Database!$A:$AS,MATCH($H$1,Database!$A$1:$AS$1,),))))</f>
        <v>-2.763157895073293E-2</v>
      </c>
      <c r="I35" s="13">
        <f>((((VLOOKUP(B35,Database!$A:$AS,MATCH($I$1,Database!$A$1:$AS$1,),))))-(((VLOOKUP(EDATE(B35,-12),Database!$A:$AS,MATCH($I$1,Database!$A$1:$AS$1,),)))))/(((VLOOKUP(EDATE(B35,-12),Database!$A:$AS,MATCH($I$1,Database!$A$1:$AS$1,),))))</f>
        <v>-2.6974048833605532E-2</v>
      </c>
      <c r="J35" s="13">
        <f>((((VLOOKUP(B35,Database!$A:$AS,MATCH($J$1,Database!$A$1:$AS$1,),))))-(((VLOOKUP(EDATE(B35,-12),Database!$A:$AS,MATCH($J$1,Database!$A$1:$AS$1,),)))))/(((VLOOKUP(EDATE(B35,-12),Database!$A:$AS,MATCH($J$1,Database!$A$1:$AS$1,),))))</f>
        <v>-5.7119702311974494E-3</v>
      </c>
      <c r="K35" s="13">
        <f>((((VLOOKUP(B35,Database!$A:$AS,MATCH($K$1,Database!$A$1:$AS$1,),))))-(((VLOOKUP(EDATE(B35,-12),Database!$A:$AS,MATCH($K$1,Database!$A$1:$AS$1,),)))))/(((VLOOKUP(EDATE(B35,-12),Database!$A:$AS,MATCH($K$1,Database!$A$1:$AS$1,),))))</f>
        <v>3.750712717154E-3</v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>6.5592635215269438E-2</v>
      </c>
      <c r="M35" s="13" t="e">
        <f>((((VLOOKUP(B35,Database!$A:$AS,MATCH($M$1,Database!$A$1:$AS$1,),))))-(((VLOOKUP(EDATE(B35,-12),Database!$A:$AS,MATCH($M$1,Database!$A$1:$AS$1,),)))))/(((VLOOKUP(EDATE(B35,-12),Database!$A:$AS,MATCH($M$1,Database!$A$1:$AS$1,),))))</f>
        <v>#DIV/0!</v>
      </c>
      <c r="N35" s="13" t="e">
        <f>((((VLOOKUP(B35,Database!$A:$AS,MATCH($N$1,Database!$A$1:$AS$1,),))))-(((VLOOKUP(EDATE(B35,-12),Database!$A:$AS,MATCH($N$1,Database!$A$1:$AS$1,),)))))/(((VLOOKUP(EDATE(B35,-12),Database!$A:$AS,MATCH($N$1,Database!$A$1:$AS$1,),))))</f>
        <v>#DIV/0!</v>
      </c>
      <c r="O35" s="13">
        <f>((((VLOOKUP(B35,Database!$A:$AS,MATCH($O$1,Database!$A$1:$AS$1,),))))-(((VLOOKUP(EDATE(B35,-12),Database!$A:$AS,MATCH($O$1,Database!$A$1:$AS$1,),)))))/(((VLOOKUP(EDATE(B35,-12),Database!$A:$AS,MATCH($O$1,Database!$A$1:$AS$1,),))))</f>
        <v>-6.5567336729446049E-2</v>
      </c>
      <c r="P35" s="13">
        <f>((((VLOOKUP(B35,Database!$A:$AS,MATCH($P$1,Database!$A$1:$AS$1,),))))-(((VLOOKUP(EDATE(B35,-12),Database!$A:$AS,MATCH($P$1,Database!$A$1:$AS$1,),)))))/(((VLOOKUP(EDATE(B35,-12),Database!$A:$AS,MATCH($P$1,Database!$A$1:$AS$1,),))))</f>
        <v>0.12068111105052212</v>
      </c>
      <c r="Q35" s="13">
        <f>((((VLOOKUP(B35,Database!$A:$AS,MATCH($Q$1,Database!$A$1:$AS$1,),))))-(((VLOOKUP(EDATE(B35,-12),Database!$A:$AS,MATCH($Q$1,Database!$A$1:$AS$1,),)))))/(((VLOOKUP(EDATE(B35,-12),Database!$A:$AS,MATCH($Q$1,Database!$A$1:$AS$1,),))))</f>
        <v>-0.16569787081602153</v>
      </c>
      <c r="R35" s="13">
        <f>((((VLOOKUP(B35,Database!$A:$AS,MATCH($R$1,Database!$A$1:$AS$1,),))))-(((VLOOKUP(EDATE(B35,-12),Database!$A:$AS,MATCH($R$1,Database!$A$1:$AS$1,),)))))/(((VLOOKUP(EDATE(B35,-12),Database!$A:$AS,MATCH($R$1,Database!$A$1:$AS$1,),))))</f>
        <v>4.8532080366050874E-3</v>
      </c>
      <c r="S35" s="13">
        <f>((((VLOOKUP(B35,Database!$A:$AS,MATCH($S$1,Database!$A$1:$AS$1,),))))-(((VLOOKUP(EDATE(B35,-12),Database!$A:$AS,MATCH($S$1,Database!$A$1:$AS$1,),)))))/(((VLOOKUP(EDATE(B35,-12),Database!$A:$AS,MATCH($S$1,Database!$A$1:$AS$1,),))))</f>
        <v>2.7601099347825928E-2</v>
      </c>
      <c r="T35" s="13">
        <f>((((VLOOKUP(B35,Database!$A:$AS,MATCH($T$1,Database!$A$1:$AS$1,),))))-(((VLOOKUP(EDATE(B35,-12),Database!$A:$AS,MATCH($T$1,Database!$A$1:$AS$1,),)))))/(((VLOOKUP(EDATE(B35,-12),Database!$A:$AS,MATCH($T$1,Database!$A$1:$AS$1,),))))</f>
        <v>7.7966101683308406E-2</v>
      </c>
      <c r="U35" s="13" t="e">
        <f>((((VLOOKUP(B35,Database!$A:$AS,MATCH($U$1,Database!$A$1:$AS$1,),))))-(((VLOOKUP(EDATE(B35,-12),Database!$A:$AS,MATCH($U$1,Database!$A$1:$AS$1,),)))))/(((VLOOKUP(EDATE(B35,-12),Database!$A:$AS,MATCH($U$1,Database!$A$1:$AS$1,),))))</f>
        <v>#DIV/0!</v>
      </c>
      <c r="V35" s="13">
        <f>((((VLOOKUP(B35,Database!$A:$AS,MATCH($V$1,Database!$A$1:$AS$1,),))))-(((VLOOKUP(EDATE(B35,-12),Database!$A:$AS,MATCH($V$1,Database!$A$1:$AS$1,),)))))/(((VLOOKUP(EDATE(B35,-12),Database!$A:$AS,MATCH($V$1,Database!$A$1:$AS$1,),))))</f>
        <v>-0.23296006247575329</v>
      </c>
    </row>
    <row r="36" spans="1:22" s="83" customFormat="1" x14ac:dyDescent="0.2">
      <c r="A36" s="43"/>
      <c r="B36" s="78">
        <v>33239</v>
      </c>
      <c r="C36" s="13">
        <f>((((VLOOKUP(B36,Database!$A:$AS,MATCH($C$1,Database!$A$1:$AS$1,),))))-(((VLOOKUP(EDATE(B36,-12),Database!$A:$AS,MATCH($C$1,Database!$A$1:$AS$1,),)))))/(((VLOOKUP(EDATE(B36,-12),Database!$A:$AS,MATCH($C$1,Database!$A$1:$AS$1,),))))</f>
        <v>-8.7186056615636831E-3</v>
      </c>
      <c r="D36" s="13">
        <f>((((VLOOKUP(B36,Database!$A:$AS,MATCH($D$1,Database!$A$1:$AS$1,),))))-(((VLOOKUP(EDATE(B36,-12),Database!$A:$AS,MATCH($D$1,Database!$A$1:$AS$1,),)))))/(((VLOOKUP(EDATE(B36,-12),Database!$A:$AS,MATCH($D$1,Database!$A$1:$AS$1,),))))</f>
        <v>4.5723770938223517E-2</v>
      </c>
      <c r="E36" s="13">
        <f>((((VLOOKUP(B36,Database!$A:$AS,MATCH($E$1,Database!$A$1:$AS$1,),))))-(((VLOOKUP(EDATE(B36,-12),Database!$A:$AS,MATCH($E$1,Database!$A$1:$AS$1,),)))))/(((VLOOKUP(EDATE(B36,-12),Database!$A:$AS,MATCH($E$1,Database!$A$1:$AS$1,),))))</f>
        <v>6.6331658291945442E-2</v>
      </c>
      <c r="F36" s="13">
        <f>((((VLOOKUP(B36,Database!$A:$AS,MATCH($F$1,Database!$A$1:$AS$1,),))))-(((VLOOKUP(EDATE(B36,-12),Database!$A:$AS,MATCH($F$1,Database!$A$1:$AS$1,),)))))/(((VLOOKUP(EDATE(B36,-12),Database!$A:$AS,MATCH($F$1,Database!$A$1:$AS$1,),))))</f>
        <v>7.6343022724017801E-2</v>
      </c>
      <c r="G36" s="13">
        <f>((((VLOOKUP(B36,Database!$A:$AS,MATCH($G$1,Database!$A$1:$AS$1,),))))-(((VLOOKUP(EDATE(B36,-12),Database!$A:$AS,MATCH($G$1,Database!$A$1:$AS$1,),)))))/(((VLOOKUP(EDATE(B36,-12),Database!$A:$AS,MATCH($G$1,Database!$A$1:$AS$1,),))))</f>
        <v>1.8109976950938488E-2</v>
      </c>
      <c r="H36" s="13">
        <f>((((VLOOKUP(B36,Database!$A:$AS,MATCH($H$1,Database!$A$1:$AS$1,),))))-(((VLOOKUP(EDATE(B36,-12),Database!$A:$AS,MATCH($H$1,Database!$A$1:$AS$1,),)))))/(((VLOOKUP(EDATE(B36,-12),Database!$A:$AS,MATCH($H$1,Database!$A$1:$AS$1,),))))</f>
        <v>-1.9946808506050958E-2</v>
      </c>
      <c r="I36" s="13">
        <f>((((VLOOKUP(B36,Database!$A:$AS,MATCH($I$1,Database!$A$1:$AS$1,),))))-(((VLOOKUP(EDATE(B36,-12),Database!$A:$AS,MATCH($I$1,Database!$A$1:$AS$1,),)))))/(((VLOOKUP(EDATE(B36,-12),Database!$A:$AS,MATCH($I$1,Database!$A$1:$AS$1,),))))</f>
        <v>8.1669691447325693E-3</v>
      </c>
      <c r="J36" s="13">
        <f>((((VLOOKUP(B36,Database!$A:$AS,MATCH($J$1,Database!$A$1:$AS$1,),))))-(((VLOOKUP(EDATE(B36,-12),Database!$A:$AS,MATCH($J$1,Database!$A$1:$AS$1,),)))))/(((VLOOKUP(EDATE(B36,-12),Database!$A:$AS,MATCH($J$1,Database!$A$1:$AS$1,),))))</f>
        <v>-8.1787485818366722E-3</v>
      </c>
      <c r="K36" s="13">
        <f>((((VLOOKUP(B36,Database!$A:$AS,MATCH($K$1,Database!$A$1:$AS$1,),))))-(((VLOOKUP(EDATE(B36,-12),Database!$A:$AS,MATCH($K$1,Database!$A$1:$AS$1,),)))))/(((VLOOKUP(EDATE(B36,-12),Database!$A:$AS,MATCH($K$1,Database!$A$1:$AS$1,),))))</f>
        <v>4.3541364252714576E-3</v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>5.6729699672611135E-2</v>
      </c>
      <c r="M36" s="13" t="e">
        <f>((((VLOOKUP(B36,Database!$A:$AS,MATCH($M$1,Database!$A$1:$AS$1,),))))-(((VLOOKUP(EDATE(B36,-12),Database!$A:$AS,MATCH($M$1,Database!$A$1:$AS$1,),)))))/(((VLOOKUP(EDATE(B36,-12),Database!$A:$AS,MATCH($M$1,Database!$A$1:$AS$1,),))))</f>
        <v>#DIV/0!</v>
      </c>
      <c r="N36" s="13" t="e">
        <f>((((VLOOKUP(B36,Database!$A:$AS,MATCH($N$1,Database!$A$1:$AS$1,),))))-(((VLOOKUP(EDATE(B36,-12),Database!$A:$AS,MATCH($N$1,Database!$A$1:$AS$1,),)))))/(((VLOOKUP(EDATE(B36,-12),Database!$A:$AS,MATCH($N$1,Database!$A$1:$AS$1,),))))</f>
        <v>#DIV/0!</v>
      </c>
      <c r="O36" s="13">
        <f>((((VLOOKUP(B36,Database!$A:$AS,MATCH($O$1,Database!$A$1:$AS$1,),))))-(((VLOOKUP(EDATE(B36,-12),Database!$A:$AS,MATCH($O$1,Database!$A$1:$AS$1,),)))))/(((VLOOKUP(EDATE(B36,-12),Database!$A:$AS,MATCH($O$1,Database!$A$1:$AS$1,),))))</f>
        <v>-3.9189134013711768E-2</v>
      </c>
      <c r="P36" s="13">
        <f>((((VLOOKUP(B36,Database!$A:$AS,MATCH($P$1,Database!$A$1:$AS$1,),))))-(((VLOOKUP(EDATE(B36,-12),Database!$A:$AS,MATCH($P$1,Database!$A$1:$AS$1,),)))))/(((VLOOKUP(EDATE(B36,-12),Database!$A:$AS,MATCH($P$1,Database!$A$1:$AS$1,),))))</f>
        <v>0.12807931606898135</v>
      </c>
      <c r="Q36" s="13">
        <f>((((VLOOKUP(B36,Database!$A:$AS,MATCH($Q$1,Database!$A$1:$AS$1,),))))-(((VLOOKUP(EDATE(B36,-12),Database!$A:$AS,MATCH($Q$1,Database!$A$1:$AS$1,),)))))/(((VLOOKUP(EDATE(B36,-12),Database!$A:$AS,MATCH($Q$1,Database!$A$1:$AS$1,),))))</f>
        <v>-0.1629984166253135</v>
      </c>
      <c r="R36" s="13">
        <f>((((VLOOKUP(B36,Database!$A:$AS,MATCH($R$1,Database!$A$1:$AS$1,),))))-(((VLOOKUP(EDATE(B36,-12),Database!$A:$AS,MATCH($R$1,Database!$A$1:$AS$1,),)))))/(((VLOOKUP(EDATE(B36,-12),Database!$A:$AS,MATCH($R$1,Database!$A$1:$AS$1,),))))</f>
        <v>-2.9807638467347984E-2</v>
      </c>
      <c r="S36" s="13">
        <f>((((VLOOKUP(B36,Database!$A:$AS,MATCH($S$1,Database!$A$1:$AS$1,),))))-(((VLOOKUP(EDATE(B36,-12),Database!$A:$AS,MATCH($S$1,Database!$A$1:$AS$1,),)))))/(((VLOOKUP(EDATE(B36,-12),Database!$A:$AS,MATCH($S$1,Database!$A$1:$AS$1,),))))</f>
        <v>7.0796460153242896E-2</v>
      </c>
      <c r="T36" s="13">
        <f>((((VLOOKUP(B36,Database!$A:$AS,MATCH($T$1,Database!$A$1:$AS$1,),))))-(((VLOOKUP(EDATE(B36,-12),Database!$A:$AS,MATCH($T$1,Database!$A$1:$AS$1,),)))))/(((VLOOKUP(EDATE(B36,-12),Database!$A:$AS,MATCH($T$1,Database!$A$1:$AS$1,),))))</f>
        <v>-7.6923076912785326E-2</v>
      </c>
      <c r="U36" s="13">
        <f>((((VLOOKUP(B36,Database!$A:$AS,MATCH($U$1,Database!$A$1:$AS$1,),))))-(((VLOOKUP(EDATE(B36,-12),Database!$A:$AS,MATCH($U$1,Database!$A$1:$AS$1,),)))))/(((VLOOKUP(EDATE(B36,-12),Database!$A:$AS,MATCH($U$1,Database!$A$1:$AS$1,),))))</f>
        <v>9.1571216792994941E-3</v>
      </c>
      <c r="V36" s="13">
        <f>((((VLOOKUP(B36,Database!$A:$AS,MATCH($V$1,Database!$A$1:$AS$1,),))))-(((VLOOKUP(EDATE(B36,-12),Database!$A:$AS,MATCH($V$1,Database!$A$1:$AS$1,),)))))/(((VLOOKUP(EDATE(B36,-12),Database!$A:$AS,MATCH($V$1,Database!$A$1:$AS$1,),))))</f>
        <v>-7.9822366723298455E-2</v>
      </c>
    </row>
    <row r="37" spans="1:22" s="83" customFormat="1" x14ac:dyDescent="0.2">
      <c r="A37" s="43"/>
      <c r="B37" s="78">
        <v>33270</v>
      </c>
      <c r="C37" s="13">
        <f>((((VLOOKUP(B37,Database!$A:$AS,MATCH($C$1,Database!$A$1:$AS$1,),))))-(((VLOOKUP(EDATE(B37,-12),Database!$A:$AS,MATCH($C$1,Database!$A$1:$AS$1,),)))))/(((VLOOKUP(EDATE(B37,-12),Database!$A:$AS,MATCH($C$1,Database!$A$1:$AS$1,),))))</f>
        <v>-2.4630186991598049E-2</v>
      </c>
      <c r="D37" s="13">
        <f>((((VLOOKUP(B37,Database!$A:$AS,MATCH($D$1,Database!$A$1:$AS$1,),))))-(((VLOOKUP(EDATE(B37,-12),Database!$A:$AS,MATCH($D$1,Database!$A$1:$AS$1,),)))))/(((VLOOKUP(EDATE(B37,-12),Database!$A:$AS,MATCH($D$1,Database!$A$1:$AS$1,),))))</f>
        <v>2.1087757395026906E-2</v>
      </c>
      <c r="E37" s="13">
        <f>((((VLOOKUP(B37,Database!$A:$AS,MATCH($E$1,Database!$A$1:$AS$1,),))))-(((VLOOKUP(EDATE(B37,-12),Database!$A:$AS,MATCH($E$1,Database!$A$1:$AS$1,),)))))/(((VLOOKUP(EDATE(B37,-12),Database!$A:$AS,MATCH($E$1,Database!$A$1:$AS$1,),))))</f>
        <v>6.4999999993886171E-2</v>
      </c>
      <c r="F37" s="13">
        <f>((((VLOOKUP(B37,Database!$A:$AS,MATCH($F$1,Database!$A$1:$AS$1,),))))-(((VLOOKUP(EDATE(B37,-12),Database!$A:$AS,MATCH($F$1,Database!$A$1:$AS$1,),)))))/(((VLOOKUP(EDATE(B37,-12),Database!$A:$AS,MATCH($F$1,Database!$A$1:$AS$1,),))))</f>
        <v>6.8308408377117269E-2</v>
      </c>
      <c r="G37" s="13">
        <f>((((VLOOKUP(B37,Database!$A:$AS,MATCH($G$1,Database!$A$1:$AS$1,),))))-(((VLOOKUP(EDATE(B37,-12),Database!$A:$AS,MATCH($G$1,Database!$A$1:$AS$1,),)))))/(((VLOOKUP(EDATE(B37,-12),Database!$A:$AS,MATCH($G$1,Database!$A$1:$AS$1,),))))</f>
        <v>-2.1602937999568249E-3</v>
      </c>
      <c r="H37" s="13">
        <f>((((VLOOKUP(B37,Database!$A:$AS,MATCH($H$1,Database!$A$1:$AS$1,),))))-(((VLOOKUP(EDATE(B37,-12),Database!$A:$AS,MATCH($H$1,Database!$A$1:$AS$1,),)))))/(((VLOOKUP(EDATE(B37,-12),Database!$A:$AS,MATCH($H$1,Database!$A$1:$AS$1,),))))</f>
        <v>-1.3386880853661071E-2</v>
      </c>
      <c r="I37" s="13">
        <f>((((VLOOKUP(B37,Database!$A:$AS,MATCH($I$1,Database!$A$1:$AS$1,),))))-(((VLOOKUP(EDATE(B37,-12),Database!$A:$AS,MATCH($I$1,Database!$A$1:$AS$1,),)))))/(((VLOOKUP(EDATE(B37,-12),Database!$A:$AS,MATCH($I$1,Database!$A$1:$AS$1,),))))</f>
        <v>-1.6245487360124159E-2</v>
      </c>
      <c r="J37" s="13">
        <f>((((VLOOKUP(B37,Database!$A:$AS,MATCH($J$1,Database!$A$1:$AS$1,),))))-(((VLOOKUP(EDATE(B37,-12),Database!$A:$AS,MATCH($J$1,Database!$A$1:$AS$1,),)))))/(((VLOOKUP(EDATE(B37,-12),Database!$A:$AS,MATCH($J$1,Database!$A$1:$AS$1,),))))</f>
        <v>1.1082869433787109E-3</v>
      </c>
      <c r="K37" s="13">
        <f>((((VLOOKUP(B37,Database!$A:$AS,MATCH($K$1,Database!$A$1:$AS$1,),))))-(((VLOOKUP(EDATE(B37,-12),Database!$A:$AS,MATCH($K$1,Database!$A$1:$AS$1,),)))))/(((VLOOKUP(EDATE(B37,-12),Database!$A:$AS,MATCH($K$1,Database!$A$1:$AS$1,),))))</f>
        <v>5.8055152384608117E-3</v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>6.6143497764175427E-2</v>
      </c>
      <c r="M37" s="13" t="e">
        <f>((((VLOOKUP(B37,Database!$A:$AS,MATCH($M$1,Database!$A$1:$AS$1,),))))-(((VLOOKUP(EDATE(B37,-12),Database!$A:$AS,MATCH($M$1,Database!$A$1:$AS$1,),)))))/(((VLOOKUP(EDATE(B37,-12),Database!$A:$AS,MATCH($M$1,Database!$A$1:$AS$1,),))))</f>
        <v>#DIV/0!</v>
      </c>
      <c r="N37" s="13" t="e">
        <f>((((VLOOKUP(B37,Database!$A:$AS,MATCH($N$1,Database!$A$1:$AS$1,),))))-(((VLOOKUP(EDATE(B37,-12),Database!$A:$AS,MATCH($N$1,Database!$A$1:$AS$1,),)))))/(((VLOOKUP(EDATE(B37,-12),Database!$A:$AS,MATCH($N$1,Database!$A$1:$AS$1,),))))</f>
        <v>#DIV/0!</v>
      </c>
      <c r="O37" s="13">
        <f>((((VLOOKUP(B37,Database!$A:$AS,MATCH($O$1,Database!$A$1:$AS$1,),))))-(((VLOOKUP(EDATE(B37,-12),Database!$A:$AS,MATCH($O$1,Database!$A$1:$AS$1,),)))))/(((VLOOKUP(EDATE(B37,-12),Database!$A:$AS,MATCH($O$1,Database!$A$1:$AS$1,),))))</f>
        <v>-6.0770787783819398E-2</v>
      </c>
      <c r="P37" s="13">
        <f>((((VLOOKUP(B37,Database!$A:$AS,MATCH($P$1,Database!$A$1:$AS$1,),))))-(((VLOOKUP(EDATE(B37,-12),Database!$A:$AS,MATCH($P$1,Database!$A$1:$AS$1,),)))))/(((VLOOKUP(EDATE(B37,-12),Database!$A:$AS,MATCH($P$1,Database!$A$1:$AS$1,),))))</f>
        <v>0.10553111560584956</v>
      </c>
      <c r="Q37" s="13">
        <f>((((VLOOKUP(B37,Database!$A:$AS,MATCH($Q$1,Database!$A$1:$AS$1,),))))-(((VLOOKUP(EDATE(B37,-12),Database!$A:$AS,MATCH($Q$1,Database!$A$1:$AS$1,),)))))/(((VLOOKUP(EDATE(B37,-12),Database!$A:$AS,MATCH($Q$1,Database!$A$1:$AS$1,),))))</f>
        <v>-0.16877299193364617</v>
      </c>
      <c r="R37" s="13">
        <f>((((VLOOKUP(B37,Database!$A:$AS,MATCH($R$1,Database!$A$1:$AS$1,),))))-(((VLOOKUP(EDATE(B37,-12),Database!$A:$AS,MATCH($R$1,Database!$A$1:$AS$1,),)))))/(((VLOOKUP(EDATE(B37,-12),Database!$A:$AS,MATCH($R$1,Database!$A$1:$AS$1,),))))</f>
        <v>-5.7331795973846411E-2</v>
      </c>
      <c r="S37" s="13">
        <f>((((VLOOKUP(B37,Database!$A:$AS,MATCH($S$1,Database!$A$1:$AS$1,),))))-(((VLOOKUP(EDATE(B37,-12),Database!$A:$AS,MATCH($S$1,Database!$A$1:$AS$1,),)))))/(((VLOOKUP(EDATE(B37,-12),Database!$A:$AS,MATCH($S$1,Database!$A$1:$AS$1,),))))</f>
        <v>6.0869565233951477E-2</v>
      </c>
      <c r="T37" s="13">
        <f>((((VLOOKUP(B37,Database!$A:$AS,MATCH($T$1,Database!$A$1:$AS$1,),))))-(((VLOOKUP(EDATE(B37,-12),Database!$A:$AS,MATCH($T$1,Database!$A$1:$AS$1,),)))))/(((VLOOKUP(EDATE(B37,-12),Database!$A:$AS,MATCH($T$1,Database!$A$1:$AS$1,),))))</f>
        <v>3.8709677408531998E-2</v>
      </c>
      <c r="U37" s="13">
        <f>((((VLOOKUP(B37,Database!$A:$AS,MATCH($U$1,Database!$A$1:$AS$1,),))))-(((VLOOKUP(EDATE(B37,-12),Database!$A:$AS,MATCH($U$1,Database!$A$1:$AS$1,),)))))/(((VLOOKUP(EDATE(B37,-12),Database!$A:$AS,MATCH($U$1,Database!$A$1:$AS$1,),))))</f>
        <v>-2.9179602386282383E-2</v>
      </c>
      <c r="V37" s="13">
        <f>((((VLOOKUP(B37,Database!$A:$AS,MATCH($V$1,Database!$A$1:$AS$1,),))))-(((VLOOKUP(EDATE(B37,-12),Database!$A:$AS,MATCH($V$1,Database!$A$1:$AS$1,),)))))/(((VLOOKUP(EDATE(B37,-12),Database!$A:$AS,MATCH($V$1,Database!$A$1:$AS$1,),))))</f>
        <v>-5.6862256219499648E-2</v>
      </c>
    </row>
    <row r="38" spans="1:22" s="83" customFormat="1" x14ac:dyDescent="0.2">
      <c r="A38" s="43"/>
      <c r="B38" s="78">
        <v>33298</v>
      </c>
      <c r="C38" s="13">
        <f>((((VLOOKUP(B38,Database!$A:$AS,MATCH($C$1,Database!$A$1:$AS$1,),))))-(((VLOOKUP(EDATE(B38,-12),Database!$A:$AS,MATCH($C$1,Database!$A$1:$AS$1,),)))))/(((VLOOKUP(EDATE(B38,-12),Database!$A:$AS,MATCH($C$1,Database!$A$1:$AS$1,),))))</f>
        <v>-3.4720263855179873E-2</v>
      </c>
      <c r="D38" s="13">
        <f>((((VLOOKUP(B38,Database!$A:$AS,MATCH($D$1,Database!$A$1:$AS$1,),))))-(((VLOOKUP(EDATE(B38,-12),Database!$A:$AS,MATCH($D$1,Database!$A$1:$AS$1,),)))))/(((VLOOKUP(EDATE(B38,-12),Database!$A:$AS,MATCH($D$1,Database!$A$1:$AS$1,),))))</f>
        <v>1.3969473175479547E-2</v>
      </c>
      <c r="E38" s="13">
        <f>((((VLOOKUP(B38,Database!$A:$AS,MATCH($E$1,Database!$A$1:$AS$1,),))))-(((VLOOKUP(EDATE(B38,-12),Database!$A:$AS,MATCH($E$1,Database!$A$1:$AS$1,),)))))/(((VLOOKUP(EDATE(B38,-12),Database!$A:$AS,MATCH($E$1,Database!$A$1:$AS$1,),))))</f>
        <v>3.634577603272824E-2</v>
      </c>
      <c r="F38" s="13">
        <f>((((VLOOKUP(B38,Database!$A:$AS,MATCH($F$1,Database!$A$1:$AS$1,),))))-(((VLOOKUP(EDATE(B38,-12),Database!$A:$AS,MATCH($F$1,Database!$A$1:$AS$1,),)))))/(((VLOOKUP(EDATE(B38,-12),Database!$A:$AS,MATCH($F$1,Database!$A$1:$AS$1,),))))</f>
        <v>5.1135275439596097E-2</v>
      </c>
      <c r="G38" s="13">
        <f>((((VLOOKUP(B38,Database!$A:$AS,MATCH($G$1,Database!$A$1:$AS$1,),))))-(((VLOOKUP(EDATE(B38,-12),Database!$A:$AS,MATCH($G$1,Database!$A$1:$AS$1,),)))))/(((VLOOKUP(EDATE(B38,-12),Database!$A:$AS,MATCH($G$1,Database!$A$1:$AS$1,),))))</f>
        <v>-1.0199652777777754E-2</v>
      </c>
      <c r="H38" s="13">
        <f>((((VLOOKUP(B38,Database!$A:$AS,MATCH($H$1,Database!$A$1:$AS$1,),))))-(((VLOOKUP(EDATE(B38,-12),Database!$A:$AS,MATCH($H$1,Database!$A$1:$AS$1,),)))))/(((VLOOKUP(EDATE(B38,-12),Database!$A:$AS,MATCH($H$1,Database!$A$1:$AS$1,),))))</f>
        <v>-3.8258575203504813E-2</v>
      </c>
      <c r="I38" s="13">
        <f>((((VLOOKUP(B38,Database!$A:$AS,MATCH($I$1,Database!$A$1:$AS$1,),))))-(((VLOOKUP(EDATE(B38,-12),Database!$A:$AS,MATCH($I$1,Database!$A$1:$AS$1,),)))))/(((VLOOKUP(EDATE(B38,-12),Database!$A:$AS,MATCH($I$1,Database!$A$1:$AS$1,),))))</f>
        <v>-2.5179856114234421E-2</v>
      </c>
      <c r="J38" s="13">
        <f>((((VLOOKUP(B38,Database!$A:$AS,MATCH($J$1,Database!$A$1:$AS$1,),))))-(((VLOOKUP(EDATE(B38,-12),Database!$A:$AS,MATCH($J$1,Database!$A$1:$AS$1,),)))))/(((VLOOKUP(EDATE(B38,-12),Database!$A:$AS,MATCH($J$1,Database!$A$1:$AS$1,),))))</f>
        <v>-4.3705963139641368E-2</v>
      </c>
      <c r="K38" s="13">
        <f>((((VLOOKUP(B38,Database!$A:$AS,MATCH($K$1,Database!$A$1:$AS$1,),))))-(((VLOOKUP(EDATE(B38,-12),Database!$A:$AS,MATCH($K$1,Database!$A$1:$AS$1,),)))))/(((VLOOKUP(EDATE(B38,-12),Database!$A:$AS,MATCH($K$1,Database!$A$1:$AS$1,),))))</f>
        <v>-1.2949640274983637E-2</v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>2.723311547039544E-2</v>
      </c>
      <c r="M38" s="13" t="e">
        <f>((((VLOOKUP(B38,Database!$A:$AS,MATCH($M$1,Database!$A$1:$AS$1,),))))-(((VLOOKUP(EDATE(B38,-12),Database!$A:$AS,MATCH($M$1,Database!$A$1:$AS$1,),)))))/(((VLOOKUP(EDATE(B38,-12),Database!$A:$AS,MATCH($M$1,Database!$A$1:$AS$1,),))))</f>
        <v>#DIV/0!</v>
      </c>
      <c r="N38" s="13" t="e">
        <f>((((VLOOKUP(B38,Database!$A:$AS,MATCH($N$1,Database!$A$1:$AS$1,),))))-(((VLOOKUP(EDATE(B38,-12),Database!$A:$AS,MATCH($N$1,Database!$A$1:$AS$1,),)))))/(((VLOOKUP(EDATE(B38,-12),Database!$A:$AS,MATCH($N$1,Database!$A$1:$AS$1,),))))</f>
        <v>#DIV/0!</v>
      </c>
      <c r="O38" s="13">
        <f>((((VLOOKUP(B38,Database!$A:$AS,MATCH($O$1,Database!$A$1:$AS$1,),))))-(((VLOOKUP(EDATE(B38,-12),Database!$A:$AS,MATCH($O$1,Database!$A$1:$AS$1,),)))))/(((VLOOKUP(EDATE(B38,-12),Database!$A:$AS,MATCH($O$1,Database!$A$1:$AS$1,),))))</f>
        <v>-6.4686068438253475E-2</v>
      </c>
      <c r="P38" s="13">
        <f>((((VLOOKUP(B38,Database!$A:$AS,MATCH($P$1,Database!$A$1:$AS$1,),))))-(((VLOOKUP(EDATE(B38,-12),Database!$A:$AS,MATCH($P$1,Database!$A$1:$AS$1,),)))))/(((VLOOKUP(EDATE(B38,-12),Database!$A:$AS,MATCH($P$1,Database!$A$1:$AS$1,),))))</f>
        <v>8.012712477014787E-2</v>
      </c>
      <c r="Q38" s="13">
        <f>((((VLOOKUP(B38,Database!$A:$AS,MATCH($Q$1,Database!$A$1:$AS$1,),))))-(((VLOOKUP(EDATE(B38,-12),Database!$A:$AS,MATCH($Q$1,Database!$A$1:$AS$1,),)))))/(((VLOOKUP(EDATE(B38,-12),Database!$A:$AS,MATCH($Q$1,Database!$A$1:$AS$1,),))))</f>
        <v>-0.10970868591578231</v>
      </c>
      <c r="R38" s="13">
        <f>((((VLOOKUP(B38,Database!$A:$AS,MATCH($R$1,Database!$A$1:$AS$1,),))))-(((VLOOKUP(EDATE(B38,-12),Database!$A:$AS,MATCH($R$1,Database!$A$1:$AS$1,),)))))/(((VLOOKUP(EDATE(B38,-12),Database!$A:$AS,MATCH($R$1,Database!$A$1:$AS$1,),))))</f>
        <v>-1.6460108965635704E-2</v>
      </c>
      <c r="S38" s="13">
        <f>((((VLOOKUP(B38,Database!$A:$AS,MATCH($S$1,Database!$A$1:$AS$1,),))))-(((VLOOKUP(EDATE(B38,-12),Database!$A:$AS,MATCH($S$1,Database!$A$1:$AS$1,),)))))/(((VLOOKUP(EDATE(B38,-12),Database!$A:$AS,MATCH($S$1,Database!$A$1:$AS$1,),))))</f>
        <v>-2.1008403336956402E-2</v>
      </c>
      <c r="T38" s="13">
        <f>((((VLOOKUP(B38,Database!$A:$AS,MATCH($T$1,Database!$A$1:$AS$1,),))))-(((VLOOKUP(EDATE(B38,-12),Database!$A:$AS,MATCH($T$1,Database!$A$1:$AS$1,),)))))/(((VLOOKUP(EDATE(B38,-12),Database!$A:$AS,MATCH($T$1,Database!$A$1:$AS$1,),))))</f>
        <v>4.9999999974997961E-2</v>
      </c>
      <c r="U38" s="13">
        <f>((((VLOOKUP(B38,Database!$A:$AS,MATCH($U$1,Database!$A$1:$AS$1,),))))-(((VLOOKUP(EDATE(B38,-12),Database!$A:$AS,MATCH($U$1,Database!$A$1:$AS$1,),)))))/(((VLOOKUP(EDATE(B38,-12),Database!$A:$AS,MATCH($U$1,Database!$A$1:$AS$1,),))))</f>
        <v>-0.16671833710844347</v>
      </c>
      <c r="V38" s="13">
        <f>((((VLOOKUP(B38,Database!$A:$AS,MATCH($V$1,Database!$A$1:$AS$1,),))))-(((VLOOKUP(EDATE(B38,-12),Database!$A:$AS,MATCH($V$1,Database!$A$1:$AS$1,),)))))/(((VLOOKUP(EDATE(B38,-12),Database!$A:$AS,MATCH($V$1,Database!$A$1:$AS$1,),))))</f>
        <v>-7.0263439182242066E-2</v>
      </c>
    </row>
    <row r="39" spans="1:22" s="83" customFormat="1" x14ac:dyDescent="0.2">
      <c r="A39" s="43"/>
      <c r="B39" s="78">
        <v>33329</v>
      </c>
      <c r="C39" s="13">
        <f>((((VLOOKUP(B39,Database!$A:$AS,MATCH($C$1,Database!$A$1:$AS$1,),))))-(((VLOOKUP(EDATE(B39,-12),Database!$A:$AS,MATCH($C$1,Database!$A$1:$AS$1,),)))))/(((VLOOKUP(EDATE(B39,-12),Database!$A:$AS,MATCH($C$1,Database!$A$1:$AS$1,),))))</f>
        <v>-3.0159665052408927E-2</v>
      </c>
      <c r="D39" s="13">
        <f>((((VLOOKUP(B39,Database!$A:$AS,MATCH($D$1,Database!$A$1:$AS$1,),))))-(((VLOOKUP(EDATE(B39,-12),Database!$A:$AS,MATCH($D$1,Database!$A$1:$AS$1,),)))))/(((VLOOKUP(EDATE(B39,-12),Database!$A:$AS,MATCH($D$1,Database!$A$1:$AS$1,),))))</f>
        <v>3.6025656945873263E-3</v>
      </c>
      <c r="E39" s="13">
        <f>((((VLOOKUP(B39,Database!$A:$AS,MATCH($E$1,Database!$A$1:$AS$1,),))))-(((VLOOKUP(EDATE(B39,-12),Database!$A:$AS,MATCH($E$1,Database!$A$1:$AS$1,),)))))/(((VLOOKUP(EDATE(B39,-12),Database!$A:$AS,MATCH($E$1,Database!$A$1:$AS$1,),))))</f>
        <v>3.8235294112102462E-2</v>
      </c>
      <c r="F39" s="13">
        <f>((((VLOOKUP(B39,Database!$A:$AS,MATCH($F$1,Database!$A$1:$AS$1,),))))-(((VLOOKUP(EDATE(B39,-12),Database!$A:$AS,MATCH($F$1,Database!$A$1:$AS$1,),)))))/(((VLOOKUP(EDATE(B39,-12),Database!$A:$AS,MATCH($F$1,Database!$A$1:$AS$1,),))))</f>
        <v>6.1084048739055888E-2</v>
      </c>
      <c r="G39" s="13">
        <f>((((VLOOKUP(B39,Database!$A:$AS,MATCH($G$1,Database!$A$1:$AS$1,),))))-(((VLOOKUP(EDATE(B39,-12),Database!$A:$AS,MATCH($G$1,Database!$A$1:$AS$1,),)))))/(((VLOOKUP(EDATE(B39,-12),Database!$A:$AS,MATCH($G$1,Database!$A$1:$AS$1,),))))</f>
        <v>-1.5439429928741165E-2</v>
      </c>
      <c r="H39" s="13">
        <f>((((VLOOKUP(B39,Database!$A:$AS,MATCH($H$1,Database!$A$1:$AS$1,),))))-(((VLOOKUP(EDATE(B39,-12),Database!$A:$AS,MATCH($H$1,Database!$A$1:$AS$1,),)))))/(((VLOOKUP(EDATE(B39,-12),Database!$A:$AS,MATCH($H$1,Database!$A$1:$AS$1,),))))</f>
        <v>-5.5118110231031907E-2</v>
      </c>
      <c r="I39" s="13">
        <f>((((VLOOKUP(B39,Database!$A:$AS,MATCH($I$1,Database!$A$1:$AS$1,),))))-(((VLOOKUP(EDATE(B39,-12),Database!$A:$AS,MATCH($I$1,Database!$A$1:$AS$1,),)))))/(((VLOOKUP(EDATE(B39,-12),Database!$A:$AS,MATCH($I$1,Database!$A$1:$AS$1,),))))</f>
        <v>-4.1926851026044779E-2</v>
      </c>
      <c r="J39" s="13">
        <f>((((VLOOKUP(B39,Database!$A:$AS,MATCH($J$1,Database!$A$1:$AS$1,),))))-(((VLOOKUP(EDATE(B39,-12),Database!$A:$AS,MATCH($J$1,Database!$A$1:$AS$1,),)))))/(((VLOOKUP(EDATE(B39,-12),Database!$A:$AS,MATCH($J$1,Database!$A$1:$AS$1,),))))</f>
        <v>1.3846421139834798E-2</v>
      </c>
      <c r="K39" s="13">
        <f>((((VLOOKUP(B39,Database!$A:$AS,MATCH($K$1,Database!$A$1:$AS$1,),))))-(((VLOOKUP(EDATE(B39,-12),Database!$A:$AS,MATCH($K$1,Database!$A$1:$AS$1,),)))))/(((VLOOKUP(EDATE(B39,-12),Database!$A:$AS,MATCH($K$1,Database!$A$1:$AS$1,),))))</f>
        <v>-1.587301586669863E-2</v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>3.8461538467384503E-2</v>
      </c>
      <c r="M39" s="13" t="e">
        <f>((((VLOOKUP(B39,Database!$A:$AS,MATCH($M$1,Database!$A$1:$AS$1,),))))-(((VLOOKUP(EDATE(B39,-12),Database!$A:$AS,MATCH($M$1,Database!$A$1:$AS$1,),)))))/(((VLOOKUP(EDATE(B39,-12),Database!$A:$AS,MATCH($M$1,Database!$A$1:$AS$1,),))))</f>
        <v>#DIV/0!</v>
      </c>
      <c r="N39" s="13" t="e">
        <f>((((VLOOKUP(B39,Database!$A:$AS,MATCH($N$1,Database!$A$1:$AS$1,),))))-(((VLOOKUP(EDATE(B39,-12),Database!$A:$AS,MATCH($N$1,Database!$A$1:$AS$1,),)))))/(((VLOOKUP(EDATE(B39,-12),Database!$A:$AS,MATCH($N$1,Database!$A$1:$AS$1,),))))</f>
        <v>#DIV/0!</v>
      </c>
      <c r="O39" s="13">
        <f>((((VLOOKUP(B39,Database!$A:$AS,MATCH($O$1,Database!$A$1:$AS$1,),))))-(((VLOOKUP(EDATE(B39,-12),Database!$A:$AS,MATCH($O$1,Database!$A$1:$AS$1,),)))))/(((VLOOKUP(EDATE(B39,-12),Database!$A:$AS,MATCH($O$1,Database!$A$1:$AS$1,),))))</f>
        <v>-5.6937448238828535E-2</v>
      </c>
      <c r="P39" s="13">
        <f>((((VLOOKUP(B39,Database!$A:$AS,MATCH($P$1,Database!$A$1:$AS$1,),))))-(((VLOOKUP(EDATE(B39,-12),Database!$A:$AS,MATCH($P$1,Database!$A$1:$AS$1,),)))))/(((VLOOKUP(EDATE(B39,-12),Database!$A:$AS,MATCH($P$1,Database!$A$1:$AS$1,),))))</f>
        <v>9.6464109738574805E-2</v>
      </c>
      <c r="Q39" s="13">
        <f>((((VLOOKUP(B39,Database!$A:$AS,MATCH($Q$1,Database!$A$1:$AS$1,),))))-(((VLOOKUP(EDATE(B39,-12),Database!$A:$AS,MATCH($Q$1,Database!$A$1:$AS$1,),)))))/(((VLOOKUP(EDATE(B39,-12),Database!$A:$AS,MATCH($Q$1,Database!$A$1:$AS$1,),))))</f>
        <v>0.24710367709653283</v>
      </c>
      <c r="R39" s="13">
        <f>((((VLOOKUP(B39,Database!$A:$AS,MATCH($R$1,Database!$A$1:$AS$1,),))))-(((VLOOKUP(EDATE(B39,-12),Database!$A:$AS,MATCH($R$1,Database!$A$1:$AS$1,),)))))/(((VLOOKUP(EDATE(B39,-12),Database!$A:$AS,MATCH($R$1,Database!$A$1:$AS$1,),))))</f>
        <v>6.6674843236752009E-5</v>
      </c>
      <c r="S39" s="13">
        <f>((((VLOOKUP(B39,Database!$A:$AS,MATCH($S$1,Database!$A$1:$AS$1,),))))-(((VLOOKUP(EDATE(B39,-12),Database!$A:$AS,MATCH($S$1,Database!$A$1:$AS$1,),)))))/(((VLOOKUP(EDATE(B39,-12),Database!$A:$AS,MATCH($S$1,Database!$A$1:$AS$1,),))))</f>
        <v>6.6666666661674992E-2</v>
      </c>
      <c r="T39" s="13">
        <f>((((VLOOKUP(B39,Database!$A:$AS,MATCH($T$1,Database!$A$1:$AS$1,),))))-(((VLOOKUP(EDATE(B39,-12),Database!$A:$AS,MATCH($T$1,Database!$A$1:$AS$1,),)))))/(((VLOOKUP(EDATE(B39,-12),Database!$A:$AS,MATCH($T$1,Database!$A$1:$AS$1,),))))</f>
        <v>0</v>
      </c>
      <c r="U39" s="13">
        <f>((((VLOOKUP(B39,Database!$A:$AS,MATCH($U$1,Database!$A$1:$AS$1,),))))-(((VLOOKUP(EDATE(B39,-12),Database!$A:$AS,MATCH($U$1,Database!$A$1:$AS$1,),)))))/(((VLOOKUP(EDATE(B39,-12),Database!$A:$AS,MATCH($U$1,Database!$A$1:$AS$1,),))))</f>
        <v>-0.14770358893229873</v>
      </c>
      <c r="V39" s="13">
        <f>((((VLOOKUP(B39,Database!$A:$AS,MATCH($V$1,Database!$A$1:$AS$1,),))))-(((VLOOKUP(EDATE(B39,-12),Database!$A:$AS,MATCH($V$1,Database!$A$1:$AS$1,),)))))/(((VLOOKUP(EDATE(B39,-12),Database!$A:$AS,MATCH($V$1,Database!$A$1:$AS$1,),))))</f>
        <v>-0.1127462376048104</v>
      </c>
    </row>
    <row r="40" spans="1:22" s="83" customFormat="1" x14ac:dyDescent="0.2">
      <c r="A40" s="43"/>
      <c r="B40" s="78">
        <v>33359</v>
      </c>
      <c r="C40" s="13">
        <f>((((VLOOKUP(B40,Database!$A:$AS,MATCH($C$1,Database!$A$1:$AS$1,),))))-(((VLOOKUP(EDATE(B40,-12),Database!$A:$AS,MATCH($C$1,Database!$A$1:$AS$1,),)))))/(((VLOOKUP(EDATE(B40,-12),Database!$A:$AS,MATCH($C$1,Database!$A$1:$AS$1,),))))</f>
        <v>-2.3170510380350669E-2</v>
      </c>
      <c r="D40" s="13">
        <f>((((VLOOKUP(B40,Database!$A:$AS,MATCH($D$1,Database!$A$1:$AS$1,),))))-(((VLOOKUP(EDATE(B40,-12),Database!$A:$AS,MATCH($D$1,Database!$A$1:$AS$1,),)))))/(((VLOOKUP(EDATE(B40,-12),Database!$A:$AS,MATCH($D$1,Database!$A$1:$AS$1,),))))</f>
        <v>3.8419176055322865E-3</v>
      </c>
      <c r="E40" s="13">
        <f>((((VLOOKUP(B40,Database!$A:$AS,MATCH($E$1,Database!$A$1:$AS$1,),))))-(((VLOOKUP(EDATE(B40,-12),Database!$A:$AS,MATCH($E$1,Database!$A$1:$AS$1,),)))))/(((VLOOKUP(EDATE(B40,-12),Database!$A:$AS,MATCH($E$1,Database!$A$1:$AS$1,),))))</f>
        <v>4.1869522882685965E-2</v>
      </c>
      <c r="F40" s="13">
        <f>((((VLOOKUP(B40,Database!$A:$AS,MATCH($F$1,Database!$A$1:$AS$1,),))))-(((VLOOKUP(EDATE(B40,-12),Database!$A:$AS,MATCH($F$1,Database!$A$1:$AS$1,),)))))/(((VLOOKUP(EDATE(B40,-12),Database!$A:$AS,MATCH($F$1,Database!$A$1:$AS$1,),))))</f>
        <v>1.7982559063330874E-2</v>
      </c>
      <c r="G40" s="13">
        <f>((((VLOOKUP(B40,Database!$A:$AS,MATCH($G$1,Database!$A$1:$AS$1,),))))-(((VLOOKUP(EDATE(B40,-12),Database!$A:$AS,MATCH($G$1,Database!$A$1:$AS$1,),)))))/(((VLOOKUP(EDATE(B40,-12),Database!$A:$AS,MATCH($G$1,Database!$A$1:$AS$1,),))))</f>
        <v>-1.6476416110273541E-2</v>
      </c>
      <c r="H40" s="13">
        <f>((((VLOOKUP(B40,Database!$A:$AS,MATCH($H$1,Database!$A$1:$AS$1,),))))-(((VLOOKUP(EDATE(B40,-12),Database!$A:$AS,MATCH($H$1,Database!$A$1:$AS$1,),)))))/(((VLOOKUP(EDATE(B40,-12),Database!$A:$AS,MATCH($H$1,Database!$A$1:$AS$1,),))))</f>
        <v>-3.957783641445789E-2</v>
      </c>
      <c r="I40" s="13">
        <f>((((VLOOKUP(B40,Database!$A:$AS,MATCH($I$1,Database!$A$1:$AS$1,),))))-(((VLOOKUP(EDATE(B40,-12),Database!$A:$AS,MATCH($I$1,Database!$A$1:$AS$1,),)))))/(((VLOOKUP(EDATE(B40,-12),Database!$A:$AS,MATCH($I$1,Database!$A$1:$AS$1,),))))</f>
        <v>-1.8953068595837553E-2</v>
      </c>
      <c r="J40" s="13">
        <f>((((VLOOKUP(B40,Database!$A:$AS,MATCH($J$1,Database!$A$1:$AS$1,),))))-(((VLOOKUP(EDATE(B40,-12),Database!$A:$AS,MATCH($J$1,Database!$A$1:$AS$1,),)))))/(((VLOOKUP(EDATE(B40,-12),Database!$A:$AS,MATCH($J$1,Database!$A$1:$AS$1,),))))</f>
        <v>-2.5791167802112019E-2</v>
      </c>
      <c r="K40" s="13">
        <f>((((VLOOKUP(B40,Database!$A:$AS,MATCH($K$1,Database!$A$1:$AS$1,),))))-(((VLOOKUP(EDATE(B40,-12),Database!$A:$AS,MATCH($K$1,Database!$A$1:$AS$1,),)))))/(((VLOOKUP(EDATE(B40,-12),Database!$A:$AS,MATCH($K$1,Database!$A$1:$AS$1,),))))</f>
        <v>-2.446043165414603E-2</v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>3.0335861329553862E-2</v>
      </c>
      <c r="M40" s="13" t="e">
        <f>((((VLOOKUP(B40,Database!$A:$AS,MATCH($M$1,Database!$A$1:$AS$1,),))))-(((VLOOKUP(EDATE(B40,-12),Database!$A:$AS,MATCH($M$1,Database!$A$1:$AS$1,),)))))/(((VLOOKUP(EDATE(B40,-12),Database!$A:$AS,MATCH($M$1,Database!$A$1:$AS$1,),))))</f>
        <v>#DIV/0!</v>
      </c>
      <c r="N40" s="13" t="e">
        <f>((((VLOOKUP(B40,Database!$A:$AS,MATCH($N$1,Database!$A$1:$AS$1,),))))-(((VLOOKUP(EDATE(B40,-12),Database!$A:$AS,MATCH($N$1,Database!$A$1:$AS$1,),)))))/(((VLOOKUP(EDATE(B40,-12),Database!$A:$AS,MATCH($N$1,Database!$A$1:$AS$1,),))))</f>
        <v>#DIV/0!</v>
      </c>
      <c r="O40" s="13">
        <f>((((VLOOKUP(B40,Database!$A:$AS,MATCH($O$1,Database!$A$1:$AS$1,),))))-(((VLOOKUP(EDATE(B40,-12),Database!$A:$AS,MATCH($O$1,Database!$A$1:$AS$1,),)))))/(((VLOOKUP(EDATE(B40,-12),Database!$A:$AS,MATCH($O$1,Database!$A$1:$AS$1,),))))</f>
        <v>-5.1884971046280787E-2</v>
      </c>
      <c r="P40" s="13">
        <f>((((VLOOKUP(B40,Database!$A:$AS,MATCH($P$1,Database!$A$1:$AS$1,),))))-(((VLOOKUP(EDATE(B40,-12),Database!$A:$AS,MATCH($P$1,Database!$A$1:$AS$1,),)))))/(((VLOOKUP(EDATE(B40,-12),Database!$A:$AS,MATCH($P$1,Database!$A$1:$AS$1,),))))</f>
        <v>0.10795287190862593</v>
      </c>
      <c r="Q40" s="13">
        <f>((((VLOOKUP(B40,Database!$A:$AS,MATCH($Q$1,Database!$A$1:$AS$1,),))))-(((VLOOKUP(EDATE(B40,-12),Database!$A:$AS,MATCH($Q$1,Database!$A$1:$AS$1,),)))))/(((VLOOKUP(EDATE(B40,-12),Database!$A:$AS,MATCH($Q$1,Database!$A$1:$AS$1,),))))</f>
        <v>1.3587663553308253E-2</v>
      </c>
      <c r="R40" s="13">
        <f>((((VLOOKUP(B40,Database!$A:$AS,MATCH($R$1,Database!$A$1:$AS$1,),))))-(((VLOOKUP(EDATE(B40,-12),Database!$A:$AS,MATCH($R$1,Database!$A$1:$AS$1,),)))))/(((VLOOKUP(EDATE(B40,-12),Database!$A:$AS,MATCH($R$1,Database!$A$1:$AS$1,),))))</f>
        <v>-4.0049352041107787E-2</v>
      </c>
      <c r="S40" s="13">
        <f>((((VLOOKUP(B40,Database!$A:$AS,MATCH($S$1,Database!$A$1:$AS$1,),))))-(((VLOOKUP(EDATE(B40,-12),Database!$A:$AS,MATCH($S$1,Database!$A$1:$AS$1,),)))))/(((VLOOKUP(EDATE(B40,-12),Database!$A:$AS,MATCH($S$1,Database!$A$1:$AS$1,),))))</f>
        <v>1.2931034497156504E-2</v>
      </c>
      <c r="T40" s="13">
        <f>((((VLOOKUP(B40,Database!$A:$AS,MATCH($T$1,Database!$A$1:$AS$1,),))))-(((VLOOKUP(EDATE(B40,-12),Database!$A:$AS,MATCH($T$1,Database!$A$1:$AS$1,),)))))/(((VLOOKUP(EDATE(B40,-12),Database!$A:$AS,MATCH($T$1,Database!$A$1:$AS$1,),))))</f>
        <v>0.10855263158089515</v>
      </c>
      <c r="U40" s="13">
        <f>((((VLOOKUP(B40,Database!$A:$AS,MATCH($U$1,Database!$A$1:$AS$1,),))))-(((VLOOKUP(EDATE(B40,-12),Database!$A:$AS,MATCH($U$1,Database!$A$1:$AS$1,),)))))/(((VLOOKUP(EDATE(B40,-12),Database!$A:$AS,MATCH($U$1,Database!$A$1:$AS$1,),))))</f>
        <v>-0.21799583977031434</v>
      </c>
      <c r="V40" s="13">
        <f>((((VLOOKUP(B40,Database!$A:$AS,MATCH($V$1,Database!$A$1:$AS$1,),))))-(((VLOOKUP(EDATE(B40,-12),Database!$A:$AS,MATCH($V$1,Database!$A$1:$AS$1,),)))))/(((VLOOKUP(EDATE(B40,-12),Database!$A:$AS,MATCH($V$1,Database!$A$1:$AS$1,),))))</f>
        <v>-0.17443771547336606</v>
      </c>
    </row>
    <row r="41" spans="1:22" s="83" customFormat="1" x14ac:dyDescent="0.2">
      <c r="A41" s="43"/>
      <c r="B41" s="78">
        <v>33390</v>
      </c>
      <c r="C41" s="13">
        <f>((((VLOOKUP(B41,Database!$A:$AS,MATCH($C$1,Database!$A$1:$AS$1,),))))-(((VLOOKUP(EDATE(B41,-12),Database!$A:$AS,MATCH($C$1,Database!$A$1:$AS$1,),)))))/(((VLOOKUP(EDATE(B41,-12),Database!$A:$AS,MATCH($C$1,Database!$A$1:$AS$1,),))))</f>
        <v>-1.8817750240574877E-2</v>
      </c>
      <c r="D41" s="13">
        <f>((((VLOOKUP(B41,Database!$A:$AS,MATCH($D$1,Database!$A$1:$AS$1,),))))-(((VLOOKUP(EDATE(B41,-12),Database!$A:$AS,MATCH($D$1,Database!$A$1:$AS$1,),)))))/(((VLOOKUP(EDATE(B41,-12),Database!$A:$AS,MATCH($D$1,Database!$A$1:$AS$1,),))))</f>
        <v>2.924463448892628E-2</v>
      </c>
      <c r="E41" s="13">
        <f>((((VLOOKUP(B41,Database!$A:$AS,MATCH($E$1,Database!$A$1:$AS$1,),))))-(((VLOOKUP(EDATE(B41,-12),Database!$A:$AS,MATCH($E$1,Database!$A$1:$AS$1,),)))))/(((VLOOKUP(EDATE(B41,-12),Database!$A:$AS,MATCH($E$1,Database!$A$1:$AS$1,),))))</f>
        <v>8.7378640764430738E-3</v>
      </c>
      <c r="F41" s="13">
        <f>((((VLOOKUP(B41,Database!$A:$AS,MATCH($F$1,Database!$A$1:$AS$1,),))))-(((VLOOKUP(EDATE(B41,-12),Database!$A:$AS,MATCH($F$1,Database!$A$1:$AS$1,),)))))/(((VLOOKUP(EDATE(B41,-12),Database!$A:$AS,MATCH($F$1,Database!$A$1:$AS$1,),))))</f>
        <v>6.2484528864833119E-2</v>
      </c>
      <c r="G41" s="13">
        <f>((((VLOOKUP(B41,Database!$A:$AS,MATCH($G$1,Database!$A$1:$AS$1,),))))-(((VLOOKUP(EDATE(B41,-12),Database!$A:$AS,MATCH($G$1,Database!$A$1:$AS$1,),)))))/(((VLOOKUP(EDATE(B41,-12),Database!$A:$AS,MATCH($G$1,Database!$A$1:$AS$1,),))))</f>
        <v>1.9669981422794514E-3</v>
      </c>
      <c r="H41" s="13">
        <f>((((VLOOKUP(B41,Database!$A:$AS,MATCH($H$1,Database!$A$1:$AS$1,),))))-(((VLOOKUP(EDATE(B41,-12),Database!$A:$AS,MATCH($H$1,Database!$A$1:$AS$1,),)))))/(((VLOOKUP(EDATE(B41,-12),Database!$A:$AS,MATCH($H$1,Database!$A$1:$AS$1,),))))</f>
        <v>-5.0649350652220551E-2</v>
      </c>
      <c r="I41" s="13">
        <f>((((VLOOKUP(B41,Database!$A:$AS,MATCH($I$1,Database!$A$1:$AS$1,),))))-(((VLOOKUP(EDATE(B41,-12),Database!$A:$AS,MATCH($I$1,Database!$A$1:$AS$1,),)))))/(((VLOOKUP(EDATE(B41,-12),Database!$A:$AS,MATCH($I$1,Database!$A$1:$AS$1,),))))</f>
        <v>-5.4694621680407675E-3</v>
      </c>
      <c r="J41" s="13">
        <f>((((VLOOKUP(B41,Database!$A:$AS,MATCH($J$1,Database!$A$1:$AS$1,),))))-(((VLOOKUP(EDATE(B41,-12),Database!$A:$AS,MATCH($J$1,Database!$A$1:$AS$1,),)))))/(((VLOOKUP(EDATE(B41,-12),Database!$A:$AS,MATCH($J$1,Database!$A$1:$AS$1,),))))</f>
        <v>-2.0840889797079397E-2</v>
      </c>
      <c r="K41" s="13">
        <f>((((VLOOKUP(B41,Database!$A:$AS,MATCH($K$1,Database!$A$1:$AS$1,),))))-(((VLOOKUP(EDATE(B41,-12),Database!$A:$AS,MATCH($K$1,Database!$A$1:$AS$1,),)))))/(((VLOOKUP(EDATE(B41,-12),Database!$A:$AS,MATCH($K$1,Database!$A$1:$AS$1,),))))</f>
        <v>-2.8735632179027797E-2</v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>1.7297297297394175E-2</v>
      </c>
      <c r="M41" s="13" t="e">
        <f>((((VLOOKUP(B41,Database!$A:$AS,MATCH($M$1,Database!$A$1:$AS$1,),))))-(((VLOOKUP(EDATE(B41,-12),Database!$A:$AS,MATCH($M$1,Database!$A$1:$AS$1,),)))))/(((VLOOKUP(EDATE(B41,-12),Database!$A:$AS,MATCH($M$1,Database!$A$1:$AS$1,),))))</f>
        <v>#DIV/0!</v>
      </c>
      <c r="N41" s="13" t="e">
        <f>((((VLOOKUP(B41,Database!$A:$AS,MATCH($N$1,Database!$A$1:$AS$1,),))))-(((VLOOKUP(EDATE(B41,-12),Database!$A:$AS,MATCH($N$1,Database!$A$1:$AS$1,),)))))/(((VLOOKUP(EDATE(B41,-12),Database!$A:$AS,MATCH($N$1,Database!$A$1:$AS$1,),))))</f>
        <v>#DIV/0!</v>
      </c>
      <c r="O41" s="13">
        <f>((((VLOOKUP(B41,Database!$A:$AS,MATCH($O$1,Database!$A$1:$AS$1,),))))-(((VLOOKUP(EDATE(B41,-12),Database!$A:$AS,MATCH($O$1,Database!$A$1:$AS$1,),)))))/(((VLOOKUP(EDATE(B41,-12),Database!$A:$AS,MATCH($O$1,Database!$A$1:$AS$1,),))))</f>
        <v>-4.8399207218422419E-2</v>
      </c>
      <c r="P41" s="13">
        <f>((((VLOOKUP(B41,Database!$A:$AS,MATCH($P$1,Database!$A$1:$AS$1,),))))-(((VLOOKUP(EDATE(B41,-12),Database!$A:$AS,MATCH($P$1,Database!$A$1:$AS$1,),)))))/(((VLOOKUP(EDATE(B41,-12),Database!$A:$AS,MATCH($P$1,Database!$A$1:$AS$1,),))))</f>
        <v>8.3208937255750764E-2</v>
      </c>
      <c r="Q41" s="13">
        <f>((((VLOOKUP(B41,Database!$A:$AS,MATCH($Q$1,Database!$A$1:$AS$1,),))))-(((VLOOKUP(EDATE(B41,-12),Database!$A:$AS,MATCH($Q$1,Database!$A$1:$AS$1,),)))))/(((VLOOKUP(EDATE(B41,-12),Database!$A:$AS,MATCH($Q$1,Database!$A$1:$AS$1,),))))</f>
        <v>6.067649938154366E-2</v>
      </c>
      <c r="R41" s="13">
        <f>((((VLOOKUP(B41,Database!$A:$AS,MATCH($R$1,Database!$A$1:$AS$1,),))))-(((VLOOKUP(EDATE(B41,-12),Database!$A:$AS,MATCH($R$1,Database!$A$1:$AS$1,),)))))/(((VLOOKUP(EDATE(B41,-12),Database!$A:$AS,MATCH($R$1,Database!$A$1:$AS$1,),))))</f>
        <v>-3.5986364934611575E-2</v>
      </c>
      <c r="S41" s="13">
        <f>((((VLOOKUP(B41,Database!$A:$AS,MATCH($S$1,Database!$A$1:$AS$1,),))))-(((VLOOKUP(EDATE(B41,-12),Database!$A:$AS,MATCH($S$1,Database!$A$1:$AS$1,),)))))/(((VLOOKUP(EDATE(B41,-12),Database!$A:$AS,MATCH($S$1,Database!$A$1:$AS$1,),))))</f>
        <v>2.0920502138649547E-2</v>
      </c>
      <c r="T41" s="13">
        <f>((((VLOOKUP(B41,Database!$A:$AS,MATCH($T$1,Database!$A$1:$AS$1,),))))-(((VLOOKUP(EDATE(B41,-12),Database!$A:$AS,MATCH($T$1,Database!$A$1:$AS$1,),)))))/(((VLOOKUP(EDATE(B41,-12),Database!$A:$AS,MATCH($T$1,Database!$A$1:$AS$1,),))))</f>
        <v>9.6153846126107168E-3</v>
      </c>
      <c r="U41" s="13">
        <f>((((VLOOKUP(B41,Database!$A:$AS,MATCH($U$1,Database!$A$1:$AS$1,),))))-(((VLOOKUP(EDATE(B41,-12),Database!$A:$AS,MATCH($U$1,Database!$A$1:$AS$1,),)))))/(((VLOOKUP(EDATE(B41,-12),Database!$A:$AS,MATCH($U$1,Database!$A$1:$AS$1,),))))</f>
        <v>-0.24821335304489761</v>
      </c>
      <c r="V41" s="13">
        <f>((((VLOOKUP(B41,Database!$A:$AS,MATCH($V$1,Database!$A$1:$AS$1,),))))-(((VLOOKUP(EDATE(B41,-12),Database!$A:$AS,MATCH($V$1,Database!$A$1:$AS$1,),)))))/(((VLOOKUP(EDATE(B41,-12),Database!$A:$AS,MATCH($V$1,Database!$A$1:$AS$1,),))))</f>
        <v>-0.13706874894256038</v>
      </c>
    </row>
    <row r="42" spans="1:22" s="83" customFormat="1" x14ac:dyDescent="0.2">
      <c r="A42" s="43"/>
      <c r="B42" s="78">
        <v>33420</v>
      </c>
      <c r="C42" s="13">
        <f>((((VLOOKUP(B42,Database!$A:$AS,MATCH($C$1,Database!$A$1:$AS$1,),))))-(((VLOOKUP(EDATE(B42,-12),Database!$A:$AS,MATCH($C$1,Database!$A$1:$AS$1,),)))))/(((VLOOKUP(EDATE(B42,-12),Database!$A:$AS,MATCH($C$1,Database!$A$1:$AS$1,),))))</f>
        <v>-1.4758013374011465E-2</v>
      </c>
      <c r="D42" s="13">
        <f>((((VLOOKUP(B42,Database!$A:$AS,MATCH($D$1,Database!$A$1:$AS$1,),))))-(((VLOOKUP(EDATE(B42,-12),Database!$A:$AS,MATCH($D$1,Database!$A$1:$AS$1,),)))))/(((VLOOKUP(EDATE(B42,-12),Database!$A:$AS,MATCH($D$1,Database!$A$1:$AS$1,),))))</f>
        <v>6.4823434925318909E-3</v>
      </c>
      <c r="E42" s="13">
        <f>((((VLOOKUP(B42,Database!$A:$AS,MATCH($E$1,Database!$A$1:$AS$1,),))))-(((VLOOKUP(EDATE(B42,-12),Database!$A:$AS,MATCH($E$1,Database!$A$1:$AS$1,),)))))/(((VLOOKUP(EDATE(B42,-12),Database!$A:$AS,MATCH($E$1,Database!$A$1:$AS$1,),))))</f>
        <v>2.2136669874961868E-2</v>
      </c>
      <c r="F42" s="13">
        <f>((((VLOOKUP(B42,Database!$A:$AS,MATCH($F$1,Database!$A$1:$AS$1,),))))-(((VLOOKUP(EDATE(B42,-12),Database!$A:$AS,MATCH($F$1,Database!$A$1:$AS$1,),)))))/(((VLOOKUP(EDATE(B42,-12),Database!$A:$AS,MATCH($F$1,Database!$A$1:$AS$1,),))))</f>
        <v>2.2237397706030702E-2</v>
      </c>
      <c r="G42" s="13">
        <f>((((VLOOKUP(B42,Database!$A:$AS,MATCH($G$1,Database!$A$1:$AS$1,),))))-(((VLOOKUP(EDATE(B42,-12),Database!$A:$AS,MATCH($G$1,Database!$A$1:$AS$1,),)))))/(((VLOOKUP(EDATE(B42,-12),Database!$A:$AS,MATCH($G$1,Database!$A$1:$AS$1,),))))</f>
        <v>-1.4861763741667569E-2</v>
      </c>
      <c r="H42" s="13">
        <f>((((VLOOKUP(B42,Database!$A:$AS,MATCH($H$1,Database!$A$1:$AS$1,),))))-(((VLOOKUP(EDATE(B42,-12),Database!$A:$AS,MATCH($H$1,Database!$A$1:$AS$1,),)))))/(((VLOOKUP(EDATE(B42,-12),Database!$A:$AS,MATCH($H$1,Database!$A$1:$AS$1,),))))</f>
        <v>-3.5952063913840523E-2</v>
      </c>
      <c r="I42" s="13">
        <f>((((VLOOKUP(B42,Database!$A:$AS,MATCH($I$1,Database!$A$1:$AS$1,),))))-(((VLOOKUP(EDATE(B42,-12),Database!$A:$AS,MATCH($I$1,Database!$A$1:$AS$1,),)))))/(((VLOOKUP(EDATE(B42,-12),Database!$A:$AS,MATCH($I$1,Database!$A$1:$AS$1,),))))</f>
        <v>-8.1818181795618294E-3</v>
      </c>
      <c r="J42" s="13">
        <f>((((VLOOKUP(B42,Database!$A:$AS,MATCH($J$1,Database!$A$1:$AS$1,),))))-(((VLOOKUP(EDATE(B42,-12),Database!$A:$AS,MATCH($J$1,Database!$A$1:$AS$1,),)))))/(((VLOOKUP(EDATE(B42,-12),Database!$A:$AS,MATCH($J$1,Database!$A$1:$AS$1,),))))</f>
        <v>-1.5469785533918824E-2</v>
      </c>
      <c r="K42" s="13">
        <f>((((VLOOKUP(B42,Database!$A:$AS,MATCH($K$1,Database!$A$1:$AS$1,),))))-(((VLOOKUP(EDATE(B42,-12),Database!$A:$AS,MATCH($K$1,Database!$A$1:$AS$1,),)))))/(((VLOOKUP(EDATE(B42,-12),Database!$A:$AS,MATCH($K$1,Database!$A$1:$AS$1,),))))</f>
        <v>-1.4749262425446904E-3</v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>1.8123667364428907E-2</v>
      </c>
      <c r="M42" s="13" t="e">
        <f>((((VLOOKUP(B42,Database!$A:$AS,MATCH($M$1,Database!$A$1:$AS$1,),))))-(((VLOOKUP(EDATE(B42,-12),Database!$A:$AS,MATCH($M$1,Database!$A$1:$AS$1,),)))))/(((VLOOKUP(EDATE(B42,-12),Database!$A:$AS,MATCH($M$1,Database!$A$1:$AS$1,),))))</f>
        <v>#DIV/0!</v>
      </c>
      <c r="N42" s="13" t="e">
        <f>((((VLOOKUP(B42,Database!$A:$AS,MATCH($N$1,Database!$A$1:$AS$1,),))))-(((VLOOKUP(EDATE(B42,-12),Database!$A:$AS,MATCH($N$1,Database!$A$1:$AS$1,),)))))/(((VLOOKUP(EDATE(B42,-12),Database!$A:$AS,MATCH($N$1,Database!$A$1:$AS$1,),))))</f>
        <v>#DIV/0!</v>
      </c>
      <c r="O42" s="13">
        <f>((((VLOOKUP(B42,Database!$A:$AS,MATCH($O$1,Database!$A$1:$AS$1,),))))-(((VLOOKUP(EDATE(B42,-12),Database!$A:$AS,MATCH($O$1,Database!$A$1:$AS$1,),)))))/(((VLOOKUP(EDATE(B42,-12),Database!$A:$AS,MATCH($O$1,Database!$A$1:$AS$1,),))))</f>
        <v>-4.6645220594785208E-2</v>
      </c>
      <c r="P42" s="13">
        <f>((((VLOOKUP(B42,Database!$A:$AS,MATCH($P$1,Database!$A$1:$AS$1,),))))-(((VLOOKUP(EDATE(B42,-12),Database!$A:$AS,MATCH($P$1,Database!$A$1:$AS$1,),)))))/(((VLOOKUP(EDATE(B42,-12),Database!$A:$AS,MATCH($P$1,Database!$A$1:$AS$1,),))))</f>
        <v>8.062333784541946E-2</v>
      </c>
      <c r="Q42" s="13">
        <f>((((VLOOKUP(B42,Database!$A:$AS,MATCH($Q$1,Database!$A$1:$AS$1,),))))-(((VLOOKUP(EDATE(B42,-12),Database!$A:$AS,MATCH($Q$1,Database!$A$1:$AS$1,),)))))/(((VLOOKUP(EDATE(B42,-12),Database!$A:$AS,MATCH($Q$1,Database!$A$1:$AS$1,),))))</f>
        <v>2.3973554577064418E-2</v>
      </c>
      <c r="R42" s="13">
        <f>((((VLOOKUP(B42,Database!$A:$AS,MATCH($R$1,Database!$A$1:$AS$1,),))))-(((VLOOKUP(EDATE(B42,-12),Database!$A:$AS,MATCH($R$1,Database!$A$1:$AS$1,),)))))/(((VLOOKUP(EDATE(B42,-12),Database!$A:$AS,MATCH($R$1,Database!$A$1:$AS$1,),))))</f>
        <v>-5.989915250768766E-2</v>
      </c>
      <c r="S42" s="13">
        <f>((((VLOOKUP(B42,Database!$A:$AS,MATCH($S$1,Database!$A$1:$AS$1,),))))-(((VLOOKUP(EDATE(B42,-12),Database!$A:$AS,MATCH($S$1,Database!$A$1:$AS$1,),)))))/(((VLOOKUP(EDATE(B42,-12),Database!$A:$AS,MATCH($S$1,Database!$A$1:$AS$1,),))))</f>
        <v>-1.2500000013161544E-2</v>
      </c>
      <c r="T42" s="13">
        <f>((((VLOOKUP(B42,Database!$A:$AS,MATCH($T$1,Database!$A$1:$AS$1,),))))-(((VLOOKUP(EDATE(B42,-12),Database!$A:$AS,MATCH($T$1,Database!$A$1:$AS$1,),)))))/(((VLOOKUP(EDATE(B42,-12),Database!$A:$AS,MATCH($T$1,Database!$A$1:$AS$1,),))))</f>
        <v>5.8823529429067316E-2</v>
      </c>
      <c r="U42" s="13">
        <f>((((VLOOKUP(B42,Database!$A:$AS,MATCH($U$1,Database!$A$1:$AS$1,),))))-(((VLOOKUP(EDATE(B42,-12),Database!$A:$AS,MATCH($U$1,Database!$A$1:$AS$1,),)))))/(((VLOOKUP(EDATE(B42,-12),Database!$A:$AS,MATCH($U$1,Database!$A$1:$AS$1,),))))</f>
        <v>-0.2916258428681916</v>
      </c>
      <c r="V42" s="13">
        <f>((((VLOOKUP(B42,Database!$A:$AS,MATCH($V$1,Database!$A$1:$AS$1,),))))-(((VLOOKUP(EDATE(B42,-12),Database!$A:$AS,MATCH($V$1,Database!$A$1:$AS$1,),)))))/(((VLOOKUP(EDATE(B42,-12),Database!$A:$AS,MATCH($V$1,Database!$A$1:$AS$1,),))))</f>
        <v>-0.17941818549835742</v>
      </c>
    </row>
    <row r="43" spans="1:22" s="83" customFormat="1" x14ac:dyDescent="0.2">
      <c r="A43" s="43"/>
      <c r="B43" s="78">
        <v>33451</v>
      </c>
      <c r="C43" s="13">
        <f>((((VLOOKUP(B43,Database!$A:$AS,MATCH($C$1,Database!$A$1:$AS$1,),))))-(((VLOOKUP(EDATE(B43,-12),Database!$A:$AS,MATCH($C$1,Database!$A$1:$AS$1,),)))))/(((VLOOKUP(EDATE(B43,-12),Database!$A:$AS,MATCH($C$1,Database!$A$1:$AS$1,),))))</f>
        <v>-1.8329323112803941E-2</v>
      </c>
      <c r="D43" s="13">
        <f>((((VLOOKUP(B43,Database!$A:$AS,MATCH($D$1,Database!$A$1:$AS$1,),))))-(((VLOOKUP(EDATE(B43,-12),Database!$A:$AS,MATCH($D$1,Database!$A$1:$AS$1,),)))))/(((VLOOKUP(EDATE(B43,-12),Database!$A:$AS,MATCH($D$1,Database!$A$1:$AS$1,),))))</f>
        <v>-1.4582197781741948E-3</v>
      </c>
      <c r="E43" s="13">
        <f>((((VLOOKUP(B43,Database!$A:$AS,MATCH($E$1,Database!$A$1:$AS$1,),))))-(((VLOOKUP(EDATE(B43,-12),Database!$A:$AS,MATCH($E$1,Database!$A$1:$AS$1,),)))))/(((VLOOKUP(EDATE(B43,-12),Database!$A:$AS,MATCH($E$1,Database!$A$1:$AS$1,),))))</f>
        <v>-2.862595428834617E-3</v>
      </c>
      <c r="F43" s="13">
        <f>((((VLOOKUP(B43,Database!$A:$AS,MATCH($F$1,Database!$A$1:$AS$1,),))))-(((VLOOKUP(EDATE(B43,-12),Database!$A:$AS,MATCH($F$1,Database!$A$1:$AS$1,),)))))/(((VLOOKUP(EDATE(B43,-12),Database!$A:$AS,MATCH($F$1,Database!$A$1:$AS$1,),))))</f>
        <v>-2.4566217892851334E-4</v>
      </c>
      <c r="G43" s="13">
        <f>((((VLOOKUP(B43,Database!$A:$AS,MATCH($G$1,Database!$A$1:$AS$1,),))))-(((VLOOKUP(EDATE(B43,-12),Database!$A:$AS,MATCH($G$1,Database!$A$1:$AS$1,),)))))/(((VLOOKUP(EDATE(B43,-12),Database!$A:$AS,MATCH($G$1,Database!$A$1:$AS$1,),))))</f>
        <v>1.2094557449147821E-3</v>
      </c>
      <c r="H43" s="13">
        <f>((((VLOOKUP(B43,Database!$A:$AS,MATCH($H$1,Database!$A$1:$AS$1,),))))-(((VLOOKUP(EDATE(B43,-12),Database!$A:$AS,MATCH($H$1,Database!$A$1:$AS$1,),)))))/(((VLOOKUP(EDATE(B43,-12),Database!$A:$AS,MATCH($H$1,Database!$A$1:$AS$1,),))))</f>
        <v>-4.6542553193150066E-2</v>
      </c>
      <c r="I43" s="13">
        <f>((((VLOOKUP(B43,Database!$A:$AS,MATCH($I$1,Database!$A$1:$AS$1,),))))-(((VLOOKUP(EDATE(B43,-12),Database!$A:$AS,MATCH($I$1,Database!$A$1:$AS$1,),)))))/(((VLOOKUP(EDATE(B43,-12),Database!$A:$AS,MATCH($I$1,Database!$A$1:$AS$1,),))))</f>
        <v>-1.3489208629413706E-2</v>
      </c>
      <c r="J43" s="13">
        <f>((((VLOOKUP(B43,Database!$A:$AS,MATCH($J$1,Database!$A$1:$AS$1,),))))-(((VLOOKUP(EDATE(B43,-12),Database!$A:$AS,MATCH($J$1,Database!$A$1:$AS$1,),)))))/(((VLOOKUP(EDATE(B43,-12),Database!$A:$AS,MATCH($J$1,Database!$A$1:$AS$1,),))))</f>
        <v>-4.8059853670157811E-3</v>
      </c>
      <c r="K43" s="13">
        <f>((((VLOOKUP(B43,Database!$A:$AS,MATCH($K$1,Database!$A$1:$AS$1,),))))-(((VLOOKUP(EDATE(B43,-12),Database!$A:$AS,MATCH($K$1,Database!$A$1:$AS$1,),)))))/(((VLOOKUP(EDATE(B43,-12),Database!$A:$AS,MATCH($K$1,Database!$A$1:$AS$1,),))))</f>
        <v>-4.8991354465263537E-2</v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>1.3859275047723926E-2</v>
      </c>
      <c r="M43" s="13" t="e">
        <f>((((VLOOKUP(B43,Database!$A:$AS,MATCH($M$1,Database!$A$1:$AS$1,),))))-(((VLOOKUP(EDATE(B43,-12),Database!$A:$AS,MATCH($M$1,Database!$A$1:$AS$1,),)))))/(((VLOOKUP(EDATE(B43,-12),Database!$A:$AS,MATCH($M$1,Database!$A$1:$AS$1,),))))</f>
        <v>#DIV/0!</v>
      </c>
      <c r="N43" s="13" t="e">
        <f>((((VLOOKUP(B43,Database!$A:$AS,MATCH($N$1,Database!$A$1:$AS$1,),))))-(((VLOOKUP(EDATE(B43,-12),Database!$A:$AS,MATCH($N$1,Database!$A$1:$AS$1,),)))))/(((VLOOKUP(EDATE(B43,-12),Database!$A:$AS,MATCH($N$1,Database!$A$1:$AS$1,),))))</f>
        <v>#DIV/0!</v>
      </c>
      <c r="O43" s="13">
        <f>((((VLOOKUP(B43,Database!$A:$AS,MATCH($O$1,Database!$A$1:$AS$1,),))))-(((VLOOKUP(EDATE(B43,-12),Database!$A:$AS,MATCH($O$1,Database!$A$1:$AS$1,),)))))/(((VLOOKUP(EDATE(B43,-12),Database!$A:$AS,MATCH($O$1,Database!$A$1:$AS$1,),))))</f>
        <v>-3.3194251905611392E-2</v>
      </c>
      <c r="P43" s="13">
        <f>((((VLOOKUP(B43,Database!$A:$AS,MATCH($P$1,Database!$A$1:$AS$1,),))))-(((VLOOKUP(EDATE(B43,-12),Database!$A:$AS,MATCH($P$1,Database!$A$1:$AS$1,),)))))/(((VLOOKUP(EDATE(B43,-12),Database!$A:$AS,MATCH($P$1,Database!$A$1:$AS$1,),))))</f>
        <v>9.3814010635278264E-2</v>
      </c>
      <c r="Q43" s="13">
        <f>((((VLOOKUP(B43,Database!$A:$AS,MATCH($Q$1,Database!$A$1:$AS$1,),))))-(((VLOOKUP(EDATE(B43,-12),Database!$A:$AS,MATCH($Q$1,Database!$A$1:$AS$1,),)))))/(((VLOOKUP(EDATE(B43,-12),Database!$A:$AS,MATCH($Q$1,Database!$A$1:$AS$1,),))))</f>
        <v>7.1700132668482122E-3</v>
      </c>
      <c r="R43" s="13">
        <f>((((VLOOKUP(B43,Database!$A:$AS,MATCH($R$1,Database!$A$1:$AS$1,),))))-(((VLOOKUP(EDATE(B43,-12),Database!$A:$AS,MATCH($R$1,Database!$A$1:$AS$1,),)))))/(((VLOOKUP(EDATE(B43,-12),Database!$A:$AS,MATCH($R$1,Database!$A$1:$AS$1,),))))</f>
        <v>1.7380344074650226E-2</v>
      </c>
      <c r="S43" s="13">
        <f>((((VLOOKUP(B43,Database!$A:$AS,MATCH($S$1,Database!$A$1:$AS$1,),))))-(((VLOOKUP(EDATE(B43,-12),Database!$A:$AS,MATCH($S$1,Database!$A$1:$AS$1,),)))))/(((VLOOKUP(EDATE(B43,-12),Database!$A:$AS,MATCH($S$1,Database!$A$1:$AS$1,),))))</f>
        <v>2.9288702937718309E-2</v>
      </c>
      <c r="T43" s="13">
        <f>((((VLOOKUP(B43,Database!$A:$AS,MATCH($T$1,Database!$A$1:$AS$1,),))))-(((VLOOKUP(EDATE(B43,-12),Database!$A:$AS,MATCH($T$1,Database!$A$1:$AS$1,),)))))/(((VLOOKUP(EDATE(B43,-12),Database!$A:$AS,MATCH($T$1,Database!$A$1:$AS$1,),))))</f>
        <v>7.5907590783040671E-2</v>
      </c>
      <c r="U43" s="13">
        <f>((((VLOOKUP(B43,Database!$A:$AS,MATCH($U$1,Database!$A$1:$AS$1,),))))-(((VLOOKUP(EDATE(B43,-12),Database!$A:$AS,MATCH($U$1,Database!$A$1:$AS$1,),)))))/(((VLOOKUP(EDATE(B43,-12),Database!$A:$AS,MATCH($U$1,Database!$A$1:$AS$1,),))))</f>
        <v>-0.23033817055354619</v>
      </c>
      <c r="V43" s="13">
        <f>((((VLOOKUP(B43,Database!$A:$AS,MATCH($V$1,Database!$A$1:$AS$1,),))))-(((VLOOKUP(EDATE(B43,-12),Database!$A:$AS,MATCH($V$1,Database!$A$1:$AS$1,),)))))/(((VLOOKUP(EDATE(B43,-12),Database!$A:$AS,MATCH($V$1,Database!$A$1:$AS$1,),))))</f>
        <v>-0.20420533336013375</v>
      </c>
    </row>
    <row r="44" spans="1:22" s="83" customFormat="1" x14ac:dyDescent="0.2">
      <c r="A44" s="43"/>
      <c r="B44" s="78">
        <v>33482</v>
      </c>
      <c r="C44" s="13">
        <f>((((VLOOKUP(B44,Database!$A:$AS,MATCH($C$1,Database!$A$1:$AS$1,),))))-(((VLOOKUP(EDATE(B44,-12),Database!$A:$AS,MATCH($C$1,Database!$A$1:$AS$1,),)))))/(((VLOOKUP(EDATE(B44,-12),Database!$A:$AS,MATCH($C$1,Database!$A$1:$AS$1,),))))</f>
        <v>-1.0089707396026396E-2</v>
      </c>
      <c r="D44" s="13">
        <f>((((VLOOKUP(B44,Database!$A:$AS,MATCH($D$1,Database!$A$1:$AS$1,),))))-(((VLOOKUP(EDATE(B44,-12),Database!$A:$AS,MATCH($D$1,Database!$A$1:$AS$1,),)))))/(((VLOOKUP(EDATE(B44,-12),Database!$A:$AS,MATCH($D$1,Database!$A$1:$AS$1,),))))</f>
        <v>-3.9334846924196747E-3</v>
      </c>
      <c r="E44" s="13">
        <f>((((VLOOKUP(B44,Database!$A:$AS,MATCH($E$1,Database!$A$1:$AS$1,),))))-(((VLOOKUP(EDATE(B44,-12),Database!$A:$AS,MATCH($E$1,Database!$A$1:$AS$1,),)))))/(((VLOOKUP(EDATE(B44,-12),Database!$A:$AS,MATCH($E$1,Database!$A$1:$AS$1,),))))</f>
        <v>6.7372473586136605E-3</v>
      </c>
      <c r="F44" s="13">
        <f>((((VLOOKUP(B44,Database!$A:$AS,MATCH($F$1,Database!$A$1:$AS$1,),))))-(((VLOOKUP(EDATE(B44,-12),Database!$A:$AS,MATCH($F$1,Database!$A$1:$AS$1,),)))))/(((VLOOKUP(EDATE(B44,-12),Database!$A:$AS,MATCH($F$1,Database!$A$1:$AS$1,),))))</f>
        <v>-1.2169948098454014E-2</v>
      </c>
      <c r="G44" s="13">
        <f>((((VLOOKUP(B44,Database!$A:$AS,MATCH($G$1,Database!$A$1:$AS$1,),))))-(((VLOOKUP(EDATE(B44,-12),Database!$A:$AS,MATCH($G$1,Database!$A$1:$AS$1,),)))))/(((VLOOKUP(EDATE(B44,-12),Database!$A:$AS,MATCH($G$1,Database!$A$1:$AS$1,),))))</f>
        <v>-4.3582479843103693E-3</v>
      </c>
      <c r="H44" s="13">
        <f>((((VLOOKUP(B44,Database!$A:$AS,MATCH($H$1,Database!$A$1:$AS$1,),))))-(((VLOOKUP(EDATE(B44,-12),Database!$A:$AS,MATCH($H$1,Database!$A$1:$AS$1,),)))))/(((VLOOKUP(EDATE(B44,-12),Database!$A:$AS,MATCH($H$1,Database!$A$1:$AS$1,),))))</f>
        <v>-4.0106951862484051E-2</v>
      </c>
      <c r="I44" s="13">
        <f>((((VLOOKUP(B44,Database!$A:$AS,MATCH($I$1,Database!$A$1:$AS$1,),))))-(((VLOOKUP(EDATE(B44,-12),Database!$A:$AS,MATCH($I$1,Database!$A$1:$AS$1,),)))))/(((VLOOKUP(EDATE(B44,-12),Database!$A:$AS,MATCH($I$1,Database!$A$1:$AS$1,),))))</f>
        <v>0</v>
      </c>
      <c r="J44" s="13">
        <f>((((VLOOKUP(B44,Database!$A:$AS,MATCH($J$1,Database!$A$1:$AS$1,),))))-(((VLOOKUP(EDATE(B44,-12),Database!$A:$AS,MATCH($J$1,Database!$A$1:$AS$1,),)))))/(((VLOOKUP(EDATE(B44,-12),Database!$A:$AS,MATCH($J$1,Database!$A$1:$AS$1,),))))</f>
        <v>-1.4185039047291098E-2</v>
      </c>
      <c r="K44" s="13">
        <f>((((VLOOKUP(B44,Database!$A:$AS,MATCH($K$1,Database!$A$1:$AS$1,),))))-(((VLOOKUP(EDATE(B44,-12),Database!$A:$AS,MATCH($K$1,Database!$A$1:$AS$1,),)))))/(((VLOOKUP(EDATE(B44,-12),Database!$A:$AS,MATCH($K$1,Database!$A$1:$AS$1,),))))</f>
        <v>-3.8848920853296665E-2</v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>9.5541401292590124E-3</v>
      </c>
      <c r="M44" s="13" t="e">
        <f>((((VLOOKUP(B44,Database!$A:$AS,MATCH($M$1,Database!$A$1:$AS$1,),))))-(((VLOOKUP(EDATE(B44,-12),Database!$A:$AS,MATCH($M$1,Database!$A$1:$AS$1,),)))))/(((VLOOKUP(EDATE(B44,-12),Database!$A:$AS,MATCH($M$1,Database!$A$1:$AS$1,),))))</f>
        <v>#DIV/0!</v>
      </c>
      <c r="N44" s="13" t="e">
        <f>((((VLOOKUP(B44,Database!$A:$AS,MATCH($N$1,Database!$A$1:$AS$1,),))))-(((VLOOKUP(EDATE(B44,-12),Database!$A:$AS,MATCH($N$1,Database!$A$1:$AS$1,),)))))/(((VLOOKUP(EDATE(B44,-12),Database!$A:$AS,MATCH($N$1,Database!$A$1:$AS$1,),))))</f>
        <v>#DIV/0!</v>
      </c>
      <c r="O44" s="13">
        <f>((((VLOOKUP(B44,Database!$A:$AS,MATCH($O$1,Database!$A$1:$AS$1,),))))-(((VLOOKUP(EDATE(B44,-12),Database!$A:$AS,MATCH($O$1,Database!$A$1:$AS$1,),)))))/(((VLOOKUP(EDATE(B44,-12),Database!$A:$AS,MATCH($O$1,Database!$A$1:$AS$1,),))))</f>
        <v>-1.200645373676036E-2</v>
      </c>
      <c r="P44" s="13">
        <f>((((VLOOKUP(B44,Database!$A:$AS,MATCH($P$1,Database!$A$1:$AS$1,),))))-(((VLOOKUP(EDATE(B44,-12),Database!$A:$AS,MATCH($P$1,Database!$A$1:$AS$1,),)))))/(((VLOOKUP(EDATE(B44,-12),Database!$A:$AS,MATCH($P$1,Database!$A$1:$AS$1,),))))</f>
        <v>8.7746530282135138E-2</v>
      </c>
      <c r="Q44" s="13">
        <f>((((VLOOKUP(B44,Database!$A:$AS,MATCH($Q$1,Database!$A$1:$AS$1,),))))-(((VLOOKUP(EDATE(B44,-12),Database!$A:$AS,MATCH($Q$1,Database!$A$1:$AS$1,),)))))/(((VLOOKUP(EDATE(B44,-12),Database!$A:$AS,MATCH($Q$1,Database!$A$1:$AS$1,),))))</f>
        <v>-4.2633038052691662E-2</v>
      </c>
      <c r="R44" s="13">
        <f>((((VLOOKUP(B44,Database!$A:$AS,MATCH($R$1,Database!$A$1:$AS$1,),))))-(((VLOOKUP(EDATE(B44,-12),Database!$A:$AS,MATCH($R$1,Database!$A$1:$AS$1,),)))))/(((VLOOKUP(EDATE(B44,-12),Database!$A:$AS,MATCH($R$1,Database!$A$1:$AS$1,),))))</f>
        <v>0.24211551890357511</v>
      </c>
      <c r="S44" s="13">
        <f>((((VLOOKUP(B44,Database!$A:$AS,MATCH($S$1,Database!$A$1:$AS$1,),))))-(((VLOOKUP(EDATE(B44,-12),Database!$A:$AS,MATCH($S$1,Database!$A$1:$AS$1,),)))))/(((VLOOKUP(EDATE(B44,-12),Database!$A:$AS,MATCH($S$1,Database!$A$1:$AS$1,),))))</f>
        <v>2.8925619843052957E-2</v>
      </c>
      <c r="T44" s="13">
        <f>((((VLOOKUP(B44,Database!$A:$AS,MATCH($T$1,Database!$A$1:$AS$1,),))))-(((VLOOKUP(EDATE(B44,-12),Database!$A:$AS,MATCH($T$1,Database!$A$1:$AS$1,),)))))/(((VLOOKUP(EDATE(B44,-12),Database!$A:$AS,MATCH($T$1,Database!$A$1:$AS$1,),))))</f>
        <v>1.5151515157484287E-2</v>
      </c>
      <c r="U44" s="13">
        <f>((((VLOOKUP(B44,Database!$A:$AS,MATCH($U$1,Database!$A$1:$AS$1,),))))-(((VLOOKUP(EDATE(B44,-12),Database!$A:$AS,MATCH($U$1,Database!$A$1:$AS$1,),)))))/(((VLOOKUP(EDATE(B44,-12),Database!$A:$AS,MATCH($U$1,Database!$A$1:$AS$1,),))))</f>
        <v>-0.30296424354552981</v>
      </c>
      <c r="V44" s="13">
        <f>((((VLOOKUP(B44,Database!$A:$AS,MATCH($V$1,Database!$A$1:$AS$1,),))))-(((VLOOKUP(EDATE(B44,-12),Database!$A:$AS,MATCH($V$1,Database!$A$1:$AS$1,),)))))/(((VLOOKUP(EDATE(B44,-12),Database!$A:$AS,MATCH($V$1,Database!$A$1:$AS$1,),))))</f>
        <v>-0.21999497042386221</v>
      </c>
    </row>
    <row r="45" spans="1:22" s="83" customFormat="1" x14ac:dyDescent="0.2">
      <c r="A45" s="43"/>
      <c r="B45" s="78">
        <v>33512</v>
      </c>
      <c r="C45" s="13">
        <f>((((VLOOKUP(B45,Database!$A:$AS,MATCH($C$1,Database!$A$1:$AS$1,),))))-(((VLOOKUP(EDATE(B45,-12),Database!$A:$AS,MATCH($C$1,Database!$A$1:$AS$1,),)))))/(((VLOOKUP(EDATE(B45,-12),Database!$A:$AS,MATCH($C$1,Database!$A$1:$AS$1,),))))</f>
        <v>-5.278028184693394E-3</v>
      </c>
      <c r="D45" s="13">
        <f>((((VLOOKUP(B45,Database!$A:$AS,MATCH($D$1,Database!$A$1:$AS$1,),))))-(((VLOOKUP(EDATE(B45,-12),Database!$A:$AS,MATCH($D$1,Database!$A$1:$AS$1,),)))))/(((VLOOKUP(EDATE(B45,-12),Database!$A:$AS,MATCH($D$1,Database!$A$1:$AS$1,),))))</f>
        <v>-2.2167180976779876E-3</v>
      </c>
      <c r="E45" s="13">
        <f>((((VLOOKUP(B45,Database!$A:$AS,MATCH($E$1,Database!$A$1:$AS$1,),))))-(((VLOOKUP(EDATE(B45,-12),Database!$A:$AS,MATCH($E$1,Database!$A$1:$AS$1,),)))))/(((VLOOKUP(EDATE(B45,-12),Database!$A:$AS,MATCH($E$1,Database!$A$1:$AS$1,),))))</f>
        <v>-1.9811320761132411E-2</v>
      </c>
      <c r="F45" s="13">
        <f>((((VLOOKUP(B45,Database!$A:$AS,MATCH($F$1,Database!$A$1:$AS$1,),))))-(((VLOOKUP(EDATE(B45,-12),Database!$A:$AS,MATCH($F$1,Database!$A$1:$AS$1,),)))))/(((VLOOKUP(EDATE(B45,-12),Database!$A:$AS,MATCH($F$1,Database!$A$1:$AS$1,),))))</f>
        <v>1.0792058436258334E-3</v>
      </c>
      <c r="G45" s="13">
        <f>((((VLOOKUP(B45,Database!$A:$AS,MATCH($G$1,Database!$A$1:$AS$1,),))))-(((VLOOKUP(EDATE(B45,-12),Database!$A:$AS,MATCH($G$1,Database!$A$1:$AS$1,),)))))/(((VLOOKUP(EDATE(B45,-12),Database!$A:$AS,MATCH($G$1,Database!$A$1:$AS$1,),))))</f>
        <v>-5.9009944268386648E-3</v>
      </c>
      <c r="H45" s="13">
        <f>((((VLOOKUP(B45,Database!$A:$AS,MATCH($H$1,Database!$A$1:$AS$1,),))))-(((VLOOKUP(EDATE(B45,-12),Database!$A:$AS,MATCH($H$1,Database!$A$1:$AS$1,),)))))/(((VLOOKUP(EDATE(B45,-12),Database!$A:$AS,MATCH($H$1,Database!$A$1:$AS$1,),))))</f>
        <v>-2.6773761707321965E-2</v>
      </c>
      <c r="I45" s="13">
        <f>((((VLOOKUP(B45,Database!$A:$AS,MATCH($I$1,Database!$A$1:$AS$1,),))))-(((VLOOKUP(EDATE(B45,-12),Database!$A:$AS,MATCH($I$1,Database!$A$1:$AS$1,),)))))/(((VLOOKUP(EDATE(B45,-12),Database!$A:$AS,MATCH($I$1,Database!$A$1:$AS$1,),))))</f>
        <v>-9.0661831041825435E-4</v>
      </c>
      <c r="J45" s="13">
        <f>((((VLOOKUP(B45,Database!$A:$AS,MATCH($J$1,Database!$A$1:$AS$1,),))))-(((VLOOKUP(EDATE(B45,-12),Database!$A:$AS,MATCH($J$1,Database!$A$1:$AS$1,),)))))/(((VLOOKUP(EDATE(B45,-12),Database!$A:$AS,MATCH($J$1,Database!$A$1:$AS$1,),))))</f>
        <v>3.3042489142536574E-2</v>
      </c>
      <c r="K45" s="13">
        <f>((((VLOOKUP(B45,Database!$A:$AS,MATCH($K$1,Database!$A$1:$AS$1,),))))-(((VLOOKUP(EDATE(B45,-12),Database!$A:$AS,MATCH($K$1,Database!$A$1:$AS$1,),)))))/(((VLOOKUP(EDATE(B45,-12),Database!$A:$AS,MATCH($K$1,Database!$A$1:$AS$1,),))))</f>
        <v>-3.453237409496885E-2</v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>4.3524416137876262E-2</v>
      </c>
      <c r="M45" s="13" t="e">
        <f>((((VLOOKUP(B45,Database!$A:$AS,MATCH($M$1,Database!$A$1:$AS$1,),))))-(((VLOOKUP(EDATE(B45,-12),Database!$A:$AS,MATCH($M$1,Database!$A$1:$AS$1,),)))))/(((VLOOKUP(EDATE(B45,-12),Database!$A:$AS,MATCH($M$1,Database!$A$1:$AS$1,),))))</f>
        <v>#DIV/0!</v>
      </c>
      <c r="N45" s="13" t="e">
        <f>((((VLOOKUP(B45,Database!$A:$AS,MATCH($N$1,Database!$A$1:$AS$1,),))))-(((VLOOKUP(EDATE(B45,-12),Database!$A:$AS,MATCH($N$1,Database!$A$1:$AS$1,),)))))/(((VLOOKUP(EDATE(B45,-12),Database!$A:$AS,MATCH($N$1,Database!$A$1:$AS$1,),))))</f>
        <v>#DIV/0!</v>
      </c>
      <c r="O45" s="13">
        <f>((((VLOOKUP(B45,Database!$A:$AS,MATCH($O$1,Database!$A$1:$AS$1,),))))-(((VLOOKUP(EDATE(B45,-12),Database!$A:$AS,MATCH($O$1,Database!$A$1:$AS$1,),)))))/(((VLOOKUP(EDATE(B45,-12),Database!$A:$AS,MATCH($O$1,Database!$A$1:$AS$1,),))))</f>
        <v>-1.6761960601121194E-2</v>
      </c>
      <c r="P45" s="13">
        <f>((((VLOOKUP(B45,Database!$A:$AS,MATCH($P$1,Database!$A$1:$AS$1,),))))-(((VLOOKUP(EDATE(B45,-12),Database!$A:$AS,MATCH($P$1,Database!$A$1:$AS$1,),)))))/(((VLOOKUP(EDATE(B45,-12),Database!$A:$AS,MATCH($P$1,Database!$A$1:$AS$1,),))))</f>
        <v>9.7059897730149794E-2</v>
      </c>
      <c r="Q45" s="13">
        <f>((((VLOOKUP(B45,Database!$A:$AS,MATCH($Q$1,Database!$A$1:$AS$1,),))))-(((VLOOKUP(EDATE(B45,-12),Database!$A:$AS,MATCH($Q$1,Database!$A$1:$AS$1,),)))))/(((VLOOKUP(EDATE(B45,-12),Database!$A:$AS,MATCH($Q$1,Database!$A$1:$AS$1,),))))</f>
        <v>-1.1676753531176913E-3</v>
      </c>
      <c r="R45" s="13">
        <f>((((VLOOKUP(B45,Database!$A:$AS,MATCH($R$1,Database!$A$1:$AS$1,),))))-(((VLOOKUP(EDATE(B45,-12),Database!$A:$AS,MATCH($R$1,Database!$A$1:$AS$1,),)))))/(((VLOOKUP(EDATE(B45,-12),Database!$A:$AS,MATCH($R$1,Database!$A$1:$AS$1,),))))</f>
        <v>-4.2794087071162341E-2</v>
      </c>
      <c r="S45" s="13">
        <f>((((VLOOKUP(B45,Database!$A:$AS,MATCH($S$1,Database!$A$1:$AS$1,),))))-(((VLOOKUP(EDATE(B45,-12),Database!$A:$AS,MATCH($S$1,Database!$A$1:$AS$1,),)))))/(((VLOOKUP(EDATE(B45,-12),Database!$A:$AS,MATCH($S$1,Database!$A$1:$AS$1,),))))</f>
        <v>4.6413502111804172E-2</v>
      </c>
      <c r="T45" s="13">
        <f>((((VLOOKUP(B45,Database!$A:$AS,MATCH($T$1,Database!$A$1:$AS$1,),))))-(((VLOOKUP(EDATE(B45,-12),Database!$A:$AS,MATCH($T$1,Database!$A$1:$AS$1,),)))))/(((VLOOKUP(EDATE(B45,-12),Database!$A:$AS,MATCH($T$1,Database!$A$1:$AS$1,),))))</f>
        <v>2.1341463429321392E-2</v>
      </c>
      <c r="U45" s="13">
        <f>((((VLOOKUP(B45,Database!$A:$AS,MATCH($U$1,Database!$A$1:$AS$1,),))))-(((VLOOKUP(EDATE(B45,-12),Database!$A:$AS,MATCH($U$1,Database!$A$1:$AS$1,),)))))/(((VLOOKUP(EDATE(B45,-12),Database!$A:$AS,MATCH($U$1,Database!$A$1:$AS$1,),))))</f>
        <v>-0.29221850434731539</v>
      </c>
      <c r="V45" s="13">
        <f>((((VLOOKUP(B45,Database!$A:$AS,MATCH($V$1,Database!$A$1:$AS$1,),))))-(((VLOOKUP(EDATE(B45,-12),Database!$A:$AS,MATCH($V$1,Database!$A$1:$AS$1,),)))))/(((VLOOKUP(EDATE(B45,-12),Database!$A:$AS,MATCH($V$1,Database!$A$1:$AS$1,),))))</f>
        <v>-0.21854459929428974</v>
      </c>
    </row>
    <row r="46" spans="1:22" s="83" customFormat="1" x14ac:dyDescent="0.2">
      <c r="A46" s="43"/>
      <c r="B46" s="78">
        <v>33543</v>
      </c>
      <c r="C46" s="13">
        <f>((((VLOOKUP(B46,Database!$A:$AS,MATCH($C$1,Database!$A$1:$AS$1,),))))-(((VLOOKUP(EDATE(B46,-12),Database!$A:$AS,MATCH($C$1,Database!$A$1:$AS$1,),)))))/(((VLOOKUP(EDATE(B46,-12),Database!$A:$AS,MATCH($C$1,Database!$A$1:$AS$1,),))))</f>
        <v>5.7340595983348917E-3</v>
      </c>
      <c r="D46" s="13">
        <f>((((VLOOKUP(B46,Database!$A:$AS,MATCH($D$1,Database!$A$1:$AS$1,),))))-(((VLOOKUP(EDATE(B46,-12),Database!$A:$AS,MATCH($D$1,Database!$A$1:$AS$1,),)))))/(((VLOOKUP(EDATE(B46,-12),Database!$A:$AS,MATCH($D$1,Database!$A$1:$AS$1,),))))</f>
        <v>1.8534734071707488E-2</v>
      </c>
      <c r="E46" s="13">
        <f>((((VLOOKUP(B46,Database!$A:$AS,MATCH($E$1,Database!$A$1:$AS$1,),))))-(((VLOOKUP(EDATE(B46,-12),Database!$A:$AS,MATCH($E$1,Database!$A$1:$AS$1,),)))))/(((VLOOKUP(EDATE(B46,-12),Database!$A:$AS,MATCH($E$1,Database!$A$1:$AS$1,),))))</f>
        <v>-6.6476733102846354E-3</v>
      </c>
      <c r="F46" s="13">
        <f>((((VLOOKUP(B46,Database!$A:$AS,MATCH($F$1,Database!$A$1:$AS$1,),))))-(((VLOOKUP(EDATE(B46,-12),Database!$A:$AS,MATCH($F$1,Database!$A$1:$AS$1,),)))))/(((VLOOKUP(EDATE(B46,-12),Database!$A:$AS,MATCH($F$1,Database!$A$1:$AS$1,),))))</f>
        <v>1.1916328506476196E-2</v>
      </c>
      <c r="G46" s="13">
        <f>((((VLOOKUP(B46,Database!$A:$AS,MATCH($G$1,Database!$A$1:$AS$1,),))))-(((VLOOKUP(EDATE(B46,-12),Database!$A:$AS,MATCH($G$1,Database!$A$1:$AS$1,),)))))/(((VLOOKUP(EDATE(B46,-12),Database!$A:$AS,MATCH($G$1,Database!$A$1:$AS$1,),))))</f>
        <v>2.1669430624654436E-2</v>
      </c>
      <c r="H46" s="13">
        <f>((((VLOOKUP(B46,Database!$A:$AS,MATCH($H$1,Database!$A$1:$AS$1,),))))-(((VLOOKUP(EDATE(B46,-12),Database!$A:$AS,MATCH($H$1,Database!$A$1:$AS$1,),)))))/(((VLOOKUP(EDATE(B46,-12),Database!$A:$AS,MATCH($H$1,Database!$A$1:$AS$1,),))))</f>
        <v>-1.8842530280802062E-2</v>
      </c>
      <c r="I46" s="13">
        <f>((((VLOOKUP(B46,Database!$A:$AS,MATCH($I$1,Database!$A$1:$AS$1,),))))-(((VLOOKUP(EDATE(B46,-12),Database!$A:$AS,MATCH($I$1,Database!$A$1:$AS$1,),)))))/(((VLOOKUP(EDATE(B46,-12),Database!$A:$AS,MATCH($I$1,Database!$A$1:$AS$1,),))))</f>
        <v>1.9319227234838011E-2</v>
      </c>
      <c r="J46" s="13">
        <f>((((VLOOKUP(B46,Database!$A:$AS,MATCH($J$1,Database!$A$1:$AS$1,),))))-(((VLOOKUP(EDATE(B46,-12),Database!$A:$AS,MATCH($J$1,Database!$A$1:$AS$1,),)))))/(((VLOOKUP(EDATE(B46,-12),Database!$A:$AS,MATCH($J$1,Database!$A$1:$AS$1,),))))</f>
        <v>-2.3145767276849926E-3</v>
      </c>
      <c r="K46" s="13">
        <f>((((VLOOKUP(B46,Database!$A:$AS,MATCH($K$1,Database!$A$1:$AS$1,),))))-(((VLOOKUP(EDATE(B46,-12),Database!$A:$AS,MATCH($K$1,Database!$A$1:$AS$1,),)))))/(((VLOOKUP(EDATE(B46,-12),Database!$A:$AS,MATCH($K$1,Database!$A$1:$AS$1,),))))</f>
        <v>-1.7316017313002349E-2</v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>4.1577825157918059E-2</v>
      </c>
      <c r="M46" s="13" t="e">
        <f>((((VLOOKUP(B46,Database!$A:$AS,MATCH($M$1,Database!$A$1:$AS$1,),))))-(((VLOOKUP(EDATE(B46,-12),Database!$A:$AS,MATCH($M$1,Database!$A$1:$AS$1,),)))))/(((VLOOKUP(EDATE(B46,-12),Database!$A:$AS,MATCH($M$1,Database!$A$1:$AS$1,),))))</f>
        <v>#DIV/0!</v>
      </c>
      <c r="N46" s="13" t="e">
        <f>((((VLOOKUP(B46,Database!$A:$AS,MATCH($N$1,Database!$A$1:$AS$1,),))))-(((VLOOKUP(EDATE(B46,-12),Database!$A:$AS,MATCH($N$1,Database!$A$1:$AS$1,),)))))/(((VLOOKUP(EDATE(B46,-12),Database!$A:$AS,MATCH($N$1,Database!$A$1:$AS$1,),))))</f>
        <v>#DIV/0!</v>
      </c>
      <c r="O46" s="13">
        <f>((((VLOOKUP(B46,Database!$A:$AS,MATCH($O$1,Database!$A$1:$AS$1,),))))-(((VLOOKUP(EDATE(B46,-12),Database!$A:$AS,MATCH($O$1,Database!$A$1:$AS$1,),)))))/(((VLOOKUP(EDATE(B46,-12),Database!$A:$AS,MATCH($O$1,Database!$A$1:$AS$1,),))))</f>
        <v>-1.0500522560083336E-2</v>
      </c>
      <c r="P46" s="13">
        <f>((((VLOOKUP(B46,Database!$A:$AS,MATCH($P$1,Database!$A$1:$AS$1,),))))-(((VLOOKUP(EDATE(B46,-12),Database!$A:$AS,MATCH($P$1,Database!$A$1:$AS$1,),)))))/(((VLOOKUP(EDATE(B46,-12),Database!$A:$AS,MATCH($P$1,Database!$A$1:$AS$1,),))))</f>
        <v>0.10009558922506026</v>
      </c>
      <c r="Q46" s="13">
        <f>((((VLOOKUP(B46,Database!$A:$AS,MATCH($Q$1,Database!$A$1:$AS$1,),))))-(((VLOOKUP(EDATE(B46,-12),Database!$A:$AS,MATCH($Q$1,Database!$A$1:$AS$1,),)))))/(((VLOOKUP(EDATE(B46,-12),Database!$A:$AS,MATCH($Q$1,Database!$A$1:$AS$1,),))))</f>
        <v>-3.9334011889325789E-2</v>
      </c>
      <c r="R46" s="13">
        <f>((((VLOOKUP(B46,Database!$A:$AS,MATCH($R$1,Database!$A$1:$AS$1,),))))-(((VLOOKUP(EDATE(B46,-12),Database!$A:$AS,MATCH($R$1,Database!$A$1:$AS$1,),)))))/(((VLOOKUP(EDATE(B46,-12),Database!$A:$AS,MATCH($R$1,Database!$A$1:$AS$1,),))))</f>
        <v>-1.893914318887974E-2</v>
      </c>
      <c r="S46" s="13">
        <f>((((VLOOKUP(B46,Database!$A:$AS,MATCH($S$1,Database!$A$1:$AS$1,),))))-(((VLOOKUP(EDATE(B46,-12),Database!$A:$AS,MATCH($S$1,Database!$A$1:$AS$1,),)))))/(((VLOOKUP(EDATE(B46,-12),Database!$A:$AS,MATCH($S$1,Database!$A$1:$AS$1,),))))</f>
        <v>8.8607594889019897E-2</v>
      </c>
      <c r="T46" s="13">
        <f>((((VLOOKUP(B46,Database!$A:$AS,MATCH($T$1,Database!$A$1:$AS$1,),))))-(((VLOOKUP(EDATE(B46,-12),Database!$A:$AS,MATCH($T$1,Database!$A$1:$AS$1,),)))))/(((VLOOKUP(EDATE(B46,-12),Database!$A:$AS,MATCH($T$1,Database!$A$1:$AS$1,),))))</f>
        <v>6.0240963938894693E-3</v>
      </c>
      <c r="U46" s="13">
        <f>((((VLOOKUP(B46,Database!$A:$AS,MATCH($U$1,Database!$A$1:$AS$1,),))))-(((VLOOKUP(EDATE(B46,-12),Database!$A:$AS,MATCH($U$1,Database!$A$1:$AS$1,),)))))/(((VLOOKUP(EDATE(B46,-12),Database!$A:$AS,MATCH($U$1,Database!$A$1:$AS$1,),))))</f>
        <v>-0.28020908288909252</v>
      </c>
      <c r="V46" s="13">
        <f>((((VLOOKUP(B46,Database!$A:$AS,MATCH($V$1,Database!$A$1:$AS$1,),))))-(((VLOOKUP(EDATE(B46,-12),Database!$A:$AS,MATCH($V$1,Database!$A$1:$AS$1,),)))))/(((VLOOKUP(EDATE(B46,-12),Database!$A:$AS,MATCH($V$1,Database!$A$1:$AS$1,),))))</f>
        <v>-0.23883881151030376</v>
      </c>
    </row>
    <row r="47" spans="1:22" s="83" customFormat="1" x14ac:dyDescent="0.2">
      <c r="A47" s="43"/>
      <c r="B47" s="78">
        <v>33573</v>
      </c>
      <c r="C47" s="13">
        <f>((((VLOOKUP(B47,Database!$A:$AS,MATCH($C$1,Database!$A$1:$AS$1,),))))-(((VLOOKUP(EDATE(B47,-12),Database!$A:$AS,MATCH($C$1,Database!$A$1:$AS$1,),)))))/(((VLOOKUP(EDATE(B47,-12),Database!$A:$AS,MATCH($C$1,Database!$A$1:$AS$1,),))))</f>
        <v>8.2543857593991819E-3</v>
      </c>
      <c r="D47" s="13">
        <f>((((VLOOKUP(B47,Database!$A:$AS,MATCH($D$1,Database!$A$1:$AS$1,),))))-(((VLOOKUP(EDATE(B47,-12),Database!$A:$AS,MATCH($D$1,Database!$A$1:$AS$1,),)))))/(((VLOOKUP(EDATE(B47,-12),Database!$A:$AS,MATCH($D$1,Database!$A$1:$AS$1,),))))</f>
        <v>5.5308613072017128E-4</v>
      </c>
      <c r="E47" s="13">
        <f>((((VLOOKUP(B47,Database!$A:$AS,MATCH($E$1,Database!$A$1:$AS$1,),))))-(((VLOOKUP(EDATE(B47,-12),Database!$A:$AS,MATCH($E$1,Database!$A$1:$AS$1,),)))))/(((VLOOKUP(EDATE(B47,-12),Database!$A:$AS,MATCH($E$1,Database!$A$1:$AS$1,),))))</f>
        <v>-2.0872865278320066E-2</v>
      </c>
      <c r="F47" s="13">
        <f>((((VLOOKUP(B47,Database!$A:$AS,MATCH($F$1,Database!$A$1:$AS$1,),))))-(((VLOOKUP(EDATE(B47,-12),Database!$A:$AS,MATCH($F$1,Database!$A$1:$AS$1,),)))))/(((VLOOKUP(EDATE(B47,-12),Database!$A:$AS,MATCH($F$1,Database!$A$1:$AS$1,),))))</f>
        <v>9.0525218261813586E-3</v>
      </c>
      <c r="G47" s="13">
        <f>((((VLOOKUP(B47,Database!$A:$AS,MATCH($G$1,Database!$A$1:$AS$1,),))))-(((VLOOKUP(EDATE(B47,-12),Database!$A:$AS,MATCH($G$1,Database!$A$1:$AS$1,),)))))/(((VLOOKUP(EDATE(B47,-12),Database!$A:$AS,MATCH($G$1,Database!$A$1:$AS$1,),))))</f>
        <v>-1.0918222513380408E-4</v>
      </c>
      <c r="H47" s="13">
        <f>((((VLOOKUP(B47,Database!$A:$AS,MATCH($H$1,Database!$A$1:$AS$1,),))))-(((VLOOKUP(EDATE(B47,-12),Database!$A:$AS,MATCH($H$1,Database!$A$1:$AS$1,),)))))/(((VLOOKUP(EDATE(B47,-12),Database!$A:$AS,MATCH($H$1,Database!$A$1:$AS$1,),))))</f>
        <v>-1.7591339649177671E-2</v>
      </c>
      <c r="I47" s="13">
        <f>((((VLOOKUP(B47,Database!$A:$AS,MATCH($I$1,Database!$A$1:$AS$1,),))))-(((VLOOKUP(EDATE(B47,-12),Database!$A:$AS,MATCH($I$1,Database!$A$1:$AS$1,),)))))/(((VLOOKUP(EDATE(B47,-12),Database!$A:$AS,MATCH($I$1,Database!$A$1:$AS$1,),))))</f>
        <v>-1.085972850377322E-2</v>
      </c>
      <c r="J47" s="13">
        <f>((((VLOOKUP(B47,Database!$A:$AS,MATCH($J$1,Database!$A$1:$AS$1,),))))-(((VLOOKUP(EDATE(B47,-12),Database!$A:$AS,MATCH($J$1,Database!$A$1:$AS$1,),)))))/(((VLOOKUP(EDATE(B47,-12),Database!$A:$AS,MATCH($J$1,Database!$A$1:$AS$1,),))))</f>
        <v>1.2647135508425967E-2</v>
      </c>
      <c r="K47" s="13">
        <f>((((VLOOKUP(B47,Database!$A:$AS,MATCH($K$1,Database!$A$1:$AS$1,),))))-(((VLOOKUP(EDATE(B47,-12),Database!$A:$AS,MATCH($K$1,Database!$A$1:$AS$1,),)))))/(((VLOOKUP(EDATE(B47,-12),Database!$A:$AS,MATCH($K$1,Database!$A$1:$AS$1,),))))</f>
        <v>-4.4222539232598487E-2</v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>3.9956803450271354E-2</v>
      </c>
      <c r="M47" s="13" t="e">
        <f>((((VLOOKUP(B47,Database!$A:$AS,MATCH($M$1,Database!$A$1:$AS$1,),))))-(((VLOOKUP(EDATE(B47,-12),Database!$A:$AS,MATCH($M$1,Database!$A$1:$AS$1,),)))))/(((VLOOKUP(EDATE(B47,-12),Database!$A:$AS,MATCH($M$1,Database!$A$1:$AS$1,),))))</f>
        <v>#DIV/0!</v>
      </c>
      <c r="N47" s="13" t="e">
        <f>((((VLOOKUP(B47,Database!$A:$AS,MATCH($N$1,Database!$A$1:$AS$1,),))))-(((VLOOKUP(EDATE(B47,-12),Database!$A:$AS,MATCH($N$1,Database!$A$1:$AS$1,),)))))/(((VLOOKUP(EDATE(B47,-12),Database!$A:$AS,MATCH($N$1,Database!$A$1:$AS$1,),))))</f>
        <v>#DIV/0!</v>
      </c>
      <c r="O47" s="13">
        <f>((((VLOOKUP(B47,Database!$A:$AS,MATCH($O$1,Database!$A$1:$AS$1,),))))-(((VLOOKUP(EDATE(B47,-12),Database!$A:$AS,MATCH($O$1,Database!$A$1:$AS$1,),)))))/(((VLOOKUP(EDATE(B47,-12),Database!$A:$AS,MATCH($O$1,Database!$A$1:$AS$1,),))))</f>
        <v>-1.3062636594476323E-2</v>
      </c>
      <c r="P47" s="13">
        <f>((((VLOOKUP(B47,Database!$A:$AS,MATCH($P$1,Database!$A$1:$AS$1,),))))-(((VLOOKUP(EDATE(B47,-12),Database!$A:$AS,MATCH($P$1,Database!$A$1:$AS$1,),)))))/(((VLOOKUP(EDATE(B47,-12),Database!$A:$AS,MATCH($P$1,Database!$A$1:$AS$1,),))))</f>
        <v>8.0568720385928244E-2</v>
      </c>
      <c r="Q47" s="13">
        <f>((((VLOOKUP(B47,Database!$A:$AS,MATCH($Q$1,Database!$A$1:$AS$1,),))))-(((VLOOKUP(EDATE(B47,-12),Database!$A:$AS,MATCH($Q$1,Database!$A$1:$AS$1,),)))))/(((VLOOKUP(EDATE(B47,-12),Database!$A:$AS,MATCH($Q$1,Database!$A$1:$AS$1,),))))</f>
        <v>-3.8983763104489776E-2</v>
      </c>
      <c r="R47" s="13">
        <f>((((VLOOKUP(B47,Database!$A:$AS,MATCH($R$1,Database!$A$1:$AS$1,),))))-(((VLOOKUP(EDATE(B47,-12),Database!$A:$AS,MATCH($R$1,Database!$A$1:$AS$1,),)))))/(((VLOOKUP(EDATE(B47,-12),Database!$A:$AS,MATCH($R$1,Database!$A$1:$AS$1,),))))</f>
        <v>-5.6994226065718911E-2</v>
      </c>
      <c r="S47" s="13">
        <f>((((VLOOKUP(B47,Database!$A:$AS,MATCH($S$1,Database!$A$1:$AS$1,),))))-(((VLOOKUP(EDATE(B47,-12),Database!$A:$AS,MATCH($S$1,Database!$A$1:$AS$1,),)))))/(((VLOOKUP(EDATE(B47,-12),Database!$A:$AS,MATCH($S$1,Database!$A$1:$AS$1,),))))</f>
        <v>1.6326530606912255E-2</v>
      </c>
      <c r="T47" s="13">
        <f>((((VLOOKUP(B47,Database!$A:$AS,MATCH($T$1,Database!$A$1:$AS$1,),))))-(((VLOOKUP(EDATE(B47,-12),Database!$A:$AS,MATCH($T$1,Database!$A$1:$AS$1,),)))))/(((VLOOKUP(EDATE(B47,-12),Database!$A:$AS,MATCH($T$1,Database!$A$1:$AS$1,),))))</f>
        <v>4.0880503154049438E-2</v>
      </c>
      <c r="U47" s="13">
        <f>((((VLOOKUP(B47,Database!$A:$AS,MATCH($U$1,Database!$A$1:$AS$1,),))))-(((VLOOKUP(EDATE(B47,-12),Database!$A:$AS,MATCH($U$1,Database!$A$1:$AS$1,),)))))/(((VLOOKUP(EDATE(B47,-12),Database!$A:$AS,MATCH($U$1,Database!$A$1:$AS$1,),))))</f>
        <v>-0.34277316235337724</v>
      </c>
      <c r="V47" s="13">
        <f>((((VLOOKUP(B47,Database!$A:$AS,MATCH($V$1,Database!$A$1:$AS$1,),))))-(((VLOOKUP(EDATE(B47,-12),Database!$A:$AS,MATCH($V$1,Database!$A$1:$AS$1,),)))))/(((VLOOKUP(EDATE(B47,-12),Database!$A:$AS,MATCH($V$1,Database!$A$1:$AS$1,),))))</f>
        <v>-0.21115006143580226</v>
      </c>
    </row>
    <row r="48" spans="1:22" s="83" customFormat="1" x14ac:dyDescent="0.2">
      <c r="A48" s="43"/>
      <c r="B48" s="78">
        <v>33604</v>
      </c>
      <c r="C48" s="13">
        <f>((((VLOOKUP(B48,Database!$A:$AS,MATCH($C$1,Database!$A$1:$AS$1,),))))-(((VLOOKUP(EDATE(B48,-12),Database!$A:$AS,MATCH($C$1,Database!$A$1:$AS$1,),)))))/(((VLOOKUP(EDATE(B48,-12),Database!$A:$AS,MATCH($C$1,Database!$A$1:$AS$1,),))))</f>
        <v>6.7142093497894201E-3</v>
      </c>
      <c r="D48" s="13">
        <f>((((VLOOKUP(B48,Database!$A:$AS,MATCH($D$1,Database!$A$1:$AS$1,),))))-(((VLOOKUP(EDATE(B48,-12),Database!$A:$AS,MATCH($D$1,Database!$A$1:$AS$1,),)))))/(((VLOOKUP(EDATE(B48,-12),Database!$A:$AS,MATCH($D$1,Database!$A$1:$AS$1,),))))</f>
        <v>-7.2727272727272042E-3</v>
      </c>
      <c r="E48" s="13">
        <f>((((VLOOKUP(B48,Database!$A:$AS,MATCH($E$1,Database!$A$1:$AS$1,),))))-(((VLOOKUP(EDATE(B48,-12),Database!$A:$AS,MATCH($E$1,Database!$A$1:$AS$1,),)))))/(((VLOOKUP(EDATE(B48,-12),Database!$A:$AS,MATCH($E$1,Database!$A$1:$AS$1,),))))</f>
        <v>-3.3930254472073214E-2</v>
      </c>
      <c r="F48" s="13">
        <f>((((VLOOKUP(B48,Database!$A:$AS,MATCH($F$1,Database!$A$1:$AS$1,),))))-(((VLOOKUP(EDATE(B48,-12),Database!$A:$AS,MATCH($F$1,Database!$A$1:$AS$1,),)))))/(((VLOOKUP(EDATE(B48,-12),Database!$A:$AS,MATCH($F$1,Database!$A$1:$AS$1,),))))</f>
        <v>-9.1623036710895001E-3</v>
      </c>
      <c r="G48" s="13">
        <f>((((VLOOKUP(B48,Database!$A:$AS,MATCH($G$1,Database!$A$1:$AS$1,),))))-(((VLOOKUP(EDATE(B48,-12),Database!$A:$AS,MATCH($G$1,Database!$A$1:$AS$1,),)))))/(((VLOOKUP(EDATE(B48,-12),Database!$A:$AS,MATCH($G$1,Database!$A$1:$AS$1,),))))</f>
        <v>-1.0025873221216114E-2</v>
      </c>
      <c r="H48" s="13">
        <f>((((VLOOKUP(B48,Database!$A:$AS,MATCH($H$1,Database!$A$1:$AS$1,),))))-(((VLOOKUP(EDATE(B48,-12),Database!$A:$AS,MATCH($H$1,Database!$A$1:$AS$1,),)))))/(((VLOOKUP(EDATE(B48,-12),Database!$A:$AS,MATCH($H$1,Database!$A$1:$AS$1,),))))</f>
        <v>-1.6282225241198104E-2</v>
      </c>
      <c r="I48" s="13">
        <f>((((VLOOKUP(B48,Database!$A:$AS,MATCH($I$1,Database!$A$1:$AS$1,),))))-(((VLOOKUP(EDATE(B48,-12),Database!$A:$AS,MATCH($I$1,Database!$A$1:$AS$1,),)))))/(((VLOOKUP(EDATE(B48,-12),Database!$A:$AS,MATCH($I$1,Database!$A$1:$AS$1,),))))</f>
        <v>-8.1008100787719004E-3</v>
      </c>
      <c r="J48" s="13">
        <f>((((VLOOKUP(B48,Database!$A:$AS,MATCH($J$1,Database!$A$1:$AS$1,),))))-(((VLOOKUP(EDATE(B48,-12),Database!$A:$AS,MATCH($J$1,Database!$A$1:$AS$1,),)))))/(((VLOOKUP(EDATE(B48,-12),Database!$A:$AS,MATCH($J$1,Database!$A$1:$AS$1,),))))</f>
        <v>-4.19755047911853E-3</v>
      </c>
      <c r="K48" s="13">
        <f>((((VLOOKUP(B48,Database!$A:$AS,MATCH($K$1,Database!$A$1:$AS$1,),))))-(((VLOOKUP(EDATE(B48,-12),Database!$A:$AS,MATCH($K$1,Database!$A$1:$AS$1,),)))))/(((VLOOKUP(EDATE(B48,-12),Database!$A:$AS,MATCH($K$1,Database!$A$1:$AS$1,),))))</f>
        <v>-1.300578034815778E-2</v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>1.3684210520905566E-2</v>
      </c>
      <c r="M48" s="13" t="e">
        <f>((((VLOOKUP(B48,Database!$A:$AS,MATCH($M$1,Database!$A$1:$AS$1,),))))-(((VLOOKUP(EDATE(B48,-12),Database!$A:$AS,MATCH($M$1,Database!$A$1:$AS$1,),)))))/(((VLOOKUP(EDATE(B48,-12),Database!$A:$AS,MATCH($M$1,Database!$A$1:$AS$1,),))))</f>
        <v>#DIV/0!</v>
      </c>
      <c r="N48" s="13" t="e">
        <f>((((VLOOKUP(B48,Database!$A:$AS,MATCH($N$1,Database!$A$1:$AS$1,),))))-(((VLOOKUP(EDATE(B48,-12),Database!$A:$AS,MATCH($N$1,Database!$A$1:$AS$1,),)))))/(((VLOOKUP(EDATE(B48,-12),Database!$A:$AS,MATCH($N$1,Database!$A$1:$AS$1,),))))</f>
        <v>#DIV/0!</v>
      </c>
      <c r="O48" s="13">
        <f>((((VLOOKUP(B48,Database!$A:$AS,MATCH($O$1,Database!$A$1:$AS$1,),))))-(((VLOOKUP(EDATE(B48,-12),Database!$A:$AS,MATCH($O$1,Database!$A$1:$AS$1,),)))))/(((VLOOKUP(EDATE(B48,-12),Database!$A:$AS,MATCH($O$1,Database!$A$1:$AS$1,),))))</f>
        <v>-4.2706894798923076E-3</v>
      </c>
      <c r="P48" s="13">
        <f>((((VLOOKUP(B48,Database!$A:$AS,MATCH($P$1,Database!$A$1:$AS$1,),))))-(((VLOOKUP(EDATE(B48,-12),Database!$A:$AS,MATCH($P$1,Database!$A$1:$AS$1,),)))))/(((VLOOKUP(EDATE(B48,-12),Database!$A:$AS,MATCH($P$1,Database!$A$1:$AS$1,),))))</f>
        <v>8.0399982073964829E-2</v>
      </c>
      <c r="Q48" s="13">
        <f>((((VLOOKUP(B48,Database!$A:$AS,MATCH($Q$1,Database!$A$1:$AS$1,),))))-(((VLOOKUP(EDATE(B48,-12),Database!$A:$AS,MATCH($Q$1,Database!$A$1:$AS$1,),)))))/(((VLOOKUP(EDATE(B48,-12),Database!$A:$AS,MATCH($Q$1,Database!$A$1:$AS$1,),))))</f>
        <v>-1.6926016931162895E-2</v>
      </c>
      <c r="R48" s="13">
        <f>((((VLOOKUP(B48,Database!$A:$AS,MATCH($R$1,Database!$A$1:$AS$1,),))))-(((VLOOKUP(EDATE(B48,-12),Database!$A:$AS,MATCH($R$1,Database!$A$1:$AS$1,),)))))/(((VLOOKUP(EDATE(B48,-12),Database!$A:$AS,MATCH($R$1,Database!$A$1:$AS$1,),))))</f>
        <v>1.0574595010205527E-2</v>
      </c>
      <c r="S48" s="13">
        <f>((((VLOOKUP(B48,Database!$A:$AS,MATCH($S$1,Database!$A$1:$AS$1,),))))-(((VLOOKUP(EDATE(B48,-12),Database!$A:$AS,MATCH($S$1,Database!$A$1:$AS$1,),)))))/(((VLOOKUP(EDATE(B48,-12),Database!$A:$AS,MATCH($S$1,Database!$A$1:$AS$1,),))))</f>
        <v>7.4380165300762732E-2</v>
      </c>
      <c r="T48" s="13">
        <f>((((VLOOKUP(B48,Database!$A:$AS,MATCH($T$1,Database!$A$1:$AS$1,),))))-(((VLOOKUP(EDATE(B48,-12),Database!$A:$AS,MATCH($T$1,Database!$A$1:$AS$1,),)))))/(((VLOOKUP(EDATE(B48,-12),Database!$A:$AS,MATCH($T$1,Database!$A$1:$AS$1,),))))</f>
        <v>0.20652173910680321</v>
      </c>
      <c r="U48" s="13">
        <f>((((VLOOKUP(B48,Database!$A:$AS,MATCH($U$1,Database!$A$1:$AS$1,),))))-(((VLOOKUP(EDATE(B48,-12),Database!$A:$AS,MATCH($U$1,Database!$A$1:$AS$1,),)))))/(((VLOOKUP(EDATE(B48,-12),Database!$A:$AS,MATCH($U$1,Database!$A$1:$AS$1,),))))</f>
        <v>-0.23028274747949087</v>
      </c>
      <c r="V48" s="13">
        <f>((((VLOOKUP(B48,Database!$A:$AS,MATCH($V$1,Database!$A$1:$AS$1,),))))-(((VLOOKUP(EDATE(B48,-12),Database!$A:$AS,MATCH($V$1,Database!$A$1:$AS$1,),)))))/(((VLOOKUP(EDATE(B48,-12),Database!$A:$AS,MATCH($V$1,Database!$A$1:$AS$1,),))))</f>
        <v>-0.15391943658264962</v>
      </c>
    </row>
    <row r="49" spans="1:22" s="83" customFormat="1" x14ac:dyDescent="0.2">
      <c r="A49" s="43"/>
      <c r="B49" s="78">
        <v>33635</v>
      </c>
      <c r="C49" s="13">
        <f>((((VLOOKUP(B49,Database!$A:$AS,MATCH($C$1,Database!$A$1:$AS$1,),))))-(((VLOOKUP(EDATE(B49,-12),Database!$A:$AS,MATCH($C$1,Database!$A$1:$AS$1,),)))))/(((VLOOKUP(EDATE(B49,-12),Database!$A:$AS,MATCH($C$1,Database!$A$1:$AS$1,),))))</f>
        <v>2.1193096485648617E-2</v>
      </c>
      <c r="D49" s="13">
        <f>((((VLOOKUP(B49,Database!$A:$AS,MATCH($D$1,Database!$A$1:$AS$1,),))))-(((VLOOKUP(EDATE(B49,-12),Database!$A:$AS,MATCH($D$1,Database!$A$1:$AS$1,),)))))/(((VLOOKUP(EDATE(B49,-12),Database!$A:$AS,MATCH($D$1,Database!$A$1:$AS$1,),))))</f>
        <v>8.5889570552147593E-3</v>
      </c>
      <c r="E49" s="13">
        <f>((((VLOOKUP(B49,Database!$A:$AS,MATCH($E$1,Database!$A$1:$AS$1,),))))-(((VLOOKUP(EDATE(B49,-12),Database!$A:$AS,MATCH($E$1,Database!$A$1:$AS$1,),)))))/(((VLOOKUP(EDATE(B49,-12),Database!$A:$AS,MATCH($E$1,Database!$A$1:$AS$1,),))))</f>
        <v>-4.0375586855025195E-2</v>
      </c>
      <c r="F49" s="13">
        <f>((((VLOOKUP(B49,Database!$A:$AS,MATCH($F$1,Database!$A$1:$AS$1,),))))-(((VLOOKUP(EDATE(B49,-12),Database!$A:$AS,MATCH($F$1,Database!$A$1:$AS$1,),)))))/(((VLOOKUP(EDATE(B49,-12),Database!$A:$AS,MATCH($F$1,Database!$A$1:$AS$1,),))))</f>
        <v>1.9867549663259869E-2</v>
      </c>
      <c r="G49" s="13">
        <f>((((VLOOKUP(B49,Database!$A:$AS,MATCH($G$1,Database!$A$1:$AS$1,),))))-(((VLOOKUP(EDATE(B49,-12),Database!$A:$AS,MATCH($G$1,Database!$A$1:$AS$1,),)))))/(((VLOOKUP(EDATE(B49,-12),Database!$A:$AS,MATCH($G$1,Database!$A$1:$AS$1,),))))</f>
        <v>-1.3639315869235667E-2</v>
      </c>
      <c r="H49" s="13">
        <f>((((VLOOKUP(B49,Database!$A:$AS,MATCH($H$1,Database!$A$1:$AS$1,),))))-(((VLOOKUP(EDATE(B49,-12),Database!$A:$AS,MATCH($H$1,Database!$A$1:$AS$1,),)))))/(((VLOOKUP(EDATE(B49,-12),Database!$A:$AS,MATCH($H$1,Database!$A$1:$AS$1,),))))</f>
        <v>-9.4979647271862949E-3</v>
      </c>
      <c r="I49" s="13">
        <f>((((VLOOKUP(B49,Database!$A:$AS,MATCH($I$1,Database!$A$1:$AS$1,),))))-(((VLOOKUP(EDATE(B49,-12),Database!$A:$AS,MATCH($I$1,Database!$A$1:$AS$1,),)))))/(((VLOOKUP(EDATE(B49,-12),Database!$A:$AS,MATCH($I$1,Database!$A$1:$AS$1,),))))</f>
        <v>1.1009174308828966E-2</v>
      </c>
      <c r="J49" s="13">
        <f>((((VLOOKUP(B49,Database!$A:$AS,MATCH($J$1,Database!$A$1:$AS$1,),))))-(((VLOOKUP(EDATE(B49,-12),Database!$A:$AS,MATCH($J$1,Database!$A$1:$AS$1,),)))))/(((VLOOKUP(EDATE(B49,-12),Database!$A:$AS,MATCH($J$1,Database!$A$1:$AS$1,),))))</f>
        <v>1.3500268295019352E-2</v>
      </c>
      <c r="K49" s="13">
        <f>((((VLOOKUP(B49,Database!$A:$AS,MATCH($K$1,Database!$A$1:$AS$1,),))))-(((VLOOKUP(EDATE(B49,-12),Database!$A:$AS,MATCH($K$1,Database!$A$1:$AS$1,),)))))/(((VLOOKUP(EDATE(B49,-12),Database!$A:$AS,MATCH($K$1,Database!$A$1:$AS$1,),))))</f>
        <v>-1.7316017313002349E-2</v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>1.3669821235369721E-2</v>
      </c>
      <c r="M49" s="13" t="e">
        <f>((((VLOOKUP(B49,Database!$A:$AS,MATCH($M$1,Database!$A$1:$AS$1,),))))-(((VLOOKUP(EDATE(B49,-12),Database!$A:$AS,MATCH($M$1,Database!$A$1:$AS$1,),)))))/(((VLOOKUP(EDATE(B49,-12),Database!$A:$AS,MATCH($M$1,Database!$A$1:$AS$1,),))))</f>
        <v>#DIV/0!</v>
      </c>
      <c r="N49" s="13" t="e">
        <f>((((VLOOKUP(B49,Database!$A:$AS,MATCH($N$1,Database!$A$1:$AS$1,),))))-(((VLOOKUP(EDATE(B49,-12),Database!$A:$AS,MATCH($N$1,Database!$A$1:$AS$1,),)))))/(((VLOOKUP(EDATE(B49,-12),Database!$A:$AS,MATCH($N$1,Database!$A$1:$AS$1,),))))</f>
        <v>#DIV/0!</v>
      </c>
      <c r="O49" s="13">
        <f>((((VLOOKUP(B49,Database!$A:$AS,MATCH($O$1,Database!$A$1:$AS$1,),))))-(((VLOOKUP(EDATE(B49,-12),Database!$A:$AS,MATCH($O$1,Database!$A$1:$AS$1,),)))))/(((VLOOKUP(EDATE(B49,-12),Database!$A:$AS,MATCH($O$1,Database!$A$1:$AS$1,),))))</f>
        <v>1.2332242579547573E-2</v>
      </c>
      <c r="P49" s="13">
        <f>((((VLOOKUP(B49,Database!$A:$AS,MATCH($P$1,Database!$A$1:$AS$1,),))))-(((VLOOKUP(EDATE(B49,-12),Database!$A:$AS,MATCH($P$1,Database!$A$1:$AS$1,),)))))/(((VLOOKUP(EDATE(B49,-12),Database!$A:$AS,MATCH($P$1,Database!$A$1:$AS$1,),))))</f>
        <v>0.1041312706857859</v>
      </c>
      <c r="Q49" s="13">
        <f>((((VLOOKUP(B49,Database!$A:$AS,MATCH($Q$1,Database!$A$1:$AS$1,),))))-(((VLOOKUP(EDATE(B49,-12),Database!$A:$AS,MATCH($Q$1,Database!$A$1:$AS$1,),)))))/(((VLOOKUP(EDATE(B49,-12),Database!$A:$AS,MATCH($Q$1,Database!$A$1:$AS$1,),))))</f>
        <v>3.3712541627338541E-2</v>
      </c>
      <c r="R49" s="13">
        <f>((((VLOOKUP(B49,Database!$A:$AS,MATCH($R$1,Database!$A$1:$AS$1,),))))-(((VLOOKUP(EDATE(B49,-12),Database!$A:$AS,MATCH($R$1,Database!$A$1:$AS$1,),)))))/(((VLOOKUP(EDATE(B49,-12),Database!$A:$AS,MATCH($R$1,Database!$A$1:$AS$1,),))))</f>
        <v>-2.4518692460625872E-2</v>
      </c>
      <c r="S49" s="13">
        <f>((((VLOOKUP(B49,Database!$A:$AS,MATCH($S$1,Database!$A$1:$AS$1,),))))-(((VLOOKUP(EDATE(B49,-12),Database!$A:$AS,MATCH($S$1,Database!$A$1:$AS$1,),)))))/(((VLOOKUP(EDATE(B49,-12),Database!$A:$AS,MATCH($S$1,Database!$A$1:$AS$1,),))))</f>
        <v>5.7377049125997899E-2</v>
      </c>
      <c r="T49" s="13">
        <f>((((VLOOKUP(B49,Database!$A:$AS,MATCH($T$1,Database!$A$1:$AS$1,),))))-(((VLOOKUP(EDATE(B49,-12),Database!$A:$AS,MATCH($T$1,Database!$A$1:$AS$1,),)))))/(((VLOOKUP(EDATE(B49,-12),Database!$A:$AS,MATCH($T$1,Database!$A$1:$AS$1,),))))</f>
        <v>2.4844720500559664E-2</v>
      </c>
      <c r="U49" s="13">
        <f>((((VLOOKUP(B49,Database!$A:$AS,MATCH($U$1,Database!$A$1:$AS$1,),))))-(((VLOOKUP(EDATE(B49,-12),Database!$A:$AS,MATCH($U$1,Database!$A$1:$AS$1,),)))))/(((VLOOKUP(EDATE(B49,-12),Database!$A:$AS,MATCH($U$1,Database!$A$1:$AS$1,),))))</f>
        <v>-0.16344430647295918</v>
      </c>
      <c r="V49" s="13">
        <f>((((VLOOKUP(B49,Database!$A:$AS,MATCH($V$1,Database!$A$1:$AS$1,),))))-(((VLOOKUP(EDATE(B49,-12),Database!$A:$AS,MATCH($V$1,Database!$A$1:$AS$1,),)))))/(((VLOOKUP(EDATE(B49,-12),Database!$A:$AS,MATCH($V$1,Database!$A$1:$AS$1,),))))</f>
        <v>-9.2530639176914842E-2</v>
      </c>
    </row>
    <row r="50" spans="1:22" s="83" customFormat="1" x14ac:dyDescent="0.2">
      <c r="A50" s="43"/>
      <c r="B50" s="78">
        <v>33664</v>
      </c>
      <c r="C50" s="13">
        <f>((((VLOOKUP(B50,Database!$A:$AS,MATCH($C$1,Database!$A$1:$AS$1,),))))-(((VLOOKUP(EDATE(B50,-12),Database!$A:$AS,MATCH($C$1,Database!$A$1:$AS$1,),)))))/(((VLOOKUP(EDATE(B50,-12),Database!$A:$AS,MATCH($C$1,Database!$A$1:$AS$1,),))))</f>
        <v>3.5272582628833801E-2</v>
      </c>
      <c r="D50" s="13">
        <f>((((VLOOKUP(B50,Database!$A:$AS,MATCH($D$1,Database!$A$1:$AS$1,),))))-(((VLOOKUP(EDATE(B50,-12),Database!$A:$AS,MATCH($D$1,Database!$A$1:$AS$1,),)))))/(((VLOOKUP(EDATE(B50,-12),Database!$A:$AS,MATCH($D$1,Database!$A$1:$AS$1,),))))</f>
        <v>8.6741016109046203E-3</v>
      </c>
      <c r="E50" s="13">
        <f>((((VLOOKUP(B50,Database!$A:$AS,MATCH($E$1,Database!$A$1:$AS$1,),))))-(((VLOOKUP(EDATE(B50,-12),Database!$A:$AS,MATCH($E$1,Database!$A$1:$AS$1,),)))))/(((VLOOKUP(EDATE(B50,-12),Database!$A:$AS,MATCH($E$1,Database!$A$1:$AS$1,),))))</f>
        <v>-4.5497630334579799E-2</v>
      </c>
      <c r="F50" s="13">
        <f>((((VLOOKUP(B50,Database!$A:$AS,MATCH($F$1,Database!$A$1:$AS$1,),))))-(((VLOOKUP(EDATE(B50,-12),Database!$A:$AS,MATCH($F$1,Database!$A$1:$AS$1,),)))))/(((VLOOKUP(EDATE(B50,-12),Database!$A:$AS,MATCH($F$1,Database!$A$1:$AS$1,),))))</f>
        <v>-2.6666666703647379E-3</v>
      </c>
      <c r="G50" s="13">
        <f>((((VLOOKUP(B50,Database!$A:$AS,MATCH($G$1,Database!$A$1:$AS$1,),))))-(((VLOOKUP(EDATE(B50,-12),Database!$A:$AS,MATCH($G$1,Database!$A$1:$AS$1,),)))))/(((VLOOKUP(EDATE(B50,-12),Database!$A:$AS,MATCH($G$1,Database!$A$1:$AS$1,),))))</f>
        <v>8.6603814952861905E-3</v>
      </c>
      <c r="H50" s="13">
        <f>((((VLOOKUP(B50,Database!$A:$AS,MATCH($H$1,Database!$A$1:$AS$1,),))))-(((VLOOKUP(EDATE(B50,-12),Database!$A:$AS,MATCH($H$1,Database!$A$1:$AS$1,),)))))/(((VLOOKUP(EDATE(B50,-12),Database!$A:$AS,MATCH($H$1,Database!$A$1:$AS$1,),))))</f>
        <v>-2.7434842192269053E-3</v>
      </c>
      <c r="I50" s="13">
        <f>((((VLOOKUP(B50,Database!$A:$AS,MATCH($I$1,Database!$A$1:$AS$1,),))))-(((VLOOKUP(EDATE(B50,-12),Database!$A:$AS,MATCH($I$1,Database!$A$1:$AS$1,),)))))/(((VLOOKUP(EDATE(B50,-12),Database!$A:$AS,MATCH($I$1,Database!$A$1:$AS$1,),))))</f>
        <v>1.4760147603586708E-2</v>
      </c>
      <c r="J50" s="13">
        <f>((((VLOOKUP(B50,Database!$A:$AS,MATCH($J$1,Database!$A$1:$AS$1,),))))-(((VLOOKUP(EDATE(B50,-12),Database!$A:$AS,MATCH($J$1,Database!$A$1:$AS$1,),)))))/(((VLOOKUP(EDATE(B50,-12),Database!$A:$AS,MATCH($J$1,Database!$A$1:$AS$1,),))))</f>
        <v>3.6868741797074368E-2</v>
      </c>
      <c r="K50" s="13">
        <f>((((VLOOKUP(B50,Database!$A:$AS,MATCH($K$1,Database!$A$1:$AS$1,),))))-(((VLOOKUP(EDATE(B50,-12),Database!$A:$AS,MATCH($K$1,Database!$A$1:$AS$1,),)))))/(((VLOOKUP(EDATE(B50,-12),Database!$A:$AS,MATCH($K$1,Database!$A$1:$AS$1,),))))</f>
        <v>-1.74927113814815E-2</v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>6.7868504772128843E-2</v>
      </c>
      <c r="M50" s="13" t="e">
        <f>((((VLOOKUP(B50,Database!$A:$AS,MATCH($M$1,Database!$A$1:$AS$1,),))))-(((VLOOKUP(EDATE(B50,-12),Database!$A:$AS,MATCH($M$1,Database!$A$1:$AS$1,),)))))/(((VLOOKUP(EDATE(B50,-12),Database!$A:$AS,MATCH($M$1,Database!$A$1:$AS$1,),))))</f>
        <v>#DIV/0!</v>
      </c>
      <c r="N50" s="13" t="e">
        <f>((((VLOOKUP(B50,Database!$A:$AS,MATCH($N$1,Database!$A$1:$AS$1,),))))-(((VLOOKUP(EDATE(B50,-12),Database!$A:$AS,MATCH($N$1,Database!$A$1:$AS$1,),)))))/(((VLOOKUP(EDATE(B50,-12),Database!$A:$AS,MATCH($N$1,Database!$A$1:$AS$1,),))))</f>
        <v>#DIV/0!</v>
      </c>
      <c r="O50" s="13">
        <f>((((VLOOKUP(B50,Database!$A:$AS,MATCH($O$1,Database!$A$1:$AS$1,),))))-(((VLOOKUP(EDATE(B50,-12),Database!$A:$AS,MATCH($O$1,Database!$A$1:$AS$1,),)))))/(((VLOOKUP(EDATE(B50,-12),Database!$A:$AS,MATCH($O$1,Database!$A$1:$AS$1,),))))</f>
        <v>1.078955329524124E-2</v>
      </c>
      <c r="P50" s="13">
        <f>((((VLOOKUP(B50,Database!$A:$AS,MATCH($P$1,Database!$A$1:$AS$1,),))))-(((VLOOKUP(EDATE(B50,-12),Database!$A:$AS,MATCH($P$1,Database!$A$1:$AS$1,),)))))/(((VLOOKUP(EDATE(B50,-12),Database!$A:$AS,MATCH($P$1,Database!$A$1:$AS$1,),))))</f>
        <v>0.10093174624052895</v>
      </c>
      <c r="Q50" s="13">
        <f>((((VLOOKUP(B50,Database!$A:$AS,MATCH($Q$1,Database!$A$1:$AS$1,),))))-(((VLOOKUP(EDATE(B50,-12),Database!$A:$AS,MATCH($Q$1,Database!$A$1:$AS$1,),)))))/(((VLOOKUP(EDATE(B50,-12),Database!$A:$AS,MATCH($Q$1,Database!$A$1:$AS$1,),))))</f>
        <v>3.0328559392404478E-2</v>
      </c>
      <c r="R50" s="13">
        <f>((((VLOOKUP(B50,Database!$A:$AS,MATCH($R$1,Database!$A$1:$AS$1,),))))-(((VLOOKUP(EDATE(B50,-12),Database!$A:$AS,MATCH($R$1,Database!$A$1:$AS$1,),)))))/(((VLOOKUP(EDATE(B50,-12),Database!$A:$AS,MATCH($R$1,Database!$A$1:$AS$1,),))))</f>
        <v>-1.1388542390348838E-2</v>
      </c>
      <c r="S50" s="13">
        <f>((((VLOOKUP(B50,Database!$A:$AS,MATCH($S$1,Database!$A$1:$AS$1,),))))-(((VLOOKUP(EDATE(B50,-12),Database!$A:$AS,MATCH($S$1,Database!$A$1:$AS$1,),)))))/(((VLOOKUP(EDATE(B50,-12),Database!$A:$AS,MATCH($S$1,Database!$A$1:$AS$1,),))))</f>
        <v>0.14163090129313941</v>
      </c>
      <c r="T50" s="13">
        <f>((((VLOOKUP(B50,Database!$A:$AS,MATCH($T$1,Database!$A$1:$AS$1,),))))-(((VLOOKUP(EDATE(B50,-12),Database!$A:$AS,MATCH($T$1,Database!$A$1:$AS$1,),)))))/(((VLOOKUP(EDATE(B50,-12),Database!$A:$AS,MATCH($T$1,Database!$A$1:$AS$1,),))))</f>
        <v>-1.488095235712312E-2</v>
      </c>
      <c r="U50" s="13">
        <f>((((VLOOKUP(B50,Database!$A:$AS,MATCH($U$1,Database!$A$1:$AS$1,),))))-(((VLOOKUP(EDATE(B50,-12),Database!$A:$AS,MATCH($U$1,Database!$A$1:$AS$1,),)))))/(((VLOOKUP(EDATE(B50,-12),Database!$A:$AS,MATCH($U$1,Database!$A$1:$AS$1,),))))</f>
        <v>-0.20211865894793388</v>
      </c>
      <c r="V50" s="13">
        <f>((((VLOOKUP(B50,Database!$A:$AS,MATCH($V$1,Database!$A$1:$AS$1,),))))-(((VLOOKUP(EDATE(B50,-12),Database!$A:$AS,MATCH($V$1,Database!$A$1:$AS$1,),)))))/(((VLOOKUP(EDATE(B50,-12),Database!$A:$AS,MATCH($V$1,Database!$A$1:$AS$1,),))))</f>
        <v>-4.5781288421965195E-2</v>
      </c>
    </row>
    <row r="51" spans="1:22" s="83" customFormat="1" x14ac:dyDescent="0.2">
      <c r="A51" s="43"/>
      <c r="B51" s="78">
        <v>33695</v>
      </c>
      <c r="C51" s="13">
        <f>((((VLOOKUP(B51,Database!$A:$AS,MATCH($C$1,Database!$A$1:$AS$1,),))))-(((VLOOKUP(EDATE(B51,-12),Database!$A:$AS,MATCH($C$1,Database!$A$1:$AS$1,),)))))/(((VLOOKUP(EDATE(B51,-12),Database!$A:$AS,MATCH($C$1,Database!$A$1:$AS$1,),))))</f>
        <v>4.0119880696788623E-2</v>
      </c>
      <c r="D51" s="13">
        <f>((((VLOOKUP(B51,Database!$A:$AS,MATCH($D$1,Database!$A$1:$AS$1,),))))-(((VLOOKUP(EDATE(B51,-12),Database!$A:$AS,MATCH($D$1,Database!$A$1:$AS$1,),)))))/(((VLOOKUP(EDATE(B51,-12),Database!$A:$AS,MATCH($D$1,Database!$A$1:$AS$1,),))))</f>
        <v>1.3715710723191948E-2</v>
      </c>
      <c r="E51" s="13">
        <f>((((VLOOKUP(B51,Database!$A:$AS,MATCH($E$1,Database!$A$1:$AS$1,),))))-(((VLOOKUP(EDATE(B51,-12),Database!$A:$AS,MATCH($E$1,Database!$A$1:$AS$1,),)))))/(((VLOOKUP(EDATE(B51,-12),Database!$A:$AS,MATCH($E$1,Database!$A$1:$AS$1,),))))</f>
        <v>-5.3824362598714558E-2</v>
      </c>
      <c r="F51" s="13">
        <f>((((VLOOKUP(B51,Database!$A:$AS,MATCH($F$1,Database!$A$1:$AS$1,),))))-(((VLOOKUP(EDATE(B51,-12),Database!$A:$AS,MATCH($F$1,Database!$A$1:$AS$1,),)))))/(((VLOOKUP(EDATE(B51,-12),Database!$A:$AS,MATCH($F$1,Database!$A$1:$AS$1,),))))</f>
        <v>4.0322580633778493E-3</v>
      </c>
      <c r="G51" s="13">
        <f>((((VLOOKUP(B51,Database!$A:$AS,MATCH($G$1,Database!$A$1:$AS$1,),))))-(((VLOOKUP(EDATE(B51,-12),Database!$A:$AS,MATCH($G$1,Database!$A$1:$AS$1,),)))))/(((VLOOKUP(EDATE(B51,-12),Database!$A:$AS,MATCH($G$1,Database!$A$1:$AS$1,),))))</f>
        <v>1.6449172058340354E-3</v>
      </c>
      <c r="H51" s="13">
        <f>((((VLOOKUP(B51,Database!$A:$AS,MATCH($H$1,Database!$A$1:$AS$1,),))))-(((VLOOKUP(EDATE(B51,-12),Database!$A:$AS,MATCH($H$1,Database!$A$1:$AS$1,),)))))/(((VLOOKUP(EDATE(B51,-12),Database!$A:$AS,MATCH($H$1,Database!$A$1:$AS$1,),))))</f>
        <v>1.6666666670540967E-2</v>
      </c>
      <c r="I51" s="13">
        <f>((((VLOOKUP(B51,Database!$A:$AS,MATCH($I$1,Database!$A$1:$AS$1,),))))-(((VLOOKUP(EDATE(B51,-12),Database!$A:$AS,MATCH($I$1,Database!$A$1:$AS$1,),)))))/(((VLOOKUP(EDATE(B51,-12),Database!$A:$AS,MATCH($I$1,Database!$A$1:$AS$1,),))))</f>
        <v>2.7001862192953755E-2</v>
      </c>
      <c r="J51" s="13">
        <f>((((VLOOKUP(B51,Database!$A:$AS,MATCH($J$1,Database!$A$1:$AS$1,),))))-(((VLOOKUP(EDATE(B51,-12),Database!$A:$AS,MATCH($J$1,Database!$A$1:$AS$1,),)))))/(((VLOOKUP(EDATE(B51,-12),Database!$A:$AS,MATCH($J$1,Database!$A$1:$AS$1,),))))</f>
        <v>-3.3898269788952391E-2</v>
      </c>
      <c r="K51" s="13">
        <f>((((VLOOKUP(B51,Database!$A:$AS,MATCH($K$1,Database!$A$1:$AS$1,),))))-(((VLOOKUP(EDATE(B51,-12),Database!$A:$AS,MATCH($K$1,Database!$A$1:$AS$1,),)))))/(((VLOOKUP(EDATE(B51,-12),Database!$A:$AS,MATCH($K$1,Database!$A$1:$AS$1,),))))</f>
        <v>5.8651026382373402E-3</v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>3.1746031742314371E-2</v>
      </c>
      <c r="M51" s="13" t="e">
        <f>((((VLOOKUP(B51,Database!$A:$AS,MATCH($M$1,Database!$A$1:$AS$1,),))))-(((VLOOKUP(EDATE(B51,-12),Database!$A:$AS,MATCH($M$1,Database!$A$1:$AS$1,),)))))/(((VLOOKUP(EDATE(B51,-12),Database!$A:$AS,MATCH($M$1,Database!$A$1:$AS$1,),))))</f>
        <v>#DIV/0!</v>
      </c>
      <c r="N51" s="13" t="e">
        <f>((((VLOOKUP(B51,Database!$A:$AS,MATCH($N$1,Database!$A$1:$AS$1,),))))-(((VLOOKUP(EDATE(B51,-12),Database!$A:$AS,MATCH($N$1,Database!$A$1:$AS$1,),)))))/(((VLOOKUP(EDATE(B51,-12),Database!$A:$AS,MATCH($N$1,Database!$A$1:$AS$1,),))))</f>
        <v>#DIV/0!</v>
      </c>
      <c r="O51" s="13">
        <f>((((VLOOKUP(B51,Database!$A:$AS,MATCH($O$1,Database!$A$1:$AS$1,),))))-(((VLOOKUP(EDATE(B51,-12),Database!$A:$AS,MATCH($O$1,Database!$A$1:$AS$1,),)))))/(((VLOOKUP(EDATE(B51,-12),Database!$A:$AS,MATCH($O$1,Database!$A$1:$AS$1,),))))</f>
        <v>1.9443544611098401E-2</v>
      </c>
      <c r="P51" s="13">
        <f>((((VLOOKUP(B51,Database!$A:$AS,MATCH($P$1,Database!$A$1:$AS$1,),))))-(((VLOOKUP(EDATE(B51,-12),Database!$A:$AS,MATCH($P$1,Database!$A$1:$AS$1,),)))))/(((VLOOKUP(EDATE(B51,-12),Database!$A:$AS,MATCH($P$1,Database!$A$1:$AS$1,),))))</f>
        <v>7.6126701617812861E-2</v>
      </c>
      <c r="Q51" s="13">
        <f>((((VLOOKUP(B51,Database!$A:$AS,MATCH($Q$1,Database!$A$1:$AS$1,),))))-(((VLOOKUP(EDATE(B51,-12),Database!$A:$AS,MATCH($Q$1,Database!$A$1:$AS$1,),)))))/(((VLOOKUP(EDATE(B51,-12),Database!$A:$AS,MATCH($Q$1,Database!$A$1:$AS$1,),))))</f>
        <v>-2.9446562378445566E-2</v>
      </c>
      <c r="R51" s="13">
        <f>((((VLOOKUP(B51,Database!$A:$AS,MATCH($R$1,Database!$A$1:$AS$1,),))))-(((VLOOKUP(EDATE(B51,-12),Database!$A:$AS,MATCH($R$1,Database!$A$1:$AS$1,),)))))/(((VLOOKUP(EDATE(B51,-12),Database!$A:$AS,MATCH($R$1,Database!$A$1:$AS$1,),))))</f>
        <v>-3.4320332608927119E-2</v>
      </c>
      <c r="S51" s="13">
        <f>((((VLOOKUP(B51,Database!$A:$AS,MATCH($S$1,Database!$A$1:$AS$1,),))))-(((VLOOKUP(EDATE(B51,-12),Database!$A:$AS,MATCH($S$1,Database!$A$1:$AS$1,),)))))/(((VLOOKUP(EDATE(B51,-12),Database!$A:$AS,MATCH($S$1,Database!$A$1:$AS$1,),))))</f>
        <v>9.1666666669591487E-2</v>
      </c>
      <c r="T51" s="13">
        <f>((((VLOOKUP(B51,Database!$A:$AS,MATCH($T$1,Database!$A$1:$AS$1,),))))-(((VLOOKUP(EDATE(B51,-12),Database!$A:$AS,MATCH($T$1,Database!$A$1:$AS$1,),)))))/(((VLOOKUP(EDATE(B51,-12),Database!$A:$AS,MATCH($T$1,Database!$A$1:$AS$1,),))))</f>
        <v>2.7950310582541219E-2</v>
      </c>
      <c r="U51" s="13">
        <f>((((VLOOKUP(B51,Database!$A:$AS,MATCH($U$1,Database!$A$1:$AS$1,),))))-(((VLOOKUP(EDATE(B51,-12),Database!$A:$AS,MATCH($U$1,Database!$A$1:$AS$1,),)))))/(((VLOOKUP(EDATE(B51,-12),Database!$A:$AS,MATCH($U$1,Database!$A$1:$AS$1,),))))</f>
        <v>-9.7953313544481002E-2</v>
      </c>
      <c r="V51" s="13">
        <f>((((VLOOKUP(B51,Database!$A:$AS,MATCH($V$1,Database!$A$1:$AS$1,),))))-(((VLOOKUP(EDATE(B51,-12),Database!$A:$AS,MATCH($V$1,Database!$A$1:$AS$1,),)))))/(((VLOOKUP(EDATE(B51,-12),Database!$A:$AS,MATCH($V$1,Database!$A$1:$AS$1,),))))</f>
        <v>1.8196105425131091E-2</v>
      </c>
    </row>
    <row r="52" spans="1:22" s="83" customFormat="1" x14ac:dyDescent="0.2">
      <c r="A52" s="43"/>
      <c r="B52" s="78">
        <v>33725</v>
      </c>
      <c r="C52" s="13">
        <f>((((VLOOKUP(B52,Database!$A:$AS,MATCH($C$1,Database!$A$1:$AS$1,),))))-(((VLOOKUP(EDATE(B52,-12),Database!$A:$AS,MATCH($C$1,Database!$A$1:$AS$1,),)))))/(((VLOOKUP(EDATE(B52,-12),Database!$A:$AS,MATCH($C$1,Database!$A$1:$AS$1,),))))</f>
        <v>3.3306604609845719E-2</v>
      </c>
      <c r="D52" s="13">
        <f>((((VLOOKUP(B52,Database!$A:$AS,MATCH($D$1,Database!$A$1:$AS$1,),))))-(((VLOOKUP(EDATE(B52,-12),Database!$A:$AS,MATCH($D$1,Database!$A$1:$AS$1,),)))))/(((VLOOKUP(EDATE(B52,-12),Database!$A:$AS,MATCH($D$1,Database!$A$1:$AS$1,),))))</f>
        <v>7.4812967581046668E-3</v>
      </c>
      <c r="E52" s="13">
        <f>((((VLOOKUP(B52,Database!$A:$AS,MATCH($E$1,Database!$A$1:$AS$1,),))))-(((VLOOKUP(EDATE(B52,-12),Database!$A:$AS,MATCH($E$1,Database!$A$1:$AS$1,),)))))/(((VLOOKUP(EDATE(B52,-12),Database!$A:$AS,MATCH($E$1,Database!$A$1:$AS$1,),))))</f>
        <v>-8.50467289660886E-2</v>
      </c>
      <c r="F52" s="13">
        <f>((((VLOOKUP(B52,Database!$A:$AS,MATCH($F$1,Database!$A$1:$AS$1,),))))-(((VLOOKUP(EDATE(B52,-12),Database!$A:$AS,MATCH($F$1,Database!$A$1:$AS$1,),)))))/(((VLOOKUP(EDATE(B52,-12),Database!$A:$AS,MATCH($F$1,Database!$A$1:$AS$1,),))))</f>
        <v>1.3661202191167765E-2</v>
      </c>
      <c r="G52" s="13">
        <f>((((VLOOKUP(B52,Database!$A:$AS,MATCH($G$1,Database!$A$1:$AS$1,),))))-(((VLOOKUP(EDATE(B52,-12),Database!$A:$AS,MATCH($G$1,Database!$A$1:$AS$1,),)))))/(((VLOOKUP(EDATE(B52,-12),Database!$A:$AS,MATCH($G$1,Database!$A$1:$AS$1,),))))</f>
        <v>3.2847914157452246E-4</v>
      </c>
      <c r="H52" s="13">
        <f>((((VLOOKUP(B52,Database!$A:$AS,MATCH($H$1,Database!$A$1:$AS$1,),))))-(((VLOOKUP(EDATE(B52,-12),Database!$A:$AS,MATCH($H$1,Database!$A$1:$AS$1,),)))))/(((VLOOKUP(EDATE(B52,-12),Database!$A:$AS,MATCH($H$1,Database!$A$1:$AS$1,),))))</f>
        <v>-1.5109890116556926E-2</v>
      </c>
      <c r="I52" s="13">
        <f>((((VLOOKUP(B52,Database!$A:$AS,MATCH($I$1,Database!$A$1:$AS$1,),))))-(((VLOOKUP(EDATE(B52,-12),Database!$A:$AS,MATCH($I$1,Database!$A$1:$AS$1,),)))))/(((VLOOKUP(EDATE(B52,-12),Database!$A:$AS,MATCH($I$1,Database!$A$1:$AS$1,),))))</f>
        <v>1.1959521622004553E-2</v>
      </c>
      <c r="J52" s="13">
        <f>((((VLOOKUP(B52,Database!$A:$AS,MATCH($J$1,Database!$A$1:$AS$1,),))))-(((VLOOKUP(EDATE(B52,-12),Database!$A:$AS,MATCH($J$1,Database!$A$1:$AS$1,),)))))/(((VLOOKUP(EDATE(B52,-12),Database!$A:$AS,MATCH($J$1,Database!$A$1:$AS$1,),))))</f>
        <v>7.7673172452005666E-3</v>
      </c>
      <c r="K52" s="13">
        <f>((((VLOOKUP(B52,Database!$A:$AS,MATCH($K$1,Database!$A$1:$AS$1,),))))-(((VLOOKUP(EDATE(B52,-12),Database!$A:$AS,MATCH($K$1,Database!$A$1:$AS$1,),)))))/(((VLOOKUP(EDATE(B52,-12),Database!$A:$AS,MATCH($K$1,Database!$A$1:$AS$1,),))))</f>
        <v>0</v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>4.837013669466423E-2</v>
      </c>
      <c r="M52" s="13" t="e">
        <f>((((VLOOKUP(B52,Database!$A:$AS,MATCH($M$1,Database!$A$1:$AS$1,),))))-(((VLOOKUP(EDATE(B52,-12),Database!$A:$AS,MATCH($M$1,Database!$A$1:$AS$1,),)))))/(((VLOOKUP(EDATE(B52,-12),Database!$A:$AS,MATCH($M$1,Database!$A$1:$AS$1,),))))</f>
        <v>#DIV/0!</v>
      </c>
      <c r="N52" s="13" t="e">
        <f>((((VLOOKUP(B52,Database!$A:$AS,MATCH($N$1,Database!$A$1:$AS$1,),))))-(((VLOOKUP(EDATE(B52,-12),Database!$A:$AS,MATCH($N$1,Database!$A$1:$AS$1,),)))))/(((VLOOKUP(EDATE(B52,-12),Database!$A:$AS,MATCH($N$1,Database!$A$1:$AS$1,),))))</f>
        <v>#DIV/0!</v>
      </c>
      <c r="O52" s="13">
        <f>((((VLOOKUP(B52,Database!$A:$AS,MATCH($O$1,Database!$A$1:$AS$1,),))))-(((VLOOKUP(EDATE(B52,-12),Database!$A:$AS,MATCH($O$1,Database!$A$1:$AS$1,),)))))/(((VLOOKUP(EDATE(B52,-12),Database!$A:$AS,MATCH($O$1,Database!$A$1:$AS$1,),))))</f>
        <v>6.6092200516283854E-3</v>
      </c>
      <c r="P52" s="13">
        <f>((((VLOOKUP(B52,Database!$A:$AS,MATCH($P$1,Database!$A$1:$AS$1,),))))-(((VLOOKUP(EDATE(B52,-12),Database!$A:$AS,MATCH($P$1,Database!$A$1:$AS$1,),)))))/(((VLOOKUP(EDATE(B52,-12),Database!$A:$AS,MATCH($P$1,Database!$A$1:$AS$1,),))))</f>
        <v>7.3729451907091639E-2</v>
      </c>
      <c r="Q52" s="13">
        <f>((((VLOOKUP(B52,Database!$A:$AS,MATCH($Q$1,Database!$A$1:$AS$1,),))))-(((VLOOKUP(EDATE(B52,-12),Database!$A:$AS,MATCH($Q$1,Database!$A$1:$AS$1,),)))))/(((VLOOKUP(EDATE(B52,-12),Database!$A:$AS,MATCH($Q$1,Database!$A$1:$AS$1,),))))</f>
        <v>-6.7717756518417063E-2</v>
      </c>
      <c r="R52" s="13">
        <f>((((VLOOKUP(B52,Database!$A:$AS,MATCH($R$1,Database!$A$1:$AS$1,),))))-(((VLOOKUP(EDATE(B52,-12),Database!$A:$AS,MATCH($R$1,Database!$A$1:$AS$1,),)))))/(((VLOOKUP(EDATE(B52,-12),Database!$A:$AS,MATCH($R$1,Database!$A$1:$AS$1,),))))</f>
        <v>-2.4088715758769117E-2</v>
      </c>
      <c r="S52" s="13">
        <f>((((VLOOKUP(B52,Database!$A:$AS,MATCH($S$1,Database!$A$1:$AS$1,),))))-(((VLOOKUP(EDATE(B52,-12),Database!$A:$AS,MATCH($S$1,Database!$A$1:$AS$1,),)))))/(((VLOOKUP(EDATE(B52,-12),Database!$A:$AS,MATCH($S$1,Database!$A$1:$AS$1,),))))</f>
        <v>0.12340425533531696</v>
      </c>
      <c r="T52" s="13">
        <f>((((VLOOKUP(B52,Database!$A:$AS,MATCH($T$1,Database!$A$1:$AS$1,),))))-(((VLOOKUP(EDATE(B52,-12),Database!$A:$AS,MATCH($T$1,Database!$A$1:$AS$1,),)))))/(((VLOOKUP(EDATE(B52,-12),Database!$A:$AS,MATCH($T$1,Database!$A$1:$AS$1,),))))</f>
        <v>8.9020771487816931E-3</v>
      </c>
      <c r="U52" s="13">
        <f>((((VLOOKUP(B52,Database!$A:$AS,MATCH($U$1,Database!$A$1:$AS$1,),))))-(((VLOOKUP(EDATE(B52,-12),Database!$A:$AS,MATCH($U$1,Database!$A$1:$AS$1,),)))))/(((VLOOKUP(EDATE(B52,-12),Database!$A:$AS,MATCH($U$1,Database!$A$1:$AS$1,),))))</f>
        <v>-6.6468655475481739E-2</v>
      </c>
      <c r="V52" s="13">
        <f>((((VLOOKUP(B52,Database!$A:$AS,MATCH($V$1,Database!$A$1:$AS$1,),))))-(((VLOOKUP(EDATE(B52,-12),Database!$A:$AS,MATCH($V$1,Database!$A$1:$AS$1,),)))))/(((VLOOKUP(EDATE(B52,-12),Database!$A:$AS,MATCH($V$1,Database!$A$1:$AS$1,),))))</f>
        <v>3.5683474997792598E-2</v>
      </c>
    </row>
    <row r="53" spans="1:22" s="83" customFormat="1" x14ac:dyDescent="0.2">
      <c r="A53" s="43"/>
      <c r="B53" s="78">
        <v>33756</v>
      </c>
      <c r="C53" s="13">
        <f>((((VLOOKUP(B53,Database!$A:$AS,MATCH($C$1,Database!$A$1:$AS$1,),))))-(((VLOOKUP(EDATE(B53,-12),Database!$A:$AS,MATCH($C$1,Database!$A$1:$AS$1,),)))))/(((VLOOKUP(EDATE(B53,-12),Database!$A:$AS,MATCH($C$1,Database!$A$1:$AS$1,),))))</f>
        <v>2.5811939280702648E-2</v>
      </c>
      <c r="D53" s="13">
        <f>((((VLOOKUP(B53,Database!$A:$AS,MATCH($D$1,Database!$A$1:$AS$1,),))))-(((VLOOKUP(EDATE(B53,-12),Database!$A:$AS,MATCH($D$1,Database!$A$1:$AS$1,),)))))/(((VLOOKUP(EDATE(B53,-12),Database!$A:$AS,MATCH($D$1,Database!$A$1:$AS$1,),))))</f>
        <v>-2.0807833537331736E-2</v>
      </c>
      <c r="E53" s="13">
        <f>((((VLOOKUP(B53,Database!$A:$AS,MATCH($E$1,Database!$A$1:$AS$1,),))))-(((VLOOKUP(EDATE(B53,-12),Database!$A:$AS,MATCH($E$1,Database!$A$1:$AS$1,),)))))/(((VLOOKUP(EDATE(B53,-12),Database!$A:$AS,MATCH($E$1,Database!$A$1:$AS$1,),))))</f>
        <v>-3.8498556305106908E-2</v>
      </c>
      <c r="F53" s="13">
        <f>((((VLOOKUP(B53,Database!$A:$AS,MATCH($F$1,Database!$A$1:$AS$1,),))))-(((VLOOKUP(EDATE(B53,-12),Database!$A:$AS,MATCH($F$1,Database!$A$1:$AS$1,),)))))/(((VLOOKUP(EDATE(B53,-12),Database!$A:$AS,MATCH($F$1,Database!$A$1:$AS$1,),))))</f>
        <v>-4.4502617797346142E-2</v>
      </c>
      <c r="G53" s="13">
        <f>((((VLOOKUP(B53,Database!$A:$AS,MATCH($G$1,Database!$A$1:$AS$1,),))))-(((VLOOKUP(EDATE(B53,-12),Database!$A:$AS,MATCH($G$1,Database!$A$1:$AS$1,),)))))/(((VLOOKUP(EDATE(B53,-12),Database!$A:$AS,MATCH($G$1,Database!$A$1:$AS$1,),))))</f>
        <v>-1.5486966953866307E-2</v>
      </c>
      <c r="H53" s="13">
        <f>((((VLOOKUP(B53,Database!$A:$AS,MATCH($H$1,Database!$A$1:$AS$1,),))))-(((VLOOKUP(EDATE(B53,-12),Database!$A:$AS,MATCH($H$1,Database!$A$1:$AS$1,),)))))/(((VLOOKUP(EDATE(B53,-12),Database!$A:$AS,MATCH($H$1,Database!$A$1:$AS$1,),))))</f>
        <v>-8.2079343321230479E-3</v>
      </c>
      <c r="I53" s="13">
        <f>((((VLOOKUP(B53,Database!$A:$AS,MATCH($I$1,Database!$A$1:$AS$1,),))))-(((VLOOKUP(EDATE(B53,-12),Database!$A:$AS,MATCH($I$1,Database!$A$1:$AS$1,),)))))/(((VLOOKUP(EDATE(B53,-12),Database!$A:$AS,MATCH($I$1,Database!$A$1:$AS$1,),))))</f>
        <v>6.4161319841613638E-3</v>
      </c>
      <c r="J53" s="13">
        <f>((((VLOOKUP(B53,Database!$A:$AS,MATCH($J$1,Database!$A$1:$AS$1,),))))-(((VLOOKUP(EDATE(B53,-12),Database!$A:$AS,MATCH($J$1,Database!$A$1:$AS$1,),)))))/(((VLOOKUP(EDATE(B53,-12),Database!$A:$AS,MATCH($J$1,Database!$A$1:$AS$1,),))))</f>
        <v>-3.66396294510885E-2</v>
      </c>
      <c r="K53" s="13">
        <f>((((VLOOKUP(B53,Database!$A:$AS,MATCH($K$1,Database!$A$1:$AS$1,),))))-(((VLOOKUP(EDATE(B53,-12),Database!$A:$AS,MATCH($K$1,Database!$A$1:$AS$1,),)))))/(((VLOOKUP(EDATE(B53,-12),Database!$A:$AS,MATCH($K$1,Database!$A$1:$AS$1,),))))</f>
        <v>-5.9171597622789916E-3</v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>6.1636556858424903E-2</v>
      </c>
      <c r="M53" s="13" t="e">
        <f>((((VLOOKUP(B53,Database!$A:$AS,MATCH($M$1,Database!$A$1:$AS$1,),))))-(((VLOOKUP(EDATE(B53,-12),Database!$A:$AS,MATCH($M$1,Database!$A$1:$AS$1,),)))))/(((VLOOKUP(EDATE(B53,-12),Database!$A:$AS,MATCH($M$1,Database!$A$1:$AS$1,),))))</f>
        <v>#DIV/0!</v>
      </c>
      <c r="N53" s="13" t="e">
        <f>((((VLOOKUP(B53,Database!$A:$AS,MATCH($N$1,Database!$A$1:$AS$1,),))))-(((VLOOKUP(EDATE(B53,-12),Database!$A:$AS,MATCH($N$1,Database!$A$1:$AS$1,),)))))/(((VLOOKUP(EDATE(B53,-12),Database!$A:$AS,MATCH($N$1,Database!$A$1:$AS$1,),))))</f>
        <v>#DIV/0!</v>
      </c>
      <c r="O53" s="13">
        <f>((((VLOOKUP(B53,Database!$A:$AS,MATCH($O$1,Database!$A$1:$AS$1,),))))-(((VLOOKUP(EDATE(B53,-12),Database!$A:$AS,MATCH($O$1,Database!$A$1:$AS$1,),)))))/(((VLOOKUP(EDATE(B53,-12),Database!$A:$AS,MATCH($O$1,Database!$A$1:$AS$1,),))))</f>
        <v>5.018553009360837E-3</v>
      </c>
      <c r="P53" s="13">
        <f>((((VLOOKUP(B53,Database!$A:$AS,MATCH($P$1,Database!$A$1:$AS$1,),))))-(((VLOOKUP(EDATE(B53,-12),Database!$A:$AS,MATCH($P$1,Database!$A$1:$AS$1,),)))))/(((VLOOKUP(EDATE(B53,-12),Database!$A:$AS,MATCH($P$1,Database!$A$1:$AS$1,),))))</f>
        <v>9.2064903309202625E-2</v>
      </c>
      <c r="Q53" s="13">
        <f>((((VLOOKUP(B53,Database!$A:$AS,MATCH($Q$1,Database!$A$1:$AS$1,),))))-(((VLOOKUP(EDATE(B53,-12),Database!$A:$AS,MATCH($Q$1,Database!$A$1:$AS$1,),)))))/(((VLOOKUP(EDATE(B53,-12),Database!$A:$AS,MATCH($Q$1,Database!$A$1:$AS$1,),))))</f>
        <v>-9.0199479613489286E-2</v>
      </c>
      <c r="R53" s="13">
        <f>((((VLOOKUP(B53,Database!$A:$AS,MATCH($R$1,Database!$A$1:$AS$1,),))))-(((VLOOKUP(EDATE(B53,-12),Database!$A:$AS,MATCH($R$1,Database!$A$1:$AS$1,),)))))/(((VLOOKUP(EDATE(B53,-12),Database!$A:$AS,MATCH($R$1,Database!$A$1:$AS$1,),))))</f>
        <v>3.64663659346924E-4</v>
      </c>
      <c r="S53" s="13">
        <f>((((VLOOKUP(B53,Database!$A:$AS,MATCH($S$1,Database!$A$1:$AS$1,),))))-(((VLOOKUP(EDATE(B53,-12),Database!$A:$AS,MATCH($S$1,Database!$A$1:$AS$1,),)))))/(((VLOOKUP(EDATE(B53,-12),Database!$A:$AS,MATCH($S$1,Database!$A$1:$AS$1,),))))</f>
        <v>6.1475409832103985E-2</v>
      </c>
      <c r="T53" s="13">
        <f>((((VLOOKUP(B53,Database!$A:$AS,MATCH($T$1,Database!$A$1:$AS$1,),))))-(((VLOOKUP(EDATE(B53,-12),Database!$A:$AS,MATCH($T$1,Database!$A$1:$AS$1,),)))))/(((VLOOKUP(EDATE(B53,-12),Database!$A:$AS,MATCH($T$1,Database!$A$1:$AS$1,),))))</f>
        <v>5.396825396341616E-2</v>
      </c>
      <c r="U53" s="13">
        <f>((((VLOOKUP(B53,Database!$A:$AS,MATCH($U$1,Database!$A$1:$AS$1,),))))-(((VLOOKUP(EDATE(B53,-12),Database!$A:$AS,MATCH($U$1,Database!$A$1:$AS$1,),)))))/(((VLOOKUP(EDATE(B53,-12),Database!$A:$AS,MATCH($U$1,Database!$A$1:$AS$1,),))))</f>
        <v>-8.8068759051955867E-2</v>
      </c>
      <c r="V53" s="13">
        <f>((((VLOOKUP(B53,Database!$A:$AS,MATCH($V$1,Database!$A$1:$AS$1,),))))-(((VLOOKUP(EDATE(B53,-12),Database!$A:$AS,MATCH($V$1,Database!$A$1:$AS$1,),)))))/(((VLOOKUP(EDATE(B53,-12),Database!$A:$AS,MATCH($V$1,Database!$A$1:$AS$1,),))))</f>
        <v>5.8538772671955187E-3</v>
      </c>
    </row>
    <row r="54" spans="1:22" s="83" customFormat="1" x14ac:dyDescent="0.2">
      <c r="A54" s="43"/>
      <c r="B54" s="78">
        <v>33786</v>
      </c>
      <c r="C54" s="13">
        <f>((((VLOOKUP(B54,Database!$A:$AS,MATCH($C$1,Database!$A$1:$AS$1,),))))-(((VLOOKUP(EDATE(B54,-12),Database!$A:$AS,MATCH($C$1,Database!$A$1:$AS$1,),)))))/(((VLOOKUP(EDATE(B54,-12),Database!$A:$AS,MATCH($C$1,Database!$A$1:$AS$1,),))))</f>
        <v>3.2359510685590315E-2</v>
      </c>
      <c r="D54" s="13">
        <f>((((VLOOKUP(B54,Database!$A:$AS,MATCH($D$1,Database!$A$1:$AS$1,),))))-(((VLOOKUP(EDATE(B54,-12),Database!$A:$AS,MATCH($D$1,Database!$A$1:$AS$1,),)))))/(((VLOOKUP(EDATE(B54,-12),Database!$A:$AS,MATCH($D$1,Database!$A$1:$AS$1,),))))</f>
        <v>-1.4962593516209511E-2</v>
      </c>
      <c r="E54" s="13">
        <f>((((VLOOKUP(B54,Database!$A:$AS,MATCH($E$1,Database!$A$1:$AS$1,),))))-(((VLOOKUP(EDATE(B54,-12),Database!$A:$AS,MATCH($E$1,Database!$A$1:$AS$1,),)))))/(((VLOOKUP(EDATE(B54,-12),Database!$A:$AS,MATCH($E$1,Database!$A$1:$AS$1,),))))</f>
        <v>-6.120527306425029E-2</v>
      </c>
      <c r="F54" s="13">
        <f>((((VLOOKUP(B54,Database!$A:$AS,MATCH($F$1,Database!$A$1:$AS$1,),))))-(((VLOOKUP(EDATE(B54,-12),Database!$A:$AS,MATCH($F$1,Database!$A$1:$AS$1,),)))))/(((VLOOKUP(EDATE(B54,-12),Database!$A:$AS,MATCH($F$1,Database!$A$1:$AS$1,),))))</f>
        <v>-3.3692722371568049E-2</v>
      </c>
      <c r="G54" s="13">
        <f>((((VLOOKUP(B54,Database!$A:$AS,MATCH($G$1,Database!$A$1:$AS$1,),))))-(((VLOOKUP(EDATE(B54,-12),Database!$A:$AS,MATCH($G$1,Database!$A$1:$AS$1,),)))))/(((VLOOKUP(EDATE(B54,-12),Database!$A:$AS,MATCH($G$1,Database!$A$1:$AS$1,),))))</f>
        <v>-2.1075984470328556E-3</v>
      </c>
      <c r="H54" s="13">
        <f>((((VLOOKUP(B54,Database!$A:$AS,MATCH($H$1,Database!$A$1:$AS$1,),))))-(((VLOOKUP(EDATE(B54,-12),Database!$A:$AS,MATCH($H$1,Database!$A$1:$AS$1,),)))))/(((VLOOKUP(EDATE(B54,-12),Database!$A:$AS,MATCH($H$1,Database!$A$1:$AS$1,),))))</f>
        <v>8.2872928131738372E-3</v>
      </c>
      <c r="I54" s="13">
        <f>((((VLOOKUP(B54,Database!$A:$AS,MATCH($I$1,Database!$A$1:$AS$1,),))))-(((VLOOKUP(EDATE(B54,-12),Database!$A:$AS,MATCH($I$1,Database!$A$1:$AS$1,),)))))/(((VLOOKUP(EDATE(B54,-12),Database!$A:$AS,MATCH($I$1,Database!$A$1:$AS$1,),))))</f>
        <v>-6.4161319933279341E-3</v>
      </c>
      <c r="J54" s="13">
        <f>((((VLOOKUP(B54,Database!$A:$AS,MATCH($J$1,Database!$A$1:$AS$1,),))))-(((VLOOKUP(EDATE(B54,-12),Database!$A:$AS,MATCH($J$1,Database!$A$1:$AS$1,),)))))/(((VLOOKUP(EDATE(B54,-12),Database!$A:$AS,MATCH($J$1,Database!$A$1:$AS$1,),))))</f>
        <v>-2.2136113907153074E-2</v>
      </c>
      <c r="K54" s="13">
        <f>((((VLOOKUP(B54,Database!$A:$AS,MATCH($K$1,Database!$A$1:$AS$1,),))))-(((VLOOKUP(EDATE(B54,-12),Database!$A:$AS,MATCH($K$1,Database!$A$1:$AS$1,),)))))/(((VLOOKUP(EDATE(B54,-12),Database!$A:$AS,MATCH($K$1,Database!$A$1:$AS$1,),))))</f>
        <v>1.4771048734553212E-2</v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>6.3874345559368842E-2</v>
      </c>
      <c r="M54" s="13" t="e">
        <f>((((VLOOKUP(B54,Database!$A:$AS,MATCH($M$1,Database!$A$1:$AS$1,),))))-(((VLOOKUP(EDATE(B54,-12),Database!$A:$AS,MATCH($M$1,Database!$A$1:$AS$1,),)))))/(((VLOOKUP(EDATE(B54,-12),Database!$A:$AS,MATCH($M$1,Database!$A$1:$AS$1,),))))</f>
        <v>#DIV/0!</v>
      </c>
      <c r="N54" s="13" t="e">
        <f>((((VLOOKUP(B54,Database!$A:$AS,MATCH($N$1,Database!$A$1:$AS$1,),))))-(((VLOOKUP(EDATE(B54,-12),Database!$A:$AS,MATCH($N$1,Database!$A$1:$AS$1,),)))))/(((VLOOKUP(EDATE(B54,-12),Database!$A:$AS,MATCH($N$1,Database!$A$1:$AS$1,),))))</f>
        <v>#DIV/0!</v>
      </c>
      <c r="O54" s="13">
        <f>((((VLOOKUP(B54,Database!$A:$AS,MATCH($O$1,Database!$A$1:$AS$1,),))))-(((VLOOKUP(EDATE(B54,-12),Database!$A:$AS,MATCH($O$1,Database!$A$1:$AS$1,),)))))/(((VLOOKUP(EDATE(B54,-12),Database!$A:$AS,MATCH($O$1,Database!$A$1:$AS$1,),))))</f>
        <v>-7.7127018472698755E-3</v>
      </c>
      <c r="P54" s="13">
        <f>((((VLOOKUP(B54,Database!$A:$AS,MATCH($P$1,Database!$A$1:$AS$1,),))))-(((VLOOKUP(EDATE(B54,-12),Database!$A:$AS,MATCH($P$1,Database!$A$1:$AS$1,),)))))/(((VLOOKUP(EDATE(B54,-12),Database!$A:$AS,MATCH($P$1,Database!$A$1:$AS$1,),))))</f>
        <v>7.7803203669627188E-2</v>
      </c>
      <c r="Q54" s="13">
        <f>((((VLOOKUP(B54,Database!$A:$AS,MATCH($Q$1,Database!$A$1:$AS$1,),))))-(((VLOOKUP(EDATE(B54,-12),Database!$A:$AS,MATCH($Q$1,Database!$A$1:$AS$1,),)))))/(((VLOOKUP(EDATE(B54,-12),Database!$A:$AS,MATCH($Q$1,Database!$A$1:$AS$1,),))))</f>
        <v>-0.10754648195863822</v>
      </c>
      <c r="R54" s="13">
        <f>((((VLOOKUP(B54,Database!$A:$AS,MATCH($R$1,Database!$A$1:$AS$1,),))))-(((VLOOKUP(EDATE(B54,-12),Database!$A:$AS,MATCH($R$1,Database!$A$1:$AS$1,),)))))/(((VLOOKUP(EDATE(B54,-12),Database!$A:$AS,MATCH($R$1,Database!$A$1:$AS$1,),))))</f>
        <v>2.2889146771164472E-2</v>
      </c>
      <c r="S54" s="13">
        <f>((((VLOOKUP(B54,Database!$A:$AS,MATCH($S$1,Database!$A$1:$AS$1,),))))-(((VLOOKUP(EDATE(B54,-12),Database!$A:$AS,MATCH($S$1,Database!$A$1:$AS$1,),)))))/(((VLOOKUP(EDATE(B54,-12),Database!$A:$AS,MATCH($S$1,Database!$A$1:$AS$1,),))))</f>
        <v>0.13924050633541252</v>
      </c>
      <c r="T54" s="13">
        <f>((((VLOOKUP(B54,Database!$A:$AS,MATCH($T$1,Database!$A$1:$AS$1,),))))-(((VLOOKUP(EDATE(B54,-12),Database!$A:$AS,MATCH($T$1,Database!$A$1:$AS$1,),)))))/(((VLOOKUP(EDATE(B54,-12),Database!$A:$AS,MATCH($T$1,Database!$A$1:$AS$1,),))))</f>
        <v>4.3209876541495024E-2</v>
      </c>
      <c r="U54" s="13">
        <f>((((VLOOKUP(B54,Database!$A:$AS,MATCH($U$1,Database!$A$1:$AS$1,),))))-(((VLOOKUP(EDATE(B54,-12),Database!$A:$AS,MATCH($U$1,Database!$A$1:$AS$1,),)))))/(((VLOOKUP(EDATE(B54,-12),Database!$A:$AS,MATCH($U$1,Database!$A$1:$AS$1,),))))</f>
        <v>-2.7920783263271683E-2</v>
      </c>
      <c r="V54" s="13">
        <f>((((VLOOKUP(B54,Database!$A:$AS,MATCH($V$1,Database!$A$1:$AS$1,),))))-(((VLOOKUP(EDATE(B54,-12),Database!$A:$AS,MATCH($V$1,Database!$A$1:$AS$1,),)))))/(((VLOOKUP(EDATE(B54,-12),Database!$A:$AS,MATCH($V$1,Database!$A$1:$AS$1,),))))</f>
        <v>7.184030063801955E-2</v>
      </c>
    </row>
    <row r="55" spans="1:22" s="83" customFormat="1" x14ac:dyDescent="0.2">
      <c r="A55" s="43"/>
      <c r="B55" s="78">
        <v>33817</v>
      </c>
      <c r="C55" s="13">
        <f>((((VLOOKUP(B55,Database!$A:$AS,MATCH($C$1,Database!$A$1:$AS$1,),))))-(((VLOOKUP(EDATE(B55,-12),Database!$A:$AS,MATCH($C$1,Database!$A$1:$AS$1,),)))))/(((VLOOKUP(EDATE(B55,-12),Database!$A:$AS,MATCH($C$1,Database!$A$1:$AS$1,),))))</f>
        <v>2.662459020052594E-2</v>
      </c>
      <c r="D55" s="13">
        <f>((((VLOOKUP(B55,Database!$A:$AS,MATCH($D$1,Database!$A$1:$AS$1,),))))-(((VLOOKUP(EDATE(B55,-12),Database!$A:$AS,MATCH($D$1,Database!$A$1:$AS$1,),)))))/(((VLOOKUP(EDATE(B55,-12),Database!$A:$AS,MATCH($D$1,Database!$A$1:$AS$1,),))))</f>
        <v>-1.498127340823956E-2</v>
      </c>
      <c r="E55" s="13">
        <f>((((VLOOKUP(B55,Database!$A:$AS,MATCH($E$1,Database!$A$1:$AS$1,),))))-(((VLOOKUP(EDATE(B55,-12),Database!$A:$AS,MATCH($E$1,Database!$A$1:$AS$1,),)))))/(((VLOOKUP(EDATE(B55,-12),Database!$A:$AS,MATCH($E$1,Database!$A$1:$AS$1,),))))</f>
        <v>-7.3684210519263382E-2</v>
      </c>
      <c r="F55" s="13">
        <f>((((VLOOKUP(B55,Database!$A:$AS,MATCH($F$1,Database!$A$1:$AS$1,),))))-(((VLOOKUP(EDATE(B55,-12),Database!$A:$AS,MATCH($F$1,Database!$A$1:$AS$1,),)))))/(((VLOOKUP(EDATE(B55,-12),Database!$A:$AS,MATCH($F$1,Database!$A$1:$AS$1,),))))</f>
        <v>-1.5068493150985235E-2</v>
      </c>
      <c r="G55" s="13">
        <f>((((VLOOKUP(B55,Database!$A:$AS,MATCH($G$1,Database!$A$1:$AS$1,),))))-(((VLOOKUP(EDATE(B55,-12),Database!$A:$AS,MATCH($G$1,Database!$A$1:$AS$1,),)))))/(((VLOOKUP(EDATE(B55,-12),Database!$A:$AS,MATCH($G$1,Database!$A$1:$AS$1,),))))</f>
        <v>-9.1148693169338709E-3</v>
      </c>
      <c r="H55" s="13">
        <f>((((VLOOKUP(B55,Database!$A:$AS,MATCH($H$1,Database!$A$1:$AS$1,),))))-(((VLOOKUP(EDATE(B55,-12),Database!$A:$AS,MATCH($H$1,Database!$A$1:$AS$1,),)))))/(((VLOOKUP(EDATE(B55,-12),Database!$A:$AS,MATCH($H$1,Database!$A$1:$AS$1,),))))</f>
        <v>1.6736401677601216E-2</v>
      </c>
      <c r="I55" s="13">
        <f>((((VLOOKUP(B55,Database!$A:$AS,MATCH($I$1,Database!$A$1:$AS$1,),))))-(((VLOOKUP(EDATE(B55,-12),Database!$A:$AS,MATCH($I$1,Database!$A$1:$AS$1,),)))))/(((VLOOKUP(EDATE(B55,-12),Database!$A:$AS,MATCH($I$1,Database!$A$1:$AS$1,),))))</f>
        <v>-2.9170464899256541E-2</v>
      </c>
      <c r="J55" s="13">
        <f>((((VLOOKUP(B55,Database!$A:$AS,MATCH($J$1,Database!$A$1:$AS$1,),))))-(((VLOOKUP(EDATE(B55,-12),Database!$A:$AS,MATCH($J$1,Database!$A$1:$AS$1,),)))))/(((VLOOKUP(EDATE(B55,-12),Database!$A:$AS,MATCH($J$1,Database!$A$1:$AS$1,),))))</f>
        <v>-2.484727537939092E-2</v>
      </c>
      <c r="K55" s="13">
        <f>((((VLOOKUP(B55,Database!$A:$AS,MATCH($K$1,Database!$A$1:$AS$1,),))))-(((VLOOKUP(EDATE(B55,-12),Database!$A:$AS,MATCH($K$1,Database!$A$1:$AS$1,),)))))/(((VLOOKUP(EDATE(B55,-12),Database!$A:$AS,MATCH($K$1,Database!$A$1:$AS$1,),))))</f>
        <v>5.3030303017074461E-2</v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>4.942166140731484E-2</v>
      </c>
      <c r="M55" s="13" t="e">
        <f>((((VLOOKUP(B55,Database!$A:$AS,MATCH($M$1,Database!$A$1:$AS$1,),))))-(((VLOOKUP(EDATE(B55,-12),Database!$A:$AS,MATCH($M$1,Database!$A$1:$AS$1,),)))))/(((VLOOKUP(EDATE(B55,-12),Database!$A:$AS,MATCH($M$1,Database!$A$1:$AS$1,),))))</f>
        <v>#DIV/0!</v>
      </c>
      <c r="N55" s="13" t="e">
        <f>((((VLOOKUP(B55,Database!$A:$AS,MATCH($N$1,Database!$A$1:$AS$1,),))))-(((VLOOKUP(EDATE(B55,-12),Database!$A:$AS,MATCH($N$1,Database!$A$1:$AS$1,),)))))/(((VLOOKUP(EDATE(B55,-12),Database!$A:$AS,MATCH($N$1,Database!$A$1:$AS$1,),))))</f>
        <v>#DIV/0!</v>
      </c>
      <c r="O55" s="13">
        <f>((((VLOOKUP(B55,Database!$A:$AS,MATCH($O$1,Database!$A$1:$AS$1,),))))-(((VLOOKUP(EDATE(B55,-12),Database!$A:$AS,MATCH($O$1,Database!$A$1:$AS$1,),)))))/(((VLOOKUP(EDATE(B55,-12),Database!$A:$AS,MATCH($O$1,Database!$A$1:$AS$1,),))))</f>
        <v>3.5490946400164802E-4</v>
      </c>
      <c r="P55" s="13">
        <f>((((VLOOKUP(B55,Database!$A:$AS,MATCH($P$1,Database!$A$1:$AS$1,),))))-(((VLOOKUP(EDATE(B55,-12),Database!$A:$AS,MATCH($P$1,Database!$A$1:$AS$1,),)))))/(((VLOOKUP(EDATE(B55,-12),Database!$A:$AS,MATCH($P$1,Database!$A$1:$AS$1,),))))</f>
        <v>3.0378693310866057E-2</v>
      </c>
      <c r="Q55" s="13">
        <f>((((VLOOKUP(B55,Database!$A:$AS,MATCH($Q$1,Database!$A$1:$AS$1,),))))-(((VLOOKUP(EDATE(B55,-12),Database!$A:$AS,MATCH($Q$1,Database!$A$1:$AS$1,),)))))/(((VLOOKUP(EDATE(B55,-12),Database!$A:$AS,MATCH($Q$1,Database!$A$1:$AS$1,),))))</f>
        <v>-0.11852745926561188</v>
      </c>
      <c r="R55" s="13">
        <f>((((VLOOKUP(B55,Database!$A:$AS,MATCH($R$1,Database!$A$1:$AS$1,),))))-(((VLOOKUP(EDATE(B55,-12),Database!$A:$AS,MATCH($R$1,Database!$A$1:$AS$1,),)))))/(((VLOOKUP(EDATE(B55,-12),Database!$A:$AS,MATCH($R$1,Database!$A$1:$AS$1,),))))</f>
        <v>3.0154439675584297E-4</v>
      </c>
      <c r="S55" s="13">
        <f>((((VLOOKUP(B55,Database!$A:$AS,MATCH($S$1,Database!$A$1:$AS$1,),))))-(((VLOOKUP(EDATE(B55,-12),Database!$A:$AS,MATCH($S$1,Database!$A$1:$AS$1,),)))))/(((VLOOKUP(EDATE(B55,-12),Database!$A:$AS,MATCH($S$1,Database!$A$1:$AS$1,),))))</f>
        <v>8.1300813051558354E-2</v>
      </c>
      <c r="T55" s="13">
        <f>((((VLOOKUP(B55,Database!$A:$AS,MATCH($T$1,Database!$A$1:$AS$1,),))))-(((VLOOKUP(EDATE(B55,-12),Database!$A:$AS,MATCH($T$1,Database!$A$1:$AS$1,),)))))/(((VLOOKUP(EDATE(B55,-12),Database!$A:$AS,MATCH($T$1,Database!$A$1:$AS$1,),))))</f>
        <v>0</v>
      </c>
      <c r="U55" s="13">
        <f>((((VLOOKUP(B55,Database!$A:$AS,MATCH($U$1,Database!$A$1:$AS$1,),))))-(((VLOOKUP(EDATE(B55,-12),Database!$A:$AS,MATCH($U$1,Database!$A$1:$AS$1,),)))))/(((VLOOKUP(EDATE(B55,-12),Database!$A:$AS,MATCH($U$1,Database!$A$1:$AS$1,),))))</f>
        <v>-6.8393114364629498E-2</v>
      </c>
      <c r="V55" s="13">
        <f>((((VLOOKUP(B55,Database!$A:$AS,MATCH($V$1,Database!$A$1:$AS$1,),))))-(((VLOOKUP(EDATE(B55,-12),Database!$A:$AS,MATCH($V$1,Database!$A$1:$AS$1,),)))))/(((VLOOKUP(EDATE(B55,-12),Database!$A:$AS,MATCH($V$1,Database!$A$1:$AS$1,),))))</f>
        <v>8.4640501881365932E-2</v>
      </c>
    </row>
    <row r="56" spans="1:22" s="83" customFormat="1" x14ac:dyDescent="0.2">
      <c r="A56" s="43"/>
      <c r="B56" s="78">
        <v>33848</v>
      </c>
      <c r="C56" s="13">
        <f>((((VLOOKUP(B56,Database!$A:$AS,MATCH($C$1,Database!$A$1:$AS$1,),))))-(((VLOOKUP(EDATE(B56,-12),Database!$A:$AS,MATCH($C$1,Database!$A$1:$AS$1,),)))))/(((VLOOKUP(EDATE(B56,-12),Database!$A:$AS,MATCH($C$1,Database!$A$1:$AS$1,),))))</f>
        <v>2.0954278237268659E-2</v>
      </c>
      <c r="D56" s="13">
        <f>((((VLOOKUP(B56,Database!$A:$AS,MATCH($D$1,Database!$A$1:$AS$1,),))))-(((VLOOKUP(EDATE(B56,-12),Database!$A:$AS,MATCH($D$1,Database!$A$1:$AS$1,),)))))/(((VLOOKUP(EDATE(B56,-12),Database!$A:$AS,MATCH($D$1,Database!$A$1:$AS$1,),))))</f>
        <v>-2.6151930261519234E-2</v>
      </c>
      <c r="E56" s="13">
        <f>((((VLOOKUP(B56,Database!$A:$AS,MATCH($E$1,Database!$A$1:$AS$1,),))))-(((VLOOKUP(EDATE(B56,-12),Database!$A:$AS,MATCH($E$1,Database!$A$1:$AS$1,),)))))/(((VLOOKUP(EDATE(B56,-12),Database!$A:$AS,MATCH($E$1,Database!$A$1:$AS$1,),))))</f>
        <v>-3.91969407240539E-2</v>
      </c>
      <c r="F56" s="13">
        <f>((((VLOOKUP(B56,Database!$A:$AS,MATCH($F$1,Database!$A$1:$AS$1,),))))-(((VLOOKUP(EDATE(B56,-12),Database!$A:$AS,MATCH($F$1,Database!$A$1:$AS$1,),)))))/(((VLOOKUP(EDATE(B56,-12),Database!$A:$AS,MATCH($F$1,Database!$A$1:$AS$1,),))))</f>
        <v>-2.0604395612377646E-2</v>
      </c>
      <c r="G56" s="13">
        <f>((((VLOOKUP(B56,Database!$A:$AS,MATCH($G$1,Database!$A$1:$AS$1,),))))-(((VLOOKUP(EDATE(B56,-12),Database!$A:$AS,MATCH($G$1,Database!$A$1:$AS$1,),)))))/(((VLOOKUP(EDATE(B56,-12),Database!$A:$AS,MATCH($G$1,Database!$A$1:$AS$1,),))))</f>
        <v>-2.648281899759249E-2</v>
      </c>
      <c r="H56" s="13">
        <f>((((VLOOKUP(B56,Database!$A:$AS,MATCH($H$1,Database!$A$1:$AS$1,),))))-(((VLOOKUP(EDATE(B56,-12),Database!$A:$AS,MATCH($H$1,Database!$A$1:$AS$1,),)))))/(((VLOOKUP(EDATE(B56,-12),Database!$A:$AS,MATCH($H$1,Database!$A$1:$AS$1,),))))</f>
        <v>2.2284122554773918E-2</v>
      </c>
      <c r="I56" s="13">
        <f>((((VLOOKUP(B56,Database!$A:$AS,MATCH($I$1,Database!$A$1:$AS$1,),))))-(((VLOOKUP(EDATE(B56,-12),Database!$A:$AS,MATCH($I$1,Database!$A$1:$AS$1,),)))))/(((VLOOKUP(EDATE(B56,-12),Database!$A:$AS,MATCH($I$1,Database!$A$1:$AS$1,),))))</f>
        <v>-4.6889089262798014E-2</v>
      </c>
      <c r="J56" s="13">
        <f>((((VLOOKUP(B56,Database!$A:$AS,MATCH($J$1,Database!$A$1:$AS$1,),))))-(((VLOOKUP(EDATE(B56,-12),Database!$A:$AS,MATCH($J$1,Database!$A$1:$AS$1,),)))))/(((VLOOKUP(EDATE(B56,-12),Database!$A:$AS,MATCH($J$1,Database!$A$1:$AS$1,),))))</f>
        <v>-5.3837408722995063E-2</v>
      </c>
      <c r="K56" s="13">
        <f>((((VLOOKUP(B56,Database!$A:$AS,MATCH($K$1,Database!$A$1:$AS$1,),))))-(((VLOOKUP(EDATE(B56,-12),Database!$A:$AS,MATCH($K$1,Database!$A$1:$AS$1,),)))))/(((VLOOKUP(EDATE(B56,-12),Database!$A:$AS,MATCH($K$1,Database!$A$1:$AS$1,),))))</f>
        <v>8.9820359191815774E-3</v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>6.9400630918588821E-2</v>
      </c>
      <c r="M56" s="13" t="e">
        <f>((((VLOOKUP(B56,Database!$A:$AS,MATCH($M$1,Database!$A$1:$AS$1,),))))-(((VLOOKUP(EDATE(B56,-12),Database!$A:$AS,MATCH($M$1,Database!$A$1:$AS$1,),)))))/(((VLOOKUP(EDATE(B56,-12),Database!$A:$AS,MATCH($M$1,Database!$A$1:$AS$1,),))))</f>
        <v>#DIV/0!</v>
      </c>
      <c r="N56" s="13" t="e">
        <f>((((VLOOKUP(B56,Database!$A:$AS,MATCH($N$1,Database!$A$1:$AS$1,),))))-(((VLOOKUP(EDATE(B56,-12),Database!$A:$AS,MATCH($N$1,Database!$A$1:$AS$1,),)))))/(((VLOOKUP(EDATE(B56,-12),Database!$A:$AS,MATCH($N$1,Database!$A$1:$AS$1,),))))</f>
        <v>#DIV/0!</v>
      </c>
      <c r="O56" s="13">
        <f>((((VLOOKUP(B56,Database!$A:$AS,MATCH($O$1,Database!$A$1:$AS$1,),))))-(((VLOOKUP(EDATE(B56,-12),Database!$A:$AS,MATCH($O$1,Database!$A$1:$AS$1,),)))))/(((VLOOKUP(EDATE(B56,-12),Database!$A:$AS,MATCH($O$1,Database!$A$1:$AS$1,),))))</f>
        <v>1.8521922334366497E-3</v>
      </c>
      <c r="P56" s="13">
        <f>((((VLOOKUP(B56,Database!$A:$AS,MATCH($P$1,Database!$A$1:$AS$1,),))))-(((VLOOKUP(EDATE(B56,-12),Database!$A:$AS,MATCH($P$1,Database!$A$1:$AS$1,),)))))/(((VLOOKUP(EDATE(B56,-12),Database!$A:$AS,MATCH($P$1,Database!$A$1:$AS$1,),))))</f>
        <v>2.5224544622315929E-2</v>
      </c>
      <c r="Q56" s="13">
        <f>((((VLOOKUP(B56,Database!$A:$AS,MATCH($Q$1,Database!$A$1:$AS$1,),))))-(((VLOOKUP(EDATE(B56,-12),Database!$A:$AS,MATCH($Q$1,Database!$A$1:$AS$1,),)))))/(((VLOOKUP(EDATE(B56,-12),Database!$A:$AS,MATCH($Q$1,Database!$A$1:$AS$1,),))))</f>
        <v>-5.7830414519525253E-2</v>
      </c>
      <c r="R56" s="13">
        <f>((((VLOOKUP(B56,Database!$A:$AS,MATCH($R$1,Database!$A$1:$AS$1,),))))-(((VLOOKUP(EDATE(B56,-12),Database!$A:$AS,MATCH($R$1,Database!$A$1:$AS$1,),)))))/(((VLOOKUP(EDATE(B56,-12),Database!$A:$AS,MATCH($R$1,Database!$A$1:$AS$1,),))))</f>
        <v>-7.620641246520557E-2</v>
      </c>
      <c r="S56" s="13">
        <f>((((VLOOKUP(B56,Database!$A:$AS,MATCH($S$1,Database!$A$1:$AS$1,),))))-(((VLOOKUP(EDATE(B56,-12),Database!$A:$AS,MATCH($S$1,Database!$A$1:$AS$1,),)))))/(((VLOOKUP(EDATE(B56,-12),Database!$A:$AS,MATCH($S$1,Database!$A$1:$AS$1,),))))</f>
        <v>0.10843373492182561</v>
      </c>
      <c r="T56" s="13">
        <f>((((VLOOKUP(B56,Database!$A:$AS,MATCH($T$1,Database!$A$1:$AS$1,),))))-(((VLOOKUP(EDATE(B56,-12),Database!$A:$AS,MATCH($T$1,Database!$A$1:$AS$1,),)))))/(((VLOOKUP(EDATE(B56,-12),Database!$A:$AS,MATCH($T$1,Database!$A$1:$AS$1,),))))</f>
        <v>2.9850746280241702E-2</v>
      </c>
      <c r="U56" s="13">
        <f>((((VLOOKUP(B56,Database!$A:$AS,MATCH($U$1,Database!$A$1:$AS$1,),))))-(((VLOOKUP(EDATE(B56,-12),Database!$A:$AS,MATCH($U$1,Database!$A$1:$AS$1,),)))))/(((VLOOKUP(EDATE(B56,-12),Database!$A:$AS,MATCH($U$1,Database!$A$1:$AS$1,),))))</f>
        <v>6.4285648594605421E-2</v>
      </c>
      <c r="V56" s="13">
        <f>((((VLOOKUP(B56,Database!$A:$AS,MATCH($V$1,Database!$A$1:$AS$1,),))))-(((VLOOKUP(EDATE(B56,-12),Database!$A:$AS,MATCH($V$1,Database!$A$1:$AS$1,),)))))/(((VLOOKUP(EDATE(B56,-12),Database!$A:$AS,MATCH($V$1,Database!$A$1:$AS$1,),))))</f>
        <v>0.10555119484081138</v>
      </c>
    </row>
    <row r="57" spans="1:22" s="83" customFormat="1" x14ac:dyDescent="0.2">
      <c r="A57" s="43"/>
      <c r="B57" s="78">
        <v>33878</v>
      </c>
      <c r="C57" s="13">
        <f>((((VLOOKUP(B57,Database!$A:$AS,MATCH($C$1,Database!$A$1:$AS$1,),))))-(((VLOOKUP(EDATE(B57,-12),Database!$A:$AS,MATCH($C$1,Database!$A$1:$AS$1,),)))))/(((VLOOKUP(EDATE(B57,-12),Database!$A:$AS,MATCH($C$1,Database!$A$1:$AS$1,),))))</f>
        <v>2.9647502609808318E-2</v>
      </c>
      <c r="D57" s="13">
        <f>((((VLOOKUP(B57,Database!$A:$AS,MATCH($D$1,Database!$A$1:$AS$1,),))))-(((VLOOKUP(EDATE(B57,-12),Database!$A:$AS,MATCH($D$1,Database!$A$1:$AS$1,),)))))/(((VLOOKUP(EDATE(B57,-12),Database!$A:$AS,MATCH($D$1,Database!$A$1:$AS$1,),))))</f>
        <v>-2.7295285359801351E-2</v>
      </c>
      <c r="E57" s="13">
        <f>((((VLOOKUP(B57,Database!$A:$AS,MATCH($E$1,Database!$A$1:$AS$1,),))))-(((VLOOKUP(EDATE(B57,-12),Database!$A:$AS,MATCH($E$1,Database!$A$1:$AS$1,),)))))/(((VLOOKUP(EDATE(B57,-12),Database!$A:$AS,MATCH($E$1,Database!$A$1:$AS$1,),))))</f>
        <v>-6.2560153988680631E-2</v>
      </c>
      <c r="F57" s="13">
        <f>((((VLOOKUP(B57,Database!$A:$AS,MATCH($F$1,Database!$A$1:$AS$1,),))))-(((VLOOKUP(EDATE(B57,-12),Database!$A:$AS,MATCH($F$1,Database!$A$1:$AS$1,),)))))/(((VLOOKUP(EDATE(B57,-12),Database!$A:$AS,MATCH($F$1,Database!$A$1:$AS$1,),))))</f>
        <v>-3.6535859272597192E-2</v>
      </c>
      <c r="G57" s="13">
        <f>((((VLOOKUP(B57,Database!$A:$AS,MATCH($G$1,Database!$A$1:$AS$1,),))))-(((VLOOKUP(EDATE(B57,-12),Database!$A:$AS,MATCH($G$1,Database!$A$1:$AS$1,),)))))/(((VLOOKUP(EDATE(B57,-12),Database!$A:$AS,MATCH($G$1,Database!$A$1:$AS$1,),))))</f>
        <v>-1.1762119380015314E-2</v>
      </c>
      <c r="H57" s="13">
        <f>((((VLOOKUP(B57,Database!$A:$AS,MATCH($H$1,Database!$A$1:$AS$1,),))))-(((VLOOKUP(EDATE(B57,-12),Database!$A:$AS,MATCH($H$1,Database!$A$1:$AS$1,),)))))/(((VLOOKUP(EDATE(B57,-12),Database!$A:$AS,MATCH($H$1,Database!$A$1:$AS$1,),))))</f>
        <v>2.063273727157023E-2</v>
      </c>
      <c r="I57" s="13">
        <f>((((VLOOKUP(B57,Database!$A:$AS,MATCH($I$1,Database!$A$1:$AS$1,),))))-(((VLOOKUP(EDATE(B57,-12),Database!$A:$AS,MATCH($I$1,Database!$A$1:$AS$1,),)))))/(((VLOOKUP(EDATE(B57,-12),Database!$A:$AS,MATCH($I$1,Database!$A$1:$AS$1,),))))</f>
        <v>-3.4482758623193173E-2</v>
      </c>
      <c r="J57" s="13">
        <f>((((VLOOKUP(B57,Database!$A:$AS,MATCH($J$1,Database!$A$1:$AS$1,),))))-(((VLOOKUP(EDATE(B57,-12),Database!$A:$AS,MATCH($J$1,Database!$A$1:$AS$1,),)))))/(((VLOOKUP(EDATE(B57,-12),Database!$A:$AS,MATCH($J$1,Database!$A$1:$AS$1,),))))</f>
        <v>-6.2983706414489346E-2</v>
      </c>
      <c r="K57" s="13">
        <f>((((VLOOKUP(B57,Database!$A:$AS,MATCH($K$1,Database!$A$1:$AS$1,),))))-(((VLOOKUP(EDATE(B57,-12),Database!$A:$AS,MATCH($K$1,Database!$A$1:$AS$1,),)))))/(((VLOOKUP(EDATE(B57,-12),Database!$A:$AS,MATCH($K$1,Database!$A$1:$AS$1,),))))</f>
        <v>2.9806259382715544E-3</v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>1.7293997967201321E-2</v>
      </c>
      <c r="M57" s="13" t="e">
        <f>((((VLOOKUP(B57,Database!$A:$AS,MATCH($M$1,Database!$A$1:$AS$1,),))))-(((VLOOKUP(EDATE(B57,-12),Database!$A:$AS,MATCH($M$1,Database!$A$1:$AS$1,),)))))/(((VLOOKUP(EDATE(B57,-12),Database!$A:$AS,MATCH($M$1,Database!$A$1:$AS$1,),))))</f>
        <v>#DIV/0!</v>
      </c>
      <c r="N57" s="13" t="e">
        <f>((((VLOOKUP(B57,Database!$A:$AS,MATCH($N$1,Database!$A$1:$AS$1,),))))-(((VLOOKUP(EDATE(B57,-12),Database!$A:$AS,MATCH($N$1,Database!$A$1:$AS$1,),)))))/(((VLOOKUP(EDATE(B57,-12),Database!$A:$AS,MATCH($N$1,Database!$A$1:$AS$1,),))))</f>
        <v>#DIV/0!</v>
      </c>
      <c r="O57" s="13">
        <f>((((VLOOKUP(B57,Database!$A:$AS,MATCH($O$1,Database!$A$1:$AS$1,),))))-(((VLOOKUP(EDATE(B57,-12),Database!$A:$AS,MATCH($O$1,Database!$A$1:$AS$1,),)))))/(((VLOOKUP(EDATE(B57,-12),Database!$A:$AS,MATCH($O$1,Database!$A$1:$AS$1,),))))</f>
        <v>1.8311559216095768E-2</v>
      </c>
      <c r="P57" s="13">
        <f>((((VLOOKUP(B57,Database!$A:$AS,MATCH($P$1,Database!$A$1:$AS$1,),))))-(((VLOOKUP(EDATE(B57,-12),Database!$A:$AS,MATCH($P$1,Database!$A$1:$AS$1,),)))))/(((VLOOKUP(EDATE(B57,-12),Database!$A:$AS,MATCH($P$1,Database!$A$1:$AS$1,),))))</f>
        <v>1.6521015379704067E-2</v>
      </c>
      <c r="Q57" s="13">
        <f>((((VLOOKUP(B57,Database!$A:$AS,MATCH($Q$1,Database!$A$1:$AS$1,),))))-(((VLOOKUP(EDATE(B57,-12),Database!$A:$AS,MATCH($Q$1,Database!$A$1:$AS$1,),)))))/(((VLOOKUP(EDATE(B57,-12),Database!$A:$AS,MATCH($Q$1,Database!$A$1:$AS$1,),))))</f>
        <v>-8.0157364155370184E-2</v>
      </c>
      <c r="R57" s="13">
        <f>((((VLOOKUP(B57,Database!$A:$AS,MATCH($R$1,Database!$A$1:$AS$1,),))))-(((VLOOKUP(EDATE(B57,-12),Database!$A:$AS,MATCH($R$1,Database!$A$1:$AS$1,),)))))/(((VLOOKUP(EDATE(B57,-12),Database!$A:$AS,MATCH($R$1,Database!$A$1:$AS$1,),))))</f>
        <v>-1.3636989579848251E-2</v>
      </c>
      <c r="S57" s="13">
        <f>((((VLOOKUP(B57,Database!$A:$AS,MATCH($S$1,Database!$A$1:$AS$1,),))))-(((VLOOKUP(EDATE(B57,-12),Database!$A:$AS,MATCH($S$1,Database!$A$1:$AS$1,),)))))/(((VLOOKUP(EDATE(B57,-12),Database!$A:$AS,MATCH($S$1,Database!$A$1:$AS$1,),))))</f>
        <v>0.12096774192836206</v>
      </c>
      <c r="T57" s="13">
        <f>((((VLOOKUP(B57,Database!$A:$AS,MATCH($T$1,Database!$A$1:$AS$1,),))))-(((VLOOKUP(EDATE(B57,-12),Database!$A:$AS,MATCH($T$1,Database!$A$1:$AS$1,),)))))/(((VLOOKUP(EDATE(B57,-12),Database!$A:$AS,MATCH($T$1,Database!$A$1:$AS$1,),))))</f>
        <v>3.2835820896324495E-2</v>
      </c>
      <c r="U57" s="13">
        <f>((((VLOOKUP(B57,Database!$A:$AS,MATCH($U$1,Database!$A$1:$AS$1,),))))-(((VLOOKUP(EDATE(B57,-12),Database!$A:$AS,MATCH($U$1,Database!$A$1:$AS$1,),)))))/(((VLOOKUP(EDATE(B57,-12),Database!$A:$AS,MATCH($U$1,Database!$A$1:$AS$1,),))))</f>
        <v>4.3822361119925698E-2</v>
      </c>
      <c r="V57" s="13">
        <f>((((VLOOKUP(B57,Database!$A:$AS,MATCH($V$1,Database!$A$1:$AS$1,),))))-(((VLOOKUP(EDATE(B57,-12),Database!$A:$AS,MATCH($V$1,Database!$A$1:$AS$1,),)))))/(((VLOOKUP(EDATE(B57,-12),Database!$A:$AS,MATCH($V$1,Database!$A$1:$AS$1,),))))</f>
        <v>0.12535992243189692</v>
      </c>
    </row>
    <row r="58" spans="1:22" s="83" customFormat="1" x14ac:dyDescent="0.2">
      <c r="A58" s="43"/>
      <c r="B58" s="78">
        <v>33909</v>
      </c>
      <c r="C58" s="13">
        <f>((((VLOOKUP(B58,Database!$A:$AS,MATCH($C$1,Database!$A$1:$AS$1,),))))-(((VLOOKUP(EDATE(B58,-12),Database!$A:$AS,MATCH($C$1,Database!$A$1:$AS$1,),)))))/(((VLOOKUP(EDATE(B58,-12),Database!$A:$AS,MATCH($C$1,Database!$A$1:$AS$1,),))))</f>
        <v>3.5144538333337617E-2</v>
      </c>
      <c r="D58" s="13">
        <f>((((VLOOKUP(B58,Database!$A:$AS,MATCH($D$1,Database!$A$1:$AS$1,),))))-(((VLOOKUP(EDATE(B58,-12),Database!$A:$AS,MATCH($D$1,Database!$A$1:$AS$1,),)))))/(((VLOOKUP(EDATE(B58,-12),Database!$A:$AS,MATCH($D$1,Database!$A$1:$AS$1,),))))</f>
        <v>-4.6625766871165611E-2</v>
      </c>
      <c r="E58" s="13">
        <f>((((VLOOKUP(B58,Database!$A:$AS,MATCH($E$1,Database!$A$1:$AS$1,),))))-(((VLOOKUP(EDATE(B58,-12),Database!$A:$AS,MATCH($E$1,Database!$A$1:$AS$1,),)))))/(((VLOOKUP(EDATE(B58,-12),Database!$A:$AS,MATCH($E$1,Database!$A$1:$AS$1,),))))</f>
        <v>-8.0305927340075148E-2</v>
      </c>
      <c r="F58" s="13">
        <f>((((VLOOKUP(B58,Database!$A:$AS,MATCH($F$1,Database!$A$1:$AS$1,),))))-(((VLOOKUP(EDATE(B58,-12),Database!$A:$AS,MATCH($F$1,Database!$A$1:$AS$1,),)))))/(((VLOOKUP(EDATE(B58,-12),Database!$A:$AS,MATCH($F$1,Database!$A$1:$AS$1,),))))</f>
        <v>-6.1579651946097991E-2</v>
      </c>
      <c r="G58" s="13">
        <f>((((VLOOKUP(B58,Database!$A:$AS,MATCH($G$1,Database!$A$1:$AS$1,),))))-(((VLOOKUP(EDATE(B58,-12),Database!$A:$AS,MATCH($G$1,Database!$A$1:$AS$1,),)))))/(((VLOOKUP(EDATE(B58,-12),Database!$A:$AS,MATCH($G$1,Database!$A$1:$AS$1,),))))</f>
        <v>-3.9930743426036121E-2</v>
      </c>
      <c r="H58" s="13">
        <f>((((VLOOKUP(B58,Database!$A:$AS,MATCH($H$1,Database!$A$1:$AS$1,),))))-(((VLOOKUP(EDATE(B58,-12),Database!$A:$AS,MATCH($H$1,Database!$A$1:$AS$1,),)))))/(((VLOOKUP(EDATE(B58,-12),Database!$A:$AS,MATCH($H$1,Database!$A$1:$AS$1,),))))</f>
        <v>4.1152263415952291E-3</v>
      </c>
      <c r="I58" s="13">
        <f>((((VLOOKUP(B58,Database!$A:$AS,MATCH($I$1,Database!$A$1:$AS$1,),))))-(((VLOOKUP(EDATE(B58,-12),Database!$A:$AS,MATCH($I$1,Database!$A$1:$AS$1,),)))))/(((VLOOKUP(EDATE(B58,-12),Database!$A:$AS,MATCH($I$1,Database!$A$1:$AS$1,),))))</f>
        <v>-3.3393501801828263E-2</v>
      </c>
      <c r="J58" s="13">
        <f>((((VLOOKUP(B58,Database!$A:$AS,MATCH($J$1,Database!$A$1:$AS$1,),))))-(((VLOOKUP(EDATE(B58,-12),Database!$A:$AS,MATCH($J$1,Database!$A$1:$AS$1,),)))))/(((VLOOKUP(EDATE(B58,-12),Database!$A:$AS,MATCH($J$1,Database!$A$1:$AS$1,),))))</f>
        <v>-8.0443246345278427E-2</v>
      </c>
      <c r="K58" s="13">
        <f>((((VLOOKUP(B58,Database!$A:$AS,MATCH($K$1,Database!$A$1:$AS$1,),))))-(((VLOOKUP(EDATE(B58,-12),Database!$A:$AS,MATCH($K$1,Database!$A$1:$AS$1,),)))))/(((VLOOKUP(EDATE(B58,-12),Database!$A:$AS,MATCH($K$1,Database!$A$1:$AS$1,),))))</f>
        <v>-3.2305433187998361E-2</v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>2.0470829061462345E-2</v>
      </c>
      <c r="M58" s="13" t="e">
        <f>((((VLOOKUP(B58,Database!$A:$AS,MATCH($M$1,Database!$A$1:$AS$1,),))))-(((VLOOKUP(EDATE(B58,-12),Database!$A:$AS,MATCH($M$1,Database!$A$1:$AS$1,),)))))/(((VLOOKUP(EDATE(B58,-12),Database!$A:$AS,MATCH($M$1,Database!$A$1:$AS$1,),))))</f>
        <v>#DIV/0!</v>
      </c>
      <c r="N58" s="13" t="e">
        <f>((((VLOOKUP(B58,Database!$A:$AS,MATCH($N$1,Database!$A$1:$AS$1,),))))-(((VLOOKUP(EDATE(B58,-12),Database!$A:$AS,MATCH($N$1,Database!$A$1:$AS$1,),)))))/(((VLOOKUP(EDATE(B58,-12),Database!$A:$AS,MATCH($N$1,Database!$A$1:$AS$1,),))))</f>
        <v>#DIV/0!</v>
      </c>
      <c r="O58" s="13">
        <f>((((VLOOKUP(B58,Database!$A:$AS,MATCH($O$1,Database!$A$1:$AS$1,),))))-(((VLOOKUP(EDATE(B58,-12),Database!$A:$AS,MATCH($O$1,Database!$A$1:$AS$1,),)))))/(((VLOOKUP(EDATE(B58,-12),Database!$A:$AS,MATCH($O$1,Database!$A$1:$AS$1,),))))</f>
        <v>2.6212310440776109E-2</v>
      </c>
      <c r="P58" s="13">
        <f>((((VLOOKUP(B58,Database!$A:$AS,MATCH($P$1,Database!$A$1:$AS$1,),))))-(((VLOOKUP(EDATE(B58,-12),Database!$A:$AS,MATCH($P$1,Database!$A$1:$AS$1,),)))))/(((VLOOKUP(EDATE(B58,-12),Database!$A:$AS,MATCH($P$1,Database!$A$1:$AS$1,),))))</f>
        <v>1.377855013593092E-2</v>
      </c>
      <c r="Q58" s="13">
        <f>((((VLOOKUP(B58,Database!$A:$AS,MATCH($Q$1,Database!$A$1:$AS$1,),))))-(((VLOOKUP(EDATE(B58,-12),Database!$A:$AS,MATCH($Q$1,Database!$A$1:$AS$1,),)))))/(((VLOOKUP(EDATE(B58,-12),Database!$A:$AS,MATCH($Q$1,Database!$A$1:$AS$1,),))))</f>
        <v>-2.0923237925498414E-3</v>
      </c>
      <c r="R58" s="13">
        <f>((((VLOOKUP(B58,Database!$A:$AS,MATCH($R$1,Database!$A$1:$AS$1,),))))-(((VLOOKUP(EDATE(B58,-12),Database!$A:$AS,MATCH($R$1,Database!$A$1:$AS$1,),)))))/(((VLOOKUP(EDATE(B58,-12),Database!$A:$AS,MATCH($R$1,Database!$A$1:$AS$1,),))))</f>
        <v>6.3234213958173842E-3</v>
      </c>
      <c r="S58" s="13">
        <f>((((VLOOKUP(B58,Database!$A:$AS,MATCH($S$1,Database!$A$1:$AS$1,),))))-(((VLOOKUP(EDATE(B58,-12),Database!$A:$AS,MATCH($S$1,Database!$A$1:$AS$1,),)))))/(((VLOOKUP(EDATE(B58,-12),Database!$A:$AS,MATCH($S$1,Database!$A$1:$AS$1,),))))</f>
        <v>7.3643410912696022E-2</v>
      </c>
      <c r="T58" s="13">
        <f>((((VLOOKUP(B58,Database!$A:$AS,MATCH($T$1,Database!$A$1:$AS$1,),))))-(((VLOOKUP(EDATE(B58,-12),Database!$A:$AS,MATCH($T$1,Database!$A$1:$AS$1,),)))))/(((VLOOKUP(EDATE(B58,-12),Database!$A:$AS,MATCH($T$1,Database!$A$1:$AS$1,),))))</f>
        <v>3.2934131736975264E-2</v>
      </c>
      <c r="U58" s="13">
        <f>((((VLOOKUP(B58,Database!$A:$AS,MATCH($U$1,Database!$A$1:$AS$1,),))))-(((VLOOKUP(EDATE(B58,-12),Database!$A:$AS,MATCH($U$1,Database!$A$1:$AS$1,),)))))/(((VLOOKUP(EDATE(B58,-12),Database!$A:$AS,MATCH($U$1,Database!$A$1:$AS$1,),))))</f>
        <v>4.8702997689385637E-2</v>
      </c>
      <c r="V58" s="13">
        <f>((((VLOOKUP(B58,Database!$A:$AS,MATCH($V$1,Database!$A$1:$AS$1,),))))-(((VLOOKUP(EDATE(B58,-12),Database!$A:$AS,MATCH($V$1,Database!$A$1:$AS$1,),)))))/(((VLOOKUP(EDATE(B58,-12),Database!$A:$AS,MATCH($V$1,Database!$A$1:$AS$1,),))))</f>
        <v>0.15535107388603911</v>
      </c>
    </row>
    <row r="59" spans="1:22" s="83" customFormat="1" x14ac:dyDescent="0.2">
      <c r="A59" s="43"/>
      <c r="B59" s="78">
        <v>33939</v>
      </c>
      <c r="C59" s="13">
        <f>((((VLOOKUP(B59,Database!$A:$AS,MATCH($C$1,Database!$A$1:$AS$1,),))))-(((VLOOKUP(EDATE(B59,-12),Database!$A:$AS,MATCH($C$1,Database!$A$1:$AS$1,),)))))/(((VLOOKUP(EDATE(B59,-12),Database!$A:$AS,MATCH($C$1,Database!$A$1:$AS$1,),))))</f>
        <v>4.1027441258838171E-2</v>
      </c>
      <c r="D59" s="13">
        <f>((((VLOOKUP(B59,Database!$A:$AS,MATCH($D$1,Database!$A$1:$AS$1,),))))-(((VLOOKUP(EDATE(B59,-12),Database!$A:$AS,MATCH($D$1,Database!$A$1:$AS$1,),)))))/(((VLOOKUP(EDATE(B59,-12),Database!$A:$AS,MATCH($D$1,Database!$A$1:$AS$1,),))))</f>
        <v>-5.6860321384425316E-2</v>
      </c>
      <c r="E59" s="13">
        <f>((((VLOOKUP(B59,Database!$A:$AS,MATCH($E$1,Database!$A$1:$AS$1,),))))-(((VLOOKUP(EDATE(B59,-12),Database!$A:$AS,MATCH($E$1,Database!$A$1:$AS$1,),)))))/(((VLOOKUP(EDATE(B59,-12),Database!$A:$AS,MATCH($E$1,Database!$A$1:$AS$1,),))))</f>
        <v>-7.1705426359052096E-2</v>
      </c>
      <c r="F59" s="13">
        <f>((((VLOOKUP(B59,Database!$A:$AS,MATCH($F$1,Database!$A$1:$AS$1,),))))-(((VLOOKUP(EDATE(B59,-12),Database!$A:$AS,MATCH($F$1,Database!$A$1:$AS$1,),)))))/(((VLOOKUP(EDATE(B59,-12),Database!$A:$AS,MATCH($F$1,Database!$A$1:$AS$1,),))))</f>
        <v>-7.8877005343625364E-2</v>
      </c>
      <c r="G59" s="13">
        <f>((((VLOOKUP(B59,Database!$A:$AS,MATCH($G$1,Database!$A$1:$AS$1,),))))-(((VLOOKUP(EDATE(B59,-12),Database!$A:$AS,MATCH($G$1,Database!$A$1:$AS$1,),)))))/(((VLOOKUP(EDATE(B59,-12),Database!$A:$AS,MATCH($G$1,Database!$A$1:$AS$1,),))))</f>
        <v>-4.4114435466258921E-2</v>
      </c>
      <c r="H59" s="13">
        <f>((((VLOOKUP(B59,Database!$A:$AS,MATCH($H$1,Database!$A$1:$AS$1,),))))-(((VLOOKUP(EDATE(B59,-12),Database!$A:$AS,MATCH($H$1,Database!$A$1:$AS$1,),)))))/(((VLOOKUP(EDATE(B59,-12),Database!$A:$AS,MATCH($H$1,Database!$A$1:$AS$1,),))))</f>
        <v>6.8870523400277623E-3</v>
      </c>
      <c r="I59" s="13">
        <f>((((VLOOKUP(B59,Database!$A:$AS,MATCH($I$1,Database!$A$1:$AS$1,),))))-(((VLOOKUP(EDATE(B59,-12),Database!$A:$AS,MATCH($I$1,Database!$A$1:$AS$1,),)))))/(((VLOOKUP(EDATE(B59,-12),Database!$A:$AS,MATCH($I$1,Database!$A$1:$AS$1,),))))</f>
        <v>-3.65965233352646E-2</v>
      </c>
      <c r="J59" s="13">
        <f>((((VLOOKUP(B59,Database!$A:$AS,MATCH($J$1,Database!$A$1:$AS$1,),))))-(((VLOOKUP(EDATE(B59,-12),Database!$A:$AS,MATCH($J$1,Database!$A$1:$AS$1,),)))))/(((VLOOKUP(EDATE(B59,-12),Database!$A:$AS,MATCH($J$1,Database!$A$1:$AS$1,),))))</f>
        <v>-0.10595441155977071</v>
      </c>
      <c r="K59" s="13">
        <f>((((VLOOKUP(B59,Database!$A:$AS,MATCH($K$1,Database!$A$1:$AS$1,),))))-(((VLOOKUP(EDATE(B59,-12),Database!$A:$AS,MATCH($K$1,Database!$A$1:$AS$1,),)))))/(((VLOOKUP(EDATE(B59,-12),Database!$A:$AS,MATCH($K$1,Database!$A$1:$AS$1,),))))</f>
        <v>-1.6417910441309986E-2</v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>2.6998961582234013E-2</v>
      </c>
      <c r="M59" s="13" t="e">
        <f>((((VLOOKUP(B59,Database!$A:$AS,MATCH($M$1,Database!$A$1:$AS$1,),))))-(((VLOOKUP(EDATE(B59,-12),Database!$A:$AS,MATCH($M$1,Database!$A$1:$AS$1,),)))))/(((VLOOKUP(EDATE(B59,-12),Database!$A:$AS,MATCH($M$1,Database!$A$1:$AS$1,),))))</f>
        <v>#DIV/0!</v>
      </c>
      <c r="N59" s="13" t="e">
        <f>((((VLOOKUP(B59,Database!$A:$AS,MATCH($N$1,Database!$A$1:$AS$1,),))))-(((VLOOKUP(EDATE(B59,-12),Database!$A:$AS,MATCH($N$1,Database!$A$1:$AS$1,),)))))/(((VLOOKUP(EDATE(B59,-12),Database!$A:$AS,MATCH($N$1,Database!$A$1:$AS$1,),))))</f>
        <v>#DIV/0!</v>
      </c>
      <c r="O59" s="13">
        <f>((((VLOOKUP(B59,Database!$A:$AS,MATCH($O$1,Database!$A$1:$AS$1,),))))-(((VLOOKUP(EDATE(B59,-12),Database!$A:$AS,MATCH($O$1,Database!$A$1:$AS$1,),)))))/(((VLOOKUP(EDATE(B59,-12),Database!$A:$AS,MATCH($O$1,Database!$A$1:$AS$1,),))))</f>
        <v>3.9627241391033685E-2</v>
      </c>
      <c r="P59" s="13">
        <f>((((VLOOKUP(B59,Database!$A:$AS,MATCH($P$1,Database!$A$1:$AS$1,),))))-(((VLOOKUP(EDATE(B59,-12),Database!$A:$AS,MATCH($P$1,Database!$A$1:$AS$1,),)))))/(((VLOOKUP(EDATE(B59,-12),Database!$A:$AS,MATCH($P$1,Database!$A$1:$AS$1,),))))</f>
        <v>1.9116186684395246E-2</v>
      </c>
      <c r="Q59" s="13">
        <f>((((VLOOKUP(B59,Database!$A:$AS,MATCH($Q$1,Database!$A$1:$AS$1,),))))-(((VLOOKUP(EDATE(B59,-12),Database!$A:$AS,MATCH($Q$1,Database!$A$1:$AS$1,),)))))/(((VLOOKUP(EDATE(B59,-12),Database!$A:$AS,MATCH($Q$1,Database!$A$1:$AS$1,),))))</f>
        <v>5.1107088145319016E-2</v>
      </c>
      <c r="R59" s="13">
        <f>((((VLOOKUP(B59,Database!$A:$AS,MATCH($R$1,Database!$A$1:$AS$1,),))))-(((VLOOKUP(EDATE(B59,-12),Database!$A:$AS,MATCH($R$1,Database!$A$1:$AS$1,),)))))/(((VLOOKUP(EDATE(B59,-12),Database!$A:$AS,MATCH($R$1,Database!$A$1:$AS$1,),))))</f>
        <v>-4.9690244138458671E-3</v>
      </c>
      <c r="S59" s="13">
        <f>((((VLOOKUP(B59,Database!$A:$AS,MATCH($S$1,Database!$A$1:$AS$1,),))))-(((VLOOKUP(EDATE(B59,-12),Database!$A:$AS,MATCH($S$1,Database!$A$1:$AS$1,),)))))/(((VLOOKUP(EDATE(B59,-12),Database!$A:$AS,MATCH($S$1,Database!$A$1:$AS$1,),))))</f>
        <v>3.2128514045899642E-2</v>
      </c>
      <c r="T59" s="13">
        <f>((((VLOOKUP(B59,Database!$A:$AS,MATCH($T$1,Database!$A$1:$AS$1,),))))-(((VLOOKUP(EDATE(B59,-12),Database!$A:$AS,MATCH($T$1,Database!$A$1:$AS$1,),)))))/(((VLOOKUP(EDATE(B59,-12),Database!$A:$AS,MATCH($T$1,Database!$A$1:$AS$1,),))))</f>
        <v>1.5105740156714268E-2</v>
      </c>
      <c r="U59" s="13">
        <f>((((VLOOKUP(B59,Database!$A:$AS,MATCH($U$1,Database!$A$1:$AS$1,),))))-(((VLOOKUP(EDATE(B59,-12),Database!$A:$AS,MATCH($U$1,Database!$A$1:$AS$1,),)))))/(((VLOOKUP(EDATE(B59,-12),Database!$A:$AS,MATCH($U$1,Database!$A$1:$AS$1,),))))</f>
        <v>-0.10970347220752888</v>
      </c>
      <c r="V59" s="13">
        <f>((((VLOOKUP(B59,Database!$A:$AS,MATCH($V$1,Database!$A$1:$AS$1,),))))-(((VLOOKUP(EDATE(B59,-12),Database!$A:$AS,MATCH($V$1,Database!$A$1:$AS$1,),)))))/(((VLOOKUP(EDATE(B59,-12),Database!$A:$AS,MATCH($V$1,Database!$A$1:$AS$1,),))))</f>
        <v>0.14769749304479263</v>
      </c>
    </row>
    <row r="60" spans="1:22" s="83" customFormat="1" x14ac:dyDescent="0.2">
      <c r="A60" s="43"/>
      <c r="B60" s="78">
        <v>33970</v>
      </c>
      <c r="C60" s="13">
        <f>((((VLOOKUP(B60,Database!$A:$AS,MATCH($C$1,Database!$A$1:$AS$1,),))))-(((VLOOKUP(EDATE(B60,-12),Database!$A:$AS,MATCH($C$1,Database!$A$1:$AS$1,),)))))/(((VLOOKUP(EDATE(B60,-12),Database!$A:$AS,MATCH($C$1,Database!$A$1:$AS$1,),))))</f>
        <v>5.091915097090742E-2</v>
      </c>
      <c r="D60" s="13">
        <f>((((VLOOKUP(B60,Database!$A:$AS,MATCH($D$1,Database!$A$1:$AS$1,),))))-(((VLOOKUP(EDATE(B60,-12),Database!$A:$AS,MATCH($D$1,Database!$A$1:$AS$1,),)))))/(((VLOOKUP(EDATE(B60,-12),Database!$A:$AS,MATCH($D$1,Database!$A$1:$AS$1,),))))</f>
        <v>-6.3492063492063516E-2</v>
      </c>
      <c r="E60" s="13">
        <f>((((VLOOKUP(B60,Database!$A:$AS,MATCH($E$1,Database!$A$1:$AS$1,),))))-(((VLOOKUP(EDATE(B60,-12),Database!$A:$AS,MATCH($E$1,Database!$A$1:$AS$1,),)))))/(((VLOOKUP(EDATE(B60,-12),Database!$A:$AS,MATCH($E$1,Database!$A$1:$AS$1,),))))</f>
        <v>-4.5853658542648654E-2</v>
      </c>
      <c r="F60" s="13">
        <f>((((VLOOKUP(B60,Database!$A:$AS,MATCH($F$1,Database!$A$1:$AS$1,),))))-(((VLOOKUP(EDATE(B60,-12),Database!$A:$AS,MATCH($F$1,Database!$A$1:$AS$1,),)))))/(((VLOOKUP(EDATE(B60,-12),Database!$A:$AS,MATCH($F$1,Database!$A$1:$AS$1,),))))</f>
        <v>-0.10039630118351094</v>
      </c>
      <c r="G60" s="13">
        <f>((((VLOOKUP(B60,Database!$A:$AS,MATCH($G$1,Database!$A$1:$AS$1,),))))-(((VLOOKUP(EDATE(B60,-12),Database!$A:$AS,MATCH($G$1,Database!$A$1:$AS$1,),)))))/(((VLOOKUP(EDATE(B60,-12),Database!$A:$AS,MATCH($G$1,Database!$A$1:$AS$1,),))))</f>
        <v>-4.7914624850266707E-2</v>
      </c>
      <c r="H60" s="13">
        <f>((((VLOOKUP(B60,Database!$A:$AS,MATCH($H$1,Database!$A$1:$AS$1,),))))-(((VLOOKUP(EDATE(B60,-12),Database!$A:$AS,MATCH($H$1,Database!$A$1:$AS$1,),)))))/(((VLOOKUP(EDATE(B60,-12),Database!$A:$AS,MATCH($H$1,Database!$A$1:$AS$1,),))))</f>
        <v>9.6551724192594588E-3</v>
      </c>
      <c r="I60" s="13">
        <f>((((VLOOKUP(B60,Database!$A:$AS,MATCH($I$1,Database!$A$1:$AS$1,),))))-(((VLOOKUP(EDATE(B60,-12),Database!$A:$AS,MATCH($I$1,Database!$A$1:$AS$1,),)))))/(((VLOOKUP(EDATE(B60,-12),Database!$A:$AS,MATCH($I$1,Database!$A$1:$AS$1,),))))</f>
        <v>-2.8130671504573369E-2</v>
      </c>
      <c r="J60" s="13">
        <f>((((VLOOKUP(B60,Database!$A:$AS,MATCH($J$1,Database!$A$1:$AS$1,),))))-(((VLOOKUP(EDATE(B60,-12),Database!$A:$AS,MATCH($J$1,Database!$A$1:$AS$1,),)))))/(((VLOOKUP(EDATE(B60,-12),Database!$A:$AS,MATCH($J$1,Database!$A$1:$AS$1,),))))</f>
        <v>-7.2098017183872196E-2</v>
      </c>
      <c r="K60" s="13">
        <f>((((VLOOKUP(B60,Database!$A:$AS,MATCH($K$1,Database!$A$1:$AS$1,),))))-(((VLOOKUP(EDATE(B60,-12),Database!$A:$AS,MATCH($K$1,Database!$A$1:$AS$1,),)))))/(((VLOOKUP(EDATE(B60,-12),Database!$A:$AS,MATCH($K$1,Database!$A$1:$AS$1,),))))</f>
        <v>-3.2210834555193378E-2</v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>2.4584346134332743E-2</v>
      </c>
      <c r="M60" s="13" t="e">
        <f>((((VLOOKUP(B60,Database!$A:$AS,MATCH($M$1,Database!$A$1:$AS$1,),))))-(((VLOOKUP(EDATE(B60,-12),Database!$A:$AS,MATCH($M$1,Database!$A$1:$AS$1,),)))))/(((VLOOKUP(EDATE(B60,-12),Database!$A:$AS,MATCH($M$1,Database!$A$1:$AS$1,),))))</f>
        <v>#DIV/0!</v>
      </c>
      <c r="N60" s="13" t="e">
        <f>((((VLOOKUP(B60,Database!$A:$AS,MATCH($N$1,Database!$A$1:$AS$1,),))))-(((VLOOKUP(EDATE(B60,-12),Database!$A:$AS,MATCH($N$1,Database!$A$1:$AS$1,),)))))/(((VLOOKUP(EDATE(B60,-12),Database!$A:$AS,MATCH($N$1,Database!$A$1:$AS$1,),))))</f>
        <v>#DIV/0!</v>
      </c>
      <c r="O60" s="13">
        <f>((((VLOOKUP(B60,Database!$A:$AS,MATCH($O$1,Database!$A$1:$AS$1,),))))-(((VLOOKUP(EDATE(B60,-12),Database!$A:$AS,MATCH($O$1,Database!$A$1:$AS$1,),)))))/(((VLOOKUP(EDATE(B60,-12),Database!$A:$AS,MATCH($O$1,Database!$A$1:$AS$1,),))))</f>
        <v>2.7113918299198663E-2</v>
      </c>
      <c r="P60" s="13">
        <f>((((VLOOKUP(B60,Database!$A:$AS,MATCH($P$1,Database!$A$1:$AS$1,),))))-(((VLOOKUP(EDATE(B60,-12),Database!$A:$AS,MATCH($P$1,Database!$A$1:$AS$1,),)))))/(((VLOOKUP(EDATE(B60,-12),Database!$A:$AS,MATCH($P$1,Database!$A$1:$AS$1,),))))</f>
        <v>2.2246202371716258E-2</v>
      </c>
      <c r="Q60" s="13">
        <f>((((VLOOKUP(B60,Database!$A:$AS,MATCH($Q$1,Database!$A$1:$AS$1,),))))-(((VLOOKUP(EDATE(B60,-12),Database!$A:$AS,MATCH($Q$1,Database!$A$1:$AS$1,),)))))/(((VLOOKUP(EDATE(B60,-12),Database!$A:$AS,MATCH($Q$1,Database!$A$1:$AS$1,),))))</f>
        <v>6.9425159676883078E-2</v>
      </c>
      <c r="R60" s="13">
        <f>((((VLOOKUP(B60,Database!$A:$AS,MATCH($R$1,Database!$A$1:$AS$1,),))))-(((VLOOKUP(EDATE(B60,-12),Database!$A:$AS,MATCH($R$1,Database!$A$1:$AS$1,),)))))/(((VLOOKUP(EDATE(B60,-12),Database!$A:$AS,MATCH($R$1,Database!$A$1:$AS$1,),))))</f>
        <v>-7.3082399861959788E-2</v>
      </c>
      <c r="S60" s="13">
        <f>((((VLOOKUP(B60,Database!$A:$AS,MATCH($S$1,Database!$A$1:$AS$1,),))))-(((VLOOKUP(EDATE(B60,-12),Database!$A:$AS,MATCH($S$1,Database!$A$1:$AS$1,),)))))/(((VLOOKUP(EDATE(B60,-12),Database!$A:$AS,MATCH($S$1,Database!$A$1:$AS$1,),))))</f>
        <v>7.6923076898155529E-2</v>
      </c>
      <c r="T60" s="13">
        <f>((((VLOOKUP(B60,Database!$A:$AS,MATCH($T$1,Database!$A$1:$AS$1,),))))-(((VLOOKUP(EDATE(B60,-12),Database!$A:$AS,MATCH($T$1,Database!$A$1:$AS$1,),)))))/(((VLOOKUP(EDATE(B60,-12),Database!$A:$AS,MATCH($T$1,Database!$A$1:$AS$1,),))))</f>
        <v>5.4054054069476283E-2</v>
      </c>
      <c r="U60" s="13">
        <f>((((VLOOKUP(B60,Database!$A:$AS,MATCH($U$1,Database!$A$1:$AS$1,),))))-(((VLOOKUP(EDATE(B60,-12),Database!$A:$AS,MATCH($U$1,Database!$A$1:$AS$1,),)))))/(((VLOOKUP(EDATE(B60,-12),Database!$A:$AS,MATCH($U$1,Database!$A$1:$AS$1,),))))</f>
        <v>-3.0640391084858248E-2</v>
      </c>
      <c r="V60" s="13">
        <f>((((VLOOKUP(B60,Database!$A:$AS,MATCH($V$1,Database!$A$1:$AS$1,),))))-(((VLOOKUP(EDATE(B60,-12),Database!$A:$AS,MATCH($V$1,Database!$A$1:$AS$1,),)))))/(((VLOOKUP(EDATE(B60,-12),Database!$A:$AS,MATCH($V$1,Database!$A$1:$AS$1,),))))</f>
        <v>5.6063874381634425E-2</v>
      </c>
    </row>
    <row r="61" spans="1:22" s="83" customFormat="1" x14ac:dyDescent="0.2">
      <c r="A61" s="43"/>
      <c r="B61" s="78">
        <v>34001</v>
      </c>
      <c r="C61" s="13">
        <f>((((VLOOKUP(B61,Database!$A:$AS,MATCH($C$1,Database!$A$1:$AS$1,),))))-(((VLOOKUP(EDATE(B61,-12),Database!$A:$AS,MATCH($C$1,Database!$A$1:$AS$1,),)))))/(((VLOOKUP(EDATE(B61,-12),Database!$A:$AS,MATCH($C$1,Database!$A$1:$AS$1,),))))</f>
        <v>4.8200884967441501E-2</v>
      </c>
      <c r="D61" s="13">
        <f>((((VLOOKUP(B61,Database!$A:$AS,MATCH($D$1,Database!$A$1:$AS$1,),))))-(((VLOOKUP(EDATE(B61,-12),Database!$A:$AS,MATCH($D$1,Database!$A$1:$AS$1,),)))))/(((VLOOKUP(EDATE(B61,-12),Database!$A:$AS,MATCH($D$1,Database!$A$1:$AS$1,),))))</f>
        <v>-7.4209245742092561E-2</v>
      </c>
      <c r="E61" s="13">
        <f>((((VLOOKUP(B61,Database!$A:$AS,MATCH($E$1,Database!$A$1:$AS$1,),))))-(((VLOOKUP(EDATE(B61,-12),Database!$A:$AS,MATCH($E$1,Database!$A$1:$AS$1,),)))))/(((VLOOKUP(EDATE(B61,-12),Database!$A:$AS,MATCH($E$1,Database!$A$1:$AS$1,),))))</f>
        <v>-4.1095890405275434E-2</v>
      </c>
      <c r="F61" s="13">
        <f>((((VLOOKUP(B61,Database!$A:$AS,MATCH($F$1,Database!$A$1:$AS$1,),))))-(((VLOOKUP(EDATE(B61,-12),Database!$A:$AS,MATCH($F$1,Database!$A$1:$AS$1,),)))))/(((VLOOKUP(EDATE(B61,-12),Database!$A:$AS,MATCH($F$1,Database!$A$1:$AS$1,),))))</f>
        <v>-0.1285714285747683</v>
      </c>
      <c r="G61" s="13">
        <f>((((VLOOKUP(B61,Database!$A:$AS,MATCH($G$1,Database!$A$1:$AS$1,),))))-(((VLOOKUP(EDATE(B61,-12),Database!$A:$AS,MATCH($G$1,Database!$A$1:$AS$1,),)))))/(((VLOOKUP(EDATE(B61,-12),Database!$A:$AS,MATCH($G$1,Database!$A$1:$AS$1,),))))</f>
        <v>-3.895961369622488E-2</v>
      </c>
      <c r="H61" s="13">
        <f>((((VLOOKUP(B61,Database!$A:$AS,MATCH($H$1,Database!$A$1:$AS$1,),))))-(((VLOOKUP(EDATE(B61,-12),Database!$A:$AS,MATCH($H$1,Database!$A$1:$AS$1,),)))))/(((VLOOKUP(EDATE(B61,-12),Database!$A:$AS,MATCH($H$1,Database!$A$1:$AS$1,),))))</f>
        <v>1.7808219179094309E-2</v>
      </c>
      <c r="I61" s="13">
        <f>((((VLOOKUP(B61,Database!$A:$AS,MATCH($I$1,Database!$A$1:$AS$1,),))))-(((VLOOKUP(EDATE(B61,-12),Database!$A:$AS,MATCH($I$1,Database!$A$1:$AS$1,),)))))/(((VLOOKUP(EDATE(B61,-12),Database!$A:$AS,MATCH($I$1,Database!$A$1:$AS$1,),))))</f>
        <v>-3.0852994552817516E-2</v>
      </c>
      <c r="J61" s="13">
        <f>((((VLOOKUP(B61,Database!$A:$AS,MATCH($J$1,Database!$A$1:$AS$1,),))))-(((VLOOKUP(EDATE(B61,-12),Database!$A:$AS,MATCH($J$1,Database!$A$1:$AS$1,),)))))/(((VLOOKUP(EDATE(B61,-12),Database!$A:$AS,MATCH($J$1,Database!$A$1:$AS$1,),))))</f>
        <v>-8.8953674759891549E-2</v>
      </c>
      <c r="K61" s="13">
        <f>((((VLOOKUP(B61,Database!$A:$AS,MATCH($K$1,Database!$A$1:$AS$1,),))))-(((VLOOKUP(EDATE(B61,-12),Database!$A:$AS,MATCH($K$1,Database!$A$1:$AS$1,),)))))/(((VLOOKUP(EDATE(B61,-12),Database!$A:$AS,MATCH($K$1,Database!$A$1:$AS$1,),))))</f>
        <v>-4.2584434665454092E-2</v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>3.7114662626938966E-2</v>
      </c>
      <c r="M61" s="13" t="e">
        <f>((((VLOOKUP(B61,Database!$A:$AS,MATCH($M$1,Database!$A$1:$AS$1,),))))-(((VLOOKUP(EDATE(B61,-12),Database!$A:$AS,MATCH($M$1,Database!$A$1:$AS$1,),)))))/(((VLOOKUP(EDATE(B61,-12),Database!$A:$AS,MATCH($M$1,Database!$A$1:$AS$1,),))))</f>
        <v>#DIV/0!</v>
      </c>
      <c r="N61" s="13" t="e">
        <f>((((VLOOKUP(B61,Database!$A:$AS,MATCH($N$1,Database!$A$1:$AS$1,),))))-(((VLOOKUP(EDATE(B61,-12),Database!$A:$AS,MATCH($N$1,Database!$A$1:$AS$1,),)))))/(((VLOOKUP(EDATE(B61,-12),Database!$A:$AS,MATCH($N$1,Database!$A$1:$AS$1,),))))</f>
        <v>#DIV/0!</v>
      </c>
      <c r="O61" s="13">
        <f>((((VLOOKUP(B61,Database!$A:$AS,MATCH($O$1,Database!$A$1:$AS$1,),))))-(((VLOOKUP(EDATE(B61,-12),Database!$A:$AS,MATCH($O$1,Database!$A$1:$AS$1,),)))))/(((VLOOKUP(EDATE(B61,-12),Database!$A:$AS,MATCH($O$1,Database!$A$1:$AS$1,),))))</f>
        <v>4.3089147257287859E-2</v>
      </c>
      <c r="P61" s="13">
        <f>((((VLOOKUP(B61,Database!$A:$AS,MATCH($P$1,Database!$A$1:$AS$1,),))))-(((VLOOKUP(EDATE(B61,-12),Database!$A:$AS,MATCH($P$1,Database!$A$1:$AS$1,),)))))/(((VLOOKUP(EDATE(B61,-12),Database!$A:$AS,MATCH($P$1,Database!$A$1:$AS$1,),))))</f>
        <v>-1.3484511062369456E-2</v>
      </c>
      <c r="Q61" s="13">
        <f>((((VLOOKUP(B61,Database!$A:$AS,MATCH($Q$1,Database!$A$1:$AS$1,),))))-(((VLOOKUP(EDATE(B61,-12),Database!$A:$AS,MATCH($Q$1,Database!$A$1:$AS$1,),)))))/(((VLOOKUP(EDATE(B61,-12),Database!$A:$AS,MATCH($Q$1,Database!$A$1:$AS$1,),))))</f>
        <v>5.5831432014875712E-2</v>
      </c>
      <c r="R61" s="13">
        <f>((((VLOOKUP(B61,Database!$A:$AS,MATCH($R$1,Database!$A$1:$AS$1,),))))-(((VLOOKUP(EDATE(B61,-12),Database!$A:$AS,MATCH($R$1,Database!$A$1:$AS$1,),)))))/(((VLOOKUP(EDATE(B61,-12),Database!$A:$AS,MATCH($R$1,Database!$A$1:$AS$1,),))))</f>
        <v>-1.4581705369852918E-2</v>
      </c>
      <c r="S61" s="13">
        <f>((((VLOOKUP(B61,Database!$A:$AS,MATCH($S$1,Database!$A$1:$AS$1,),))))-(((VLOOKUP(EDATE(B61,-12),Database!$A:$AS,MATCH($S$1,Database!$A$1:$AS$1,),)))))/(((VLOOKUP(EDATE(B61,-12),Database!$A:$AS,MATCH($S$1,Database!$A$1:$AS$1,),))))</f>
        <v>8.5271317837050026E-2</v>
      </c>
      <c r="T61" s="13">
        <f>((((VLOOKUP(B61,Database!$A:$AS,MATCH($T$1,Database!$A$1:$AS$1,),))))-(((VLOOKUP(EDATE(B61,-12),Database!$A:$AS,MATCH($T$1,Database!$A$1:$AS$1,),)))))/(((VLOOKUP(EDATE(B61,-12),Database!$A:$AS,MATCH($T$1,Database!$A$1:$AS$1,),))))</f>
        <v>6.6666666668686966E-2</v>
      </c>
      <c r="U61" s="13">
        <f>((((VLOOKUP(B61,Database!$A:$AS,MATCH($U$1,Database!$A$1:$AS$1,),))))-(((VLOOKUP(EDATE(B61,-12),Database!$A:$AS,MATCH($U$1,Database!$A$1:$AS$1,),)))))/(((VLOOKUP(EDATE(B61,-12),Database!$A:$AS,MATCH($U$1,Database!$A$1:$AS$1,),))))</f>
        <v>-2.5109594600286628E-2</v>
      </c>
      <c r="V61" s="13">
        <f>((((VLOOKUP(B61,Database!$A:$AS,MATCH($V$1,Database!$A$1:$AS$1,),))))-(((VLOOKUP(EDATE(B61,-12),Database!$A:$AS,MATCH($V$1,Database!$A$1:$AS$1,),)))))/(((VLOOKUP(EDATE(B61,-12),Database!$A:$AS,MATCH($V$1,Database!$A$1:$AS$1,),))))</f>
        <v>5.1893544371966999E-2</v>
      </c>
    </row>
    <row r="62" spans="1:22" s="83" customFormat="1" x14ac:dyDescent="0.2">
      <c r="A62" s="43"/>
      <c r="B62" s="78">
        <v>34029</v>
      </c>
      <c r="C62" s="13">
        <f>((((VLOOKUP(B62,Database!$A:$AS,MATCH($C$1,Database!$A$1:$AS$1,),))))-(((VLOOKUP(EDATE(B62,-12),Database!$A:$AS,MATCH($C$1,Database!$A$1:$AS$1,),)))))/(((VLOOKUP(EDATE(B62,-12),Database!$A:$AS,MATCH($C$1,Database!$A$1:$AS$1,),))))</f>
        <v>3.8872936742365145E-2</v>
      </c>
      <c r="D62" s="13">
        <f>((((VLOOKUP(B62,Database!$A:$AS,MATCH($D$1,Database!$A$1:$AS$1,),))))-(((VLOOKUP(EDATE(B62,-12),Database!$A:$AS,MATCH($D$1,Database!$A$1:$AS$1,),)))))/(((VLOOKUP(EDATE(B62,-12),Database!$A:$AS,MATCH($D$1,Database!$A$1:$AS$1,),))))</f>
        <v>-6.7567567567567557E-2</v>
      </c>
      <c r="E62" s="13">
        <f>((((VLOOKUP(B62,Database!$A:$AS,MATCH($E$1,Database!$A$1:$AS$1,),))))-(((VLOOKUP(EDATE(B62,-12),Database!$A:$AS,MATCH($E$1,Database!$A$1:$AS$1,),)))))/(((VLOOKUP(EDATE(B62,-12),Database!$A:$AS,MATCH($E$1,Database!$A$1:$AS$1,),))))</f>
        <v>-5.958291956448801E-2</v>
      </c>
      <c r="F62" s="13">
        <f>((((VLOOKUP(B62,Database!$A:$AS,MATCH($F$1,Database!$A$1:$AS$1,),))))-(((VLOOKUP(EDATE(B62,-12),Database!$A:$AS,MATCH($F$1,Database!$A$1:$AS$1,),)))))/(((VLOOKUP(EDATE(B62,-12),Database!$A:$AS,MATCH($F$1,Database!$A$1:$AS$1,),))))</f>
        <v>-0.10160427806907502</v>
      </c>
      <c r="G62" s="13">
        <f>((((VLOOKUP(B62,Database!$A:$AS,MATCH($G$1,Database!$A$1:$AS$1,),))))-(((VLOOKUP(EDATE(B62,-12),Database!$A:$AS,MATCH($G$1,Database!$A$1:$AS$1,),)))))/(((VLOOKUP(EDATE(B62,-12),Database!$A:$AS,MATCH($G$1,Database!$A$1:$AS$1,),))))</f>
        <v>-5.2711661775894016E-2</v>
      </c>
      <c r="H62" s="13">
        <f>((((VLOOKUP(B62,Database!$A:$AS,MATCH($H$1,Database!$A$1:$AS$1,),))))-(((VLOOKUP(EDATE(B62,-12),Database!$A:$AS,MATCH($H$1,Database!$A$1:$AS$1,),)))))/(((VLOOKUP(EDATE(B62,-12),Database!$A:$AS,MATCH($H$1,Database!$A$1:$AS$1,),))))</f>
        <v>1.3755158181046759E-2</v>
      </c>
      <c r="I62" s="13">
        <f>((((VLOOKUP(B62,Database!$A:$AS,MATCH($I$1,Database!$A$1:$AS$1,),))))-(((VLOOKUP(EDATE(B62,-12),Database!$A:$AS,MATCH($I$1,Database!$A$1:$AS$1,),)))))/(((VLOOKUP(EDATE(B62,-12),Database!$A:$AS,MATCH($I$1,Database!$A$1:$AS$1,),))))</f>
        <v>-3.3636363633148508E-2</v>
      </c>
      <c r="J62" s="13">
        <f>((((VLOOKUP(B62,Database!$A:$AS,MATCH($J$1,Database!$A$1:$AS$1,),))))-(((VLOOKUP(EDATE(B62,-12),Database!$A:$AS,MATCH($J$1,Database!$A$1:$AS$1,),)))))/(((VLOOKUP(EDATE(B62,-12),Database!$A:$AS,MATCH($J$1,Database!$A$1:$AS$1,),))))</f>
        <v>-7.9035743639298356E-2</v>
      </c>
      <c r="K62" s="13">
        <f>((((VLOOKUP(B62,Database!$A:$AS,MATCH($K$1,Database!$A$1:$AS$1,),))))-(((VLOOKUP(EDATE(B62,-12),Database!$A:$AS,MATCH($K$1,Database!$A$1:$AS$1,),)))))/(((VLOOKUP(EDATE(B62,-12),Database!$A:$AS,MATCH($K$1,Database!$A$1:$AS$1,),))))</f>
        <v>-1.4836795242424837E-2</v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>-2.0898146026729673E-4</v>
      </c>
      <c r="M62" s="13" t="e">
        <f>((((VLOOKUP(B62,Database!$A:$AS,MATCH($M$1,Database!$A$1:$AS$1,),))))-(((VLOOKUP(EDATE(B62,-12),Database!$A:$AS,MATCH($M$1,Database!$A$1:$AS$1,),)))))/(((VLOOKUP(EDATE(B62,-12),Database!$A:$AS,MATCH($M$1,Database!$A$1:$AS$1,),))))</f>
        <v>#DIV/0!</v>
      </c>
      <c r="N62" s="13" t="e">
        <f>((((VLOOKUP(B62,Database!$A:$AS,MATCH($N$1,Database!$A$1:$AS$1,),))))-(((VLOOKUP(EDATE(B62,-12),Database!$A:$AS,MATCH($N$1,Database!$A$1:$AS$1,),)))))/(((VLOOKUP(EDATE(B62,-12),Database!$A:$AS,MATCH($N$1,Database!$A$1:$AS$1,),))))</f>
        <v>#DIV/0!</v>
      </c>
      <c r="O62" s="13">
        <f>((((VLOOKUP(B62,Database!$A:$AS,MATCH($O$1,Database!$A$1:$AS$1,),))))-(((VLOOKUP(EDATE(B62,-12),Database!$A:$AS,MATCH($O$1,Database!$A$1:$AS$1,),)))))/(((VLOOKUP(EDATE(B62,-12),Database!$A:$AS,MATCH($O$1,Database!$A$1:$AS$1,),))))</f>
        <v>5.4633166113639622E-2</v>
      </c>
      <c r="P62" s="13">
        <f>((((VLOOKUP(B62,Database!$A:$AS,MATCH($P$1,Database!$A$1:$AS$1,),))))-(((VLOOKUP(EDATE(B62,-12),Database!$A:$AS,MATCH($P$1,Database!$A$1:$AS$1,),)))))/(((VLOOKUP(EDATE(B62,-12),Database!$A:$AS,MATCH($P$1,Database!$A$1:$AS$1,),))))</f>
        <v>2.1704798539812598E-2</v>
      </c>
      <c r="Q62" s="13">
        <f>((((VLOOKUP(B62,Database!$A:$AS,MATCH($Q$1,Database!$A$1:$AS$1,),))))-(((VLOOKUP(EDATE(B62,-12),Database!$A:$AS,MATCH($Q$1,Database!$A$1:$AS$1,),)))))/(((VLOOKUP(EDATE(B62,-12),Database!$A:$AS,MATCH($Q$1,Database!$A$1:$AS$1,),))))</f>
        <v>6.827473426899254E-2</v>
      </c>
      <c r="R62" s="13">
        <f>((((VLOOKUP(B62,Database!$A:$AS,MATCH($R$1,Database!$A$1:$AS$1,),))))-(((VLOOKUP(EDATE(B62,-12),Database!$A:$AS,MATCH($R$1,Database!$A$1:$AS$1,),)))))/(((VLOOKUP(EDATE(B62,-12),Database!$A:$AS,MATCH($R$1,Database!$A$1:$AS$1,),))))</f>
        <v>-4.2270677565999774E-2</v>
      </c>
      <c r="S62" s="13">
        <f>((((VLOOKUP(B62,Database!$A:$AS,MATCH($S$1,Database!$A$1:$AS$1,),))))-(((VLOOKUP(EDATE(B62,-12),Database!$A:$AS,MATCH($S$1,Database!$A$1:$AS$1,),)))))/(((VLOOKUP(EDATE(B62,-12),Database!$A:$AS,MATCH($S$1,Database!$A$1:$AS$1,),))))</f>
        <v>5.6390977439799442E-2</v>
      </c>
      <c r="T62" s="13">
        <f>((((VLOOKUP(B62,Database!$A:$AS,MATCH($T$1,Database!$A$1:$AS$1,),))))-(((VLOOKUP(EDATE(B62,-12),Database!$A:$AS,MATCH($T$1,Database!$A$1:$AS$1,),)))))/(((VLOOKUP(EDATE(B62,-12),Database!$A:$AS,MATCH($T$1,Database!$A$1:$AS$1,),))))</f>
        <v>2.7190332318342437E-2</v>
      </c>
      <c r="U62" s="13">
        <f>((((VLOOKUP(B62,Database!$A:$AS,MATCH($U$1,Database!$A$1:$AS$1,),))))-(((VLOOKUP(EDATE(B62,-12),Database!$A:$AS,MATCH($U$1,Database!$A$1:$AS$1,),)))))/(((VLOOKUP(EDATE(B62,-12),Database!$A:$AS,MATCH($U$1,Database!$A$1:$AS$1,),))))</f>
        <v>-5.5670091135171629E-2</v>
      </c>
      <c r="V62" s="13">
        <f>((((VLOOKUP(B62,Database!$A:$AS,MATCH($V$1,Database!$A$1:$AS$1,),))))-(((VLOOKUP(EDATE(B62,-12),Database!$A:$AS,MATCH($V$1,Database!$A$1:$AS$1,),)))))/(((VLOOKUP(EDATE(B62,-12),Database!$A:$AS,MATCH($V$1,Database!$A$1:$AS$1,),))))</f>
        <v>2.2922553747464283E-2</v>
      </c>
    </row>
    <row r="63" spans="1:22" s="83" customFormat="1" x14ac:dyDescent="0.2">
      <c r="A63" s="43"/>
      <c r="B63" s="78">
        <v>34060</v>
      </c>
      <c r="C63" s="13">
        <f>((((VLOOKUP(B63,Database!$A:$AS,MATCH($C$1,Database!$A$1:$AS$1,),))))-(((VLOOKUP(EDATE(B63,-12),Database!$A:$AS,MATCH($C$1,Database!$A$1:$AS$1,),)))))/(((VLOOKUP(EDATE(B63,-12),Database!$A:$AS,MATCH($C$1,Database!$A$1:$AS$1,),))))</f>
        <v>3.4054821273975897E-2</v>
      </c>
      <c r="D63" s="13">
        <f>((((VLOOKUP(B63,Database!$A:$AS,MATCH($D$1,Database!$A$1:$AS$1,),))))-(((VLOOKUP(EDATE(B63,-12),Database!$A:$AS,MATCH($D$1,Database!$A$1:$AS$1,),)))))/(((VLOOKUP(EDATE(B63,-12),Database!$A:$AS,MATCH($D$1,Database!$A$1:$AS$1,),))))</f>
        <v>-7.2570725707256964E-2</v>
      </c>
      <c r="E63" s="13">
        <f>((((VLOOKUP(B63,Database!$A:$AS,MATCH($E$1,Database!$A$1:$AS$1,),))))-(((VLOOKUP(EDATE(B63,-12),Database!$A:$AS,MATCH($E$1,Database!$A$1:$AS$1,),)))))/(((VLOOKUP(EDATE(B63,-12),Database!$A:$AS,MATCH($E$1,Database!$A$1:$AS$1,),))))</f>
        <v>-3.6926147705700636E-2</v>
      </c>
      <c r="F63" s="13">
        <f>((((VLOOKUP(B63,Database!$A:$AS,MATCH($F$1,Database!$A$1:$AS$1,),))))-(((VLOOKUP(EDATE(B63,-12),Database!$A:$AS,MATCH($F$1,Database!$A$1:$AS$1,),)))))/(((VLOOKUP(EDATE(B63,-12),Database!$A:$AS,MATCH($F$1,Database!$A$1:$AS$1,),))))</f>
        <v>-0.10709504685521211</v>
      </c>
      <c r="G63" s="13">
        <f>((((VLOOKUP(B63,Database!$A:$AS,MATCH($G$1,Database!$A$1:$AS$1,),))))-(((VLOOKUP(EDATE(B63,-12),Database!$A:$AS,MATCH($G$1,Database!$A$1:$AS$1,),)))))/(((VLOOKUP(EDATE(B63,-12),Database!$A:$AS,MATCH($G$1,Database!$A$1:$AS$1,),))))</f>
        <v>-5.2112984453689566E-2</v>
      </c>
      <c r="H63" s="13">
        <f>((((VLOOKUP(B63,Database!$A:$AS,MATCH($H$1,Database!$A$1:$AS$1,),))))-(((VLOOKUP(EDATE(B63,-12),Database!$A:$AS,MATCH($H$1,Database!$A$1:$AS$1,),)))))/(((VLOOKUP(EDATE(B63,-12),Database!$A:$AS,MATCH($H$1,Database!$A$1:$AS$1,),))))</f>
        <v>8.1967213069982225E-3</v>
      </c>
      <c r="I63" s="13">
        <f>((((VLOOKUP(B63,Database!$A:$AS,MATCH($I$1,Database!$A$1:$AS$1,),))))-(((VLOOKUP(EDATE(B63,-12),Database!$A:$AS,MATCH($I$1,Database!$A$1:$AS$1,),)))))/(((VLOOKUP(EDATE(B63,-12),Database!$A:$AS,MATCH($I$1,Database!$A$1:$AS$1,),))))</f>
        <v>-3.8077969173571646E-2</v>
      </c>
      <c r="J63" s="13">
        <f>((((VLOOKUP(B63,Database!$A:$AS,MATCH($J$1,Database!$A$1:$AS$1,),))))-(((VLOOKUP(EDATE(B63,-12),Database!$A:$AS,MATCH($J$1,Database!$A$1:$AS$1,),)))))/(((VLOOKUP(EDATE(B63,-12),Database!$A:$AS,MATCH($J$1,Database!$A$1:$AS$1,),))))</f>
        <v>-8.2037147743340116E-2</v>
      </c>
      <c r="K63" s="13">
        <f>((((VLOOKUP(B63,Database!$A:$AS,MATCH($K$1,Database!$A$1:$AS$1,),))))-(((VLOOKUP(EDATE(B63,-12),Database!$A:$AS,MATCH($K$1,Database!$A$1:$AS$1,),)))))/(((VLOOKUP(EDATE(B63,-12),Database!$A:$AS,MATCH($K$1,Database!$A$1:$AS$1,),))))</f>
        <v>-4.2274052488495022E-2</v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>2.6949315998500395E-2</v>
      </c>
      <c r="M63" s="13" t="e">
        <f>((((VLOOKUP(B63,Database!$A:$AS,MATCH($M$1,Database!$A$1:$AS$1,),))))-(((VLOOKUP(EDATE(B63,-12),Database!$A:$AS,MATCH($M$1,Database!$A$1:$AS$1,),)))))/(((VLOOKUP(EDATE(B63,-12),Database!$A:$AS,MATCH($M$1,Database!$A$1:$AS$1,),))))</f>
        <v>#DIV/0!</v>
      </c>
      <c r="N63" s="13" t="e">
        <f>((((VLOOKUP(B63,Database!$A:$AS,MATCH($N$1,Database!$A$1:$AS$1,),))))-(((VLOOKUP(EDATE(B63,-12),Database!$A:$AS,MATCH($N$1,Database!$A$1:$AS$1,),)))))/(((VLOOKUP(EDATE(B63,-12),Database!$A:$AS,MATCH($N$1,Database!$A$1:$AS$1,),))))</f>
        <v>#DIV/0!</v>
      </c>
      <c r="O63" s="13">
        <f>((((VLOOKUP(B63,Database!$A:$AS,MATCH($O$1,Database!$A$1:$AS$1,),))))-(((VLOOKUP(EDATE(B63,-12),Database!$A:$AS,MATCH($O$1,Database!$A$1:$AS$1,),)))))/(((VLOOKUP(EDATE(B63,-12),Database!$A:$AS,MATCH($O$1,Database!$A$1:$AS$1,),))))</f>
        <v>4.0412100328801874E-2</v>
      </c>
      <c r="P63" s="13">
        <f>((((VLOOKUP(B63,Database!$A:$AS,MATCH($P$1,Database!$A$1:$AS$1,),))))-(((VLOOKUP(EDATE(B63,-12),Database!$A:$AS,MATCH($P$1,Database!$A$1:$AS$1,),)))))/(((VLOOKUP(EDATE(B63,-12),Database!$A:$AS,MATCH($P$1,Database!$A$1:$AS$1,),))))</f>
        <v>2.7223973474300674E-2</v>
      </c>
      <c r="Q63" s="13">
        <f>((((VLOOKUP(B63,Database!$A:$AS,MATCH($Q$1,Database!$A$1:$AS$1,),))))-(((VLOOKUP(EDATE(B63,-12),Database!$A:$AS,MATCH($Q$1,Database!$A$1:$AS$1,),)))))/(((VLOOKUP(EDATE(B63,-12),Database!$A:$AS,MATCH($Q$1,Database!$A$1:$AS$1,),))))</f>
        <v>7.2328321819570357E-2</v>
      </c>
      <c r="R63" s="13">
        <f>((((VLOOKUP(B63,Database!$A:$AS,MATCH($R$1,Database!$A$1:$AS$1,),))))-(((VLOOKUP(EDATE(B63,-12),Database!$A:$AS,MATCH($R$1,Database!$A$1:$AS$1,),)))))/(((VLOOKUP(EDATE(B63,-12),Database!$A:$AS,MATCH($R$1,Database!$A$1:$AS$1,),))))</f>
        <v>-1.1900285181554339E-2</v>
      </c>
      <c r="S63" s="13">
        <f>((((VLOOKUP(B63,Database!$A:$AS,MATCH($S$1,Database!$A$1:$AS$1,),))))-(((VLOOKUP(EDATE(B63,-12),Database!$A:$AS,MATCH($S$1,Database!$A$1:$AS$1,),)))))/(((VLOOKUP(EDATE(B63,-12),Database!$A:$AS,MATCH($S$1,Database!$A$1:$AS$1,),))))</f>
        <v>6.8702290019888548E-2</v>
      </c>
      <c r="T63" s="13">
        <f>((((VLOOKUP(B63,Database!$A:$AS,MATCH($T$1,Database!$A$1:$AS$1,),))))-(((VLOOKUP(EDATE(B63,-12),Database!$A:$AS,MATCH($T$1,Database!$A$1:$AS$1,),)))))/(((VLOOKUP(EDATE(B63,-12),Database!$A:$AS,MATCH($T$1,Database!$A$1:$AS$1,),))))</f>
        <v>7.8549848929727537E-2</v>
      </c>
      <c r="U63" s="13">
        <f>((((VLOOKUP(B63,Database!$A:$AS,MATCH($U$1,Database!$A$1:$AS$1,),))))-(((VLOOKUP(EDATE(B63,-12),Database!$A:$AS,MATCH($U$1,Database!$A$1:$AS$1,),)))))/(((VLOOKUP(EDATE(B63,-12),Database!$A:$AS,MATCH($U$1,Database!$A$1:$AS$1,),))))</f>
        <v>-6.8581275160813915E-2</v>
      </c>
      <c r="V63" s="13">
        <f>((((VLOOKUP(B63,Database!$A:$AS,MATCH($V$1,Database!$A$1:$AS$1,),))))-(((VLOOKUP(EDATE(B63,-12),Database!$A:$AS,MATCH($V$1,Database!$A$1:$AS$1,),)))))/(((VLOOKUP(EDATE(B63,-12),Database!$A:$AS,MATCH($V$1,Database!$A$1:$AS$1,),))))</f>
        <v>3.8480805656561271E-2</v>
      </c>
    </row>
    <row r="64" spans="1:22" s="83" customFormat="1" x14ac:dyDescent="0.2">
      <c r="A64" s="43"/>
      <c r="B64" s="78">
        <v>34090</v>
      </c>
      <c r="C64" s="13">
        <f>((((VLOOKUP(B64,Database!$A:$AS,MATCH($C$1,Database!$A$1:$AS$1,),))))-(((VLOOKUP(EDATE(B64,-12),Database!$A:$AS,MATCH($C$1,Database!$A$1:$AS$1,),)))))/(((VLOOKUP(EDATE(B64,-12),Database!$A:$AS,MATCH($C$1,Database!$A$1:$AS$1,),))))</f>
        <v>2.6789882781088663E-2</v>
      </c>
      <c r="D64" s="13">
        <f>((((VLOOKUP(B64,Database!$A:$AS,MATCH($D$1,Database!$A$1:$AS$1,),))))-(((VLOOKUP(EDATE(B64,-12),Database!$A:$AS,MATCH($D$1,Database!$A$1:$AS$1,),)))))/(((VLOOKUP(EDATE(B64,-12),Database!$A:$AS,MATCH($D$1,Database!$A$1:$AS$1,),))))</f>
        <v>-6.8069306930693074E-2</v>
      </c>
      <c r="E64" s="13">
        <f>((((VLOOKUP(B64,Database!$A:$AS,MATCH($E$1,Database!$A$1:$AS$1,),))))-(((VLOOKUP(EDATE(B64,-12),Database!$A:$AS,MATCH($E$1,Database!$A$1:$AS$1,),)))))/(((VLOOKUP(EDATE(B64,-12),Database!$A:$AS,MATCH($E$1,Database!$A$1:$AS$1,),))))</f>
        <v>-1.0214504662167873E-3</v>
      </c>
      <c r="F64" s="13">
        <f>((((VLOOKUP(B64,Database!$A:$AS,MATCH($F$1,Database!$A$1:$AS$1,),))))-(((VLOOKUP(EDATE(B64,-12),Database!$A:$AS,MATCH($F$1,Database!$A$1:$AS$1,),)))))/(((VLOOKUP(EDATE(B64,-12),Database!$A:$AS,MATCH($F$1,Database!$A$1:$AS$1,),))))</f>
        <v>-0.10107816711470416</v>
      </c>
      <c r="G64" s="13">
        <f>((((VLOOKUP(B64,Database!$A:$AS,MATCH($G$1,Database!$A$1:$AS$1,),))))-(((VLOOKUP(EDATE(B64,-12),Database!$A:$AS,MATCH($G$1,Database!$A$1:$AS$1,),)))))/(((VLOOKUP(EDATE(B64,-12),Database!$A:$AS,MATCH($G$1,Database!$A$1:$AS$1,),))))</f>
        <v>-5.3415061295971927E-2</v>
      </c>
      <c r="H64" s="13">
        <f>((((VLOOKUP(B64,Database!$A:$AS,MATCH($H$1,Database!$A$1:$AS$1,),))))-(((VLOOKUP(EDATE(B64,-12),Database!$A:$AS,MATCH($H$1,Database!$A$1:$AS$1,),)))))/(((VLOOKUP(EDATE(B64,-12),Database!$A:$AS,MATCH($H$1,Database!$A$1:$AS$1,),))))</f>
        <v>3.7656903764876411E-2</v>
      </c>
      <c r="I64" s="13">
        <f>((((VLOOKUP(B64,Database!$A:$AS,MATCH($I$1,Database!$A$1:$AS$1,),))))-(((VLOOKUP(EDATE(B64,-12),Database!$A:$AS,MATCH($I$1,Database!$A$1:$AS$1,),)))))/(((VLOOKUP(EDATE(B64,-12),Database!$A:$AS,MATCH($I$1,Database!$A$1:$AS$1,),))))</f>
        <v>-4.0909090906900716E-2</v>
      </c>
      <c r="J64" s="13">
        <f>((((VLOOKUP(B64,Database!$A:$AS,MATCH($J$1,Database!$A$1:$AS$1,),))))-(((VLOOKUP(EDATE(B64,-12),Database!$A:$AS,MATCH($J$1,Database!$A$1:$AS$1,),)))))/(((VLOOKUP(EDATE(B64,-12),Database!$A:$AS,MATCH($J$1,Database!$A$1:$AS$1,),))))</f>
        <v>-6.8914431674403059E-2</v>
      </c>
      <c r="K64" s="13">
        <f>((((VLOOKUP(B64,Database!$A:$AS,MATCH($K$1,Database!$A$1:$AS$1,),))))-(((VLOOKUP(EDATE(B64,-12),Database!$A:$AS,MATCH($K$1,Database!$A$1:$AS$1,),)))))/(((VLOOKUP(EDATE(B64,-12),Database!$A:$AS,MATCH($K$1,Database!$A$1:$AS$1,),))))</f>
        <v>-1.622418878421775E-2</v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>1.3223430720253986E-2</v>
      </c>
      <c r="M64" s="13" t="e">
        <f>((((VLOOKUP(B64,Database!$A:$AS,MATCH($M$1,Database!$A$1:$AS$1,),))))-(((VLOOKUP(EDATE(B64,-12),Database!$A:$AS,MATCH($M$1,Database!$A$1:$AS$1,),)))))/(((VLOOKUP(EDATE(B64,-12),Database!$A:$AS,MATCH($M$1,Database!$A$1:$AS$1,),))))</f>
        <v>#DIV/0!</v>
      </c>
      <c r="N64" s="13" t="e">
        <f>((((VLOOKUP(B64,Database!$A:$AS,MATCH($N$1,Database!$A$1:$AS$1,),))))-(((VLOOKUP(EDATE(B64,-12),Database!$A:$AS,MATCH($N$1,Database!$A$1:$AS$1,),)))))/(((VLOOKUP(EDATE(B64,-12),Database!$A:$AS,MATCH($N$1,Database!$A$1:$AS$1,),))))</f>
        <v>#DIV/0!</v>
      </c>
      <c r="O64" s="13">
        <f>((((VLOOKUP(B64,Database!$A:$AS,MATCH($O$1,Database!$A$1:$AS$1,),))))-(((VLOOKUP(EDATE(B64,-12),Database!$A:$AS,MATCH($O$1,Database!$A$1:$AS$1,),)))))/(((VLOOKUP(EDATE(B64,-12),Database!$A:$AS,MATCH($O$1,Database!$A$1:$AS$1,),))))</f>
        <v>4.0367402278463811E-2</v>
      </c>
      <c r="P64" s="13">
        <f>((((VLOOKUP(B64,Database!$A:$AS,MATCH($P$1,Database!$A$1:$AS$1,),))))-(((VLOOKUP(EDATE(B64,-12),Database!$A:$AS,MATCH($P$1,Database!$A$1:$AS$1,),)))))/(((VLOOKUP(EDATE(B64,-12),Database!$A:$AS,MATCH($P$1,Database!$A$1:$AS$1,),))))</f>
        <v>3.2806503506234916E-2</v>
      </c>
      <c r="Q64" s="13">
        <f>((((VLOOKUP(B64,Database!$A:$AS,MATCH($Q$1,Database!$A$1:$AS$1,),))))-(((VLOOKUP(EDATE(B64,-12),Database!$A:$AS,MATCH($Q$1,Database!$A$1:$AS$1,),)))))/(((VLOOKUP(EDATE(B64,-12),Database!$A:$AS,MATCH($Q$1,Database!$A$1:$AS$1,),))))</f>
        <v>0.12350984196069613</v>
      </c>
      <c r="R64" s="13">
        <f>((((VLOOKUP(B64,Database!$A:$AS,MATCH($R$1,Database!$A$1:$AS$1,),))))-(((VLOOKUP(EDATE(B64,-12),Database!$A:$AS,MATCH($R$1,Database!$A$1:$AS$1,),)))))/(((VLOOKUP(EDATE(B64,-12),Database!$A:$AS,MATCH($R$1,Database!$A$1:$AS$1,),))))</f>
        <v>-6.2063319483704046E-3</v>
      </c>
      <c r="S64" s="13">
        <f>((((VLOOKUP(B64,Database!$A:$AS,MATCH($S$1,Database!$A$1:$AS$1,),))))-(((VLOOKUP(EDATE(B64,-12),Database!$A:$AS,MATCH($S$1,Database!$A$1:$AS$1,),)))))/(((VLOOKUP(EDATE(B64,-12),Database!$A:$AS,MATCH($S$1,Database!$A$1:$AS$1,),))))</f>
        <v>6.0606060586723097E-2</v>
      </c>
      <c r="T64" s="13">
        <f>((((VLOOKUP(B64,Database!$A:$AS,MATCH($T$1,Database!$A$1:$AS$1,),))))-(((VLOOKUP(EDATE(B64,-12),Database!$A:$AS,MATCH($T$1,Database!$A$1:$AS$1,),)))))/(((VLOOKUP(EDATE(B64,-12),Database!$A:$AS,MATCH($T$1,Database!$A$1:$AS$1,),))))</f>
        <v>3.8235294096970532E-2</v>
      </c>
      <c r="U64" s="13">
        <f>((((VLOOKUP(B64,Database!$A:$AS,MATCH($U$1,Database!$A$1:$AS$1,),))))-(((VLOOKUP(EDATE(B64,-12),Database!$A:$AS,MATCH($U$1,Database!$A$1:$AS$1,),)))))/(((VLOOKUP(EDATE(B64,-12),Database!$A:$AS,MATCH($U$1,Database!$A$1:$AS$1,),))))</f>
        <v>-2.1583253638235187E-2</v>
      </c>
      <c r="V64" s="13">
        <f>((((VLOOKUP(B64,Database!$A:$AS,MATCH($V$1,Database!$A$1:$AS$1,),))))-(((VLOOKUP(EDATE(B64,-12),Database!$A:$AS,MATCH($V$1,Database!$A$1:$AS$1,),)))))/(((VLOOKUP(EDATE(B64,-12),Database!$A:$AS,MATCH($V$1,Database!$A$1:$AS$1,),))))</f>
        <v>0.12199666531077602</v>
      </c>
    </row>
    <row r="65" spans="1:22" s="83" customFormat="1" x14ac:dyDescent="0.2">
      <c r="A65" s="43"/>
      <c r="B65" s="78">
        <v>34121</v>
      </c>
      <c r="C65" s="13">
        <f>((((VLOOKUP(B65,Database!$A:$AS,MATCH($C$1,Database!$A$1:$AS$1,),))))-(((VLOOKUP(EDATE(B65,-12),Database!$A:$AS,MATCH($C$1,Database!$A$1:$AS$1,),)))))/(((VLOOKUP(EDATE(B65,-12),Database!$A:$AS,MATCH($C$1,Database!$A$1:$AS$1,),))))</f>
        <v>2.8485492418700367E-2</v>
      </c>
      <c r="D65" s="13">
        <f>((((VLOOKUP(B65,Database!$A:$AS,MATCH($D$1,Database!$A$1:$AS$1,),))))-(((VLOOKUP(EDATE(B65,-12),Database!$A:$AS,MATCH($D$1,Database!$A$1:$AS$1,),)))))/(((VLOOKUP(EDATE(B65,-12),Database!$A:$AS,MATCH($D$1,Database!$A$1:$AS$1,),))))</f>
        <v>-6.3749999999999932E-2</v>
      </c>
      <c r="E65" s="13">
        <f>((((VLOOKUP(B65,Database!$A:$AS,MATCH($E$1,Database!$A$1:$AS$1,),))))-(((VLOOKUP(EDATE(B65,-12),Database!$A:$AS,MATCH($E$1,Database!$A$1:$AS$1,),)))))/(((VLOOKUP(EDATE(B65,-12),Database!$A:$AS,MATCH($E$1,Database!$A$1:$AS$1,),))))</f>
        <v>-3.9039039033644231E-2</v>
      </c>
      <c r="F65" s="13">
        <f>((((VLOOKUP(B65,Database!$A:$AS,MATCH($F$1,Database!$A$1:$AS$1,),))))-(((VLOOKUP(EDATE(B65,-12),Database!$A:$AS,MATCH($F$1,Database!$A$1:$AS$1,),)))))/(((VLOOKUP(EDATE(B65,-12),Database!$A:$AS,MATCH($F$1,Database!$A$1:$AS$1,),))))</f>
        <v>-9.3150684937099354E-2</v>
      </c>
      <c r="G65" s="13">
        <f>((((VLOOKUP(B65,Database!$A:$AS,MATCH($G$1,Database!$A$1:$AS$1,),))))-(((VLOOKUP(EDATE(B65,-12),Database!$A:$AS,MATCH($G$1,Database!$A$1:$AS$1,),)))))/(((VLOOKUP(EDATE(B65,-12),Database!$A:$AS,MATCH($G$1,Database!$A$1:$AS$1,),))))</f>
        <v>-4.9518112329677622E-2</v>
      </c>
      <c r="H65" s="13">
        <f>((((VLOOKUP(B65,Database!$A:$AS,MATCH($H$1,Database!$A$1:$AS$1,),))))-(((VLOOKUP(EDATE(B65,-12),Database!$A:$AS,MATCH($H$1,Database!$A$1:$AS$1,),)))))/(((VLOOKUP(EDATE(B65,-12),Database!$A:$AS,MATCH($H$1,Database!$A$1:$AS$1,),))))</f>
        <v>2.068965516763762E-2</v>
      </c>
      <c r="I65" s="13">
        <f>((((VLOOKUP(B65,Database!$A:$AS,MATCH($I$1,Database!$A$1:$AS$1,),))))-(((VLOOKUP(EDATE(B65,-12),Database!$A:$AS,MATCH($I$1,Database!$A$1:$AS$1,),)))))/(((VLOOKUP(EDATE(B65,-12),Database!$A:$AS,MATCH($I$1,Database!$A$1:$AS$1,),))))</f>
        <v>-4.2805100182597366E-2</v>
      </c>
      <c r="J65" s="13">
        <f>((((VLOOKUP(B65,Database!$A:$AS,MATCH($J$1,Database!$A$1:$AS$1,),))))-(((VLOOKUP(EDATE(B65,-12),Database!$A:$AS,MATCH($J$1,Database!$A$1:$AS$1,),)))))/(((VLOOKUP(EDATE(B65,-12),Database!$A:$AS,MATCH($J$1,Database!$A$1:$AS$1,),))))</f>
        <v>-6.1174154109567815E-2</v>
      </c>
      <c r="K65" s="13">
        <f>((((VLOOKUP(B65,Database!$A:$AS,MATCH($K$1,Database!$A$1:$AS$1,),))))-(((VLOOKUP(EDATE(B65,-12),Database!$A:$AS,MATCH($K$1,Database!$A$1:$AS$1,),)))))/(((VLOOKUP(EDATE(B65,-12),Database!$A:$AS,MATCH($K$1,Database!$A$1:$AS$1,),))))</f>
        <v>0</v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>-2.3827034197814404E-3</v>
      </c>
      <c r="M65" s="13" t="e">
        <f>((((VLOOKUP(B65,Database!$A:$AS,MATCH($M$1,Database!$A$1:$AS$1,),))))-(((VLOOKUP(EDATE(B65,-12),Database!$A:$AS,MATCH($M$1,Database!$A$1:$AS$1,),)))))/(((VLOOKUP(EDATE(B65,-12),Database!$A:$AS,MATCH($M$1,Database!$A$1:$AS$1,),))))</f>
        <v>#DIV/0!</v>
      </c>
      <c r="N65" s="13" t="e">
        <f>((((VLOOKUP(B65,Database!$A:$AS,MATCH($N$1,Database!$A$1:$AS$1,),))))-(((VLOOKUP(EDATE(B65,-12),Database!$A:$AS,MATCH($N$1,Database!$A$1:$AS$1,),)))))/(((VLOOKUP(EDATE(B65,-12),Database!$A:$AS,MATCH($N$1,Database!$A$1:$AS$1,),))))</f>
        <v>#DIV/0!</v>
      </c>
      <c r="O65" s="13">
        <f>((((VLOOKUP(B65,Database!$A:$AS,MATCH($O$1,Database!$A$1:$AS$1,),))))-(((VLOOKUP(EDATE(B65,-12),Database!$A:$AS,MATCH($O$1,Database!$A$1:$AS$1,),)))))/(((VLOOKUP(EDATE(B65,-12),Database!$A:$AS,MATCH($O$1,Database!$A$1:$AS$1,),))))</f>
        <v>4.2557856629883095E-2</v>
      </c>
      <c r="P65" s="13">
        <f>((((VLOOKUP(B65,Database!$A:$AS,MATCH($P$1,Database!$A$1:$AS$1,),))))-(((VLOOKUP(EDATE(B65,-12),Database!$A:$AS,MATCH($P$1,Database!$A$1:$AS$1,),)))))/(((VLOOKUP(EDATE(B65,-12),Database!$A:$AS,MATCH($P$1,Database!$A$1:$AS$1,),))))</f>
        <v>2.9715867469748792E-2</v>
      </c>
      <c r="Q65" s="13">
        <f>((((VLOOKUP(B65,Database!$A:$AS,MATCH($Q$1,Database!$A$1:$AS$1,),))))-(((VLOOKUP(EDATE(B65,-12),Database!$A:$AS,MATCH($Q$1,Database!$A$1:$AS$1,),)))))/(((VLOOKUP(EDATE(B65,-12),Database!$A:$AS,MATCH($Q$1,Database!$A$1:$AS$1,),))))</f>
        <v>9.5328884643973197E-2</v>
      </c>
      <c r="R65" s="13">
        <f>((((VLOOKUP(B65,Database!$A:$AS,MATCH($R$1,Database!$A$1:$AS$1,),))))-(((VLOOKUP(EDATE(B65,-12),Database!$A:$AS,MATCH($R$1,Database!$A$1:$AS$1,),)))))/(((VLOOKUP(EDATE(B65,-12),Database!$A:$AS,MATCH($R$1,Database!$A$1:$AS$1,),))))</f>
        <v>-1.4538458225131282E-2</v>
      </c>
      <c r="S65" s="13">
        <f>((((VLOOKUP(B65,Database!$A:$AS,MATCH($S$1,Database!$A$1:$AS$1,),))))-(((VLOOKUP(EDATE(B65,-12),Database!$A:$AS,MATCH($S$1,Database!$A$1:$AS$1,),)))))/(((VLOOKUP(EDATE(B65,-12),Database!$A:$AS,MATCH($S$1,Database!$A$1:$AS$1,),))))</f>
        <v>5.4054054003072456E-2</v>
      </c>
      <c r="T65" s="13">
        <f>((((VLOOKUP(B65,Database!$A:$AS,MATCH($T$1,Database!$A$1:$AS$1,),))))-(((VLOOKUP(EDATE(B65,-12),Database!$A:$AS,MATCH($T$1,Database!$A$1:$AS$1,),)))))/(((VLOOKUP(EDATE(B65,-12),Database!$A:$AS,MATCH($T$1,Database!$A$1:$AS$1,),))))</f>
        <v>8.7349397575844215E-2</v>
      </c>
      <c r="U65" s="13">
        <f>((((VLOOKUP(B65,Database!$A:$AS,MATCH($U$1,Database!$A$1:$AS$1,),))))-(((VLOOKUP(EDATE(B65,-12),Database!$A:$AS,MATCH($U$1,Database!$A$1:$AS$1,),)))))/(((VLOOKUP(EDATE(B65,-12),Database!$A:$AS,MATCH($U$1,Database!$A$1:$AS$1,),))))</f>
        <v>-3.7120620526370204E-2</v>
      </c>
      <c r="V65" s="13">
        <f>((((VLOOKUP(B65,Database!$A:$AS,MATCH($V$1,Database!$A$1:$AS$1,),))))-(((VLOOKUP(EDATE(B65,-12),Database!$A:$AS,MATCH($V$1,Database!$A$1:$AS$1,),)))))/(((VLOOKUP(EDATE(B65,-12),Database!$A:$AS,MATCH($V$1,Database!$A$1:$AS$1,),))))</f>
        <v>0.10661034544960937</v>
      </c>
    </row>
    <row r="66" spans="1:22" s="83" customFormat="1" x14ac:dyDescent="0.2">
      <c r="A66" s="43"/>
      <c r="B66" s="78">
        <v>34151</v>
      </c>
      <c r="C66" s="13">
        <f>((((VLOOKUP(B66,Database!$A:$AS,MATCH($C$1,Database!$A$1:$AS$1,),))))-(((VLOOKUP(EDATE(B66,-12),Database!$A:$AS,MATCH($C$1,Database!$A$1:$AS$1,),)))))/(((VLOOKUP(EDATE(B66,-12),Database!$A:$AS,MATCH($C$1,Database!$A$1:$AS$1,),))))</f>
        <v>2.1648727611594643E-2</v>
      </c>
      <c r="D66" s="13">
        <f>((((VLOOKUP(B66,Database!$A:$AS,MATCH($D$1,Database!$A$1:$AS$1,),))))-(((VLOOKUP(EDATE(B66,-12),Database!$A:$AS,MATCH($D$1,Database!$A$1:$AS$1,),)))))/(((VLOOKUP(EDATE(B66,-12),Database!$A:$AS,MATCH($D$1,Database!$A$1:$AS$1,),))))</f>
        <v>-5.6962025316455694E-2</v>
      </c>
      <c r="E66" s="13">
        <f>((((VLOOKUP(B66,Database!$A:$AS,MATCH($E$1,Database!$A$1:$AS$1,),))))-(((VLOOKUP(EDATE(B66,-12),Database!$A:$AS,MATCH($E$1,Database!$A$1:$AS$1,),)))))/(((VLOOKUP(EDATE(B66,-12),Database!$A:$AS,MATCH($E$1,Database!$A$1:$AS$1,),))))</f>
        <v>-3.8114343026855256E-2</v>
      </c>
      <c r="F66" s="13">
        <f>((((VLOOKUP(B66,Database!$A:$AS,MATCH($F$1,Database!$A$1:$AS$1,),))))-(((VLOOKUP(EDATE(B66,-12),Database!$A:$AS,MATCH($F$1,Database!$A$1:$AS$1,),)))))/(((VLOOKUP(EDATE(B66,-12),Database!$A:$AS,MATCH($F$1,Database!$A$1:$AS$1,),))))</f>
        <v>-9.7629009758912935E-2</v>
      </c>
      <c r="G66" s="13">
        <f>((((VLOOKUP(B66,Database!$A:$AS,MATCH($G$1,Database!$A$1:$AS$1,),))))-(((VLOOKUP(EDATE(B66,-12),Database!$A:$AS,MATCH($G$1,Database!$A$1:$AS$1,),)))))/(((VLOOKUP(EDATE(B66,-12),Database!$A:$AS,MATCH($G$1,Database!$A$1:$AS$1,),))))</f>
        <v>-3.3125833703868277E-2</v>
      </c>
      <c r="H66" s="13">
        <f>((((VLOOKUP(B66,Database!$A:$AS,MATCH($H$1,Database!$A$1:$AS$1,),))))-(((VLOOKUP(EDATE(B66,-12),Database!$A:$AS,MATCH($H$1,Database!$A$1:$AS$1,),)))))/(((VLOOKUP(EDATE(B66,-12),Database!$A:$AS,MATCH($H$1,Database!$A$1:$AS$1,),))))</f>
        <v>2.1917808224342784E-2</v>
      </c>
      <c r="I66" s="13">
        <f>((((VLOOKUP(B66,Database!$A:$AS,MATCH($I$1,Database!$A$1:$AS$1,),))))-(((VLOOKUP(EDATE(B66,-12),Database!$A:$AS,MATCH($I$1,Database!$A$1:$AS$1,),)))))/(((VLOOKUP(EDATE(B66,-12),Database!$A:$AS,MATCH($I$1,Database!$A$1:$AS$1,),))))</f>
        <v>-3.597785977797649E-2</v>
      </c>
      <c r="J66" s="13">
        <f>((((VLOOKUP(B66,Database!$A:$AS,MATCH($J$1,Database!$A$1:$AS$1,),))))-(((VLOOKUP(EDATE(B66,-12),Database!$A:$AS,MATCH($J$1,Database!$A$1:$AS$1,),)))))/(((VLOOKUP(EDATE(B66,-12),Database!$A:$AS,MATCH($J$1,Database!$A$1:$AS$1,),))))</f>
        <v>-4.1758241758241652E-2</v>
      </c>
      <c r="K66" s="13">
        <f>((((VLOOKUP(B66,Database!$A:$AS,MATCH($K$1,Database!$A$1:$AS$1,),))))-(((VLOOKUP(EDATE(B66,-12),Database!$A:$AS,MATCH($K$1,Database!$A$1:$AS$1,),)))))/(((VLOOKUP(EDATE(B66,-12),Database!$A:$AS,MATCH($K$1,Database!$A$1:$AS$1,),))))</f>
        <v>-5.8224163017847677E-3</v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>-2.2136380338267442E-2</v>
      </c>
      <c r="M66" s="13" t="e">
        <f>((((VLOOKUP(B66,Database!$A:$AS,MATCH($M$1,Database!$A$1:$AS$1,),))))-(((VLOOKUP(EDATE(B66,-12),Database!$A:$AS,MATCH($M$1,Database!$A$1:$AS$1,),)))))/(((VLOOKUP(EDATE(B66,-12),Database!$A:$AS,MATCH($M$1,Database!$A$1:$AS$1,),))))</f>
        <v>#DIV/0!</v>
      </c>
      <c r="N66" s="13" t="e">
        <f>((((VLOOKUP(B66,Database!$A:$AS,MATCH($N$1,Database!$A$1:$AS$1,),))))-(((VLOOKUP(EDATE(B66,-12),Database!$A:$AS,MATCH($N$1,Database!$A$1:$AS$1,),)))))/(((VLOOKUP(EDATE(B66,-12),Database!$A:$AS,MATCH($N$1,Database!$A$1:$AS$1,),))))</f>
        <v>#DIV/0!</v>
      </c>
      <c r="O66" s="13">
        <f>((((VLOOKUP(B66,Database!$A:$AS,MATCH($O$1,Database!$A$1:$AS$1,),))))-(((VLOOKUP(EDATE(B66,-12),Database!$A:$AS,MATCH($O$1,Database!$A$1:$AS$1,),)))))/(((VLOOKUP(EDATE(B66,-12),Database!$A:$AS,MATCH($O$1,Database!$A$1:$AS$1,),))))</f>
        <v>4.6171541233564567E-2</v>
      </c>
      <c r="P66" s="13">
        <f>((((VLOOKUP(B66,Database!$A:$AS,MATCH($P$1,Database!$A$1:$AS$1,),))))-(((VLOOKUP(EDATE(B66,-12),Database!$A:$AS,MATCH($P$1,Database!$A$1:$AS$1,),)))))/(((VLOOKUP(EDATE(B66,-12),Database!$A:$AS,MATCH($P$1,Database!$A$1:$AS$1,),))))</f>
        <v>2.6639426353324988E-2</v>
      </c>
      <c r="Q66" s="13">
        <f>((((VLOOKUP(B66,Database!$A:$AS,MATCH($Q$1,Database!$A$1:$AS$1,),))))-(((VLOOKUP(EDATE(B66,-12),Database!$A:$AS,MATCH($Q$1,Database!$A$1:$AS$1,),)))))/(((VLOOKUP(EDATE(B66,-12),Database!$A:$AS,MATCH($Q$1,Database!$A$1:$AS$1,),))))</f>
        <v>0.10157952070206046</v>
      </c>
      <c r="R66" s="13">
        <f>((((VLOOKUP(B66,Database!$A:$AS,MATCH($R$1,Database!$A$1:$AS$1,),))))-(((VLOOKUP(EDATE(B66,-12),Database!$A:$AS,MATCH($R$1,Database!$A$1:$AS$1,),)))))/(((VLOOKUP(EDATE(B66,-12),Database!$A:$AS,MATCH($R$1,Database!$A$1:$AS$1,),))))</f>
        <v>-6.8444926064386222E-2</v>
      </c>
      <c r="S66" s="13">
        <f>((((VLOOKUP(B66,Database!$A:$AS,MATCH($S$1,Database!$A$1:$AS$1,),))))-(((VLOOKUP(EDATE(B66,-12),Database!$A:$AS,MATCH($S$1,Database!$A$1:$AS$1,),)))))/(((VLOOKUP(EDATE(B66,-12),Database!$A:$AS,MATCH($S$1,Database!$A$1:$AS$1,),))))</f>
        <v>2.5925925932627724E-2</v>
      </c>
      <c r="T66" s="13">
        <f>((((VLOOKUP(B66,Database!$A:$AS,MATCH($T$1,Database!$A$1:$AS$1,),))))-(((VLOOKUP(EDATE(B66,-12),Database!$A:$AS,MATCH($T$1,Database!$A$1:$AS$1,),)))))/(((VLOOKUP(EDATE(B66,-12),Database!$A:$AS,MATCH($T$1,Database!$A$1:$AS$1,),))))</f>
        <v>8.284023668323906E-2</v>
      </c>
      <c r="U66" s="13">
        <f>((((VLOOKUP(B66,Database!$A:$AS,MATCH($U$1,Database!$A$1:$AS$1,),))))-(((VLOOKUP(EDATE(B66,-12),Database!$A:$AS,MATCH($U$1,Database!$A$1:$AS$1,),)))))/(((VLOOKUP(EDATE(B66,-12),Database!$A:$AS,MATCH($U$1,Database!$A$1:$AS$1,),))))</f>
        <v>-7.572989414611668E-2</v>
      </c>
      <c r="V66" s="13">
        <f>((((VLOOKUP(B66,Database!$A:$AS,MATCH($V$1,Database!$A$1:$AS$1,),))))-(((VLOOKUP(EDATE(B66,-12),Database!$A:$AS,MATCH($V$1,Database!$A$1:$AS$1,),)))))/(((VLOOKUP(EDATE(B66,-12),Database!$A:$AS,MATCH($V$1,Database!$A$1:$AS$1,),))))</f>
        <v>7.7566123624587587E-3</v>
      </c>
    </row>
    <row r="67" spans="1:22" s="83" customFormat="1" x14ac:dyDescent="0.2">
      <c r="A67" s="43"/>
      <c r="B67" s="78">
        <v>34182</v>
      </c>
      <c r="C67" s="13">
        <f>((((VLOOKUP(B67,Database!$A:$AS,MATCH($C$1,Database!$A$1:$AS$1,),))))-(((VLOOKUP(EDATE(B67,-12),Database!$A:$AS,MATCH($C$1,Database!$A$1:$AS$1,),)))))/(((VLOOKUP(EDATE(B67,-12),Database!$A:$AS,MATCH($C$1,Database!$A$1:$AS$1,),))))</f>
        <v>2.6094318403228768E-2</v>
      </c>
      <c r="D67" s="13">
        <f>((((VLOOKUP(B67,Database!$A:$AS,MATCH($D$1,Database!$A$1:$AS$1,),))))-(((VLOOKUP(EDATE(B67,-12),Database!$A:$AS,MATCH($D$1,Database!$A$1:$AS$1,),)))))/(((VLOOKUP(EDATE(B67,-12),Database!$A:$AS,MATCH($D$1,Database!$A$1:$AS$1,),))))</f>
        <v>-4.3092522179974724E-2</v>
      </c>
      <c r="E67" s="13">
        <f>((((VLOOKUP(B67,Database!$A:$AS,MATCH($E$1,Database!$A$1:$AS$1,),))))-(((VLOOKUP(EDATE(B67,-12),Database!$A:$AS,MATCH($E$1,Database!$A$1:$AS$1,),)))))/(((VLOOKUP(EDATE(B67,-12),Database!$A:$AS,MATCH($E$1,Database!$A$1:$AS$1,),))))</f>
        <v>-1.8595041329785955E-2</v>
      </c>
      <c r="F67" s="13">
        <f>((((VLOOKUP(B67,Database!$A:$AS,MATCH($F$1,Database!$A$1:$AS$1,),))))-(((VLOOKUP(EDATE(B67,-12),Database!$A:$AS,MATCH($F$1,Database!$A$1:$AS$1,),)))))/(((VLOOKUP(EDATE(B67,-12),Database!$A:$AS,MATCH($F$1,Database!$A$1:$AS$1,),))))</f>
        <v>-6.1196105703602448E-2</v>
      </c>
      <c r="G67" s="13">
        <f>((((VLOOKUP(B67,Database!$A:$AS,MATCH($G$1,Database!$A$1:$AS$1,),))))-(((VLOOKUP(EDATE(B67,-12),Database!$A:$AS,MATCH($G$1,Database!$A$1:$AS$1,),)))))/(((VLOOKUP(EDATE(B67,-12),Database!$A:$AS,MATCH($G$1,Database!$A$1:$AS$1,),))))</f>
        <v>-4.2890391222431615E-2</v>
      </c>
      <c r="H67" s="13">
        <f>((((VLOOKUP(B67,Database!$A:$AS,MATCH($H$1,Database!$A$1:$AS$1,),))))-(((VLOOKUP(EDATE(B67,-12),Database!$A:$AS,MATCH($H$1,Database!$A$1:$AS$1,),)))))/(((VLOOKUP(EDATE(B67,-12),Database!$A:$AS,MATCH($H$1,Database!$A$1:$AS$1,),))))</f>
        <v>2.6063100133674813E-2</v>
      </c>
      <c r="I67" s="13">
        <f>((((VLOOKUP(B67,Database!$A:$AS,MATCH($I$1,Database!$A$1:$AS$1,),))))-(((VLOOKUP(EDATE(B67,-12),Database!$A:$AS,MATCH($I$1,Database!$A$1:$AS$1,),)))))/(((VLOOKUP(EDATE(B67,-12),Database!$A:$AS,MATCH($I$1,Database!$A$1:$AS$1,),))))</f>
        <v>-1.7840375588088833E-2</v>
      </c>
      <c r="J67" s="13">
        <f>((((VLOOKUP(B67,Database!$A:$AS,MATCH($J$1,Database!$A$1:$AS$1,),))))-(((VLOOKUP(EDATE(B67,-12),Database!$A:$AS,MATCH($J$1,Database!$A$1:$AS$1,),)))))/(((VLOOKUP(EDATE(B67,-12),Database!$A:$AS,MATCH($J$1,Database!$A$1:$AS$1,),))))</f>
        <v>-5.7108895058416716E-2</v>
      </c>
      <c r="K67" s="13">
        <f>((((VLOOKUP(B67,Database!$A:$AS,MATCH($K$1,Database!$A$1:$AS$1,),))))-(((VLOOKUP(EDATE(B67,-12),Database!$A:$AS,MATCH($K$1,Database!$A$1:$AS$1,),)))))/(((VLOOKUP(EDATE(B67,-12),Database!$A:$AS,MATCH($K$1,Database!$A$1:$AS$1,),))))</f>
        <v>-1.2949640274983637E-2</v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>-7.274669615718622E-3</v>
      </c>
      <c r="M67" s="13" t="e">
        <f>((((VLOOKUP(B67,Database!$A:$AS,MATCH($M$1,Database!$A$1:$AS$1,),))))-(((VLOOKUP(EDATE(B67,-12),Database!$A:$AS,MATCH($M$1,Database!$A$1:$AS$1,),)))))/(((VLOOKUP(EDATE(B67,-12),Database!$A:$AS,MATCH($M$1,Database!$A$1:$AS$1,),))))</f>
        <v>#DIV/0!</v>
      </c>
      <c r="N67" s="13" t="e">
        <f>((((VLOOKUP(B67,Database!$A:$AS,MATCH($N$1,Database!$A$1:$AS$1,),))))-(((VLOOKUP(EDATE(B67,-12),Database!$A:$AS,MATCH($N$1,Database!$A$1:$AS$1,),)))))/(((VLOOKUP(EDATE(B67,-12),Database!$A:$AS,MATCH($N$1,Database!$A$1:$AS$1,),))))</f>
        <v>#DIV/0!</v>
      </c>
      <c r="O67" s="13">
        <f>((((VLOOKUP(B67,Database!$A:$AS,MATCH($O$1,Database!$A$1:$AS$1,),))))-(((VLOOKUP(EDATE(B67,-12),Database!$A:$AS,MATCH($O$1,Database!$A$1:$AS$1,),)))))/(((VLOOKUP(EDATE(B67,-12),Database!$A:$AS,MATCH($O$1,Database!$A$1:$AS$1,),))))</f>
        <v>5.3189149296179516E-2</v>
      </c>
      <c r="P67" s="13">
        <f>((((VLOOKUP(B67,Database!$A:$AS,MATCH($P$1,Database!$A$1:$AS$1,),))))-(((VLOOKUP(EDATE(B67,-12),Database!$A:$AS,MATCH($P$1,Database!$A$1:$AS$1,),)))))/(((VLOOKUP(EDATE(B67,-12),Database!$A:$AS,MATCH($P$1,Database!$A$1:$AS$1,),))))</f>
        <v>1.9022617113156129E-2</v>
      </c>
      <c r="Q67" s="13">
        <f>((((VLOOKUP(B67,Database!$A:$AS,MATCH($Q$1,Database!$A$1:$AS$1,),))))-(((VLOOKUP(EDATE(B67,-12),Database!$A:$AS,MATCH($Q$1,Database!$A$1:$AS$1,),)))))/(((VLOOKUP(EDATE(B67,-12),Database!$A:$AS,MATCH($Q$1,Database!$A$1:$AS$1,),))))</f>
        <v>9.5714090097202956E-2</v>
      </c>
      <c r="R67" s="13">
        <f>((((VLOOKUP(B67,Database!$A:$AS,MATCH($R$1,Database!$A$1:$AS$1,),))))-(((VLOOKUP(EDATE(B67,-12),Database!$A:$AS,MATCH($R$1,Database!$A$1:$AS$1,),)))))/(((VLOOKUP(EDATE(B67,-12),Database!$A:$AS,MATCH($R$1,Database!$A$1:$AS$1,),))))</f>
        <v>-5.427374940050398E-2</v>
      </c>
      <c r="S67" s="13">
        <f>((((VLOOKUP(B67,Database!$A:$AS,MATCH($S$1,Database!$A$1:$AS$1,),))))-(((VLOOKUP(EDATE(B67,-12),Database!$A:$AS,MATCH($S$1,Database!$A$1:$AS$1,),)))))/(((VLOOKUP(EDATE(B67,-12),Database!$A:$AS,MATCH($S$1,Database!$A$1:$AS$1,),))))</f>
        <v>5.2631578897367852E-2</v>
      </c>
      <c r="T67" s="13">
        <f>((((VLOOKUP(B67,Database!$A:$AS,MATCH($T$1,Database!$A$1:$AS$1,),))))-(((VLOOKUP(EDATE(B67,-12),Database!$A:$AS,MATCH($T$1,Database!$A$1:$AS$1,),)))))/(((VLOOKUP(EDATE(B67,-12),Database!$A:$AS,MATCH($T$1,Database!$A$1:$AS$1,),))))</f>
        <v>5.2147239259098421E-2</v>
      </c>
      <c r="U67" s="13">
        <f>((((VLOOKUP(B67,Database!$A:$AS,MATCH($U$1,Database!$A$1:$AS$1,),))))-(((VLOOKUP(EDATE(B67,-12),Database!$A:$AS,MATCH($U$1,Database!$A$1:$AS$1,),)))))/(((VLOOKUP(EDATE(B67,-12),Database!$A:$AS,MATCH($U$1,Database!$A$1:$AS$1,),))))</f>
        <v>-7.7503381565945745E-2</v>
      </c>
      <c r="V67" s="13">
        <f>((((VLOOKUP(B67,Database!$A:$AS,MATCH($V$1,Database!$A$1:$AS$1,),))))-(((VLOOKUP(EDATE(B67,-12),Database!$A:$AS,MATCH($V$1,Database!$A$1:$AS$1,),)))))/(((VLOOKUP(EDATE(B67,-12),Database!$A:$AS,MATCH($V$1,Database!$A$1:$AS$1,),))))</f>
        <v>3.6612591733888228E-2</v>
      </c>
    </row>
    <row r="68" spans="1:22" s="83" customFormat="1" x14ac:dyDescent="0.2">
      <c r="A68" s="43"/>
      <c r="B68" s="78">
        <v>34213</v>
      </c>
      <c r="C68" s="13">
        <f>((((VLOOKUP(B68,Database!$A:$AS,MATCH($C$1,Database!$A$1:$AS$1,),))))-(((VLOOKUP(EDATE(B68,-12),Database!$A:$AS,MATCH($C$1,Database!$A$1:$AS$1,),)))))/(((VLOOKUP(EDATE(B68,-12),Database!$A:$AS,MATCH($C$1,Database!$A$1:$AS$1,),))))</f>
        <v>2.8186725508597948E-2</v>
      </c>
      <c r="D68" s="13">
        <f>((((VLOOKUP(B68,Database!$A:$AS,MATCH($D$1,Database!$A$1:$AS$1,),))))-(((VLOOKUP(EDATE(B68,-12),Database!$A:$AS,MATCH($D$1,Database!$A$1:$AS$1,),)))))/(((VLOOKUP(EDATE(B68,-12),Database!$A:$AS,MATCH($D$1,Database!$A$1:$AS$1,),))))</f>
        <v>-3.0690537084399047E-2</v>
      </c>
      <c r="E68" s="13">
        <f>((((VLOOKUP(B68,Database!$A:$AS,MATCH($E$1,Database!$A$1:$AS$1,),))))-(((VLOOKUP(EDATE(B68,-12),Database!$A:$AS,MATCH($E$1,Database!$A$1:$AS$1,),)))))/(((VLOOKUP(EDATE(B68,-12),Database!$A:$AS,MATCH($E$1,Database!$A$1:$AS$1,),))))</f>
        <v>-5.1741293541076233E-2</v>
      </c>
      <c r="F68" s="13">
        <f>((((VLOOKUP(B68,Database!$A:$AS,MATCH($F$1,Database!$A$1:$AS$1,),))))-(((VLOOKUP(EDATE(B68,-12),Database!$A:$AS,MATCH($F$1,Database!$A$1:$AS$1,),)))))/(((VLOOKUP(EDATE(B68,-12),Database!$A:$AS,MATCH($F$1,Database!$A$1:$AS$1,),))))</f>
        <v>-5.750350630044241E-2</v>
      </c>
      <c r="G68" s="13">
        <f>((((VLOOKUP(B68,Database!$A:$AS,MATCH($G$1,Database!$A$1:$AS$1,),))))-(((VLOOKUP(EDATE(B68,-12),Database!$A:$AS,MATCH($G$1,Database!$A$1:$AS$1,),)))))/(((VLOOKUP(EDATE(B68,-12),Database!$A:$AS,MATCH($G$1,Database!$A$1:$AS$1,),))))</f>
        <v>-2.2819244604316401E-2</v>
      </c>
      <c r="H68" s="13">
        <f>((((VLOOKUP(B68,Database!$A:$AS,MATCH($H$1,Database!$A$1:$AS$1,),))))-(((VLOOKUP(EDATE(B68,-12),Database!$A:$AS,MATCH($H$1,Database!$A$1:$AS$1,),)))))/(((VLOOKUP(EDATE(B68,-12),Database!$A:$AS,MATCH($H$1,Database!$A$1:$AS$1,),))))</f>
        <v>2.3160762945040249E-2</v>
      </c>
      <c r="I68" s="13">
        <f>((((VLOOKUP(B68,Database!$A:$AS,MATCH($I$1,Database!$A$1:$AS$1,),))))-(((VLOOKUP(EDATE(B68,-12),Database!$A:$AS,MATCH($I$1,Database!$A$1:$AS$1,),)))))/(((VLOOKUP(EDATE(B68,-12),Database!$A:$AS,MATCH($I$1,Database!$A$1:$AS$1,),))))</f>
        <v>-4.7303689706055868E-3</v>
      </c>
      <c r="J68" s="13">
        <f>((((VLOOKUP(B68,Database!$A:$AS,MATCH($J$1,Database!$A$1:$AS$1,),))))-(((VLOOKUP(EDATE(B68,-12),Database!$A:$AS,MATCH($J$1,Database!$A$1:$AS$1,),)))))/(((VLOOKUP(EDATE(B68,-12),Database!$A:$AS,MATCH($J$1,Database!$A$1:$AS$1,),))))</f>
        <v>-2.0276059024695758E-2</v>
      </c>
      <c r="K68" s="13">
        <f>((((VLOOKUP(B68,Database!$A:$AS,MATCH($K$1,Database!$A$1:$AS$1,),))))-(((VLOOKUP(EDATE(B68,-12),Database!$A:$AS,MATCH($K$1,Database!$A$1:$AS$1,),)))))/(((VLOOKUP(EDATE(B68,-12),Database!$A:$AS,MATCH($K$1,Database!$A$1:$AS$1,),))))</f>
        <v>1.9287833828305109E-2</v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>-2.0899136938400786E-2</v>
      </c>
      <c r="M68" s="13" t="e">
        <f>((((VLOOKUP(B68,Database!$A:$AS,MATCH($M$1,Database!$A$1:$AS$1,),))))-(((VLOOKUP(EDATE(B68,-12),Database!$A:$AS,MATCH($M$1,Database!$A$1:$AS$1,),)))))/(((VLOOKUP(EDATE(B68,-12),Database!$A:$AS,MATCH($M$1,Database!$A$1:$AS$1,),))))</f>
        <v>#DIV/0!</v>
      </c>
      <c r="N68" s="13" t="e">
        <f>((((VLOOKUP(B68,Database!$A:$AS,MATCH($N$1,Database!$A$1:$AS$1,),))))-(((VLOOKUP(EDATE(B68,-12),Database!$A:$AS,MATCH($N$1,Database!$A$1:$AS$1,),)))))/(((VLOOKUP(EDATE(B68,-12),Database!$A:$AS,MATCH($N$1,Database!$A$1:$AS$1,),))))</f>
        <v>#DIV/0!</v>
      </c>
      <c r="O68" s="13">
        <f>((((VLOOKUP(B68,Database!$A:$AS,MATCH($O$1,Database!$A$1:$AS$1,),))))-(((VLOOKUP(EDATE(B68,-12),Database!$A:$AS,MATCH($O$1,Database!$A$1:$AS$1,),)))))/(((VLOOKUP(EDATE(B68,-12),Database!$A:$AS,MATCH($O$1,Database!$A$1:$AS$1,),))))</f>
        <v>6.094583532816062E-2</v>
      </c>
      <c r="P68" s="13">
        <f>((((VLOOKUP(B68,Database!$A:$AS,MATCH($P$1,Database!$A$1:$AS$1,),))))-(((VLOOKUP(EDATE(B68,-12),Database!$A:$AS,MATCH($P$1,Database!$A$1:$AS$1,),)))))/(((VLOOKUP(EDATE(B68,-12),Database!$A:$AS,MATCH($P$1,Database!$A$1:$AS$1,),))))</f>
        <v>7.6431817267405264E-2</v>
      </c>
      <c r="Q68" s="13">
        <f>((((VLOOKUP(B68,Database!$A:$AS,MATCH($Q$1,Database!$A$1:$AS$1,),))))-(((VLOOKUP(EDATE(B68,-12),Database!$A:$AS,MATCH($Q$1,Database!$A$1:$AS$1,),)))))/(((VLOOKUP(EDATE(B68,-12),Database!$A:$AS,MATCH($Q$1,Database!$A$1:$AS$1,),))))</f>
        <v>6.5792992790505059E-2</v>
      </c>
      <c r="R68" s="13">
        <f>((((VLOOKUP(B68,Database!$A:$AS,MATCH($R$1,Database!$A$1:$AS$1,),))))-(((VLOOKUP(EDATE(B68,-12),Database!$A:$AS,MATCH($R$1,Database!$A$1:$AS$1,),)))))/(((VLOOKUP(EDATE(B68,-12),Database!$A:$AS,MATCH($R$1,Database!$A$1:$AS$1,),))))</f>
        <v>3.4657527744768046E-2</v>
      </c>
      <c r="S68" s="13">
        <f>((((VLOOKUP(B68,Database!$A:$AS,MATCH($S$1,Database!$A$1:$AS$1,),))))-(((VLOOKUP(EDATE(B68,-12),Database!$A:$AS,MATCH($S$1,Database!$A$1:$AS$1,),)))))/(((VLOOKUP(EDATE(B68,-12),Database!$A:$AS,MATCH($S$1,Database!$A$1:$AS$1,),))))</f>
        <v>2.5362318848099079E-2</v>
      </c>
      <c r="T68" s="13">
        <f>((((VLOOKUP(B68,Database!$A:$AS,MATCH($T$1,Database!$A$1:$AS$1,),))))-(((VLOOKUP(EDATE(B68,-12),Database!$A:$AS,MATCH($T$1,Database!$A$1:$AS$1,),)))))/(((VLOOKUP(EDATE(B68,-12),Database!$A:$AS,MATCH($T$1,Database!$A$1:$AS$1,),))))</f>
        <v>5.7971014485611642E-2</v>
      </c>
      <c r="U68" s="13">
        <f>((((VLOOKUP(B68,Database!$A:$AS,MATCH($U$1,Database!$A$1:$AS$1,),))))-(((VLOOKUP(EDATE(B68,-12),Database!$A:$AS,MATCH($U$1,Database!$A$1:$AS$1,),)))))/(((VLOOKUP(EDATE(B68,-12),Database!$A:$AS,MATCH($U$1,Database!$A$1:$AS$1,),))))</f>
        <v>-5.5308403323803629E-2</v>
      </c>
      <c r="V68" s="13">
        <f>((((VLOOKUP(B68,Database!$A:$AS,MATCH($V$1,Database!$A$1:$AS$1,),))))-(((VLOOKUP(EDATE(B68,-12),Database!$A:$AS,MATCH($V$1,Database!$A$1:$AS$1,),)))))/(((VLOOKUP(EDATE(B68,-12),Database!$A:$AS,MATCH($V$1,Database!$A$1:$AS$1,),))))</f>
        <v>5.732816321464116E-2</v>
      </c>
    </row>
    <row r="69" spans="1:22" s="83" customFormat="1" x14ac:dyDescent="0.2">
      <c r="A69" s="43"/>
      <c r="B69" s="78">
        <v>34243</v>
      </c>
      <c r="C69" s="13">
        <f>((((VLOOKUP(B69,Database!$A:$AS,MATCH($C$1,Database!$A$1:$AS$1,),))))-(((VLOOKUP(EDATE(B69,-12),Database!$A:$AS,MATCH($C$1,Database!$A$1:$AS$1,),)))))/(((VLOOKUP(EDATE(B69,-12),Database!$A:$AS,MATCH($C$1,Database!$A$1:$AS$1,),))))</f>
        <v>2.8834267104816139E-2</v>
      </c>
      <c r="D69" s="13">
        <f>((((VLOOKUP(B69,Database!$A:$AS,MATCH($D$1,Database!$A$1:$AS$1,),))))-(((VLOOKUP(EDATE(B69,-12),Database!$A:$AS,MATCH($D$1,Database!$A$1:$AS$1,),)))))/(((VLOOKUP(EDATE(B69,-12),Database!$A:$AS,MATCH($D$1,Database!$A$1:$AS$1,),))))</f>
        <v>-3.0612244897959252E-2</v>
      </c>
      <c r="E69" s="13">
        <f>((((VLOOKUP(B69,Database!$A:$AS,MATCH($E$1,Database!$A$1:$AS$1,),))))-(((VLOOKUP(EDATE(B69,-12),Database!$A:$AS,MATCH($E$1,Database!$A$1:$AS$1,),)))))/(((VLOOKUP(EDATE(B69,-12),Database!$A:$AS,MATCH($E$1,Database!$A$1:$AS$1,),))))</f>
        <v>-2.9774127309115696E-2</v>
      </c>
      <c r="F69" s="13">
        <f>((((VLOOKUP(B69,Database!$A:$AS,MATCH($F$1,Database!$A$1:$AS$1,),))))-(((VLOOKUP(EDATE(B69,-12),Database!$A:$AS,MATCH($F$1,Database!$A$1:$AS$1,),)))))/(((VLOOKUP(EDATE(B69,-12),Database!$A:$AS,MATCH($F$1,Database!$A$1:$AS$1,),))))</f>
        <v>-5.6179775274744007E-2</v>
      </c>
      <c r="G69" s="13">
        <f>((((VLOOKUP(B69,Database!$A:$AS,MATCH($G$1,Database!$A$1:$AS$1,),))))-(((VLOOKUP(EDATE(B69,-12),Database!$A:$AS,MATCH($G$1,Database!$A$1:$AS$1,),)))))/(((VLOOKUP(EDATE(B69,-12),Database!$A:$AS,MATCH($G$1,Database!$A$1:$AS$1,),))))</f>
        <v>-2.892102335928819E-2</v>
      </c>
      <c r="H69" s="13">
        <f>((((VLOOKUP(B69,Database!$A:$AS,MATCH($H$1,Database!$A$1:$AS$1,),))))-(((VLOOKUP(EDATE(B69,-12),Database!$A:$AS,MATCH($H$1,Database!$A$1:$AS$1,),)))))/(((VLOOKUP(EDATE(B69,-12),Database!$A:$AS,MATCH($H$1,Database!$A$1:$AS$1,),))))</f>
        <v>1.3477088945645848E-2</v>
      </c>
      <c r="I69" s="13">
        <f>((((VLOOKUP(B69,Database!$A:$AS,MATCH($I$1,Database!$A$1:$AS$1,),))))-(((VLOOKUP(EDATE(B69,-12),Database!$A:$AS,MATCH($I$1,Database!$A$1:$AS$1,),)))))/(((VLOOKUP(EDATE(B69,-12),Database!$A:$AS,MATCH($I$1,Database!$A$1:$AS$1,),))))</f>
        <v>-1.2218045115679491E-2</v>
      </c>
      <c r="J69" s="13">
        <f>((((VLOOKUP(B69,Database!$A:$AS,MATCH($J$1,Database!$A$1:$AS$1,),))))-(((VLOOKUP(EDATE(B69,-12),Database!$A:$AS,MATCH($J$1,Database!$A$1:$AS$1,),)))))/(((VLOOKUP(EDATE(B69,-12),Database!$A:$AS,MATCH($J$1,Database!$A$1:$AS$1,),))))</f>
        <v>-8.6630641342928423E-3</v>
      </c>
      <c r="K69" s="13">
        <f>((((VLOOKUP(B69,Database!$A:$AS,MATCH($K$1,Database!$A$1:$AS$1,),))))-(((VLOOKUP(EDATE(B69,-12),Database!$A:$AS,MATCH($K$1,Database!$A$1:$AS$1,),)))))/(((VLOOKUP(EDATE(B69,-12),Database!$A:$AS,MATCH($K$1,Database!$A$1:$AS$1,),))))</f>
        <v>2.0802377403513782E-2</v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>-4.9002875002204663E-3</v>
      </c>
      <c r="M69" s="13" t="e">
        <f>((((VLOOKUP(B69,Database!$A:$AS,MATCH($M$1,Database!$A$1:$AS$1,),))))-(((VLOOKUP(EDATE(B69,-12),Database!$A:$AS,MATCH($M$1,Database!$A$1:$AS$1,),)))))/(((VLOOKUP(EDATE(B69,-12),Database!$A:$AS,MATCH($M$1,Database!$A$1:$AS$1,),))))</f>
        <v>#DIV/0!</v>
      </c>
      <c r="N69" s="13" t="e">
        <f>((((VLOOKUP(B69,Database!$A:$AS,MATCH($N$1,Database!$A$1:$AS$1,),))))-(((VLOOKUP(EDATE(B69,-12),Database!$A:$AS,MATCH($N$1,Database!$A$1:$AS$1,),)))))/(((VLOOKUP(EDATE(B69,-12),Database!$A:$AS,MATCH($N$1,Database!$A$1:$AS$1,),))))</f>
        <v>#DIV/0!</v>
      </c>
      <c r="O69" s="13">
        <f>((((VLOOKUP(B69,Database!$A:$AS,MATCH($O$1,Database!$A$1:$AS$1,),))))-(((VLOOKUP(EDATE(B69,-12),Database!$A:$AS,MATCH($O$1,Database!$A$1:$AS$1,),)))))/(((VLOOKUP(EDATE(B69,-12),Database!$A:$AS,MATCH($O$1,Database!$A$1:$AS$1,),))))</f>
        <v>4.8626750976100842E-2</v>
      </c>
      <c r="P69" s="13">
        <f>((((VLOOKUP(B69,Database!$A:$AS,MATCH($P$1,Database!$A$1:$AS$1,),))))-(((VLOOKUP(EDATE(B69,-12),Database!$A:$AS,MATCH($P$1,Database!$A$1:$AS$1,),)))))/(((VLOOKUP(EDATE(B69,-12),Database!$A:$AS,MATCH($P$1,Database!$A$1:$AS$1,),))))</f>
        <v>6.8121341144285461E-2</v>
      </c>
      <c r="Q69" s="13">
        <f>((((VLOOKUP(B69,Database!$A:$AS,MATCH($Q$1,Database!$A$1:$AS$1,),))))-(((VLOOKUP(EDATE(B69,-12),Database!$A:$AS,MATCH($Q$1,Database!$A$1:$AS$1,),)))))/(((VLOOKUP(EDATE(B69,-12),Database!$A:$AS,MATCH($Q$1,Database!$A$1:$AS$1,),))))</f>
        <v>7.5113605988855719E-2</v>
      </c>
      <c r="R69" s="13">
        <f>((((VLOOKUP(B69,Database!$A:$AS,MATCH($R$1,Database!$A$1:$AS$1,),))))-(((VLOOKUP(EDATE(B69,-12),Database!$A:$AS,MATCH($R$1,Database!$A$1:$AS$1,),)))))/(((VLOOKUP(EDATE(B69,-12),Database!$A:$AS,MATCH($R$1,Database!$A$1:$AS$1,),))))</f>
        <v>-1.6899501600440518E-2</v>
      </c>
      <c r="S69" s="13">
        <f>((((VLOOKUP(B69,Database!$A:$AS,MATCH($S$1,Database!$A$1:$AS$1,),))))-(((VLOOKUP(EDATE(B69,-12),Database!$A:$AS,MATCH($S$1,Database!$A$1:$AS$1,),)))))/(((VLOOKUP(EDATE(B69,-12),Database!$A:$AS,MATCH($S$1,Database!$A$1:$AS$1,),))))</f>
        <v>1.4388489203837371E-2</v>
      </c>
      <c r="T69" s="13">
        <f>((((VLOOKUP(B69,Database!$A:$AS,MATCH($T$1,Database!$A$1:$AS$1,),))))-(((VLOOKUP(EDATE(B69,-12),Database!$A:$AS,MATCH($T$1,Database!$A$1:$AS$1,),)))))/(((VLOOKUP(EDATE(B69,-12),Database!$A:$AS,MATCH($T$1,Database!$A$1:$AS$1,),))))</f>
        <v>6.6473988430367878E-2</v>
      </c>
      <c r="U69" s="13">
        <f>((((VLOOKUP(B69,Database!$A:$AS,MATCH($U$1,Database!$A$1:$AS$1,),))))-(((VLOOKUP(EDATE(B69,-12),Database!$A:$AS,MATCH($U$1,Database!$A$1:$AS$1,),)))))/(((VLOOKUP(EDATE(B69,-12),Database!$A:$AS,MATCH($U$1,Database!$A$1:$AS$1,),))))</f>
        <v>-6.3070798593934899E-2</v>
      </c>
      <c r="V69" s="13">
        <f>((((VLOOKUP(B69,Database!$A:$AS,MATCH($V$1,Database!$A$1:$AS$1,),))))-(((VLOOKUP(EDATE(B69,-12),Database!$A:$AS,MATCH($V$1,Database!$A$1:$AS$1,),)))))/(((VLOOKUP(EDATE(B69,-12),Database!$A:$AS,MATCH($V$1,Database!$A$1:$AS$1,),))))</f>
        <v>1.731233993243458E-2</v>
      </c>
    </row>
    <row r="70" spans="1:22" s="83" customFormat="1" x14ac:dyDescent="0.2">
      <c r="A70" s="43"/>
      <c r="B70" s="78">
        <v>34274</v>
      </c>
      <c r="C70" s="13">
        <f>((((VLOOKUP(B70,Database!$A:$AS,MATCH($C$1,Database!$A$1:$AS$1,),))))-(((VLOOKUP(EDATE(B70,-12),Database!$A:$AS,MATCH($C$1,Database!$A$1:$AS$1,),)))))/(((VLOOKUP(EDATE(B70,-12),Database!$A:$AS,MATCH($C$1,Database!$A$1:$AS$1,),))))</f>
        <v>2.9739943931111349E-2</v>
      </c>
      <c r="D70" s="13">
        <f>((((VLOOKUP(B70,Database!$A:$AS,MATCH($D$1,Database!$A$1:$AS$1,),))))-(((VLOOKUP(EDATE(B70,-12),Database!$A:$AS,MATCH($D$1,Database!$A$1:$AS$1,),)))))/(((VLOOKUP(EDATE(B70,-12),Database!$A:$AS,MATCH($D$1,Database!$A$1:$AS$1,),))))</f>
        <v>-2.316602316602313E-2</v>
      </c>
      <c r="E70" s="13">
        <f>((((VLOOKUP(B70,Database!$A:$AS,MATCH($E$1,Database!$A$1:$AS$1,),))))-(((VLOOKUP(EDATE(B70,-12),Database!$A:$AS,MATCH($E$1,Database!$A$1:$AS$1,),)))))/(((VLOOKUP(EDATE(B70,-12),Database!$A:$AS,MATCH($E$1,Database!$A$1:$AS$1,),))))</f>
        <v>-1.9750519754451638E-2</v>
      </c>
      <c r="F70" s="13">
        <f>((((VLOOKUP(B70,Database!$A:$AS,MATCH($F$1,Database!$A$1:$AS$1,),))))-(((VLOOKUP(EDATE(B70,-12),Database!$A:$AS,MATCH($F$1,Database!$A$1:$AS$1,),)))))/(((VLOOKUP(EDATE(B70,-12),Database!$A:$AS,MATCH($F$1,Database!$A$1:$AS$1,),))))</f>
        <v>-4.9928673329073935E-2</v>
      </c>
      <c r="G70" s="13">
        <f>((((VLOOKUP(B70,Database!$A:$AS,MATCH($G$1,Database!$A$1:$AS$1,),))))-(((VLOOKUP(EDATE(B70,-12),Database!$A:$AS,MATCH($G$1,Database!$A$1:$AS$1,),)))))/(((VLOOKUP(EDATE(B70,-12),Database!$A:$AS,MATCH($G$1,Database!$A$1:$AS$1,),))))</f>
        <v>-2.2655545536519446E-2</v>
      </c>
      <c r="H70" s="13">
        <f>((((VLOOKUP(B70,Database!$A:$AS,MATCH($H$1,Database!$A$1:$AS$1,),))))-(((VLOOKUP(EDATE(B70,-12),Database!$A:$AS,MATCH($H$1,Database!$A$1:$AS$1,),)))))/(((VLOOKUP(EDATE(B70,-12),Database!$A:$AS,MATCH($H$1,Database!$A$1:$AS$1,),))))</f>
        <v>3.6885245900546031E-2</v>
      </c>
      <c r="I70" s="13">
        <f>((((VLOOKUP(B70,Database!$A:$AS,MATCH($I$1,Database!$A$1:$AS$1,),))))-(((VLOOKUP(EDATE(B70,-12),Database!$A:$AS,MATCH($I$1,Database!$A$1:$AS$1,),)))))/(((VLOOKUP(EDATE(B70,-12),Database!$A:$AS,MATCH($I$1,Database!$A$1:$AS$1,),))))</f>
        <v>-1.1204481798916064E-2</v>
      </c>
      <c r="J70" s="13">
        <f>((((VLOOKUP(B70,Database!$A:$AS,MATCH($J$1,Database!$A$1:$AS$1,),))))-(((VLOOKUP(EDATE(B70,-12),Database!$A:$AS,MATCH($J$1,Database!$A$1:$AS$1,),)))))/(((VLOOKUP(EDATE(B70,-12),Database!$A:$AS,MATCH($J$1,Database!$A$1:$AS$1,),))))</f>
        <v>1.5981685612085222E-2</v>
      </c>
      <c r="K70" s="13">
        <f>((((VLOOKUP(B70,Database!$A:$AS,MATCH($K$1,Database!$A$1:$AS$1,),))))-(((VLOOKUP(EDATE(B70,-12),Database!$A:$AS,MATCH($K$1,Database!$A$1:$AS$1,),)))))/(((VLOOKUP(EDATE(B70,-12),Database!$A:$AS,MATCH($K$1,Database!$A$1:$AS$1,),))))</f>
        <v>5.0075872529084534E-2</v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>5.7430695710502088E-3</v>
      </c>
      <c r="M70" s="13" t="e">
        <f>((((VLOOKUP(B70,Database!$A:$AS,MATCH($M$1,Database!$A$1:$AS$1,),))))-(((VLOOKUP(EDATE(B70,-12),Database!$A:$AS,MATCH($M$1,Database!$A$1:$AS$1,),)))))/(((VLOOKUP(EDATE(B70,-12),Database!$A:$AS,MATCH($M$1,Database!$A$1:$AS$1,),))))</f>
        <v>#DIV/0!</v>
      </c>
      <c r="N70" s="13" t="e">
        <f>((((VLOOKUP(B70,Database!$A:$AS,MATCH($N$1,Database!$A$1:$AS$1,),))))-(((VLOOKUP(EDATE(B70,-12),Database!$A:$AS,MATCH($N$1,Database!$A$1:$AS$1,),)))))/(((VLOOKUP(EDATE(B70,-12),Database!$A:$AS,MATCH($N$1,Database!$A$1:$AS$1,),))))</f>
        <v>#DIV/0!</v>
      </c>
      <c r="O70" s="13">
        <f>((((VLOOKUP(B70,Database!$A:$AS,MATCH($O$1,Database!$A$1:$AS$1,),))))-(((VLOOKUP(EDATE(B70,-12),Database!$A:$AS,MATCH($O$1,Database!$A$1:$AS$1,),)))))/(((VLOOKUP(EDATE(B70,-12),Database!$A:$AS,MATCH($O$1,Database!$A$1:$AS$1,),))))</f>
        <v>4.8839344072037494E-2</v>
      </c>
      <c r="P70" s="13">
        <f>((((VLOOKUP(B70,Database!$A:$AS,MATCH($P$1,Database!$A$1:$AS$1,),))))-(((VLOOKUP(EDATE(B70,-12),Database!$A:$AS,MATCH($P$1,Database!$A$1:$AS$1,),)))))/(((VLOOKUP(EDATE(B70,-12),Database!$A:$AS,MATCH($P$1,Database!$A$1:$AS$1,),))))</f>
        <v>8.6771968487630038E-2</v>
      </c>
      <c r="Q70" s="13">
        <f>((((VLOOKUP(B70,Database!$A:$AS,MATCH($Q$1,Database!$A$1:$AS$1,),))))-(((VLOOKUP(EDATE(B70,-12),Database!$A:$AS,MATCH($Q$1,Database!$A$1:$AS$1,),)))))/(((VLOOKUP(EDATE(B70,-12),Database!$A:$AS,MATCH($Q$1,Database!$A$1:$AS$1,),))))</f>
        <v>4.7700170370138573E-2</v>
      </c>
      <c r="R70" s="13">
        <f>((((VLOOKUP(B70,Database!$A:$AS,MATCH($R$1,Database!$A$1:$AS$1,),))))-(((VLOOKUP(EDATE(B70,-12),Database!$A:$AS,MATCH($R$1,Database!$A$1:$AS$1,),)))))/(((VLOOKUP(EDATE(B70,-12),Database!$A:$AS,MATCH($R$1,Database!$A$1:$AS$1,),))))</f>
        <v>-1.745603622583914E-2</v>
      </c>
      <c r="S70" s="13">
        <f>((((VLOOKUP(B70,Database!$A:$AS,MATCH($S$1,Database!$A$1:$AS$1,),))))-(((VLOOKUP(EDATE(B70,-12),Database!$A:$AS,MATCH($S$1,Database!$A$1:$AS$1,),)))))/(((VLOOKUP(EDATE(B70,-12),Database!$A:$AS,MATCH($S$1,Database!$A$1:$AS$1,),))))</f>
        <v>1.8050541494728206E-2</v>
      </c>
      <c r="T70" s="13">
        <f>((((VLOOKUP(B70,Database!$A:$AS,MATCH($T$1,Database!$A$1:$AS$1,),))))-(((VLOOKUP(EDATE(B70,-12),Database!$A:$AS,MATCH($T$1,Database!$A$1:$AS$1,),)))))/(((VLOOKUP(EDATE(B70,-12),Database!$A:$AS,MATCH($T$1,Database!$A$1:$AS$1,),))))</f>
        <v>2.8985507228311704E-2</v>
      </c>
      <c r="U70" s="13">
        <f>((((VLOOKUP(B70,Database!$A:$AS,MATCH($U$1,Database!$A$1:$AS$1,),))))-(((VLOOKUP(EDATE(B70,-12),Database!$A:$AS,MATCH($U$1,Database!$A$1:$AS$1,),)))))/(((VLOOKUP(EDATE(B70,-12),Database!$A:$AS,MATCH($U$1,Database!$A$1:$AS$1,),))))</f>
        <v>-6.9289431962829107E-2</v>
      </c>
      <c r="V70" s="13">
        <f>((((VLOOKUP(B70,Database!$A:$AS,MATCH($V$1,Database!$A$1:$AS$1,),))))-(((VLOOKUP(EDATE(B70,-12),Database!$A:$AS,MATCH($V$1,Database!$A$1:$AS$1,),)))))/(((VLOOKUP(EDATE(B70,-12),Database!$A:$AS,MATCH($V$1,Database!$A$1:$AS$1,),))))</f>
        <v>4.6889507384770927E-2</v>
      </c>
    </row>
    <row r="71" spans="1:22" s="83" customFormat="1" x14ac:dyDescent="0.2">
      <c r="A71" s="43"/>
      <c r="B71" s="78">
        <v>34304</v>
      </c>
      <c r="C71" s="13">
        <f>((((VLOOKUP(B71,Database!$A:$AS,MATCH($C$1,Database!$A$1:$AS$1,),))))-(((VLOOKUP(EDATE(B71,-12),Database!$A:$AS,MATCH($C$1,Database!$A$1:$AS$1,),)))))/(((VLOOKUP(EDATE(B71,-12),Database!$A:$AS,MATCH($C$1,Database!$A$1:$AS$1,),))))</f>
        <v>3.3909945749575267E-2</v>
      </c>
      <c r="D71" s="13">
        <f>((((VLOOKUP(B71,Database!$A:$AS,MATCH($D$1,Database!$A$1:$AS$1,),))))-(((VLOOKUP(EDATE(B71,-12),Database!$A:$AS,MATCH($D$1,Database!$A$1:$AS$1,),)))))/(((VLOOKUP(EDATE(B71,-12),Database!$A:$AS,MATCH($D$1,Database!$A$1:$AS$1,),))))</f>
        <v>-3.9318479685451794E-3</v>
      </c>
      <c r="E71" s="13">
        <f>((((VLOOKUP(B71,Database!$A:$AS,MATCH($E$1,Database!$A$1:$AS$1,),))))-(((VLOOKUP(EDATE(B71,-12),Database!$A:$AS,MATCH($E$1,Database!$A$1:$AS$1,),)))))/(((VLOOKUP(EDATE(B71,-12),Database!$A:$AS,MATCH($E$1,Database!$A$1:$AS$1,),))))</f>
        <v>-2.2964509387910378E-2</v>
      </c>
      <c r="F71" s="13">
        <f>((((VLOOKUP(B71,Database!$A:$AS,MATCH($F$1,Database!$A$1:$AS$1,),))))-(((VLOOKUP(EDATE(B71,-12),Database!$A:$AS,MATCH($F$1,Database!$A$1:$AS$1,),)))))/(((VLOOKUP(EDATE(B71,-12),Database!$A:$AS,MATCH($F$1,Database!$A$1:$AS$1,),))))</f>
        <v>-2.1770682156446279E-2</v>
      </c>
      <c r="G71" s="13">
        <f>((((VLOOKUP(B71,Database!$A:$AS,MATCH($G$1,Database!$A$1:$AS$1,),))))-(((VLOOKUP(EDATE(B71,-12),Database!$A:$AS,MATCH($G$1,Database!$A$1:$AS$1,),)))))/(((VLOOKUP(EDATE(B71,-12),Database!$A:$AS,MATCH($G$1,Database!$A$1:$AS$1,),))))</f>
        <v>-1.8620059401416603E-2</v>
      </c>
      <c r="H71" s="13">
        <f>((((VLOOKUP(B71,Database!$A:$AS,MATCH($H$1,Database!$A$1:$AS$1,),))))-(((VLOOKUP(EDATE(B71,-12),Database!$A:$AS,MATCH($H$1,Database!$A$1:$AS$1,),)))))/(((VLOOKUP(EDATE(B71,-12),Database!$A:$AS,MATCH($H$1,Database!$A$1:$AS$1,),))))</f>
        <v>4.1039671686054463E-2</v>
      </c>
      <c r="I71" s="13">
        <f>((((VLOOKUP(B71,Database!$A:$AS,MATCH($I$1,Database!$A$1:$AS$1,),))))-(((VLOOKUP(EDATE(B71,-12),Database!$A:$AS,MATCH($I$1,Database!$A$1:$AS$1,),)))))/(((VLOOKUP(EDATE(B71,-12),Database!$A:$AS,MATCH($I$1,Database!$A$1:$AS$1,),))))</f>
        <v>4.7483380835295101E-3</v>
      </c>
      <c r="J71" s="13">
        <f>((((VLOOKUP(B71,Database!$A:$AS,MATCH($J$1,Database!$A$1:$AS$1,),))))-(((VLOOKUP(EDATE(B71,-12),Database!$A:$AS,MATCH($J$1,Database!$A$1:$AS$1,),)))))/(((VLOOKUP(EDATE(B71,-12),Database!$A:$AS,MATCH($J$1,Database!$A$1:$AS$1,),))))</f>
        <v>3.7045221020949391E-2</v>
      </c>
      <c r="K71" s="13">
        <f>((((VLOOKUP(B71,Database!$A:$AS,MATCH($K$1,Database!$A$1:$AS$1,),))))-(((VLOOKUP(EDATE(B71,-12),Database!$A:$AS,MATCH($K$1,Database!$A$1:$AS$1,),)))))/(((VLOOKUP(EDATE(B71,-12),Database!$A:$AS,MATCH($K$1,Database!$A$1:$AS$1,),))))</f>
        <v>6.9802731406443372E-2</v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>3.3223168376093216E-2</v>
      </c>
      <c r="M71" s="13" t="e">
        <f>((((VLOOKUP(B71,Database!$A:$AS,MATCH($M$1,Database!$A$1:$AS$1,),))))-(((VLOOKUP(EDATE(B71,-12),Database!$A:$AS,MATCH($M$1,Database!$A$1:$AS$1,),)))))/(((VLOOKUP(EDATE(B71,-12),Database!$A:$AS,MATCH($M$1,Database!$A$1:$AS$1,),))))</f>
        <v>#DIV/0!</v>
      </c>
      <c r="N71" s="13" t="e">
        <f>((((VLOOKUP(B71,Database!$A:$AS,MATCH($N$1,Database!$A$1:$AS$1,),))))-(((VLOOKUP(EDATE(B71,-12),Database!$A:$AS,MATCH($N$1,Database!$A$1:$AS$1,),)))))/(((VLOOKUP(EDATE(B71,-12),Database!$A:$AS,MATCH($N$1,Database!$A$1:$AS$1,),))))</f>
        <v>#DIV/0!</v>
      </c>
      <c r="O71" s="13">
        <f>((((VLOOKUP(B71,Database!$A:$AS,MATCH($O$1,Database!$A$1:$AS$1,),))))-(((VLOOKUP(EDATE(B71,-12),Database!$A:$AS,MATCH($O$1,Database!$A$1:$AS$1,),)))))/(((VLOOKUP(EDATE(B71,-12),Database!$A:$AS,MATCH($O$1,Database!$A$1:$AS$1,),))))</f>
        <v>3.7069156897649551E-2</v>
      </c>
      <c r="P71" s="13">
        <f>((((VLOOKUP(B71,Database!$A:$AS,MATCH($P$1,Database!$A$1:$AS$1,),))))-(((VLOOKUP(EDATE(B71,-12),Database!$A:$AS,MATCH($P$1,Database!$A$1:$AS$1,),)))))/(((VLOOKUP(EDATE(B71,-12),Database!$A:$AS,MATCH($P$1,Database!$A$1:$AS$1,),))))</f>
        <v>0.1054405196766669</v>
      </c>
      <c r="Q71" s="13">
        <f>((((VLOOKUP(B71,Database!$A:$AS,MATCH($Q$1,Database!$A$1:$AS$1,),))))-(((VLOOKUP(EDATE(B71,-12),Database!$A:$AS,MATCH($Q$1,Database!$A$1:$AS$1,),)))))/(((VLOOKUP(EDATE(B71,-12),Database!$A:$AS,MATCH($Q$1,Database!$A$1:$AS$1,),))))</f>
        <v>7.7239003705044135E-2</v>
      </c>
      <c r="R71" s="13">
        <f>((((VLOOKUP(B71,Database!$A:$AS,MATCH($R$1,Database!$A$1:$AS$1,),))))-(((VLOOKUP(EDATE(B71,-12),Database!$A:$AS,MATCH($R$1,Database!$A$1:$AS$1,),)))))/(((VLOOKUP(EDATE(B71,-12),Database!$A:$AS,MATCH($R$1,Database!$A$1:$AS$1,),))))</f>
        <v>-1.8747293245947746E-2</v>
      </c>
      <c r="S71" s="13">
        <f>((((VLOOKUP(B71,Database!$A:$AS,MATCH($S$1,Database!$A$1:$AS$1,),))))-(((VLOOKUP(EDATE(B71,-12),Database!$A:$AS,MATCH($S$1,Database!$A$1:$AS$1,),)))))/(((VLOOKUP(EDATE(B71,-12),Database!$A:$AS,MATCH($S$1,Database!$A$1:$AS$1,),))))</f>
        <v>0.12840466926988278</v>
      </c>
      <c r="T71" s="13">
        <f>((((VLOOKUP(B71,Database!$A:$AS,MATCH($T$1,Database!$A$1:$AS$1,),))))-(((VLOOKUP(EDATE(B71,-12),Database!$A:$AS,MATCH($T$1,Database!$A$1:$AS$1,),)))))/(((VLOOKUP(EDATE(B71,-12),Database!$A:$AS,MATCH($T$1,Database!$A$1:$AS$1,),))))</f>
        <v>0.13988095238316697</v>
      </c>
      <c r="U71" s="13">
        <f>((((VLOOKUP(B71,Database!$A:$AS,MATCH($U$1,Database!$A$1:$AS$1,),))))-(((VLOOKUP(EDATE(B71,-12),Database!$A:$AS,MATCH($U$1,Database!$A$1:$AS$1,),)))))/(((VLOOKUP(EDATE(B71,-12),Database!$A:$AS,MATCH($U$1,Database!$A$1:$AS$1,),))))</f>
        <v>-2.9057288037185804E-2</v>
      </c>
      <c r="V71" s="13">
        <f>((((VLOOKUP(B71,Database!$A:$AS,MATCH($V$1,Database!$A$1:$AS$1,),))))-(((VLOOKUP(EDATE(B71,-12),Database!$A:$AS,MATCH($V$1,Database!$A$1:$AS$1,),)))))/(((VLOOKUP(EDATE(B71,-12),Database!$A:$AS,MATCH($V$1,Database!$A$1:$AS$1,),))))</f>
        <v>4.5823031369836509E-2</v>
      </c>
    </row>
    <row r="72" spans="1:22" s="83" customFormat="1" x14ac:dyDescent="0.2">
      <c r="A72" s="43"/>
      <c r="B72" s="78">
        <v>34335</v>
      </c>
      <c r="C72" s="13">
        <f>((((VLOOKUP(B72,Database!$A:$AS,MATCH($C$1,Database!$A$1:$AS$1,),))))-(((VLOOKUP(EDATE(B72,-12),Database!$A:$AS,MATCH($C$1,Database!$A$1:$AS$1,),)))))/(((VLOOKUP(EDATE(B72,-12),Database!$A:$AS,MATCH($C$1,Database!$A$1:$AS$1,),))))</f>
        <v>3.2959077268683364E-2</v>
      </c>
      <c r="D72" s="13">
        <f>((((VLOOKUP(B72,Database!$A:$AS,MATCH($D$1,Database!$A$1:$AS$1,),))))-(((VLOOKUP(EDATE(B72,-12),Database!$A:$AS,MATCH($D$1,Database!$A$1:$AS$1,),)))))/(((VLOOKUP(EDATE(B72,-12),Database!$A:$AS,MATCH($D$1,Database!$A$1:$AS$1,),))))</f>
        <v>-7.8226857887875954E-3</v>
      </c>
      <c r="E72" s="13">
        <f>((((VLOOKUP(B72,Database!$A:$AS,MATCH($E$1,Database!$A$1:$AS$1,),))))-(((VLOOKUP(EDATE(B72,-12),Database!$A:$AS,MATCH($E$1,Database!$A$1:$AS$1,),)))))/(((VLOOKUP(EDATE(B72,-12),Database!$A:$AS,MATCH($E$1,Database!$A$1:$AS$1,),))))</f>
        <v>-4.7034764826258277E-2</v>
      </c>
      <c r="F72" s="13">
        <f>((((VLOOKUP(B72,Database!$A:$AS,MATCH($F$1,Database!$A$1:$AS$1,),))))-(((VLOOKUP(EDATE(B72,-12),Database!$A:$AS,MATCH($F$1,Database!$A$1:$AS$1,),)))))/(((VLOOKUP(EDATE(B72,-12),Database!$A:$AS,MATCH($F$1,Database!$A$1:$AS$1,),))))</f>
        <v>-1.4684287817734043E-2</v>
      </c>
      <c r="G72" s="13">
        <f>((((VLOOKUP(B72,Database!$A:$AS,MATCH($G$1,Database!$A$1:$AS$1,),))))-(((VLOOKUP(EDATE(B72,-12),Database!$A:$AS,MATCH($G$1,Database!$A$1:$AS$1,),)))))/(((VLOOKUP(EDATE(B72,-12),Database!$A:$AS,MATCH($G$1,Database!$A$1:$AS$1,),))))</f>
        <v>9.1501772846846953E-4</v>
      </c>
      <c r="H72" s="13">
        <f>((((VLOOKUP(B72,Database!$A:$AS,MATCH($H$1,Database!$A$1:$AS$1,),))))-(((VLOOKUP(EDATE(B72,-12),Database!$A:$AS,MATCH($H$1,Database!$A$1:$AS$1,),)))))/(((VLOOKUP(EDATE(B72,-12),Database!$A:$AS,MATCH($H$1,Database!$A$1:$AS$1,),))))</f>
        <v>4.5081967207544253E-2</v>
      </c>
      <c r="I72" s="13">
        <f>((((VLOOKUP(B72,Database!$A:$AS,MATCH($I$1,Database!$A$1:$AS$1,),))))-(((VLOOKUP(EDATE(B72,-12),Database!$A:$AS,MATCH($I$1,Database!$A$1:$AS$1,),)))))/(((VLOOKUP(EDATE(B72,-12),Database!$A:$AS,MATCH($I$1,Database!$A$1:$AS$1,),))))</f>
        <v>-9.3370681642070737E-3</v>
      </c>
      <c r="J72" s="13">
        <f>((((VLOOKUP(B72,Database!$A:$AS,MATCH($J$1,Database!$A$1:$AS$1,),))))-(((VLOOKUP(EDATE(B72,-12),Database!$A:$AS,MATCH($J$1,Database!$A$1:$AS$1,),)))))/(((VLOOKUP(EDATE(B72,-12),Database!$A:$AS,MATCH($J$1,Database!$A$1:$AS$1,),))))</f>
        <v>1.0716873399968171E-2</v>
      </c>
      <c r="K72" s="13">
        <f>((((VLOOKUP(B72,Database!$A:$AS,MATCH($K$1,Database!$A$1:$AS$1,),))))-(((VLOOKUP(EDATE(B72,-12),Database!$A:$AS,MATCH($K$1,Database!$A$1:$AS$1,),)))))/(((VLOOKUP(EDATE(B72,-12),Database!$A:$AS,MATCH($K$1,Database!$A$1:$AS$1,),))))</f>
        <v>7.2617246598794455E-2</v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>4.6959621306467796E-2</v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>-0.21689890361746639</v>
      </c>
      <c r="N72" s="13" t="e">
        <f>((((VLOOKUP(B72,Database!$A:$AS,MATCH($N$1,Database!$A$1:$AS$1,),))))-(((VLOOKUP(EDATE(B72,-12),Database!$A:$AS,MATCH($N$1,Database!$A$1:$AS$1,),)))))/(((VLOOKUP(EDATE(B72,-12),Database!$A:$AS,MATCH($N$1,Database!$A$1:$AS$1,),))))</f>
        <v>#DIV/0!</v>
      </c>
      <c r="O72" s="13">
        <f>((((VLOOKUP(B72,Database!$A:$AS,MATCH($O$1,Database!$A$1:$AS$1,),))))-(((VLOOKUP(EDATE(B72,-12),Database!$A:$AS,MATCH($O$1,Database!$A$1:$AS$1,),)))))/(((VLOOKUP(EDATE(B72,-12),Database!$A:$AS,MATCH($O$1,Database!$A$1:$AS$1,),))))</f>
        <v>4.5899005563846483E-2</v>
      </c>
      <c r="P72" s="13">
        <f>((((VLOOKUP(B72,Database!$A:$AS,MATCH($P$1,Database!$A$1:$AS$1,),))))-(((VLOOKUP(EDATE(B72,-12),Database!$A:$AS,MATCH($P$1,Database!$A$1:$AS$1,),)))))/(((VLOOKUP(EDATE(B72,-12),Database!$A:$AS,MATCH($P$1,Database!$A$1:$AS$1,),))))</f>
        <v>9.4559480315212094E-2</v>
      </c>
      <c r="Q72" s="13">
        <f>((((VLOOKUP(B72,Database!$A:$AS,MATCH($Q$1,Database!$A$1:$AS$1,),))))-(((VLOOKUP(EDATE(B72,-12),Database!$A:$AS,MATCH($Q$1,Database!$A$1:$AS$1,),)))))/(((VLOOKUP(EDATE(B72,-12),Database!$A:$AS,MATCH($Q$1,Database!$A$1:$AS$1,),))))</f>
        <v>7.1929368993994561E-2</v>
      </c>
      <c r="R72" s="13">
        <f>((((VLOOKUP(B72,Database!$A:$AS,MATCH($R$1,Database!$A$1:$AS$1,),))))-(((VLOOKUP(EDATE(B72,-12),Database!$A:$AS,MATCH($R$1,Database!$A$1:$AS$1,),)))))/(((VLOOKUP(EDATE(B72,-12),Database!$A:$AS,MATCH($R$1,Database!$A$1:$AS$1,),))))</f>
        <v>1.3133444735670737E-2</v>
      </c>
      <c r="S72" s="13">
        <f>((((VLOOKUP(B72,Database!$A:$AS,MATCH($S$1,Database!$A$1:$AS$1,),))))-(((VLOOKUP(EDATE(B72,-12),Database!$A:$AS,MATCH($S$1,Database!$A$1:$AS$1,),)))))/(((VLOOKUP(EDATE(B72,-12),Database!$A:$AS,MATCH($S$1,Database!$A$1:$AS$1,),))))</f>
        <v>3.2142857178312841E-2</v>
      </c>
      <c r="T72" s="13">
        <f>((((VLOOKUP(B72,Database!$A:$AS,MATCH($T$1,Database!$A$1:$AS$1,),))))-(((VLOOKUP(EDATE(B72,-12),Database!$A:$AS,MATCH($T$1,Database!$A$1:$AS$1,),)))))/(((VLOOKUP(EDATE(B72,-12),Database!$A:$AS,MATCH($T$1,Database!$A$1:$AS$1,),))))</f>
        <v>8.8319088312918861E-2</v>
      </c>
      <c r="U72" s="13">
        <f>((((VLOOKUP(B72,Database!$A:$AS,MATCH($U$1,Database!$A$1:$AS$1,),))))-(((VLOOKUP(EDATE(B72,-12),Database!$A:$AS,MATCH($U$1,Database!$A$1:$AS$1,),)))))/(((VLOOKUP(EDATE(B72,-12),Database!$A:$AS,MATCH($U$1,Database!$A$1:$AS$1,),))))</f>
        <v>-1.6459840090656E-2</v>
      </c>
      <c r="V72" s="13">
        <f>((((VLOOKUP(B72,Database!$A:$AS,MATCH($V$1,Database!$A$1:$AS$1,),))))-(((VLOOKUP(EDATE(B72,-12),Database!$A:$AS,MATCH($V$1,Database!$A$1:$AS$1,),)))))/(((VLOOKUP(EDATE(B72,-12),Database!$A:$AS,MATCH($V$1,Database!$A$1:$AS$1,),))))</f>
        <v>0.11006641404421741</v>
      </c>
    </row>
    <row r="73" spans="1:22" s="83" customFormat="1" x14ac:dyDescent="0.2">
      <c r="A73" s="43"/>
      <c r="B73" s="78">
        <v>34366</v>
      </c>
      <c r="C73" s="13">
        <f>((((VLOOKUP(B73,Database!$A:$AS,MATCH($C$1,Database!$A$1:$AS$1,),))))-(((VLOOKUP(EDATE(B73,-12),Database!$A:$AS,MATCH($C$1,Database!$A$1:$AS$1,),)))))/(((VLOOKUP(EDATE(B73,-12),Database!$A:$AS,MATCH($C$1,Database!$A$1:$AS$1,),))))</f>
        <v>2.8986929516927894E-2</v>
      </c>
      <c r="D73" s="13">
        <f>((((VLOOKUP(B73,Database!$A:$AS,MATCH($D$1,Database!$A$1:$AS$1,),))))-(((VLOOKUP(EDATE(B73,-12),Database!$A:$AS,MATCH($D$1,Database!$A$1:$AS$1,),)))))/(((VLOOKUP(EDATE(B73,-12),Database!$A:$AS,MATCH($D$1,Database!$A$1:$AS$1,),))))</f>
        <v>1.5768725361366663E-2</v>
      </c>
      <c r="E73" s="13">
        <f>((((VLOOKUP(B73,Database!$A:$AS,MATCH($E$1,Database!$A$1:$AS$1,),))))-(((VLOOKUP(EDATE(B73,-12),Database!$A:$AS,MATCH($E$1,Database!$A$1:$AS$1,),)))))/(((VLOOKUP(EDATE(B73,-12),Database!$A:$AS,MATCH($E$1,Database!$A$1:$AS$1,),))))</f>
        <v>-4.0816326531433557E-2</v>
      </c>
      <c r="F73" s="13">
        <f>((((VLOOKUP(B73,Database!$A:$AS,MATCH($F$1,Database!$A$1:$AS$1,),))))-(((VLOOKUP(EDATE(B73,-12),Database!$A:$AS,MATCH($F$1,Database!$A$1:$AS$1,),)))))/(((VLOOKUP(EDATE(B73,-12),Database!$A:$AS,MATCH($F$1,Database!$A$1:$AS$1,),))))</f>
        <v>1.4903129663091893E-2</v>
      </c>
      <c r="G73" s="13">
        <f>((((VLOOKUP(B73,Database!$A:$AS,MATCH($G$1,Database!$A$1:$AS$1,),))))-(((VLOOKUP(EDATE(B73,-12),Database!$A:$AS,MATCH($G$1,Database!$A$1:$AS$1,),)))))/(((VLOOKUP(EDATE(B73,-12),Database!$A:$AS,MATCH($G$1,Database!$A$1:$AS$1,),))))</f>
        <v>-3.5400251227587997E-3</v>
      </c>
      <c r="H73" s="13">
        <f>((((VLOOKUP(B73,Database!$A:$AS,MATCH($H$1,Database!$A$1:$AS$1,),))))-(((VLOOKUP(EDATE(B73,-12),Database!$A:$AS,MATCH($H$1,Database!$A$1:$AS$1,),)))))/(((VLOOKUP(EDATE(B73,-12),Database!$A:$AS,MATCH($H$1,Database!$A$1:$AS$1,),))))</f>
        <v>3.3647375509477204E-2</v>
      </c>
      <c r="I73" s="13">
        <f>((((VLOOKUP(B73,Database!$A:$AS,MATCH($I$1,Database!$A$1:$AS$1,),))))-(((VLOOKUP(EDATE(B73,-12),Database!$A:$AS,MATCH($I$1,Database!$A$1:$AS$1,),)))))/(((VLOOKUP(EDATE(B73,-12),Database!$A:$AS,MATCH($I$1,Database!$A$1:$AS$1,),))))</f>
        <v>9.3632958743981084E-3</v>
      </c>
      <c r="J73" s="13">
        <f>((((VLOOKUP(B73,Database!$A:$AS,MATCH($J$1,Database!$A$1:$AS$1,),))))-(((VLOOKUP(EDATE(B73,-12),Database!$A:$AS,MATCH($J$1,Database!$A$1:$AS$1,),)))))/(((VLOOKUP(EDATE(B73,-12),Database!$A:$AS,MATCH($J$1,Database!$A$1:$AS$1,),))))</f>
        <v>6.1053256653762052E-2</v>
      </c>
      <c r="K73" s="13">
        <f>((((VLOOKUP(B73,Database!$A:$AS,MATCH($K$1,Database!$A$1:$AS$1,),))))-(((VLOOKUP(EDATE(B73,-12),Database!$A:$AS,MATCH($K$1,Database!$A$1:$AS$1,),)))))/(((VLOOKUP(EDATE(B73,-12),Database!$A:$AS,MATCH($K$1,Database!$A$1:$AS$1,),))))</f>
        <v>0.11042944786462443</v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>3.7740487669848173E-2</v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>-0.23315803808921631</v>
      </c>
      <c r="N73" s="13" t="e">
        <f>((((VLOOKUP(B73,Database!$A:$AS,MATCH($N$1,Database!$A$1:$AS$1,),))))-(((VLOOKUP(EDATE(B73,-12),Database!$A:$AS,MATCH($N$1,Database!$A$1:$AS$1,),)))))/(((VLOOKUP(EDATE(B73,-12),Database!$A:$AS,MATCH($N$1,Database!$A$1:$AS$1,),))))</f>
        <v>#DIV/0!</v>
      </c>
      <c r="O73" s="13">
        <f>((((VLOOKUP(B73,Database!$A:$AS,MATCH($O$1,Database!$A$1:$AS$1,),))))-(((VLOOKUP(EDATE(B73,-12),Database!$A:$AS,MATCH($O$1,Database!$A$1:$AS$1,),)))))/(((VLOOKUP(EDATE(B73,-12),Database!$A:$AS,MATCH($O$1,Database!$A$1:$AS$1,),))))</f>
        <v>3.3739462811316505E-2</v>
      </c>
      <c r="P73" s="13">
        <f>((((VLOOKUP(B73,Database!$A:$AS,MATCH($P$1,Database!$A$1:$AS$1,),))))-(((VLOOKUP(EDATE(B73,-12),Database!$A:$AS,MATCH($P$1,Database!$A$1:$AS$1,),)))))/(((VLOOKUP(EDATE(B73,-12),Database!$A:$AS,MATCH($P$1,Database!$A$1:$AS$1,),))))</f>
        <v>0.10926853299825337</v>
      </c>
      <c r="Q73" s="13">
        <f>((((VLOOKUP(B73,Database!$A:$AS,MATCH($Q$1,Database!$A$1:$AS$1,),))))-(((VLOOKUP(EDATE(B73,-12),Database!$A:$AS,MATCH($Q$1,Database!$A$1:$AS$1,),)))))/(((VLOOKUP(EDATE(B73,-12),Database!$A:$AS,MATCH($Q$1,Database!$A$1:$AS$1,),))))</f>
        <v>3.1651201225011277E-2</v>
      </c>
      <c r="R73" s="13">
        <f>((((VLOOKUP(B73,Database!$A:$AS,MATCH($R$1,Database!$A$1:$AS$1,),))))-(((VLOOKUP(EDATE(B73,-12),Database!$A:$AS,MATCH($R$1,Database!$A$1:$AS$1,),)))))/(((VLOOKUP(EDATE(B73,-12),Database!$A:$AS,MATCH($R$1,Database!$A$1:$AS$1,),))))</f>
        <v>-4.0876153632502946E-3</v>
      </c>
      <c r="S73" s="13">
        <f>((((VLOOKUP(B73,Database!$A:$AS,MATCH($S$1,Database!$A$1:$AS$1,),))))-(((VLOOKUP(EDATE(B73,-12),Database!$A:$AS,MATCH($S$1,Database!$A$1:$AS$1,),)))))/(((VLOOKUP(EDATE(B73,-12),Database!$A:$AS,MATCH($S$1,Database!$A$1:$AS$1,),))))</f>
        <v>9.6428571474771324E-2</v>
      </c>
      <c r="T73" s="13">
        <f>((((VLOOKUP(B73,Database!$A:$AS,MATCH($T$1,Database!$A$1:$AS$1,),))))-(((VLOOKUP(EDATE(B73,-12),Database!$A:$AS,MATCH($T$1,Database!$A$1:$AS$1,),)))))/(((VLOOKUP(EDATE(B73,-12),Database!$A:$AS,MATCH($T$1,Database!$A$1:$AS$1,),))))</f>
        <v>-3.1250000000887929E-2</v>
      </c>
      <c r="U73" s="13">
        <f>((((VLOOKUP(B73,Database!$A:$AS,MATCH($U$1,Database!$A$1:$AS$1,),))))-(((VLOOKUP(EDATE(B73,-12),Database!$A:$AS,MATCH($U$1,Database!$A$1:$AS$1,),)))))/(((VLOOKUP(EDATE(B73,-12),Database!$A:$AS,MATCH($U$1,Database!$A$1:$AS$1,),))))</f>
        <v>-3.7705463481802551E-2</v>
      </c>
      <c r="V73" s="13">
        <f>((((VLOOKUP(B73,Database!$A:$AS,MATCH($V$1,Database!$A$1:$AS$1,),))))-(((VLOOKUP(EDATE(B73,-12),Database!$A:$AS,MATCH($V$1,Database!$A$1:$AS$1,),)))))/(((VLOOKUP(EDATE(B73,-12),Database!$A:$AS,MATCH($V$1,Database!$A$1:$AS$1,),))))</f>
        <v>0.11537945907329766</v>
      </c>
    </row>
    <row r="74" spans="1:22" s="83" customFormat="1" x14ac:dyDescent="0.2">
      <c r="A74" s="43"/>
      <c r="B74" s="78">
        <v>34394</v>
      </c>
      <c r="C74" s="13">
        <f>((((VLOOKUP(B74,Database!$A:$AS,MATCH($C$1,Database!$A$1:$AS$1,),))))-(((VLOOKUP(EDATE(B74,-12),Database!$A:$AS,MATCH($C$1,Database!$A$1:$AS$1,),)))))/(((VLOOKUP(EDATE(B74,-12),Database!$A:$AS,MATCH($C$1,Database!$A$1:$AS$1,),))))</f>
        <v>4.0188457732459423E-2</v>
      </c>
      <c r="D74" s="13">
        <f>((((VLOOKUP(B74,Database!$A:$AS,MATCH($D$1,Database!$A$1:$AS$1,),))))-(((VLOOKUP(EDATE(B74,-12),Database!$A:$AS,MATCH($D$1,Database!$A$1:$AS$1,),)))))/(((VLOOKUP(EDATE(B74,-12),Database!$A:$AS,MATCH($D$1,Database!$A$1:$AS$1,),))))</f>
        <v>1.8445322793148766E-2</v>
      </c>
      <c r="E74" s="13">
        <f>((((VLOOKUP(B74,Database!$A:$AS,MATCH($E$1,Database!$A$1:$AS$1,),))))-(((VLOOKUP(EDATE(B74,-12),Database!$A:$AS,MATCH($E$1,Database!$A$1:$AS$1,),)))))/(((VLOOKUP(EDATE(B74,-12),Database!$A:$AS,MATCH($E$1,Database!$A$1:$AS$1,),))))</f>
        <v>3.1678986268040402E-3</v>
      </c>
      <c r="F74" s="13">
        <f>((((VLOOKUP(B74,Database!$A:$AS,MATCH($F$1,Database!$A$1:$AS$1,),))))-(((VLOOKUP(EDATE(B74,-12),Database!$A:$AS,MATCH($F$1,Database!$A$1:$AS$1,),)))))/(((VLOOKUP(EDATE(B74,-12),Database!$A:$AS,MATCH($F$1,Database!$A$1:$AS$1,),))))</f>
        <v>8.9285714260468781E-3</v>
      </c>
      <c r="G74" s="13">
        <f>((((VLOOKUP(B74,Database!$A:$AS,MATCH($G$1,Database!$A$1:$AS$1,),))))-(((VLOOKUP(EDATE(B74,-12),Database!$A:$AS,MATCH($G$1,Database!$A$1:$AS$1,),)))))/(((VLOOKUP(EDATE(B74,-12),Database!$A:$AS,MATCH($G$1,Database!$A$1:$AS$1,),))))</f>
        <v>9.1785222579162805E-4</v>
      </c>
      <c r="H74" s="13">
        <f>((((VLOOKUP(B74,Database!$A:$AS,MATCH($H$1,Database!$A$1:$AS$1,),))))-(((VLOOKUP(EDATE(B74,-12),Database!$A:$AS,MATCH($H$1,Database!$A$1:$AS$1,),)))))/(((VLOOKUP(EDATE(B74,-12),Database!$A:$AS,MATCH($H$1,Database!$A$1:$AS$1,),))))</f>
        <v>4.6132971497803314E-2</v>
      </c>
      <c r="I74" s="13">
        <f>((((VLOOKUP(B74,Database!$A:$AS,MATCH($I$1,Database!$A$1:$AS$1,),))))-(((VLOOKUP(EDATE(B74,-12),Database!$A:$AS,MATCH($I$1,Database!$A$1:$AS$1,),)))))/(((VLOOKUP(EDATE(B74,-12),Database!$A:$AS,MATCH($I$1,Database!$A$1:$AS$1,),))))</f>
        <v>2.8222013171803926E-2</v>
      </c>
      <c r="J74" s="13">
        <f>((((VLOOKUP(B74,Database!$A:$AS,MATCH($J$1,Database!$A$1:$AS$1,),))))-(((VLOOKUP(EDATE(B74,-12),Database!$A:$AS,MATCH($J$1,Database!$A$1:$AS$1,),)))))/(((VLOOKUP(EDATE(B74,-12),Database!$A:$AS,MATCH($J$1,Database!$A$1:$AS$1,),))))</f>
        <v>5.9885648816387825E-2</v>
      </c>
      <c r="K74" s="13">
        <f>((((VLOOKUP(B74,Database!$A:$AS,MATCH($K$1,Database!$A$1:$AS$1,),))))-(((VLOOKUP(EDATE(B74,-12),Database!$A:$AS,MATCH($K$1,Database!$A$1:$AS$1,),)))))/(((VLOOKUP(EDATE(B74,-12),Database!$A:$AS,MATCH($K$1,Database!$A$1:$AS$1,),))))</f>
        <v>9.6385542166351326E-2</v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>4.091484738932788E-2</v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>-0.26324995412581997</v>
      </c>
      <c r="N74" s="13" t="e">
        <f>((((VLOOKUP(B74,Database!$A:$AS,MATCH($N$1,Database!$A$1:$AS$1,),))))-(((VLOOKUP(EDATE(B74,-12),Database!$A:$AS,MATCH($N$1,Database!$A$1:$AS$1,),)))))/(((VLOOKUP(EDATE(B74,-12),Database!$A:$AS,MATCH($N$1,Database!$A$1:$AS$1,),))))</f>
        <v>#DIV/0!</v>
      </c>
      <c r="O74" s="13">
        <f>((((VLOOKUP(B74,Database!$A:$AS,MATCH($O$1,Database!$A$1:$AS$1,),))))-(((VLOOKUP(EDATE(B74,-12),Database!$A:$AS,MATCH($O$1,Database!$A$1:$AS$1,),)))))/(((VLOOKUP(EDATE(B74,-12),Database!$A:$AS,MATCH($O$1,Database!$A$1:$AS$1,),))))</f>
        <v>3.7485726636809345E-2</v>
      </c>
      <c r="P74" s="13">
        <f>((((VLOOKUP(B74,Database!$A:$AS,MATCH($P$1,Database!$A$1:$AS$1,),))))-(((VLOOKUP(EDATE(B74,-12),Database!$A:$AS,MATCH($P$1,Database!$A$1:$AS$1,),)))))/(((VLOOKUP(EDATE(B74,-12),Database!$A:$AS,MATCH($P$1,Database!$A$1:$AS$1,),))))</f>
        <v>8.9730886605122531E-2</v>
      </c>
      <c r="Q74" s="13">
        <f>((((VLOOKUP(B74,Database!$A:$AS,MATCH($Q$1,Database!$A$1:$AS$1,),))))-(((VLOOKUP(EDATE(B74,-12),Database!$A:$AS,MATCH($Q$1,Database!$A$1:$AS$1,),)))))/(((VLOOKUP(EDATE(B74,-12),Database!$A:$AS,MATCH($Q$1,Database!$A$1:$AS$1,),))))</f>
        <v>4.5413955856078492E-2</v>
      </c>
      <c r="R74" s="13">
        <f>((((VLOOKUP(B74,Database!$A:$AS,MATCH($R$1,Database!$A$1:$AS$1,),))))-(((VLOOKUP(EDATE(B74,-12),Database!$A:$AS,MATCH($R$1,Database!$A$1:$AS$1,),)))))/(((VLOOKUP(EDATE(B74,-12),Database!$A:$AS,MATCH($R$1,Database!$A$1:$AS$1,),))))</f>
        <v>1.1038600975493928E-2</v>
      </c>
      <c r="S74" s="13">
        <f>((((VLOOKUP(B74,Database!$A:$AS,MATCH($S$1,Database!$A$1:$AS$1,),))))-(((VLOOKUP(EDATE(B74,-12),Database!$A:$AS,MATCH($S$1,Database!$A$1:$AS$1,),)))))/(((VLOOKUP(EDATE(B74,-12),Database!$A:$AS,MATCH($S$1,Database!$A$1:$AS$1,),))))</f>
        <v>7.4733096044658151E-2</v>
      </c>
      <c r="T74" s="13">
        <f>((((VLOOKUP(B74,Database!$A:$AS,MATCH($T$1,Database!$A$1:$AS$1,),))))-(((VLOOKUP(EDATE(B74,-12),Database!$A:$AS,MATCH($T$1,Database!$A$1:$AS$1,),)))))/(((VLOOKUP(EDATE(B74,-12),Database!$A:$AS,MATCH($T$1,Database!$A$1:$AS$1,),))))</f>
        <v>2.94117645994714E-3</v>
      </c>
      <c r="U74" s="13">
        <f>((((VLOOKUP(B74,Database!$A:$AS,MATCH($U$1,Database!$A$1:$AS$1,),))))-(((VLOOKUP(EDATE(B74,-12),Database!$A:$AS,MATCH($U$1,Database!$A$1:$AS$1,),)))))/(((VLOOKUP(EDATE(B74,-12),Database!$A:$AS,MATCH($U$1,Database!$A$1:$AS$1,),))))</f>
        <v>8.6079030793352451E-3</v>
      </c>
      <c r="V74" s="13">
        <f>((((VLOOKUP(B74,Database!$A:$AS,MATCH($V$1,Database!$A$1:$AS$1,),))))-(((VLOOKUP(EDATE(B74,-12),Database!$A:$AS,MATCH($V$1,Database!$A$1:$AS$1,),)))))/(((VLOOKUP(EDATE(B74,-12),Database!$A:$AS,MATCH($V$1,Database!$A$1:$AS$1,),))))</f>
        <v>0.1229227410494141</v>
      </c>
    </row>
    <row r="75" spans="1:22" s="83" customFormat="1" x14ac:dyDescent="0.2">
      <c r="A75" s="43"/>
      <c r="B75" s="78">
        <v>34425</v>
      </c>
      <c r="C75" s="13">
        <f>((((VLOOKUP(B75,Database!$A:$AS,MATCH($C$1,Database!$A$1:$AS$1,),))))-(((VLOOKUP(EDATE(B75,-12),Database!$A:$AS,MATCH($C$1,Database!$A$1:$AS$1,),)))))/(((VLOOKUP(EDATE(B75,-12),Database!$A:$AS,MATCH($C$1,Database!$A$1:$AS$1,),))))</f>
        <v>4.3462692595086568E-2</v>
      </c>
      <c r="D75" s="13">
        <f>((((VLOOKUP(B75,Database!$A:$AS,MATCH($D$1,Database!$A$1:$AS$1,),))))-(((VLOOKUP(EDATE(B75,-12),Database!$A:$AS,MATCH($D$1,Database!$A$1:$AS$1,),)))))/(((VLOOKUP(EDATE(B75,-12),Database!$A:$AS,MATCH($D$1,Database!$A$1:$AS$1,),))))</f>
        <v>4.3766578249336829E-2</v>
      </c>
      <c r="E75" s="13">
        <f>((((VLOOKUP(B75,Database!$A:$AS,MATCH($E$1,Database!$A$1:$AS$1,),))))-(((VLOOKUP(EDATE(B75,-12),Database!$A:$AS,MATCH($E$1,Database!$A$1:$AS$1,),)))))/(((VLOOKUP(EDATE(B75,-12),Database!$A:$AS,MATCH($E$1,Database!$A$1:$AS$1,),))))</f>
        <v>-6.2176165794002279E-3</v>
      </c>
      <c r="F75" s="13">
        <f>((((VLOOKUP(B75,Database!$A:$AS,MATCH($F$1,Database!$A$1:$AS$1,),))))-(((VLOOKUP(EDATE(B75,-12),Database!$A:$AS,MATCH($F$1,Database!$A$1:$AS$1,),)))))/(((VLOOKUP(EDATE(B75,-12),Database!$A:$AS,MATCH($F$1,Database!$A$1:$AS$1,),))))</f>
        <v>2.8485757123462341E-2</v>
      </c>
      <c r="G75" s="13">
        <f>((((VLOOKUP(B75,Database!$A:$AS,MATCH($G$1,Database!$A$1:$AS$1,),))))-(((VLOOKUP(EDATE(B75,-12),Database!$A:$AS,MATCH($G$1,Database!$A$1:$AS$1,),)))))/(((VLOOKUP(EDATE(B75,-12),Database!$A:$AS,MATCH($G$1,Database!$A$1:$AS$1,),))))</f>
        <v>3.5343035343035373E-2</v>
      </c>
      <c r="H75" s="13">
        <f>((((VLOOKUP(B75,Database!$A:$AS,MATCH($H$1,Database!$A$1:$AS$1,),))))-(((VLOOKUP(EDATE(B75,-12),Database!$A:$AS,MATCH($H$1,Database!$A$1:$AS$1,),)))))/(((VLOOKUP(EDATE(B75,-12),Database!$A:$AS,MATCH($H$1,Database!$A$1:$AS$1,),))))</f>
        <v>5.8265582659957939E-2</v>
      </c>
      <c r="I75" s="13">
        <f>((((VLOOKUP(B75,Database!$A:$AS,MATCH($I$1,Database!$A$1:$AS$1,),))))-(((VLOOKUP(EDATE(B75,-12),Database!$A:$AS,MATCH($I$1,Database!$A$1:$AS$1,),)))))/(((VLOOKUP(EDATE(B75,-12),Database!$A:$AS,MATCH($I$1,Database!$A$1:$AS$1,),))))</f>
        <v>4.7125353439688863E-2</v>
      </c>
      <c r="J75" s="13">
        <f>((((VLOOKUP(B75,Database!$A:$AS,MATCH($J$1,Database!$A$1:$AS$1,),))))-(((VLOOKUP(EDATE(B75,-12),Database!$A:$AS,MATCH($J$1,Database!$A$1:$AS$1,),)))))/(((VLOOKUP(EDATE(B75,-12),Database!$A:$AS,MATCH($J$1,Database!$A$1:$AS$1,),))))</f>
        <v>7.9654711832597466E-2</v>
      </c>
      <c r="K75" s="13">
        <f>((((VLOOKUP(B75,Database!$A:$AS,MATCH($K$1,Database!$A$1:$AS$1,),))))-(((VLOOKUP(EDATE(B75,-12),Database!$A:$AS,MATCH($K$1,Database!$A$1:$AS$1,),)))))/(((VLOOKUP(EDATE(B75,-12),Database!$A:$AS,MATCH($K$1,Database!$A$1:$AS$1,),))))</f>
        <v>0.11263318112982314</v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>7.7704654254415043E-2</v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>-0.26164358199423704</v>
      </c>
      <c r="N75" s="13" t="e">
        <f>((((VLOOKUP(B75,Database!$A:$AS,MATCH($N$1,Database!$A$1:$AS$1,),))))-(((VLOOKUP(EDATE(B75,-12),Database!$A:$AS,MATCH($N$1,Database!$A$1:$AS$1,),)))))/(((VLOOKUP(EDATE(B75,-12),Database!$A:$AS,MATCH($N$1,Database!$A$1:$AS$1,),))))</f>
        <v>#DIV/0!</v>
      </c>
      <c r="O75" s="13">
        <f>((((VLOOKUP(B75,Database!$A:$AS,MATCH($O$1,Database!$A$1:$AS$1,),))))-(((VLOOKUP(EDATE(B75,-12),Database!$A:$AS,MATCH($O$1,Database!$A$1:$AS$1,),)))))/(((VLOOKUP(EDATE(B75,-12),Database!$A:$AS,MATCH($O$1,Database!$A$1:$AS$1,),))))</f>
        <v>4.9464160880585382E-2</v>
      </c>
      <c r="P75" s="13">
        <f>((((VLOOKUP(B75,Database!$A:$AS,MATCH($P$1,Database!$A$1:$AS$1,),))))-(((VLOOKUP(EDATE(B75,-12),Database!$A:$AS,MATCH($P$1,Database!$A$1:$AS$1,),)))))/(((VLOOKUP(EDATE(B75,-12),Database!$A:$AS,MATCH($P$1,Database!$A$1:$AS$1,),))))</f>
        <v>9.0267814454544362E-2</v>
      </c>
      <c r="Q75" s="13">
        <f>((((VLOOKUP(B75,Database!$A:$AS,MATCH($Q$1,Database!$A$1:$AS$1,),))))-(((VLOOKUP(EDATE(B75,-12),Database!$A:$AS,MATCH($Q$1,Database!$A$1:$AS$1,),)))))/(((VLOOKUP(EDATE(B75,-12),Database!$A:$AS,MATCH($Q$1,Database!$A$1:$AS$1,),))))</f>
        <v>3.0567134012226934E-2</v>
      </c>
      <c r="R75" s="13">
        <f>((((VLOOKUP(B75,Database!$A:$AS,MATCH($R$1,Database!$A$1:$AS$1,),))))-(((VLOOKUP(EDATE(B75,-12),Database!$A:$AS,MATCH($R$1,Database!$A$1:$AS$1,),)))))/(((VLOOKUP(EDATE(B75,-12),Database!$A:$AS,MATCH($R$1,Database!$A$1:$AS$1,),))))</f>
        <v>9.4332928826266291E-3</v>
      </c>
      <c r="S75" s="13">
        <f>((((VLOOKUP(B75,Database!$A:$AS,MATCH($S$1,Database!$A$1:$AS$1,),))))-(((VLOOKUP(EDATE(B75,-12),Database!$A:$AS,MATCH($S$1,Database!$A$1:$AS$1,),)))))/(((VLOOKUP(EDATE(B75,-12),Database!$A:$AS,MATCH($S$1,Database!$A$1:$AS$1,),))))</f>
        <v>0.11071428575618793</v>
      </c>
      <c r="T75" s="13">
        <f>((((VLOOKUP(B75,Database!$A:$AS,MATCH($T$1,Database!$A$1:$AS$1,),))))-(((VLOOKUP(EDATE(B75,-12),Database!$A:$AS,MATCH($T$1,Database!$A$1:$AS$1,),)))))/(((VLOOKUP(EDATE(B75,-12),Database!$A:$AS,MATCH($T$1,Database!$A$1:$AS$1,),))))</f>
        <v>-0.10084033613421849</v>
      </c>
      <c r="U75" s="13">
        <f>((((VLOOKUP(B75,Database!$A:$AS,MATCH($U$1,Database!$A$1:$AS$1,),))))-(((VLOOKUP(EDATE(B75,-12),Database!$A:$AS,MATCH($U$1,Database!$A$1:$AS$1,),)))))/(((VLOOKUP(EDATE(B75,-12),Database!$A:$AS,MATCH($U$1,Database!$A$1:$AS$1,),))))</f>
        <v>-1.845575995392205E-3</v>
      </c>
      <c r="V75" s="13">
        <f>((((VLOOKUP(B75,Database!$A:$AS,MATCH($V$1,Database!$A$1:$AS$1,),))))-(((VLOOKUP(EDATE(B75,-12),Database!$A:$AS,MATCH($V$1,Database!$A$1:$AS$1,),)))))/(((VLOOKUP(EDATE(B75,-12),Database!$A:$AS,MATCH($V$1,Database!$A$1:$AS$1,),))))</f>
        <v>0.10396385439744768</v>
      </c>
    </row>
    <row r="76" spans="1:22" s="83" customFormat="1" x14ac:dyDescent="0.2">
      <c r="A76" s="43"/>
      <c r="B76" s="78">
        <v>34455</v>
      </c>
      <c r="C76" s="13">
        <f>((((VLOOKUP(B76,Database!$A:$AS,MATCH($C$1,Database!$A$1:$AS$1,),))))-(((VLOOKUP(EDATE(B76,-12),Database!$A:$AS,MATCH($C$1,Database!$A$1:$AS$1,),)))))/(((VLOOKUP(EDATE(B76,-12),Database!$A:$AS,MATCH($C$1,Database!$A$1:$AS$1,),))))</f>
        <v>5.2447568562903127E-2</v>
      </c>
      <c r="D76" s="13">
        <f>((((VLOOKUP(B76,Database!$A:$AS,MATCH($D$1,Database!$A$1:$AS$1,),))))-(((VLOOKUP(EDATE(B76,-12),Database!$A:$AS,MATCH($D$1,Database!$A$1:$AS$1,),)))))/(((VLOOKUP(EDATE(B76,-12),Database!$A:$AS,MATCH($D$1,Database!$A$1:$AS$1,),))))</f>
        <v>4.2496679946879189E-2</v>
      </c>
      <c r="E76" s="13">
        <f>((((VLOOKUP(B76,Database!$A:$AS,MATCH($E$1,Database!$A$1:$AS$1,),))))-(((VLOOKUP(EDATE(B76,-12),Database!$A:$AS,MATCH($E$1,Database!$A$1:$AS$1,),)))))/(((VLOOKUP(EDATE(B76,-12),Database!$A:$AS,MATCH($E$1,Database!$A$1:$AS$1,),))))</f>
        <v>-2.0449897750985515E-2</v>
      </c>
      <c r="F76" s="13">
        <f>((((VLOOKUP(B76,Database!$A:$AS,MATCH($F$1,Database!$A$1:$AS$1,),))))-(((VLOOKUP(EDATE(B76,-12),Database!$A:$AS,MATCH($F$1,Database!$A$1:$AS$1,),)))))/(((VLOOKUP(EDATE(B76,-12),Database!$A:$AS,MATCH($F$1,Database!$A$1:$AS$1,),))))</f>
        <v>2.398800600028346E-2</v>
      </c>
      <c r="G76" s="13">
        <f>((((VLOOKUP(B76,Database!$A:$AS,MATCH($G$1,Database!$A$1:$AS$1,),))))-(((VLOOKUP(EDATE(B76,-12),Database!$A:$AS,MATCH($G$1,Database!$A$1:$AS$1,),)))))/(((VLOOKUP(EDATE(B76,-12),Database!$A:$AS,MATCH($G$1,Database!$A$1:$AS$1,),))))</f>
        <v>3.5846438482886149E-2</v>
      </c>
      <c r="H76" s="13">
        <f>((((VLOOKUP(B76,Database!$A:$AS,MATCH($H$1,Database!$A$1:$AS$1,),))))-(((VLOOKUP(EDATE(B76,-12),Database!$A:$AS,MATCH($H$1,Database!$A$1:$AS$1,),)))))/(((VLOOKUP(EDATE(B76,-12),Database!$A:$AS,MATCH($H$1,Database!$A$1:$AS$1,),))))</f>
        <v>6.3172043016380047E-2</v>
      </c>
      <c r="I76" s="13">
        <f>((((VLOOKUP(B76,Database!$A:$AS,MATCH($I$1,Database!$A$1:$AS$1,),))))-(((VLOOKUP(EDATE(B76,-12),Database!$A:$AS,MATCH($I$1,Database!$A$1:$AS$1,),)))))/(((VLOOKUP(EDATE(B76,-12),Database!$A:$AS,MATCH($I$1,Database!$A$1:$AS$1,),))))</f>
        <v>5.6872037917836869E-2</v>
      </c>
      <c r="J76" s="13">
        <f>((((VLOOKUP(B76,Database!$A:$AS,MATCH($J$1,Database!$A$1:$AS$1,),))))-(((VLOOKUP(EDATE(B76,-12),Database!$A:$AS,MATCH($J$1,Database!$A$1:$AS$1,),)))))/(((VLOOKUP(EDATE(B76,-12),Database!$A:$AS,MATCH($J$1,Database!$A$1:$AS$1,),))))</f>
        <v>6.2558981676130943E-2</v>
      </c>
      <c r="K76" s="13">
        <f>((((VLOOKUP(B76,Database!$A:$AS,MATCH($K$1,Database!$A$1:$AS$1,),))))-(((VLOOKUP(EDATE(B76,-12),Database!$A:$AS,MATCH($K$1,Database!$A$1:$AS$1,),)))))/(((VLOOKUP(EDATE(B76,-12),Database!$A:$AS,MATCH($K$1,Database!$A$1:$AS$1,),))))</f>
        <v>0.10644677661906696</v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>5.0238599827513303E-2</v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>-0.27531698093066226</v>
      </c>
      <c r="N76" s="13" t="e">
        <f>((((VLOOKUP(B76,Database!$A:$AS,MATCH($N$1,Database!$A$1:$AS$1,),))))-(((VLOOKUP(EDATE(B76,-12),Database!$A:$AS,MATCH($N$1,Database!$A$1:$AS$1,),)))))/(((VLOOKUP(EDATE(B76,-12),Database!$A:$AS,MATCH($N$1,Database!$A$1:$AS$1,),))))</f>
        <v>#DIV/0!</v>
      </c>
      <c r="O76" s="13">
        <f>((((VLOOKUP(B76,Database!$A:$AS,MATCH($O$1,Database!$A$1:$AS$1,),))))-(((VLOOKUP(EDATE(B76,-12),Database!$A:$AS,MATCH($O$1,Database!$A$1:$AS$1,),)))))/(((VLOOKUP(EDATE(B76,-12),Database!$A:$AS,MATCH($O$1,Database!$A$1:$AS$1,),))))</f>
        <v>6.5096064618689858E-2</v>
      </c>
      <c r="P76" s="13">
        <f>((((VLOOKUP(B76,Database!$A:$AS,MATCH($P$1,Database!$A$1:$AS$1,),))))-(((VLOOKUP(EDATE(B76,-12),Database!$A:$AS,MATCH($P$1,Database!$A$1:$AS$1,),)))))/(((VLOOKUP(EDATE(B76,-12),Database!$A:$AS,MATCH($P$1,Database!$A$1:$AS$1,),))))</f>
        <v>0.12777688987571512</v>
      </c>
      <c r="Q76" s="13">
        <f>((((VLOOKUP(B76,Database!$A:$AS,MATCH($Q$1,Database!$A$1:$AS$1,),))))-(((VLOOKUP(EDATE(B76,-12),Database!$A:$AS,MATCH($Q$1,Database!$A$1:$AS$1,),)))))/(((VLOOKUP(EDATE(B76,-12),Database!$A:$AS,MATCH($Q$1,Database!$A$1:$AS$1,),))))</f>
        <v>3.2572486120215023E-2</v>
      </c>
      <c r="R76" s="13">
        <f>((((VLOOKUP(B76,Database!$A:$AS,MATCH($R$1,Database!$A$1:$AS$1,),))))-(((VLOOKUP(EDATE(B76,-12),Database!$A:$AS,MATCH($R$1,Database!$A$1:$AS$1,),)))))/(((VLOOKUP(EDATE(B76,-12),Database!$A:$AS,MATCH($R$1,Database!$A$1:$AS$1,),))))</f>
        <v>-7.4134112688158359E-3</v>
      </c>
      <c r="S76" s="13">
        <f>((((VLOOKUP(B76,Database!$A:$AS,MATCH($S$1,Database!$A$1:$AS$1,),))))-(((VLOOKUP(EDATE(B76,-12),Database!$A:$AS,MATCH($S$1,Database!$A$1:$AS$1,),)))))/(((VLOOKUP(EDATE(B76,-12),Database!$A:$AS,MATCH($S$1,Database!$A$1:$AS$1,),))))</f>
        <v>0.10000000003008379</v>
      </c>
      <c r="T76" s="13">
        <f>((((VLOOKUP(B76,Database!$A:$AS,MATCH($T$1,Database!$A$1:$AS$1,),))))-(((VLOOKUP(EDATE(B76,-12),Database!$A:$AS,MATCH($T$1,Database!$A$1:$AS$1,),)))))/(((VLOOKUP(EDATE(B76,-12),Database!$A:$AS,MATCH($T$1,Database!$A$1:$AS$1,),))))</f>
        <v>-9.6317280446676617E-2</v>
      </c>
      <c r="U76" s="13">
        <f>((((VLOOKUP(B76,Database!$A:$AS,MATCH($U$1,Database!$A$1:$AS$1,),))))-(((VLOOKUP(EDATE(B76,-12),Database!$A:$AS,MATCH($U$1,Database!$A$1:$AS$1,),)))))/(((VLOOKUP(EDATE(B76,-12),Database!$A:$AS,MATCH($U$1,Database!$A$1:$AS$1,),))))</f>
        <v>9.7582770367968096E-3</v>
      </c>
      <c r="V76" s="13">
        <f>((((VLOOKUP(B76,Database!$A:$AS,MATCH($V$1,Database!$A$1:$AS$1,),))))-(((VLOOKUP(EDATE(B76,-12),Database!$A:$AS,MATCH($V$1,Database!$A$1:$AS$1,),)))))/(((VLOOKUP(EDATE(B76,-12),Database!$A:$AS,MATCH($V$1,Database!$A$1:$AS$1,),))))</f>
        <v>7.796015297080533E-2</v>
      </c>
    </row>
    <row r="77" spans="1:22" s="83" customFormat="1" x14ac:dyDescent="0.2">
      <c r="A77" s="43"/>
      <c r="B77" s="78">
        <v>34486</v>
      </c>
      <c r="C77" s="13">
        <f>((((VLOOKUP(B77,Database!$A:$AS,MATCH($C$1,Database!$A$1:$AS$1,),))))-(((VLOOKUP(EDATE(B77,-12),Database!$A:$AS,MATCH($C$1,Database!$A$1:$AS$1,),)))))/(((VLOOKUP(EDATE(B77,-12),Database!$A:$AS,MATCH($C$1,Database!$A$1:$AS$1,),))))</f>
        <v>5.6987131141463553E-2</v>
      </c>
      <c r="D77" s="13">
        <f>((((VLOOKUP(B77,Database!$A:$AS,MATCH($D$1,Database!$A$1:$AS$1,),))))-(((VLOOKUP(EDATE(B77,-12),Database!$A:$AS,MATCH($D$1,Database!$A$1:$AS$1,),)))))/(((VLOOKUP(EDATE(B77,-12),Database!$A:$AS,MATCH($D$1,Database!$A$1:$AS$1,),))))</f>
        <v>5.6074766355140034E-2</v>
      </c>
      <c r="E77" s="13">
        <f>((((VLOOKUP(B77,Database!$A:$AS,MATCH($E$1,Database!$A$1:$AS$1,),))))-(((VLOOKUP(EDATE(B77,-12),Database!$A:$AS,MATCH($E$1,Database!$A$1:$AS$1,),)))))/(((VLOOKUP(EDATE(B77,-12),Database!$A:$AS,MATCH($E$1,Database!$A$1:$AS$1,),))))</f>
        <v>1.0416666661744825E-2</v>
      </c>
      <c r="F77" s="13">
        <f>((((VLOOKUP(B77,Database!$A:$AS,MATCH($F$1,Database!$A$1:$AS$1,),))))-(((VLOOKUP(EDATE(B77,-12),Database!$A:$AS,MATCH($F$1,Database!$A$1:$AS$1,),)))))/(((VLOOKUP(EDATE(B77,-12),Database!$A:$AS,MATCH($F$1,Database!$A$1:$AS$1,),))))</f>
        <v>3.9274924465457099E-2</v>
      </c>
      <c r="G77" s="13">
        <f>((((VLOOKUP(B77,Database!$A:$AS,MATCH($G$1,Database!$A$1:$AS$1,),))))-(((VLOOKUP(EDATE(B77,-12),Database!$A:$AS,MATCH($G$1,Database!$A$1:$AS$1,),)))))/(((VLOOKUP(EDATE(B77,-12),Database!$A:$AS,MATCH($G$1,Database!$A$1:$AS$1,),))))</f>
        <v>4.9533799533799536E-2</v>
      </c>
      <c r="H77" s="13">
        <f>((((VLOOKUP(B77,Database!$A:$AS,MATCH($H$1,Database!$A$1:$AS$1,),))))-(((VLOOKUP(EDATE(B77,-12),Database!$A:$AS,MATCH($H$1,Database!$A$1:$AS$1,),)))))/(((VLOOKUP(EDATE(B77,-12),Database!$A:$AS,MATCH($H$1,Database!$A$1:$AS$1,),))))</f>
        <v>5.6756756764024217E-2</v>
      </c>
      <c r="I77" s="13">
        <f>((((VLOOKUP(B77,Database!$A:$AS,MATCH($I$1,Database!$A$1:$AS$1,),))))-(((VLOOKUP(EDATE(B77,-12),Database!$A:$AS,MATCH($I$1,Database!$A$1:$AS$1,),)))))/(((VLOOKUP(EDATE(B77,-12),Database!$A:$AS,MATCH($I$1,Database!$A$1:$AS$1,),))))</f>
        <v>7.1360608952944021E-2</v>
      </c>
      <c r="J77" s="13">
        <f>((((VLOOKUP(B77,Database!$A:$AS,MATCH($J$1,Database!$A$1:$AS$1,),))))-(((VLOOKUP(EDATE(B77,-12),Database!$A:$AS,MATCH($J$1,Database!$A$1:$AS$1,),)))))/(((VLOOKUP(EDATE(B77,-12),Database!$A:$AS,MATCH($J$1,Database!$A$1:$AS$1,),))))</f>
        <v>8.709378311582737E-2</v>
      </c>
      <c r="K77" s="13">
        <f>((((VLOOKUP(B77,Database!$A:$AS,MATCH($K$1,Database!$A$1:$AS$1,),))))-(((VLOOKUP(EDATE(B77,-12),Database!$A:$AS,MATCH($K$1,Database!$A$1:$AS$1,),)))))/(((VLOOKUP(EDATE(B77,-12),Database!$A:$AS,MATCH($K$1,Database!$A$1:$AS$1,),))))</f>
        <v>0.11458333333150114</v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>6.8662698682338597E-2</v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>-0.26780847709148664</v>
      </c>
      <c r="N77" s="13" t="e">
        <f>((((VLOOKUP(B77,Database!$A:$AS,MATCH($N$1,Database!$A$1:$AS$1,),))))-(((VLOOKUP(EDATE(B77,-12),Database!$A:$AS,MATCH($N$1,Database!$A$1:$AS$1,),)))))/(((VLOOKUP(EDATE(B77,-12),Database!$A:$AS,MATCH($N$1,Database!$A$1:$AS$1,),))))</f>
        <v>#DIV/0!</v>
      </c>
      <c r="O77" s="13">
        <f>((((VLOOKUP(B77,Database!$A:$AS,MATCH($O$1,Database!$A$1:$AS$1,),))))-(((VLOOKUP(EDATE(B77,-12),Database!$A:$AS,MATCH($O$1,Database!$A$1:$AS$1,),)))))/(((VLOOKUP(EDATE(B77,-12),Database!$A:$AS,MATCH($O$1,Database!$A$1:$AS$1,),))))</f>
        <v>7.2828542546762146E-2</v>
      </c>
      <c r="P77" s="13">
        <f>((((VLOOKUP(B77,Database!$A:$AS,MATCH($P$1,Database!$A$1:$AS$1,),))))-(((VLOOKUP(EDATE(B77,-12),Database!$A:$AS,MATCH($P$1,Database!$A$1:$AS$1,),)))))/(((VLOOKUP(EDATE(B77,-12),Database!$A:$AS,MATCH($P$1,Database!$A$1:$AS$1,),))))</f>
        <v>0.13152277039263047</v>
      </c>
      <c r="Q77" s="13">
        <f>((((VLOOKUP(B77,Database!$A:$AS,MATCH($Q$1,Database!$A$1:$AS$1,),))))-(((VLOOKUP(EDATE(B77,-12),Database!$A:$AS,MATCH($Q$1,Database!$A$1:$AS$1,),)))))/(((VLOOKUP(EDATE(B77,-12),Database!$A:$AS,MATCH($Q$1,Database!$A$1:$AS$1,),))))</f>
        <v>4.4635086418950018E-2</v>
      </c>
      <c r="R77" s="13">
        <f>((((VLOOKUP(B77,Database!$A:$AS,MATCH($R$1,Database!$A$1:$AS$1,),))))-(((VLOOKUP(EDATE(B77,-12),Database!$A:$AS,MATCH($R$1,Database!$A$1:$AS$1,),)))))/(((VLOOKUP(EDATE(B77,-12),Database!$A:$AS,MATCH($R$1,Database!$A$1:$AS$1,),))))</f>
        <v>-1.0743824831025329E-2</v>
      </c>
      <c r="S77" s="13">
        <f>((((VLOOKUP(B77,Database!$A:$AS,MATCH($S$1,Database!$A$1:$AS$1,),))))-(((VLOOKUP(EDATE(B77,-12),Database!$A:$AS,MATCH($S$1,Database!$A$1:$AS$1,),)))))/(((VLOOKUP(EDATE(B77,-12),Database!$A:$AS,MATCH($S$1,Database!$A$1:$AS$1,),))))</f>
        <v>0.17216117218784521</v>
      </c>
      <c r="T77" s="13">
        <f>((((VLOOKUP(B77,Database!$A:$AS,MATCH($T$1,Database!$A$1:$AS$1,),))))-(((VLOOKUP(EDATE(B77,-12),Database!$A:$AS,MATCH($T$1,Database!$A$1:$AS$1,),)))))/(((VLOOKUP(EDATE(B77,-12),Database!$A:$AS,MATCH($T$1,Database!$A$1:$AS$1,),))))</f>
        <v>-0.16343490304026145</v>
      </c>
      <c r="U77" s="13">
        <f>((((VLOOKUP(B77,Database!$A:$AS,MATCH($U$1,Database!$A$1:$AS$1,),))))-(((VLOOKUP(EDATE(B77,-12),Database!$A:$AS,MATCH($U$1,Database!$A$1:$AS$1,),)))))/(((VLOOKUP(EDATE(B77,-12),Database!$A:$AS,MATCH($U$1,Database!$A$1:$AS$1,),))))</f>
        <v>3.7454675751004259E-2</v>
      </c>
      <c r="V77" s="13">
        <f>((((VLOOKUP(B77,Database!$A:$AS,MATCH($V$1,Database!$A$1:$AS$1,),))))-(((VLOOKUP(EDATE(B77,-12),Database!$A:$AS,MATCH($V$1,Database!$A$1:$AS$1,),)))))/(((VLOOKUP(EDATE(B77,-12),Database!$A:$AS,MATCH($V$1,Database!$A$1:$AS$1,),))))</f>
        <v>0.10018849928136685</v>
      </c>
    </row>
    <row r="78" spans="1:22" s="83" customFormat="1" x14ac:dyDescent="0.2">
      <c r="A78" s="43"/>
      <c r="B78" s="78">
        <v>34516</v>
      </c>
      <c r="C78" s="13">
        <f>((((VLOOKUP(B78,Database!$A:$AS,MATCH($C$1,Database!$A$1:$AS$1,),))))-(((VLOOKUP(EDATE(B78,-12),Database!$A:$AS,MATCH($C$1,Database!$A$1:$AS$1,),)))))/(((VLOOKUP(EDATE(B78,-12),Database!$A:$AS,MATCH($C$1,Database!$A$1:$AS$1,),))))</f>
        <v>5.5884817446609739E-2</v>
      </c>
      <c r="D78" s="13">
        <f>((((VLOOKUP(B78,Database!$A:$AS,MATCH($D$1,Database!$A$1:$AS$1,),))))-(((VLOOKUP(EDATE(B78,-12),Database!$A:$AS,MATCH($D$1,Database!$A$1:$AS$1,),)))))/(((VLOOKUP(EDATE(B78,-12),Database!$A:$AS,MATCH($D$1,Database!$A$1:$AS$1,),))))</f>
        <v>6.4429530201342247E-2</v>
      </c>
      <c r="E78" s="13">
        <f>((((VLOOKUP(B78,Database!$A:$AS,MATCH($E$1,Database!$A$1:$AS$1,),))))-(((VLOOKUP(EDATE(B78,-12),Database!$A:$AS,MATCH($E$1,Database!$A$1:$AS$1,),)))))/(((VLOOKUP(EDATE(B78,-12),Database!$A:$AS,MATCH($E$1,Database!$A$1:$AS$1,),))))</f>
        <v>2.1897810215750737E-2</v>
      </c>
      <c r="F78" s="13">
        <f>((((VLOOKUP(B78,Database!$A:$AS,MATCH($F$1,Database!$A$1:$AS$1,),))))-(((VLOOKUP(EDATE(B78,-12),Database!$A:$AS,MATCH($F$1,Database!$A$1:$AS$1,),)))))/(((VLOOKUP(EDATE(B78,-12),Database!$A:$AS,MATCH($F$1,Database!$A$1:$AS$1,),))))</f>
        <v>5.8732612044150014E-2</v>
      </c>
      <c r="G78" s="13">
        <f>((((VLOOKUP(B78,Database!$A:$AS,MATCH($G$1,Database!$A$1:$AS$1,),))))-(((VLOOKUP(EDATE(B78,-12),Database!$A:$AS,MATCH($G$1,Database!$A$1:$AS$1,),)))))/(((VLOOKUP(EDATE(B78,-12),Database!$A:$AS,MATCH($G$1,Database!$A$1:$AS$1,),))))</f>
        <v>4.449298689353863E-2</v>
      </c>
      <c r="H78" s="13">
        <f>((((VLOOKUP(B78,Database!$A:$AS,MATCH($H$1,Database!$A$1:$AS$1,),))))-(((VLOOKUP(EDATE(B78,-12),Database!$A:$AS,MATCH($H$1,Database!$A$1:$AS$1,),)))))/(((VLOOKUP(EDATE(B78,-12),Database!$A:$AS,MATCH($H$1,Database!$A$1:$AS$1,),))))</f>
        <v>5.3619302948961473E-2</v>
      </c>
      <c r="I78" s="13">
        <f>((((VLOOKUP(B78,Database!$A:$AS,MATCH($I$1,Database!$A$1:$AS$1,),))))-(((VLOOKUP(EDATE(B78,-12),Database!$A:$AS,MATCH($I$1,Database!$A$1:$AS$1,),)))))/(((VLOOKUP(EDATE(B78,-12),Database!$A:$AS,MATCH($I$1,Database!$A$1:$AS$1,),))))</f>
        <v>7.9425837321114454E-2</v>
      </c>
      <c r="J78" s="13">
        <f>((((VLOOKUP(B78,Database!$A:$AS,MATCH($J$1,Database!$A$1:$AS$1,),))))-(((VLOOKUP(EDATE(B78,-12),Database!$A:$AS,MATCH($J$1,Database!$A$1:$AS$1,),)))))/(((VLOOKUP(EDATE(B78,-12),Database!$A:$AS,MATCH($J$1,Database!$A$1:$AS$1,),))))</f>
        <v>9.3567059849643183E-2</v>
      </c>
      <c r="K78" s="13">
        <f>((((VLOOKUP(B78,Database!$A:$AS,MATCH($K$1,Database!$A$1:$AS$1,),))))-(((VLOOKUP(EDATE(B78,-12),Database!$A:$AS,MATCH($K$1,Database!$A$1:$AS$1,),)))))/(((VLOOKUP(EDATE(B78,-12),Database!$A:$AS,MATCH($K$1,Database!$A$1:$AS$1,),))))</f>
        <v>6.8814055636051349E-2</v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>7.3230072135446966E-2</v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>-0.24835273780915681</v>
      </c>
      <c r="N78" s="13" t="e">
        <f>((((VLOOKUP(B78,Database!$A:$AS,MATCH($N$1,Database!$A$1:$AS$1,),))))-(((VLOOKUP(EDATE(B78,-12),Database!$A:$AS,MATCH($N$1,Database!$A$1:$AS$1,),)))))/(((VLOOKUP(EDATE(B78,-12),Database!$A:$AS,MATCH($N$1,Database!$A$1:$AS$1,),))))</f>
        <v>#DIV/0!</v>
      </c>
      <c r="O78" s="13">
        <f>((((VLOOKUP(B78,Database!$A:$AS,MATCH($O$1,Database!$A$1:$AS$1,),))))-(((VLOOKUP(EDATE(B78,-12),Database!$A:$AS,MATCH($O$1,Database!$A$1:$AS$1,),)))))/(((VLOOKUP(EDATE(B78,-12),Database!$A:$AS,MATCH($O$1,Database!$A$1:$AS$1,),))))</f>
        <v>7.9608852714181069E-2</v>
      </c>
      <c r="P78" s="13">
        <f>((((VLOOKUP(B78,Database!$A:$AS,MATCH($P$1,Database!$A$1:$AS$1,),))))-(((VLOOKUP(EDATE(B78,-12),Database!$A:$AS,MATCH($P$1,Database!$A$1:$AS$1,),)))))/(((VLOOKUP(EDATE(B78,-12),Database!$A:$AS,MATCH($P$1,Database!$A$1:$AS$1,),))))</f>
        <v>7.5386296262151542E-2</v>
      </c>
      <c r="Q78" s="13">
        <f>((((VLOOKUP(B78,Database!$A:$AS,MATCH($Q$1,Database!$A$1:$AS$1,),))))-(((VLOOKUP(EDATE(B78,-12),Database!$A:$AS,MATCH($Q$1,Database!$A$1:$AS$1,),)))))/(((VLOOKUP(EDATE(B78,-12),Database!$A:$AS,MATCH($Q$1,Database!$A$1:$AS$1,),))))</f>
        <v>4.3386897409705666E-2</v>
      </c>
      <c r="R78" s="13">
        <f>((((VLOOKUP(B78,Database!$A:$AS,MATCH($R$1,Database!$A$1:$AS$1,),))))-(((VLOOKUP(EDATE(B78,-12),Database!$A:$AS,MATCH($R$1,Database!$A$1:$AS$1,),)))))/(((VLOOKUP(EDATE(B78,-12),Database!$A:$AS,MATCH($R$1,Database!$A$1:$AS$1,),))))</f>
        <v>5.127949480236698E-2</v>
      </c>
      <c r="S78" s="13">
        <f>((((VLOOKUP(B78,Database!$A:$AS,MATCH($S$1,Database!$A$1:$AS$1,),))))-(((VLOOKUP(EDATE(B78,-12),Database!$A:$AS,MATCH($S$1,Database!$A$1:$AS$1,),)))))/(((VLOOKUP(EDATE(B78,-12),Database!$A:$AS,MATCH($S$1,Database!$A$1:$AS$1,),))))</f>
        <v>0.11913357395035355</v>
      </c>
      <c r="T78" s="13">
        <f>((((VLOOKUP(B78,Database!$A:$AS,MATCH($T$1,Database!$A$1:$AS$1,),))))-(((VLOOKUP(EDATE(B78,-12),Database!$A:$AS,MATCH($T$1,Database!$A$1:$AS$1,),)))))/(((VLOOKUP(EDATE(B78,-12),Database!$A:$AS,MATCH($T$1,Database!$A$1:$AS$1,),))))</f>
        <v>-0.14754098359356699</v>
      </c>
      <c r="U78" s="13">
        <f>((((VLOOKUP(B78,Database!$A:$AS,MATCH($U$1,Database!$A$1:$AS$1,),))))-(((VLOOKUP(EDATE(B78,-12),Database!$A:$AS,MATCH($U$1,Database!$A$1:$AS$1,),)))))/(((VLOOKUP(EDATE(B78,-12),Database!$A:$AS,MATCH($U$1,Database!$A$1:$AS$1,),))))</f>
        <v>7.3454258813617127E-2</v>
      </c>
      <c r="V78" s="13">
        <f>((((VLOOKUP(B78,Database!$A:$AS,MATCH($V$1,Database!$A$1:$AS$1,),))))-(((VLOOKUP(EDATE(B78,-12),Database!$A:$AS,MATCH($V$1,Database!$A$1:$AS$1,),)))))/(((VLOOKUP(EDATE(B78,-12),Database!$A:$AS,MATCH($V$1,Database!$A$1:$AS$1,),))))</f>
        <v>0.16683358200887949</v>
      </c>
    </row>
    <row r="79" spans="1:22" s="83" customFormat="1" x14ac:dyDescent="0.2">
      <c r="A79" s="43"/>
      <c r="B79" s="78">
        <v>34547</v>
      </c>
      <c r="C79" s="13">
        <f>((((VLOOKUP(B79,Database!$A:$AS,MATCH($C$1,Database!$A$1:$AS$1,),))))-(((VLOOKUP(EDATE(B79,-12),Database!$A:$AS,MATCH($C$1,Database!$A$1:$AS$1,),)))))/(((VLOOKUP(EDATE(B79,-12),Database!$A:$AS,MATCH($C$1,Database!$A$1:$AS$1,),))))</f>
        <v>6.4000061236715367E-2</v>
      </c>
      <c r="D79" s="13">
        <f>((((VLOOKUP(B79,Database!$A:$AS,MATCH($D$1,Database!$A$1:$AS$1,),))))-(((VLOOKUP(EDATE(B79,-12),Database!$A:$AS,MATCH($D$1,Database!$A$1:$AS$1,),)))))/(((VLOOKUP(EDATE(B79,-12),Database!$A:$AS,MATCH($D$1,Database!$A$1:$AS$1,),))))</f>
        <v>5.430463576158933E-2</v>
      </c>
      <c r="E79" s="13">
        <f>((((VLOOKUP(B79,Database!$A:$AS,MATCH($E$1,Database!$A$1:$AS$1,),))))-(((VLOOKUP(EDATE(B79,-12),Database!$A:$AS,MATCH($E$1,Database!$A$1:$AS$1,),)))))/(((VLOOKUP(EDATE(B79,-12),Database!$A:$AS,MATCH($E$1,Database!$A$1:$AS$1,),))))</f>
        <v>4.0000000008303928E-2</v>
      </c>
      <c r="F79" s="13">
        <f>((((VLOOKUP(B79,Database!$A:$AS,MATCH($F$1,Database!$A$1:$AS$1,),))))-(((VLOOKUP(EDATE(B79,-12),Database!$A:$AS,MATCH($F$1,Database!$A$1:$AS$1,),)))))/(((VLOOKUP(EDATE(B79,-12),Database!$A:$AS,MATCH($F$1,Database!$A$1:$AS$1,),))))</f>
        <v>1.4814814805705706E-2</v>
      </c>
      <c r="G79" s="13">
        <f>((((VLOOKUP(B79,Database!$A:$AS,MATCH($G$1,Database!$A$1:$AS$1,),))))-(((VLOOKUP(EDATE(B79,-12),Database!$A:$AS,MATCH($G$1,Database!$A$1:$AS$1,),)))))/(((VLOOKUP(EDATE(B79,-12),Database!$A:$AS,MATCH($G$1,Database!$A$1:$AS$1,),))))</f>
        <v>5.7897174617878647E-2</v>
      </c>
      <c r="H79" s="13">
        <f>((((VLOOKUP(B79,Database!$A:$AS,MATCH($H$1,Database!$A$1:$AS$1,),))))-(((VLOOKUP(EDATE(B79,-12),Database!$A:$AS,MATCH($H$1,Database!$A$1:$AS$1,),)))))/(((VLOOKUP(EDATE(B79,-12),Database!$A:$AS,MATCH($H$1,Database!$A$1:$AS$1,),))))</f>
        <v>5.4812834222006369E-2</v>
      </c>
      <c r="I79" s="13">
        <f>((((VLOOKUP(B79,Database!$A:$AS,MATCH($I$1,Database!$A$1:$AS$1,),))))-(((VLOOKUP(EDATE(B79,-12),Database!$A:$AS,MATCH($I$1,Database!$A$1:$AS$1,),)))))/(((VLOOKUP(EDATE(B79,-12),Database!$A:$AS,MATCH($I$1,Database!$A$1:$AS$1,),))))</f>
        <v>8.2217973230607963E-2</v>
      </c>
      <c r="J79" s="13">
        <f>((((VLOOKUP(B79,Database!$A:$AS,MATCH($J$1,Database!$A$1:$AS$1,),))))-(((VLOOKUP(EDATE(B79,-12),Database!$A:$AS,MATCH($J$1,Database!$A$1:$AS$1,),)))))/(((VLOOKUP(EDATE(B79,-12),Database!$A:$AS,MATCH($J$1,Database!$A$1:$AS$1,),))))</f>
        <v>0.11407374351701507</v>
      </c>
      <c r="K79" s="13">
        <f>((((VLOOKUP(B79,Database!$A:$AS,MATCH($K$1,Database!$A$1:$AS$1,),))))-(((VLOOKUP(EDATE(B79,-12),Database!$A:$AS,MATCH($K$1,Database!$A$1:$AS$1,),)))))/(((VLOOKUP(EDATE(B79,-12),Database!$A:$AS,MATCH($K$1,Database!$A$1:$AS$1,),))))</f>
        <v>8.6005830899122421E-2</v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>8.3385691244232785E-2</v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>-0.21176863773444501</v>
      </c>
      <c r="N79" s="13" t="e">
        <f>((((VLOOKUP(B79,Database!$A:$AS,MATCH($N$1,Database!$A$1:$AS$1,),))))-(((VLOOKUP(EDATE(B79,-12),Database!$A:$AS,MATCH($N$1,Database!$A$1:$AS$1,),)))))/(((VLOOKUP(EDATE(B79,-12),Database!$A:$AS,MATCH($N$1,Database!$A$1:$AS$1,),))))</f>
        <v>#DIV/0!</v>
      </c>
      <c r="O79" s="13">
        <f>((((VLOOKUP(B79,Database!$A:$AS,MATCH($O$1,Database!$A$1:$AS$1,),))))-(((VLOOKUP(EDATE(B79,-12),Database!$A:$AS,MATCH($O$1,Database!$A$1:$AS$1,),)))))/(((VLOOKUP(EDATE(B79,-12),Database!$A:$AS,MATCH($O$1,Database!$A$1:$AS$1,),))))</f>
        <v>7.4454108744896261E-2</v>
      </c>
      <c r="P79" s="13">
        <f>((((VLOOKUP(B79,Database!$A:$AS,MATCH($P$1,Database!$A$1:$AS$1,),))))-(((VLOOKUP(EDATE(B79,-12),Database!$A:$AS,MATCH($P$1,Database!$A$1:$AS$1,),)))))/(((VLOOKUP(EDATE(B79,-12),Database!$A:$AS,MATCH($P$1,Database!$A$1:$AS$1,),))))</f>
        <v>0.12123974473501838</v>
      </c>
      <c r="Q79" s="13">
        <f>((((VLOOKUP(B79,Database!$A:$AS,MATCH($Q$1,Database!$A$1:$AS$1,),))))-(((VLOOKUP(EDATE(B79,-12),Database!$A:$AS,MATCH($Q$1,Database!$A$1:$AS$1,),)))))/(((VLOOKUP(EDATE(B79,-12),Database!$A:$AS,MATCH($Q$1,Database!$A$1:$AS$1,),))))</f>
        <v>0.10334916270593474</v>
      </c>
      <c r="R79" s="13">
        <f>((((VLOOKUP(B79,Database!$A:$AS,MATCH($R$1,Database!$A$1:$AS$1,),))))-(((VLOOKUP(EDATE(B79,-12),Database!$A:$AS,MATCH($R$1,Database!$A$1:$AS$1,),)))))/(((VLOOKUP(EDATE(B79,-12),Database!$A:$AS,MATCH($R$1,Database!$A$1:$AS$1,),))))</f>
        <v>3.7866096697305958E-2</v>
      </c>
      <c r="S79" s="13">
        <f>((((VLOOKUP(B79,Database!$A:$AS,MATCH($S$1,Database!$A$1:$AS$1,),))))-(((VLOOKUP(EDATE(B79,-12),Database!$A:$AS,MATCH($S$1,Database!$A$1:$AS$1,),)))))/(((VLOOKUP(EDATE(B79,-12),Database!$A:$AS,MATCH($S$1,Database!$A$1:$AS$1,),))))</f>
        <v>0.15357142860043793</v>
      </c>
      <c r="T79" s="13">
        <f>((((VLOOKUP(B79,Database!$A:$AS,MATCH($T$1,Database!$A$1:$AS$1,),))))-(((VLOOKUP(EDATE(B79,-12),Database!$A:$AS,MATCH($T$1,Database!$A$1:$AS$1,),)))))/(((VLOOKUP(EDATE(B79,-12),Database!$A:$AS,MATCH($T$1,Database!$A$1:$AS$1,),))))</f>
        <v>-2.6239067047997996E-2</v>
      </c>
      <c r="U79" s="13">
        <f>((((VLOOKUP(B79,Database!$A:$AS,MATCH($U$1,Database!$A$1:$AS$1,),))))-(((VLOOKUP(EDATE(B79,-12),Database!$A:$AS,MATCH($U$1,Database!$A$1:$AS$1,),)))))/(((VLOOKUP(EDATE(B79,-12),Database!$A:$AS,MATCH($U$1,Database!$A$1:$AS$1,),))))</f>
        <v>6.5506083282461269E-2</v>
      </c>
      <c r="V79" s="13">
        <f>((((VLOOKUP(B79,Database!$A:$AS,MATCH($V$1,Database!$A$1:$AS$1,),))))-(((VLOOKUP(EDATE(B79,-12),Database!$A:$AS,MATCH($V$1,Database!$A$1:$AS$1,),)))))/(((VLOOKUP(EDATE(B79,-12),Database!$A:$AS,MATCH($V$1,Database!$A$1:$AS$1,),))))</f>
        <v>0.18706658663536063</v>
      </c>
    </row>
    <row r="80" spans="1:22" s="83" customFormat="1" x14ac:dyDescent="0.2">
      <c r="A80" s="43"/>
      <c r="B80" s="78">
        <v>34578</v>
      </c>
      <c r="C80" s="13">
        <f>((((VLOOKUP(B80,Database!$A:$AS,MATCH($C$1,Database!$A$1:$AS$1,),))))-(((VLOOKUP(EDATE(B80,-12),Database!$A:$AS,MATCH($C$1,Database!$A$1:$AS$1,),)))))/(((VLOOKUP(EDATE(B80,-12),Database!$A:$AS,MATCH($C$1,Database!$A$1:$AS$1,),))))</f>
        <v>6.2053545584427133E-2</v>
      </c>
      <c r="D80" s="13">
        <f>((((VLOOKUP(B80,Database!$A:$AS,MATCH($D$1,Database!$A$1:$AS$1,),))))-(((VLOOKUP(EDATE(B80,-12),Database!$A:$AS,MATCH($D$1,Database!$A$1:$AS$1,),)))))/(((VLOOKUP(EDATE(B80,-12),Database!$A:$AS,MATCH($D$1,Database!$A$1:$AS$1,),))))</f>
        <v>5.5408970976253337E-2</v>
      </c>
      <c r="E80" s="13">
        <f>((((VLOOKUP(B80,Database!$A:$AS,MATCH($E$1,Database!$A$1:$AS$1,),))))-(((VLOOKUP(EDATE(B80,-12),Database!$A:$AS,MATCH($E$1,Database!$A$1:$AS$1,),)))))/(((VLOOKUP(EDATE(B80,-12),Database!$A:$AS,MATCH($E$1,Database!$A$1:$AS$1,),))))</f>
        <v>2.6232948586699695E-2</v>
      </c>
      <c r="F80" s="13">
        <f>((((VLOOKUP(B80,Database!$A:$AS,MATCH($F$1,Database!$A$1:$AS$1,),))))-(((VLOOKUP(EDATE(B80,-12),Database!$A:$AS,MATCH($F$1,Database!$A$1:$AS$1,),)))))/(((VLOOKUP(EDATE(B80,-12),Database!$A:$AS,MATCH($F$1,Database!$A$1:$AS$1,),))))</f>
        <v>3.4226190471473399E-2</v>
      </c>
      <c r="G80" s="13">
        <f>((((VLOOKUP(B80,Database!$A:$AS,MATCH($G$1,Database!$A$1:$AS$1,),))))-(((VLOOKUP(EDATE(B80,-12),Database!$A:$AS,MATCH($G$1,Database!$A$1:$AS$1,),)))))/(((VLOOKUP(EDATE(B80,-12),Database!$A:$AS,MATCH($G$1,Database!$A$1:$AS$1,),))))</f>
        <v>4.7624525480271324E-2</v>
      </c>
      <c r="H80" s="13">
        <f>((((VLOOKUP(B80,Database!$A:$AS,MATCH($H$1,Database!$A$1:$AS$1,),))))-(((VLOOKUP(EDATE(B80,-12),Database!$A:$AS,MATCH($H$1,Database!$A$1:$AS$1,),)))))/(((VLOOKUP(EDATE(B80,-12),Database!$A:$AS,MATCH($H$1,Database!$A$1:$AS$1,),))))</f>
        <v>6.1251664443051086E-2</v>
      </c>
      <c r="I80" s="13">
        <f>((((VLOOKUP(B80,Database!$A:$AS,MATCH($I$1,Database!$A$1:$AS$1,),))))-(((VLOOKUP(EDATE(B80,-12),Database!$A:$AS,MATCH($I$1,Database!$A$1:$AS$1,),)))))/(((VLOOKUP(EDATE(B80,-12),Database!$A:$AS,MATCH($I$1,Database!$A$1:$AS$1,),))))</f>
        <v>8.1749049429043374E-2</v>
      </c>
      <c r="J80" s="13">
        <f>((((VLOOKUP(B80,Database!$A:$AS,MATCH($J$1,Database!$A$1:$AS$1,),))))-(((VLOOKUP(EDATE(B80,-12),Database!$A:$AS,MATCH($J$1,Database!$A$1:$AS$1,),)))))/(((VLOOKUP(EDATE(B80,-12),Database!$A:$AS,MATCH($J$1,Database!$A$1:$AS$1,),))))</f>
        <v>8.0094571841128032E-2</v>
      </c>
      <c r="K80" s="13">
        <f>((((VLOOKUP(B80,Database!$A:$AS,MATCH($K$1,Database!$A$1:$AS$1,),))))-(((VLOOKUP(EDATE(B80,-12),Database!$A:$AS,MATCH($K$1,Database!$A$1:$AS$1,),)))))/(((VLOOKUP(EDATE(B80,-12),Database!$A:$AS,MATCH($K$1,Database!$A$1:$AS$1,),))))</f>
        <v>0.13391557496972487</v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>7.2320804111638298E-2</v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>-0.20925515040980694</v>
      </c>
      <c r="N80" s="13" t="e">
        <f>((((VLOOKUP(B80,Database!$A:$AS,MATCH($N$1,Database!$A$1:$AS$1,),))))-(((VLOOKUP(EDATE(B80,-12),Database!$A:$AS,MATCH($N$1,Database!$A$1:$AS$1,),)))))/(((VLOOKUP(EDATE(B80,-12),Database!$A:$AS,MATCH($N$1,Database!$A$1:$AS$1,),))))</f>
        <v>#DIV/0!</v>
      </c>
      <c r="O80" s="13">
        <f>((((VLOOKUP(B80,Database!$A:$AS,MATCH($O$1,Database!$A$1:$AS$1,),))))-(((VLOOKUP(EDATE(B80,-12),Database!$A:$AS,MATCH($O$1,Database!$A$1:$AS$1,),)))))/(((VLOOKUP(EDATE(B80,-12),Database!$A:$AS,MATCH($O$1,Database!$A$1:$AS$1,),))))</f>
        <v>6.9942069668752868E-2</v>
      </c>
      <c r="P80" s="13">
        <f>((((VLOOKUP(B80,Database!$A:$AS,MATCH($P$1,Database!$A$1:$AS$1,),))))-(((VLOOKUP(EDATE(B80,-12),Database!$A:$AS,MATCH($P$1,Database!$A$1:$AS$1,),)))))/(((VLOOKUP(EDATE(B80,-12),Database!$A:$AS,MATCH($P$1,Database!$A$1:$AS$1,),))))</f>
        <v>0.11143226592803436</v>
      </c>
      <c r="Q80" s="13">
        <f>((((VLOOKUP(B80,Database!$A:$AS,MATCH($Q$1,Database!$A$1:$AS$1,),))))-(((VLOOKUP(EDATE(B80,-12),Database!$A:$AS,MATCH($Q$1,Database!$A$1:$AS$1,),)))))/(((VLOOKUP(EDATE(B80,-12),Database!$A:$AS,MATCH($Q$1,Database!$A$1:$AS$1,),))))</f>
        <v>0.11392722710457993</v>
      </c>
      <c r="R80" s="13">
        <f>((((VLOOKUP(B80,Database!$A:$AS,MATCH($R$1,Database!$A$1:$AS$1,),))))-(((VLOOKUP(EDATE(B80,-12),Database!$A:$AS,MATCH($R$1,Database!$A$1:$AS$1,),)))))/(((VLOOKUP(EDATE(B80,-12),Database!$A:$AS,MATCH($R$1,Database!$A$1:$AS$1,),))))</f>
        <v>7.7786660996939337E-3</v>
      </c>
      <c r="S80" s="13">
        <f>((((VLOOKUP(B80,Database!$A:$AS,MATCH($S$1,Database!$A$1:$AS$1,),))))-(((VLOOKUP(EDATE(B80,-12),Database!$A:$AS,MATCH($S$1,Database!$A$1:$AS$1,),)))))/(((VLOOKUP(EDATE(B80,-12),Database!$A:$AS,MATCH($S$1,Database!$A$1:$AS$1,),))))</f>
        <v>8.480565374327248E-2</v>
      </c>
      <c r="T80" s="13">
        <f>((((VLOOKUP(B80,Database!$A:$AS,MATCH($T$1,Database!$A$1:$AS$1,),))))-(((VLOOKUP(EDATE(B80,-12),Database!$A:$AS,MATCH($T$1,Database!$A$1:$AS$1,),)))))/(((VLOOKUP(EDATE(B80,-12),Database!$A:$AS,MATCH($T$1,Database!$A$1:$AS$1,),))))</f>
        <v>-6.8493150683805543E-2</v>
      </c>
      <c r="U80" s="13">
        <f>((((VLOOKUP(B80,Database!$A:$AS,MATCH($U$1,Database!$A$1:$AS$1,),))))-(((VLOOKUP(EDATE(B80,-12),Database!$A:$AS,MATCH($U$1,Database!$A$1:$AS$1,),)))))/(((VLOOKUP(EDATE(B80,-12),Database!$A:$AS,MATCH($U$1,Database!$A$1:$AS$1,),))))</f>
        <v>2.7894772965356768E-2</v>
      </c>
      <c r="V80" s="13">
        <f>((((VLOOKUP(B80,Database!$A:$AS,MATCH($V$1,Database!$A$1:$AS$1,),))))-(((VLOOKUP(EDATE(B80,-12),Database!$A:$AS,MATCH($V$1,Database!$A$1:$AS$1,),)))))/(((VLOOKUP(EDATE(B80,-12),Database!$A:$AS,MATCH($V$1,Database!$A$1:$AS$1,),))))</f>
        <v>0.15335958007159201</v>
      </c>
    </row>
    <row r="81" spans="1:22" s="83" customFormat="1" x14ac:dyDescent="0.2">
      <c r="A81" s="43"/>
      <c r="B81" s="78">
        <v>34608</v>
      </c>
      <c r="C81" s="13">
        <f>((((VLOOKUP(B81,Database!$A:$AS,MATCH($C$1,Database!$A$1:$AS$1,),))))-(((VLOOKUP(EDATE(B81,-12),Database!$A:$AS,MATCH($C$1,Database!$A$1:$AS$1,),)))))/(((VLOOKUP(EDATE(B81,-12),Database!$A:$AS,MATCH($C$1,Database!$A$1:$AS$1,),))))</f>
        <v>6.2122146452884823E-2</v>
      </c>
      <c r="D81" s="13">
        <f>((((VLOOKUP(B81,Database!$A:$AS,MATCH($D$1,Database!$A$1:$AS$1,),))))-(((VLOOKUP(EDATE(B81,-12),Database!$A:$AS,MATCH($D$1,Database!$A$1:$AS$1,),)))))/(((VLOOKUP(EDATE(B81,-12),Database!$A:$AS,MATCH($D$1,Database!$A$1:$AS$1,),))))</f>
        <v>6.4473684210526391E-2</v>
      </c>
      <c r="E81" s="13">
        <f>((((VLOOKUP(B81,Database!$A:$AS,MATCH($E$1,Database!$A$1:$AS$1,),))))-(((VLOOKUP(EDATE(B81,-12),Database!$A:$AS,MATCH($E$1,Database!$A$1:$AS$1,),)))))/(((VLOOKUP(EDATE(B81,-12),Database!$A:$AS,MATCH($E$1,Database!$A$1:$AS$1,),))))</f>
        <v>4.5502645502954679E-2</v>
      </c>
      <c r="F81" s="13">
        <f>((((VLOOKUP(B81,Database!$A:$AS,MATCH($F$1,Database!$A$1:$AS$1,),))))-(((VLOOKUP(EDATE(B81,-12),Database!$A:$AS,MATCH($F$1,Database!$A$1:$AS$1,),)))))/(((VLOOKUP(EDATE(B81,-12),Database!$A:$AS,MATCH($F$1,Database!$A$1:$AS$1,),))))</f>
        <v>5.3571428571162885E-2</v>
      </c>
      <c r="G81" s="13">
        <f>((((VLOOKUP(B81,Database!$A:$AS,MATCH($G$1,Database!$A$1:$AS$1,),))))-(((VLOOKUP(EDATE(B81,-12),Database!$A:$AS,MATCH($G$1,Database!$A$1:$AS$1,),)))))/(((VLOOKUP(EDATE(B81,-12),Database!$A:$AS,MATCH($G$1,Database!$A$1:$AS$1,),))))</f>
        <v>5.3264604810996631E-2</v>
      </c>
      <c r="H81" s="13">
        <f>((((VLOOKUP(B81,Database!$A:$AS,MATCH($H$1,Database!$A$1:$AS$1,),))))-(((VLOOKUP(EDATE(B81,-12),Database!$A:$AS,MATCH($H$1,Database!$A$1:$AS$1,),)))))/(((VLOOKUP(EDATE(B81,-12),Database!$A:$AS,MATCH($H$1,Database!$A$1:$AS$1,),))))</f>
        <v>6.1170212774145735E-2</v>
      </c>
      <c r="I81" s="13">
        <f>((((VLOOKUP(B81,Database!$A:$AS,MATCH($I$1,Database!$A$1:$AS$1,),))))-(((VLOOKUP(EDATE(B81,-12),Database!$A:$AS,MATCH($I$1,Database!$A$1:$AS$1,),)))))/(((VLOOKUP(EDATE(B81,-12),Database!$A:$AS,MATCH($I$1,Database!$A$1:$AS$1,),))))</f>
        <v>7.9923882023871601E-2</v>
      </c>
      <c r="J81" s="13">
        <f>((((VLOOKUP(B81,Database!$A:$AS,MATCH($J$1,Database!$A$1:$AS$1,),))))-(((VLOOKUP(EDATE(B81,-12),Database!$A:$AS,MATCH($J$1,Database!$A$1:$AS$1,),)))))/(((VLOOKUP(EDATE(B81,-12),Database!$A:$AS,MATCH($J$1,Database!$A$1:$AS$1,),))))</f>
        <v>8.1026376945216763E-2</v>
      </c>
      <c r="K81" s="13">
        <f>((((VLOOKUP(B81,Database!$A:$AS,MATCH($K$1,Database!$A$1:$AS$1,),))))-(((VLOOKUP(EDATE(B81,-12),Database!$A:$AS,MATCH($K$1,Database!$A$1:$AS$1,),)))))/(((VLOOKUP(EDATE(B81,-12),Database!$A:$AS,MATCH($K$1,Database!$A$1:$AS$1,),))))</f>
        <v>0.14556040757329441</v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>7.3736499073644837E-2</v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>-0.19071459800589474</v>
      </c>
      <c r="N81" s="13" t="e">
        <f>((((VLOOKUP(B81,Database!$A:$AS,MATCH($N$1,Database!$A$1:$AS$1,),))))-(((VLOOKUP(EDATE(B81,-12),Database!$A:$AS,MATCH($N$1,Database!$A$1:$AS$1,),)))))/(((VLOOKUP(EDATE(B81,-12),Database!$A:$AS,MATCH($N$1,Database!$A$1:$AS$1,),))))</f>
        <v>#DIV/0!</v>
      </c>
      <c r="O81" s="13">
        <f>((((VLOOKUP(B81,Database!$A:$AS,MATCH($O$1,Database!$A$1:$AS$1,),))))-(((VLOOKUP(EDATE(B81,-12),Database!$A:$AS,MATCH($O$1,Database!$A$1:$AS$1,),)))))/(((VLOOKUP(EDATE(B81,-12),Database!$A:$AS,MATCH($O$1,Database!$A$1:$AS$1,),))))</f>
        <v>6.6066904714448829E-2</v>
      </c>
      <c r="P81" s="13">
        <f>((((VLOOKUP(B81,Database!$A:$AS,MATCH($P$1,Database!$A$1:$AS$1,),))))-(((VLOOKUP(EDATE(B81,-12),Database!$A:$AS,MATCH($P$1,Database!$A$1:$AS$1,),)))))/(((VLOOKUP(EDATE(B81,-12),Database!$A:$AS,MATCH($P$1,Database!$A$1:$AS$1,),))))</f>
        <v>0.13529569584064086</v>
      </c>
      <c r="Q81" s="13">
        <f>((((VLOOKUP(B81,Database!$A:$AS,MATCH($Q$1,Database!$A$1:$AS$1,),))))-(((VLOOKUP(EDATE(B81,-12),Database!$A:$AS,MATCH($Q$1,Database!$A$1:$AS$1,),)))))/(((VLOOKUP(EDATE(B81,-12),Database!$A:$AS,MATCH($Q$1,Database!$A$1:$AS$1,),))))</f>
        <v>0.10442565887847716</v>
      </c>
      <c r="R81" s="13">
        <f>((((VLOOKUP(B81,Database!$A:$AS,MATCH($R$1,Database!$A$1:$AS$1,),))))-(((VLOOKUP(EDATE(B81,-12),Database!$A:$AS,MATCH($R$1,Database!$A$1:$AS$1,),)))))/(((VLOOKUP(EDATE(B81,-12),Database!$A:$AS,MATCH($R$1,Database!$A$1:$AS$1,),))))</f>
        <v>2.3345001929429333E-2</v>
      </c>
      <c r="S81" s="13">
        <f>((((VLOOKUP(B81,Database!$A:$AS,MATCH($S$1,Database!$A$1:$AS$1,),))))-(((VLOOKUP(EDATE(B81,-12),Database!$A:$AS,MATCH($S$1,Database!$A$1:$AS$1,),)))))/(((VLOOKUP(EDATE(B81,-12),Database!$A:$AS,MATCH($S$1,Database!$A$1:$AS$1,),))))</f>
        <v>0.15602836880280013</v>
      </c>
      <c r="T81" s="13">
        <f>((((VLOOKUP(B81,Database!$A:$AS,MATCH($T$1,Database!$A$1:$AS$1,),))))-(((VLOOKUP(EDATE(B81,-12),Database!$A:$AS,MATCH($T$1,Database!$A$1:$AS$1,),)))))/(((VLOOKUP(EDATE(B81,-12),Database!$A:$AS,MATCH($T$1,Database!$A$1:$AS$1,),))))</f>
        <v>-5.6910569090266955E-2</v>
      </c>
      <c r="U81" s="13">
        <f>((((VLOOKUP(B81,Database!$A:$AS,MATCH($U$1,Database!$A$1:$AS$1,),))))-(((VLOOKUP(EDATE(B81,-12),Database!$A:$AS,MATCH($U$1,Database!$A$1:$AS$1,),)))))/(((VLOOKUP(EDATE(B81,-12),Database!$A:$AS,MATCH($U$1,Database!$A$1:$AS$1,),))))</f>
        <v>1.5451204918745548E-2</v>
      </c>
      <c r="V81" s="13">
        <f>((((VLOOKUP(B81,Database!$A:$AS,MATCH($V$1,Database!$A$1:$AS$1,),))))-(((VLOOKUP(EDATE(B81,-12),Database!$A:$AS,MATCH($V$1,Database!$A$1:$AS$1,),)))))/(((VLOOKUP(EDATE(B81,-12),Database!$A:$AS,MATCH($V$1,Database!$A$1:$AS$1,),))))</f>
        <v>0.13959610140810205</v>
      </c>
    </row>
    <row r="82" spans="1:22" s="83" customFormat="1" x14ac:dyDescent="0.2">
      <c r="A82" s="43"/>
      <c r="B82" s="78">
        <v>34639</v>
      </c>
      <c r="C82" s="13">
        <f>((((VLOOKUP(B82,Database!$A:$AS,MATCH($C$1,Database!$A$1:$AS$1,),))))-(((VLOOKUP(EDATE(B82,-12),Database!$A:$AS,MATCH($C$1,Database!$A$1:$AS$1,),)))))/(((VLOOKUP(EDATE(B82,-12),Database!$A:$AS,MATCH($C$1,Database!$A$1:$AS$1,),))))</f>
        <v>6.4136600117150208E-2</v>
      </c>
      <c r="D82" s="13">
        <f>((((VLOOKUP(B82,Database!$A:$AS,MATCH($D$1,Database!$A$1:$AS$1,),))))-(((VLOOKUP(EDATE(B82,-12),Database!$A:$AS,MATCH($D$1,Database!$A$1:$AS$1,),)))))/(((VLOOKUP(EDATE(B82,-12),Database!$A:$AS,MATCH($D$1,Database!$A$1:$AS$1,),))))</f>
        <v>7.2463768115942018E-2</v>
      </c>
      <c r="E82" s="13">
        <f>((((VLOOKUP(B82,Database!$A:$AS,MATCH($E$1,Database!$A$1:$AS$1,),))))-(((VLOOKUP(EDATE(B82,-12),Database!$A:$AS,MATCH($E$1,Database!$A$1:$AS$1,),)))))/(((VLOOKUP(EDATE(B82,-12),Database!$A:$AS,MATCH($E$1,Database!$A$1:$AS$1,),))))</f>
        <v>5.4082714742918772E-2</v>
      </c>
      <c r="F82" s="13">
        <f>((((VLOOKUP(B82,Database!$A:$AS,MATCH($F$1,Database!$A$1:$AS$1,),))))-(((VLOOKUP(EDATE(B82,-12),Database!$A:$AS,MATCH($F$1,Database!$A$1:$AS$1,),)))))/(((VLOOKUP(EDATE(B82,-12),Database!$A:$AS,MATCH($F$1,Database!$A$1:$AS$1,),))))</f>
        <v>6.9069069075427453E-2</v>
      </c>
      <c r="G82" s="13">
        <f>((((VLOOKUP(B82,Database!$A:$AS,MATCH($G$1,Database!$A$1:$AS$1,),))))-(((VLOOKUP(EDATE(B82,-12),Database!$A:$AS,MATCH($G$1,Database!$A$1:$AS$1,),)))))/(((VLOOKUP(EDATE(B82,-12),Database!$A:$AS,MATCH($G$1,Database!$A$1:$AS$1,),))))</f>
        <v>6.9888132856648633E-2</v>
      </c>
      <c r="H82" s="13">
        <f>((((VLOOKUP(B82,Database!$A:$AS,MATCH($H$1,Database!$A$1:$AS$1,),))))-(((VLOOKUP(EDATE(B82,-12),Database!$A:$AS,MATCH($H$1,Database!$A$1:$AS$1,),)))))/(((VLOOKUP(EDATE(B82,-12),Database!$A:$AS,MATCH($H$1,Database!$A$1:$AS$1,),))))</f>
        <v>5.0065876145956721E-2</v>
      </c>
      <c r="I82" s="13">
        <f>((((VLOOKUP(B82,Database!$A:$AS,MATCH($I$1,Database!$A$1:$AS$1,),))))-(((VLOOKUP(EDATE(B82,-12),Database!$A:$AS,MATCH($I$1,Database!$A$1:$AS$1,),)))))/(((VLOOKUP(EDATE(B82,-12),Database!$A:$AS,MATCH($I$1,Database!$A$1:$AS$1,),))))</f>
        <v>8.9707271017298237E-2</v>
      </c>
      <c r="J82" s="13">
        <f>((((VLOOKUP(B82,Database!$A:$AS,MATCH($J$1,Database!$A$1:$AS$1,),))))-(((VLOOKUP(EDATE(B82,-12),Database!$A:$AS,MATCH($J$1,Database!$A$1:$AS$1,),)))))/(((VLOOKUP(EDATE(B82,-12),Database!$A:$AS,MATCH($J$1,Database!$A$1:$AS$1,),))))</f>
        <v>9.3869138518551012E-2</v>
      </c>
      <c r="K82" s="13">
        <f>((((VLOOKUP(B82,Database!$A:$AS,MATCH($K$1,Database!$A$1:$AS$1,),))))-(((VLOOKUP(EDATE(B82,-12),Database!$A:$AS,MATCH($K$1,Database!$A$1:$AS$1,),)))))/(((VLOOKUP(EDATE(B82,-12),Database!$A:$AS,MATCH($K$1,Database!$A$1:$AS$1,),))))</f>
        <v>0.14739884392680996</v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>6.1402516966876458E-2</v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>-0.15082798450750212</v>
      </c>
      <c r="N82" s="13" t="e">
        <f>((((VLOOKUP(B82,Database!$A:$AS,MATCH($N$1,Database!$A$1:$AS$1,),))))-(((VLOOKUP(EDATE(B82,-12),Database!$A:$AS,MATCH($N$1,Database!$A$1:$AS$1,),)))))/(((VLOOKUP(EDATE(B82,-12),Database!$A:$AS,MATCH($N$1,Database!$A$1:$AS$1,),))))</f>
        <v>#DIV/0!</v>
      </c>
      <c r="O82" s="13">
        <f>((((VLOOKUP(B82,Database!$A:$AS,MATCH($O$1,Database!$A$1:$AS$1,),))))-(((VLOOKUP(EDATE(B82,-12),Database!$A:$AS,MATCH($O$1,Database!$A$1:$AS$1,),)))))/(((VLOOKUP(EDATE(B82,-12),Database!$A:$AS,MATCH($O$1,Database!$A$1:$AS$1,),))))</f>
        <v>7.5626073293112717E-2</v>
      </c>
      <c r="P82" s="13">
        <f>((((VLOOKUP(B82,Database!$A:$AS,MATCH($P$1,Database!$A$1:$AS$1,),))))-(((VLOOKUP(EDATE(B82,-12),Database!$A:$AS,MATCH($P$1,Database!$A$1:$AS$1,),)))))/(((VLOOKUP(EDATE(B82,-12),Database!$A:$AS,MATCH($P$1,Database!$A$1:$AS$1,),))))</f>
        <v>0.13501333234689997</v>
      </c>
      <c r="Q82" s="13">
        <f>((((VLOOKUP(B82,Database!$A:$AS,MATCH($Q$1,Database!$A$1:$AS$1,),))))-(((VLOOKUP(EDATE(B82,-12),Database!$A:$AS,MATCH($Q$1,Database!$A$1:$AS$1,),)))))/(((VLOOKUP(EDATE(B82,-12),Database!$A:$AS,MATCH($Q$1,Database!$A$1:$AS$1,),))))</f>
        <v>0.12895559724629976</v>
      </c>
      <c r="R82" s="13">
        <f>((((VLOOKUP(B82,Database!$A:$AS,MATCH($R$1,Database!$A$1:$AS$1,),))))-(((VLOOKUP(EDATE(B82,-12),Database!$A:$AS,MATCH($R$1,Database!$A$1:$AS$1,),)))))/(((VLOOKUP(EDATE(B82,-12),Database!$A:$AS,MATCH($R$1,Database!$A$1:$AS$1,),))))</f>
        <v>1.4506542474471603E-2</v>
      </c>
      <c r="S82" s="13">
        <f>((((VLOOKUP(B82,Database!$A:$AS,MATCH($S$1,Database!$A$1:$AS$1,),))))-(((VLOOKUP(EDATE(B82,-12),Database!$A:$AS,MATCH($S$1,Database!$A$1:$AS$1,),)))))/(((VLOOKUP(EDATE(B82,-12),Database!$A:$AS,MATCH($S$1,Database!$A$1:$AS$1,),))))</f>
        <v>0.15248226946837989</v>
      </c>
      <c r="T82" s="13">
        <f>((((VLOOKUP(B82,Database!$A:$AS,MATCH($T$1,Database!$A$1:$AS$1,),))))-(((VLOOKUP(EDATE(B82,-12),Database!$A:$AS,MATCH($T$1,Database!$A$1:$AS$1,),)))))/(((VLOOKUP(EDATE(B82,-12),Database!$A:$AS,MATCH($T$1,Database!$A$1:$AS$1,),))))</f>
        <v>-2.2535211270859199E-2</v>
      </c>
      <c r="U82" s="13">
        <f>((((VLOOKUP(B82,Database!$A:$AS,MATCH($U$1,Database!$A$1:$AS$1,),))))-(((VLOOKUP(EDATE(B82,-12),Database!$A:$AS,MATCH($U$1,Database!$A$1:$AS$1,),)))))/(((VLOOKUP(EDATE(B82,-12),Database!$A:$AS,MATCH($U$1,Database!$A$1:$AS$1,),))))</f>
        <v>3.6036692649888243E-2</v>
      </c>
      <c r="V82" s="13">
        <f>((((VLOOKUP(B82,Database!$A:$AS,MATCH($V$1,Database!$A$1:$AS$1,),))))-(((VLOOKUP(EDATE(B82,-12),Database!$A:$AS,MATCH($V$1,Database!$A$1:$AS$1,),)))))/(((VLOOKUP(EDATE(B82,-12),Database!$A:$AS,MATCH($V$1,Database!$A$1:$AS$1,),))))</f>
        <v>0.13503960841518042</v>
      </c>
    </row>
    <row r="83" spans="1:22" s="83" customFormat="1" x14ac:dyDescent="0.2">
      <c r="A83" s="43"/>
      <c r="B83" s="78">
        <v>34669</v>
      </c>
      <c r="C83" s="13">
        <f>((((VLOOKUP(B83,Database!$A:$AS,MATCH($C$1,Database!$A$1:$AS$1,),))))-(((VLOOKUP(EDATE(B83,-12),Database!$A:$AS,MATCH($C$1,Database!$A$1:$AS$1,),)))))/(((VLOOKUP(EDATE(B83,-12),Database!$A:$AS,MATCH($C$1,Database!$A$1:$AS$1,),))))</f>
        <v>6.920118073033131E-2</v>
      </c>
      <c r="D83" s="13">
        <f>((((VLOOKUP(B83,Database!$A:$AS,MATCH($D$1,Database!$A$1:$AS$1,),))))-(((VLOOKUP(EDATE(B83,-12),Database!$A:$AS,MATCH($D$1,Database!$A$1:$AS$1,),)))))/(((VLOOKUP(EDATE(B83,-12),Database!$A:$AS,MATCH($D$1,Database!$A$1:$AS$1,),))))</f>
        <v>8.2894736842105229E-2</v>
      </c>
      <c r="E83" s="13">
        <f>((((VLOOKUP(B83,Database!$A:$AS,MATCH($E$1,Database!$A$1:$AS$1,),))))-(((VLOOKUP(EDATE(B83,-12),Database!$A:$AS,MATCH($E$1,Database!$A$1:$AS$1,),)))))/(((VLOOKUP(EDATE(B83,-12),Database!$A:$AS,MATCH($E$1,Database!$A$1:$AS$1,),))))</f>
        <v>6.9444444437713582E-2</v>
      </c>
      <c r="F83" s="13">
        <f>((((VLOOKUP(B83,Database!$A:$AS,MATCH($F$1,Database!$A$1:$AS$1,),))))-(((VLOOKUP(EDATE(B83,-12),Database!$A:$AS,MATCH($F$1,Database!$A$1:$AS$1,),)))))/(((VLOOKUP(EDATE(B83,-12),Database!$A:$AS,MATCH($F$1,Database!$A$1:$AS$1,),))))</f>
        <v>5.6379821962904024E-2</v>
      </c>
      <c r="G83" s="13">
        <f>((((VLOOKUP(B83,Database!$A:$AS,MATCH($G$1,Database!$A$1:$AS$1,),))))-(((VLOOKUP(EDATE(B83,-12),Database!$A:$AS,MATCH($G$1,Database!$A$1:$AS$1,),)))))/(((VLOOKUP(EDATE(B83,-12),Database!$A:$AS,MATCH($G$1,Database!$A$1:$AS$1,),))))</f>
        <v>7.8454196251891622E-2</v>
      </c>
      <c r="H83" s="13">
        <f>((((VLOOKUP(B83,Database!$A:$AS,MATCH($H$1,Database!$A$1:$AS$1,),))))-(((VLOOKUP(EDATE(B83,-12),Database!$A:$AS,MATCH($H$1,Database!$A$1:$AS$1,),)))))/(((VLOOKUP(EDATE(B83,-12),Database!$A:$AS,MATCH($H$1,Database!$A$1:$AS$1,),))))</f>
        <v>5.913272010376E-2</v>
      </c>
      <c r="I83" s="13">
        <f>((((VLOOKUP(B83,Database!$A:$AS,MATCH($I$1,Database!$A$1:$AS$1,),))))-(((VLOOKUP(EDATE(B83,-12),Database!$A:$AS,MATCH($I$1,Database!$A$1:$AS$1,),)))))/(((VLOOKUP(EDATE(B83,-12),Database!$A:$AS,MATCH($I$1,Database!$A$1:$AS$1,),))))</f>
        <v>0.11720226843316398</v>
      </c>
      <c r="J83" s="13">
        <f>((((VLOOKUP(B83,Database!$A:$AS,MATCH($J$1,Database!$A$1:$AS$1,),))))-(((VLOOKUP(EDATE(B83,-12),Database!$A:$AS,MATCH($J$1,Database!$A$1:$AS$1,),)))))/(((VLOOKUP(EDATE(B83,-12),Database!$A:$AS,MATCH($J$1,Database!$A$1:$AS$1,),))))</f>
        <v>0.12520242051975908</v>
      </c>
      <c r="K83" s="13">
        <f>((((VLOOKUP(B83,Database!$A:$AS,MATCH($K$1,Database!$A$1:$AS$1,),))))-(((VLOOKUP(EDATE(B83,-12),Database!$A:$AS,MATCH($K$1,Database!$A$1:$AS$1,),)))))/(((VLOOKUP(EDATE(B83,-12),Database!$A:$AS,MATCH($K$1,Database!$A$1:$AS$1,),))))</f>
        <v>0.13333333333147024</v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>2.8162064454311717E-2</v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>-8.9993614909542677E-2</v>
      </c>
      <c r="N83" s="13" t="e">
        <f>((((VLOOKUP(B83,Database!$A:$AS,MATCH($N$1,Database!$A$1:$AS$1,),))))-(((VLOOKUP(EDATE(B83,-12),Database!$A:$AS,MATCH($N$1,Database!$A$1:$AS$1,),)))))/(((VLOOKUP(EDATE(B83,-12),Database!$A:$AS,MATCH($N$1,Database!$A$1:$AS$1,),))))</f>
        <v>#DIV/0!</v>
      </c>
      <c r="O83" s="13">
        <f>((((VLOOKUP(B83,Database!$A:$AS,MATCH($O$1,Database!$A$1:$AS$1,),))))-(((VLOOKUP(EDATE(B83,-12),Database!$A:$AS,MATCH($O$1,Database!$A$1:$AS$1,),)))))/(((VLOOKUP(EDATE(B83,-12),Database!$A:$AS,MATCH($O$1,Database!$A$1:$AS$1,),))))</f>
        <v>0.10227523598510627</v>
      </c>
      <c r="P83" s="13">
        <f>((((VLOOKUP(B83,Database!$A:$AS,MATCH($P$1,Database!$A$1:$AS$1,),))))-(((VLOOKUP(EDATE(B83,-12),Database!$A:$AS,MATCH($P$1,Database!$A$1:$AS$1,),)))))/(((VLOOKUP(EDATE(B83,-12),Database!$A:$AS,MATCH($P$1,Database!$A$1:$AS$1,),))))</f>
        <v>0.1025085393173463</v>
      </c>
      <c r="Q83" s="13">
        <f>((((VLOOKUP(B83,Database!$A:$AS,MATCH($Q$1,Database!$A$1:$AS$1,),))))-(((VLOOKUP(EDATE(B83,-12),Database!$A:$AS,MATCH($Q$1,Database!$A$1:$AS$1,),)))))/(((VLOOKUP(EDATE(B83,-12),Database!$A:$AS,MATCH($Q$1,Database!$A$1:$AS$1,),))))</f>
        <v>0.17095068258083124</v>
      </c>
      <c r="R83" s="13">
        <f>((((VLOOKUP(B83,Database!$A:$AS,MATCH($R$1,Database!$A$1:$AS$1,),))))-(((VLOOKUP(EDATE(B83,-12),Database!$A:$AS,MATCH($R$1,Database!$A$1:$AS$1,),)))))/(((VLOOKUP(EDATE(B83,-12),Database!$A:$AS,MATCH($R$1,Database!$A$1:$AS$1,),))))</f>
        <v>2.803653176288777E-2</v>
      </c>
      <c r="S83" s="13">
        <f>((((VLOOKUP(B83,Database!$A:$AS,MATCH($S$1,Database!$A$1:$AS$1,),))))-(((VLOOKUP(EDATE(B83,-12),Database!$A:$AS,MATCH($S$1,Database!$A$1:$AS$1,),)))))/(((VLOOKUP(EDATE(B83,-12),Database!$A:$AS,MATCH($S$1,Database!$A$1:$AS$1,),))))</f>
        <v>0.18275862067483142</v>
      </c>
      <c r="T83" s="13">
        <f>((((VLOOKUP(B83,Database!$A:$AS,MATCH($T$1,Database!$A$1:$AS$1,),))))-(((VLOOKUP(EDATE(B83,-12),Database!$A:$AS,MATCH($T$1,Database!$A$1:$AS$1,),)))))/(((VLOOKUP(EDATE(B83,-12),Database!$A:$AS,MATCH($T$1,Database!$A$1:$AS$1,),))))</f>
        <v>-0.11227154045708845</v>
      </c>
      <c r="U83" s="13">
        <f>((((VLOOKUP(B83,Database!$A:$AS,MATCH($U$1,Database!$A$1:$AS$1,),))))-(((VLOOKUP(EDATE(B83,-12),Database!$A:$AS,MATCH($U$1,Database!$A$1:$AS$1,),)))))/(((VLOOKUP(EDATE(B83,-12),Database!$A:$AS,MATCH($U$1,Database!$A$1:$AS$1,),))))</f>
        <v>7.4636275211276443E-2</v>
      </c>
      <c r="V83" s="13">
        <f>((((VLOOKUP(B83,Database!$A:$AS,MATCH($V$1,Database!$A$1:$AS$1,),))))-(((VLOOKUP(EDATE(B83,-12),Database!$A:$AS,MATCH($V$1,Database!$A$1:$AS$1,),)))))/(((VLOOKUP(EDATE(B83,-12),Database!$A:$AS,MATCH($V$1,Database!$A$1:$AS$1,),))))</f>
        <v>0.1859071418648065</v>
      </c>
    </row>
    <row r="84" spans="1:22" s="83" customFormat="1" x14ac:dyDescent="0.2">
      <c r="A84" s="43"/>
      <c r="B84" s="78">
        <v>34700</v>
      </c>
      <c r="C84" s="13">
        <f>((((VLOOKUP(B84,Database!$A:$AS,MATCH($C$1,Database!$A$1:$AS$1,),))))-(((VLOOKUP(EDATE(B84,-12),Database!$A:$AS,MATCH($C$1,Database!$A$1:$AS$1,),)))))/(((VLOOKUP(EDATE(B84,-12),Database!$A:$AS,MATCH($C$1,Database!$A$1:$AS$1,),))))</f>
        <v>6.7517551540113283E-2</v>
      </c>
      <c r="D84" s="13">
        <f>((((VLOOKUP(B84,Database!$A:$AS,MATCH($D$1,Database!$A$1:$AS$1,),))))-(((VLOOKUP(EDATE(B84,-12),Database!$A:$AS,MATCH($D$1,Database!$A$1:$AS$1,),)))))/(((VLOOKUP(EDATE(B84,-12),Database!$A:$AS,MATCH($D$1,Database!$A$1:$AS$1,),))))</f>
        <v>7.358738501971103E-2</v>
      </c>
      <c r="E84" s="13">
        <f>((((VLOOKUP(B84,Database!$A:$AS,MATCH($E$1,Database!$A$1:$AS$1,),))))-(((VLOOKUP(EDATE(B84,-12),Database!$A:$AS,MATCH($E$1,Database!$A$1:$AS$1,),)))))/(((VLOOKUP(EDATE(B84,-12),Database!$A:$AS,MATCH($E$1,Database!$A$1:$AS$1,),))))</f>
        <v>5.2575107295774068E-2</v>
      </c>
      <c r="F84" s="13">
        <f>((((VLOOKUP(B84,Database!$A:$AS,MATCH($F$1,Database!$A$1:$AS$1,),))))-(((VLOOKUP(EDATE(B84,-12),Database!$A:$AS,MATCH($F$1,Database!$A$1:$AS$1,),)))))/(((VLOOKUP(EDATE(B84,-12),Database!$A:$AS,MATCH($F$1,Database!$A$1:$AS$1,),))))</f>
        <v>4.0238450078424783E-2</v>
      </c>
      <c r="G84" s="13">
        <f>((((VLOOKUP(B84,Database!$A:$AS,MATCH($G$1,Database!$A$1:$AS$1,),))))-(((VLOOKUP(EDATE(B84,-12),Database!$A:$AS,MATCH($G$1,Database!$A$1:$AS$1,),)))))/(((VLOOKUP(EDATE(B84,-12),Database!$A:$AS,MATCH($G$1,Database!$A$1:$AS$1,),))))</f>
        <v>6.6392412295737488E-2</v>
      </c>
      <c r="H84" s="13">
        <f>((((VLOOKUP(B84,Database!$A:$AS,MATCH($H$1,Database!$A$1:$AS$1,),))))-(((VLOOKUP(EDATE(B84,-12),Database!$A:$AS,MATCH($H$1,Database!$A$1:$AS$1,),)))))/(((VLOOKUP(EDATE(B84,-12),Database!$A:$AS,MATCH($H$1,Database!$A$1:$AS$1,),))))</f>
        <v>3.2679738566699257E-2</v>
      </c>
      <c r="I84" s="13">
        <f>((((VLOOKUP(B84,Database!$A:$AS,MATCH($I$1,Database!$A$1:$AS$1,),))))-(((VLOOKUP(EDATE(B84,-12),Database!$A:$AS,MATCH($I$1,Database!$A$1:$AS$1,),)))))/(((VLOOKUP(EDATE(B84,-12),Database!$A:$AS,MATCH($I$1,Database!$A$1:$AS$1,),))))</f>
        <v>0.11027332704774079</v>
      </c>
      <c r="J84" s="13">
        <f>((((VLOOKUP(B84,Database!$A:$AS,MATCH($J$1,Database!$A$1:$AS$1,),))))-(((VLOOKUP(EDATE(B84,-12),Database!$A:$AS,MATCH($J$1,Database!$A$1:$AS$1,),)))))/(((VLOOKUP(EDATE(B84,-12),Database!$A:$AS,MATCH($J$1,Database!$A$1:$AS$1,),))))</f>
        <v>0.12136483277160778</v>
      </c>
      <c r="K84" s="13">
        <f>((((VLOOKUP(B84,Database!$A:$AS,MATCH($K$1,Database!$A$1:$AS$1,),))))-(((VLOOKUP(EDATE(B84,-12),Database!$A:$AS,MATCH($K$1,Database!$A$1:$AS$1,),)))))/(((VLOOKUP(EDATE(B84,-12),Database!$A:$AS,MATCH($K$1,Database!$A$1:$AS$1,),))))</f>
        <v>0.14386459803563637</v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>-3.3405294286028967E-3</v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>-7.5198003131029551E-3</v>
      </c>
      <c r="N84" s="13" t="e">
        <f>((((VLOOKUP(B84,Database!$A:$AS,MATCH($N$1,Database!$A$1:$AS$1,),))))-(((VLOOKUP(EDATE(B84,-12),Database!$A:$AS,MATCH($N$1,Database!$A$1:$AS$1,),)))))/(((VLOOKUP(EDATE(B84,-12),Database!$A:$AS,MATCH($N$1,Database!$A$1:$AS$1,),))))</f>
        <v>#DIV/0!</v>
      </c>
      <c r="O84" s="13">
        <f>((((VLOOKUP(B84,Database!$A:$AS,MATCH($O$1,Database!$A$1:$AS$1,),))))-(((VLOOKUP(EDATE(B84,-12),Database!$A:$AS,MATCH($O$1,Database!$A$1:$AS$1,),)))))/(((VLOOKUP(EDATE(B84,-12),Database!$A:$AS,MATCH($O$1,Database!$A$1:$AS$1,),))))</f>
        <v>0.10258573876253052</v>
      </c>
      <c r="P84" s="13">
        <f>((((VLOOKUP(B84,Database!$A:$AS,MATCH($P$1,Database!$A$1:$AS$1,),))))-(((VLOOKUP(EDATE(B84,-12),Database!$A:$AS,MATCH($P$1,Database!$A$1:$AS$1,),)))))/(((VLOOKUP(EDATE(B84,-12),Database!$A:$AS,MATCH($P$1,Database!$A$1:$AS$1,),))))</f>
        <v>0.13817278088142301</v>
      </c>
      <c r="Q84" s="13">
        <f>((((VLOOKUP(B84,Database!$A:$AS,MATCH($Q$1,Database!$A$1:$AS$1,),))))-(((VLOOKUP(EDATE(B84,-12),Database!$A:$AS,MATCH($Q$1,Database!$A$1:$AS$1,),)))))/(((VLOOKUP(EDATE(B84,-12),Database!$A:$AS,MATCH($Q$1,Database!$A$1:$AS$1,),))))</f>
        <v>0.1345687984607703</v>
      </c>
      <c r="R84" s="13">
        <f>((((VLOOKUP(B84,Database!$A:$AS,MATCH($R$1,Database!$A$1:$AS$1,),))))-(((VLOOKUP(EDATE(B84,-12),Database!$A:$AS,MATCH($R$1,Database!$A$1:$AS$1,),)))))/(((VLOOKUP(EDATE(B84,-12),Database!$A:$AS,MATCH($R$1,Database!$A$1:$AS$1,),))))</f>
        <v>6.5045674595572742E-2</v>
      </c>
      <c r="S84" s="13">
        <f>((((VLOOKUP(B84,Database!$A:$AS,MATCH($S$1,Database!$A$1:$AS$1,),))))-(((VLOOKUP(EDATE(B84,-12),Database!$A:$AS,MATCH($S$1,Database!$A$1:$AS$1,),)))))/(((VLOOKUP(EDATE(B84,-12),Database!$A:$AS,MATCH($S$1,Database!$A$1:$AS$1,),))))</f>
        <v>0.16262975774552918</v>
      </c>
      <c r="T84" s="13">
        <f>((((VLOOKUP(B84,Database!$A:$AS,MATCH($T$1,Database!$A$1:$AS$1,),))))-(((VLOOKUP(EDATE(B84,-12),Database!$A:$AS,MATCH($T$1,Database!$A$1:$AS$1,),)))))/(((VLOOKUP(EDATE(B84,-12),Database!$A:$AS,MATCH($T$1,Database!$A$1:$AS$1,),))))</f>
        <v>-9.6858638733860525E-2</v>
      </c>
      <c r="U84" s="13">
        <f>((((VLOOKUP(B84,Database!$A:$AS,MATCH($U$1,Database!$A$1:$AS$1,),))))-(((VLOOKUP(EDATE(B84,-12),Database!$A:$AS,MATCH($U$1,Database!$A$1:$AS$1,),)))))/(((VLOOKUP(EDATE(B84,-12),Database!$A:$AS,MATCH($U$1,Database!$A$1:$AS$1,),))))</f>
        <v>0.15000714800382225</v>
      </c>
      <c r="V84" s="13">
        <f>((((VLOOKUP(B84,Database!$A:$AS,MATCH($V$1,Database!$A$1:$AS$1,),))))-(((VLOOKUP(EDATE(B84,-12),Database!$A:$AS,MATCH($V$1,Database!$A$1:$AS$1,),)))))/(((VLOOKUP(EDATE(B84,-12),Database!$A:$AS,MATCH($V$1,Database!$A$1:$AS$1,),))))</f>
        <v>0.12620714209992076</v>
      </c>
    </row>
    <row r="85" spans="1:22" s="83" customFormat="1" x14ac:dyDescent="0.2">
      <c r="A85" s="43"/>
      <c r="B85" s="78">
        <v>34731</v>
      </c>
      <c r="C85" s="13">
        <f>((((VLOOKUP(B85,Database!$A:$AS,MATCH($C$1,Database!$A$1:$AS$1,),))))-(((VLOOKUP(EDATE(B85,-12),Database!$A:$AS,MATCH($C$1,Database!$A$1:$AS$1,),)))))/(((VLOOKUP(EDATE(B85,-12),Database!$A:$AS,MATCH($C$1,Database!$A$1:$AS$1,),))))</f>
        <v>6.5220695607335316E-2</v>
      </c>
      <c r="D85" s="13">
        <f>((((VLOOKUP(B85,Database!$A:$AS,MATCH($D$1,Database!$A$1:$AS$1,),))))-(((VLOOKUP(EDATE(B85,-12),Database!$A:$AS,MATCH($D$1,Database!$A$1:$AS$1,),)))))/(((VLOOKUP(EDATE(B85,-12),Database!$A:$AS,MATCH($D$1,Database!$A$1:$AS$1,),))))</f>
        <v>5.9508408796895326E-2</v>
      </c>
      <c r="E85" s="13">
        <f>((((VLOOKUP(B85,Database!$A:$AS,MATCH($E$1,Database!$A$1:$AS$1,),))))-(((VLOOKUP(EDATE(B85,-12),Database!$A:$AS,MATCH($E$1,Database!$A$1:$AS$1,),)))))/(((VLOOKUP(EDATE(B85,-12),Database!$A:$AS,MATCH($E$1,Database!$A$1:$AS$1,),))))</f>
        <v>5.8510638296477221E-2</v>
      </c>
      <c r="F85" s="13">
        <f>((((VLOOKUP(B85,Database!$A:$AS,MATCH($F$1,Database!$A$1:$AS$1,),))))-(((VLOOKUP(EDATE(B85,-12),Database!$A:$AS,MATCH($F$1,Database!$A$1:$AS$1,),)))))/(((VLOOKUP(EDATE(B85,-12),Database!$A:$AS,MATCH($F$1,Database!$A$1:$AS$1,),))))</f>
        <v>3.9647577096133882E-2</v>
      </c>
      <c r="G85" s="13">
        <f>((((VLOOKUP(B85,Database!$A:$AS,MATCH($G$1,Database!$A$1:$AS$1,),))))-(((VLOOKUP(EDATE(B85,-12),Database!$A:$AS,MATCH($G$1,Database!$A$1:$AS$1,),)))))/(((VLOOKUP(EDATE(B85,-12),Database!$A:$AS,MATCH($G$1,Database!$A$1:$AS$1,),))))</f>
        <v>6.2342424936969947E-2</v>
      </c>
      <c r="H85" s="13">
        <f>((((VLOOKUP(B85,Database!$A:$AS,MATCH($H$1,Database!$A$1:$AS$1,),))))-(((VLOOKUP(EDATE(B85,-12),Database!$A:$AS,MATCH($H$1,Database!$A$1:$AS$1,),)))))/(((VLOOKUP(EDATE(B85,-12),Database!$A:$AS,MATCH($H$1,Database!$A$1:$AS$1,),))))</f>
        <v>2.9947916664475403E-2</v>
      </c>
      <c r="I85" s="13">
        <f>((((VLOOKUP(B85,Database!$A:$AS,MATCH($I$1,Database!$A$1:$AS$1,),))))-(((VLOOKUP(EDATE(B85,-12),Database!$A:$AS,MATCH($I$1,Database!$A$1:$AS$1,),)))))/(((VLOOKUP(EDATE(B85,-12),Database!$A:$AS,MATCH($I$1,Database!$A$1:$AS$1,),))))</f>
        <v>8.6270871989245546E-2</v>
      </c>
      <c r="J85" s="13">
        <f>((((VLOOKUP(B85,Database!$A:$AS,MATCH($J$1,Database!$A$1:$AS$1,),))))-(((VLOOKUP(EDATE(B85,-12),Database!$A:$AS,MATCH($J$1,Database!$A$1:$AS$1,),)))))/(((VLOOKUP(EDATE(B85,-12),Database!$A:$AS,MATCH($J$1,Database!$A$1:$AS$1,),))))</f>
        <v>7.4650996481077314E-2</v>
      </c>
      <c r="K85" s="13">
        <f>((((VLOOKUP(B85,Database!$A:$AS,MATCH($K$1,Database!$A$1:$AS$1,),))))-(((VLOOKUP(EDATE(B85,-12),Database!$A:$AS,MATCH($K$1,Database!$A$1:$AS$1,),)))))/(((VLOOKUP(EDATE(B85,-12),Database!$A:$AS,MATCH($K$1,Database!$A$1:$AS$1,),))))</f>
        <v>0.12292817679084454</v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>-7.2795498728986538E-2</v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>-4.2439550635663133E-2</v>
      </c>
      <c r="N85" s="13" t="e">
        <f>((((VLOOKUP(B85,Database!$A:$AS,MATCH($N$1,Database!$A$1:$AS$1,),))))-(((VLOOKUP(EDATE(B85,-12),Database!$A:$AS,MATCH($N$1,Database!$A$1:$AS$1,),)))))/(((VLOOKUP(EDATE(B85,-12),Database!$A:$AS,MATCH($N$1,Database!$A$1:$AS$1,),))))</f>
        <v>#DIV/0!</v>
      </c>
      <c r="O85" s="13">
        <f>((((VLOOKUP(B85,Database!$A:$AS,MATCH($O$1,Database!$A$1:$AS$1,),))))-(((VLOOKUP(EDATE(B85,-12),Database!$A:$AS,MATCH($O$1,Database!$A$1:$AS$1,),)))))/(((VLOOKUP(EDATE(B85,-12),Database!$A:$AS,MATCH($O$1,Database!$A$1:$AS$1,),))))</f>
        <v>9.9694537840913172E-2</v>
      </c>
      <c r="P85" s="13">
        <f>((((VLOOKUP(B85,Database!$A:$AS,MATCH($P$1,Database!$A$1:$AS$1,),))))-(((VLOOKUP(EDATE(B85,-12),Database!$A:$AS,MATCH($P$1,Database!$A$1:$AS$1,),)))))/(((VLOOKUP(EDATE(B85,-12),Database!$A:$AS,MATCH($P$1,Database!$A$1:$AS$1,),))))</f>
        <v>0.12858940198188479</v>
      </c>
      <c r="Q85" s="13">
        <f>((((VLOOKUP(B85,Database!$A:$AS,MATCH($Q$1,Database!$A$1:$AS$1,),))))-(((VLOOKUP(EDATE(B85,-12),Database!$A:$AS,MATCH($Q$1,Database!$A$1:$AS$1,),)))))/(((VLOOKUP(EDATE(B85,-12),Database!$A:$AS,MATCH($Q$1,Database!$A$1:$AS$1,),))))</f>
        <v>0.14958107442787835</v>
      </c>
      <c r="R85" s="13">
        <f>((((VLOOKUP(B85,Database!$A:$AS,MATCH($R$1,Database!$A$1:$AS$1,),))))-(((VLOOKUP(EDATE(B85,-12),Database!$A:$AS,MATCH($R$1,Database!$A$1:$AS$1,),)))))/(((VLOOKUP(EDATE(B85,-12),Database!$A:$AS,MATCH($R$1,Database!$A$1:$AS$1,),))))</f>
        <v>4.2289450294925222E-2</v>
      </c>
      <c r="S85" s="13">
        <f>((((VLOOKUP(B85,Database!$A:$AS,MATCH($S$1,Database!$A$1:$AS$1,),))))-(((VLOOKUP(EDATE(B85,-12),Database!$A:$AS,MATCH($S$1,Database!$A$1:$AS$1,),)))))/(((VLOOKUP(EDATE(B85,-12),Database!$A:$AS,MATCH($S$1,Database!$A$1:$AS$1,),))))</f>
        <v>0.1302931595644336</v>
      </c>
      <c r="T85" s="13">
        <f>((((VLOOKUP(B85,Database!$A:$AS,MATCH($T$1,Database!$A$1:$AS$1,),))))-(((VLOOKUP(EDATE(B85,-12),Database!$A:$AS,MATCH($T$1,Database!$A$1:$AS$1,),)))))/(((VLOOKUP(EDATE(B85,-12),Database!$A:$AS,MATCH($T$1,Database!$A$1:$AS$1,),))))</f>
        <v>-1.4662756604002718E-2</v>
      </c>
      <c r="U85" s="13">
        <f>((((VLOOKUP(B85,Database!$A:$AS,MATCH($U$1,Database!$A$1:$AS$1,),))))-(((VLOOKUP(EDATE(B85,-12),Database!$A:$AS,MATCH($U$1,Database!$A$1:$AS$1,),)))))/(((VLOOKUP(EDATE(B85,-12),Database!$A:$AS,MATCH($U$1,Database!$A$1:$AS$1,),))))</f>
        <v>0.12340416148073322</v>
      </c>
      <c r="V85" s="13">
        <f>((((VLOOKUP(B85,Database!$A:$AS,MATCH($V$1,Database!$A$1:$AS$1,),))))-(((VLOOKUP(EDATE(B85,-12),Database!$A:$AS,MATCH($V$1,Database!$A$1:$AS$1,),)))))/(((VLOOKUP(EDATE(B85,-12),Database!$A:$AS,MATCH($V$1,Database!$A$1:$AS$1,),))))</f>
        <v>0.13691184588522298</v>
      </c>
    </row>
    <row r="86" spans="1:22" s="83" customFormat="1" x14ac:dyDescent="0.2">
      <c r="A86" s="43"/>
      <c r="B86" s="78">
        <v>34759</v>
      </c>
      <c r="C86" s="13">
        <f>((((VLOOKUP(B86,Database!$A:$AS,MATCH($C$1,Database!$A$1:$AS$1,),))))-(((VLOOKUP(EDATE(B86,-12),Database!$A:$AS,MATCH($C$1,Database!$A$1:$AS$1,),)))))/(((VLOOKUP(EDATE(B86,-12),Database!$A:$AS,MATCH($C$1,Database!$A$1:$AS$1,),))))</f>
        <v>5.631521173365793E-2</v>
      </c>
      <c r="D86" s="13">
        <f>((((VLOOKUP(B86,Database!$A:$AS,MATCH($D$1,Database!$A$1:$AS$1,),))))-(((VLOOKUP(EDATE(B86,-12),Database!$A:$AS,MATCH($D$1,Database!$A$1:$AS$1,),)))))/(((VLOOKUP(EDATE(B86,-12),Database!$A:$AS,MATCH($D$1,Database!$A$1:$AS$1,),))))</f>
        <v>5.8214747736093149E-2</v>
      </c>
      <c r="E86" s="13">
        <f>((((VLOOKUP(B86,Database!$A:$AS,MATCH($E$1,Database!$A$1:$AS$1,),))))-(((VLOOKUP(EDATE(B86,-12),Database!$A:$AS,MATCH($E$1,Database!$A$1:$AS$1,),)))))/(((VLOOKUP(EDATE(B86,-12),Database!$A:$AS,MATCH($E$1,Database!$A$1:$AS$1,),))))</f>
        <v>5.7894736851392646E-2</v>
      </c>
      <c r="F86" s="13">
        <f>((((VLOOKUP(B86,Database!$A:$AS,MATCH($F$1,Database!$A$1:$AS$1,),))))-(((VLOOKUP(EDATE(B86,-12),Database!$A:$AS,MATCH($F$1,Database!$A$1:$AS$1,),)))))/(((VLOOKUP(EDATE(B86,-12),Database!$A:$AS,MATCH($F$1,Database!$A$1:$AS$1,),))))</f>
        <v>3.244837758186072E-2</v>
      </c>
      <c r="G86" s="13">
        <f>((((VLOOKUP(B86,Database!$A:$AS,MATCH($G$1,Database!$A$1:$AS$1,),))))-(((VLOOKUP(EDATE(B86,-12),Database!$A:$AS,MATCH($G$1,Database!$A$1:$AS$1,),)))))/(((VLOOKUP(EDATE(B86,-12),Database!$A:$AS,MATCH($G$1,Database!$A$1:$AS$1,),))))</f>
        <v>7.1526822558459532E-2</v>
      </c>
      <c r="H86" s="13">
        <f>((((VLOOKUP(B86,Database!$A:$AS,MATCH($H$1,Database!$A$1:$AS$1,),))))-(((VLOOKUP(EDATE(B86,-12),Database!$A:$AS,MATCH($H$1,Database!$A$1:$AS$1,),)))))/(((VLOOKUP(EDATE(B86,-12),Database!$A:$AS,MATCH($H$1,Database!$A$1:$AS$1,),))))</f>
        <v>2.8534370947588858E-2</v>
      </c>
      <c r="I86" s="13">
        <f>((((VLOOKUP(B86,Database!$A:$AS,MATCH($I$1,Database!$A$1:$AS$1,),))))-(((VLOOKUP(EDATE(B86,-12),Database!$A:$AS,MATCH($I$1,Database!$A$1:$AS$1,),)))))/(((VLOOKUP(EDATE(B86,-12),Database!$A:$AS,MATCH($I$1,Database!$A$1:$AS$1,),))))</f>
        <v>7.4107959741329651E-2</v>
      </c>
      <c r="J86" s="13">
        <f>((((VLOOKUP(B86,Database!$A:$AS,MATCH($J$1,Database!$A$1:$AS$1,),))))-(((VLOOKUP(EDATE(B86,-12),Database!$A:$AS,MATCH($J$1,Database!$A$1:$AS$1,),)))))/(((VLOOKUP(EDATE(B86,-12),Database!$A:$AS,MATCH($J$1,Database!$A$1:$AS$1,),))))</f>
        <v>7.6261056656300855E-2</v>
      </c>
      <c r="K86" s="13">
        <f>((((VLOOKUP(B86,Database!$A:$AS,MATCH($K$1,Database!$A$1:$AS$1,),))))-(((VLOOKUP(EDATE(B86,-12),Database!$A:$AS,MATCH($K$1,Database!$A$1:$AS$1,),)))))/(((VLOOKUP(EDATE(B86,-12),Database!$A:$AS,MATCH($K$1,Database!$A$1:$AS$1,),))))</f>
        <v>0.13461538461200206</v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>-9.0511804710185287E-2</v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>-5.6998439920591379E-2</v>
      </c>
      <c r="N86" s="13" t="e">
        <f>((((VLOOKUP(B86,Database!$A:$AS,MATCH($N$1,Database!$A$1:$AS$1,),))))-(((VLOOKUP(EDATE(B86,-12),Database!$A:$AS,MATCH($N$1,Database!$A$1:$AS$1,),)))))/(((VLOOKUP(EDATE(B86,-12),Database!$A:$AS,MATCH($N$1,Database!$A$1:$AS$1,),))))</f>
        <v>#DIV/0!</v>
      </c>
      <c r="O86" s="13">
        <f>((((VLOOKUP(B86,Database!$A:$AS,MATCH($O$1,Database!$A$1:$AS$1,),))))-(((VLOOKUP(EDATE(B86,-12),Database!$A:$AS,MATCH($O$1,Database!$A$1:$AS$1,),)))))/(((VLOOKUP(EDATE(B86,-12),Database!$A:$AS,MATCH($O$1,Database!$A$1:$AS$1,),))))</f>
        <v>7.6903769674096761E-2</v>
      </c>
      <c r="P86" s="13">
        <f>((((VLOOKUP(B86,Database!$A:$AS,MATCH($P$1,Database!$A$1:$AS$1,),))))-(((VLOOKUP(EDATE(B86,-12),Database!$A:$AS,MATCH($P$1,Database!$A$1:$AS$1,),)))))/(((VLOOKUP(EDATE(B86,-12),Database!$A:$AS,MATCH($P$1,Database!$A$1:$AS$1,),))))</f>
        <v>0.14286233860871536</v>
      </c>
      <c r="Q86" s="13">
        <f>((((VLOOKUP(B86,Database!$A:$AS,MATCH($Q$1,Database!$A$1:$AS$1,),))))-(((VLOOKUP(EDATE(B86,-12),Database!$A:$AS,MATCH($Q$1,Database!$A$1:$AS$1,),)))))/(((VLOOKUP(EDATE(B86,-12),Database!$A:$AS,MATCH($Q$1,Database!$A$1:$AS$1,),))))</f>
        <v>0.1384990848118644</v>
      </c>
      <c r="R86" s="13">
        <f>((((VLOOKUP(B86,Database!$A:$AS,MATCH($R$1,Database!$A$1:$AS$1,),))))-(((VLOOKUP(EDATE(B86,-12),Database!$A:$AS,MATCH($R$1,Database!$A$1:$AS$1,),)))))/(((VLOOKUP(EDATE(B86,-12),Database!$A:$AS,MATCH($R$1,Database!$A$1:$AS$1,),))))</f>
        <v>3.7631087696487812E-2</v>
      </c>
      <c r="S86" s="13">
        <f>((((VLOOKUP(B86,Database!$A:$AS,MATCH($S$1,Database!$A$1:$AS$1,),))))-(((VLOOKUP(EDATE(B86,-12),Database!$A:$AS,MATCH($S$1,Database!$A$1:$AS$1,),)))))/(((VLOOKUP(EDATE(B86,-12),Database!$A:$AS,MATCH($S$1,Database!$A$1:$AS$1,),))))</f>
        <v>0.17880794704868316</v>
      </c>
      <c r="T86" s="13">
        <f>((((VLOOKUP(B86,Database!$A:$AS,MATCH($T$1,Database!$A$1:$AS$1,),))))-(((VLOOKUP(EDATE(B86,-12),Database!$A:$AS,MATCH($T$1,Database!$A$1:$AS$1,),)))))/(((VLOOKUP(EDATE(B86,-12),Database!$A:$AS,MATCH($T$1,Database!$A$1:$AS$1,),))))</f>
        <v>-1.7595307913072244E-2</v>
      </c>
      <c r="U86" s="13">
        <f>((((VLOOKUP(B86,Database!$A:$AS,MATCH($U$1,Database!$A$1:$AS$1,),))))-(((VLOOKUP(EDATE(B86,-12),Database!$A:$AS,MATCH($U$1,Database!$A$1:$AS$1,),)))))/(((VLOOKUP(EDATE(B86,-12),Database!$A:$AS,MATCH($U$1,Database!$A$1:$AS$1,),))))</f>
        <v>0.11561933680335969</v>
      </c>
      <c r="V86" s="13">
        <f>((((VLOOKUP(B86,Database!$A:$AS,MATCH($V$1,Database!$A$1:$AS$1,),))))-(((VLOOKUP(EDATE(B86,-12),Database!$A:$AS,MATCH($V$1,Database!$A$1:$AS$1,),)))))/(((VLOOKUP(EDATE(B86,-12),Database!$A:$AS,MATCH($V$1,Database!$A$1:$AS$1,),))))</f>
        <v>9.3091136495966217E-2</v>
      </c>
    </row>
    <row r="87" spans="1:22" s="83" customFormat="1" x14ac:dyDescent="0.2">
      <c r="A87" s="43"/>
      <c r="B87" s="78">
        <v>34790</v>
      </c>
      <c r="C87" s="13">
        <f>((((VLOOKUP(B87,Database!$A:$AS,MATCH($C$1,Database!$A$1:$AS$1,),))))-(((VLOOKUP(EDATE(B87,-12),Database!$A:$AS,MATCH($C$1,Database!$A$1:$AS$1,),)))))/(((VLOOKUP(EDATE(B87,-12),Database!$A:$AS,MATCH($C$1,Database!$A$1:$AS$1,),))))</f>
        <v>4.844216064705173E-2</v>
      </c>
      <c r="D87" s="13">
        <f>((((VLOOKUP(B87,Database!$A:$AS,MATCH($D$1,Database!$A$1:$AS$1,),))))-(((VLOOKUP(EDATE(B87,-12),Database!$A:$AS,MATCH($D$1,Database!$A$1:$AS$1,),)))))/(((VLOOKUP(EDATE(B87,-12),Database!$A:$AS,MATCH($D$1,Database!$A$1:$AS$1,),))))</f>
        <v>4.3202033036848685E-2</v>
      </c>
      <c r="E87" s="13">
        <f>((((VLOOKUP(B87,Database!$A:$AS,MATCH($E$1,Database!$A$1:$AS$1,),))))-(((VLOOKUP(EDATE(B87,-12),Database!$A:$AS,MATCH($E$1,Database!$A$1:$AS$1,),)))))/(((VLOOKUP(EDATE(B87,-12),Database!$A:$AS,MATCH($E$1,Database!$A$1:$AS$1,),))))</f>
        <v>6.0479666317023693E-2</v>
      </c>
      <c r="F87" s="13">
        <f>((((VLOOKUP(B87,Database!$A:$AS,MATCH($F$1,Database!$A$1:$AS$1,),))))-(((VLOOKUP(EDATE(B87,-12),Database!$A:$AS,MATCH($F$1,Database!$A$1:$AS$1,),)))))/(((VLOOKUP(EDATE(B87,-12),Database!$A:$AS,MATCH($F$1,Database!$A$1:$AS$1,),))))</f>
        <v>2.62390670479982E-2</v>
      </c>
      <c r="G87" s="13">
        <f>((((VLOOKUP(B87,Database!$A:$AS,MATCH($G$1,Database!$A$1:$AS$1,),))))-(((VLOOKUP(EDATE(B87,-12),Database!$A:$AS,MATCH($G$1,Database!$A$1:$AS$1,),)))))/(((VLOOKUP(EDATE(B87,-12),Database!$A:$AS,MATCH($G$1,Database!$A$1:$AS$1,),))))</f>
        <v>4.2726461401160175E-2</v>
      </c>
      <c r="H87" s="13">
        <f>((((VLOOKUP(B87,Database!$A:$AS,MATCH($H$1,Database!$A$1:$AS$1,),))))-(((VLOOKUP(EDATE(B87,-12),Database!$A:$AS,MATCH($H$1,Database!$A$1:$AS$1,),)))))/(((VLOOKUP(EDATE(B87,-12),Database!$A:$AS,MATCH($H$1,Database!$A$1:$AS$1,),))))</f>
        <v>2.5608194616242454E-2</v>
      </c>
      <c r="I87" s="13">
        <f>((((VLOOKUP(B87,Database!$A:$AS,MATCH($I$1,Database!$A$1:$AS$1,),))))-(((VLOOKUP(EDATE(B87,-12),Database!$A:$AS,MATCH($I$1,Database!$A$1:$AS$1,),)))))/(((VLOOKUP(EDATE(B87,-12),Database!$A:$AS,MATCH($I$1,Database!$A$1:$AS$1,),))))</f>
        <v>5.7605760575158142E-2</v>
      </c>
      <c r="J87" s="13">
        <f>((((VLOOKUP(B87,Database!$A:$AS,MATCH($J$1,Database!$A$1:$AS$1,),))))-(((VLOOKUP(EDATE(B87,-12),Database!$A:$AS,MATCH($J$1,Database!$A$1:$AS$1,),)))))/(((VLOOKUP(EDATE(B87,-12),Database!$A:$AS,MATCH($J$1,Database!$A$1:$AS$1,),))))</f>
        <v>6.427965278377433E-2</v>
      </c>
      <c r="K87" s="13">
        <f>((((VLOOKUP(B87,Database!$A:$AS,MATCH($K$1,Database!$A$1:$AS$1,),))))-(((VLOOKUP(EDATE(B87,-12),Database!$A:$AS,MATCH($K$1,Database!$A$1:$AS$1,),)))))/(((VLOOKUP(EDATE(B87,-12),Database!$A:$AS,MATCH($K$1,Database!$A$1:$AS$1,),))))</f>
        <v>0.13816689467142354</v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>-0.12416448154187942</v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>-6.1093726278093681E-2</v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>0.15780939268038108</v>
      </c>
      <c r="O87" s="13">
        <f>((((VLOOKUP(B87,Database!$A:$AS,MATCH($O$1,Database!$A$1:$AS$1,),))))-(((VLOOKUP(EDATE(B87,-12),Database!$A:$AS,MATCH($O$1,Database!$A$1:$AS$1,),)))))/(((VLOOKUP(EDATE(B87,-12),Database!$A:$AS,MATCH($O$1,Database!$A$1:$AS$1,),))))</f>
        <v>6.7117164919240538E-2</v>
      </c>
      <c r="P87" s="13">
        <f>((((VLOOKUP(B87,Database!$A:$AS,MATCH($P$1,Database!$A$1:$AS$1,),))))-(((VLOOKUP(EDATE(B87,-12),Database!$A:$AS,MATCH($P$1,Database!$A$1:$AS$1,),)))))/(((VLOOKUP(EDATE(B87,-12),Database!$A:$AS,MATCH($P$1,Database!$A$1:$AS$1,),))))</f>
        <v>0.1520269035511298</v>
      </c>
      <c r="Q87" s="13">
        <f>((((VLOOKUP(B87,Database!$A:$AS,MATCH($Q$1,Database!$A$1:$AS$1,),))))-(((VLOOKUP(EDATE(B87,-12),Database!$A:$AS,MATCH($Q$1,Database!$A$1:$AS$1,),)))))/(((VLOOKUP(EDATE(B87,-12),Database!$A:$AS,MATCH($Q$1,Database!$A$1:$AS$1,),))))</f>
        <v>0.12624096090639658</v>
      </c>
      <c r="R87" s="13">
        <f>((((VLOOKUP(B87,Database!$A:$AS,MATCH($R$1,Database!$A$1:$AS$1,),))))-(((VLOOKUP(EDATE(B87,-12),Database!$A:$AS,MATCH($R$1,Database!$A$1:$AS$1,),)))))/(((VLOOKUP(EDATE(B87,-12),Database!$A:$AS,MATCH($R$1,Database!$A$1:$AS$1,),))))</f>
        <v>2.0932096261541189E-2</v>
      </c>
      <c r="S87" s="13">
        <f>((((VLOOKUP(B87,Database!$A:$AS,MATCH($S$1,Database!$A$1:$AS$1,),))))-(((VLOOKUP(EDATE(B87,-12),Database!$A:$AS,MATCH($S$1,Database!$A$1:$AS$1,),)))))/(((VLOOKUP(EDATE(B87,-12),Database!$A:$AS,MATCH($S$1,Database!$A$1:$AS$1,),))))</f>
        <v>0.16398713822168842</v>
      </c>
      <c r="T87" s="13">
        <f>((((VLOOKUP(B87,Database!$A:$AS,MATCH($T$1,Database!$A$1:$AS$1,),))))-(((VLOOKUP(EDATE(B87,-12),Database!$A:$AS,MATCH($T$1,Database!$A$1:$AS$1,),)))))/(((VLOOKUP(EDATE(B87,-12),Database!$A:$AS,MATCH($T$1,Database!$A$1:$AS$1,),))))</f>
        <v>0.13084112148979501</v>
      </c>
      <c r="U87" s="13">
        <f>((((VLOOKUP(B87,Database!$A:$AS,MATCH($U$1,Database!$A$1:$AS$1,),))))-(((VLOOKUP(EDATE(B87,-12),Database!$A:$AS,MATCH($U$1,Database!$A$1:$AS$1,),)))))/(((VLOOKUP(EDATE(B87,-12),Database!$A:$AS,MATCH($U$1,Database!$A$1:$AS$1,),))))</f>
        <v>0.1027149606965328</v>
      </c>
      <c r="V87" s="13">
        <f>((((VLOOKUP(B87,Database!$A:$AS,MATCH($V$1,Database!$A$1:$AS$1,),))))-(((VLOOKUP(EDATE(B87,-12),Database!$A:$AS,MATCH($V$1,Database!$A$1:$AS$1,),)))))/(((VLOOKUP(EDATE(B87,-12),Database!$A:$AS,MATCH($V$1,Database!$A$1:$AS$1,),))))</f>
        <v>9.2684873370968285E-2</v>
      </c>
    </row>
    <row r="88" spans="1:22" s="83" customFormat="1" x14ac:dyDescent="0.2">
      <c r="A88" s="43"/>
      <c r="B88" s="78">
        <v>34820</v>
      </c>
      <c r="C88" s="13">
        <f>((((VLOOKUP(B88,Database!$A:$AS,MATCH($C$1,Database!$A$1:$AS$1,),))))-(((VLOOKUP(EDATE(B88,-12),Database!$A:$AS,MATCH($C$1,Database!$A$1:$AS$1,),)))))/(((VLOOKUP(EDATE(B88,-12),Database!$A:$AS,MATCH($C$1,Database!$A$1:$AS$1,),))))</f>
        <v>4.8324712170867201E-2</v>
      </c>
      <c r="D88" s="13">
        <f>((((VLOOKUP(B88,Database!$A:$AS,MATCH($D$1,Database!$A$1:$AS$1,),))))-(((VLOOKUP(EDATE(B88,-12),Database!$A:$AS,MATCH($D$1,Database!$A$1:$AS$1,),)))))/(((VLOOKUP(EDATE(B88,-12),Database!$A:$AS,MATCH($D$1,Database!$A$1:$AS$1,),))))</f>
        <v>4.9681528662420454E-2</v>
      </c>
      <c r="E88" s="13">
        <f>((((VLOOKUP(B88,Database!$A:$AS,MATCH($E$1,Database!$A$1:$AS$1,),))))-(((VLOOKUP(EDATE(B88,-12),Database!$A:$AS,MATCH($E$1,Database!$A$1:$AS$1,),)))))/(((VLOOKUP(EDATE(B88,-12),Database!$A:$AS,MATCH($E$1,Database!$A$1:$AS$1,),))))</f>
        <v>4.3841336121036155E-2</v>
      </c>
      <c r="F88" s="13">
        <f>((((VLOOKUP(B88,Database!$A:$AS,MATCH($F$1,Database!$A$1:$AS$1,),))))-(((VLOOKUP(EDATE(B88,-12),Database!$A:$AS,MATCH($F$1,Database!$A$1:$AS$1,),)))))/(((VLOOKUP(EDATE(B88,-12),Database!$A:$AS,MATCH($F$1,Database!$A$1:$AS$1,),))))</f>
        <v>3.6603221082855089E-2</v>
      </c>
      <c r="G88" s="13">
        <f>((((VLOOKUP(B88,Database!$A:$AS,MATCH($G$1,Database!$A$1:$AS$1,),))))-(((VLOOKUP(EDATE(B88,-12),Database!$A:$AS,MATCH($G$1,Database!$A$1:$AS$1,),)))))/(((VLOOKUP(EDATE(B88,-12),Database!$A:$AS,MATCH($G$1,Database!$A$1:$AS$1,),))))</f>
        <v>3.8401428890377294E-2</v>
      </c>
      <c r="H88" s="13">
        <f>((((VLOOKUP(B88,Database!$A:$AS,MATCH($H$1,Database!$A$1:$AS$1,),))))-(((VLOOKUP(EDATE(B88,-12),Database!$A:$AS,MATCH($H$1,Database!$A$1:$AS$1,),)))))/(((VLOOKUP(EDATE(B88,-12),Database!$A:$AS,MATCH($H$1,Database!$A$1:$AS$1,),))))</f>
        <v>1.1378002528147768E-2</v>
      </c>
      <c r="I88" s="13">
        <f>((((VLOOKUP(B88,Database!$A:$AS,MATCH($I$1,Database!$A$1:$AS$1,),))))-(((VLOOKUP(EDATE(B88,-12),Database!$A:$AS,MATCH($I$1,Database!$A$1:$AS$1,),)))))/(((VLOOKUP(EDATE(B88,-12),Database!$A:$AS,MATCH($I$1,Database!$A$1:$AS$1,),))))</f>
        <v>6.0089686096716027E-2</v>
      </c>
      <c r="J88" s="13">
        <f>((((VLOOKUP(B88,Database!$A:$AS,MATCH($J$1,Database!$A$1:$AS$1,),))))-(((VLOOKUP(EDATE(B88,-12),Database!$A:$AS,MATCH($J$1,Database!$A$1:$AS$1,),)))))/(((VLOOKUP(EDATE(B88,-12),Database!$A:$AS,MATCH($J$1,Database!$A$1:$AS$1,),))))</f>
        <v>8.4322169550982359E-2</v>
      </c>
      <c r="K88" s="13">
        <f>((((VLOOKUP(B88,Database!$A:$AS,MATCH($K$1,Database!$A$1:$AS$1,),))))-(((VLOOKUP(EDATE(B88,-12),Database!$A:$AS,MATCH($K$1,Database!$A$1:$AS$1,),)))))/(((VLOOKUP(EDATE(B88,-12),Database!$A:$AS,MATCH($K$1,Database!$A$1:$AS$1,),))))</f>
        <v>0.1273712737098073</v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>-0.12042216074608086</v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>1.6908594558294023E-4</v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>0.12995042696556036</v>
      </c>
      <c r="O88" s="13">
        <f>((((VLOOKUP(B88,Database!$A:$AS,MATCH($O$1,Database!$A$1:$AS$1,),))))-(((VLOOKUP(EDATE(B88,-12),Database!$A:$AS,MATCH($O$1,Database!$A$1:$AS$1,),)))))/(((VLOOKUP(EDATE(B88,-12),Database!$A:$AS,MATCH($O$1,Database!$A$1:$AS$1,),))))</f>
        <v>5.5920243612955188E-2</v>
      </c>
      <c r="P88" s="13">
        <f>((((VLOOKUP(B88,Database!$A:$AS,MATCH($P$1,Database!$A$1:$AS$1,),))))-(((VLOOKUP(EDATE(B88,-12),Database!$A:$AS,MATCH($P$1,Database!$A$1:$AS$1,),)))))/(((VLOOKUP(EDATE(B88,-12),Database!$A:$AS,MATCH($P$1,Database!$A$1:$AS$1,),))))</f>
        <v>0.10019131297607067</v>
      </c>
      <c r="Q88" s="13">
        <f>((((VLOOKUP(B88,Database!$A:$AS,MATCH($Q$1,Database!$A$1:$AS$1,),))))-(((VLOOKUP(EDATE(B88,-12),Database!$A:$AS,MATCH($Q$1,Database!$A$1:$AS$1,),)))))/(((VLOOKUP(EDATE(B88,-12),Database!$A:$AS,MATCH($Q$1,Database!$A$1:$AS$1,),))))</f>
        <v>-2.5092603657059988E-2</v>
      </c>
      <c r="R88" s="13">
        <f>((((VLOOKUP(B88,Database!$A:$AS,MATCH($R$1,Database!$A$1:$AS$1,),))))-(((VLOOKUP(EDATE(B88,-12),Database!$A:$AS,MATCH($R$1,Database!$A$1:$AS$1,),)))))/(((VLOOKUP(EDATE(B88,-12),Database!$A:$AS,MATCH($R$1,Database!$A$1:$AS$1,),))))</f>
        <v>2.7389667064198066E-2</v>
      </c>
      <c r="S88" s="13">
        <f>((((VLOOKUP(B88,Database!$A:$AS,MATCH($S$1,Database!$A$1:$AS$1,),))))-(((VLOOKUP(EDATE(B88,-12),Database!$A:$AS,MATCH($S$1,Database!$A$1:$AS$1,),)))))/(((VLOOKUP(EDATE(B88,-12),Database!$A:$AS,MATCH($S$1,Database!$A$1:$AS$1,),))))</f>
        <v>0.21103896101072434</v>
      </c>
      <c r="T88" s="13">
        <f>((((VLOOKUP(B88,Database!$A:$AS,MATCH($T$1,Database!$A$1:$AS$1,),))))-(((VLOOKUP(EDATE(B88,-12),Database!$A:$AS,MATCH($T$1,Database!$A$1:$AS$1,),)))))/(((VLOOKUP(EDATE(B88,-12),Database!$A:$AS,MATCH($T$1,Database!$A$1:$AS$1,),))))</f>
        <v>0.1285266457749045</v>
      </c>
      <c r="U88" s="13">
        <f>((((VLOOKUP(B88,Database!$A:$AS,MATCH($U$1,Database!$A$1:$AS$1,),))))-(((VLOOKUP(EDATE(B88,-12),Database!$A:$AS,MATCH($U$1,Database!$A$1:$AS$1,),)))))/(((VLOOKUP(EDATE(B88,-12),Database!$A:$AS,MATCH($U$1,Database!$A$1:$AS$1,),))))</f>
        <v>4.9667553221917696E-2</v>
      </c>
      <c r="V88" s="13">
        <f>((((VLOOKUP(B88,Database!$A:$AS,MATCH($V$1,Database!$A$1:$AS$1,),))))-(((VLOOKUP(EDATE(B88,-12),Database!$A:$AS,MATCH($V$1,Database!$A$1:$AS$1,),)))))/(((VLOOKUP(EDATE(B88,-12),Database!$A:$AS,MATCH($V$1,Database!$A$1:$AS$1,),))))</f>
        <v>0.11610133569063358</v>
      </c>
    </row>
    <row r="89" spans="1:22" s="83" customFormat="1" x14ac:dyDescent="0.2">
      <c r="A89" s="43"/>
      <c r="B89" s="78">
        <v>34851</v>
      </c>
      <c r="C89" s="13">
        <f>((((VLOOKUP(B89,Database!$A:$AS,MATCH($C$1,Database!$A$1:$AS$1,),))))-(((VLOOKUP(EDATE(B89,-12),Database!$A:$AS,MATCH($C$1,Database!$A$1:$AS$1,),)))))/(((VLOOKUP(EDATE(B89,-12),Database!$A:$AS,MATCH($C$1,Database!$A$1:$AS$1,),))))</f>
        <v>4.4908121715654586E-2</v>
      </c>
      <c r="D89" s="13">
        <f>((((VLOOKUP(B89,Database!$A:$AS,MATCH($D$1,Database!$A$1:$AS$1,),))))-(((VLOOKUP(EDATE(B89,-12),Database!$A:$AS,MATCH($D$1,Database!$A$1:$AS$1,),)))))/(((VLOOKUP(EDATE(B89,-12),Database!$A:$AS,MATCH($D$1,Database!$A$1:$AS$1,),))))</f>
        <v>3.7926675094816689E-2</v>
      </c>
      <c r="E89" s="13">
        <f>((((VLOOKUP(B89,Database!$A:$AS,MATCH($E$1,Database!$A$1:$AS$1,),))))-(((VLOOKUP(EDATE(B89,-12),Database!$A:$AS,MATCH($E$1,Database!$A$1:$AS$1,),)))))/(((VLOOKUP(EDATE(B89,-12),Database!$A:$AS,MATCH($E$1,Database!$A$1:$AS$1,),))))</f>
        <v>2.9896907215729764E-2</v>
      </c>
      <c r="F89" s="13">
        <f>((((VLOOKUP(B89,Database!$A:$AS,MATCH($F$1,Database!$A$1:$AS$1,),))))-(((VLOOKUP(EDATE(B89,-12),Database!$A:$AS,MATCH($F$1,Database!$A$1:$AS$1,),)))))/(((VLOOKUP(EDATE(B89,-12),Database!$A:$AS,MATCH($F$1,Database!$A$1:$AS$1,),))))</f>
        <v>1.7441860474919746E-2</v>
      </c>
      <c r="G89" s="13">
        <f>((((VLOOKUP(B89,Database!$A:$AS,MATCH($G$1,Database!$A$1:$AS$1,),))))-(((VLOOKUP(EDATE(B89,-12),Database!$A:$AS,MATCH($G$1,Database!$A$1:$AS$1,),)))))/(((VLOOKUP(EDATE(B89,-12),Database!$A:$AS,MATCH($G$1,Database!$A$1:$AS$1,),))))</f>
        <v>4.0088839533592442E-2</v>
      </c>
      <c r="H89" s="13">
        <f>((((VLOOKUP(B89,Database!$A:$AS,MATCH($H$1,Database!$A$1:$AS$1,),))))-(((VLOOKUP(EDATE(B89,-12),Database!$A:$AS,MATCH($H$1,Database!$A$1:$AS$1,),)))))/(((VLOOKUP(EDATE(B89,-12),Database!$A:$AS,MATCH($H$1,Database!$A$1:$AS$1,),))))</f>
        <v>1.662404092159794E-2</v>
      </c>
      <c r="I89" s="13">
        <f>((((VLOOKUP(B89,Database!$A:$AS,MATCH($I$1,Database!$A$1:$AS$1,),))))-(((VLOOKUP(EDATE(B89,-12),Database!$A:$AS,MATCH($I$1,Database!$A$1:$AS$1,),)))))/(((VLOOKUP(EDATE(B89,-12),Database!$A:$AS,MATCH($I$1,Database!$A$1:$AS$1,),))))</f>
        <v>4.7957371220970726E-2</v>
      </c>
      <c r="J89" s="13">
        <f>((((VLOOKUP(B89,Database!$A:$AS,MATCH($J$1,Database!$A$1:$AS$1,),))))-(((VLOOKUP(EDATE(B89,-12),Database!$A:$AS,MATCH($J$1,Database!$A$1:$AS$1,),)))))/(((VLOOKUP(EDATE(B89,-12),Database!$A:$AS,MATCH($J$1,Database!$A$1:$AS$1,),))))</f>
        <v>5.7949676084827546E-2</v>
      </c>
      <c r="K89" s="13">
        <f>((((VLOOKUP(B89,Database!$A:$AS,MATCH($K$1,Database!$A$1:$AS$1,),))))-(((VLOOKUP(EDATE(B89,-12),Database!$A:$AS,MATCH($K$1,Database!$A$1:$AS$1,),)))))/(((VLOOKUP(EDATE(B89,-12),Database!$A:$AS,MATCH($K$1,Database!$A$1:$AS$1,),))))</f>
        <v>0.11481975967929181</v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>-0.12535653003596481</v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>1.0762923276700849E-2</v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>0.11132067128466958</v>
      </c>
      <c r="O89" s="13">
        <f>((((VLOOKUP(B89,Database!$A:$AS,MATCH($O$1,Database!$A$1:$AS$1,),))))-(((VLOOKUP(EDATE(B89,-12),Database!$A:$AS,MATCH($O$1,Database!$A$1:$AS$1,),)))))/(((VLOOKUP(EDATE(B89,-12),Database!$A:$AS,MATCH($O$1,Database!$A$1:$AS$1,),))))</f>
        <v>4.0474885267326649E-2</v>
      </c>
      <c r="P89" s="13">
        <f>((((VLOOKUP(B89,Database!$A:$AS,MATCH($P$1,Database!$A$1:$AS$1,),))))-(((VLOOKUP(EDATE(B89,-12),Database!$A:$AS,MATCH($P$1,Database!$A$1:$AS$1,),)))))/(((VLOOKUP(EDATE(B89,-12),Database!$A:$AS,MATCH($P$1,Database!$A$1:$AS$1,),))))</f>
        <v>0.12367676342061534</v>
      </c>
      <c r="Q89" s="13">
        <f>((((VLOOKUP(B89,Database!$A:$AS,MATCH($Q$1,Database!$A$1:$AS$1,),))))-(((VLOOKUP(EDATE(B89,-12),Database!$A:$AS,MATCH($Q$1,Database!$A$1:$AS$1,),)))))/(((VLOOKUP(EDATE(B89,-12),Database!$A:$AS,MATCH($Q$1,Database!$A$1:$AS$1,),))))</f>
        <v>3.74910735547824E-2</v>
      </c>
      <c r="R89" s="13">
        <f>((((VLOOKUP(B89,Database!$A:$AS,MATCH($R$1,Database!$A$1:$AS$1,),))))-(((VLOOKUP(EDATE(B89,-12),Database!$A:$AS,MATCH($R$1,Database!$A$1:$AS$1,),)))))/(((VLOOKUP(EDATE(B89,-12),Database!$A:$AS,MATCH($R$1,Database!$A$1:$AS$1,),))))</f>
        <v>1.5816764739535853E-2</v>
      </c>
      <c r="S89" s="13">
        <f>((((VLOOKUP(B89,Database!$A:$AS,MATCH($S$1,Database!$A$1:$AS$1,),))))-(((VLOOKUP(EDATE(B89,-12),Database!$A:$AS,MATCH($S$1,Database!$A$1:$AS$1,),)))))/(((VLOOKUP(EDATE(B89,-12),Database!$A:$AS,MATCH($S$1,Database!$A$1:$AS$1,),))))</f>
        <v>0.13750000000921314</v>
      </c>
      <c r="T89" s="13">
        <f>((((VLOOKUP(B89,Database!$A:$AS,MATCH($T$1,Database!$A$1:$AS$1,),))))-(((VLOOKUP(EDATE(B89,-12),Database!$A:$AS,MATCH($T$1,Database!$A$1:$AS$1,),)))))/(((VLOOKUP(EDATE(B89,-12),Database!$A:$AS,MATCH($T$1,Database!$A$1:$AS$1,),))))</f>
        <v>0.23178807946142635</v>
      </c>
      <c r="U89" s="13">
        <f>((((VLOOKUP(B89,Database!$A:$AS,MATCH($U$1,Database!$A$1:$AS$1,),))))-(((VLOOKUP(EDATE(B89,-12),Database!$A:$AS,MATCH($U$1,Database!$A$1:$AS$1,),)))))/(((VLOOKUP(EDATE(B89,-12),Database!$A:$AS,MATCH($U$1,Database!$A$1:$AS$1,),))))</f>
        <v>7.2145570836266604E-2</v>
      </c>
      <c r="V89" s="13">
        <f>((((VLOOKUP(B89,Database!$A:$AS,MATCH($V$1,Database!$A$1:$AS$1,),))))-(((VLOOKUP(EDATE(B89,-12),Database!$A:$AS,MATCH($V$1,Database!$A$1:$AS$1,),)))))/(((VLOOKUP(EDATE(B89,-12),Database!$A:$AS,MATCH($V$1,Database!$A$1:$AS$1,),))))</f>
        <v>0.10459539152128196</v>
      </c>
    </row>
    <row r="90" spans="1:22" s="83" customFormat="1" x14ac:dyDescent="0.2">
      <c r="A90" s="43"/>
      <c r="B90" s="78">
        <v>34881</v>
      </c>
      <c r="C90" s="13">
        <f>((((VLOOKUP(B90,Database!$A:$AS,MATCH($C$1,Database!$A$1:$AS$1,),))))-(((VLOOKUP(EDATE(B90,-12),Database!$A:$AS,MATCH($C$1,Database!$A$1:$AS$1,),)))))/(((VLOOKUP(EDATE(B90,-12),Database!$A:$AS,MATCH($C$1,Database!$A$1:$AS$1,),))))</f>
        <v>3.8933524106937192E-2</v>
      </c>
      <c r="D90" s="13">
        <f>((((VLOOKUP(B90,Database!$A:$AS,MATCH($D$1,Database!$A$1:$AS$1,),))))-(((VLOOKUP(EDATE(B90,-12),Database!$A:$AS,MATCH($D$1,Database!$A$1:$AS$1,),)))))/(((VLOOKUP(EDATE(B90,-12),Database!$A:$AS,MATCH($D$1,Database!$A$1:$AS$1,),))))</f>
        <v>3.5308953341740196E-2</v>
      </c>
      <c r="E90" s="13">
        <f>((((VLOOKUP(B90,Database!$A:$AS,MATCH($E$1,Database!$A$1:$AS$1,),))))-(((VLOOKUP(EDATE(B90,-12),Database!$A:$AS,MATCH($E$1,Database!$A$1:$AS$1,),)))))/(((VLOOKUP(EDATE(B90,-12),Database!$A:$AS,MATCH($E$1,Database!$A$1:$AS$1,),))))</f>
        <v>5.1020408189448039E-3</v>
      </c>
      <c r="F90" s="13">
        <f>((((VLOOKUP(B90,Database!$A:$AS,MATCH($F$1,Database!$A$1:$AS$1,),))))-(((VLOOKUP(EDATE(B90,-12),Database!$A:$AS,MATCH($F$1,Database!$A$1:$AS$1,),)))))/(((VLOOKUP(EDATE(B90,-12),Database!$A:$AS,MATCH($F$1,Database!$A$1:$AS$1,),))))</f>
        <v>1.8978102194341925E-2</v>
      </c>
      <c r="G90" s="13">
        <f>((((VLOOKUP(B90,Database!$A:$AS,MATCH($G$1,Database!$A$1:$AS$1,),))))-(((VLOOKUP(EDATE(B90,-12),Database!$A:$AS,MATCH($G$1,Database!$A$1:$AS$1,),)))))/(((VLOOKUP(EDATE(B90,-12),Database!$A:$AS,MATCH($G$1,Database!$A$1:$AS$1,),))))</f>
        <v>3.5443037974683532E-2</v>
      </c>
      <c r="H90" s="13">
        <f>((((VLOOKUP(B90,Database!$A:$AS,MATCH($H$1,Database!$A$1:$AS$1,),))))-(((VLOOKUP(EDATE(B90,-12),Database!$A:$AS,MATCH($H$1,Database!$A$1:$AS$1,),)))))/(((VLOOKUP(EDATE(B90,-12),Database!$A:$AS,MATCH($H$1,Database!$A$1:$AS$1,),))))</f>
        <v>1.9083969461178723E-2</v>
      </c>
      <c r="I90" s="13">
        <f>((((VLOOKUP(B90,Database!$A:$AS,MATCH($I$1,Database!$A$1:$AS$1,),))))-(((VLOOKUP(EDATE(B90,-12),Database!$A:$AS,MATCH($I$1,Database!$A$1:$AS$1,),)))))/(((VLOOKUP(EDATE(B90,-12),Database!$A:$AS,MATCH($I$1,Database!$A$1:$AS$1,),))))</f>
        <v>4.521276596275229E-2</v>
      </c>
      <c r="J90" s="13">
        <f>((((VLOOKUP(B90,Database!$A:$AS,MATCH($J$1,Database!$A$1:$AS$1,),))))-(((VLOOKUP(EDATE(B90,-12),Database!$A:$AS,MATCH($J$1,Database!$A$1:$AS$1,),)))))/(((VLOOKUP(EDATE(B90,-12),Database!$A:$AS,MATCH($J$1,Database!$A$1:$AS$1,),))))</f>
        <v>3.3817052346909064E-2</v>
      </c>
      <c r="K90" s="13">
        <f>((((VLOOKUP(B90,Database!$A:$AS,MATCH($K$1,Database!$A$1:$AS$1,),))))-(((VLOOKUP(EDATE(B90,-12),Database!$A:$AS,MATCH($K$1,Database!$A$1:$AS$1,),)))))/(((VLOOKUP(EDATE(B90,-12),Database!$A:$AS,MATCH($K$1,Database!$A$1:$AS$1,),))))</f>
        <v>0.14383561644445603</v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>-0.12638559860299342</v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>2.5613769027628693E-2</v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>0.12781117596008926</v>
      </c>
      <c r="O90" s="13">
        <f>((((VLOOKUP(B90,Database!$A:$AS,MATCH($O$1,Database!$A$1:$AS$1,),))))-(((VLOOKUP(EDATE(B90,-12),Database!$A:$AS,MATCH($O$1,Database!$A$1:$AS$1,),)))))/(((VLOOKUP(EDATE(B90,-12),Database!$A:$AS,MATCH($O$1,Database!$A$1:$AS$1,),))))</f>
        <v>3.7427875810617552E-2</v>
      </c>
      <c r="P90" s="13">
        <f>((((VLOOKUP(B90,Database!$A:$AS,MATCH($P$1,Database!$A$1:$AS$1,),))))-(((VLOOKUP(EDATE(B90,-12),Database!$A:$AS,MATCH($P$1,Database!$A$1:$AS$1,),)))))/(((VLOOKUP(EDATE(B90,-12),Database!$A:$AS,MATCH($P$1,Database!$A$1:$AS$1,),))))</f>
        <v>0.16701741652110319</v>
      </c>
      <c r="Q90" s="13">
        <f>((((VLOOKUP(B90,Database!$A:$AS,MATCH($Q$1,Database!$A$1:$AS$1,),))))-(((VLOOKUP(EDATE(B90,-12),Database!$A:$AS,MATCH($Q$1,Database!$A$1:$AS$1,),)))))/(((VLOOKUP(EDATE(B90,-12),Database!$A:$AS,MATCH($Q$1,Database!$A$1:$AS$1,),))))</f>
        <v>7.108162538194138E-3</v>
      </c>
      <c r="R90" s="13">
        <f>((((VLOOKUP(B90,Database!$A:$AS,MATCH($R$1,Database!$A$1:$AS$1,),))))-(((VLOOKUP(EDATE(B90,-12),Database!$A:$AS,MATCH($R$1,Database!$A$1:$AS$1,),)))))/(((VLOOKUP(EDATE(B90,-12),Database!$A:$AS,MATCH($R$1,Database!$A$1:$AS$1,),))))</f>
        <v>3.4732946907622807E-3</v>
      </c>
      <c r="S90" s="13">
        <f>((((VLOOKUP(B90,Database!$A:$AS,MATCH($S$1,Database!$A$1:$AS$1,),))))-(((VLOOKUP(EDATE(B90,-12),Database!$A:$AS,MATCH($S$1,Database!$A$1:$AS$1,),)))))/(((VLOOKUP(EDATE(B90,-12),Database!$A:$AS,MATCH($S$1,Database!$A$1:$AS$1,),))))</f>
        <v>0.22903225811833469</v>
      </c>
      <c r="T90" s="13">
        <f>((((VLOOKUP(B90,Database!$A:$AS,MATCH($T$1,Database!$A$1:$AS$1,),))))-(((VLOOKUP(EDATE(B90,-12),Database!$A:$AS,MATCH($T$1,Database!$A$1:$AS$1,),)))))/(((VLOOKUP(EDATE(B90,-12),Database!$A:$AS,MATCH($T$1,Database!$A$1:$AS$1,),))))</f>
        <v>0.19230769228426831</v>
      </c>
      <c r="U90" s="13">
        <f>((((VLOOKUP(B90,Database!$A:$AS,MATCH($U$1,Database!$A$1:$AS$1,),))))-(((VLOOKUP(EDATE(B90,-12),Database!$A:$AS,MATCH($U$1,Database!$A$1:$AS$1,),)))))/(((VLOOKUP(EDATE(B90,-12),Database!$A:$AS,MATCH($U$1,Database!$A$1:$AS$1,),))))</f>
        <v>2.6229904045902769E-2</v>
      </c>
      <c r="V90" s="13">
        <f>((((VLOOKUP(B90,Database!$A:$AS,MATCH($V$1,Database!$A$1:$AS$1,),))))-(((VLOOKUP(EDATE(B90,-12),Database!$A:$AS,MATCH($V$1,Database!$A$1:$AS$1,),)))))/(((VLOOKUP(EDATE(B90,-12),Database!$A:$AS,MATCH($V$1,Database!$A$1:$AS$1,),))))</f>
        <v>0.10670845691623232</v>
      </c>
    </row>
    <row r="91" spans="1:22" s="83" customFormat="1" x14ac:dyDescent="0.2">
      <c r="A91" s="43"/>
      <c r="B91" s="78">
        <v>34912</v>
      </c>
      <c r="C91" s="13">
        <f>((((VLOOKUP(B91,Database!$A:$AS,MATCH($C$1,Database!$A$1:$AS$1,),))))-(((VLOOKUP(EDATE(B91,-12),Database!$A:$AS,MATCH($C$1,Database!$A$1:$AS$1,),)))))/(((VLOOKUP(EDATE(B91,-12),Database!$A:$AS,MATCH($C$1,Database!$A$1:$AS$1,),))))</f>
        <v>4.5734698758429455E-2</v>
      </c>
      <c r="D91" s="13">
        <f>((((VLOOKUP(B91,Database!$A:$AS,MATCH($D$1,Database!$A$1:$AS$1,),))))-(((VLOOKUP(EDATE(B91,-12),Database!$A:$AS,MATCH($D$1,Database!$A$1:$AS$1,),)))))/(((VLOOKUP(EDATE(B91,-12),Database!$A:$AS,MATCH($D$1,Database!$A$1:$AS$1,),))))</f>
        <v>3.0150753768844296E-2</v>
      </c>
      <c r="E91" s="13">
        <f>((((VLOOKUP(B91,Database!$A:$AS,MATCH($E$1,Database!$A$1:$AS$1,),))))-(((VLOOKUP(EDATE(B91,-12),Database!$A:$AS,MATCH($E$1,Database!$A$1:$AS$1,),)))))/(((VLOOKUP(EDATE(B91,-12),Database!$A:$AS,MATCH($E$1,Database!$A$1:$AS$1,),))))</f>
        <v>1.2145748986076349E-2</v>
      </c>
      <c r="F91" s="13">
        <f>((((VLOOKUP(B91,Database!$A:$AS,MATCH($F$1,Database!$A$1:$AS$1,),))))-(((VLOOKUP(EDATE(B91,-12),Database!$A:$AS,MATCH($F$1,Database!$A$1:$AS$1,),)))))/(((VLOOKUP(EDATE(B91,-12),Database!$A:$AS,MATCH($F$1,Database!$A$1:$AS$1,),))))</f>
        <v>7.2992700758699571E-3</v>
      </c>
      <c r="G91" s="13">
        <f>((((VLOOKUP(B91,Database!$A:$AS,MATCH($G$1,Database!$A$1:$AS$1,),))))-(((VLOOKUP(EDATE(B91,-12),Database!$A:$AS,MATCH($G$1,Database!$A$1:$AS$1,),)))))/(((VLOOKUP(EDATE(B91,-12),Database!$A:$AS,MATCH($G$1,Database!$A$1:$AS$1,),))))</f>
        <v>2.3423817863397554E-2</v>
      </c>
      <c r="H91" s="13">
        <f>((((VLOOKUP(B91,Database!$A:$AS,MATCH($H$1,Database!$A$1:$AS$1,),))))-(((VLOOKUP(EDATE(B91,-12),Database!$A:$AS,MATCH($H$1,Database!$A$1:$AS$1,),)))))/(((VLOOKUP(EDATE(B91,-12),Database!$A:$AS,MATCH($H$1,Database!$A$1:$AS$1,),))))</f>
        <v>1.6476552599211512E-2</v>
      </c>
      <c r="I91" s="13">
        <f>((((VLOOKUP(B91,Database!$A:$AS,MATCH($I$1,Database!$A$1:$AS$1,),))))-(((VLOOKUP(EDATE(B91,-12),Database!$A:$AS,MATCH($I$1,Database!$A$1:$AS$1,),)))))/(((VLOOKUP(EDATE(B91,-12),Database!$A:$AS,MATCH($I$1,Database!$A$1:$AS$1,),))))</f>
        <v>6.0070671373065765E-2</v>
      </c>
      <c r="J91" s="13">
        <f>((((VLOOKUP(B91,Database!$A:$AS,MATCH($J$1,Database!$A$1:$AS$1,),))))-(((VLOOKUP(EDATE(B91,-12),Database!$A:$AS,MATCH($J$1,Database!$A$1:$AS$1,),)))))/(((VLOOKUP(EDATE(B91,-12),Database!$A:$AS,MATCH($J$1,Database!$A$1:$AS$1,),))))</f>
        <v>3.3837372322805911E-2</v>
      </c>
      <c r="K91" s="13">
        <f>((((VLOOKUP(B91,Database!$A:$AS,MATCH($K$1,Database!$A$1:$AS$1,),))))-(((VLOOKUP(EDATE(B91,-12),Database!$A:$AS,MATCH($K$1,Database!$A$1:$AS$1,),)))))/(((VLOOKUP(EDATE(B91,-12),Database!$A:$AS,MATCH($K$1,Database!$A$1:$AS$1,),))))</f>
        <v>0.12214765100845072</v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>-0.12585307318999456</v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>3.7930466115024654E-3</v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>0.1241398526561502</v>
      </c>
      <c r="O91" s="13">
        <f>((((VLOOKUP(B91,Database!$A:$AS,MATCH($O$1,Database!$A$1:$AS$1,),))))-(((VLOOKUP(EDATE(B91,-12),Database!$A:$AS,MATCH($O$1,Database!$A$1:$AS$1,),)))))/(((VLOOKUP(EDATE(B91,-12),Database!$A:$AS,MATCH($O$1,Database!$A$1:$AS$1,),))))</f>
        <v>3.0738303026019868E-2</v>
      </c>
      <c r="P91" s="13">
        <f>((((VLOOKUP(B91,Database!$A:$AS,MATCH($P$1,Database!$A$1:$AS$1,),))))-(((VLOOKUP(EDATE(B91,-12),Database!$A:$AS,MATCH($P$1,Database!$A$1:$AS$1,),)))))/(((VLOOKUP(EDATE(B91,-12),Database!$A:$AS,MATCH($P$1,Database!$A$1:$AS$1,),))))</f>
        <v>0.14344291270950532</v>
      </c>
      <c r="Q91" s="13">
        <f>((((VLOOKUP(B91,Database!$A:$AS,MATCH($Q$1,Database!$A$1:$AS$1,),))))-(((VLOOKUP(EDATE(B91,-12),Database!$A:$AS,MATCH($Q$1,Database!$A$1:$AS$1,),)))))/(((VLOOKUP(EDATE(B91,-12),Database!$A:$AS,MATCH($Q$1,Database!$A$1:$AS$1,),))))</f>
        <v>-5.9123343529407589E-2</v>
      </c>
      <c r="R91" s="13">
        <f>((((VLOOKUP(B91,Database!$A:$AS,MATCH($R$1,Database!$A$1:$AS$1,),))))-(((VLOOKUP(EDATE(B91,-12),Database!$A:$AS,MATCH($R$1,Database!$A$1:$AS$1,),)))))/(((VLOOKUP(EDATE(B91,-12),Database!$A:$AS,MATCH($R$1,Database!$A$1:$AS$1,),))))</f>
        <v>1.7320822944661834E-3</v>
      </c>
      <c r="S91" s="13">
        <f>((((VLOOKUP(B91,Database!$A:$AS,MATCH($S$1,Database!$A$1:$AS$1,),))))-(((VLOOKUP(EDATE(B91,-12),Database!$A:$AS,MATCH($S$1,Database!$A$1:$AS$1,),)))))/(((VLOOKUP(EDATE(B91,-12),Database!$A:$AS,MATCH($S$1,Database!$A$1:$AS$1,),))))</f>
        <v>0.20743034055485332</v>
      </c>
      <c r="T91" s="13">
        <f>((((VLOOKUP(B91,Database!$A:$AS,MATCH($T$1,Database!$A$1:$AS$1,),))))-(((VLOOKUP(EDATE(B91,-12),Database!$A:$AS,MATCH($T$1,Database!$A$1:$AS$1,),)))))/(((VLOOKUP(EDATE(B91,-12),Database!$A:$AS,MATCH($T$1,Database!$A$1:$AS$1,),))))</f>
        <v>0.13173652691795812</v>
      </c>
      <c r="U91" s="13">
        <f>((((VLOOKUP(B91,Database!$A:$AS,MATCH($U$1,Database!$A$1:$AS$1,),))))-(((VLOOKUP(EDATE(B91,-12),Database!$A:$AS,MATCH($U$1,Database!$A$1:$AS$1,),)))))/(((VLOOKUP(EDATE(B91,-12),Database!$A:$AS,MATCH($U$1,Database!$A$1:$AS$1,),))))</f>
        <v>7.0618979133705559E-2</v>
      </c>
      <c r="V91" s="13">
        <f>((((VLOOKUP(B91,Database!$A:$AS,MATCH($V$1,Database!$A$1:$AS$1,),))))-(((VLOOKUP(EDATE(B91,-12),Database!$A:$AS,MATCH($V$1,Database!$A$1:$AS$1,),)))))/(((VLOOKUP(EDATE(B91,-12),Database!$A:$AS,MATCH($V$1,Database!$A$1:$AS$1,),))))</f>
        <v>5.8279212977915072E-2</v>
      </c>
    </row>
    <row r="92" spans="1:22" s="83" customFormat="1" x14ac:dyDescent="0.2">
      <c r="A92" s="43"/>
      <c r="B92" s="78">
        <v>34943</v>
      </c>
      <c r="C92" s="13">
        <f>((((VLOOKUP(B92,Database!$A:$AS,MATCH($C$1,Database!$A$1:$AS$1,),))))-(((VLOOKUP(EDATE(B92,-12),Database!$A:$AS,MATCH($C$1,Database!$A$1:$AS$1,),)))))/(((VLOOKUP(EDATE(B92,-12),Database!$A:$AS,MATCH($C$1,Database!$A$1:$AS$1,),))))</f>
        <v>4.6731411261076425E-2</v>
      </c>
      <c r="D92" s="13">
        <f>((((VLOOKUP(B92,Database!$A:$AS,MATCH($D$1,Database!$A$1:$AS$1,),))))-(((VLOOKUP(EDATE(B92,-12),Database!$A:$AS,MATCH($D$1,Database!$A$1:$AS$1,),)))))/(((VLOOKUP(EDATE(B92,-12),Database!$A:$AS,MATCH($D$1,Database!$A$1:$AS$1,),))))</f>
        <v>3.0000000000000072E-2</v>
      </c>
      <c r="E92" s="13">
        <f>((((VLOOKUP(B92,Database!$A:$AS,MATCH($E$1,Database!$A$1:$AS$1,),))))-(((VLOOKUP(EDATE(B92,-12),Database!$A:$AS,MATCH($E$1,Database!$A$1:$AS$1,),)))))/(((VLOOKUP(EDATE(B92,-12),Database!$A:$AS,MATCH($E$1,Database!$A$1:$AS$1,),))))</f>
        <v>6.1349693242873891E-3</v>
      </c>
      <c r="F92" s="13">
        <f>((((VLOOKUP(B92,Database!$A:$AS,MATCH($F$1,Database!$A$1:$AS$1,),))))-(((VLOOKUP(EDATE(B92,-12),Database!$A:$AS,MATCH($F$1,Database!$A$1:$AS$1,),)))))/(((VLOOKUP(EDATE(B92,-12),Database!$A:$AS,MATCH($F$1,Database!$A$1:$AS$1,),))))</f>
        <v>1.294964028416724E-2</v>
      </c>
      <c r="G92" s="13">
        <f>((((VLOOKUP(B92,Database!$A:$AS,MATCH($G$1,Database!$A$1:$AS$1,),))))-(((VLOOKUP(EDATE(B92,-12),Database!$A:$AS,MATCH($G$1,Database!$A$1:$AS$1,),)))))/(((VLOOKUP(EDATE(B92,-12),Database!$A:$AS,MATCH($G$1,Database!$A$1:$AS$1,),))))</f>
        <v>2.8220050510596329E-2</v>
      </c>
      <c r="H92" s="13">
        <f>((((VLOOKUP(B92,Database!$A:$AS,MATCH($H$1,Database!$A$1:$AS$1,),))))-(((VLOOKUP(EDATE(B92,-12),Database!$A:$AS,MATCH($H$1,Database!$A$1:$AS$1,),)))))/(((VLOOKUP(EDATE(B92,-12),Database!$A:$AS,MATCH($H$1,Database!$A$1:$AS$1,),))))</f>
        <v>1.0037641156700177E-2</v>
      </c>
      <c r="I92" s="13">
        <f>((((VLOOKUP(B92,Database!$A:$AS,MATCH($I$1,Database!$A$1:$AS$1,),))))-(((VLOOKUP(EDATE(B92,-12),Database!$A:$AS,MATCH($I$1,Database!$A$1:$AS$1,),)))))/(((VLOOKUP(EDATE(B92,-12),Database!$A:$AS,MATCH($I$1,Database!$A$1:$AS$1,),))))</f>
        <v>4.7451669591364841E-2</v>
      </c>
      <c r="J92" s="13">
        <f>((((VLOOKUP(B92,Database!$A:$AS,MATCH($J$1,Database!$A$1:$AS$1,),))))-(((VLOOKUP(EDATE(B92,-12),Database!$A:$AS,MATCH($J$1,Database!$A$1:$AS$1,),)))))/(((VLOOKUP(EDATE(B92,-12),Database!$A:$AS,MATCH($J$1,Database!$A$1:$AS$1,),))))</f>
        <v>4.0151128964186072E-2</v>
      </c>
      <c r="K92" s="13">
        <f>((((VLOOKUP(B92,Database!$A:$AS,MATCH($K$1,Database!$A$1:$AS$1,),))))-(((VLOOKUP(EDATE(B92,-12),Database!$A:$AS,MATCH($K$1,Database!$A$1:$AS$1,),)))))/(((VLOOKUP(EDATE(B92,-12),Database!$A:$AS,MATCH($K$1,Database!$A$1:$AS$1,),))))</f>
        <v>6.8035943521306805E-2</v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>-0.11229793083408886</v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>9.4144955616955548E-3</v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>0.16125945421121896</v>
      </c>
      <c r="O92" s="13">
        <f>((((VLOOKUP(B92,Database!$A:$AS,MATCH($O$1,Database!$A$1:$AS$1,),))))-(((VLOOKUP(EDATE(B92,-12),Database!$A:$AS,MATCH($O$1,Database!$A$1:$AS$1,),)))))/(((VLOOKUP(EDATE(B92,-12),Database!$A:$AS,MATCH($O$1,Database!$A$1:$AS$1,),))))</f>
        <v>1.8591875182861727E-2</v>
      </c>
      <c r="P92" s="13">
        <f>((((VLOOKUP(B92,Database!$A:$AS,MATCH($P$1,Database!$A$1:$AS$1,),))))-(((VLOOKUP(EDATE(B92,-12),Database!$A:$AS,MATCH($P$1,Database!$A$1:$AS$1,),)))))/(((VLOOKUP(EDATE(B92,-12),Database!$A:$AS,MATCH($P$1,Database!$A$1:$AS$1,),))))</f>
        <v>9.738571037041098E-2</v>
      </c>
      <c r="Q92" s="13">
        <f>((((VLOOKUP(B92,Database!$A:$AS,MATCH($Q$1,Database!$A$1:$AS$1,),))))-(((VLOOKUP(EDATE(B92,-12),Database!$A:$AS,MATCH($Q$1,Database!$A$1:$AS$1,),)))))/(((VLOOKUP(EDATE(B92,-12),Database!$A:$AS,MATCH($Q$1,Database!$A$1:$AS$1,),))))</f>
        <v>-5.5868438841418351E-2</v>
      </c>
      <c r="R92" s="13">
        <f>((((VLOOKUP(B92,Database!$A:$AS,MATCH($R$1,Database!$A$1:$AS$1,),))))-(((VLOOKUP(EDATE(B92,-12),Database!$A:$AS,MATCH($R$1,Database!$A$1:$AS$1,),)))))/(((VLOOKUP(EDATE(B92,-12),Database!$A:$AS,MATCH($R$1,Database!$A$1:$AS$1,),))))</f>
        <v>-3.0891565176336105E-2</v>
      </c>
      <c r="S92" s="13">
        <f>((((VLOOKUP(B92,Database!$A:$AS,MATCH($S$1,Database!$A$1:$AS$1,),))))-(((VLOOKUP(EDATE(B92,-12),Database!$A:$AS,MATCH($S$1,Database!$A$1:$AS$1,),)))))/(((VLOOKUP(EDATE(B92,-12),Database!$A:$AS,MATCH($S$1,Database!$A$1:$AS$1,),))))</f>
        <v>0.26384364815913469</v>
      </c>
      <c r="T92" s="13">
        <f>((((VLOOKUP(B92,Database!$A:$AS,MATCH($T$1,Database!$A$1:$AS$1,),))))-(((VLOOKUP(EDATE(B92,-12),Database!$A:$AS,MATCH($T$1,Database!$A$1:$AS$1,),)))))/(((VLOOKUP(EDATE(B92,-12),Database!$A:$AS,MATCH($T$1,Database!$A$1:$AS$1,),))))</f>
        <v>6.1764705864790832E-2</v>
      </c>
      <c r="U92" s="13">
        <f>((((VLOOKUP(B92,Database!$A:$AS,MATCH($U$1,Database!$A$1:$AS$1,),))))-(((VLOOKUP(EDATE(B92,-12),Database!$A:$AS,MATCH($U$1,Database!$A$1:$AS$1,),)))))/(((VLOOKUP(EDATE(B92,-12),Database!$A:$AS,MATCH($U$1,Database!$A$1:$AS$1,),))))</f>
        <v>6.0341656812478155E-2</v>
      </c>
      <c r="V92" s="13">
        <f>((((VLOOKUP(B92,Database!$A:$AS,MATCH($V$1,Database!$A$1:$AS$1,),))))-(((VLOOKUP(EDATE(B92,-12),Database!$A:$AS,MATCH($V$1,Database!$A$1:$AS$1,),)))))/(((VLOOKUP(EDATE(B92,-12),Database!$A:$AS,MATCH($V$1,Database!$A$1:$AS$1,),))))</f>
        <v>9.0240257466720944E-2</v>
      </c>
    </row>
    <row r="93" spans="1:22" s="83" customFormat="1" x14ac:dyDescent="0.2">
      <c r="A93" s="43"/>
      <c r="B93" s="78">
        <v>34973</v>
      </c>
      <c r="C93" s="13">
        <f>((((VLOOKUP(B93,Database!$A:$AS,MATCH($C$1,Database!$A$1:$AS$1,),))))-(((VLOOKUP(EDATE(B93,-12),Database!$A:$AS,MATCH($C$1,Database!$A$1:$AS$1,),)))))/(((VLOOKUP(EDATE(B93,-12),Database!$A:$AS,MATCH($C$1,Database!$A$1:$AS$1,),))))</f>
        <v>3.7011159276012374E-2</v>
      </c>
      <c r="D93" s="13">
        <f>((((VLOOKUP(B93,Database!$A:$AS,MATCH($D$1,Database!$A$1:$AS$1,),))))-(((VLOOKUP(EDATE(B93,-12),Database!$A:$AS,MATCH($D$1,Database!$A$1:$AS$1,),)))))/(((VLOOKUP(EDATE(B93,-12),Database!$A:$AS,MATCH($D$1,Database!$A$1:$AS$1,),))))</f>
        <v>7.4165636588380008E-3</v>
      </c>
      <c r="E93" s="13">
        <f>((((VLOOKUP(B93,Database!$A:$AS,MATCH($E$1,Database!$A$1:$AS$1,),))))-(((VLOOKUP(EDATE(B93,-12),Database!$A:$AS,MATCH($E$1,Database!$A$1:$AS$1,),)))))/(((VLOOKUP(EDATE(B93,-12),Database!$A:$AS,MATCH($E$1,Database!$A$1:$AS$1,),))))</f>
        <v>1.1133603230582847E-2</v>
      </c>
      <c r="F93" s="13">
        <f>((((VLOOKUP(B93,Database!$A:$AS,MATCH($F$1,Database!$A$1:$AS$1,),))))-(((VLOOKUP(EDATE(B93,-12),Database!$A:$AS,MATCH($F$1,Database!$A$1:$AS$1,),)))))/(((VLOOKUP(EDATE(B93,-12),Database!$A:$AS,MATCH($F$1,Database!$A$1:$AS$1,),))))</f>
        <v>-3.1073446328322128E-2</v>
      </c>
      <c r="G93" s="13">
        <f>((((VLOOKUP(B93,Database!$A:$AS,MATCH($G$1,Database!$A$1:$AS$1,),))))-(((VLOOKUP(EDATE(B93,-12),Database!$A:$AS,MATCH($G$1,Database!$A$1:$AS$1,),)))))/(((VLOOKUP(EDATE(B93,-12),Database!$A:$AS,MATCH($G$1,Database!$A$1:$AS$1,),))))</f>
        <v>-1.1963023382272912E-3</v>
      </c>
      <c r="H93" s="13">
        <f>((((VLOOKUP(B93,Database!$A:$AS,MATCH($H$1,Database!$A$1:$AS$1,),))))-(((VLOOKUP(EDATE(B93,-12),Database!$A:$AS,MATCH($H$1,Database!$A$1:$AS$1,),)))))/(((VLOOKUP(EDATE(B93,-12),Database!$A:$AS,MATCH($H$1,Database!$A$1:$AS$1,),))))</f>
        <v>5.0125313178077434E-3</v>
      </c>
      <c r="I93" s="13">
        <f>((((VLOOKUP(B93,Database!$A:$AS,MATCH($I$1,Database!$A$1:$AS$1,),))))-(((VLOOKUP(EDATE(B93,-12),Database!$A:$AS,MATCH($I$1,Database!$A$1:$AS$1,),)))))/(((VLOOKUP(EDATE(B93,-12),Database!$A:$AS,MATCH($I$1,Database!$A$1:$AS$1,),))))</f>
        <v>5.7268722462729377E-2</v>
      </c>
      <c r="J93" s="13">
        <f>((((VLOOKUP(B93,Database!$A:$AS,MATCH($J$1,Database!$A$1:$AS$1,),))))-(((VLOOKUP(EDATE(B93,-12),Database!$A:$AS,MATCH($J$1,Database!$A$1:$AS$1,),)))))/(((VLOOKUP(EDATE(B93,-12),Database!$A:$AS,MATCH($J$1,Database!$A$1:$AS$1,),))))</f>
        <v>1.5672211056430636E-2</v>
      </c>
      <c r="K93" s="13">
        <f>((((VLOOKUP(B93,Database!$A:$AS,MATCH($K$1,Database!$A$1:$AS$1,),))))-(((VLOOKUP(EDATE(B93,-12),Database!$A:$AS,MATCH($K$1,Database!$A$1:$AS$1,),)))))/(((VLOOKUP(EDATE(B93,-12),Database!$A:$AS,MATCH($K$1,Database!$A$1:$AS$1,),))))</f>
        <v>6.607369758691381E-2</v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>-0.16237835775187615</v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>-1.8810337756680777E-2</v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>0.11116165461760882</v>
      </c>
      <c r="O93" s="13">
        <f>((((VLOOKUP(B93,Database!$A:$AS,MATCH($O$1,Database!$A$1:$AS$1,),))))-(((VLOOKUP(EDATE(B93,-12),Database!$A:$AS,MATCH($O$1,Database!$A$1:$AS$1,),)))))/(((VLOOKUP(EDATE(B93,-12),Database!$A:$AS,MATCH($O$1,Database!$A$1:$AS$1,),))))</f>
        <v>2.1503409204315423E-2</v>
      </c>
      <c r="P93" s="13">
        <f>((((VLOOKUP(B93,Database!$A:$AS,MATCH($P$1,Database!$A$1:$AS$1,),))))-(((VLOOKUP(EDATE(B93,-12),Database!$A:$AS,MATCH($P$1,Database!$A$1:$AS$1,),)))))/(((VLOOKUP(EDATE(B93,-12),Database!$A:$AS,MATCH($P$1,Database!$A$1:$AS$1,),))))</f>
        <v>8.8923398930198017E-2</v>
      </c>
      <c r="Q93" s="13">
        <f>((((VLOOKUP(B93,Database!$A:$AS,MATCH($Q$1,Database!$A$1:$AS$1,),))))-(((VLOOKUP(EDATE(B93,-12),Database!$A:$AS,MATCH($Q$1,Database!$A$1:$AS$1,),)))))/(((VLOOKUP(EDATE(B93,-12),Database!$A:$AS,MATCH($Q$1,Database!$A$1:$AS$1,),))))</f>
        <v>-4.4461954073183332E-2</v>
      </c>
      <c r="R93" s="13">
        <f>((((VLOOKUP(B93,Database!$A:$AS,MATCH($R$1,Database!$A$1:$AS$1,),))))-(((VLOOKUP(EDATE(B93,-12),Database!$A:$AS,MATCH($R$1,Database!$A$1:$AS$1,),)))))/(((VLOOKUP(EDATE(B93,-12),Database!$A:$AS,MATCH($R$1,Database!$A$1:$AS$1,),))))</f>
        <v>1.220006424154642E-2</v>
      </c>
      <c r="S93" s="13">
        <f>((((VLOOKUP(B93,Database!$A:$AS,MATCH($S$1,Database!$A$1:$AS$1,),))))-(((VLOOKUP(EDATE(B93,-12),Database!$A:$AS,MATCH($S$1,Database!$A$1:$AS$1,),)))))/(((VLOOKUP(EDATE(B93,-12),Database!$A:$AS,MATCH($S$1,Database!$A$1:$AS$1,),))))</f>
        <v>0.22392638033163878</v>
      </c>
      <c r="T93" s="13">
        <f>((((VLOOKUP(B93,Database!$A:$AS,MATCH($T$1,Database!$A$1:$AS$1,),))))-(((VLOOKUP(EDATE(B93,-12),Database!$A:$AS,MATCH($T$1,Database!$A$1:$AS$1,),)))))/(((VLOOKUP(EDATE(B93,-12),Database!$A:$AS,MATCH($T$1,Database!$A$1:$AS$1,),))))</f>
        <v>8.6206896526951019E-3</v>
      </c>
      <c r="U93" s="13">
        <f>((((VLOOKUP(B93,Database!$A:$AS,MATCH($U$1,Database!$A$1:$AS$1,),))))-(((VLOOKUP(EDATE(B93,-12),Database!$A:$AS,MATCH($U$1,Database!$A$1:$AS$1,),)))))/(((VLOOKUP(EDATE(B93,-12),Database!$A:$AS,MATCH($U$1,Database!$A$1:$AS$1,),))))</f>
        <v>0.11468499010633154</v>
      </c>
      <c r="V93" s="13">
        <f>((((VLOOKUP(B93,Database!$A:$AS,MATCH($V$1,Database!$A$1:$AS$1,),))))-(((VLOOKUP(EDATE(B93,-12),Database!$A:$AS,MATCH($V$1,Database!$A$1:$AS$1,),)))))/(((VLOOKUP(EDATE(B93,-12),Database!$A:$AS,MATCH($V$1,Database!$A$1:$AS$1,),))))</f>
        <v>0.10441340557015605</v>
      </c>
    </row>
    <row r="94" spans="1:22" s="83" customFormat="1" x14ac:dyDescent="0.2">
      <c r="A94" s="43"/>
      <c r="B94" s="78">
        <v>35004</v>
      </c>
      <c r="C94" s="13">
        <f>((((VLOOKUP(B94,Database!$A:$AS,MATCH($C$1,Database!$A$1:$AS$1,),))))-(((VLOOKUP(EDATE(B94,-12),Database!$A:$AS,MATCH($C$1,Database!$A$1:$AS$1,),)))))/(((VLOOKUP(EDATE(B94,-12),Database!$A:$AS,MATCH($C$1,Database!$A$1:$AS$1,),))))</f>
        <v>3.2455040564363796E-2</v>
      </c>
      <c r="D94" s="13">
        <f>((((VLOOKUP(B94,Database!$A:$AS,MATCH($D$1,Database!$A$1:$AS$1,),))))-(((VLOOKUP(EDATE(B94,-12),Database!$A:$AS,MATCH($D$1,Database!$A$1:$AS$1,),)))))/(((VLOOKUP(EDATE(B94,-12),Database!$A:$AS,MATCH($D$1,Database!$A$1:$AS$1,),))))</f>
        <v>4.9140049140048089E-3</v>
      </c>
      <c r="E94" s="13">
        <f>((((VLOOKUP(B94,Database!$A:$AS,MATCH($E$1,Database!$A$1:$AS$1,),))))-(((VLOOKUP(EDATE(B94,-12),Database!$A:$AS,MATCH($E$1,Database!$A$1:$AS$1,),)))))/(((VLOOKUP(EDATE(B94,-12),Database!$A:$AS,MATCH($E$1,Database!$A$1:$AS$1,),))))</f>
        <v>1.3078470819739963E-2</v>
      </c>
      <c r="F94" s="13">
        <f>((((VLOOKUP(B94,Database!$A:$AS,MATCH($F$1,Database!$A$1:$AS$1,),))))-(((VLOOKUP(EDATE(B94,-12),Database!$A:$AS,MATCH($F$1,Database!$A$1:$AS$1,),)))))/(((VLOOKUP(EDATE(B94,-12),Database!$A:$AS,MATCH($F$1,Database!$A$1:$AS$1,),))))</f>
        <v>-3.0898876405323013E-2</v>
      </c>
      <c r="G94" s="13">
        <f>((((VLOOKUP(B94,Database!$A:$AS,MATCH($G$1,Database!$A$1:$AS$1,),))))-(((VLOOKUP(EDATE(B94,-12),Database!$A:$AS,MATCH($G$1,Database!$A$1:$AS$1,),)))))/(((VLOOKUP(EDATE(B94,-12),Database!$A:$AS,MATCH($G$1,Database!$A$1:$AS$1,),))))</f>
        <v>-1.0348172900722149E-2</v>
      </c>
      <c r="H94" s="13">
        <f>((((VLOOKUP(B94,Database!$A:$AS,MATCH($H$1,Database!$A$1:$AS$1,),))))-(((VLOOKUP(EDATE(B94,-12),Database!$A:$AS,MATCH($H$1,Database!$A$1:$AS$1,),)))))/(((VLOOKUP(EDATE(B94,-12),Database!$A:$AS,MATCH($H$1,Database!$A$1:$AS$1,),))))</f>
        <v>1.129234629837096E-2</v>
      </c>
      <c r="I94" s="13">
        <f>((((VLOOKUP(B94,Database!$A:$AS,MATCH($I$1,Database!$A$1:$AS$1,),))))-(((VLOOKUP(EDATE(B94,-12),Database!$A:$AS,MATCH($I$1,Database!$A$1:$AS$1,),)))))/(((VLOOKUP(EDATE(B94,-12),Database!$A:$AS,MATCH($I$1,Database!$A$1:$AS$1,),))))</f>
        <v>3.9861351814365301E-2</v>
      </c>
      <c r="J94" s="13">
        <f>((((VLOOKUP(B94,Database!$A:$AS,MATCH($J$1,Database!$A$1:$AS$1,),))))-(((VLOOKUP(EDATE(B94,-12),Database!$A:$AS,MATCH($J$1,Database!$A$1:$AS$1,),)))))/(((VLOOKUP(EDATE(B94,-12),Database!$A:$AS,MATCH($J$1,Database!$A$1:$AS$1,),))))</f>
        <v>1.0592496410609198E-2</v>
      </c>
      <c r="K94" s="13">
        <f>((((VLOOKUP(B94,Database!$A:$AS,MATCH($K$1,Database!$A$1:$AS$1,),))))-(((VLOOKUP(EDATE(B94,-12),Database!$A:$AS,MATCH($K$1,Database!$A$1:$AS$1,),)))))/(((VLOOKUP(EDATE(B94,-12),Database!$A:$AS,MATCH($K$1,Database!$A$1:$AS$1,),))))</f>
        <v>5.793450882502673E-2</v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>-9.8595594393002112E-2</v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>-5.9743180769759804E-2</v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>0.12181779751157214</v>
      </c>
      <c r="O94" s="13">
        <f>((((VLOOKUP(B94,Database!$A:$AS,MATCH($O$1,Database!$A$1:$AS$1,),))))-(((VLOOKUP(EDATE(B94,-12),Database!$A:$AS,MATCH($O$1,Database!$A$1:$AS$1,),)))))/(((VLOOKUP(EDATE(B94,-12),Database!$A:$AS,MATCH($O$1,Database!$A$1:$AS$1,),))))</f>
        <v>1.2117597372918789E-2</v>
      </c>
      <c r="P94" s="13">
        <f>((((VLOOKUP(B94,Database!$A:$AS,MATCH($P$1,Database!$A$1:$AS$1,),))))-(((VLOOKUP(EDATE(B94,-12),Database!$A:$AS,MATCH($P$1,Database!$A$1:$AS$1,),)))))/(((VLOOKUP(EDATE(B94,-12),Database!$A:$AS,MATCH($P$1,Database!$A$1:$AS$1,),))))</f>
        <v>7.3390245513909547E-2</v>
      </c>
      <c r="Q94" s="13">
        <f>((((VLOOKUP(B94,Database!$A:$AS,MATCH($Q$1,Database!$A$1:$AS$1,),))))-(((VLOOKUP(EDATE(B94,-12),Database!$A:$AS,MATCH($Q$1,Database!$A$1:$AS$1,),)))))/(((VLOOKUP(EDATE(B94,-12),Database!$A:$AS,MATCH($Q$1,Database!$A$1:$AS$1,),))))</f>
        <v>-5.3401285179153463E-2</v>
      </c>
      <c r="R94" s="13">
        <f>((((VLOOKUP(B94,Database!$A:$AS,MATCH($R$1,Database!$A$1:$AS$1,),))))-(((VLOOKUP(EDATE(B94,-12),Database!$A:$AS,MATCH($R$1,Database!$A$1:$AS$1,),)))))/(((VLOOKUP(EDATE(B94,-12),Database!$A:$AS,MATCH($R$1,Database!$A$1:$AS$1,),))))</f>
        <v>7.995218429356795E-3</v>
      </c>
      <c r="S94" s="13">
        <f>((((VLOOKUP(B94,Database!$A:$AS,MATCH($S$1,Database!$A$1:$AS$1,),))))-(((VLOOKUP(EDATE(B94,-12),Database!$A:$AS,MATCH($S$1,Database!$A$1:$AS$1,),)))))/(((VLOOKUP(EDATE(B94,-12),Database!$A:$AS,MATCH($S$1,Database!$A$1:$AS$1,),))))</f>
        <v>0.22153846157610271</v>
      </c>
      <c r="T94" s="13">
        <f>((((VLOOKUP(B94,Database!$A:$AS,MATCH($T$1,Database!$A$1:$AS$1,),))))-(((VLOOKUP(EDATE(B94,-12),Database!$A:$AS,MATCH($T$1,Database!$A$1:$AS$1,),)))))/(((VLOOKUP(EDATE(B94,-12),Database!$A:$AS,MATCH($T$1,Database!$A$1:$AS$1,),))))</f>
        <v>0.11239193083432293</v>
      </c>
      <c r="U94" s="13">
        <f>((((VLOOKUP(B94,Database!$A:$AS,MATCH($U$1,Database!$A$1:$AS$1,),))))-(((VLOOKUP(EDATE(B94,-12),Database!$A:$AS,MATCH($U$1,Database!$A$1:$AS$1,),)))))/(((VLOOKUP(EDATE(B94,-12),Database!$A:$AS,MATCH($U$1,Database!$A$1:$AS$1,),))))</f>
        <v>0.10783878539074351</v>
      </c>
      <c r="V94" s="13">
        <f>((((VLOOKUP(B94,Database!$A:$AS,MATCH($V$1,Database!$A$1:$AS$1,),))))-(((VLOOKUP(EDATE(B94,-12),Database!$A:$AS,MATCH($V$1,Database!$A$1:$AS$1,),)))))/(((VLOOKUP(EDATE(B94,-12),Database!$A:$AS,MATCH($V$1,Database!$A$1:$AS$1,),))))</f>
        <v>0.12061957952953302</v>
      </c>
    </row>
    <row r="95" spans="1:22" s="83" customFormat="1" x14ac:dyDescent="0.2">
      <c r="A95" s="43"/>
      <c r="B95" s="78">
        <v>35034</v>
      </c>
      <c r="C95" s="13">
        <f>((((VLOOKUP(B95,Database!$A:$AS,MATCH($C$1,Database!$A$1:$AS$1,),))))-(((VLOOKUP(EDATE(B95,-12),Database!$A:$AS,MATCH($C$1,Database!$A$1:$AS$1,),)))))/(((VLOOKUP(EDATE(B95,-12),Database!$A:$AS,MATCH($C$1,Database!$A$1:$AS$1,),))))</f>
        <v>2.5879692663236298E-2</v>
      </c>
      <c r="D95" s="13">
        <f>((((VLOOKUP(B95,Database!$A:$AS,MATCH($D$1,Database!$A$1:$AS$1,),))))-(((VLOOKUP(EDATE(B95,-12),Database!$A:$AS,MATCH($D$1,Database!$A$1:$AS$1,),)))))/(((VLOOKUP(EDATE(B95,-12),Database!$A:$AS,MATCH($D$1,Database!$A$1:$AS$1,),))))</f>
        <v>4.8602673147023776E-3</v>
      </c>
      <c r="E95" s="13">
        <f>((((VLOOKUP(B95,Database!$A:$AS,MATCH($E$1,Database!$A$1:$AS$1,),))))-(((VLOOKUP(EDATE(B95,-12),Database!$A:$AS,MATCH($E$1,Database!$A$1:$AS$1,),)))))/(((VLOOKUP(EDATE(B95,-12),Database!$A:$AS,MATCH($E$1,Database!$A$1:$AS$1,),))))</f>
        <v>1.8981018984906332E-2</v>
      </c>
      <c r="F95" s="13">
        <f>((((VLOOKUP(B95,Database!$A:$AS,MATCH($F$1,Database!$A$1:$AS$1,),))))-(((VLOOKUP(EDATE(B95,-12),Database!$A:$AS,MATCH($F$1,Database!$A$1:$AS$1,),)))))/(((VLOOKUP(EDATE(B95,-12),Database!$A:$AS,MATCH($F$1,Database!$A$1:$AS$1,),))))</f>
        <v>-3.0898876405323013E-2</v>
      </c>
      <c r="G95" s="13">
        <f>((((VLOOKUP(B95,Database!$A:$AS,MATCH($G$1,Database!$A$1:$AS$1,),))))-(((VLOOKUP(EDATE(B95,-12),Database!$A:$AS,MATCH($G$1,Database!$A$1:$AS$1,),)))))/(((VLOOKUP(EDATE(B95,-12),Database!$A:$AS,MATCH($G$1,Database!$A$1:$AS$1,),))))</f>
        <v>1.2088505126821266E-2</v>
      </c>
      <c r="H95" s="13">
        <f>((((VLOOKUP(B95,Database!$A:$AS,MATCH($H$1,Database!$A$1:$AS$1,),))))-(((VLOOKUP(EDATE(B95,-12),Database!$A:$AS,MATCH($H$1,Database!$A$1:$AS$1,),)))))/(((VLOOKUP(EDATE(B95,-12),Database!$A:$AS,MATCH($H$1,Database!$A$1:$AS$1,),))))</f>
        <v>3.7220843710100236E-3</v>
      </c>
      <c r="I95" s="13">
        <f>((((VLOOKUP(B95,Database!$A:$AS,MATCH($I$1,Database!$A$1:$AS$1,),))))-(((VLOOKUP(EDATE(B95,-12),Database!$A:$AS,MATCH($I$1,Database!$A$1:$AS$1,),)))))/(((VLOOKUP(EDATE(B95,-12),Database!$A:$AS,MATCH($I$1,Database!$A$1:$AS$1,),))))</f>
        <v>3.2148900163048715E-2</v>
      </c>
      <c r="J95" s="13">
        <f>((((VLOOKUP(B95,Database!$A:$AS,MATCH($J$1,Database!$A$1:$AS$1,),))))-(((VLOOKUP(EDATE(B95,-12),Database!$A:$AS,MATCH($J$1,Database!$A$1:$AS$1,),)))))/(((VLOOKUP(EDATE(B95,-12),Database!$A:$AS,MATCH($J$1,Database!$A$1:$AS$1,),))))</f>
        <v>-4.9897742750623763E-3</v>
      </c>
      <c r="K95" s="13">
        <f>((((VLOOKUP(B95,Database!$A:$AS,MATCH($K$1,Database!$A$1:$AS$1,),))))-(((VLOOKUP(EDATE(B95,-12),Database!$A:$AS,MATCH($K$1,Database!$A$1:$AS$1,),)))))/(((VLOOKUP(EDATE(B95,-12),Database!$A:$AS,MATCH($K$1,Database!$A$1:$AS$1,),))))</f>
        <v>3.8798498125322621E-2</v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>-3.304042044064353E-2</v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>-7.1546397360130007E-2</v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>0.12524922816278836</v>
      </c>
      <c r="O95" s="13">
        <f>((((VLOOKUP(B95,Database!$A:$AS,MATCH($O$1,Database!$A$1:$AS$1,),))))-(((VLOOKUP(EDATE(B95,-12),Database!$A:$AS,MATCH($O$1,Database!$A$1:$AS$1,),)))))/(((VLOOKUP(EDATE(B95,-12),Database!$A:$AS,MATCH($O$1,Database!$A$1:$AS$1,),))))</f>
        <v>-8.1624644661134164E-3</v>
      </c>
      <c r="P95" s="13">
        <f>((((VLOOKUP(B95,Database!$A:$AS,MATCH($P$1,Database!$A$1:$AS$1,),))))-(((VLOOKUP(EDATE(B95,-12),Database!$A:$AS,MATCH($P$1,Database!$A$1:$AS$1,),)))))/(((VLOOKUP(EDATE(B95,-12),Database!$A:$AS,MATCH($P$1,Database!$A$1:$AS$1,),))))</f>
        <v>0.10530348460135951</v>
      </c>
      <c r="Q95" s="13">
        <f>((((VLOOKUP(B95,Database!$A:$AS,MATCH($Q$1,Database!$A$1:$AS$1,),))))-(((VLOOKUP(EDATE(B95,-12),Database!$A:$AS,MATCH($Q$1,Database!$A$1:$AS$1,),)))))/(((VLOOKUP(EDATE(B95,-12),Database!$A:$AS,MATCH($Q$1,Database!$A$1:$AS$1,),))))</f>
        <v>-9.2637328016395196E-2</v>
      </c>
      <c r="R95" s="13">
        <f>((((VLOOKUP(B95,Database!$A:$AS,MATCH($R$1,Database!$A$1:$AS$1,),))))-(((VLOOKUP(EDATE(B95,-12),Database!$A:$AS,MATCH($R$1,Database!$A$1:$AS$1,),)))))/(((VLOOKUP(EDATE(B95,-12),Database!$A:$AS,MATCH($R$1,Database!$A$1:$AS$1,),))))</f>
        <v>2.3072486611944904E-2</v>
      </c>
      <c r="S95" s="13">
        <f>((((VLOOKUP(B95,Database!$A:$AS,MATCH($S$1,Database!$A$1:$AS$1,),))))-(((VLOOKUP(EDATE(B95,-12),Database!$A:$AS,MATCH($S$1,Database!$A$1:$AS$1,),)))))/(((VLOOKUP(EDATE(B95,-12),Database!$A:$AS,MATCH($S$1,Database!$A$1:$AS$1,),))))</f>
        <v>0.19533527696936215</v>
      </c>
      <c r="T95" s="13">
        <f>((((VLOOKUP(B95,Database!$A:$AS,MATCH($T$1,Database!$A$1:$AS$1,),))))-(((VLOOKUP(EDATE(B95,-12),Database!$A:$AS,MATCH($T$1,Database!$A$1:$AS$1,),)))))/(((VLOOKUP(EDATE(B95,-12),Database!$A:$AS,MATCH($T$1,Database!$A$1:$AS$1,),))))</f>
        <v>0.18235294116383988</v>
      </c>
      <c r="U95" s="13">
        <f>((((VLOOKUP(B95,Database!$A:$AS,MATCH($U$1,Database!$A$1:$AS$1,),))))-(((VLOOKUP(EDATE(B95,-12),Database!$A:$AS,MATCH($U$1,Database!$A$1:$AS$1,),)))))/(((VLOOKUP(EDATE(B95,-12),Database!$A:$AS,MATCH($U$1,Database!$A$1:$AS$1,),))))</f>
        <v>4.4226135171475028E-2</v>
      </c>
      <c r="V95" s="13">
        <f>((((VLOOKUP(B95,Database!$A:$AS,MATCH($V$1,Database!$A$1:$AS$1,),))))-(((VLOOKUP(EDATE(B95,-12),Database!$A:$AS,MATCH($V$1,Database!$A$1:$AS$1,),)))))/(((VLOOKUP(EDATE(B95,-12),Database!$A:$AS,MATCH($V$1,Database!$A$1:$AS$1,),))))</f>
        <v>5.5966133691515839E-2</v>
      </c>
    </row>
    <row r="96" spans="1:22" s="83" customFormat="1" x14ac:dyDescent="0.2">
      <c r="A96" s="43"/>
      <c r="B96" s="78">
        <v>35065</v>
      </c>
      <c r="C96" s="13">
        <f>((((VLOOKUP(B96,Database!$A:$AS,MATCH($C$1,Database!$A$1:$AS$1,),))))-(((VLOOKUP(EDATE(B96,-12),Database!$A:$AS,MATCH($C$1,Database!$A$1:$AS$1,),)))))/(((VLOOKUP(EDATE(B96,-12),Database!$A:$AS,MATCH($C$1,Database!$A$1:$AS$1,),))))</f>
        <v>1.836079864524396E-2</v>
      </c>
      <c r="D96" s="13">
        <f>((((VLOOKUP(B96,Database!$A:$AS,MATCH($D$1,Database!$A$1:$AS$1,),))))-(((VLOOKUP(EDATE(B96,-12),Database!$A:$AS,MATCH($D$1,Database!$A$1:$AS$1,),)))))/(((VLOOKUP(EDATE(B96,-12),Database!$A:$AS,MATCH($D$1,Database!$A$1:$AS$1,),))))</f>
        <v>2.4479804161567057E-3</v>
      </c>
      <c r="E96" s="13">
        <f>((((VLOOKUP(B96,Database!$A:$AS,MATCH($E$1,Database!$A$1:$AS$1,),))))-(((VLOOKUP(EDATE(B96,-12),Database!$A:$AS,MATCH($E$1,Database!$A$1:$AS$1,),)))))/(((VLOOKUP(EDATE(B96,-12),Database!$A:$AS,MATCH($E$1,Database!$A$1:$AS$1,),))))</f>
        <v>2.4464831810890379E-2</v>
      </c>
      <c r="F96" s="13">
        <f>((((VLOOKUP(B96,Database!$A:$AS,MATCH($F$1,Database!$A$1:$AS$1,),))))-(((VLOOKUP(EDATE(B96,-12),Database!$A:$AS,MATCH($F$1,Database!$A$1:$AS$1,),)))))/(((VLOOKUP(EDATE(B96,-12),Database!$A:$AS,MATCH($F$1,Database!$A$1:$AS$1,),))))</f>
        <v>-7.1633237850265621E-3</v>
      </c>
      <c r="G96" s="13">
        <f>((((VLOOKUP(B96,Database!$A:$AS,MATCH($G$1,Database!$A$1:$AS$1,),))))-(((VLOOKUP(EDATE(B96,-12),Database!$A:$AS,MATCH($G$1,Database!$A$1:$AS$1,),)))))/(((VLOOKUP(EDATE(B96,-12),Database!$A:$AS,MATCH($G$1,Database!$A$1:$AS$1,),))))</f>
        <v>-4.1791684526359448E-3</v>
      </c>
      <c r="H96" s="13">
        <f>((((VLOOKUP(B96,Database!$A:$AS,MATCH($H$1,Database!$A$1:$AS$1,),))))-(((VLOOKUP(EDATE(B96,-12),Database!$A:$AS,MATCH($H$1,Database!$A$1:$AS$1,),)))))/(((VLOOKUP(EDATE(B96,-12),Database!$A:$AS,MATCH($H$1,Database!$A$1:$AS$1,),))))</f>
        <v>2.0253164549840299E-2</v>
      </c>
      <c r="I96" s="13">
        <f>((((VLOOKUP(B96,Database!$A:$AS,MATCH($I$1,Database!$A$1:$AS$1,),))))-(((VLOOKUP(EDATE(B96,-12),Database!$A:$AS,MATCH($I$1,Database!$A$1:$AS$1,),)))))/(((VLOOKUP(EDATE(B96,-12),Database!$A:$AS,MATCH($I$1,Database!$A$1:$AS$1,),))))</f>
        <v>2.0373514434136455E-2</v>
      </c>
      <c r="J96" s="13">
        <f>((((VLOOKUP(B96,Database!$A:$AS,MATCH($J$1,Database!$A$1:$AS$1,),))))-(((VLOOKUP(EDATE(B96,-12),Database!$A:$AS,MATCH($J$1,Database!$A$1:$AS$1,),)))))/(((VLOOKUP(EDATE(B96,-12),Database!$A:$AS,MATCH($J$1,Database!$A$1:$AS$1,),))))</f>
        <v>-4.1209865949265109E-2</v>
      </c>
      <c r="K96" s="13">
        <f>((((VLOOKUP(B96,Database!$A:$AS,MATCH($K$1,Database!$A$1:$AS$1,),))))-(((VLOOKUP(EDATE(B96,-12),Database!$A:$AS,MATCH($K$1,Database!$A$1:$AS$1,),)))))/(((VLOOKUP(EDATE(B96,-12),Database!$A:$AS,MATCH($K$1,Database!$A$1:$AS$1,),))))</f>
        <v>2.5893958074846381E-2</v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>8.5059372109016224E-3</v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>-6.1708762218518572E-2</v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>0.11718111767785173</v>
      </c>
      <c r="O96" s="13">
        <f>((((VLOOKUP(B96,Database!$A:$AS,MATCH($O$1,Database!$A$1:$AS$1,),))))-(((VLOOKUP(EDATE(B96,-12),Database!$A:$AS,MATCH($O$1,Database!$A$1:$AS$1,),)))))/(((VLOOKUP(EDATE(B96,-12),Database!$A:$AS,MATCH($O$1,Database!$A$1:$AS$1,),))))</f>
        <v>-9.0665481848575414E-3</v>
      </c>
      <c r="P96" s="13">
        <f>((((VLOOKUP(B96,Database!$A:$AS,MATCH($P$1,Database!$A$1:$AS$1,),))))-(((VLOOKUP(EDATE(B96,-12),Database!$A:$AS,MATCH($P$1,Database!$A$1:$AS$1,),)))))/(((VLOOKUP(EDATE(B96,-12),Database!$A:$AS,MATCH($P$1,Database!$A$1:$AS$1,),))))</f>
        <v>7.8314430984195355E-2</v>
      </c>
      <c r="Q96" s="13">
        <f>((((VLOOKUP(B96,Database!$A:$AS,MATCH($Q$1,Database!$A$1:$AS$1,),))))-(((VLOOKUP(EDATE(B96,-12),Database!$A:$AS,MATCH($Q$1,Database!$A$1:$AS$1,),)))))/(((VLOOKUP(EDATE(B96,-12),Database!$A:$AS,MATCH($Q$1,Database!$A$1:$AS$1,),))))</f>
        <v>-8.839543077225287E-2</v>
      </c>
      <c r="R96" s="13">
        <f>((((VLOOKUP(B96,Database!$A:$AS,MATCH($R$1,Database!$A$1:$AS$1,),))))-(((VLOOKUP(EDATE(B96,-12),Database!$A:$AS,MATCH($R$1,Database!$A$1:$AS$1,),)))))/(((VLOOKUP(EDATE(B96,-12),Database!$A:$AS,MATCH($R$1,Database!$A$1:$AS$1,),))))</f>
        <v>-9.1682222383058648E-3</v>
      </c>
      <c r="S96" s="13">
        <f>((((VLOOKUP(B96,Database!$A:$AS,MATCH($S$1,Database!$A$1:$AS$1,),))))-(((VLOOKUP(EDATE(B96,-12),Database!$A:$AS,MATCH($S$1,Database!$A$1:$AS$1,),)))))/(((VLOOKUP(EDATE(B96,-12),Database!$A:$AS,MATCH($S$1,Database!$A$1:$AS$1,),))))</f>
        <v>0.19642857144468751</v>
      </c>
      <c r="T96" s="13">
        <f>((((VLOOKUP(B96,Database!$A:$AS,MATCH($T$1,Database!$A$1:$AS$1,),))))-(((VLOOKUP(EDATE(B96,-12),Database!$A:$AS,MATCH($T$1,Database!$A$1:$AS$1,),)))))/(((VLOOKUP(EDATE(B96,-12),Database!$A:$AS,MATCH($T$1,Database!$A$1:$AS$1,),))))</f>
        <v>0.12753623185675048</v>
      </c>
      <c r="U96" s="13">
        <f>((((VLOOKUP(B96,Database!$A:$AS,MATCH($U$1,Database!$A$1:$AS$1,),))))-(((VLOOKUP(EDATE(B96,-12),Database!$A:$AS,MATCH($U$1,Database!$A$1:$AS$1,),)))))/(((VLOOKUP(EDATE(B96,-12),Database!$A:$AS,MATCH($U$1,Database!$A$1:$AS$1,),))))</f>
        <v>2.1954394440732928E-2</v>
      </c>
      <c r="V96" s="13">
        <f>((((VLOOKUP(B96,Database!$A:$AS,MATCH($V$1,Database!$A$1:$AS$1,),))))-(((VLOOKUP(EDATE(B96,-12),Database!$A:$AS,MATCH($V$1,Database!$A$1:$AS$1,),)))))/(((VLOOKUP(EDATE(B96,-12),Database!$A:$AS,MATCH($V$1,Database!$A$1:$AS$1,),))))</f>
        <v>9.0183832852674367E-2</v>
      </c>
    </row>
    <row r="97" spans="1:22" s="83" customFormat="1" x14ac:dyDescent="0.2">
      <c r="A97" s="43"/>
      <c r="B97" s="78">
        <v>35096</v>
      </c>
      <c r="C97" s="13">
        <f>((((VLOOKUP(B97,Database!$A:$AS,MATCH($C$1,Database!$A$1:$AS$1,),))))-(((VLOOKUP(EDATE(B97,-12),Database!$A:$AS,MATCH($C$1,Database!$A$1:$AS$1,),)))))/(((VLOOKUP(EDATE(B97,-12),Database!$A:$AS,MATCH($C$1,Database!$A$1:$AS$1,),))))</f>
        <v>3.45859907439122E-2</v>
      </c>
      <c r="D97" s="13">
        <f>((((VLOOKUP(B97,Database!$A:$AS,MATCH($D$1,Database!$A$1:$AS$1,),))))-(((VLOOKUP(EDATE(B97,-12),Database!$A:$AS,MATCH($D$1,Database!$A$1:$AS$1,),)))))/(((VLOOKUP(EDATE(B97,-12),Database!$A:$AS,MATCH($D$1,Database!$A$1:$AS$1,),))))</f>
        <v>-3.6630036630038013E-3</v>
      </c>
      <c r="E97" s="13">
        <f>((((VLOOKUP(B97,Database!$A:$AS,MATCH($E$1,Database!$A$1:$AS$1,),))))-(((VLOOKUP(EDATE(B97,-12),Database!$A:$AS,MATCH($E$1,Database!$A$1:$AS$1,),)))))/(((VLOOKUP(EDATE(B97,-12),Database!$A:$AS,MATCH($E$1,Database!$A$1:$AS$1,),))))</f>
        <v>9.0452261293684864E-3</v>
      </c>
      <c r="F97" s="13">
        <f>((((VLOOKUP(B97,Database!$A:$AS,MATCH($F$1,Database!$A$1:$AS$1,),))))-(((VLOOKUP(EDATE(B97,-12),Database!$A:$AS,MATCH($F$1,Database!$A$1:$AS$1,),)))))/(((VLOOKUP(EDATE(B97,-12),Database!$A:$AS,MATCH($F$1,Database!$A$1:$AS$1,),))))</f>
        <v>-2.9661016954898402E-2</v>
      </c>
      <c r="G97" s="13">
        <f>((((VLOOKUP(B97,Database!$A:$AS,MATCH($G$1,Database!$A$1:$AS$1,),))))-(((VLOOKUP(EDATE(B97,-12),Database!$A:$AS,MATCH($G$1,Database!$A$1:$AS$1,),)))))/(((VLOOKUP(EDATE(B97,-12),Database!$A:$AS,MATCH($G$1,Database!$A$1:$AS$1,),))))</f>
        <v>5.6094929881337213E-3</v>
      </c>
      <c r="H97" s="13">
        <f>((((VLOOKUP(B97,Database!$A:$AS,MATCH($H$1,Database!$A$1:$AS$1,),))))-(((VLOOKUP(EDATE(B97,-12),Database!$A:$AS,MATCH($H$1,Database!$A$1:$AS$1,),)))))/(((VLOOKUP(EDATE(B97,-12),Database!$A:$AS,MATCH($H$1,Database!$A$1:$AS$1,),))))</f>
        <v>2.6548672569596529E-2</v>
      </c>
      <c r="I97" s="13">
        <f>((((VLOOKUP(B97,Database!$A:$AS,MATCH($I$1,Database!$A$1:$AS$1,),))))-(((VLOOKUP(EDATE(B97,-12),Database!$A:$AS,MATCH($I$1,Database!$A$1:$AS$1,),)))))/(((VLOOKUP(EDATE(B97,-12),Database!$A:$AS,MATCH($I$1,Database!$A$1:$AS$1,),))))</f>
        <v>1.5371477365480926E-2</v>
      </c>
      <c r="J97" s="13">
        <f>((((VLOOKUP(B97,Database!$A:$AS,MATCH($J$1,Database!$A$1:$AS$1,),))))-(((VLOOKUP(EDATE(B97,-12),Database!$A:$AS,MATCH($J$1,Database!$A$1:$AS$1,),)))))/(((VLOOKUP(EDATE(B97,-12),Database!$A:$AS,MATCH($J$1,Database!$A$1:$AS$1,),))))</f>
        <v>-2.9558693050894345E-2</v>
      </c>
      <c r="K97" s="13">
        <f>((((VLOOKUP(B97,Database!$A:$AS,MATCH($K$1,Database!$A$1:$AS$1,),))))-(((VLOOKUP(EDATE(B97,-12),Database!$A:$AS,MATCH($K$1,Database!$A$1:$AS$1,),)))))/(((VLOOKUP(EDATE(B97,-12),Database!$A:$AS,MATCH($K$1,Database!$A$1:$AS$1,),))))</f>
        <v>3.1980319803734621E-2</v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>7.4688059366125187E-2</v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>-8.0041677284259857E-2</v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>0.10373774312260166</v>
      </c>
      <c r="O97" s="13">
        <f>((((VLOOKUP(B97,Database!$A:$AS,MATCH($O$1,Database!$A$1:$AS$1,),))))-(((VLOOKUP(EDATE(B97,-12),Database!$A:$AS,MATCH($O$1,Database!$A$1:$AS$1,),)))))/(((VLOOKUP(EDATE(B97,-12),Database!$A:$AS,MATCH($O$1,Database!$A$1:$AS$1,),))))</f>
        <v>-9.4402487831628454E-3</v>
      </c>
      <c r="P97" s="13">
        <f>((((VLOOKUP(B97,Database!$A:$AS,MATCH($P$1,Database!$A$1:$AS$1,),))))-(((VLOOKUP(EDATE(B97,-12),Database!$A:$AS,MATCH($P$1,Database!$A$1:$AS$1,),)))))/(((VLOOKUP(EDATE(B97,-12),Database!$A:$AS,MATCH($P$1,Database!$A$1:$AS$1,),))))</f>
        <v>0.10908554381936035</v>
      </c>
      <c r="Q97" s="13">
        <f>((((VLOOKUP(B97,Database!$A:$AS,MATCH($Q$1,Database!$A$1:$AS$1,),))))-(((VLOOKUP(EDATE(B97,-12),Database!$A:$AS,MATCH($Q$1,Database!$A$1:$AS$1,),)))))/(((VLOOKUP(EDATE(B97,-12),Database!$A:$AS,MATCH($Q$1,Database!$A$1:$AS$1,),))))</f>
        <v>-8.9603429803232854E-2</v>
      </c>
      <c r="R97" s="13">
        <f>((((VLOOKUP(B97,Database!$A:$AS,MATCH($R$1,Database!$A$1:$AS$1,),))))-(((VLOOKUP(EDATE(B97,-12),Database!$A:$AS,MATCH($R$1,Database!$A$1:$AS$1,),)))))/(((VLOOKUP(EDATE(B97,-12),Database!$A:$AS,MATCH($R$1,Database!$A$1:$AS$1,),))))</f>
        <v>-1.0390768305921392E-2</v>
      </c>
      <c r="S97" s="13">
        <f>((((VLOOKUP(B97,Database!$A:$AS,MATCH($S$1,Database!$A$1:$AS$1,),))))-(((VLOOKUP(EDATE(B97,-12),Database!$A:$AS,MATCH($S$1,Database!$A$1:$AS$1,),)))))/(((VLOOKUP(EDATE(B97,-12),Database!$A:$AS,MATCH($S$1,Database!$A$1:$AS$1,),))))</f>
        <v>0.11239193086231837</v>
      </c>
      <c r="T97" s="13">
        <f>((((VLOOKUP(B97,Database!$A:$AS,MATCH($T$1,Database!$A$1:$AS$1,),))))-(((VLOOKUP(EDATE(B97,-12),Database!$A:$AS,MATCH($T$1,Database!$A$1:$AS$1,),)))))/(((VLOOKUP(EDATE(B97,-12),Database!$A:$AS,MATCH($T$1,Database!$A$1:$AS$1,),))))</f>
        <v>7.7380952399909331E-2</v>
      </c>
      <c r="U97" s="13">
        <f>((((VLOOKUP(B97,Database!$A:$AS,MATCH($U$1,Database!$A$1:$AS$1,),))))-(((VLOOKUP(EDATE(B97,-12),Database!$A:$AS,MATCH($U$1,Database!$A$1:$AS$1,),)))))/(((VLOOKUP(EDATE(B97,-12),Database!$A:$AS,MATCH($U$1,Database!$A$1:$AS$1,),))))</f>
        <v>7.4330801521175272E-2</v>
      </c>
      <c r="V97" s="13">
        <f>((((VLOOKUP(B97,Database!$A:$AS,MATCH($V$1,Database!$A$1:$AS$1,),))))-(((VLOOKUP(EDATE(B97,-12),Database!$A:$AS,MATCH($V$1,Database!$A$1:$AS$1,),)))))/(((VLOOKUP(EDATE(B97,-12),Database!$A:$AS,MATCH($V$1,Database!$A$1:$AS$1,),))))</f>
        <v>5.263727165041477E-2</v>
      </c>
    </row>
    <row r="98" spans="1:22" s="83" customFormat="1" x14ac:dyDescent="0.2">
      <c r="A98" s="43"/>
      <c r="B98" s="78">
        <v>35125</v>
      </c>
      <c r="C98" s="13">
        <f>((((VLOOKUP(B98,Database!$A:$AS,MATCH($C$1,Database!$A$1:$AS$1,),))))-(((VLOOKUP(EDATE(B98,-12),Database!$A:$AS,MATCH($C$1,Database!$A$1:$AS$1,),)))))/(((VLOOKUP(EDATE(B98,-12),Database!$A:$AS,MATCH($C$1,Database!$A$1:$AS$1,),))))</f>
        <v>3.1543573555211403E-2</v>
      </c>
      <c r="D98" s="13">
        <f>((((VLOOKUP(B98,Database!$A:$AS,MATCH($D$1,Database!$A$1:$AS$1,),))))-(((VLOOKUP(EDATE(B98,-12),Database!$A:$AS,MATCH($D$1,Database!$A$1:$AS$1,),)))))/(((VLOOKUP(EDATE(B98,-12),Database!$A:$AS,MATCH($D$1,Database!$A$1:$AS$1,),))))</f>
        <v>-2.4449877750611594E-3</v>
      </c>
      <c r="E98" s="13">
        <f>((((VLOOKUP(B98,Database!$A:$AS,MATCH($E$1,Database!$A$1:$AS$1,),))))-(((VLOOKUP(EDATE(B98,-12),Database!$A:$AS,MATCH($E$1,Database!$A$1:$AS$1,),)))))/(((VLOOKUP(EDATE(B98,-12),Database!$A:$AS,MATCH($E$1,Database!$A$1:$AS$1,),))))</f>
        <v>-1.9900497542214876E-3</v>
      </c>
      <c r="F98" s="13">
        <f>((((VLOOKUP(B98,Database!$A:$AS,MATCH($F$1,Database!$A$1:$AS$1,),))))-(((VLOOKUP(EDATE(B98,-12),Database!$A:$AS,MATCH($F$1,Database!$A$1:$AS$1,),)))))/(((VLOOKUP(EDATE(B98,-12),Database!$A:$AS,MATCH($F$1,Database!$A$1:$AS$1,),))))</f>
        <v>-1.7142857152327374E-2</v>
      </c>
      <c r="G98" s="13">
        <f>((((VLOOKUP(B98,Database!$A:$AS,MATCH($G$1,Database!$A$1:$AS$1,),))))-(((VLOOKUP(EDATE(B98,-12),Database!$A:$AS,MATCH($G$1,Database!$A$1:$AS$1,),)))))/(((VLOOKUP(EDATE(B98,-12),Database!$A:$AS,MATCH($G$1,Database!$A$1:$AS$1,),))))</f>
        <v>4.1720154043645759E-3</v>
      </c>
      <c r="H98" s="13">
        <f>((((VLOOKUP(B98,Database!$A:$AS,MATCH($H$1,Database!$A$1:$AS$1,),))))-(((VLOOKUP(EDATE(B98,-12),Database!$A:$AS,MATCH($H$1,Database!$A$1:$AS$1,),)))))/(((VLOOKUP(EDATE(B98,-12),Database!$A:$AS,MATCH($H$1,Database!$A$1:$AS$1,),))))</f>
        <v>2.5220680964374197E-2</v>
      </c>
      <c r="I98" s="13">
        <f>((((VLOOKUP(B98,Database!$A:$AS,MATCH($I$1,Database!$A$1:$AS$1,),))))-(((VLOOKUP(EDATE(B98,-12),Database!$A:$AS,MATCH($I$1,Database!$A$1:$AS$1,),)))))/(((VLOOKUP(EDATE(B98,-12),Database!$A:$AS,MATCH($I$1,Database!$A$1:$AS$1,),))))</f>
        <v>2.5553662684541247E-3</v>
      </c>
      <c r="J98" s="13">
        <f>((((VLOOKUP(B98,Database!$A:$AS,MATCH($J$1,Database!$A$1:$AS$1,),))))-(((VLOOKUP(EDATE(B98,-12),Database!$A:$AS,MATCH($J$1,Database!$A$1:$AS$1,),)))))/(((VLOOKUP(EDATE(B98,-12),Database!$A:$AS,MATCH($J$1,Database!$A$1:$AS$1,),))))</f>
        <v>-1.4515287886589951E-2</v>
      </c>
      <c r="K98" s="13">
        <f>((((VLOOKUP(B98,Database!$A:$AS,MATCH($K$1,Database!$A$1:$AS$1,),))))-(((VLOOKUP(EDATE(B98,-12),Database!$A:$AS,MATCH($K$1,Database!$A$1:$AS$1,),)))))/(((VLOOKUP(EDATE(B98,-12),Database!$A:$AS,MATCH($K$1,Database!$A$1:$AS$1,),))))</f>
        <v>-2.4213074996720829E-3</v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>9.2046253626810293E-2</v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>-3.0687132827202958E-2</v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>0.14404530169190013</v>
      </c>
      <c r="O98" s="13">
        <f>((((VLOOKUP(B98,Database!$A:$AS,MATCH($O$1,Database!$A$1:$AS$1,),))))-(((VLOOKUP(EDATE(B98,-12),Database!$A:$AS,MATCH($O$1,Database!$A$1:$AS$1,),)))))/(((VLOOKUP(EDATE(B98,-12),Database!$A:$AS,MATCH($O$1,Database!$A$1:$AS$1,),))))</f>
        <v>-8.627118331726873E-3</v>
      </c>
      <c r="P98" s="13">
        <f>((((VLOOKUP(B98,Database!$A:$AS,MATCH($P$1,Database!$A$1:$AS$1,),))))-(((VLOOKUP(EDATE(B98,-12),Database!$A:$AS,MATCH($P$1,Database!$A$1:$AS$1,),)))))/(((VLOOKUP(EDATE(B98,-12),Database!$A:$AS,MATCH($P$1,Database!$A$1:$AS$1,),))))</f>
        <v>7.64726474335201E-2</v>
      </c>
      <c r="Q98" s="13">
        <f>((((VLOOKUP(B98,Database!$A:$AS,MATCH($Q$1,Database!$A$1:$AS$1,),))))-(((VLOOKUP(EDATE(B98,-12),Database!$A:$AS,MATCH($Q$1,Database!$A$1:$AS$1,),)))))/(((VLOOKUP(EDATE(B98,-12),Database!$A:$AS,MATCH($Q$1,Database!$A$1:$AS$1,),))))</f>
        <v>-9.1103965709758997E-2</v>
      </c>
      <c r="R98" s="13">
        <f>((((VLOOKUP(B98,Database!$A:$AS,MATCH($R$1,Database!$A$1:$AS$1,),))))-(((VLOOKUP(EDATE(B98,-12),Database!$A:$AS,MATCH($R$1,Database!$A$1:$AS$1,),)))))/(((VLOOKUP(EDATE(B98,-12),Database!$A:$AS,MATCH($R$1,Database!$A$1:$AS$1,),))))</f>
        <v>-2.7831649455103097E-3</v>
      </c>
      <c r="S98" s="13">
        <f>((((VLOOKUP(B98,Database!$A:$AS,MATCH($S$1,Database!$A$1:$AS$1,),))))-(((VLOOKUP(EDATE(B98,-12),Database!$A:$AS,MATCH($S$1,Database!$A$1:$AS$1,),)))))/(((VLOOKUP(EDATE(B98,-12),Database!$A:$AS,MATCH($S$1,Database!$A$1:$AS$1,),))))</f>
        <v>9.8314606720836223E-2</v>
      </c>
      <c r="T98" s="13">
        <f>((((VLOOKUP(B98,Database!$A:$AS,MATCH($T$1,Database!$A$1:$AS$1,),))))-(((VLOOKUP(EDATE(B98,-12),Database!$A:$AS,MATCH($T$1,Database!$A$1:$AS$1,),)))))/(((VLOOKUP(EDATE(B98,-12),Database!$A:$AS,MATCH($T$1,Database!$A$1:$AS$1,),))))</f>
        <v>8.3582089548852628E-2</v>
      </c>
      <c r="U98" s="13">
        <f>((((VLOOKUP(B98,Database!$A:$AS,MATCH($U$1,Database!$A$1:$AS$1,),))))-(((VLOOKUP(EDATE(B98,-12),Database!$A:$AS,MATCH($U$1,Database!$A$1:$AS$1,),)))))/(((VLOOKUP(EDATE(B98,-12),Database!$A:$AS,MATCH($U$1,Database!$A$1:$AS$1,),))))</f>
        <v>3.9181387548275826E-2</v>
      </c>
      <c r="V98" s="13">
        <f>((((VLOOKUP(B98,Database!$A:$AS,MATCH($V$1,Database!$A$1:$AS$1,),))))-(((VLOOKUP(EDATE(B98,-12),Database!$A:$AS,MATCH($V$1,Database!$A$1:$AS$1,),)))))/(((VLOOKUP(EDATE(B98,-12),Database!$A:$AS,MATCH($V$1,Database!$A$1:$AS$1,),))))</f>
        <v>0.11955912589858406</v>
      </c>
    </row>
    <row r="99" spans="1:22" s="83" customFormat="1" x14ac:dyDescent="0.2">
      <c r="A99" s="43"/>
      <c r="B99" s="78">
        <v>35156</v>
      </c>
      <c r="C99" s="13">
        <f>((((VLOOKUP(B99,Database!$A:$AS,MATCH($C$1,Database!$A$1:$AS$1,),))))-(((VLOOKUP(EDATE(B99,-12),Database!$A:$AS,MATCH($C$1,Database!$A$1:$AS$1,),)))))/(((VLOOKUP(EDATE(B99,-12),Database!$A:$AS,MATCH($C$1,Database!$A$1:$AS$1,),))))</f>
        <v>4.3658270154881364E-2</v>
      </c>
      <c r="D99" s="13">
        <f>((((VLOOKUP(B99,Database!$A:$AS,MATCH($D$1,Database!$A$1:$AS$1,),))))-(((VLOOKUP(EDATE(B99,-12),Database!$A:$AS,MATCH($D$1,Database!$A$1:$AS$1,),)))))/(((VLOOKUP(EDATE(B99,-12),Database!$A:$AS,MATCH($D$1,Database!$A$1:$AS$1,),))))</f>
        <v>-1.3398294762484707E-2</v>
      </c>
      <c r="E99" s="13">
        <f>((((VLOOKUP(B99,Database!$A:$AS,MATCH($E$1,Database!$A$1:$AS$1,),))))-(((VLOOKUP(EDATE(B99,-12),Database!$A:$AS,MATCH($E$1,Database!$A$1:$AS$1,),)))))/(((VLOOKUP(EDATE(B99,-12),Database!$A:$AS,MATCH($E$1,Database!$A$1:$AS$1,),))))</f>
        <v>-1.08161258620325E-2</v>
      </c>
      <c r="F99" s="13">
        <f>((((VLOOKUP(B99,Database!$A:$AS,MATCH($F$1,Database!$A$1:$AS$1,),))))-(((VLOOKUP(EDATE(B99,-12),Database!$A:$AS,MATCH($F$1,Database!$A$1:$AS$1,),)))))/(((VLOOKUP(EDATE(B99,-12),Database!$A:$AS,MATCH($F$1,Database!$A$1:$AS$1,),))))</f>
        <v>-2.2727272730501274E-2</v>
      </c>
      <c r="G99" s="13">
        <f>((((VLOOKUP(B99,Database!$A:$AS,MATCH($G$1,Database!$A$1:$AS$1,),))))-(((VLOOKUP(EDATE(B99,-12),Database!$A:$AS,MATCH($G$1,Database!$A$1:$AS$1,),)))))/(((VLOOKUP(EDATE(B99,-12),Database!$A:$AS,MATCH($G$1,Database!$A$1:$AS$1,),))))</f>
        <v>-5.8842409329196233E-3</v>
      </c>
      <c r="H99" s="13">
        <f>((((VLOOKUP(B99,Database!$A:$AS,MATCH($H$1,Database!$A$1:$AS$1,),))))-(((VLOOKUP(EDATE(B99,-12),Database!$A:$AS,MATCH($H$1,Database!$A$1:$AS$1,),)))))/(((VLOOKUP(EDATE(B99,-12),Database!$A:$AS,MATCH($H$1,Database!$A$1:$AS$1,),))))</f>
        <v>3.7453183558424489E-3</v>
      </c>
      <c r="I99" s="13">
        <f>((((VLOOKUP(B99,Database!$A:$AS,MATCH($I$1,Database!$A$1:$AS$1,),))))-(((VLOOKUP(EDATE(B99,-12),Database!$A:$AS,MATCH($I$1,Database!$A$1:$AS$1,),)))))/(((VLOOKUP(EDATE(B99,-12),Database!$A:$AS,MATCH($I$1,Database!$A$1:$AS$1,),))))</f>
        <v>-9.3617021279202486E-3</v>
      </c>
      <c r="J99" s="13">
        <f>((((VLOOKUP(B99,Database!$A:$AS,MATCH($J$1,Database!$A$1:$AS$1,),))))-(((VLOOKUP(EDATE(B99,-12),Database!$A:$AS,MATCH($J$1,Database!$A$1:$AS$1,),)))))/(((VLOOKUP(EDATE(B99,-12),Database!$A:$AS,MATCH($J$1,Database!$A$1:$AS$1,),))))</f>
        <v>-3.6985801291781188E-2</v>
      </c>
      <c r="K99" s="13">
        <f>((((VLOOKUP(B99,Database!$A:$AS,MATCH($K$1,Database!$A$1:$AS$1,),))))-(((VLOOKUP(EDATE(B99,-12),Database!$A:$AS,MATCH($K$1,Database!$A$1:$AS$1,),)))))/(((VLOOKUP(EDATE(B99,-12),Database!$A:$AS,MATCH($K$1,Database!$A$1:$AS$1,),))))</f>
        <v>-9.6153846136770912E-3</v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>0.1100968340087186</v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>-6.233213788758846E-3</v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>0.10777537085008772</v>
      </c>
      <c r="O99" s="13">
        <f>((((VLOOKUP(B99,Database!$A:$AS,MATCH($O$1,Database!$A$1:$AS$1,),))))-(((VLOOKUP(EDATE(B99,-12),Database!$A:$AS,MATCH($O$1,Database!$A$1:$AS$1,),)))))/(((VLOOKUP(EDATE(B99,-12),Database!$A:$AS,MATCH($O$1,Database!$A$1:$AS$1,),))))</f>
        <v>-1.4526193769517058E-3</v>
      </c>
      <c r="P99" s="13">
        <f>((((VLOOKUP(B99,Database!$A:$AS,MATCH($P$1,Database!$A$1:$AS$1,),))))-(((VLOOKUP(EDATE(B99,-12),Database!$A:$AS,MATCH($P$1,Database!$A$1:$AS$1,),)))))/(((VLOOKUP(EDATE(B99,-12),Database!$A:$AS,MATCH($P$1,Database!$A$1:$AS$1,),))))</f>
        <v>0.10556542707976795</v>
      </c>
      <c r="Q99" s="13">
        <f>((((VLOOKUP(B99,Database!$A:$AS,MATCH($Q$1,Database!$A$1:$AS$1,),))))-(((VLOOKUP(EDATE(B99,-12),Database!$A:$AS,MATCH($Q$1,Database!$A$1:$AS$1,),)))))/(((VLOOKUP(EDATE(B99,-12),Database!$A:$AS,MATCH($Q$1,Database!$A$1:$AS$1,),))))</f>
        <v>-5.3106975733661611E-2</v>
      </c>
      <c r="R99" s="13">
        <f>((((VLOOKUP(B99,Database!$A:$AS,MATCH($R$1,Database!$A$1:$AS$1,),))))-(((VLOOKUP(EDATE(B99,-12),Database!$A:$AS,MATCH($R$1,Database!$A$1:$AS$1,),)))))/(((VLOOKUP(EDATE(B99,-12),Database!$A:$AS,MATCH($R$1,Database!$A$1:$AS$1,),))))</f>
        <v>-1.6987130355544866E-3</v>
      </c>
      <c r="S99" s="13">
        <f>((((VLOOKUP(B99,Database!$A:$AS,MATCH($S$1,Database!$A$1:$AS$1,),))))-(((VLOOKUP(EDATE(B99,-12),Database!$A:$AS,MATCH($S$1,Database!$A$1:$AS$1,),)))))/(((VLOOKUP(EDATE(B99,-12),Database!$A:$AS,MATCH($S$1,Database!$A$1:$AS$1,),))))</f>
        <v>8.5635359148290138E-2</v>
      </c>
      <c r="T99" s="13">
        <f>((((VLOOKUP(B99,Database!$A:$AS,MATCH($T$1,Database!$A$1:$AS$1,),))))-(((VLOOKUP(EDATE(B99,-12),Database!$A:$AS,MATCH($T$1,Database!$A$1:$AS$1,),)))))/(((VLOOKUP(EDATE(B99,-12),Database!$A:$AS,MATCH($T$1,Database!$A$1:$AS$1,),))))</f>
        <v>4.4077134992449363E-2</v>
      </c>
      <c r="U99" s="13">
        <f>((((VLOOKUP(B99,Database!$A:$AS,MATCH($U$1,Database!$A$1:$AS$1,),))))-(((VLOOKUP(EDATE(B99,-12),Database!$A:$AS,MATCH($U$1,Database!$A$1:$AS$1,),)))))/(((VLOOKUP(EDATE(B99,-12),Database!$A:$AS,MATCH($U$1,Database!$A$1:$AS$1,),))))</f>
        <v>4.0949370931430227E-3</v>
      </c>
      <c r="V99" s="13">
        <f>((((VLOOKUP(B99,Database!$A:$AS,MATCH($V$1,Database!$A$1:$AS$1,),))))-(((VLOOKUP(EDATE(B99,-12),Database!$A:$AS,MATCH($V$1,Database!$A$1:$AS$1,),)))))/(((VLOOKUP(EDATE(B99,-12),Database!$A:$AS,MATCH($V$1,Database!$A$1:$AS$1,),))))</f>
        <v>0.11203004391938372</v>
      </c>
    </row>
    <row r="100" spans="1:22" s="83" customFormat="1" x14ac:dyDescent="0.2">
      <c r="A100" s="43"/>
      <c r="B100" s="78">
        <v>35186</v>
      </c>
      <c r="C100" s="13">
        <f>((((VLOOKUP(B100,Database!$A:$AS,MATCH($C$1,Database!$A$1:$AS$1,),))))-(((VLOOKUP(EDATE(B100,-12),Database!$A:$AS,MATCH($C$1,Database!$A$1:$AS$1,),)))))/(((VLOOKUP(EDATE(B100,-12),Database!$A:$AS,MATCH($C$1,Database!$A$1:$AS$1,),))))</f>
        <v>4.6300357112999846E-2</v>
      </c>
      <c r="D100" s="13">
        <f>((((VLOOKUP(B100,Database!$A:$AS,MATCH($D$1,Database!$A$1:$AS$1,),))))-(((VLOOKUP(EDATE(B100,-12),Database!$A:$AS,MATCH($D$1,Database!$A$1:$AS$1,),)))))/(((VLOOKUP(EDATE(B100,-12),Database!$A:$AS,MATCH($D$1,Database!$A$1:$AS$1,),))))</f>
        <v>-6.0679611650485436E-3</v>
      </c>
      <c r="E100" s="13">
        <f>((((VLOOKUP(B100,Database!$A:$AS,MATCH($E$1,Database!$A$1:$AS$1,),))))-(((VLOOKUP(EDATE(B100,-12),Database!$A:$AS,MATCH($E$1,Database!$A$1:$AS$1,),)))))/(((VLOOKUP(EDATE(B100,-12),Database!$A:$AS,MATCH($E$1,Database!$A$1:$AS$1,),))))</f>
        <v>1.1999999998264512E-2</v>
      </c>
      <c r="F100" s="13">
        <f>((((VLOOKUP(B100,Database!$A:$AS,MATCH($F$1,Database!$A$1:$AS$1,),))))-(((VLOOKUP(EDATE(B100,-12),Database!$A:$AS,MATCH($F$1,Database!$A$1:$AS$1,),)))))/(((VLOOKUP(EDATE(B100,-12),Database!$A:$AS,MATCH($F$1,Database!$A$1:$AS$1,),))))</f>
        <v>-1.9774011298557163E-2</v>
      </c>
      <c r="G100" s="13">
        <f>((((VLOOKUP(B100,Database!$A:$AS,MATCH($G$1,Database!$A$1:$AS$1,),))))-(((VLOOKUP(EDATE(B100,-12),Database!$A:$AS,MATCH($G$1,Database!$A$1:$AS$1,),)))))/(((VLOOKUP(EDATE(B100,-12),Database!$A:$AS,MATCH($G$1,Database!$A$1:$AS$1,),))))</f>
        <v>1.8920662223177866E-2</v>
      </c>
      <c r="H100" s="13">
        <f>((((VLOOKUP(B100,Database!$A:$AS,MATCH($H$1,Database!$A$1:$AS$1,),))))-(((VLOOKUP(EDATE(B100,-12),Database!$A:$AS,MATCH($H$1,Database!$A$1:$AS$1,),)))))/(((VLOOKUP(EDATE(B100,-12),Database!$A:$AS,MATCH($H$1,Database!$A$1:$AS$1,),))))</f>
        <v>1.0000000002324635E-2</v>
      </c>
      <c r="I100" s="13">
        <f>((((VLOOKUP(B100,Database!$A:$AS,MATCH($I$1,Database!$A$1:$AS$1,),))))-(((VLOOKUP(EDATE(B100,-12),Database!$A:$AS,MATCH($I$1,Database!$A$1:$AS$1,),)))))/(((VLOOKUP(EDATE(B100,-12),Database!$A:$AS,MATCH($I$1,Database!$A$1:$AS$1,),))))</f>
        <v>-1.6074450085754904E-2</v>
      </c>
      <c r="J100" s="13">
        <f>((((VLOOKUP(B100,Database!$A:$AS,MATCH($J$1,Database!$A$1:$AS$1,),))))-(((VLOOKUP(EDATE(B100,-12),Database!$A:$AS,MATCH($J$1,Database!$A$1:$AS$1,),)))))/(((VLOOKUP(EDATE(B100,-12),Database!$A:$AS,MATCH($J$1,Database!$A$1:$AS$1,),))))</f>
        <v>-2.8963008112915533E-2</v>
      </c>
      <c r="K100" s="13">
        <f>((((VLOOKUP(B100,Database!$A:$AS,MATCH($K$1,Database!$A$1:$AS$1,),))))-(((VLOOKUP(EDATE(B100,-12),Database!$A:$AS,MATCH($K$1,Database!$A$1:$AS$1,),)))))/(((VLOOKUP(EDATE(B100,-12),Database!$A:$AS,MATCH($K$1,Database!$A$1:$AS$1,),))))</f>
        <v>8.4134615340076113E-3</v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>0.13054202396788006</v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>-4.8340680125654692E-2</v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>0.12892637495804174</v>
      </c>
      <c r="O100" s="13">
        <f>((((VLOOKUP(B100,Database!$A:$AS,MATCH($O$1,Database!$A$1:$AS$1,),))))-(((VLOOKUP(EDATE(B100,-12),Database!$A:$AS,MATCH($O$1,Database!$A$1:$AS$1,),)))))/(((VLOOKUP(EDATE(B100,-12),Database!$A:$AS,MATCH($O$1,Database!$A$1:$AS$1,),))))</f>
        <v>4.6100617069456916E-3</v>
      </c>
      <c r="P100" s="13">
        <f>((((VLOOKUP(B100,Database!$A:$AS,MATCH($P$1,Database!$A$1:$AS$1,),))))-(((VLOOKUP(EDATE(B100,-12),Database!$A:$AS,MATCH($P$1,Database!$A$1:$AS$1,),)))))/(((VLOOKUP(EDATE(B100,-12),Database!$A:$AS,MATCH($P$1,Database!$A$1:$AS$1,),))))</f>
        <v>0.12497584854625059</v>
      </c>
      <c r="Q100" s="13">
        <f>((((VLOOKUP(B100,Database!$A:$AS,MATCH($Q$1,Database!$A$1:$AS$1,),))))-(((VLOOKUP(EDATE(B100,-12),Database!$A:$AS,MATCH($Q$1,Database!$A$1:$AS$1,),)))))/(((VLOOKUP(EDATE(B100,-12),Database!$A:$AS,MATCH($Q$1,Database!$A$1:$AS$1,),))))</f>
        <v>6.6674837608836413E-2</v>
      </c>
      <c r="R100" s="13">
        <f>((((VLOOKUP(B100,Database!$A:$AS,MATCH($R$1,Database!$A$1:$AS$1,),))))-(((VLOOKUP(EDATE(B100,-12),Database!$A:$AS,MATCH($R$1,Database!$A$1:$AS$1,),)))))/(((VLOOKUP(EDATE(B100,-12),Database!$A:$AS,MATCH($R$1,Database!$A$1:$AS$1,),))))</f>
        <v>1.8054782681135813E-2</v>
      </c>
      <c r="S100" s="13">
        <f>((((VLOOKUP(B100,Database!$A:$AS,MATCH($S$1,Database!$A$1:$AS$1,),))))-(((VLOOKUP(EDATE(B100,-12),Database!$A:$AS,MATCH($S$1,Database!$A$1:$AS$1,),)))))/(((VLOOKUP(EDATE(B100,-12),Database!$A:$AS,MATCH($S$1,Database!$A$1:$AS$1,),))))</f>
        <v>0.10723860591059525</v>
      </c>
      <c r="T100" s="13">
        <f>((((VLOOKUP(B100,Database!$A:$AS,MATCH($T$1,Database!$A$1:$AS$1,),))))-(((VLOOKUP(EDATE(B100,-12),Database!$A:$AS,MATCH($T$1,Database!$A$1:$AS$1,),)))))/(((VLOOKUP(EDATE(B100,-12),Database!$A:$AS,MATCH($T$1,Database!$A$1:$AS$1,),))))</f>
        <v>4.4444444450617744E-2</v>
      </c>
      <c r="U100" s="13">
        <f>((((VLOOKUP(B100,Database!$A:$AS,MATCH($U$1,Database!$A$1:$AS$1,),))))-(((VLOOKUP(EDATE(B100,-12),Database!$A:$AS,MATCH($U$1,Database!$A$1:$AS$1,),)))))/(((VLOOKUP(EDATE(B100,-12),Database!$A:$AS,MATCH($U$1,Database!$A$1:$AS$1,),))))</f>
        <v>1.4183133250576737E-2</v>
      </c>
      <c r="V100" s="13">
        <f>((((VLOOKUP(B100,Database!$A:$AS,MATCH($V$1,Database!$A$1:$AS$1,),))))-(((VLOOKUP(EDATE(B100,-12),Database!$A:$AS,MATCH($V$1,Database!$A$1:$AS$1,),)))))/(((VLOOKUP(EDATE(B100,-12),Database!$A:$AS,MATCH($V$1,Database!$A$1:$AS$1,),))))</f>
        <v>8.3529568724207706E-2</v>
      </c>
    </row>
    <row r="101" spans="1:22" s="83" customFormat="1" x14ac:dyDescent="0.2">
      <c r="A101" s="43"/>
      <c r="B101" s="78">
        <v>35217</v>
      </c>
      <c r="C101" s="13">
        <f>((((VLOOKUP(B101,Database!$A:$AS,MATCH($C$1,Database!$A$1:$AS$1,),))))-(((VLOOKUP(EDATE(B101,-12),Database!$A:$AS,MATCH($C$1,Database!$A$1:$AS$1,),)))))/(((VLOOKUP(EDATE(B101,-12),Database!$A:$AS,MATCH($C$1,Database!$A$1:$AS$1,),))))</f>
        <v>5.0810669779856911E-2</v>
      </c>
      <c r="D101" s="13">
        <f>((((VLOOKUP(B101,Database!$A:$AS,MATCH($D$1,Database!$A$1:$AS$1,),))))-(((VLOOKUP(EDATE(B101,-12),Database!$A:$AS,MATCH($D$1,Database!$A$1:$AS$1,),)))))/(((VLOOKUP(EDATE(B101,-12),Database!$A:$AS,MATCH($D$1,Database!$A$1:$AS$1,),))))</f>
        <v>-2.4360535931789115E-3</v>
      </c>
      <c r="E101" s="13">
        <f>((((VLOOKUP(B101,Database!$A:$AS,MATCH($E$1,Database!$A$1:$AS$1,),))))-(((VLOOKUP(EDATE(B101,-12),Database!$A:$AS,MATCH($E$1,Database!$A$1:$AS$1,),)))))/(((VLOOKUP(EDATE(B101,-12),Database!$A:$AS,MATCH($E$1,Database!$A$1:$AS$1,),))))</f>
        <v>1.5015015022810893E-2</v>
      </c>
      <c r="F101" s="13">
        <f>((((VLOOKUP(B101,Database!$A:$AS,MATCH($F$1,Database!$A$1:$AS$1,),))))-(((VLOOKUP(EDATE(B101,-12),Database!$A:$AS,MATCH($F$1,Database!$A$1:$AS$1,),)))))/(((VLOOKUP(EDATE(B101,-12),Database!$A:$AS,MATCH($F$1,Database!$A$1:$AS$1,),))))</f>
        <v>-2.8571428611025573E-3</v>
      </c>
      <c r="G101" s="13">
        <f>((((VLOOKUP(B101,Database!$A:$AS,MATCH($G$1,Database!$A$1:$AS$1,),))))-(((VLOOKUP(EDATE(B101,-12),Database!$A:$AS,MATCH($G$1,Database!$A$1:$AS$1,),)))))/(((VLOOKUP(EDATE(B101,-12),Database!$A:$AS,MATCH($G$1,Database!$A$1:$AS$1,),))))</f>
        <v>4.0572282724750126E-3</v>
      </c>
      <c r="H101" s="13">
        <f>((((VLOOKUP(B101,Database!$A:$AS,MATCH($H$1,Database!$A$1:$AS$1,),))))-(((VLOOKUP(EDATE(B101,-12),Database!$A:$AS,MATCH($H$1,Database!$A$1:$AS$1,),)))))/(((VLOOKUP(EDATE(B101,-12),Database!$A:$AS,MATCH($H$1,Database!$A$1:$AS$1,),))))</f>
        <v>1.2578616349258949E-2</v>
      </c>
      <c r="I101" s="13">
        <f>((((VLOOKUP(B101,Database!$A:$AS,MATCH($I$1,Database!$A$1:$AS$1,),))))-(((VLOOKUP(EDATE(B101,-12),Database!$A:$AS,MATCH($I$1,Database!$A$1:$AS$1,),)))))/(((VLOOKUP(EDATE(B101,-12),Database!$A:$AS,MATCH($I$1,Database!$A$1:$AS$1,),))))</f>
        <v>-1.2711864403260355E-2</v>
      </c>
      <c r="J101" s="13">
        <f>((((VLOOKUP(B101,Database!$A:$AS,MATCH($J$1,Database!$A$1:$AS$1,),))))-(((VLOOKUP(EDATE(B101,-12),Database!$A:$AS,MATCH($J$1,Database!$A$1:$AS$1,),)))))/(((VLOOKUP(EDATE(B101,-12),Database!$A:$AS,MATCH($J$1,Database!$A$1:$AS$1,),))))</f>
        <v>-4.4054554655552306E-3</v>
      </c>
      <c r="K101" s="13">
        <f>((((VLOOKUP(B101,Database!$A:$AS,MATCH($K$1,Database!$A$1:$AS$1,),))))-(((VLOOKUP(EDATE(B101,-12),Database!$A:$AS,MATCH($K$1,Database!$A$1:$AS$1,),)))))/(((VLOOKUP(EDATE(B101,-12),Database!$A:$AS,MATCH($K$1,Database!$A$1:$AS$1,),))))</f>
        <v>7.1856287471629551E-3</v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>0.14221550938852554</v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>-5.3697738137079246E-2</v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>0.10564124021651679</v>
      </c>
      <c r="O101" s="13">
        <f>((((VLOOKUP(B101,Database!$A:$AS,MATCH($O$1,Database!$A$1:$AS$1,),))))-(((VLOOKUP(EDATE(B101,-12),Database!$A:$AS,MATCH($O$1,Database!$A$1:$AS$1,),)))))/(((VLOOKUP(EDATE(B101,-12),Database!$A:$AS,MATCH($O$1,Database!$A$1:$AS$1,),))))</f>
        <v>8.9232181746260256E-3</v>
      </c>
      <c r="P101" s="13">
        <f>((((VLOOKUP(B101,Database!$A:$AS,MATCH($P$1,Database!$A$1:$AS$1,),))))-(((VLOOKUP(EDATE(B101,-12),Database!$A:$AS,MATCH($P$1,Database!$A$1:$AS$1,),)))))/(((VLOOKUP(EDATE(B101,-12),Database!$A:$AS,MATCH($P$1,Database!$A$1:$AS$1,),))))</f>
        <v>5.4596897060542743E-2</v>
      </c>
      <c r="Q101" s="13">
        <f>((((VLOOKUP(B101,Database!$A:$AS,MATCH($Q$1,Database!$A$1:$AS$1,),))))-(((VLOOKUP(EDATE(B101,-12),Database!$A:$AS,MATCH($Q$1,Database!$A$1:$AS$1,),)))))/(((VLOOKUP(EDATE(B101,-12),Database!$A:$AS,MATCH($Q$1,Database!$A$1:$AS$1,),))))</f>
        <v>-4.3592979316617476E-3</v>
      </c>
      <c r="R101" s="13">
        <f>((((VLOOKUP(B101,Database!$A:$AS,MATCH($R$1,Database!$A$1:$AS$1,),))))-(((VLOOKUP(EDATE(B101,-12),Database!$A:$AS,MATCH($R$1,Database!$A$1:$AS$1,),)))))/(((VLOOKUP(EDATE(B101,-12),Database!$A:$AS,MATCH($R$1,Database!$A$1:$AS$1,),))))</f>
        <v>3.3337683745114928E-2</v>
      </c>
      <c r="S101" s="13">
        <f>((((VLOOKUP(B101,Database!$A:$AS,MATCH($S$1,Database!$A$1:$AS$1,),))))-(((VLOOKUP(EDATE(B101,-12),Database!$A:$AS,MATCH($S$1,Database!$A$1:$AS$1,),)))))/(((VLOOKUP(EDATE(B101,-12),Database!$A:$AS,MATCH($S$1,Database!$A$1:$AS$1,),))))</f>
        <v>0.13461538460648406</v>
      </c>
      <c r="T101" s="13">
        <f>((((VLOOKUP(B101,Database!$A:$AS,MATCH($T$1,Database!$A$1:$AS$1,),))))-(((VLOOKUP(EDATE(B101,-12),Database!$A:$AS,MATCH($T$1,Database!$A$1:$AS$1,),)))))/(((VLOOKUP(EDATE(B101,-12),Database!$A:$AS,MATCH($T$1,Database!$A$1:$AS$1,),))))</f>
        <v>3.7634408600994214E-2</v>
      </c>
      <c r="U101" s="13">
        <f>((((VLOOKUP(B101,Database!$A:$AS,MATCH($U$1,Database!$A$1:$AS$1,),))))-(((VLOOKUP(EDATE(B101,-12),Database!$A:$AS,MATCH($U$1,Database!$A$1:$AS$1,),)))))/(((VLOOKUP(EDATE(B101,-12),Database!$A:$AS,MATCH($U$1,Database!$A$1:$AS$1,),))))</f>
        <v>-3.6854461614158544E-3</v>
      </c>
      <c r="V101" s="13">
        <f>((((VLOOKUP(B101,Database!$A:$AS,MATCH($V$1,Database!$A$1:$AS$1,),))))-(((VLOOKUP(EDATE(B101,-12),Database!$A:$AS,MATCH($V$1,Database!$A$1:$AS$1,),)))))/(((VLOOKUP(EDATE(B101,-12),Database!$A:$AS,MATCH($V$1,Database!$A$1:$AS$1,),))))</f>
        <v>7.3692401402904853E-2</v>
      </c>
    </row>
    <row r="102" spans="1:22" s="83" customFormat="1" x14ac:dyDescent="0.2">
      <c r="A102" s="43"/>
      <c r="B102" s="78">
        <v>35247</v>
      </c>
      <c r="C102" s="13">
        <f>((((VLOOKUP(B102,Database!$A:$AS,MATCH($C$1,Database!$A$1:$AS$1,),))))-(((VLOOKUP(EDATE(B102,-12),Database!$A:$AS,MATCH($C$1,Database!$A$1:$AS$1,),)))))/(((VLOOKUP(EDATE(B102,-12),Database!$A:$AS,MATCH($C$1,Database!$A$1:$AS$1,),))))</f>
        <v>5.5431887269848309E-2</v>
      </c>
      <c r="D102" s="13">
        <f>((((VLOOKUP(B102,Database!$A:$AS,MATCH($D$1,Database!$A$1:$AS$1,),))))-(((VLOOKUP(EDATE(B102,-12),Database!$A:$AS,MATCH($D$1,Database!$A$1:$AS$1,),)))))/(((VLOOKUP(EDATE(B102,-12),Database!$A:$AS,MATCH($D$1,Database!$A$1:$AS$1,),))))</f>
        <v>-1.0962241169305621E-2</v>
      </c>
      <c r="E102" s="13">
        <f>((((VLOOKUP(B102,Database!$A:$AS,MATCH($E$1,Database!$A$1:$AS$1,),))))-(((VLOOKUP(EDATE(B102,-12),Database!$A:$AS,MATCH($E$1,Database!$A$1:$AS$1,),)))))/(((VLOOKUP(EDATE(B102,-12),Database!$A:$AS,MATCH($E$1,Database!$A$1:$AS$1,),))))</f>
        <v>3.5532994921977611E-2</v>
      </c>
      <c r="F102" s="13">
        <f>((((VLOOKUP(B102,Database!$A:$AS,MATCH($F$1,Database!$A$1:$AS$1,),))))-(((VLOOKUP(EDATE(B102,-12),Database!$A:$AS,MATCH($F$1,Database!$A$1:$AS$1,),)))))/(((VLOOKUP(EDATE(B102,-12),Database!$A:$AS,MATCH($F$1,Database!$A$1:$AS$1,),))))</f>
        <v>-1.1461318053176921E-2</v>
      </c>
      <c r="G102" s="13">
        <f>((((VLOOKUP(B102,Database!$A:$AS,MATCH($G$1,Database!$A$1:$AS$1,),))))-(((VLOOKUP(EDATE(B102,-12),Database!$A:$AS,MATCH($G$1,Database!$A$1:$AS$1,),)))))/(((VLOOKUP(EDATE(B102,-12),Database!$A:$AS,MATCH($G$1,Database!$A$1:$AS$1,),))))</f>
        <v>-1.8071648772190804E-2</v>
      </c>
      <c r="H102" s="13">
        <f>((((VLOOKUP(B102,Database!$A:$AS,MATCH($H$1,Database!$A$1:$AS$1,),))))-(((VLOOKUP(EDATE(B102,-12),Database!$A:$AS,MATCH($H$1,Database!$A$1:$AS$1,),)))))/(((VLOOKUP(EDATE(B102,-12),Database!$A:$AS,MATCH($H$1,Database!$A$1:$AS$1,),))))</f>
        <v>3.7453183558424489E-3</v>
      </c>
      <c r="I102" s="13">
        <f>((((VLOOKUP(B102,Database!$A:$AS,MATCH($I$1,Database!$A$1:$AS$1,),))))-(((VLOOKUP(EDATE(B102,-12),Database!$A:$AS,MATCH($I$1,Database!$A$1:$AS$1,),)))))/(((VLOOKUP(EDATE(B102,-12),Database!$A:$AS,MATCH($I$1,Database!$A$1:$AS$1,),))))</f>
        <v>-1.27226463153537E-2</v>
      </c>
      <c r="J102" s="13">
        <f>((((VLOOKUP(B102,Database!$A:$AS,MATCH($J$1,Database!$A$1:$AS$1,),))))-(((VLOOKUP(EDATE(B102,-12),Database!$A:$AS,MATCH($J$1,Database!$A$1:$AS$1,),)))))/(((VLOOKUP(EDATE(B102,-12),Database!$A:$AS,MATCH($J$1,Database!$A$1:$AS$1,),))))</f>
        <v>-1.6944731582801329E-2</v>
      </c>
      <c r="K102" s="13">
        <f>((((VLOOKUP(B102,Database!$A:$AS,MATCH($K$1,Database!$A$1:$AS$1,),))))-(((VLOOKUP(EDATE(B102,-12),Database!$A:$AS,MATCH($K$1,Database!$A$1:$AS$1,),)))))/(((VLOOKUP(EDATE(B102,-12),Database!$A:$AS,MATCH($K$1,Database!$A$1:$AS$1,),))))</f>
        <v>1.6766467068849229E-2</v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>0.14880243359937892</v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>-6.1244309473644572E-2</v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>6.6368326434381758E-2</v>
      </c>
      <c r="O102" s="13">
        <f>((((VLOOKUP(B102,Database!$A:$AS,MATCH($O$1,Database!$A$1:$AS$1,),))))-(((VLOOKUP(EDATE(B102,-12),Database!$A:$AS,MATCH($O$1,Database!$A$1:$AS$1,),)))))/(((VLOOKUP(EDATE(B102,-12),Database!$A:$AS,MATCH($O$1,Database!$A$1:$AS$1,),))))</f>
        <v>2.2409345297435136E-2</v>
      </c>
      <c r="P102" s="13">
        <f>((((VLOOKUP(B102,Database!$A:$AS,MATCH($P$1,Database!$A$1:$AS$1,),))))-(((VLOOKUP(EDATE(B102,-12),Database!$A:$AS,MATCH($P$1,Database!$A$1:$AS$1,),)))))/(((VLOOKUP(EDATE(B102,-12),Database!$A:$AS,MATCH($P$1,Database!$A$1:$AS$1,),))))</f>
        <v>7.7573609438416319E-2</v>
      </c>
      <c r="Q102" s="13">
        <f>((((VLOOKUP(B102,Database!$A:$AS,MATCH($Q$1,Database!$A$1:$AS$1,),))))-(((VLOOKUP(EDATE(B102,-12),Database!$A:$AS,MATCH($Q$1,Database!$A$1:$AS$1,),)))))/(((VLOOKUP(EDATE(B102,-12),Database!$A:$AS,MATCH($Q$1,Database!$A$1:$AS$1,),))))</f>
        <v>7.7873191387206428E-2</v>
      </c>
      <c r="R102" s="13">
        <f>((((VLOOKUP(B102,Database!$A:$AS,MATCH($R$1,Database!$A$1:$AS$1,),))))-(((VLOOKUP(EDATE(B102,-12),Database!$A:$AS,MATCH($R$1,Database!$A$1:$AS$1,),)))))/(((VLOOKUP(EDATE(B102,-12),Database!$A:$AS,MATCH($R$1,Database!$A$1:$AS$1,),))))</f>
        <v>3.0494276989738271E-2</v>
      </c>
      <c r="S102" s="13">
        <f>((((VLOOKUP(B102,Database!$A:$AS,MATCH($S$1,Database!$A$1:$AS$1,),))))-(((VLOOKUP(EDATE(B102,-12),Database!$A:$AS,MATCH($S$1,Database!$A$1:$AS$1,),)))))/(((VLOOKUP(EDATE(B102,-12),Database!$A:$AS,MATCH($S$1,Database!$A$1:$AS$1,),))))</f>
        <v>8.1364829379497364E-2</v>
      </c>
      <c r="T102" s="13">
        <f>((((VLOOKUP(B102,Database!$A:$AS,MATCH($T$1,Database!$A$1:$AS$1,),))))-(((VLOOKUP(EDATE(B102,-12),Database!$A:$AS,MATCH($T$1,Database!$A$1:$AS$1,),)))))/(((VLOOKUP(EDATE(B102,-12),Database!$A:$AS,MATCH($T$1,Database!$A$1:$AS$1,),))))</f>
        <v>2.6881720440803239E-2</v>
      </c>
      <c r="U102" s="13">
        <f>((((VLOOKUP(B102,Database!$A:$AS,MATCH($U$1,Database!$A$1:$AS$1,),))))-(((VLOOKUP(EDATE(B102,-12),Database!$A:$AS,MATCH($U$1,Database!$A$1:$AS$1,),)))))/(((VLOOKUP(EDATE(B102,-12),Database!$A:$AS,MATCH($U$1,Database!$A$1:$AS$1,),))))</f>
        <v>5.3837290234566945E-2</v>
      </c>
      <c r="V102" s="13">
        <f>((((VLOOKUP(B102,Database!$A:$AS,MATCH($V$1,Database!$A$1:$AS$1,),))))-(((VLOOKUP(EDATE(B102,-12),Database!$A:$AS,MATCH($V$1,Database!$A$1:$AS$1,),)))))/(((VLOOKUP(EDATE(B102,-12),Database!$A:$AS,MATCH($V$1,Database!$A$1:$AS$1,),))))</f>
        <v>8.2148742961418192E-2</v>
      </c>
    </row>
    <row r="103" spans="1:22" s="83" customFormat="1" x14ac:dyDescent="0.2">
      <c r="A103" s="43"/>
      <c r="B103" s="78">
        <v>35278</v>
      </c>
      <c r="C103" s="13">
        <f>((((VLOOKUP(B103,Database!$A:$AS,MATCH($C$1,Database!$A$1:$AS$1,),))))-(((VLOOKUP(EDATE(B103,-12),Database!$A:$AS,MATCH($C$1,Database!$A$1:$AS$1,),)))))/(((VLOOKUP(EDATE(B103,-12),Database!$A:$AS,MATCH($C$1,Database!$A$1:$AS$1,),))))</f>
        <v>4.6792861926223277E-2</v>
      </c>
      <c r="D103" s="13">
        <f>((((VLOOKUP(B103,Database!$A:$AS,MATCH($D$1,Database!$A$1:$AS$1,),))))-(((VLOOKUP(EDATE(B103,-12),Database!$A:$AS,MATCH($D$1,Database!$A$1:$AS$1,),)))))/(((VLOOKUP(EDATE(B103,-12),Database!$A:$AS,MATCH($D$1,Database!$A$1:$AS$1,),))))</f>
        <v>2.4390243902439371E-3</v>
      </c>
      <c r="E103" s="13">
        <f>((((VLOOKUP(B103,Database!$A:$AS,MATCH($E$1,Database!$A$1:$AS$1,),))))-(((VLOOKUP(EDATE(B103,-12),Database!$A:$AS,MATCH($E$1,Database!$A$1:$AS$1,),)))))/(((VLOOKUP(EDATE(B103,-12),Database!$A:$AS,MATCH($E$1,Database!$A$1:$AS$1,),))))</f>
        <v>2.0999999996962823E-2</v>
      </c>
      <c r="F103" s="13">
        <f>((((VLOOKUP(B103,Database!$A:$AS,MATCH($F$1,Database!$A$1:$AS$1,),))))-(((VLOOKUP(EDATE(B103,-12),Database!$A:$AS,MATCH($F$1,Database!$A$1:$AS$1,),)))))/(((VLOOKUP(EDATE(B103,-12),Database!$A:$AS,MATCH($F$1,Database!$A$1:$AS$1,),))))</f>
        <v>1.3043478257277637E-2</v>
      </c>
      <c r="G103" s="13">
        <f>((((VLOOKUP(B103,Database!$A:$AS,MATCH($G$1,Database!$A$1:$AS$1,),))))-(((VLOOKUP(EDATE(B103,-12),Database!$A:$AS,MATCH($G$1,Database!$A$1:$AS$1,),)))))/(((VLOOKUP(EDATE(B103,-12),Database!$A:$AS,MATCH($G$1,Database!$A$1:$AS$1,),))))</f>
        <v>9.4117647058823035E-3</v>
      </c>
      <c r="H103" s="13">
        <f>((((VLOOKUP(B103,Database!$A:$AS,MATCH($H$1,Database!$A$1:$AS$1,),))))-(((VLOOKUP(EDATE(B103,-12),Database!$A:$AS,MATCH($H$1,Database!$A$1:$AS$1,),)))))/(((VLOOKUP(EDATE(B103,-12),Database!$A:$AS,MATCH($H$1,Database!$A$1:$AS$1,),))))</f>
        <v>9.9750623465105302E-3</v>
      </c>
      <c r="I103" s="13">
        <f>((((VLOOKUP(B103,Database!$A:$AS,MATCH($I$1,Database!$A$1:$AS$1,),))))-(((VLOOKUP(EDATE(B103,-12),Database!$A:$AS,MATCH($I$1,Database!$A$1:$AS$1,),)))))/(((VLOOKUP(EDATE(B103,-12),Database!$A:$AS,MATCH($I$1,Database!$A$1:$AS$1,),))))</f>
        <v>-2.5000000001458432E-2</v>
      </c>
      <c r="J103" s="13">
        <f>((((VLOOKUP(B103,Database!$A:$AS,MATCH($J$1,Database!$A$1:$AS$1,),))))-(((VLOOKUP(EDATE(B103,-12),Database!$A:$AS,MATCH($J$1,Database!$A$1:$AS$1,),)))))/(((VLOOKUP(EDATE(B103,-12),Database!$A:$AS,MATCH($J$1,Database!$A$1:$AS$1,),))))</f>
        <v>-4.4363079875930954E-3</v>
      </c>
      <c r="K103" s="13">
        <f>((((VLOOKUP(B103,Database!$A:$AS,MATCH($K$1,Database!$A$1:$AS$1,),))))-(((VLOOKUP(EDATE(B103,-12),Database!$A:$AS,MATCH($K$1,Database!$A$1:$AS$1,),)))))/(((VLOOKUP(EDATE(B103,-12),Database!$A:$AS,MATCH($K$1,Database!$A$1:$AS$1,),))))</f>
        <v>2.1531100480554673E-2</v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>0.13341007342814226</v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>-5.4610622231491532E-2</v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>8.9053182190126937E-2</v>
      </c>
      <c r="O103" s="13">
        <f>((((VLOOKUP(B103,Database!$A:$AS,MATCH($O$1,Database!$A$1:$AS$1,),))))-(((VLOOKUP(EDATE(B103,-12),Database!$A:$AS,MATCH($O$1,Database!$A$1:$AS$1,),)))))/(((VLOOKUP(EDATE(B103,-12),Database!$A:$AS,MATCH($O$1,Database!$A$1:$AS$1,),))))</f>
        <v>2.3630353750557928E-2</v>
      </c>
      <c r="P103" s="13">
        <f>((((VLOOKUP(B103,Database!$A:$AS,MATCH($P$1,Database!$A$1:$AS$1,),))))-(((VLOOKUP(EDATE(B103,-12),Database!$A:$AS,MATCH($P$1,Database!$A$1:$AS$1,),)))))/(((VLOOKUP(EDATE(B103,-12),Database!$A:$AS,MATCH($P$1,Database!$A$1:$AS$1,),))))</f>
        <v>6.5691851105926971E-2</v>
      </c>
      <c r="Q103" s="13">
        <f>((((VLOOKUP(B103,Database!$A:$AS,MATCH($Q$1,Database!$A$1:$AS$1,),))))-(((VLOOKUP(EDATE(B103,-12),Database!$A:$AS,MATCH($Q$1,Database!$A$1:$AS$1,),)))))/(((VLOOKUP(EDATE(B103,-12),Database!$A:$AS,MATCH($Q$1,Database!$A$1:$AS$1,),))))</f>
        <v>8.0052967388502053E-2</v>
      </c>
      <c r="R103" s="13">
        <f>((((VLOOKUP(B103,Database!$A:$AS,MATCH($R$1,Database!$A$1:$AS$1,),))))-(((VLOOKUP(EDATE(B103,-12),Database!$A:$AS,MATCH($R$1,Database!$A$1:$AS$1,),)))))/(((VLOOKUP(EDATE(B103,-12),Database!$A:$AS,MATCH($R$1,Database!$A$1:$AS$1,),))))</f>
        <v>3.3801613495253601E-3</v>
      </c>
      <c r="S103" s="13">
        <f>((((VLOOKUP(B103,Database!$A:$AS,MATCH($S$1,Database!$A$1:$AS$1,),))))-(((VLOOKUP(EDATE(B103,-12),Database!$A:$AS,MATCH($S$1,Database!$A$1:$AS$1,),)))))/(((VLOOKUP(EDATE(B103,-12),Database!$A:$AS,MATCH($S$1,Database!$A$1:$AS$1,),))))</f>
        <v>1.5384615401229561E-2</v>
      </c>
      <c r="T103" s="13">
        <f>((((VLOOKUP(B103,Database!$A:$AS,MATCH($T$1,Database!$A$1:$AS$1,),))))-(((VLOOKUP(EDATE(B103,-12),Database!$A:$AS,MATCH($T$1,Database!$A$1:$AS$1,),)))))/(((VLOOKUP(EDATE(B103,-12),Database!$A:$AS,MATCH($T$1,Database!$A$1:$AS$1,),))))</f>
        <v>7.9365079608653914E-3</v>
      </c>
      <c r="U103" s="13">
        <f>((((VLOOKUP(B103,Database!$A:$AS,MATCH($U$1,Database!$A$1:$AS$1,),))))-(((VLOOKUP(EDATE(B103,-12),Database!$A:$AS,MATCH($U$1,Database!$A$1:$AS$1,),)))))/(((VLOOKUP(EDATE(B103,-12),Database!$A:$AS,MATCH($U$1,Database!$A$1:$AS$1,),))))</f>
        <v>8.1142974920653307E-3</v>
      </c>
      <c r="V103" s="13">
        <f>((((VLOOKUP(B103,Database!$A:$AS,MATCH($V$1,Database!$A$1:$AS$1,),))))-(((VLOOKUP(EDATE(B103,-12),Database!$A:$AS,MATCH($V$1,Database!$A$1:$AS$1,),)))))/(((VLOOKUP(EDATE(B103,-12),Database!$A:$AS,MATCH($V$1,Database!$A$1:$AS$1,),))))</f>
        <v>9.9833171204034218E-2</v>
      </c>
    </row>
    <row r="104" spans="1:22" s="83" customFormat="1" x14ac:dyDescent="0.2">
      <c r="A104" s="43"/>
      <c r="B104" s="78">
        <v>35309</v>
      </c>
      <c r="C104" s="13">
        <f>((((VLOOKUP(B104,Database!$A:$AS,MATCH($C$1,Database!$A$1:$AS$1,),))))-(((VLOOKUP(EDATE(B104,-12),Database!$A:$AS,MATCH($C$1,Database!$A$1:$AS$1,),)))))/(((VLOOKUP(EDATE(B104,-12),Database!$A:$AS,MATCH($C$1,Database!$A$1:$AS$1,),))))</f>
        <v>4.9417035445056962E-2</v>
      </c>
      <c r="D104" s="13">
        <f>((((VLOOKUP(B104,Database!$A:$AS,MATCH($D$1,Database!$A$1:$AS$1,),))))-(((VLOOKUP(EDATE(B104,-12),Database!$A:$AS,MATCH($D$1,Database!$A$1:$AS$1,),)))))/(((VLOOKUP(EDATE(B104,-12),Database!$A:$AS,MATCH($D$1,Database!$A$1:$AS$1,),))))</f>
        <v>-2.427184466019452E-3</v>
      </c>
      <c r="E104" s="13">
        <f>((((VLOOKUP(B104,Database!$A:$AS,MATCH($E$1,Database!$A$1:$AS$1,),))))-(((VLOOKUP(EDATE(B104,-12),Database!$A:$AS,MATCH($E$1,Database!$A$1:$AS$1,),)))))/(((VLOOKUP(EDATE(B104,-12),Database!$A:$AS,MATCH($E$1,Database!$A$1:$AS$1,),))))</f>
        <v>4.8780487808055571E-2</v>
      </c>
      <c r="F104" s="13">
        <f>((((VLOOKUP(B104,Database!$A:$AS,MATCH($F$1,Database!$A$1:$AS$1,),))))-(((VLOOKUP(EDATE(B104,-12),Database!$A:$AS,MATCH($F$1,Database!$A$1:$AS$1,),)))))/(((VLOOKUP(EDATE(B104,-12),Database!$A:$AS,MATCH($F$1,Database!$A$1:$AS$1,),))))</f>
        <v>1.4204545545349299E-3</v>
      </c>
      <c r="G104" s="13">
        <f>((((VLOOKUP(B104,Database!$A:$AS,MATCH($G$1,Database!$A$1:$AS$1,),))))-(((VLOOKUP(EDATE(B104,-12),Database!$A:$AS,MATCH($G$1,Database!$A$1:$AS$1,),)))))/(((VLOOKUP(EDATE(B104,-12),Database!$A:$AS,MATCH($G$1,Database!$A$1:$AS$1,),))))</f>
        <v>9.3976932934642828E-3</v>
      </c>
      <c r="H104" s="13">
        <f>((((VLOOKUP(B104,Database!$A:$AS,MATCH($H$1,Database!$A$1:$AS$1,),))))-(((VLOOKUP(EDATE(B104,-12),Database!$A:$AS,MATCH($H$1,Database!$A$1:$AS$1,),)))))/(((VLOOKUP(EDATE(B104,-12),Database!$A:$AS,MATCH($H$1,Database!$A$1:$AS$1,),))))</f>
        <v>1.2422360245577378E-2</v>
      </c>
      <c r="I104" s="13">
        <f>((((VLOOKUP(B104,Database!$A:$AS,MATCH($I$1,Database!$A$1:$AS$1,),))))-(((VLOOKUP(EDATE(B104,-12),Database!$A:$AS,MATCH($I$1,Database!$A$1:$AS$1,),)))))/(((VLOOKUP(EDATE(B104,-12),Database!$A:$AS,MATCH($I$1,Database!$A$1:$AS$1,),))))</f>
        <v>-3.1879194624931932E-2</v>
      </c>
      <c r="J104" s="13">
        <f>((((VLOOKUP(B104,Database!$A:$AS,MATCH($J$1,Database!$A$1:$AS$1,),))))-(((VLOOKUP(EDATE(B104,-12),Database!$A:$AS,MATCH($J$1,Database!$A$1:$AS$1,),)))))/(((VLOOKUP(EDATE(B104,-12),Database!$A:$AS,MATCH($J$1,Database!$A$1:$AS$1,),))))</f>
        <v>-7.995079947596467E-3</v>
      </c>
      <c r="K104" s="13">
        <f>((((VLOOKUP(B104,Database!$A:$AS,MATCH($K$1,Database!$A$1:$AS$1,),))))-(((VLOOKUP(EDATE(B104,-12),Database!$A:$AS,MATCH($K$1,Database!$A$1:$AS$1,),)))))/(((VLOOKUP(EDATE(B104,-12),Database!$A:$AS,MATCH($K$1,Database!$A$1:$AS$1,),))))</f>
        <v>1.0817307693346403E-2</v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>0.13018431890976914</v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>-4.2259387084176016E-2</v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>3.7425100661313403E-2</v>
      </c>
      <c r="O104" s="13">
        <f>((((VLOOKUP(B104,Database!$A:$AS,MATCH($O$1,Database!$A$1:$AS$1,),))))-(((VLOOKUP(EDATE(B104,-12),Database!$A:$AS,MATCH($O$1,Database!$A$1:$AS$1,),)))))/(((VLOOKUP(EDATE(B104,-12),Database!$A:$AS,MATCH($O$1,Database!$A$1:$AS$1,),))))</f>
        <v>2.6626217010384645E-2</v>
      </c>
      <c r="P104" s="13">
        <f>((((VLOOKUP(B104,Database!$A:$AS,MATCH($P$1,Database!$A$1:$AS$1,),))))-(((VLOOKUP(EDATE(B104,-12),Database!$A:$AS,MATCH($P$1,Database!$A$1:$AS$1,),)))))/(((VLOOKUP(EDATE(B104,-12),Database!$A:$AS,MATCH($P$1,Database!$A$1:$AS$1,),))))</f>
        <v>8.9335827878956026E-2</v>
      </c>
      <c r="Q104" s="13">
        <f>((((VLOOKUP(B104,Database!$A:$AS,MATCH($Q$1,Database!$A$1:$AS$1,),))))-(((VLOOKUP(EDATE(B104,-12),Database!$A:$AS,MATCH($Q$1,Database!$A$1:$AS$1,),)))))/(((VLOOKUP(EDATE(B104,-12),Database!$A:$AS,MATCH($Q$1,Database!$A$1:$AS$1,),))))</f>
        <v>8.3273681701272265E-2</v>
      </c>
      <c r="R104" s="13">
        <f>((((VLOOKUP(B104,Database!$A:$AS,MATCH($R$1,Database!$A$1:$AS$1,),))))-(((VLOOKUP(EDATE(B104,-12),Database!$A:$AS,MATCH($R$1,Database!$A$1:$AS$1,),)))))/(((VLOOKUP(EDATE(B104,-12),Database!$A:$AS,MATCH($R$1,Database!$A$1:$AS$1,),))))</f>
        <v>9.5265392272054824E-3</v>
      </c>
      <c r="S104" s="13">
        <f>((((VLOOKUP(B104,Database!$A:$AS,MATCH($S$1,Database!$A$1:$AS$1,),))))-(((VLOOKUP(EDATE(B104,-12),Database!$A:$AS,MATCH($S$1,Database!$A$1:$AS$1,),)))))/(((VLOOKUP(EDATE(B104,-12),Database!$A:$AS,MATCH($S$1,Database!$A$1:$AS$1,),))))</f>
        <v>0</v>
      </c>
      <c r="T104" s="13">
        <f>((((VLOOKUP(B104,Database!$A:$AS,MATCH($T$1,Database!$A$1:$AS$1,),))))-(((VLOOKUP(EDATE(B104,-12),Database!$A:$AS,MATCH($T$1,Database!$A$1:$AS$1,),)))))/(((VLOOKUP(EDATE(B104,-12),Database!$A:$AS,MATCH($T$1,Database!$A$1:$AS$1,),))))</f>
        <v>4.432132964648898E-2</v>
      </c>
      <c r="U104" s="13">
        <f>((((VLOOKUP(B104,Database!$A:$AS,MATCH($U$1,Database!$A$1:$AS$1,),))))-(((VLOOKUP(EDATE(B104,-12),Database!$A:$AS,MATCH($U$1,Database!$A$1:$AS$1,),)))))/(((VLOOKUP(EDATE(B104,-12),Database!$A:$AS,MATCH($U$1,Database!$A$1:$AS$1,),))))</f>
        <v>3.2080470884044601E-2</v>
      </c>
      <c r="V104" s="13">
        <f>((((VLOOKUP(B104,Database!$A:$AS,MATCH($V$1,Database!$A$1:$AS$1,),))))-(((VLOOKUP(EDATE(B104,-12),Database!$A:$AS,MATCH($V$1,Database!$A$1:$AS$1,),)))))/(((VLOOKUP(EDATE(B104,-12),Database!$A:$AS,MATCH($V$1,Database!$A$1:$AS$1,),))))</f>
        <v>8.1742858620206776E-2</v>
      </c>
    </row>
    <row r="105" spans="1:22" s="83" customFormat="1" x14ac:dyDescent="0.2">
      <c r="A105" s="43"/>
      <c r="B105" s="78">
        <v>35339</v>
      </c>
      <c r="C105" s="13">
        <f>((((VLOOKUP(B105,Database!$A:$AS,MATCH($C$1,Database!$A$1:$AS$1,),))))-(((VLOOKUP(EDATE(B105,-12),Database!$A:$AS,MATCH($C$1,Database!$A$1:$AS$1,),)))))/(((VLOOKUP(EDATE(B105,-12),Database!$A:$AS,MATCH($C$1,Database!$A$1:$AS$1,),))))</f>
        <v>5.0661207040910906E-2</v>
      </c>
      <c r="D105" s="13">
        <f>((((VLOOKUP(B105,Database!$A:$AS,MATCH($D$1,Database!$A$1:$AS$1,),))))-(((VLOOKUP(EDATE(B105,-12),Database!$A:$AS,MATCH($D$1,Database!$A$1:$AS$1,),)))))/(((VLOOKUP(EDATE(B105,-12),Database!$A:$AS,MATCH($D$1,Database!$A$1:$AS$1,),))))</f>
        <v>3.6809815950919898E-3</v>
      </c>
      <c r="E105" s="13">
        <f>((((VLOOKUP(B105,Database!$A:$AS,MATCH($E$1,Database!$A$1:$AS$1,),))))-(((VLOOKUP(EDATE(B105,-12),Database!$A:$AS,MATCH($E$1,Database!$A$1:$AS$1,),)))))/(((VLOOKUP(EDATE(B105,-12),Database!$A:$AS,MATCH($E$1,Database!$A$1:$AS$1,),))))</f>
        <v>3.9039039043515078E-2</v>
      </c>
      <c r="F105" s="13">
        <f>((((VLOOKUP(B105,Database!$A:$AS,MATCH($F$1,Database!$A$1:$AS$1,),))))-(((VLOOKUP(EDATE(B105,-12),Database!$A:$AS,MATCH($F$1,Database!$A$1:$AS$1,),)))))/(((VLOOKUP(EDATE(B105,-12),Database!$A:$AS,MATCH($F$1,Database!$A$1:$AS$1,),))))</f>
        <v>1.31195335239991E-2</v>
      </c>
      <c r="G105" s="13">
        <f>((((VLOOKUP(B105,Database!$A:$AS,MATCH($G$1,Database!$A$1:$AS$1,),))))-(((VLOOKUP(EDATE(B105,-12),Database!$A:$AS,MATCH($G$1,Database!$A$1:$AS$1,),)))))/(((VLOOKUP(EDATE(B105,-12),Database!$A:$AS,MATCH($G$1,Database!$A$1:$AS$1,),))))</f>
        <v>1.8619337979094007E-2</v>
      </c>
      <c r="H105" s="13">
        <f>((((VLOOKUP(B105,Database!$A:$AS,MATCH($H$1,Database!$A$1:$AS$1,),))))-(((VLOOKUP(EDATE(B105,-12),Database!$A:$AS,MATCH($H$1,Database!$A$1:$AS$1,),)))))/(((VLOOKUP(EDATE(B105,-12),Database!$A:$AS,MATCH($H$1,Database!$A$1:$AS$1,),))))</f>
        <v>1.3715710729350288E-2</v>
      </c>
      <c r="I105" s="13">
        <f>((((VLOOKUP(B105,Database!$A:$AS,MATCH($I$1,Database!$A$1:$AS$1,),))))-(((VLOOKUP(EDATE(B105,-12),Database!$A:$AS,MATCH($I$1,Database!$A$1:$AS$1,),)))))/(((VLOOKUP(EDATE(B105,-12),Database!$A:$AS,MATCH($I$1,Database!$A$1:$AS$1,),))))</f>
        <v>-3.4166666668382084E-2</v>
      </c>
      <c r="J105" s="13">
        <f>((((VLOOKUP(B105,Database!$A:$AS,MATCH($J$1,Database!$A$1:$AS$1,),))))-(((VLOOKUP(EDATE(B105,-12),Database!$A:$AS,MATCH($J$1,Database!$A$1:$AS$1,),)))))/(((VLOOKUP(EDATE(B105,-12),Database!$A:$AS,MATCH($J$1,Database!$A$1:$AS$1,),))))</f>
        <v>7.2567666422469236E-3</v>
      </c>
      <c r="K105" s="13">
        <f>((((VLOOKUP(B105,Database!$A:$AS,MATCH($K$1,Database!$A$1:$AS$1,),))))-(((VLOOKUP(EDATE(B105,-12),Database!$A:$AS,MATCH($K$1,Database!$A$1:$AS$1,),)))))/(((VLOOKUP(EDATE(B105,-12),Database!$A:$AS,MATCH($K$1,Database!$A$1:$AS$1,),))))</f>
        <v>-2.3837902201771502E-3</v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>0.21232530677218928</v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>-3.5576130110842097E-2</v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>8.3996094349188449E-2</v>
      </c>
      <c r="O105" s="13">
        <f>((((VLOOKUP(B105,Database!$A:$AS,MATCH($O$1,Database!$A$1:$AS$1,),))))-(((VLOOKUP(EDATE(B105,-12),Database!$A:$AS,MATCH($O$1,Database!$A$1:$AS$1,),)))))/(((VLOOKUP(EDATE(B105,-12),Database!$A:$AS,MATCH($O$1,Database!$A$1:$AS$1,),))))</f>
        <v>2.390565735318232E-2</v>
      </c>
      <c r="P105" s="13">
        <f>((((VLOOKUP(B105,Database!$A:$AS,MATCH($P$1,Database!$A$1:$AS$1,),))))-(((VLOOKUP(EDATE(B105,-12),Database!$A:$AS,MATCH($P$1,Database!$A$1:$AS$1,),)))))/(((VLOOKUP(EDATE(B105,-12),Database!$A:$AS,MATCH($P$1,Database!$A$1:$AS$1,),))))</f>
        <v>6.8764532629142713E-2</v>
      </c>
      <c r="Q105" s="13">
        <f>((((VLOOKUP(B105,Database!$A:$AS,MATCH($Q$1,Database!$A$1:$AS$1,),))))-(((VLOOKUP(EDATE(B105,-12),Database!$A:$AS,MATCH($Q$1,Database!$A$1:$AS$1,),)))))/(((VLOOKUP(EDATE(B105,-12),Database!$A:$AS,MATCH($Q$1,Database!$A$1:$AS$1,),))))</f>
        <v>7.6923076909654858E-2</v>
      </c>
      <c r="R105" s="13">
        <f>((((VLOOKUP(B105,Database!$A:$AS,MATCH($R$1,Database!$A$1:$AS$1,),))))-(((VLOOKUP(EDATE(B105,-12),Database!$A:$AS,MATCH($R$1,Database!$A$1:$AS$1,),)))))/(((VLOOKUP(EDATE(B105,-12),Database!$A:$AS,MATCH($R$1,Database!$A$1:$AS$1,),))))</f>
        <v>-8.828163147218784E-3</v>
      </c>
      <c r="S105" s="13">
        <f>((((VLOOKUP(B105,Database!$A:$AS,MATCH($S$1,Database!$A$1:$AS$1,),))))-(((VLOOKUP(EDATE(B105,-12),Database!$A:$AS,MATCH($S$1,Database!$A$1:$AS$1,),)))))/(((VLOOKUP(EDATE(B105,-12),Database!$A:$AS,MATCH($S$1,Database!$A$1:$AS$1,),))))</f>
        <v>2.2556391002205748E-2</v>
      </c>
      <c r="T105" s="13">
        <f>((((VLOOKUP(B105,Database!$A:$AS,MATCH($T$1,Database!$A$1:$AS$1,),))))-(((VLOOKUP(EDATE(B105,-12),Database!$A:$AS,MATCH($T$1,Database!$A$1:$AS$1,),)))))/(((VLOOKUP(EDATE(B105,-12),Database!$A:$AS,MATCH($T$1,Database!$A$1:$AS$1,),))))</f>
        <v>0.15954415953669132</v>
      </c>
      <c r="U105" s="13">
        <f>((((VLOOKUP(B105,Database!$A:$AS,MATCH($U$1,Database!$A$1:$AS$1,),))))-(((VLOOKUP(EDATE(B105,-12),Database!$A:$AS,MATCH($U$1,Database!$A$1:$AS$1,),)))))/(((VLOOKUP(EDATE(B105,-12),Database!$A:$AS,MATCH($U$1,Database!$A$1:$AS$1,),))))</f>
        <v>-5.6339696981043852E-4</v>
      </c>
      <c r="V105" s="13">
        <f>((((VLOOKUP(B105,Database!$A:$AS,MATCH($V$1,Database!$A$1:$AS$1,),))))-(((VLOOKUP(EDATE(B105,-12),Database!$A:$AS,MATCH($V$1,Database!$A$1:$AS$1,),)))))/(((VLOOKUP(EDATE(B105,-12),Database!$A:$AS,MATCH($V$1,Database!$A$1:$AS$1,),))))</f>
        <v>0.11636808345246752</v>
      </c>
    </row>
    <row r="106" spans="1:22" s="83" customFormat="1" x14ac:dyDescent="0.2">
      <c r="A106" s="43"/>
      <c r="B106" s="78">
        <v>35370</v>
      </c>
      <c r="C106" s="13">
        <f>((((VLOOKUP(B106,Database!$A:$AS,MATCH($C$1,Database!$A$1:$AS$1,),))))-(((VLOOKUP(EDATE(B106,-12),Database!$A:$AS,MATCH($C$1,Database!$A$1:$AS$1,),)))))/(((VLOOKUP(EDATE(B106,-12),Database!$A:$AS,MATCH($C$1,Database!$A$1:$AS$1,),))))</f>
        <v>5.7583731267717153E-2</v>
      </c>
      <c r="D106" s="13">
        <f>((((VLOOKUP(B106,Database!$A:$AS,MATCH($D$1,Database!$A$1:$AS$1,),))))-(((VLOOKUP(EDATE(B106,-12),Database!$A:$AS,MATCH($D$1,Database!$A$1:$AS$1,),)))))/(((VLOOKUP(EDATE(B106,-12),Database!$A:$AS,MATCH($D$1,Database!$A$1:$AS$1,),))))</f>
        <v>8.5574572127139707E-3</v>
      </c>
      <c r="E106" s="13">
        <f>((((VLOOKUP(B106,Database!$A:$AS,MATCH($E$1,Database!$A$1:$AS$1,),))))-(((VLOOKUP(EDATE(B106,-12),Database!$A:$AS,MATCH($E$1,Database!$A$1:$AS$1,),)))))/(((VLOOKUP(EDATE(B106,-12),Database!$A:$AS,MATCH($E$1,Database!$A$1:$AS$1,),))))</f>
        <v>3.5749751742609803E-2</v>
      </c>
      <c r="F106" s="13">
        <f>((((VLOOKUP(B106,Database!$A:$AS,MATCH($F$1,Database!$A$1:$AS$1,),))))-(((VLOOKUP(EDATE(B106,-12),Database!$A:$AS,MATCH($F$1,Database!$A$1:$AS$1,),)))))/(((VLOOKUP(EDATE(B106,-12),Database!$A:$AS,MATCH($F$1,Database!$A$1:$AS$1,),))))</f>
        <v>2.1739130443289938E-2</v>
      </c>
      <c r="G106" s="13">
        <f>((((VLOOKUP(B106,Database!$A:$AS,MATCH($G$1,Database!$A$1:$AS$1,),))))-(((VLOOKUP(EDATE(B106,-12),Database!$A:$AS,MATCH($G$1,Database!$A$1:$AS$1,),)))))/(((VLOOKUP(EDATE(B106,-12),Database!$A:$AS,MATCH($G$1,Database!$A$1:$AS$1,),))))</f>
        <v>3.1369131902842774E-2</v>
      </c>
      <c r="H106" s="13">
        <f>((((VLOOKUP(B106,Database!$A:$AS,MATCH($H$1,Database!$A$1:$AS$1,),))))-(((VLOOKUP(EDATE(B106,-12),Database!$A:$AS,MATCH($H$1,Database!$A$1:$AS$1,),)))))/(((VLOOKUP(EDATE(B106,-12),Database!$A:$AS,MATCH($H$1,Database!$A$1:$AS$1,),))))</f>
        <v>1.3647642686012517E-2</v>
      </c>
      <c r="I106" s="13">
        <f>((((VLOOKUP(B106,Database!$A:$AS,MATCH($I$1,Database!$A$1:$AS$1,),))))-(((VLOOKUP(EDATE(B106,-12),Database!$A:$AS,MATCH($I$1,Database!$A$1:$AS$1,),)))))/(((VLOOKUP(EDATE(B106,-12),Database!$A:$AS,MATCH($I$1,Database!$A$1:$AS$1,),))))</f>
        <v>-3.8333333328346736E-2</v>
      </c>
      <c r="J106" s="13">
        <f>((((VLOOKUP(B106,Database!$A:$AS,MATCH($J$1,Database!$A$1:$AS$1,),))))-(((VLOOKUP(EDATE(B106,-12),Database!$A:$AS,MATCH($J$1,Database!$A$1:$AS$1,),)))))/(((VLOOKUP(EDATE(B106,-12),Database!$A:$AS,MATCH($J$1,Database!$A$1:$AS$1,),))))</f>
        <v>1.2500483023598576E-2</v>
      </c>
      <c r="K106" s="13">
        <f>((((VLOOKUP(B106,Database!$A:$AS,MATCH($K$1,Database!$A$1:$AS$1,),))))-(((VLOOKUP(EDATE(B106,-12),Database!$A:$AS,MATCH($K$1,Database!$A$1:$AS$1,),)))))/(((VLOOKUP(EDATE(B106,-12),Database!$A:$AS,MATCH($K$1,Database!$A$1:$AS$1,),))))</f>
        <v>9.5238095221343699E-3</v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>0.13776723009023362</v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>-1.693234198183835E-2</v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>2.3711045972801298E-2</v>
      </c>
      <c r="O106" s="13">
        <f>((((VLOOKUP(B106,Database!$A:$AS,MATCH($O$1,Database!$A$1:$AS$1,),))))-(((VLOOKUP(EDATE(B106,-12),Database!$A:$AS,MATCH($O$1,Database!$A$1:$AS$1,),)))))/(((VLOOKUP(EDATE(B106,-12),Database!$A:$AS,MATCH($O$1,Database!$A$1:$AS$1,),))))</f>
        <v>3.7293115915783957E-2</v>
      </c>
      <c r="P106" s="13">
        <f>((((VLOOKUP(B106,Database!$A:$AS,MATCH($P$1,Database!$A$1:$AS$1,),))))-(((VLOOKUP(EDATE(B106,-12),Database!$A:$AS,MATCH($P$1,Database!$A$1:$AS$1,),)))))/(((VLOOKUP(EDATE(B106,-12),Database!$A:$AS,MATCH($P$1,Database!$A$1:$AS$1,),))))</f>
        <v>7.6911220725525115E-2</v>
      </c>
      <c r="Q106" s="13">
        <f>((((VLOOKUP(B106,Database!$A:$AS,MATCH($Q$1,Database!$A$1:$AS$1,),))))-(((VLOOKUP(EDATE(B106,-12),Database!$A:$AS,MATCH($Q$1,Database!$A$1:$AS$1,),)))))/(((VLOOKUP(EDATE(B106,-12),Database!$A:$AS,MATCH($Q$1,Database!$A$1:$AS$1,),))))</f>
        <v>7.6661985023048454E-2</v>
      </c>
      <c r="R106" s="13">
        <f>((((VLOOKUP(B106,Database!$A:$AS,MATCH($R$1,Database!$A$1:$AS$1,),))))-(((VLOOKUP(EDATE(B106,-12),Database!$A:$AS,MATCH($R$1,Database!$A$1:$AS$1,),)))))/(((VLOOKUP(EDATE(B106,-12),Database!$A:$AS,MATCH($R$1,Database!$A$1:$AS$1,),))))</f>
        <v>1.8334835925151557E-2</v>
      </c>
      <c r="S106" s="13">
        <f>((((VLOOKUP(B106,Database!$A:$AS,MATCH($S$1,Database!$A$1:$AS$1,),))))-(((VLOOKUP(EDATE(B106,-12),Database!$A:$AS,MATCH($S$1,Database!$A$1:$AS$1,),)))))/(((VLOOKUP(EDATE(B106,-12),Database!$A:$AS,MATCH($S$1,Database!$A$1:$AS$1,),))))</f>
        <v>9.8236775796941123E-2</v>
      </c>
      <c r="T106" s="13">
        <f>((((VLOOKUP(B106,Database!$A:$AS,MATCH($T$1,Database!$A$1:$AS$1,),))))-(((VLOOKUP(EDATE(B106,-12),Database!$A:$AS,MATCH($T$1,Database!$A$1:$AS$1,),)))))/(((VLOOKUP(EDATE(B106,-12),Database!$A:$AS,MATCH($T$1,Database!$A$1:$AS$1,),))))</f>
        <v>5.9585492246571913E-2</v>
      </c>
      <c r="U106" s="13">
        <f>((((VLOOKUP(B106,Database!$A:$AS,MATCH($U$1,Database!$A$1:$AS$1,),))))-(((VLOOKUP(EDATE(B106,-12),Database!$A:$AS,MATCH($U$1,Database!$A$1:$AS$1,),)))))/(((VLOOKUP(EDATE(B106,-12),Database!$A:$AS,MATCH($U$1,Database!$A$1:$AS$1,),))))</f>
        <v>-1.5077775564192885E-2</v>
      </c>
      <c r="V106" s="13">
        <f>((((VLOOKUP(B106,Database!$A:$AS,MATCH($V$1,Database!$A$1:$AS$1,),))))-(((VLOOKUP(EDATE(B106,-12),Database!$A:$AS,MATCH($V$1,Database!$A$1:$AS$1,),)))))/(((VLOOKUP(EDATE(B106,-12),Database!$A:$AS,MATCH($V$1,Database!$A$1:$AS$1,),))))</f>
        <v>6.7123293137636583E-2</v>
      </c>
    </row>
    <row r="107" spans="1:22" s="83" customFormat="1" x14ac:dyDescent="0.2">
      <c r="A107" s="43"/>
      <c r="B107" s="78">
        <v>35400</v>
      </c>
      <c r="C107" s="13">
        <f>((((VLOOKUP(B107,Database!$A:$AS,MATCH($C$1,Database!$A$1:$AS$1,),))))-(((VLOOKUP(EDATE(B107,-12),Database!$A:$AS,MATCH($C$1,Database!$A$1:$AS$1,),)))))/(((VLOOKUP(EDATE(B107,-12),Database!$A:$AS,MATCH($C$1,Database!$A$1:$AS$1,),))))</f>
        <v>6.0279779798807553E-2</v>
      </c>
      <c r="D107" s="13">
        <f>((((VLOOKUP(B107,Database!$A:$AS,MATCH($D$1,Database!$A$1:$AS$1,),))))-(((VLOOKUP(EDATE(B107,-12),Database!$A:$AS,MATCH($D$1,Database!$A$1:$AS$1,),)))))/(((VLOOKUP(EDATE(B107,-12),Database!$A:$AS,MATCH($D$1,Database!$A$1:$AS$1,),))))</f>
        <v>-3.6275695284159267E-3</v>
      </c>
      <c r="E107" s="13">
        <f>((((VLOOKUP(B107,Database!$A:$AS,MATCH($E$1,Database!$A$1:$AS$1,),))))-(((VLOOKUP(EDATE(B107,-12),Database!$A:$AS,MATCH($E$1,Database!$A$1:$AS$1,),)))))/(((VLOOKUP(EDATE(B107,-12),Database!$A:$AS,MATCH($E$1,Database!$A$1:$AS$1,),))))</f>
        <v>3.2352941171778997E-2</v>
      </c>
      <c r="F107" s="13">
        <f>((((VLOOKUP(B107,Database!$A:$AS,MATCH($F$1,Database!$A$1:$AS$1,),))))-(((VLOOKUP(EDATE(B107,-12),Database!$A:$AS,MATCH($F$1,Database!$A$1:$AS$1,),)))))/(((VLOOKUP(EDATE(B107,-12),Database!$A:$AS,MATCH($F$1,Database!$A$1:$AS$1,),))))</f>
        <v>2.1739130443289938E-2</v>
      </c>
      <c r="G107" s="13">
        <f>((((VLOOKUP(B107,Database!$A:$AS,MATCH($G$1,Database!$A$1:$AS$1,),))))-(((VLOOKUP(EDATE(B107,-12),Database!$A:$AS,MATCH($G$1,Database!$A$1:$AS$1,),)))))/(((VLOOKUP(EDATE(B107,-12),Database!$A:$AS,MATCH($G$1,Database!$A$1:$AS$1,),))))</f>
        <v>1.1517542924176158E-2</v>
      </c>
      <c r="H107" s="13">
        <f>((((VLOOKUP(B107,Database!$A:$AS,MATCH($H$1,Database!$A$1:$AS$1,),))))-(((VLOOKUP(EDATE(B107,-12),Database!$A:$AS,MATCH($H$1,Database!$A$1:$AS$1,),)))))/(((VLOOKUP(EDATE(B107,-12),Database!$A:$AS,MATCH($H$1,Database!$A$1:$AS$1,),))))</f>
        <v>1.4833127321128485E-2</v>
      </c>
      <c r="I107" s="13">
        <f>((((VLOOKUP(B107,Database!$A:$AS,MATCH($I$1,Database!$A$1:$AS$1,),))))-(((VLOOKUP(EDATE(B107,-12),Database!$A:$AS,MATCH($I$1,Database!$A$1:$AS$1,),)))))/(((VLOOKUP(EDATE(B107,-12),Database!$A:$AS,MATCH($I$1,Database!$A$1:$AS$1,),))))</f>
        <v>-5.6557377041923679E-2</v>
      </c>
      <c r="J107" s="13">
        <f>((((VLOOKUP(B107,Database!$A:$AS,MATCH($J$1,Database!$A$1:$AS$1,),))))-(((VLOOKUP(EDATE(B107,-12),Database!$A:$AS,MATCH($J$1,Database!$A$1:$AS$1,),)))))/(((VLOOKUP(EDATE(B107,-12),Database!$A:$AS,MATCH($J$1,Database!$A$1:$AS$1,),))))</f>
        <v>-1.8041850241252752E-2</v>
      </c>
      <c r="K107" s="13">
        <f>((((VLOOKUP(B107,Database!$A:$AS,MATCH($K$1,Database!$A$1:$AS$1,),))))-(((VLOOKUP(EDATE(B107,-12),Database!$A:$AS,MATCH($K$1,Database!$A$1:$AS$1,),)))))/(((VLOOKUP(EDATE(B107,-12),Database!$A:$AS,MATCH($K$1,Database!$A$1:$AS$1,),))))</f>
        <v>4.9397590367779992E-2</v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>0.10202095498811029</v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>-2.6086527320692644E-2</v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>3.6921713080349021E-2</v>
      </c>
      <c r="O107" s="13">
        <f>((((VLOOKUP(B107,Database!$A:$AS,MATCH($O$1,Database!$A$1:$AS$1,),))))-(((VLOOKUP(EDATE(B107,-12),Database!$A:$AS,MATCH($O$1,Database!$A$1:$AS$1,),)))))/(((VLOOKUP(EDATE(B107,-12),Database!$A:$AS,MATCH($O$1,Database!$A$1:$AS$1,),))))</f>
        <v>2.4787542092609183E-2</v>
      </c>
      <c r="P107" s="13">
        <f>((((VLOOKUP(B107,Database!$A:$AS,MATCH($P$1,Database!$A$1:$AS$1,),))))-(((VLOOKUP(EDATE(B107,-12),Database!$A:$AS,MATCH($P$1,Database!$A$1:$AS$1,),)))))/(((VLOOKUP(EDATE(B107,-12),Database!$A:$AS,MATCH($P$1,Database!$A$1:$AS$1,),))))</f>
        <v>8.0804123090745514E-2</v>
      </c>
      <c r="Q107" s="13">
        <f>((((VLOOKUP(B107,Database!$A:$AS,MATCH($Q$1,Database!$A$1:$AS$1,),))))-(((VLOOKUP(EDATE(B107,-12),Database!$A:$AS,MATCH($Q$1,Database!$A$1:$AS$1,),)))))/(((VLOOKUP(EDATE(B107,-12),Database!$A:$AS,MATCH($Q$1,Database!$A$1:$AS$1,),))))</f>
        <v>5.5330478073621063E-2</v>
      </c>
      <c r="R107" s="13">
        <f>((((VLOOKUP(B107,Database!$A:$AS,MATCH($R$1,Database!$A$1:$AS$1,),))))-(((VLOOKUP(EDATE(B107,-12),Database!$A:$AS,MATCH($R$1,Database!$A$1:$AS$1,),)))))/(((VLOOKUP(EDATE(B107,-12),Database!$A:$AS,MATCH($R$1,Database!$A$1:$AS$1,),))))</f>
        <v>-6.1717796080711313E-3</v>
      </c>
      <c r="S107" s="13">
        <f>((((VLOOKUP(B107,Database!$A:$AS,MATCH($S$1,Database!$A$1:$AS$1,),))))-(((VLOOKUP(EDATE(B107,-12),Database!$A:$AS,MATCH($S$1,Database!$A$1:$AS$1,),)))))/(((VLOOKUP(EDATE(B107,-12),Database!$A:$AS,MATCH($S$1,Database!$A$1:$AS$1,),))))</f>
        <v>3.1707317094216717E-2</v>
      </c>
      <c r="T107" s="13">
        <f>((((VLOOKUP(B107,Database!$A:$AS,MATCH($T$1,Database!$A$1:$AS$1,),))))-(((VLOOKUP(EDATE(B107,-12),Database!$A:$AS,MATCH($T$1,Database!$A$1:$AS$1,),)))))/(((VLOOKUP(EDATE(B107,-12),Database!$A:$AS,MATCH($T$1,Database!$A$1:$AS$1,),))))</f>
        <v>2.4875622049589778E-3</v>
      </c>
      <c r="U107" s="13">
        <f>((((VLOOKUP(B107,Database!$A:$AS,MATCH($U$1,Database!$A$1:$AS$1,),))))-(((VLOOKUP(EDATE(B107,-12),Database!$A:$AS,MATCH($U$1,Database!$A$1:$AS$1,),)))))/(((VLOOKUP(EDATE(B107,-12),Database!$A:$AS,MATCH($U$1,Database!$A$1:$AS$1,),))))</f>
        <v>-4.4321688757898013E-2</v>
      </c>
      <c r="V107" s="13">
        <f>((((VLOOKUP(B107,Database!$A:$AS,MATCH($V$1,Database!$A$1:$AS$1,),))))-(((VLOOKUP(EDATE(B107,-12),Database!$A:$AS,MATCH($V$1,Database!$A$1:$AS$1,),)))))/(((VLOOKUP(EDATE(B107,-12),Database!$A:$AS,MATCH($V$1,Database!$A$1:$AS$1,),))))</f>
        <v>8.7099148406580271E-2</v>
      </c>
    </row>
    <row r="108" spans="1:22" s="83" customFormat="1" x14ac:dyDescent="0.2">
      <c r="A108" s="43"/>
      <c r="B108" s="78">
        <v>35431</v>
      </c>
      <c r="C108" s="13">
        <f>((((VLOOKUP(B108,Database!$A:$AS,MATCH($C$1,Database!$A$1:$AS$1,),))))-(((VLOOKUP(EDATE(B108,-12),Database!$A:$AS,MATCH($C$1,Database!$A$1:$AS$1,),)))))/(((VLOOKUP(EDATE(B108,-12),Database!$A:$AS,MATCH($C$1,Database!$A$1:$AS$1,),))))</f>
        <v>6.816576293163662E-2</v>
      </c>
      <c r="D108" s="13">
        <f>((((VLOOKUP(B108,Database!$A:$AS,MATCH($D$1,Database!$A$1:$AS$1,),))))-(((VLOOKUP(EDATE(B108,-12),Database!$A:$AS,MATCH($D$1,Database!$A$1:$AS$1,),)))))/(((VLOOKUP(EDATE(B108,-12),Database!$A:$AS,MATCH($D$1,Database!$A$1:$AS$1,),))))</f>
        <v>8.5470085470084074E-3</v>
      </c>
      <c r="E108" s="13">
        <f>((((VLOOKUP(B108,Database!$A:$AS,MATCH($E$1,Database!$A$1:$AS$1,),))))-(((VLOOKUP(EDATE(B108,-12),Database!$A:$AS,MATCH($E$1,Database!$A$1:$AS$1,),)))))/(((VLOOKUP(EDATE(B108,-12),Database!$A:$AS,MATCH($E$1,Database!$A$1:$AS$1,),))))</f>
        <v>6.3681592036969686E-2</v>
      </c>
      <c r="F108" s="13">
        <f>((((VLOOKUP(B108,Database!$A:$AS,MATCH($F$1,Database!$A$1:$AS$1,),))))-(((VLOOKUP(EDATE(B108,-12),Database!$A:$AS,MATCH($F$1,Database!$A$1:$AS$1,),)))))/(((VLOOKUP(EDATE(B108,-12),Database!$A:$AS,MATCH($F$1,Database!$A$1:$AS$1,),))))</f>
        <v>4.329004327817295E-3</v>
      </c>
      <c r="G108" s="13">
        <f>((((VLOOKUP(B108,Database!$A:$AS,MATCH($G$1,Database!$A$1:$AS$1,),))))-(((VLOOKUP(EDATE(B108,-12),Database!$A:$AS,MATCH($G$1,Database!$A$1:$AS$1,),)))))/(((VLOOKUP(EDATE(B108,-12),Database!$A:$AS,MATCH($G$1,Database!$A$1:$AS$1,),))))</f>
        <v>1.1836866458624709E-2</v>
      </c>
      <c r="H108" s="13">
        <f>((((VLOOKUP(B108,Database!$A:$AS,MATCH($H$1,Database!$A$1:$AS$1,),))))-(((VLOOKUP(EDATE(B108,-12),Database!$A:$AS,MATCH($H$1,Database!$A$1:$AS$1,),)))))/(((VLOOKUP(EDATE(B108,-12),Database!$A:$AS,MATCH($H$1,Database!$A$1:$AS$1,),))))</f>
        <v>1.7369727045486106E-2</v>
      </c>
      <c r="I108" s="13">
        <f>((((VLOOKUP(B108,Database!$A:$AS,MATCH($I$1,Database!$A$1:$AS$1,),))))-(((VLOOKUP(EDATE(B108,-12),Database!$A:$AS,MATCH($I$1,Database!$A$1:$AS$1,),)))))/(((VLOOKUP(EDATE(B108,-12),Database!$A:$AS,MATCH($I$1,Database!$A$1:$AS$1,),))))</f>
        <v>-3.4941763725750898E-2</v>
      </c>
      <c r="J108" s="13">
        <f>((((VLOOKUP(B108,Database!$A:$AS,MATCH($J$1,Database!$A$1:$AS$1,),))))-(((VLOOKUP(EDATE(B108,-12),Database!$A:$AS,MATCH($J$1,Database!$A$1:$AS$1,),)))))/(((VLOOKUP(EDATE(B108,-12),Database!$A:$AS,MATCH($J$1,Database!$A$1:$AS$1,),))))</f>
        <v>5.5440558888984283E-2</v>
      </c>
      <c r="K108" s="13">
        <f>((((VLOOKUP(B108,Database!$A:$AS,MATCH($K$1,Database!$A$1:$AS$1,),))))-(((VLOOKUP(EDATE(B108,-12),Database!$A:$AS,MATCH($K$1,Database!$A$1:$AS$1,),)))))/(((VLOOKUP(EDATE(B108,-12),Database!$A:$AS,MATCH($K$1,Database!$A$1:$AS$1,),))))</f>
        <v>5.0480769227724077E-2</v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>6.1111602045334473E-2</v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>-9.6302355127209829E-3</v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>1.6048104399133088E-2</v>
      </c>
      <c r="O108" s="13">
        <f>((((VLOOKUP(B108,Database!$A:$AS,MATCH($O$1,Database!$A$1:$AS$1,),))))-(((VLOOKUP(EDATE(B108,-12),Database!$A:$AS,MATCH($O$1,Database!$A$1:$AS$1,),)))))/(((VLOOKUP(EDATE(B108,-12),Database!$A:$AS,MATCH($O$1,Database!$A$1:$AS$1,),))))</f>
        <v>3.9892578182029528E-2</v>
      </c>
      <c r="P108" s="13">
        <f>((((VLOOKUP(B108,Database!$A:$AS,MATCH($P$1,Database!$A$1:$AS$1,),))))-(((VLOOKUP(EDATE(B108,-12),Database!$A:$AS,MATCH($P$1,Database!$A$1:$AS$1,),)))))/(((VLOOKUP(EDATE(B108,-12),Database!$A:$AS,MATCH($P$1,Database!$A$1:$AS$1,),))))</f>
        <v>2.5145827652847164E-2</v>
      </c>
      <c r="Q108" s="13">
        <f>((((VLOOKUP(B108,Database!$A:$AS,MATCH($Q$1,Database!$A$1:$AS$1,),))))-(((VLOOKUP(EDATE(B108,-12),Database!$A:$AS,MATCH($Q$1,Database!$A$1:$AS$1,),)))))/(((VLOOKUP(EDATE(B108,-12),Database!$A:$AS,MATCH($Q$1,Database!$A$1:$AS$1,),))))</f>
        <v>6.8509193113852437E-2</v>
      </c>
      <c r="R108" s="13">
        <f>((((VLOOKUP(B108,Database!$A:$AS,MATCH($R$1,Database!$A$1:$AS$1,),))))-(((VLOOKUP(EDATE(B108,-12),Database!$A:$AS,MATCH($R$1,Database!$A$1:$AS$1,),)))))/(((VLOOKUP(EDATE(B108,-12),Database!$A:$AS,MATCH($R$1,Database!$A$1:$AS$1,),))))</f>
        <v>2.3544926682359104E-2</v>
      </c>
      <c r="S108" s="13">
        <f>((((VLOOKUP(B108,Database!$A:$AS,MATCH($S$1,Database!$A$1:$AS$1,),))))-(((VLOOKUP(EDATE(B108,-12),Database!$A:$AS,MATCH($S$1,Database!$A$1:$AS$1,),)))))/(((VLOOKUP(EDATE(B108,-12),Database!$A:$AS,MATCH($S$1,Database!$A$1:$AS$1,),))))</f>
        <v>0.13930348258518835</v>
      </c>
      <c r="T108" s="13">
        <f>((((VLOOKUP(B108,Database!$A:$AS,MATCH($T$1,Database!$A$1:$AS$1,),))))-(((VLOOKUP(EDATE(B108,-12),Database!$A:$AS,MATCH($T$1,Database!$A$1:$AS$1,),)))))/(((VLOOKUP(EDATE(B108,-12),Database!$A:$AS,MATCH($T$1,Database!$A$1:$AS$1,),))))</f>
        <v>0</v>
      </c>
      <c r="U108" s="13">
        <f>((((VLOOKUP(B108,Database!$A:$AS,MATCH($U$1,Database!$A$1:$AS$1,),))))-(((VLOOKUP(EDATE(B108,-12),Database!$A:$AS,MATCH($U$1,Database!$A$1:$AS$1,),)))))/(((VLOOKUP(EDATE(B108,-12),Database!$A:$AS,MATCH($U$1,Database!$A$1:$AS$1,),))))</f>
        <v>-1.5676859315762282E-2</v>
      </c>
      <c r="V108" s="13">
        <f>((((VLOOKUP(B108,Database!$A:$AS,MATCH($V$1,Database!$A$1:$AS$1,),))))-(((VLOOKUP(EDATE(B108,-12),Database!$A:$AS,MATCH($V$1,Database!$A$1:$AS$1,),)))))/(((VLOOKUP(EDATE(B108,-12),Database!$A:$AS,MATCH($V$1,Database!$A$1:$AS$1,),))))</f>
        <v>9.7201150296522695E-2</v>
      </c>
    </row>
    <row r="109" spans="1:22" s="83" customFormat="1" x14ac:dyDescent="0.2">
      <c r="A109" s="43"/>
      <c r="B109" s="78">
        <v>35462</v>
      </c>
      <c r="C109" s="13">
        <f>((((VLOOKUP(B109,Database!$A:$AS,MATCH($C$1,Database!$A$1:$AS$1,),))))-(((VLOOKUP(EDATE(B109,-12),Database!$A:$AS,MATCH($C$1,Database!$A$1:$AS$1,),)))))/(((VLOOKUP(EDATE(B109,-12),Database!$A:$AS,MATCH($C$1,Database!$A$1:$AS$1,),))))</f>
        <v>6.5503346624827014E-2</v>
      </c>
      <c r="D109" s="13">
        <f>((((VLOOKUP(B109,Database!$A:$AS,MATCH($D$1,Database!$A$1:$AS$1,),))))-(((VLOOKUP(EDATE(B109,-12),Database!$A:$AS,MATCH($D$1,Database!$A$1:$AS$1,),)))))/(((VLOOKUP(EDATE(B109,-12),Database!$A:$AS,MATCH($D$1,Database!$A$1:$AS$1,),))))</f>
        <v>1.8382352941176471E-2</v>
      </c>
      <c r="E109" s="13">
        <f>((((VLOOKUP(B109,Database!$A:$AS,MATCH($E$1,Database!$A$1:$AS$1,),))))-(((VLOOKUP(EDATE(B109,-12),Database!$A:$AS,MATCH($E$1,Database!$A$1:$AS$1,),)))))/(((VLOOKUP(EDATE(B109,-12),Database!$A:$AS,MATCH($E$1,Database!$A$1:$AS$1,),))))</f>
        <v>6.4741035860555185E-2</v>
      </c>
      <c r="F109" s="13">
        <f>((((VLOOKUP(B109,Database!$A:$AS,MATCH($F$1,Database!$A$1:$AS$1,),))))-(((VLOOKUP(EDATE(B109,-12),Database!$A:$AS,MATCH($F$1,Database!$A$1:$AS$1,),)))))/(((VLOOKUP(EDATE(B109,-12),Database!$A:$AS,MATCH($F$1,Database!$A$1:$AS$1,),))))</f>
        <v>2.7656477440192135E-2</v>
      </c>
      <c r="G109" s="13">
        <f>((((VLOOKUP(B109,Database!$A:$AS,MATCH($G$1,Database!$A$1:$AS$1,),))))-(((VLOOKUP(EDATE(B109,-12),Database!$A:$AS,MATCH($G$1,Database!$A$1:$AS$1,),)))))/(((VLOOKUP(EDATE(B109,-12),Database!$A:$AS,MATCH($G$1,Database!$A$1:$AS$1,),))))</f>
        <v>1.6841879425016172E-2</v>
      </c>
      <c r="H109" s="13">
        <f>((((VLOOKUP(B109,Database!$A:$AS,MATCH($H$1,Database!$A$1:$AS$1,),))))-(((VLOOKUP(EDATE(B109,-12),Database!$A:$AS,MATCH($H$1,Database!$A$1:$AS$1,),)))))/(((VLOOKUP(EDATE(B109,-12),Database!$A:$AS,MATCH($H$1,Database!$A$1:$AS$1,),))))</f>
        <v>1.231527093305558E-2</v>
      </c>
      <c r="I109" s="13">
        <f>((((VLOOKUP(B109,Database!$A:$AS,MATCH($I$1,Database!$A$1:$AS$1,),))))-(((VLOOKUP(EDATE(B109,-12),Database!$A:$AS,MATCH($I$1,Database!$A$1:$AS$1,),)))))/(((VLOOKUP(EDATE(B109,-12),Database!$A:$AS,MATCH($I$1,Database!$A$1:$AS$1,),))))</f>
        <v>-7.5693860366080933E-3</v>
      </c>
      <c r="J109" s="13">
        <f>((((VLOOKUP(B109,Database!$A:$AS,MATCH($J$1,Database!$A$1:$AS$1,),))))-(((VLOOKUP(EDATE(B109,-12),Database!$A:$AS,MATCH($J$1,Database!$A$1:$AS$1,),)))))/(((VLOOKUP(EDATE(B109,-12),Database!$A:$AS,MATCH($J$1,Database!$A$1:$AS$1,),))))</f>
        <v>4.2016556189289775E-2</v>
      </c>
      <c r="K109" s="13">
        <f>((((VLOOKUP(B109,Database!$A:$AS,MATCH($K$1,Database!$A$1:$AS$1,),))))-(((VLOOKUP(EDATE(B109,-12),Database!$A:$AS,MATCH($K$1,Database!$A$1:$AS$1,),)))))/(((VLOOKUP(EDATE(B109,-12),Database!$A:$AS,MATCH($K$1,Database!$A$1:$AS$1,),))))</f>
        <v>3.0989272944484614E-2</v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>6.9786098265653504E-2</v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>5.1398920891212799E-2</v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>5.9939814117226015E-2</v>
      </c>
      <c r="O109" s="13">
        <f>((((VLOOKUP(B109,Database!$A:$AS,MATCH($O$1,Database!$A$1:$AS$1,),))))-(((VLOOKUP(EDATE(B109,-12),Database!$A:$AS,MATCH($O$1,Database!$A$1:$AS$1,),)))))/(((VLOOKUP(EDATE(B109,-12),Database!$A:$AS,MATCH($O$1,Database!$A$1:$AS$1,),))))</f>
        <v>5.1608736239957514E-2</v>
      </c>
      <c r="P109" s="13">
        <f>((((VLOOKUP(B109,Database!$A:$AS,MATCH($P$1,Database!$A$1:$AS$1,),))))-(((VLOOKUP(EDATE(B109,-12),Database!$A:$AS,MATCH($P$1,Database!$A$1:$AS$1,),)))))/(((VLOOKUP(EDATE(B109,-12),Database!$A:$AS,MATCH($P$1,Database!$A$1:$AS$1,),))))</f>
        <v>4.6443564114495399E-2</v>
      </c>
      <c r="Q109" s="13">
        <f>((((VLOOKUP(B109,Database!$A:$AS,MATCH($Q$1,Database!$A$1:$AS$1,),))))-(((VLOOKUP(EDATE(B109,-12),Database!$A:$AS,MATCH($Q$1,Database!$A$1:$AS$1,),)))))/(((VLOOKUP(EDATE(B109,-12),Database!$A:$AS,MATCH($Q$1,Database!$A$1:$AS$1,),))))</f>
        <v>7.9114669183180233E-2</v>
      </c>
      <c r="R109" s="13">
        <f>((((VLOOKUP(B109,Database!$A:$AS,MATCH($R$1,Database!$A$1:$AS$1,),))))-(((VLOOKUP(EDATE(B109,-12),Database!$A:$AS,MATCH($R$1,Database!$A$1:$AS$1,),)))))/(((VLOOKUP(EDATE(B109,-12),Database!$A:$AS,MATCH($R$1,Database!$A$1:$AS$1,),))))</f>
        <v>3.3375466042744925E-2</v>
      </c>
      <c r="S109" s="13">
        <f>((((VLOOKUP(B109,Database!$A:$AS,MATCH($S$1,Database!$A$1:$AS$1,),))))-(((VLOOKUP(EDATE(B109,-12),Database!$A:$AS,MATCH($S$1,Database!$A$1:$AS$1,),)))))/(((VLOOKUP(EDATE(B109,-12),Database!$A:$AS,MATCH($S$1,Database!$A$1:$AS$1,),))))</f>
        <v>0.12435233160915742</v>
      </c>
      <c r="T109" s="13">
        <f>((((VLOOKUP(B109,Database!$A:$AS,MATCH($T$1,Database!$A$1:$AS$1,),))))-(((VLOOKUP(EDATE(B109,-12),Database!$A:$AS,MATCH($T$1,Database!$A$1:$AS$1,),)))))/(((VLOOKUP(EDATE(B109,-12),Database!$A:$AS,MATCH($T$1,Database!$A$1:$AS$1,),))))</f>
        <v>9.6685082854535961E-2</v>
      </c>
      <c r="U109" s="13">
        <f>((((VLOOKUP(B109,Database!$A:$AS,MATCH($U$1,Database!$A$1:$AS$1,),))))-(((VLOOKUP(EDATE(B109,-12),Database!$A:$AS,MATCH($U$1,Database!$A$1:$AS$1,),)))))/(((VLOOKUP(EDATE(B109,-12),Database!$A:$AS,MATCH($U$1,Database!$A$1:$AS$1,),))))</f>
        <v>-2.4958810505017748E-2</v>
      </c>
      <c r="V109" s="13">
        <f>((((VLOOKUP(B109,Database!$A:$AS,MATCH($V$1,Database!$A$1:$AS$1,),))))-(((VLOOKUP(EDATE(B109,-12),Database!$A:$AS,MATCH($V$1,Database!$A$1:$AS$1,),)))))/(((VLOOKUP(EDATE(B109,-12),Database!$A:$AS,MATCH($V$1,Database!$A$1:$AS$1,),))))</f>
        <v>0.13597075030813771</v>
      </c>
    </row>
    <row r="110" spans="1:22" s="83" customFormat="1" x14ac:dyDescent="0.2">
      <c r="A110" s="43"/>
      <c r="B110" s="78">
        <v>35490</v>
      </c>
      <c r="C110" s="13">
        <f>((((VLOOKUP(B110,Database!$A:$AS,MATCH($C$1,Database!$A$1:$AS$1,),))))-(((VLOOKUP(EDATE(B110,-12),Database!$A:$AS,MATCH($C$1,Database!$A$1:$AS$1,),)))))/(((VLOOKUP(EDATE(B110,-12),Database!$A:$AS,MATCH($C$1,Database!$A$1:$AS$1,),))))</f>
        <v>7.3387439640652349E-2</v>
      </c>
      <c r="D110" s="13">
        <f>((((VLOOKUP(B110,Database!$A:$AS,MATCH($D$1,Database!$A$1:$AS$1,),))))-(((VLOOKUP(EDATE(B110,-12),Database!$A:$AS,MATCH($D$1,Database!$A$1:$AS$1,),)))))/(((VLOOKUP(EDATE(B110,-12),Database!$A:$AS,MATCH($D$1,Database!$A$1:$AS$1,),))))</f>
        <v>3.0637254901960786E-2</v>
      </c>
      <c r="E110" s="13">
        <f>((((VLOOKUP(B110,Database!$A:$AS,MATCH($E$1,Database!$A$1:$AS$1,),))))-(((VLOOKUP(EDATE(B110,-12),Database!$A:$AS,MATCH($E$1,Database!$A$1:$AS$1,),)))))/(((VLOOKUP(EDATE(B110,-12),Database!$A:$AS,MATCH($E$1,Database!$A$1:$AS$1,),))))</f>
        <v>6.9790628112143913E-2</v>
      </c>
      <c r="F110" s="13">
        <f>((((VLOOKUP(B110,Database!$A:$AS,MATCH($F$1,Database!$A$1:$AS$1,),))))-(((VLOOKUP(EDATE(B110,-12),Database!$A:$AS,MATCH($F$1,Database!$A$1:$AS$1,),)))))/(((VLOOKUP(EDATE(B110,-12),Database!$A:$AS,MATCH($F$1,Database!$A$1:$AS$1,),))))</f>
        <v>3.7790697683545961E-2</v>
      </c>
      <c r="G110" s="13">
        <f>((((VLOOKUP(B110,Database!$A:$AS,MATCH($G$1,Database!$A$1:$AS$1,),))))-(((VLOOKUP(EDATE(B110,-12),Database!$A:$AS,MATCH($G$1,Database!$A$1:$AS$1,),)))))/(((VLOOKUP(EDATE(B110,-12),Database!$A:$AS,MATCH($G$1,Database!$A$1:$AS$1,),))))</f>
        <v>1.310322786832843E-2</v>
      </c>
      <c r="H110" s="13">
        <f>((((VLOOKUP(B110,Database!$A:$AS,MATCH($H$1,Database!$A$1:$AS$1,),))))-(((VLOOKUP(EDATE(B110,-12),Database!$A:$AS,MATCH($H$1,Database!$A$1:$AS$1,),)))))/(((VLOOKUP(EDATE(B110,-12),Database!$A:$AS,MATCH($H$1,Database!$A$1:$AS$1,),))))</f>
        <v>3.6900369040828939E-3</v>
      </c>
      <c r="I110" s="13">
        <f>((((VLOOKUP(B110,Database!$A:$AS,MATCH($I$1,Database!$A$1:$AS$1,),))))-(((VLOOKUP(EDATE(B110,-12),Database!$A:$AS,MATCH($I$1,Database!$A$1:$AS$1,),)))))/(((VLOOKUP(EDATE(B110,-12),Database!$A:$AS,MATCH($I$1,Database!$A$1:$AS$1,),))))</f>
        <v>7.6465590463058227E-3</v>
      </c>
      <c r="J110" s="13">
        <f>((((VLOOKUP(B110,Database!$A:$AS,MATCH($J$1,Database!$A$1:$AS$1,),))))-(((VLOOKUP(EDATE(B110,-12),Database!$A:$AS,MATCH($J$1,Database!$A$1:$AS$1,),)))))/(((VLOOKUP(EDATE(B110,-12),Database!$A:$AS,MATCH($J$1,Database!$A$1:$AS$1,),))))</f>
        <v>7.4184412450185769E-2</v>
      </c>
      <c r="K110" s="13">
        <f>((((VLOOKUP(B110,Database!$A:$AS,MATCH($K$1,Database!$A$1:$AS$1,),))))-(((VLOOKUP(EDATE(B110,-12),Database!$A:$AS,MATCH($K$1,Database!$A$1:$AS$1,),)))))/(((VLOOKUP(EDATE(B110,-12),Database!$A:$AS,MATCH($K$1,Database!$A$1:$AS$1,),))))</f>
        <v>5.097087378324517E-2</v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>7.164904537172205E-2</v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>1.2879703353094916E-3</v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>3.2298106794055065E-2</v>
      </c>
      <c r="O110" s="13">
        <f>((((VLOOKUP(B110,Database!$A:$AS,MATCH($O$1,Database!$A$1:$AS$1,),))))-(((VLOOKUP(EDATE(B110,-12),Database!$A:$AS,MATCH($O$1,Database!$A$1:$AS$1,),)))))/(((VLOOKUP(EDATE(B110,-12),Database!$A:$AS,MATCH($O$1,Database!$A$1:$AS$1,),))))</f>
        <v>5.1939578747752069E-2</v>
      </c>
      <c r="P110" s="13">
        <f>((((VLOOKUP(B110,Database!$A:$AS,MATCH($P$1,Database!$A$1:$AS$1,),))))-(((VLOOKUP(EDATE(B110,-12),Database!$A:$AS,MATCH($P$1,Database!$A$1:$AS$1,),)))))/(((VLOOKUP(EDATE(B110,-12),Database!$A:$AS,MATCH($P$1,Database!$A$1:$AS$1,),))))</f>
        <v>6.2851061310107759E-2</v>
      </c>
      <c r="Q110" s="13">
        <f>((((VLOOKUP(B110,Database!$A:$AS,MATCH($Q$1,Database!$A$1:$AS$1,),))))-(((VLOOKUP(EDATE(B110,-12),Database!$A:$AS,MATCH($Q$1,Database!$A$1:$AS$1,),)))))/(((VLOOKUP(EDATE(B110,-12),Database!$A:$AS,MATCH($Q$1,Database!$A$1:$AS$1,),))))</f>
        <v>9.4339622645565654E-2</v>
      </c>
      <c r="R110" s="13">
        <f>((((VLOOKUP(B110,Database!$A:$AS,MATCH($R$1,Database!$A$1:$AS$1,),))))-(((VLOOKUP(EDATE(B110,-12),Database!$A:$AS,MATCH($R$1,Database!$A$1:$AS$1,),)))))/(((VLOOKUP(EDATE(B110,-12),Database!$A:$AS,MATCH($R$1,Database!$A$1:$AS$1,),))))</f>
        <v>3.1780261155285074E-2</v>
      </c>
      <c r="S110" s="13">
        <f>((((VLOOKUP(B110,Database!$A:$AS,MATCH($S$1,Database!$A$1:$AS$1,),))))-(((VLOOKUP(EDATE(B110,-12),Database!$A:$AS,MATCH($S$1,Database!$A$1:$AS$1,),)))))/(((VLOOKUP(EDATE(B110,-12),Database!$A:$AS,MATCH($S$1,Database!$A$1:$AS$1,),))))</f>
        <v>0.17391304351010745</v>
      </c>
      <c r="T110" s="13">
        <f>((((VLOOKUP(B110,Database!$A:$AS,MATCH($T$1,Database!$A$1:$AS$1,),))))-(((VLOOKUP(EDATE(B110,-12),Database!$A:$AS,MATCH($T$1,Database!$A$1:$AS$1,),)))))/(((VLOOKUP(EDATE(B110,-12),Database!$A:$AS,MATCH($T$1,Database!$A$1:$AS$1,),))))</f>
        <v>0.14049586775743805</v>
      </c>
      <c r="U110" s="13">
        <f>((((VLOOKUP(B110,Database!$A:$AS,MATCH($U$1,Database!$A$1:$AS$1,),))))-(((VLOOKUP(EDATE(B110,-12),Database!$A:$AS,MATCH($U$1,Database!$A$1:$AS$1,),)))))/(((VLOOKUP(EDATE(B110,-12),Database!$A:$AS,MATCH($U$1,Database!$A$1:$AS$1,),))))</f>
        <v>7.5259261446505741E-3</v>
      </c>
      <c r="V110" s="13">
        <f>((((VLOOKUP(B110,Database!$A:$AS,MATCH($V$1,Database!$A$1:$AS$1,),))))-(((VLOOKUP(EDATE(B110,-12),Database!$A:$AS,MATCH($V$1,Database!$A$1:$AS$1,),)))))/(((VLOOKUP(EDATE(B110,-12),Database!$A:$AS,MATCH($V$1,Database!$A$1:$AS$1,),))))</f>
        <v>5.8926881339472117E-2</v>
      </c>
    </row>
    <row r="111" spans="1:22" s="83" customFormat="1" x14ac:dyDescent="0.2">
      <c r="A111" s="43"/>
      <c r="B111" s="78">
        <v>35521</v>
      </c>
      <c r="C111" s="13">
        <f>((((VLOOKUP(B111,Database!$A:$AS,MATCH($C$1,Database!$A$1:$AS$1,),))))-(((VLOOKUP(EDATE(B111,-12),Database!$A:$AS,MATCH($C$1,Database!$A$1:$AS$1,),)))))/(((VLOOKUP(EDATE(B111,-12),Database!$A:$AS,MATCH($C$1,Database!$A$1:$AS$1,),))))</f>
        <v>6.3407991931672195E-2</v>
      </c>
      <c r="D111" s="13">
        <f>((((VLOOKUP(B111,Database!$A:$AS,MATCH($D$1,Database!$A$1:$AS$1,),))))-(((VLOOKUP(EDATE(B111,-12),Database!$A:$AS,MATCH($D$1,Database!$A$1:$AS$1,),)))))/(((VLOOKUP(EDATE(B111,-12),Database!$A:$AS,MATCH($D$1,Database!$A$1:$AS$1,),))))</f>
        <v>4.9382716049382713E-2</v>
      </c>
      <c r="E111" s="13">
        <f>((((VLOOKUP(B111,Database!$A:$AS,MATCH($E$1,Database!$A$1:$AS$1,),))))-(((VLOOKUP(EDATE(B111,-12),Database!$A:$AS,MATCH($E$1,Database!$A$1:$AS$1,),)))))/(((VLOOKUP(EDATE(B111,-12),Database!$A:$AS,MATCH($E$1,Database!$A$1:$AS$1,),))))</f>
        <v>3.9761431412349335E-2</v>
      </c>
      <c r="F111" s="13">
        <f>((((VLOOKUP(B111,Database!$A:$AS,MATCH($F$1,Database!$A$1:$AS$1,),))))-(((VLOOKUP(EDATE(B111,-12),Database!$A:$AS,MATCH($F$1,Database!$A$1:$AS$1,),)))))/(((VLOOKUP(EDATE(B111,-12),Database!$A:$AS,MATCH($F$1,Database!$A$1:$AS$1,),))))</f>
        <v>3.3430232568449902E-2</v>
      </c>
      <c r="G111" s="13">
        <f>((((VLOOKUP(B111,Database!$A:$AS,MATCH($G$1,Database!$A$1:$AS$1,),))))-(((VLOOKUP(EDATE(B111,-12),Database!$A:$AS,MATCH($G$1,Database!$A$1:$AS$1,),)))))/(((VLOOKUP(EDATE(B111,-12),Database!$A:$AS,MATCH($G$1,Database!$A$1:$AS$1,),))))</f>
        <v>5.9944037882049002E-2</v>
      </c>
      <c r="H111" s="13">
        <f>((((VLOOKUP(B111,Database!$A:$AS,MATCH($H$1,Database!$A$1:$AS$1,),))))-(((VLOOKUP(EDATE(B111,-12),Database!$A:$AS,MATCH($H$1,Database!$A$1:$AS$1,),)))))/(((VLOOKUP(EDATE(B111,-12),Database!$A:$AS,MATCH($H$1,Database!$A$1:$AS$1,),))))</f>
        <v>1.9900497505475803E-2</v>
      </c>
      <c r="I111" s="13">
        <f>((((VLOOKUP(B111,Database!$A:$AS,MATCH($I$1,Database!$A$1:$AS$1,),))))-(((VLOOKUP(EDATE(B111,-12),Database!$A:$AS,MATCH($I$1,Database!$A$1:$AS$1,),)))))/(((VLOOKUP(EDATE(B111,-12),Database!$A:$AS,MATCH($I$1,Database!$A$1:$AS$1,),))))</f>
        <v>3.6941580760176757E-2</v>
      </c>
      <c r="J111" s="13">
        <f>((((VLOOKUP(B111,Database!$A:$AS,MATCH($J$1,Database!$A$1:$AS$1,),))))-(((VLOOKUP(EDATE(B111,-12),Database!$A:$AS,MATCH($J$1,Database!$A$1:$AS$1,),)))))/(((VLOOKUP(EDATE(B111,-12),Database!$A:$AS,MATCH($J$1,Database!$A$1:$AS$1,),))))</f>
        <v>8.713738477918169E-2</v>
      </c>
      <c r="K111" s="13">
        <f>((((VLOOKUP(B111,Database!$A:$AS,MATCH($K$1,Database!$A$1:$AS$1,),))))-(((VLOOKUP(EDATE(B111,-12),Database!$A:$AS,MATCH($K$1,Database!$A$1:$AS$1,),)))))/(((VLOOKUP(EDATE(B111,-12),Database!$A:$AS,MATCH($K$1,Database!$A$1:$AS$1,),))))</f>
        <v>7.1601941743699341E-2</v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>7.6070717407438468E-2</v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>-6.8619813224904827E-3</v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>4.3331678772733549E-2</v>
      </c>
      <c r="O111" s="13">
        <f>((((VLOOKUP(B111,Database!$A:$AS,MATCH($O$1,Database!$A$1:$AS$1,),))))-(((VLOOKUP(EDATE(B111,-12),Database!$A:$AS,MATCH($O$1,Database!$A$1:$AS$1,),)))))/(((VLOOKUP(EDATE(B111,-12),Database!$A:$AS,MATCH($O$1,Database!$A$1:$AS$1,),))))</f>
        <v>6.1051517866567928E-2</v>
      </c>
      <c r="P111" s="13">
        <f>((((VLOOKUP(B111,Database!$A:$AS,MATCH($P$1,Database!$A$1:$AS$1,),))))-(((VLOOKUP(EDATE(B111,-12),Database!$A:$AS,MATCH($P$1,Database!$A$1:$AS$1,),)))))/(((VLOOKUP(EDATE(B111,-12),Database!$A:$AS,MATCH($P$1,Database!$A$1:$AS$1,),))))</f>
        <v>5.0397497319985871E-2</v>
      </c>
      <c r="Q111" s="13">
        <f>((((VLOOKUP(B111,Database!$A:$AS,MATCH($Q$1,Database!$A$1:$AS$1,),))))-(((VLOOKUP(EDATE(B111,-12),Database!$A:$AS,MATCH($Q$1,Database!$A$1:$AS$1,),)))))/(((VLOOKUP(EDATE(B111,-12),Database!$A:$AS,MATCH($Q$1,Database!$A$1:$AS$1,),))))</f>
        <v>4.5856798075666554E-2</v>
      </c>
      <c r="R111" s="13">
        <f>((((VLOOKUP(B111,Database!$A:$AS,MATCH($R$1,Database!$A$1:$AS$1,),))))-(((VLOOKUP(EDATE(B111,-12),Database!$A:$AS,MATCH($R$1,Database!$A$1:$AS$1,),)))))/(((VLOOKUP(EDATE(B111,-12),Database!$A:$AS,MATCH($R$1,Database!$A$1:$AS$1,),))))</f>
        <v>2.9243315968492476E-2</v>
      </c>
      <c r="S111" s="13">
        <f>((((VLOOKUP(B111,Database!$A:$AS,MATCH($S$1,Database!$A$1:$AS$1,),))))-(((VLOOKUP(EDATE(B111,-12),Database!$A:$AS,MATCH($S$1,Database!$A$1:$AS$1,),)))))/(((VLOOKUP(EDATE(B111,-12),Database!$A:$AS,MATCH($S$1,Database!$A$1:$AS$1,),))))</f>
        <v>0.17302798980726669</v>
      </c>
      <c r="T111" s="13">
        <f>((((VLOOKUP(B111,Database!$A:$AS,MATCH($T$1,Database!$A$1:$AS$1,),))))-(((VLOOKUP(EDATE(B111,-12),Database!$A:$AS,MATCH($T$1,Database!$A$1:$AS$1,),)))))/(((VLOOKUP(EDATE(B111,-12),Database!$A:$AS,MATCH($T$1,Database!$A$1:$AS$1,),))))</f>
        <v>0.10290237466760863</v>
      </c>
      <c r="U111" s="13">
        <f>((((VLOOKUP(B111,Database!$A:$AS,MATCH($U$1,Database!$A$1:$AS$1,),))))-(((VLOOKUP(EDATE(B111,-12),Database!$A:$AS,MATCH($U$1,Database!$A$1:$AS$1,),)))))/(((VLOOKUP(EDATE(B111,-12),Database!$A:$AS,MATCH($U$1,Database!$A$1:$AS$1,),))))</f>
        <v>9.0397093438807696E-2</v>
      </c>
      <c r="V111" s="13">
        <f>((((VLOOKUP(B111,Database!$A:$AS,MATCH($V$1,Database!$A$1:$AS$1,),))))-(((VLOOKUP(EDATE(B111,-12),Database!$A:$AS,MATCH($V$1,Database!$A$1:$AS$1,),)))))/(((VLOOKUP(EDATE(B111,-12),Database!$A:$AS,MATCH($V$1,Database!$A$1:$AS$1,),))))</f>
        <v>0.15050263796165841</v>
      </c>
    </row>
    <row r="112" spans="1:22" s="83" customFormat="1" x14ac:dyDescent="0.2">
      <c r="A112" s="43"/>
      <c r="B112" s="78">
        <v>35551</v>
      </c>
      <c r="C112" s="13">
        <f>((((VLOOKUP(B112,Database!$A:$AS,MATCH($C$1,Database!$A$1:$AS$1,),))))-(((VLOOKUP(EDATE(B112,-12),Database!$A:$AS,MATCH($C$1,Database!$A$1:$AS$1,),)))))/(((VLOOKUP(EDATE(B112,-12),Database!$A:$AS,MATCH($C$1,Database!$A$1:$AS$1,),))))</f>
        <v>6.1516966074901376E-2</v>
      </c>
      <c r="D112" s="13">
        <f>((((VLOOKUP(B112,Database!$A:$AS,MATCH($D$1,Database!$A$1:$AS$1,),))))-(((VLOOKUP(EDATE(B112,-12),Database!$A:$AS,MATCH($D$1,Database!$A$1:$AS$1,),)))))/(((VLOOKUP(EDATE(B112,-12),Database!$A:$AS,MATCH($D$1,Database!$A$1:$AS$1,),))))</f>
        <v>2.8083028083028046E-2</v>
      </c>
      <c r="E112" s="13">
        <f>((((VLOOKUP(B112,Database!$A:$AS,MATCH($E$1,Database!$A$1:$AS$1,),))))-(((VLOOKUP(EDATE(B112,-12),Database!$A:$AS,MATCH($E$1,Database!$A$1:$AS$1,),)))))/(((VLOOKUP(EDATE(B112,-12),Database!$A:$AS,MATCH($E$1,Database!$A$1:$AS$1,),))))</f>
        <v>6.4229249015670564E-2</v>
      </c>
      <c r="F112" s="13">
        <f>((((VLOOKUP(B112,Database!$A:$AS,MATCH($F$1,Database!$A$1:$AS$1,),))))-(((VLOOKUP(EDATE(B112,-12),Database!$A:$AS,MATCH($F$1,Database!$A$1:$AS$1,),)))))/(((VLOOKUP(EDATE(B112,-12),Database!$A:$AS,MATCH($F$1,Database!$A$1:$AS$1,),))))</f>
        <v>1.1527377508740003E-2</v>
      </c>
      <c r="G112" s="13">
        <f>((((VLOOKUP(B112,Database!$A:$AS,MATCH($G$1,Database!$A$1:$AS$1,),))))-(((VLOOKUP(EDATE(B112,-12),Database!$A:$AS,MATCH($G$1,Database!$A$1:$AS$1,),)))))/(((VLOOKUP(EDATE(B112,-12),Database!$A:$AS,MATCH($G$1,Database!$A$1:$AS$1,),))))</f>
        <v>1.9835408313990246E-2</v>
      </c>
      <c r="H112" s="13">
        <f>((((VLOOKUP(B112,Database!$A:$AS,MATCH($H$1,Database!$A$1:$AS$1,),))))-(((VLOOKUP(EDATE(B112,-12),Database!$A:$AS,MATCH($H$1,Database!$A$1:$AS$1,),)))))/(((VLOOKUP(EDATE(B112,-12),Database!$A:$AS,MATCH($H$1,Database!$A$1:$AS$1,),))))</f>
        <v>1.4851485140425134E-2</v>
      </c>
      <c r="I112" s="13">
        <f>((((VLOOKUP(B112,Database!$A:$AS,MATCH($I$1,Database!$A$1:$AS$1,),))))-(((VLOOKUP(EDATE(B112,-12),Database!$A:$AS,MATCH($I$1,Database!$A$1:$AS$1,),)))))/(((VLOOKUP(EDATE(B112,-12),Database!$A:$AS,MATCH($I$1,Database!$A$1:$AS$1,),))))</f>
        <v>3.5253654343882036E-2</v>
      </c>
      <c r="J112" s="13">
        <f>((((VLOOKUP(B112,Database!$A:$AS,MATCH($J$1,Database!$A$1:$AS$1,),))))-(((VLOOKUP(EDATE(B112,-12),Database!$A:$AS,MATCH($J$1,Database!$A$1:$AS$1,),)))))/(((VLOOKUP(EDATE(B112,-12),Database!$A:$AS,MATCH($J$1,Database!$A$1:$AS$1,),))))</f>
        <v>5.5465646603621799E-2</v>
      </c>
      <c r="K112" s="13">
        <f>((((VLOOKUP(B112,Database!$A:$AS,MATCH($K$1,Database!$A$1:$AS$1,),))))-(((VLOOKUP(EDATE(B112,-12),Database!$A:$AS,MATCH($K$1,Database!$A$1:$AS$1,),)))))/(((VLOOKUP(EDATE(B112,-12),Database!$A:$AS,MATCH($K$1,Database!$A$1:$AS$1,),))))</f>
        <v>4.767580453268571E-2</v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>8.0593029605406111E-2</v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>1.1189464453844505E-2</v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>3.9791516325811287E-2</v>
      </c>
      <c r="O112" s="13">
        <f>((((VLOOKUP(B112,Database!$A:$AS,MATCH($O$1,Database!$A$1:$AS$1,),))))-(((VLOOKUP(EDATE(B112,-12),Database!$A:$AS,MATCH($O$1,Database!$A$1:$AS$1,),)))))/(((VLOOKUP(EDATE(B112,-12),Database!$A:$AS,MATCH($O$1,Database!$A$1:$AS$1,),))))</f>
        <v>5.7421997007629913E-2</v>
      </c>
      <c r="P112" s="13">
        <f>((((VLOOKUP(B112,Database!$A:$AS,MATCH($P$1,Database!$A$1:$AS$1,),))))-(((VLOOKUP(EDATE(B112,-12),Database!$A:$AS,MATCH($P$1,Database!$A$1:$AS$1,),)))))/(((VLOOKUP(EDATE(B112,-12),Database!$A:$AS,MATCH($P$1,Database!$A$1:$AS$1,),))))</f>
        <v>3.9702304270377811E-2</v>
      </c>
      <c r="Q112" s="13">
        <f>((((VLOOKUP(B112,Database!$A:$AS,MATCH($Q$1,Database!$A$1:$AS$1,),))))-(((VLOOKUP(EDATE(B112,-12),Database!$A:$AS,MATCH($Q$1,Database!$A$1:$AS$1,),)))))/(((VLOOKUP(EDATE(B112,-12),Database!$A:$AS,MATCH($Q$1,Database!$A$1:$AS$1,),))))</f>
        <v>3.9526600021029513E-2</v>
      </c>
      <c r="R112" s="13">
        <f>((((VLOOKUP(B112,Database!$A:$AS,MATCH($R$1,Database!$A$1:$AS$1,),))))-(((VLOOKUP(EDATE(B112,-12),Database!$A:$AS,MATCH($R$1,Database!$A$1:$AS$1,),)))))/(((VLOOKUP(EDATE(B112,-12),Database!$A:$AS,MATCH($R$1,Database!$A$1:$AS$1,),))))</f>
        <v>2.5779964088475361E-2</v>
      </c>
      <c r="S112" s="13">
        <f>((((VLOOKUP(B112,Database!$A:$AS,MATCH($S$1,Database!$A$1:$AS$1,),))))-(((VLOOKUP(EDATE(B112,-12),Database!$A:$AS,MATCH($S$1,Database!$A$1:$AS$1,),)))))/(((VLOOKUP(EDATE(B112,-12),Database!$A:$AS,MATCH($S$1,Database!$A$1:$AS$1,),))))</f>
        <v>0.1016949152424839</v>
      </c>
      <c r="T112" s="13">
        <f>((((VLOOKUP(B112,Database!$A:$AS,MATCH($T$1,Database!$A$1:$AS$1,),))))-(((VLOOKUP(EDATE(B112,-12),Database!$A:$AS,MATCH($T$1,Database!$A$1:$AS$1,),)))))/(((VLOOKUP(EDATE(B112,-12),Database!$A:$AS,MATCH($T$1,Database!$A$1:$AS$1,),))))</f>
        <v>0.10904255319601668</v>
      </c>
      <c r="U112" s="13">
        <f>((((VLOOKUP(B112,Database!$A:$AS,MATCH($U$1,Database!$A$1:$AS$1,),))))-(((VLOOKUP(EDATE(B112,-12),Database!$A:$AS,MATCH($U$1,Database!$A$1:$AS$1,),)))))/(((VLOOKUP(EDATE(B112,-12),Database!$A:$AS,MATCH($U$1,Database!$A$1:$AS$1,),))))</f>
        <v>8.6216816712100849E-3</v>
      </c>
      <c r="V112" s="13">
        <f>((((VLOOKUP(B112,Database!$A:$AS,MATCH($V$1,Database!$A$1:$AS$1,),))))-(((VLOOKUP(EDATE(B112,-12),Database!$A:$AS,MATCH($V$1,Database!$A$1:$AS$1,),)))))/(((VLOOKUP(EDATE(B112,-12),Database!$A:$AS,MATCH($V$1,Database!$A$1:$AS$1,),))))</f>
        <v>9.2537614512121377E-2</v>
      </c>
    </row>
    <row r="113" spans="1:22" s="83" customFormat="1" x14ac:dyDescent="0.2">
      <c r="A113" s="43"/>
      <c r="B113" s="78">
        <v>35582</v>
      </c>
      <c r="C113" s="13">
        <f>((((VLOOKUP(B113,Database!$A:$AS,MATCH($C$1,Database!$A$1:$AS$1,),))))-(((VLOOKUP(EDATE(B113,-12),Database!$A:$AS,MATCH($C$1,Database!$A$1:$AS$1,),)))))/(((VLOOKUP(EDATE(B113,-12),Database!$A:$AS,MATCH($C$1,Database!$A$1:$AS$1,),))))</f>
        <v>5.8340707084485757E-2</v>
      </c>
      <c r="D113" s="13">
        <f>((((VLOOKUP(B113,Database!$A:$AS,MATCH($D$1,Database!$A$1:$AS$1,),))))-(((VLOOKUP(EDATE(B113,-12),Database!$A:$AS,MATCH($D$1,Database!$A$1:$AS$1,),)))))/(((VLOOKUP(EDATE(B113,-12),Database!$A:$AS,MATCH($D$1,Database!$A$1:$AS$1,),))))</f>
        <v>4.5177045177045037E-2</v>
      </c>
      <c r="E113" s="13">
        <f>((((VLOOKUP(B113,Database!$A:$AS,MATCH($E$1,Database!$A$1:$AS$1,),))))-(((VLOOKUP(EDATE(B113,-12),Database!$A:$AS,MATCH($E$1,Database!$A$1:$AS$1,),)))))/(((VLOOKUP(EDATE(B113,-12),Database!$A:$AS,MATCH($E$1,Database!$A$1:$AS$1,),))))</f>
        <v>5.6213017753004184E-2</v>
      </c>
      <c r="F113" s="13">
        <f>((((VLOOKUP(B113,Database!$A:$AS,MATCH($F$1,Database!$A$1:$AS$1,),))))-(((VLOOKUP(EDATE(B113,-12),Database!$A:$AS,MATCH($F$1,Database!$A$1:$AS$1,),)))))/(((VLOOKUP(EDATE(B113,-12),Database!$A:$AS,MATCH($F$1,Database!$A$1:$AS$1,),))))</f>
        <v>4.5845272212708295E-2</v>
      </c>
      <c r="G113" s="13">
        <f>((((VLOOKUP(B113,Database!$A:$AS,MATCH($G$1,Database!$A$1:$AS$1,),))))-(((VLOOKUP(EDATE(B113,-12),Database!$A:$AS,MATCH($G$1,Database!$A$1:$AS$1,),)))))/(((VLOOKUP(EDATE(B113,-12),Database!$A:$AS,MATCH($G$1,Database!$A$1:$AS$1,),))))</f>
        <v>3.5410463632496787E-2</v>
      </c>
      <c r="H113" s="13">
        <f>((((VLOOKUP(B113,Database!$A:$AS,MATCH($H$1,Database!$A$1:$AS$1,),))))-(((VLOOKUP(EDATE(B113,-12),Database!$A:$AS,MATCH($H$1,Database!$A$1:$AS$1,),)))))/(((VLOOKUP(EDATE(B113,-12),Database!$A:$AS,MATCH($H$1,Database!$A$1:$AS$1,),))))</f>
        <v>2.2360248446659688E-2</v>
      </c>
      <c r="I113" s="13">
        <f>((((VLOOKUP(B113,Database!$A:$AS,MATCH($I$1,Database!$A$1:$AS$1,),))))-(((VLOOKUP(EDATE(B113,-12),Database!$A:$AS,MATCH($I$1,Database!$A$1:$AS$1,),)))))/(((VLOOKUP(EDATE(B113,-12),Database!$A:$AS,MATCH($I$1,Database!$A$1:$AS$1,),))))</f>
        <v>4.2060085830838173E-2</v>
      </c>
      <c r="J113" s="13">
        <f>((((VLOOKUP(B113,Database!$A:$AS,MATCH($J$1,Database!$A$1:$AS$1,),))))-(((VLOOKUP(EDATE(B113,-12),Database!$A:$AS,MATCH($J$1,Database!$A$1:$AS$1,),)))))/(((VLOOKUP(EDATE(B113,-12),Database!$A:$AS,MATCH($J$1,Database!$A$1:$AS$1,),))))</f>
        <v>5.1971464373688131E-2</v>
      </c>
      <c r="K113" s="13">
        <f>((((VLOOKUP(B113,Database!$A:$AS,MATCH($K$1,Database!$A$1:$AS$1,),))))-(((VLOOKUP(EDATE(B113,-12),Database!$A:$AS,MATCH($K$1,Database!$A$1:$AS$1,),)))))/(((VLOOKUP(EDATE(B113,-12),Database!$A:$AS,MATCH($K$1,Database!$A$1:$AS$1,),))))</f>
        <v>3.8049940540171627E-2</v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>8.1301289013395214E-2</v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>2.179926777066736E-2</v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>6.1558593994160742E-2</v>
      </c>
      <c r="O113" s="13">
        <f>((((VLOOKUP(B113,Database!$A:$AS,MATCH($O$1,Database!$A$1:$AS$1,),))))-(((VLOOKUP(EDATE(B113,-12),Database!$A:$AS,MATCH($O$1,Database!$A$1:$AS$1,),)))))/(((VLOOKUP(EDATE(B113,-12),Database!$A:$AS,MATCH($O$1,Database!$A$1:$AS$1,),))))</f>
        <v>4.5931661300150854E-2</v>
      </c>
      <c r="P113" s="13">
        <f>((((VLOOKUP(B113,Database!$A:$AS,MATCH($P$1,Database!$A$1:$AS$1,),))))-(((VLOOKUP(EDATE(B113,-12),Database!$A:$AS,MATCH($P$1,Database!$A$1:$AS$1,),)))))/(((VLOOKUP(EDATE(B113,-12),Database!$A:$AS,MATCH($P$1,Database!$A$1:$AS$1,),))))</f>
        <v>9.5344792021057362E-2</v>
      </c>
      <c r="Q113" s="13">
        <f>((((VLOOKUP(B113,Database!$A:$AS,MATCH($Q$1,Database!$A$1:$AS$1,),))))-(((VLOOKUP(EDATE(B113,-12),Database!$A:$AS,MATCH($Q$1,Database!$A$1:$AS$1,),)))))/(((VLOOKUP(EDATE(B113,-12),Database!$A:$AS,MATCH($Q$1,Database!$A$1:$AS$1,),))))</f>
        <v>8.0539232641936478E-2</v>
      </c>
      <c r="R113" s="13">
        <f>((((VLOOKUP(B113,Database!$A:$AS,MATCH($R$1,Database!$A$1:$AS$1,),))))-(((VLOOKUP(EDATE(B113,-12),Database!$A:$AS,MATCH($R$1,Database!$A$1:$AS$1,),)))))/(((VLOOKUP(EDATE(B113,-12),Database!$A:$AS,MATCH($R$1,Database!$A$1:$AS$1,),))))</f>
        <v>9.9633037511339916E-3</v>
      </c>
      <c r="S113" s="13">
        <f>((((VLOOKUP(B113,Database!$A:$AS,MATCH($S$1,Database!$A$1:$AS$1,),))))-(((VLOOKUP(EDATE(B113,-12),Database!$A:$AS,MATCH($S$1,Database!$A$1:$AS$1,),)))))/(((VLOOKUP(EDATE(B113,-12),Database!$A:$AS,MATCH($S$1,Database!$A$1:$AS$1,),))))</f>
        <v>0.15254237288412145</v>
      </c>
      <c r="T113" s="13">
        <f>((((VLOOKUP(B113,Database!$A:$AS,MATCH($T$1,Database!$A$1:$AS$1,),))))-(((VLOOKUP(EDATE(B113,-12),Database!$A:$AS,MATCH($T$1,Database!$A$1:$AS$1,),)))))/(((VLOOKUP(EDATE(B113,-12),Database!$A:$AS,MATCH($T$1,Database!$A$1:$AS$1,),))))</f>
        <v>9.3264248705603028E-2</v>
      </c>
      <c r="U113" s="13">
        <f>((((VLOOKUP(B113,Database!$A:$AS,MATCH($U$1,Database!$A$1:$AS$1,),))))-(((VLOOKUP(EDATE(B113,-12),Database!$A:$AS,MATCH($U$1,Database!$A$1:$AS$1,),)))))/(((VLOOKUP(EDATE(B113,-12),Database!$A:$AS,MATCH($U$1,Database!$A$1:$AS$1,),))))</f>
        <v>7.1468260320917479E-2</v>
      </c>
      <c r="V113" s="13">
        <f>((((VLOOKUP(B113,Database!$A:$AS,MATCH($V$1,Database!$A$1:$AS$1,),))))-(((VLOOKUP(EDATE(B113,-12),Database!$A:$AS,MATCH($V$1,Database!$A$1:$AS$1,),)))))/(((VLOOKUP(EDATE(B113,-12),Database!$A:$AS,MATCH($V$1,Database!$A$1:$AS$1,),))))</f>
        <v>0.17617966927629783</v>
      </c>
    </row>
    <row r="114" spans="1:22" s="83" customFormat="1" x14ac:dyDescent="0.2">
      <c r="A114" s="43"/>
      <c r="B114" s="78">
        <v>35612</v>
      </c>
      <c r="C114" s="13">
        <f>((((VLOOKUP(B114,Database!$A:$AS,MATCH($C$1,Database!$A$1:$AS$1,),))))-(((VLOOKUP(EDATE(B114,-12),Database!$A:$AS,MATCH($C$1,Database!$A$1:$AS$1,),)))))/(((VLOOKUP(EDATE(B114,-12),Database!$A:$AS,MATCH($C$1,Database!$A$1:$AS$1,),))))</f>
        <v>6.6838002140758912E-2</v>
      </c>
      <c r="D114" s="13">
        <f>((((VLOOKUP(B114,Database!$A:$AS,MATCH($D$1,Database!$A$1:$AS$1,),))))-(((VLOOKUP(EDATE(B114,-12),Database!$A:$AS,MATCH($D$1,Database!$A$1:$AS$1,),)))))/(((VLOOKUP(EDATE(B114,-12),Database!$A:$AS,MATCH($D$1,Database!$A$1:$AS$1,),))))</f>
        <v>6.2807881773398938E-2</v>
      </c>
      <c r="E114" s="13">
        <f>((((VLOOKUP(B114,Database!$A:$AS,MATCH($E$1,Database!$A$1:$AS$1,),))))-(((VLOOKUP(EDATE(B114,-12),Database!$A:$AS,MATCH($E$1,Database!$A$1:$AS$1,),)))))/(((VLOOKUP(EDATE(B114,-12),Database!$A:$AS,MATCH($E$1,Database!$A$1:$AS$1,),))))</f>
        <v>5.2941176472578545E-2</v>
      </c>
      <c r="F114" s="13">
        <f>((((VLOOKUP(B114,Database!$A:$AS,MATCH($F$1,Database!$A$1:$AS$1,),))))-(((VLOOKUP(EDATE(B114,-12),Database!$A:$AS,MATCH($F$1,Database!$A$1:$AS$1,),)))))/(((VLOOKUP(EDATE(B114,-12),Database!$A:$AS,MATCH($F$1,Database!$A$1:$AS$1,),))))</f>
        <v>6.9565217386641134E-2</v>
      </c>
      <c r="G114" s="13">
        <f>((((VLOOKUP(B114,Database!$A:$AS,MATCH($G$1,Database!$A$1:$AS$1,),))))-(((VLOOKUP(EDATE(B114,-12),Database!$A:$AS,MATCH($G$1,Database!$A$1:$AS$1,),)))))/(((VLOOKUP(EDATE(B114,-12),Database!$A:$AS,MATCH($G$1,Database!$A$1:$AS$1,),))))</f>
        <v>5.6187073725235438E-2</v>
      </c>
      <c r="H114" s="13">
        <f>((((VLOOKUP(B114,Database!$A:$AS,MATCH($H$1,Database!$A$1:$AS$1,),))))-(((VLOOKUP(EDATE(B114,-12),Database!$A:$AS,MATCH($H$1,Database!$A$1:$AS$1,),)))))/(((VLOOKUP(EDATE(B114,-12),Database!$A:$AS,MATCH($H$1,Database!$A$1:$AS$1,),))))</f>
        <v>3.7313432838669149E-2</v>
      </c>
      <c r="I114" s="13">
        <f>((((VLOOKUP(B114,Database!$A:$AS,MATCH($I$1,Database!$A$1:$AS$1,),))))-(((VLOOKUP(EDATE(B114,-12),Database!$A:$AS,MATCH($I$1,Database!$A$1:$AS$1,),)))))/(((VLOOKUP(EDATE(B114,-12),Database!$A:$AS,MATCH($I$1,Database!$A$1:$AS$1,),))))</f>
        <v>4.9828178694778055E-2</v>
      </c>
      <c r="J114" s="13">
        <f>((((VLOOKUP(B114,Database!$A:$AS,MATCH($J$1,Database!$A$1:$AS$1,),))))-(((VLOOKUP(EDATE(B114,-12),Database!$A:$AS,MATCH($J$1,Database!$A$1:$AS$1,),)))))/(((VLOOKUP(EDATE(B114,-12),Database!$A:$AS,MATCH($J$1,Database!$A$1:$AS$1,),))))</f>
        <v>8.4542890553635869E-2</v>
      </c>
      <c r="K114" s="13">
        <f>((((VLOOKUP(B114,Database!$A:$AS,MATCH($K$1,Database!$A$1:$AS$1,),))))-(((VLOOKUP(EDATE(B114,-12),Database!$A:$AS,MATCH($K$1,Database!$A$1:$AS$1,),)))))/(((VLOOKUP(EDATE(B114,-12),Database!$A:$AS,MATCH($K$1,Database!$A$1:$AS$1,),))))</f>
        <v>4.8292108357135807E-2</v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>7.3833545808793172E-2</v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>3.3024961784747932E-2</v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>8.2431200398142529E-2</v>
      </c>
      <c r="O114" s="13">
        <f>((((VLOOKUP(B114,Database!$A:$AS,MATCH($O$1,Database!$A$1:$AS$1,),))))-(((VLOOKUP(EDATE(B114,-12),Database!$A:$AS,MATCH($O$1,Database!$A$1:$AS$1,),)))))/(((VLOOKUP(EDATE(B114,-12),Database!$A:$AS,MATCH($O$1,Database!$A$1:$AS$1,),))))</f>
        <v>6.1082445222680776E-2</v>
      </c>
      <c r="P114" s="13">
        <f>((((VLOOKUP(B114,Database!$A:$AS,MATCH($P$1,Database!$A$1:$AS$1,),))))-(((VLOOKUP(EDATE(B114,-12),Database!$A:$AS,MATCH($P$1,Database!$A$1:$AS$1,),)))))/(((VLOOKUP(EDATE(B114,-12),Database!$A:$AS,MATCH($P$1,Database!$A$1:$AS$1,),))))</f>
        <v>4.8012003003975651E-2</v>
      </c>
      <c r="Q114" s="13">
        <f>((((VLOOKUP(B114,Database!$A:$AS,MATCH($Q$1,Database!$A$1:$AS$1,),))))-(((VLOOKUP(EDATE(B114,-12),Database!$A:$AS,MATCH($Q$1,Database!$A$1:$AS$1,),)))))/(((VLOOKUP(EDATE(B114,-12),Database!$A:$AS,MATCH($Q$1,Database!$A$1:$AS$1,),))))</f>
        <v>1.0586052600854993E-2</v>
      </c>
      <c r="R114" s="13">
        <f>((((VLOOKUP(B114,Database!$A:$AS,MATCH($R$1,Database!$A$1:$AS$1,),))))-(((VLOOKUP(EDATE(B114,-12),Database!$A:$AS,MATCH($R$1,Database!$A$1:$AS$1,),)))))/(((VLOOKUP(EDATE(B114,-12),Database!$A:$AS,MATCH($R$1,Database!$A$1:$AS$1,),))))</f>
        <v>9.8677589909903726E-5</v>
      </c>
      <c r="S114" s="13">
        <f>((((VLOOKUP(B114,Database!$A:$AS,MATCH($S$1,Database!$A$1:$AS$1,),))))-(((VLOOKUP(EDATE(B114,-12),Database!$A:$AS,MATCH($S$1,Database!$A$1:$AS$1,),)))))/(((VLOOKUP(EDATE(B114,-12),Database!$A:$AS,MATCH($S$1,Database!$A$1:$AS$1,),))))</f>
        <v>0.17475728153712133</v>
      </c>
      <c r="T114" s="13">
        <f>((((VLOOKUP(B114,Database!$A:$AS,MATCH($T$1,Database!$A$1:$AS$1,),))))-(((VLOOKUP(EDATE(B114,-12),Database!$A:$AS,MATCH($T$1,Database!$A$1:$AS$1,),)))))/(((VLOOKUP(EDATE(B114,-12),Database!$A:$AS,MATCH($T$1,Database!$A$1:$AS$1,),))))</f>
        <v>9.9476439797703597E-2</v>
      </c>
      <c r="U114" s="13">
        <f>((((VLOOKUP(B114,Database!$A:$AS,MATCH($U$1,Database!$A$1:$AS$1,),))))-(((VLOOKUP(EDATE(B114,-12),Database!$A:$AS,MATCH($U$1,Database!$A$1:$AS$1,),)))))/(((VLOOKUP(EDATE(B114,-12),Database!$A:$AS,MATCH($U$1,Database!$A$1:$AS$1,),))))</f>
        <v>3.2932660515250969E-2</v>
      </c>
      <c r="V114" s="13">
        <f>((((VLOOKUP(B114,Database!$A:$AS,MATCH($V$1,Database!$A$1:$AS$1,),))))-(((VLOOKUP(EDATE(B114,-12),Database!$A:$AS,MATCH($V$1,Database!$A$1:$AS$1,),)))))/(((VLOOKUP(EDATE(B114,-12),Database!$A:$AS,MATCH($V$1,Database!$A$1:$AS$1,),))))</f>
        <v>9.7452487693644521E-2</v>
      </c>
    </row>
    <row r="115" spans="1:22" s="83" customFormat="1" x14ac:dyDescent="0.2">
      <c r="A115" s="43"/>
      <c r="B115" s="78">
        <v>35643</v>
      </c>
      <c r="C115" s="13">
        <f>((((VLOOKUP(B115,Database!$A:$AS,MATCH($C$1,Database!$A$1:$AS$1,),))))-(((VLOOKUP(EDATE(B115,-12),Database!$A:$AS,MATCH($C$1,Database!$A$1:$AS$1,),)))))/(((VLOOKUP(EDATE(B115,-12),Database!$A:$AS,MATCH($C$1,Database!$A$1:$AS$1,),))))</f>
        <v>7.2605881377015055E-2</v>
      </c>
      <c r="D115" s="13">
        <f>((((VLOOKUP(B115,Database!$A:$AS,MATCH($D$1,Database!$A$1:$AS$1,),))))-(((VLOOKUP(EDATE(B115,-12),Database!$A:$AS,MATCH($D$1,Database!$A$1:$AS$1,),)))))/(((VLOOKUP(EDATE(B115,-12),Database!$A:$AS,MATCH($D$1,Database!$A$1:$AS$1,),))))</f>
        <v>5.109489051094894E-2</v>
      </c>
      <c r="E115" s="13">
        <f>((((VLOOKUP(B115,Database!$A:$AS,MATCH($E$1,Database!$A$1:$AS$1,),))))-(((VLOOKUP(EDATE(B115,-12),Database!$A:$AS,MATCH($E$1,Database!$A$1:$AS$1,),)))))/(((VLOOKUP(EDATE(B115,-12),Database!$A:$AS,MATCH($E$1,Database!$A$1:$AS$1,),))))</f>
        <v>4.7012732618081948E-2</v>
      </c>
      <c r="F115" s="13">
        <f>((((VLOOKUP(B115,Database!$A:$AS,MATCH($F$1,Database!$A$1:$AS$1,),))))-(((VLOOKUP(EDATE(B115,-12),Database!$A:$AS,MATCH($F$1,Database!$A$1:$AS$1,),)))))/(((VLOOKUP(EDATE(B115,-12),Database!$A:$AS,MATCH($F$1,Database!$A$1:$AS$1,),))))</f>
        <v>2.145922747628504E-2</v>
      </c>
      <c r="G115" s="13">
        <f>((((VLOOKUP(B115,Database!$A:$AS,MATCH($G$1,Database!$A$1:$AS$1,),))))-(((VLOOKUP(EDATE(B115,-12),Database!$A:$AS,MATCH($G$1,Database!$A$1:$AS$1,),)))))/(((VLOOKUP(EDATE(B115,-12),Database!$A:$AS,MATCH($G$1,Database!$A$1:$AS$1,),))))</f>
        <v>7.3744437380801109E-2</v>
      </c>
      <c r="H115" s="13">
        <f>((((VLOOKUP(B115,Database!$A:$AS,MATCH($H$1,Database!$A$1:$AS$1,),))))-(((VLOOKUP(EDATE(B115,-12),Database!$A:$AS,MATCH($H$1,Database!$A$1:$AS$1,),)))))/(((VLOOKUP(EDATE(B115,-12),Database!$A:$AS,MATCH($H$1,Database!$A$1:$AS$1,),))))</f>
        <v>2.0987654323056656E-2</v>
      </c>
      <c r="I115" s="13">
        <f>((((VLOOKUP(B115,Database!$A:$AS,MATCH($I$1,Database!$A$1:$AS$1,),))))-(((VLOOKUP(EDATE(B115,-12),Database!$A:$AS,MATCH($I$1,Database!$A$1:$AS$1,),)))))/(((VLOOKUP(EDATE(B115,-12),Database!$A:$AS,MATCH($I$1,Database!$A$1:$AS$1,),))))</f>
        <v>5.0427350433501834E-2</v>
      </c>
      <c r="J115" s="13">
        <f>((((VLOOKUP(B115,Database!$A:$AS,MATCH($J$1,Database!$A$1:$AS$1,),))))-(((VLOOKUP(EDATE(B115,-12),Database!$A:$AS,MATCH($J$1,Database!$A$1:$AS$1,),)))))/(((VLOOKUP(EDATE(B115,-12),Database!$A:$AS,MATCH($J$1,Database!$A$1:$AS$1,),))))</f>
        <v>9.1437133325401571E-2</v>
      </c>
      <c r="K115" s="13">
        <f>((((VLOOKUP(B115,Database!$A:$AS,MATCH($K$1,Database!$A$1:$AS$1,),))))-(((VLOOKUP(EDATE(B115,-12),Database!$A:$AS,MATCH($K$1,Database!$A$1:$AS$1,),)))))/(((VLOOKUP(EDATE(B115,-12),Database!$A:$AS,MATCH($K$1,Database!$A$1:$AS$1,),))))</f>
        <v>3.629976579858929E-2</v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>9.1822510786942785E-2</v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>4.3263548713164443E-2</v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>5.4509019510235457E-2</v>
      </c>
      <c r="O115" s="13">
        <f>((((VLOOKUP(B115,Database!$A:$AS,MATCH($O$1,Database!$A$1:$AS$1,),))))-(((VLOOKUP(EDATE(B115,-12),Database!$A:$AS,MATCH($O$1,Database!$A$1:$AS$1,),)))))/(((VLOOKUP(EDATE(B115,-12),Database!$A:$AS,MATCH($O$1,Database!$A$1:$AS$1,),))))</f>
        <v>5.5140150239751162E-2</v>
      </c>
      <c r="P115" s="13">
        <f>((((VLOOKUP(B115,Database!$A:$AS,MATCH($P$1,Database!$A$1:$AS$1,),))))-(((VLOOKUP(EDATE(B115,-12),Database!$A:$AS,MATCH($P$1,Database!$A$1:$AS$1,),)))))/(((VLOOKUP(EDATE(B115,-12),Database!$A:$AS,MATCH($P$1,Database!$A$1:$AS$1,),))))</f>
        <v>8.5806283192421326E-2</v>
      </c>
      <c r="Q115" s="13">
        <f>((((VLOOKUP(B115,Database!$A:$AS,MATCH($Q$1,Database!$A$1:$AS$1,),))))-(((VLOOKUP(EDATE(B115,-12),Database!$A:$AS,MATCH($Q$1,Database!$A$1:$AS$1,),)))))/(((VLOOKUP(EDATE(B115,-12),Database!$A:$AS,MATCH($Q$1,Database!$A$1:$AS$1,),))))</f>
        <v>4.0570664286317018E-2</v>
      </c>
      <c r="R115" s="13">
        <f>((((VLOOKUP(B115,Database!$A:$AS,MATCH($R$1,Database!$A$1:$AS$1,),))))-(((VLOOKUP(EDATE(B115,-12),Database!$A:$AS,MATCH($R$1,Database!$A$1:$AS$1,),)))))/(((VLOOKUP(EDATE(B115,-12),Database!$A:$AS,MATCH($R$1,Database!$A$1:$AS$1,),))))</f>
        <v>-1.7228425439126553E-2</v>
      </c>
      <c r="S115" s="13">
        <f>((((VLOOKUP(B115,Database!$A:$AS,MATCH($S$1,Database!$A$1:$AS$1,),))))-(((VLOOKUP(EDATE(B115,-12),Database!$A:$AS,MATCH($S$1,Database!$A$1:$AS$1,),)))))/(((VLOOKUP(EDATE(B115,-12),Database!$A:$AS,MATCH($S$1,Database!$A$1:$AS$1,),))))</f>
        <v>0.2373737373567634</v>
      </c>
      <c r="T115" s="13">
        <f>((((VLOOKUP(B115,Database!$A:$AS,MATCH($T$1,Database!$A$1:$AS$1,),))))-(((VLOOKUP(EDATE(B115,-12),Database!$A:$AS,MATCH($T$1,Database!$A$1:$AS$1,),)))))/(((VLOOKUP(EDATE(B115,-12),Database!$A:$AS,MATCH($T$1,Database!$A$1:$AS$1,),))))</f>
        <v>0.13910761154338933</v>
      </c>
      <c r="U115" s="13">
        <f>((((VLOOKUP(B115,Database!$A:$AS,MATCH($U$1,Database!$A$1:$AS$1,),))))-(((VLOOKUP(EDATE(B115,-12),Database!$A:$AS,MATCH($U$1,Database!$A$1:$AS$1,),)))))/(((VLOOKUP(EDATE(B115,-12),Database!$A:$AS,MATCH($U$1,Database!$A$1:$AS$1,),))))</f>
        <v>5.4175369556605263E-2</v>
      </c>
      <c r="V115" s="13">
        <f>((((VLOOKUP(B115,Database!$A:$AS,MATCH($V$1,Database!$A$1:$AS$1,),))))-(((VLOOKUP(EDATE(B115,-12),Database!$A:$AS,MATCH($V$1,Database!$A$1:$AS$1,),)))))/(((VLOOKUP(EDATE(B115,-12),Database!$A:$AS,MATCH($V$1,Database!$A$1:$AS$1,),))))</f>
        <v>9.4479046953142257E-2</v>
      </c>
    </row>
    <row r="116" spans="1:22" s="83" customFormat="1" x14ac:dyDescent="0.2">
      <c r="A116" s="43"/>
      <c r="B116" s="78">
        <v>35674</v>
      </c>
      <c r="C116" s="13">
        <f>((((VLOOKUP(B116,Database!$A:$AS,MATCH($C$1,Database!$A$1:$AS$1,),))))-(((VLOOKUP(EDATE(B116,-12),Database!$A:$AS,MATCH($C$1,Database!$A$1:$AS$1,),)))))/(((VLOOKUP(EDATE(B116,-12),Database!$A:$AS,MATCH($C$1,Database!$A$1:$AS$1,),))))</f>
        <v>7.5804318508448362E-2</v>
      </c>
      <c r="D116" s="13">
        <f>((((VLOOKUP(B116,Database!$A:$AS,MATCH($D$1,Database!$A$1:$AS$1,),))))-(((VLOOKUP(EDATE(B116,-12),Database!$A:$AS,MATCH($D$1,Database!$A$1:$AS$1,),)))))/(((VLOOKUP(EDATE(B116,-12),Database!$A:$AS,MATCH($D$1,Database!$A$1:$AS$1,),))))</f>
        <v>4.8661800486618001E-2</v>
      </c>
      <c r="E116" s="13">
        <f>((((VLOOKUP(B116,Database!$A:$AS,MATCH($E$1,Database!$A$1:$AS$1,),))))-(((VLOOKUP(EDATE(B116,-12),Database!$A:$AS,MATCH($E$1,Database!$A$1:$AS$1,),)))))/(((VLOOKUP(EDATE(B116,-12),Database!$A:$AS,MATCH($E$1,Database!$A$1:$AS$1,),))))</f>
        <v>2.9069767437693916E-2</v>
      </c>
      <c r="F116" s="13">
        <f>((((VLOOKUP(B116,Database!$A:$AS,MATCH($F$1,Database!$A$1:$AS$1,),))))-(((VLOOKUP(EDATE(B116,-12),Database!$A:$AS,MATCH($F$1,Database!$A$1:$AS$1,),)))))/(((VLOOKUP(EDATE(B116,-12),Database!$A:$AS,MATCH($F$1,Database!$A$1:$AS$1,),))))</f>
        <v>2.1276595738644388E-2</v>
      </c>
      <c r="G116" s="13">
        <f>((((VLOOKUP(B116,Database!$A:$AS,MATCH($G$1,Database!$A$1:$AS$1,),))))-(((VLOOKUP(EDATE(B116,-12),Database!$A:$AS,MATCH($G$1,Database!$A$1:$AS$1,),)))))/(((VLOOKUP(EDATE(B116,-12),Database!$A:$AS,MATCH($G$1,Database!$A$1:$AS$1,),))))</f>
        <v>4.6762589928057575E-2</v>
      </c>
      <c r="H116" s="13">
        <f>((((VLOOKUP(B116,Database!$A:$AS,MATCH($H$1,Database!$A$1:$AS$1,),))))-(((VLOOKUP(EDATE(B116,-12),Database!$A:$AS,MATCH($H$1,Database!$A$1:$AS$1,),)))))/(((VLOOKUP(EDATE(B116,-12),Database!$A:$AS,MATCH($H$1,Database!$A$1:$AS$1,),))))</f>
        <v>2.6993865031360864E-2</v>
      </c>
      <c r="I116" s="13">
        <f>((((VLOOKUP(B116,Database!$A:$AS,MATCH($I$1,Database!$A$1:$AS$1,),))))-(((VLOOKUP(EDATE(B116,-12),Database!$A:$AS,MATCH($I$1,Database!$A$1:$AS$1,),)))))/(((VLOOKUP(EDATE(B116,-12),Database!$A:$AS,MATCH($I$1,Database!$A$1:$AS$1,),))))</f>
        <v>6.412478335580496E-2</v>
      </c>
      <c r="J116" s="13">
        <f>((((VLOOKUP(B116,Database!$A:$AS,MATCH($J$1,Database!$A$1:$AS$1,),))))-(((VLOOKUP(EDATE(B116,-12),Database!$A:$AS,MATCH($J$1,Database!$A$1:$AS$1,),)))))/(((VLOOKUP(EDATE(B116,-12),Database!$A:$AS,MATCH($J$1,Database!$A$1:$AS$1,),))))</f>
        <v>8.0168939856891511E-2</v>
      </c>
      <c r="K116" s="13">
        <f>((((VLOOKUP(B116,Database!$A:$AS,MATCH($K$1,Database!$A$1:$AS$1,),))))-(((VLOOKUP(EDATE(B116,-12),Database!$A:$AS,MATCH($K$1,Database!$A$1:$AS$1,),)))))/(((VLOOKUP(EDATE(B116,-12),Database!$A:$AS,MATCH($K$1,Database!$A$1:$AS$1,),))))</f>
        <v>5.5885850177161321E-2</v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>8.5380636980653055E-2</v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>2.6808021332872696E-2</v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>8.091671384746614E-2</v>
      </c>
      <c r="O116" s="13">
        <f>((((VLOOKUP(B116,Database!$A:$AS,MATCH($O$1,Database!$A$1:$AS$1,),))))-(((VLOOKUP(EDATE(B116,-12),Database!$A:$AS,MATCH($O$1,Database!$A$1:$AS$1,),)))))/(((VLOOKUP(EDATE(B116,-12),Database!$A:$AS,MATCH($O$1,Database!$A$1:$AS$1,),))))</f>
        <v>5.3681943517680138E-2</v>
      </c>
      <c r="P116" s="13">
        <f>((((VLOOKUP(B116,Database!$A:$AS,MATCH($P$1,Database!$A$1:$AS$1,),))))-(((VLOOKUP(EDATE(B116,-12),Database!$A:$AS,MATCH($P$1,Database!$A$1:$AS$1,),)))))/(((VLOOKUP(EDATE(B116,-12),Database!$A:$AS,MATCH($P$1,Database!$A$1:$AS$1,),))))</f>
        <v>7.6742521826770771E-2</v>
      </c>
      <c r="Q116" s="13">
        <f>((((VLOOKUP(B116,Database!$A:$AS,MATCH($Q$1,Database!$A$1:$AS$1,),))))-(((VLOOKUP(EDATE(B116,-12),Database!$A:$AS,MATCH($Q$1,Database!$A$1:$AS$1,),)))))/(((VLOOKUP(EDATE(B116,-12),Database!$A:$AS,MATCH($Q$1,Database!$A$1:$AS$1,),))))</f>
        <v>5.3414096906031466E-2</v>
      </c>
      <c r="R116" s="13">
        <f>((((VLOOKUP(B116,Database!$A:$AS,MATCH($R$1,Database!$A$1:$AS$1,),))))-(((VLOOKUP(EDATE(B116,-12),Database!$A:$AS,MATCH($R$1,Database!$A$1:$AS$1,),)))))/(((VLOOKUP(EDATE(B116,-12),Database!$A:$AS,MATCH($R$1,Database!$A$1:$AS$1,),))))</f>
        <v>1.694219933714072E-2</v>
      </c>
      <c r="S116" s="13">
        <f>((((VLOOKUP(B116,Database!$A:$AS,MATCH($S$1,Database!$A$1:$AS$1,),))))-(((VLOOKUP(EDATE(B116,-12),Database!$A:$AS,MATCH($S$1,Database!$A$1:$AS$1,),)))))/(((VLOOKUP(EDATE(B116,-12),Database!$A:$AS,MATCH($S$1,Database!$A$1:$AS$1,),))))</f>
        <v>0.26804123711877353</v>
      </c>
      <c r="T116" s="13">
        <f>((((VLOOKUP(B116,Database!$A:$AS,MATCH($T$1,Database!$A$1:$AS$1,),))))-(((VLOOKUP(EDATE(B116,-12),Database!$A:$AS,MATCH($T$1,Database!$A$1:$AS$1,),)))))/(((VLOOKUP(EDATE(B116,-12),Database!$A:$AS,MATCH($T$1,Database!$A$1:$AS$1,),))))</f>
        <v>0.14854111405300763</v>
      </c>
      <c r="U116" s="13">
        <f>((((VLOOKUP(B116,Database!$A:$AS,MATCH($U$1,Database!$A$1:$AS$1,),))))-(((VLOOKUP(EDATE(B116,-12),Database!$A:$AS,MATCH($U$1,Database!$A$1:$AS$1,),)))))/(((VLOOKUP(EDATE(B116,-12),Database!$A:$AS,MATCH($U$1,Database!$A$1:$AS$1,),))))</f>
        <v>5.529998062633501E-2</v>
      </c>
      <c r="V116" s="13">
        <f>((((VLOOKUP(B116,Database!$A:$AS,MATCH($V$1,Database!$A$1:$AS$1,),))))-(((VLOOKUP(EDATE(B116,-12),Database!$A:$AS,MATCH($V$1,Database!$A$1:$AS$1,),)))))/(((VLOOKUP(EDATE(B116,-12),Database!$A:$AS,MATCH($V$1,Database!$A$1:$AS$1,),))))</f>
        <v>0.13337731388869314</v>
      </c>
    </row>
    <row r="117" spans="1:22" s="83" customFormat="1" x14ac:dyDescent="0.2">
      <c r="A117" s="43"/>
      <c r="B117" s="78">
        <v>35704</v>
      </c>
      <c r="C117" s="13">
        <f>((((VLOOKUP(B117,Database!$A:$AS,MATCH($C$1,Database!$A$1:$AS$1,),))))-(((VLOOKUP(EDATE(B117,-12),Database!$A:$AS,MATCH($C$1,Database!$A$1:$AS$1,),)))))/(((VLOOKUP(EDATE(B117,-12),Database!$A:$AS,MATCH($C$1,Database!$A$1:$AS$1,),))))</f>
        <v>8.541889240977428E-2</v>
      </c>
      <c r="D117" s="13">
        <f>((((VLOOKUP(B117,Database!$A:$AS,MATCH($D$1,Database!$A$1:$AS$1,),))))-(((VLOOKUP(EDATE(B117,-12),Database!$A:$AS,MATCH($D$1,Database!$A$1:$AS$1,),)))))/(((VLOOKUP(EDATE(B117,-12),Database!$A:$AS,MATCH($D$1,Database!$A$1:$AS$1,),))))</f>
        <v>6.8459657701711599E-2</v>
      </c>
      <c r="E117" s="13">
        <f>((((VLOOKUP(B117,Database!$A:$AS,MATCH($E$1,Database!$A$1:$AS$1,),))))-(((VLOOKUP(EDATE(B117,-12),Database!$A:$AS,MATCH($E$1,Database!$A$1:$AS$1,),)))))/(((VLOOKUP(EDATE(B117,-12),Database!$A:$AS,MATCH($E$1,Database!$A$1:$AS$1,),))))</f>
        <v>1.6377649326459E-2</v>
      </c>
      <c r="F117" s="13">
        <f>((((VLOOKUP(B117,Database!$A:$AS,MATCH($F$1,Database!$A$1:$AS$1,),))))-(((VLOOKUP(EDATE(B117,-12),Database!$A:$AS,MATCH($F$1,Database!$A$1:$AS$1,),)))))/(((VLOOKUP(EDATE(B117,-12),Database!$A:$AS,MATCH($F$1,Database!$A$1:$AS$1,),))))</f>
        <v>5.0359712235392068E-2</v>
      </c>
      <c r="G117" s="13">
        <f>((((VLOOKUP(B117,Database!$A:$AS,MATCH($G$1,Database!$A$1:$AS$1,),))))-(((VLOOKUP(EDATE(B117,-12),Database!$A:$AS,MATCH($G$1,Database!$A$1:$AS$1,),)))))/(((VLOOKUP(EDATE(B117,-12),Database!$A:$AS,MATCH($G$1,Database!$A$1:$AS$1,),))))</f>
        <v>8.4126135756280113E-2</v>
      </c>
      <c r="H117" s="13">
        <f>((((VLOOKUP(B117,Database!$A:$AS,MATCH($H$1,Database!$A$1:$AS$1,),))))-(((VLOOKUP(EDATE(B117,-12),Database!$A:$AS,MATCH($H$1,Database!$A$1:$AS$1,),)))))/(((VLOOKUP(EDATE(B117,-12),Database!$A:$AS,MATCH($H$1,Database!$A$1:$AS$1,),))))</f>
        <v>4.1820418208149218E-2</v>
      </c>
      <c r="I117" s="13">
        <f>((((VLOOKUP(B117,Database!$A:$AS,MATCH($I$1,Database!$A$1:$AS$1,),))))-(((VLOOKUP(EDATE(B117,-12),Database!$A:$AS,MATCH($I$1,Database!$A$1:$AS$1,),)))))/(((VLOOKUP(EDATE(B117,-12),Database!$A:$AS,MATCH($I$1,Database!$A$1:$AS$1,),))))</f>
        <v>7.2476272654917823E-2</v>
      </c>
      <c r="J117" s="13">
        <f>((((VLOOKUP(B117,Database!$A:$AS,MATCH($J$1,Database!$A$1:$AS$1,),))))-(((VLOOKUP(EDATE(B117,-12),Database!$A:$AS,MATCH($J$1,Database!$A$1:$AS$1,),)))))/(((VLOOKUP(EDATE(B117,-12),Database!$A:$AS,MATCH($J$1,Database!$A$1:$AS$1,),))))</f>
        <v>9.2883634000718709E-2</v>
      </c>
      <c r="K117" s="13">
        <f>((((VLOOKUP(B117,Database!$A:$AS,MATCH($K$1,Database!$A$1:$AS$1,),))))-(((VLOOKUP(EDATE(B117,-12),Database!$A:$AS,MATCH($K$1,Database!$A$1:$AS$1,),)))))/(((VLOOKUP(EDATE(B117,-12),Database!$A:$AS,MATCH($K$1,Database!$A$1:$AS$1,),))))</f>
        <v>7.7658303453760055E-2</v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>8.0988479023328869E-2</v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>2.2602422475001386E-2</v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>6.9291954172998452E-2</v>
      </c>
      <c r="O117" s="13">
        <f>((((VLOOKUP(B117,Database!$A:$AS,MATCH($O$1,Database!$A$1:$AS$1,),))))-(((VLOOKUP(EDATE(B117,-12),Database!$A:$AS,MATCH($O$1,Database!$A$1:$AS$1,),)))))/(((VLOOKUP(EDATE(B117,-12),Database!$A:$AS,MATCH($O$1,Database!$A$1:$AS$1,),))))</f>
        <v>6.9396951688623879E-2</v>
      </c>
      <c r="P117" s="13">
        <f>((((VLOOKUP(B117,Database!$A:$AS,MATCH($P$1,Database!$A$1:$AS$1,),))))-(((VLOOKUP(EDATE(B117,-12),Database!$A:$AS,MATCH($P$1,Database!$A$1:$AS$1,),)))))/(((VLOOKUP(EDATE(B117,-12),Database!$A:$AS,MATCH($P$1,Database!$A$1:$AS$1,),))))</f>
        <v>6.703797175503394E-2</v>
      </c>
      <c r="Q117" s="13">
        <f>((((VLOOKUP(B117,Database!$A:$AS,MATCH($Q$1,Database!$A$1:$AS$1,),))))-(((VLOOKUP(EDATE(B117,-12),Database!$A:$AS,MATCH($Q$1,Database!$A$1:$AS$1,),)))))/(((VLOOKUP(EDATE(B117,-12),Database!$A:$AS,MATCH($Q$1,Database!$A$1:$AS$1,),))))</f>
        <v>5.1739225558021927E-2</v>
      </c>
      <c r="R117" s="13">
        <f>((((VLOOKUP(B117,Database!$A:$AS,MATCH($R$1,Database!$A$1:$AS$1,),))))-(((VLOOKUP(EDATE(B117,-12),Database!$A:$AS,MATCH($R$1,Database!$A$1:$AS$1,),)))))/(((VLOOKUP(EDATE(B117,-12),Database!$A:$AS,MATCH($R$1,Database!$A$1:$AS$1,),))))</f>
        <v>3.3506387742157501E-2</v>
      </c>
      <c r="S117" s="13">
        <f>((((VLOOKUP(B117,Database!$A:$AS,MATCH($S$1,Database!$A$1:$AS$1,),))))-(((VLOOKUP(EDATE(B117,-12),Database!$A:$AS,MATCH($S$1,Database!$A$1:$AS$1,),)))))/(((VLOOKUP(EDATE(B117,-12),Database!$A:$AS,MATCH($S$1,Database!$A$1:$AS$1,),))))</f>
        <v>0.20343137253343405</v>
      </c>
      <c r="T117" s="13">
        <f>((((VLOOKUP(B117,Database!$A:$AS,MATCH($T$1,Database!$A$1:$AS$1,),))))-(((VLOOKUP(EDATE(B117,-12),Database!$A:$AS,MATCH($T$1,Database!$A$1:$AS$1,),)))))/(((VLOOKUP(EDATE(B117,-12),Database!$A:$AS,MATCH($T$1,Database!$A$1:$AS$1,),))))</f>
        <v>5.4054054055382224E-2</v>
      </c>
      <c r="U117" s="13">
        <f>((((VLOOKUP(B117,Database!$A:$AS,MATCH($U$1,Database!$A$1:$AS$1,),))))-(((VLOOKUP(EDATE(B117,-12),Database!$A:$AS,MATCH($U$1,Database!$A$1:$AS$1,),)))))/(((VLOOKUP(EDATE(B117,-12),Database!$A:$AS,MATCH($U$1,Database!$A$1:$AS$1,),))))</f>
        <v>9.1275014141380548E-2</v>
      </c>
      <c r="V117" s="13">
        <f>((((VLOOKUP(B117,Database!$A:$AS,MATCH($V$1,Database!$A$1:$AS$1,),))))-(((VLOOKUP(EDATE(B117,-12),Database!$A:$AS,MATCH($V$1,Database!$A$1:$AS$1,),)))))/(((VLOOKUP(EDATE(B117,-12),Database!$A:$AS,MATCH($V$1,Database!$A$1:$AS$1,),))))</f>
        <v>0.10003616473159276</v>
      </c>
    </row>
    <row r="118" spans="1:22" s="83" customFormat="1" x14ac:dyDescent="0.2">
      <c r="A118" s="43"/>
      <c r="B118" s="78">
        <v>35735</v>
      </c>
      <c r="C118" s="13">
        <f>((((VLOOKUP(B118,Database!$A:$AS,MATCH($C$1,Database!$A$1:$AS$1,),))))-(((VLOOKUP(EDATE(B118,-12),Database!$A:$AS,MATCH($C$1,Database!$A$1:$AS$1,),)))))/(((VLOOKUP(EDATE(B118,-12),Database!$A:$AS,MATCH($C$1,Database!$A$1:$AS$1,),))))</f>
        <v>8.4196232202895183E-2</v>
      </c>
      <c r="D118" s="13">
        <f>((((VLOOKUP(B118,Database!$A:$AS,MATCH($D$1,Database!$A$1:$AS$1,),))))-(((VLOOKUP(EDATE(B118,-12),Database!$A:$AS,MATCH($D$1,Database!$A$1:$AS$1,),)))))/(((VLOOKUP(EDATE(B118,-12),Database!$A:$AS,MATCH($D$1,Database!$A$1:$AS$1,),))))</f>
        <v>5.5757575757575686E-2</v>
      </c>
      <c r="E118" s="13">
        <f>((((VLOOKUP(B118,Database!$A:$AS,MATCH($E$1,Database!$A$1:$AS$1,),))))-(((VLOOKUP(EDATE(B118,-12),Database!$A:$AS,MATCH($E$1,Database!$A$1:$AS$1,),)))))/(((VLOOKUP(EDATE(B118,-12),Database!$A:$AS,MATCH($E$1,Database!$A$1:$AS$1,),))))</f>
        <v>-9.5877277701725467E-4</v>
      </c>
      <c r="F118" s="13">
        <f>((((VLOOKUP(B118,Database!$A:$AS,MATCH($F$1,Database!$A$1:$AS$1,),))))-(((VLOOKUP(EDATE(B118,-12),Database!$A:$AS,MATCH($F$1,Database!$A$1:$AS$1,),)))))/(((VLOOKUP(EDATE(B118,-12),Database!$A:$AS,MATCH($F$1,Database!$A$1:$AS$1,),))))</f>
        <v>4.1134751766107702E-2</v>
      </c>
      <c r="G118" s="13">
        <f>((((VLOOKUP(B118,Database!$A:$AS,MATCH($G$1,Database!$A$1:$AS$1,),))))-(((VLOOKUP(EDATE(B118,-12),Database!$A:$AS,MATCH($G$1,Database!$A$1:$AS$1,),)))))/(((VLOOKUP(EDATE(B118,-12),Database!$A:$AS,MATCH($G$1,Database!$A$1:$AS$1,),))))</f>
        <v>4.6467420002112216E-2</v>
      </c>
      <c r="H118" s="13">
        <f>((((VLOOKUP(B118,Database!$A:$AS,MATCH($H$1,Database!$A$1:$AS$1,),))))-(((VLOOKUP(EDATE(B118,-12),Database!$A:$AS,MATCH($H$1,Database!$A$1:$AS$1,),)))))/(((VLOOKUP(EDATE(B118,-12),Database!$A:$AS,MATCH($H$1,Database!$A$1:$AS$1,),))))</f>
        <v>4.4063647489594147E-2</v>
      </c>
      <c r="I118" s="13">
        <f>((((VLOOKUP(B118,Database!$A:$AS,MATCH($I$1,Database!$A$1:$AS$1,),))))-(((VLOOKUP(EDATE(B118,-12),Database!$A:$AS,MATCH($I$1,Database!$A$1:$AS$1,),)))))/(((VLOOKUP(EDATE(B118,-12),Database!$A:$AS,MATCH($I$1,Database!$A$1:$AS$1,),))))</f>
        <v>7.1057192368882957E-2</v>
      </c>
      <c r="J118" s="13">
        <f>((((VLOOKUP(B118,Database!$A:$AS,MATCH($J$1,Database!$A$1:$AS$1,),))))-(((VLOOKUP(EDATE(B118,-12),Database!$A:$AS,MATCH($J$1,Database!$A$1:$AS$1,),)))))/(((VLOOKUP(EDATE(B118,-12),Database!$A:$AS,MATCH($J$1,Database!$A$1:$AS$1,),))))</f>
        <v>6.6587157715336964E-2</v>
      </c>
      <c r="K118" s="13">
        <f>((((VLOOKUP(B118,Database!$A:$AS,MATCH($K$1,Database!$A$1:$AS$1,),))))-(((VLOOKUP(EDATE(B118,-12),Database!$A:$AS,MATCH($K$1,Database!$A$1:$AS$1,),)))))/(((VLOOKUP(EDATE(B118,-12),Database!$A:$AS,MATCH($K$1,Database!$A$1:$AS$1,),))))</f>
        <v>6.0141509432195199E-2</v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>7.3229678086531427E-2</v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>4.2394049800649737E-2</v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>0.10706519216500199</v>
      </c>
      <c r="O118" s="13">
        <f>((((VLOOKUP(B118,Database!$A:$AS,MATCH($O$1,Database!$A$1:$AS$1,),))))-(((VLOOKUP(EDATE(B118,-12),Database!$A:$AS,MATCH($O$1,Database!$A$1:$AS$1,),)))))/(((VLOOKUP(EDATE(B118,-12),Database!$A:$AS,MATCH($O$1,Database!$A$1:$AS$1,),))))</f>
        <v>5.4176401234425818E-2</v>
      </c>
      <c r="P118" s="13">
        <f>((((VLOOKUP(B118,Database!$A:$AS,MATCH($P$1,Database!$A$1:$AS$1,),))))-(((VLOOKUP(EDATE(B118,-12),Database!$A:$AS,MATCH($P$1,Database!$A$1:$AS$1,),)))))/(((VLOOKUP(EDATE(B118,-12),Database!$A:$AS,MATCH($P$1,Database!$A$1:$AS$1,),))))</f>
        <v>3.9702304270377811E-2</v>
      </c>
      <c r="Q118" s="13">
        <f>((((VLOOKUP(B118,Database!$A:$AS,MATCH($Q$1,Database!$A$1:$AS$1,),))))-(((VLOOKUP(EDATE(B118,-12),Database!$A:$AS,MATCH($Q$1,Database!$A$1:$AS$1,),)))))/(((VLOOKUP(EDATE(B118,-12),Database!$A:$AS,MATCH($Q$1,Database!$A$1:$AS$1,),))))</f>
        <v>-1.521904555697913E-3</v>
      </c>
      <c r="R118" s="13">
        <f>((((VLOOKUP(B118,Database!$A:$AS,MATCH($R$1,Database!$A$1:$AS$1,),))))-(((VLOOKUP(EDATE(B118,-12),Database!$A:$AS,MATCH($R$1,Database!$A$1:$AS$1,),)))))/(((VLOOKUP(EDATE(B118,-12),Database!$A:$AS,MATCH($R$1,Database!$A$1:$AS$1,),))))</f>
        <v>2.4326565647882107E-2</v>
      </c>
      <c r="S118" s="13">
        <f>((((VLOOKUP(B118,Database!$A:$AS,MATCH($S$1,Database!$A$1:$AS$1,),))))-(((VLOOKUP(EDATE(B118,-12),Database!$A:$AS,MATCH($S$1,Database!$A$1:$AS$1,),)))))/(((VLOOKUP(EDATE(B118,-12),Database!$A:$AS,MATCH($S$1,Database!$A$1:$AS$1,),))))</f>
        <v>0.16972477064769642</v>
      </c>
      <c r="T118" s="13">
        <f>((((VLOOKUP(B118,Database!$A:$AS,MATCH($T$1,Database!$A$1:$AS$1,),))))-(((VLOOKUP(EDATE(B118,-12),Database!$A:$AS,MATCH($T$1,Database!$A$1:$AS$1,),)))))/(((VLOOKUP(EDATE(B118,-12),Database!$A:$AS,MATCH($T$1,Database!$A$1:$AS$1,),))))</f>
        <v>3.4229828849241542E-2</v>
      </c>
      <c r="U118" s="13">
        <f>((((VLOOKUP(B118,Database!$A:$AS,MATCH($U$1,Database!$A$1:$AS$1,),))))-(((VLOOKUP(EDATE(B118,-12),Database!$A:$AS,MATCH($U$1,Database!$A$1:$AS$1,),)))))/(((VLOOKUP(EDATE(B118,-12),Database!$A:$AS,MATCH($U$1,Database!$A$1:$AS$1,),))))</f>
        <v>0.11744201036314482</v>
      </c>
      <c r="V118" s="13">
        <f>((((VLOOKUP(B118,Database!$A:$AS,MATCH($V$1,Database!$A$1:$AS$1,),))))-(((VLOOKUP(EDATE(B118,-12),Database!$A:$AS,MATCH($V$1,Database!$A$1:$AS$1,),)))))/(((VLOOKUP(EDATE(B118,-12),Database!$A:$AS,MATCH($V$1,Database!$A$1:$AS$1,),))))</f>
        <v>0.13544824064756503</v>
      </c>
    </row>
    <row r="119" spans="1:22" s="83" customFormat="1" x14ac:dyDescent="0.2">
      <c r="A119" s="43"/>
      <c r="B119" s="78">
        <v>35765</v>
      </c>
      <c r="C119" s="13">
        <f>((((VLOOKUP(B119,Database!$A:$AS,MATCH($C$1,Database!$A$1:$AS$1,),))))-(((VLOOKUP(EDATE(B119,-12),Database!$A:$AS,MATCH($C$1,Database!$A$1:$AS$1,),)))))/(((VLOOKUP(EDATE(B119,-12),Database!$A:$AS,MATCH($C$1,Database!$A$1:$AS$1,),))))</f>
        <v>8.2317692855134211E-2</v>
      </c>
      <c r="D119" s="13">
        <f>((((VLOOKUP(B119,Database!$A:$AS,MATCH($D$1,Database!$A$1:$AS$1,),))))-(((VLOOKUP(EDATE(B119,-12),Database!$A:$AS,MATCH($D$1,Database!$A$1:$AS$1,),)))))/(((VLOOKUP(EDATE(B119,-12),Database!$A:$AS,MATCH($D$1,Database!$A$1:$AS$1,),))))</f>
        <v>6.7961165048543618E-2</v>
      </c>
      <c r="E119" s="13">
        <f>((((VLOOKUP(B119,Database!$A:$AS,MATCH($E$1,Database!$A$1:$AS$1,),))))-(((VLOOKUP(EDATE(B119,-12),Database!$A:$AS,MATCH($E$1,Database!$A$1:$AS$1,),)))))/(((VLOOKUP(EDATE(B119,-12),Database!$A:$AS,MATCH($E$1,Database!$A$1:$AS$1,),))))</f>
        <v>-1.9943019940218555E-2</v>
      </c>
      <c r="F119" s="13">
        <f>((((VLOOKUP(B119,Database!$A:$AS,MATCH($F$1,Database!$A$1:$AS$1,),))))-(((VLOOKUP(EDATE(B119,-12),Database!$A:$AS,MATCH($F$1,Database!$A$1:$AS$1,),)))))/(((VLOOKUP(EDATE(B119,-12),Database!$A:$AS,MATCH($F$1,Database!$A$1:$AS$1,),))))</f>
        <v>5.1063829786932281E-2</v>
      </c>
      <c r="G119" s="13">
        <f>((((VLOOKUP(B119,Database!$A:$AS,MATCH($G$1,Database!$A$1:$AS$1,),))))-(((VLOOKUP(EDATE(B119,-12),Database!$A:$AS,MATCH($G$1,Database!$A$1:$AS$1,),)))))/(((VLOOKUP(EDATE(B119,-12),Database!$A:$AS,MATCH($G$1,Database!$A$1:$AS$1,),))))</f>
        <v>6.5577227200843427E-2</v>
      </c>
      <c r="H119" s="13">
        <f>((((VLOOKUP(B119,Database!$A:$AS,MATCH($H$1,Database!$A$1:$AS$1,),))))-(((VLOOKUP(EDATE(B119,-12),Database!$A:$AS,MATCH($H$1,Database!$A$1:$AS$1,),)))))/(((VLOOKUP(EDATE(B119,-12),Database!$A:$AS,MATCH($H$1,Database!$A$1:$AS$1,),))))</f>
        <v>4.3848964675953714E-2</v>
      </c>
      <c r="I119" s="13">
        <f>((((VLOOKUP(B119,Database!$A:$AS,MATCH($I$1,Database!$A$1:$AS$1,),))))-(((VLOOKUP(EDATE(B119,-12),Database!$A:$AS,MATCH($I$1,Database!$A$1:$AS$1,),)))))/(((VLOOKUP(EDATE(B119,-12),Database!$A:$AS,MATCH($I$1,Database!$A$1:$AS$1,),))))</f>
        <v>8.1668114683110915E-2</v>
      </c>
      <c r="J119" s="13">
        <f>((((VLOOKUP(B119,Database!$A:$AS,MATCH($J$1,Database!$A$1:$AS$1,),))))-(((VLOOKUP(EDATE(B119,-12),Database!$A:$AS,MATCH($J$1,Database!$A$1:$AS$1,),)))))/(((VLOOKUP(EDATE(B119,-12),Database!$A:$AS,MATCH($J$1,Database!$A$1:$AS$1,),))))</f>
        <v>7.9230180348278237E-2</v>
      </c>
      <c r="K119" s="13">
        <f>((((VLOOKUP(B119,Database!$A:$AS,MATCH($K$1,Database!$A$1:$AS$1,),))))-(((VLOOKUP(EDATE(B119,-12),Database!$A:$AS,MATCH($K$1,Database!$A$1:$AS$1,),)))))/(((VLOOKUP(EDATE(B119,-12),Database!$A:$AS,MATCH($K$1,Database!$A$1:$AS$1,),))))</f>
        <v>5.0516647522575099E-2</v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>3.8555413440894373E-2</v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>2.0233180570238398E-2</v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>6.8983610211996657E-2</v>
      </c>
      <c r="O119" s="13">
        <f>((((VLOOKUP(B119,Database!$A:$AS,MATCH($O$1,Database!$A$1:$AS$1,),))))-(((VLOOKUP(EDATE(B119,-12),Database!$A:$AS,MATCH($O$1,Database!$A$1:$AS$1,),)))))/(((VLOOKUP(EDATE(B119,-12),Database!$A:$AS,MATCH($O$1,Database!$A$1:$AS$1,),))))</f>
        <v>7.5570907938366461E-2</v>
      </c>
      <c r="P119" s="13">
        <f>((((VLOOKUP(B119,Database!$A:$AS,MATCH($P$1,Database!$A$1:$AS$1,),))))-(((VLOOKUP(EDATE(B119,-12),Database!$A:$AS,MATCH($P$1,Database!$A$1:$AS$1,),)))))/(((VLOOKUP(EDATE(B119,-12),Database!$A:$AS,MATCH($P$1,Database!$A$1:$AS$1,),))))</f>
        <v>-2.5934188609426099E-3</v>
      </c>
      <c r="Q119" s="13">
        <f>((((VLOOKUP(B119,Database!$A:$AS,MATCH($Q$1,Database!$A$1:$AS$1,),))))-(((VLOOKUP(EDATE(B119,-12),Database!$A:$AS,MATCH($Q$1,Database!$A$1:$AS$1,),)))))/(((VLOOKUP(EDATE(B119,-12),Database!$A:$AS,MATCH($Q$1,Database!$A$1:$AS$1,),))))</f>
        <v>-3.6634857962229005E-2</v>
      </c>
      <c r="R119" s="13">
        <f>((((VLOOKUP(B119,Database!$A:$AS,MATCH($R$1,Database!$A$1:$AS$1,),))))-(((VLOOKUP(EDATE(B119,-12),Database!$A:$AS,MATCH($R$1,Database!$A$1:$AS$1,),)))))/(((VLOOKUP(EDATE(B119,-12),Database!$A:$AS,MATCH($R$1,Database!$A$1:$AS$1,),))))</f>
        <v>3.8078119067912447E-2</v>
      </c>
      <c r="S119" s="13">
        <f>((((VLOOKUP(B119,Database!$A:$AS,MATCH($S$1,Database!$A$1:$AS$1,),))))-(((VLOOKUP(EDATE(B119,-12),Database!$A:$AS,MATCH($S$1,Database!$A$1:$AS$1,),)))))/(((VLOOKUP(EDATE(B119,-12),Database!$A:$AS,MATCH($S$1,Database!$A$1:$AS$1,),))))</f>
        <v>0.18676122930283981</v>
      </c>
      <c r="T119" s="13">
        <f>((((VLOOKUP(B119,Database!$A:$AS,MATCH($T$1,Database!$A$1:$AS$1,),))))-(((VLOOKUP(EDATE(B119,-12),Database!$A:$AS,MATCH($T$1,Database!$A$1:$AS$1,),)))))/(((VLOOKUP(EDATE(B119,-12),Database!$A:$AS,MATCH($T$1,Database!$A$1:$AS$1,),))))</f>
        <v>6.4516129021851359E-2</v>
      </c>
      <c r="U119" s="13">
        <f>((((VLOOKUP(B119,Database!$A:$AS,MATCH($U$1,Database!$A$1:$AS$1,),))))-(((VLOOKUP(EDATE(B119,-12),Database!$A:$AS,MATCH($U$1,Database!$A$1:$AS$1,),)))))/(((VLOOKUP(EDATE(B119,-12),Database!$A:$AS,MATCH($U$1,Database!$A$1:$AS$1,),))))</f>
        <v>9.0936347682372978E-2</v>
      </c>
      <c r="V119" s="13">
        <f>((((VLOOKUP(B119,Database!$A:$AS,MATCH($V$1,Database!$A$1:$AS$1,),))))-(((VLOOKUP(EDATE(B119,-12),Database!$A:$AS,MATCH($V$1,Database!$A$1:$AS$1,),)))))/(((VLOOKUP(EDATE(B119,-12),Database!$A:$AS,MATCH($V$1,Database!$A$1:$AS$1,),))))</f>
        <v>0.12018284377816818</v>
      </c>
    </row>
    <row r="120" spans="1:22" s="83" customFormat="1" x14ac:dyDescent="0.2">
      <c r="A120" s="43"/>
      <c r="B120" s="78">
        <v>35796</v>
      </c>
      <c r="C120" s="13">
        <f>((((VLOOKUP(B120,Database!$A:$AS,MATCH($C$1,Database!$A$1:$AS$1,),))))-(((VLOOKUP(EDATE(B120,-12),Database!$A:$AS,MATCH($C$1,Database!$A$1:$AS$1,),)))))/(((VLOOKUP(EDATE(B120,-12),Database!$A:$AS,MATCH($C$1,Database!$A$1:$AS$1,),))))</f>
        <v>8.527168615569633E-2</v>
      </c>
      <c r="D120" s="13">
        <f>((((VLOOKUP(B120,Database!$A:$AS,MATCH($D$1,Database!$A$1:$AS$1,),))))-(((VLOOKUP(EDATE(B120,-12),Database!$A:$AS,MATCH($D$1,Database!$A$1:$AS$1,),)))))/(((VLOOKUP(EDATE(B120,-12),Database!$A:$AS,MATCH($D$1,Database!$A$1:$AS$1,),))))</f>
        <v>6.90072639225182E-2</v>
      </c>
      <c r="E120" s="13">
        <f>((((VLOOKUP(B120,Database!$A:$AS,MATCH($E$1,Database!$A$1:$AS$1,),))))-(((VLOOKUP(EDATE(B120,-12),Database!$A:$AS,MATCH($E$1,Database!$A$1:$AS$1,),)))))/(((VLOOKUP(EDATE(B120,-12),Database!$A:$AS,MATCH($E$1,Database!$A$1:$AS$1,),))))</f>
        <v>-2.0415949082631453E-2</v>
      </c>
      <c r="F120" s="13">
        <f>((((VLOOKUP(B120,Database!$A:$AS,MATCH($F$1,Database!$A$1:$AS$1,),))))-(((VLOOKUP(EDATE(B120,-12),Database!$A:$AS,MATCH($F$1,Database!$A$1:$AS$1,),)))))/(((VLOOKUP(EDATE(B120,-12),Database!$A:$AS,MATCH($F$1,Database!$A$1:$AS$1,),))))</f>
        <v>7.6149425285725353E-2</v>
      </c>
      <c r="G120" s="13">
        <f>((((VLOOKUP(B120,Database!$A:$AS,MATCH($G$1,Database!$A$1:$AS$1,),))))-(((VLOOKUP(EDATE(B120,-12),Database!$A:$AS,MATCH($G$1,Database!$A$1:$AS$1,),)))))/(((VLOOKUP(EDATE(B120,-12),Database!$A:$AS,MATCH($G$1,Database!$A$1:$AS$1,),))))</f>
        <v>7.4869722429011937E-2</v>
      </c>
      <c r="H120" s="13">
        <f>((((VLOOKUP(B120,Database!$A:$AS,MATCH($H$1,Database!$A$1:$AS$1,),))))-(((VLOOKUP(EDATE(B120,-12),Database!$A:$AS,MATCH($H$1,Database!$A$1:$AS$1,),)))))/(((VLOOKUP(EDATE(B120,-12),Database!$A:$AS,MATCH($H$1,Database!$A$1:$AS$1,),))))</f>
        <v>5.609756098329851E-2</v>
      </c>
      <c r="I120" s="13">
        <f>((((VLOOKUP(B120,Database!$A:$AS,MATCH($I$1,Database!$A$1:$AS$1,),))))-(((VLOOKUP(EDATE(B120,-12),Database!$A:$AS,MATCH($I$1,Database!$A$1:$AS$1,),)))))/(((VLOOKUP(EDATE(B120,-12),Database!$A:$AS,MATCH($I$1,Database!$A$1:$AS$1,),))))</f>
        <v>6.5517241375415869E-2</v>
      </c>
      <c r="J120" s="13">
        <f>((((VLOOKUP(B120,Database!$A:$AS,MATCH($J$1,Database!$A$1:$AS$1,),))))-(((VLOOKUP(EDATE(B120,-12),Database!$A:$AS,MATCH($J$1,Database!$A$1:$AS$1,),)))))/(((VLOOKUP(EDATE(B120,-12),Database!$A:$AS,MATCH($J$1,Database!$A$1:$AS$1,),))))</f>
        <v>7.0433823321310873E-2</v>
      </c>
      <c r="K120" s="13">
        <f>((((VLOOKUP(B120,Database!$A:$AS,MATCH($K$1,Database!$A$1:$AS$1,),))))-(((VLOOKUP(EDATE(B120,-12),Database!$A:$AS,MATCH($K$1,Database!$A$1:$AS$1,),)))))/(((VLOOKUP(EDATE(B120,-12),Database!$A:$AS,MATCH($K$1,Database!$A$1:$AS$1,),))))</f>
        <v>3.3180778029057757E-2</v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>6.281791203167704E-2</v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>-3.8733690249647665E-2</v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>8.4449269934779955E-2</v>
      </c>
      <c r="O120" s="13">
        <f>((((VLOOKUP(B120,Database!$A:$AS,MATCH($O$1,Database!$A$1:$AS$1,),))))-(((VLOOKUP(EDATE(B120,-12),Database!$A:$AS,MATCH($O$1,Database!$A$1:$AS$1,),)))))/(((VLOOKUP(EDATE(B120,-12),Database!$A:$AS,MATCH($O$1,Database!$A$1:$AS$1,),))))</f>
        <v>4.1992913266751329E-2</v>
      </c>
      <c r="P120" s="13">
        <f>((((VLOOKUP(B120,Database!$A:$AS,MATCH($P$1,Database!$A$1:$AS$1,),))))-(((VLOOKUP(EDATE(B120,-12),Database!$A:$AS,MATCH($P$1,Database!$A$1:$AS$1,),)))))/(((VLOOKUP(EDATE(B120,-12),Database!$A:$AS,MATCH($P$1,Database!$A$1:$AS$1,),))))</f>
        <v>-5.4541702108866956E-3</v>
      </c>
      <c r="Q120" s="13">
        <f>((((VLOOKUP(B120,Database!$A:$AS,MATCH($Q$1,Database!$A$1:$AS$1,),))))-(((VLOOKUP(EDATE(B120,-12),Database!$A:$AS,MATCH($Q$1,Database!$A$1:$AS$1,),)))))/(((VLOOKUP(EDATE(B120,-12),Database!$A:$AS,MATCH($Q$1,Database!$A$1:$AS$1,),))))</f>
        <v>-1.9728189385789519E-2</v>
      </c>
      <c r="R120" s="13">
        <f>((((VLOOKUP(B120,Database!$A:$AS,MATCH($R$1,Database!$A$1:$AS$1,),))))-(((VLOOKUP(EDATE(B120,-12),Database!$A:$AS,MATCH($R$1,Database!$A$1:$AS$1,),)))))/(((VLOOKUP(EDATE(B120,-12),Database!$A:$AS,MATCH($R$1,Database!$A$1:$AS$1,),))))</f>
        <v>4.7389930759252019E-2</v>
      </c>
      <c r="S120" s="13">
        <f>((((VLOOKUP(B120,Database!$A:$AS,MATCH($S$1,Database!$A$1:$AS$1,),))))-(((VLOOKUP(EDATE(B120,-12),Database!$A:$AS,MATCH($S$1,Database!$A$1:$AS$1,),)))))/(((VLOOKUP(EDATE(B120,-12),Database!$A:$AS,MATCH($S$1,Database!$A$1:$AS$1,),))))</f>
        <v>0.1637554585100634</v>
      </c>
      <c r="T120" s="13">
        <f>((((VLOOKUP(B120,Database!$A:$AS,MATCH($T$1,Database!$A$1:$AS$1,),))))-(((VLOOKUP(EDATE(B120,-12),Database!$A:$AS,MATCH($T$1,Database!$A$1:$AS$1,),)))))/(((VLOOKUP(EDATE(B120,-12),Database!$A:$AS,MATCH($T$1,Database!$A$1:$AS$1,),))))</f>
        <v>0.11568123395384811</v>
      </c>
      <c r="U120" s="13">
        <f>((((VLOOKUP(B120,Database!$A:$AS,MATCH($U$1,Database!$A$1:$AS$1,),))))-(((VLOOKUP(EDATE(B120,-12),Database!$A:$AS,MATCH($U$1,Database!$A$1:$AS$1,),)))))/(((VLOOKUP(EDATE(B120,-12),Database!$A:$AS,MATCH($U$1,Database!$A$1:$AS$1,),))))</f>
        <v>9.1562977299263063E-2</v>
      </c>
      <c r="V120" s="13">
        <f>((((VLOOKUP(B120,Database!$A:$AS,MATCH($V$1,Database!$A$1:$AS$1,),))))-(((VLOOKUP(EDATE(B120,-12),Database!$A:$AS,MATCH($V$1,Database!$A$1:$AS$1,),)))))/(((VLOOKUP(EDATE(B120,-12),Database!$A:$AS,MATCH($V$1,Database!$A$1:$AS$1,),))))</f>
        <v>0.11831581070715096</v>
      </c>
    </row>
    <row r="121" spans="1:22" s="83" customFormat="1" x14ac:dyDescent="0.2">
      <c r="A121" s="43"/>
      <c r="B121" s="78">
        <v>35827</v>
      </c>
      <c r="C121" s="13">
        <f>((((VLOOKUP(B121,Database!$A:$AS,MATCH($C$1,Database!$A$1:$AS$1,),))))-(((VLOOKUP(EDATE(B121,-12),Database!$A:$AS,MATCH($C$1,Database!$A$1:$AS$1,),)))))/(((VLOOKUP(EDATE(B121,-12),Database!$A:$AS,MATCH($C$1,Database!$A$1:$AS$1,),))))</f>
        <v>7.4132638234466169E-2</v>
      </c>
      <c r="D121" s="13">
        <f>((((VLOOKUP(B121,Database!$A:$AS,MATCH($D$1,Database!$A$1:$AS$1,),))))-(((VLOOKUP(EDATE(B121,-12),Database!$A:$AS,MATCH($D$1,Database!$A$1:$AS$1,),)))))/(((VLOOKUP(EDATE(B121,-12),Database!$A:$AS,MATCH($D$1,Database!$A$1:$AS$1,),))))</f>
        <v>6.7388688327316593E-2</v>
      </c>
      <c r="E121" s="13">
        <f>((((VLOOKUP(B121,Database!$A:$AS,MATCH($E$1,Database!$A$1:$AS$1,),))))-(((VLOOKUP(EDATE(B121,-12),Database!$A:$AS,MATCH($E$1,Database!$A$1:$AS$1,),)))))/(((VLOOKUP(EDATE(B121,-12),Database!$A:$AS,MATCH($E$1,Database!$A$1:$AS$1,),))))</f>
        <v>-4.5910629082894922E-2</v>
      </c>
      <c r="F121" s="13">
        <f>((((VLOOKUP(B121,Database!$A:$AS,MATCH($F$1,Database!$A$1:$AS$1,),))))-(((VLOOKUP(EDATE(B121,-12),Database!$A:$AS,MATCH($F$1,Database!$A$1:$AS$1,),)))))/(((VLOOKUP(EDATE(B121,-12),Database!$A:$AS,MATCH($F$1,Database!$A$1:$AS$1,),))))</f>
        <v>5.8073654393643537E-2</v>
      </c>
      <c r="G121" s="13">
        <f>((((VLOOKUP(B121,Database!$A:$AS,MATCH($G$1,Database!$A$1:$AS$1,),))))-(((VLOOKUP(EDATE(B121,-12),Database!$A:$AS,MATCH($G$1,Database!$A$1:$AS$1,),)))))/(((VLOOKUP(EDATE(B121,-12),Database!$A:$AS,MATCH($G$1,Database!$A$1:$AS$1,),))))</f>
        <v>7.3636459542145677E-2</v>
      </c>
      <c r="H121" s="13">
        <f>((((VLOOKUP(B121,Database!$A:$AS,MATCH($H$1,Database!$A$1:$AS$1,),))))-(((VLOOKUP(EDATE(B121,-12),Database!$A:$AS,MATCH($H$1,Database!$A$1:$AS$1,),)))))/(((VLOOKUP(EDATE(B121,-12),Database!$A:$AS,MATCH($H$1,Database!$A$1:$AS$1,),))))</f>
        <v>6.2043795615029644E-2</v>
      </c>
      <c r="I121" s="13">
        <f>((((VLOOKUP(B121,Database!$A:$AS,MATCH($I$1,Database!$A$1:$AS$1,),))))-(((VLOOKUP(EDATE(B121,-12),Database!$A:$AS,MATCH($I$1,Database!$A$1:$AS$1,),)))))/(((VLOOKUP(EDATE(B121,-12),Database!$A:$AS,MATCH($I$1,Database!$A$1:$AS$1,),))))</f>
        <v>4.6610169492746427E-2</v>
      </c>
      <c r="J121" s="13">
        <f>((((VLOOKUP(B121,Database!$A:$AS,MATCH($J$1,Database!$A$1:$AS$1,),))))-(((VLOOKUP(EDATE(B121,-12),Database!$A:$AS,MATCH($J$1,Database!$A$1:$AS$1,),)))))/(((VLOOKUP(EDATE(B121,-12),Database!$A:$AS,MATCH($J$1,Database!$A$1:$AS$1,),))))</f>
        <v>0.11030470650598494</v>
      </c>
      <c r="K121" s="13">
        <f>((((VLOOKUP(B121,Database!$A:$AS,MATCH($K$1,Database!$A$1:$AS$1,),))))-(((VLOOKUP(EDATE(B121,-12),Database!$A:$AS,MATCH($K$1,Database!$A$1:$AS$1,),)))))/(((VLOOKUP(EDATE(B121,-12),Database!$A:$AS,MATCH($K$1,Database!$A$1:$AS$1,),))))</f>
        <v>4.2774566469407214E-2</v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>8.1682289256879037E-2</v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>-3.7427262443225549E-2</v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>7.0326273852363411E-2</v>
      </c>
      <c r="O121" s="13">
        <f>((((VLOOKUP(B121,Database!$A:$AS,MATCH($O$1,Database!$A$1:$AS$1,),))))-(((VLOOKUP(EDATE(B121,-12),Database!$A:$AS,MATCH($O$1,Database!$A$1:$AS$1,),)))))/(((VLOOKUP(EDATE(B121,-12),Database!$A:$AS,MATCH($O$1,Database!$A$1:$AS$1,),))))</f>
        <v>4.3337150950847649E-2</v>
      </c>
      <c r="P121" s="13">
        <f>((((VLOOKUP(B121,Database!$A:$AS,MATCH($P$1,Database!$A$1:$AS$1,),))))-(((VLOOKUP(EDATE(B121,-12),Database!$A:$AS,MATCH($P$1,Database!$A$1:$AS$1,),)))))/(((VLOOKUP(EDATE(B121,-12),Database!$A:$AS,MATCH($P$1,Database!$A$1:$AS$1,),))))</f>
        <v>-3.9155860676545633E-2</v>
      </c>
      <c r="Q121" s="13">
        <f>((((VLOOKUP(B121,Database!$A:$AS,MATCH($Q$1,Database!$A$1:$AS$1,),))))-(((VLOOKUP(EDATE(B121,-12),Database!$A:$AS,MATCH($Q$1,Database!$A$1:$AS$1,),)))))/(((VLOOKUP(EDATE(B121,-12),Database!$A:$AS,MATCH($Q$1,Database!$A$1:$AS$1,),))))</f>
        <v>-6.0004363907822733E-3</v>
      </c>
      <c r="R121" s="13">
        <f>((((VLOOKUP(B121,Database!$A:$AS,MATCH($R$1,Database!$A$1:$AS$1,),))))-(((VLOOKUP(EDATE(B121,-12),Database!$A:$AS,MATCH($R$1,Database!$A$1:$AS$1,),)))))/(((VLOOKUP(EDATE(B121,-12),Database!$A:$AS,MATCH($R$1,Database!$A$1:$AS$1,),))))</f>
        <v>5.7732038565226122E-2</v>
      </c>
      <c r="S121" s="13">
        <f>((((VLOOKUP(B121,Database!$A:$AS,MATCH($S$1,Database!$A$1:$AS$1,),))))-(((VLOOKUP(EDATE(B121,-12),Database!$A:$AS,MATCH($S$1,Database!$A$1:$AS$1,),)))))/(((VLOOKUP(EDATE(B121,-12),Database!$A:$AS,MATCH($S$1,Database!$A$1:$AS$1,),))))</f>
        <v>0.27880184329391272</v>
      </c>
      <c r="T121" s="13">
        <f>((((VLOOKUP(B121,Database!$A:$AS,MATCH($T$1,Database!$A$1:$AS$1,),))))-(((VLOOKUP(EDATE(B121,-12),Database!$A:$AS,MATCH($T$1,Database!$A$1:$AS$1,),)))))/(((VLOOKUP(EDATE(B121,-12),Database!$A:$AS,MATCH($T$1,Database!$A$1:$AS$1,),))))</f>
        <v>9.571788413885049E-2</v>
      </c>
      <c r="U121" s="13">
        <f>((((VLOOKUP(B121,Database!$A:$AS,MATCH($U$1,Database!$A$1:$AS$1,),))))-(((VLOOKUP(EDATE(B121,-12),Database!$A:$AS,MATCH($U$1,Database!$A$1:$AS$1,),)))))/(((VLOOKUP(EDATE(B121,-12),Database!$A:$AS,MATCH($U$1,Database!$A$1:$AS$1,),))))</f>
        <v>8.7207894019869461E-2</v>
      </c>
      <c r="V121" s="13">
        <f>((((VLOOKUP(B121,Database!$A:$AS,MATCH($V$1,Database!$A$1:$AS$1,),))))-(((VLOOKUP(EDATE(B121,-12),Database!$A:$AS,MATCH($V$1,Database!$A$1:$AS$1,),)))))/(((VLOOKUP(EDATE(B121,-12),Database!$A:$AS,MATCH($V$1,Database!$A$1:$AS$1,),))))</f>
        <v>0.10932527855009784</v>
      </c>
    </row>
    <row r="122" spans="1:22" s="83" customFormat="1" x14ac:dyDescent="0.2">
      <c r="A122" s="43"/>
      <c r="B122" s="78">
        <v>35855</v>
      </c>
      <c r="C122" s="13">
        <f>((((VLOOKUP(B122,Database!$A:$AS,MATCH($C$1,Database!$A$1:$AS$1,),))))-(((VLOOKUP(EDATE(B122,-12),Database!$A:$AS,MATCH($C$1,Database!$A$1:$AS$1,),)))))/(((VLOOKUP(EDATE(B122,-12),Database!$A:$AS,MATCH($C$1,Database!$A$1:$AS$1,),))))</f>
        <v>6.8039447693076877E-2</v>
      </c>
      <c r="D122" s="13">
        <f>((((VLOOKUP(B122,Database!$A:$AS,MATCH($D$1,Database!$A$1:$AS$1,),))))-(((VLOOKUP(EDATE(B122,-12),Database!$A:$AS,MATCH($D$1,Database!$A$1:$AS$1,),)))))/(((VLOOKUP(EDATE(B122,-12),Database!$A:$AS,MATCH($D$1,Database!$A$1:$AS$1,),))))</f>
        <v>5.4696789536266457E-2</v>
      </c>
      <c r="E122" s="13">
        <f>((((VLOOKUP(B122,Database!$A:$AS,MATCH($E$1,Database!$A$1:$AS$1,),))))-(((VLOOKUP(EDATE(B122,-12),Database!$A:$AS,MATCH($E$1,Database!$A$1:$AS$1,),)))))/(((VLOOKUP(EDATE(B122,-12),Database!$A:$AS,MATCH($E$1,Database!$A$1:$AS$1,),))))</f>
        <v>-6.9982439462688187E-2</v>
      </c>
      <c r="F122" s="13">
        <f>((((VLOOKUP(B122,Database!$A:$AS,MATCH($F$1,Database!$A$1:$AS$1,),))))-(((VLOOKUP(EDATE(B122,-12),Database!$A:$AS,MATCH($F$1,Database!$A$1:$AS$1,),)))))/(((VLOOKUP(EDATE(B122,-12),Database!$A:$AS,MATCH($F$1,Database!$A$1:$AS$1,),))))</f>
        <v>6.0224089628321209E-2</v>
      </c>
      <c r="G122" s="13">
        <f>((((VLOOKUP(B122,Database!$A:$AS,MATCH($G$1,Database!$A$1:$AS$1,),))))-(((VLOOKUP(EDATE(B122,-12),Database!$A:$AS,MATCH($G$1,Database!$A$1:$AS$1,),)))))/(((VLOOKUP(EDATE(B122,-12),Database!$A:$AS,MATCH($G$1,Database!$A$1:$AS$1,),))))</f>
        <v>5.7518401682439532E-2</v>
      </c>
      <c r="H122" s="13">
        <f>((((VLOOKUP(B122,Database!$A:$AS,MATCH($H$1,Database!$A$1:$AS$1,),))))-(((VLOOKUP(EDATE(B122,-12),Database!$A:$AS,MATCH($H$1,Database!$A$1:$AS$1,),)))))/(((VLOOKUP(EDATE(B122,-12),Database!$A:$AS,MATCH($H$1,Database!$A$1:$AS$1,),))))</f>
        <v>7.598039215708631E-2</v>
      </c>
      <c r="I122" s="13">
        <f>((((VLOOKUP(B122,Database!$A:$AS,MATCH($I$1,Database!$A$1:$AS$1,),))))-(((VLOOKUP(EDATE(B122,-12),Database!$A:$AS,MATCH($I$1,Database!$A$1:$AS$1,),)))))/(((VLOOKUP(EDATE(B122,-12),Database!$A:$AS,MATCH($I$1,Database!$A$1:$AS$1,),))))</f>
        <v>3.6256323781469917E-2</v>
      </c>
      <c r="J122" s="13">
        <f>((((VLOOKUP(B122,Database!$A:$AS,MATCH($J$1,Database!$A$1:$AS$1,),))))-(((VLOOKUP(EDATE(B122,-12),Database!$A:$AS,MATCH($J$1,Database!$A$1:$AS$1,),)))))/(((VLOOKUP(EDATE(B122,-12),Database!$A:$AS,MATCH($J$1,Database!$A$1:$AS$1,),))))</f>
        <v>4.2859879758852915E-2</v>
      </c>
      <c r="K122" s="13">
        <f>((((VLOOKUP(B122,Database!$A:$AS,MATCH($K$1,Database!$A$1:$AS$1,),))))-(((VLOOKUP(EDATE(B122,-12),Database!$A:$AS,MATCH($K$1,Database!$A$1:$AS$1,),)))))/(((VLOOKUP(EDATE(B122,-12),Database!$A:$AS,MATCH($K$1,Database!$A$1:$AS$1,),))))</f>
        <v>4.9653579676450996E-2</v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>9.2291762244486777E-2</v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>-1.5736459187471637E-2</v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>3.8487679511168216E-2</v>
      </c>
      <c r="O122" s="13">
        <f>((((VLOOKUP(B122,Database!$A:$AS,MATCH($O$1,Database!$A$1:$AS$1,),))))-(((VLOOKUP(EDATE(B122,-12),Database!$A:$AS,MATCH($O$1,Database!$A$1:$AS$1,),)))))/(((VLOOKUP(EDATE(B122,-12),Database!$A:$AS,MATCH($O$1,Database!$A$1:$AS$1,),))))</f>
        <v>5.9973786641021216E-2</v>
      </c>
      <c r="P122" s="13">
        <f>((((VLOOKUP(B122,Database!$A:$AS,MATCH($P$1,Database!$A$1:$AS$1,),))))-(((VLOOKUP(EDATE(B122,-12),Database!$A:$AS,MATCH($P$1,Database!$A$1:$AS$1,),)))))/(((VLOOKUP(EDATE(B122,-12),Database!$A:$AS,MATCH($P$1,Database!$A$1:$AS$1,),))))</f>
        <v>-9.2540053400783695E-2</v>
      </c>
      <c r="Q122" s="13">
        <f>((((VLOOKUP(B122,Database!$A:$AS,MATCH($Q$1,Database!$A$1:$AS$1,),))))-(((VLOOKUP(EDATE(B122,-12),Database!$A:$AS,MATCH($Q$1,Database!$A$1:$AS$1,),)))))/(((VLOOKUP(EDATE(B122,-12),Database!$A:$AS,MATCH($Q$1,Database!$A$1:$AS$1,),))))</f>
        <v>-2.2306034484034041E-2</v>
      </c>
      <c r="R122" s="13">
        <f>((((VLOOKUP(B122,Database!$A:$AS,MATCH($R$1,Database!$A$1:$AS$1,),))))-(((VLOOKUP(EDATE(B122,-12),Database!$A:$AS,MATCH($R$1,Database!$A$1:$AS$1,),)))))/(((VLOOKUP(EDATE(B122,-12),Database!$A:$AS,MATCH($R$1,Database!$A$1:$AS$1,),))))</f>
        <v>0.13086473852855826</v>
      </c>
      <c r="S122" s="13">
        <f>((((VLOOKUP(B122,Database!$A:$AS,MATCH($S$1,Database!$A$1:$AS$1,),))))-(((VLOOKUP(EDATE(B122,-12),Database!$A:$AS,MATCH($S$1,Database!$A$1:$AS$1,),)))))/(((VLOOKUP(EDATE(B122,-12),Database!$A:$AS,MATCH($S$1,Database!$A$1:$AS$1,),))))</f>
        <v>0.22004357297427427</v>
      </c>
      <c r="T122" s="13">
        <f>((((VLOOKUP(B122,Database!$A:$AS,MATCH($T$1,Database!$A$1:$AS$1,),))))-(((VLOOKUP(EDATE(B122,-12),Database!$A:$AS,MATCH($T$1,Database!$A$1:$AS$1,),)))))/(((VLOOKUP(EDATE(B122,-12),Database!$A:$AS,MATCH($T$1,Database!$A$1:$AS$1,),))))</f>
        <v>6.7632850263835365E-2</v>
      </c>
      <c r="U122" s="13">
        <f>((((VLOOKUP(B122,Database!$A:$AS,MATCH($U$1,Database!$A$1:$AS$1,),))))-(((VLOOKUP(EDATE(B122,-12),Database!$A:$AS,MATCH($U$1,Database!$A$1:$AS$1,),)))))/(((VLOOKUP(EDATE(B122,-12),Database!$A:$AS,MATCH($U$1,Database!$A$1:$AS$1,),))))</f>
        <v>8.2267922426346646E-2</v>
      </c>
      <c r="V122" s="13">
        <f>((((VLOOKUP(B122,Database!$A:$AS,MATCH($V$1,Database!$A$1:$AS$1,),))))-(((VLOOKUP(EDATE(B122,-12),Database!$A:$AS,MATCH($V$1,Database!$A$1:$AS$1,),)))))/(((VLOOKUP(EDATE(B122,-12),Database!$A:$AS,MATCH($V$1,Database!$A$1:$AS$1,),))))</f>
        <v>0.11609953910254525</v>
      </c>
    </row>
    <row r="123" spans="1:22" s="83" customFormat="1" x14ac:dyDescent="0.2">
      <c r="A123" s="43"/>
      <c r="B123" s="78">
        <v>35886</v>
      </c>
      <c r="C123" s="13">
        <f>((((VLOOKUP(B123,Database!$A:$AS,MATCH($C$1,Database!$A$1:$AS$1,),))))-(((VLOOKUP(EDATE(B123,-12),Database!$A:$AS,MATCH($C$1,Database!$A$1:$AS$1,),)))))/(((VLOOKUP(EDATE(B123,-12),Database!$A:$AS,MATCH($C$1,Database!$A$1:$AS$1,),))))</f>
        <v>7.1034098594134051E-2</v>
      </c>
      <c r="D123" s="13">
        <f>((((VLOOKUP(B123,Database!$A:$AS,MATCH($D$1,Database!$A$1:$AS$1,),))))-(((VLOOKUP(EDATE(B123,-12),Database!$A:$AS,MATCH($D$1,Database!$A$1:$AS$1,),)))))/(((VLOOKUP(EDATE(B123,-12),Database!$A:$AS,MATCH($D$1,Database!$A$1:$AS$1,),))))</f>
        <v>4.7058823529411764E-2</v>
      </c>
      <c r="E123" s="13">
        <f>((((VLOOKUP(B123,Database!$A:$AS,MATCH($E$1,Database!$A$1:$AS$1,),))))-(((VLOOKUP(EDATE(B123,-12),Database!$A:$AS,MATCH($E$1,Database!$A$1:$AS$1,),)))))/(((VLOOKUP(EDATE(B123,-12),Database!$A:$AS,MATCH($E$1,Database!$A$1:$AS$1,),))))</f>
        <v>-4.7980501615924417E-2</v>
      </c>
      <c r="F123" s="13">
        <f>((((VLOOKUP(B123,Database!$A:$AS,MATCH($F$1,Database!$A$1:$AS$1,),))))-(((VLOOKUP(EDATE(B123,-12),Database!$A:$AS,MATCH($F$1,Database!$A$1:$AS$1,),)))))/(((VLOOKUP(EDATE(B123,-12),Database!$A:$AS,MATCH($F$1,Database!$A$1:$AS$1,),))))</f>
        <v>5.4852320673740455E-2</v>
      </c>
      <c r="G123" s="13">
        <f>((((VLOOKUP(B123,Database!$A:$AS,MATCH($G$1,Database!$A$1:$AS$1,),))))-(((VLOOKUP(EDATE(B123,-12),Database!$A:$AS,MATCH($G$1,Database!$A$1:$AS$1,),)))))/(((VLOOKUP(EDATE(B123,-12),Database!$A:$AS,MATCH($G$1,Database!$A$1:$AS$1,),))))</f>
        <v>3.4318204893897961E-2</v>
      </c>
      <c r="H123" s="13">
        <f>((((VLOOKUP(B123,Database!$A:$AS,MATCH($H$1,Database!$A$1:$AS$1,),))))-(((VLOOKUP(EDATE(B123,-12),Database!$A:$AS,MATCH($H$1,Database!$A$1:$AS$1,),)))))/(((VLOOKUP(EDATE(B123,-12),Database!$A:$AS,MATCH($H$1,Database!$A$1:$AS$1,),))))</f>
        <v>6.7073170739174792E-2</v>
      </c>
      <c r="I123" s="13">
        <f>((((VLOOKUP(B123,Database!$A:$AS,MATCH($I$1,Database!$A$1:$AS$1,),))))-(((VLOOKUP(EDATE(B123,-12),Database!$A:$AS,MATCH($I$1,Database!$A$1:$AS$1,),)))))/(((VLOOKUP(EDATE(B123,-12),Database!$A:$AS,MATCH($I$1,Database!$A$1:$AS$1,),))))</f>
        <v>2.6512013251372889E-2</v>
      </c>
      <c r="J123" s="13">
        <f>((((VLOOKUP(B123,Database!$A:$AS,MATCH($J$1,Database!$A$1:$AS$1,),))))-(((VLOOKUP(EDATE(B123,-12),Database!$A:$AS,MATCH($J$1,Database!$A$1:$AS$1,),)))))/(((VLOOKUP(EDATE(B123,-12),Database!$A:$AS,MATCH($J$1,Database!$A$1:$AS$1,),))))</f>
        <v>5.6662292736740352E-2</v>
      </c>
      <c r="K123" s="13">
        <f>((((VLOOKUP(B123,Database!$A:$AS,MATCH($K$1,Database!$A$1:$AS$1,),))))-(((VLOOKUP(EDATE(B123,-12),Database!$A:$AS,MATCH($K$1,Database!$A$1:$AS$1,),)))))/(((VLOOKUP(EDATE(B123,-12),Database!$A:$AS,MATCH($K$1,Database!$A$1:$AS$1,),))))</f>
        <v>4.1902604751938514E-2</v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>6.3480344975549441E-2</v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>-2.5972815401693512E-2</v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>5.1199044238997238E-2</v>
      </c>
      <c r="O123" s="13">
        <f>((((VLOOKUP(B123,Database!$A:$AS,MATCH($O$1,Database!$A$1:$AS$1,),))))-(((VLOOKUP(EDATE(B123,-12),Database!$A:$AS,MATCH($O$1,Database!$A$1:$AS$1,),)))))/(((VLOOKUP(EDATE(B123,-12),Database!$A:$AS,MATCH($O$1,Database!$A$1:$AS$1,),))))</f>
        <v>4.0977093466869501E-2</v>
      </c>
      <c r="P123" s="13">
        <f>((((VLOOKUP(B123,Database!$A:$AS,MATCH($P$1,Database!$A$1:$AS$1,),))))-(((VLOOKUP(EDATE(B123,-12),Database!$A:$AS,MATCH($P$1,Database!$A$1:$AS$1,),)))))/(((VLOOKUP(EDATE(B123,-12),Database!$A:$AS,MATCH($P$1,Database!$A$1:$AS$1,),))))</f>
        <v>-0.11869176753167703</v>
      </c>
      <c r="Q123" s="13">
        <f>((((VLOOKUP(B123,Database!$A:$AS,MATCH($Q$1,Database!$A$1:$AS$1,),))))-(((VLOOKUP(EDATE(B123,-12),Database!$A:$AS,MATCH($Q$1,Database!$A$1:$AS$1,),)))))/(((VLOOKUP(EDATE(B123,-12),Database!$A:$AS,MATCH($Q$1,Database!$A$1:$AS$1,),))))</f>
        <v>5.2747252759085391E-3</v>
      </c>
      <c r="R123" s="13">
        <f>((((VLOOKUP(B123,Database!$A:$AS,MATCH($R$1,Database!$A$1:$AS$1,),))))-(((VLOOKUP(EDATE(B123,-12),Database!$A:$AS,MATCH($R$1,Database!$A$1:$AS$1,),)))))/(((VLOOKUP(EDATE(B123,-12),Database!$A:$AS,MATCH($R$1,Database!$A$1:$AS$1,),))))</f>
        <v>9.8698032800513855E-2</v>
      </c>
      <c r="S123" s="13">
        <f>((((VLOOKUP(B123,Database!$A:$AS,MATCH($S$1,Database!$A$1:$AS$1,),))))-(((VLOOKUP(EDATE(B123,-12),Database!$A:$AS,MATCH($S$1,Database!$A$1:$AS$1,),)))))/(((VLOOKUP(EDATE(B123,-12),Database!$A:$AS,MATCH($S$1,Database!$A$1:$AS$1,),))))</f>
        <v>0.18438177874685963</v>
      </c>
      <c r="T123" s="13">
        <f>((((VLOOKUP(B123,Database!$A:$AS,MATCH($T$1,Database!$A$1:$AS$1,),))))-(((VLOOKUP(EDATE(B123,-12),Database!$A:$AS,MATCH($T$1,Database!$A$1:$AS$1,),)))))/(((VLOOKUP(EDATE(B123,-12),Database!$A:$AS,MATCH($T$1,Database!$A$1:$AS$1,),))))</f>
        <v>3.5885167454098123E-2</v>
      </c>
      <c r="U123" s="13">
        <f>((((VLOOKUP(B123,Database!$A:$AS,MATCH($U$1,Database!$A$1:$AS$1,),))))-(((VLOOKUP(EDATE(B123,-12),Database!$A:$AS,MATCH($U$1,Database!$A$1:$AS$1,),)))))/(((VLOOKUP(EDATE(B123,-12),Database!$A:$AS,MATCH($U$1,Database!$A$1:$AS$1,),))))</f>
        <v>3.0910275160449946E-2</v>
      </c>
      <c r="V123" s="13">
        <f>((((VLOOKUP(B123,Database!$A:$AS,MATCH($V$1,Database!$A$1:$AS$1,),))))-(((VLOOKUP(EDATE(B123,-12),Database!$A:$AS,MATCH($V$1,Database!$A$1:$AS$1,),)))))/(((VLOOKUP(EDATE(B123,-12),Database!$A:$AS,MATCH($V$1,Database!$A$1:$AS$1,),))))</f>
        <v>4.5762860143427335E-2</v>
      </c>
    </row>
    <row r="124" spans="1:22" s="83" customFormat="1" x14ac:dyDescent="0.2">
      <c r="A124" s="43"/>
      <c r="B124" s="78">
        <v>35916</v>
      </c>
      <c r="C124" s="13">
        <f>((((VLOOKUP(B124,Database!$A:$AS,MATCH($C$1,Database!$A$1:$AS$1,),))))-(((VLOOKUP(EDATE(B124,-12),Database!$A:$AS,MATCH($C$1,Database!$A$1:$AS$1,),)))))/(((VLOOKUP(EDATE(B124,-12),Database!$A:$AS,MATCH($C$1,Database!$A$1:$AS$1,),))))</f>
        <v>7.1952916393258293E-2</v>
      </c>
      <c r="D124" s="13">
        <f>((((VLOOKUP(B124,Database!$A:$AS,MATCH($D$1,Database!$A$1:$AS$1,),))))-(((VLOOKUP(EDATE(B124,-12),Database!$A:$AS,MATCH($D$1,Database!$A$1:$AS$1,),)))))/(((VLOOKUP(EDATE(B124,-12),Database!$A:$AS,MATCH($D$1,Database!$A$1:$AS$1,),))))</f>
        <v>6.0570071258907295E-2</v>
      </c>
      <c r="E124" s="13">
        <f>((((VLOOKUP(B124,Database!$A:$AS,MATCH($E$1,Database!$A$1:$AS$1,),))))-(((VLOOKUP(EDATE(B124,-12),Database!$A:$AS,MATCH($E$1,Database!$A$1:$AS$1,),)))))/(((VLOOKUP(EDATE(B124,-12),Database!$A:$AS,MATCH($E$1,Database!$A$1:$AS$1,),))))</f>
        <v>-8.2196072152310604E-2</v>
      </c>
      <c r="F124" s="13">
        <f>((((VLOOKUP(B124,Database!$A:$AS,MATCH($F$1,Database!$A$1:$AS$1,),))))-(((VLOOKUP(EDATE(B124,-12),Database!$A:$AS,MATCH($F$1,Database!$A$1:$AS$1,),)))))/(((VLOOKUP(EDATE(B124,-12),Database!$A:$AS,MATCH($F$1,Database!$A$1:$AS$1,),))))</f>
        <v>7.407407407776756E-2</v>
      </c>
      <c r="G124" s="13">
        <f>((((VLOOKUP(B124,Database!$A:$AS,MATCH($G$1,Database!$A$1:$AS$1,),))))-(((VLOOKUP(EDATE(B124,-12),Database!$A:$AS,MATCH($G$1,Database!$A$1:$AS$1,),)))))/(((VLOOKUP(EDATE(B124,-12),Database!$A:$AS,MATCH($G$1,Database!$A$1:$AS$1,),))))</f>
        <v>6.7142561555969468E-2</v>
      </c>
      <c r="H124" s="13">
        <f>((((VLOOKUP(B124,Database!$A:$AS,MATCH($H$1,Database!$A$1:$AS$1,),))))-(((VLOOKUP(EDATE(B124,-12),Database!$A:$AS,MATCH($H$1,Database!$A$1:$AS$1,),)))))/(((VLOOKUP(EDATE(B124,-12),Database!$A:$AS,MATCH($H$1,Database!$A$1:$AS$1,),))))</f>
        <v>5.1219512201648998E-2</v>
      </c>
      <c r="I124" s="13">
        <f>((((VLOOKUP(B124,Database!$A:$AS,MATCH($I$1,Database!$A$1:$AS$1,),))))-(((VLOOKUP(EDATE(B124,-12),Database!$A:$AS,MATCH($I$1,Database!$A$1:$AS$1,),)))))/(((VLOOKUP(EDATE(B124,-12),Database!$A:$AS,MATCH($I$1,Database!$A$1:$AS$1,),))))</f>
        <v>2.7408637874395819E-2</v>
      </c>
      <c r="J124" s="13">
        <f>((((VLOOKUP(B124,Database!$A:$AS,MATCH($J$1,Database!$A$1:$AS$1,),))))-(((VLOOKUP(EDATE(B124,-12),Database!$A:$AS,MATCH($J$1,Database!$A$1:$AS$1,),)))))/(((VLOOKUP(EDATE(B124,-12),Database!$A:$AS,MATCH($J$1,Database!$A$1:$AS$1,),))))</f>
        <v>7.8282687482576011E-2</v>
      </c>
      <c r="K124" s="13">
        <f>((((VLOOKUP(B124,Database!$A:$AS,MATCH($K$1,Database!$A$1:$AS$1,),))))-(((VLOOKUP(EDATE(B124,-12),Database!$A:$AS,MATCH($K$1,Database!$A$1:$AS$1,),)))))/(((VLOOKUP(EDATE(B124,-12),Database!$A:$AS,MATCH($K$1,Database!$A$1:$AS$1,),))))</f>
        <v>2.9579067122111787E-2</v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>6.0736148854225062E-2</v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>-8.624115097783272E-2</v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>4.5136075530808922E-2</v>
      </c>
      <c r="O124" s="13">
        <f>((((VLOOKUP(B124,Database!$A:$AS,MATCH($O$1,Database!$A$1:$AS$1,),))))-(((VLOOKUP(EDATE(B124,-12),Database!$A:$AS,MATCH($O$1,Database!$A$1:$AS$1,),)))))/(((VLOOKUP(EDATE(B124,-12),Database!$A:$AS,MATCH($O$1,Database!$A$1:$AS$1,),))))</f>
        <v>3.0994469569498338E-2</v>
      </c>
      <c r="P124" s="13">
        <f>((((VLOOKUP(B124,Database!$A:$AS,MATCH($P$1,Database!$A$1:$AS$1,),))))-(((VLOOKUP(EDATE(B124,-12),Database!$A:$AS,MATCH($P$1,Database!$A$1:$AS$1,),)))))/(((VLOOKUP(EDATE(B124,-12),Database!$A:$AS,MATCH($P$1,Database!$A$1:$AS$1,),))))</f>
        <v>-0.10178404271928303</v>
      </c>
      <c r="Q124" s="13">
        <f>((((VLOOKUP(B124,Database!$A:$AS,MATCH($Q$1,Database!$A$1:$AS$1,),))))-(((VLOOKUP(EDATE(B124,-12),Database!$A:$AS,MATCH($Q$1,Database!$A$1:$AS$1,),)))))/(((VLOOKUP(EDATE(B124,-12),Database!$A:$AS,MATCH($Q$1,Database!$A$1:$AS$1,),))))</f>
        <v>3.1060019896636849E-2</v>
      </c>
      <c r="R124" s="13">
        <f>((((VLOOKUP(B124,Database!$A:$AS,MATCH($R$1,Database!$A$1:$AS$1,),))))-(((VLOOKUP(EDATE(B124,-12),Database!$A:$AS,MATCH($R$1,Database!$A$1:$AS$1,),)))))/(((VLOOKUP(EDATE(B124,-12),Database!$A:$AS,MATCH($R$1,Database!$A$1:$AS$1,),))))</f>
        <v>5.4749027735569958E-2</v>
      </c>
      <c r="S124" s="13">
        <f>((((VLOOKUP(B124,Database!$A:$AS,MATCH($S$1,Database!$A$1:$AS$1,),))))-(((VLOOKUP(EDATE(B124,-12),Database!$A:$AS,MATCH($S$1,Database!$A$1:$AS$1,),)))))/(((VLOOKUP(EDATE(B124,-12),Database!$A:$AS,MATCH($S$1,Database!$A$1:$AS$1,),))))</f>
        <v>0.21318681322351371</v>
      </c>
      <c r="T124" s="13">
        <f>((((VLOOKUP(B124,Database!$A:$AS,MATCH($T$1,Database!$A$1:$AS$1,),))))-(((VLOOKUP(EDATE(B124,-12),Database!$A:$AS,MATCH($T$1,Database!$A$1:$AS$1,),)))))/(((VLOOKUP(EDATE(B124,-12),Database!$A:$AS,MATCH($T$1,Database!$A$1:$AS$1,),))))</f>
        <v>6.2350119894127191E-2</v>
      </c>
      <c r="U124" s="13">
        <f>((((VLOOKUP(B124,Database!$A:$AS,MATCH($U$1,Database!$A$1:$AS$1,),))))-(((VLOOKUP(EDATE(B124,-12),Database!$A:$AS,MATCH($U$1,Database!$A$1:$AS$1,),)))))/(((VLOOKUP(EDATE(B124,-12),Database!$A:$AS,MATCH($U$1,Database!$A$1:$AS$1,),))))</f>
        <v>9.6212689144172567E-2</v>
      </c>
      <c r="V124" s="13">
        <f>((((VLOOKUP(B124,Database!$A:$AS,MATCH($V$1,Database!$A$1:$AS$1,),))))-(((VLOOKUP(EDATE(B124,-12),Database!$A:$AS,MATCH($V$1,Database!$A$1:$AS$1,),)))))/(((VLOOKUP(EDATE(B124,-12),Database!$A:$AS,MATCH($V$1,Database!$A$1:$AS$1,),))))</f>
        <v>0.10232627280150675</v>
      </c>
    </row>
    <row r="125" spans="1:22" s="83" customFormat="1" x14ac:dyDescent="0.2">
      <c r="A125" s="43"/>
      <c r="B125" s="78">
        <v>35947</v>
      </c>
      <c r="C125" s="13">
        <f>((((VLOOKUP(B125,Database!$A:$AS,MATCH($C$1,Database!$A$1:$AS$1,),))))-(((VLOOKUP(EDATE(B125,-12),Database!$A:$AS,MATCH($C$1,Database!$A$1:$AS$1,),)))))/(((VLOOKUP(EDATE(B125,-12),Database!$A:$AS,MATCH($C$1,Database!$A$1:$AS$1,),))))</f>
        <v>6.0665239936328288E-2</v>
      </c>
      <c r="D125" s="13">
        <f>((((VLOOKUP(B125,Database!$A:$AS,MATCH($D$1,Database!$A$1:$AS$1,),))))-(((VLOOKUP(EDATE(B125,-12),Database!$A:$AS,MATCH($D$1,Database!$A$1:$AS$1,),)))))/(((VLOOKUP(EDATE(B125,-12),Database!$A:$AS,MATCH($D$1,Database!$A$1:$AS$1,),))))</f>
        <v>3.8551401869159015E-2</v>
      </c>
      <c r="E125" s="13">
        <f>((((VLOOKUP(B125,Database!$A:$AS,MATCH($E$1,Database!$A$1:$AS$1,),))))-(((VLOOKUP(EDATE(B125,-12),Database!$A:$AS,MATCH($E$1,Database!$A$1:$AS$1,),)))))/(((VLOOKUP(EDATE(B125,-12),Database!$A:$AS,MATCH($E$1,Database!$A$1:$AS$1,),))))</f>
        <v>-7.7054313453641221E-2</v>
      </c>
      <c r="F125" s="13">
        <f>((((VLOOKUP(B125,Database!$A:$AS,MATCH($F$1,Database!$A$1:$AS$1,),))))-(((VLOOKUP(EDATE(B125,-12),Database!$A:$AS,MATCH($F$1,Database!$A$1:$AS$1,),)))))/(((VLOOKUP(EDATE(B125,-12),Database!$A:$AS,MATCH($F$1,Database!$A$1:$AS$1,),))))</f>
        <v>2.4657534239593996E-2</v>
      </c>
      <c r="G125" s="13">
        <f>((((VLOOKUP(B125,Database!$A:$AS,MATCH($G$1,Database!$A$1:$AS$1,),))))-(((VLOOKUP(EDATE(B125,-12),Database!$A:$AS,MATCH($G$1,Database!$A$1:$AS$1,),)))))/(((VLOOKUP(EDATE(B125,-12),Database!$A:$AS,MATCH($G$1,Database!$A$1:$AS$1,),))))</f>
        <v>5.2480230050323498E-2</v>
      </c>
      <c r="H125" s="13">
        <f>((((VLOOKUP(B125,Database!$A:$AS,MATCH($H$1,Database!$A$1:$AS$1,),))))-(((VLOOKUP(EDATE(B125,-12),Database!$A:$AS,MATCH($H$1,Database!$A$1:$AS$1,),)))))/(((VLOOKUP(EDATE(B125,-12),Database!$A:$AS,MATCH($H$1,Database!$A$1:$AS$1,),))))</f>
        <v>3.8882138515435725E-2</v>
      </c>
      <c r="I125" s="13">
        <f>((((VLOOKUP(B125,Database!$A:$AS,MATCH($I$1,Database!$A$1:$AS$1,),))))-(((VLOOKUP(EDATE(B125,-12),Database!$A:$AS,MATCH($I$1,Database!$A$1:$AS$1,),)))))/(((VLOOKUP(EDATE(B125,-12),Database!$A:$AS,MATCH($I$1,Database!$A$1:$AS$1,),))))</f>
        <v>1.7298187812384156E-2</v>
      </c>
      <c r="J125" s="13">
        <f>((((VLOOKUP(B125,Database!$A:$AS,MATCH($J$1,Database!$A$1:$AS$1,),))))-(((VLOOKUP(EDATE(B125,-12),Database!$A:$AS,MATCH($J$1,Database!$A$1:$AS$1,),)))))/(((VLOOKUP(EDATE(B125,-12),Database!$A:$AS,MATCH($J$1,Database!$A$1:$AS$1,),))))</f>
        <v>5.8815443413059637E-2</v>
      </c>
      <c r="K125" s="13">
        <f>((((VLOOKUP(B125,Database!$A:$AS,MATCH($K$1,Database!$A$1:$AS$1,),))))-(((VLOOKUP(EDATE(B125,-12),Database!$A:$AS,MATCH($K$1,Database!$A$1:$AS$1,),)))))/(((VLOOKUP(EDATE(B125,-12),Database!$A:$AS,MATCH($K$1,Database!$A$1:$AS$1,),))))</f>
        <v>6.0710194734470847E-2</v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>4.1994300463633727E-2</v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>-0.11347793885478236</v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>5.104855726010659E-2</v>
      </c>
      <c r="O125" s="13">
        <f>((((VLOOKUP(B125,Database!$A:$AS,MATCH($O$1,Database!$A$1:$AS$1,),))))-(((VLOOKUP(EDATE(B125,-12),Database!$A:$AS,MATCH($O$1,Database!$A$1:$AS$1,),)))))/(((VLOOKUP(EDATE(B125,-12),Database!$A:$AS,MATCH($O$1,Database!$A$1:$AS$1,),))))</f>
        <v>3.9131076319087195E-2</v>
      </c>
      <c r="P125" s="13">
        <f>((((VLOOKUP(B125,Database!$A:$AS,MATCH($P$1,Database!$A$1:$AS$1,),))))-(((VLOOKUP(EDATE(B125,-12),Database!$A:$AS,MATCH($P$1,Database!$A$1:$AS$1,),)))))/(((VLOOKUP(EDATE(B125,-12),Database!$A:$AS,MATCH($P$1,Database!$A$1:$AS$1,),))))</f>
        <v>-0.13430947704456636</v>
      </c>
      <c r="Q125" s="13">
        <f>((((VLOOKUP(B125,Database!$A:$AS,MATCH($Q$1,Database!$A$1:$AS$1,),))))-(((VLOOKUP(EDATE(B125,-12),Database!$A:$AS,MATCH($Q$1,Database!$A$1:$AS$1,),)))))/(((VLOOKUP(EDATE(B125,-12),Database!$A:$AS,MATCH($Q$1,Database!$A$1:$AS$1,),))))</f>
        <v>-1.9513755604842916E-2</v>
      </c>
      <c r="R125" s="13">
        <f>((((VLOOKUP(B125,Database!$A:$AS,MATCH($R$1,Database!$A$1:$AS$1,),))))-(((VLOOKUP(EDATE(B125,-12),Database!$A:$AS,MATCH($R$1,Database!$A$1:$AS$1,),)))))/(((VLOOKUP(EDATE(B125,-12),Database!$A:$AS,MATCH($R$1,Database!$A$1:$AS$1,),))))</f>
        <v>7.6574228568815128E-2</v>
      </c>
      <c r="S125" s="13">
        <f>((((VLOOKUP(B125,Database!$A:$AS,MATCH($S$1,Database!$A$1:$AS$1,),))))-(((VLOOKUP(EDATE(B125,-12),Database!$A:$AS,MATCH($S$1,Database!$A$1:$AS$1,),)))))/(((VLOOKUP(EDATE(B125,-12),Database!$A:$AS,MATCH($S$1,Database!$A$1:$AS$1,),))))</f>
        <v>0.16176470589276254</v>
      </c>
      <c r="T125" s="13">
        <f>((((VLOOKUP(B125,Database!$A:$AS,MATCH($T$1,Database!$A$1:$AS$1,),))))-(((VLOOKUP(EDATE(B125,-12),Database!$A:$AS,MATCH($T$1,Database!$A$1:$AS$1,),)))))/(((VLOOKUP(EDATE(B125,-12),Database!$A:$AS,MATCH($T$1,Database!$A$1:$AS$1,),))))</f>
        <v>2.3696682616080066E-3</v>
      </c>
      <c r="U125" s="13">
        <f>((((VLOOKUP(B125,Database!$A:$AS,MATCH($U$1,Database!$A$1:$AS$1,),))))-(((VLOOKUP(EDATE(B125,-12),Database!$A:$AS,MATCH($U$1,Database!$A$1:$AS$1,),)))))/(((VLOOKUP(EDATE(B125,-12),Database!$A:$AS,MATCH($U$1,Database!$A$1:$AS$1,),))))</f>
        <v>1.9581462973084451E-2</v>
      </c>
      <c r="V125" s="13">
        <f>((((VLOOKUP(B125,Database!$A:$AS,MATCH($V$1,Database!$A$1:$AS$1,),))))-(((VLOOKUP(EDATE(B125,-12),Database!$A:$AS,MATCH($V$1,Database!$A$1:$AS$1,),)))))/(((VLOOKUP(EDATE(B125,-12),Database!$A:$AS,MATCH($V$1,Database!$A$1:$AS$1,),))))</f>
        <v>2.6204590023344316E-2</v>
      </c>
    </row>
    <row r="126" spans="1:22" s="83" customFormat="1" x14ac:dyDescent="0.2">
      <c r="A126" s="43"/>
      <c r="B126" s="78">
        <v>35977</v>
      </c>
      <c r="C126" s="13">
        <f>((((VLOOKUP(B126,Database!$A:$AS,MATCH($C$1,Database!$A$1:$AS$1,),))))-(((VLOOKUP(EDATE(B126,-12),Database!$A:$AS,MATCH($C$1,Database!$A$1:$AS$1,),)))))/(((VLOOKUP(EDATE(B126,-12),Database!$A:$AS,MATCH($C$1,Database!$A$1:$AS$1,),))))</f>
        <v>4.8113513525548837E-2</v>
      </c>
      <c r="D126" s="13">
        <f>((((VLOOKUP(B126,Database!$A:$AS,MATCH($D$1,Database!$A$1:$AS$1,),))))-(((VLOOKUP(EDATE(B126,-12),Database!$A:$AS,MATCH($D$1,Database!$A$1:$AS$1,),)))))/(((VLOOKUP(EDATE(B126,-12),Database!$A:$AS,MATCH($D$1,Database!$A$1:$AS$1,),))))</f>
        <v>4.1714947856315278E-2</v>
      </c>
      <c r="E126" s="13">
        <f>((((VLOOKUP(B126,Database!$A:$AS,MATCH($E$1,Database!$A$1:$AS$1,),))))-(((VLOOKUP(EDATE(B126,-12),Database!$A:$AS,MATCH($E$1,Database!$A$1:$AS$1,),)))))/(((VLOOKUP(EDATE(B126,-12),Database!$A:$AS,MATCH($E$1,Database!$A$1:$AS$1,),))))</f>
        <v>-8.158437324158449E-2</v>
      </c>
      <c r="F126" s="13">
        <f>((((VLOOKUP(B126,Database!$A:$AS,MATCH($F$1,Database!$A$1:$AS$1,),))))-(((VLOOKUP(EDATE(B126,-12),Database!$A:$AS,MATCH($F$1,Database!$A$1:$AS$1,),)))))/(((VLOOKUP(EDATE(B126,-12),Database!$A:$AS,MATCH($F$1,Database!$A$1:$AS$1,),))))</f>
        <v>3.5230352312042912E-2</v>
      </c>
      <c r="G126" s="13">
        <f>((((VLOOKUP(B126,Database!$A:$AS,MATCH($G$1,Database!$A$1:$AS$1,),))))-(((VLOOKUP(EDATE(B126,-12),Database!$A:$AS,MATCH($G$1,Database!$A$1:$AS$1,),)))))/(((VLOOKUP(EDATE(B126,-12),Database!$A:$AS,MATCH($G$1,Database!$A$1:$AS$1,),))))</f>
        <v>5.6785567855678475E-2</v>
      </c>
      <c r="H126" s="13">
        <f>((((VLOOKUP(B126,Database!$A:$AS,MATCH($H$1,Database!$A$1:$AS$1,),))))-(((VLOOKUP(EDATE(B126,-12),Database!$A:$AS,MATCH($H$1,Database!$A$1:$AS$1,),)))))/(((VLOOKUP(EDATE(B126,-12),Database!$A:$AS,MATCH($H$1,Database!$A$1:$AS$1,),))))</f>
        <v>1.9184652271413045E-2</v>
      </c>
      <c r="I126" s="13">
        <f>((((VLOOKUP(B126,Database!$A:$AS,MATCH($I$1,Database!$A$1:$AS$1,),))))-(((VLOOKUP(EDATE(B126,-12),Database!$A:$AS,MATCH($I$1,Database!$A$1:$AS$1,),)))))/(((VLOOKUP(EDATE(B126,-12),Database!$A:$AS,MATCH($I$1,Database!$A$1:$AS$1,),))))</f>
        <v>9.001636661458947E-3</v>
      </c>
      <c r="J126" s="13">
        <f>((((VLOOKUP(B126,Database!$A:$AS,MATCH($J$1,Database!$A$1:$AS$1,),))))-(((VLOOKUP(EDATE(B126,-12),Database!$A:$AS,MATCH($J$1,Database!$A$1:$AS$1,),)))))/(((VLOOKUP(EDATE(B126,-12),Database!$A:$AS,MATCH($J$1,Database!$A$1:$AS$1,),))))</f>
        <v>4.6175313969923713E-2</v>
      </c>
      <c r="K126" s="13">
        <f>((((VLOOKUP(B126,Database!$A:$AS,MATCH($K$1,Database!$A$1:$AS$1,),))))-(((VLOOKUP(EDATE(B126,-12),Database!$A:$AS,MATCH($K$1,Database!$A$1:$AS$1,),)))))/(((VLOOKUP(EDATE(B126,-12),Database!$A:$AS,MATCH($K$1,Database!$A$1:$AS$1,),))))</f>
        <v>4.8314606741585539E-2</v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>5.1367563109781848E-2</v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>-0.14380487257062588</v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>3.799755630437221E-2</v>
      </c>
      <c r="O126" s="13">
        <f>((((VLOOKUP(B126,Database!$A:$AS,MATCH($O$1,Database!$A$1:$AS$1,),))))-(((VLOOKUP(EDATE(B126,-12),Database!$A:$AS,MATCH($O$1,Database!$A$1:$AS$1,),)))))/(((VLOOKUP(EDATE(B126,-12),Database!$A:$AS,MATCH($O$1,Database!$A$1:$AS$1,),))))</f>
        <v>-1.8429817954839444E-3</v>
      </c>
      <c r="P126" s="13">
        <f>((((VLOOKUP(B126,Database!$A:$AS,MATCH($P$1,Database!$A$1:$AS$1,),))))-(((VLOOKUP(EDATE(B126,-12),Database!$A:$AS,MATCH($P$1,Database!$A$1:$AS$1,),)))))/(((VLOOKUP(EDATE(B126,-12),Database!$A:$AS,MATCH($P$1,Database!$A$1:$AS$1,),))))</f>
        <v>-0.13231650238456322</v>
      </c>
      <c r="Q126" s="13">
        <f>((((VLOOKUP(B126,Database!$A:$AS,MATCH($Q$1,Database!$A$1:$AS$1,),))))-(((VLOOKUP(EDATE(B126,-12),Database!$A:$AS,MATCH($Q$1,Database!$A$1:$AS$1,),)))))/(((VLOOKUP(EDATE(B126,-12),Database!$A:$AS,MATCH($Q$1,Database!$A$1:$AS$1,),))))</f>
        <v>1.5118790505344103E-3</v>
      </c>
      <c r="R126" s="13">
        <f>((((VLOOKUP(B126,Database!$A:$AS,MATCH($R$1,Database!$A$1:$AS$1,),))))-(((VLOOKUP(EDATE(B126,-12),Database!$A:$AS,MATCH($R$1,Database!$A$1:$AS$1,),)))))/(((VLOOKUP(EDATE(B126,-12),Database!$A:$AS,MATCH($R$1,Database!$A$1:$AS$1,),))))</f>
        <v>9.5871601817340349E-2</v>
      </c>
      <c r="S126" s="13">
        <f>((((VLOOKUP(B126,Database!$A:$AS,MATCH($S$1,Database!$A$1:$AS$1,),))))-(((VLOOKUP(EDATE(B126,-12),Database!$A:$AS,MATCH($S$1,Database!$A$1:$AS$1,),)))))/(((VLOOKUP(EDATE(B126,-12),Database!$A:$AS,MATCH($S$1,Database!$A$1:$AS$1,),))))</f>
        <v>0.18388429752396929</v>
      </c>
      <c r="T126" s="13">
        <f>((((VLOOKUP(B126,Database!$A:$AS,MATCH($T$1,Database!$A$1:$AS$1,),))))-(((VLOOKUP(EDATE(B126,-12),Database!$A:$AS,MATCH($T$1,Database!$A$1:$AS$1,),)))))/(((VLOOKUP(EDATE(B126,-12),Database!$A:$AS,MATCH($T$1,Database!$A$1:$AS$1,),))))</f>
        <v>1.6666666653967141E-2</v>
      </c>
      <c r="U126" s="13">
        <f>((((VLOOKUP(B126,Database!$A:$AS,MATCH($U$1,Database!$A$1:$AS$1,),))))-(((VLOOKUP(EDATE(B126,-12),Database!$A:$AS,MATCH($U$1,Database!$A$1:$AS$1,),)))))/(((VLOOKUP(EDATE(B126,-12),Database!$A:$AS,MATCH($U$1,Database!$A$1:$AS$1,),))))</f>
        <v>4.18661791313878E-2</v>
      </c>
      <c r="V126" s="13">
        <f>((((VLOOKUP(B126,Database!$A:$AS,MATCH($V$1,Database!$A$1:$AS$1,),))))-(((VLOOKUP(EDATE(B126,-12),Database!$A:$AS,MATCH($V$1,Database!$A$1:$AS$1,),)))))/(((VLOOKUP(EDATE(B126,-12),Database!$A:$AS,MATCH($V$1,Database!$A$1:$AS$1,),))))</f>
        <v>5.6706977088961913E-2</v>
      </c>
    </row>
    <row r="127" spans="1:22" s="83" customFormat="1" x14ac:dyDescent="0.2">
      <c r="A127" s="43"/>
      <c r="B127" s="78">
        <v>36008</v>
      </c>
      <c r="C127" s="13">
        <f>((((VLOOKUP(B127,Database!$A:$AS,MATCH($C$1,Database!$A$1:$AS$1,),))))-(((VLOOKUP(EDATE(B127,-12),Database!$A:$AS,MATCH($C$1,Database!$A$1:$AS$1,),)))))/(((VLOOKUP(EDATE(B127,-12),Database!$A:$AS,MATCH($C$1,Database!$A$1:$AS$1,),))))</f>
        <v>5.8893372165942807E-2</v>
      </c>
      <c r="D127" s="13">
        <f>((((VLOOKUP(B127,Database!$A:$AS,MATCH($D$1,Database!$A$1:$AS$1,),))))-(((VLOOKUP(EDATE(B127,-12),Database!$A:$AS,MATCH($D$1,Database!$A$1:$AS$1,),)))))/(((VLOOKUP(EDATE(B127,-12),Database!$A:$AS,MATCH($D$1,Database!$A$1:$AS$1,),))))</f>
        <v>2.546296296296283E-2</v>
      </c>
      <c r="E127" s="13">
        <f>((((VLOOKUP(B127,Database!$A:$AS,MATCH($E$1,Database!$A$1:$AS$1,),))))-(((VLOOKUP(EDATE(B127,-12),Database!$A:$AS,MATCH($E$1,Database!$A$1:$AS$1,),)))))/(((VLOOKUP(EDATE(B127,-12),Database!$A:$AS,MATCH($E$1,Database!$A$1:$AS$1,),))))</f>
        <v>-9.3958295248236109E-2</v>
      </c>
      <c r="F127" s="13">
        <f>((((VLOOKUP(B127,Database!$A:$AS,MATCH($F$1,Database!$A$1:$AS$1,),))))-(((VLOOKUP(EDATE(B127,-12),Database!$A:$AS,MATCH($F$1,Database!$A$1:$AS$1,),)))))/(((VLOOKUP(EDATE(B127,-12),Database!$A:$AS,MATCH($F$1,Database!$A$1:$AS$1,),))))</f>
        <v>4.6218487396017222E-2</v>
      </c>
      <c r="G127" s="13">
        <f>((((VLOOKUP(B127,Database!$A:$AS,MATCH($G$1,Database!$A$1:$AS$1,),))))-(((VLOOKUP(EDATE(B127,-12),Database!$A:$AS,MATCH($G$1,Database!$A$1:$AS$1,),)))))/(((VLOOKUP(EDATE(B127,-12),Database!$A:$AS,MATCH($G$1,Database!$A$1:$AS$1,),))))</f>
        <v>-8.4862837971186045E-3</v>
      </c>
      <c r="H127" s="13">
        <f>((((VLOOKUP(B127,Database!$A:$AS,MATCH($H$1,Database!$A$1:$AS$1,),))))-(((VLOOKUP(EDATE(B127,-12),Database!$A:$AS,MATCH($H$1,Database!$A$1:$AS$1,),)))))/(((VLOOKUP(EDATE(B127,-12),Database!$A:$AS,MATCH($H$1,Database!$A$1:$AS$1,),))))</f>
        <v>3.0229746074374883E-2</v>
      </c>
      <c r="I127" s="13">
        <f>((((VLOOKUP(B127,Database!$A:$AS,MATCH($I$1,Database!$A$1:$AS$1,),))))-(((VLOOKUP(EDATE(B127,-12),Database!$A:$AS,MATCH($I$1,Database!$A$1:$AS$1,),)))))/(((VLOOKUP(EDATE(B127,-12),Database!$A:$AS,MATCH($I$1,Database!$A$1:$AS$1,),))))</f>
        <v>-1.0577705454056351E-2</v>
      </c>
      <c r="J127" s="13">
        <f>((((VLOOKUP(B127,Database!$A:$AS,MATCH($J$1,Database!$A$1:$AS$1,),))))-(((VLOOKUP(EDATE(B127,-12),Database!$A:$AS,MATCH($J$1,Database!$A$1:$AS$1,),)))))/(((VLOOKUP(EDATE(B127,-12),Database!$A:$AS,MATCH($J$1,Database!$A$1:$AS$1,),))))</f>
        <v>2.8641724382332444E-2</v>
      </c>
      <c r="K127" s="13">
        <f>((((VLOOKUP(B127,Database!$A:$AS,MATCH($K$1,Database!$A$1:$AS$1,),))))-(((VLOOKUP(EDATE(B127,-12),Database!$A:$AS,MATCH($K$1,Database!$A$1:$AS$1,),)))))/(((VLOOKUP(EDATE(B127,-12),Database!$A:$AS,MATCH($K$1,Database!$A$1:$AS$1,),))))</f>
        <v>6.6666666674828831E-2</v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>4.1321998014775499E-2</v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>-0.15953062712464244</v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>4.5408308774086546E-2</v>
      </c>
      <c r="O127" s="13">
        <f>((((VLOOKUP(B127,Database!$A:$AS,MATCH($O$1,Database!$A$1:$AS$1,),))))-(((VLOOKUP(EDATE(B127,-12),Database!$A:$AS,MATCH($O$1,Database!$A$1:$AS$1,),)))))/(((VLOOKUP(EDATE(B127,-12),Database!$A:$AS,MATCH($O$1,Database!$A$1:$AS$1,),))))</f>
        <v>2.6054359815867397E-2</v>
      </c>
      <c r="P127" s="13">
        <f>((((VLOOKUP(B127,Database!$A:$AS,MATCH($P$1,Database!$A$1:$AS$1,),))))-(((VLOOKUP(EDATE(B127,-12),Database!$A:$AS,MATCH($P$1,Database!$A$1:$AS$1,),)))))/(((VLOOKUP(EDATE(B127,-12),Database!$A:$AS,MATCH($P$1,Database!$A$1:$AS$1,),))))</f>
        <v>-0.1234538217048799</v>
      </c>
      <c r="Q127" s="13">
        <f>((((VLOOKUP(B127,Database!$A:$AS,MATCH($Q$1,Database!$A$1:$AS$1,),))))-(((VLOOKUP(EDATE(B127,-12),Database!$A:$AS,MATCH($Q$1,Database!$A$1:$AS$1,),)))))/(((VLOOKUP(EDATE(B127,-12),Database!$A:$AS,MATCH($Q$1,Database!$A$1:$AS$1,),))))</f>
        <v>-2.3136246785753833E-2</v>
      </c>
      <c r="R127" s="13">
        <f>((((VLOOKUP(B127,Database!$A:$AS,MATCH($R$1,Database!$A$1:$AS$1,),))))-(((VLOOKUP(EDATE(B127,-12),Database!$A:$AS,MATCH($R$1,Database!$A$1:$AS$1,),)))))/(((VLOOKUP(EDATE(B127,-12),Database!$A:$AS,MATCH($R$1,Database!$A$1:$AS$1,),))))</f>
        <v>0.16276929937729706</v>
      </c>
      <c r="S127" s="13">
        <f>((((VLOOKUP(B127,Database!$A:$AS,MATCH($S$1,Database!$A$1:$AS$1,),))))-(((VLOOKUP(EDATE(B127,-12),Database!$A:$AS,MATCH($S$1,Database!$A$1:$AS$1,),)))))/(((VLOOKUP(EDATE(B127,-12),Database!$A:$AS,MATCH($S$1,Database!$A$1:$AS$1,),))))</f>
        <v>0.224489795896616</v>
      </c>
      <c r="T127" s="13">
        <f>((((VLOOKUP(B127,Database!$A:$AS,MATCH($T$1,Database!$A$1:$AS$1,),))))-(((VLOOKUP(EDATE(B127,-12),Database!$A:$AS,MATCH($T$1,Database!$A$1:$AS$1,),)))))/(((VLOOKUP(EDATE(B127,-12),Database!$A:$AS,MATCH($T$1,Database!$A$1:$AS$1,),))))</f>
        <v>-9.2165898744939918E-3</v>
      </c>
      <c r="U127" s="13">
        <f>((((VLOOKUP(B127,Database!$A:$AS,MATCH($U$1,Database!$A$1:$AS$1,),))))-(((VLOOKUP(EDATE(B127,-12),Database!$A:$AS,MATCH($U$1,Database!$A$1:$AS$1,),)))))/(((VLOOKUP(EDATE(B127,-12),Database!$A:$AS,MATCH($U$1,Database!$A$1:$AS$1,),))))</f>
        <v>6.8442238578147845E-3</v>
      </c>
      <c r="V127" s="13">
        <f>((((VLOOKUP(B127,Database!$A:$AS,MATCH($V$1,Database!$A$1:$AS$1,),))))-(((VLOOKUP(EDATE(B127,-12),Database!$A:$AS,MATCH($V$1,Database!$A$1:$AS$1,),)))))/(((VLOOKUP(EDATE(B127,-12),Database!$A:$AS,MATCH($V$1,Database!$A$1:$AS$1,),))))</f>
        <v>6.8801087111335563E-2</v>
      </c>
    </row>
    <row r="128" spans="1:22" s="83" customFormat="1" x14ac:dyDescent="0.2">
      <c r="A128" s="43"/>
      <c r="B128" s="78">
        <v>36039</v>
      </c>
      <c r="C128" s="13">
        <f>((((VLOOKUP(B128,Database!$A:$AS,MATCH($C$1,Database!$A$1:$AS$1,),))))-(((VLOOKUP(EDATE(B128,-12),Database!$A:$AS,MATCH($C$1,Database!$A$1:$AS$1,),)))))/(((VLOOKUP(EDATE(B128,-12),Database!$A:$AS,MATCH($C$1,Database!$A$1:$AS$1,),))))</f>
        <v>4.7650426811028261E-2</v>
      </c>
      <c r="D128" s="13">
        <f>((((VLOOKUP(B128,Database!$A:$AS,MATCH($D$1,Database!$A$1:$AS$1,),))))-(((VLOOKUP(EDATE(B128,-12),Database!$A:$AS,MATCH($D$1,Database!$A$1:$AS$1,),)))))/(((VLOOKUP(EDATE(B128,-12),Database!$A:$AS,MATCH($D$1,Database!$A$1:$AS$1,),))))</f>
        <v>3.1322505800464071E-2</v>
      </c>
      <c r="E128" s="13">
        <f>((((VLOOKUP(B128,Database!$A:$AS,MATCH($E$1,Database!$A$1:$AS$1,),))))-(((VLOOKUP(EDATE(B128,-12),Database!$A:$AS,MATCH($E$1,Database!$A$1:$AS$1,),)))))/(((VLOOKUP(EDATE(B128,-12),Database!$A:$AS,MATCH($E$1,Database!$A$1:$AS$1,),))))</f>
        <v>-7.6141934770872097E-2</v>
      </c>
      <c r="F128" s="13">
        <f>((((VLOOKUP(B128,Database!$A:$AS,MATCH($F$1,Database!$A$1:$AS$1,),))))-(((VLOOKUP(EDATE(B128,-12),Database!$A:$AS,MATCH($F$1,Database!$A$1:$AS$1,),)))))/(((VLOOKUP(EDATE(B128,-12),Database!$A:$AS,MATCH($F$1,Database!$A$1:$AS$1,),))))</f>
        <v>3.0555555556327298E-2</v>
      </c>
      <c r="G128" s="13">
        <f>((((VLOOKUP(B128,Database!$A:$AS,MATCH($G$1,Database!$A$1:$AS$1,),))))-(((VLOOKUP(EDATE(B128,-12),Database!$A:$AS,MATCH($G$1,Database!$A$1:$AS$1,),)))))/(((VLOOKUP(EDATE(B128,-12),Database!$A:$AS,MATCH($G$1,Database!$A$1:$AS$1,),))))</f>
        <v>3.426318981200728E-2</v>
      </c>
      <c r="H128" s="13">
        <f>((((VLOOKUP(B128,Database!$A:$AS,MATCH($H$1,Database!$A$1:$AS$1,),))))-(((VLOOKUP(EDATE(B128,-12),Database!$A:$AS,MATCH($H$1,Database!$A$1:$AS$1,),)))))/(((VLOOKUP(EDATE(B128,-12),Database!$A:$AS,MATCH($H$1,Database!$A$1:$AS$1,),))))</f>
        <v>8.3632019163405336E-3</v>
      </c>
      <c r="I128" s="13">
        <f>((((VLOOKUP(B128,Database!$A:$AS,MATCH($I$1,Database!$A$1:$AS$1,),))))-(((VLOOKUP(EDATE(B128,-12),Database!$A:$AS,MATCH($I$1,Database!$A$1:$AS$1,),)))))/(((VLOOKUP(EDATE(B128,-12),Database!$A:$AS,MATCH($I$1,Database!$A$1:$AS$1,),))))</f>
        <v>4.8859934921464607E-3</v>
      </c>
      <c r="J128" s="13">
        <f>((((VLOOKUP(B128,Database!$A:$AS,MATCH($J$1,Database!$A$1:$AS$1,),))))-(((VLOOKUP(EDATE(B128,-12),Database!$A:$AS,MATCH($J$1,Database!$A$1:$AS$1,),)))))/(((VLOOKUP(EDATE(B128,-12),Database!$A:$AS,MATCH($J$1,Database!$A$1:$AS$1,),))))</f>
        <v>3.73695160931274E-2</v>
      </c>
      <c r="K128" s="13">
        <f>((((VLOOKUP(B128,Database!$A:$AS,MATCH($K$1,Database!$A$1:$AS$1,),))))-(((VLOOKUP(EDATE(B128,-12),Database!$A:$AS,MATCH($K$1,Database!$A$1:$AS$1,),)))))/(((VLOOKUP(EDATE(B128,-12),Database!$A:$AS,MATCH($K$1,Database!$A$1:$AS$1,),))))</f>
        <v>4.8423423423148683E-2</v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>3.8502844067125355E-2</v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>-0.19216070234083982</v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>2.857311763244335E-2</v>
      </c>
      <c r="O128" s="13">
        <f>((((VLOOKUP(B128,Database!$A:$AS,MATCH($O$1,Database!$A$1:$AS$1,),))))-(((VLOOKUP(EDATE(B128,-12),Database!$A:$AS,MATCH($O$1,Database!$A$1:$AS$1,),)))))/(((VLOOKUP(EDATE(B128,-12),Database!$A:$AS,MATCH($O$1,Database!$A$1:$AS$1,),))))</f>
        <v>3.0651377913355295E-2</v>
      </c>
      <c r="P128" s="13">
        <f>((((VLOOKUP(B128,Database!$A:$AS,MATCH($P$1,Database!$A$1:$AS$1,),))))-(((VLOOKUP(EDATE(B128,-12),Database!$A:$AS,MATCH($P$1,Database!$A$1:$AS$1,),)))))/(((VLOOKUP(EDATE(B128,-12),Database!$A:$AS,MATCH($P$1,Database!$A$1:$AS$1,),))))</f>
        <v>-7.8636750330269553E-2</v>
      </c>
      <c r="Q128" s="13">
        <f>((((VLOOKUP(B128,Database!$A:$AS,MATCH($Q$1,Database!$A$1:$AS$1,),))))-(((VLOOKUP(EDATE(B128,-12),Database!$A:$AS,MATCH($Q$1,Database!$A$1:$AS$1,),)))))/(((VLOOKUP(EDATE(B128,-12),Database!$A:$AS,MATCH($Q$1,Database!$A$1:$AS$1,),))))</f>
        <v>-5.070569784751628E-2</v>
      </c>
      <c r="R128" s="13">
        <f>((((VLOOKUP(B128,Database!$A:$AS,MATCH($R$1,Database!$A$1:$AS$1,),))))-(((VLOOKUP(EDATE(B128,-12),Database!$A:$AS,MATCH($R$1,Database!$A$1:$AS$1,),)))))/(((VLOOKUP(EDATE(B128,-12),Database!$A:$AS,MATCH($R$1,Database!$A$1:$AS$1,),))))</f>
        <v>7.44214554786332E-2</v>
      </c>
      <c r="S128" s="13">
        <f>((((VLOOKUP(B128,Database!$A:$AS,MATCH($S$1,Database!$A$1:$AS$1,),))))-(((VLOOKUP(EDATE(B128,-12),Database!$A:$AS,MATCH($S$1,Database!$A$1:$AS$1,),)))))/(((VLOOKUP(EDATE(B128,-12),Database!$A:$AS,MATCH($S$1,Database!$A$1:$AS$1,),))))</f>
        <v>0.20528455287642924</v>
      </c>
      <c r="T128" s="13">
        <f>((((VLOOKUP(B128,Database!$A:$AS,MATCH($T$1,Database!$A$1:$AS$1,),))))-(((VLOOKUP(EDATE(B128,-12),Database!$A:$AS,MATCH($T$1,Database!$A$1:$AS$1,),)))))/(((VLOOKUP(EDATE(B128,-12),Database!$A:$AS,MATCH($T$1,Database!$A$1:$AS$1,),))))</f>
        <v>4.6189376507960256E-3</v>
      </c>
      <c r="U128" s="13">
        <f>((((VLOOKUP(B128,Database!$A:$AS,MATCH($U$1,Database!$A$1:$AS$1,),))))-(((VLOOKUP(EDATE(B128,-12),Database!$A:$AS,MATCH($U$1,Database!$A$1:$AS$1,),)))))/(((VLOOKUP(EDATE(B128,-12),Database!$A:$AS,MATCH($U$1,Database!$A$1:$AS$1,),))))</f>
        <v>-1.4919469687385471E-2</v>
      </c>
      <c r="V128" s="13">
        <f>((((VLOOKUP(B128,Database!$A:$AS,MATCH($V$1,Database!$A$1:$AS$1,),))))-(((VLOOKUP(EDATE(B128,-12),Database!$A:$AS,MATCH($V$1,Database!$A$1:$AS$1,),)))))/(((VLOOKUP(EDATE(B128,-12),Database!$A:$AS,MATCH($V$1,Database!$A$1:$AS$1,),))))</f>
        <v>8.0369470373622064E-4</v>
      </c>
    </row>
    <row r="129" spans="1:22" s="83" customFormat="1" x14ac:dyDescent="0.2">
      <c r="A129" s="43"/>
      <c r="B129" s="78">
        <v>36069</v>
      </c>
      <c r="C129" s="13">
        <f>((((VLOOKUP(B129,Database!$A:$AS,MATCH($C$1,Database!$A$1:$AS$1,),))))-(((VLOOKUP(EDATE(B129,-12),Database!$A:$AS,MATCH($C$1,Database!$A$1:$AS$1,),)))))/(((VLOOKUP(EDATE(B129,-12),Database!$A:$AS,MATCH($C$1,Database!$A$1:$AS$1,),))))</f>
        <v>4.6570420561975696E-2</v>
      </c>
      <c r="D129" s="13">
        <f>((((VLOOKUP(B129,Database!$A:$AS,MATCH($D$1,Database!$A$1:$AS$1,),))))-(((VLOOKUP(EDATE(B129,-12),Database!$A:$AS,MATCH($D$1,Database!$A$1:$AS$1,),)))))/(((VLOOKUP(EDATE(B129,-12),Database!$A:$AS,MATCH($D$1,Database!$A$1:$AS$1,),))))</f>
        <v>1.9450800915331676E-2</v>
      </c>
      <c r="E129" s="13">
        <f>((((VLOOKUP(B129,Database!$A:$AS,MATCH($E$1,Database!$A$1:$AS$1,),))))-(((VLOOKUP(EDATE(B129,-12),Database!$A:$AS,MATCH($E$1,Database!$A$1:$AS$1,),)))))/(((VLOOKUP(EDATE(B129,-12),Database!$A:$AS,MATCH($E$1,Database!$A$1:$AS$1,),))))</f>
        <v>-7.4979955064903667E-2</v>
      </c>
      <c r="F129" s="13">
        <f>((((VLOOKUP(B129,Database!$A:$AS,MATCH($F$1,Database!$A$1:$AS$1,),))))-(((VLOOKUP(EDATE(B129,-12),Database!$A:$AS,MATCH($F$1,Database!$A$1:$AS$1,),)))))/(((VLOOKUP(EDATE(B129,-12),Database!$A:$AS,MATCH($F$1,Database!$A$1:$AS$1,),))))</f>
        <v>2.3287671230849835E-2</v>
      </c>
      <c r="G129" s="13">
        <f>((((VLOOKUP(B129,Database!$A:$AS,MATCH($G$1,Database!$A$1:$AS$1,),))))-(((VLOOKUP(EDATE(B129,-12),Database!$A:$AS,MATCH($G$1,Database!$A$1:$AS$1,),)))))/(((VLOOKUP(EDATE(B129,-12),Database!$A:$AS,MATCH($G$1,Database!$A$1:$AS$1,),))))</f>
        <v>9.564188522973761E-3</v>
      </c>
      <c r="H129" s="13">
        <f>((((VLOOKUP(B129,Database!$A:$AS,MATCH($H$1,Database!$A$1:$AS$1,),))))-(((VLOOKUP(EDATE(B129,-12),Database!$A:$AS,MATCH($H$1,Database!$A$1:$AS$1,),)))))/(((VLOOKUP(EDATE(B129,-12),Database!$A:$AS,MATCH($H$1,Database!$A$1:$AS$1,),))))</f>
        <v>-2.361275094574749E-3</v>
      </c>
      <c r="I129" s="13">
        <f>((((VLOOKUP(B129,Database!$A:$AS,MATCH($I$1,Database!$A$1:$AS$1,),))))-(((VLOOKUP(EDATE(B129,-12),Database!$A:$AS,MATCH($I$1,Database!$A$1:$AS$1,),)))))/(((VLOOKUP(EDATE(B129,-12),Database!$A:$AS,MATCH($I$1,Database!$A$1:$AS$1,),))))</f>
        <v>-1.3676588896695057E-2</v>
      </c>
      <c r="J129" s="13">
        <f>((((VLOOKUP(B129,Database!$A:$AS,MATCH($J$1,Database!$A$1:$AS$1,),))))-(((VLOOKUP(EDATE(B129,-12),Database!$A:$AS,MATCH($J$1,Database!$A$1:$AS$1,),)))))/(((VLOOKUP(EDATE(B129,-12),Database!$A:$AS,MATCH($J$1,Database!$A$1:$AS$1,),))))</f>
        <v>3.9889775921945508E-2</v>
      </c>
      <c r="K129" s="13">
        <f>((((VLOOKUP(B129,Database!$A:$AS,MATCH($K$1,Database!$A$1:$AS$1,),))))-(((VLOOKUP(EDATE(B129,-12),Database!$A:$AS,MATCH($K$1,Database!$A$1:$AS$1,),)))))/(((VLOOKUP(EDATE(B129,-12),Database!$A:$AS,MATCH($K$1,Database!$A$1:$AS$1,),))))</f>
        <v>3.2150776061423456E-2</v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>2.6057914613454098E-2</v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>-0.13751765212842598</v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>2.0620888256462E-3</v>
      </c>
      <c r="O129" s="13">
        <f>((((VLOOKUP(B129,Database!$A:$AS,MATCH($O$1,Database!$A$1:$AS$1,),))))-(((VLOOKUP(EDATE(B129,-12),Database!$A:$AS,MATCH($O$1,Database!$A$1:$AS$1,),)))))/(((VLOOKUP(EDATE(B129,-12),Database!$A:$AS,MATCH($O$1,Database!$A$1:$AS$1,),))))</f>
        <v>2.078505076413582E-2</v>
      </c>
      <c r="P129" s="13">
        <f>((((VLOOKUP(B129,Database!$A:$AS,MATCH($P$1,Database!$A$1:$AS$1,),))))-(((VLOOKUP(EDATE(B129,-12),Database!$A:$AS,MATCH($P$1,Database!$A$1:$AS$1,),)))))/(((VLOOKUP(EDATE(B129,-12),Database!$A:$AS,MATCH($P$1,Database!$A$1:$AS$1,),))))</f>
        <v>-3.5178338417550026E-2</v>
      </c>
      <c r="Q129" s="13">
        <f>((((VLOOKUP(B129,Database!$A:$AS,MATCH($Q$1,Database!$A$1:$AS$1,),))))-(((VLOOKUP(EDATE(B129,-12),Database!$A:$AS,MATCH($Q$1,Database!$A$1:$AS$1,),)))))/(((VLOOKUP(EDATE(B129,-12),Database!$A:$AS,MATCH($Q$1,Database!$A$1:$AS$1,),))))</f>
        <v>-8.382735309602668E-2</v>
      </c>
      <c r="R129" s="13">
        <f>((((VLOOKUP(B129,Database!$A:$AS,MATCH($R$1,Database!$A$1:$AS$1,),))))-(((VLOOKUP(EDATE(B129,-12),Database!$A:$AS,MATCH($R$1,Database!$A$1:$AS$1,),)))))/(((VLOOKUP(EDATE(B129,-12),Database!$A:$AS,MATCH($R$1,Database!$A$1:$AS$1,),))))</f>
        <v>9.9172465317055286E-2</v>
      </c>
      <c r="S129" s="13">
        <f>((((VLOOKUP(B129,Database!$A:$AS,MATCH($S$1,Database!$A$1:$AS$1,),))))-(((VLOOKUP(EDATE(B129,-12),Database!$A:$AS,MATCH($S$1,Database!$A$1:$AS$1,),)))))/(((VLOOKUP(EDATE(B129,-12),Database!$A:$AS,MATCH($S$1,Database!$A$1:$AS$1,),))))</f>
        <v>0.22199592666983237</v>
      </c>
      <c r="T129" s="13">
        <f>((((VLOOKUP(B129,Database!$A:$AS,MATCH($T$1,Database!$A$1:$AS$1,),))))-(((VLOOKUP(EDATE(B129,-12),Database!$A:$AS,MATCH($T$1,Database!$A$1:$AS$1,),)))))/(((VLOOKUP(EDATE(B129,-12),Database!$A:$AS,MATCH($T$1,Database!$A$1:$AS$1,),))))</f>
        <v>-2.0979020973152154E-2</v>
      </c>
      <c r="U129" s="13">
        <f>((((VLOOKUP(B129,Database!$A:$AS,MATCH($U$1,Database!$A$1:$AS$1,),))))-(((VLOOKUP(EDATE(B129,-12),Database!$A:$AS,MATCH($U$1,Database!$A$1:$AS$1,),)))))/(((VLOOKUP(EDATE(B129,-12),Database!$A:$AS,MATCH($U$1,Database!$A$1:$AS$1,),))))</f>
        <v>-5.3896421490828482E-2</v>
      </c>
      <c r="V129" s="13">
        <f>((((VLOOKUP(B129,Database!$A:$AS,MATCH($V$1,Database!$A$1:$AS$1,),))))-(((VLOOKUP(EDATE(B129,-12),Database!$A:$AS,MATCH($V$1,Database!$A$1:$AS$1,),)))))/(((VLOOKUP(EDATE(B129,-12),Database!$A:$AS,MATCH($V$1,Database!$A$1:$AS$1,),))))</f>
        <v>1.2145221974523805E-2</v>
      </c>
    </row>
    <row r="130" spans="1:22" s="83" customFormat="1" x14ac:dyDescent="0.2">
      <c r="A130" s="43"/>
      <c r="B130" s="78">
        <v>36100</v>
      </c>
      <c r="C130" s="13">
        <f>((((VLOOKUP(B130,Database!$A:$AS,MATCH($C$1,Database!$A$1:$AS$1,),))))-(((VLOOKUP(EDATE(B130,-12),Database!$A:$AS,MATCH($C$1,Database!$A$1:$AS$1,),)))))/(((VLOOKUP(EDATE(B130,-12),Database!$A:$AS,MATCH($C$1,Database!$A$1:$AS$1,),))))</f>
        <v>3.757578797194891E-2</v>
      </c>
      <c r="D130" s="13">
        <f>((((VLOOKUP(B130,Database!$A:$AS,MATCH($D$1,Database!$A$1:$AS$1,),))))-(((VLOOKUP(EDATE(B130,-12),Database!$A:$AS,MATCH($D$1,Database!$A$1:$AS$1,),)))))/(((VLOOKUP(EDATE(B130,-12),Database!$A:$AS,MATCH($D$1,Database!$A$1:$AS$1,),))))</f>
        <v>1.7221584385763492E-2</v>
      </c>
      <c r="E130" s="13">
        <f>((((VLOOKUP(B130,Database!$A:$AS,MATCH($E$1,Database!$A$1:$AS$1,),))))-(((VLOOKUP(EDATE(B130,-12),Database!$A:$AS,MATCH($E$1,Database!$A$1:$AS$1,),)))))/(((VLOOKUP(EDATE(B130,-12),Database!$A:$AS,MATCH($E$1,Database!$A$1:$AS$1,),))))</f>
        <v>-6.8469261479644619E-2</v>
      </c>
      <c r="F130" s="13">
        <f>((((VLOOKUP(B130,Database!$A:$AS,MATCH($F$1,Database!$A$1:$AS$1,),))))-(((VLOOKUP(EDATE(B130,-12),Database!$A:$AS,MATCH($F$1,Database!$A$1:$AS$1,),)))))/(((VLOOKUP(EDATE(B130,-12),Database!$A:$AS,MATCH($F$1,Database!$A$1:$AS$1,),))))</f>
        <v>4.0871934593580831E-3</v>
      </c>
      <c r="G130" s="13">
        <f>((((VLOOKUP(B130,Database!$A:$AS,MATCH($G$1,Database!$A$1:$AS$1,),))))-(((VLOOKUP(EDATE(B130,-12),Database!$A:$AS,MATCH($G$1,Database!$A$1:$AS$1,),)))))/(((VLOOKUP(EDATE(B130,-12),Database!$A:$AS,MATCH($G$1,Database!$A$1:$AS$1,),))))</f>
        <v>3.9358159249167336E-2</v>
      </c>
      <c r="H130" s="13">
        <f>((((VLOOKUP(B130,Database!$A:$AS,MATCH($H$1,Database!$A$1:$AS$1,),))))-(((VLOOKUP(EDATE(B130,-12),Database!$A:$AS,MATCH($H$1,Database!$A$1:$AS$1,),)))))/(((VLOOKUP(EDATE(B130,-12),Database!$A:$AS,MATCH($H$1,Database!$A$1:$AS$1,),))))</f>
        <v>-8.2063306025158631E-3</v>
      </c>
      <c r="I130" s="13">
        <f>((((VLOOKUP(B130,Database!$A:$AS,MATCH($I$1,Database!$A$1:$AS$1,),))))-(((VLOOKUP(EDATE(B130,-12),Database!$A:$AS,MATCH($I$1,Database!$A$1:$AS$1,),)))))/(((VLOOKUP(EDATE(B130,-12),Database!$A:$AS,MATCH($I$1,Database!$A$1:$AS$1,),))))</f>
        <v>-1.1326860841004973E-2</v>
      </c>
      <c r="J130" s="13">
        <f>((((VLOOKUP(B130,Database!$A:$AS,MATCH($J$1,Database!$A$1:$AS$1,),))))-(((VLOOKUP(EDATE(B130,-12),Database!$A:$AS,MATCH($J$1,Database!$A$1:$AS$1,),)))))/(((VLOOKUP(EDATE(B130,-12),Database!$A:$AS,MATCH($J$1,Database!$A$1:$AS$1,),))))</f>
        <v>3.8841030867502645E-2</v>
      </c>
      <c r="K130" s="13">
        <f>((((VLOOKUP(B130,Database!$A:$AS,MATCH($K$1,Database!$A$1:$AS$1,),))))-(((VLOOKUP(EDATE(B130,-12),Database!$A:$AS,MATCH($K$1,Database!$A$1:$AS$1,),)))))/(((VLOOKUP(EDATE(B130,-12),Database!$A:$AS,MATCH($K$1,Database!$A$1:$AS$1,),))))</f>
        <v>4.1156840930008397E-2</v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>3.6021973747644383E-2</v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>-0.13318036243677037</v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>4.8043563187927803E-2</v>
      </c>
      <c r="O130" s="13">
        <f>((((VLOOKUP(B130,Database!$A:$AS,MATCH($O$1,Database!$A$1:$AS$1,),))))-(((VLOOKUP(EDATE(B130,-12),Database!$A:$AS,MATCH($O$1,Database!$A$1:$AS$1,),)))))/(((VLOOKUP(EDATE(B130,-12),Database!$A:$AS,MATCH($O$1,Database!$A$1:$AS$1,),))))</f>
        <v>2.243770649841666E-2</v>
      </c>
      <c r="P130" s="13">
        <f>((((VLOOKUP(B130,Database!$A:$AS,MATCH($P$1,Database!$A$1:$AS$1,),))))-(((VLOOKUP(EDATE(B130,-12),Database!$A:$AS,MATCH($P$1,Database!$A$1:$AS$1,),)))))/(((VLOOKUP(EDATE(B130,-12),Database!$A:$AS,MATCH($P$1,Database!$A$1:$AS$1,),))))</f>
        <v>1.5252464066349345E-2</v>
      </c>
      <c r="Q130" s="13">
        <f>((((VLOOKUP(B130,Database!$A:$AS,MATCH($Q$1,Database!$A$1:$AS$1,),))))-(((VLOOKUP(EDATE(B130,-12),Database!$A:$AS,MATCH($Q$1,Database!$A$1:$AS$1,),)))))/(((VLOOKUP(EDATE(B130,-12),Database!$A:$AS,MATCH($Q$1,Database!$A$1:$AS$1,),))))</f>
        <v>-3.2553075675417424E-2</v>
      </c>
      <c r="R130" s="13">
        <f>((((VLOOKUP(B130,Database!$A:$AS,MATCH($R$1,Database!$A$1:$AS$1,),))))-(((VLOOKUP(EDATE(B130,-12),Database!$A:$AS,MATCH($R$1,Database!$A$1:$AS$1,),)))))/(((VLOOKUP(EDATE(B130,-12),Database!$A:$AS,MATCH($R$1,Database!$A$1:$AS$1,),))))</f>
        <v>9.357441162317047E-2</v>
      </c>
      <c r="S130" s="13">
        <f>((((VLOOKUP(B130,Database!$A:$AS,MATCH($S$1,Database!$A$1:$AS$1,),))))-(((VLOOKUP(EDATE(B130,-12),Database!$A:$AS,MATCH($S$1,Database!$A$1:$AS$1,),)))))/(((VLOOKUP(EDATE(B130,-12),Database!$A:$AS,MATCH($S$1,Database!$A$1:$AS$1,),))))</f>
        <v>0.1529411764721427</v>
      </c>
      <c r="T130" s="13">
        <f>((((VLOOKUP(B130,Database!$A:$AS,MATCH($T$1,Database!$A$1:$AS$1,),))))-(((VLOOKUP(EDATE(B130,-12),Database!$A:$AS,MATCH($T$1,Database!$A$1:$AS$1,),)))))/(((VLOOKUP(EDATE(B130,-12),Database!$A:$AS,MATCH($T$1,Database!$A$1:$AS$1,),))))</f>
        <v>-2.1276595762287073E-2</v>
      </c>
      <c r="U130" s="13">
        <f>((((VLOOKUP(B130,Database!$A:$AS,MATCH($U$1,Database!$A$1:$AS$1,),))))-(((VLOOKUP(EDATE(B130,-12),Database!$A:$AS,MATCH($U$1,Database!$A$1:$AS$1,),)))))/(((VLOOKUP(EDATE(B130,-12),Database!$A:$AS,MATCH($U$1,Database!$A$1:$AS$1,),))))</f>
        <v>-8.6421614211809092E-2</v>
      </c>
      <c r="V130" s="13">
        <f>((((VLOOKUP(B130,Database!$A:$AS,MATCH($V$1,Database!$A$1:$AS$1,),))))-(((VLOOKUP(EDATE(B130,-12),Database!$A:$AS,MATCH($V$1,Database!$A$1:$AS$1,),)))))/(((VLOOKUP(EDATE(B130,-12),Database!$A:$AS,MATCH($V$1,Database!$A$1:$AS$1,),))))</f>
        <v>-3.5873952121632413E-2</v>
      </c>
    </row>
    <row r="131" spans="1:22" s="83" customFormat="1" x14ac:dyDescent="0.2">
      <c r="A131" s="43"/>
      <c r="B131" s="78">
        <v>36130</v>
      </c>
      <c r="C131" s="13">
        <f>((((VLOOKUP(B131,Database!$A:$AS,MATCH($C$1,Database!$A$1:$AS$1,),))))-(((VLOOKUP(EDATE(B131,-12),Database!$A:$AS,MATCH($C$1,Database!$A$1:$AS$1,),)))))/(((VLOOKUP(EDATE(B131,-12),Database!$A:$AS,MATCH($C$1,Database!$A$1:$AS$1,),))))</f>
        <v>3.7063890441631039E-2</v>
      </c>
      <c r="D131" s="13">
        <f>((((VLOOKUP(B131,Database!$A:$AS,MATCH($D$1,Database!$A$1:$AS$1,),))))-(((VLOOKUP(EDATE(B131,-12),Database!$A:$AS,MATCH($D$1,Database!$A$1:$AS$1,),)))))/(((VLOOKUP(EDATE(B131,-12),Database!$A:$AS,MATCH($D$1,Database!$A$1:$AS$1,),))))</f>
        <v>1.1363636363635717E-3</v>
      </c>
      <c r="E131" s="13">
        <f>((((VLOOKUP(B131,Database!$A:$AS,MATCH($E$1,Database!$A$1:$AS$1,),))))-(((VLOOKUP(EDATE(B131,-12),Database!$A:$AS,MATCH($E$1,Database!$A$1:$AS$1,),)))))/(((VLOOKUP(EDATE(B131,-12),Database!$A:$AS,MATCH($E$1,Database!$A$1:$AS$1,),))))</f>
        <v>-6.045852135920534E-2</v>
      </c>
      <c r="F131" s="13">
        <f>((((VLOOKUP(B131,Database!$A:$AS,MATCH($F$1,Database!$A$1:$AS$1,),))))-(((VLOOKUP(EDATE(B131,-12),Database!$A:$AS,MATCH($F$1,Database!$A$1:$AS$1,),)))))/(((VLOOKUP(EDATE(B131,-12),Database!$A:$AS,MATCH($F$1,Database!$A$1:$AS$1,),))))</f>
        <v>-1.3495276739322675E-3</v>
      </c>
      <c r="G131" s="13">
        <f>((((VLOOKUP(B131,Database!$A:$AS,MATCH($G$1,Database!$A$1:$AS$1,),))))-(((VLOOKUP(EDATE(B131,-12),Database!$A:$AS,MATCH($G$1,Database!$A$1:$AS$1,),)))))/(((VLOOKUP(EDATE(B131,-12),Database!$A:$AS,MATCH($G$1,Database!$A$1:$AS$1,),))))</f>
        <v>1.127931136835857E-2</v>
      </c>
      <c r="H131" s="13">
        <f>((((VLOOKUP(B131,Database!$A:$AS,MATCH($H$1,Database!$A$1:$AS$1,),))))-(((VLOOKUP(EDATE(B131,-12),Database!$A:$AS,MATCH($H$1,Database!$A$1:$AS$1,),)))))/(((VLOOKUP(EDATE(B131,-12),Database!$A:$AS,MATCH($H$1,Database!$A$1:$AS$1,),))))</f>
        <v>-8.1680280092630841E-3</v>
      </c>
      <c r="I131" s="13">
        <f>((((VLOOKUP(B131,Database!$A:$AS,MATCH($I$1,Database!$A$1:$AS$1,),))))-(((VLOOKUP(EDATE(B131,-12),Database!$A:$AS,MATCH($I$1,Database!$A$1:$AS$1,),)))))/(((VLOOKUP(EDATE(B131,-12),Database!$A:$AS,MATCH($I$1,Database!$A$1:$AS$1,),))))</f>
        <v>-4.176706827473755E-2</v>
      </c>
      <c r="J131" s="13">
        <f>((((VLOOKUP(B131,Database!$A:$AS,MATCH($J$1,Database!$A$1:$AS$1,),))))-(((VLOOKUP(EDATE(B131,-12),Database!$A:$AS,MATCH($J$1,Database!$A$1:$AS$1,),)))))/(((VLOOKUP(EDATE(B131,-12),Database!$A:$AS,MATCH($J$1,Database!$A$1:$AS$1,),))))</f>
        <v>5.1441604035302478E-2</v>
      </c>
      <c r="K131" s="13">
        <f>((((VLOOKUP(B131,Database!$A:$AS,MATCH($K$1,Database!$A$1:$AS$1,),))))-(((VLOOKUP(EDATE(B131,-12),Database!$A:$AS,MATCH($K$1,Database!$A$1:$AS$1,),)))))/(((VLOOKUP(EDATE(B131,-12),Database!$A:$AS,MATCH($K$1,Database!$A$1:$AS$1,),))))</f>
        <v>1.2021857929532751E-2</v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>5.1763333112270639E-2</v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>-7.5192930256070933E-2</v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>4.2363870889107189E-2</v>
      </c>
      <c r="O131" s="13">
        <f>((((VLOOKUP(B131,Database!$A:$AS,MATCH($O$1,Database!$A$1:$AS$1,),))))-(((VLOOKUP(EDATE(B131,-12),Database!$A:$AS,MATCH($O$1,Database!$A$1:$AS$1,),)))))/(((VLOOKUP(EDATE(B131,-12),Database!$A:$AS,MATCH($O$1,Database!$A$1:$AS$1,),))))</f>
        <v>3.525700793088514E-2</v>
      </c>
      <c r="P131" s="13">
        <f>((((VLOOKUP(B131,Database!$A:$AS,MATCH($P$1,Database!$A$1:$AS$1,),))))-(((VLOOKUP(EDATE(B131,-12),Database!$A:$AS,MATCH($P$1,Database!$A$1:$AS$1,),)))))/(((VLOOKUP(EDATE(B131,-12),Database!$A:$AS,MATCH($P$1,Database!$A$1:$AS$1,),))))</f>
        <v>4.6523331565783629E-2</v>
      </c>
      <c r="Q131" s="13">
        <f>((((VLOOKUP(B131,Database!$A:$AS,MATCH($Q$1,Database!$A$1:$AS$1,),))))-(((VLOOKUP(EDATE(B131,-12),Database!$A:$AS,MATCH($Q$1,Database!$A$1:$AS$1,),)))))/(((VLOOKUP(EDATE(B131,-12),Database!$A:$AS,MATCH($Q$1,Database!$A$1:$AS$1,),))))</f>
        <v>-2.2657406352152794E-2</v>
      </c>
      <c r="R131" s="13">
        <f>((((VLOOKUP(B131,Database!$A:$AS,MATCH($R$1,Database!$A$1:$AS$1,),))))-(((VLOOKUP(EDATE(B131,-12),Database!$A:$AS,MATCH($R$1,Database!$A$1:$AS$1,),)))))/(((VLOOKUP(EDATE(B131,-12),Database!$A:$AS,MATCH($R$1,Database!$A$1:$AS$1,),))))</f>
        <v>8.454648071211486E-2</v>
      </c>
      <c r="S131" s="13">
        <f>((((VLOOKUP(B131,Database!$A:$AS,MATCH($S$1,Database!$A$1:$AS$1,),))))-(((VLOOKUP(EDATE(B131,-12),Database!$A:$AS,MATCH($S$1,Database!$A$1:$AS$1,),)))))/(((VLOOKUP(EDATE(B131,-12),Database!$A:$AS,MATCH($S$1,Database!$A$1:$AS$1,),))))</f>
        <v>0.17928286851907774</v>
      </c>
      <c r="T131" s="13">
        <f>((((VLOOKUP(B131,Database!$A:$AS,MATCH($T$1,Database!$A$1:$AS$1,),))))-(((VLOOKUP(EDATE(B131,-12),Database!$A:$AS,MATCH($T$1,Database!$A$1:$AS$1,),)))))/(((VLOOKUP(EDATE(B131,-12),Database!$A:$AS,MATCH($T$1,Database!$A$1:$AS$1,),))))</f>
        <v>-8.8578088584391965E-2</v>
      </c>
      <c r="U131" s="13">
        <f>((((VLOOKUP(B131,Database!$A:$AS,MATCH($U$1,Database!$A$1:$AS$1,),))))-(((VLOOKUP(EDATE(B131,-12),Database!$A:$AS,MATCH($U$1,Database!$A$1:$AS$1,),)))))/(((VLOOKUP(EDATE(B131,-12),Database!$A:$AS,MATCH($U$1,Database!$A$1:$AS$1,),))))</f>
        <v>-6.9869474793692279E-2</v>
      </c>
      <c r="V131" s="13">
        <f>((((VLOOKUP(B131,Database!$A:$AS,MATCH($V$1,Database!$A$1:$AS$1,),))))-(((VLOOKUP(EDATE(B131,-12),Database!$A:$AS,MATCH($V$1,Database!$A$1:$AS$1,),)))))/(((VLOOKUP(EDATE(B131,-12),Database!$A:$AS,MATCH($V$1,Database!$A$1:$AS$1,),))))</f>
        <v>-2.1123760211974471E-2</v>
      </c>
    </row>
    <row r="132" spans="1:22" s="83" customFormat="1" x14ac:dyDescent="0.2">
      <c r="A132" s="43"/>
      <c r="B132" s="78">
        <v>36161</v>
      </c>
      <c r="C132" s="13">
        <f>((((VLOOKUP(B132,Database!$A:$AS,MATCH($C$1,Database!$A$1:$AS$1,),))))-(((VLOOKUP(EDATE(B132,-12),Database!$A:$AS,MATCH($C$1,Database!$A$1:$AS$1,),)))))/(((VLOOKUP(EDATE(B132,-12),Database!$A:$AS,MATCH($C$1,Database!$A$1:$AS$1,),))))</f>
        <v>3.6970203991097787E-2</v>
      </c>
      <c r="D132" s="13">
        <f>((((VLOOKUP(B132,Database!$A:$AS,MATCH($D$1,Database!$A$1:$AS$1,),))))-(((VLOOKUP(EDATE(B132,-12),Database!$A:$AS,MATCH($D$1,Database!$A$1:$AS$1,),)))))/(((VLOOKUP(EDATE(B132,-12),Database!$A:$AS,MATCH($D$1,Database!$A$1:$AS$1,),))))</f>
        <v>1.2457531143827957E-2</v>
      </c>
      <c r="E132" s="13">
        <f>((((VLOOKUP(B132,Database!$A:$AS,MATCH($E$1,Database!$A$1:$AS$1,),))))-(((VLOOKUP(EDATE(B132,-12),Database!$A:$AS,MATCH($E$1,Database!$A$1:$AS$1,),)))))/(((VLOOKUP(EDATE(B132,-12),Database!$A:$AS,MATCH($E$1,Database!$A$1:$AS$1,),))))</f>
        <v>-6.2062062059837497E-2</v>
      </c>
      <c r="F132" s="13">
        <f>((((VLOOKUP(B132,Database!$A:$AS,MATCH($F$1,Database!$A$1:$AS$1,),))))-(((VLOOKUP(EDATE(B132,-12),Database!$A:$AS,MATCH($F$1,Database!$A$1:$AS$1,),)))))/(((VLOOKUP(EDATE(B132,-12),Database!$A:$AS,MATCH($F$1,Database!$A$1:$AS$1,),))))</f>
        <v>4.0053404662034019E-3</v>
      </c>
      <c r="G132" s="13">
        <f>((((VLOOKUP(B132,Database!$A:$AS,MATCH($G$1,Database!$A$1:$AS$1,),))))-(((VLOOKUP(EDATE(B132,-12),Database!$A:$AS,MATCH($G$1,Database!$A$1:$AS$1,),)))))/(((VLOOKUP(EDATE(B132,-12),Database!$A:$AS,MATCH($G$1,Database!$A$1:$AS$1,),))))</f>
        <v>1.4049668546551913E-2</v>
      </c>
      <c r="H132" s="13">
        <f>((((VLOOKUP(B132,Database!$A:$AS,MATCH($H$1,Database!$A$1:$AS$1,),))))-(((VLOOKUP(EDATE(B132,-12),Database!$A:$AS,MATCH($H$1,Database!$A$1:$AS$1,),)))))/(((VLOOKUP(EDATE(B132,-12),Database!$A:$AS,MATCH($H$1,Database!$A$1:$AS$1,),))))</f>
        <v>-1.0392609699484025E-2</v>
      </c>
      <c r="I132" s="13">
        <f>((((VLOOKUP(B132,Database!$A:$AS,MATCH($I$1,Database!$A$1:$AS$1,),))))-(((VLOOKUP(EDATE(B132,-12),Database!$A:$AS,MATCH($I$1,Database!$A$1:$AS$1,),)))))/(((VLOOKUP(EDATE(B132,-12),Database!$A:$AS,MATCH($I$1,Database!$A$1:$AS$1,),))))</f>
        <v>-1.6181229771708411E-2</v>
      </c>
      <c r="J132" s="13">
        <f>((((VLOOKUP(B132,Database!$A:$AS,MATCH($J$1,Database!$A$1:$AS$1,),))))-(((VLOOKUP(EDATE(B132,-12),Database!$A:$AS,MATCH($J$1,Database!$A$1:$AS$1,),)))))/(((VLOOKUP(EDATE(B132,-12),Database!$A:$AS,MATCH($J$1,Database!$A$1:$AS$1,),))))</f>
        <v>4.7944541828451953E-2</v>
      </c>
      <c r="K132" s="13">
        <f>((((VLOOKUP(B132,Database!$A:$AS,MATCH($K$1,Database!$A$1:$AS$1,),))))-(((VLOOKUP(EDATE(B132,-12),Database!$A:$AS,MATCH($K$1,Database!$A$1:$AS$1,),)))))/(((VLOOKUP(EDATE(B132,-12),Database!$A:$AS,MATCH($K$1,Database!$A$1:$AS$1,),))))</f>
        <v>1.8826135104697498E-2</v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>5.1160751037474972E-2</v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>-2.2439145204720675E-2</v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>5.5846503732939506E-2</v>
      </c>
      <c r="O132" s="13">
        <f>((((VLOOKUP(B132,Database!$A:$AS,MATCH($O$1,Database!$A$1:$AS$1,),))))-(((VLOOKUP(EDATE(B132,-12),Database!$A:$AS,MATCH($O$1,Database!$A$1:$AS$1,),)))))/(((VLOOKUP(EDATE(B132,-12),Database!$A:$AS,MATCH($O$1,Database!$A$1:$AS$1,),))))</f>
        <v>5.4555585623687841E-2</v>
      </c>
      <c r="P132" s="13">
        <f>((((VLOOKUP(B132,Database!$A:$AS,MATCH($P$1,Database!$A$1:$AS$1,),))))-(((VLOOKUP(EDATE(B132,-12),Database!$A:$AS,MATCH($P$1,Database!$A$1:$AS$1,),)))))/(((VLOOKUP(EDATE(B132,-12),Database!$A:$AS,MATCH($P$1,Database!$A$1:$AS$1,),))))</f>
        <v>0.1013517519381865</v>
      </c>
      <c r="Q132" s="13">
        <f>((((VLOOKUP(B132,Database!$A:$AS,MATCH($Q$1,Database!$A$1:$AS$1,),))))-(((VLOOKUP(EDATE(B132,-12),Database!$A:$AS,MATCH($Q$1,Database!$A$1:$AS$1,),)))))/(((VLOOKUP(EDATE(B132,-12),Database!$A:$AS,MATCH($Q$1,Database!$A$1:$AS$1,),))))</f>
        <v>-1.0621645802966572E-2</v>
      </c>
      <c r="R132" s="13">
        <f>((((VLOOKUP(B132,Database!$A:$AS,MATCH($R$1,Database!$A$1:$AS$1,),))))-(((VLOOKUP(EDATE(B132,-12),Database!$A:$AS,MATCH($R$1,Database!$A$1:$AS$1,),)))))/(((VLOOKUP(EDATE(B132,-12),Database!$A:$AS,MATCH($R$1,Database!$A$1:$AS$1,),))))</f>
        <v>5.3071981720345912E-2</v>
      </c>
      <c r="S132" s="13">
        <f>((((VLOOKUP(B132,Database!$A:$AS,MATCH($S$1,Database!$A$1:$AS$1,),))))-(((VLOOKUP(EDATE(B132,-12),Database!$A:$AS,MATCH($S$1,Database!$A$1:$AS$1,),)))))/(((VLOOKUP(EDATE(B132,-12),Database!$A:$AS,MATCH($S$1,Database!$A$1:$AS$1,),))))</f>
        <v>0.242026266428845</v>
      </c>
      <c r="T132" s="13">
        <f>((((VLOOKUP(B132,Database!$A:$AS,MATCH($T$1,Database!$A$1:$AS$1,),))))-(((VLOOKUP(EDATE(B132,-12),Database!$A:$AS,MATCH($T$1,Database!$A$1:$AS$1,),)))))/(((VLOOKUP(EDATE(B132,-12),Database!$A:$AS,MATCH($T$1,Database!$A$1:$AS$1,),))))</f>
        <v>-5.9907834115081167E-2</v>
      </c>
      <c r="U132" s="13">
        <f>((((VLOOKUP(B132,Database!$A:$AS,MATCH($U$1,Database!$A$1:$AS$1,),))))-(((VLOOKUP(EDATE(B132,-12),Database!$A:$AS,MATCH($U$1,Database!$A$1:$AS$1,),)))))/(((VLOOKUP(EDATE(B132,-12),Database!$A:$AS,MATCH($U$1,Database!$A$1:$AS$1,),))))</f>
        <v>-8.7027181495332853E-2</v>
      </c>
      <c r="V132" s="13">
        <f>((((VLOOKUP(B132,Database!$A:$AS,MATCH($V$1,Database!$A$1:$AS$1,),))))-(((VLOOKUP(EDATE(B132,-12),Database!$A:$AS,MATCH($V$1,Database!$A$1:$AS$1,),)))))/(((VLOOKUP(EDATE(B132,-12),Database!$A:$AS,MATCH($V$1,Database!$A$1:$AS$1,),))))</f>
        <v>-4.1234984878836853E-2</v>
      </c>
    </row>
    <row r="133" spans="1:22" s="83" customFormat="1" x14ac:dyDescent="0.2">
      <c r="A133" s="43"/>
      <c r="B133" s="78">
        <v>36192</v>
      </c>
      <c r="C133" s="13">
        <f>((((VLOOKUP(B133,Database!$A:$AS,MATCH($C$1,Database!$A$1:$AS$1,),))))-(((VLOOKUP(EDATE(B133,-12),Database!$A:$AS,MATCH($C$1,Database!$A$1:$AS$1,),)))))/(((VLOOKUP(EDATE(B133,-12),Database!$A:$AS,MATCH($C$1,Database!$A$1:$AS$1,),))))</f>
        <v>4.1220024835323964E-2</v>
      </c>
      <c r="D133" s="13">
        <f>((((VLOOKUP(B133,Database!$A:$AS,MATCH($D$1,Database!$A$1:$AS$1,),))))-(((VLOOKUP(EDATE(B133,-12),Database!$A:$AS,MATCH($D$1,Database!$A$1:$AS$1,),)))))/(((VLOOKUP(EDATE(B133,-12),Database!$A:$AS,MATCH($D$1,Database!$A$1:$AS$1,),))))</f>
        <v>-3.3821871476888065E-3</v>
      </c>
      <c r="E133" s="13">
        <f>((((VLOOKUP(B133,Database!$A:$AS,MATCH($E$1,Database!$A$1:$AS$1,),))))-(((VLOOKUP(EDATE(B133,-12),Database!$A:$AS,MATCH($E$1,Database!$A$1:$AS$1,),)))))/(((VLOOKUP(EDATE(B133,-12),Database!$A:$AS,MATCH($E$1,Database!$A$1:$AS$1,),))))</f>
        <v>-3.6998972252112329E-2</v>
      </c>
      <c r="F133" s="13">
        <f>((((VLOOKUP(B133,Database!$A:$AS,MATCH($F$1,Database!$A$1:$AS$1,),))))-(((VLOOKUP(EDATE(B133,-12),Database!$A:$AS,MATCH($F$1,Database!$A$1:$AS$1,),)))))/(((VLOOKUP(EDATE(B133,-12),Database!$A:$AS,MATCH($F$1,Database!$A$1:$AS$1,),))))</f>
        <v>-1.2048192781084918E-2</v>
      </c>
      <c r="G133" s="13">
        <f>((((VLOOKUP(B133,Database!$A:$AS,MATCH($G$1,Database!$A$1:$AS$1,),))))-(((VLOOKUP(EDATE(B133,-12),Database!$A:$AS,MATCH($G$1,Database!$A$1:$AS$1,),)))))/(((VLOOKUP(EDATE(B133,-12),Database!$A:$AS,MATCH($G$1,Database!$A$1:$AS$1,),))))</f>
        <v>4.0286921489634548E-3</v>
      </c>
      <c r="H133" s="13">
        <f>((((VLOOKUP(B133,Database!$A:$AS,MATCH($H$1,Database!$A$1:$AS$1,),))))-(((VLOOKUP(EDATE(B133,-12),Database!$A:$AS,MATCH($H$1,Database!$A$1:$AS$1,),)))))/(((VLOOKUP(EDATE(B133,-12),Database!$A:$AS,MATCH($H$1,Database!$A$1:$AS$1,),))))</f>
        <v>-1.8327605950164347E-2</v>
      </c>
      <c r="I133" s="13">
        <f>((((VLOOKUP(B133,Database!$A:$AS,MATCH($I$1,Database!$A$1:$AS$1,),))))-(((VLOOKUP(EDATE(B133,-12),Database!$A:$AS,MATCH($I$1,Database!$A$1:$AS$1,),)))))/(((VLOOKUP(EDATE(B133,-12),Database!$A:$AS,MATCH($I$1,Database!$A$1:$AS$1,),))))</f>
        <v>-2.0242914979527606E-2</v>
      </c>
      <c r="J133" s="13">
        <f>((((VLOOKUP(B133,Database!$A:$AS,MATCH($J$1,Database!$A$1:$AS$1,),))))-(((VLOOKUP(EDATE(B133,-12),Database!$A:$AS,MATCH($J$1,Database!$A$1:$AS$1,),)))))/(((VLOOKUP(EDATE(B133,-12),Database!$A:$AS,MATCH($J$1,Database!$A$1:$AS$1,),))))</f>
        <v>-3.1781208000703106E-4</v>
      </c>
      <c r="K133" s="13">
        <f>((((VLOOKUP(B133,Database!$A:$AS,MATCH($K$1,Database!$A$1:$AS$1,),))))-(((VLOOKUP(EDATE(B133,-12),Database!$A:$AS,MATCH($K$1,Database!$A$1:$AS$1,),)))))/(((VLOOKUP(EDATE(B133,-12),Database!$A:$AS,MATCH($K$1,Database!$A$1:$AS$1,),))))</f>
        <v>3.5476718408462955E-2</v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>2.2172771902947488E-2</v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>-9.3602080626801309E-2</v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>3.5469977986925354E-2</v>
      </c>
      <c r="O133" s="13">
        <f>((((VLOOKUP(B133,Database!$A:$AS,MATCH($O$1,Database!$A$1:$AS$1,),))))-(((VLOOKUP(EDATE(B133,-12),Database!$A:$AS,MATCH($O$1,Database!$A$1:$AS$1,),)))))/(((VLOOKUP(EDATE(B133,-12),Database!$A:$AS,MATCH($O$1,Database!$A$1:$AS$1,),))))</f>
        <v>4.0738142953018426E-2</v>
      </c>
      <c r="P133" s="13">
        <f>((((VLOOKUP(B133,Database!$A:$AS,MATCH($P$1,Database!$A$1:$AS$1,),))))-(((VLOOKUP(EDATE(B133,-12),Database!$A:$AS,MATCH($P$1,Database!$A$1:$AS$1,),)))))/(((VLOOKUP(EDATE(B133,-12),Database!$A:$AS,MATCH($P$1,Database!$A$1:$AS$1,),))))</f>
        <v>0.13586780748194857</v>
      </c>
      <c r="Q133" s="13">
        <f>((((VLOOKUP(B133,Database!$A:$AS,MATCH($Q$1,Database!$A$1:$AS$1,),))))-(((VLOOKUP(EDATE(B133,-12),Database!$A:$AS,MATCH($Q$1,Database!$A$1:$AS$1,),)))))/(((VLOOKUP(EDATE(B133,-12),Database!$A:$AS,MATCH($Q$1,Database!$A$1:$AS$1,),))))</f>
        <v>-4.3902974427959991E-2</v>
      </c>
      <c r="R133" s="13">
        <f>((((VLOOKUP(B133,Database!$A:$AS,MATCH($R$1,Database!$A$1:$AS$1,),))))-(((VLOOKUP(EDATE(B133,-12),Database!$A:$AS,MATCH($R$1,Database!$A$1:$AS$1,),)))))/(((VLOOKUP(EDATE(B133,-12),Database!$A:$AS,MATCH($R$1,Database!$A$1:$AS$1,),))))</f>
        <v>2.6222336144919908E-2</v>
      </c>
      <c r="S133" s="13">
        <f>((((VLOOKUP(B133,Database!$A:$AS,MATCH($S$1,Database!$A$1:$AS$1,),))))-(((VLOOKUP(EDATE(B133,-12),Database!$A:$AS,MATCH($S$1,Database!$A$1:$AS$1,),)))))/(((VLOOKUP(EDATE(B133,-12),Database!$A:$AS,MATCH($S$1,Database!$A$1:$AS$1,),))))</f>
        <v>0.12072072072110354</v>
      </c>
      <c r="T133" s="13">
        <f>((((VLOOKUP(B133,Database!$A:$AS,MATCH($T$1,Database!$A$1:$AS$1,),))))-(((VLOOKUP(EDATE(B133,-12),Database!$A:$AS,MATCH($T$1,Database!$A$1:$AS$1,),)))))/(((VLOOKUP(EDATE(B133,-12),Database!$A:$AS,MATCH($T$1,Database!$A$1:$AS$1,),))))</f>
        <v>-5.5172413800872559E-2</v>
      </c>
      <c r="U133" s="13">
        <f>((((VLOOKUP(B133,Database!$A:$AS,MATCH($U$1,Database!$A$1:$AS$1,),))))-(((VLOOKUP(EDATE(B133,-12),Database!$A:$AS,MATCH($U$1,Database!$A$1:$AS$1,),)))))/(((VLOOKUP(EDATE(B133,-12),Database!$A:$AS,MATCH($U$1,Database!$A$1:$AS$1,),))))</f>
        <v>-7.6562355375792868E-2</v>
      </c>
      <c r="V133" s="13">
        <f>((((VLOOKUP(B133,Database!$A:$AS,MATCH($V$1,Database!$A$1:$AS$1,),))))-(((VLOOKUP(EDATE(B133,-12),Database!$A:$AS,MATCH($V$1,Database!$A$1:$AS$1,),)))))/(((VLOOKUP(EDATE(B133,-12),Database!$A:$AS,MATCH($V$1,Database!$A$1:$AS$1,),))))</f>
        <v>-5.1702614338112594E-2</v>
      </c>
    </row>
    <row r="134" spans="1:22" s="83" customFormat="1" x14ac:dyDescent="0.2">
      <c r="A134" s="43"/>
      <c r="B134" s="78">
        <v>36220</v>
      </c>
      <c r="C134" s="13">
        <f>((((VLOOKUP(B134,Database!$A:$AS,MATCH($C$1,Database!$A$1:$AS$1,),))))-(((VLOOKUP(EDATE(B134,-12),Database!$A:$AS,MATCH($C$1,Database!$A$1:$AS$1,),)))))/(((VLOOKUP(EDATE(B134,-12),Database!$A:$AS,MATCH($C$1,Database!$A$1:$AS$1,),))))</f>
        <v>4.2876681257999462E-2</v>
      </c>
      <c r="D134" s="13">
        <f>((((VLOOKUP(B134,Database!$A:$AS,MATCH($D$1,Database!$A$1:$AS$1,),))))-(((VLOOKUP(EDATE(B134,-12),Database!$A:$AS,MATCH($D$1,Database!$A$1:$AS$1,),)))))/(((VLOOKUP(EDATE(B134,-12),Database!$A:$AS,MATCH($D$1,Database!$A$1:$AS$1,),))))</f>
        <v>-1.1273957158963756E-3</v>
      </c>
      <c r="E134" s="13">
        <f>((((VLOOKUP(B134,Database!$A:$AS,MATCH($E$1,Database!$A$1:$AS$1,),))))-(((VLOOKUP(EDATE(B134,-12),Database!$A:$AS,MATCH($E$1,Database!$A$1:$AS$1,),)))))/(((VLOOKUP(EDATE(B134,-12),Database!$A:$AS,MATCH($E$1,Database!$A$1:$AS$1,),))))</f>
        <v>-3.1512605018558814E-3</v>
      </c>
      <c r="F134" s="13">
        <f>((((VLOOKUP(B134,Database!$A:$AS,MATCH($F$1,Database!$A$1:$AS$1,),))))-(((VLOOKUP(EDATE(B134,-12),Database!$A:$AS,MATCH($F$1,Database!$A$1:$AS$1,),)))))/(((VLOOKUP(EDATE(B134,-12),Database!$A:$AS,MATCH($F$1,Database!$A$1:$AS$1,),))))</f>
        <v>-1.8494055481520711E-2</v>
      </c>
      <c r="G134" s="13">
        <f>((((VLOOKUP(B134,Database!$A:$AS,MATCH($G$1,Database!$A$1:$AS$1,),))))-(((VLOOKUP(EDATE(B134,-12),Database!$A:$AS,MATCH($G$1,Database!$A$1:$AS$1,),)))))/(((VLOOKUP(EDATE(B134,-12),Database!$A:$AS,MATCH($G$1,Database!$A$1:$AS$1,),))))</f>
        <v>1.5511583971363253E-2</v>
      </c>
      <c r="H134" s="13">
        <f>((((VLOOKUP(B134,Database!$A:$AS,MATCH($H$1,Database!$A$1:$AS$1,),))))-(((VLOOKUP(EDATE(B134,-12),Database!$A:$AS,MATCH($H$1,Database!$A$1:$AS$1,),)))))/(((VLOOKUP(EDATE(B134,-12),Database!$A:$AS,MATCH($H$1,Database!$A$1:$AS$1,),))))</f>
        <v>-4.555808657073869E-3</v>
      </c>
      <c r="I134" s="13">
        <f>((((VLOOKUP(B134,Database!$A:$AS,MATCH($I$1,Database!$A$1:$AS$1,),))))-(((VLOOKUP(EDATE(B134,-12),Database!$A:$AS,MATCH($I$1,Database!$A$1:$AS$1,),)))))/(((VLOOKUP(EDATE(B134,-12),Database!$A:$AS,MATCH($I$1,Database!$A$1:$AS$1,),))))</f>
        <v>-1.220504475655825E-2</v>
      </c>
      <c r="J134" s="13">
        <f>((((VLOOKUP(B134,Database!$A:$AS,MATCH($J$1,Database!$A$1:$AS$1,),))))-(((VLOOKUP(EDATE(B134,-12),Database!$A:$AS,MATCH($J$1,Database!$A$1:$AS$1,),)))))/(((VLOOKUP(EDATE(B134,-12),Database!$A:$AS,MATCH($J$1,Database!$A$1:$AS$1,),))))</f>
        <v>3.866644510740955E-3</v>
      </c>
      <c r="K134" s="13">
        <f>((((VLOOKUP(B134,Database!$A:$AS,MATCH($K$1,Database!$A$1:$AS$1,),))))-(((VLOOKUP(EDATE(B134,-12),Database!$A:$AS,MATCH($K$1,Database!$A$1:$AS$1,),)))))/(((VLOOKUP(EDATE(B134,-12),Database!$A:$AS,MATCH($K$1,Database!$A$1:$AS$1,),))))</f>
        <v>3.7403740372869268E-2</v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>8.5112875433963966E-3</v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>-5.8612820956978291E-2</v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>4.6088194228810421E-2</v>
      </c>
      <c r="O134" s="13">
        <f>((((VLOOKUP(B134,Database!$A:$AS,MATCH($O$1,Database!$A$1:$AS$1,),))))-(((VLOOKUP(EDATE(B134,-12),Database!$A:$AS,MATCH($O$1,Database!$A$1:$AS$1,),)))))/(((VLOOKUP(EDATE(B134,-12),Database!$A:$AS,MATCH($O$1,Database!$A$1:$AS$1,),))))</f>
        <v>2.6732904547001432E-2</v>
      </c>
      <c r="P134" s="13">
        <f>((((VLOOKUP(B134,Database!$A:$AS,MATCH($P$1,Database!$A$1:$AS$1,),))))-(((VLOOKUP(EDATE(B134,-12),Database!$A:$AS,MATCH($P$1,Database!$A$1:$AS$1,),)))))/(((VLOOKUP(EDATE(B134,-12),Database!$A:$AS,MATCH($P$1,Database!$A$1:$AS$1,),))))</f>
        <v>0.20395402297938428</v>
      </c>
      <c r="Q134" s="13">
        <f>((((VLOOKUP(B134,Database!$A:$AS,MATCH($Q$1,Database!$A$1:$AS$1,),))))-(((VLOOKUP(EDATE(B134,-12),Database!$A:$AS,MATCH($Q$1,Database!$A$1:$AS$1,),)))))/(((VLOOKUP(EDATE(B134,-12),Database!$A:$AS,MATCH($Q$1,Database!$A$1:$AS$1,),))))</f>
        <v>-3.8575994706434559E-2</v>
      </c>
      <c r="R134" s="13">
        <f>((((VLOOKUP(B134,Database!$A:$AS,MATCH($R$1,Database!$A$1:$AS$1,),))))-(((VLOOKUP(EDATE(B134,-12),Database!$A:$AS,MATCH($R$1,Database!$A$1:$AS$1,),)))))/(((VLOOKUP(EDATE(B134,-12),Database!$A:$AS,MATCH($R$1,Database!$A$1:$AS$1,),))))</f>
        <v>-5.5785700673030465E-2</v>
      </c>
      <c r="S134" s="13">
        <f>((((VLOOKUP(B134,Database!$A:$AS,MATCH($S$1,Database!$A$1:$AS$1,),))))-(((VLOOKUP(EDATE(B134,-12),Database!$A:$AS,MATCH($S$1,Database!$A$1:$AS$1,),)))))/(((VLOOKUP(EDATE(B134,-12),Database!$A:$AS,MATCH($S$1,Database!$A$1:$AS$1,),))))</f>
        <v>6.4285714264440838E-2</v>
      </c>
      <c r="T134" s="13">
        <f>((((VLOOKUP(B134,Database!$A:$AS,MATCH($T$1,Database!$A$1:$AS$1,),))))-(((VLOOKUP(EDATE(B134,-12),Database!$A:$AS,MATCH($T$1,Database!$A$1:$AS$1,),)))))/(((VLOOKUP(EDATE(B134,-12),Database!$A:$AS,MATCH($T$1,Database!$A$1:$AS$1,),))))</f>
        <v>-4.9773755656927605E-2</v>
      </c>
      <c r="U134" s="13">
        <f>((((VLOOKUP(B134,Database!$A:$AS,MATCH($U$1,Database!$A$1:$AS$1,),))))-(((VLOOKUP(EDATE(B134,-12),Database!$A:$AS,MATCH($U$1,Database!$A$1:$AS$1,),)))))/(((VLOOKUP(EDATE(B134,-12),Database!$A:$AS,MATCH($U$1,Database!$A$1:$AS$1,),))))</f>
        <v>-9.6097282119652669E-2</v>
      </c>
      <c r="V134" s="13">
        <f>((((VLOOKUP(B134,Database!$A:$AS,MATCH($V$1,Database!$A$1:$AS$1,),))))-(((VLOOKUP(EDATE(B134,-12),Database!$A:$AS,MATCH($V$1,Database!$A$1:$AS$1,),)))))/(((VLOOKUP(EDATE(B134,-12),Database!$A:$AS,MATCH($V$1,Database!$A$1:$AS$1,),))))</f>
        <v>1.8322507347696852E-2</v>
      </c>
    </row>
    <row r="135" spans="1:22" s="83" customFormat="1" x14ac:dyDescent="0.2">
      <c r="A135" s="43"/>
      <c r="B135" s="78">
        <v>36251</v>
      </c>
      <c r="C135" s="13">
        <f>((((VLOOKUP(B135,Database!$A:$AS,MATCH($C$1,Database!$A$1:$AS$1,),))))-(((VLOOKUP(EDATE(B135,-12),Database!$A:$AS,MATCH($C$1,Database!$A$1:$AS$1,),)))))/(((VLOOKUP(EDATE(B135,-12),Database!$A:$AS,MATCH($C$1,Database!$A$1:$AS$1,),))))</f>
        <v>4.1326058123998873E-2</v>
      </c>
      <c r="D135" s="13">
        <f>((((VLOOKUP(B135,Database!$A:$AS,MATCH($D$1,Database!$A$1:$AS$1,),))))-(((VLOOKUP(EDATE(B135,-12),Database!$A:$AS,MATCH($D$1,Database!$A$1:$AS$1,),)))))/(((VLOOKUP(EDATE(B135,-12),Database!$A:$AS,MATCH($D$1,Database!$A$1:$AS$1,),))))</f>
        <v>1.1235955056179137E-3</v>
      </c>
      <c r="E135" s="13">
        <f>((((VLOOKUP(B135,Database!$A:$AS,MATCH($E$1,Database!$A$1:$AS$1,),))))-(((VLOOKUP(EDATE(B135,-12),Database!$A:$AS,MATCH($E$1,Database!$A$1:$AS$1,),)))))/(((VLOOKUP(EDATE(B135,-12),Database!$A:$AS,MATCH($E$1,Database!$A$1:$AS$1,),))))</f>
        <v>-1.7894736845201004E-2</v>
      </c>
      <c r="F135" s="13">
        <f>((((VLOOKUP(B135,Database!$A:$AS,MATCH($F$1,Database!$A$1:$AS$1,),))))-(((VLOOKUP(EDATE(B135,-12),Database!$A:$AS,MATCH($F$1,Database!$A$1:$AS$1,),)))))/(((VLOOKUP(EDATE(B135,-12),Database!$A:$AS,MATCH($F$1,Database!$A$1:$AS$1,),))))</f>
        <v>-2.6666666703647379E-3</v>
      </c>
      <c r="G135" s="13">
        <f>((((VLOOKUP(B135,Database!$A:$AS,MATCH($G$1,Database!$A$1:$AS$1,),))))-(((VLOOKUP(EDATE(B135,-12),Database!$A:$AS,MATCH($G$1,Database!$A$1:$AS$1,),)))))/(((VLOOKUP(EDATE(B135,-12),Database!$A:$AS,MATCH($G$1,Database!$A$1:$AS$1,),))))</f>
        <v>1.0307254343771445E-2</v>
      </c>
      <c r="H135" s="13">
        <f>((((VLOOKUP(B135,Database!$A:$AS,MATCH($H$1,Database!$A$1:$AS$1,),))))-(((VLOOKUP(EDATE(B135,-12),Database!$A:$AS,MATCH($H$1,Database!$A$1:$AS$1,),)))))/(((VLOOKUP(EDATE(B135,-12),Database!$A:$AS,MATCH($H$1,Database!$A$1:$AS$1,),))))</f>
        <v>1.2571428566364222E-2</v>
      </c>
      <c r="I135" s="13">
        <f>((((VLOOKUP(B135,Database!$A:$AS,MATCH($I$1,Database!$A$1:$AS$1,),))))-(((VLOOKUP(EDATE(B135,-12),Database!$A:$AS,MATCH($I$1,Database!$A$1:$AS$1,),)))))/(((VLOOKUP(EDATE(B135,-12),Database!$A:$AS,MATCH($I$1,Database!$A$1:$AS$1,),))))</f>
        <v>-2.7441485066453795E-2</v>
      </c>
      <c r="J135" s="13">
        <f>((((VLOOKUP(B135,Database!$A:$AS,MATCH($J$1,Database!$A$1:$AS$1,),))))-(((VLOOKUP(EDATE(B135,-12),Database!$A:$AS,MATCH($J$1,Database!$A$1:$AS$1,),)))))/(((VLOOKUP(EDATE(B135,-12),Database!$A:$AS,MATCH($J$1,Database!$A$1:$AS$1,),))))</f>
        <v>2.1354012885581232E-2</v>
      </c>
      <c r="K135" s="13">
        <f>((((VLOOKUP(B135,Database!$A:$AS,MATCH($K$1,Database!$A$1:$AS$1,),))))-(((VLOOKUP(EDATE(B135,-12),Database!$A:$AS,MATCH($K$1,Database!$A$1:$AS$1,),)))))/(((VLOOKUP(EDATE(B135,-12),Database!$A:$AS,MATCH($K$1,Database!$A$1:$AS$1,),))))</f>
        <v>7.608695658900556E-3</v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>2.3399402427012429E-2</v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>-5.7711791505547949E-2</v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>4.9979788298463029E-2</v>
      </c>
      <c r="O135" s="13">
        <f>((((VLOOKUP(B135,Database!$A:$AS,MATCH($O$1,Database!$A$1:$AS$1,),))))-(((VLOOKUP(EDATE(B135,-12),Database!$A:$AS,MATCH($O$1,Database!$A$1:$AS$1,),)))))/(((VLOOKUP(EDATE(B135,-12),Database!$A:$AS,MATCH($O$1,Database!$A$1:$AS$1,),))))</f>
        <v>3.7552751858987751E-2</v>
      </c>
      <c r="P135" s="13">
        <f>((((VLOOKUP(B135,Database!$A:$AS,MATCH($P$1,Database!$A$1:$AS$1,),))))-(((VLOOKUP(EDATE(B135,-12),Database!$A:$AS,MATCH($P$1,Database!$A$1:$AS$1,),)))))/(((VLOOKUP(EDATE(B135,-12),Database!$A:$AS,MATCH($P$1,Database!$A$1:$AS$1,),))))</f>
        <v>0.20629359791843357</v>
      </c>
      <c r="Q135" s="13">
        <f>((((VLOOKUP(B135,Database!$A:$AS,MATCH($Q$1,Database!$A$1:$AS$1,),))))-(((VLOOKUP(EDATE(B135,-12),Database!$A:$AS,MATCH($Q$1,Database!$A$1:$AS$1,),)))))/(((VLOOKUP(EDATE(B135,-12),Database!$A:$AS,MATCH($Q$1,Database!$A$1:$AS$1,),))))</f>
        <v>-2.9951902061258997E-2</v>
      </c>
      <c r="R135" s="13">
        <f>((((VLOOKUP(B135,Database!$A:$AS,MATCH($R$1,Database!$A$1:$AS$1,),))))-(((VLOOKUP(EDATE(B135,-12),Database!$A:$AS,MATCH($R$1,Database!$A$1:$AS$1,),)))))/(((VLOOKUP(EDATE(B135,-12),Database!$A:$AS,MATCH($R$1,Database!$A$1:$AS$1,),))))</f>
        <v>-2.1619378844886381E-2</v>
      </c>
      <c r="S135" s="13">
        <f>((((VLOOKUP(B135,Database!$A:$AS,MATCH($S$1,Database!$A$1:$AS$1,),))))-(((VLOOKUP(EDATE(B135,-12),Database!$A:$AS,MATCH($S$1,Database!$A$1:$AS$1,),)))))/(((VLOOKUP(EDATE(B135,-12),Database!$A:$AS,MATCH($S$1,Database!$A$1:$AS$1,),))))</f>
        <v>0.11904761903219155</v>
      </c>
      <c r="T135" s="13">
        <f>((((VLOOKUP(B135,Database!$A:$AS,MATCH($T$1,Database!$A$1:$AS$1,),))))-(((VLOOKUP(EDATE(B135,-12),Database!$A:$AS,MATCH($T$1,Database!$A$1:$AS$1,),)))))/(((VLOOKUP(EDATE(B135,-12),Database!$A:$AS,MATCH($T$1,Database!$A$1:$AS$1,),))))</f>
        <v>-4.3879907624820989E-2</v>
      </c>
      <c r="U135" s="13">
        <f>((((VLOOKUP(B135,Database!$A:$AS,MATCH($U$1,Database!$A$1:$AS$1,),))))-(((VLOOKUP(EDATE(B135,-12),Database!$A:$AS,MATCH($U$1,Database!$A$1:$AS$1,),)))))/(((VLOOKUP(EDATE(B135,-12),Database!$A:$AS,MATCH($U$1,Database!$A$1:$AS$1,),))))</f>
        <v>-7.0477586730419692E-2</v>
      </c>
      <c r="V135" s="13">
        <f>((((VLOOKUP(B135,Database!$A:$AS,MATCH($V$1,Database!$A$1:$AS$1,),))))-(((VLOOKUP(EDATE(B135,-12),Database!$A:$AS,MATCH($V$1,Database!$A$1:$AS$1,),)))))/(((VLOOKUP(EDATE(B135,-12),Database!$A:$AS,MATCH($V$1,Database!$A$1:$AS$1,),))))</f>
        <v>-3.6993237432518202E-4</v>
      </c>
    </row>
    <row r="136" spans="1:22" s="83" customFormat="1" x14ac:dyDescent="0.2">
      <c r="A136" s="43"/>
      <c r="B136" s="78">
        <v>36281</v>
      </c>
      <c r="C136" s="13">
        <f>((((VLOOKUP(B136,Database!$A:$AS,MATCH($C$1,Database!$A$1:$AS$1,),))))-(((VLOOKUP(EDATE(B136,-12),Database!$A:$AS,MATCH($C$1,Database!$A$1:$AS$1,),)))))/(((VLOOKUP(EDATE(B136,-12),Database!$A:$AS,MATCH($C$1,Database!$A$1:$AS$1,),))))</f>
        <v>4.1301370905068073E-2</v>
      </c>
      <c r="D136" s="13">
        <f>((((VLOOKUP(B136,Database!$A:$AS,MATCH($D$1,Database!$A$1:$AS$1,),))))-(((VLOOKUP(EDATE(B136,-12),Database!$A:$AS,MATCH($D$1,Database!$A$1:$AS$1,),)))))/(((VLOOKUP(EDATE(B136,-12),Database!$A:$AS,MATCH($D$1,Database!$A$1:$AS$1,),))))</f>
        <v>-1.1198208286673497E-3</v>
      </c>
      <c r="E136" s="13">
        <f>((((VLOOKUP(B136,Database!$A:$AS,MATCH($E$1,Database!$A$1:$AS$1,),))))-(((VLOOKUP(EDATE(B136,-12),Database!$A:$AS,MATCH($E$1,Database!$A$1:$AS$1,),)))))/(((VLOOKUP(EDATE(B136,-12),Database!$A:$AS,MATCH($E$1,Database!$A$1:$AS$1,),))))</f>
        <v>5.3022269280027694E-3</v>
      </c>
      <c r="F136" s="13">
        <f>((((VLOOKUP(B136,Database!$A:$AS,MATCH($F$1,Database!$A$1:$AS$1,),))))-(((VLOOKUP(EDATE(B136,-12),Database!$A:$AS,MATCH($F$1,Database!$A$1:$AS$1,),)))))/(((VLOOKUP(EDATE(B136,-12),Database!$A:$AS,MATCH($F$1,Database!$A$1:$AS$1,),))))</f>
        <v>-1.3262599421647858E-3</v>
      </c>
      <c r="G136" s="13">
        <f>((((VLOOKUP(B136,Database!$A:$AS,MATCH($G$1,Database!$A$1:$AS$1,),))))-(((VLOOKUP(EDATE(B136,-12),Database!$A:$AS,MATCH($G$1,Database!$A$1:$AS$1,),)))))/(((VLOOKUP(EDATE(B136,-12),Database!$A:$AS,MATCH($G$1,Database!$A$1:$AS$1,),))))</f>
        <v>1.9389238972369232E-3</v>
      </c>
      <c r="H136" s="13">
        <f>((((VLOOKUP(B136,Database!$A:$AS,MATCH($H$1,Database!$A$1:$AS$1,),))))-(((VLOOKUP(EDATE(B136,-12),Database!$A:$AS,MATCH($H$1,Database!$A$1:$AS$1,),)))))/(((VLOOKUP(EDATE(B136,-12),Database!$A:$AS,MATCH($H$1,Database!$A$1:$AS$1,),))))</f>
        <v>4.8723897906952626E-2</v>
      </c>
      <c r="I136" s="13">
        <f>((((VLOOKUP(B136,Database!$A:$AS,MATCH($I$1,Database!$A$1:$AS$1,),))))-(((VLOOKUP(EDATE(B136,-12),Database!$A:$AS,MATCH($I$1,Database!$A$1:$AS$1,),)))))/(((VLOOKUP(EDATE(B136,-12),Database!$A:$AS,MATCH($I$1,Database!$A$1:$AS$1,),))))</f>
        <v>-3.3144704932775521E-2</v>
      </c>
      <c r="J136" s="13">
        <f>((((VLOOKUP(B136,Database!$A:$AS,MATCH($J$1,Database!$A$1:$AS$1,),))))-(((VLOOKUP(EDATE(B136,-12),Database!$A:$AS,MATCH($J$1,Database!$A$1:$AS$1,),)))))/(((VLOOKUP(EDATE(B136,-12),Database!$A:$AS,MATCH($J$1,Database!$A$1:$AS$1,),))))</f>
        <v>6.9893307148478755E-3</v>
      </c>
      <c r="K136" s="13">
        <f>((((VLOOKUP(B136,Database!$A:$AS,MATCH($K$1,Database!$A$1:$AS$1,),))))-(((VLOOKUP(EDATE(B136,-12),Database!$A:$AS,MATCH($K$1,Database!$A$1:$AS$1,),)))))/(((VLOOKUP(EDATE(B136,-12),Database!$A:$AS,MATCH($K$1,Database!$A$1:$AS$1,),))))</f>
        <v>3.5359116015845418E-2</v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>1.3619226630541735E-2</v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>-1.1373475485005965E-2</v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>7.4429059764507283E-2</v>
      </c>
      <c r="O136" s="13">
        <f>((((VLOOKUP(B136,Database!$A:$AS,MATCH($O$1,Database!$A$1:$AS$1,),))))-(((VLOOKUP(EDATE(B136,-12),Database!$A:$AS,MATCH($O$1,Database!$A$1:$AS$1,),)))))/(((VLOOKUP(EDATE(B136,-12),Database!$A:$AS,MATCH($O$1,Database!$A$1:$AS$1,),))))</f>
        <v>4.3957187543520328E-2</v>
      </c>
      <c r="P136" s="13">
        <f>((((VLOOKUP(B136,Database!$A:$AS,MATCH($P$1,Database!$A$1:$AS$1,),))))-(((VLOOKUP(EDATE(B136,-12),Database!$A:$AS,MATCH($P$1,Database!$A$1:$AS$1,),)))))/(((VLOOKUP(EDATE(B136,-12),Database!$A:$AS,MATCH($P$1,Database!$A$1:$AS$1,),))))</f>
        <v>0.25777777777219191</v>
      </c>
      <c r="Q136" s="13">
        <f>((((VLOOKUP(B136,Database!$A:$AS,MATCH($Q$1,Database!$A$1:$AS$1,),))))-(((VLOOKUP(EDATE(B136,-12),Database!$A:$AS,MATCH($Q$1,Database!$A$1:$AS$1,),)))))/(((VLOOKUP(EDATE(B136,-12),Database!$A:$AS,MATCH($Q$1,Database!$A$1:$AS$1,),))))</f>
        <v>-3.1410806172703469E-2</v>
      </c>
      <c r="R136" s="13">
        <f>((((VLOOKUP(B136,Database!$A:$AS,MATCH($R$1,Database!$A$1:$AS$1,),))))-(((VLOOKUP(EDATE(B136,-12),Database!$A:$AS,MATCH($R$1,Database!$A$1:$AS$1,),)))))/(((VLOOKUP(EDATE(B136,-12),Database!$A:$AS,MATCH($R$1,Database!$A$1:$AS$1,),))))</f>
        <v>3.5667750518308138E-2</v>
      </c>
      <c r="S136" s="13">
        <f>((((VLOOKUP(B136,Database!$A:$AS,MATCH($S$1,Database!$A$1:$AS$1,),))))-(((VLOOKUP(EDATE(B136,-12),Database!$A:$AS,MATCH($S$1,Database!$A$1:$AS$1,),)))))/(((VLOOKUP(EDATE(B136,-12),Database!$A:$AS,MATCH($S$1,Database!$A$1:$AS$1,),))))</f>
        <v>0.11956521736642417</v>
      </c>
      <c r="T136" s="13">
        <f>((((VLOOKUP(B136,Database!$A:$AS,MATCH($T$1,Database!$A$1:$AS$1,),))))-(((VLOOKUP(EDATE(B136,-12),Database!$A:$AS,MATCH($T$1,Database!$A$1:$AS$1,),)))))/(((VLOOKUP(EDATE(B136,-12),Database!$A:$AS,MATCH($T$1,Database!$A$1:$AS$1,),))))</f>
        <v>-3.3860045137299358E-2</v>
      </c>
      <c r="U136" s="13">
        <f>((((VLOOKUP(B136,Database!$A:$AS,MATCH($U$1,Database!$A$1:$AS$1,),))))-(((VLOOKUP(EDATE(B136,-12),Database!$A:$AS,MATCH($U$1,Database!$A$1:$AS$1,),)))))/(((VLOOKUP(EDATE(B136,-12),Database!$A:$AS,MATCH($U$1,Database!$A$1:$AS$1,),))))</f>
        <v>-1.8452386276662399E-2</v>
      </c>
      <c r="V136" s="13">
        <f>((((VLOOKUP(B136,Database!$A:$AS,MATCH($V$1,Database!$A$1:$AS$1,),))))-(((VLOOKUP(EDATE(B136,-12),Database!$A:$AS,MATCH($V$1,Database!$A$1:$AS$1,),)))))/(((VLOOKUP(EDATE(B136,-12),Database!$A:$AS,MATCH($V$1,Database!$A$1:$AS$1,),))))</f>
        <v>3.2203365912158603E-2</v>
      </c>
    </row>
    <row r="137" spans="1:22" s="83" customFormat="1" x14ac:dyDescent="0.2">
      <c r="A137" s="43"/>
      <c r="B137" s="78">
        <v>36312</v>
      </c>
      <c r="C137" s="13">
        <f>((((VLOOKUP(B137,Database!$A:$AS,MATCH($C$1,Database!$A$1:$AS$1,),))))-(((VLOOKUP(EDATE(B137,-12),Database!$A:$AS,MATCH($C$1,Database!$A$1:$AS$1,),)))))/(((VLOOKUP(EDATE(B137,-12),Database!$A:$AS,MATCH($C$1,Database!$A$1:$AS$1,),))))</f>
        <v>4.6850514127329143E-2</v>
      </c>
      <c r="D137" s="13">
        <f>((((VLOOKUP(B137,Database!$A:$AS,MATCH($D$1,Database!$A$1:$AS$1,),))))-(((VLOOKUP(EDATE(B137,-12),Database!$A:$AS,MATCH($D$1,Database!$A$1:$AS$1,),)))))/(((VLOOKUP(EDATE(B137,-12),Database!$A:$AS,MATCH($D$1,Database!$A$1:$AS$1,),))))</f>
        <v>1.2373453318335143E-2</v>
      </c>
      <c r="E137" s="13">
        <f>((((VLOOKUP(B137,Database!$A:$AS,MATCH($E$1,Database!$A$1:$AS$1,),))))-(((VLOOKUP(EDATE(B137,-12),Database!$A:$AS,MATCH($E$1,Database!$A$1:$AS$1,),)))))/(((VLOOKUP(EDATE(B137,-12),Database!$A:$AS,MATCH($E$1,Database!$A$1:$AS$1,),))))</f>
        <v>-2.120890779181954E-3</v>
      </c>
      <c r="F137" s="13">
        <f>((((VLOOKUP(B137,Database!$A:$AS,MATCH($F$1,Database!$A$1:$AS$1,),))))-(((VLOOKUP(EDATE(B137,-12),Database!$A:$AS,MATCH($F$1,Database!$A$1:$AS$1,),)))))/(((VLOOKUP(EDATE(B137,-12),Database!$A:$AS,MATCH($F$1,Database!$A$1:$AS$1,),))))</f>
        <v>6.6844919812194259E-3</v>
      </c>
      <c r="G137" s="13">
        <f>((((VLOOKUP(B137,Database!$A:$AS,MATCH($G$1,Database!$A$1:$AS$1,),))))-(((VLOOKUP(EDATE(B137,-12),Database!$A:$AS,MATCH($G$1,Database!$A$1:$AS$1,),)))))/(((VLOOKUP(EDATE(B137,-12),Database!$A:$AS,MATCH($G$1,Database!$A$1:$AS$1,),))))</f>
        <v>2.2345823575331693E-2</v>
      </c>
      <c r="H137" s="13">
        <f>((((VLOOKUP(B137,Database!$A:$AS,MATCH($H$1,Database!$A$1:$AS$1,),))))-(((VLOOKUP(EDATE(B137,-12),Database!$A:$AS,MATCH($H$1,Database!$A$1:$AS$1,),)))))/(((VLOOKUP(EDATE(B137,-12),Database!$A:$AS,MATCH($H$1,Database!$A$1:$AS$1,),))))</f>
        <v>5.6140350879596922E-2</v>
      </c>
      <c r="I137" s="13">
        <f>((((VLOOKUP(B137,Database!$A:$AS,MATCH($I$1,Database!$A$1:$AS$1,),))))-(((VLOOKUP(EDATE(B137,-12),Database!$A:$AS,MATCH($I$1,Database!$A$1:$AS$1,),)))))/(((VLOOKUP(EDATE(B137,-12),Database!$A:$AS,MATCH($I$1,Database!$A$1:$AS$1,),))))</f>
        <v>-1.6194331982002555E-2</v>
      </c>
      <c r="J137" s="13">
        <f>((((VLOOKUP(B137,Database!$A:$AS,MATCH($J$1,Database!$A$1:$AS$1,),))))-(((VLOOKUP(EDATE(B137,-12),Database!$A:$AS,MATCH($J$1,Database!$A$1:$AS$1,),)))))/(((VLOOKUP(EDATE(B137,-12),Database!$A:$AS,MATCH($J$1,Database!$A$1:$AS$1,),))))</f>
        <v>2.1196306001921995E-2</v>
      </c>
      <c r="K137" s="13">
        <f>((((VLOOKUP(B137,Database!$A:$AS,MATCH($K$1,Database!$A$1:$AS$1,),))))-(((VLOOKUP(EDATE(B137,-12),Database!$A:$AS,MATCH($K$1,Database!$A$1:$AS$1,),)))))/(((VLOOKUP(EDATE(B137,-12),Database!$A:$AS,MATCH($K$1,Database!$A$1:$AS$1,),))))</f>
        <v>1.7278617707550563E-2</v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>2.1095620577920877E-2</v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>4.0288843852491632E-3</v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>4.7279253685877896E-2</v>
      </c>
      <c r="O137" s="13">
        <f>((((VLOOKUP(B137,Database!$A:$AS,MATCH($O$1,Database!$A$1:$AS$1,),))))-(((VLOOKUP(EDATE(B137,-12),Database!$A:$AS,MATCH($O$1,Database!$A$1:$AS$1,),)))))/(((VLOOKUP(EDATE(B137,-12),Database!$A:$AS,MATCH($O$1,Database!$A$1:$AS$1,),))))</f>
        <v>5.8938054766769728E-2</v>
      </c>
      <c r="P137" s="13">
        <f>((((VLOOKUP(B137,Database!$A:$AS,MATCH($P$1,Database!$A$1:$AS$1,),))))-(((VLOOKUP(EDATE(B137,-12),Database!$A:$AS,MATCH($P$1,Database!$A$1:$AS$1,),)))))/(((VLOOKUP(EDATE(B137,-12),Database!$A:$AS,MATCH($P$1,Database!$A$1:$AS$1,),))))</f>
        <v>0.28445729565751676</v>
      </c>
      <c r="Q137" s="13">
        <f>((((VLOOKUP(B137,Database!$A:$AS,MATCH($Q$1,Database!$A$1:$AS$1,),))))-(((VLOOKUP(EDATE(B137,-12),Database!$A:$AS,MATCH($Q$1,Database!$A$1:$AS$1,),)))))/(((VLOOKUP(EDATE(B137,-12),Database!$A:$AS,MATCH($Q$1,Database!$A$1:$AS$1,),))))</f>
        <v>-2.4361065798101635E-2</v>
      </c>
      <c r="R137" s="13">
        <f>((((VLOOKUP(B137,Database!$A:$AS,MATCH($R$1,Database!$A$1:$AS$1,),))))-(((VLOOKUP(EDATE(B137,-12),Database!$A:$AS,MATCH($R$1,Database!$A$1:$AS$1,),)))))/(((VLOOKUP(EDATE(B137,-12),Database!$A:$AS,MATCH($R$1,Database!$A$1:$AS$1,),))))</f>
        <v>2.3786183807914633E-2</v>
      </c>
      <c r="S137" s="13">
        <f>((((VLOOKUP(B137,Database!$A:$AS,MATCH($S$1,Database!$A$1:$AS$1,),))))-(((VLOOKUP(EDATE(B137,-12),Database!$A:$AS,MATCH($S$1,Database!$A$1:$AS$1,),)))))/(((VLOOKUP(EDATE(B137,-12),Database!$A:$AS,MATCH($S$1,Database!$A$1:$AS$1,),))))</f>
        <v>0.14285714284843878</v>
      </c>
      <c r="T137" s="13">
        <f>((((VLOOKUP(B137,Database!$A:$AS,MATCH($T$1,Database!$A$1:$AS$1,),))))-(((VLOOKUP(EDATE(B137,-12),Database!$A:$AS,MATCH($T$1,Database!$A$1:$AS$1,),)))))/(((VLOOKUP(EDATE(B137,-12),Database!$A:$AS,MATCH($T$1,Database!$A$1:$AS$1,),))))</f>
        <v>1.1820330973794511E-2</v>
      </c>
      <c r="U137" s="13">
        <f>((((VLOOKUP(B137,Database!$A:$AS,MATCH($U$1,Database!$A$1:$AS$1,),))))-(((VLOOKUP(EDATE(B137,-12),Database!$A:$AS,MATCH($U$1,Database!$A$1:$AS$1,),)))))/(((VLOOKUP(EDATE(B137,-12),Database!$A:$AS,MATCH($U$1,Database!$A$1:$AS$1,),))))</f>
        <v>-3.8157748000242707E-2</v>
      </c>
      <c r="V137" s="13">
        <f>((((VLOOKUP(B137,Database!$A:$AS,MATCH($V$1,Database!$A$1:$AS$1,),))))-(((VLOOKUP(EDATE(B137,-12),Database!$A:$AS,MATCH($V$1,Database!$A$1:$AS$1,),)))))/(((VLOOKUP(EDATE(B137,-12),Database!$A:$AS,MATCH($V$1,Database!$A$1:$AS$1,),))))</f>
        <v>1.2158920721986217E-3</v>
      </c>
    </row>
    <row r="138" spans="1:22" s="83" customFormat="1" x14ac:dyDescent="0.2">
      <c r="A138" s="43"/>
      <c r="B138" s="78">
        <v>36342</v>
      </c>
      <c r="C138" s="13">
        <f>((((VLOOKUP(B138,Database!$A:$AS,MATCH($C$1,Database!$A$1:$AS$1,),))))-(((VLOOKUP(EDATE(B138,-12),Database!$A:$AS,MATCH($C$1,Database!$A$1:$AS$1,),)))))/(((VLOOKUP(EDATE(B138,-12),Database!$A:$AS,MATCH($C$1,Database!$A$1:$AS$1,),))))</f>
        <v>5.7273015037873368E-2</v>
      </c>
      <c r="D138" s="13">
        <f>((((VLOOKUP(B138,Database!$A:$AS,MATCH($D$1,Database!$A$1:$AS$1,),))))-(((VLOOKUP(EDATE(B138,-12),Database!$A:$AS,MATCH($D$1,Database!$A$1:$AS$1,),)))))/(((VLOOKUP(EDATE(B138,-12),Database!$A:$AS,MATCH($D$1,Database!$A$1:$AS$1,),))))</f>
        <v>7.7864293659620533E-3</v>
      </c>
      <c r="E138" s="13">
        <f>((((VLOOKUP(B138,Database!$A:$AS,MATCH($E$1,Database!$A$1:$AS$1,),))))-(((VLOOKUP(EDATE(B138,-12),Database!$A:$AS,MATCH($E$1,Database!$A$1:$AS$1,),)))))/(((VLOOKUP(EDATE(B138,-12),Database!$A:$AS,MATCH($E$1,Database!$A$1:$AS$1,),))))</f>
        <v>5.3134962832510858E-3</v>
      </c>
      <c r="F138" s="13">
        <f>((((VLOOKUP(B138,Database!$A:$AS,MATCH($F$1,Database!$A$1:$AS$1,),))))-(((VLOOKUP(EDATE(B138,-12),Database!$A:$AS,MATCH($F$1,Database!$A$1:$AS$1,),)))))/(((VLOOKUP(EDATE(B138,-12),Database!$A:$AS,MATCH($F$1,Database!$A$1:$AS$1,),))))</f>
        <v>-6.5445026203367644E-3</v>
      </c>
      <c r="G138" s="13">
        <f>((((VLOOKUP(B138,Database!$A:$AS,MATCH($G$1,Database!$A$1:$AS$1,),))))-(((VLOOKUP(EDATE(B138,-12),Database!$A:$AS,MATCH($G$1,Database!$A$1:$AS$1,),)))))/(((VLOOKUP(EDATE(B138,-12),Database!$A:$AS,MATCH($G$1,Database!$A$1:$AS$1,),))))</f>
        <v>1.8622696411251229E-2</v>
      </c>
      <c r="H138" s="13">
        <f>((((VLOOKUP(B138,Database!$A:$AS,MATCH($H$1,Database!$A$1:$AS$1,),))))-(((VLOOKUP(EDATE(B138,-12),Database!$A:$AS,MATCH($H$1,Database!$A$1:$AS$1,),)))))/(((VLOOKUP(EDATE(B138,-12),Database!$A:$AS,MATCH($H$1,Database!$A$1:$AS$1,),))))</f>
        <v>7.8823529411159846E-2</v>
      </c>
      <c r="I138" s="13">
        <f>((((VLOOKUP(B138,Database!$A:$AS,MATCH($I$1,Database!$A$1:$AS$1,),))))-(((VLOOKUP(EDATE(B138,-12),Database!$A:$AS,MATCH($I$1,Database!$A$1:$AS$1,),)))))/(((VLOOKUP(EDATE(B138,-12),Database!$A:$AS,MATCH($I$1,Database!$A$1:$AS$1,),))))</f>
        <v>-7.2992700709797872E-3</v>
      </c>
      <c r="J138" s="13">
        <f>((((VLOOKUP(B138,Database!$A:$AS,MATCH($J$1,Database!$A$1:$AS$1,),))))-(((VLOOKUP(EDATE(B138,-12),Database!$A:$AS,MATCH($J$1,Database!$A$1:$AS$1,),)))))/(((VLOOKUP(EDATE(B138,-12),Database!$A:$AS,MATCH($J$1,Database!$A$1:$AS$1,),))))</f>
        <v>4.0854683089666152E-2</v>
      </c>
      <c r="K138" s="13">
        <f>((((VLOOKUP(B138,Database!$A:$AS,MATCH($K$1,Database!$A$1:$AS$1,),))))-(((VLOOKUP(EDATE(B138,-12),Database!$A:$AS,MATCH($K$1,Database!$A$1:$AS$1,),)))))/(((VLOOKUP(EDATE(B138,-12),Database!$A:$AS,MATCH($K$1,Database!$A$1:$AS$1,),))))</f>
        <v>6.4308681713780378E-3</v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>2.3143167009486602E-2</v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>6.0987850009656369E-2</v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>6.4574094826055667E-2</v>
      </c>
      <c r="O138" s="13">
        <f>((((VLOOKUP(B138,Database!$A:$AS,MATCH($O$1,Database!$A$1:$AS$1,),))))-(((VLOOKUP(EDATE(B138,-12),Database!$A:$AS,MATCH($O$1,Database!$A$1:$AS$1,),)))))/(((VLOOKUP(EDATE(B138,-12),Database!$A:$AS,MATCH($O$1,Database!$A$1:$AS$1,),))))</f>
        <v>8.1849974841075201E-2</v>
      </c>
      <c r="P138" s="13">
        <f>((((VLOOKUP(B138,Database!$A:$AS,MATCH($P$1,Database!$A$1:$AS$1,),))))-(((VLOOKUP(EDATE(B138,-12),Database!$A:$AS,MATCH($P$1,Database!$A$1:$AS$1,),)))))/(((VLOOKUP(EDATE(B138,-12),Database!$A:$AS,MATCH($P$1,Database!$A$1:$AS$1,),))))</f>
        <v>0.35188475693256027</v>
      </c>
      <c r="Q138" s="13">
        <f>((((VLOOKUP(B138,Database!$A:$AS,MATCH($Q$1,Database!$A$1:$AS$1,),))))-(((VLOOKUP(EDATE(B138,-12),Database!$A:$AS,MATCH($Q$1,Database!$A$1:$AS$1,),)))))/(((VLOOKUP(EDATE(B138,-12),Database!$A:$AS,MATCH($Q$1,Database!$A$1:$AS$1,),))))</f>
        <v>-4.4748759972284967E-2</v>
      </c>
      <c r="R138" s="13">
        <f>((((VLOOKUP(B138,Database!$A:$AS,MATCH($R$1,Database!$A$1:$AS$1,),))))-(((VLOOKUP(EDATE(B138,-12),Database!$A:$AS,MATCH($R$1,Database!$A$1:$AS$1,),)))))/(((VLOOKUP(EDATE(B138,-12),Database!$A:$AS,MATCH($R$1,Database!$A$1:$AS$1,),))))</f>
        <v>4.1033119613569168E-2</v>
      </c>
      <c r="S138" s="13">
        <f>((((VLOOKUP(B138,Database!$A:$AS,MATCH($S$1,Database!$A$1:$AS$1,),))))-(((VLOOKUP(EDATE(B138,-12),Database!$A:$AS,MATCH($S$1,Database!$A$1:$AS$1,),)))))/(((VLOOKUP(EDATE(B138,-12),Database!$A:$AS,MATCH($S$1,Database!$A$1:$AS$1,),))))</f>
        <v>0.17277486912149251</v>
      </c>
      <c r="T138" s="13">
        <f>((((VLOOKUP(B138,Database!$A:$AS,MATCH($T$1,Database!$A$1:$AS$1,),))))-(((VLOOKUP(EDATE(B138,-12),Database!$A:$AS,MATCH($T$1,Database!$A$1:$AS$1,),)))))/(((VLOOKUP(EDATE(B138,-12),Database!$A:$AS,MATCH($T$1,Database!$A$1:$AS$1,),))))</f>
        <v>-1.4051522244404029E-2</v>
      </c>
      <c r="U138" s="13">
        <f>((((VLOOKUP(B138,Database!$A:$AS,MATCH($U$1,Database!$A$1:$AS$1,),))))-(((VLOOKUP(EDATE(B138,-12),Database!$A:$AS,MATCH($U$1,Database!$A$1:$AS$1,),)))))/(((VLOOKUP(EDATE(B138,-12),Database!$A:$AS,MATCH($U$1,Database!$A$1:$AS$1,),))))</f>
        <v>-5.1069577226005462E-2</v>
      </c>
      <c r="V138" s="13">
        <f>((((VLOOKUP(B138,Database!$A:$AS,MATCH($V$1,Database!$A$1:$AS$1,),))))-(((VLOOKUP(EDATE(B138,-12),Database!$A:$AS,MATCH($V$1,Database!$A$1:$AS$1,),)))))/(((VLOOKUP(EDATE(B138,-12),Database!$A:$AS,MATCH($V$1,Database!$A$1:$AS$1,),))))</f>
        <v>4.0403819833808363E-2</v>
      </c>
    </row>
    <row r="139" spans="1:22" s="83" customFormat="1" x14ac:dyDescent="0.2">
      <c r="A139" s="43"/>
      <c r="B139" s="78">
        <v>36373</v>
      </c>
      <c r="C139" s="13">
        <f>((((VLOOKUP(B139,Database!$A:$AS,MATCH($C$1,Database!$A$1:$AS$1,),))))-(((VLOOKUP(EDATE(B139,-12),Database!$A:$AS,MATCH($C$1,Database!$A$1:$AS$1,),)))))/(((VLOOKUP(EDATE(B139,-12),Database!$A:$AS,MATCH($C$1,Database!$A$1:$AS$1,),))))</f>
        <v>4.0270405694249341E-2</v>
      </c>
      <c r="D139" s="13">
        <f>((((VLOOKUP(B139,Database!$A:$AS,MATCH($D$1,Database!$A$1:$AS$1,),))))-(((VLOOKUP(EDATE(B139,-12),Database!$A:$AS,MATCH($D$1,Database!$A$1:$AS$1,),)))))/(((VLOOKUP(EDATE(B139,-12),Database!$A:$AS,MATCH($D$1,Database!$A$1:$AS$1,),))))</f>
        <v>2.2573363431151242E-2</v>
      </c>
      <c r="E139" s="13">
        <f>((((VLOOKUP(B139,Database!$A:$AS,MATCH($E$1,Database!$A$1:$AS$1,),))))-(((VLOOKUP(EDATE(B139,-12),Database!$A:$AS,MATCH($E$1,Database!$A$1:$AS$1,),)))))/(((VLOOKUP(EDATE(B139,-12),Database!$A:$AS,MATCH($E$1,Database!$A$1:$AS$1,),))))</f>
        <v>3.3549783558785587E-2</v>
      </c>
      <c r="F139" s="13">
        <f>((((VLOOKUP(B139,Database!$A:$AS,MATCH($F$1,Database!$A$1:$AS$1,),))))-(((VLOOKUP(EDATE(B139,-12),Database!$A:$AS,MATCH($F$1,Database!$A$1:$AS$1,),)))))/(((VLOOKUP(EDATE(B139,-12),Database!$A:$AS,MATCH($F$1,Database!$A$1:$AS$1,),))))</f>
        <v>2.543507362961895E-2</v>
      </c>
      <c r="G139" s="13">
        <f>((((VLOOKUP(B139,Database!$A:$AS,MATCH($G$1,Database!$A$1:$AS$1,),))))-(((VLOOKUP(EDATE(B139,-12),Database!$A:$AS,MATCH($G$1,Database!$A$1:$AS$1,),)))))/(((VLOOKUP(EDATE(B139,-12),Database!$A:$AS,MATCH($G$1,Database!$A$1:$AS$1,),))))</f>
        <v>2.5477707006369449E-2</v>
      </c>
      <c r="H139" s="13">
        <f>((((VLOOKUP(B139,Database!$A:$AS,MATCH($H$1,Database!$A$1:$AS$1,),))))-(((VLOOKUP(EDATE(B139,-12),Database!$A:$AS,MATCH($H$1,Database!$A$1:$AS$1,),)))))/(((VLOOKUP(EDATE(B139,-12),Database!$A:$AS,MATCH($H$1,Database!$A$1:$AS$1,),))))</f>
        <v>8.450704225106162E-2</v>
      </c>
      <c r="I139" s="13">
        <f>((((VLOOKUP(B139,Database!$A:$AS,MATCH($I$1,Database!$A$1:$AS$1,),))))-(((VLOOKUP(EDATE(B139,-12),Database!$A:$AS,MATCH($I$1,Database!$A$1:$AS$1,),)))))/(((VLOOKUP(EDATE(B139,-12),Database!$A:$AS,MATCH($I$1,Database!$A$1:$AS$1,),))))</f>
        <v>1.3157894738681867E-2</v>
      </c>
      <c r="J139" s="13">
        <f>((((VLOOKUP(B139,Database!$A:$AS,MATCH($J$1,Database!$A$1:$AS$1,),))))-(((VLOOKUP(EDATE(B139,-12),Database!$A:$AS,MATCH($J$1,Database!$A$1:$AS$1,),)))))/(((VLOOKUP(EDATE(B139,-12),Database!$A:$AS,MATCH($J$1,Database!$A$1:$AS$1,),))))</f>
        <v>2.4897739876536887E-2</v>
      </c>
      <c r="K139" s="13">
        <f>((((VLOOKUP(B139,Database!$A:$AS,MATCH($K$1,Database!$A$1:$AS$1,),))))-(((VLOOKUP(EDATE(B139,-12),Database!$A:$AS,MATCH($K$1,Database!$A$1:$AS$1,),)))))/(((VLOOKUP(EDATE(B139,-12),Database!$A:$AS,MATCH($K$1,Database!$A$1:$AS$1,),))))</f>
        <v>-2.118644068464242E-2</v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>1.40854598929974E-2</v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>7.3834909310838567E-2</v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>6.7912917727324912E-2</v>
      </c>
      <c r="O139" s="13">
        <f>((((VLOOKUP(B139,Database!$A:$AS,MATCH($O$1,Database!$A$1:$AS$1,),))))-(((VLOOKUP(EDATE(B139,-12),Database!$A:$AS,MATCH($O$1,Database!$A$1:$AS$1,),)))))/(((VLOOKUP(EDATE(B139,-12),Database!$A:$AS,MATCH($O$1,Database!$A$1:$AS$1,),))))</f>
        <v>6.4824219543203554E-2</v>
      </c>
      <c r="P139" s="13">
        <f>((((VLOOKUP(B139,Database!$A:$AS,MATCH($P$1,Database!$A$1:$AS$1,),))))-(((VLOOKUP(EDATE(B139,-12),Database!$A:$AS,MATCH($P$1,Database!$A$1:$AS$1,),)))))/(((VLOOKUP(EDATE(B139,-12),Database!$A:$AS,MATCH($P$1,Database!$A$1:$AS$1,),))))</f>
        <v>0.29856750991647352</v>
      </c>
      <c r="Q139" s="13">
        <f>((((VLOOKUP(B139,Database!$A:$AS,MATCH($Q$1,Database!$A$1:$AS$1,),))))-(((VLOOKUP(EDATE(B139,-12),Database!$A:$AS,MATCH($Q$1,Database!$A$1:$AS$1,),)))))/(((VLOOKUP(EDATE(B139,-12),Database!$A:$AS,MATCH($Q$1,Database!$A$1:$AS$1,),))))</f>
        <v>-1.2390350879719091E-2</v>
      </c>
      <c r="R139" s="13">
        <f>((((VLOOKUP(B139,Database!$A:$AS,MATCH($R$1,Database!$A$1:$AS$1,),))))-(((VLOOKUP(EDATE(B139,-12),Database!$A:$AS,MATCH($R$1,Database!$A$1:$AS$1,),)))))/(((VLOOKUP(EDATE(B139,-12),Database!$A:$AS,MATCH($R$1,Database!$A$1:$AS$1,),))))</f>
        <v>7.3741589042270999E-3</v>
      </c>
      <c r="S139" s="13">
        <f>((((VLOOKUP(B139,Database!$A:$AS,MATCH($S$1,Database!$A$1:$AS$1,),))))-(((VLOOKUP(EDATE(B139,-12),Database!$A:$AS,MATCH($S$1,Database!$A$1:$AS$1,),)))))/(((VLOOKUP(EDATE(B139,-12),Database!$A:$AS,MATCH($S$1,Database!$A$1:$AS$1,),))))</f>
        <v>8.1666666690579731E-2</v>
      </c>
      <c r="T139" s="13">
        <f>((((VLOOKUP(B139,Database!$A:$AS,MATCH($T$1,Database!$A$1:$AS$1,),))))-(((VLOOKUP(EDATE(B139,-12),Database!$A:$AS,MATCH($T$1,Database!$A$1:$AS$1,),)))))/(((VLOOKUP(EDATE(B139,-12),Database!$A:$AS,MATCH($T$1,Database!$A$1:$AS$1,),))))</f>
        <v>-7.9069767435910765E-2</v>
      </c>
      <c r="U139" s="13">
        <f>((((VLOOKUP(B139,Database!$A:$AS,MATCH($U$1,Database!$A$1:$AS$1,),))))-(((VLOOKUP(EDATE(B139,-12),Database!$A:$AS,MATCH($U$1,Database!$A$1:$AS$1,),)))))/(((VLOOKUP(EDATE(B139,-12),Database!$A:$AS,MATCH($U$1,Database!$A$1:$AS$1,),))))</f>
        <v>-1.6573995748003962E-2</v>
      </c>
      <c r="V139" s="13">
        <f>((((VLOOKUP(B139,Database!$A:$AS,MATCH($V$1,Database!$A$1:$AS$1,),))))-(((VLOOKUP(EDATE(B139,-12),Database!$A:$AS,MATCH($V$1,Database!$A$1:$AS$1,),)))))/(((VLOOKUP(EDATE(B139,-12),Database!$A:$AS,MATCH($V$1,Database!$A$1:$AS$1,),))))</f>
        <v>3.737038318027E-2</v>
      </c>
    </row>
    <row r="140" spans="1:22" s="83" customFormat="1" x14ac:dyDescent="0.2">
      <c r="A140" s="43"/>
      <c r="B140" s="78">
        <v>36404</v>
      </c>
      <c r="C140" s="13">
        <f>((((VLOOKUP(B140,Database!$A:$AS,MATCH($C$1,Database!$A$1:$AS$1,),))))-(((VLOOKUP(EDATE(B140,-12),Database!$A:$AS,MATCH($C$1,Database!$A$1:$AS$1,),)))))/(((VLOOKUP(EDATE(B140,-12),Database!$A:$AS,MATCH($C$1,Database!$A$1:$AS$1,),))))</f>
        <v>3.6688841596350948E-2</v>
      </c>
      <c r="D140" s="13">
        <f>((((VLOOKUP(B140,Database!$A:$AS,MATCH($D$1,Database!$A$1:$AS$1,),))))-(((VLOOKUP(EDATE(B140,-12),Database!$A:$AS,MATCH($D$1,Database!$A$1:$AS$1,),)))))/(((VLOOKUP(EDATE(B140,-12),Database!$A:$AS,MATCH($D$1,Database!$A$1:$AS$1,),))))</f>
        <v>2.8121484814398197E-2</v>
      </c>
      <c r="E140" s="13">
        <f>((((VLOOKUP(B140,Database!$A:$AS,MATCH($E$1,Database!$A$1:$AS$1,),))))-(((VLOOKUP(EDATE(B140,-12),Database!$A:$AS,MATCH($E$1,Database!$A$1:$AS$1,),)))))/(((VLOOKUP(EDATE(B140,-12),Database!$A:$AS,MATCH($E$1,Database!$A$1:$AS$1,),))))</f>
        <v>2.777777778391987E-2</v>
      </c>
      <c r="F140" s="13">
        <f>((((VLOOKUP(B140,Database!$A:$AS,MATCH($F$1,Database!$A$1:$AS$1,),))))-(((VLOOKUP(EDATE(B140,-12),Database!$A:$AS,MATCH($F$1,Database!$A$1:$AS$1,),)))))/(((VLOOKUP(EDATE(B140,-12),Database!$A:$AS,MATCH($F$1,Database!$A$1:$AS$1,),))))</f>
        <v>2.8301886784569207E-2</v>
      </c>
      <c r="G140" s="13">
        <f>((((VLOOKUP(B140,Database!$A:$AS,MATCH($G$1,Database!$A$1:$AS$1,),))))-(((VLOOKUP(EDATE(B140,-12),Database!$A:$AS,MATCH($G$1,Database!$A$1:$AS$1,),)))))/(((VLOOKUP(EDATE(B140,-12),Database!$A:$AS,MATCH($G$1,Database!$A$1:$AS$1,),))))</f>
        <v>3.4593960715332807E-2</v>
      </c>
      <c r="H140" s="13">
        <f>((((VLOOKUP(B140,Database!$A:$AS,MATCH($H$1,Database!$A$1:$AS$1,),))))-(((VLOOKUP(EDATE(B140,-12),Database!$A:$AS,MATCH($H$1,Database!$A$1:$AS$1,),)))))/(((VLOOKUP(EDATE(B140,-12),Database!$A:$AS,MATCH($H$1,Database!$A$1:$AS$1,),))))</f>
        <v>9.4786729857715413E-2</v>
      </c>
      <c r="I140" s="13">
        <f>((((VLOOKUP(B140,Database!$A:$AS,MATCH($I$1,Database!$A$1:$AS$1,),))))-(((VLOOKUP(EDATE(B140,-12),Database!$A:$AS,MATCH($I$1,Database!$A$1:$AS$1,),)))))/(((VLOOKUP(EDATE(B140,-12),Database!$A:$AS,MATCH($I$1,Database!$A$1:$AS$1,),))))</f>
        <v>2.4311183137415778E-3</v>
      </c>
      <c r="J140" s="13">
        <f>((((VLOOKUP(B140,Database!$A:$AS,MATCH($J$1,Database!$A$1:$AS$1,),))))-(((VLOOKUP(EDATE(B140,-12),Database!$A:$AS,MATCH($J$1,Database!$A$1:$AS$1,),)))))/(((VLOOKUP(EDATE(B140,-12),Database!$A:$AS,MATCH($J$1,Database!$A$1:$AS$1,),))))</f>
        <v>3.6066565812209433E-2</v>
      </c>
      <c r="K140" s="13">
        <f>((((VLOOKUP(B140,Database!$A:$AS,MATCH($K$1,Database!$A$1:$AS$1,),))))-(((VLOOKUP(EDATE(B140,-12),Database!$A:$AS,MATCH($K$1,Database!$A$1:$AS$1,),)))))/(((VLOOKUP(EDATE(B140,-12),Database!$A:$AS,MATCH($K$1,Database!$A$1:$AS$1,),))))</f>
        <v>2.6852846399604842E-2</v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>1.9433641559645588E-2</v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>0.14274926400318985</v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>7.0478598879195303E-2</v>
      </c>
      <c r="O140" s="13">
        <f>((((VLOOKUP(B140,Database!$A:$AS,MATCH($O$1,Database!$A$1:$AS$1,),))))-(((VLOOKUP(EDATE(B140,-12),Database!$A:$AS,MATCH($O$1,Database!$A$1:$AS$1,),)))))/(((VLOOKUP(EDATE(B140,-12),Database!$A:$AS,MATCH($O$1,Database!$A$1:$AS$1,),))))</f>
        <v>7.5934219019137481E-2</v>
      </c>
      <c r="P140" s="13">
        <f>((((VLOOKUP(B140,Database!$A:$AS,MATCH($P$1,Database!$A$1:$AS$1,),))))-(((VLOOKUP(EDATE(B140,-12),Database!$A:$AS,MATCH($P$1,Database!$A$1:$AS$1,),)))))/(((VLOOKUP(EDATE(B140,-12),Database!$A:$AS,MATCH($P$1,Database!$A$1:$AS$1,),))))</f>
        <v>0.29066882105273545</v>
      </c>
      <c r="Q140" s="13">
        <f>((((VLOOKUP(B140,Database!$A:$AS,MATCH($Q$1,Database!$A$1:$AS$1,),))))-(((VLOOKUP(EDATE(B140,-12),Database!$A:$AS,MATCH($Q$1,Database!$A$1:$AS$1,),)))))/(((VLOOKUP(EDATE(B140,-12),Database!$A:$AS,MATCH($Q$1,Database!$A$1:$AS$1,),))))</f>
        <v>4.8458149717380394E-3</v>
      </c>
      <c r="R140" s="13">
        <f>((((VLOOKUP(B140,Database!$A:$AS,MATCH($R$1,Database!$A$1:$AS$1,),))))-(((VLOOKUP(EDATE(B140,-12),Database!$A:$AS,MATCH($R$1,Database!$A$1:$AS$1,),)))))/(((VLOOKUP(EDATE(B140,-12),Database!$A:$AS,MATCH($R$1,Database!$A$1:$AS$1,),))))</f>
        <v>4.2036182878755941E-2</v>
      </c>
      <c r="S140" s="13">
        <f>((((VLOOKUP(B140,Database!$A:$AS,MATCH($S$1,Database!$A$1:$AS$1,),))))-(((VLOOKUP(EDATE(B140,-12),Database!$A:$AS,MATCH($S$1,Database!$A$1:$AS$1,),)))))/(((VLOOKUP(EDATE(B140,-12),Database!$A:$AS,MATCH($S$1,Database!$A$1:$AS$1,),))))</f>
        <v>0.16863406408147144</v>
      </c>
      <c r="T140" s="13">
        <f>((((VLOOKUP(B140,Database!$A:$AS,MATCH($T$1,Database!$A$1:$AS$1,),))))-(((VLOOKUP(EDATE(B140,-12),Database!$A:$AS,MATCH($T$1,Database!$A$1:$AS$1,),)))))/(((VLOOKUP(EDATE(B140,-12),Database!$A:$AS,MATCH($T$1,Database!$A$1:$AS$1,),))))</f>
        <v>-6.4367816089522814E-2</v>
      </c>
      <c r="U140" s="13">
        <f>((((VLOOKUP(B140,Database!$A:$AS,MATCH($U$1,Database!$A$1:$AS$1,),))))-(((VLOOKUP(EDATE(B140,-12),Database!$A:$AS,MATCH($U$1,Database!$A$1:$AS$1,),)))))/(((VLOOKUP(EDATE(B140,-12),Database!$A:$AS,MATCH($U$1,Database!$A$1:$AS$1,),))))</f>
        <v>-1.8586588113086468E-2</v>
      </c>
      <c r="V140" s="13">
        <f>((((VLOOKUP(B140,Database!$A:$AS,MATCH($V$1,Database!$A$1:$AS$1,),))))-(((VLOOKUP(EDATE(B140,-12),Database!$A:$AS,MATCH($V$1,Database!$A$1:$AS$1,),)))))/(((VLOOKUP(EDATE(B140,-12),Database!$A:$AS,MATCH($V$1,Database!$A$1:$AS$1,),))))</f>
        <v>9.154839955680541E-2</v>
      </c>
    </row>
    <row r="141" spans="1:22" s="83" customFormat="1" x14ac:dyDescent="0.2">
      <c r="A141" s="43"/>
      <c r="B141" s="78">
        <v>36434</v>
      </c>
      <c r="C141" s="13">
        <f>((((VLOOKUP(B141,Database!$A:$AS,MATCH($C$1,Database!$A$1:$AS$1,),))))-(((VLOOKUP(EDATE(B141,-12),Database!$A:$AS,MATCH($C$1,Database!$A$1:$AS$1,),)))))/(((VLOOKUP(EDATE(B141,-12),Database!$A:$AS,MATCH($C$1,Database!$A$1:$AS$1,),))))</f>
        <v>4.249183976854698E-2</v>
      </c>
      <c r="D141" s="13">
        <f>((((VLOOKUP(B141,Database!$A:$AS,MATCH($D$1,Database!$A$1:$AS$1,),))))-(((VLOOKUP(EDATE(B141,-12),Database!$A:$AS,MATCH($D$1,Database!$A$1:$AS$1,),)))))/(((VLOOKUP(EDATE(B141,-12),Database!$A:$AS,MATCH($D$1,Database!$A$1:$AS$1,),))))</f>
        <v>3.5914702581369279E-2</v>
      </c>
      <c r="E141" s="13">
        <f>((((VLOOKUP(B141,Database!$A:$AS,MATCH($E$1,Database!$A$1:$AS$1,),))))-(((VLOOKUP(EDATE(B141,-12),Database!$A:$AS,MATCH($E$1,Database!$A$1:$AS$1,),)))))/(((VLOOKUP(EDATE(B141,-12),Database!$A:$AS,MATCH($E$1,Database!$A$1:$AS$1,),))))</f>
        <v>3.2223415678068204E-2</v>
      </c>
      <c r="F141" s="13">
        <f>((((VLOOKUP(B141,Database!$A:$AS,MATCH($F$1,Database!$A$1:$AS$1,),))))-(((VLOOKUP(EDATE(B141,-12),Database!$A:$AS,MATCH($F$1,Database!$A$1:$AS$1,),)))))/(((VLOOKUP(EDATE(B141,-12),Database!$A:$AS,MATCH($F$1,Database!$A$1:$AS$1,),))))</f>
        <v>3.2128514047192039E-2</v>
      </c>
      <c r="G141" s="13">
        <f>((((VLOOKUP(B141,Database!$A:$AS,MATCH($G$1,Database!$A$1:$AS$1,),))))-(((VLOOKUP(EDATE(B141,-12),Database!$A:$AS,MATCH($G$1,Database!$A$1:$AS$1,),)))))/(((VLOOKUP(EDATE(B141,-12),Database!$A:$AS,MATCH($G$1,Database!$A$1:$AS$1,),))))</f>
        <v>4.7074909659146333E-2</v>
      </c>
      <c r="H141" s="13">
        <f>((((VLOOKUP(B141,Database!$A:$AS,MATCH($H$1,Database!$A$1:$AS$1,),))))-(((VLOOKUP(EDATE(B141,-12),Database!$A:$AS,MATCH($H$1,Database!$A$1:$AS$1,),)))))/(((VLOOKUP(EDATE(B141,-12),Database!$A:$AS,MATCH($H$1,Database!$A$1:$AS$1,),))))</f>
        <v>8.2840236689255484E-2</v>
      </c>
      <c r="I141" s="13">
        <f>((((VLOOKUP(B141,Database!$A:$AS,MATCH($I$1,Database!$A$1:$AS$1,),))))-(((VLOOKUP(EDATE(B141,-12),Database!$A:$AS,MATCH($I$1,Database!$A$1:$AS$1,),)))))/(((VLOOKUP(EDATE(B141,-12),Database!$A:$AS,MATCH($I$1,Database!$A$1:$AS$1,),))))</f>
        <v>1.8760195756029448E-2</v>
      </c>
      <c r="J141" s="13">
        <f>((((VLOOKUP(B141,Database!$A:$AS,MATCH($J$1,Database!$A$1:$AS$1,),))))-(((VLOOKUP(EDATE(B141,-12),Database!$A:$AS,MATCH($J$1,Database!$A$1:$AS$1,),)))))/(((VLOOKUP(EDATE(B141,-12),Database!$A:$AS,MATCH($J$1,Database!$A$1:$AS$1,),))))</f>
        <v>2.7521450536536804E-2</v>
      </c>
      <c r="K141" s="13">
        <f>((((VLOOKUP(B141,Database!$A:$AS,MATCH($K$1,Database!$A$1:$AS$1,),))))-(((VLOOKUP(EDATE(B141,-12),Database!$A:$AS,MATCH($K$1,Database!$A$1:$AS$1,),)))))/(((VLOOKUP(EDATE(B141,-12),Database!$A:$AS,MATCH($K$1,Database!$A$1:$AS$1,),))))</f>
        <v>2.6852846399604842E-2</v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>2.3424571294334708E-2</v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>4.5835335274194297E-2</v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>8.5137364337211766E-2</v>
      </c>
      <c r="O141" s="13">
        <f>((((VLOOKUP(B141,Database!$A:$AS,MATCH($O$1,Database!$A$1:$AS$1,),))))-(((VLOOKUP(EDATE(B141,-12),Database!$A:$AS,MATCH($O$1,Database!$A$1:$AS$1,),)))))/(((VLOOKUP(EDATE(B141,-12),Database!$A:$AS,MATCH($O$1,Database!$A$1:$AS$1,),))))</f>
        <v>6.7787754298049022E-2</v>
      </c>
      <c r="P141" s="13">
        <f>((((VLOOKUP(B141,Database!$A:$AS,MATCH($P$1,Database!$A$1:$AS$1,),))))-(((VLOOKUP(EDATE(B141,-12),Database!$A:$AS,MATCH($P$1,Database!$A$1:$AS$1,),)))))/(((VLOOKUP(EDATE(B141,-12),Database!$A:$AS,MATCH($P$1,Database!$A$1:$AS$1,),))))</f>
        <v>0.26300366302154077</v>
      </c>
      <c r="Q141" s="13">
        <f>((((VLOOKUP(B141,Database!$A:$AS,MATCH($Q$1,Database!$A$1:$AS$1,),))))-(((VLOOKUP(EDATE(B141,-12),Database!$A:$AS,MATCH($Q$1,Database!$A$1:$AS$1,),)))))/(((VLOOKUP(EDATE(B141,-12),Database!$A:$AS,MATCH($Q$1,Database!$A$1:$AS$1,),))))</f>
        <v>5.2559881938398834E-2</v>
      </c>
      <c r="R141" s="13">
        <f>((((VLOOKUP(B141,Database!$A:$AS,MATCH($R$1,Database!$A$1:$AS$1,),))))-(((VLOOKUP(EDATE(B141,-12),Database!$A:$AS,MATCH($R$1,Database!$A$1:$AS$1,),)))))/(((VLOOKUP(EDATE(B141,-12),Database!$A:$AS,MATCH($R$1,Database!$A$1:$AS$1,),))))</f>
        <v>2.8498816048098719E-2</v>
      </c>
      <c r="S141" s="13">
        <f>((((VLOOKUP(B141,Database!$A:$AS,MATCH($S$1,Database!$A$1:$AS$1,),))))-(((VLOOKUP(EDATE(B141,-12),Database!$A:$AS,MATCH($S$1,Database!$A$1:$AS$1,),)))))/(((VLOOKUP(EDATE(B141,-12),Database!$A:$AS,MATCH($S$1,Database!$A$1:$AS$1,),))))</f>
        <v>0.1900000000115119</v>
      </c>
      <c r="T141" s="13">
        <f>((((VLOOKUP(B141,Database!$A:$AS,MATCH($T$1,Database!$A$1:$AS$1,),))))-(((VLOOKUP(EDATE(B141,-12),Database!$A:$AS,MATCH($T$1,Database!$A$1:$AS$1,),)))))/(((VLOOKUP(EDATE(B141,-12),Database!$A:$AS,MATCH($T$1,Database!$A$1:$AS$1,),))))</f>
        <v>-3.8095238100227122E-2</v>
      </c>
      <c r="U141" s="13">
        <f>((((VLOOKUP(B141,Database!$A:$AS,MATCH($U$1,Database!$A$1:$AS$1,),))))-(((VLOOKUP(EDATE(B141,-12),Database!$A:$AS,MATCH($U$1,Database!$A$1:$AS$1,),)))))/(((VLOOKUP(EDATE(B141,-12),Database!$A:$AS,MATCH($U$1,Database!$A$1:$AS$1,),))))</f>
        <v>5.7489930610580631E-3</v>
      </c>
      <c r="V141" s="13">
        <f>((((VLOOKUP(B141,Database!$A:$AS,MATCH($V$1,Database!$A$1:$AS$1,),))))-(((VLOOKUP(EDATE(B141,-12),Database!$A:$AS,MATCH($V$1,Database!$A$1:$AS$1,),)))))/(((VLOOKUP(EDATE(B141,-12),Database!$A:$AS,MATCH($V$1,Database!$A$1:$AS$1,),))))</f>
        <v>9.6003811823268767E-2</v>
      </c>
    </row>
    <row r="142" spans="1:22" s="83" customFormat="1" x14ac:dyDescent="0.2">
      <c r="A142" s="43"/>
      <c r="B142" s="78">
        <v>36465</v>
      </c>
      <c r="C142" s="13">
        <f>((((VLOOKUP(B142,Database!$A:$AS,MATCH($C$1,Database!$A$1:$AS$1,),))))-(((VLOOKUP(EDATE(B142,-12),Database!$A:$AS,MATCH($C$1,Database!$A$1:$AS$1,),)))))/(((VLOOKUP(EDATE(B142,-12),Database!$A:$AS,MATCH($C$1,Database!$A$1:$AS$1,),))))</f>
        <v>4.8829408345754555E-2</v>
      </c>
      <c r="D142" s="13">
        <f>((((VLOOKUP(B142,Database!$A:$AS,MATCH($D$1,Database!$A$1:$AS$1,),))))-(((VLOOKUP(EDATE(B142,-12),Database!$A:$AS,MATCH($D$1,Database!$A$1:$AS$1,),)))))/(((VLOOKUP(EDATE(B142,-12),Database!$A:$AS,MATCH($D$1,Database!$A$1:$AS$1,),))))</f>
        <v>4.6275395033860148E-2</v>
      </c>
      <c r="E142" s="13">
        <f>((((VLOOKUP(B142,Database!$A:$AS,MATCH($E$1,Database!$A$1:$AS$1,),))))-(((VLOOKUP(EDATE(B142,-12),Database!$A:$AS,MATCH($E$1,Database!$A$1:$AS$1,),)))))/(((VLOOKUP(EDATE(B142,-12),Database!$A:$AS,MATCH($E$1,Database!$A$1:$AS$1,),))))</f>
        <v>4.8596112315282762E-2</v>
      </c>
      <c r="F142" s="13">
        <f>((((VLOOKUP(B142,Database!$A:$AS,MATCH($F$1,Database!$A$1:$AS$1,),))))-(((VLOOKUP(EDATE(B142,-12),Database!$A:$AS,MATCH($F$1,Database!$A$1:$AS$1,),)))))/(((VLOOKUP(EDATE(B142,-12),Database!$A:$AS,MATCH($F$1,Database!$A$1:$AS$1,),))))</f>
        <v>4.4776119404200378E-2</v>
      </c>
      <c r="G142" s="13">
        <f>((((VLOOKUP(B142,Database!$A:$AS,MATCH($G$1,Database!$A$1:$AS$1,),))))-(((VLOOKUP(EDATE(B142,-12),Database!$A:$AS,MATCH($G$1,Database!$A$1:$AS$1,),)))))/(((VLOOKUP(EDATE(B142,-12),Database!$A:$AS,MATCH($G$1,Database!$A$1:$AS$1,),))))</f>
        <v>4.1460335954947185E-2</v>
      </c>
      <c r="H142" s="13">
        <f>((((VLOOKUP(B142,Database!$A:$AS,MATCH($H$1,Database!$A$1:$AS$1,),))))-(((VLOOKUP(EDATE(B142,-12),Database!$A:$AS,MATCH($H$1,Database!$A$1:$AS$1,),)))))/(((VLOOKUP(EDATE(B142,-12),Database!$A:$AS,MATCH($H$1,Database!$A$1:$AS$1,),))))</f>
        <v>8.2742316787936018E-2</v>
      </c>
      <c r="I142" s="13">
        <f>((((VLOOKUP(B142,Database!$A:$AS,MATCH($I$1,Database!$A$1:$AS$1,),))))-(((VLOOKUP(EDATE(B142,-12),Database!$A:$AS,MATCH($I$1,Database!$A$1:$AS$1,),)))))/(((VLOOKUP(EDATE(B142,-12),Database!$A:$AS,MATCH($I$1,Database!$A$1:$AS$1,),))))</f>
        <v>2.8641571197783062E-2</v>
      </c>
      <c r="J142" s="13">
        <f>((((VLOOKUP(B142,Database!$A:$AS,MATCH($J$1,Database!$A$1:$AS$1,),))))-(((VLOOKUP(EDATE(B142,-12),Database!$A:$AS,MATCH($J$1,Database!$A$1:$AS$1,),)))))/(((VLOOKUP(EDATE(B142,-12),Database!$A:$AS,MATCH($J$1,Database!$A$1:$AS$1,),))))</f>
        <v>4.2434836523634972E-2</v>
      </c>
      <c r="K142" s="13">
        <f>((((VLOOKUP(B142,Database!$A:$AS,MATCH($K$1,Database!$A$1:$AS$1,),))))-(((VLOOKUP(EDATE(B142,-12),Database!$A:$AS,MATCH($K$1,Database!$A$1:$AS$1,),)))))/(((VLOOKUP(EDATE(B142,-12),Database!$A:$AS,MATCH($K$1,Database!$A$1:$AS$1,),))))</f>
        <v>2.4572649576404787E-2</v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>2.721942261963569E-2</v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>5.9034824072191378E-2</v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>3.436196766579229E-2</v>
      </c>
      <c r="O142" s="13">
        <f>((((VLOOKUP(B142,Database!$A:$AS,MATCH($O$1,Database!$A$1:$AS$1,),))))-(((VLOOKUP(EDATE(B142,-12),Database!$A:$AS,MATCH($O$1,Database!$A$1:$AS$1,),)))))/(((VLOOKUP(EDATE(B142,-12),Database!$A:$AS,MATCH($O$1,Database!$A$1:$AS$1,),))))</f>
        <v>7.8439886123617811E-2</v>
      </c>
      <c r="P142" s="13">
        <f>((((VLOOKUP(B142,Database!$A:$AS,MATCH($P$1,Database!$A$1:$AS$1,),))))-(((VLOOKUP(EDATE(B142,-12),Database!$A:$AS,MATCH($P$1,Database!$A$1:$AS$1,),)))))/(((VLOOKUP(EDATE(B142,-12),Database!$A:$AS,MATCH($P$1,Database!$A$1:$AS$1,),))))</f>
        <v>0.27069096431382073</v>
      </c>
      <c r="Q142" s="13">
        <f>((((VLOOKUP(B142,Database!$A:$AS,MATCH($Q$1,Database!$A$1:$AS$1,),))))-(((VLOOKUP(EDATE(B142,-12),Database!$A:$AS,MATCH($Q$1,Database!$A$1:$AS$1,),)))))/(((VLOOKUP(EDATE(B142,-12),Database!$A:$AS,MATCH($Q$1,Database!$A$1:$AS$1,),))))</f>
        <v>3.5449020932828923E-2</v>
      </c>
      <c r="R142" s="13">
        <f>((((VLOOKUP(B142,Database!$A:$AS,MATCH($R$1,Database!$A$1:$AS$1,),))))-(((VLOOKUP(EDATE(B142,-12),Database!$A:$AS,MATCH($R$1,Database!$A$1:$AS$1,),)))))/(((VLOOKUP(EDATE(B142,-12),Database!$A:$AS,MATCH($R$1,Database!$A$1:$AS$1,),))))</f>
        <v>1.8267627801418104E-2</v>
      </c>
      <c r="S142" s="13">
        <f>((((VLOOKUP(B142,Database!$A:$AS,MATCH($S$1,Database!$A$1:$AS$1,),))))-(((VLOOKUP(EDATE(B142,-12),Database!$A:$AS,MATCH($S$1,Database!$A$1:$AS$1,),)))))/(((VLOOKUP(EDATE(B142,-12),Database!$A:$AS,MATCH($S$1,Database!$A$1:$AS$1,),))))</f>
        <v>0.17687074830087895</v>
      </c>
      <c r="T142" s="13">
        <f>((((VLOOKUP(B142,Database!$A:$AS,MATCH($T$1,Database!$A$1:$AS$1,),))))-(((VLOOKUP(EDATE(B142,-12),Database!$A:$AS,MATCH($T$1,Database!$A$1:$AS$1,),)))))/(((VLOOKUP(EDATE(B142,-12),Database!$A:$AS,MATCH($T$1,Database!$A$1:$AS$1,),))))</f>
        <v>-9.6618357381725601E-3</v>
      </c>
      <c r="U142" s="13">
        <f>((((VLOOKUP(B142,Database!$A:$AS,MATCH($U$1,Database!$A$1:$AS$1,),))))-(((VLOOKUP(EDATE(B142,-12),Database!$A:$AS,MATCH($U$1,Database!$A$1:$AS$1,),)))))/(((VLOOKUP(EDATE(B142,-12),Database!$A:$AS,MATCH($U$1,Database!$A$1:$AS$1,),))))</f>
        <v>1.0883661428409063E-2</v>
      </c>
      <c r="V142" s="13">
        <f>((((VLOOKUP(B142,Database!$A:$AS,MATCH($V$1,Database!$A$1:$AS$1,),))))-(((VLOOKUP(EDATE(B142,-12),Database!$A:$AS,MATCH($V$1,Database!$A$1:$AS$1,),)))))/(((VLOOKUP(EDATE(B142,-12),Database!$A:$AS,MATCH($V$1,Database!$A$1:$AS$1,),))))</f>
        <v>0.13555885620167404</v>
      </c>
    </row>
    <row r="143" spans="1:22" s="83" customFormat="1" x14ac:dyDescent="0.2">
      <c r="A143" s="43"/>
      <c r="B143" s="78">
        <v>36495</v>
      </c>
      <c r="C143" s="13">
        <f>((((VLOOKUP(B143,Database!$A:$AS,MATCH($C$1,Database!$A$1:$AS$1,),))))-(((VLOOKUP(EDATE(B143,-12),Database!$A:$AS,MATCH($C$1,Database!$A$1:$AS$1,),)))))/(((VLOOKUP(EDATE(B143,-12),Database!$A:$AS,MATCH($C$1,Database!$A$1:$AS$1,),))))</f>
        <v>5.2640989134359703E-2</v>
      </c>
      <c r="D143" s="13">
        <f>((((VLOOKUP(B143,Database!$A:$AS,MATCH($D$1,Database!$A$1:$AS$1,),))))-(((VLOOKUP(EDATE(B143,-12),Database!$A:$AS,MATCH($D$1,Database!$A$1:$AS$1,),)))))/(((VLOOKUP(EDATE(B143,-12),Database!$A:$AS,MATCH($D$1,Database!$A$1:$AS$1,),))))</f>
        <v>4.8808172531214659E-2</v>
      </c>
      <c r="E143" s="13">
        <f>((((VLOOKUP(B143,Database!$A:$AS,MATCH($E$1,Database!$A$1:$AS$1,),))))-(((VLOOKUP(EDATE(B143,-12),Database!$A:$AS,MATCH($E$1,Database!$A$1:$AS$1,),)))))/(((VLOOKUP(EDATE(B143,-12),Database!$A:$AS,MATCH($E$1,Database!$A$1:$AS$1,),))))</f>
        <v>4.8648648653046467E-2</v>
      </c>
      <c r="F143" s="13">
        <f>((((VLOOKUP(B143,Database!$A:$AS,MATCH($F$1,Database!$A$1:$AS$1,),))))-(((VLOOKUP(EDATE(B143,-12),Database!$A:$AS,MATCH($F$1,Database!$A$1:$AS$1,),)))))/(((VLOOKUP(EDATE(B143,-12),Database!$A:$AS,MATCH($F$1,Database!$A$1:$AS$1,),))))</f>
        <v>4.1891891889389785E-2</v>
      </c>
      <c r="G143" s="13">
        <f>((((VLOOKUP(B143,Database!$A:$AS,MATCH($G$1,Database!$A$1:$AS$1,),))))-(((VLOOKUP(EDATE(B143,-12),Database!$A:$AS,MATCH($G$1,Database!$A$1:$AS$1,),)))))/(((VLOOKUP(EDATE(B143,-12),Database!$A:$AS,MATCH($G$1,Database!$A$1:$AS$1,),))))</f>
        <v>4.0602680755307756E-2</v>
      </c>
      <c r="H143" s="13">
        <f>((((VLOOKUP(B143,Database!$A:$AS,MATCH($H$1,Database!$A$1:$AS$1,),))))-(((VLOOKUP(EDATE(B143,-12),Database!$A:$AS,MATCH($H$1,Database!$A$1:$AS$1,),)))))/(((VLOOKUP(EDATE(B143,-12),Database!$A:$AS,MATCH($H$1,Database!$A$1:$AS$1,),))))</f>
        <v>5.0588235297811299E-2</v>
      </c>
      <c r="I143" s="13">
        <f>((((VLOOKUP(B143,Database!$A:$AS,MATCH($I$1,Database!$A$1:$AS$1,),))))-(((VLOOKUP(EDATE(B143,-12),Database!$A:$AS,MATCH($I$1,Database!$A$1:$AS$1,),)))))/(((VLOOKUP(EDATE(B143,-12),Database!$A:$AS,MATCH($I$1,Database!$A$1:$AS$1,),))))</f>
        <v>4.1911148364931088E-2</v>
      </c>
      <c r="J143" s="13">
        <f>((((VLOOKUP(B143,Database!$A:$AS,MATCH($J$1,Database!$A$1:$AS$1,),))))-(((VLOOKUP(EDATE(B143,-12),Database!$A:$AS,MATCH($J$1,Database!$A$1:$AS$1,),)))))/(((VLOOKUP(EDATE(B143,-12),Database!$A:$AS,MATCH($J$1,Database!$A$1:$AS$1,),))))</f>
        <v>4.2519940561061377E-2</v>
      </c>
      <c r="K143" s="13">
        <f>((((VLOOKUP(B143,Database!$A:$AS,MATCH($K$1,Database!$A$1:$AS$1,),))))-(((VLOOKUP(EDATE(B143,-12),Database!$A:$AS,MATCH($K$1,Database!$A$1:$AS$1,),)))))/(((VLOOKUP(EDATE(B143,-12),Database!$A:$AS,MATCH($K$1,Database!$A$1:$AS$1,),))))</f>
        <v>3.1317494597594628E-2</v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>2.2624367711997731E-2</v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>0.19757994320144898</v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>7.9098555636033699E-2</v>
      </c>
      <c r="O143" s="13">
        <f>((((VLOOKUP(B143,Database!$A:$AS,MATCH($O$1,Database!$A$1:$AS$1,),))))-(((VLOOKUP(EDATE(B143,-12),Database!$A:$AS,MATCH($O$1,Database!$A$1:$AS$1,),)))))/(((VLOOKUP(EDATE(B143,-12),Database!$A:$AS,MATCH($O$1,Database!$A$1:$AS$1,),))))</f>
        <v>7.8172226201460332E-2</v>
      </c>
      <c r="P143" s="13">
        <f>((((VLOOKUP(B143,Database!$A:$AS,MATCH($P$1,Database!$A$1:$AS$1,),))))-(((VLOOKUP(EDATE(B143,-12),Database!$A:$AS,MATCH($P$1,Database!$A$1:$AS$1,),)))))/(((VLOOKUP(EDATE(B143,-12),Database!$A:$AS,MATCH($P$1,Database!$A$1:$AS$1,),))))</f>
        <v>0.24690764338304164</v>
      </c>
      <c r="Q143" s="13">
        <f>((((VLOOKUP(B143,Database!$A:$AS,MATCH($Q$1,Database!$A$1:$AS$1,),))))-(((VLOOKUP(EDATE(B143,-12),Database!$A:$AS,MATCH($Q$1,Database!$A$1:$AS$1,),)))))/(((VLOOKUP(EDATE(B143,-12),Database!$A:$AS,MATCH($Q$1,Database!$A$1:$AS$1,),))))</f>
        <v>8.1314072695872625E-2</v>
      </c>
      <c r="R143" s="13">
        <f>((((VLOOKUP(B143,Database!$A:$AS,MATCH($R$1,Database!$A$1:$AS$1,),))))-(((VLOOKUP(EDATE(B143,-12),Database!$A:$AS,MATCH($R$1,Database!$A$1:$AS$1,),)))))/(((VLOOKUP(EDATE(B143,-12),Database!$A:$AS,MATCH($R$1,Database!$A$1:$AS$1,),))))</f>
        <v>3.9101499023943879E-2</v>
      </c>
      <c r="S143" s="13">
        <f>((((VLOOKUP(B143,Database!$A:$AS,MATCH($S$1,Database!$A$1:$AS$1,),))))-(((VLOOKUP(EDATE(B143,-12),Database!$A:$AS,MATCH($S$1,Database!$A$1:$AS$1,),)))))/(((VLOOKUP(EDATE(B143,-12),Database!$A:$AS,MATCH($S$1,Database!$A$1:$AS$1,),))))</f>
        <v>0.17567567567759843</v>
      </c>
      <c r="T143" s="13">
        <f>((((VLOOKUP(B143,Database!$A:$AS,MATCH($T$1,Database!$A$1:$AS$1,),))))-(((VLOOKUP(EDATE(B143,-12),Database!$A:$AS,MATCH($T$1,Database!$A$1:$AS$1,),)))))/(((VLOOKUP(EDATE(B143,-12),Database!$A:$AS,MATCH($T$1,Database!$A$1:$AS$1,),))))</f>
        <v>5.370843990862266E-2</v>
      </c>
      <c r="U143" s="13">
        <f>((((VLOOKUP(B143,Database!$A:$AS,MATCH($U$1,Database!$A$1:$AS$1,),))))-(((VLOOKUP(EDATE(B143,-12),Database!$A:$AS,MATCH($U$1,Database!$A$1:$AS$1,),)))))/(((VLOOKUP(EDATE(B143,-12),Database!$A:$AS,MATCH($U$1,Database!$A$1:$AS$1,),))))</f>
        <v>7.0408621200949359E-2</v>
      </c>
      <c r="V143" s="13">
        <f>((((VLOOKUP(B143,Database!$A:$AS,MATCH($V$1,Database!$A$1:$AS$1,),))))-(((VLOOKUP(EDATE(B143,-12),Database!$A:$AS,MATCH($V$1,Database!$A$1:$AS$1,),)))))/(((VLOOKUP(EDATE(B143,-12),Database!$A:$AS,MATCH($V$1,Database!$A$1:$AS$1,),))))</f>
        <v>0.18922113893797379</v>
      </c>
    </row>
    <row r="144" spans="1:22" s="83" customFormat="1" x14ac:dyDescent="0.2">
      <c r="A144" s="43"/>
      <c r="B144" s="78">
        <v>36526</v>
      </c>
      <c r="C144" s="13">
        <f>((((VLOOKUP(B144,Database!$A:$AS,MATCH($C$1,Database!$A$1:$AS$1,),))))-(((VLOOKUP(EDATE(B144,-12),Database!$A:$AS,MATCH($C$1,Database!$A$1:$AS$1,),)))))/(((VLOOKUP(EDATE(B144,-12),Database!$A:$AS,MATCH($C$1,Database!$A$1:$AS$1,),))))</f>
        <v>4.745212281314036E-2</v>
      </c>
      <c r="D144" s="13">
        <f>((((VLOOKUP(B144,Database!$A:$AS,MATCH($D$1,Database!$A$1:$AS$1,),))))-(((VLOOKUP(EDATE(B144,-12),Database!$A:$AS,MATCH($D$1,Database!$A$1:$AS$1,),)))))/(((VLOOKUP(EDATE(B144,-12),Database!$A:$AS,MATCH($D$1,Database!$A$1:$AS$1,),))))</f>
        <v>3.0201342281879064E-2</v>
      </c>
      <c r="E144" s="13">
        <f>((((VLOOKUP(B144,Database!$A:$AS,MATCH($E$1,Database!$A$1:$AS$1,),))))-(((VLOOKUP(EDATE(B144,-12),Database!$A:$AS,MATCH($E$1,Database!$A$1:$AS$1,),)))))/(((VLOOKUP(EDATE(B144,-12),Database!$A:$AS,MATCH($E$1,Database!$A$1:$AS$1,),))))</f>
        <v>3.4151547493281566E-2</v>
      </c>
      <c r="F144" s="13">
        <f>((((VLOOKUP(B144,Database!$A:$AS,MATCH($F$1,Database!$A$1:$AS$1,),))))-(((VLOOKUP(EDATE(B144,-12),Database!$A:$AS,MATCH($F$1,Database!$A$1:$AS$1,),)))))/(((VLOOKUP(EDATE(B144,-12),Database!$A:$AS,MATCH($F$1,Database!$A$1:$AS$1,),))))</f>
        <v>1.7287234033215769E-2</v>
      </c>
      <c r="G144" s="13">
        <f>((((VLOOKUP(B144,Database!$A:$AS,MATCH($G$1,Database!$A$1:$AS$1,),))))-(((VLOOKUP(EDATE(B144,-12),Database!$A:$AS,MATCH($G$1,Database!$A$1:$AS$1,),)))))/(((VLOOKUP(EDATE(B144,-12),Database!$A:$AS,MATCH($G$1,Database!$A$1:$AS$1,),))))</f>
        <v>4.5175139037955017E-2</v>
      </c>
      <c r="H144" s="13">
        <f>((((VLOOKUP(B144,Database!$A:$AS,MATCH($H$1,Database!$A$1:$AS$1,),))))-(((VLOOKUP(EDATE(B144,-12),Database!$A:$AS,MATCH($H$1,Database!$A$1:$AS$1,),)))))/(((VLOOKUP(EDATE(B144,-12),Database!$A:$AS,MATCH($H$1,Database!$A$1:$AS$1,),))))</f>
        <v>3.9673278872685597E-2</v>
      </c>
      <c r="I144" s="13">
        <f>((((VLOOKUP(B144,Database!$A:$AS,MATCH($I$1,Database!$A$1:$AS$1,),))))-(((VLOOKUP(EDATE(B144,-12),Database!$A:$AS,MATCH($I$1,Database!$A$1:$AS$1,),)))))/(((VLOOKUP(EDATE(B144,-12),Database!$A:$AS,MATCH($I$1,Database!$A$1:$AS$1,),))))</f>
        <v>2.4671052632972312E-2</v>
      </c>
      <c r="J144" s="13">
        <f>((((VLOOKUP(B144,Database!$A:$AS,MATCH($J$1,Database!$A$1:$AS$1,),))))-(((VLOOKUP(EDATE(B144,-12),Database!$A:$AS,MATCH($J$1,Database!$A$1:$AS$1,),)))))/(((VLOOKUP(EDATE(B144,-12),Database!$A:$AS,MATCH($J$1,Database!$A$1:$AS$1,),))))</f>
        <v>2.92258552533434E-2</v>
      </c>
      <c r="K144" s="13">
        <f>((((VLOOKUP(B144,Database!$A:$AS,MATCH($K$1,Database!$A$1:$AS$1,),))))-(((VLOOKUP(EDATE(B144,-12),Database!$A:$AS,MATCH($K$1,Database!$A$1:$AS$1,),)))))/(((VLOOKUP(EDATE(B144,-12),Database!$A:$AS,MATCH($K$1,Database!$A$1:$AS$1,),))))</f>
        <v>-9.7967459046567097E-4</v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>2.9224838330830619E-2</v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>0.10455842676254302</v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>4.8858897558785599E-2</v>
      </c>
      <c r="O144" s="13">
        <f>((((VLOOKUP(B144,Database!$A:$AS,MATCH($O$1,Database!$A$1:$AS$1,),))))-(((VLOOKUP(EDATE(B144,-12),Database!$A:$AS,MATCH($O$1,Database!$A$1:$AS$1,),)))))/(((VLOOKUP(EDATE(B144,-12),Database!$A:$AS,MATCH($O$1,Database!$A$1:$AS$1,),))))</f>
        <v>7.0371589282449007E-2</v>
      </c>
      <c r="P144" s="13">
        <f>((((VLOOKUP(B144,Database!$A:$AS,MATCH($P$1,Database!$A$1:$AS$1,),))))-(((VLOOKUP(EDATE(B144,-12),Database!$A:$AS,MATCH($P$1,Database!$A$1:$AS$1,),)))))/(((VLOOKUP(EDATE(B144,-12),Database!$A:$AS,MATCH($P$1,Database!$A$1:$AS$1,),))))</f>
        <v>0.28565660915328583</v>
      </c>
      <c r="Q144" s="13">
        <f>((((VLOOKUP(B144,Database!$A:$AS,MATCH($Q$1,Database!$A$1:$AS$1,),))))-(((VLOOKUP(EDATE(B144,-12),Database!$A:$AS,MATCH($Q$1,Database!$A$1:$AS$1,),)))))/(((VLOOKUP(EDATE(B144,-12),Database!$A:$AS,MATCH($Q$1,Database!$A$1:$AS$1,),))))</f>
        <v>3.8987456216373381E-2</v>
      </c>
      <c r="R144" s="13">
        <f>((((VLOOKUP(B144,Database!$A:$AS,MATCH($R$1,Database!$A$1:$AS$1,),))))-(((VLOOKUP(EDATE(B144,-12),Database!$A:$AS,MATCH($R$1,Database!$A$1:$AS$1,),)))))/(((VLOOKUP(EDATE(B144,-12),Database!$A:$AS,MATCH($R$1,Database!$A$1:$AS$1,),))))</f>
        <v>7.0803800590935939E-2</v>
      </c>
      <c r="S144" s="13">
        <f>((((VLOOKUP(B144,Database!$A:$AS,MATCH($S$1,Database!$A$1:$AS$1,),))))-(((VLOOKUP(EDATE(B144,-12),Database!$A:$AS,MATCH($S$1,Database!$A$1:$AS$1,),)))))/(((VLOOKUP(EDATE(B144,-12),Database!$A:$AS,MATCH($S$1,Database!$A$1:$AS$1,),))))</f>
        <v>-1.3595166152455143E-2</v>
      </c>
      <c r="T144" s="13">
        <f>((((VLOOKUP(B144,Database!$A:$AS,MATCH($T$1,Database!$A$1:$AS$1,),))))-(((VLOOKUP(EDATE(B144,-12),Database!$A:$AS,MATCH($T$1,Database!$A$1:$AS$1,),)))))/(((VLOOKUP(EDATE(B144,-12),Database!$A:$AS,MATCH($T$1,Database!$A$1:$AS$1,),))))</f>
        <v>1.7156862756813294E-2</v>
      </c>
      <c r="U144" s="13">
        <f>((((VLOOKUP(B144,Database!$A:$AS,MATCH($U$1,Database!$A$1:$AS$1,),))))-(((VLOOKUP(EDATE(B144,-12),Database!$A:$AS,MATCH($U$1,Database!$A$1:$AS$1,),)))))/(((VLOOKUP(EDATE(B144,-12),Database!$A:$AS,MATCH($U$1,Database!$A$1:$AS$1,),))))</f>
        <v>3.5303719073663388E-3</v>
      </c>
      <c r="V144" s="13">
        <f>((((VLOOKUP(B144,Database!$A:$AS,MATCH($V$1,Database!$A$1:$AS$1,),))))-(((VLOOKUP(EDATE(B144,-12),Database!$A:$AS,MATCH($V$1,Database!$A$1:$AS$1,),)))))/(((VLOOKUP(EDATE(B144,-12),Database!$A:$AS,MATCH($V$1,Database!$A$1:$AS$1,),))))</f>
        <v>8.3311093190863342E-2</v>
      </c>
    </row>
    <row r="145" spans="1:22" s="83" customFormat="1" x14ac:dyDescent="0.2">
      <c r="A145" s="43"/>
      <c r="B145" s="78">
        <v>36557</v>
      </c>
      <c r="C145" s="13">
        <f>((((VLOOKUP(B145,Database!$A:$AS,MATCH($C$1,Database!$A$1:$AS$1,),))))-(((VLOOKUP(EDATE(B145,-12),Database!$A:$AS,MATCH($C$1,Database!$A$1:$AS$1,),)))))/(((VLOOKUP(EDATE(B145,-12),Database!$A:$AS,MATCH($C$1,Database!$A$1:$AS$1,),))))</f>
        <v>4.5358096804922539E-2</v>
      </c>
      <c r="D145" s="13">
        <f>((((VLOOKUP(B145,Database!$A:$AS,MATCH($D$1,Database!$A$1:$AS$1,),))))-(((VLOOKUP(EDATE(B145,-12),Database!$A:$AS,MATCH($D$1,Database!$A$1:$AS$1,),)))))/(((VLOOKUP(EDATE(B145,-12),Database!$A:$AS,MATCH($D$1,Database!$A$1:$AS$1,),))))</f>
        <v>5.4298642533936618E-2</v>
      </c>
      <c r="E145" s="13">
        <f>((((VLOOKUP(B145,Database!$A:$AS,MATCH($E$1,Database!$A$1:$AS$1,),))))-(((VLOOKUP(EDATE(B145,-12),Database!$A:$AS,MATCH($E$1,Database!$A$1:$AS$1,),)))))/(((VLOOKUP(EDATE(B145,-12),Database!$A:$AS,MATCH($E$1,Database!$A$1:$AS$1,),))))</f>
        <v>3.3084311631606592E-2</v>
      </c>
      <c r="F145" s="13">
        <f>((((VLOOKUP(B145,Database!$A:$AS,MATCH($F$1,Database!$A$1:$AS$1,),))))-(((VLOOKUP(EDATE(B145,-12),Database!$A:$AS,MATCH($F$1,Database!$A$1:$AS$1,),)))))/(((VLOOKUP(EDATE(B145,-12),Database!$A:$AS,MATCH($F$1,Database!$A$1:$AS$1,),))))</f>
        <v>6.2330623311925251E-2</v>
      </c>
      <c r="G145" s="13">
        <f>((((VLOOKUP(B145,Database!$A:$AS,MATCH($G$1,Database!$A$1:$AS$1,),))))-(((VLOOKUP(EDATE(B145,-12),Database!$A:$AS,MATCH($G$1,Database!$A$1:$AS$1,),)))))/(((VLOOKUP(EDATE(B145,-12),Database!$A:$AS,MATCH($G$1,Database!$A$1:$AS$1,),))))</f>
        <v>5.1575650812291991E-2</v>
      </c>
      <c r="H145" s="13">
        <f>((((VLOOKUP(B145,Database!$A:$AS,MATCH($H$1,Database!$A$1:$AS$1,),))))-(((VLOOKUP(EDATE(B145,-12),Database!$A:$AS,MATCH($H$1,Database!$A$1:$AS$1,),)))))/(((VLOOKUP(EDATE(B145,-12),Database!$A:$AS,MATCH($H$1,Database!$A$1:$AS$1,),))))</f>
        <v>4.20070011656965E-2</v>
      </c>
      <c r="I145" s="13">
        <f>((((VLOOKUP(B145,Database!$A:$AS,MATCH($I$1,Database!$A$1:$AS$1,),))))-(((VLOOKUP(EDATE(B145,-12),Database!$A:$AS,MATCH($I$1,Database!$A$1:$AS$1,),)))))/(((VLOOKUP(EDATE(B145,-12),Database!$A:$AS,MATCH($I$1,Database!$A$1:$AS$1,),))))</f>
        <v>3.4710743800259403E-2</v>
      </c>
      <c r="J145" s="13">
        <f>((((VLOOKUP(B145,Database!$A:$AS,MATCH($J$1,Database!$A$1:$AS$1,),))))-(((VLOOKUP(EDATE(B145,-12),Database!$A:$AS,MATCH($J$1,Database!$A$1:$AS$1,),)))))/(((VLOOKUP(EDATE(B145,-12),Database!$A:$AS,MATCH($J$1,Database!$A$1:$AS$1,),))))</f>
        <v>5.1630808354093248E-2</v>
      </c>
      <c r="K145" s="13">
        <f>((((VLOOKUP(B145,Database!$A:$AS,MATCH($K$1,Database!$A$1:$AS$1,),))))-(((VLOOKUP(EDATE(B145,-12),Database!$A:$AS,MATCH($K$1,Database!$A$1:$AS$1,),)))))/(((VLOOKUP(EDATE(B145,-12),Database!$A:$AS,MATCH($K$1,Database!$A$1:$AS$1,),))))</f>
        <v>3.361715148797325E-2</v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>4.32459193097176E-2</v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>9.9821990653577317E-2</v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>4.4302734399390378E-2</v>
      </c>
      <c r="O145" s="13">
        <f>((((VLOOKUP(B145,Database!$A:$AS,MATCH($O$1,Database!$A$1:$AS$1,),))))-(((VLOOKUP(EDATE(B145,-12),Database!$A:$AS,MATCH($O$1,Database!$A$1:$AS$1,),)))))/(((VLOOKUP(EDATE(B145,-12),Database!$A:$AS,MATCH($O$1,Database!$A$1:$AS$1,),))))</f>
        <v>6.7255995277342731E-2</v>
      </c>
      <c r="P145" s="13">
        <f>((((VLOOKUP(B145,Database!$A:$AS,MATCH($P$1,Database!$A$1:$AS$1,),))))-(((VLOOKUP(EDATE(B145,-12),Database!$A:$AS,MATCH($P$1,Database!$A$1:$AS$1,),)))))/(((VLOOKUP(EDATE(B145,-12),Database!$A:$AS,MATCH($P$1,Database!$A$1:$AS$1,),))))</f>
        <v>0.24143197349906223</v>
      </c>
      <c r="Q145" s="13">
        <f>((((VLOOKUP(B145,Database!$A:$AS,MATCH($Q$1,Database!$A$1:$AS$1,),))))-(((VLOOKUP(EDATE(B145,-12),Database!$A:$AS,MATCH($Q$1,Database!$A$1:$AS$1,),)))))/(((VLOOKUP(EDATE(B145,-12),Database!$A:$AS,MATCH($Q$1,Database!$A$1:$AS$1,),))))</f>
        <v>5.6824704392316246E-2</v>
      </c>
      <c r="R145" s="13">
        <f>((((VLOOKUP(B145,Database!$A:$AS,MATCH($R$1,Database!$A$1:$AS$1,),))))-(((VLOOKUP(EDATE(B145,-12),Database!$A:$AS,MATCH($R$1,Database!$A$1:$AS$1,),)))))/(((VLOOKUP(EDATE(B145,-12),Database!$A:$AS,MATCH($R$1,Database!$A$1:$AS$1,),))))</f>
        <v>8.6806415096238709E-2</v>
      </c>
      <c r="S145" s="13">
        <f>((((VLOOKUP(B145,Database!$A:$AS,MATCH($S$1,Database!$A$1:$AS$1,),))))-(((VLOOKUP(EDATE(B145,-12),Database!$A:$AS,MATCH($S$1,Database!$A$1:$AS$1,),)))))/(((VLOOKUP(EDATE(B145,-12),Database!$A:$AS,MATCH($S$1,Database!$A$1:$AS$1,),))))</f>
        <v>4.9839228314152342E-2</v>
      </c>
      <c r="T145" s="13">
        <f>((((VLOOKUP(B145,Database!$A:$AS,MATCH($T$1,Database!$A$1:$AS$1,),))))-(((VLOOKUP(EDATE(B145,-12),Database!$A:$AS,MATCH($T$1,Database!$A$1:$AS$1,),)))))/(((VLOOKUP(EDATE(B145,-12),Database!$A:$AS,MATCH($T$1,Database!$A$1:$AS$1,),))))</f>
        <v>4.6228710466135414E-2</v>
      </c>
      <c r="U145" s="13">
        <f>((((VLOOKUP(B145,Database!$A:$AS,MATCH($U$1,Database!$A$1:$AS$1,),))))-(((VLOOKUP(EDATE(B145,-12),Database!$A:$AS,MATCH($U$1,Database!$A$1:$AS$1,),)))))/(((VLOOKUP(EDATE(B145,-12),Database!$A:$AS,MATCH($U$1,Database!$A$1:$AS$1,),))))</f>
        <v>1.9935334332341407E-2</v>
      </c>
      <c r="V145" s="13">
        <f>((((VLOOKUP(B145,Database!$A:$AS,MATCH($V$1,Database!$A$1:$AS$1,),))))-(((VLOOKUP(EDATE(B145,-12),Database!$A:$AS,MATCH($V$1,Database!$A$1:$AS$1,),)))))/(((VLOOKUP(EDATE(B145,-12),Database!$A:$AS,MATCH($V$1,Database!$A$1:$AS$1,),))))</f>
        <v>0.11224925506018674</v>
      </c>
    </row>
    <row r="146" spans="1:22" s="83" customFormat="1" x14ac:dyDescent="0.2">
      <c r="A146" s="43"/>
      <c r="B146" s="78">
        <v>36586</v>
      </c>
      <c r="C146" s="13">
        <f>((((VLOOKUP(B146,Database!$A:$AS,MATCH($C$1,Database!$A$1:$AS$1,),))))-(((VLOOKUP(EDATE(B146,-12),Database!$A:$AS,MATCH($C$1,Database!$A$1:$AS$1,),)))))/(((VLOOKUP(EDATE(B146,-12),Database!$A:$AS,MATCH($C$1,Database!$A$1:$AS$1,),))))</f>
        <v>4.7278159251218491E-2</v>
      </c>
      <c r="D146" s="13">
        <f>((((VLOOKUP(B146,Database!$A:$AS,MATCH($D$1,Database!$A$1:$AS$1,),))))-(((VLOOKUP(EDATE(B146,-12),Database!$A:$AS,MATCH($D$1,Database!$A$1:$AS$1,),)))))/(((VLOOKUP(EDATE(B146,-12),Database!$A:$AS,MATCH($D$1,Database!$A$1:$AS$1,),))))</f>
        <v>5.6433408577878111E-2</v>
      </c>
      <c r="E146" s="13">
        <f>((((VLOOKUP(B146,Database!$A:$AS,MATCH($E$1,Database!$A$1:$AS$1,),))))-(((VLOOKUP(EDATE(B146,-12),Database!$A:$AS,MATCH($E$1,Database!$A$1:$AS$1,),)))))/(((VLOOKUP(EDATE(B146,-12),Database!$A:$AS,MATCH($E$1,Database!$A$1:$AS$1,),))))</f>
        <v>3.477344573612072E-2</v>
      </c>
      <c r="F146" s="13">
        <f>((((VLOOKUP(B146,Database!$A:$AS,MATCH($F$1,Database!$A$1:$AS$1,),))))-(((VLOOKUP(EDATE(B146,-12),Database!$A:$AS,MATCH($F$1,Database!$A$1:$AS$1,),)))))/(((VLOOKUP(EDATE(B146,-12),Database!$A:$AS,MATCH($F$1,Database!$A$1:$AS$1,),))))</f>
        <v>5.6527590845902968E-2</v>
      </c>
      <c r="G146" s="13">
        <f>((((VLOOKUP(B146,Database!$A:$AS,MATCH($G$1,Database!$A$1:$AS$1,),))))-(((VLOOKUP(EDATE(B146,-12),Database!$A:$AS,MATCH($G$1,Database!$A$1:$AS$1,),)))))/(((VLOOKUP(EDATE(B146,-12),Database!$A:$AS,MATCH($G$1,Database!$A$1:$AS$1,),))))</f>
        <v>5.8846568099481106E-2</v>
      </c>
      <c r="H146" s="13">
        <f>((((VLOOKUP(B146,Database!$A:$AS,MATCH($H$1,Database!$A$1:$AS$1,),))))-(((VLOOKUP(EDATE(B146,-12),Database!$A:$AS,MATCH($H$1,Database!$A$1:$AS$1,),)))))/(((VLOOKUP(EDATE(B146,-12),Database!$A:$AS,MATCH($H$1,Database!$A$1:$AS$1,),))))</f>
        <v>1.9450800906482345E-2</v>
      </c>
      <c r="I146" s="13">
        <f>((((VLOOKUP(B146,Database!$A:$AS,MATCH($I$1,Database!$A$1:$AS$1,),))))-(((VLOOKUP(EDATE(B146,-12),Database!$A:$AS,MATCH($I$1,Database!$A$1:$AS$1,),)))))/(((VLOOKUP(EDATE(B146,-12),Database!$A:$AS,MATCH($I$1,Database!$A$1:$AS$1,),))))</f>
        <v>4.0362438223404323E-2</v>
      </c>
      <c r="J146" s="13">
        <f>((((VLOOKUP(B146,Database!$A:$AS,MATCH($J$1,Database!$A$1:$AS$1,),))))-(((VLOOKUP(EDATE(B146,-12),Database!$A:$AS,MATCH($J$1,Database!$A$1:$AS$1,),)))))/(((VLOOKUP(EDATE(B146,-12),Database!$A:$AS,MATCH($J$1,Database!$A$1:$AS$1,),))))</f>
        <v>8.11482052753255E-2</v>
      </c>
      <c r="K146" s="13">
        <f>((((VLOOKUP(B146,Database!$A:$AS,MATCH($K$1,Database!$A$1:$AS$1,),))))-(((VLOOKUP(EDATE(B146,-12),Database!$A:$AS,MATCH($K$1,Database!$A$1:$AS$1,),)))))/(((VLOOKUP(EDATE(B146,-12),Database!$A:$AS,MATCH($K$1,Database!$A$1:$AS$1,),))))</f>
        <v>3.0020171851028579E-2</v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>3.9200884760442152E-2</v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>7.4177014151509971E-2</v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>8.6258136519725234E-2</v>
      </c>
      <c r="O146" s="13">
        <f>((((VLOOKUP(B146,Database!$A:$AS,MATCH($O$1,Database!$A$1:$AS$1,),))))-(((VLOOKUP(EDATE(B146,-12),Database!$A:$AS,MATCH($O$1,Database!$A$1:$AS$1,),)))))/(((VLOOKUP(EDATE(B146,-12),Database!$A:$AS,MATCH($O$1,Database!$A$1:$AS$1,),))))</f>
        <v>8.3658933165545665E-2</v>
      </c>
      <c r="P146" s="13">
        <f>((((VLOOKUP(B146,Database!$A:$AS,MATCH($P$1,Database!$A$1:$AS$1,),))))-(((VLOOKUP(EDATE(B146,-12),Database!$A:$AS,MATCH($P$1,Database!$A$1:$AS$1,),)))))/(((VLOOKUP(EDATE(B146,-12),Database!$A:$AS,MATCH($P$1,Database!$A$1:$AS$1,),))))</f>
        <v>0.23254156165337289</v>
      </c>
      <c r="Q146" s="13">
        <f>((((VLOOKUP(B146,Database!$A:$AS,MATCH($Q$1,Database!$A$1:$AS$1,),))))-(((VLOOKUP(EDATE(B146,-12),Database!$A:$AS,MATCH($Q$1,Database!$A$1:$AS$1,),)))))/(((VLOOKUP(EDATE(B146,-12),Database!$A:$AS,MATCH($Q$1,Database!$A$1:$AS$1,),))))</f>
        <v>7.2681416940089838E-2</v>
      </c>
      <c r="R146" s="13">
        <f>((((VLOOKUP(B146,Database!$A:$AS,MATCH($R$1,Database!$A$1:$AS$1,),))))-(((VLOOKUP(EDATE(B146,-12),Database!$A:$AS,MATCH($R$1,Database!$A$1:$AS$1,),)))))/(((VLOOKUP(EDATE(B146,-12),Database!$A:$AS,MATCH($R$1,Database!$A$1:$AS$1,),))))</f>
        <v>0.11850010799804377</v>
      </c>
      <c r="S146" s="13">
        <f>((((VLOOKUP(B146,Database!$A:$AS,MATCH($S$1,Database!$A$1:$AS$1,),))))-(((VLOOKUP(EDATE(B146,-12),Database!$A:$AS,MATCH($S$1,Database!$A$1:$AS$1,),)))))/(((VLOOKUP(EDATE(B146,-12),Database!$A:$AS,MATCH($S$1,Database!$A$1:$AS$1,),))))</f>
        <v>0.12919463088177885</v>
      </c>
      <c r="T146" s="13">
        <f>((((VLOOKUP(B146,Database!$A:$AS,MATCH($T$1,Database!$A$1:$AS$1,),))))-(((VLOOKUP(EDATE(B146,-12),Database!$A:$AS,MATCH($T$1,Database!$A$1:$AS$1,),)))))/(((VLOOKUP(EDATE(B146,-12),Database!$A:$AS,MATCH($T$1,Database!$A$1:$AS$1,),))))</f>
        <v>4.7619047446698214E-3</v>
      </c>
      <c r="U146" s="13">
        <f>((((VLOOKUP(B146,Database!$A:$AS,MATCH($U$1,Database!$A$1:$AS$1,),))))-(((VLOOKUP(EDATE(B146,-12),Database!$A:$AS,MATCH($U$1,Database!$A$1:$AS$1,),)))))/(((VLOOKUP(EDATE(B146,-12),Database!$A:$AS,MATCH($U$1,Database!$A$1:$AS$1,),))))</f>
        <v>4.7506174535467537E-2</v>
      </c>
      <c r="V146" s="13">
        <f>((((VLOOKUP(B146,Database!$A:$AS,MATCH($V$1,Database!$A$1:$AS$1,),))))-(((VLOOKUP(EDATE(B146,-12),Database!$A:$AS,MATCH($V$1,Database!$A$1:$AS$1,),)))))/(((VLOOKUP(EDATE(B146,-12),Database!$A:$AS,MATCH($V$1,Database!$A$1:$AS$1,),))))</f>
        <v>5.9064487116410387E-2</v>
      </c>
    </row>
    <row r="147" spans="1:22" s="83" customFormat="1" x14ac:dyDescent="0.2">
      <c r="A147" s="43"/>
      <c r="B147" s="78">
        <v>36617</v>
      </c>
      <c r="C147" s="13">
        <f>((((VLOOKUP(B147,Database!$A:$AS,MATCH($C$1,Database!$A$1:$AS$1,),))))-(((VLOOKUP(EDATE(B147,-12),Database!$A:$AS,MATCH($C$1,Database!$A$1:$AS$1,),)))))/(((VLOOKUP(EDATE(B147,-12),Database!$A:$AS,MATCH($C$1,Database!$A$1:$AS$1,),))))</f>
        <v>5.1609870417640952E-2</v>
      </c>
      <c r="D147" s="13">
        <f>((((VLOOKUP(B147,Database!$A:$AS,MATCH($D$1,Database!$A$1:$AS$1,),))))-(((VLOOKUP(EDATE(B147,-12),Database!$A:$AS,MATCH($D$1,Database!$A$1:$AS$1,),)))))/(((VLOOKUP(EDATE(B147,-12),Database!$A:$AS,MATCH($D$1,Database!$A$1:$AS$1,),))))</f>
        <v>6.2850729517396287E-2</v>
      </c>
      <c r="E147" s="13">
        <f>((((VLOOKUP(B147,Database!$A:$AS,MATCH($E$1,Database!$A$1:$AS$1,),))))-(((VLOOKUP(EDATE(B147,-12),Database!$A:$AS,MATCH($E$1,Database!$A$1:$AS$1,),)))))/(((VLOOKUP(EDATE(B147,-12),Database!$A:$AS,MATCH($E$1,Database!$A$1:$AS$1,),))))</f>
        <v>6.8595927119421043E-2</v>
      </c>
      <c r="F147" s="13">
        <f>((((VLOOKUP(B147,Database!$A:$AS,MATCH($F$1,Database!$A$1:$AS$1,),))))-(((VLOOKUP(EDATE(B147,-12),Database!$A:$AS,MATCH($F$1,Database!$A$1:$AS$1,),)))))/(((VLOOKUP(EDATE(B147,-12),Database!$A:$AS,MATCH($F$1,Database!$A$1:$AS$1,),))))</f>
        <v>6.2834224599395305E-2</v>
      </c>
      <c r="G147" s="13">
        <f>((((VLOOKUP(B147,Database!$A:$AS,MATCH($G$1,Database!$A$1:$AS$1,),))))-(((VLOOKUP(EDATE(B147,-12),Database!$A:$AS,MATCH($G$1,Database!$A$1:$AS$1,),)))))/(((VLOOKUP(EDATE(B147,-12),Database!$A:$AS,MATCH($G$1,Database!$A$1:$AS$1,),))))</f>
        <v>5.6743101438010139E-2</v>
      </c>
      <c r="H147" s="13">
        <f>((((VLOOKUP(B147,Database!$A:$AS,MATCH($H$1,Database!$A$1:$AS$1,),))))-(((VLOOKUP(EDATE(B147,-12),Database!$A:$AS,MATCH($H$1,Database!$A$1:$AS$1,),)))))/(((VLOOKUP(EDATE(B147,-12),Database!$A:$AS,MATCH($H$1,Database!$A$1:$AS$1,),))))</f>
        <v>2.1444695267281082E-2</v>
      </c>
      <c r="I147" s="13">
        <f>((((VLOOKUP(B147,Database!$A:$AS,MATCH($I$1,Database!$A$1:$AS$1,),))))-(((VLOOKUP(EDATE(B147,-12),Database!$A:$AS,MATCH($I$1,Database!$A$1:$AS$1,),)))))/(((VLOOKUP(EDATE(B147,-12),Database!$A:$AS,MATCH($I$1,Database!$A$1:$AS$1,),))))</f>
        <v>5.6431535273463236E-2</v>
      </c>
      <c r="J147" s="13">
        <f>((((VLOOKUP(B147,Database!$A:$AS,MATCH($J$1,Database!$A$1:$AS$1,),))))-(((VLOOKUP(EDATE(B147,-12),Database!$A:$AS,MATCH($J$1,Database!$A$1:$AS$1,),)))))/(((VLOOKUP(EDATE(B147,-12),Database!$A:$AS,MATCH($J$1,Database!$A$1:$AS$1,),))))</f>
        <v>5.0938246618073779E-2</v>
      </c>
      <c r="K147" s="13">
        <f>((((VLOOKUP(B147,Database!$A:$AS,MATCH($K$1,Database!$A$1:$AS$1,),))))-(((VLOOKUP(EDATE(B147,-12),Database!$A:$AS,MATCH($K$1,Database!$A$1:$AS$1,),)))))/(((VLOOKUP(EDATE(B147,-12),Database!$A:$AS,MATCH($K$1,Database!$A$1:$AS$1,),))))</f>
        <v>5.9487731141280885E-2</v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>3.7735287334083725E-2</v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>0.19298502602198497</v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>7.4692929397660396E-2</v>
      </c>
      <c r="O147" s="13">
        <f>((((VLOOKUP(B147,Database!$A:$AS,MATCH($O$1,Database!$A$1:$AS$1,),))))-(((VLOOKUP(EDATE(B147,-12),Database!$A:$AS,MATCH($O$1,Database!$A$1:$AS$1,),)))))/(((VLOOKUP(EDATE(B147,-12),Database!$A:$AS,MATCH($O$1,Database!$A$1:$AS$1,),))))</f>
        <v>7.4051516453337796E-2</v>
      </c>
      <c r="P147" s="13">
        <f>((((VLOOKUP(B147,Database!$A:$AS,MATCH($P$1,Database!$A$1:$AS$1,),))))-(((VLOOKUP(EDATE(B147,-12),Database!$A:$AS,MATCH($P$1,Database!$A$1:$AS$1,),)))))/(((VLOOKUP(EDATE(B147,-12),Database!$A:$AS,MATCH($P$1,Database!$A$1:$AS$1,),))))</f>
        <v>0.23285101130779279</v>
      </c>
      <c r="Q147" s="13">
        <f>((((VLOOKUP(B147,Database!$A:$AS,MATCH($Q$1,Database!$A$1:$AS$1,),))))-(((VLOOKUP(EDATE(B147,-12),Database!$A:$AS,MATCH($Q$1,Database!$A$1:$AS$1,),)))))/(((VLOOKUP(EDATE(B147,-12),Database!$A:$AS,MATCH($Q$1,Database!$A$1:$AS$1,),))))</f>
        <v>6.4232589591066522E-2</v>
      </c>
      <c r="R147" s="13">
        <f>((((VLOOKUP(B147,Database!$A:$AS,MATCH($R$1,Database!$A$1:$AS$1,),))))-(((VLOOKUP(EDATE(B147,-12),Database!$A:$AS,MATCH($R$1,Database!$A$1:$AS$1,),)))))/(((VLOOKUP(EDATE(B147,-12),Database!$A:$AS,MATCH($R$1,Database!$A$1:$AS$1,),))))</f>
        <v>0.12188621229269068</v>
      </c>
      <c r="S147" s="13">
        <f>((((VLOOKUP(B147,Database!$A:$AS,MATCH($S$1,Database!$A$1:$AS$1,),))))-(((VLOOKUP(EDATE(B147,-12),Database!$A:$AS,MATCH($S$1,Database!$A$1:$AS$1,),)))))/(((VLOOKUP(EDATE(B147,-12),Database!$A:$AS,MATCH($S$1,Database!$A$1:$AS$1,),))))</f>
        <v>0.18821603928352443</v>
      </c>
      <c r="T147" s="13">
        <f>((((VLOOKUP(B147,Database!$A:$AS,MATCH($T$1,Database!$A$1:$AS$1,),))))-(((VLOOKUP(EDATE(B147,-12),Database!$A:$AS,MATCH($T$1,Database!$A$1:$AS$1,),)))))/(((VLOOKUP(EDATE(B147,-12),Database!$A:$AS,MATCH($T$1,Database!$A$1:$AS$1,),))))</f>
        <v>4.589371981067273E-2</v>
      </c>
      <c r="U147" s="13">
        <f>((((VLOOKUP(B147,Database!$A:$AS,MATCH($U$1,Database!$A$1:$AS$1,),))))-(((VLOOKUP(EDATE(B147,-12),Database!$A:$AS,MATCH($U$1,Database!$A$1:$AS$1,),)))))/(((VLOOKUP(EDATE(B147,-12),Database!$A:$AS,MATCH($U$1,Database!$A$1:$AS$1,),))))</f>
        <v>1.940127984053288E-2</v>
      </c>
      <c r="V147" s="13">
        <f>((((VLOOKUP(B147,Database!$A:$AS,MATCH($V$1,Database!$A$1:$AS$1,),))))-(((VLOOKUP(EDATE(B147,-12),Database!$A:$AS,MATCH($V$1,Database!$A$1:$AS$1,),)))))/(((VLOOKUP(EDATE(B147,-12),Database!$A:$AS,MATCH($V$1,Database!$A$1:$AS$1,),))))</f>
        <v>8.8439656927339308E-2</v>
      </c>
    </row>
    <row r="148" spans="1:22" s="83" customFormat="1" x14ac:dyDescent="0.2">
      <c r="A148" s="43"/>
      <c r="B148" s="78">
        <v>36647</v>
      </c>
      <c r="C148" s="13">
        <f>((((VLOOKUP(B148,Database!$A:$AS,MATCH($C$1,Database!$A$1:$AS$1,),))))-(((VLOOKUP(EDATE(B148,-12),Database!$A:$AS,MATCH($C$1,Database!$A$1:$AS$1,),)))))/(((VLOOKUP(EDATE(B148,-12),Database!$A:$AS,MATCH($C$1,Database!$A$1:$AS$1,),))))</f>
        <v>4.826789242220117E-2</v>
      </c>
      <c r="D148" s="13">
        <f>((((VLOOKUP(B148,Database!$A:$AS,MATCH($D$1,Database!$A$1:$AS$1,),))))-(((VLOOKUP(EDATE(B148,-12),Database!$A:$AS,MATCH($D$1,Database!$A$1:$AS$1,),)))))/(((VLOOKUP(EDATE(B148,-12),Database!$A:$AS,MATCH($D$1,Database!$A$1:$AS$1,),))))</f>
        <v>7.6233183856502212E-2</v>
      </c>
      <c r="E148" s="13">
        <f>((((VLOOKUP(B148,Database!$A:$AS,MATCH($E$1,Database!$A$1:$AS$1,),))))-(((VLOOKUP(EDATE(B148,-12),Database!$A:$AS,MATCH($E$1,Database!$A$1:$AS$1,),)))))/(((VLOOKUP(EDATE(B148,-12),Database!$A:$AS,MATCH($E$1,Database!$A$1:$AS$1,),))))</f>
        <v>4.5358649788349144E-2</v>
      </c>
      <c r="F148" s="13">
        <f>((((VLOOKUP(B148,Database!$A:$AS,MATCH($F$1,Database!$A$1:$AS$1,),))))-(((VLOOKUP(EDATE(B148,-12),Database!$A:$AS,MATCH($F$1,Database!$A$1:$AS$1,),)))))/(((VLOOKUP(EDATE(B148,-12),Database!$A:$AS,MATCH($F$1,Database!$A$1:$AS$1,),))))</f>
        <v>8.1009296148279675E-2</v>
      </c>
      <c r="G148" s="13">
        <f>((((VLOOKUP(B148,Database!$A:$AS,MATCH($G$1,Database!$A$1:$AS$1,),))))-(((VLOOKUP(EDATE(B148,-12),Database!$A:$AS,MATCH($G$1,Database!$A$1:$AS$1,),)))))/(((VLOOKUP(EDATE(B148,-12),Database!$A:$AS,MATCH($G$1,Database!$A$1:$AS$1,),))))</f>
        <v>6.5408805031446596E-2</v>
      </c>
      <c r="H148" s="13">
        <f>((((VLOOKUP(B148,Database!$A:$AS,MATCH($H$1,Database!$A$1:$AS$1,),))))-(((VLOOKUP(EDATE(B148,-12),Database!$A:$AS,MATCH($H$1,Database!$A$1:$AS$1,),)))))/(((VLOOKUP(EDATE(B148,-12),Database!$A:$AS,MATCH($H$1,Database!$A$1:$AS$1,),))))</f>
        <v>8.8495575242173562E-3</v>
      </c>
      <c r="I148" s="13">
        <f>((((VLOOKUP(B148,Database!$A:$AS,MATCH($I$1,Database!$A$1:$AS$1,),))))-(((VLOOKUP(EDATE(B148,-12),Database!$A:$AS,MATCH($I$1,Database!$A$1:$AS$1,),)))))/(((VLOOKUP(EDATE(B148,-12),Database!$A:$AS,MATCH($I$1,Database!$A$1:$AS$1,),))))</f>
        <v>7.0234113709521984E-2</v>
      </c>
      <c r="J148" s="13">
        <f>((((VLOOKUP(B148,Database!$A:$AS,MATCH($J$1,Database!$A$1:$AS$1,),))))-(((VLOOKUP(EDATE(B148,-12),Database!$A:$AS,MATCH($J$1,Database!$A$1:$AS$1,),)))))/(((VLOOKUP(EDATE(B148,-12),Database!$A:$AS,MATCH($J$1,Database!$A$1:$AS$1,),))))</f>
        <v>6.8423980482593225E-2</v>
      </c>
      <c r="K148" s="13">
        <f>((((VLOOKUP(B148,Database!$A:$AS,MATCH($K$1,Database!$A$1:$AS$1,),))))-(((VLOOKUP(EDATE(B148,-12),Database!$A:$AS,MATCH($K$1,Database!$A$1:$AS$1,),)))))/(((VLOOKUP(EDATE(B148,-12),Database!$A:$AS,MATCH($K$1,Database!$A$1:$AS$1,),))))</f>
        <v>6.7104519183651123E-2</v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>5.1527655518744421E-2</v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>9.6118505637512133E-2</v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>5.5565159854648417E-2</v>
      </c>
      <c r="O148" s="13">
        <f>((((VLOOKUP(B148,Database!$A:$AS,MATCH($O$1,Database!$A$1:$AS$1,),))))-(((VLOOKUP(EDATE(B148,-12),Database!$A:$AS,MATCH($O$1,Database!$A$1:$AS$1,),)))))/(((VLOOKUP(EDATE(B148,-12),Database!$A:$AS,MATCH($O$1,Database!$A$1:$AS$1,),))))</f>
        <v>9.2404914166671168E-2</v>
      </c>
      <c r="P148" s="13">
        <f>((((VLOOKUP(B148,Database!$A:$AS,MATCH($P$1,Database!$A$1:$AS$1,),))))-(((VLOOKUP(EDATE(B148,-12),Database!$A:$AS,MATCH($P$1,Database!$A$1:$AS$1,),)))))/(((VLOOKUP(EDATE(B148,-12),Database!$A:$AS,MATCH($P$1,Database!$A$1:$AS$1,),))))</f>
        <v>0.21084440111707203</v>
      </c>
      <c r="Q148" s="13">
        <f>((((VLOOKUP(B148,Database!$A:$AS,MATCH($Q$1,Database!$A$1:$AS$1,),))))-(((VLOOKUP(EDATE(B148,-12),Database!$A:$AS,MATCH($Q$1,Database!$A$1:$AS$1,),)))))/(((VLOOKUP(EDATE(B148,-12),Database!$A:$AS,MATCH($Q$1,Database!$A$1:$AS$1,),))))</f>
        <v>4.2280022129390027E-2</v>
      </c>
      <c r="R148" s="13">
        <f>((((VLOOKUP(B148,Database!$A:$AS,MATCH($R$1,Database!$A$1:$AS$1,),))))-(((VLOOKUP(EDATE(B148,-12),Database!$A:$AS,MATCH($R$1,Database!$A$1:$AS$1,),)))))/(((VLOOKUP(EDATE(B148,-12),Database!$A:$AS,MATCH($R$1,Database!$A$1:$AS$1,),))))</f>
        <v>6.5520675085593394E-2</v>
      </c>
      <c r="S148" s="13">
        <f>((((VLOOKUP(B148,Database!$A:$AS,MATCH($S$1,Database!$A$1:$AS$1,),))))-(((VLOOKUP(EDATE(B148,-12),Database!$A:$AS,MATCH($S$1,Database!$A$1:$AS$1,),)))))/(((VLOOKUP(EDATE(B148,-12),Database!$A:$AS,MATCH($S$1,Database!$A$1:$AS$1,),))))</f>
        <v>0.1844660194277975</v>
      </c>
      <c r="T148" s="13">
        <f>((((VLOOKUP(B148,Database!$A:$AS,MATCH($T$1,Database!$A$1:$AS$1,),))))-(((VLOOKUP(EDATE(B148,-12),Database!$A:$AS,MATCH($T$1,Database!$A$1:$AS$1,),)))))/(((VLOOKUP(EDATE(B148,-12),Database!$A:$AS,MATCH($T$1,Database!$A$1:$AS$1,),))))</f>
        <v>2.5700934579821474E-2</v>
      </c>
      <c r="U148" s="13">
        <f>((((VLOOKUP(B148,Database!$A:$AS,MATCH($U$1,Database!$A$1:$AS$1,),))))-(((VLOOKUP(EDATE(B148,-12),Database!$A:$AS,MATCH($U$1,Database!$A$1:$AS$1,),)))))/(((VLOOKUP(EDATE(B148,-12),Database!$A:$AS,MATCH($U$1,Database!$A$1:$AS$1,),))))</f>
        <v>-1.4140578792066864E-3</v>
      </c>
      <c r="V148" s="13">
        <f>((((VLOOKUP(B148,Database!$A:$AS,MATCH($V$1,Database!$A$1:$AS$1,),))))-(((VLOOKUP(EDATE(B148,-12),Database!$A:$AS,MATCH($V$1,Database!$A$1:$AS$1,),)))))/(((VLOOKUP(EDATE(B148,-12),Database!$A:$AS,MATCH($V$1,Database!$A$1:$AS$1,),))))</f>
        <v>7.1821021687975495E-2</v>
      </c>
    </row>
    <row r="149" spans="1:22" s="83" customFormat="1" x14ac:dyDescent="0.2">
      <c r="A149" s="43"/>
      <c r="B149" s="78">
        <v>36678</v>
      </c>
      <c r="C149" s="13">
        <f>((((VLOOKUP(B149,Database!$A:$AS,MATCH($C$1,Database!$A$1:$AS$1,),))))-(((VLOOKUP(EDATE(B149,-12),Database!$A:$AS,MATCH($C$1,Database!$A$1:$AS$1,),)))))/(((VLOOKUP(EDATE(B149,-12),Database!$A:$AS,MATCH($C$1,Database!$A$1:$AS$1,),))))</f>
        <v>4.9568330935578053E-2</v>
      </c>
      <c r="D149" s="13">
        <f>((((VLOOKUP(B149,Database!$A:$AS,MATCH($D$1,Database!$A$1:$AS$1,),))))-(((VLOOKUP(EDATE(B149,-12),Database!$A:$AS,MATCH($D$1,Database!$A$1:$AS$1,),)))))/(((VLOOKUP(EDATE(B149,-12),Database!$A:$AS,MATCH($D$1,Database!$A$1:$AS$1,),))))</f>
        <v>5.2222222222222253E-2</v>
      </c>
      <c r="E149" s="13">
        <f>((((VLOOKUP(B149,Database!$A:$AS,MATCH($E$1,Database!$A$1:$AS$1,),))))-(((VLOOKUP(EDATE(B149,-12),Database!$A:$AS,MATCH($E$1,Database!$A$1:$AS$1,),)))))/(((VLOOKUP(EDATE(B149,-12),Database!$A:$AS,MATCH($E$1,Database!$A$1:$AS$1,),))))</f>
        <v>6.6950053134973417E-2</v>
      </c>
      <c r="F149" s="13">
        <f>((((VLOOKUP(B149,Database!$A:$AS,MATCH($F$1,Database!$A$1:$AS$1,),))))-(((VLOOKUP(EDATE(B149,-12),Database!$A:$AS,MATCH($F$1,Database!$A$1:$AS$1,),)))))/(((VLOOKUP(EDATE(B149,-12),Database!$A:$AS,MATCH($F$1,Database!$A$1:$AS$1,),))))</f>
        <v>5.7104913671546E-2</v>
      </c>
      <c r="G149" s="13">
        <f>((((VLOOKUP(B149,Database!$A:$AS,MATCH($G$1,Database!$A$1:$AS$1,),))))-(((VLOOKUP(EDATE(B149,-12),Database!$A:$AS,MATCH($G$1,Database!$A$1:$AS$1,),)))))/(((VLOOKUP(EDATE(B149,-12),Database!$A:$AS,MATCH($G$1,Database!$A$1:$AS$1,),))))</f>
        <v>3.7415290636632639E-2</v>
      </c>
      <c r="H149" s="13">
        <f>((((VLOOKUP(B149,Database!$A:$AS,MATCH($H$1,Database!$A$1:$AS$1,),))))-(((VLOOKUP(EDATE(B149,-12),Database!$A:$AS,MATCH($H$1,Database!$A$1:$AS$1,),)))))/(((VLOOKUP(EDATE(B149,-12),Database!$A:$AS,MATCH($H$1,Database!$A$1:$AS$1,),))))</f>
        <v>2.1040974526552882E-2</v>
      </c>
      <c r="I149" s="13">
        <f>((((VLOOKUP(B149,Database!$A:$AS,MATCH($I$1,Database!$A$1:$AS$1,),))))-(((VLOOKUP(EDATE(B149,-12),Database!$A:$AS,MATCH($I$1,Database!$A$1:$AS$1,),)))))/(((VLOOKUP(EDATE(B149,-12),Database!$A:$AS,MATCH($I$1,Database!$A$1:$AS$1,),))))</f>
        <v>5.1851851845571811E-2</v>
      </c>
      <c r="J149" s="13">
        <f>((((VLOOKUP(B149,Database!$A:$AS,MATCH($J$1,Database!$A$1:$AS$1,),))))-(((VLOOKUP(EDATE(B149,-12),Database!$A:$AS,MATCH($J$1,Database!$A$1:$AS$1,),)))))/(((VLOOKUP(EDATE(B149,-12),Database!$A:$AS,MATCH($J$1,Database!$A$1:$AS$1,),))))</f>
        <v>4.6953927521010429E-2</v>
      </c>
      <c r="K149" s="13">
        <f>((((VLOOKUP(B149,Database!$A:$AS,MATCH($K$1,Database!$A$1:$AS$1,),))))-(((VLOOKUP(EDATE(B149,-12),Database!$A:$AS,MATCH($K$1,Database!$A$1:$AS$1,),)))))/(((VLOOKUP(EDATE(B149,-12),Database!$A:$AS,MATCH($K$1,Database!$A$1:$AS$1,),))))</f>
        <v>9.1767353385211095E-2</v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>5.7658290185227612E-2</v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>0.11723529953938359</v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>5.9158488295571694E-2</v>
      </c>
      <c r="O149" s="13">
        <f>((((VLOOKUP(B149,Database!$A:$AS,MATCH($O$1,Database!$A$1:$AS$1,),))))-(((VLOOKUP(EDATE(B149,-12),Database!$A:$AS,MATCH($O$1,Database!$A$1:$AS$1,),)))))/(((VLOOKUP(EDATE(B149,-12),Database!$A:$AS,MATCH($O$1,Database!$A$1:$AS$1,),))))</f>
        <v>8.1254637394373538E-2</v>
      </c>
      <c r="P149" s="13">
        <f>((((VLOOKUP(B149,Database!$A:$AS,MATCH($P$1,Database!$A$1:$AS$1,),))))-(((VLOOKUP(EDATE(B149,-12),Database!$A:$AS,MATCH($P$1,Database!$A$1:$AS$1,),)))))/(((VLOOKUP(EDATE(B149,-12),Database!$A:$AS,MATCH($P$1,Database!$A$1:$AS$1,),))))</f>
        <v>0.19565743610197722</v>
      </c>
      <c r="Q149" s="13">
        <f>((((VLOOKUP(B149,Database!$A:$AS,MATCH($Q$1,Database!$A$1:$AS$1,),))))-(((VLOOKUP(EDATE(B149,-12),Database!$A:$AS,MATCH($Q$1,Database!$A$1:$AS$1,),)))))/(((VLOOKUP(EDATE(B149,-12),Database!$A:$AS,MATCH($Q$1,Database!$A$1:$AS$1,),))))</f>
        <v>7.535391818025837E-2</v>
      </c>
      <c r="R149" s="13">
        <f>((((VLOOKUP(B149,Database!$A:$AS,MATCH($R$1,Database!$A$1:$AS$1,),))))-(((VLOOKUP(EDATE(B149,-12),Database!$A:$AS,MATCH($R$1,Database!$A$1:$AS$1,),)))))/(((VLOOKUP(EDATE(B149,-12),Database!$A:$AS,MATCH($R$1,Database!$A$1:$AS$1,),))))</f>
        <v>7.9493942273088147E-2</v>
      </c>
      <c r="S149" s="13">
        <f>((((VLOOKUP(B149,Database!$A:$AS,MATCH($S$1,Database!$A$1:$AS$1,),))))-(((VLOOKUP(EDATE(B149,-12),Database!$A:$AS,MATCH($S$1,Database!$A$1:$AS$1,),)))))/(((VLOOKUP(EDATE(B149,-12),Database!$A:$AS,MATCH($S$1,Database!$A$1:$AS$1,),))))</f>
        <v>0.16930379747417487</v>
      </c>
      <c r="T149" s="13">
        <f>((((VLOOKUP(B149,Database!$A:$AS,MATCH($T$1,Database!$A$1:$AS$1,),))))-(((VLOOKUP(EDATE(B149,-12),Database!$A:$AS,MATCH($T$1,Database!$A$1:$AS$1,),)))))/(((VLOOKUP(EDATE(B149,-12),Database!$A:$AS,MATCH($T$1,Database!$A$1:$AS$1,),))))</f>
        <v>3.9719626164566535E-2</v>
      </c>
      <c r="U149" s="13">
        <f>((((VLOOKUP(B149,Database!$A:$AS,MATCH($U$1,Database!$A$1:$AS$1,),))))-(((VLOOKUP(EDATE(B149,-12),Database!$A:$AS,MATCH($U$1,Database!$A$1:$AS$1,),)))))/(((VLOOKUP(EDATE(B149,-12),Database!$A:$AS,MATCH($U$1,Database!$A$1:$AS$1,),))))</f>
        <v>3.3527768434246694E-2</v>
      </c>
      <c r="V149" s="13">
        <f>((((VLOOKUP(B149,Database!$A:$AS,MATCH($V$1,Database!$A$1:$AS$1,),))))-(((VLOOKUP(EDATE(B149,-12),Database!$A:$AS,MATCH($V$1,Database!$A$1:$AS$1,),)))))/(((VLOOKUP(EDATE(B149,-12),Database!$A:$AS,MATCH($V$1,Database!$A$1:$AS$1,),))))</f>
        <v>0.11343841545741874</v>
      </c>
    </row>
    <row r="150" spans="1:22" s="83" customFormat="1" x14ac:dyDescent="0.2">
      <c r="A150" s="43"/>
      <c r="B150" s="78">
        <v>36708</v>
      </c>
      <c r="C150" s="13">
        <f>((((VLOOKUP(B150,Database!$A:$AS,MATCH($C$1,Database!$A$1:$AS$1,),))))-(((VLOOKUP(EDATE(B150,-12),Database!$A:$AS,MATCH($C$1,Database!$A$1:$AS$1,),)))))/(((VLOOKUP(EDATE(B150,-12),Database!$A:$AS,MATCH($C$1,Database!$A$1:$AS$1,),))))</f>
        <v>4.1205154410662186E-2</v>
      </c>
      <c r="D150" s="13">
        <f>((((VLOOKUP(B150,Database!$A:$AS,MATCH($D$1,Database!$A$1:$AS$1,),))))-(((VLOOKUP(EDATE(B150,-12),Database!$A:$AS,MATCH($D$1,Database!$A$1:$AS$1,),)))))/(((VLOOKUP(EDATE(B150,-12),Database!$A:$AS,MATCH($D$1,Database!$A$1:$AS$1,),))))</f>
        <v>5.849889624724075E-2</v>
      </c>
      <c r="E150" s="13">
        <f>((((VLOOKUP(B150,Database!$A:$AS,MATCH($E$1,Database!$A$1:$AS$1,),))))-(((VLOOKUP(EDATE(B150,-12),Database!$A:$AS,MATCH($E$1,Database!$A$1:$AS$1,),)))))/(((VLOOKUP(EDATE(B150,-12),Database!$A:$AS,MATCH($E$1,Database!$A$1:$AS$1,),))))</f>
        <v>5.9196617338212611E-2</v>
      </c>
      <c r="F150" s="13">
        <f>((((VLOOKUP(B150,Database!$A:$AS,MATCH($F$1,Database!$A$1:$AS$1,),))))-(((VLOOKUP(EDATE(B150,-12),Database!$A:$AS,MATCH($F$1,Database!$A$1:$AS$1,),)))))/(((VLOOKUP(EDATE(B150,-12),Database!$A:$AS,MATCH($F$1,Database!$A$1:$AS$1,),))))</f>
        <v>6.5876152832014936E-2</v>
      </c>
      <c r="G150" s="13">
        <f>((((VLOOKUP(B150,Database!$A:$AS,MATCH($G$1,Database!$A$1:$AS$1,),))))-(((VLOOKUP(EDATE(B150,-12),Database!$A:$AS,MATCH($G$1,Database!$A$1:$AS$1,),)))))/(((VLOOKUP(EDATE(B150,-12),Database!$A:$AS,MATCH($G$1,Database!$A$1:$AS$1,),))))</f>
        <v>4.7038659302989887E-2</v>
      </c>
      <c r="H150" s="13">
        <f>((((VLOOKUP(B150,Database!$A:$AS,MATCH($H$1,Database!$A$1:$AS$1,),))))-(((VLOOKUP(EDATE(B150,-12),Database!$A:$AS,MATCH($H$1,Database!$A$1:$AS$1,),)))))/(((VLOOKUP(EDATE(B150,-12),Database!$A:$AS,MATCH($H$1,Database!$A$1:$AS$1,),))))</f>
        <v>2.181025087372666E-3</v>
      </c>
      <c r="I150" s="13">
        <f>((((VLOOKUP(B150,Database!$A:$AS,MATCH($I$1,Database!$A$1:$AS$1,),))))-(((VLOOKUP(EDATE(B150,-12),Database!$A:$AS,MATCH($I$1,Database!$A$1:$AS$1,),)))))/(((VLOOKUP(EDATE(B150,-12),Database!$A:$AS,MATCH($I$1,Database!$A$1:$AS$1,),))))</f>
        <v>3.5947712419208466E-2</v>
      </c>
      <c r="J150" s="13">
        <f>((((VLOOKUP(B150,Database!$A:$AS,MATCH($J$1,Database!$A$1:$AS$1,),))))-(((VLOOKUP(EDATE(B150,-12),Database!$A:$AS,MATCH($J$1,Database!$A$1:$AS$1,),)))))/(((VLOOKUP(EDATE(B150,-12),Database!$A:$AS,MATCH($J$1,Database!$A$1:$AS$1,),))))</f>
        <v>3.6405242356235448E-2</v>
      </c>
      <c r="K150" s="13">
        <f>((((VLOOKUP(B150,Database!$A:$AS,MATCH($K$1,Database!$A$1:$AS$1,),))))-(((VLOOKUP(EDATE(B150,-12),Database!$A:$AS,MATCH($K$1,Database!$A$1:$AS$1,),)))))/(((VLOOKUP(EDATE(B150,-12),Database!$A:$AS,MATCH($K$1,Database!$A$1:$AS$1,),))))</f>
        <v>5.9586189916199947E-2</v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>3.8131275779806302E-2</v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>8.7741592857665807E-2</v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>5.0817808106295888E-2</v>
      </c>
      <c r="O150" s="13">
        <f>((((VLOOKUP(B150,Database!$A:$AS,MATCH($O$1,Database!$A$1:$AS$1,),))))-(((VLOOKUP(EDATE(B150,-12),Database!$A:$AS,MATCH($O$1,Database!$A$1:$AS$1,),)))))/(((VLOOKUP(EDATE(B150,-12),Database!$A:$AS,MATCH($O$1,Database!$A$1:$AS$1,),))))</f>
        <v>7.5195188075165773E-2</v>
      </c>
      <c r="P150" s="13">
        <f>((((VLOOKUP(B150,Database!$A:$AS,MATCH($P$1,Database!$A$1:$AS$1,),))))-(((VLOOKUP(EDATE(B150,-12),Database!$A:$AS,MATCH($P$1,Database!$A$1:$AS$1,),)))))/(((VLOOKUP(EDATE(B150,-12),Database!$A:$AS,MATCH($P$1,Database!$A$1:$AS$1,),))))</f>
        <v>0.19767168942924704</v>
      </c>
      <c r="Q150" s="13">
        <f>((((VLOOKUP(B150,Database!$A:$AS,MATCH($Q$1,Database!$A$1:$AS$1,),))))-(((VLOOKUP(EDATE(B150,-12),Database!$A:$AS,MATCH($Q$1,Database!$A$1:$AS$1,),)))))/(((VLOOKUP(EDATE(B150,-12),Database!$A:$AS,MATCH($Q$1,Database!$A$1:$AS$1,),))))</f>
        <v>9.6624901224346207E-2</v>
      </c>
      <c r="R150" s="13">
        <f>((((VLOOKUP(B150,Database!$A:$AS,MATCH($R$1,Database!$A$1:$AS$1,),))))-(((VLOOKUP(EDATE(B150,-12),Database!$A:$AS,MATCH($R$1,Database!$A$1:$AS$1,),)))))/(((VLOOKUP(EDATE(B150,-12),Database!$A:$AS,MATCH($R$1,Database!$A$1:$AS$1,),))))</f>
        <v>3.8607344887612464E-2</v>
      </c>
      <c r="S150" s="13">
        <f>((((VLOOKUP(B150,Database!$A:$AS,MATCH($S$1,Database!$A$1:$AS$1,),))))-(((VLOOKUP(EDATE(B150,-12),Database!$A:$AS,MATCH($S$1,Database!$A$1:$AS$1,),)))))/(((VLOOKUP(EDATE(B150,-12),Database!$A:$AS,MATCH($S$1,Database!$A$1:$AS$1,),))))</f>
        <v>0.15327380953026351</v>
      </c>
      <c r="T150" s="13">
        <f>((((VLOOKUP(B150,Database!$A:$AS,MATCH($T$1,Database!$A$1:$AS$1,),))))-(((VLOOKUP(EDATE(B150,-12),Database!$A:$AS,MATCH($T$1,Database!$A$1:$AS$1,),)))))/(((VLOOKUP(EDATE(B150,-12),Database!$A:$AS,MATCH($T$1,Database!$A$1:$AS$1,),))))</f>
        <v>6.1757719705767072E-2</v>
      </c>
      <c r="U150" s="13">
        <f>((((VLOOKUP(B150,Database!$A:$AS,MATCH($U$1,Database!$A$1:$AS$1,),))))-(((VLOOKUP(EDATE(B150,-12),Database!$A:$AS,MATCH($U$1,Database!$A$1:$AS$1,),)))))/(((VLOOKUP(EDATE(B150,-12),Database!$A:$AS,MATCH($U$1,Database!$A$1:$AS$1,),))))</f>
        <v>4.7371950507327967E-2</v>
      </c>
      <c r="V150" s="13">
        <f>((((VLOOKUP(B150,Database!$A:$AS,MATCH($V$1,Database!$A$1:$AS$1,),))))-(((VLOOKUP(EDATE(B150,-12),Database!$A:$AS,MATCH($V$1,Database!$A$1:$AS$1,),)))))/(((VLOOKUP(EDATE(B150,-12),Database!$A:$AS,MATCH($V$1,Database!$A$1:$AS$1,),))))</f>
        <v>7.7266043947143023E-2</v>
      </c>
    </row>
    <row r="151" spans="1:22" s="83" customFormat="1" x14ac:dyDescent="0.2">
      <c r="A151" s="43"/>
      <c r="B151" s="78">
        <v>36739</v>
      </c>
      <c r="C151" s="13">
        <f>((((VLOOKUP(B151,Database!$A:$AS,MATCH($C$1,Database!$A$1:$AS$1,),))))-(((VLOOKUP(EDATE(B151,-12),Database!$A:$AS,MATCH($C$1,Database!$A$1:$AS$1,),)))))/(((VLOOKUP(EDATE(B151,-12),Database!$A:$AS,MATCH($C$1,Database!$A$1:$AS$1,),))))</f>
        <v>3.4097381047003161E-2</v>
      </c>
      <c r="D151" s="13">
        <f>((((VLOOKUP(B151,Database!$A:$AS,MATCH($D$1,Database!$A$1:$AS$1,),))))-(((VLOOKUP(EDATE(B151,-12),Database!$A:$AS,MATCH($D$1,Database!$A$1:$AS$1,),)))))/(((VLOOKUP(EDATE(B151,-12),Database!$A:$AS,MATCH($D$1,Database!$A$1:$AS$1,),))))</f>
        <v>5.849889624724075E-2</v>
      </c>
      <c r="E151" s="13">
        <f>((((VLOOKUP(B151,Database!$A:$AS,MATCH($E$1,Database!$A$1:$AS$1,),))))-(((VLOOKUP(EDATE(B151,-12),Database!$A:$AS,MATCH($E$1,Database!$A$1:$AS$1,),)))))/(((VLOOKUP(EDATE(B151,-12),Database!$A:$AS,MATCH($E$1,Database!$A$1:$AS$1,),))))</f>
        <v>6.3874345544395209E-2</v>
      </c>
      <c r="F151" s="13">
        <f>((((VLOOKUP(B151,Database!$A:$AS,MATCH($F$1,Database!$A$1:$AS$1,),))))-(((VLOOKUP(EDATE(B151,-12),Database!$A:$AS,MATCH($F$1,Database!$A$1:$AS$1,),)))))/(((VLOOKUP(EDATE(B151,-12),Database!$A:$AS,MATCH($F$1,Database!$A$1:$AS$1,),))))</f>
        <v>6.6579634458973969E-2</v>
      </c>
      <c r="G151" s="13">
        <f>((((VLOOKUP(B151,Database!$A:$AS,MATCH($G$1,Database!$A$1:$AS$1,),))))-(((VLOOKUP(EDATE(B151,-12),Database!$A:$AS,MATCH($G$1,Database!$A$1:$AS$1,),)))))/(((VLOOKUP(EDATE(B151,-12),Database!$A:$AS,MATCH($G$1,Database!$A$1:$AS$1,),))))</f>
        <v>5.7550465838509243E-2</v>
      </c>
      <c r="H151" s="13">
        <f>((((VLOOKUP(B151,Database!$A:$AS,MATCH($H$1,Database!$A$1:$AS$1,),))))-(((VLOOKUP(EDATE(B151,-12),Database!$A:$AS,MATCH($H$1,Database!$A$1:$AS$1,),)))))/(((VLOOKUP(EDATE(B151,-12),Database!$A:$AS,MATCH($H$1,Database!$A$1:$AS$1,),))))</f>
        <v>8.6580086600126175E-3</v>
      </c>
      <c r="I151" s="13">
        <f>((((VLOOKUP(B151,Database!$A:$AS,MATCH($I$1,Database!$A$1:$AS$1,),))))-(((VLOOKUP(EDATE(B151,-12),Database!$A:$AS,MATCH($I$1,Database!$A$1:$AS$1,),)))))/(((VLOOKUP(EDATE(B151,-12),Database!$A:$AS,MATCH($I$1,Database!$A$1:$AS$1,),))))</f>
        <v>3.8961038958297882E-2</v>
      </c>
      <c r="J151" s="13">
        <f>((((VLOOKUP(B151,Database!$A:$AS,MATCH($J$1,Database!$A$1:$AS$1,),))))-(((VLOOKUP(EDATE(B151,-12),Database!$A:$AS,MATCH($J$1,Database!$A$1:$AS$1,),)))))/(((VLOOKUP(EDATE(B151,-12),Database!$A:$AS,MATCH($J$1,Database!$A$1:$AS$1,),))))</f>
        <v>4.7292098255397146E-2</v>
      </c>
      <c r="K151" s="13">
        <f>((((VLOOKUP(B151,Database!$A:$AS,MATCH($K$1,Database!$A$1:$AS$1,),))))-(((VLOOKUP(EDATE(B151,-12),Database!$A:$AS,MATCH($K$1,Database!$A$1:$AS$1,),)))))/(((VLOOKUP(EDATE(B151,-12),Database!$A:$AS,MATCH($K$1,Database!$A$1:$AS$1,),))))</f>
        <v>9.9175910529997469E-2</v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>5.55488526505441E-2</v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>8.7681820523185156E-2</v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>4.3778206745131713E-2</v>
      </c>
      <c r="O151" s="13">
        <f>((((VLOOKUP(B151,Database!$A:$AS,MATCH($O$1,Database!$A$1:$AS$1,),))))-(((VLOOKUP(EDATE(B151,-12),Database!$A:$AS,MATCH($O$1,Database!$A$1:$AS$1,),)))))/(((VLOOKUP(EDATE(B151,-12),Database!$A:$AS,MATCH($O$1,Database!$A$1:$AS$1,),))))</f>
        <v>7.5831706861322332E-2</v>
      </c>
      <c r="P151" s="13">
        <f>((((VLOOKUP(B151,Database!$A:$AS,MATCH($P$1,Database!$A$1:$AS$1,),))))-(((VLOOKUP(EDATE(B151,-12),Database!$A:$AS,MATCH($P$1,Database!$A$1:$AS$1,),)))))/(((VLOOKUP(EDATE(B151,-12),Database!$A:$AS,MATCH($P$1,Database!$A$1:$AS$1,),))))</f>
        <v>0.21346758671267466</v>
      </c>
      <c r="Q151" s="13">
        <f>((((VLOOKUP(B151,Database!$A:$AS,MATCH($Q$1,Database!$A$1:$AS$1,),))))-(((VLOOKUP(EDATE(B151,-12),Database!$A:$AS,MATCH($Q$1,Database!$A$1:$AS$1,),)))))/(((VLOOKUP(EDATE(B151,-12),Database!$A:$AS,MATCH($Q$1,Database!$A$1:$AS$1,),))))</f>
        <v>7.8383479520582305E-2</v>
      </c>
      <c r="R151" s="13">
        <f>((((VLOOKUP(B151,Database!$A:$AS,MATCH($R$1,Database!$A$1:$AS$1,),))))-(((VLOOKUP(EDATE(B151,-12),Database!$A:$AS,MATCH($R$1,Database!$A$1:$AS$1,),)))))/(((VLOOKUP(EDATE(B151,-12),Database!$A:$AS,MATCH($R$1,Database!$A$1:$AS$1,),))))</f>
        <v>8.9225708099341342E-2</v>
      </c>
      <c r="S151" s="13">
        <f>((((VLOOKUP(B151,Database!$A:$AS,MATCH($S$1,Database!$A$1:$AS$1,),))))-(((VLOOKUP(EDATE(B151,-12),Database!$A:$AS,MATCH($S$1,Database!$A$1:$AS$1,),)))))/(((VLOOKUP(EDATE(B151,-12),Database!$A:$AS,MATCH($S$1,Database!$A$1:$AS$1,),))))</f>
        <v>0.15870570105850382</v>
      </c>
      <c r="T151" s="13">
        <f>((((VLOOKUP(B151,Database!$A:$AS,MATCH($T$1,Database!$A$1:$AS$1,),))))-(((VLOOKUP(EDATE(B151,-12),Database!$A:$AS,MATCH($T$1,Database!$A$1:$AS$1,),)))))/(((VLOOKUP(EDATE(B151,-12),Database!$A:$AS,MATCH($T$1,Database!$A$1:$AS$1,),))))</f>
        <v>0.15656565655583521</v>
      </c>
      <c r="U151" s="13">
        <f>((((VLOOKUP(B151,Database!$A:$AS,MATCH($U$1,Database!$A$1:$AS$1,),))))-(((VLOOKUP(EDATE(B151,-12),Database!$A:$AS,MATCH($U$1,Database!$A$1:$AS$1,),)))))/(((VLOOKUP(EDATE(B151,-12),Database!$A:$AS,MATCH($U$1,Database!$A$1:$AS$1,),))))</f>
        <v>7.7876355227251018E-2</v>
      </c>
      <c r="V151" s="13">
        <f>((((VLOOKUP(B151,Database!$A:$AS,MATCH($V$1,Database!$A$1:$AS$1,),))))-(((VLOOKUP(EDATE(B151,-12),Database!$A:$AS,MATCH($V$1,Database!$A$1:$AS$1,),)))))/(((VLOOKUP(EDATE(B151,-12),Database!$A:$AS,MATCH($V$1,Database!$A$1:$AS$1,),))))</f>
        <v>8.0226250001117327E-2</v>
      </c>
    </row>
    <row r="152" spans="1:22" s="83" customFormat="1" x14ac:dyDescent="0.2">
      <c r="A152" s="43"/>
      <c r="B152" s="78">
        <v>36770</v>
      </c>
      <c r="C152" s="13">
        <f>((((VLOOKUP(B152,Database!$A:$AS,MATCH($C$1,Database!$A$1:$AS$1,),))))-(((VLOOKUP(EDATE(B152,-12),Database!$A:$AS,MATCH($C$1,Database!$A$1:$AS$1,),)))))/(((VLOOKUP(EDATE(B152,-12),Database!$A:$AS,MATCH($C$1,Database!$A$1:$AS$1,),))))</f>
        <v>4.3100250294472696E-2</v>
      </c>
      <c r="D152" s="13">
        <f>((((VLOOKUP(B152,Database!$A:$AS,MATCH($D$1,Database!$A$1:$AS$1,),))))-(((VLOOKUP(EDATE(B152,-12),Database!$A:$AS,MATCH($D$1,Database!$A$1:$AS$1,),)))))/(((VLOOKUP(EDATE(B152,-12),Database!$A:$AS,MATCH($D$1,Database!$A$1:$AS$1,),))))</f>
        <v>5.0328227571115908E-2</v>
      </c>
      <c r="E152" s="13">
        <f>((((VLOOKUP(B152,Database!$A:$AS,MATCH($E$1,Database!$A$1:$AS$1,),))))-(((VLOOKUP(EDATE(B152,-12),Database!$A:$AS,MATCH($E$1,Database!$A$1:$AS$1,),)))))/(((VLOOKUP(EDATE(B152,-12),Database!$A:$AS,MATCH($E$1,Database!$A$1:$AS$1,),))))</f>
        <v>3.4303534297374205E-2</v>
      </c>
      <c r="F152" s="13">
        <f>((((VLOOKUP(B152,Database!$A:$AS,MATCH($F$1,Database!$A$1:$AS$1,),))))-(((VLOOKUP(EDATE(B152,-12),Database!$A:$AS,MATCH($F$1,Database!$A$1:$AS$1,),)))))/(((VLOOKUP(EDATE(B152,-12),Database!$A:$AS,MATCH($F$1,Database!$A$1:$AS$1,),))))</f>
        <v>7.2083879425648242E-2</v>
      </c>
      <c r="G152" s="13">
        <f>((((VLOOKUP(B152,Database!$A:$AS,MATCH($G$1,Database!$A$1:$AS$1,),))))-(((VLOOKUP(EDATE(B152,-12),Database!$A:$AS,MATCH($G$1,Database!$A$1:$AS$1,),)))))/(((VLOOKUP(EDATE(B152,-12),Database!$A:$AS,MATCH($G$1,Database!$A$1:$AS$1,),))))</f>
        <v>3.2020402380277702E-2</v>
      </c>
      <c r="H152" s="13">
        <f>((((VLOOKUP(B152,Database!$A:$AS,MATCH($H$1,Database!$A$1:$AS$1,),))))-(((VLOOKUP(EDATE(B152,-12),Database!$A:$AS,MATCH($H$1,Database!$A$1:$AS$1,),)))))/(((VLOOKUP(EDATE(B152,-12),Database!$A:$AS,MATCH($H$1,Database!$A$1:$AS$1,),))))</f>
        <v>1.0822510819984223E-2</v>
      </c>
      <c r="I152" s="13">
        <f>((((VLOOKUP(B152,Database!$A:$AS,MATCH($I$1,Database!$A$1:$AS$1,),))))-(((VLOOKUP(EDATE(B152,-12),Database!$A:$AS,MATCH($I$1,Database!$A$1:$AS$1,),)))))/(((VLOOKUP(EDATE(B152,-12),Database!$A:$AS,MATCH($I$1,Database!$A$1:$AS$1,),))))</f>
        <v>3.3953112367202436E-2</v>
      </c>
      <c r="J152" s="13">
        <f>((((VLOOKUP(B152,Database!$A:$AS,MATCH($J$1,Database!$A$1:$AS$1,),))))-(((VLOOKUP(EDATE(B152,-12),Database!$A:$AS,MATCH($J$1,Database!$A$1:$AS$1,),)))))/(((VLOOKUP(EDATE(B152,-12),Database!$A:$AS,MATCH($J$1,Database!$A$1:$AS$1,),))))</f>
        <v>3.3267415951032227E-2</v>
      </c>
      <c r="K152" s="13">
        <f>((((VLOOKUP(B152,Database!$A:$AS,MATCH($K$1,Database!$A$1:$AS$1,),))))-(((VLOOKUP(EDATE(B152,-12),Database!$A:$AS,MATCH($K$1,Database!$A$1:$AS$1,),)))))/(((VLOOKUP(EDATE(B152,-12),Database!$A:$AS,MATCH($K$1,Database!$A$1:$AS$1,),))))</f>
        <v>6.3413851205888869E-2</v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>5.0307754653876283E-2</v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>7.1923637701722443E-2</v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>5.7337255881347887E-2</v>
      </c>
      <c r="O152" s="13">
        <f>((((VLOOKUP(B152,Database!$A:$AS,MATCH($O$1,Database!$A$1:$AS$1,),))))-(((VLOOKUP(EDATE(B152,-12),Database!$A:$AS,MATCH($O$1,Database!$A$1:$AS$1,),)))))/(((VLOOKUP(EDATE(B152,-12),Database!$A:$AS,MATCH($O$1,Database!$A$1:$AS$1,),))))</f>
        <v>6.1283305675202862E-2</v>
      </c>
      <c r="P152" s="13">
        <f>((((VLOOKUP(B152,Database!$A:$AS,MATCH($P$1,Database!$A$1:$AS$1,),))))-(((VLOOKUP(EDATE(B152,-12),Database!$A:$AS,MATCH($P$1,Database!$A$1:$AS$1,),)))))/(((VLOOKUP(EDATE(B152,-12),Database!$A:$AS,MATCH($P$1,Database!$A$1:$AS$1,),))))</f>
        <v>0.13536170974427675</v>
      </c>
      <c r="Q152" s="13">
        <f>((((VLOOKUP(B152,Database!$A:$AS,MATCH($Q$1,Database!$A$1:$AS$1,),))))-(((VLOOKUP(EDATE(B152,-12),Database!$A:$AS,MATCH($Q$1,Database!$A$1:$AS$1,),)))))/(((VLOOKUP(EDATE(B152,-12),Database!$A:$AS,MATCH($Q$1,Database!$A$1:$AS$1,),))))</f>
        <v>5.1841297681876369E-2</v>
      </c>
      <c r="R152" s="13">
        <f>((((VLOOKUP(B152,Database!$A:$AS,MATCH($R$1,Database!$A$1:$AS$1,),))))-(((VLOOKUP(EDATE(B152,-12),Database!$A:$AS,MATCH($R$1,Database!$A$1:$AS$1,),)))))/(((VLOOKUP(EDATE(B152,-12),Database!$A:$AS,MATCH($R$1,Database!$A$1:$AS$1,),))))</f>
        <v>4.0096763228502467E-2</v>
      </c>
      <c r="S152" s="13">
        <f>((((VLOOKUP(B152,Database!$A:$AS,MATCH($S$1,Database!$A$1:$AS$1,),))))-(((VLOOKUP(EDATE(B152,-12),Database!$A:$AS,MATCH($S$1,Database!$A$1:$AS$1,),)))))/(((VLOOKUP(EDATE(B152,-12),Database!$A:$AS,MATCH($S$1,Database!$A$1:$AS$1,),))))</f>
        <v>0.10966810965576165</v>
      </c>
      <c r="T152" s="13">
        <f>((((VLOOKUP(B152,Database!$A:$AS,MATCH($T$1,Database!$A$1:$AS$1,),))))-(((VLOOKUP(EDATE(B152,-12),Database!$A:$AS,MATCH($T$1,Database!$A$1:$AS$1,),)))))/(((VLOOKUP(EDATE(B152,-12),Database!$A:$AS,MATCH($T$1,Database!$A$1:$AS$1,),))))</f>
        <v>8.1081081083073422E-2</v>
      </c>
      <c r="U152" s="13">
        <f>((((VLOOKUP(B152,Database!$A:$AS,MATCH($U$1,Database!$A$1:$AS$1,),))))-(((VLOOKUP(EDATE(B152,-12),Database!$A:$AS,MATCH($U$1,Database!$A$1:$AS$1,),)))))/(((VLOOKUP(EDATE(B152,-12),Database!$A:$AS,MATCH($U$1,Database!$A$1:$AS$1,),))))</f>
        <v>8.5852612051254093E-2</v>
      </c>
      <c r="V152" s="13">
        <f>((((VLOOKUP(B152,Database!$A:$AS,MATCH($V$1,Database!$A$1:$AS$1,),))))-(((VLOOKUP(EDATE(B152,-12),Database!$A:$AS,MATCH($V$1,Database!$A$1:$AS$1,),)))))/(((VLOOKUP(EDATE(B152,-12),Database!$A:$AS,MATCH($V$1,Database!$A$1:$AS$1,),))))</f>
        <v>5.9862613924484984E-2</v>
      </c>
    </row>
    <row r="153" spans="1:22" s="83" customFormat="1" x14ac:dyDescent="0.2">
      <c r="A153" s="43"/>
      <c r="B153" s="78">
        <v>36800</v>
      </c>
      <c r="C153" s="13">
        <f>((((VLOOKUP(B153,Database!$A:$AS,MATCH($C$1,Database!$A$1:$AS$1,),))))-(((VLOOKUP(EDATE(B153,-12),Database!$A:$AS,MATCH($C$1,Database!$A$1:$AS$1,),)))))/(((VLOOKUP(EDATE(B153,-12),Database!$A:$AS,MATCH($C$1,Database!$A$1:$AS$1,),))))</f>
        <v>2.5690258896653547E-2</v>
      </c>
      <c r="D153" s="13">
        <f>((((VLOOKUP(B153,Database!$A:$AS,MATCH($D$1,Database!$A$1:$AS$1,),))))-(((VLOOKUP(EDATE(B153,-12),Database!$A:$AS,MATCH($D$1,Database!$A$1:$AS$1,),)))))/(((VLOOKUP(EDATE(B153,-12),Database!$A:$AS,MATCH($D$1,Database!$A$1:$AS$1,),))))</f>
        <v>4.2253521126760625E-2</v>
      </c>
      <c r="E153" s="13">
        <f>((((VLOOKUP(B153,Database!$A:$AS,MATCH($E$1,Database!$A$1:$AS$1,),))))-(((VLOOKUP(EDATE(B153,-12),Database!$A:$AS,MATCH($E$1,Database!$A$1:$AS$1,),)))))/(((VLOOKUP(EDATE(B153,-12),Database!$A:$AS,MATCH($E$1,Database!$A$1:$AS$1,),))))</f>
        <v>5.0988553594329536E-2</v>
      </c>
      <c r="F153" s="13">
        <f>((((VLOOKUP(B153,Database!$A:$AS,MATCH($F$1,Database!$A$1:$AS$1,),))))-(((VLOOKUP(EDATE(B153,-12),Database!$A:$AS,MATCH($F$1,Database!$A$1:$AS$1,),)))))/(((VLOOKUP(EDATE(B153,-12),Database!$A:$AS,MATCH($F$1,Database!$A$1:$AS$1,),))))</f>
        <v>5.7068741895394258E-2</v>
      </c>
      <c r="G153" s="13">
        <f>((((VLOOKUP(B153,Database!$A:$AS,MATCH($G$1,Database!$A$1:$AS$1,),))))-(((VLOOKUP(EDATE(B153,-12),Database!$A:$AS,MATCH($G$1,Database!$A$1:$AS$1,),)))))/(((VLOOKUP(EDATE(B153,-12),Database!$A:$AS,MATCH($G$1,Database!$A$1:$AS$1,),))))</f>
        <v>3.0314336349221156E-2</v>
      </c>
      <c r="H153" s="13">
        <f>((((VLOOKUP(B153,Database!$A:$AS,MATCH($H$1,Database!$A$1:$AS$1,),))))-(((VLOOKUP(EDATE(B153,-12),Database!$A:$AS,MATCH($H$1,Database!$A$1:$AS$1,),)))))/(((VLOOKUP(EDATE(B153,-12),Database!$A:$AS,MATCH($H$1,Database!$A$1:$AS$1,),))))</f>
        <v>3.6065573766127179E-2</v>
      </c>
      <c r="I153" s="13">
        <f>((((VLOOKUP(B153,Database!$A:$AS,MATCH($I$1,Database!$A$1:$AS$1,),))))-(((VLOOKUP(EDATE(B153,-12),Database!$A:$AS,MATCH($I$1,Database!$A$1:$AS$1,),)))))/(((VLOOKUP(EDATE(B153,-12),Database!$A:$AS,MATCH($I$1,Database!$A$1:$AS$1,),))))</f>
        <v>2.8022417937245091E-2</v>
      </c>
      <c r="J153" s="13">
        <f>((((VLOOKUP(B153,Database!$A:$AS,MATCH($J$1,Database!$A$1:$AS$1,),))))-(((VLOOKUP(EDATE(B153,-12),Database!$A:$AS,MATCH($J$1,Database!$A$1:$AS$1,),)))))/(((VLOOKUP(EDATE(B153,-12),Database!$A:$AS,MATCH($J$1,Database!$A$1:$AS$1,),))))</f>
        <v>8.6820959798781724E-3</v>
      </c>
      <c r="K153" s="13">
        <f>((((VLOOKUP(B153,Database!$A:$AS,MATCH($K$1,Database!$A$1:$AS$1,),))))-(((VLOOKUP(EDATE(B153,-12),Database!$A:$AS,MATCH($K$1,Database!$A$1:$AS$1,),)))))/(((VLOOKUP(EDATE(B153,-12),Database!$A:$AS,MATCH($K$1,Database!$A$1:$AS$1,),))))</f>
        <v>6.8566050095942591E-2</v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>3.9041181877356272E-2</v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>0.11091570706002518</v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>6.1694220561471606E-2</v>
      </c>
      <c r="O153" s="13">
        <f>((((VLOOKUP(B153,Database!$A:$AS,MATCH($O$1,Database!$A$1:$AS$1,),))))-(((VLOOKUP(EDATE(B153,-12),Database!$A:$AS,MATCH($O$1,Database!$A$1:$AS$1,),)))))/(((VLOOKUP(EDATE(B153,-12),Database!$A:$AS,MATCH($O$1,Database!$A$1:$AS$1,),))))</f>
        <v>6.9583402506260397E-2</v>
      </c>
      <c r="P153" s="13">
        <f>((((VLOOKUP(B153,Database!$A:$AS,MATCH($P$1,Database!$A$1:$AS$1,),))))-(((VLOOKUP(EDATE(B153,-12),Database!$A:$AS,MATCH($P$1,Database!$A$1:$AS$1,),)))))/(((VLOOKUP(EDATE(B153,-12),Database!$A:$AS,MATCH($P$1,Database!$A$1:$AS$1,),))))</f>
        <v>0.12209976798856949</v>
      </c>
      <c r="Q153" s="13">
        <f>((((VLOOKUP(B153,Database!$A:$AS,MATCH($Q$1,Database!$A$1:$AS$1,),))))-(((VLOOKUP(EDATE(B153,-12),Database!$A:$AS,MATCH($Q$1,Database!$A$1:$AS$1,),)))))/(((VLOOKUP(EDATE(B153,-12),Database!$A:$AS,MATCH($Q$1,Database!$A$1:$AS$1,),))))</f>
        <v>5.7484900780363071E-2</v>
      </c>
      <c r="R153" s="13">
        <f>((((VLOOKUP(B153,Database!$A:$AS,MATCH($R$1,Database!$A$1:$AS$1,),))))-(((VLOOKUP(EDATE(B153,-12),Database!$A:$AS,MATCH($R$1,Database!$A$1:$AS$1,),)))))/(((VLOOKUP(EDATE(B153,-12),Database!$A:$AS,MATCH($R$1,Database!$A$1:$AS$1,),))))</f>
        <v>4.23754130691592E-2</v>
      </c>
      <c r="S153" s="13">
        <f>((((VLOOKUP(B153,Database!$A:$AS,MATCH($S$1,Database!$A$1:$AS$1,),))))-(((VLOOKUP(EDATE(B153,-12),Database!$A:$AS,MATCH($S$1,Database!$A$1:$AS$1,),)))))/(((VLOOKUP(EDATE(B153,-12),Database!$A:$AS,MATCH($S$1,Database!$A$1:$AS$1,),))))</f>
        <v>0.14005602241154128</v>
      </c>
      <c r="T153" s="13">
        <f>((((VLOOKUP(B153,Database!$A:$AS,MATCH($T$1,Database!$A$1:$AS$1,),))))-(((VLOOKUP(EDATE(B153,-12),Database!$A:$AS,MATCH($T$1,Database!$A$1:$AS$1,),)))))/(((VLOOKUP(EDATE(B153,-12),Database!$A:$AS,MATCH($T$1,Database!$A$1:$AS$1,),))))</f>
        <v>0.10396039603519218</v>
      </c>
      <c r="U153" s="13">
        <f>((((VLOOKUP(B153,Database!$A:$AS,MATCH($U$1,Database!$A$1:$AS$1,),))))-(((VLOOKUP(EDATE(B153,-12),Database!$A:$AS,MATCH($U$1,Database!$A$1:$AS$1,),)))))/(((VLOOKUP(EDATE(B153,-12),Database!$A:$AS,MATCH($U$1,Database!$A$1:$AS$1,),))))</f>
        <v>9.4074014218932689E-2</v>
      </c>
      <c r="V153" s="13">
        <f>((((VLOOKUP(B153,Database!$A:$AS,MATCH($V$1,Database!$A$1:$AS$1,),))))-(((VLOOKUP(EDATE(B153,-12),Database!$A:$AS,MATCH($V$1,Database!$A$1:$AS$1,),)))))/(((VLOOKUP(EDATE(B153,-12),Database!$A:$AS,MATCH($V$1,Database!$A$1:$AS$1,),))))</f>
        <v>4.4043708609796214E-2</v>
      </c>
    </row>
    <row r="154" spans="1:22" s="83" customFormat="1" x14ac:dyDescent="0.2">
      <c r="A154" s="43"/>
      <c r="B154" s="78">
        <v>36831</v>
      </c>
      <c r="C154" s="13">
        <f>((((VLOOKUP(B154,Database!$A:$AS,MATCH($C$1,Database!$A$1:$AS$1,),))))-(((VLOOKUP(EDATE(B154,-12),Database!$A:$AS,MATCH($C$1,Database!$A$1:$AS$1,),)))))/(((VLOOKUP(EDATE(B154,-12),Database!$A:$AS,MATCH($C$1,Database!$A$1:$AS$1,),))))</f>
        <v>2.0515931963653686E-2</v>
      </c>
      <c r="D154" s="13">
        <f>((((VLOOKUP(B154,Database!$A:$AS,MATCH($D$1,Database!$A$1:$AS$1,),))))-(((VLOOKUP(EDATE(B154,-12),Database!$A:$AS,MATCH($D$1,Database!$A$1:$AS$1,),)))))/(((VLOOKUP(EDATE(B154,-12),Database!$A:$AS,MATCH($D$1,Database!$A$1:$AS$1,),))))</f>
        <v>4.8543689320388349E-2</v>
      </c>
      <c r="E154" s="13">
        <f>((((VLOOKUP(B154,Database!$A:$AS,MATCH($E$1,Database!$A$1:$AS$1,),))))-(((VLOOKUP(EDATE(B154,-12),Database!$A:$AS,MATCH($E$1,Database!$A$1:$AS$1,),)))))/(((VLOOKUP(EDATE(B154,-12),Database!$A:$AS,MATCH($E$1,Database!$A$1:$AS$1,),))))</f>
        <v>4.4284243047376021E-2</v>
      </c>
      <c r="F154" s="13">
        <f>((((VLOOKUP(B154,Database!$A:$AS,MATCH($F$1,Database!$A$1:$AS$1,),))))-(((VLOOKUP(EDATE(B154,-12),Database!$A:$AS,MATCH($F$1,Database!$A$1:$AS$1,),)))))/(((VLOOKUP(EDATE(B154,-12),Database!$A:$AS,MATCH($F$1,Database!$A$1:$AS$1,),))))</f>
        <v>6.7532467535402527E-2</v>
      </c>
      <c r="G154" s="13">
        <f>((((VLOOKUP(B154,Database!$A:$AS,MATCH($G$1,Database!$A$1:$AS$1,),))))-(((VLOOKUP(EDATE(B154,-12),Database!$A:$AS,MATCH($G$1,Database!$A$1:$AS$1,),)))))/(((VLOOKUP(EDATE(B154,-12),Database!$A:$AS,MATCH($G$1,Database!$A$1:$AS$1,),))))</f>
        <v>2.7876188700354229E-2</v>
      </c>
      <c r="H154" s="13">
        <f>((((VLOOKUP(B154,Database!$A:$AS,MATCH($H$1,Database!$A$1:$AS$1,),))))-(((VLOOKUP(EDATE(B154,-12),Database!$A:$AS,MATCH($H$1,Database!$A$1:$AS$1,),)))))/(((VLOOKUP(EDATE(B154,-12),Database!$A:$AS,MATCH($H$1,Database!$A$1:$AS$1,),))))</f>
        <v>3.9301310042692862E-2</v>
      </c>
      <c r="I154" s="13">
        <f>((((VLOOKUP(B154,Database!$A:$AS,MATCH($I$1,Database!$A$1:$AS$1,),))))-(((VLOOKUP(EDATE(B154,-12),Database!$A:$AS,MATCH($I$1,Database!$A$1:$AS$1,),)))))/(((VLOOKUP(EDATE(B154,-12),Database!$A:$AS,MATCH($I$1,Database!$A$1:$AS$1,),))))</f>
        <v>3.4208432772230089E-2</v>
      </c>
      <c r="J154" s="13">
        <f>((((VLOOKUP(B154,Database!$A:$AS,MATCH($J$1,Database!$A$1:$AS$1,),))))-(((VLOOKUP(EDATE(B154,-12),Database!$A:$AS,MATCH($J$1,Database!$A$1:$AS$1,),)))))/(((VLOOKUP(EDATE(B154,-12),Database!$A:$AS,MATCH($J$1,Database!$A$1:$AS$1,),))))</f>
        <v>3.7584979219343756E-2</v>
      </c>
      <c r="K154" s="13">
        <f>((((VLOOKUP(B154,Database!$A:$AS,MATCH($K$1,Database!$A$1:$AS$1,),))))-(((VLOOKUP(EDATE(B154,-12),Database!$A:$AS,MATCH($K$1,Database!$A$1:$AS$1,),)))))/(((VLOOKUP(EDATE(B154,-12),Database!$A:$AS,MATCH($K$1,Database!$A$1:$AS$1,),))))</f>
        <v>9.9121436935910759E-2</v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>1.6960058510780109E-2</v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>7.9905513060130551E-2</v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>7.326050269964221E-2</v>
      </c>
      <c r="O154" s="13">
        <f>((((VLOOKUP(B154,Database!$A:$AS,MATCH($O$1,Database!$A$1:$AS$1,),))))-(((VLOOKUP(EDATE(B154,-12),Database!$A:$AS,MATCH($O$1,Database!$A$1:$AS$1,),)))))/(((VLOOKUP(EDATE(B154,-12),Database!$A:$AS,MATCH($O$1,Database!$A$1:$AS$1,),))))</f>
        <v>5.5965835563802815E-2</v>
      </c>
      <c r="P154" s="13">
        <f>((((VLOOKUP(B154,Database!$A:$AS,MATCH($P$1,Database!$A$1:$AS$1,),))))-(((VLOOKUP(EDATE(B154,-12),Database!$A:$AS,MATCH($P$1,Database!$A$1:$AS$1,),)))))/(((VLOOKUP(EDATE(B154,-12),Database!$A:$AS,MATCH($P$1,Database!$A$1:$AS$1,),))))</f>
        <v>5.8175765071922153E-2</v>
      </c>
      <c r="Q154" s="13">
        <f>((((VLOOKUP(B154,Database!$A:$AS,MATCH($Q$1,Database!$A$1:$AS$1,),))))-(((VLOOKUP(EDATE(B154,-12),Database!$A:$AS,MATCH($Q$1,Database!$A$1:$AS$1,),)))))/(((VLOOKUP(EDATE(B154,-12),Database!$A:$AS,MATCH($Q$1,Database!$A$1:$AS$1,),))))</f>
        <v>5.6732963810575007E-2</v>
      </c>
      <c r="R154" s="13">
        <f>((((VLOOKUP(B154,Database!$A:$AS,MATCH($R$1,Database!$A$1:$AS$1,),))))-(((VLOOKUP(EDATE(B154,-12),Database!$A:$AS,MATCH($R$1,Database!$A$1:$AS$1,),)))))/(((VLOOKUP(EDATE(B154,-12),Database!$A:$AS,MATCH($R$1,Database!$A$1:$AS$1,),))))</f>
        <v>4.3613167098143467E-2</v>
      </c>
      <c r="S154" s="13">
        <f>((((VLOOKUP(B154,Database!$A:$AS,MATCH($S$1,Database!$A$1:$AS$1,),))))-(((VLOOKUP(EDATE(B154,-12),Database!$A:$AS,MATCH($S$1,Database!$A$1:$AS$1,),)))))/(((VLOOKUP(EDATE(B154,-12),Database!$A:$AS,MATCH($S$1,Database!$A$1:$AS$1,),))))</f>
        <v>0.22543352601324934</v>
      </c>
      <c r="T154" s="13">
        <f>((((VLOOKUP(B154,Database!$A:$AS,MATCH($T$1,Database!$A$1:$AS$1,),))))-(((VLOOKUP(EDATE(B154,-12),Database!$A:$AS,MATCH($T$1,Database!$A$1:$AS$1,),)))))/(((VLOOKUP(EDATE(B154,-12),Database!$A:$AS,MATCH($T$1,Database!$A$1:$AS$1,),))))</f>
        <v>0.10243902438631726</v>
      </c>
      <c r="U154" s="13">
        <f>((((VLOOKUP(B154,Database!$A:$AS,MATCH($U$1,Database!$A$1:$AS$1,),))))-(((VLOOKUP(EDATE(B154,-12),Database!$A:$AS,MATCH($U$1,Database!$A$1:$AS$1,),)))))/(((VLOOKUP(EDATE(B154,-12),Database!$A:$AS,MATCH($U$1,Database!$A$1:$AS$1,),))))</f>
        <v>9.6944777230551935E-2</v>
      </c>
      <c r="V154" s="13">
        <f>((((VLOOKUP(B154,Database!$A:$AS,MATCH($V$1,Database!$A$1:$AS$1,),))))-(((VLOOKUP(EDATE(B154,-12),Database!$A:$AS,MATCH($V$1,Database!$A$1:$AS$1,),)))))/(((VLOOKUP(EDATE(B154,-12),Database!$A:$AS,MATCH($V$1,Database!$A$1:$AS$1,),))))</f>
        <v>2.7443463827624817E-2</v>
      </c>
    </row>
    <row r="155" spans="1:22" s="83" customFormat="1" x14ac:dyDescent="0.2">
      <c r="A155" s="43"/>
      <c r="B155" s="78">
        <v>36861</v>
      </c>
      <c r="C155" s="13">
        <f>((((VLOOKUP(B155,Database!$A:$AS,MATCH($C$1,Database!$A$1:$AS$1,),))))-(((VLOOKUP(EDATE(B155,-12),Database!$A:$AS,MATCH($C$1,Database!$A$1:$AS$1,),)))))/(((VLOOKUP(EDATE(B155,-12),Database!$A:$AS,MATCH($C$1,Database!$A$1:$AS$1,),))))</f>
        <v>9.7382094078143147E-3</v>
      </c>
      <c r="D155" s="13">
        <f>((((VLOOKUP(B155,Database!$A:$AS,MATCH($D$1,Database!$A$1:$AS$1,),))))-(((VLOOKUP(EDATE(B155,-12),Database!$A:$AS,MATCH($D$1,Database!$A$1:$AS$1,),)))))/(((VLOOKUP(EDATE(B155,-12),Database!$A:$AS,MATCH($D$1,Database!$A$1:$AS$1,),))))</f>
        <v>5.8441558441558343E-2</v>
      </c>
      <c r="E155" s="13">
        <f>((((VLOOKUP(B155,Database!$A:$AS,MATCH($E$1,Database!$A$1:$AS$1,),))))-(((VLOOKUP(EDATE(B155,-12),Database!$A:$AS,MATCH($E$1,Database!$A$1:$AS$1,),)))))/(((VLOOKUP(EDATE(B155,-12),Database!$A:$AS,MATCH($E$1,Database!$A$1:$AS$1,),))))</f>
        <v>5.567010308982414E-2</v>
      </c>
      <c r="F155" s="13">
        <f>((((VLOOKUP(B155,Database!$A:$AS,MATCH($F$1,Database!$A$1:$AS$1,),))))-(((VLOOKUP(EDATE(B155,-12),Database!$A:$AS,MATCH($F$1,Database!$A$1:$AS$1,),)))))/(((VLOOKUP(EDATE(B155,-12),Database!$A:$AS,MATCH($F$1,Database!$A$1:$AS$1,),))))</f>
        <v>7.263294423875627E-2</v>
      </c>
      <c r="G155" s="13">
        <f>((((VLOOKUP(B155,Database!$A:$AS,MATCH($G$1,Database!$A$1:$AS$1,),))))-(((VLOOKUP(EDATE(B155,-12),Database!$A:$AS,MATCH($G$1,Database!$A$1:$AS$1,),)))))/(((VLOOKUP(EDATE(B155,-12),Database!$A:$AS,MATCH($G$1,Database!$A$1:$AS$1,),))))</f>
        <v>4.5693869875893189E-2</v>
      </c>
      <c r="H155" s="13">
        <f>((((VLOOKUP(B155,Database!$A:$AS,MATCH($H$1,Database!$A$1:$AS$1,),))))-(((VLOOKUP(EDATE(B155,-12),Database!$A:$AS,MATCH($H$1,Database!$A$1:$AS$1,),)))))/(((VLOOKUP(EDATE(B155,-12),Database!$A:$AS,MATCH($H$1,Database!$A$1:$AS$1,),))))</f>
        <v>6.2709966399078637E-2</v>
      </c>
      <c r="I155" s="13">
        <f>((((VLOOKUP(B155,Database!$A:$AS,MATCH($I$1,Database!$A$1:$AS$1,),))))-(((VLOOKUP(EDATE(B155,-12),Database!$A:$AS,MATCH($I$1,Database!$A$1:$AS$1,),)))))/(((VLOOKUP(EDATE(B155,-12),Database!$A:$AS,MATCH($I$1,Database!$A$1:$AS$1,),))))</f>
        <v>6.0337892195561529E-2</v>
      </c>
      <c r="J155" s="13">
        <f>((((VLOOKUP(B155,Database!$A:$AS,MATCH($J$1,Database!$A$1:$AS$1,),))))-(((VLOOKUP(EDATE(B155,-12),Database!$A:$AS,MATCH($J$1,Database!$A$1:$AS$1,),)))))/(((VLOOKUP(EDATE(B155,-12),Database!$A:$AS,MATCH($J$1,Database!$A$1:$AS$1,),))))</f>
        <v>4.0613711021130629E-2</v>
      </c>
      <c r="K155" s="13">
        <f>((((VLOOKUP(B155,Database!$A:$AS,MATCH($K$1,Database!$A$1:$AS$1,),))))-(((VLOOKUP(EDATE(B155,-12),Database!$A:$AS,MATCH($K$1,Database!$A$1:$AS$1,),)))))/(((VLOOKUP(EDATE(B155,-12),Database!$A:$AS,MATCH($K$1,Database!$A$1:$AS$1,),))))</f>
        <v>4.4928516877049879E-2</v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>2.3490435365878049E-3</v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>-5.3361890455141982E-2</v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>3.835624166169968E-2</v>
      </c>
      <c r="O155" s="13">
        <f>((((VLOOKUP(B155,Database!$A:$AS,MATCH($O$1,Database!$A$1:$AS$1,),))))-(((VLOOKUP(EDATE(B155,-12),Database!$A:$AS,MATCH($O$1,Database!$A$1:$AS$1,),)))))/(((VLOOKUP(EDATE(B155,-12),Database!$A:$AS,MATCH($O$1,Database!$A$1:$AS$1,),))))</f>
        <v>4.0792748708466567E-2</v>
      </c>
      <c r="P155" s="13">
        <f>((((VLOOKUP(B155,Database!$A:$AS,MATCH($P$1,Database!$A$1:$AS$1,),))))-(((VLOOKUP(EDATE(B155,-12),Database!$A:$AS,MATCH($P$1,Database!$A$1:$AS$1,),)))))/(((VLOOKUP(EDATE(B155,-12),Database!$A:$AS,MATCH($P$1,Database!$A$1:$AS$1,),))))</f>
        <v>5.0007498999728096E-2</v>
      </c>
      <c r="Q155" s="13">
        <f>((((VLOOKUP(B155,Database!$A:$AS,MATCH($Q$1,Database!$A$1:$AS$1,),))))-(((VLOOKUP(EDATE(B155,-12),Database!$A:$AS,MATCH($Q$1,Database!$A$1:$AS$1,),)))))/(((VLOOKUP(EDATE(B155,-12),Database!$A:$AS,MATCH($Q$1,Database!$A$1:$AS$1,),))))</f>
        <v>9.4591682824273909E-2</v>
      </c>
      <c r="R155" s="13">
        <f>((((VLOOKUP(B155,Database!$A:$AS,MATCH($R$1,Database!$A$1:$AS$1,),))))-(((VLOOKUP(EDATE(B155,-12),Database!$A:$AS,MATCH($R$1,Database!$A$1:$AS$1,),)))))/(((VLOOKUP(EDATE(B155,-12),Database!$A:$AS,MATCH($R$1,Database!$A$1:$AS$1,),))))</f>
        <v>3.8701366059208021E-2</v>
      </c>
      <c r="S155" s="13">
        <f>((((VLOOKUP(B155,Database!$A:$AS,MATCH($S$1,Database!$A$1:$AS$1,),))))-(((VLOOKUP(EDATE(B155,-12),Database!$A:$AS,MATCH($S$1,Database!$A$1:$AS$1,),)))))/(((VLOOKUP(EDATE(B155,-12),Database!$A:$AS,MATCH($S$1,Database!$A$1:$AS$1,),))))</f>
        <v>0.20833333333434176</v>
      </c>
      <c r="T155" s="13">
        <f>((((VLOOKUP(B155,Database!$A:$AS,MATCH($T$1,Database!$A$1:$AS$1,),))))-(((VLOOKUP(EDATE(B155,-12),Database!$A:$AS,MATCH($T$1,Database!$A$1:$AS$1,),)))))/(((VLOOKUP(EDATE(B155,-12),Database!$A:$AS,MATCH($T$1,Database!$A$1:$AS$1,),))))</f>
        <v>5.0970873771972985E-2</v>
      </c>
      <c r="U155" s="13">
        <f>((((VLOOKUP(B155,Database!$A:$AS,MATCH($U$1,Database!$A$1:$AS$1,),))))-(((VLOOKUP(EDATE(B155,-12),Database!$A:$AS,MATCH($U$1,Database!$A$1:$AS$1,),)))))/(((VLOOKUP(EDATE(B155,-12),Database!$A:$AS,MATCH($U$1,Database!$A$1:$AS$1,),))))</f>
        <v>0.12098733126645775</v>
      </c>
      <c r="V155" s="13">
        <f>((((VLOOKUP(B155,Database!$A:$AS,MATCH($V$1,Database!$A$1:$AS$1,),))))-(((VLOOKUP(EDATE(B155,-12),Database!$A:$AS,MATCH($V$1,Database!$A$1:$AS$1,),)))))/(((VLOOKUP(EDATE(B155,-12),Database!$A:$AS,MATCH($V$1,Database!$A$1:$AS$1,),))))</f>
        <v>5.1743268702310601E-2</v>
      </c>
    </row>
    <row r="156" spans="1:22" s="83" customFormat="1" x14ac:dyDescent="0.2">
      <c r="A156" s="43"/>
      <c r="B156" s="78">
        <v>36892</v>
      </c>
      <c r="C156" s="13">
        <f>((((VLOOKUP(B156,Database!$A:$AS,MATCH($C$1,Database!$A$1:$AS$1,),))))-(((VLOOKUP(EDATE(B156,-12),Database!$A:$AS,MATCH($C$1,Database!$A$1:$AS$1,),)))))/(((VLOOKUP(EDATE(B156,-12),Database!$A:$AS,MATCH($C$1,Database!$A$1:$AS$1,),))))</f>
        <v>4.4795858564268083E-3</v>
      </c>
      <c r="D156" s="13">
        <f>((((VLOOKUP(B156,Database!$A:$AS,MATCH($D$1,Database!$A$1:$AS$1,),))))-(((VLOOKUP(EDATE(B156,-12),Database!$A:$AS,MATCH($D$1,Database!$A$1:$AS$1,),)))))/(((VLOOKUP(EDATE(B156,-12),Database!$A:$AS,MATCH($D$1,Database!$A$1:$AS$1,),))))</f>
        <v>5.3203040173724278E-2</v>
      </c>
      <c r="E156" s="13">
        <f>((((VLOOKUP(B156,Database!$A:$AS,MATCH($E$1,Database!$A$1:$AS$1,),))))-(((VLOOKUP(EDATE(B156,-12),Database!$A:$AS,MATCH($E$1,Database!$A$1:$AS$1,),)))))/(((VLOOKUP(EDATE(B156,-12),Database!$A:$AS,MATCH($E$1,Database!$A$1:$AS$1,),))))</f>
        <v>1.7543859652188642E-2</v>
      </c>
      <c r="F156" s="13">
        <f>((((VLOOKUP(B156,Database!$A:$AS,MATCH($F$1,Database!$A$1:$AS$1,),))))-(((VLOOKUP(EDATE(B156,-12),Database!$A:$AS,MATCH($F$1,Database!$A$1:$AS$1,),)))))/(((VLOOKUP(EDATE(B156,-12),Database!$A:$AS,MATCH($F$1,Database!$A$1:$AS$1,),))))</f>
        <v>7.8431372553633513E-2</v>
      </c>
      <c r="G156" s="13">
        <f>((((VLOOKUP(B156,Database!$A:$AS,MATCH($G$1,Database!$A$1:$AS$1,),))))-(((VLOOKUP(EDATE(B156,-12),Database!$A:$AS,MATCH($G$1,Database!$A$1:$AS$1,),)))))/(((VLOOKUP(EDATE(B156,-12),Database!$A:$AS,MATCH($G$1,Database!$A$1:$AS$1,),))))</f>
        <v>3.426064227035102E-2</v>
      </c>
      <c r="H156" s="13">
        <f>((((VLOOKUP(B156,Database!$A:$AS,MATCH($H$1,Database!$A$1:$AS$1,),))))-(((VLOOKUP(EDATE(B156,-12),Database!$A:$AS,MATCH($H$1,Database!$A$1:$AS$1,),)))))/(((VLOOKUP(EDATE(B156,-12),Database!$A:$AS,MATCH($H$1,Database!$A$1:$AS$1,),))))</f>
        <v>2.5813692489096724E-2</v>
      </c>
      <c r="I156" s="13">
        <f>((((VLOOKUP(B156,Database!$A:$AS,MATCH($I$1,Database!$A$1:$AS$1,),))))-(((VLOOKUP(EDATE(B156,-12),Database!$A:$AS,MATCH($I$1,Database!$A$1:$AS$1,),)))))/(((VLOOKUP(EDATE(B156,-12),Database!$A:$AS,MATCH($I$1,Database!$A$1:$AS$1,),))))</f>
        <v>2.8892455858735143E-2</v>
      </c>
      <c r="J156" s="13">
        <f>((((VLOOKUP(B156,Database!$A:$AS,MATCH($J$1,Database!$A$1:$AS$1,),))))-(((VLOOKUP(EDATE(B156,-12),Database!$A:$AS,MATCH($J$1,Database!$A$1:$AS$1,),)))))/(((VLOOKUP(EDATE(B156,-12),Database!$A:$AS,MATCH($J$1,Database!$A$1:$AS$1,),))))</f>
        <v>1.9600316871815878E-3</v>
      </c>
      <c r="K156" s="13">
        <f>((((VLOOKUP(B156,Database!$A:$AS,MATCH($K$1,Database!$A$1:$AS$1,),))))-(((VLOOKUP(EDATE(B156,-12),Database!$A:$AS,MATCH($K$1,Database!$A$1:$AS$1,),)))))/(((VLOOKUP(EDATE(B156,-12),Database!$A:$AS,MATCH($K$1,Database!$A$1:$AS$1,),))))</f>
        <v>9.7534833874212731E-2</v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>-5.5413006100955876E-3</v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>-4.4932138735543307E-3</v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>3.7804567629496875E-2</v>
      </c>
      <c r="O156" s="13">
        <f>((((VLOOKUP(B156,Database!$A:$AS,MATCH($O$1,Database!$A$1:$AS$1,),))))-(((VLOOKUP(EDATE(B156,-12),Database!$A:$AS,MATCH($O$1,Database!$A$1:$AS$1,),)))))/(((VLOOKUP(EDATE(B156,-12),Database!$A:$AS,MATCH($O$1,Database!$A$1:$AS$1,),))))</f>
        <v>1.0281913429172292E-2</v>
      </c>
      <c r="P156" s="13">
        <f>((((VLOOKUP(B156,Database!$A:$AS,MATCH($P$1,Database!$A$1:$AS$1,),))))-(((VLOOKUP(EDATE(B156,-12),Database!$A:$AS,MATCH($P$1,Database!$A$1:$AS$1,),)))))/(((VLOOKUP(EDATE(B156,-12),Database!$A:$AS,MATCH($P$1,Database!$A$1:$AS$1,),))))</f>
        <v>1.3608005697542643E-2</v>
      </c>
      <c r="Q156" s="13">
        <f>((((VLOOKUP(B156,Database!$A:$AS,MATCH($Q$1,Database!$A$1:$AS$1,),))))-(((VLOOKUP(EDATE(B156,-12),Database!$A:$AS,MATCH($Q$1,Database!$A$1:$AS$1,),)))))/(((VLOOKUP(EDATE(B156,-12),Database!$A:$AS,MATCH($Q$1,Database!$A$1:$AS$1,),))))</f>
        <v>7.8311942564127796E-2</v>
      </c>
      <c r="R156" s="13">
        <f>((((VLOOKUP(B156,Database!$A:$AS,MATCH($R$1,Database!$A$1:$AS$1,),))))-(((VLOOKUP(EDATE(B156,-12),Database!$A:$AS,MATCH($R$1,Database!$A$1:$AS$1,),)))))/(((VLOOKUP(EDATE(B156,-12),Database!$A:$AS,MATCH($R$1,Database!$A$1:$AS$1,),))))</f>
        <v>2.8150134048311393E-2</v>
      </c>
      <c r="S156" s="13">
        <f>((((VLOOKUP(B156,Database!$A:$AS,MATCH($S$1,Database!$A$1:$AS$1,),))))-(((VLOOKUP(EDATE(B156,-12),Database!$A:$AS,MATCH($S$1,Database!$A$1:$AS$1,),)))))/(((VLOOKUP(EDATE(B156,-12),Database!$A:$AS,MATCH($S$1,Database!$A$1:$AS$1,),))))</f>
        <v>0.28483920367194676</v>
      </c>
      <c r="T156" s="13">
        <f>((((VLOOKUP(B156,Database!$A:$AS,MATCH($T$1,Database!$A$1:$AS$1,),))))-(((VLOOKUP(EDATE(B156,-12),Database!$A:$AS,MATCH($T$1,Database!$A$1:$AS$1,),)))))/(((VLOOKUP(EDATE(B156,-12),Database!$A:$AS,MATCH($T$1,Database!$A$1:$AS$1,),))))</f>
        <v>7.2289156606182951E-3</v>
      </c>
      <c r="U156" s="13">
        <f>((((VLOOKUP(B156,Database!$A:$AS,MATCH($U$1,Database!$A$1:$AS$1,),))))-(((VLOOKUP(EDATE(B156,-12),Database!$A:$AS,MATCH($U$1,Database!$A$1:$AS$1,),)))))/(((VLOOKUP(EDATE(B156,-12),Database!$A:$AS,MATCH($U$1,Database!$A$1:$AS$1,),))))</f>
        <v>0.14358974358404458</v>
      </c>
      <c r="V156" s="13">
        <f>((((VLOOKUP(B156,Database!$A:$AS,MATCH($V$1,Database!$A$1:$AS$1,),))))-(((VLOOKUP(EDATE(B156,-12),Database!$A:$AS,MATCH($V$1,Database!$A$1:$AS$1,),)))))/(((VLOOKUP(EDATE(B156,-12),Database!$A:$AS,MATCH($V$1,Database!$A$1:$AS$1,),))))</f>
        <v>8.0536912751677722E-2</v>
      </c>
    </row>
    <row r="157" spans="1:22" s="83" customFormat="1" x14ac:dyDescent="0.2">
      <c r="A157" s="43"/>
      <c r="B157" s="78">
        <v>36923</v>
      </c>
      <c r="C157" s="13">
        <f>((((VLOOKUP(B157,Database!$A:$AS,MATCH($C$1,Database!$A$1:$AS$1,),))))-(((VLOOKUP(EDATE(B157,-12),Database!$A:$AS,MATCH($C$1,Database!$A$1:$AS$1,),)))))/(((VLOOKUP(EDATE(B157,-12),Database!$A:$AS,MATCH($C$1,Database!$A$1:$AS$1,),))))</f>
        <v>-5.9255029936316275E-3</v>
      </c>
      <c r="D157" s="13">
        <f>((((VLOOKUP(B157,Database!$A:$AS,MATCH($D$1,Database!$A$1:$AS$1,),))))-(((VLOOKUP(EDATE(B157,-12),Database!$A:$AS,MATCH($D$1,Database!$A$1:$AS$1,),)))))/(((VLOOKUP(EDATE(B157,-12),Database!$A:$AS,MATCH($D$1,Database!$A$1:$AS$1,),))))</f>
        <v>4.3991416309012814E-2</v>
      </c>
      <c r="E157" s="13">
        <f>((((VLOOKUP(B157,Database!$A:$AS,MATCH($E$1,Database!$A$1:$AS$1,),))))-(((VLOOKUP(EDATE(B157,-12),Database!$A:$AS,MATCH($E$1,Database!$A$1:$AS$1,),)))))/(((VLOOKUP(EDATE(B157,-12),Database!$A:$AS,MATCH($E$1,Database!$A$1:$AS$1,),))))</f>
        <v>2.7892561982125821E-2</v>
      </c>
      <c r="F157" s="13">
        <f>((((VLOOKUP(B157,Database!$A:$AS,MATCH($F$1,Database!$A$1:$AS$1,),))))-(((VLOOKUP(EDATE(B157,-12),Database!$A:$AS,MATCH($F$1,Database!$A$1:$AS$1,),)))))/(((VLOOKUP(EDATE(B157,-12),Database!$A:$AS,MATCH($F$1,Database!$A$1:$AS$1,),))))</f>
        <v>6.3775510203463393E-2</v>
      </c>
      <c r="G157" s="13">
        <f>((((VLOOKUP(B157,Database!$A:$AS,MATCH($G$1,Database!$A$1:$AS$1,),))))-(((VLOOKUP(EDATE(B157,-12),Database!$A:$AS,MATCH($G$1,Database!$A$1:$AS$1,),)))))/(((VLOOKUP(EDATE(B157,-12),Database!$A:$AS,MATCH($G$1,Database!$A$1:$AS$1,),))))</f>
        <v>3.787808282922283E-2</v>
      </c>
      <c r="H157" s="13">
        <f>((((VLOOKUP(B157,Database!$A:$AS,MATCH($H$1,Database!$A$1:$AS$1,),))))-(((VLOOKUP(EDATE(B157,-12),Database!$A:$AS,MATCH($H$1,Database!$A$1:$AS$1,),)))))/(((VLOOKUP(EDATE(B157,-12),Database!$A:$AS,MATCH($H$1,Database!$A$1:$AS$1,),))))</f>
        <v>5.599104142031173E-3</v>
      </c>
      <c r="I157" s="13">
        <f>((((VLOOKUP(B157,Database!$A:$AS,MATCH($I$1,Database!$A$1:$AS$1,),))))-(((VLOOKUP(EDATE(B157,-12),Database!$A:$AS,MATCH($I$1,Database!$A$1:$AS$1,),)))))/(((VLOOKUP(EDATE(B157,-12),Database!$A:$AS,MATCH($I$1,Database!$A$1:$AS$1,),))))</f>
        <v>1.7571884984484969E-2</v>
      </c>
      <c r="J157" s="13">
        <f>((((VLOOKUP(B157,Database!$A:$AS,MATCH($J$1,Database!$A$1:$AS$1,),))))-(((VLOOKUP(EDATE(B157,-12),Database!$A:$AS,MATCH($J$1,Database!$A$1:$AS$1,),)))))/(((VLOOKUP(EDATE(B157,-12),Database!$A:$AS,MATCH($J$1,Database!$A$1:$AS$1,),))))</f>
        <v>9.6574150482592741E-3</v>
      </c>
      <c r="K157" s="13">
        <f>((((VLOOKUP(B157,Database!$A:$AS,MATCH($K$1,Database!$A$1:$AS$1,),))))-(((VLOOKUP(EDATE(B157,-12),Database!$A:$AS,MATCH($K$1,Database!$A$1:$AS$1,),)))))/(((VLOOKUP(EDATE(B157,-12),Database!$A:$AS,MATCH($K$1,Database!$A$1:$AS$1,),))))</f>
        <v>3.4693877551665982E-2</v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>-1.8989978346497037E-2</v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>4.2934304572543068E-2</v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>6.9307051197937411E-2</v>
      </c>
      <c r="O157" s="13">
        <f>((((VLOOKUP(B157,Database!$A:$AS,MATCH($O$1,Database!$A$1:$AS$1,),))))-(((VLOOKUP(EDATE(B157,-12),Database!$A:$AS,MATCH($O$1,Database!$A$1:$AS$1,),)))))/(((VLOOKUP(EDATE(B157,-12),Database!$A:$AS,MATCH($O$1,Database!$A$1:$AS$1,),))))</f>
        <v>1.1808381404019777E-2</v>
      </c>
      <c r="P157" s="13">
        <f>((((VLOOKUP(B157,Database!$A:$AS,MATCH($P$1,Database!$A$1:$AS$1,),))))-(((VLOOKUP(EDATE(B157,-12),Database!$A:$AS,MATCH($P$1,Database!$A$1:$AS$1,),)))))/(((VLOOKUP(EDATE(B157,-12),Database!$A:$AS,MATCH($P$1,Database!$A$1:$AS$1,),))))</f>
        <v>1.4595800568569399E-2</v>
      </c>
      <c r="Q157" s="13">
        <f>((((VLOOKUP(B157,Database!$A:$AS,MATCH($Q$1,Database!$A$1:$AS$1,),))))-(((VLOOKUP(EDATE(B157,-12),Database!$A:$AS,MATCH($Q$1,Database!$A$1:$AS$1,),)))))/(((VLOOKUP(EDATE(B157,-12),Database!$A:$AS,MATCH($Q$1,Database!$A$1:$AS$1,),))))</f>
        <v>8.798609602122634E-2</v>
      </c>
      <c r="R157" s="13">
        <f>((((VLOOKUP(B157,Database!$A:$AS,MATCH($R$1,Database!$A$1:$AS$1,),))))-(((VLOOKUP(EDATE(B157,-12),Database!$A:$AS,MATCH($R$1,Database!$A$1:$AS$1,),)))))/(((VLOOKUP(EDATE(B157,-12),Database!$A:$AS,MATCH($R$1,Database!$A$1:$AS$1,),))))</f>
        <v>6.6800267210494653E-3</v>
      </c>
      <c r="S157" s="13">
        <f>((((VLOOKUP(B157,Database!$A:$AS,MATCH($S$1,Database!$A$1:$AS$1,),))))-(((VLOOKUP(EDATE(B157,-12),Database!$A:$AS,MATCH($S$1,Database!$A$1:$AS$1,),)))))/(((VLOOKUP(EDATE(B157,-12),Database!$A:$AS,MATCH($S$1,Database!$A$1:$AS$1,),))))</f>
        <v>0.39050535985868223</v>
      </c>
      <c r="T157" s="13">
        <f>((((VLOOKUP(B157,Database!$A:$AS,MATCH($T$1,Database!$A$1:$AS$1,),))))-(((VLOOKUP(EDATE(B157,-12),Database!$A:$AS,MATCH($T$1,Database!$A$1:$AS$1,),)))))/(((VLOOKUP(EDATE(B157,-12),Database!$A:$AS,MATCH($T$1,Database!$A$1:$AS$1,),))))</f>
        <v>-1.8604651165495062E-2</v>
      </c>
      <c r="U157" s="13">
        <f>((((VLOOKUP(B157,Database!$A:$AS,MATCH($U$1,Database!$A$1:$AS$1,),))))-(((VLOOKUP(EDATE(B157,-12),Database!$A:$AS,MATCH($U$1,Database!$A$1:$AS$1,),)))))/(((VLOOKUP(EDATE(B157,-12),Database!$A:$AS,MATCH($U$1,Database!$A$1:$AS$1,),))))</f>
        <v>9.8169717146770211E-2</v>
      </c>
      <c r="V157" s="13">
        <f>((((VLOOKUP(B157,Database!$A:$AS,MATCH($V$1,Database!$A$1:$AS$1,),))))-(((VLOOKUP(EDATE(B157,-12),Database!$A:$AS,MATCH($V$1,Database!$A$1:$AS$1,),)))))/(((VLOOKUP(EDATE(B157,-12),Database!$A:$AS,MATCH($V$1,Database!$A$1:$AS$1,),))))</f>
        <v>3.6956521739130499E-2</v>
      </c>
    </row>
    <row r="158" spans="1:22" s="83" customFormat="1" x14ac:dyDescent="0.2">
      <c r="A158" s="43"/>
      <c r="B158" s="78">
        <v>36951</v>
      </c>
      <c r="C158" s="13">
        <f>((((VLOOKUP(B158,Database!$A:$AS,MATCH($C$1,Database!$A$1:$AS$1,),))))-(((VLOOKUP(EDATE(B158,-12),Database!$A:$AS,MATCH($C$1,Database!$A$1:$AS$1,),)))))/(((VLOOKUP(EDATE(B158,-12),Database!$A:$AS,MATCH($C$1,Database!$A$1:$AS$1,),))))</f>
        <v>-1.2074836739753469E-2</v>
      </c>
      <c r="D158" s="13">
        <f>((((VLOOKUP(B158,Database!$A:$AS,MATCH($D$1,Database!$A$1:$AS$1,),))))-(((VLOOKUP(EDATE(B158,-12),Database!$A:$AS,MATCH($D$1,Database!$A$1:$AS$1,),)))))/(((VLOOKUP(EDATE(B158,-12),Database!$A:$AS,MATCH($D$1,Database!$A$1:$AS$1,),))))</f>
        <v>3.311965811965821E-2</v>
      </c>
      <c r="E158" s="13">
        <f>((((VLOOKUP(B158,Database!$A:$AS,MATCH($E$1,Database!$A$1:$AS$1,),))))-(((VLOOKUP(EDATE(B158,-12),Database!$A:$AS,MATCH($E$1,Database!$A$1:$AS$1,),)))))/(((VLOOKUP(EDATE(B158,-12),Database!$A:$AS,MATCH($E$1,Database!$A$1:$AS$1,),))))</f>
        <v>-4.0733197557374125E-3</v>
      </c>
      <c r="F158" s="13">
        <f>((((VLOOKUP(B158,Database!$A:$AS,MATCH($F$1,Database!$A$1:$AS$1,),))))-(((VLOOKUP(EDATE(B158,-12),Database!$A:$AS,MATCH($F$1,Database!$A$1:$AS$1,),)))))/(((VLOOKUP(EDATE(B158,-12),Database!$A:$AS,MATCH($F$1,Database!$A$1:$AS$1,),))))</f>
        <v>4.4585987266015335E-2</v>
      </c>
      <c r="G158" s="13">
        <f>((((VLOOKUP(B158,Database!$A:$AS,MATCH($G$1,Database!$A$1:$AS$1,),))))-(((VLOOKUP(EDATE(B158,-12),Database!$A:$AS,MATCH($G$1,Database!$A$1:$AS$1,),)))))/(((VLOOKUP(EDATE(B158,-12),Database!$A:$AS,MATCH($G$1,Database!$A$1:$AS$1,),))))</f>
        <v>3.5601997410763773E-2</v>
      </c>
      <c r="H158" s="13">
        <f>((((VLOOKUP(B158,Database!$A:$AS,MATCH($H$1,Database!$A$1:$AS$1,),))))-(((VLOOKUP(EDATE(B158,-12),Database!$A:$AS,MATCH($H$1,Database!$A$1:$AS$1,),)))))/(((VLOOKUP(EDATE(B158,-12),Database!$A:$AS,MATCH($H$1,Database!$A$1:$AS$1,),))))</f>
        <v>1.4590347924536354E-2</v>
      </c>
      <c r="I158" s="13">
        <f>((((VLOOKUP(B158,Database!$A:$AS,MATCH($I$1,Database!$A$1:$AS$1,),))))-(((VLOOKUP(EDATE(B158,-12),Database!$A:$AS,MATCH($I$1,Database!$A$1:$AS$1,),)))))/(((VLOOKUP(EDATE(B158,-12),Database!$A:$AS,MATCH($I$1,Database!$A$1:$AS$1,),))))</f>
        <v>9.5011876458228894E-3</v>
      </c>
      <c r="J158" s="13">
        <f>((((VLOOKUP(B158,Database!$A:$AS,MATCH($J$1,Database!$A$1:$AS$1,),))))-(((VLOOKUP(EDATE(B158,-12),Database!$A:$AS,MATCH($J$1,Database!$A$1:$AS$1,),)))))/(((VLOOKUP(EDATE(B158,-12),Database!$A:$AS,MATCH($J$1,Database!$A$1:$AS$1,),))))</f>
        <v>-8.9872244454828731E-3</v>
      </c>
      <c r="K158" s="13">
        <f>((((VLOOKUP(B158,Database!$A:$AS,MATCH($K$1,Database!$A$1:$AS$1,),))))-(((VLOOKUP(EDATE(B158,-12),Database!$A:$AS,MATCH($K$1,Database!$A$1:$AS$1,),)))))/(((VLOOKUP(EDATE(B158,-12),Database!$A:$AS,MATCH($K$1,Database!$A$1:$AS$1,),))))</f>
        <v>3.1440162273337846E-2</v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>-1.8014535878139358E-2</v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>3.6518107897027738E-2</v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>2.8435199059900468E-2</v>
      </c>
      <c r="O158" s="13">
        <f>((((VLOOKUP(B158,Database!$A:$AS,MATCH($O$1,Database!$A$1:$AS$1,),))))-(((VLOOKUP(EDATE(B158,-12),Database!$A:$AS,MATCH($O$1,Database!$A$1:$AS$1,),)))))/(((VLOOKUP(EDATE(B158,-12),Database!$A:$AS,MATCH($O$1,Database!$A$1:$AS$1,),))))</f>
        <v>-7.3398912716287389E-3</v>
      </c>
      <c r="P158" s="13">
        <f>((((VLOOKUP(B158,Database!$A:$AS,MATCH($P$1,Database!$A$1:$AS$1,),))))-(((VLOOKUP(EDATE(B158,-12),Database!$A:$AS,MATCH($P$1,Database!$A$1:$AS$1,),)))))/(((VLOOKUP(EDATE(B158,-12),Database!$A:$AS,MATCH($P$1,Database!$A$1:$AS$1,),))))</f>
        <v>1.3612046332263388E-2</v>
      </c>
      <c r="Q158" s="13">
        <f>((((VLOOKUP(B158,Database!$A:$AS,MATCH($Q$1,Database!$A$1:$AS$1,),))))-(((VLOOKUP(EDATE(B158,-12),Database!$A:$AS,MATCH($Q$1,Database!$A$1:$AS$1,),)))))/(((VLOOKUP(EDATE(B158,-12),Database!$A:$AS,MATCH($Q$1,Database!$A$1:$AS$1,),))))</f>
        <v>5.5359623818235358E-2</v>
      </c>
      <c r="R158" s="13">
        <f>((((VLOOKUP(B158,Database!$A:$AS,MATCH($R$1,Database!$A$1:$AS$1,),))))-(((VLOOKUP(EDATE(B158,-12),Database!$A:$AS,MATCH($R$1,Database!$A$1:$AS$1,),)))))/(((VLOOKUP(EDATE(B158,-12),Database!$A:$AS,MATCH($R$1,Database!$A$1:$AS$1,),))))</f>
        <v>-6.2541145489512659E-2</v>
      </c>
      <c r="S158" s="13">
        <f>((((VLOOKUP(B158,Database!$A:$AS,MATCH($S$1,Database!$A$1:$AS$1,),))))-(((VLOOKUP(EDATE(B158,-12),Database!$A:$AS,MATCH($S$1,Database!$A$1:$AS$1,),)))))/(((VLOOKUP(EDATE(B158,-12),Database!$A:$AS,MATCH($S$1,Database!$A$1:$AS$1,),))))</f>
        <v>0.26745913820198808</v>
      </c>
      <c r="T158" s="13">
        <f>((((VLOOKUP(B158,Database!$A:$AS,MATCH($T$1,Database!$A$1:$AS$1,),))))-(((VLOOKUP(EDATE(B158,-12),Database!$A:$AS,MATCH($T$1,Database!$A$1:$AS$1,),)))))/(((VLOOKUP(EDATE(B158,-12),Database!$A:$AS,MATCH($T$1,Database!$A$1:$AS$1,),))))</f>
        <v>-5.6872037899416986E-2</v>
      </c>
      <c r="U158" s="13">
        <f>((((VLOOKUP(B158,Database!$A:$AS,MATCH($U$1,Database!$A$1:$AS$1,),))))-(((VLOOKUP(EDATE(B158,-12),Database!$A:$AS,MATCH($U$1,Database!$A$1:$AS$1,),)))))/(((VLOOKUP(EDATE(B158,-12),Database!$A:$AS,MATCH($U$1,Database!$A$1:$AS$1,),))))</f>
        <v>9.735973598146834E-2</v>
      </c>
      <c r="V158" s="13">
        <f>((((VLOOKUP(B158,Database!$A:$AS,MATCH($V$1,Database!$A$1:$AS$1,),))))-(((VLOOKUP(EDATE(B158,-12),Database!$A:$AS,MATCH($V$1,Database!$A$1:$AS$1,),)))))/(((VLOOKUP(EDATE(B158,-12),Database!$A:$AS,MATCH($V$1,Database!$A$1:$AS$1,),))))</f>
        <v>5.458515283842795E-2</v>
      </c>
    </row>
    <row r="159" spans="1:22" s="83" customFormat="1" x14ac:dyDescent="0.2">
      <c r="A159" s="43"/>
      <c r="B159" s="78">
        <v>36982</v>
      </c>
      <c r="C159" s="13">
        <f>((((VLOOKUP(B159,Database!$A:$AS,MATCH($C$1,Database!$A$1:$AS$1,),))))-(((VLOOKUP(EDATE(B159,-12),Database!$A:$AS,MATCH($C$1,Database!$A$1:$AS$1,),)))))/(((VLOOKUP(EDATE(B159,-12),Database!$A:$AS,MATCH($C$1,Database!$A$1:$AS$1,),))))</f>
        <v>-2.1382542159687542E-2</v>
      </c>
      <c r="D159" s="13">
        <f>((((VLOOKUP(B159,Database!$A:$AS,MATCH($D$1,Database!$A$1:$AS$1,),))))-(((VLOOKUP(EDATE(B159,-12),Database!$A:$AS,MATCH($D$1,Database!$A$1:$AS$1,),)))))/(((VLOOKUP(EDATE(B159,-12),Database!$A:$AS,MATCH($D$1,Database!$A$1:$AS$1,),))))</f>
        <v>1.2671594508975743E-2</v>
      </c>
      <c r="E159" s="13">
        <f>((((VLOOKUP(B159,Database!$A:$AS,MATCH($E$1,Database!$A$1:$AS$1,),))))-(((VLOOKUP(EDATE(B159,-12),Database!$A:$AS,MATCH($E$1,Database!$A$1:$AS$1,),)))))/(((VLOOKUP(EDATE(B159,-12),Database!$A:$AS,MATCH($E$1,Database!$A$1:$AS$1,),))))</f>
        <v>-2.6078234700317341E-2</v>
      </c>
      <c r="F159" s="13">
        <f>((((VLOOKUP(B159,Database!$A:$AS,MATCH($F$1,Database!$A$1:$AS$1,),))))-(((VLOOKUP(EDATE(B159,-12),Database!$A:$AS,MATCH($F$1,Database!$A$1:$AS$1,),)))))/(((VLOOKUP(EDATE(B159,-12),Database!$A:$AS,MATCH($F$1,Database!$A$1:$AS$1,),))))</f>
        <v>1.3836477987785355E-2</v>
      </c>
      <c r="G159" s="13">
        <f>((((VLOOKUP(B159,Database!$A:$AS,MATCH($G$1,Database!$A$1:$AS$1,),))))-(((VLOOKUP(EDATE(B159,-12),Database!$A:$AS,MATCH($G$1,Database!$A$1:$AS$1,),)))))/(((VLOOKUP(EDATE(B159,-12),Database!$A:$AS,MATCH($G$1,Database!$A$1:$AS$1,),))))</f>
        <v>1.2872379551305548E-2</v>
      </c>
      <c r="H159" s="13">
        <f>((((VLOOKUP(B159,Database!$A:$AS,MATCH($H$1,Database!$A$1:$AS$1,),))))-(((VLOOKUP(EDATE(B159,-12),Database!$A:$AS,MATCH($H$1,Database!$A$1:$AS$1,),)))))/(((VLOOKUP(EDATE(B159,-12),Database!$A:$AS,MATCH($H$1,Database!$A$1:$AS$1,),))))</f>
        <v>2.0994475135215112E-2</v>
      </c>
      <c r="I159" s="13">
        <f>((((VLOOKUP(B159,Database!$A:$AS,MATCH($I$1,Database!$A$1:$AS$1,),))))-(((VLOOKUP(EDATE(B159,-12),Database!$A:$AS,MATCH($I$1,Database!$A$1:$AS$1,),)))))/(((VLOOKUP(EDATE(B159,-12),Database!$A:$AS,MATCH($I$1,Database!$A$1:$AS$1,),))))</f>
        <v>-8.6410054990191838E-3</v>
      </c>
      <c r="J159" s="13">
        <f>((((VLOOKUP(B159,Database!$A:$AS,MATCH($J$1,Database!$A$1:$AS$1,),))))-(((VLOOKUP(EDATE(B159,-12),Database!$A:$AS,MATCH($J$1,Database!$A$1:$AS$1,),)))))/(((VLOOKUP(EDATE(B159,-12),Database!$A:$AS,MATCH($J$1,Database!$A$1:$AS$1,),))))</f>
        <v>-2.2216109508382188E-2</v>
      </c>
      <c r="K159" s="13">
        <f>((((VLOOKUP(B159,Database!$A:$AS,MATCH($K$1,Database!$A$1:$AS$1,),))))-(((VLOOKUP(EDATE(B159,-12),Database!$A:$AS,MATCH($K$1,Database!$A$1:$AS$1,),)))))/(((VLOOKUP(EDATE(B159,-12),Database!$A:$AS,MATCH($K$1,Database!$A$1:$AS$1,),))))</f>
        <v>-3.0090270814016638E-2</v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>-4.3622418694927771E-2</v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>-5.5453658858283392E-2</v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>2.6586227221615379E-2</v>
      </c>
      <c r="O159" s="13">
        <f>((((VLOOKUP(B159,Database!$A:$AS,MATCH($O$1,Database!$A$1:$AS$1,),))))-(((VLOOKUP(EDATE(B159,-12),Database!$A:$AS,MATCH($O$1,Database!$A$1:$AS$1,),)))))/(((VLOOKUP(EDATE(B159,-12),Database!$A:$AS,MATCH($O$1,Database!$A$1:$AS$1,),))))</f>
        <v>-1.1762360952956943E-3</v>
      </c>
      <c r="P159" s="13">
        <f>((((VLOOKUP(B159,Database!$A:$AS,MATCH($P$1,Database!$A$1:$AS$1,),))))-(((VLOOKUP(EDATE(B159,-12),Database!$A:$AS,MATCH($P$1,Database!$A$1:$AS$1,),)))))/(((VLOOKUP(EDATE(B159,-12),Database!$A:$AS,MATCH($P$1,Database!$A$1:$AS$1,),))))</f>
        <v>2.8205716204568479E-2</v>
      </c>
      <c r="Q159" s="13">
        <f>((((VLOOKUP(B159,Database!$A:$AS,MATCH($Q$1,Database!$A$1:$AS$1,),))))-(((VLOOKUP(EDATE(B159,-12),Database!$A:$AS,MATCH($Q$1,Database!$A$1:$AS$1,),)))))/(((VLOOKUP(EDATE(B159,-12),Database!$A:$AS,MATCH($Q$1,Database!$A$1:$AS$1,),))))</f>
        <v>4.2037272344448082E-2</v>
      </c>
      <c r="R159" s="13">
        <f>((((VLOOKUP(B159,Database!$A:$AS,MATCH($R$1,Database!$A$1:$AS$1,),))))-(((VLOOKUP(EDATE(B159,-12),Database!$A:$AS,MATCH($R$1,Database!$A$1:$AS$1,),)))))/(((VLOOKUP(EDATE(B159,-12),Database!$A:$AS,MATCH($R$1,Database!$A$1:$AS$1,),))))</f>
        <v>-7.7529566361859134E-2</v>
      </c>
      <c r="S159" s="13">
        <f>((((VLOOKUP(B159,Database!$A:$AS,MATCH($S$1,Database!$A$1:$AS$1,),))))-(((VLOOKUP(EDATE(B159,-12),Database!$A:$AS,MATCH($S$1,Database!$A$1:$AS$1,),)))))/(((VLOOKUP(EDATE(B159,-12),Database!$A:$AS,MATCH($S$1,Database!$A$1:$AS$1,),))))</f>
        <v>0.17768595042137358</v>
      </c>
      <c r="T159" s="13">
        <f>((((VLOOKUP(B159,Database!$A:$AS,MATCH($T$1,Database!$A$1:$AS$1,),))))-(((VLOOKUP(EDATE(B159,-12),Database!$A:$AS,MATCH($T$1,Database!$A$1:$AS$1,),)))))/(((VLOOKUP(EDATE(B159,-12),Database!$A:$AS,MATCH($T$1,Database!$A$1:$AS$1,),))))</f>
        <v>-8.7759815226545287E-2</v>
      </c>
      <c r="U159" s="13">
        <f>((((VLOOKUP(B159,Database!$A:$AS,MATCH($U$1,Database!$A$1:$AS$1,),))))-(((VLOOKUP(EDATE(B159,-12),Database!$A:$AS,MATCH($U$1,Database!$A$1:$AS$1,),)))))/(((VLOOKUP(EDATE(B159,-12),Database!$A:$AS,MATCH($U$1,Database!$A$1:$AS$1,),))))</f>
        <v>0.10413223140534125</v>
      </c>
      <c r="V159" s="13">
        <f>((((VLOOKUP(B159,Database!$A:$AS,MATCH($V$1,Database!$A$1:$AS$1,),))))-(((VLOOKUP(EDATE(B159,-12),Database!$A:$AS,MATCH($V$1,Database!$A$1:$AS$1,),)))))/(((VLOOKUP(EDATE(B159,-12),Database!$A:$AS,MATCH($V$1,Database!$A$1:$AS$1,),))))</f>
        <v>1.4893617021276655E-2</v>
      </c>
    </row>
    <row r="160" spans="1:22" s="83" customFormat="1" x14ac:dyDescent="0.2">
      <c r="A160" s="43"/>
      <c r="B160" s="78">
        <v>37012</v>
      </c>
      <c r="C160" s="13">
        <f>((((VLOOKUP(B160,Database!$A:$AS,MATCH($C$1,Database!$A$1:$AS$1,),))))-(((VLOOKUP(EDATE(B160,-12),Database!$A:$AS,MATCH($C$1,Database!$A$1:$AS$1,),)))))/(((VLOOKUP(EDATE(B160,-12),Database!$A:$AS,MATCH($C$1,Database!$A$1:$AS$1,),))))</f>
        <v>-3.0095551128348458E-2</v>
      </c>
      <c r="D160" s="13">
        <f>((((VLOOKUP(B160,Database!$A:$AS,MATCH($D$1,Database!$A$1:$AS$1,),))))-(((VLOOKUP(EDATE(B160,-12),Database!$A:$AS,MATCH($D$1,Database!$A$1:$AS$1,),)))))/(((VLOOKUP(EDATE(B160,-12),Database!$A:$AS,MATCH($D$1,Database!$A$1:$AS$1,),))))</f>
        <v>2.0833333333333628E-3</v>
      </c>
      <c r="E160" s="13">
        <f>((((VLOOKUP(B160,Database!$A:$AS,MATCH($E$1,Database!$A$1:$AS$1,),))))-(((VLOOKUP(EDATE(B160,-12),Database!$A:$AS,MATCH($E$1,Database!$A$1:$AS$1,),)))))/(((VLOOKUP(EDATE(B160,-12),Database!$A:$AS,MATCH($E$1,Database!$A$1:$AS$1,),))))</f>
        <v>-3.9354187688417329E-2</v>
      </c>
      <c r="F160" s="13">
        <f>((((VLOOKUP(B160,Database!$A:$AS,MATCH($F$1,Database!$A$1:$AS$1,),))))-(((VLOOKUP(EDATE(B160,-12),Database!$A:$AS,MATCH($F$1,Database!$A$1:$AS$1,),)))))/(((VLOOKUP(EDATE(B160,-12),Database!$A:$AS,MATCH($F$1,Database!$A$1:$AS$1,),))))</f>
        <v>1.2285012240637366E-3</v>
      </c>
      <c r="G160" s="13">
        <f>((((VLOOKUP(B160,Database!$A:$AS,MATCH($G$1,Database!$A$1:$AS$1,),))))-(((VLOOKUP(EDATE(B160,-12),Database!$A:$AS,MATCH($G$1,Database!$A$1:$AS$1,),)))))/(((VLOOKUP(EDATE(B160,-12),Database!$A:$AS,MATCH($G$1,Database!$A$1:$AS$1,),))))</f>
        <v>7.9920079920079504E-3</v>
      </c>
      <c r="H160" s="13">
        <f>((((VLOOKUP(B160,Database!$A:$AS,MATCH($H$1,Database!$A$1:$AS$1,),))))-(((VLOOKUP(EDATE(B160,-12),Database!$A:$AS,MATCH($H$1,Database!$A$1:$AS$1,),)))))/(((VLOOKUP(EDATE(B160,-12),Database!$A:$AS,MATCH($H$1,Database!$A$1:$AS$1,),))))</f>
        <v>1.754385965323689E-2</v>
      </c>
      <c r="I160" s="13">
        <f>((((VLOOKUP(B160,Database!$A:$AS,MATCH($I$1,Database!$A$1:$AS$1,),))))-(((VLOOKUP(EDATE(B160,-12),Database!$A:$AS,MATCH($I$1,Database!$A$1:$AS$1,),)))))/(((VLOOKUP(EDATE(B160,-12),Database!$A:$AS,MATCH($I$1,Database!$A$1:$AS$1,),))))</f>
        <v>-1.4843750001110888E-2</v>
      </c>
      <c r="J160" s="13">
        <f>((((VLOOKUP(B160,Database!$A:$AS,MATCH($J$1,Database!$A$1:$AS$1,),))))-(((VLOOKUP(EDATE(B160,-12),Database!$A:$AS,MATCH($J$1,Database!$A$1:$AS$1,),)))))/(((VLOOKUP(EDATE(B160,-12),Database!$A:$AS,MATCH($J$1,Database!$A$1:$AS$1,),))))</f>
        <v>-9.5722524765288284E-3</v>
      </c>
      <c r="K160" s="13">
        <f>((((VLOOKUP(B160,Database!$A:$AS,MATCH($K$1,Database!$A$1:$AS$1,),))))-(((VLOOKUP(EDATE(B160,-12),Database!$A:$AS,MATCH($K$1,Database!$A$1:$AS$1,),)))))/(((VLOOKUP(EDATE(B160,-12),Database!$A:$AS,MATCH($K$1,Database!$A$1:$AS$1,),))))</f>
        <v>-7.8817733968406748E-3</v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>-4.0144938883579839E-2</v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>6.6858849239156026E-2</v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>1.7041241181062573E-2</v>
      </c>
      <c r="O160" s="13">
        <f>((((VLOOKUP(B160,Database!$A:$AS,MATCH($O$1,Database!$A$1:$AS$1,),))))-(((VLOOKUP(EDATE(B160,-12),Database!$A:$AS,MATCH($O$1,Database!$A$1:$AS$1,),)))))/(((VLOOKUP(EDATE(B160,-12),Database!$A:$AS,MATCH($O$1,Database!$A$1:$AS$1,),))))</f>
        <v>-1.4807830034783405E-2</v>
      </c>
      <c r="P160" s="13">
        <f>((((VLOOKUP(B160,Database!$A:$AS,MATCH($P$1,Database!$A$1:$AS$1,),))))-(((VLOOKUP(EDATE(B160,-12),Database!$A:$AS,MATCH($P$1,Database!$A$1:$AS$1,),)))))/(((VLOOKUP(EDATE(B160,-12),Database!$A:$AS,MATCH($P$1,Database!$A$1:$AS$1,),))))</f>
        <v>-1.3886932300296005E-3</v>
      </c>
      <c r="Q160" s="13">
        <f>((((VLOOKUP(B160,Database!$A:$AS,MATCH($Q$1,Database!$A$1:$AS$1,),))))-(((VLOOKUP(EDATE(B160,-12),Database!$A:$AS,MATCH($Q$1,Database!$A$1:$AS$1,),)))))/(((VLOOKUP(EDATE(B160,-12),Database!$A:$AS,MATCH($Q$1,Database!$A$1:$AS$1,),))))</f>
        <v>5.3095465646452664E-2</v>
      </c>
      <c r="R160" s="13">
        <f>((((VLOOKUP(B160,Database!$A:$AS,MATCH($R$1,Database!$A$1:$AS$1,),))))-(((VLOOKUP(EDATE(B160,-12),Database!$A:$AS,MATCH($R$1,Database!$A$1:$AS$1,),)))))/(((VLOOKUP(EDATE(B160,-12),Database!$A:$AS,MATCH($R$1,Database!$A$1:$AS$1,),))))</f>
        <v>-2.6280323449170917E-2</v>
      </c>
      <c r="S160" s="13">
        <f>((((VLOOKUP(B160,Database!$A:$AS,MATCH($S$1,Database!$A$1:$AS$1,),))))-(((VLOOKUP(EDATE(B160,-12),Database!$A:$AS,MATCH($S$1,Database!$A$1:$AS$1,),)))))/(((VLOOKUP(EDATE(B160,-12),Database!$A:$AS,MATCH($S$1,Database!$A$1:$AS$1,),))))</f>
        <v>3.6885245895508394E-2</v>
      </c>
      <c r="T160" s="13">
        <f>((((VLOOKUP(B160,Database!$A:$AS,MATCH($T$1,Database!$A$1:$AS$1,),))))-(((VLOOKUP(EDATE(B160,-12),Database!$A:$AS,MATCH($T$1,Database!$A$1:$AS$1,),)))))/(((VLOOKUP(EDATE(B160,-12),Database!$A:$AS,MATCH($T$1,Database!$A$1:$AS$1,),))))</f>
        <v>-0.10250569477680313</v>
      </c>
      <c r="U160" s="13">
        <f>((((VLOOKUP(B160,Database!$A:$AS,MATCH($U$1,Database!$A$1:$AS$1,),))))-(((VLOOKUP(EDATE(B160,-12),Database!$A:$AS,MATCH($U$1,Database!$A$1:$AS$1,),)))))/(((VLOOKUP(EDATE(B160,-12),Database!$A:$AS,MATCH($U$1,Database!$A$1:$AS$1,),))))</f>
        <v>8.9576547229784628E-2</v>
      </c>
      <c r="V160" s="13">
        <f>((((VLOOKUP(B160,Database!$A:$AS,MATCH($V$1,Database!$A$1:$AS$1,),))))-(((VLOOKUP(EDATE(B160,-12),Database!$A:$AS,MATCH($V$1,Database!$A$1:$AS$1,),)))))/(((VLOOKUP(EDATE(B160,-12),Database!$A:$AS,MATCH($V$1,Database!$A$1:$AS$1,),))))</f>
        <v>-2.0790020790021086E-3</v>
      </c>
    </row>
    <row r="161" spans="1:22" s="83" customFormat="1" x14ac:dyDescent="0.2">
      <c r="A161" s="43"/>
      <c r="B161" s="78">
        <v>37043</v>
      </c>
      <c r="C161" s="13">
        <f>((((VLOOKUP(B161,Database!$A:$AS,MATCH($C$1,Database!$A$1:$AS$1,),))))-(((VLOOKUP(EDATE(B161,-12),Database!$A:$AS,MATCH($C$1,Database!$A$1:$AS$1,),)))))/(((VLOOKUP(EDATE(B161,-12),Database!$A:$AS,MATCH($C$1,Database!$A$1:$AS$1,),))))</f>
        <v>-3.5962857150199479E-2</v>
      </c>
      <c r="D161" s="13">
        <f>((((VLOOKUP(B161,Database!$A:$AS,MATCH($D$1,Database!$A$1:$AS$1,),))))-(((VLOOKUP(EDATE(B161,-12),Database!$A:$AS,MATCH($D$1,Database!$A$1:$AS$1,),)))))/(((VLOOKUP(EDATE(B161,-12),Database!$A:$AS,MATCH($D$1,Database!$A$1:$AS$1,),))))</f>
        <v>1.5839493136219639E-2</v>
      </c>
      <c r="E161" s="13">
        <f>((((VLOOKUP(B161,Database!$A:$AS,MATCH($E$1,Database!$A$1:$AS$1,),))))-(((VLOOKUP(EDATE(B161,-12),Database!$A:$AS,MATCH($E$1,Database!$A$1:$AS$1,),)))))/(((VLOOKUP(EDATE(B161,-12),Database!$A:$AS,MATCH($E$1,Database!$A$1:$AS$1,),))))</f>
        <v>-6.1752988045438321E-2</v>
      </c>
      <c r="F161" s="13">
        <f>((((VLOOKUP(B161,Database!$A:$AS,MATCH($F$1,Database!$A$1:$AS$1,),))))-(((VLOOKUP(EDATE(B161,-12),Database!$A:$AS,MATCH($F$1,Database!$A$1:$AS$1,),)))))/(((VLOOKUP(EDATE(B161,-12),Database!$A:$AS,MATCH($F$1,Database!$A$1:$AS$1,),))))</f>
        <v>2.8894472370695194E-2</v>
      </c>
      <c r="G161" s="13">
        <f>((((VLOOKUP(B161,Database!$A:$AS,MATCH($G$1,Database!$A$1:$AS$1,),))))-(((VLOOKUP(EDATE(B161,-12),Database!$A:$AS,MATCH($G$1,Database!$A$1:$AS$1,),)))))/(((VLOOKUP(EDATE(B161,-12),Database!$A:$AS,MATCH($G$1,Database!$A$1:$AS$1,),))))</f>
        <v>2.1437114729965942E-2</v>
      </c>
      <c r="H161" s="13">
        <f>((((VLOOKUP(B161,Database!$A:$AS,MATCH($H$1,Database!$A$1:$AS$1,),))))-(((VLOOKUP(EDATE(B161,-12),Database!$A:$AS,MATCH($H$1,Database!$A$1:$AS$1,),)))))/(((VLOOKUP(EDATE(B161,-12),Database!$A:$AS,MATCH($H$1,Database!$A$1:$AS$1,),))))</f>
        <v>2.2776572670989509E-2</v>
      </c>
      <c r="I161" s="13">
        <f>((((VLOOKUP(B161,Database!$A:$AS,MATCH($I$1,Database!$A$1:$AS$1,),))))-(((VLOOKUP(EDATE(B161,-12),Database!$A:$AS,MATCH($I$1,Database!$A$1:$AS$1,),)))))/(((VLOOKUP(EDATE(B161,-12),Database!$A:$AS,MATCH($I$1,Database!$A$1:$AS$1,),))))</f>
        <v>-1.1737089198663259E-2</v>
      </c>
      <c r="J161" s="13">
        <f>((((VLOOKUP(B161,Database!$A:$AS,MATCH($J$1,Database!$A$1:$AS$1,),))))-(((VLOOKUP(EDATE(B161,-12),Database!$A:$AS,MATCH($J$1,Database!$A$1:$AS$1,),)))))/(((VLOOKUP(EDATE(B161,-12),Database!$A:$AS,MATCH($J$1,Database!$A$1:$AS$1,),))))</f>
        <v>7.0429376740494681E-4</v>
      </c>
      <c r="K161" s="13">
        <f>((((VLOOKUP(B161,Database!$A:$AS,MATCH($K$1,Database!$A$1:$AS$1,),))))-(((VLOOKUP(EDATE(B161,-12),Database!$A:$AS,MATCH($K$1,Database!$A$1:$AS$1,),)))))/(((VLOOKUP(EDATE(B161,-12),Database!$A:$AS,MATCH($K$1,Database!$A$1:$AS$1,),))))</f>
        <v>-4.3103448273467675E-2</v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>-3.7273196039269138E-2</v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>4.3635824378701484E-2</v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>3.0527919863528662E-2</v>
      </c>
      <c r="O161" s="13">
        <f>((((VLOOKUP(B161,Database!$A:$AS,MATCH($O$1,Database!$A$1:$AS$1,),))))-(((VLOOKUP(EDATE(B161,-12),Database!$A:$AS,MATCH($O$1,Database!$A$1:$AS$1,),)))))/(((VLOOKUP(EDATE(B161,-12),Database!$A:$AS,MATCH($O$1,Database!$A$1:$AS$1,),))))</f>
        <v>-2.7790715296220573E-2</v>
      </c>
      <c r="P161" s="13">
        <f>((((VLOOKUP(B161,Database!$A:$AS,MATCH($P$1,Database!$A$1:$AS$1,),))))-(((VLOOKUP(EDATE(B161,-12),Database!$A:$AS,MATCH($P$1,Database!$A$1:$AS$1,),)))))/(((VLOOKUP(EDATE(B161,-12),Database!$A:$AS,MATCH($P$1,Database!$A$1:$AS$1,),))))</f>
        <v>9.7378277152193847E-3</v>
      </c>
      <c r="Q161" s="13">
        <f>((((VLOOKUP(B161,Database!$A:$AS,MATCH($Q$1,Database!$A$1:$AS$1,),))))-(((VLOOKUP(EDATE(B161,-12),Database!$A:$AS,MATCH($Q$1,Database!$A$1:$AS$1,),)))))/(((VLOOKUP(EDATE(B161,-12),Database!$A:$AS,MATCH($Q$1,Database!$A$1:$AS$1,),))))</f>
        <v>1.5237897794857265E-2</v>
      </c>
      <c r="R161" s="13">
        <f>((((VLOOKUP(B161,Database!$A:$AS,MATCH($R$1,Database!$A$1:$AS$1,),))))-(((VLOOKUP(EDATE(B161,-12),Database!$A:$AS,MATCH($R$1,Database!$A$1:$AS$1,),)))))/(((VLOOKUP(EDATE(B161,-12),Database!$A:$AS,MATCH($R$1,Database!$A$1:$AS$1,),))))</f>
        <v>-5.6515957444799141E-2</v>
      </c>
      <c r="S161" s="13">
        <f>((((VLOOKUP(B161,Database!$A:$AS,MATCH($S$1,Database!$A$1:$AS$1,),))))-(((VLOOKUP(EDATE(B161,-12),Database!$A:$AS,MATCH($S$1,Database!$A$1:$AS$1,),)))))/(((VLOOKUP(EDATE(B161,-12),Database!$A:$AS,MATCH($S$1,Database!$A$1:$AS$1,),))))</f>
        <v>0.12990527740528776</v>
      </c>
      <c r="T161" s="13">
        <f>((((VLOOKUP(B161,Database!$A:$AS,MATCH($T$1,Database!$A$1:$AS$1,),))))-(((VLOOKUP(EDATE(B161,-12),Database!$A:$AS,MATCH($T$1,Database!$A$1:$AS$1,),)))))/(((VLOOKUP(EDATE(B161,-12),Database!$A:$AS,MATCH($T$1,Database!$A$1:$AS$1,),))))</f>
        <v>-0.10786516855356768</v>
      </c>
      <c r="U161" s="13">
        <f>((((VLOOKUP(B161,Database!$A:$AS,MATCH($U$1,Database!$A$1:$AS$1,),))))-(((VLOOKUP(EDATE(B161,-12),Database!$A:$AS,MATCH($U$1,Database!$A$1:$AS$1,),)))))/(((VLOOKUP(EDATE(B161,-12),Database!$A:$AS,MATCH($U$1,Database!$A$1:$AS$1,),))))</f>
        <v>8.9722675365397145E-2</v>
      </c>
      <c r="V161" s="13">
        <f>((((VLOOKUP(B161,Database!$A:$AS,MATCH($V$1,Database!$A$1:$AS$1,),))))-(((VLOOKUP(EDATE(B161,-12),Database!$A:$AS,MATCH($V$1,Database!$A$1:$AS$1,),)))))/(((VLOOKUP(EDATE(B161,-12),Database!$A:$AS,MATCH($V$1,Database!$A$1:$AS$1,),))))</f>
        <v>-2.0790020790020788E-2</v>
      </c>
    </row>
    <row r="162" spans="1:22" s="83" customFormat="1" x14ac:dyDescent="0.2">
      <c r="A162" s="43"/>
      <c r="B162" s="78">
        <v>37073</v>
      </c>
      <c r="C162" s="13">
        <f>((((VLOOKUP(B162,Database!$A:$AS,MATCH($C$1,Database!$A$1:$AS$1,),))))-(((VLOOKUP(EDATE(B162,-12),Database!$A:$AS,MATCH($C$1,Database!$A$1:$AS$1,),)))))/(((VLOOKUP(EDATE(B162,-12),Database!$A:$AS,MATCH($C$1,Database!$A$1:$AS$1,),))))</f>
        <v>-3.9978970859778674E-2</v>
      </c>
      <c r="D162" s="13">
        <f>((((VLOOKUP(B162,Database!$A:$AS,MATCH($D$1,Database!$A$1:$AS$1,),))))-(((VLOOKUP(EDATE(B162,-12),Database!$A:$AS,MATCH($D$1,Database!$A$1:$AS$1,),)))))/(((VLOOKUP(EDATE(B162,-12),Database!$A:$AS,MATCH($D$1,Database!$A$1:$AS$1,),))))</f>
        <v>-1.459854014598546E-2</v>
      </c>
      <c r="E162" s="13">
        <f>((((VLOOKUP(B162,Database!$A:$AS,MATCH($E$1,Database!$A$1:$AS$1,),))))-(((VLOOKUP(EDATE(B162,-12),Database!$A:$AS,MATCH($E$1,Database!$A$1:$AS$1,),)))))/(((VLOOKUP(EDATE(B162,-12),Database!$A:$AS,MATCH($E$1,Database!$A$1:$AS$1,),))))</f>
        <v>-7.2854291421906761E-2</v>
      </c>
      <c r="F162" s="13">
        <f>((((VLOOKUP(B162,Database!$A:$AS,MATCH($F$1,Database!$A$1:$AS$1,),))))-(((VLOOKUP(EDATE(B162,-12),Database!$A:$AS,MATCH($F$1,Database!$A$1:$AS$1,),)))))/(((VLOOKUP(EDATE(B162,-12),Database!$A:$AS,MATCH($F$1,Database!$A$1:$AS$1,),))))</f>
        <v>-1.8541409141976151E-2</v>
      </c>
      <c r="G162" s="13">
        <f>((((VLOOKUP(B162,Database!$A:$AS,MATCH($G$1,Database!$A$1:$AS$1,),))))-(((VLOOKUP(EDATE(B162,-12),Database!$A:$AS,MATCH($G$1,Database!$A$1:$AS$1,),)))))/(((VLOOKUP(EDATE(B162,-12),Database!$A:$AS,MATCH($G$1,Database!$A$1:$AS$1,),))))</f>
        <v>-4.3652237177154397E-3</v>
      </c>
      <c r="H162" s="13">
        <f>((((VLOOKUP(B162,Database!$A:$AS,MATCH($H$1,Database!$A$1:$AS$1,),))))-(((VLOOKUP(EDATE(B162,-12),Database!$A:$AS,MATCH($H$1,Database!$A$1:$AS$1,),)))))/(((VLOOKUP(EDATE(B162,-12),Database!$A:$AS,MATCH($H$1,Database!$A$1:$AS$1,),))))</f>
        <v>2.6115342759767124E-2</v>
      </c>
      <c r="I162" s="13">
        <f>((((VLOOKUP(B162,Database!$A:$AS,MATCH($I$1,Database!$A$1:$AS$1,),))))-(((VLOOKUP(EDATE(B162,-12),Database!$A:$AS,MATCH($I$1,Database!$A$1:$AS$1,),)))))/(((VLOOKUP(EDATE(B162,-12),Database!$A:$AS,MATCH($I$1,Database!$A$1:$AS$1,),))))</f>
        <v>-2.2870662464710409E-2</v>
      </c>
      <c r="J162" s="13">
        <f>((((VLOOKUP(B162,Database!$A:$AS,MATCH($J$1,Database!$A$1:$AS$1,),))))-(((VLOOKUP(EDATE(B162,-12),Database!$A:$AS,MATCH($J$1,Database!$A$1:$AS$1,),)))))/(((VLOOKUP(EDATE(B162,-12),Database!$A:$AS,MATCH($J$1,Database!$A$1:$AS$1,),))))</f>
        <v>-2.972300281003688E-2</v>
      </c>
      <c r="K162" s="13">
        <f>((((VLOOKUP(B162,Database!$A:$AS,MATCH($K$1,Database!$A$1:$AS$1,),))))-(((VLOOKUP(EDATE(B162,-12),Database!$A:$AS,MATCH($K$1,Database!$A$1:$AS$1,),)))))/(((VLOOKUP(EDATE(B162,-12),Database!$A:$AS,MATCH($K$1,Database!$A$1:$AS$1,),))))</f>
        <v>-1.1881188115518289E-2</v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>-1.6296916481404151E-2</v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>4.1690138402750709E-2</v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>2.0574625187587549E-2</v>
      </c>
      <c r="O162" s="13">
        <f>((((VLOOKUP(B162,Database!$A:$AS,MATCH($O$1,Database!$A$1:$AS$1,),))))-(((VLOOKUP(EDATE(B162,-12),Database!$A:$AS,MATCH($O$1,Database!$A$1:$AS$1,),)))))/(((VLOOKUP(EDATE(B162,-12),Database!$A:$AS,MATCH($O$1,Database!$A$1:$AS$1,),))))</f>
        <v>-4.1375357214402594E-2</v>
      </c>
      <c r="P162" s="13">
        <f>((((VLOOKUP(B162,Database!$A:$AS,MATCH($P$1,Database!$A$1:$AS$1,),))))-(((VLOOKUP(EDATE(B162,-12),Database!$A:$AS,MATCH($P$1,Database!$A$1:$AS$1,),)))))/(((VLOOKUP(EDATE(B162,-12),Database!$A:$AS,MATCH($P$1,Database!$A$1:$AS$1,),))))</f>
        <v>-4.1055890879239804E-2</v>
      </c>
      <c r="Q162" s="13">
        <f>((((VLOOKUP(B162,Database!$A:$AS,MATCH($Q$1,Database!$A$1:$AS$1,),))))-(((VLOOKUP(EDATE(B162,-12),Database!$A:$AS,MATCH($Q$1,Database!$A$1:$AS$1,),)))))/(((VLOOKUP(EDATE(B162,-12),Database!$A:$AS,MATCH($Q$1,Database!$A$1:$AS$1,),))))</f>
        <v>5.6613484376807814E-3</v>
      </c>
      <c r="R162" s="13">
        <f>((((VLOOKUP(B162,Database!$A:$AS,MATCH($R$1,Database!$A$1:$AS$1,),))))-(((VLOOKUP(EDATE(B162,-12),Database!$A:$AS,MATCH($R$1,Database!$A$1:$AS$1,),)))))/(((VLOOKUP(EDATE(B162,-12),Database!$A:$AS,MATCH($R$1,Database!$A$1:$AS$1,),))))</f>
        <v>-4.7233468285917603E-2</v>
      </c>
      <c r="S162" s="13">
        <f>((((VLOOKUP(B162,Database!$A:$AS,MATCH($S$1,Database!$A$1:$AS$1,),))))-(((VLOOKUP(EDATE(B162,-12),Database!$A:$AS,MATCH($S$1,Database!$A$1:$AS$1,),)))))/(((VLOOKUP(EDATE(B162,-12),Database!$A:$AS,MATCH($S$1,Database!$A$1:$AS$1,),))))</f>
        <v>2.0645161283478621E-2</v>
      </c>
      <c r="T162" s="13">
        <f>((((VLOOKUP(B162,Database!$A:$AS,MATCH($T$1,Database!$A$1:$AS$1,),))))-(((VLOOKUP(EDATE(B162,-12),Database!$A:$AS,MATCH($T$1,Database!$A$1:$AS$1,),)))))/(((VLOOKUP(EDATE(B162,-12),Database!$A:$AS,MATCH($T$1,Database!$A$1:$AS$1,),))))</f>
        <v>-0.10067114093494235</v>
      </c>
      <c r="U162" s="13">
        <f>((((VLOOKUP(B162,Database!$A:$AS,MATCH($U$1,Database!$A$1:$AS$1,),))))-(((VLOOKUP(EDATE(B162,-12),Database!$A:$AS,MATCH($U$1,Database!$A$1:$AS$1,),)))))/(((VLOOKUP(EDATE(B162,-12),Database!$A:$AS,MATCH($U$1,Database!$A$1:$AS$1,),))))</f>
        <v>6.1488673152409419E-2</v>
      </c>
      <c r="V162" s="13">
        <f>((((VLOOKUP(B162,Database!$A:$AS,MATCH($V$1,Database!$A$1:$AS$1,),))))-(((VLOOKUP(EDATE(B162,-12),Database!$A:$AS,MATCH($V$1,Database!$A$1:$AS$1,),)))))/(((VLOOKUP(EDATE(B162,-12),Database!$A:$AS,MATCH($V$1,Database!$A$1:$AS$1,),))))</f>
        <v>-8.385744234800957E-3</v>
      </c>
    </row>
    <row r="163" spans="1:22" s="83" customFormat="1" x14ac:dyDescent="0.2">
      <c r="A163" s="43"/>
      <c r="B163" s="78">
        <v>37104</v>
      </c>
      <c r="C163" s="13">
        <f>((((VLOOKUP(B163,Database!$A:$AS,MATCH($C$1,Database!$A$1:$AS$1,),))))-(((VLOOKUP(EDATE(B163,-12),Database!$A:$AS,MATCH($C$1,Database!$A$1:$AS$1,),)))))/(((VLOOKUP(EDATE(B163,-12),Database!$A:$AS,MATCH($C$1,Database!$A$1:$AS$1,),))))</f>
        <v>-3.8508579162349212E-2</v>
      </c>
      <c r="D163" s="13">
        <f>((((VLOOKUP(B163,Database!$A:$AS,MATCH($D$1,Database!$A$1:$AS$1,),))))-(((VLOOKUP(EDATE(B163,-12),Database!$A:$AS,MATCH($D$1,Database!$A$1:$AS$1,),)))))/(((VLOOKUP(EDATE(B163,-12),Database!$A:$AS,MATCH($D$1,Database!$A$1:$AS$1,),))))</f>
        <v>9.3847758081333828E-3</v>
      </c>
      <c r="E163" s="13">
        <f>((((VLOOKUP(B163,Database!$A:$AS,MATCH($E$1,Database!$A$1:$AS$1,),))))-(((VLOOKUP(EDATE(B163,-12),Database!$A:$AS,MATCH($E$1,Database!$A$1:$AS$1,),)))))/(((VLOOKUP(EDATE(B163,-12),Database!$A:$AS,MATCH($E$1,Database!$A$1:$AS$1,),))))</f>
        <v>-9.8425196854039068E-2</v>
      </c>
      <c r="F163" s="13">
        <f>((((VLOOKUP(B163,Database!$A:$AS,MATCH($F$1,Database!$A$1:$AS$1,),))))-(((VLOOKUP(EDATE(B163,-12),Database!$A:$AS,MATCH($F$1,Database!$A$1:$AS$1,),)))))/(((VLOOKUP(EDATE(B163,-12),Database!$A:$AS,MATCH($F$1,Database!$A$1:$AS$1,),))))</f>
        <v>-1.2239902036583895E-3</v>
      </c>
      <c r="G163" s="13">
        <f>((((VLOOKUP(B163,Database!$A:$AS,MATCH($G$1,Database!$A$1:$AS$1,),))))-(((VLOOKUP(EDATE(B163,-12),Database!$A:$AS,MATCH($G$1,Database!$A$1:$AS$1,),)))))/(((VLOOKUP(EDATE(B163,-12),Database!$A:$AS,MATCH($G$1,Database!$A$1:$AS$1,),))))</f>
        <v>2.9549417270808471E-2</v>
      </c>
      <c r="H163" s="13">
        <f>((((VLOOKUP(B163,Database!$A:$AS,MATCH($H$1,Database!$A$1:$AS$1,),))))-(((VLOOKUP(EDATE(B163,-12),Database!$A:$AS,MATCH($H$1,Database!$A$1:$AS$1,),)))))/(((VLOOKUP(EDATE(B163,-12),Database!$A:$AS,MATCH($H$1,Database!$A$1:$AS$1,),))))</f>
        <v>3.7553648069804227E-2</v>
      </c>
      <c r="I163" s="13">
        <f>((((VLOOKUP(B163,Database!$A:$AS,MATCH($I$1,Database!$A$1:$AS$1,),))))-(((VLOOKUP(EDATE(B163,-12),Database!$A:$AS,MATCH($I$1,Database!$A$1:$AS$1,),)))))/(((VLOOKUP(EDATE(B163,-12),Database!$A:$AS,MATCH($I$1,Database!$A$1:$AS$1,),))))</f>
        <v>-1.4843750001110888E-2</v>
      </c>
      <c r="J163" s="13">
        <f>((((VLOOKUP(B163,Database!$A:$AS,MATCH($J$1,Database!$A$1:$AS$1,),))))-(((VLOOKUP(EDATE(B163,-12),Database!$A:$AS,MATCH($J$1,Database!$A$1:$AS$1,),)))))/(((VLOOKUP(EDATE(B163,-12),Database!$A:$AS,MATCH($J$1,Database!$A$1:$AS$1,),))))</f>
        <v>1.5541991634237074E-2</v>
      </c>
      <c r="K163" s="13">
        <f>((((VLOOKUP(B163,Database!$A:$AS,MATCH($K$1,Database!$A$1:$AS$1,),))))-(((VLOOKUP(EDATE(B163,-12),Database!$A:$AS,MATCH($K$1,Database!$A$1:$AS$1,),)))))/(((VLOOKUP(EDATE(B163,-12),Database!$A:$AS,MATCH($K$1,Database!$A$1:$AS$1,),))))</f>
        <v>-1.0669253158977068E-2</v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>-3.254702403513253E-2</v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>3.4015560366300976E-2</v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>2.8498867230840007E-2</v>
      </c>
      <c r="O163" s="13">
        <f>((((VLOOKUP(B163,Database!$A:$AS,MATCH($O$1,Database!$A$1:$AS$1,),))))-(((VLOOKUP(EDATE(B163,-12),Database!$A:$AS,MATCH($O$1,Database!$A$1:$AS$1,),)))))/(((VLOOKUP(EDATE(B163,-12),Database!$A:$AS,MATCH($O$1,Database!$A$1:$AS$1,),))))</f>
        <v>-4.5971649315397455E-2</v>
      </c>
      <c r="P163" s="13">
        <f>((((VLOOKUP(B163,Database!$A:$AS,MATCH($P$1,Database!$A$1:$AS$1,),))))-(((VLOOKUP(EDATE(B163,-12),Database!$A:$AS,MATCH($P$1,Database!$A$1:$AS$1,),)))))/(((VLOOKUP(EDATE(B163,-12),Database!$A:$AS,MATCH($P$1,Database!$A$1:$AS$1,),))))</f>
        <v>-3.3577687078072814E-2</v>
      </c>
      <c r="Q163" s="13">
        <f>((((VLOOKUP(B163,Database!$A:$AS,MATCH($Q$1,Database!$A$1:$AS$1,),))))-(((VLOOKUP(EDATE(B163,-12),Database!$A:$AS,MATCH($Q$1,Database!$A$1:$AS$1,),)))))/(((VLOOKUP(EDATE(B163,-12),Database!$A:$AS,MATCH($Q$1,Database!$A$1:$AS$1,),))))</f>
        <v>6.0743333584983182E-3</v>
      </c>
      <c r="R163" s="13">
        <f>((((VLOOKUP(B163,Database!$A:$AS,MATCH($R$1,Database!$A$1:$AS$1,),))))-(((VLOOKUP(EDATE(B163,-12),Database!$A:$AS,MATCH($R$1,Database!$A$1:$AS$1,),)))))/(((VLOOKUP(EDATE(B163,-12),Database!$A:$AS,MATCH($R$1,Database!$A$1:$AS$1,),))))</f>
        <v>-6.7013662977101693E-2</v>
      </c>
      <c r="S163" s="13">
        <f>((((VLOOKUP(B163,Database!$A:$AS,MATCH($S$1,Database!$A$1:$AS$1,),))))-(((VLOOKUP(EDATE(B163,-12),Database!$A:$AS,MATCH($S$1,Database!$A$1:$AS$1,),)))))/(((VLOOKUP(EDATE(B163,-12),Database!$A:$AS,MATCH($S$1,Database!$A$1:$AS$1,),))))</f>
        <v>0.11037234044132105</v>
      </c>
      <c r="T163" s="13">
        <f>((((VLOOKUP(B163,Database!$A:$AS,MATCH($T$1,Database!$A$1:$AS$1,),))))-(((VLOOKUP(EDATE(B163,-12),Database!$A:$AS,MATCH($T$1,Database!$A$1:$AS$1,),)))))/(((VLOOKUP(EDATE(B163,-12),Database!$A:$AS,MATCH($T$1,Database!$A$1:$AS$1,),))))</f>
        <v>-9.6069868998875263E-2</v>
      </c>
      <c r="U163" s="13">
        <f>((((VLOOKUP(B163,Database!$A:$AS,MATCH($U$1,Database!$A$1:$AS$1,),))))-(((VLOOKUP(EDATE(B163,-12),Database!$A:$AS,MATCH($U$1,Database!$A$1:$AS$1,),)))))/(((VLOOKUP(EDATE(B163,-12),Database!$A:$AS,MATCH($U$1,Database!$A$1:$AS$1,),))))</f>
        <v>3.7151702791986041E-2</v>
      </c>
      <c r="V163" s="13">
        <f>((((VLOOKUP(B163,Database!$A:$AS,MATCH($V$1,Database!$A$1:$AS$1,),))))-(((VLOOKUP(EDATE(B163,-12),Database!$A:$AS,MATCH($V$1,Database!$A$1:$AS$1,),)))))/(((VLOOKUP(EDATE(B163,-12),Database!$A:$AS,MATCH($V$1,Database!$A$1:$AS$1,),))))</f>
        <v>1.0351966873706004E-2</v>
      </c>
    </row>
    <row r="164" spans="1:22" s="83" customFormat="1" x14ac:dyDescent="0.2">
      <c r="A164" s="43"/>
      <c r="B164" s="78">
        <v>37135</v>
      </c>
      <c r="C164" s="13">
        <f>((((VLOOKUP(B164,Database!$A:$AS,MATCH($C$1,Database!$A$1:$AS$1,),))))-(((VLOOKUP(EDATE(B164,-12),Database!$A:$AS,MATCH($C$1,Database!$A$1:$AS$1,),)))))/(((VLOOKUP(EDATE(B164,-12),Database!$A:$AS,MATCH($C$1,Database!$A$1:$AS$1,),))))</f>
        <v>-4.7423069138540198E-2</v>
      </c>
      <c r="D164" s="13">
        <f>((((VLOOKUP(B164,Database!$A:$AS,MATCH($D$1,Database!$A$1:$AS$1,),))))-(((VLOOKUP(EDATE(B164,-12),Database!$A:$AS,MATCH($D$1,Database!$A$1:$AS$1,),)))))/(((VLOOKUP(EDATE(B164,-12),Database!$A:$AS,MATCH($D$1,Database!$A$1:$AS$1,),))))</f>
        <v>-6.2499999999999405E-3</v>
      </c>
      <c r="E164" s="13">
        <f>((((VLOOKUP(B164,Database!$A:$AS,MATCH($E$1,Database!$A$1:$AS$1,),))))-(((VLOOKUP(EDATE(B164,-12),Database!$A:$AS,MATCH($E$1,Database!$A$1:$AS$1,),)))))/(((VLOOKUP(EDATE(B164,-12),Database!$A:$AS,MATCH($E$1,Database!$A$1:$AS$1,),))))</f>
        <v>-9.6482412054723896E-2</v>
      </c>
      <c r="F164" s="13">
        <f>((((VLOOKUP(B164,Database!$A:$AS,MATCH($F$1,Database!$A$1:$AS$1,),))))-(((VLOOKUP(EDATE(B164,-12),Database!$A:$AS,MATCH($F$1,Database!$A$1:$AS$1,),)))))/(((VLOOKUP(EDATE(B164,-12),Database!$A:$AS,MATCH($F$1,Database!$A$1:$AS$1,),))))</f>
        <v>-1.5892420529482768E-2</v>
      </c>
      <c r="G164" s="13">
        <f>((((VLOOKUP(B164,Database!$A:$AS,MATCH($G$1,Database!$A$1:$AS$1,),))))-(((VLOOKUP(EDATE(B164,-12),Database!$A:$AS,MATCH($G$1,Database!$A$1:$AS$1,),)))))/(((VLOOKUP(EDATE(B164,-12),Database!$A:$AS,MATCH($G$1,Database!$A$1:$AS$1,),))))</f>
        <v>1.1257550796265694E-2</v>
      </c>
      <c r="H164" s="13">
        <f>((((VLOOKUP(B164,Database!$A:$AS,MATCH($H$1,Database!$A$1:$AS$1,),))))-(((VLOOKUP(EDATE(B164,-12),Database!$A:$AS,MATCH($H$1,Database!$A$1:$AS$1,),)))))/(((VLOOKUP(EDATE(B164,-12),Database!$A:$AS,MATCH($H$1,Database!$A$1:$AS$1,),))))</f>
        <v>3.2119914349431858E-2</v>
      </c>
      <c r="I164" s="13">
        <f>((((VLOOKUP(B164,Database!$A:$AS,MATCH($I$1,Database!$A$1:$AS$1,),))))-(((VLOOKUP(EDATE(B164,-12),Database!$A:$AS,MATCH($I$1,Database!$A$1:$AS$1,),)))))/(((VLOOKUP(EDATE(B164,-12),Database!$A:$AS,MATCH($I$1,Database!$A$1:$AS$1,),))))</f>
        <v>-2.892885066954597E-2</v>
      </c>
      <c r="J164" s="13">
        <f>((((VLOOKUP(B164,Database!$A:$AS,MATCH($J$1,Database!$A$1:$AS$1,),))))-(((VLOOKUP(EDATE(B164,-12),Database!$A:$AS,MATCH($J$1,Database!$A$1:$AS$1,),)))))/(((VLOOKUP(EDATE(B164,-12),Database!$A:$AS,MATCH($J$1,Database!$A$1:$AS$1,),))))</f>
        <v>-6.5006379521510126E-3</v>
      </c>
      <c r="K164" s="13">
        <f>((((VLOOKUP(B164,Database!$A:$AS,MATCH($K$1,Database!$A$1:$AS$1,),))))-(((VLOOKUP(EDATE(B164,-12),Database!$A:$AS,MATCH($K$1,Database!$A$1:$AS$1,),)))))/(((VLOOKUP(EDATE(B164,-12),Database!$A:$AS,MATCH($K$1,Database!$A$1:$AS$1,),))))</f>
        <v>-2.3255813956642862E-2</v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>-3.0036455560621046E-2</v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>4.8874910541774119E-2</v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>1.9368480826908372E-2</v>
      </c>
      <c r="O164" s="13">
        <f>((((VLOOKUP(B164,Database!$A:$AS,MATCH($O$1,Database!$A$1:$AS$1,),))))-(((VLOOKUP(EDATE(B164,-12),Database!$A:$AS,MATCH($O$1,Database!$A$1:$AS$1,),)))))/(((VLOOKUP(EDATE(B164,-12),Database!$A:$AS,MATCH($O$1,Database!$A$1:$AS$1,),))))</f>
        <v>-6.0225377788081041E-2</v>
      </c>
      <c r="P164" s="13">
        <f>((((VLOOKUP(B164,Database!$A:$AS,MATCH($P$1,Database!$A$1:$AS$1,),))))-(((VLOOKUP(EDATE(B164,-12),Database!$A:$AS,MATCH($P$1,Database!$A$1:$AS$1,),)))))/(((VLOOKUP(EDATE(B164,-12),Database!$A:$AS,MATCH($P$1,Database!$A$1:$AS$1,),))))</f>
        <v>-1.1597456046615412E-2</v>
      </c>
      <c r="Q164" s="13">
        <f>((((VLOOKUP(B164,Database!$A:$AS,MATCH($Q$1,Database!$A$1:$AS$1,),))))-(((VLOOKUP(EDATE(B164,-12),Database!$A:$AS,MATCH($Q$1,Database!$A$1:$AS$1,),)))))/(((VLOOKUP(EDATE(B164,-12),Database!$A:$AS,MATCH($Q$1,Database!$A$1:$AS$1,),))))</f>
        <v>-1.2503907562939054E-3</v>
      </c>
      <c r="R164" s="13">
        <f>((((VLOOKUP(B164,Database!$A:$AS,MATCH($R$1,Database!$A$1:$AS$1,),))))-(((VLOOKUP(EDATE(B164,-12),Database!$A:$AS,MATCH($R$1,Database!$A$1:$AS$1,),)))))/(((VLOOKUP(EDATE(B164,-12),Database!$A:$AS,MATCH($R$1,Database!$A$1:$AS$1,),))))</f>
        <v>-3.7440435672398423E-2</v>
      </c>
      <c r="S164" s="13">
        <f>((((VLOOKUP(B164,Database!$A:$AS,MATCH($S$1,Database!$A$1:$AS$1,),))))-(((VLOOKUP(EDATE(B164,-12),Database!$A:$AS,MATCH($S$1,Database!$A$1:$AS$1,),)))))/(((VLOOKUP(EDATE(B164,-12),Database!$A:$AS,MATCH($S$1,Database!$A$1:$AS$1,),))))</f>
        <v>6.8920676197020886E-2</v>
      </c>
      <c r="T164" s="13">
        <f>((((VLOOKUP(B164,Database!$A:$AS,MATCH($T$1,Database!$A$1:$AS$1,),))))-(((VLOOKUP(EDATE(B164,-12),Database!$A:$AS,MATCH($T$1,Database!$A$1:$AS$1,),)))))/(((VLOOKUP(EDATE(B164,-12),Database!$A:$AS,MATCH($T$1,Database!$A$1:$AS$1,),))))</f>
        <v>-6.3636363633677417E-2</v>
      </c>
      <c r="U164" s="13">
        <f>((((VLOOKUP(B164,Database!$A:$AS,MATCH($U$1,Database!$A$1:$AS$1,),))))-(((VLOOKUP(EDATE(B164,-12),Database!$A:$AS,MATCH($U$1,Database!$A$1:$AS$1,),)))))/(((VLOOKUP(EDATE(B164,-12),Database!$A:$AS,MATCH($U$1,Database!$A$1:$AS$1,),))))</f>
        <v>2.9503105588590931E-2</v>
      </c>
      <c r="V164" s="13">
        <f>((((VLOOKUP(B164,Database!$A:$AS,MATCH($V$1,Database!$A$1:$AS$1,),))))-(((VLOOKUP(EDATE(B164,-12),Database!$A:$AS,MATCH($V$1,Database!$A$1:$AS$1,),)))))/(((VLOOKUP(EDATE(B164,-12),Database!$A:$AS,MATCH($V$1,Database!$A$1:$AS$1,),))))</f>
        <v>-1.4492753623188319E-2</v>
      </c>
    </row>
    <row r="165" spans="1:22" s="83" customFormat="1" x14ac:dyDescent="0.2">
      <c r="A165" s="43"/>
      <c r="B165" s="78">
        <v>37165</v>
      </c>
      <c r="C165" s="13">
        <f>((((VLOOKUP(B165,Database!$A:$AS,MATCH($C$1,Database!$A$1:$AS$1,),))))-(((VLOOKUP(EDATE(B165,-12),Database!$A:$AS,MATCH($C$1,Database!$A$1:$AS$1,),)))))/(((VLOOKUP(EDATE(B165,-12),Database!$A:$AS,MATCH($C$1,Database!$A$1:$AS$1,),))))</f>
        <v>-4.6938825982837516E-2</v>
      </c>
      <c r="D165" s="13">
        <f>((((VLOOKUP(B165,Database!$A:$AS,MATCH($D$1,Database!$A$1:$AS$1,),))))-(((VLOOKUP(EDATE(B165,-12),Database!$A:$AS,MATCH($D$1,Database!$A$1:$AS$1,),)))))/(((VLOOKUP(EDATE(B165,-12),Database!$A:$AS,MATCH($D$1,Database!$A$1:$AS$1,),))))</f>
        <v>-2.0790020790020788E-2</v>
      </c>
      <c r="E165" s="13">
        <f>((((VLOOKUP(B165,Database!$A:$AS,MATCH($E$1,Database!$A$1:$AS$1,),))))-(((VLOOKUP(EDATE(B165,-12),Database!$A:$AS,MATCH($E$1,Database!$A$1:$AS$1,),)))))/(((VLOOKUP(EDATE(B165,-12),Database!$A:$AS,MATCH($E$1,Database!$A$1:$AS$1,),))))</f>
        <v>-0.10990099010026419</v>
      </c>
      <c r="F165" s="13">
        <f>((((VLOOKUP(B165,Database!$A:$AS,MATCH($F$1,Database!$A$1:$AS$1,),))))-(((VLOOKUP(EDATE(B165,-12),Database!$A:$AS,MATCH($F$1,Database!$A$1:$AS$1,),)))))/(((VLOOKUP(EDATE(B165,-12),Database!$A:$AS,MATCH($F$1,Database!$A$1:$AS$1,),))))</f>
        <v>-2.9447852752665975E-2</v>
      </c>
      <c r="G165" s="13">
        <f>((((VLOOKUP(B165,Database!$A:$AS,MATCH($G$1,Database!$A$1:$AS$1,),))))-(((VLOOKUP(EDATE(B165,-12),Database!$A:$AS,MATCH($G$1,Database!$A$1:$AS$1,),)))))/(((VLOOKUP(EDATE(B165,-12),Database!$A:$AS,MATCH($G$1,Database!$A$1:$AS$1,),))))</f>
        <v>-6.6087271410464402E-3</v>
      </c>
      <c r="H165" s="13">
        <f>((((VLOOKUP(B165,Database!$A:$AS,MATCH($H$1,Database!$A$1:$AS$1,),))))-(((VLOOKUP(EDATE(B165,-12),Database!$A:$AS,MATCH($H$1,Database!$A$1:$AS$1,),)))))/(((VLOOKUP(EDATE(B165,-12),Database!$A:$AS,MATCH($H$1,Database!$A$1:$AS$1,),))))</f>
        <v>1.6877637134774644E-2</v>
      </c>
      <c r="I165" s="13">
        <f>((((VLOOKUP(B165,Database!$A:$AS,MATCH($I$1,Database!$A$1:$AS$1,),))))-(((VLOOKUP(EDATE(B165,-12),Database!$A:$AS,MATCH($I$1,Database!$A$1:$AS$1,),)))))/(((VLOOKUP(EDATE(B165,-12),Database!$A:$AS,MATCH($I$1,Database!$A$1:$AS$1,),))))</f>
        <v>-3.8161993771751175E-2</v>
      </c>
      <c r="J165" s="13">
        <f>((((VLOOKUP(B165,Database!$A:$AS,MATCH($J$1,Database!$A$1:$AS$1,),))))-(((VLOOKUP(EDATE(B165,-12),Database!$A:$AS,MATCH($J$1,Database!$A$1:$AS$1,),)))))/(((VLOOKUP(EDATE(B165,-12),Database!$A:$AS,MATCH($J$1,Database!$A$1:$AS$1,),))))</f>
        <v>5.754685931147666E-4</v>
      </c>
      <c r="K165" s="13">
        <f>((((VLOOKUP(B165,Database!$A:$AS,MATCH($K$1,Database!$A$1:$AS$1,),))))-(((VLOOKUP(EDATE(B165,-12),Database!$A:$AS,MATCH($K$1,Database!$A$1:$AS$1,),)))))/(((VLOOKUP(EDATE(B165,-12),Database!$A:$AS,MATCH($K$1,Database!$A$1:$AS$1,),))))</f>
        <v>-2.6036644168224862E-2</v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>-4.0918972683776825E-2</v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>5.4324254614615694E-2</v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>2.5062002356241973E-2</v>
      </c>
      <c r="O165" s="13">
        <f>((((VLOOKUP(B165,Database!$A:$AS,MATCH($O$1,Database!$A$1:$AS$1,),))))-(((VLOOKUP(EDATE(B165,-12),Database!$A:$AS,MATCH($O$1,Database!$A$1:$AS$1,),)))))/(((VLOOKUP(EDATE(B165,-12),Database!$A:$AS,MATCH($O$1,Database!$A$1:$AS$1,),))))</f>
        <v>-5.9517617552096405E-2</v>
      </c>
      <c r="P165" s="13">
        <f>((((VLOOKUP(B165,Database!$A:$AS,MATCH($P$1,Database!$A$1:$AS$1,),))))-(((VLOOKUP(EDATE(B165,-12),Database!$A:$AS,MATCH($P$1,Database!$A$1:$AS$1,),)))))/(((VLOOKUP(EDATE(B165,-12),Database!$A:$AS,MATCH($P$1,Database!$A$1:$AS$1,),))))</f>
        <v>6.3622084705243064E-3</v>
      </c>
      <c r="Q165" s="13">
        <f>((((VLOOKUP(B165,Database!$A:$AS,MATCH($Q$1,Database!$A$1:$AS$1,),))))-(((VLOOKUP(EDATE(B165,-12),Database!$A:$AS,MATCH($Q$1,Database!$A$1:$AS$1,),)))))/(((VLOOKUP(EDATE(B165,-12),Database!$A:$AS,MATCH($Q$1,Database!$A$1:$AS$1,),))))</f>
        <v>-4.4875063743527496E-2</v>
      </c>
      <c r="R165" s="13">
        <f>((((VLOOKUP(B165,Database!$A:$AS,MATCH($R$1,Database!$A$1:$AS$1,),))))-(((VLOOKUP(EDATE(B165,-12),Database!$A:$AS,MATCH($R$1,Database!$A$1:$AS$1,),)))))/(((VLOOKUP(EDATE(B165,-12),Database!$A:$AS,MATCH($R$1,Database!$A$1:$AS$1,),))))</f>
        <v>-4.6092184370560153E-2</v>
      </c>
      <c r="S165" s="13">
        <f>((((VLOOKUP(B165,Database!$A:$AS,MATCH($S$1,Database!$A$1:$AS$1,),))))-(((VLOOKUP(EDATE(B165,-12),Database!$A:$AS,MATCH($S$1,Database!$A$1:$AS$1,),)))))/(((VLOOKUP(EDATE(B165,-12),Database!$A:$AS,MATCH($S$1,Database!$A$1:$AS$1,),))))</f>
        <v>-2.9484029474571283E-2</v>
      </c>
      <c r="T165" s="13">
        <f>((((VLOOKUP(B165,Database!$A:$AS,MATCH($T$1,Database!$A$1:$AS$1,),))))-(((VLOOKUP(EDATE(B165,-12),Database!$A:$AS,MATCH($T$1,Database!$A$1:$AS$1,),)))))/(((VLOOKUP(EDATE(B165,-12),Database!$A:$AS,MATCH($T$1,Database!$A$1:$AS$1,),))))</f>
        <v>-0.12780269059246188</v>
      </c>
      <c r="U165" s="13">
        <f>((((VLOOKUP(B165,Database!$A:$AS,MATCH($U$1,Database!$A$1:$AS$1,),))))-(((VLOOKUP(EDATE(B165,-12),Database!$A:$AS,MATCH($U$1,Database!$A$1:$AS$1,),)))))/(((VLOOKUP(EDATE(B165,-12),Database!$A:$AS,MATCH($U$1,Database!$A$1:$AS$1,),))))</f>
        <v>1.9877675849677406E-2</v>
      </c>
      <c r="V165" s="13">
        <f>((((VLOOKUP(B165,Database!$A:$AS,MATCH($V$1,Database!$A$1:$AS$1,),))))-(((VLOOKUP(EDATE(B165,-12),Database!$A:$AS,MATCH($V$1,Database!$A$1:$AS$1,),)))))/(((VLOOKUP(EDATE(B165,-12),Database!$A:$AS,MATCH($V$1,Database!$A$1:$AS$1,),))))</f>
        <v>-4.1666666666667256E-3</v>
      </c>
    </row>
    <row r="166" spans="1:22" s="83" customFormat="1" x14ac:dyDescent="0.2">
      <c r="A166" s="43"/>
      <c r="B166" s="78">
        <v>37196</v>
      </c>
      <c r="C166" s="13">
        <f>((((VLOOKUP(B166,Database!$A:$AS,MATCH($C$1,Database!$A$1:$AS$1,),))))-(((VLOOKUP(EDATE(B166,-12),Database!$A:$AS,MATCH($C$1,Database!$A$1:$AS$1,),)))))/(((VLOOKUP(EDATE(B166,-12),Database!$A:$AS,MATCH($C$1,Database!$A$1:$AS$1,),))))</f>
        <v>-5.2765345319482342E-2</v>
      </c>
      <c r="D166" s="13">
        <f>((((VLOOKUP(B166,Database!$A:$AS,MATCH($D$1,Database!$A$1:$AS$1,),))))-(((VLOOKUP(EDATE(B166,-12),Database!$A:$AS,MATCH($D$1,Database!$A$1:$AS$1,),)))))/(((VLOOKUP(EDATE(B166,-12),Database!$A:$AS,MATCH($D$1,Database!$A$1:$AS$1,),))))</f>
        <v>-3.8065843621399205E-2</v>
      </c>
      <c r="E166" s="13">
        <f>((((VLOOKUP(B166,Database!$A:$AS,MATCH($E$1,Database!$A$1:$AS$1,),))))-(((VLOOKUP(EDATE(B166,-12),Database!$A:$AS,MATCH($E$1,Database!$A$1:$AS$1,),)))))/(((VLOOKUP(EDATE(B166,-12),Database!$A:$AS,MATCH($E$1,Database!$A$1:$AS$1,),))))</f>
        <v>-0.12721893491769279</v>
      </c>
      <c r="F166" s="13">
        <f>((((VLOOKUP(B166,Database!$A:$AS,MATCH($F$1,Database!$A$1:$AS$1,),))))-(((VLOOKUP(EDATE(B166,-12),Database!$A:$AS,MATCH($F$1,Database!$A$1:$AS$1,),)))))/(((VLOOKUP(EDATE(B166,-12),Database!$A:$AS,MATCH($F$1,Database!$A$1:$AS$1,),))))</f>
        <v>-4.9878345501048006E-2</v>
      </c>
      <c r="G166" s="13">
        <f>((((VLOOKUP(B166,Database!$A:$AS,MATCH($G$1,Database!$A$1:$AS$1,),))))-(((VLOOKUP(EDATE(B166,-12),Database!$A:$AS,MATCH($G$1,Database!$A$1:$AS$1,),)))))/(((VLOOKUP(EDATE(B166,-12),Database!$A:$AS,MATCH($G$1,Database!$A$1:$AS$1,),))))</f>
        <v>-1.5963718820861724E-2</v>
      </c>
      <c r="H166" s="13">
        <f>((((VLOOKUP(B166,Database!$A:$AS,MATCH($H$1,Database!$A$1:$AS$1,),))))-(((VLOOKUP(EDATE(B166,-12),Database!$A:$AS,MATCH($H$1,Database!$A$1:$AS$1,),)))))/(((VLOOKUP(EDATE(B166,-12),Database!$A:$AS,MATCH($H$1,Database!$A$1:$AS$1,),))))</f>
        <v>2.1008403366269194E-2</v>
      </c>
      <c r="I166" s="13">
        <f>((((VLOOKUP(B166,Database!$A:$AS,MATCH($I$1,Database!$A$1:$AS$1,),))))-(((VLOOKUP(EDATE(B166,-12),Database!$A:$AS,MATCH($I$1,Database!$A$1:$AS$1,),)))))/(((VLOOKUP(EDATE(B166,-12),Database!$A:$AS,MATCH($I$1,Database!$A$1:$AS$1,),))))</f>
        <v>-6.3846153846585707E-2</v>
      </c>
      <c r="J166" s="13">
        <f>((((VLOOKUP(B166,Database!$A:$AS,MATCH($J$1,Database!$A$1:$AS$1,),))))-(((VLOOKUP(EDATE(B166,-12),Database!$A:$AS,MATCH($J$1,Database!$A$1:$AS$1,),)))))/(((VLOOKUP(EDATE(B166,-12),Database!$A:$AS,MATCH($J$1,Database!$A$1:$AS$1,),))))</f>
        <v>-4.5538138185487603E-2</v>
      </c>
      <c r="K166" s="13">
        <f>((((VLOOKUP(B166,Database!$A:$AS,MATCH($K$1,Database!$A$1:$AS$1,),))))-(((VLOOKUP(EDATE(B166,-12),Database!$A:$AS,MATCH($K$1,Database!$A$1:$AS$1,),)))))/(((VLOOKUP(EDATE(B166,-12),Database!$A:$AS,MATCH($K$1,Database!$A$1:$AS$1,),))))</f>
        <v>-5.1401869163157976E-2</v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>-1.0834849003123769E-2</v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>6.4411748851956094E-2</v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>2.5305177836475314E-2</v>
      </c>
      <c r="O166" s="13">
        <f>((((VLOOKUP(B166,Database!$A:$AS,MATCH($O$1,Database!$A$1:$AS$1,),))))-(((VLOOKUP(EDATE(B166,-12),Database!$A:$AS,MATCH($O$1,Database!$A$1:$AS$1,),)))))/(((VLOOKUP(EDATE(B166,-12),Database!$A:$AS,MATCH($O$1,Database!$A$1:$AS$1,),))))</f>
        <v>-5.8593484052337531E-2</v>
      </c>
      <c r="P166" s="13">
        <f>((((VLOOKUP(B166,Database!$A:$AS,MATCH($P$1,Database!$A$1:$AS$1,),))))-(((VLOOKUP(EDATE(B166,-12),Database!$A:$AS,MATCH($P$1,Database!$A$1:$AS$1,),)))))/(((VLOOKUP(EDATE(B166,-12),Database!$A:$AS,MATCH($P$1,Database!$A$1:$AS$1,),))))</f>
        <v>2.5532429820443313E-2</v>
      </c>
      <c r="Q166" s="13">
        <f>((((VLOOKUP(B166,Database!$A:$AS,MATCH($Q$1,Database!$A$1:$AS$1,),))))-(((VLOOKUP(EDATE(B166,-12),Database!$A:$AS,MATCH($Q$1,Database!$A$1:$AS$1,),)))))/(((VLOOKUP(EDATE(B166,-12),Database!$A:$AS,MATCH($Q$1,Database!$A$1:$AS$1,),))))</f>
        <v>-2.5609379824716436E-2</v>
      </c>
      <c r="R166" s="13">
        <f>((((VLOOKUP(B166,Database!$A:$AS,MATCH($R$1,Database!$A$1:$AS$1,),))))-(((VLOOKUP(EDATE(B166,-12),Database!$A:$AS,MATCH($R$1,Database!$A$1:$AS$1,),)))))/(((VLOOKUP(EDATE(B166,-12),Database!$A:$AS,MATCH($R$1,Database!$A$1:$AS$1,),))))</f>
        <v>-2.7516778525356996E-2</v>
      </c>
      <c r="S166" s="13">
        <f>((((VLOOKUP(B166,Database!$A:$AS,MATCH($S$1,Database!$A$1:$AS$1,),))))-(((VLOOKUP(EDATE(B166,-12),Database!$A:$AS,MATCH($S$1,Database!$A$1:$AS$1,),)))))/(((VLOOKUP(EDATE(B166,-12),Database!$A:$AS,MATCH($S$1,Database!$A$1:$AS$1,),))))</f>
        <v>-5.0707547158659813E-2</v>
      </c>
      <c r="T166" s="13">
        <f>((((VLOOKUP(B166,Database!$A:$AS,MATCH($T$1,Database!$A$1:$AS$1,),))))-(((VLOOKUP(EDATE(B166,-12),Database!$A:$AS,MATCH($T$1,Database!$A$1:$AS$1,),)))))/(((VLOOKUP(EDATE(B166,-12),Database!$A:$AS,MATCH($T$1,Database!$A$1:$AS$1,),))))</f>
        <v>-0.12389380530542676</v>
      </c>
      <c r="U166" s="13">
        <f>((((VLOOKUP(B166,Database!$A:$AS,MATCH($U$1,Database!$A$1:$AS$1,),))))-(((VLOOKUP(EDATE(B166,-12),Database!$A:$AS,MATCH($U$1,Database!$A$1:$AS$1,),)))))/(((VLOOKUP(EDATE(B166,-12),Database!$A:$AS,MATCH($U$1,Database!$A$1:$AS$1,),))))</f>
        <v>3.5439137125551641E-2</v>
      </c>
      <c r="V166" s="13">
        <f>((((VLOOKUP(B166,Database!$A:$AS,MATCH($V$1,Database!$A$1:$AS$1,),))))-(((VLOOKUP(EDATE(B166,-12),Database!$A:$AS,MATCH($V$1,Database!$A$1:$AS$1,),)))))/(((VLOOKUP(EDATE(B166,-12),Database!$A:$AS,MATCH($V$1,Database!$A$1:$AS$1,),))))</f>
        <v>-1.0482180293501047E-2</v>
      </c>
    </row>
    <row r="167" spans="1:22" s="83" customFormat="1" x14ac:dyDescent="0.2">
      <c r="A167" s="43"/>
      <c r="B167" s="78">
        <v>37226</v>
      </c>
      <c r="C167" s="13">
        <f>((((VLOOKUP(B167,Database!$A:$AS,MATCH($C$1,Database!$A$1:$AS$1,),))))-(((VLOOKUP(EDATE(B167,-12),Database!$A:$AS,MATCH($C$1,Database!$A$1:$AS$1,),)))))/(((VLOOKUP(EDATE(B167,-12),Database!$A:$AS,MATCH($C$1,Database!$A$1:$AS$1,),))))</f>
        <v>-5.0131120953753786E-2</v>
      </c>
      <c r="D167" s="13">
        <f>((((VLOOKUP(B167,Database!$A:$AS,MATCH($D$1,Database!$A$1:$AS$1,),))))-(((VLOOKUP(EDATE(B167,-12),Database!$A:$AS,MATCH($D$1,Database!$A$1:$AS$1,),)))))/(((VLOOKUP(EDATE(B167,-12),Database!$A:$AS,MATCH($D$1,Database!$A$1:$AS$1,),))))</f>
        <v>-3.6809815950920186E-2</v>
      </c>
      <c r="E167" s="13">
        <f>((((VLOOKUP(B167,Database!$A:$AS,MATCH($E$1,Database!$A$1:$AS$1,),))))-(((VLOOKUP(EDATE(B167,-12),Database!$A:$AS,MATCH($E$1,Database!$A$1:$AS$1,),)))))/(((VLOOKUP(EDATE(B167,-12),Database!$A:$AS,MATCH($E$1,Database!$A$1:$AS$1,),))))</f>
        <v>-0.12695312500007189</v>
      </c>
      <c r="F167" s="13">
        <f>((((VLOOKUP(B167,Database!$A:$AS,MATCH($F$1,Database!$A$1:$AS$1,),))))-(((VLOOKUP(EDATE(B167,-12),Database!$A:$AS,MATCH($F$1,Database!$A$1:$AS$1,),)))))/(((VLOOKUP(EDATE(B167,-12),Database!$A:$AS,MATCH($F$1,Database!$A$1:$AS$1,),))))</f>
        <v>-4.9576783557153038E-2</v>
      </c>
      <c r="G167" s="13">
        <f>((((VLOOKUP(B167,Database!$A:$AS,MATCH($G$1,Database!$A$1:$AS$1,),))))-(((VLOOKUP(EDATE(B167,-12),Database!$A:$AS,MATCH($G$1,Database!$A$1:$AS$1,),)))))/(((VLOOKUP(EDATE(B167,-12),Database!$A:$AS,MATCH($G$1,Database!$A$1:$AS$1,),))))</f>
        <v>-1.8252112929329267E-2</v>
      </c>
      <c r="H167" s="13">
        <f>((((VLOOKUP(B167,Database!$A:$AS,MATCH($H$1,Database!$A$1:$AS$1,),))))-(((VLOOKUP(EDATE(B167,-12),Database!$A:$AS,MATCH($H$1,Database!$A$1:$AS$1,),)))))/(((VLOOKUP(EDATE(B167,-12),Database!$A:$AS,MATCH($H$1,Database!$A$1:$AS$1,),))))</f>
        <v>3.371970496059358E-2</v>
      </c>
      <c r="I167" s="13">
        <f>((((VLOOKUP(B167,Database!$A:$AS,MATCH($I$1,Database!$A$1:$AS$1,),))))-(((VLOOKUP(EDATE(B167,-12),Database!$A:$AS,MATCH($I$1,Database!$A$1:$AS$1,),)))))/(((VLOOKUP(EDATE(B167,-12),Database!$A:$AS,MATCH($I$1,Database!$A$1:$AS$1,),))))</f>
        <v>-6.3732928677261796E-2</v>
      </c>
      <c r="J167" s="13">
        <f>((((VLOOKUP(B167,Database!$A:$AS,MATCH($J$1,Database!$A$1:$AS$1,),))))-(((VLOOKUP(EDATE(B167,-12),Database!$A:$AS,MATCH($J$1,Database!$A$1:$AS$1,),)))))/(((VLOOKUP(EDATE(B167,-12),Database!$A:$AS,MATCH($J$1,Database!$A$1:$AS$1,),))))</f>
        <v>-5.7236194755813118E-2</v>
      </c>
      <c r="K167" s="13">
        <f>((((VLOOKUP(B167,Database!$A:$AS,MATCH($K$1,Database!$A$1:$AS$1,),))))-(((VLOOKUP(EDATE(B167,-12),Database!$A:$AS,MATCH($K$1,Database!$A$1:$AS$1,),)))))/(((VLOOKUP(EDATE(B167,-12),Database!$A:$AS,MATCH($K$1,Database!$A$1:$AS$1,),))))</f>
        <v>-1.9743336618431645E-3</v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>-2.6692107527326418E-3</v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>1.4471087263654642E-2</v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>2.8198791333403139E-2</v>
      </c>
      <c r="O167" s="13">
        <f>((((VLOOKUP(B167,Database!$A:$AS,MATCH($O$1,Database!$A$1:$AS$1,),))))-(((VLOOKUP(EDATE(B167,-12),Database!$A:$AS,MATCH($O$1,Database!$A$1:$AS$1,),)))))/(((VLOOKUP(EDATE(B167,-12),Database!$A:$AS,MATCH($O$1,Database!$A$1:$AS$1,),))))</f>
        <v>-7.7854591266259834E-2</v>
      </c>
      <c r="P167" s="13">
        <f>((((VLOOKUP(B167,Database!$A:$AS,MATCH($P$1,Database!$A$1:$AS$1,),))))-(((VLOOKUP(EDATE(B167,-12),Database!$A:$AS,MATCH($P$1,Database!$A$1:$AS$1,),)))))/(((VLOOKUP(EDATE(B167,-12),Database!$A:$AS,MATCH($P$1,Database!$A$1:$AS$1,),))))</f>
        <v>1.4732589214759926E-2</v>
      </c>
      <c r="Q167" s="13">
        <f>((((VLOOKUP(B167,Database!$A:$AS,MATCH($Q$1,Database!$A$1:$AS$1,),))))-(((VLOOKUP(EDATE(B167,-12),Database!$A:$AS,MATCH($Q$1,Database!$A$1:$AS$1,),)))))/(((VLOOKUP(EDATE(B167,-12),Database!$A:$AS,MATCH($Q$1,Database!$A$1:$AS$1,),))))</f>
        <v>-6.4763779530645299E-2</v>
      </c>
      <c r="R167" s="13">
        <f>((((VLOOKUP(B167,Database!$A:$AS,MATCH($R$1,Database!$A$1:$AS$1,),))))-(((VLOOKUP(EDATE(B167,-12),Database!$A:$AS,MATCH($R$1,Database!$A$1:$AS$1,),)))))/(((VLOOKUP(EDATE(B167,-12),Database!$A:$AS,MATCH($R$1,Database!$A$1:$AS$1,),))))</f>
        <v>-0.12052980132404668</v>
      </c>
      <c r="S167" s="13">
        <f>((((VLOOKUP(B167,Database!$A:$AS,MATCH($S$1,Database!$A$1:$AS$1,),))))-(((VLOOKUP(EDATE(B167,-12),Database!$A:$AS,MATCH($S$1,Database!$A$1:$AS$1,),)))))/(((VLOOKUP(EDATE(B167,-12),Database!$A:$AS,MATCH($S$1,Database!$A$1:$AS$1,),))))</f>
        <v>5.1129607618896518E-2</v>
      </c>
      <c r="T167" s="13">
        <f>((((VLOOKUP(B167,Database!$A:$AS,MATCH($T$1,Database!$A$1:$AS$1,),))))-(((VLOOKUP(EDATE(B167,-12),Database!$A:$AS,MATCH($T$1,Database!$A$1:$AS$1,),)))))/(((VLOOKUP(EDATE(B167,-12),Database!$A:$AS,MATCH($T$1,Database!$A$1:$AS$1,),))))</f>
        <v>-8.7759815226545287E-2</v>
      </c>
      <c r="U167" s="13">
        <f>((((VLOOKUP(B167,Database!$A:$AS,MATCH($U$1,Database!$A$1:$AS$1,),))))-(((VLOOKUP(EDATE(B167,-12),Database!$A:$AS,MATCH($U$1,Database!$A$1:$AS$1,),)))))/(((VLOOKUP(EDATE(B167,-12),Database!$A:$AS,MATCH($U$1,Database!$A$1:$AS$1,),))))</f>
        <v>1.5082956257902378E-2</v>
      </c>
      <c r="V167" s="13">
        <f>((((VLOOKUP(B167,Database!$A:$AS,MATCH($V$1,Database!$A$1:$AS$1,),))))-(((VLOOKUP(EDATE(B167,-12),Database!$A:$AS,MATCH($V$1,Database!$A$1:$AS$1,),)))))/(((VLOOKUP(EDATE(B167,-12),Database!$A:$AS,MATCH($V$1,Database!$A$1:$AS$1,),))))</f>
        <v>-5.0290135396518401E-2</v>
      </c>
    </row>
    <row r="168" spans="1:22" s="83" customFormat="1" x14ac:dyDescent="0.2">
      <c r="A168" s="43"/>
      <c r="B168" s="78">
        <v>37257</v>
      </c>
      <c r="C168" s="13">
        <f>((((VLOOKUP(B168,Database!$A:$AS,MATCH($C$1,Database!$A$1:$AS$1,),))))-(((VLOOKUP(EDATE(B168,-12),Database!$A:$AS,MATCH($C$1,Database!$A$1:$AS$1,),)))))/(((VLOOKUP(EDATE(B168,-12),Database!$A:$AS,MATCH($C$1,Database!$A$1:$AS$1,),))))</f>
        <v>-3.833614950733992E-2</v>
      </c>
      <c r="D168" s="13">
        <f>((((VLOOKUP(B168,Database!$A:$AS,MATCH($D$1,Database!$A$1:$AS$1,),))))-(((VLOOKUP(EDATE(B168,-12),Database!$A:$AS,MATCH($D$1,Database!$A$1:$AS$1,),)))))/(((VLOOKUP(EDATE(B168,-12),Database!$A:$AS,MATCH($D$1,Database!$A$1:$AS$1,),))))</f>
        <v>-2.8865979381443269E-2</v>
      </c>
      <c r="E168" s="13">
        <f>((((VLOOKUP(B168,Database!$A:$AS,MATCH($E$1,Database!$A$1:$AS$1,),))))-(((VLOOKUP(EDATE(B168,-12),Database!$A:$AS,MATCH($E$1,Database!$A$1:$AS$1,),)))))/(((VLOOKUP(EDATE(B168,-12),Database!$A:$AS,MATCH($E$1,Database!$A$1:$AS$1,),))))</f>
        <v>-9.8377281952932105E-2</v>
      </c>
      <c r="F168" s="13">
        <f>((((VLOOKUP(B168,Database!$A:$AS,MATCH($F$1,Database!$A$1:$AS$1,),))))-(((VLOOKUP(EDATE(B168,-12),Database!$A:$AS,MATCH($F$1,Database!$A$1:$AS$1,),)))))/(((VLOOKUP(EDATE(B168,-12),Database!$A:$AS,MATCH($F$1,Database!$A$1:$AS$1,),))))</f>
        <v>-4.2424242428577119E-2</v>
      </c>
      <c r="G168" s="13">
        <f>((((VLOOKUP(B168,Database!$A:$AS,MATCH($G$1,Database!$A$1:$AS$1,),))))-(((VLOOKUP(EDATE(B168,-12),Database!$A:$AS,MATCH($G$1,Database!$A$1:$AS$1,),)))))/(((VLOOKUP(EDATE(B168,-12),Database!$A:$AS,MATCH($G$1,Database!$A$1:$AS$1,),))))</f>
        <v>-1.4802780034299129E-2</v>
      </c>
      <c r="H168" s="13">
        <f>((((VLOOKUP(B168,Database!$A:$AS,MATCH($H$1,Database!$A$1:$AS$1,),))))-(((VLOOKUP(EDATE(B168,-12),Database!$A:$AS,MATCH($H$1,Database!$A$1:$AS$1,),)))))/(((VLOOKUP(EDATE(B168,-12),Database!$A:$AS,MATCH($H$1,Database!$A$1:$AS$1,),))))</f>
        <v>8.6433260385681041E-2</v>
      </c>
      <c r="I168" s="13">
        <f>((((VLOOKUP(B168,Database!$A:$AS,MATCH($I$1,Database!$A$1:$AS$1,),))))-(((VLOOKUP(EDATE(B168,-12),Database!$A:$AS,MATCH($I$1,Database!$A$1:$AS$1,),)))))/(((VLOOKUP(EDATE(B168,-12),Database!$A:$AS,MATCH($I$1,Database!$A$1:$AS$1,),))))</f>
        <v>-4.6021840871231422E-2</v>
      </c>
      <c r="J168" s="13">
        <f>((((VLOOKUP(B168,Database!$A:$AS,MATCH($J$1,Database!$A$1:$AS$1,),))))-(((VLOOKUP(EDATE(B168,-12),Database!$A:$AS,MATCH($J$1,Database!$A$1:$AS$1,),)))))/(((VLOOKUP(EDATE(B168,-12),Database!$A:$AS,MATCH($J$1,Database!$A$1:$AS$1,),))))</f>
        <v>-1.0807991066712892E-2</v>
      </c>
      <c r="K168" s="13">
        <f>((((VLOOKUP(B168,Database!$A:$AS,MATCH($K$1,Database!$A$1:$AS$1,),))))-(((VLOOKUP(EDATE(B168,-12),Database!$A:$AS,MATCH($K$1,Database!$A$1:$AS$1,),)))))/(((VLOOKUP(EDATE(B168,-12),Database!$A:$AS,MATCH($K$1,Database!$A$1:$AS$1,),))))</f>
        <v>-2.6367187502298176E-2</v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>-2.5949805284678634E-2</v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>4.4740606028635513E-2</v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>3.6712076758471518E-2</v>
      </c>
      <c r="O168" s="13">
        <f>((((VLOOKUP(B168,Database!$A:$AS,MATCH($O$1,Database!$A$1:$AS$1,),))))-(((VLOOKUP(EDATE(B168,-12),Database!$A:$AS,MATCH($O$1,Database!$A$1:$AS$1,),)))))/(((VLOOKUP(EDATE(B168,-12),Database!$A:$AS,MATCH($O$1,Database!$A$1:$AS$1,),))))</f>
        <v>-2.0354543196761159E-2</v>
      </c>
      <c r="P168" s="13">
        <f>((((VLOOKUP(B168,Database!$A:$AS,MATCH($P$1,Database!$A$1:$AS$1,),))))-(((VLOOKUP(EDATE(B168,-12),Database!$A:$AS,MATCH($P$1,Database!$A$1:$AS$1,),)))))/(((VLOOKUP(EDATE(B168,-12),Database!$A:$AS,MATCH($P$1,Database!$A$1:$AS$1,),))))</f>
        <v>5.3701255774686235E-2</v>
      </c>
      <c r="Q168" s="13">
        <f>((((VLOOKUP(B168,Database!$A:$AS,MATCH($Q$1,Database!$A$1:$AS$1,),))))-(((VLOOKUP(EDATE(B168,-12),Database!$A:$AS,MATCH($Q$1,Database!$A$1:$AS$1,),)))))/(((VLOOKUP(EDATE(B168,-12),Database!$A:$AS,MATCH($Q$1,Database!$A$1:$AS$1,),))))</f>
        <v>-1.6805177198389493E-2</v>
      </c>
      <c r="R168" s="13">
        <f>((((VLOOKUP(B168,Database!$A:$AS,MATCH($R$1,Database!$A$1:$AS$1,),))))-(((VLOOKUP(EDATE(B168,-12),Database!$A:$AS,MATCH($R$1,Database!$A$1:$AS$1,),)))))/(((VLOOKUP(EDATE(B168,-12),Database!$A:$AS,MATCH($R$1,Database!$A$1:$AS$1,),))))</f>
        <v>-7.8878748366691467E-2</v>
      </c>
      <c r="S168" s="13">
        <f>((((VLOOKUP(B168,Database!$A:$AS,MATCH($S$1,Database!$A$1:$AS$1,),))))-(((VLOOKUP(EDATE(B168,-12),Database!$A:$AS,MATCH($S$1,Database!$A$1:$AS$1,),)))))/(((VLOOKUP(EDATE(B168,-12),Database!$A:$AS,MATCH($S$1,Database!$A$1:$AS$1,),))))</f>
        <v>6.7938021447004004E-2</v>
      </c>
      <c r="T168" s="13">
        <f>((((VLOOKUP(B168,Database!$A:$AS,MATCH($T$1,Database!$A$1:$AS$1,),))))-(((VLOOKUP(EDATE(B168,-12),Database!$A:$AS,MATCH($T$1,Database!$A$1:$AS$1,),)))))/(((VLOOKUP(EDATE(B168,-12),Database!$A:$AS,MATCH($T$1,Database!$A$1:$AS$1,),))))</f>
        <v>-2.3923444985349211E-2</v>
      </c>
      <c r="U168" s="13">
        <f>((((VLOOKUP(B168,Database!$A:$AS,MATCH($U$1,Database!$A$1:$AS$1,),))))-(((VLOOKUP(EDATE(B168,-12),Database!$A:$AS,MATCH($U$1,Database!$A$1:$AS$1,),)))))/(((VLOOKUP(EDATE(B168,-12),Database!$A:$AS,MATCH($U$1,Database!$A$1:$AS$1,),))))</f>
        <v>-2.2421524668772293E-2</v>
      </c>
      <c r="V168" s="13">
        <f>((((VLOOKUP(B168,Database!$A:$AS,MATCH($V$1,Database!$A$1:$AS$1,),))))-(((VLOOKUP(EDATE(B168,-12),Database!$A:$AS,MATCH($V$1,Database!$A$1:$AS$1,),)))))/(((VLOOKUP(EDATE(B168,-12),Database!$A:$AS,MATCH($V$1,Database!$A$1:$AS$1,),))))</f>
        <v>-4.1407867494823135E-3</v>
      </c>
    </row>
    <row r="169" spans="1:22" s="83" customFormat="1" x14ac:dyDescent="0.2">
      <c r="A169" s="43"/>
      <c r="B169" s="78">
        <v>37288</v>
      </c>
      <c r="C169" s="13">
        <f>((((VLOOKUP(B169,Database!$A:$AS,MATCH($C$1,Database!$A$1:$AS$1,),))))-(((VLOOKUP(EDATE(B169,-12),Database!$A:$AS,MATCH($C$1,Database!$A$1:$AS$1,),)))))/(((VLOOKUP(EDATE(B169,-12),Database!$A:$AS,MATCH($C$1,Database!$A$1:$AS$1,),))))</f>
        <v>-3.1764126525850554E-2</v>
      </c>
      <c r="D169" s="13">
        <f>((((VLOOKUP(B169,Database!$A:$AS,MATCH($D$1,Database!$A$1:$AS$1,),))))-(((VLOOKUP(EDATE(B169,-12),Database!$A:$AS,MATCH($D$1,Database!$A$1:$AS$1,),)))))/(((VLOOKUP(EDATE(B169,-12),Database!$A:$AS,MATCH($D$1,Database!$A$1:$AS$1,),))))</f>
        <v>-2.8776978417266157E-2</v>
      </c>
      <c r="E169" s="13">
        <f>((((VLOOKUP(B169,Database!$A:$AS,MATCH($E$1,Database!$A$1:$AS$1,),))))-(((VLOOKUP(EDATE(B169,-12),Database!$A:$AS,MATCH($E$1,Database!$A$1:$AS$1,),)))))/(((VLOOKUP(EDATE(B169,-12),Database!$A:$AS,MATCH($E$1,Database!$A$1:$AS$1,),))))</f>
        <v>-9.5477386926691624E-2</v>
      </c>
      <c r="F169" s="13">
        <f>((((VLOOKUP(B169,Database!$A:$AS,MATCH($F$1,Database!$A$1:$AS$1,),))))-(((VLOOKUP(EDATE(B169,-12),Database!$A:$AS,MATCH($F$1,Database!$A$1:$AS$1,),)))))/(((VLOOKUP(EDATE(B169,-12),Database!$A:$AS,MATCH($F$1,Database!$A$1:$AS$1,),))))</f>
        <v>-5.0359712228317872E-2</v>
      </c>
      <c r="G169" s="13">
        <f>((((VLOOKUP(B169,Database!$A:$AS,MATCH($G$1,Database!$A$1:$AS$1,),))))-(((VLOOKUP(EDATE(B169,-12),Database!$A:$AS,MATCH($G$1,Database!$A$1:$AS$1,),)))))/(((VLOOKUP(EDATE(B169,-12),Database!$A:$AS,MATCH($G$1,Database!$A$1:$AS$1,),))))</f>
        <v>-1.7844332855093212E-2</v>
      </c>
      <c r="H169" s="13">
        <f>((((VLOOKUP(B169,Database!$A:$AS,MATCH($H$1,Database!$A$1:$AS$1,),))))-(((VLOOKUP(EDATE(B169,-12),Database!$A:$AS,MATCH($H$1,Database!$A$1:$AS$1,),)))))/(((VLOOKUP(EDATE(B169,-12),Database!$A:$AS,MATCH($H$1,Database!$A$1:$AS$1,),))))</f>
        <v>0.11358574610302642</v>
      </c>
      <c r="I169" s="13">
        <f>((((VLOOKUP(B169,Database!$A:$AS,MATCH($I$1,Database!$A$1:$AS$1,),))))-(((VLOOKUP(EDATE(B169,-12),Database!$A:$AS,MATCH($I$1,Database!$A$1:$AS$1,),)))))/(((VLOOKUP(EDATE(B169,-12),Database!$A:$AS,MATCH($I$1,Database!$A$1:$AS$1,),))))</f>
        <v>-2.8257456828897756E-2</v>
      </c>
      <c r="J169" s="13">
        <f>((((VLOOKUP(B169,Database!$A:$AS,MATCH($J$1,Database!$A$1:$AS$1,),))))-(((VLOOKUP(EDATE(B169,-12),Database!$A:$AS,MATCH($J$1,Database!$A$1:$AS$1,),)))))/(((VLOOKUP(EDATE(B169,-12),Database!$A:$AS,MATCH($J$1,Database!$A$1:$AS$1,),))))</f>
        <v>-1.3546429293969237E-2</v>
      </c>
      <c r="K169" s="13">
        <f>((((VLOOKUP(B169,Database!$A:$AS,MATCH($K$1,Database!$A$1:$AS$1,),))))-(((VLOOKUP(EDATE(B169,-12),Database!$A:$AS,MATCH($K$1,Database!$A$1:$AS$1,),)))))/(((VLOOKUP(EDATE(B169,-12),Database!$A:$AS,MATCH($K$1,Database!$A$1:$AS$1,),))))</f>
        <v>5.9171597616797791E-3</v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>-3.0749055916566816E-2</v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>3.227807060930702E-2</v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>2.6378950442260945E-2</v>
      </c>
      <c r="O169" s="13">
        <f>((((VLOOKUP(B169,Database!$A:$AS,MATCH($O$1,Database!$A$1:$AS$1,),))))-(((VLOOKUP(EDATE(B169,-12),Database!$A:$AS,MATCH($O$1,Database!$A$1:$AS$1,),)))))/(((VLOOKUP(EDATE(B169,-12),Database!$A:$AS,MATCH($O$1,Database!$A$1:$AS$1,),))))</f>
        <v>-4.7745788617673353E-3</v>
      </c>
      <c r="P169" s="13">
        <f>((((VLOOKUP(B169,Database!$A:$AS,MATCH($P$1,Database!$A$1:$AS$1,),))))-(((VLOOKUP(EDATE(B169,-12),Database!$A:$AS,MATCH($P$1,Database!$A$1:$AS$1,),)))))/(((VLOOKUP(EDATE(B169,-12),Database!$A:$AS,MATCH($P$1,Database!$A$1:$AS$1,),))))</f>
        <v>6.9524651147588892E-2</v>
      </c>
      <c r="Q169" s="13">
        <f>((((VLOOKUP(B169,Database!$A:$AS,MATCH($Q$1,Database!$A$1:$AS$1,),))))-(((VLOOKUP(EDATE(B169,-12),Database!$A:$AS,MATCH($Q$1,Database!$A$1:$AS$1,),)))))/(((VLOOKUP(EDATE(B169,-12),Database!$A:$AS,MATCH($Q$1,Database!$A$1:$AS$1,),))))</f>
        <v>4.4944261035841033E-3</v>
      </c>
      <c r="R169" s="13">
        <f>((((VLOOKUP(B169,Database!$A:$AS,MATCH($R$1,Database!$A$1:$AS$1,),))))-(((VLOOKUP(EDATE(B169,-12),Database!$A:$AS,MATCH($R$1,Database!$A$1:$AS$1,),)))))/(((VLOOKUP(EDATE(B169,-12),Database!$A:$AS,MATCH($R$1,Database!$A$1:$AS$1,),))))</f>
        <v>-3.6496350366757649E-2</v>
      </c>
      <c r="S169" s="13">
        <f>((((VLOOKUP(B169,Database!$A:$AS,MATCH($S$1,Database!$A$1:$AS$1,),))))-(((VLOOKUP(EDATE(B169,-12),Database!$A:$AS,MATCH($S$1,Database!$A$1:$AS$1,),)))))/(((VLOOKUP(EDATE(B169,-12),Database!$A:$AS,MATCH($S$1,Database!$A$1:$AS$1,),))))</f>
        <v>-5.8370044048367993E-2</v>
      </c>
      <c r="T169" s="13">
        <f>((((VLOOKUP(B169,Database!$A:$AS,MATCH($T$1,Database!$A$1:$AS$1,),))))-(((VLOOKUP(EDATE(B169,-12),Database!$A:$AS,MATCH($T$1,Database!$A$1:$AS$1,),)))))/(((VLOOKUP(EDATE(B169,-12),Database!$A:$AS,MATCH($T$1,Database!$A$1:$AS$1,),))))</f>
        <v>2.3696682473889459E-2</v>
      </c>
      <c r="U169" s="13">
        <f>((((VLOOKUP(B169,Database!$A:$AS,MATCH($U$1,Database!$A$1:$AS$1,),))))-(((VLOOKUP(EDATE(B169,-12),Database!$A:$AS,MATCH($U$1,Database!$A$1:$AS$1,),)))))/(((VLOOKUP(EDATE(B169,-12),Database!$A:$AS,MATCH($U$1,Database!$A$1:$AS$1,),))))</f>
        <v>1.3636363636432398E-2</v>
      </c>
      <c r="V169" s="13">
        <f>((((VLOOKUP(B169,Database!$A:$AS,MATCH($V$1,Database!$A$1:$AS$1,),))))-(((VLOOKUP(EDATE(B169,-12),Database!$A:$AS,MATCH($V$1,Database!$A$1:$AS$1,),)))))/(((VLOOKUP(EDATE(B169,-12),Database!$A:$AS,MATCH($V$1,Database!$A$1:$AS$1,),))))</f>
        <v>4.1928721174003293E-3</v>
      </c>
    </row>
    <row r="170" spans="1:22" s="83" customFormat="1" x14ac:dyDescent="0.2">
      <c r="A170" s="43"/>
      <c r="B170" s="78">
        <v>37316</v>
      </c>
      <c r="C170" s="13">
        <f>((((VLOOKUP(B170,Database!$A:$AS,MATCH($C$1,Database!$A$1:$AS$1,),))))-(((VLOOKUP(EDATE(B170,-12),Database!$A:$AS,MATCH($C$1,Database!$A$1:$AS$1,),)))))/(((VLOOKUP(EDATE(B170,-12),Database!$A:$AS,MATCH($C$1,Database!$A$1:$AS$1,),))))</f>
        <v>-2.1829816532982035E-2</v>
      </c>
      <c r="D170" s="13">
        <f>((((VLOOKUP(B170,Database!$A:$AS,MATCH($D$1,Database!$A$1:$AS$1,),))))-(((VLOOKUP(EDATE(B170,-12),Database!$A:$AS,MATCH($D$1,Database!$A$1:$AS$1,),)))))/(((VLOOKUP(EDATE(B170,-12),Database!$A:$AS,MATCH($D$1,Database!$A$1:$AS$1,),))))</f>
        <v>-1.4477766287487133E-2</v>
      </c>
      <c r="E170" s="13">
        <f>((((VLOOKUP(B170,Database!$A:$AS,MATCH($E$1,Database!$A$1:$AS$1,),))))-(((VLOOKUP(EDATE(B170,-12),Database!$A:$AS,MATCH($E$1,Database!$A$1:$AS$1,),)))))/(((VLOOKUP(EDATE(B170,-12),Database!$A:$AS,MATCH($E$1,Database!$A$1:$AS$1,),))))</f>
        <v>-7.5664621674629576E-2</v>
      </c>
      <c r="F170" s="13">
        <f>((((VLOOKUP(B170,Database!$A:$AS,MATCH($F$1,Database!$A$1:$AS$1,),))))-(((VLOOKUP(EDATE(B170,-12),Database!$A:$AS,MATCH($F$1,Database!$A$1:$AS$1,),)))))/(((VLOOKUP(EDATE(B170,-12),Database!$A:$AS,MATCH($F$1,Database!$A$1:$AS$1,),))))</f>
        <v>-3.1707317068470749E-2</v>
      </c>
      <c r="G170" s="13">
        <f>((((VLOOKUP(B170,Database!$A:$AS,MATCH($G$1,Database!$A$1:$AS$1,),))))-(((VLOOKUP(EDATE(B170,-12),Database!$A:$AS,MATCH($G$1,Database!$A$1:$AS$1,),)))))/(((VLOOKUP(EDATE(B170,-12),Database!$A:$AS,MATCH($G$1,Database!$A$1:$AS$1,),))))</f>
        <v>-1.7144387891776067E-2</v>
      </c>
      <c r="H170" s="13">
        <f>((((VLOOKUP(B170,Database!$A:$AS,MATCH($H$1,Database!$A$1:$AS$1,),))))-(((VLOOKUP(EDATE(B170,-12),Database!$A:$AS,MATCH($H$1,Database!$A$1:$AS$1,),)))))/(((VLOOKUP(EDATE(B170,-12),Database!$A:$AS,MATCH($H$1,Database!$A$1:$AS$1,),))))</f>
        <v>0.12942477876853734</v>
      </c>
      <c r="I170" s="13">
        <f>((((VLOOKUP(B170,Database!$A:$AS,MATCH($I$1,Database!$A$1:$AS$1,),))))-(((VLOOKUP(EDATE(B170,-12),Database!$A:$AS,MATCH($I$1,Database!$A$1:$AS$1,),)))))/(((VLOOKUP(EDATE(B170,-12),Database!$A:$AS,MATCH($I$1,Database!$A$1:$AS$1,),))))</f>
        <v>-2.2745098035585977E-2</v>
      </c>
      <c r="J170" s="13">
        <f>((((VLOOKUP(B170,Database!$A:$AS,MATCH($J$1,Database!$A$1:$AS$1,),))))-(((VLOOKUP(EDATE(B170,-12),Database!$A:$AS,MATCH($J$1,Database!$A$1:$AS$1,),)))))/(((VLOOKUP(EDATE(B170,-12),Database!$A:$AS,MATCH($J$1,Database!$A$1:$AS$1,),))))</f>
        <v>-1.4566897108620273E-2</v>
      </c>
      <c r="K170" s="13">
        <f>((((VLOOKUP(B170,Database!$A:$AS,MATCH($K$1,Database!$A$1:$AS$1,),))))-(((VLOOKUP(EDATE(B170,-12),Database!$A:$AS,MATCH($K$1,Database!$A$1:$AS$1,),)))))/(((VLOOKUP(EDATE(B170,-12),Database!$A:$AS,MATCH($K$1,Database!$A$1:$AS$1,),))))</f>
        <v>6.8829891918112448E-3</v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>-2.5176699454765642E-2</v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>3.7938192697031949E-2</v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>3.5833186777281159E-2</v>
      </c>
      <c r="O170" s="13">
        <f>((((VLOOKUP(B170,Database!$A:$AS,MATCH($O$1,Database!$A$1:$AS$1,),))))-(((VLOOKUP(EDATE(B170,-12),Database!$A:$AS,MATCH($O$1,Database!$A$1:$AS$1,),)))))/(((VLOOKUP(EDATE(B170,-12),Database!$A:$AS,MATCH($O$1,Database!$A$1:$AS$1,),))))</f>
        <v>1.1872398534756826E-3</v>
      </c>
      <c r="P170" s="13">
        <f>((((VLOOKUP(B170,Database!$A:$AS,MATCH($P$1,Database!$A$1:$AS$1,),))))-(((VLOOKUP(EDATE(B170,-12),Database!$A:$AS,MATCH($P$1,Database!$A$1:$AS$1,),)))))/(((VLOOKUP(EDATE(B170,-12),Database!$A:$AS,MATCH($P$1,Database!$A$1:$AS$1,),))))</f>
        <v>8.5955330957503184E-2</v>
      </c>
      <c r="Q170" s="13">
        <f>((((VLOOKUP(B170,Database!$A:$AS,MATCH($Q$1,Database!$A$1:$AS$1,),))))-(((VLOOKUP(EDATE(B170,-12),Database!$A:$AS,MATCH($Q$1,Database!$A$1:$AS$1,),)))))/(((VLOOKUP(EDATE(B170,-12),Database!$A:$AS,MATCH($Q$1,Database!$A$1:$AS$1,),))))</f>
        <v>1.3755598985142498E-2</v>
      </c>
      <c r="R170" s="13">
        <f>((((VLOOKUP(B170,Database!$A:$AS,MATCH($R$1,Database!$A$1:$AS$1,),))))-(((VLOOKUP(EDATE(B170,-12),Database!$A:$AS,MATCH($R$1,Database!$A$1:$AS$1,),)))))/(((VLOOKUP(EDATE(B170,-12),Database!$A:$AS,MATCH($R$1,Database!$A$1:$AS$1,),))))</f>
        <v>2.808988763037814E-3</v>
      </c>
      <c r="S170" s="13">
        <f>((((VLOOKUP(B170,Database!$A:$AS,MATCH($S$1,Database!$A$1:$AS$1,),))))-(((VLOOKUP(EDATE(B170,-12),Database!$A:$AS,MATCH($S$1,Database!$A$1:$AS$1,),)))))/(((VLOOKUP(EDATE(B170,-12),Database!$A:$AS,MATCH($S$1,Database!$A$1:$AS$1,),))))</f>
        <v>9.8475967161850378E-2</v>
      </c>
      <c r="T170" s="13">
        <f>((((VLOOKUP(B170,Database!$A:$AS,MATCH($T$1,Database!$A$1:$AS$1,),))))-(((VLOOKUP(EDATE(B170,-12),Database!$A:$AS,MATCH($T$1,Database!$A$1:$AS$1,),)))))/(((VLOOKUP(EDATE(B170,-12),Database!$A:$AS,MATCH($T$1,Database!$A$1:$AS$1,),))))</f>
        <v>9.7989949745965796E-2</v>
      </c>
      <c r="U170" s="13">
        <f>((((VLOOKUP(B170,Database!$A:$AS,MATCH($U$1,Database!$A$1:$AS$1,),))))-(((VLOOKUP(EDATE(B170,-12),Database!$A:$AS,MATCH($U$1,Database!$A$1:$AS$1,),)))))/(((VLOOKUP(EDATE(B170,-12),Database!$A:$AS,MATCH($U$1,Database!$A$1:$AS$1,),))))</f>
        <v>0</v>
      </c>
      <c r="V170" s="13">
        <f>((((VLOOKUP(B170,Database!$A:$AS,MATCH($V$1,Database!$A$1:$AS$1,),))))-(((VLOOKUP(EDATE(B170,-12),Database!$A:$AS,MATCH($V$1,Database!$A$1:$AS$1,),)))))/(((VLOOKUP(EDATE(B170,-12),Database!$A:$AS,MATCH($V$1,Database!$A$1:$AS$1,),))))</f>
        <v>-6.211180124223544E-3</v>
      </c>
    </row>
    <row r="171" spans="1:22" s="83" customFormat="1" x14ac:dyDescent="0.2">
      <c r="A171" s="43"/>
      <c r="B171" s="78">
        <v>37347</v>
      </c>
      <c r="C171" s="13">
        <f>((((VLOOKUP(B171,Database!$A:$AS,MATCH($C$1,Database!$A$1:$AS$1,),))))-(((VLOOKUP(EDATE(B171,-12),Database!$A:$AS,MATCH($C$1,Database!$A$1:$AS$1,),)))))/(((VLOOKUP(EDATE(B171,-12),Database!$A:$AS,MATCH($C$1,Database!$A$1:$AS$1,),))))</f>
        <v>-1.40405393531519E-2</v>
      </c>
      <c r="D171" s="13">
        <f>((((VLOOKUP(B171,Database!$A:$AS,MATCH($D$1,Database!$A$1:$AS$1,),))))-(((VLOOKUP(EDATE(B171,-12),Database!$A:$AS,MATCH($D$1,Database!$A$1:$AS$1,),)))))/(((VLOOKUP(EDATE(B171,-12),Database!$A:$AS,MATCH($D$1,Database!$A$1:$AS$1,),))))</f>
        <v>-8.3420229405632047E-3</v>
      </c>
      <c r="E171" s="13">
        <f>((((VLOOKUP(B171,Database!$A:$AS,MATCH($E$1,Database!$A$1:$AS$1,),))))-(((VLOOKUP(EDATE(B171,-12),Database!$A:$AS,MATCH($E$1,Database!$A$1:$AS$1,),)))))/(((VLOOKUP(EDATE(B171,-12),Database!$A:$AS,MATCH($E$1,Database!$A$1:$AS$1,),))))</f>
        <v>-7.0030895985727176E-2</v>
      </c>
      <c r="F171" s="13">
        <f>((((VLOOKUP(B171,Database!$A:$AS,MATCH($F$1,Database!$A$1:$AS$1,),))))-(((VLOOKUP(EDATE(B171,-12),Database!$A:$AS,MATCH($F$1,Database!$A$1:$AS$1,),)))))/(((VLOOKUP(EDATE(B171,-12),Database!$A:$AS,MATCH($F$1,Database!$A$1:$AS$1,),))))</f>
        <v>-1.3647642680254849E-2</v>
      </c>
      <c r="G171" s="13">
        <f>((((VLOOKUP(B171,Database!$A:$AS,MATCH($G$1,Database!$A$1:$AS$1,),))))-(((VLOOKUP(EDATE(B171,-12),Database!$A:$AS,MATCH($G$1,Database!$A$1:$AS$1,),)))))/(((VLOOKUP(EDATE(B171,-12),Database!$A:$AS,MATCH($G$1,Database!$A$1:$AS$1,),))))</f>
        <v>5.4466230936819947E-3</v>
      </c>
      <c r="H171" s="13">
        <f>((((VLOOKUP(B171,Database!$A:$AS,MATCH($H$1,Database!$A$1:$AS$1,),))))-(((VLOOKUP(EDATE(B171,-12),Database!$A:$AS,MATCH($H$1,Database!$A$1:$AS$1,),)))))/(((VLOOKUP(EDATE(B171,-12),Database!$A:$AS,MATCH($H$1,Database!$A$1:$AS$1,),))))</f>
        <v>5.3030303029998123E-2</v>
      </c>
      <c r="I171" s="13">
        <f>((((VLOOKUP(B171,Database!$A:$AS,MATCH($I$1,Database!$A$1:$AS$1,),))))-(((VLOOKUP(EDATE(B171,-12),Database!$A:$AS,MATCH($I$1,Database!$A$1:$AS$1,),)))))/(((VLOOKUP(EDATE(B171,-12),Database!$A:$AS,MATCH($I$1,Database!$A$1:$AS$1,),))))</f>
        <v>-4.1996830426699147E-2</v>
      </c>
      <c r="J171" s="13">
        <f>((((VLOOKUP(B171,Database!$A:$AS,MATCH($J$1,Database!$A$1:$AS$1,),))))-(((VLOOKUP(EDATE(B171,-12),Database!$A:$AS,MATCH($J$1,Database!$A$1:$AS$1,),)))))/(((VLOOKUP(EDATE(B171,-12),Database!$A:$AS,MATCH($J$1,Database!$A$1:$AS$1,),))))</f>
        <v>1.5588541925234532E-2</v>
      </c>
      <c r="K171" s="13">
        <f>((((VLOOKUP(B171,Database!$A:$AS,MATCH($K$1,Database!$A$1:$AS$1,),))))-(((VLOOKUP(EDATE(B171,-12),Database!$A:$AS,MATCH($K$1,Database!$A$1:$AS$1,),)))))/(((VLOOKUP(EDATE(B171,-12),Database!$A:$AS,MATCH($K$1,Database!$A$1:$AS$1,),))))</f>
        <v>4.4467425023778671E-2</v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>1.1537483711728318E-2</v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>3.8913310997654806E-2</v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>4.4362896368203363E-2</v>
      </c>
      <c r="O171" s="13">
        <f>((((VLOOKUP(B171,Database!$A:$AS,MATCH($O$1,Database!$A$1:$AS$1,),))))-(((VLOOKUP(EDATE(B171,-12),Database!$A:$AS,MATCH($O$1,Database!$A$1:$AS$1,),)))))/(((VLOOKUP(EDATE(B171,-12),Database!$A:$AS,MATCH($O$1,Database!$A$1:$AS$1,),))))</f>
        <v>1.2057267803078853E-2</v>
      </c>
      <c r="P171" s="13">
        <f>((((VLOOKUP(B171,Database!$A:$AS,MATCH($P$1,Database!$A$1:$AS$1,),))))-(((VLOOKUP(EDATE(B171,-12),Database!$A:$AS,MATCH($P$1,Database!$A$1:$AS$1,),)))))/(((VLOOKUP(EDATE(B171,-12),Database!$A:$AS,MATCH($P$1,Database!$A$1:$AS$1,),))))</f>
        <v>8.8500060818173451E-2</v>
      </c>
      <c r="Q171" s="13">
        <f>((((VLOOKUP(B171,Database!$A:$AS,MATCH($Q$1,Database!$A$1:$AS$1,),))))-(((VLOOKUP(EDATE(B171,-12),Database!$A:$AS,MATCH($Q$1,Database!$A$1:$AS$1,),)))))/(((VLOOKUP(EDATE(B171,-12),Database!$A:$AS,MATCH($Q$1,Database!$A$1:$AS$1,),))))</f>
        <v>1.4708538170749727E-2</v>
      </c>
      <c r="R171" s="13">
        <f>((((VLOOKUP(B171,Database!$A:$AS,MATCH($R$1,Database!$A$1:$AS$1,),))))-(((VLOOKUP(EDATE(B171,-12),Database!$A:$AS,MATCH($R$1,Database!$A$1:$AS$1,),)))))/(((VLOOKUP(EDATE(B171,-12),Database!$A:$AS,MATCH($R$1,Database!$A$1:$AS$1,),))))</f>
        <v>3.2763532762547579E-2</v>
      </c>
      <c r="S171" s="13">
        <f>((((VLOOKUP(B171,Database!$A:$AS,MATCH($S$1,Database!$A$1:$AS$1,),))))-(((VLOOKUP(EDATE(B171,-12),Database!$A:$AS,MATCH($S$1,Database!$A$1:$AS$1,),)))))/(((VLOOKUP(EDATE(B171,-12),Database!$A:$AS,MATCH($S$1,Database!$A$1:$AS$1,),))))</f>
        <v>3.3918128658888512E-2</v>
      </c>
      <c r="T171" s="13">
        <f>((((VLOOKUP(B171,Database!$A:$AS,MATCH($T$1,Database!$A$1:$AS$1,),))))-(((VLOOKUP(EDATE(B171,-12),Database!$A:$AS,MATCH($T$1,Database!$A$1:$AS$1,),)))))/(((VLOOKUP(EDATE(B171,-12),Database!$A:$AS,MATCH($T$1,Database!$A$1:$AS$1,),))))</f>
        <v>0.12658227847844883</v>
      </c>
      <c r="U171" s="13">
        <f>((((VLOOKUP(B171,Database!$A:$AS,MATCH($U$1,Database!$A$1:$AS$1,),))))-(((VLOOKUP(EDATE(B171,-12),Database!$A:$AS,MATCH($U$1,Database!$A$1:$AS$1,),)))))/(((VLOOKUP(EDATE(B171,-12),Database!$A:$AS,MATCH($U$1,Database!$A$1:$AS$1,),))))</f>
        <v>4.4910179590958894E-3</v>
      </c>
      <c r="V171" s="13">
        <f>((((VLOOKUP(B171,Database!$A:$AS,MATCH($V$1,Database!$A$1:$AS$1,),))))-(((VLOOKUP(EDATE(B171,-12),Database!$A:$AS,MATCH($V$1,Database!$A$1:$AS$1,),)))))/(((VLOOKUP(EDATE(B171,-12),Database!$A:$AS,MATCH($V$1,Database!$A$1:$AS$1,),))))</f>
        <v>-1.8867924528302004E-2</v>
      </c>
    </row>
    <row r="172" spans="1:22" s="83" customFormat="1" x14ac:dyDescent="0.2">
      <c r="A172" s="43"/>
      <c r="B172" s="78">
        <v>37377</v>
      </c>
      <c r="C172" s="13">
        <f>((((VLOOKUP(B172,Database!$A:$AS,MATCH($C$1,Database!$A$1:$AS$1,),))))-(((VLOOKUP(EDATE(B172,-12),Database!$A:$AS,MATCH($C$1,Database!$A$1:$AS$1,),)))))/(((VLOOKUP(EDATE(B172,-12),Database!$A:$AS,MATCH($C$1,Database!$A$1:$AS$1,),))))</f>
        <v>-4.0935123482852423E-3</v>
      </c>
      <c r="D172" s="13">
        <f>((((VLOOKUP(B172,Database!$A:$AS,MATCH($D$1,Database!$A$1:$AS$1,),))))-(((VLOOKUP(EDATE(B172,-12),Database!$A:$AS,MATCH($D$1,Database!$A$1:$AS$1,),)))))/(((VLOOKUP(EDATE(B172,-12),Database!$A:$AS,MATCH($D$1,Database!$A$1:$AS$1,),))))</f>
        <v>-7.2765072765073055E-3</v>
      </c>
      <c r="E172" s="13">
        <f>((((VLOOKUP(B172,Database!$A:$AS,MATCH($E$1,Database!$A$1:$AS$1,),))))-(((VLOOKUP(EDATE(B172,-12),Database!$A:$AS,MATCH($E$1,Database!$A$1:$AS$1,),)))))/(((VLOOKUP(EDATE(B172,-12),Database!$A:$AS,MATCH($E$1,Database!$A$1:$AS$1,),))))</f>
        <v>-1.3655462178002512E-2</v>
      </c>
      <c r="F172" s="13">
        <f>((((VLOOKUP(B172,Database!$A:$AS,MATCH($F$1,Database!$A$1:$AS$1,),))))-(((VLOOKUP(EDATE(B172,-12),Database!$A:$AS,MATCH($F$1,Database!$A$1:$AS$1,),)))))/(((VLOOKUP(EDATE(B172,-12),Database!$A:$AS,MATCH($F$1,Database!$A$1:$AS$1,),))))</f>
        <v>-3.4355828219624247E-2</v>
      </c>
      <c r="G172" s="13">
        <f>((((VLOOKUP(B172,Database!$A:$AS,MATCH($G$1,Database!$A$1:$AS$1,),))))-(((VLOOKUP(EDATE(B172,-12),Database!$A:$AS,MATCH($G$1,Database!$A$1:$AS$1,),)))))/(((VLOOKUP(EDATE(B172,-12),Database!$A:$AS,MATCH($G$1,Database!$A$1:$AS$1,),))))</f>
        <v>-1.0631588431390148E-2</v>
      </c>
      <c r="H172" s="13">
        <f>((((VLOOKUP(B172,Database!$A:$AS,MATCH($H$1,Database!$A$1:$AS$1,),))))-(((VLOOKUP(EDATE(B172,-12),Database!$A:$AS,MATCH($H$1,Database!$A$1:$AS$1,),)))))/(((VLOOKUP(EDATE(B172,-12),Database!$A:$AS,MATCH($H$1,Database!$A$1:$AS$1,),))))</f>
        <v>6.3577586204013672E-2</v>
      </c>
      <c r="I172" s="13">
        <f>((((VLOOKUP(B172,Database!$A:$AS,MATCH($I$1,Database!$A$1:$AS$1,),))))-(((VLOOKUP(EDATE(B172,-12),Database!$A:$AS,MATCH($I$1,Database!$A$1:$AS$1,),)))))/(((VLOOKUP(EDATE(B172,-12),Database!$A:$AS,MATCH($I$1,Database!$A$1:$AS$1,),))))</f>
        <v>-7.1371927022407643E-3</v>
      </c>
      <c r="J172" s="13">
        <f>((((VLOOKUP(B172,Database!$A:$AS,MATCH($J$1,Database!$A$1:$AS$1,),))))-(((VLOOKUP(EDATE(B172,-12),Database!$A:$AS,MATCH($J$1,Database!$A$1:$AS$1,),)))))/(((VLOOKUP(EDATE(B172,-12),Database!$A:$AS,MATCH($J$1,Database!$A$1:$AS$1,),))))</f>
        <v>-1.7898014483597329E-2</v>
      </c>
      <c r="K172" s="13">
        <f>((((VLOOKUP(B172,Database!$A:$AS,MATCH($K$1,Database!$A$1:$AS$1,),))))-(((VLOOKUP(EDATE(B172,-12),Database!$A:$AS,MATCH($K$1,Database!$A$1:$AS$1,),)))))/(((VLOOKUP(EDATE(B172,-12),Database!$A:$AS,MATCH($K$1,Database!$A$1:$AS$1,),))))</f>
        <v>5.9582919546492356E-3</v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>3.3448385444576637E-4</v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>-1.10197726627801E-2</v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>4.2977787701670642E-2</v>
      </c>
      <c r="O172" s="13">
        <f>((((VLOOKUP(B172,Database!$A:$AS,MATCH($O$1,Database!$A$1:$AS$1,),))))-(((VLOOKUP(EDATE(B172,-12),Database!$A:$AS,MATCH($O$1,Database!$A$1:$AS$1,),)))))/(((VLOOKUP(EDATE(B172,-12),Database!$A:$AS,MATCH($O$1,Database!$A$1:$AS$1,),))))</f>
        <v>1.009604859075291E-2</v>
      </c>
      <c r="P172" s="13">
        <f>((((VLOOKUP(B172,Database!$A:$AS,MATCH($P$1,Database!$A$1:$AS$1,),))))-(((VLOOKUP(EDATE(B172,-12),Database!$A:$AS,MATCH($P$1,Database!$A$1:$AS$1,),)))))/(((VLOOKUP(EDATE(B172,-12),Database!$A:$AS,MATCH($P$1,Database!$A$1:$AS$1,),))))</f>
        <v>6.8059978238368485E-2</v>
      </c>
      <c r="Q172" s="13">
        <f>((((VLOOKUP(B172,Database!$A:$AS,MATCH($Q$1,Database!$A$1:$AS$1,),))))-(((VLOOKUP(EDATE(B172,-12),Database!$A:$AS,MATCH($Q$1,Database!$A$1:$AS$1,),)))))/(((VLOOKUP(EDATE(B172,-12),Database!$A:$AS,MATCH($Q$1,Database!$A$1:$AS$1,),))))</f>
        <v>6.0725869766688244E-4</v>
      </c>
      <c r="R172" s="13">
        <f>((((VLOOKUP(B172,Database!$A:$AS,MATCH($R$1,Database!$A$1:$AS$1,),))))-(((VLOOKUP(EDATE(B172,-12),Database!$A:$AS,MATCH($R$1,Database!$A$1:$AS$1,),)))))/(((VLOOKUP(EDATE(B172,-12),Database!$A:$AS,MATCH($R$1,Database!$A$1:$AS$1,),))))</f>
        <v>-3.598615917050433E-2</v>
      </c>
      <c r="S172" s="13">
        <f>((((VLOOKUP(B172,Database!$A:$AS,MATCH($S$1,Database!$A$1:$AS$1,),))))-(((VLOOKUP(EDATE(B172,-12),Database!$A:$AS,MATCH($S$1,Database!$A$1:$AS$1,),)))))/(((VLOOKUP(EDATE(B172,-12),Database!$A:$AS,MATCH($S$1,Database!$A$1:$AS$1,),))))</f>
        <v>0.22529644268862431</v>
      </c>
      <c r="T172" s="13">
        <f>((((VLOOKUP(B172,Database!$A:$AS,MATCH($T$1,Database!$A$1:$AS$1,),))))-(((VLOOKUP(EDATE(B172,-12),Database!$A:$AS,MATCH($T$1,Database!$A$1:$AS$1,),)))))/(((VLOOKUP(EDATE(B172,-12),Database!$A:$AS,MATCH($T$1,Database!$A$1:$AS$1,),))))</f>
        <v>9.3908629458503451E-2</v>
      </c>
      <c r="U172" s="13">
        <f>((((VLOOKUP(B172,Database!$A:$AS,MATCH($U$1,Database!$A$1:$AS$1,),))))-(((VLOOKUP(EDATE(B172,-12),Database!$A:$AS,MATCH($U$1,Database!$A$1:$AS$1,),)))))/(((VLOOKUP(EDATE(B172,-12),Database!$A:$AS,MATCH($U$1,Database!$A$1:$AS$1,),))))</f>
        <v>4.4843049277745366E-3</v>
      </c>
      <c r="V172" s="13">
        <f>((((VLOOKUP(B172,Database!$A:$AS,MATCH($V$1,Database!$A$1:$AS$1,),))))-(((VLOOKUP(EDATE(B172,-12),Database!$A:$AS,MATCH($V$1,Database!$A$1:$AS$1,),)))))/(((VLOOKUP(EDATE(B172,-12),Database!$A:$AS,MATCH($V$1,Database!$A$1:$AS$1,),))))</f>
        <v>-1.6666666666666607E-2</v>
      </c>
    </row>
    <row r="173" spans="1:22" s="83" customFormat="1" x14ac:dyDescent="0.2">
      <c r="A173" s="43"/>
      <c r="B173" s="78">
        <v>37408</v>
      </c>
      <c r="C173" s="13">
        <f>((((VLOOKUP(B173,Database!$A:$AS,MATCH($C$1,Database!$A$1:$AS$1,),))))-(((VLOOKUP(EDATE(B173,-12),Database!$A:$AS,MATCH($C$1,Database!$A$1:$AS$1,),)))))/(((VLOOKUP(EDATE(B173,-12),Database!$A:$AS,MATCH($C$1,Database!$A$1:$AS$1,),))))</f>
        <v>9.7254093542932241E-3</v>
      </c>
      <c r="D173" s="13">
        <f>((((VLOOKUP(B173,Database!$A:$AS,MATCH($D$1,Database!$A$1:$AS$1,),))))-(((VLOOKUP(EDATE(B173,-12),Database!$A:$AS,MATCH($D$1,Database!$A$1:$AS$1,),)))))/(((VLOOKUP(EDATE(B173,-12),Database!$A:$AS,MATCH($D$1,Database!$A$1:$AS$1,),))))</f>
        <v>-3.1185031185030888E-3</v>
      </c>
      <c r="E173" s="13">
        <f>((((VLOOKUP(B173,Database!$A:$AS,MATCH($E$1,Database!$A$1:$AS$1,),))))-(((VLOOKUP(EDATE(B173,-12),Database!$A:$AS,MATCH($E$1,Database!$A$1:$AS$1,),)))))/(((VLOOKUP(EDATE(B173,-12),Database!$A:$AS,MATCH($E$1,Database!$A$1:$AS$1,),))))</f>
        <v>-1.486199575922811E-2</v>
      </c>
      <c r="F173" s="13">
        <f>((((VLOOKUP(B173,Database!$A:$AS,MATCH($F$1,Database!$A$1:$AS$1,),))))-(((VLOOKUP(EDATE(B173,-12),Database!$A:$AS,MATCH($F$1,Database!$A$1:$AS$1,),)))))/(((VLOOKUP(EDATE(B173,-12),Database!$A:$AS,MATCH($F$1,Database!$A$1:$AS$1,),))))</f>
        <v>-1.2210012214723558E-2</v>
      </c>
      <c r="G173" s="13">
        <f>((((VLOOKUP(B173,Database!$A:$AS,MATCH($G$1,Database!$A$1:$AS$1,),))))-(((VLOOKUP(EDATE(B173,-12),Database!$A:$AS,MATCH($G$1,Database!$A$1:$AS$1,),)))))/(((VLOOKUP(EDATE(B173,-12),Database!$A:$AS,MATCH($G$1,Database!$A$1:$AS$1,),))))</f>
        <v>-1.2700414339758572E-2</v>
      </c>
      <c r="H173" s="13">
        <f>((((VLOOKUP(B173,Database!$A:$AS,MATCH($H$1,Database!$A$1:$AS$1,),))))-(((VLOOKUP(EDATE(B173,-12),Database!$A:$AS,MATCH($H$1,Database!$A$1:$AS$1,),)))))/(((VLOOKUP(EDATE(B173,-12),Database!$A:$AS,MATCH($H$1,Database!$A$1:$AS$1,),))))</f>
        <v>-1.0604453868178799E-2</v>
      </c>
      <c r="I173" s="13">
        <f>((((VLOOKUP(B173,Database!$A:$AS,MATCH($I$1,Database!$A$1:$AS$1,),))))-(((VLOOKUP(EDATE(B173,-12),Database!$A:$AS,MATCH($I$1,Database!$A$1:$AS$1,),)))))/(((VLOOKUP(EDATE(B173,-12),Database!$A:$AS,MATCH($I$1,Database!$A$1:$AS$1,),))))</f>
        <v>-1.9002375299564122E-2</v>
      </c>
      <c r="J173" s="13">
        <f>((((VLOOKUP(B173,Database!$A:$AS,MATCH($J$1,Database!$A$1:$AS$1,),))))-(((VLOOKUP(EDATE(B173,-12),Database!$A:$AS,MATCH($J$1,Database!$A$1:$AS$1,),)))))/(((VLOOKUP(EDATE(B173,-12),Database!$A:$AS,MATCH($J$1,Database!$A$1:$AS$1,),))))</f>
        <v>-1.9026817133765986E-2</v>
      </c>
      <c r="K173" s="13">
        <f>((((VLOOKUP(B173,Database!$A:$AS,MATCH($K$1,Database!$A$1:$AS$1,),))))-(((VLOOKUP(EDATE(B173,-12),Database!$A:$AS,MATCH($K$1,Database!$A$1:$AS$1,),)))))/(((VLOOKUP(EDATE(B173,-12),Database!$A:$AS,MATCH($K$1,Database!$A$1:$AS$1,),))))</f>
        <v>-2.0020020014409621E-3</v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>-1.0256128112584997E-2</v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>2.0628125010150194E-2</v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>4.7344397830343159E-2</v>
      </c>
      <c r="O173" s="13">
        <f>((((VLOOKUP(B173,Database!$A:$AS,MATCH($O$1,Database!$A$1:$AS$1,),))))-(((VLOOKUP(EDATE(B173,-12),Database!$A:$AS,MATCH($O$1,Database!$A$1:$AS$1,),)))))/(((VLOOKUP(EDATE(B173,-12),Database!$A:$AS,MATCH($O$1,Database!$A$1:$AS$1,),))))</f>
        <v>1.2852530398557977E-2</v>
      </c>
      <c r="P173" s="13">
        <f>((((VLOOKUP(B173,Database!$A:$AS,MATCH($P$1,Database!$A$1:$AS$1,),))))-(((VLOOKUP(EDATE(B173,-12),Database!$A:$AS,MATCH($P$1,Database!$A$1:$AS$1,),)))))/(((VLOOKUP(EDATE(B173,-12),Database!$A:$AS,MATCH($P$1,Database!$A$1:$AS$1,),))))</f>
        <v>5.4775844087255207E-2</v>
      </c>
      <c r="Q173" s="13">
        <f>((((VLOOKUP(B173,Database!$A:$AS,MATCH($Q$1,Database!$A$1:$AS$1,),))))-(((VLOOKUP(EDATE(B173,-12),Database!$A:$AS,MATCH($Q$1,Database!$A$1:$AS$1,),)))))/(((VLOOKUP(EDATE(B173,-12),Database!$A:$AS,MATCH($Q$1,Database!$A$1:$AS$1,),))))</f>
        <v>1.7016225059558306E-2</v>
      </c>
      <c r="R173" s="13">
        <f>((((VLOOKUP(B173,Database!$A:$AS,MATCH($R$1,Database!$A$1:$AS$1,),))))-(((VLOOKUP(EDATE(B173,-12),Database!$A:$AS,MATCH($R$1,Database!$A$1:$AS$1,),)))))/(((VLOOKUP(EDATE(B173,-12),Database!$A:$AS,MATCH($R$1,Database!$A$1:$AS$1,),))))</f>
        <v>-7.0472163999101304E-4</v>
      </c>
      <c r="S173" s="13">
        <f>((((VLOOKUP(B173,Database!$A:$AS,MATCH($S$1,Database!$A$1:$AS$1,),))))-(((VLOOKUP(EDATE(B173,-12),Database!$A:$AS,MATCH($S$1,Database!$A$1:$AS$1,),)))))/(((VLOOKUP(EDATE(B173,-12),Database!$A:$AS,MATCH($S$1,Database!$A$1:$AS$1,),))))</f>
        <v>0.141317365253393</v>
      </c>
      <c r="T173" s="13">
        <f>((((VLOOKUP(B173,Database!$A:$AS,MATCH($T$1,Database!$A$1:$AS$1,),))))-(((VLOOKUP(EDATE(B173,-12),Database!$A:$AS,MATCH($T$1,Database!$A$1:$AS$1,),)))))/(((VLOOKUP(EDATE(B173,-12),Database!$A:$AS,MATCH($T$1,Database!$A$1:$AS$1,),))))</f>
        <v>9.571788413885049E-2</v>
      </c>
      <c r="U173" s="13">
        <f>((((VLOOKUP(B173,Database!$A:$AS,MATCH($U$1,Database!$A$1:$AS$1,),))))-(((VLOOKUP(EDATE(B173,-12),Database!$A:$AS,MATCH($U$1,Database!$A$1:$AS$1,),)))))/(((VLOOKUP(EDATE(B173,-12),Database!$A:$AS,MATCH($U$1,Database!$A$1:$AS$1,),))))</f>
        <v>5.9880239454613285E-3</v>
      </c>
      <c r="V173" s="13">
        <f>((((VLOOKUP(B173,Database!$A:$AS,MATCH($V$1,Database!$A$1:$AS$1,),))))-(((VLOOKUP(EDATE(B173,-12),Database!$A:$AS,MATCH($V$1,Database!$A$1:$AS$1,),)))))/(((VLOOKUP(EDATE(B173,-12),Database!$A:$AS,MATCH($V$1,Database!$A$1:$AS$1,),))))</f>
        <v>2.3354564755838671E-2</v>
      </c>
    </row>
    <row r="174" spans="1:22" s="83" customFormat="1" x14ac:dyDescent="0.2">
      <c r="A174" s="43"/>
      <c r="B174" s="78">
        <v>37438</v>
      </c>
      <c r="C174" s="13">
        <f>((((VLOOKUP(B174,Database!$A:$AS,MATCH($C$1,Database!$A$1:$AS$1,),))))-(((VLOOKUP(EDATE(B174,-12),Database!$A:$AS,MATCH($C$1,Database!$A$1:$AS$1,),)))))/(((VLOOKUP(EDATE(B174,-12),Database!$A:$AS,MATCH($C$1,Database!$A$1:$AS$1,),))))</f>
        <v>1.5627339972230033E-2</v>
      </c>
      <c r="D174" s="13">
        <f>((((VLOOKUP(B174,Database!$A:$AS,MATCH($D$1,Database!$A$1:$AS$1,),))))-(((VLOOKUP(EDATE(B174,-12),Database!$A:$AS,MATCH($D$1,Database!$A$1:$AS$1,),)))))/(((VLOOKUP(EDATE(B174,-12),Database!$A:$AS,MATCH($D$1,Database!$A$1:$AS$1,),))))</f>
        <v>7.4074074074074372E-3</v>
      </c>
      <c r="E174" s="13">
        <f>((((VLOOKUP(B174,Database!$A:$AS,MATCH($E$1,Database!$A$1:$AS$1,),))))-(((VLOOKUP(EDATE(B174,-12),Database!$A:$AS,MATCH($E$1,Database!$A$1:$AS$1,),)))))/(((VLOOKUP(EDATE(B174,-12),Database!$A:$AS,MATCH($E$1,Database!$A$1:$AS$1,),))))</f>
        <v>6.4585575941135294E-3</v>
      </c>
      <c r="F174" s="13">
        <f>((((VLOOKUP(B174,Database!$A:$AS,MATCH($F$1,Database!$A$1:$AS$1,),))))-(((VLOOKUP(EDATE(B174,-12),Database!$A:$AS,MATCH($F$1,Database!$A$1:$AS$1,),)))))/(((VLOOKUP(EDATE(B174,-12),Database!$A:$AS,MATCH($F$1,Database!$A$1:$AS$1,),))))</f>
        <v>0</v>
      </c>
      <c r="G174" s="13">
        <f>((((VLOOKUP(B174,Database!$A:$AS,MATCH($G$1,Database!$A$1:$AS$1,),))))-(((VLOOKUP(EDATE(B174,-12),Database!$A:$AS,MATCH($G$1,Database!$A$1:$AS$1,),)))))/(((VLOOKUP(EDATE(B174,-12),Database!$A:$AS,MATCH($G$1,Database!$A$1:$AS$1,),))))</f>
        <v>-9.0427475337962106E-3</v>
      </c>
      <c r="H174" s="13">
        <f>((((VLOOKUP(B174,Database!$A:$AS,MATCH($H$1,Database!$A$1:$AS$1,),))))-(((VLOOKUP(EDATE(B174,-12),Database!$A:$AS,MATCH($H$1,Database!$A$1:$AS$1,),)))))/(((VLOOKUP(EDATE(B174,-12),Database!$A:$AS,MATCH($H$1,Database!$A$1:$AS$1,),))))</f>
        <v>7.4231177136413916E-3</v>
      </c>
      <c r="I174" s="13">
        <f>((((VLOOKUP(B174,Database!$A:$AS,MATCH($I$1,Database!$A$1:$AS$1,),))))-(((VLOOKUP(EDATE(B174,-12),Database!$A:$AS,MATCH($I$1,Database!$A$1:$AS$1,),)))))/(((VLOOKUP(EDATE(B174,-12),Database!$A:$AS,MATCH($I$1,Database!$A$1:$AS$1,),))))</f>
        <v>-3.2284100044944141E-3</v>
      </c>
      <c r="J174" s="13">
        <f>((((VLOOKUP(B174,Database!$A:$AS,MATCH($J$1,Database!$A$1:$AS$1,),))))-(((VLOOKUP(EDATE(B174,-12),Database!$A:$AS,MATCH($J$1,Database!$A$1:$AS$1,),)))))/(((VLOOKUP(EDATE(B174,-12),Database!$A:$AS,MATCH($J$1,Database!$A$1:$AS$1,),))))</f>
        <v>1.0765589830446108E-2</v>
      </c>
      <c r="K174" s="13">
        <f>((((VLOOKUP(B174,Database!$A:$AS,MATCH($K$1,Database!$A$1:$AS$1,),))))-(((VLOOKUP(EDATE(B174,-12),Database!$A:$AS,MATCH($K$1,Database!$A$1:$AS$1,),)))))/(((VLOOKUP(EDATE(B174,-12),Database!$A:$AS,MATCH($K$1,Database!$A$1:$AS$1,),))))</f>
        <v>6.0120240464095554E-3</v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>-1.7229998215564406E-2</v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>3.9048329034173261E-2</v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>6.6295223898957811E-2</v>
      </c>
      <c r="O174" s="13">
        <f>((((VLOOKUP(B174,Database!$A:$AS,MATCH($O$1,Database!$A$1:$AS$1,),))))-(((VLOOKUP(EDATE(B174,-12),Database!$A:$AS,MATCH($O$1,Database!$A$1:$AS$1,),)))))/(((VLOOKUP(EDATE(B174,-12),Database!$A:$AS,MATCH($O$1,Database!$A$1:$AS$1,),))))</f>
        <v>3.7811297104479176E-2</v>
      </c>
      <c r="P174" s="13">
        <f>((((VLOOKUP(B174,Database!$A:$AS,MATCH($P$1,Database!$A$1:$AS$1,),))))-(((VLOOKUP(EDATE(B174,-12),Database!$A:$AS,MATCH($P$1,Database!$A$1:$AS$1,),)))))/(((VLOOKUP(EDATE(B174,-12),Database!$A:$AS,MATCH($P$1,Database!$A$1:$AS$1,),))))</f>
        <v>0.1043876320719123</v>
      </c>
      <c r="Q174" s="13">
        <f>((((VLOOKUP(B174,Database!$A:$AS,MATCH($Q$1,Database!$A$1:$AS$1,),))))-(((VLOOKUP(EDATE(B174,-12),Database!$A:$AS,MATCH($Q$1,Database!$A$1:$AS$1,),)))))/(((VLOOKUP(EDATE(B174,-12),Database!$A:$AS,MATCH($Q$1,Database!$A$1:$AS$1,),))))</f>
        <v>2.3366594888336565E-2</v>
      </c>
      <c r="R174" s="13">
        <f>((((VLOOKUP(B174,Database!$A:$AS,MATCH($R$1,Database!$A$1:$AS$1,),))))-(((VLOOKUP(EDATE(B174,-12),Database!$A:$AS,MATCH($R$1,Database!$A$1:$AS$1,),)))))/(((VLOOKUP(EDATE(B174,-12),Database!$A:$AS,MATCH($R$1,Database!$A$1:$AS$1,),))))</f>
        <v>4.9575070821328967E-3</v>
      </c>
      <c r="S174" s="13">
        <f>((((VLOOKUP(B174,Database!$A:$AS,MATCH($S$1,Database!$A$1:$AS$1,),))))-(((VLOOKUP(EDATE(B174,-12),Database!$A:$AS,MATCH($S$1,Database!$A$1:$AS$1,),)))))/(((VLOOKUP(EDATE(B174,-12),Database!$A:$AS,MATCH($S$1,Database!$A$1:$AS$1,),))))</f>
        <v>0.13653603033958997</v>
      </c>
      <c r="T174" s="13">
        <f>((((VLOOKUP(B174,Database!$A:$AS,MATCH($T$1,Database!$A$1:$AS$1,),))))-(((VLOOKUP(EDATE(B174,-12),Database!$A:$AS,MATCH($T$1,Database!$A$1:$AS$1,),)))))/(((VLOOKUP(EDATE(B174,-12),Database!$A:$AS,MATCH($T$1,Database!$A$1:$AS$1,),))))</f>
        <v>9.45273631913819E-2</v>
      </c>
      <c r="U174" s="13">
        <f>((((VLOOKUP(B174,Database!$A:$AS,MATCH($U$1,Database!$A$1:$AS$1,),))))-(((VLOOKUP(EDATE(B174,-12),Database!$A:$AS,MATCH($U$1,Database!$A$1:$AS$1,),)))))/(((VLOOKUP(EDATE(B174,-12),Database!$A:$AS,MATCH($U$1,Database!$A$1:$AS$1,),))))</f>
        <v>4.7256097554119282E-2</v>
      </c>
      <c r="V174" s="13">
        <f>((((VLOOKUP(B174,Database!$A:$AS,MATCH($V$1,Database!$A$1:$AS$1,),))))-(((VLOOKUP(EDATE(B174,-12),Database!$A:$AS,MATCH($V$1,Database!$A$1:$AS$1,),)))))/(((VLOOKUP(EDATE(B174,-12),Database!$A:$AS,MATCH($V$1,Database!$A$1:$AS$1,),))))</f>
        <v>3.1712473572938694E-2</v>
      </c>
    </row>
    <row r="175" spans="1:22" s="83" customFormat="1" x14ac:dyDescent="0.2">
      <c r="A175" s="43"/>
      <c r="B175" s="78">
        <v>37469</v>
      </c>
      <c r="C175" s="13">
        <f>((((VLOOKUP(B175,Database!$A:$AS,MATCH($C$1,Database!$A$1:$AS$1,),))))-(((VLOOKUP(EDATE(B175,-12),Database!$A:$AS,MATCH($C$1,Database!$A$1:$AS$1,),)))))/(((VLOOKUP(EDATE(B175,-12),Database!$A:$AS,MATCH($C$1,Database!$A$1:$AS$1,),))))</f>
        <v>1.5676218733776434E-2</v>
      </c>
      <c r="D175" s="13">
        <f>((((VLOOKUP(B175,Database!$A:$AS,MATCH($D$1,Database!$A$1:$AS$1,),))))-(((VLOOKUP(EDATE(B175,-12),Database!$A:$AS,MATCH($D$1,Database!$A$1:$AS$1,),)))))/(((VLOOKUP(EDATE(B175,-12),Database!$A:$AS,MATCH($D$1,Database!$A$1:$AS$1,),))))</f>
        <v>-1.2396694214876063E-2</v>
      </c>
      <c r="E175" s="13">
        <f>((((VLOOKUP(B175,Database!$A:$AS,MATCH($E$1,Database!$A$1:$AS$1,),))))-(((VLOOKUP(EDATE(B175,-12),Database!$A:$AS,MATCH($E$1,Database!$A$1:$AS$1,),)))))/(((VLOOKUP(EDATE(B175,-12),Database!$A:$AS,MATCH($E$1,Database!$A$1:$AS$1,),))))</f>
        <v>2.5109170314410872E-2</v>
      </c>
      <c r="F175" s="13">
        <f>((((VLOOKUP(B175,Database!$A:$AS,MATCH($F$1,Database!$A$1:$AS$1,),))))-(((VLOOKUP(EDATE(B175,-12),Database!$A:$AS,MATCH($F$1,Database!$A$1:$AS$1,),)))))/(((VLOOKUP(EDATE(B175,-12),Database!$A:$AS,MATCH($F$1,Database!$A$1:$AS$1,),))))</f>
        <v>-3.6764705871989048E-3</v>
      </c>
      <c r="G175" s="13">
        <f>((((VLOOKUP(B175,Database!$A:$AS,MATCH($G$1,Database!$A$1:$AS$1,),))))-(((VLOOKUP(EDATE(B175,-12),Database!$A:$AS,MATCH($G$1,Database!$A$1:$AS$1,),)))))/(((VLOOKUP(EDATE(B175,-12),Database!$A:$AS,MATCH($G$1,Database!$A$1:$AS$1,),))))</f>
        <v>-1.4885462162403081E-2</v>
      </c>
      <c r="H175" s="13">
        <f>((((VLOOKUP(B175,Database!$A:$AS,MATCH($H$1,Database!$A$1:$AS$1,),))))-(((VLOOKUP(EDATE(B175,-12),Database!$A:$AS,MATCH($H$1,Database!$A$1:$AS$1,),)))))/(((VLOOKUP(EDATE(B175,-12),Database!$A:$AS,MATCH($H$1,Database!$A$1:$AS$1,),))))</f>
        <v>-2.8955532581586715E-2</v>
      </c>
      <c r="I175" s="13">
        <f>((((VLOOKUP(B175,Database!$A:$AS,MATCH($I$1,Database!$A$1:$AS$1,),))))-(((VLOOKUP(EDATE(B175,-12),Database!$A:$AS,MATCH($I$1,Database!$A$1:$AS$1,),)))))/(((VLOOKUP(EDATE(B175,-12),Database!$A:$AS,MATCH($I$1,Database!$A$1:$AS$1,),))))</f>
        <v>-3.330689928505428E-2</v>
      </c>
      <c r="J175" s="13">
        <f>((((VLOOKUP(B175,Database!$A:$AS,MATCH($J$1,Database!$A$1:$AS$1,),))))-(((VLOOKUP(EDATE(B175,-12),Database!$A:$AS,MATCH($J$1,Database!$A$1:$AS$1,),)))))/(((VLOOKUP(EDATE(B175,-12),Database!$A:$AS,MATCH($J$1,Database!$A$1:$AS$1,),))))</f>
        <v>-2.2697820848899413E-2</v>
      </c>
      <c r="K175" s="13">
        <f>((((VLOOKUP(B175,Database!$A:$AS,MATCH($K$1,Database!$A$1:$AS$1,),))))-(((VLOOKUP(EDATE(B175,-12),Database!$A:$AS,MATCH($K$1,Database!$A$1:$AS$1,),)))))/(((VLOOKUP(EDATE(B175,-12),Database!$A:$AS,MATCH($K$1,Database!$A$1:$AS$1,),))))</f>
        <v>-1.8627450975279142E-2</v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>-7.0060180649905877E-3</v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>5.6516544528568288E-2</v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>6.4044905305739197E-2</v>
      </c>
      <c r="O175" s="13">
        <f>((((VLOOKUP(B175,Database!$A:$AS,MATCH($O$1,Database!$A$1:$AS$1,),))))-(((VLOOKUP(EDATE(B175,-12),Database!$A:$AS,MATCH($O$1,Database!$A$1:$AS$1,),)))))/(((VLOOKUP(EDATE(B175,-12),Database!$A:$AS,MATCH($O$1,Database!$A$1:$AS$1,),))))</f>
        <v>3.0214383140011104E-2</v>
      </c>
      <c r="P175" s="13">
        <f>((((VLOOKUP(B175,Database!$A:$AS,MATCH($P$1,Database!$A$1:$AS$1,),))))-(((VLOOKUP(EDATE(B175,-12),Database!$A:$AS,MATCH($P$1,Database!$A$1:$AS$1,),)))))/(((VLOOKUP(EDATE(B175,-12),Database!$A:$AS,MATCH($P$1,Database!$A$1:$AS$1,),))))</f>
        <v>8.9222455719800184E-2</v>
      </c>
      <c r="Q175" s="13">
        <f>((((VLOOKUP(B175,Database!$A:$AS,MATCH($Q$1,Database!$A$1:$AS$1,),))))-(((VLOOKUP(EDATE(B175,-12),Database!$A:$AS,MATCH($Q$1,Database!$A$1:$AS$1,),)))))/(((VLOOKUP(EDATE(B175,-12),Database!$A:$AS,MATCH($Q$1,Database!$A$1:$AS$1,),))))</f>
        <v>9.0357802677563763E-3</v>
      </c>
      <c r="R175" s="13">
        <f>((((VLOOKUP(B175,Database!$A:$AS,MATCH($R$1,Database!$A$1:$AS$1,),))))-(((VLOOKUP(EDATE(B175,-12),Database!$A:$AS,MATCH($R$1,Database!$A$1:$AS$1,),)))))/(((VLOOKUP(EDATE(B175,-12),Database!$A:$AS,MATCH($R$1,Database!$A$1:$AS$1,),))))</f>
        <v>-2.7196652718613559E-2</v>
      </c>
      <c r="S175" s="13">
        <f>((((VLOOKUP(B175,Database!$A:$AS,MATCH($S$1,Database!$A$1:$AS$1,),))))-(((VLOOKUP(EDATE(B175,-12),Database!$A:$AS,MATCH($S$1,Database!$A$1:$AS$1,),)))))/(((VLOOKUP(EDATE(B175,-12),Database!$A:$AS,MATCH($S$1,Database!$A$1:$AS$1,),))))</f>
        <v>6.7065868261660902E-2</v>
      </c>
      <c r="T175" s="13">
        <f>((((VLOOKUP(B175,Database!$A:$AS,MATCH($T$1,Database!$A$1:$AS$1,),))))-(((VLOOKUP(EDATE(B175,-12),Database!$A:$AS,MATCH($T$1,Database!$A$1:$AS$1,),)))))/(((VLOOKUP(EDATE(B175,-12),Database!$A:$AS,MATCH($T$1,Database!$A$1:$AS$1,),))))</f>
        <v>6.5217391311174711E-2</v>
      </c>
      <c r="U175" s="13">
        <f>((((VLOOKUP(B175,Database!$A:$AS,MATCH($U$1,Database!$A$1:$AS$1,),))))-(((VLOOKUP(EDATE(B175,-12),Database!$A:$AS,MATCH($U$1,Database!$A$1:$AS$1,),)))))/(((VLOOKUP(EDATE(B175,-12),Database!$A:$AS,MATCH($U$1,Database!$A$1:$AS$1,),))))</f>
        <v>2.9850746235682065E-3</v>
      </c>
      <c r="V175" s="13">
        <f>((((VLOOKUP(B175,Database!$A:$AS,MATCH($V$1,Database!$A$1:$AS$1,),))))-(((VLOOKUP(EDATE(B175,-12),Database!$A:$AS,MATCH($V$1,Database!$A$1:$AS$1,),)))))/(((VLOOKUP(EDATE(B175,-12),Database!$A:$AS,MATCH($V$1,Database!$A$1:$AS$1,),))))</f>
        <v>1.2295081967213144E-2</v>
      </c>
    </row>
    <row r="176" spans="1:22" s="83" customFormat="1" x14ac:dyDescent="0.2">
      <c r="A176" s="43"/>
      <c r="B176" s="78">
        <v>37500</v>
      </c>
      <c r="C176" s="13">
        <f>((((VLOOKUP(B176,Database!$A:$AS,MATCH($C$1,Database!$A$1:$AS$1,),))))-(((VLOOKUP(EDATE(B176,-12),Database!$A:$AS,MATCH($C$1,Database!$A$1:$AS$1,),)))))/(((VLOOKUP(EDATE(B176,-12),Database!$A:$AS,MATCH($C$1,Database!$A$1:$AS$1,),))))</f>
        <v>2.21183408349875E-2</v>
      </c>
      <c r="D176" s="13">
        <f>((((VLOOKUP(B176,Database!$A:$AS,MATCH($D$1,Database!$A$1:$AS$1,),))))-(((VLOOKUP(EDATE(B176,-12),Database!$A:$AS,MATCH($D$1,Database!$A$1:$AS$1,),)))))/(((VLOOKUP(EDATE(B176,-12),Database!$A:$AS,MATCH($D$1,Database!$A$1:$AS$1,),))))</f>
        <v>5.2410901467505235E-3</v>
      </c>
      <c r="E176" s="13">
        <f>((((VLOOKUP(B176,Database!$A:$AS,MATCH($E$1,Database!$A$1:$AS$1,),))))-(((VLOOKUP(EDATE(B176,-12),Database!$A:$AS,MATCH($E$1,Database!$A$1:$AS$1,),)))))/(((VLOOKUP(EDATE(B176,-12),Database!$A:$AS,MATCH($E$1,Database!$A$1:$AS$1,),))))</f>
        <v>5.1167964401402442E-2</v>
      </c>
      <c r="F176" s="13">
        <f>((((VLOOKUP(B176,Database!$A:$AS,MATCH($F$1,Database!$A$1:$AS$1,),))))-(((VLOOKUP(EDATE(B176,-12),Database!$A:$AS,MATCH($F$1,Database!$A$1:$AS$1,),)))))/(((VLOOKUP(EDATE(B176,-12),Database!$A:$AS,MATCH($F$1,Database!$A$1:$AS$1,),))))</f>
        <v>-3.7267080734846884E-3</v>
      </c>
      <c r="G176" s="13">
        <f>((((VLOOKUP(B176,Database!$A:$AS,MATCH($G$1,Database!$A$1:$AS$1,),))))-(((VLOOKUP(EDATE(B176,-12),Database!$A:$AS,MATCH($G$1,Database!$A$1:$AS$1,),)))))/(((VLOOKUP(EDATE(B176,-12),Database!$A:$AS,MATCH($G$1,Database!$A$1:$AS$1,),))))</f>
        <v>-1.2127794370531172E-2</v>
      </c>
      <c r="H176" s="13">
        <f>((((VLOOKUP(B176,Database!$A:$AS,MATCH($H$1,Database!$A$1:$AS$1,),))))-(((VLOOKUP(EDATE(B176,-12),Database!$A:$AS,MATCH($H$1,Database!$A$1:$AS$1,),)))))/(((VLOOKUP(EDATE(B176,-12),Database!$A:$AS,MATCH($H$1,Database!$A$1:$AS$1,),))))</f>
        <v>-2.0746887971607793E-2</v>
      </c>
      <c r="I176" s="13">
        <f>((((VLOOKUP(B176,Database!$A:$AS,MATCH($I$1,Database!$A$1:$AS$1,),))))-(((VLOOKUP(EDATE(B176,-12),Database!$A:$AS,MATCH($I$1,Database!$A$1:$AS$1,),)))))/(((VLOOKUP(EDATE(B176,-12),Database!$A:$AS,MATCH($I$1,Database!$A$1:$AS$1,),))))</f>
        <v>8.0515298421373596E-4</v>
      </c>
      <c r="J176" s="13">
        <f>((((VLOOKUP(B176,Database!$A:$AS,MATCH($J$1,Database!$A$1:$AS$1,),))))-(((VLOOKUP(EDATE(B176,-12),Database!$A:$AS,MATCH($J$1,Database!$A$1:$AS$1,),)))))/(((VLOOKUP(EDATE(B176,-12),Database!$A:$AS,MATCH($J$1,Database!$A$1:$AS$1,),))))</f>
        <v>-6.5025318691884775E-4</v>
      </c>
      <c r="K176" s="13">
        <f>((((VLOOKUP(B176,Database!$A:$AS,MATCH($K$1,Database!$A$1:$AS$1,),))))-(((VLOOKUP(EDATE(B176,-12),Database!$A:$AS,MATCH($K$1,Database!$A$1:$AS$1,),)))))/(((VLOOKUP(EDATE(B176,-12),Database!$A:$AS,MATCH($K$1,Database!$A$1:$AS$1,),))))</f>
        <v>-6.9444444425156432E-3</v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>-1.085677305796968E-2</v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>3.7467241593080847E-2</v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>5.746696492900228E-2</v>
      </c>
      <c r="O176" s="13">
        <f>((((VLOOKUP(B176,Database!$A:$AS,MATCH($O$1,Database!$A$1:$AS$1,),))))-(((VLOOKUP(EDATE(B176,-12),Database!$A:$AS,MATCH($O$1,Database!$A$1:$AS$1,),)))))/(((VLOOKUP(EDATE(B176,-12),Database!$A:$AS,MATCH($O$1,Database!$A$1:$AS$1,),))))</f>
        <v>3.6728233718302958E-2</v>
      </c>
      <c r="P176" s="13">
        <f>((((VLOOKUP(B176,Database!$A:$AS,MATCH($P$1,Database!$A$1:$AS$1,),))))-(((VLOOKUP(EDATE(B176,-12),Database!$A:$AS,MATCH($P$1,Database!$A$1:$AS$1,),)))))/(((VLOOKUP(EDATE(B176,-12),Database!$A:$AS,MATCH($P$1,Database!$A$1:$AS$1,),))))</f>
        <v>7.299095581265809E-2</v>
      </c>
      <c r="Q176" s="13">
        <f>((((VLOOKUP(B176,Database!$A:$AS,MATCH($Q$1,Database!$A$1:$AS$1,),))))-(((VLOOKUP(EDATE(B176,-12),Database!$A:$AS,MATCH($Q$1,Database!$A$1:$AS$1,),)))))/(((VLOOKUP(EDATE(B176,-12),Database!$A:$AS,MATCH($Q$1,Database!$A$1:$AS$1,),))))</f>
        <v>4.1809778219893429E-2</v>
      </c>
      <c r="R176" s="13">
        <f>((((VLOOKUP(B176,Database!$A:$AS,MATCH($R$1,Database!$A$1:$AS$1,),))))-(((VLOOKUP(EDATE(B176,-12),Database!$A:$AS,MATCH($R$1,Database!$A$1:$AS$1,),)))))/(((VLOOKUP(EDATE(B176,-12),Database!$A:$AS,MATCH($R$1,Database!$A$1:$AS$1,),))))</f>
        <v>-1.2729844412001335E-2</v>
      </c>
      <c r="S176" s="13">
        <f>((((VLOOKUP(B176,Database!$A:$AS,MATCH($S$1,Database!$A$1:$AS$1,),))))-(((VLOOKUP(EDATE(B176,-12),Database!$A:$AS,MATCH($S$1,Database!$A$1:$AS$1,),)))))/(((VLOOKUP(EDATE(B176,-12),Database!$A:$AS,MATCH($S$1,Database!$A$1:$AS$1,),))))</f>
        <v>0.122871046225544</v>
      </c>
      <c r="T176" s="13">
        <f>((((VLOOKUP(B176,Database!$A:$AS,MATCH($T$1,Database!$A$1:$AS$1,),))))-(((VLOOKUP(EDATE(B176,-12),Database!$A:$AS,MATCH($T$1,Database!$A$1:$AS$1,),)))))/(((VLOOKUP(EDATE(B176,-12),Database!$A:$AS,MATCH($T$1,Database!$A$1:$AS$1,),))))</f>
        <v>0.10194174756821993</v>
      </c>
      <c r="U176" s="13">
        <f>((((VLOOKUP(B176,Database!$A:$AS,MATCH($U$1,Database!$A$1:$AS$1,),))))-(((VLOOKUP(EDATE(B176,-12),Database!$A:$AS,MATCH($U$1,Database!$A$1:$AS$1,),)))))/(((VLOOKUP(EDATE(B176,-12),Database!$A:$AS,MATCH($U$1,Database!$A$1:$AS$1,),))))</f>
        <v>3.6199095028016895E-2</v>
      </c>
      <c r="V176" s="13">
        <f>((((VLOOKUP(B176,Database!$A:$AS,MATCH($V$1,Database!$A$1:$AS$1,),))))-(((VLOOKUP(EDATE(B176,-12),Database!$A:$AS,MATCH($V$1,Database!$A$1:$AS$1,),)))))/(((VLOOKUP(EDATE(B176,-12),Database!$A:$AS,MATCH($V$1,Database!$A$1:$AS$1,),))))</f>
        <v>4.2016806722689072E-2</v>
      </c>
    </row>
    <row r="177" spans="1:22" s="83" customFormat="1" x14ac:dyDescent="0.2">
      <c r="A177" s="43"/>
      <c r="B177" s="78">
        <v>37530</v>
      </c>
      <c r="C177" s="13">
        <f>((((VLOOKUP(B177,Database!$A:$AS,MATCH($C$1,Database!$A$1:$AS$1,),))))-(((VLOOKUP(EDATE(B177,-12),Database!$A:$AS,MATCH($C$1,Database!$A$1:$AS$1,),)))))/(((VLOOKUP(EDATE(B177,-12),Database!$A:$AS,MATCH($C$1,Database!$A$1:$AS$1,),))))</f>
        <v>2.2478324401556903E-2</v>
      </c>
      <c r="D177" s="13">
        <f>((((VLOOKUP(B177,Database!$A:$AS,MATCH($D$1,Database!$A$1:$AS$1,),))))-(((VLOOKUP(EDATE(B177,-12),Database!$A:$AS,MATCH($D$1,Database!$A$1:$AS$1,),)))))/(((VLOOKUP(EDATE(B177,-12),Database!$A:$AS,MATCH($D$1,Database!$A$1:$AS$1,),))))</f>
        <v>1.1677282377919261E-2</v>
      </c>
      <c r="E177" s="13">
        <f>((((VLOOKUP(B177,Database!$A:$AS,MATCH($E$1,Database!$A$1:$AS$1,),))))-(((VLOOKUP(EDATE(B177,-12),Database!$A:$AS,MATCH($E$1,Database!$A$1:$AS$1,),)))))/(((VLOOKUP(EDATE(B177,-12),Database!$A:$AS,MATCH($E$1,Database!$A$1:$AS$1,),))))</f>
        <v>5.1167964401402442E-2</v>
      </c>
      <c r="F177" s="13">
        <f>((((VLOOKUP(B177,Database!$A:$AS,MATCH($F$1,Database!$A$1:$AS$1,),))))-(((VLOOKUP(EDATE(B177,-12),Database!$A:$AS,MATCH($F$1,Database!$A$1:$AS$1,),)))))/(((VLOOKUP(EDATE(B177,-12),Database!$A:$AS,MATCH($F$1,Database!$A$1:$AS$1,),))))</f>
        <v>6.3211125055891333E-3</v>
      </c>
      <c r="G177" s="13">
        <f>((((VLOOKUP(B177,Database!$A:$AS,MATCH($G$1,Database!$A$1:$AS$1,),))))-(((VLOOKUP(EDATE(B177,-12),Database!$A:$AS,MATCH($G$1,Database!$A$1:$AS$1,),)))))/(((VLOOKUP(EDATE(B177,-12),Database!$A:$AS,MATCH($G$1,Database!$A$1:$AS$1,),))))</f>
        <v>-1.3123120386402967E-2</v>
      </c>
      <c r="H177" s="13">
        <f>((((VLOOKUP(B177,Database!$A:$AS,MATCH($H$1,Database!$A$1:$AS$1,),))))-(((VLOOKUP(EDATE(B177,-12),Database!$A:$AS,MATCH($H$1,Database!$A$1:$AS$1,),)))))/(((VLOOKUP(EDATE(B177,-12),Database!$A:$AS,MATCH($H$1,Database!$A$1:$AS$1,),))))</f>
        <v>-5.1867219914551004E-2</v>
      </c>
      <c r="I177" s="13">
        <f>((((VLOOKUP(B177,Database!$A:$AS,MATCH($I$1,Database!$A$1:$AS$1,),))))-(((VLOOKUP(EDATE(B177,-12),Database!$A:$AS,MATCH($I$1,Database!$A$1:$AS$1,),)))))/(((VLOOKUP(EDATE(B177,-12),Database!$A:$AS,MATCH($I$1,Database!$A$1:$AS$1,),))))</f>
        <v>-5.6680161981547579E-3</v>
      </c>
      <c r="J177" s="13">
        <f>((((VLOOKUP(B177,Database!$A:$AS,MATCH($J$1,Database!$A$1:$AS$1,),))))-(((VLOOKUP(EDATE(B177,-12),Database!$A:$AS,MATCH($J$1,Database!$A$1:$AS$1,),)))))/(((VLOOKUP(EDATE(B177,-12),Database!$A:$AS,MATCH($J$1,Database!$A$1:$AS$1,),))))</f>
        <v>1.9135650317695076E-2</v>
      </c>
      <c r="K177" s="13">
        <f>((((VLOOKUP(B177,Database!$A:$AS,MATCH($K$1,Database!$A$1:$AS$1,),))))-(((VLOOKUP(EDATE(B177,-12),Database!$A:$AS,MATCH($K$1,Database!$A$1:$AS$1,),)))))/(((VLOOKUP(EDATE(B177,-12),Database!$A:$AS,MATCH($K$1,Database!$A$1:$AS$1,),))))</f>
        <v>-1.9801980192529541E-3</v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>1.7909530691271963E-2</v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>3.3316890601681262E-2</v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>6.5089336196711117E-2</v>
      </c>
      <c r="O177" s="13">
        <f>((((VLOOKUP(B177,Database!$A:$AS,MATCH($O$1,Database!$A$1:$AS$1,),))))-(((VLOOKUP(EDATE(B177,-12),Database!$A:$AS,MATCH($O$1,Database!$A$1:$AS$1,),)))))/(((VLOOKUP(EDATE(B177,-12),Database!$A:$AS,MATCH($O$1,Database!$A$1:$AS$1,),))))</f>
        <v>4.0658669280077428E-2</v>
      </c>
      <c r="P177" s="13">
        <f>((((VLOOKUP(B177,Database!$A:$AS,MATCH($P$1,Database!$A$1:$AS$1,),))))-(((VLOOKUP(EDATE(B177,-12),Database!$A:$AS,MATCH($P$1,Database!$A$1:$AS$1,),)))))/(((VLOOKUP(EDATE(B177,-12),Database!$A:$AS,MATCH($P$1,Database!$A$1:$AS$1,),))))</f>
        <v>8.0229962275110159E-2</v>
      </c>
      <c r="Q177" s="13">
        <f>((((VLOOKUP(B177,Database!$A:$AS,MATCH($Q$1,Database!$A$1:$AS$1,),))))-(((VLOOKUP(EDATE(B177,-12),Database!$A:$AS,MATCH($Q$1,Database!$A$1:$AS$1,),)))))/(((VLOOKUP(EDATE(B177,-12),Database!$A:$AS,MATCH($Q$1,Database!$A$1:$AS$1,),))))</f>
        <v>7.4321000728671469E-2</v>
      </c>
      <c r="R177" s="13">
        <f>((((VLOOKUP(B177,Database!$A:$AS,MATCH($R$1,Database!$A$1:$AS$1,),))))-(((VLOOKUP(EDATE(B177,-12),Database!$A:$AS,MATCH($R$1,Database!$A$1:$AS$1,),)))))/(((VLOOKUP(EDATE(B177,-12),Database!$A:$AS,MATCH($R$1,Database!$A$1:$AS$1,),))))</f>
        <v>3.5014005642302936E-3</v>
      </c>
      <c r="S177" s="13">
        <f>((((VLOOKUP(B177,Database!$A:$AS,MATCH($S$1,Database!$A$1:$AS$1,),))))-(((VLOOKUP(EDATE(B177,-12),Database!$A:$AS,MATCH($S$1,Database!$A$1:$AS$1,),)))))/(((VLOOKUP(EDATE(B177,-12),Database!$A:$AS,MATCH($S$1,Database!$A$1:$AS$1,),))))</f>
        <v>0.12531645568143698</v>
      </c>
      <c r="T177" s="13">
        <f>((((VLOOKUP(B177,Database!$A:$AS,MATCH($T$1,Database!$A$1:$AS$1,),))))-(((VLOOKUP(EDATE(B177,-12),Database!$A:$AS,MATCH($T$1,Database!$A$1:$AS$1,),)))))/(((VLOOKUP(EDATE(B177,-12),Database!$A:$AS,MATCH($T$1,Database!$A$1:$AS$1,),))))</f>
        <v>0.1388174807343342</v>
      </c>
      <c r="U177" s="13">
        <f>((((VLOOKUP(B177,Database!$A:$AS,MATCH($U$1,Database!$A$1:$AS$1,),))))-(((VLOOKUP(EDATE(B177,-12),Database!$A:$AS,MATCH($U$1,Database!$A$1:$AS$1,),)))))/(((VLOOKUP(EDATE(B177,-12),Database!$A:$AS,MATCH($U$1,Database!$A$1:$AS$1,),))))</f>
        <v>4.6476761612603536E-2</v>
      </c>
      <c r="V177" s="13">
        <f>((((VLOOKUP(B177,Database!$A:$AS,MATCH($V$1,Database!$A$1:$AS$1,),))))-(((VLOOKUP(EDATE(B177,-12),Database!$A:$AS,MATCH($V$1,Database!$A$1:$AS$1,),)))))/(((VLOOKUP(EDATE(B177,-12),Database!$A:$AS,MATCH($V$1,Database!$A$1:$AS$1,),))))</f>
        <v>2.9288702928870414E-2</v>
      </c>
    </row>
    <row r="178" spans="1:22" s="83" customFormat="1" x14ac:dyDescent="0.2">
      <c r="A178" s="43"/>
      <c r="B178" s="78">
        <v>37561</v>
      </c>
      <c r="C178" s="13">
        <f>((((VLOOKUP(B178,Database!$A:$AS,MATCH($C$1,Database!$A$1:$AS$1,),))))-(((VLOOKUP(EDATE(B178,-12),Database!$A:$AS,MATCH($C$1,Database!$A$1:$AS$1,),)))))/(((VLOOKUP(EDATE(B178,-12),Database!$A:$AS,MATCH($C$1,Database!$A$1:$AS$1,),))))</f>
        <v>3.4399551449686608E-2</v>
      </c>
      <c r="D178" s="13">
        <f>((((VLOOKUP(B178,Database!$A:$AS,MATCH($D$1,Database!$A$1:$AS$1,),))))-(((VLOOKUP(EDATE(B178,-12),Database!$A:$AS,MATCH($D$1,Database!$A$1:$AS$1,),)))))/(((VLOOKUP(EDATE(B178,-12),Database!$A:$AS,MATCH($D$1,Database!$A$1:$AS$1,),))))</f>
        <v>2.5668449197861022E-2</v>
      </c>
      <c r="E178" s="13">
        <f>((((VLOOKUP(B178,Database!$A:$AS,MATCH($E$1,Database!$A$1:$AS$1,),))))-(((VLOOKUP(EDATE(B178,-12),Database!$A:$AS,MATCH($E$1,Database!$A$1:$AS$1,),)))))/(((VLOOKUP(EDATE(B178,-12),Database!$A:$AS,MATCH($E$1,Database!$A$1:$AS$1,),))))</f>
        <v>6.666666666666661E-2</v>
      </c>
      <c r="F178" s="13">
        <f>((((VLOOKUP(B178,Database!$A:$AS,MATCH($F$1,Database!$A$1:$AS$1,),))))-(((VLOOKUP(EDATE(B178,-12),Database!$A:$AS,MATCH($F$1,Database!$A$1:$AS$1,),)))))/(((VLOOKUP(EDATE(B178,-12),Database!$A:$AS,MATCH($F$1,Database!$A$1:$AS$1,),))))</f>
        <v>3.7131882196271004E-2</v>
      </c>
      <c r="G178" s="13">
        <f>((((VLOOKUP(B178,Database!$A:$AS,MATCH($G$1,Database!$A$1:$AS$1,),))))-(((VLOOKUP(EDATE(B178,-12),Database!$A:$AS,MATCH($G$1,Database!$A$1:$AS$1,),)))))/(((VLOOKUP(EDATE(B178,-12),Database!$A:$AS,MATCH($G$1,Database!$A$1:$AS$1,),))))</f>
        <v>7.8348234860356591E-3</v>
      </c>
      <c r="H178" s="13">
        <f>((((VLOOKUP(B178,Database!$A:$AS,MATCH($H$1,Database!$A$1:$AS$1,),))))-(((VLOOKUP(EDATE(B178,-12),Database!$A:$AS,MATCH($H$1,Database!$A$1:$AS$1,),)))))/(((VLOOKUP(EDATE(B178,-12),Database!$A:$AS,MATCH($H$1,Database!$A$1:$AS$1,),))))</f>
        <v>-5.7613168727940957E-2</v>
      </c>
      <c r="I178" s="13">
        <f>((((VLOOKUP(B178,Database!$A:$AS,MATCH($I$1,Database!$A$1:$AS$1,),))))-(((VLOOKUP(EDATE(B178,-12),Database!$A:$AS,MATCH($I$1,Database!$A$1:$AS$1,),)))))/(((VLOOKUP(EDATE(B178,-12),Database!$A:$AS,MATCH($I$1,Database!$A$1:$AS$1,),))))</f>
        <v>2.7115858669647816E-2</v>
      </c>
      <c r="J178" s="13">
        <f>((((VLOOKUP(B178,Database!$A:$AS,MATCH($J$1,Database!$A$1:$AS$1,),))))-(((VLOOKUP(EDATE(B178,-12),Database!$A:$AS,MATCH($J$1,Database!$A$1:$AS$1,),)))))/(((VLOOKUP(EDATE(B178,-12),Database!$A:$AS,MATCH($J$1,Database!$A$1:$AS$1,),))))</f>
        <v>3.0152891420271354E-2</v>
      </c>
      <c r="K178" s="13">
        <f>((((VLOOKUP(B178,Database!$A:$AS,MATCH($K$1,Database!$A$1:$AS$1,),))))-(((VLOOKUP(EDATE(B178,-12),Database!$A:$AS,MATCH($K$1,Database!$A$1:$AS$1,),)))))/(((VLOOKUP(EDATE(B178,-12),Database!$A:$AS,MATCH($K$1,Database!$A$1:$AS$1,),))))</f>
        <v>2.9556650238152359E-3</v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>-8.7582861158329792E-3</v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>1.1579404670898285E-2</v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>4.6887555416730085E-2</v>
      </c>
      <c r="O178" s="13">
        <f>((((VLOOKUP(B178,Database!$A:$AS,MATCH($O$1,Database!$A$1:$AS$1,),))))-(((VLOOKUP(EDATE(B178,-12),Database!$A:$AS,MATCH($O$1,Database!$A$1:$AS$1,),)))))/(((VLOOKUP(EDATE(B178,-12),Database!$A:$AS,MATCH($O$1,Database!$A$1:$AS$1,),))))</f>
        <v>3.3172681933697899E-2</v>
      </c>
      <c r="P178" s="13">
        <f>((((VLOOKUP(B178,Database!$A:$AS,MATCH($P$1,Database!$A$1:$AS$1,),))))-(((VLOOKUP(EDATE(B178,-12),Database!$A:$AS,MATCH($P$1,Database!$A$1:$AS$1,),)))))/(((VLOOKUP(EDATE(B178,-12),Database!$A:$AS,MATCH($P$1,Database!$A$1:$AS$1,),))))</f>
        <v>9.1091445424674705E-2</v>
      </c>
      <c r="Q178" s="13">
        <f>((((VLOOKUP(B178,Database!$A:$AS,MATCH($Q$1,Database!$A$1:$AS$1,),))))-(((VLOOKUP(EDATE(B178,-12),Database!$A:$AS,MATCH($Q$1,Database!$A$1:$AS$1,),)))))/(((VLOOKUP(EDATE(B178,-12),Database!$A:$AS,MATCH($Q$1,Database!$A$1:$AS$1,),))))</f>
        <v>6.3284893370509895E-2</v>
      </c>
      <c r="R178" s="13">
        <f>((((VLOOKUP(B178,Database!$A:$AS,MATCH($R$1,Database!$A$1:$AS$1,),))))-(((VLOOKUP(EDATE(B178,-12),Database!$A:$AS,MATCH($R$1,Database!$A$1:$AS$1,),)))))/(((VLOOKUP(EDATE(B178,-12),Database!$A:$AS,MATCH($R$1,Database!$A$1:$AS$1,),))))</f>
        <v>-9.6618357487922874E-3</v>
      </c>
      <c r="S178" s="13">
        <f>((((VLOOKUP(B178,Database!$A:$AS,MATCH($S$1,Database!$A$1:$AS$1,),))))-(((VLOOKUP(EDATE(B178,-12),Database!$A:$AS,MATCH($S$1,Database!$A$1:$AS$1,),)))))/(((VLOOKUP(EDATE(B178,-12),Database!$A:$AS,MATCH($S$1,Database!$A$1:$AS$1,),))))</f>
        <v>0.12422360248538203</v>
      </c>
      <c r="T178" s="13">
        <f>((((VLOOKUP(B178,Database!$A:$AS,MATCH($T$1,Database!$A$1:$AS$1,),))))-(((VLOOKUP(EDATE(B178,-12),Database!$A:$AS,MATCH($T$1,Database!$A$1:$AS$1,),)))))/(((VLOOKUP(EDATE(B178,-12),Database!$A:$AS,MATCH($T$1,Database!$A$1:$AS$1,),))))</f>
        <v>9.5959595966611022E-2</v>
      </c>
      <c r="U178" s="13">
        <f>((((VLOOKUP(B178,Database!$A:$AS,MATCH($U$1,Database!$A$1:$AS$1,),))))-(((VLOOKUP(EDATE(B178,-12),Database!$A:$AS,MATCH($U$1,Database!$A$1:$AS$1,),)))))/(((VLOOKUP(EDATE(B178,-12),Database!$A:$AS,MATCH($U$1,Database!$A$1:$AS$1,),))))</f>
        <v>5.5059523808416271E-2</v>
      </c>
      <c r="V178" s="13">
        <f>((((VLOOKUP(B178,Database!$A:$AS,MATCH($V$1,Database!$A$1:$AS$1,),))))-(((VLOOKUP(EDATE(B178,-12),Database!$A:$AS,MATCH($V$1,Database!$A$1:$AS$1,),)))))/(((VLOOKUP(EDATE(B178,-12),Database!$A:$AS,MATCH($V$1,Database!$A$1:$AS$1,),))))</f>
        <v>7.6271186440677846E-2</v>
      </c>
    </row>
    <row r="179" spans="1:22" s="83" customFormat="1" x14ac:dyDescent="0.2">
      <c r="A179" s="43"/>
      <c r="B179" s="78">
        <v>37591</v>
      </c>
      <c r="C179" s="13">
        <f>((((VLOOKUP(B179,Database!$A:$AS,MATCH($C$1,Database!$A$1:$AS$1,),))))-(((VLOOKUP(EDATE(B179,-12),Database!$A:$AS,MATCH($C$1,Database!$A$1:$AS$1,),)))))/(((VLOOKUP(EDATE(B179,-12),Database!$A:$AS,MATCH($C$1,Database!$A$1:$AS$1,),))))</f>
        <v>2.8921655996433697E-2</v>
      </c>
      <c r="D179" s="13">
        <f>((((VLOOKUP(B179,Database!$A:$AS,MATCH($D$1,Database!$A$1:$AS$1,),))))-(((VLOOKUP(EDATE(B179,-12),Database!$A:$AS,MATCH($D$1,Database!$A$1:$AS$1,),)))))/(((VLOOKUP(EDATE(B179,-12),Database!$A:$AS,MATCH($D$1,Database!$A$1:$AS$1,),))))</f>
        <v>2.1231422505308159E-3</v>
      </c>
      <c r="E179" s="13">
        <f>((((VLOOKUP(B179,Database!$A:$AS,MATCH($E$1,Database!$A$1:$AS$1,),))))-(((VLOOKUP(EDATE(B179,-12),Database!$A:$AS,MATCH($E$1,Database!$A$1:$AS$1,),)))))/(((VLOOKUP(EDATE(B179,-12),Database!$A:$AS,MATCH($E$1,Database!$A$1:$AS$1,),))))</f>
        <v>5.4809843405096856E-2</v>
      </c>
      <c r="F179" s="13">
        <f>((((VLOOKUP(B179,Database!$A:$AS,MATCH($F$1,Database!$A$1:$AS$1,),))))-(((VLOOKUP(EDATE(B179,-12),Database!$A:$AS,MATCH($F$1,Database!$A$1:$AS$1,),)))))/(((VLOOKUP(EDATE(B179,-12),Database!$A:$AS,MATCH($F$1,Database!$A$1:$AS$1,),))))</f>
        <v>1.2722646302630009E-2</v>
      </c>
      <c r="G179" s="13">
        <f>((((VLOOKUP(B179,Database!$A:$AS,MATCH($G$1,Database!$A$1:$AS$1,),))))-(((VLOOKUP(EDATE(B179,-12),Database!$A:$AS,MATCH($G$1,Database!$A$1:$AS$1,),)))))/(((VLOOKUP(EDATE(B179,-12),Database!$A:$AS,MATCH($G$1,Database!$A$1:$AS$1,),))))</f>
        <v>-2.2346368715083779E-2</v>
      </c>
      <c r="H179" s="13">
        <f>((((VLOOKUP(B179,Database!$A:$AS,MATCH($H$1,Database!$A$1:$AS$1,),))))-(((VLOOKUP(EDATE(B179,-12),Database!$A:$AS,MATCH($H$1,Database!$A$1:$AS$1,),)))))/(((VLOOKUP(EDATE(B179,-12),Database!$A:$AS,MATCH($H$1,Database!$A$1:$AS$1,),))))</f>
        <v>-6.218144750499293E-2</v>
      </c>
      <c r="I179" s="13">
        <f>((((VLOOKUP(B179,Database!$A:$AS,MATCH($I$1,Database!$A$1:$AS$1,),))))-(((VLOOKUP(EDATE(B179,-12),Database!$A:$AS,MATCH($I$1,Database!$A$1:$AS$1,),)))))/(((VLOOKUP(EDATE(B179,-12),Database!$A:$AS,MATCH($I$1,Database!$A$1:$AS$1,),))))</f>
        <v>2.4311183137415778E-3</v>
      </c>
      <c r="J179" s="13">
        <f>((((VLOOKUP(B179,Database!$A:$AS,MATCH($J$1,Database!$A$1:$AS$1,),))))-(((VLOOKUP(EDATE(B179,-12),Database!$A:$AS,MATCH($J$1,Database!$A$1:$AS$1,),)))))/(((VLOOKUP(EDATE(B179,-12),Database!$A:$AS,MATCH($J$1,Database!$A$1:$AS$1,),))))</f>
        <v>2.1659263220505015E-2</v>
      </c>
      <c r="K179" s="13">
        <f>((((VLOOKUP(B179,Database!$A:$AS,MATCH($K$1,Database!$A$1:$AS$1,),))))-(((VLOOKUP(EDATE(B179,-12),Database!$A:$AS,MATCH($K$1,Database!$A$1:$AS$1,),)))))/(((VLOOKUP(EDATE(B179,-12),Database!$A:$AS,MATCH($K$1,Database!$A$1:$AS$1,),))))</f>
        <v>1.0880316515285603E-2</v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>-3.6462739245017354E-3</v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>4.1774293187682089E-2</v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>5.7393454357871791E-2</v>
      </c>
      <c r="O179" s="13">
        <f>((((VLOOKUP(B179,Database!$A:$AS,MATCH($O$1,Database!$A$1:$AS$1,),))))-(((VLOOKUP(EDATE(B179,-12),Database!$A:$AS,MATCH($O$1,Database!$A$1:$AS$1,),)))))/(((VLOOKUP(EDATE(B179,-12),Database!$A:$AS,MATCH($O$1,Database!$A$1:$AS$1,),))))</f>
        <v>4.1936502226889306E-2</v>
      </c>
      <c r="P179" s="13">
        <f>((((VLOOKUP(B179,Database!$A:$AS,MATCH($P$1,Database!$A$1:$AS$1,),))))-(((VLOOKUP(EDATE(B179,-12),Database!$A:$AS,MATCH($P$1,Database!$A$1:$AS$1,),)))))/(((VLOOKUP(EDATE(B179,-12),Database!$A:$AS,MATCH($P$1,Database!$A$1:$AS$1,),))))</f>
        <v>0.13052745881861988</v>
      </c>
      <c r="Q179" s="13">
        <f>((((VLOOKUP(B179,Database!$A:$AS,MATCH($Q$1,Database!$A$1:$AS$1,),))))-(((VLOOKUP(EDATE(B179,-12),Database!$A:$AS,MATCH($Q$1,Database!$A$1:$AS$1,),)))))/(((VLOOKUP(EDATE(B179,-12),Database!$A:$AS,MATCH($Q$1,Database!$A$1:$AS$1,),))))</f>
        <v>4.9589751240705325E-2</v>
      </c>
      <c r="R179" s="13">
        <f>((((VLOOKUP(B179,Database!$A:$AS,MATCH($R$1,Database!$A$1:$AS$1,),))))-(((VLOOKUP(EDATE(B179,-12),Database!$A:$AS,MATCH($R$1,Database!$A$1:$AS$1,),)))))/(((VLOOKUP(EDATE(B179,-12),Database!$A:$AS,MATCH($R$1,Database!$A$1:$AS$1,),))))</f>
        <v>7.9066265059900498E-2</v>
      </c>
      <c r="S179" s="13">
        <f>((((VLOOKUP(B179,Database!$A:$AS,MATCH($S$1,Database!$A$1:$AS$1,),))))-(((VLOOKUP(EDATE(B179,-12),Database!$A:$AS,MATCH($S$1,Database!$A$1:$AS$1,),)))))/(((VLOOKUP(EDATE(B179,-12),Database!$A:$AS,MATCH($S$1,Database!$A$1:$AS$1,),))))</f>
        <v>-6.7873303164488863E-2</v>
      </c>
      <c r="T179" s="13">
        <f>((((VLOOKUP(B179,Database!$A:$AS,MATCH($T$1,Database!$A$1:$AS$1,),))))-(((VLOOKUP(EDATE(B179,-12),Database!$A:$AS,MATCH($T$1,Database!$A$1:$AS$1,),)))))/(((VLOOKUP(EDATE(B179,-12),Database!$A:$AS,MATCH($T$1,Database!$A$1:$AS$1,),))))</f>
        <v>0.16455696201185596</v>
      </c>
      <c r="U179" s="13">
        <f>((((VLOOKUP(B179,Database!$A:$AS,MATCH($U$1,Database!$A$1:$AS$1,),))))-(((VLOOKUP(EDATE(B179,-12),Database!$A:$AS,MATCH($U$1,Database!$A$1:$AS$1,),)))))/(((VLOOKUP(EDATE(B179,-12),Database!$A:$AS,MATCH($U$1,Database!$A$1:$AS$1,),))))</f>
        <v>4.606240714103238E-2</v>
      </c>
      <c r="V179" s="13">
        <f>((((VLOOKUP(B179,Database!$A:$AS,MATCH($V$1,Database!$A$1:$AS$1,),))))-(((VLOOKUP(EDATE(B179,-12),Database!$A:$AS,MATCH($V$1,Database!$A$1:$AS$1,),)))))/(((VLOOKUP(EDATE(B179,-12),Database!$A:$AS,MATCH($V$1,Database!$A$1:$AS$1,),))))</f>
        <v>2.8513238289205673E-2</v>
      </c>
    </row>
    <row r="180" spans="1:22" s="83" customFormat="1" x14ac:dyDescent="0.2">
      <c r="A180" s="43"/>
      <c r="B180" s="78">
        <v>37622</v>
      </c>
      <c r="C180" s="13">
        <f>((((VLOOKUP(B180,Database!$A:$AS,MATCH($C$1,Database!$A$1:$AS$1,),))))-(((VLOOKUP(EDATE(B180,-12),Database!$A:$AS,MATCH($C$1,Database!$A$1:$AS$1,),)))))/(((VLOOKUP(EDATE(B180,-12),Database!$A:$AS,MATCH($C$1,Database!$A$1:$AS$1,),))))</f>
        <v>3.0614431397375571E-2</v>
      </c>
      <c r="D180" s="13">
        <f>((((VLOOKUP(B180,Database!$A:$AS,MATCH($D$1,Database!$A$1:$AS$1,),))))-(((VLOOKUP(EDATE(B180,-12),Database!$A:$AS,MATCH($D$1,Database!$A$1:$AS$1,),)))))/(((VLOOKUP(EDATE(B180,-12),Database!$A:$AS,MATCH($D$1,Database!$A$1:$AS$1,),))))</f>
        <v>1.9108280254777038E-2</v>
      </c>
      <c r="E180" s="13">
        <f>((((VLOOKUP(B180,Database!$A:$AS,MATCH($E$1,Database!$A$1:$AS$1,),))))-(((VLOOKUP(EDATE(B180,-12),Database!$A:$AS,MATCH($E$1,Database!$A$1:$AS$1,),)))))/(((VLOOKUP(EDATE(B180,-12),Database!$A:$AS,MATCH($E$1,Database!$A$1:$AS$1,),))))</f>
        <v>7.5365579302932376E-2</v>
      </c>
      <c r="F180" s="13">
        <f>((((VLOOKUP(B180,Database!$A:$AS,MATCH($F$1,Database!$A$1:$AS$1,),))))-(((VLOOKUP(EDATE(B180,-12),Database!$A:$AS,MATCH($F$1,Database!$A$1:$AS$1,),)))))/(((VLOOKUP(EDATE(B180,-12),Database!$A:$AS,MATCH($F$1,Database!$A$1:$AS$1,),))))</f>
        <v>1.5189873426214504E-2</v>
      </c>
      <c r="G180" s="13">
        <f>((((VLOOKUP(B180,Database!$A:$AS,MATCH($G$1,Database!$A$1:$AS$1,),))))-(((VLOOKUP(EDATE(B180,-12),Database!$A:$AS,MATCH($G$1,Database!$A$1:$AS$1,),)))))/(((VLOOKUP(EDATE(B180,-12),Database!$A:$AS,MATCH($G$1,Database!$A$1:$AS$1,),))))</f>
        <v>-1.8323408153916889E-3</v>
      </c>
      <c r="H180" s="13">
        <f>((((VLOOKUP(B180,Database!$A:$AS,MATCH($H$1,Database!$A$1:$AS$1,),))))-(((VLOOKUP(EDATE(B180,-12),Database!$A:$AS,MATCH($H$1,Database!$A$1:$AS$1,),)))))/(((VLOOKUP(EDATE(B180,-12),Database!$A:$AS,MATCH($H$1,Database!$A$1:$AS$1,),))))</f>
        <v>-6.8479355485882243E-2</v>
      </c>
      <c r="I180" s="13">
        <f>((((VLOOKUP(B180,Database!$A:$AS,MATCH($I$1,Database!$A$1:$AS$1,),))))-(((VLOOKUP(EDATE(B180,-12),Database!$A:$AS,MATCH($I$1,Database!$A$1:$AS$1,),)))))/(((VLOOKUP(EDATE(B180,-12),Database!$A:$AS,MATCH($I$1,Database!$A$1:$AS$1,),))))</f>
        <v>2.2076860173687339E-2</v>
      </c>
      <c r="J180" s="13">
        <f>((((VLOOKUP(B180,Database!$A:$AS,MATCH($J$1,Database!$A$1:$AS$1,),))))-(((VLOOKUP(EDATE(B180,-12),Database!$A:$AS,MATCH($J$1,Database!$A$1:$AS$1,),)))))/(((VLOOKUP(EDATE(B180,-12),Database!$A:$AS,MATCH($J$1,Database!$A$1:$AS$1,),))))</f>
        <v>1.9783950364367243E-2</v>
      </c>
      <c r="K180" s="13">
        <f>((((VLOOKUP(B180,Database!$A:$AS,MATCH($K$1,Database!$A$1:$AS$1,),))))-(((VLOOKUP(EDATE(B180,-12),Database!$A:$AS,MATCH($K$1,Database!$A$1:$AS$1,),)))))/(((VLOOKUP(EDATE(B180,-12),Database!$A:$AS,MATCH($K$1,Database!$A$1:$AS$1,),))))</f>
        <v>3.0090270814016638E-2</v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>1.3389158953261263E-2</v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>5.7725263244995967E-2</v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>6.5809864609834706E-2</v>
      </c>
      <c r="O180" s="13">
        <f>((((VLOOKUP(B180,Database!$A:$AS,MATCH($O$1,Database!$A$1:$AS$1,),))))-(((VLOOKUP(EDATE(B180,-12),Database!$A:$AS,MATCH($O$1,Database!$A$1:$AS$1,),)))))/(((VLOOKUP(EDATE(B180,-12),Database!$A:$AS,MATCH($O$1,Database!$A$1:$AS$1,),))))</f>
        <v>1.7579611299114315E-2</v>
      </c>
      <c r="P180" s="13">
        <f>((((VLOOKUP(B180,Database!$A:$AS,MATCH($P$1,Database!$A$1:$AS$1,),))))-(((VLOOKUP(EDATE(B180,-12),Database!$A:$AS,MATCH($P$1,Database!$A$1:$AS$1,),)))))/(((VLOOKUP(EDATE(B180,-12),Database!$A:$AS,MATCH($P$1,Database!$A$1:$AS$1,),))))</f>
        <v>7.3525952647809659E-2</v>
      </c>
      <c r="Q180" s="13">
        <f>((((VLOOKUP(B180,Database!$A:$AS,MATCH($Q$1,Database!$A$1:$AS$1,),))))-(((VLOOKUP(EDATE(B180,-12),Database!$A:$AS,MATCH($Q$1,Database!$A$1:$AS$1,),)))))/(((VLOOKUP(EDATE(B180,-12),Database!$A:$AS,MATCH($Q$1,Database!$A$1:$AS$1,),))))</f>
        <v>2.7027027023236033E-2</v>
      </c>
      <c r="R180" s="13">
        <f>((((VLOOKUP(B180,Database!$A:$AS,MATCH($R$1,Database!$A$1:$AS$1,),))))-(((VLOOKUP(EDATE(B180,-12),Database!$A:$AS,MATCH($R$1,Database!$A$1:$AS$1,),)))))/(((VLOOKUP(EDATE(B180,-12),Database!$A:$AS,MATCH($R$1,Database!$A$1:$AS$1,),))))</f>
        <v>7.0771408361006366E-3</v>
      </c>
      <c r="S180" s="13">
        <f>((((VLOOKUP(B180,Database!$A:$AS,MATCH($S$1,Database!$A$1:$AS$1,),))))-(((VLOOKUP(EDATE(B180,-12),Database!$A:$AS,MATCH($S$1,Database!$A$1:$AS$1,),)))))/(((VLOOKUP(EDATE(B180,-12),Database!$A:$AS,MATCH($S$1,Database!$A$1:$AS$1,),))))</f>
        <v>-2.2321428470283167E-3</v>
      </c>
      <c r="T180" s="13">
        <f>((((VLOOKUP(B180,Database!$A:$AS,MATCH($T$1,Database!$A$1:$AS$1,),))))-(((VLOOKUP(EDATE(B180,-12),Database!$A:$AS,MATCH($T$1,Database!$A$1:$AS$1,),)))))/(((VLOOKUP(EDATE(B180,-12),Database!$A:$AS,MATCH($T$1,Database!$A$1:$AS$1,),))))</f>
        <v>0.15931372550443468</v>
      </c>
      <c r="U180" s="13">
        <f>((((VLOOKUP(B180,Database!$A:$AS,MATCH($U$1,Database!$A$1:$AS$1,),))))-(((VLOOKUP(EDATE(B180,-12),Database!$A:$AS,MATCH($U$1,Database!$A$1:$AS$1,),)))))/(((VLOOKUP(EDATE(B180,-12),Database!$A:$AS,MATCH($U$1,Database!$A$1:$AS$1,),))))</f>
        <v>5.8103975547655243E-2</v>
      </c>
      <c r="V180" s="13">
        <f>((((VLOOKUP(B180,Database!$A:$AS,MATCH($V$1,Database!$A$1:$AS$1,),))))-(((VLOOKUP(EDATE(B180,-12),Database!$A:$AS,MATCH($V$1,Database!$A$1:$AS$1,),)))))/(((VLOOKUP(EDATE(B180,-12),Database!$A:$AS,MATCH($V$1,Database!$A$1:$AS$1,),))))</f>
        <v>2.9106029106029076E-2</v>
      </c>
    </row>
    <row r="181" spans="1:22" s="83" customFormat="1" x14ac:dyDescent="0.2">
      <c r="A181" s="43"/>
      <c r="B181" s="78">
        <v>37653</v>
      </c>
      <c r="C181" s="13">
        <f>((((VLOOKUP(B181,Database!$A:$AS,MATCH($C$1,Database!$A$1:$AS$1,),))))-(((VLOOKUP(EDATE(B181,-12),Database!$A:$AS,MATCH($C$1,Database!$A$1:$AS$1,),)))))/(((VLOOKUP(EDATE(B181,-12),Database!$A:$AS,MATCH($C$1,Database!$A$1:$AS$1,),))))</f>
        <v>3.1821662461593132E-2</v>
      </c>
      <c r="D181" s="13">
        <f>((((VLOOKUP(B181,Database!$A:$AS,MATCH($D$1,Database!$A$1:$AS$1,),))))-(((VLOOKUP(EDATE(B181,-12),Database!$A:$AS,MATCH($D$1,Database!$A$1:$AS$1,),)))))/(((VLOOKUP(EDATE(B181,-12),Database!$A:$AS,MATCH($D$1,Database!$A$1:$AS$1,),))))</f>
        <v>1.798941798941802E-2</v>
      </c>
      <c r="E181" s="13">
        <f>((((VLOOKUP(B181,Database!$A:$AS,MATCH($E$1,Database!$A$1:$AS$1,),))))-(((VLOOKUP(EDATE(B181,-12),Database!$A:$AS,MATCH($E$1,Database!$A$1:$AS$1,),)))))/(((VLOOKUP(EDATE(B181,-12),Database!$A:$AS,MATCH($E$1,Database!$A$1:$AS$1,),))))</f>
        <v>5.7677956024980943E-2</v>
      </c>
      <c r="F181" s="13">
        <f>((((VLOOKUP(B181,Database!$A:$AS,MATCH($F$1,Database!$A$1:$AS$1,),))))-(((VLOOKUP(EDATE(B181,-12),Database!$A:$AS,MATCH($F$1,Database!$A$1:$AS$1,),)))))/(((VLOOKUP(EDATE(B181,-12),Database!$A:$AS,MATCH($F$1,Database!$A$1:$AS$1,),))))</f>
        <v>1.262626263117313E-2</v>
      </c>
      <c r="G181" s="13">
        <f>((((VLOOKUP(B181,Database!$A:$AS,MATCH($G$1,Database!$A$1:$AS$1,),))))-(((VLOOKUP(EDATE(B181,-12),Database!$A:$AS,MATCH($G$1,Database!$A$1:$AS$1,),)))))/(((VLOOKUP(EDATE(B181,-12),Database!$A:$AS,MATCH($G$1,Database!$A$1:$AS$1,),))))</f>
        <v>3.8345658723637514E-3</v>
      </c>
      <c r="H181" s="13">
        <f>((((VLOOKUP(B181,Database!$A:$AS,MATCH($H$1,Database!$A$1:$AS$1,),))))-(((VLOOKUP(EDATE(B181,-12),Database!$A:$AS,MATCH($H$1,Database!$A$1:$AS$1,),)))))/(((VLOOKUP(EDATE(B181,-12),Database!$A:$AS,MATCH($H$1,Database!$A$1:$AS$1,),))))</f>
        <v>-5.3000000000697489E-2</v>
      </c>
      <c r="I181" s="13">
        <f>((((VLOOKUP(B181,Database!$A:$AS,MATCH($I$1,Database!$A$1:$AS$1,),))))-(((VLOOKUP(EDATE(B181,-12),Database!$A:$AS,MATCH($I$1,Database!$A$1:$AS$1,),)))))/(((VLOOKUP(EDATE(B181,-12),Database!$A:$AS,MATCH($I$1,Database!$A$1:$AS$1,),))))</f>
        <v>-1.0500807756915718E-2</v>
      </c>
      <c r="J181" s="13">
        <f>((((VLOOKUP(B181,Database!$A:$AS,MATCH($J$1,Database!$A$1:$AS$1,),))))-(((VLOOKUP(EDATE(B181,-12),Database!$A:$AS,MATCH($J$1,Database!$A$1:$AS$1,),)))))/(((VLOOKUP(EDATE(B181,-12),Database!$A:$AS,MATCH($J$1,Database!$A$1:$AS$1,),))))</f>
        <v>1.9696310942239555E-2</v>
      </c>
      <c r="K181" s="13">
        <f>((((VLOOKUP(B181,Database!$A:$AS,MATCH($K$1,Database!$A$1:$AS$1,),))))-(((VLOOKUP(EDATE(B181,-12),Database!$A:$AS,MATCH($K$1,Database!$A$1:$AS$1,),)))))/(((VLOOKUP(EDATE(B181,-12),Database!$A:$AS,MATCH($K$1,Database!$A$1:$AS$1,),))))</f>
        <v>-1.7647058818685557E-2</v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>3.6730941740721598E-2</v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>8.4156479705654194E-2</v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>7.3271020856600241E-2</v>
      </c>
      <c r="O181" s="13">
        <f>((((VLOOKUP(B181,Database!$A:$AS,MATCH($O$1,Database!$A$1:$AS$1,),))))-(((VLOOKUP(EDATE(B181,-12),Database!$A:$AS,MATCH($O$1,Database!$A$1:$AS$1,),)))))/(((VLOOKUP(EDATE(B181,-12),Database!$A:$AS,MATCH($O$1,Database!$A$1:$AS$1,),))))</f>
        <v>5.6130010158762528E-3</v>
      </c>
      <c r="P181" s="13">
        <f>((((VLOOKUP(B181,Database!$A:$AS,MATCH($P$1,Database!$A$1:$AS$1,),))))-(((VLOOKUP(EDATE(B181,-12),Database!$A:$AS,MATCH($P$1,Database!$A$1:$AS$1,),)))))/(((VLOOKUP(EDATE(B181,-12),Database!$A:$AS,MATCH($P$1,Database!$A$1:$AS$1,),))))</f>
        <v>5.5032473766987722E-2</v>
      </c>
      <c r="Q181" s="13">
        <f>((((VLOOKUP(B181,Database!$A:$AS,MATCH($Q$1,Database!$A$1:$AS$1,),))))-(((VLOOKUP(EDATE(B181,-12),Database!$A:$AS,MATCH($Q$1,Database!$A$1:$AS$1,),)))))/(((VLOOKUP(EDATE(B181,-12),Database!$A:$AS,MATCH($Q$1,Database!$A$1:$AS$1,),))))</f>
        <v>-6.2344139647624898E-3</v>
      </c>
      <c r="R181" s="13">
        <f>((((VLOOKUP(B181,Database!$A:$AS,MATCH($R$1,Database!$A$1:$AS$1,),))))-(((VLOOKUP(EDATE(B181,-12),Database!$A:$AS,MATCH($R$1,Database!$A$1:$AS$1,),)))))/(((VLOOKUP(EDATE(B181,-12),Database!$A:$AS,MATCH($R$1,Database!$A$1:$AS$1,),))))</f>
        <v>-3.7190082641636493E-2</v>
      </c>
      <c r="S181" s="13">
        <f>((((VLOOKUP(B181,Database!$A:$AS,MATCH($S$1,Database!$A$1:$AS$1,),))))-(((VLOOKUP(EDATE(B181,-12),Database!$A:$AS,MATCH($S$1,Database!$A$1:$AS$1,),)))))/(((VLOOKUP(EDATE(B181,-12),Database!$A:$AS,MATCH($S$1,Database!$A$1:$AS$1,),))))</f>
        <v>8.7719298242157184E-2</v>
      </c>
      <c r="T181" s="13">
        <f>((((VLOOKUP(B181,Database!$A:$AS,MATCH($T$1,Database!$A$1:$AS$1,),))))-(((VLOOKUP(EDATE(B181,-12),Database!$A:$AS,MATCH($T$1,Database!$A$1:$AS$1,),)))))/(((VLOOKUP(EDATE(B181,-12),Database!$A:$AS,MATCH($T$1,Database!$A$1:$AS$1,),))))</f>
        <v>6.4814814812242535E-2</v>
      </c>
      <c r="U181" s="13">
        <f>((((VLOOKUP(B181,Database!$A:$AS,MATCH($U$1,Database!$A$1:$AS$1,),))))-(((VLOOKUP(EDATE(B181,-12),Database!$A:$AS,MATCH($U$1,Database!$A$1:$AS$1,),)))))/(((VLOOKUP(EDATE(B181,-12),Database!$A:$AS,MATCH($U$1,Database!$A$1:$AS$1,),))))</f>
        <v>2.6905829596546617E-2</v>
      </c>
      <c r="V181" s="13">
        <f>((((VLOOKUP(B181,Database!$A:$AS,MATCH($V$1,Database!$A$1:$AS$1,),))))-(((VLOOKUP(EDATE(B181,-12),Database!$A:$AS,MATCH($V$1,Database!$A$1:$AS$1,),)))))/(((VLOOKUP(EDATE(B181,-12),Database!$A:$AS,MATCH($V$1,Database!$A$1:$AS$1,),))))</f>
        <v>4.1753653444676408E-2</v>
      </c>
    </row>
    <row r="182" spans="1:22" s="83" customFormat="1" x14ac:dyDescent="0.2">
      <c r="A182" s="43"/>
      <c r="B182" s="78">
        <v>37681</v>
      </c>
      <c r="C182" s="13">
        <f>((((VLOOKUP(B182,Database!$A:$AS,MATCH($C$1,Database!$A$1:$AS$1,),))))-(((VLOOKUP(EDATE(B182,-12),Database!$A:$AS,MATCH($C$1,Database!$A$1:$AS$1,),)))))/(((VLOOKUP(EDATE(B182,-12),Database!$A:$AS,MATCH($C$1,Database!$A$1:$AS$1,),))))</f>
        <v>2.0798456626582983E-2</v>
      </c>
      <c r="D182" s="13">
        <f>((((VLOOKUP(B182,Database!$A:$AS,MATCH($D$1,Database!$A$1:$AS$1,),))))-(((VLOOKUP(EDATE(B182,-12),Database!$A:$AS,MATCH($D$1,Database!$A$1:$AS$1,),)))))/(((VLOOKUP(EDATE(B182,-12),Database!$A:$AS,MATCH($D$1,Database!$A$1:$AS$1,),))))</f>
        <v>1.0493179433369206E-3</v>
      </c>
      <c r="E182" s="13">
        <f>((((VLOOKUP(B182,Database!$A:$AS,MATCH($E$1,Database!$A$1:$AS$1,),))))-(((VLOOKUP(EDATE(B182,-12),Database!$A:$AS,MATCH($E$1,Database!$A$1:$AS$1,),)))))/(((VLOOKUP(EDATE(B182,-12),Database!$A:$AS,MATCH($E$1,Database!$A$1:$AS$1,),))))</f>
        <v>6.091524300776812E-2</v>
      </c>
      <c r="F182" s="13">
        <f>((((VLOOKUP(B182,Database!$A:$AS,MATCH($F$1,Database!$A$1:$AS$1,),))))-(((VLOOKUP(EDATE(B182,-12),Database!$A:$AS,MATCH($F$1,Database!$A$1:$AS$1,),)))))/(((VLOOKUP(EDATE(B182,-12),Database!$A:$AS,MATCH($F$1,Database!$A$1:$AS$1,),))))</f>
        <v>7.5566750608465133E-3</v>
      </c>
      <c r="G182" s="13">
        <f>((((VLOOKUP(B182,Database!$A:$AS,MATCH($G$1,Database!$A$1:$AS$1,),))))-(((VLOOKUP(EDATE(B182,-12),Database!$A:$AS,MATCH($G$1,Database!$A$1:$AS$1,),)))))/(((VLOOKUP(EDATE(B182,-12),Database!$A:$AS,MATCH($G$1,Database!$A$1:$AS$1,),))))</f>
        <v>-8.9942763695829465E-3</v>
      </c>
      <c r="H182" s="13">
        <f>((((VLOOKUP(B182,Database!$A:$AS,MATCH($H$1,Database!$A$1:$AS$1,),))))-(((VLOOKUP(EDATE(B182,-12),Database!$A:$AS,MATCH($H$1,Database!$A$1:$AS$1,),)))))/(((VLOOKUP(EDATE(B182,-12),Database!$A:$AS,MATCH($H$1,Database!$A$1:$AS$1,),))))</f>
        <v>-5.1909892263040762E-2</v>
      </c>
      <c r="I182" s="13">
        <f>((((VLOOKUP(B182,Database!$A:$AS,MATCH($I$1,Database!$A$1:$AS$1,),))))-(((VLOOKUP(EDATE(B182,-12),Database!$A:$AS,MATCH($I$1,Database!$A$1:$AS$1,),)))))/(((VLOOKUP(EDATE(B182,-12),Database!$A:$AS,MATCH($I$1,Database!$A$1:$AS$1,),))))</f>
        <v>-1.6051364364180365E-2</v>
      </c>
      <c r="J182" s="13">
        <f>((((VLOOKUP(B182,Database!$A:$AS,MATCH($J$1,Database!$A$1:$AS$1,),))))-(((VLOOKUP(EDATE(B182,-12),Database!$A:$AS,MATCH($J$1,Database!$A$1:$AS$1,),)))))/(((VLOOKUP(EDATE(B182,-12),Database!$A:$AS,MATCH($J$1,Database!$A$1:$AS$1,),))))</f>
        <v>1.9750905833079209E-2</v>
      </c>
      <c r="K182" s="13">
        <f>((((VLOOKUP(B182,Database!$A:$AS,MATCH($K$1,Database!$A$1:$AS$1,),))))-(((VLOOKUP(EDATE(B182,-12),Database!$A:$AS,MATCH($K$1,Database!$A$1:$AS$1,),)))))/(((VLOOKUP(EDATE(B182,-12),Database!$A:$AS,MATCH($K$1,Database!$A$1:$AS$1,),))))</f>
        <v>-1.9531250004233922E-2</v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>2.2983744042097558E-2</v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>0.10434573126835163</v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>5.7946007172808012E-2</v>
      </c>
      <c r="O182" s="13">
        <f>((((VLOOKUP(B182,Database!$A:$AS,MATCH($O$1,Database!$A$1:$AS$1,),))))-(((VLOOKUP(EDATE(B182,-12),Database!$A:$AS,MATCH($O$1,Database!$A$1:$AS$1,),)))))/(((VLOOKUP(EDATE(B182,-12),Database!$A:$AS,MATCH($O$1,Database!$A$1:$AS$1,),))))</f>
        <v>3.5293289197095355E-3</v>
      </c>
      <c r="P182" s="13">
        <f>((((VLOOKUP(B182,Database!$A:$AS,MATCH($P$1,Database!$A$1:$AS$1,),))))-(((VLOOKUP(EDATE(B182,-12),Database!$A:$AS,MATCH($P$1,Database!$A$1:$AS$1,),)))))/(((VLOOKUP(EDATE(B182,-12),Database!$A:$AS,MATCH($P$1,Database!$A$1:$AS$1,),))))</f>
        <v>5.2580221421050038E-2</v>
      </c>
      <c r="Q182" s="13">
        <f>((((VLOOKUP(B182,Database!$A:$AS,MATCH($Q$1,Database!$A$1:$AS$1,),))))-(((VLOOKUP(EDATE(B182,-12),Database!$A:$AS,MATCH($Q$1,Database!$A$1:$AS$1,),)))))/(((VLOOKUP(EDATE(B182,-12),Database!$A:$AS,MATCH($Q$1,Database!$A$1:$AS$1,),))))</f>
        <v>0</v>
      </c>
      <c r="R182" s="13">
        <f>((((VLOOKUP(B182,Database!$A:$AS,MATCH($R$1,Database!$A$1:$AS$1,),))))-(((VLOOKUP(EDATE(B182,-12),Database!$A:$AS,MATCH($R$1,Database!$A$1:$AS$1,),)))))/(((VLOOKUP(EDATE(B182,-12),Database!$A:$AS,MATCH($R$1,Database!$A$1:$AS$1,),))))</f>
        <v>-1.6806722690077356E-2</v>
      </c>
      <c r="S182" s="13">
        <f>((((VLOOKUP(B182,Database!$A:$AS,MATCH($S$1,Database!$A$1:$AS$1,),))))-(((VLOOKUP(EDATE(B182,-12),Database!$A:$AS,MATCH($S$1,Database!$A$1:$AS$1,),)))))/(((VLOOKUP(EDATE(B182,-12),Database!$A:$AS,MATCH($S$1,Database!$A$1:$AS$1,),))))</f>
        <v>-1.8143009594837677E-2</v>
      </c>
      <c r="T182" s="13">
        <f>((((VLOOKUP(B182,Database!$A:$AS,MATCH($T$1,Database!$A$1:$AS$1,),))))-(((VLOOKUP(EDATE(B182,-12),Database!$A:$AS,MATCH($T$1,Database!$A$1:$AS$1,),)))))/(((VLOOKUP(EDATE(B182,-12),Database!$A:$AS,MATCH($T$1,Database!$A$1:$AS$1,),))))</f>
        <v>6.8649885587032666E-2</v>
      </c>
      <c r="U182" s="13">
        <f>((((VLOOKUP(B182,Database!$A:$AS,MATCH($U$1,Database!$A$1:$AS$1,),))))-(((VLOOKUP(EDATE(B182,-12),Database!$A:$AS,MATCH($U$1,Database!$A$1:$AS$1,),)))))/(((VLOOKUP(EDATE(B182,-12),Database!$A:$AS,MATCH($U$1,Database!$A$1:$AS$1,),))))</f>
        <v>3.0075187966532316E-2</v>
      </c>
      <c r="V182" s="13">
        <f>((((VLOOKUP(B182,Database!$A:$AS,MATCH($V$1,Database!$A$1:$AS$1,),))))-(((VLOOKUP(EDATE(B182,-12),Database!$A:$AS,MATCH($V$1,Database!$A$1:$AS$1,),)))))/(((VLOOKUP(EDATE(B182,-12),Database!$A:$AS,MATCH($V$1,Database!$A$1:$AS$1,),))))</f>
        <v>5.2083333333333336E-2</v>
      </c>
    </row>
    <row r="183" spans="1:22" s="83" customFormat="1" x14ac:dyDescent="0.2">
      <c r="A183" s="43"/>
      <c r="B183" s="78">
        <v>37712</v>
      </c>
      <c r="C183" s="13">
        <f>((((VLOOKUP(B183,Database!$A:$AS,MATCH($C$1,Database!$A$1:$AS$1,),))))-(((VLOOKUP(EDATE(B183,-12),Database!$A:$AS,MATCH($C$1,Database!$A$1:$AS$1,),)))))/(((VLOOKUP(EDATE(B183,-12),Database!$A:$AS,MATCH($C$1,Database!$A$1:$AS$1,),))))</f>
        <v>9.4828901505113229E-3</v>
      </c>
      <c r="D183" s="13">
        <f>((((VLOOKUP(B183,Database!$A:$AS,MATCH($D$1,Database!$A$1:$AS$1,),))))-(((VLOOKUP(EDATE(B183,-12),Database!$A:$AS,MATCH($D$1,Database!$A$1:$AS$1,),)))))/(((VLOOKUP(EDATE(B183,-12),Database!$A:$AS,MATCH($D$1,Database!$A$1:$AS$1,),))))</f>
        <v>7.3606729758149622E-3</v>
      </c>
      <c r="E183" s="13">
        <f>((((VLOOKUP(B183,Database!$A:$AS,MATCH($E$1,Database!$A$1:$AS$1,),))))-(((VLOOKUP(EDATE(B183,-12),Database!$A:$AS,MATCH($E$1,Database!$A$1:$AS$1,),)))))/(((VLOOKUP(EDATE(B183,-12),Database!$A:$AS,MATCH($E$1,Database!$A$1:$AS$1,),))))</f>
        <v>4.737032233670984E-2</v>
      </c>
      <c r="F183" s="13">
        <f>((((VLOOKUP(B183,Database!$A:$AS,MATCH($F$1,Database!$A$1:$AS$1,),))))-(((VLOOKUP(EDATE(B183,-12),Database!$A:$AS,MATCH($F$1,Database!$A$1:$AS$1,),)))))/(((VLOOKUP(EDATE(B183,-12),Database!$A:$AS,MATCH($F$1,Database!$A$1:$AS$1,),))))</f>
        <v>3.7735849046159836E-3</v>
      </c>
      <c r="G183" s="13">
        <f>((((VLOOKUP(B183,Database!$A:$AS,MATCH($G$1,Database!$A$1:$AS$1,),))))-(((VLOOKUP(EDATE(B183,-12),Database!$A:$AS,MATCH($G$1,Database!$A$1:$AS$1,),)))))/(((VLOOKUP(EDATE(B183,-12),Database!$A:$AS,MATCH($G$1,Database!$A$1:$AS$1,),))))</f>
        <v>-1.4897074756229737E-2</v>
      </c>
      <c r="H183" s="13">
        <f>((((VLOOKUP(B183,Database!$A:$AS,MATCH($H$1,Database!$A$1:$AS$1,),))))-(((VLOOKUP(EDATE(B183,-12),Database!$A:$AS,MATCH($H$1,Database!$A$1:$AS$1,),)))))/(((VLOOKUP(EDATE(B183,-12),Database!$A:$AS,MATCH($H$1,Database!$A$1:$AS$1,),))))</f>
        <v>-1.0277492270371073E-3</v>
      </c>
      <c r="I183" s="13">
        <f>((((VLOOKUP(B183,Database!$A:$AS,MATCH($I$1,Database!$A$1:$AS$1,),))))-(((VLOOKUP(EDATE(B183,-12),Database!$A:$AS,MATCH($I$1,Database!$A$1:$AS$1,),)))))/(((VLOOKUP(EDATE(B183,-12),Database!$A:$AS,MATCH($I$1,Database!$A$1:$AS$1,),))))</f>
        <v>2.8122415216794636E-2</v>
      </c>
      <c r="J183" s="13">
        <f>((((VLOOKUP(B183,Database!$A:$AS,MATCH($J$1,Database!$A$1:$AS$1,),))))-(((VLOOKUP(EDATE(B183,-12),Database!$A:$AS,MATCH($J$1,Database!$A$1:$AS$1,),)))))/(((VLOOKUP(EDATE(B183,-12),Database!$A:$AS,MATCH($J$1,Database!$A$1:$AS$1,),))))</f>
        <v>1.1316419811474465E-2</v>
      </c>
      <c r="K183" s="13">
        <f>((((VLOOKUP(B183,Database!$A:$AS,MATCH($K$1,Database!$A$1:$AS$1,),))))-(((VLOOKUP(EDATE(B183,-12),Database!$A:$AS,MATCH($K$1,Database!$A$1:$AS$1,),)))))/(((VLOOKUP(EDATE(B183,-12),Database!$A:$AS,MATCH($K$1,Database!$A$1:$AS$1,),))))</f>
        <v>2.8712871289069585E-2</v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>1.091966347053123E-2</v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>0.10780236412258314</v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>4.7725668568201034E-2</v>
      </c>
      <c r="O183" s="13">
        <f>((((VLOOKUP(B183,Database!$A:$AS,MATCH($O$1,Database!$A$1:$AS$1,),))))-(((VLOOKUP(EDATE(B183,-12),Database!$A:$AS,MATCH($O$1,Database!$A$1:$AS$1,),)))))/(((VLOOKUP(EDATE(B183,-12),Database!$A:$AS,MATCH($O$1,Database!$A$1:$AS$1,),))))</f>
        <v>-1.4157493085634383E-2</v>
      </c>
      <c r="P183" s="13">
        <f>((((VLOOKUP(B183,Database!$A:$AS,MATCH($P$1,Database!$A$1:$AS$1,),))))-(((VLOOKUP(EDATE(B183,-12),Database!$A:$AS,MATCH($P$1,Database!$A$1:$AS$1,),)))))/(((VLOOKUP(EDATE(B183,-12),Database!$A:$AS,MATCH($P$1,Database!$A$1:$AS$1,),))))</f>
        <v>2.5164378712824415E-2</v>
      </c>
      <c r="Q183" s="13">
        <f>((((VLOOKUP(B183,Database!$A:$AS,MATCH($Q$1,Database!$A$1:$AS$1,),))))-(((VLOOKUP(EDATE(B183,-12),Database!$A:$AS,MATCH($Q$1,Database!$A$1:$AS$1,),)))))/(((VLOOKUP(EDATE(B183,-12),Database!$A:$AS,MATCH($Q$1,Database!$A$1:$AS$1,),))))</f>
        <v>-2.5125628207788657E-3</v>
      </c>
      <c r="R183" s="13">
        <f>((((VLOOKUP(B183,Database!$A:$AS,MATCH($R$1,Database!$A$1:$AS$1,),))))-(((VLOOKUP(EDATE(B183,-12),Database!$A:$AS,MATCH($R$1,Database!$A$1:$AS$1,),)))))/(((VLOOKUP(EDATE(B183,-12),Database!$A:$AS,MATCH($R$1,Database!$A$1:$AS$1,),))))</f>
        <v>-1.6551724132045493E-2</v>
      </c>
      <c r="S183" s="13">
        <f>((((VLOOKUP(B183,Database!$A:$AS,MATCH($S$1,Database!$A$1:$AS$1,),))))-(((VLOOKUP(EDATE(B183,-12),Database!$A:$AS,MATCH($S$1,Database!$A$1:$AS$1,),)))))/(((VLOOKUP(EDATE(B183,-12),Database!$A:$AS,MATCH($S$1,Database!$A$1:$AS$1,),))))</f>
        <v>3.5067873296570545E-2</v>
      </c>
      <c r="T183" s="13">
        <f>((((VLOOKUP(B183,Database!$A:$AS,MATCH($T$1,Database!$A$1:$AS$1,),))))-(((VLOOKUP(EDATE(B183,-12),Database!$A:$AS,MATCH($T$1,Database!$A$1:$AS$1,),)))))/(((VLOOKUP(EDATE(B183,-12),Database!$A:$AS,MATCH($T$1,Database!$A$1:$AS$1,),))))</f>
        <v>1.797752809226125E-2</v>
      </c>
      <c r="U183" s="13">
        <f>((((VLOOKUP(B183,Database!$A:$AS,MATCH($U$1,Database!$A$1:$AS$1,),))))-(((VLOOKUP(EDATE(B183,-12),Database!$A:$AS,MATCH($U$1,Database!$A$1:$AS$1,),)))))/(((VLOOKUP(EDATE(B183,-12),Database!$A:$AS,MATCH($U$1,Database!$A$1:$AS$1,),))))</f>
        <v>4.6199701946070308E-2</v>
      </c>
      <c r="V183" s="13">
        <f>((((VLOOKUP(B183,Database!$A:$AS,MATCH($V$1,Database!$A$1:$AS$1,),))))-(((VLOOKUP(EDATE(B183,-12),Database!$A:$AS,MATCH($V$1,Database!$A$1:$AS$1,),)))))/(((VLOOKUP(EDATE(B183,-12),Database!$A:$AS,MATCH($V$1,Database!$A$1:$AS$1,),))))</f>
        <v>8.3333333333333454E-2</v>
      </c>
    </row>
    <row r="184" spans="1:22" s="83" customFormat="1" x14ac:dyDescent="0.2">
      <c r="A184" s="43"/>
      <c r="B184" s="78">
        <v>37742</v>
      </c>
      <c r="C184" s="13">
        <f>((((VLOOKUP(B184,Database!$A:$AS,MATCH($C$1,Database!$A$1:$AS$1,),))))-(((VLOOKUP(EDATE(B184,-12),Database!$A:$AS,MATCH($C$1,Database!$A$1:$AS$1,),)))))/(((VLOOKUP(EDATE(B184,-12),Database!$A:$AS,MATCH($C$1,Database!$A$1:$AS$1,),))))</f>
        <v>5.0286758793664102E-3</v>
      </c>
      <c r="D184" s="13">
        <f>((((VLOOKUP(B184,Database!$A:$AS,MATCH($D$1,Database!$A$1:$AS$1,),))))-(((VLOOKUP(EDATE(B184,-12),Database!$A:$AS,MATCH($D$1,Database!$A$1:$AS$1,),)))))/(((VLOOKUP(EDATE(B184,-12),Database!$A:$AS,MATCH($D$1,Database!$A$1:$AS$1,),))))</f>
        <v>-1.3612565445026148E-2</v>
      </c>
      <c r="E184" s="13">
        <f>((((VLOOKUP(B184,Database!$A:$AS,MATCH($E$1,Database!$A$1:$AS$1,),))))-(((VLOOKUP(EDATE(B184,-12),Database!$A:$AS,MATCH($E$1,Database!$A$1:$AS$1,),)))))/(((VLOOKUP(EDATE(B184,-12),Database!$A:$AS,MATCH($E$1,Database!$A$1:$AS$1,),))))</f>
        <v>2.0282129689492473E-2</v>
      </c>
      <c r="F184" s="13">
        <f>((((VLOOKUP(B184,Database!$A:$AS,MATCH($F$1,Database!$A$1:$AS$1,),))))-(((VLOOKUP(EDATE(B184,-12),Database!$A:$AS,MATCH($F$1,Database!$A$1:$AS$1,),)))))/(((VLOOKUP(EDATE(B184,-12),Database!$A:$AS,MATCH($F$1,Database!$A$1:$AS$1,),))))</f>
        <v>5.0825921290544853E-3</v>
      </c>
      <c r="G184" s="13">
        <f>((((VLOOKUP(B184,Database!$A:$AS,MATCH($G$1,Database!$A$1:$AS$1,),))))-(((VLOOKUP(EDATE(B184,-12),Database!$A:$AS,MATCH($G$1,Database!$A$1:$AS$1,),)))))/(((VLOOKUP(EDATE(B184,-12),Database!$A:$AS,MATCH($G$1,Database!$A$1:$AS$1,),))))</f>
        <v>-2.9960841453419599E-2</v>
      </c>
      <c r="H184" s="13">
        <f>((((VLOOKUP(B184,Database!$A:$AS,MATCH($H$1,Database!$A$1:$AS$1,),))))-(((VLOOKUP(EDATE(B184,-12),Database!$A:$AS,MATCH($H$1,Database!$A$1:$AS$1,),)))))/(((VLOOKUP(EDATE(B184,-12),Database!$A:$AS,MATCH($H$1,Database!$A$1:$AS$1,),))))</f>
        <v>-5.0658561285119299E-3</v>
      </c>
      <c r="I184" s="13">
        <f>((((VLOOKUP(B184,Database!$A:$AS,MATCH($I$1,Database!$A$1:$AS$1,),))))-(((VLOOKUP(EDATE(B184,-12),Database!$A:$AS,MATCH($I$1,Database!$A$1:$AS$1,),)))))/(((VLOOKUP(EDATE(B184,-12),Database!$A:$AS,MATCH($I$1,Database!$A$1:$AS$1,),))))</f>
        <v>-3.9936102236013425E-2</v>
      </c>
      <c r="J184" s="13">
        <f>((((VLOOKUP(B184,Database!$A:$AS,MATCH($J$1,Database!$A$1:$AS$1,),))))-(((VLOOKUP(EDATE(B184,-12),Database!$A:$AS,MATCH($J$1,Database!$A$1:$AS$1,),)))))/(((VLOOKUP(EDATE(B184,-12),Database!$A:$AS,MATCH($J$1,Database!$A$1:$AS$1,),))))</f>
        <v>1.1479675870752099E-2</v>
      </c>
      <c r="K184" s="13">
        <f>((((VLOOKUP(B184,Database!$A:$AS,MATCH($K$1,Database!$A$1:$AS$1,),))))-(((VLOOKUP(EDATE(B184,-12),Database!$A:$AS,MATCH($K$1,Database!$A$1:$AS$1,),)))))/(((VLOOKUP(EDATE(B184,-12),Database!$A:$AS,MATCH($K$1,Database!$A$1:$AS$1,),))))</f>
        <v>4.9358341546081918E-3</v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>9.0884245089390154E-3</v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>0.11561145102819223</v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>6.7920255740473653E-2</v>
      </c>
      <c r="O184" s="13">
        <f>((((VLOOKUP(B184,Database!$A:$AS,MATCH($O$1,Database!$A$1:$AS$1,),))))-(((VLOOKUP(EDATE(B184,-12),Database!$A:$AS,MATCH($O$1,Database!$A$1:$AS$1,),)))))/(((VLOOKUP(EDATE(B184,-12),Database!$A:$AS,MATCH($O$1,Database!$A$1:$AS$1,),))))</f>
        <v>-1.2932268147272349E-2</v>
      </c>
      <c r="P184" s="13">
        <f>((((VLOOKUP(B184,Database!$A:$AS,MATCH($P$1,Database!$A$1:$AS$1,),))))-(((VLOOKUP(EDATE(B184,-12),Database!$A:$AS,MATCH($P$1,Database!$A$1:$AS$1,),)))))/(((VLOOKUP(EDATE(B184,-12),Database!$A:$AS,MATCH($P$1,Database!$A$1:$AS$1,),))))</f>
        <v>3.1644494770352929E-2</v>
      </c>
      <c r="Q184" s="13">
        <f>((((VLOOKUP(B184,Database!$A:$AS,MATCH($Q$1,Database!$A$1:$AS$1,),))))-(((VLOOKUP(EDATE(B184,-12),Database!$A:$AS,MATCH($Q$1,Database!$A$1:$AS$1,),)))))/(((VLOOKUP(EDATE(B184,-12),Database!$A:$AS,MATCH($Q$1,Database!$A$1:$AS$1,),))))</f>
        <v>-1.6434892544774319E-2</v>
      </c>
      <c r="R184" s="13">
        <f>((((VLOOKUP(B184,Database!$A:$AS,MATCH($R$1,Database!$A$1:$AS$1,),))))-(((VLOOKUP(EDATE(B184,-12),Database!$A:$AS,MATCH($R$1,Database!$A$1:$AS$1,),)))))/(((VLOOKUP(EDATE(B184,-12),Database!$A:$AS,MATCH($R$1,Database!$A$1:$AS$1,),))))</f>
        <v>2.5843503228384416E-2</v>
      </c>
      <c r="S184" s="13">
        <f>((((VLOOKUP(B184,Database!$A:$AS,MATCH($S$1,Database!$A$1:$AS$1,),))))-(((VLOOKUP(EDATE(B184,-12),Database!$A:$AS,MATCH($S$1,Database!$A$1:$AS$1,),)))))/(((VLOOKUP(EDATE(B184,-12),Database!$A:$AS,MATCH($S$1,Database!$A$1:$AS$1,),))))</f>
        <v>-5.3763440797883286E-3</v>
      </c>
      <c r="T184" s="13">
        <f>((((VLOOKUP(B184,Database!$A:$AS,MATCH($T$1,Database!$A$1:$AS$1,),))))-(((VLOOKUP(EDATE(B184,-12),Database!$A:$AS,MATCH($T$1,Database!$A$1:$AS$1,),)))))/(((VLOOKUP(EDATE(B184,-12),Database!$A:$AS,MATCH($T$1,Database!$A$1:$AS$1,),))))</f>
        <v>5.3364269133994023E-2</v>
      </c>
      <c r="U184" s="13">
        <f>((((VLOOKUP(B184,Database!$A:$AS,MATCH($U$1,Database!$A$1:$AS$1,),))))-(((VLOOKUP(EDATE(B184,-12),Database!$A:$AS,MATCH($U$1,Database!$A$1:$AS$1,),)))))/(((VLOOKUP(EDATE(B184,-12),Database!$A:$AS,MATCH($U$1,Database!$A$1:$AS$1,),))))</f>
        <v>2.2321428576611017E-2</v>
      </c>
      <c r="V184" s="13">
        <f>((((VLOOKUP(B184,Database!$A:$AS,MATCH($V$1,Database!$A$1:$AS$1,),))))-(((VLOOKUP(EDATE(B184,-12),Database!$A:$AS,MATCH($V$1,Database!$A$1:$AS$1,),)))))/(((VLOOKUP(EDATE(B184,-12),Database!$A:$AS,MATCH($V$1,Database!$A$1:$AS$1,),))))</f>
        <v>9.3220338983050807E-2</v>
      </c>
    </row>
    <row r="185" spans="1:22" s="83" customFormat="1" x14ac:dyDescent="0.2">
      <c r="A185" s="43"/>
      <c r="B185" s="78">
        <v>37773</v>
      </c>
      <c r="C185" s="13">
        <f>((((VLOOKUP(B185,Database!$A:$AS,MATCH($C$1,Database!$A$1:$AS$1,),))))-(((VLOOKUP(EDATE(B185,-12),Database!$A:$AS,MATCH($C$1,Database!$A$1:$AS$1,),)))))/(((VLOOKUP(EDATE(B185,-12),Database!$A:$AS,MATCH($C$1,Database!$A$1:$AS$1,),))))</f>
        <v>-1.8766266558694741E-3</v>
      </c>
      <c r="D185" s="13">
        <f>((((VLOOKUP(B185,Database!$A:$AS,MATCH($D$1,Database!$A$1:$AS$1,),))))-(((VLOOKUP(EDATE(B185,-12),Database!$A:$AS,MATCH($D$1,Database!$A$1:$AS$1,),)))))/(((VLOOKUP(EDATE(B185,-12),Database!$A:$AS,MATCH($D$1,Database!$A$1:$AS$1,),))))</f>
        <v>-1.7726798748696586E-2</v>
      </c>
      <c r="E185" s="13">
        <f>((((VLOOKUP(B185,Database!$A:$AS,MATCH($E$1,Database!$A$1:$AS$1,),))))-(((VLOOKUP(EDATE(B185,-12),Database!$A:$AS,MATCH($E$1,Database!$A$1:$AS$1,),)))))/(((VLOOKUP(EDATE(B185,-12),Database!$A:$AS,MATCH($E$1,Database!$A$1:$AS$1,),))))</f>
        <v>2.3561681730905396E-2</v>
      </c>
      <c r="F185" s="13">
        <f>((((VLOOKUP(B185,Database!$A:$AS,MATCH($F$1,Database!$A$1:$AS$1,),))))-(((VLOOKUP(EDATE(B185,-12),Database!$A:$AS,MATCH($F$1,Database!$A$1:$AS$1,),)))))/(((VLOOKUP(EDATE(B185,-12),Database!$A:$AS,MATCH($F$1,Database!$A$1:$AS$1,),))))</f>
        <v>-2.7194066749806459E-2</v>
      </c>
      <c r="G185" s="13">
        <f>((((VLOOKUP(B185,Database!$A:$AS,MATCH($G$1,Database!$A$1:$AS$1,),))))-(((VLOOKUP(EDATE(B185,-12),Database!$A:$AS,MATCH($G$1,Database!$A$1:$AS$1,),)))))/(((VLOOKUP(EDATE(B185,-12),Database!$A:$AS,MATCH($G$1,Database!$A$1:$AS$1,),))))</f>
        <v>-3.0562904844448447E-2</v>
      </c>
      <c r="H185" s="13">
        <f>((((VLOOKUP(B185,Database!$A:$AS,MATCH($H$1,Database!$A$1:$AS$1,),))))-(((VLOOKUP(EDATE(B185,-12),Database!$A:$AS,MATCH($H$1,Database!$A$1:$AS$1,),)))))/(((VLOOKUP(EDATE(B185,-12),Database!$A:$AS,MATCH($H$1,Database!$A$1:$AS$1,),))))</f>
        <v>6.6452304394875178E-2</v>
      </c>
      <c r="I185" s="13">
        <f>((((VLOOKUP(B185,Database!$A:$AS,MATCH($I$1,Database!$A$1:$AS$1,),))))-(((VLOOKUP(EDATE(B185,-12),Database!$A:$AS,MATCH($I$1,Database!$A$1:$AS$1,),)))))/(((VLOOKUP(EDATE(B185,-12),Database!$A:$AS,MATCH($I$1,Database!$A$1:$AS$1,),))))</f>
        <v>-1.7756255044898712E-2</v>
      </c>
      <c r="J185" s="13">
        <f>((((VLOOKUP(B185,Database!$A:$AS,MATCH($J$1,Database!$A$1:$AS$1,),))))-(((VLOOKUP(EDATE(B185,-12),Database!$A:$AS,MATCH($J$1,Database!$A$1:$AS$1,),)))))/(((VLOOKUP(EDATE(B185,-12),Database!$A:$AS,MATCH($J$1,Database!$A$1:$AS$1,),))))</f>
        <v>1.5891079712350206E-2</v>
      </c>
      <c r="K185" s="13">
        <f>((((VLOOKUP(B185,Database!$A:$AS,MATCH($K$1,Database!$A$1:$AS$1,),))))-(((VLOOKUP(EDATE(B185,-12),Database!$A:$AS,MATCH($K$1,Database!$A$1:$AS$1,),)))))/(((VLOOKUP(EDATE(B185,-12),Database!$A:$AS,MATCH($K$1,Database!$A$1:$AS$1,),))))</f>
        <v>2.7081243733617918E-2</v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>1.7672279152425682E-2</v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>9.0991287817829961E-2</v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>6.1524453954499535E-2</v>
      </c>
      <c r="O185" s="13">
        <f>((((VLOOKUP(B185,Database!$A:$AS,MATCH($O$1,Database!$A$1:$AS$1,),))))-(((VLOOKUP(EDATE(B185,-12),Database!$A:$AS,MATCH($O$1,Database!$A$1:$AS$1,),)))))/(((VLOOKUP(EDATE(B185,-12),Database!$A:$AS,MATCH($O$1,Database!$A$1:$AS$1,),))))</f>
        <v>-1.0506430089468085E-2</v>
      </c>
      <c r="P185" s="13">
        <f>((((VLOOKUP(B185,Database!$A:$AS,MATCH($P$1,Database!$A$1:$AS$1,),))))-(((VLOOKUP(EDATE(B185,-12),Database!$A:$AS,MATCH($P$1,Database!$A$1:$AS$1,),)))))/(((VLOOKUP(EDATE(B185,-12),Database!$A:$AS,MATCH($P$1,Database!$A$1:$AS$1,),))))</f>
        <v>7.2555504863339421E-2</v>
      </c>
      <c r="Q185" s="13">
        <f>((((VLOOKUP(B185,Database!$A:$AS,MATCH($Q$1,Database!$A$1:$AS$1,),))))-(((VLOOKUP(EDATE(B185,-12),Database!$A:$AS,MATCH($Q$1,Database!$A$1:$AS$1,),)))))/(((VLOOKUP(EDATE(B185,-12),Database!$A:$AS,MATCH($Q$1,Database!$A$1:$AS$1,),))))</f>
        <v>-1.5113350120642867E-2</v>
      </c>
      <c r="R185" s="13">
        <f>((((VLOOKUP(B185,Database!$A:$AS,MATCH($R$1,Database!$A$1:$AS$1,),))))-(((VLOOKUP(EDATE(B185,-12),Database!$A:$AS,MATCH($R$1,Database!$A$1:$AS$1,),)))))/(((VLOOKUP(EDATE(B185,-12),Database!$A:$AS,MATCH($R$1,Database!$A$1:$AS$1,),))))</f>
        <v>1.6220028211786988E-2</v>
      </c>
      <c r="S185" s="13">
        <f>((((VLOOKUP(B185,Database!$A:$AS,MATCH($S$1,Database!$A$1:$AS$1,),))))-(((VLOOKUP(EDATE(B185,-12),Database!$A:$AS,MATCH($S$1,Database!$A$1:$AS$1,),)))))/(((VLOOKUP(EDATE(B185,-12),Database!$A:$AS,MATCH($S$1,Database!$A$1:$AS$1,),))))</f>
        <v>-2.6232948570770055E-2</v>
      </c>
      <c r="T185" s="13">
        <f>((((VLOOKUP(B185,Database!$A:$AS,MATCH($T$1,Database!$A$1:$AS$1,),))))-(((VLOOKUP(EDATE(B185,-12),Database!$A:$AS,MATCH($T$1,Database!$A$1:$AS$1,),)))))/(((VLOOKUP(EDATE(B185,-12),Database!$A:$AS,MATCH($T$1,Database!$A$1:$AS$1,),))))</f>
        <v>8.5057471256228728E-2</v>
      </c>
      <c r="U185" s="13">
        <f>((((VLOOKUP(B185,Database!$A:$AS,MATCH($U$1,Database!$A$1:$AS$1,),))))-(((VLOOKUP(EDATE(B185,-12),Database!$A:$AS,MATCH($U$1,Database!$A$1:$AS$1,),)))))/(((VLOOKUP(EDATE(B185,-12),Database!$A:$AS,MATCH($U$1,Database!$A$1:$AS$1,),))))</f>
        <v>3.4226190483144937E-2</v>
      </c>
      <c r="V185" s="13">
        <f>((((VLOOKUP(B185,Database!$A:$AS,MATCH($V$1,Database!$A$1:$AS$1,),))))-(((VLOOKUP(EDATE(B185,-12),Database!$A:$AS,MATCH($V$1,Database!$A$1:$AS$1,),)))))/(((VLOOKUP(EDATE(B185,-12),Database!$A:$AS,MATCH($V$1,Database!$A$1:$AS$1,),))))</f>
        <v>7.6763485477178331E-2</v>
      </c>
    </row>
    <row r="186" spans="1:22" s="83" customFormat="1" x14ac:dyDescent="0.2">
      <c r="A186" s="43"/>
      <c r="B186" s="78">
        <v>37803</v>
      </c>
      <c r="C186" s="13">
        <f>((((VLOOKUP(B186,Database!$A:$AS,MATCH($C$1,Database!$A$1:$AS$1,),))))-(((VLOOKUP(EDATE(B186,-12),Database!$A:$AS,MATCH($C$1,Database!$A$1:$AS$1,),)))))/(((VLOOKUP(EDATE(B186,-12),Database!$A:$AS,MATCH($C$1,Database!$A$1:$AS$1,),))))</f>
        <v>3.5950046267118436E-3</v>
      </c>
      <c r="D186" s="13">
        <f>((((VLOOKUP(B186,Database!$A:$AS,MATCH($D$1,Database!$A$1:$AS$1,),))))-(((VLOOKUP(EDATE(B186,-12),Database!$A:$AS,MATCH($D$1,Database!$A$1:$AS$1,),)))))/(((VLOOKUP(EDATE(B186,-12),Database!$A:$AS,MATCH($D$1,Database!$A$1:$AS$1,),))))</f>
        <v>6.3025210084033017E-3</v>
      </c>
      <c r="E186" s="13">
        <f>((((VLOOKUP(B186,Database!$A:$AS,MATCH($E$1,Database!$A$1:$AS$1,),))))-(((VLOOKUP(EDATE(B186,-12),Database!$A:$AS,MATCH($E$1,Database!$A$1:$AS$1,),)))))/(((VLOOKUP(EDATE(B186,-12),Database!$A:$AS,MATCH($E$1,Database!$A$1:$AS$1,),))))</f>
        <v>2.0272813057428354E-2</v>
      </c>
      <c r="F186" s="13">
        <f>((((VLOOKUP(B186,Database!$A:$AS,MATCH($F$1,Database!$A$1:$AS$1,),))))-(((VLOOKUP(EDATE(B186,-12),Database!$A:$AS,MATCH($F$1,Database!$A$1:$AS$1,),)))))/(((VLOOKUP(EDATE(B186,-12),Database!$A:$AS,MATCH($F$1,Database!$A$1:$AS$1,),))))</f>
        <v>1.5113350121693205E-2</v>
      </c>
      <c r="G186" s="13">
        <f>((((VLOOKUP(B186,Database!$A:$AS,MATCH($G$1,Database!$A$1:$AS$1,),))))-(((VLOOKUP(EDATE(B186,-12),Database!$A:$AS,MATCH($G$1,Database!$A$1:$AS$1,),)))))/(((VLOOKUP(EDATE(B186,-12),Database!$A:$AS,MATCH($G$1,Database!$A$1:$AS$1,),))))</f>
        <v>-3.4104525762742219E-3</v>
      </c>
      <c r="H186" s="13">
        <f>((((VLOOKUP(B186,Database!$A:$AS,MATCH($H$1,Database!$A$1:$AS$1,),))))-(((VLOOKUP(EDATE(B186,-12),Database!$A:$AS,MATCH($H$1,Database!$A$1:$AS$1,),)))))/(((VLOOKUP(EDATE(B186,-12),Database!$A:$AS,MATCH($H$1,Database!$A$1:$AS$1,),))))</f>
        <v>6.3157894731793757E-2</v>
      </c>
      <c r="I186" s="13">
        <f>((((VLOOKUP(B186,Database!$A:$AS,MATCH($I$1,Database!$A$1:$AS$1,),))))-(((VLOOKUP(EDATE(B186,-12),Database!$A:$AS,MATCH($I$1,Database!$A$1:$AS$1,),)))))/(((VLOOKUP(EDATE(B186,-12),Database!$A:$AS,MATCH($I$1,Database!$A$1:$AS$1,),))))</f>
        <v>-8.097165962658617E-4</v>
      </c>
      <c r="J186" s="13">
        <f>((((VLOOKUP(B186,Database!$A:$AS,MATCH($J$1,Database!$A$1:$AS$1,),))))-(((VLOOKUP(EDATE(B186,-12),Database!$A:$AS,MATCH($J$1,Database!$A$1:$AS$1,),)))))/(((VLOOKUP(EDATE(B186,-12),Database!$A:$AS,MATCH($J$1,Database!$A$1:$AS$1,),))))</f>
        <v>1.5456532592686699E-2</v>
      </c>
      <c r="K186" s="13">
        <f>((((VLOOKUP(B186,Database!$A:$AS,MATCH($K$1,Database!$A$1:$AS$1,),))))-(((VLOOKUP(EDATE(B186,-12),Database!$A:$AS,MATCH($K$1,Database!$A$1:$AS$1,),)))))/(((VLOOKUP(EDATE(B186,-12),Database!$A:$AS,MATCH($K$1,Database!$A$1:$AS$1,),))))</f>
        <v>3.3864541833185206E-2</v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>1.1845296717111578E-2</v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>8.3835989645873604E-2</v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>6.3169100322584354E-2</v>
      </c>
      <c r="O186" s="13">
        <f>((((VLOOKUP(B186,Database!$A:$AS,MATCH($O$1,Database!$A$1:$AS$1,),))))-(((VLOOKUP(EDATE(B186,-12),Database!$A:$AS,MATCH($O$1,Database!$A$1:$AS$1,),)))))/(((VLOOKUP(EDATE(B186,-12),Database!$A:$AS,MATCH($O$1,Database!$A$1:$AS$1,),))))</f>
        <v>-9.9498077627562312E-3</v>
      </c>
      <c r="P186" s="13">
        <f>((((VLOOKUP(B186,Database!$A:$AS,MATCH($P$1,Database!$A$1:$AS$1,),))))-(((VLOOKUP(EDATE(B186,-12),Database!$A:$AS,MATCH($P$1,Database!$A$1:$AS$1,),)))))/(((VLOOKUP(EDATE(B186,-12),Database!$A:$AS,MATCH($P$1,Database!$A$1:$AS$1,),))))</f>
        <v>-2.2760496686770183E-3</v>
      </c>
      <c r="Q186" s="13">
        <f>((((VLOOKUP(B186,Database!$A:$AS,MATCH($Q$1,Database!$A$1:$AS$1,),))))-(((VLOOKUP(EDATE(B186,-12),Database!$A:$AS,MATCH($Q$1,Database!$A$1:$AS$1,),)))))/(((VLOOKUP(EDATE(B186,-12),Database!$A:$AS,MATCH($Q$1,Database!$A$1:$AS$1,),))))</f>
        <v>-2.8858218321740622E-2</v>
      </c>
      <c r="R186" s="13">
        <f>((((VLOOKUP(B186,Database!$A:$AS,MATCH($R$1,Database!$A$1:$AS$1,),))))-(((VLOOKUP(EDATE(B186,-12),Database!$A:$AS,MATCH($R$1,Database!$A$1:$AS$1,),)))))/(((VLOOKUP(EDATE(B186,-12),Database!$A:$AS,MATCH($R$1,Database!$A$1:$AS$1,),))))</f>
        <v>1.4094432693987401E-2</v>
      </c>
      <c r="S186" s="13">
        <f>((((VLOOKUP(B186,Database!$A:$AS,MATCH($S$1,Database!$A$1:$AS$1,),))))-(((VLOOKUP(EDATE(B186,-12),Database!$A:$AS,MATCH($S$1,Database!$A$1:$AS$1,),)))))/(((VLOOKUP(EDATE(B186,-12),Database!$A:$AS,MATCH($S$1,Database!$A$1:$AS$1,),))))</f>
        <v>6.0066740813089665E-2</v>
      </c>
      <c r="T186" s="13">
        <f>((((VLOOKUP(B186,Database!$A:$AS,MATCH($T$1,Database!$A$1:$AS$1,),))))-(((VLOOKUP(EDATE(B186,-12),Database!$A:$AS,MATCH($T$1,Database!$A$1:$AS$1,),)))))/(((VLOOKUP(EDATE(B186,-12),Database!$A:$AS,MATCH($T$1,Database!$A$1:$AS$1,),))))</f>
        <v>9.7727272715030011E-2</v>
      </c>
      <c r="U186" s="13">
        <f>((((VLOOKUP(B186,Database!$A:$AS,MATCH($U$1,Database!$A$1:$AS$1,),))))-(((VLOOKUP(EDATE(B186,-12),Database!$A:$AS,MATCH($U$1,Database!$A$1:$AS$1,),)))))/(((VLOOKUP(EDATE(B186,-12),Database!$A:$AS,MATCH($U$1,Database!$A$1:$AS$1,),))))</f>
        <v>1.3100436681286375E-2</v>
      </c>
      <c r="V186" s="13">
        <f>((((VLOOKUP(B186,Database!$A:$AS,MATCH($V$1,Database!$A$1:$AS$1,),))))-(((VLOOKUP(EDATE(B186,-12),Database!$A:$AS,MATCH($V$1,Database!$A$1:$AS$1,),)))))/(((VLOOKUP(EDATE(B186,-12),Database!$A:$AS,MATCH($V$1,Database!$A$1:$AS$1,),))))</f>
        <v>0.10450819672131151</v>
      </c>
    </row>
    <row r="187" spans="1:22" s="83" customFormat="1" x14ac:dyDescent="0.2">
      <c r="A187" s="43"/>
      <c r="B187" s="78">
        <v>37834</v>
      </c>
      <c r="C187" s="13">
        <f>((((VLOOKUP(B187,Database!$A:$AS,MATCH($C$1,Database!$A$1:$AS$1,),))))-(((VLOOKUP(EDATE(B187,-12),Database!$A:$AS,MATCH($C$1,Database!$A$1:$AS$1,),)))))/(((VLOOKUP(EDATE(B187,-12),Database!$A:$AS,MATCH($C$1,Database!$A$1:$AS$1,),))))</f>
        <v>2.4993115676993768E-3</v>
      </c>
      <c r="D187" s="13">
        <f>((((VLOOKUP(B187,Database!$A:$AS,MATCH($D$1,Database!$A$1:$AS$1,),))))-(((VLOOKUP(EDATE(B187,-12),Database!$A:$AS,MATCH($D$1,Database!$A$1:$AS$1,),)))))/(((VLOOKUP(EDATE(B187,-12),Database!$A:$AS,MATCH($D$1,Database!$A$1:$AS$1,),))))</f>
        <v>-9.4142259414225059E-3</v>
      </c>
      <c r="E187" s="13">
        <f>((((VLOOKUP(B187,Database!$A:$AS,MATCH($E$1,Database!$A$1:$AS$1,),))))-(((VLOOKUP(EDATE(B187,-12),Database!$A:$AS,MATCH($E$1,Database!$A$1:$AS$1,),)))))/(((VLOOKUP(EDATE(B187,-12),Database!$A:$AS,MATCH($E$1,Database!$A$1:$AS$1,),))))</f>
        <v>6.1266679194392892E-3</v>
      </c>
      <c r="F187" s="13">
        <f>((((VLOOKUP(B187,Database!$A:$AS,MATCH($F$1,Database!$A$1:$AS$1,),))))-(((VLOOKUP(EDATE(B187,-12),Database!$A:$AS,MATCH($F$1,Database!$A$1:$AS$1,),)))))/(((VLOOKUP(EDATE(B187,-12),Database!$A:$AS,MATCH($F$1,Database!$A$1:$AS$1,),))))</f>
        <v>-3.3210332106226106E-2</v>
      </c>
      <c r="G187" s="13">
        <f>((((VLOOKUP(B187,Database!$A:$AS,MATCH($G$1,Database!$A$1:$AS$1,),))))-(((VLOOKUP(EDATE(B187,-12),Database!$A:$AS,MATCH($G$1,Database!$A$1:$AS$1,),)))))/(((VLOOKUP(EDATE(B187,-12),Database!$A:$AS,MATCH($G$1,Database!$A$1:$AS$1,),))))</f>
        <v>-2.5606225117625756E-2</v>
      </c>
      <c r="H187" s="13">
        <f>((((VLOOKUP(B187,Database!$A:$AS,MATCH($H$1,Database!$A$1:$AS$1,),))))-(((VLOOKUP(EDATE(B187,-12),Database!$A:$AS,MATCH($H$1,Database!$A$1:$AS$1,),)))))/(((VLOOKUP(EDATE(B187,-12),Database!$A:$AS,MATCH($H$1,Database!$A$1:$AS$1,),))))</f>
        <v>7.7742279026139879E-2</v>
      </c>
      <c r="I187" s="13">
        <f>((((VLOOKUP(B187,Database!$A:$AS,MATCH($I$1,Database!$A$1:$AS$1,),))))-(((VLOOKUP(EDATE(B187,-12),Database!$A:$AS,MATCH($I$1,Database!$A$1:$AS$1,),)))))/(((VLOOKUP(EDATE(B187,-12),Database!$A:$AS,MATCH($I$1,Database!$A$1:$AS$1,),))))</f>
        <v>-9.0237899920388633E-3</v>
      </c>
      <c r="J187" s="13">
        <f>((((VLOOKUP(B187,Database!$A:$AS,MATCH($J$1,Database!$A$1:$AS$1,),))))-(((VLOOKUP(EDATE(B187,-12),Database!$A:$AS,MATCH($J$1,Database!$A$1:$AS$1,),)))))/(((VLOOKUP(EDATE(B187,-12),Database!$A:$AS,MATCH($J$1,Database!$A$1:$AS$1,),))))</f>
        <v>7.809449433814941E-3</v>
      </c>
      <c r="K187" s="13">
        <f>((((VLOOKUP(B187,Database!$A:$AS,MATCH($K$1,Database!$A$1:$AS$1,),))))-(((VLOOKUP(EDATE(B187,-12),Database!$A:$AS,MATCH($K$1,Database!$A$1:$AS$1,),)))))/(((VLOOKUP(EDATE(B187,-12),Database!$A:$AS,MATCH($K$1,Database!$A$1:$AS$1,),))))</f>
        <v>2.5974025976750217E-2</v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>7.2499712519928363E-3</v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>6.9477451076546112E-2</v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>6.1876536549191126E-2</v>
      </c>
      <c r="O187" s="13">
        <f>((((VLOOKUP(B187,Database!$A:$AS,MATCH($O$1,Database!$A$1:$AS$1,),))))-(((VLOOKUP(EDATE(B187,-12),Database!$A:$AS,MATCH($O$1,Database!$A$1:$AS$1,),)))))/(((VLOOKUP(EDATE(B187,-12),Database!$A:$AS,MATCH($O$1,Database!$A$1:$AS$1,),))))</f>
        <v>-2.1231475548216215E-2</v>
      </c>
      <c r="P187" s="13">
        <f>((((VLOOKUP(B187,Database!$A:$AS,MATCH($P$1,Database!$A$1:$AS$1,),))))-(((VLOOKUP(EDATE(B187,-12),Database!$A:$AS,MATCH($P$1,Database!$A$1:$AS$1,),)))))/(((VLOOKUP(EDATE(B187,-12),Database!$A:$AS,MATCH($P$1,Database!$A$1:$AS$1,),))))</f>
        <v>3.8255884452147747E-2</v>
      </c>
      <c r="Q187" s="13">
        <f>((((VLOOKUP(B187,Database!$A:$AS,MATCH($Q$1,Database!$A$1:$AS$1,),))))-(((VLOOKUP(EDATE(B187,-12),Database!$A:$AS,MATCH($Q$1,Database!$A$1:$AS$1,),)))))/(((VLOOKUP(EDATE(B187,-12),Database!$A:$AS,MATCH($Q$1,Database!$A$1:$AS$1,),))))</f>
        <v>-1.2722646286616097E-3</v>
      </c>
      <c r="R187" s="13">
        <f>((((VLOOKUP(B187,Database!$A:$AS,MATCH($R$1,Database!$A$1:$AS$1,),))))-(((VLOOKUP(EDATE(B187,-12),Database!$A:$AS,MATCH($R$1,Database!$A$1:$AS$1,),)))))/(((VLOOKUP(EDATE(B187,-12),Database!$A:$AS,MATCH($R$1,Database!$A$1:$AS$1,),))))</f>
        <v>-1.57706093240743E-2</v>
      </c>
      <c r="S187" s="13">
        <f>((((VLOOKUP(B187,Database!$A:$AS,MATCH($S$1,Database!$A$1:$AS$1,),))))-(((VLOOKUP(EDATE(B187,-12),Database!$A:$AS,MATCH($S$1,Database!$A$1:$AS$1,),)))))/(((VLOOKUP(EDATE(B187,-12),Database!$A:$AS,MATCH($S$1,Database!$A$1:$AS$1,),))))</f>
        <v>0.11896745229034503</v>
      </c>
      <c r="T187" s="13">
        <f>((((VLOOKUP(B187,Database!$A:$AS,MATCH($T$1,Database!$A$1:$AS$1,),))))-(((VLOOKUP(EDATE(B187,-12),Database!$A:$AS,MATCH($T$1,Database!$A$1:$AS$1,),)))))/(((VLOOKUP(EDATE(B187,-12),Database!$A:$AS,MATCH($T$1,Database!$A$1:$AS$1,),))))</f>
        <v>0.12244897960386979</v>
      </c>
      <c r="U187" s="13">
        <f>((((VLOOKUP(B187,Database!$A:$AS,MATCH($U$1,Database!$A$1:$AS$1,),))))-(((VLOOKUP(EDATE(B187,-12),Database!$A:$AS,MATCH($U$1,Database!$A$1:$AS$1,),)))))/(((VLOOKUP(EDATE(B187,-12),Database!$A:$AS,MATCH($U$1,Database!$A$1:$AS$1,),))))</f>
        <v>5.8035714296212369E-2</v>
      </c>
      <c r="V187" s="13">
        <f>((((VLOOKUP(B187,Database!$A:$AS,MATCH($V$1,Database!$A$1:$AS$1,),))))-(((VLOOKUP(EDATE(B187,-12),Database!$A:$AS,MATCH($V$1,Database!$A$1:$AS$1,),)))))/(((VLOOKUP(EDATE(B187,-12),Database!$A:$AS,MATCH($V$1,Database!$A$1:$AS$1,),))))</f>
        <v>9.3117408906882623E-2</v>
      </c>
    </row>
    <row r="188" spans="1:22" s="83" customFormat="1" x14ac:dyDescent="0.2">
      <c r="A188" s="43"/>
      <c r="B188" s="78">
        <v>37865</v>
      </c>
      <c r="C188" s="13">
        <f>((((VLOOKUP(B188,Database!$A:$AS,MATCH($C$1,Database!$A$1:$AS$1,),))))-(((VLOOKUP(EDATE(B188,-12),Database!$A:$AS,MATCH($C$1,Database!$A$1:$AS$1,),)))))/(((VLOOKUP(EDATE(B188,-12),Database!$A:$AS,MATCH($C$1,Database!$A$1:$AS$1,),))))</f>
        <v>8.1678367229673001E-3</v>
      </c>
      <c r="D188" s="13">
        <f>((((VLOOKUP(B188,Database!$A:$AS,MATCH($D$1,Database!$A$1:$AS$1,),))))-(((VLOOKUP(EDATE(B188,-12),Database!$A:$AS,MATCH($D$1,Database!$A$1:$AS$1,),)))))/(((VLOOKUP(EDATE(B188,-12),Database!$A:$AS,MATCH($D$1,Database!$A$1:$AS$1,),))))</f>
        <v>-1.5641293013555786E-2</v>
      </c>
      <c r="E188" s="13">
        <f>((((VLOOKUP(B188,Database!$A:$AS,MATCH($E$1,Database!$A$1:$AS$1,),))))-(((VLOOKUP(EDATE(B188,-12),Database!$A:$AS,MATCH($E$1,Database!$A$1:$AS$1,),)))))/(((VLOOKUP(EDATE(B188,-12),Database!$A:$AS,MATCH($E$1,Database!$A$1:$AS$1,),))))</f>
        <v>3.0033670031216552E-2</v>
      </c>
      <c r="F188" s="13">
        <f>((((VLOOKUP(B188,Database!$A:$AS,MATCH($F$1,Database!$A$1:$AS$1,),))))-(((VLOOKUP(EDATE(B188,-12),Database!$A:$AS,MATCH($F$1,Database!$A$1:$AS$1,),)))))/(((VLOOKUP(EDATE(B188,-12),Database!$A:$AS,MATCH($F$1,Database!$A$1:$AS$1,),))))</f>
        <v>-2.2443890280440269E-2</v>
      </c>
      <c r="G188" s="13">
        <f>((((VLOOKUP(B188,Database!$A:$AS,MATCH($G$1,Database!$A$1:$AS$1,),))))-(((VLOOKUP(EDATE(B188,-12),Database!$A:$AS,MATCH($G$1,Database!$A$1:$AS$1,),)))))/(((VLOOKUP(EDATE(B188,-12),Database!$A:$AS,MATCH($G$1,Database!$A$1:$AS$1,),))))</f>
        <v>-1.7132386623912088E-2</v>
      </c>
      <c r="H188" s="13">
        <f>((((VLOOKUP(B188,Database!$A:$AS,MATCH($H$1,Database!$A$1:$AS$1,),))))-(((VLOOKUP(EDATE(B188,-12),Database!$A:$AS,MATCH($H$1,Database!$A$1:$AS$1,),)))))/(((VLOOKUP(EDATE(B188,-12),Database!$A:$AS,MATCH($H$1,Database!$A$1:$AS$1,),))))</f>
        <v>6.779661017566864E-2</v>
      </c>
      <c r="I188" s="13">
        <f>((((VLOOKUP(B188,Database!$A:$AS,MATCH($I$1,Database!$A$1:$AS$1,),))))-(((VLOOKUP(EDATE(B188,-12),Database!$A:$AS,MATCH($I$1,Database!$A$1:$AS$1,),)))))/(((VLOOKUP(EDATE(B188,-12),Database!$A:$AS,MATCH($I$1,Database!$A$1:$AS$1,),))))</f>
        <v>-2.4135156879833673E-2</v>
      </c>
      <c r="J188" s="13">
        <f>((((VLOOKUP(B188,Database!$A:$AS,MATCH($J$1,Database!$A$1:$AS$1,),))))-(((VLOOKUP(EDATE(B188,-12),Database!$A:$AS,MATCH($J$1,Database!$A$1:$AS$1,),)))))/(((VLOOKUP(EDATE(B188,-12),Database!$A:$AS,MATCH($J$1,Database!$A$1:$AS$1,),))))</f>
        <v>-1.3338864108912497E-3</v>
      </c>
      <c r="K188" s="13">
        <f>((((VLOOKUP(B188,Database!$A:$AS,MATCH($K$1,Database!$A$1:$AS$1,),))))-(((VLOOKUP(EDATE(B188,-12),Database!$A:$AS,MATCH($K$1,Database!$A$1:$AS$1,),)))))/(((VLOOKUP(EDATE(B188,-12),Database!$A:$AS,MATCH($K$1,Database!$A$1:$AS$1,),))))</f>
        <v>3.196803196907981E-2</v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>1.010842703830154E-2</v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>9.7177744155534984E-2</v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>7.1406091992177761E-2</v>
      </c>
      <c r="O188" s="13">
        <f>((((VLOOKUP(B188,Database!$A:$AS,MATCH($O$1,Database!$A$1:$AS$1,),))))-(((VLOOKUP(EDATE(B188,-12),Database!$A:$AS,MATCH($O$1,Database!$A$1:$AS$1,),)))))/(((VLOOKUP(EDATE(B188,-12),Database!$A:$AS,MATCH($O$1,Database!$A$1:$AS$1,),))))</f>
        <v>7.4204382824872937E-3</v>
      </c>
      <c r="P188" s="13">
        <f>((((VLOOKUP(B188,Database!$A:$AS,MATCH($P$1,Database!$A$1:$AS$1,),))))-(((VLOOKUP(EDATE(B188,-12),Database!$A:$AS,MATCH($P$1,Database!$A$1:$AS$1,),)))))/(((VLOOKUP(EDATE(B188,-12),Database!$A:$AS,MATCH($P$1,Database!$A$1:$AS$1,),))))</f>
        <v>7.2741450369364039E-2</v>
      </c>
      <c r="Q188" s="13">
        <f>((((VLOOKUP(B188,Database!$A:$AS,MATCH($Q$1,Database!$A$1:$AS$1,),))))-(((VLOOKUP(EDATE(B188,-12),Database!$A:$AS,MATCH($Q$1,Database!$A$1:$AS$1,),)))))/(((VLOOKUP(EDATE(B188,-12),Database!$A:$AS,MATCH($Q$1,Database!$A$1:$AS$1,),))))</f>
        <v>2.010050250917984E-2</v>
      </c>
      <c r="R188" s="13">
        <f>((((VLOOKUP(B188,Database!$A:$AS,MATCH($R$1,Database!$A$1:$AS$1,),))))-(((VLOOKUP(EDATE(B188,-12),Database!$A:$AS,MATCH($R$1,Database!$A$1:$AS$1,),)))))/(((VLOOKUP(EDATE(B188,-12),Database!$A:$AS,MATCH($R$1,Database!$A$1:$AS$1,),))))</f>
        <v>4.5128939828034072E-2</v>
      </c>
      <c r="S188" s="13">
        <f>((((VLOOKUP(B188,Database!$A:$AS,MATCH($S$1,Database!$A$1:$AS$1,),))))-(((VLOOKUP(EDATE(B188,-12),Database!$A:$AS,MATCH($S$1,Database!$A$1:$AS$1,),)))))/(((VLOOKUP(EDATE(B188,-12),Database!$A:$AS,MATCH($S$1,Database!$A$1:$AS$1,),))))</f>
        <v>-1.9501625120161743E-2</v>
      </c>
      <c r="T188" s="13">
        <f>((((VLOOKUP(B188,Database!$A:$AS,MATCH($T$1,Database!$A$1:$AS$1,),))))-(((VLOOKUP(EDATE(B188,-12),Database!$A:$AS,MATCH($T$1,Database!$A$1:$AS$1,),)))))/(((VLOOKUP(EDATE(B188,-12),Database!$A:$AS,MATCH($T$1,Database!$A$1:$AS$1,),))))</f>
        <v>9.0308370048225617E-2</v>
      </c>
      <c r="U188" s="13">
        <f>((((VLOOKUP(B188,Database!$A:$AS,MATCH($U$1,Database!$A$1:$AS$1,),))))-(((VLOOKUP(EDATE(B188,-12),Database!$A:$AS,MATCH($U$1,Database!$A$1:$AS$1,),)))))/(((VLOOKUP(EDATE(B188,-12),Database!$A:$AS,MATCH($U$1,Database!$A$1:$AS$1,),))))</f>
        <v>3.9301310043858916E-2</v>
      </c>
      <c r="V188" s="13">
        <f>((((VLOOKUP(B188,Database!$A:$AS,MATCH($V$1,Database!$A$1:$AS$1,),))))-(((VLOOKUP(EDATE(B188,-12),Database!$A:$AS,MATCH($V$1,Database!$A$1:$AS$1,),)))))/(((VLOOKUP(EDATE(B188,-12),Database!$A:$AS,MATCH($V$1,Database!$A$1:$AS$1,),))))</f>
        <v>8.8709677419354802E-2</v>
      </c>
    </row>
    <row r="189" spans="1:22" s="83" customFormat="1" x14ac:dyDescent="0.2">
      <c r="A189" s="43"/>
      <c r="B189" s="78">
        <v>37895</v>
      </c>
      <c r="C189" s="13">
        <f>((((VLOOKUP(B189,Database!$A:$AS,MATCH($C$1,Database!$A$1:$AS$1,),))))-(((VLOOKUP(EDATE(B189,-12),Database!$A:$AS,MATCH($C$1,Database!$A$1:$AS$1,),)))))/(((VLOOKUP(EDATE(B189,-12),Database!$A:$AS,MATCH($C$1,Database!$A$1:$AS$1,),))))</f>
        <v>1.2228990969840725E-2</v>
      </c>
      <c r="D189" s="13">
        <f>((((VLOOKUP(B189,Database!$A:$AS,MATCH($D$1,Database!$A$1:$AS$1,),))))-(((VLOOKUP(EDATE(B189,-12),Database!$A:$AS,MATCH($D$1,Database!$A$1:$AS$1,),)))))/(((VLOOKUP(EDATE(B189,-12),Database!$A:$AS,MATCH($D$1,Database!$A$1:$AS$1,),))))</f>
        <v>1.5739769150052468E-2</v>
      </c>
      <c r="E189" s="13">
        <f>((((VLOOKUP(B189,Database!$A:$AS,MATCH($E$1,Database!$A$1:$AS$1,),))))-(((VLOOKUP(EDATE(B189,-12),Database!$A:$AS,MATCH($E$1,Database!$A$1:$AS$1,),)))))/(((VLOOKUP(EDATE(B189,-12),Database!$A:$AS,MATCH($E$1,Database!$A$1:$AS$1,),))))</f>
        <v>4.1935319583179982E-2</v>
      </c>
      <c r="F189" s="13">
        <f>((((VLOOKUP(B189,Database!$A:$AS,MATCH($F$1,Database!$A$1:$AS$1,),))))-(((VLOOKUP(EDATE(B189,-12),Database!$A:$AS,MATCH($F$1,Database!$A$1:$AS$1,),)))))/(((VLOOKUP(EDATE(B189,-12),Database!$A:$AS,MATCH($F$1,Database!$A$1:$AS$1,),))))</f>
        <v>1.5075376892882245E-2</v>
      </c>
      <c r="G189" s="13">
        <f>((((VLOOKUP(B189,Database!$A:$AS,MATCH($G$1,Database!$A$1:$AS$1,),))))-(((VLOOKUP(EDATE(B189,-12),Database!$A:$AS,MATCH($G$1,Database!$A$1:$AS$1,),)))))/(((VLOOKUP(EDATE(B189,-12),Database!$A:$AS,MATCH($G$1,Database!$A$1:$AS$1,),))))</f>
        <v>1.4682796195401138E-2</v>
      </c>
      <c r="H189" s="13">
        <f>((((VLOOKUP(B189,Database!$A:$AS,MATCH($H$1,Database!$A$1:$AS$1,),))))-(((VLOOKUP(EDATE(B189,-12),Database!$A:$AS,MATCH($H$1,Database!$A$1:$AS$1,),)))))/(((VLOOKUP(EDATE(B189,-12),Database!$A:$AS,MATCH($H$1,Database!$A$1:$AS$1,),))))</f>
        <v>0.12800875273146764</v>
      </c>
      <c r="I189" s="13">
        <f>((((VLOOKUP(B189,Database!$A:$AS,MATCH($I$1,Database!$A$1:$AS$1,),))))-(((VLOOKUP(EDATE(B189,-12),Database!$A:$AS,MATCH($I$1,Database!$A$1:$AS$1,),)))))/(((VLOOKUP(EDATE(B189,-12),Database!$A:$AS,MATCH($I$1,Database!$A$1:$AS$1,),))))</f>
        <v>-1.6286644892380842E-3</v>
      </c>
      <c r="J189" s="13">
        <f>((((VLOOKUP(B189,Database!$A:$AS,MATCH($J$1,Database!$A$1:$AS$1,),))))-(((VLOOKUP(EDATE(B189,-12),Database!$A:$AS,MATCH($J$1,Database!$A$1:$AS$1,),)))))/(((VLOOKUP(EDATE(B189,-12),Database!$A:$AS,MATCH($J$1,Database!$A$1:$AS$1,),))))</f>
        <v>1.1802739460960126E-2</v>
      </c>
      <c r="K189" s="13">
        <f>((((VLOOKUP(B189,Database!$A:$AS,MATCH($K$1,Database!$A$1:$AS$1,),))))-(((VLOOKUP(EDATE(B189,-12),Database!$A:$AS,MATCH($K$1,Database!$A$1:$AS$1,),)))))/(((VLOOKUP(EDATE(B189,-12),Database!$A:$AS,MATCH($K$1,Database!$A$1:$AS$1,),))))</f>
        <v>2.0833333337466495E-2</v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>7.9671337925145969E-3</v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>8.7943162830405375E-2</v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>5.6380419983059794E-2</v>
      </c>
      <c r="O189" s="13">
        <f>((((VLOOKUP(B189,Database!$A:$AS,MATCH($O$1,Database!$A$1:$AS$1,),))))-(((VLOOKUP(EDATE(B189,-12),Database!$A:$AS,MATCH($O$1,Database!$A$1:$AS$1,),)))))/(((VLOOKUP(EDATE(B189,-12),Database!$A:$AS,MATCH($O$1,Database!$A$1:$AS$1,),))))</f>
        <v>6.2853883508524793E-3</v>
      </c>
      <c r="P189" s="13">
        <f>((((VLOOKUP(B189,Database!$A:$AS,MATCH($P$1,Database!$A$1:$AS$1,),))))-(((VLOOKUP(EDATE(B189,-12),Database!$A:$AS,MATCH($P$1,Database!$A$1:$AS$1,),)))))/(((VLOOKUP(EDATE(B189,-12),Database!$A:$AS,MATCH($P$1,Database!$A$1:$AS$1,),))))</f>
        <v>8.3068144398735416E-2</v>
      </c>
      <c r="Q189" s="13">
        <f>((((VLOOKUP(B189,Database!$A:$AS,MATCH($Q$1,Database!$A$1:$AS$1,),))))-(((VLOOKUP(EDATE(B189,-12),Database!$A:$AS,MATCH($Q$1,Database!$A$1:$AS$1,),)))))/(((VLOOKUP(EDATE(B189,-12),Database!$A:$AS,MATCH($Q$1,Database!$A$1:$AS$1,),))))</f>
        <v>1.7456359103599942E-2</v>
      </c>
      <c r="R189" s="13">
        <f>((((VLOOKUP(B189,Database!$A:$AS,MATCH($R$1,Database!$A$1:$AS$1,),))))-(((VLOOKUP(EDATE(B189,-12),Database!$A:$AS,MATCH($R$1,Database!$A$1:$AS$1,),)))))/(((VLOOKUP(EDATE(B189,-12),Database!$A:$AS,MATCH($R$1,Database!$A$1:$AS$1,),))))</f>
        <v>1.1165387295334972E-2</v>
      </c>
      <c r="S189" s="13">
        <f>((((VLOOKUP(B189,Database!$A:$AS,MATCH($S$1,Database!$A$1:$AS$1,),))))-(((VLOOKUP(EDATE(B189,-12),Database!$A:$AS,MATCH($S$1,Database!$A$1:$AS$1,),)))))/(((VLOOKUP(EDATE(B189,-12),Database!$A:$AS,MATCH($S$1,Database!$A$1:$AS$1,),))))</f>
        <v>0.16310461192385067</v>
      </c>
      <c r="T189" s="13">
        <f>((((VLOOKUP(B189,Database!$A:$AS,MATCH($T$1,Database!$A$1:$AS$1,),))))-(((VLOOKUP(EDATE(B189,-12),Database!$A:$AS,MATCH($T$1,Database!$A$1:$AS$1,),)))))/(((VLOOKUP(EDATE(B189,-12),Database!$A:$AS,MATCH($T$1,Database!$A$1:$AS$1,),))))</f>
        <v>0.10609480812697138</v>
      </c>
      <c r="U189" s="13">
        <f>((((VLOOKUP(B189,Database!$A:$AS,MATCH($U$1,Database!$A$1:$AS$1,),))))-(((VLOOKUP(EDATE(B189,-12),Database!$A:$AS,MATCH($U$1,Database!$A$1:$AS$1,),)))))/(((VLOOKUP(EDATE(B189,-12),Database!$A:$AS,MATCH($U$1,Database!$A$1:$AS$1,),))))</f>
        <v>2.8653295125983701E-2</v>
      </c>
      <c r="V189" s="13">
        <f>((((VLOOKUP(B189,Database!$A:$AS,MATCH($V$1,Database!$A$1:$AS$1,),))))-(((VLOOKUP(EDATE(B189,-12),Database!$A:$AS,MATCH($V$1,Database!$A$1:$AS$1,),)))))/(((VLOOKUP(EDATE(B189,-12),Database!$A:$AS,MATCH($V$1,Database!$A$1:$AS$1,),))))</f>
        <v>0.12195121951219512</v>
      </c>
    </row>
    <row r="190" spans="1:22" s="83" customFormat="1" x14ac:dyDescent="0.2">
      <c r="A190" s="43"/>
      <c r="B190" s="78">
        <v>37926</v>
      </c>
      <c r="C190" s="13">
        <f>((((VLOOKUP(B190,Database!$A:$AS,MATCH($C$1,Database!$A$1:$AS$1,),))))-(((VLOOKUP(EDATE(B190,-12),Database!$A:$AS,MATCH($C$1,Database!$A$1:$AS$1,),)))))/(((VLOOKUP(EDATE(B190,-12),Database!$A:$AS,MATCH($C$1,Database!$A$1:$AS$1,),))))</f>
        <v>1.3319566452767433E-2</v>
      </c>
      <c r="D190" s="13">
        <f>((((VLOOKUP(B190,Database!$A:$AS,MATCH($D$1,Database!$A$1:$AS$1,),))))-(((VLOOKUP(EDATE(B190,-12),Database!$A:$AS,MATCH($D$1,Database!$A$1:$AS$1,),)))))/(((VLOOKUP(EDATE(B190,-12),Database!$A:$AS,MATCH($D$1,Database!$A$1:$AS$1,),))))</f>
        <v>6.2565172054222552E-3</v>
      </c>
      <c r="E190" s="13">
        <f>((((VLOOKUP(B190,Database!$A:$AS,MATCH($E$1,Database!$A$1:$AS$1,),))))-(((VLOOKUP(EDATE(B190,-12),Database!$A:$AS,MATCH($E$1,Database!$A$1:$AS$1,),)))))/(((VLOOKUP(EDATE(B190,-12),Database!$A:$AS,MATCH($E$1,Database!$A$1:$AS$1,),))))</f>
        <v>4.5205293213503514E-2</v>
      </c>
      <c r="F190" s="13">
        <f>((((VLOOKUP(B190,Database!$A:$AS,MATCH($F$1,Database!$A$1:$AS$1,),))))-(((VLOOKUP(EDATE(B190,-12),Database!$A:$AS,MATCH($F$1,Database!$A$1:$AS$1,),)))))/(((VLOOKUP(EDATE(B190,-12),Database!$A:$AS,MATCH($F$1,Database!$A$1:$AS$1,),))))</f>
        <v>7.4074074177420176E-3</v>
      </c>
      <c r="G190" s="13">
        <f>((((VLOOKUP(B190,Database!$A:$AS,MATCH($G$1,Database!$A$1:$AS$1,),))))-(((VLOOKUP(EDATE(B190,-12),Database!$A:$AS,MATCH($G$1,Database!$A$1:$AS$1,),)))))/(((VLOOKUP(EDATE(B190,-12),Database!$A:$AS,MATCH($G$1,Database!$A$1:$AS$1,),))))</f>
        <v>-1.4541796231937108E-2</v>
      </c>
      <c r="H190" s="13">
        <f>((((VLOOKUP(B190,Database!$A:$AS,MATCH($H$1,Database!$A$1:$AS$1,),))))-(((VLOOKUP(EDATE(B190,-12),Database!$A:$AS,MATCH($H$1,Database!$A$1:$AS$1,),)))))/(((VLOOKUP(EDATE(B190,-12),Database!$A:$AS,MATCH($H$1,Database!$A$1:$AS$1,),))))</f>
        <v>9.0611353715181406E-2</v>
      </c>
      <c r="I190" s="13">
        <f>((((VLOOKUP(B190,Database!$A:$AS,MATCH($I$1,Database!$A$1:$AS$1,),))))-(((VLOOKUP(EDATE(B190,-12),Database!$A:$AS,MATCH($I$1,Database!$A$1:$AS$1,),)))))/(((VLOOKUP(EDATE(B190,-12),Database!$A:$AS,MATCH($I$1,Database!$A$1:$AS$1,),))))</f>
        <v>-7.9999999951356048E-3</v>
      </c>
      <c r="J190" s="13">
        <f>((((VLOOKUP(B190,Database!$A:$AS,MATCH($J$1,Database!$A$1:$AS$1,),))))-(((VLOOKUP(EDATE(B190,-12),Database!$A:$AS,MATCH($J$1,Database!$A$1:$AS$1,),)))))/(((VLOOKUP(EDATE(B190,-12),Database!$A:$AS,MATCH($J$1,Database!$A$1:$AS$1,),))))</f>
        <v>7.7811244993415442E-3</v>
      </c>
      <c r="K190" s="13">
        <f>((((VLOOKUP(B190,Database!$A:$AS,MATCH($K$1,Database!$A$1:$AS$1,),))))-(((VLOOKUP(EDATE(B190,-12),Database!$A:$AS,MATCH($K$1,Database!$A$1:$AS$1,),)))))/(((VLOOKUP(EDATE(B190,-12),Database!$A:$AS,MATCH($K$1,Database!$A$1:$AS$1,),))))</f>
        <v>8.8408644474694612E-3</v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>1.6384820817223995E-2</v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>0.10103898037309014</v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>8.9432718179697362E-2</v>
      </c>
      <c r="O190" s="13">
        <f>((((VLOOKUP(B190,Database!$A:$AS,MATCH($O$1,Database!$A$1:$AS$1,),))))-(((VLOOKUP(EDATE(B190,-12),Database!$A:$AS,MATCH($O$1,Database!$A$1:$AS$1,),)))))/(((VLOOKUP(EDATE(B190,-12),Database!$A:$AS,MATCH($O$1,Database!$A$1:$AS$1,),))))</f>
        <v>1.3495994604210804E-2</v>
      </c>
      <c r="P190" s="13">
        <f>((((VLOOKUP(B190,Database!$A:$AS,MATCH($P$1,Database!$A$1:$AS$1,),))))-(((VLOOKUP(EDATE(B190,-12),Database!$A:$AS,MATCH($P$1,Database!$A$1:$AS$1,),)))))/(((VLOOKUP(EDATE(B190,-12),Database!$A:$AS,MATCH($P$1,Database!$A$1:$AS$1,),))))</f>
        <v>6.8634872569642472E-2</v>
      </c>
      <c r="Q190" s="13">
        <f>((((VLOOKUP(B190,Database!$A:$AS,MATCH($Q$1,Database!$A$1:$AS$1,),))))-(((VLOOKUP(EDATE(B190,-12),Database!$A:$AS,MATCH($Q$1,Database!$A$1:$AS$1,),)))))/(((VLOOKUP(EDATE(B190,-12),Database!$A:$AS,MATCH($Q$1,Database!$A$1:$AS$1,),))))</f>
        <v>2.8642590289524674E-2</v>
      </c>
      <c r="R190" s="13">
        <f>((((VLOOKUP(B190,Database!$A:$AS,MATCH($R$1,Database!$A$1:$AS$1,),))))-(((VLOOKUP(EDATE(B190,-12),Database!$A:$AS,MATCH($R$1,Database!$A$1:$AS$1,),)))))/(((VLOOKUP(EDATE(B190,-12),Database!$A:$AS,MATCH($R$1,Database!$A$1:$AS$1,),))))</f>
        <v>-1.045296167048046E-2</v>
      </c>
      <c r="S190" s="13">
        <f>((((VLOOKUP(B190,Database!$A:$AS,MATCH($S$1,Database!$A$1:$AS$1,),))))-(((VLOOKUP(EDATE(B190,-12),Database!$A:$AS,MATCH($S$1,Database!$A$1:$AS$1,),)))))/(((VLOOKUP(EDATE(B190,-12),Database!$A:$AS,MATCH($S$1,Database!$A$1:$AS$1,),))))</f>
        <v>0.14254143644956643</v>
      </c>
      <c r="T190" s="13">
        <f>((((VLOOKUP(B190,Database!$A:$AS,MATCH($T$1,Database!$A$1:$AS$1,),))))-(((VLOOKUP(EDATE(B190,-12),Database!$A:$AS,MATCH($T$1,Database!$A$1:$AS$1,),)))))/(((VLOOKUP(EDATE(B190,-12),Database!$A:$AS,MATCH($T$1,Database!$A$1:$AS$1,),))))</f>
        <v>0.12442396312132237</v>
      </c>
      <c r="U190" s="13">
        <f>((((VLOOKUP(B190,Database!$A:$AS,MATCH($U$1,Database!$A$1:$AS$1,),))))-(((VLOOKUP(EDATE(B190,-12),Database!$A:$AS,MATCH($U$1,Database!$A$1:$AS$1,),)))))/(((VLOOKUP(EDATE(B190,-12),Database!$A:$AS,MATCH($U$1,Database!$A$1:$AS$1,),))))</f>
        <v>2.6798307488150833E-2</v>
      </c>
      <c r="V190" s="13">
        <f>((((VLOOKUP(B190,Database!$A:$AS,MATCH($V$1,Database!$A$1:$AS$1,),))))-(((VLOOKUP(EDATE(B190,-12),Database!$A:$AS,MATCH($V$1,Database!$A$1:$AS$1,),)))))/(((VLOOKUP(EDATE(B190,-12),Database!$A:$AS,MATCH($V$1,Database!$A$1:$AS$1,),))))</f>
        <v>9.0551181102362238E-2</v>
      </c>
    </row>
    <row r="191" spans="1:22" s="83" customFormat="1" x14ac:dyDescent="0.2">
      <c r="A191" s="43"/>
      <c r="B191" s="78">
        <v>37956</v>
      </c>
      <c r="C191" s="13">
        <f>((((VLOOKUP(B191,Database!$A:$AS,MATCH($C$1,Database!$A$1:$AS$1,),))))-(((VLOOKUP(EDATE(B191,-12),Database!$A:$AS,MATCH($C$1,Database!$A$1:$AS$1,),)))))/(((VLOOKUP(EDATE(B191,-12),Database!$A:$AS,MATCH($C$1,Database!$A$1:$AS$1,),))))</f>
        <v>1.9467681110546087E-2</v>
      </c>
      <c r="D191" s="13">
        <f>((((VLOOKUP(B191,Database!$A:$AS,MATCH($D$1,Database!$A$1:$AS$1,),))))-(((VLOOKUP(EDATE(B191,-12),Database!$A:$AS,MATCH($D$1,Database!$A$1:$AS$1,),)))))/(((VLOOKUP(EDATE(B191,-12),Database!$A:$AS,MATCH($D$1,Database!$A$1:$AS$1,),))))</f>
        <v>2.542372881355923E-2</v>
      </c>
      <c r="E191" s="13">
        <f>((((VLOOKUP(B191,Database!$A:$AS,MATCH($E$1,Database!$A$1:$AS$1,),))))-(((VLOOKUP(EDATE(B191,-12),Database!$A:$AS,MATCH($E$1,Database!$A$1:$AS$1,),)))))/(((VLOOKUP(EDATE(B191,-12),Database!$A:$AS,MATCH($E$1,Database!$A$1:$AS$1,),))))</f>
        <v>4.3060887708169758E-2</v>
      </c>
      <c r="F191" s="13">
        <f>((((VLOOKUP(B191,Database!$A:$AS,MATCH($F$1,Database!$A$1:$AS$1,),))))-(((VLOOKUP(EDATE(B191,-12),Database!$A:$AS,MATCH($F$1,Database!$A$1:$AS$1,),)))))/(((VLOOKUP(EDATE(B191,-12),Database!$A:$AS,MATCH($F$1,Database!$A$1:$AS$1,),))))</f>
        <v>3.0150753773200586E-2</v>
      </c>
      <c r="G191" s="13">
        <f>((((VLOOKUP(B191,Database!$A:$AS,MATCH($G$1,Database!$A$1:$AS$1,),))))-(((VLOOKUP(EDATE(B191,-12),Database!$A:$AS,MATCH($G$1,Database!$A$1:$AS$1,),)))))/(((VLOOKUP(EDATE(B191,-12),Database!$A:$AS,MATCH($G$1,Database!$A$1:$AS$1,),))))</f>
        <v>1.5456674473067969E-2</v>
      </c>
      <c r="H191" s="13">
        <f>((((VLOOKUP(B191,Database!$A:$AS,MATCH($H$1,Database!$A$1:$AS$1,),))))-(((VLOOKUP(EDATE(B191,-12),Database!$A:$AS,MATCH($H$1,Database!$A$1:$AS$1,),)))))/(((VLOOKUP(EDATE(B191,-12),Database!$A:$AS,MATCH($H$1,Database!$A$1:$AS$1,),))))</f>
        <v>4.3478260869565258E-2</v>
      </c>
      <c r="I191" s="13">
        <f>((((VLOOKUP(B191,Database!$A:$AS,MATCH($I$1,Database!$A$1:$AS$1,),))))-(((VLOOKUP(EDATE(B191,-12),Database!$A:$AS,MATCH($I$1,Database!$A$1:$AS$1,),)))))/(((VLOOKUP(EDATE(B191,-12),Database!$A:$AS,MATCH($I$1,Database!$A$1:$AS$1,),))))</f>
        <v>3.2336297457924374E-3</v>
      </c>
      <c r="J191" s="13">
        <f>((((VLOOKUP(B191,Database!$A:$AS,MATCH($J$1,Database!$A$1:$AS$1,),))))-(((VLOOKUP(EDATE(B191,-12),Database!$A:$AS,MATCH($J$1,Database!$A$1:$AS$1,),)))))/(((VLOOKUP(EDATE(B191,-12),Database!$A:$AS,MATCH($J$1,Database!$A$1:$AS$1,),))))</f>
        <v>8.8837673071369798E-3</v>
      </c>
      <c r="K191" s="13">
        <f>((((VLOOKUP(B191,Database!$A:$AS,MATCH($K$1,Database!$A$1:$AS$1,),))))-(((VLOOKUP(EDATE(B191,-12),Database!$A:$AS,MATCH($K$1,Database!$A$1:$AS$1,),)))))/(((VLOOKUP(EDATE(B191,-12),Database!$A:$AS,MATCH($K$1,Database!$A$1:$AS$1,),))))</f>
        <v>2.7397260276251008E-2</v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>2.8945576521972823E-2</v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>0.12798122248439989</v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>7.146472305904826E-2</v>
      </c>
      <c r="O191" s="13">
        <f>((((VLOOKUP(B191,Database!$A:$AS,MATCH($O$1,Database!$A$1:$AS$1,),))))-(((VLOOKUP(EDATE(B191,-12),Database!$A:$AS,MATCH($O$1,Database!$A$1:$AS$1,),)))))/(((VLOOKUP(EDATE(B191,-12),Database!$A:$AS,MATCH($O$1,Database!$A$1:$AS$1,),))))</f>
        <v>2.6999476148235297E-2</v>
      </c>
      <c r="P191" s="13">
        <f>((((VLOOKUP(B191,Database!$A:$AS,MATCH($P$1,Database!$A$1:$AS$1,),))))-(((VLOOKUP(EDATE(B191,-12),Database!$A:$AS,MATCH($P$1,Database!$A$1:$AS$1,),)))))/(((VLOOKUP(EDATE(B191,-12),Database!$A:$AS,MATCH($P$1,Database!$A$1:$AS$1,),))))</f>
        <v>7.7036641775567918E-2</v>
      </c>
      <c r="Q191" s="13">
        <f>((((VLOOKUP(B191,Database!$A:$AS,MATCH($Q$1,Database!$A$1:$AS$1,),))))-(((VLOOKUP(EDATE(B191,-12),Database!$A:$AS,MATCH($Q$1,Database!$A$1:$AS$1,),)))))/(((VLOOKUP(EDATE(B191,-12),Database!$A:$AS,MATCH($Q$1,Database!$A$1:$AS$1,),))))</f>
        <v>2.1383647792950766E-2</v>
      </c>
      <c r="R191" s="13">
        <f>((((VLOOKUP(B191,Database!$A:$AS,MATCH($R$1,Database!$A$1:$AS$1,),))))-(((VLOOKUP(EDATE(B191,-12),Database!$A:$AS,MATCH($R$1,Database!$A$1:$AS$1,),)))))/(((VLOOKUP(EDATE(B191,-12),Database!$A:$AS,MATCH($R$1,Database!$A$1:$AS$1,),))))</f>
        <v>2.5819958125702171E-2</v>
      </c>
      <c r="S191" s="13">
        <f>((((VLOOKUP(B191,Database!$A:$AS,MATCH($S$1,Database!$A$1:$AS$1,),))))-(((VLOOKUP(EDATE(B191,-12),Database!$A:$AS,MATCH($S$1,Database!$A$1:$AS$1,),)))))/(((VLOOKUP(EDATE(B191,-12),Database!$A:$AS,MATCH($S$1,Database!$A$1:$AS$1,),))))</f>
        <v>0.18932038834891904</v>
      </c>
      <c r="T191" s="13">
        <f>((((VLOOKUP(B191,Database!$A:$AS,MATCH($T$1,Database!$A$1:$AS$1,),))))-(((VLOOKUP(EDATE(B191,-12),Database!$A:$AS,MATCH($T$1,Database!$A$1:$AS$1,),)))))/(((VLOOKUP(EDATE(B191,-12),Database!$A:$AS,MATCH($T$1,Database!$A$1:$AS$1,),))))</f>
        <v>8.0434782601039104E-2</v>
      </c>
      <c r="U191" s="13">
        <f>((((VLOOKUP(B191,Database!$A:$AS,MATCH($U$1,Database!$A$1:$AS$1,),))))-(((VLOOKUP(EDATE(B191,-12),Database!$A:$AS,MATCH($U$1,Database!$A$1:$AS$1,),)))))/(((VLOOKUP(EDATE(B191,-12),Database!$A:$AS,MATCH($U$1,Database!$A$1:$AS$1,),))))</f>
        <v>5.823863635592743E-2</v>
      </c>
      <c r="V191" s="13">
        <f>((((VLOOKUP(B191,Database!$A:$AS,MATCH($V$1,Database!$A$1:$AS$1,),))))-(((VLOOKUP(EDATE(B191,-12),Database!$A:$AS,MATCH($V$1,Database!$A$1:$AS$1,),)))))/(((VLOOKUP(EDATE(B191,-12),Database!$A:$AS,MATCH($V$1,Database!$A$1:$AS$1,),))))</f>
        <v>0.12277227722772283</v>
      </c>
    </row>
    <row r="192" spans="1:22" s="83" customFormat="1" x14ac:dyDescent="0.2">
      <c r="A192" s="43"/>
      <c r="B192" s="78">
        <v>37987</v>
      </c>
      <c r="C192" s="13">
        <f>((((VLOOKUP(B192,Database!$A:$AS,MATCH($C$1,Database!$A$1:$AS$1,),))))-(((VLOOKUP(EDATE(B192,-12),Database!$A:$AS,MATCH($C$1,Database!$A$1:$AS$1,),)))))/(((VLOOKUP(EDATE(B192,-12),Database!$A:$AS,MATCH($C$1,Database!$A$1:$AS$1,),))))</f>
        <v>1.2902526876422994E-2</v>
      </c>
      <c r="D192" s="13">
        <f>((((VLOOKUP(B192,Database!$A:$AS,MATCH($D$1,Database!$A$1:$AS$1,),))))-(((VLOOKUP(EDATE(B192,-12),Database!$A:$AS,MATCH($D$1,Database!$A$1:$AS$1,),)))))/(((VLOOKUP(EDATE(B192,-12),Database!$A:$AS,MATCH($D$1,Database!$A$1:$AS$1,),))))</f>
        <v>7.2916666666666963E-3</v>
      </c>
      <c r="E192" s="13">
        <f>((((VLOOKUP(B192,Database!$A:$AS,MATCH($E$1,Database!$A$1:$AS$1,),))))-(((VLOOKUP(EDATE(B192,-12),Database!$A:$AS,MATCH($E$1,Database!$A$1:$AS$1,),)))))/(((VLOOKUP(EDATE(B192,-12),Database!$A:$AS,MATCH($E$1,Database!$A$1:$AS$1,),))))</f>
        <v>4.7058823532537576E-2</v>
      </c>
      <c r="F192" s="13">
        <f>((((VLOOKUP(B192,Database!$A:$AS,MATCH($F$1,Database!$A$1:$AS$1,),))))-(((VLOOKUP(EDATE(B192,-12),Database!$A:$AS,MATCH($F$1,Database!$A$1:$AS$1,),)))))/(((VLOOKUP(EDATE(B192,-12),Database!$A:$AS,MATCH($F$1,Database!$A$1:$AS$1,),))))</f>
        <v>1.3715710723471925E-2</v>
      </c>
      <c r="G192" s="13">
        <f>((((VLOOKUP(B192,Database!$A:$AS,MATCH($G$1,Database!$A$1:$AS$1,),))))-(((VLOOKUP(EDATE(B192,-12),Database!$A:$AS,MATCH($G$1,Database!$A$1:$AS$1,),)))))/(((VLOOKUP(EDATE(B192,-12),Database!$A:$AS,MATCH($G$1,Database!$A$1:$AS$1,),))))</f>
        <v>1.376778338687393E-3</v>
      </c>
      <c r="H192" s="13">
        <f>((((VLOOKUP(B192,Database!$A:$AS,MATCH($H$1,Database!$A$1:$AS$1,),))))-(((VLOOKUP(EDATE(B192,-12),Database!$A:$AS,MATCH($H$1,Database!$A$1:$AS$1,),)))))/(((VLOOKUP(EDATE(B192,-12),Database!$A:$AS,MATCH($H$1,Database!$A$1:$AS$1,),))))</f>
        <v>5.4054054041557022E-3</v>
      </c>
      <c r="I192" s="13">
        <f>((((VLOOKUP(B192,Database!$A:$AS,MATCH($I$1,Database!$A$1:$AS$1,),))))-(((VLOOKUP(EDATE(B192,-12),Database!$A:$AS,MATCH($I$1,Database!$A$1:$AS$1,),)))))/(((VLOOKUP(EDATE(B192,-12),Database!$A:$AS,MATCH($I$1,Database!$A$1:$AS$1,),))))</f>
        <v>-7.199999998022265E-3</v>
      </c>
      <c r="J192" s="13">
        <f>((((VLOOKUP(B192,Database!$A:$AS,MATCH($J$1,Database!$A$1:$AS$1,),))))-(((VLOOKUP(EDATE(B192,-12),Database!$A:$AS,MATCH($J$1,Database!$A$1:$AS$1,),)))))/(((VLOOKUP(EDATE(B192,-12),Database!$A:$AS,MATCH($J$1,Database!$A$1:$AS$1,),))))</f>
        <v>-3.4744105756755606E-4</v>
      </c>
      <c r="K192" s="13">
        <f>((((VLOOKUP(B192,Database!$A:$AS,MATCH($K$1,Database!$A$1:$AS$1,),))))-(((VLOOKUP(EDATE(B192,-12),Database!$A:$AS,MATCH($K$1,Database!$A$1:$AS$1,),)))))/(((VLOOKUP(EDATE(B192,-12),Database!$A:$AS,MATCH($K$1,Database!$A$1:$AS$1,),))))</f>
        <v>3.6027263874929091E-2</v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>3.6984383421165591E-2</v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>9.8197578198790283E-2</v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>8.1663666983316452E-2</v>
      </c>
      <c r="O192" s="13">
        <f>((((VLOOKUP(B192,Database!$A:$AS,MATCH($O$1,Database!$A$1:$AS$1,),))))-(((VLOOKUP(EDATE(B192,-12),Database!$A:$AS,MATCH($O$1,Database!$A$1:$AS$1,),)))))/(((VLOOKUP(EDATE(B192,-12),Database!$A:$AS,MATCH($O$1,Database!$A$1:$AS$1,),))))</f>
        <v>1.1657316353085187E-2</v>
      </c>
      <c r="P192" s="13">
        <f>((((VLOOKUP(B192,Database!$A:$AS,MATCH($P$1,Database!$A$1:$AS$1,),))))-(((VLOOKUP(EDATE(B192,-12),Database!$A:$AS,MATCH($P$1,Database!$A$1:$AS$1,),)))))/(((VLOOKUP(EDATE(B192,-12),Database!$A:$AS,MATCH($P$1,Database!$A$1:$AS$1,),))))</f>
        <v>9.8982964181357963E-2</v>
      </c>
      <c r="Q192" s="13">
        <f>((((VLOOKUP(B192,Database!$A:$AS,MATCH($Q$1,Database!$A$1:$AS$1,),))))-(((VLOOKUP(EDATE(B192,-12),Database!$A:$AS,MATCH($Q$1,Database!$A$1:$AS$1,),)))))/(((VLOOKUP(EDATE(B192,-12),Database!$A:$AS,MATCH($Q$1,Database!$A$1:$AS$1,),))))</f>
        <v>3.6340852130782135E-2</v>
      </c>
      <c r="R192" s="13">
        <f>((((VLOOKUP(B192,Database!$A:$AS,MATCH($R$1,Database!$A$1:$AS$1,),))))-(((VLOOKUP(EDATE(B192,-12),Database!$A:$AS,MATCH($R$1,Database!$A$1:$AS$1,),)))))/(((VLOOKUP(EDATE(B192,-12),Database!$A:$AS,MATCH($R$1,Database!$A$1:$AS$1,),))))</f>
        <v>-9.1356289548990798E-3</v>
      </c>
      <c r="S192" s="13">
        <f>((((VLOOKUP(B192,Database!$A:$AS,MATCH($S$1,Database!$A$1:$AS$1,),))))-(((VLOOKUP(EDATE(B192,-12),Database!$A:$AS,MATCH($S$1,Database!$A$1:$AS$1,),)))))/(((VLOOKUP(EDATE(B192,-12),Database!$A:$AS,MATCH($S$1,Database!$A$1:$AS$1,),))))</f>
        <v>4.9217002220905991E-2</v>
      </c>
      <c r="T192" s="13">
        <f>((((VLOOKUP(B192,Database!$A:$AS,MATCH($T$1,Database!$A$1:$AS$1,),))))-(((VLOOKUP(EDATE(B192,-12),Database!$A:$AS,MATCH($T$1,Database!$A$1:$AS$1,),)))))/(((VLOOKUP(EDATE(B192,-12),Database!$A:$AS,MATCH($T$1,Database!$A$1:$AS$1,),))))</f>
        <v>6.7653276943578047E-2</v>
      </c>
      <c r="U192" s="13">
        <f>((((VLOOKUP(B192,Database!$A:$AS,MATCH($U$1,Database!$A$1:$AS$1,),))))-(((VLOOKUP(EDATE(B192,-12),Database!$A:$AS,MATCH($U$1,Database!$A$1:$AS$1,),)))))/(((VLOOKUP(EDATE(B192,-12),Database!$A:$AS,MATCH($U$1,Database!$A$1:$AS$1,),))))</f>
        <v>7.5144508659158171E-2</v>
      </c>
      <c r="V192" s="13">
        <f>((((VLOOKUP(B192,Database!$A:$AS,MATCH($V$1,Database!$A$1:$AS$1,),))))-(((VLOOKUP(EDATE(B192,-12),Database!$A:$AS,MATCH($V$1,Database!$A$1:$AS$1,),)))))/(((VLOOKUP(EDATE(B192,-12),Database!$A:$AS,MATCH($V$1,Database!$A$1:$AS$1,),))))</f>
        <v>0.16969696969696968</v>
      </c>
    </row>
    <row r="193" spans="1:22" s="83" customFormat="1" x14ac:dyDescent="0.2">
      <c r="A193" s="43"/>
      <c r="B193" s="78">
        <v>38018</v>
      </c>
      <c r="C193" s="13">
        <f>((((VLOOKUP(B193,Database!$A:$AS,MATCH($C$1,Database!$A$1:$AS$1,),))))-(((VLOOKUP(EDATE(B193,-12),Database!$A:$AS,MATCH($C$1,Database!$A$1:$AS$1,),)))))/(((VLOOKUP(EDATE(B193,-12),Database!$A:$AS,MATCH($C$1,Database!$A$1:$AS$1,),))))</f>
        <v>1.7653616628991124E-2</v>
      </c>
      <c r="D193" s="13">
        <f>((((VLOOKUP(B193,Database!$A:$AS,MATCH($D$1,Database!$A$1:$AS$1,),))))-(((VLOOKUP(EDATE(B193,-12),Database!$A:$AS,MATCH($D$1,Database!$A$1:$AS$1,),)))))/(((VLOOKUP(EDATE(B193,-12),Database!$A:$AS,MATCH($D$1,Database!$A$1:$AS$1,),))))</f>
        <v>9.3555093555092658E-3</v>
      </c>
      <c r="E193" s="13">
        <f>((((VLOOKUP(B193,Database!$A:$AS,MATCH($E$1,Database!$A$1:$AS$1,),))))-(((VLOOKUP(EDATE(B193,-12),Database!$A:$AS,MATCH($E$1,Database!$A$1:$AS$1,),)))))/(((VLOOKUP(EDATE(B193,-12),Database!$A:$AS,MATCH($E$1,Database!$A$1:$AS$1,),))))</f>
        <v>4.8335123525513668E-2</v>
      </c>
      <c r="F193" s="13">
        <f>((((VLOOKUP(B193,Database!$A:$AS,MATCH($F$1,Database!$A$1:$AS$1,),))))-(((VLOOKUP(EDATE(B193,-12),Database!$A:$AS,MATCH($F$1,Database!$A$1:$AS$1,),)))))/(((VLOOKUP(EDATE(B193,-12),Database!$A:$AS,MATCH($F$1,Database!$A$1:$AS$1,),))))</f>
        <v>1.8703241889975328E-2</v>
      </c>
      <c r="G193" s="13">
        <f>((((VLOOKUP(B193,Database!$A:$AS,MATCH($G$1,Database!$A$1:$AS$1,),))))-(((VLOOKUP(EDATE(B193,-12),Database!$A:$AS,MATCH($G$1,Database!$A$1:$AS$1,),)))))/(((VLOOKUP(EDATE(B193,-12),Database!$A:$AS,MATCH($G$1,Database!$A$1:$AS$1,),))))</f>
        <v>2.182810368349203E-3</v>
      </c>
      <c r="H193" s="13">
        <f>((((VLOOKUP(B193,Database!$A:$AS,MATCH($H$1,Database!$A$1:$AS$1,),))))-(((VLOOKUP(EDATE(B193,-12),Database!$A:$AS,MATCH($H$1,Database!$A$1:$AS$1,),)))))/(((VLOOKUP(EDATE(B193,-12),Database!$A:$AS,MATCH($H$1,Database!$A$1:$AS$1,),))))</f>
        <v>-1.3727560718803477E-2</v>
      </c>
      <c r="I193" s="13">
        <f>((((VLOOKUP(B193,Database!$A:$AS,MATCH($I$1,Database!$A$1:$AS$1,),))))-(((VLOOKUP(EDATE(B193,-12),Database!$A:$AS,MATCH($I$1,Database!$A$1:$AS$1,),)))))/(((VLOOKUP(EDATE(B193,-12),Database!$A:$AS,MATCH($I$1,Database!$A$1:$AS$1,),))))</f>
        <v>9.7959183728184799E-3</v>
      </c>
      <c r="J193" s="13">
        <f>((((VLOOKUP(B193,Database!$A:$AS,MATCH($J$1,Database!$A$1:$AS$1,),))))-(((VLOOKUP(EDATE(B193,-12),Database!$A:$AS,MATCH($J$1,Database!$A$1:$AS$1,),)))))/(((VLOOKUP(EDATE(B193,-12),Database!$A:$AS,MATCH($J$1,Database!$A$1:$AS$1,),))))</f>
        <v>-1.2952325773786795E-3</v>
      </c>
      <c r="K193" s="13">
        <f>((((VLOOKUP(B193,Database!$A:$AS,MATCH($K$1,Database!$A$1:$AS$1,),))))-(((VLOOKUP(EDATE(B193,-12),Database!$A:$AS,MATCH($K$1,Database!$A$1:$AS$1,),)))))/(((VLOOKUP(EDATE(B193,-12),Database!$A:$AS,MATCH($K$1,Database!$A$1:$AS$1,),))))</f>
        <v>6.3872255491133387E-2</v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>2.7738232965808424E-2</v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>7.74813054335418E-2</v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>5.1192663668936787E-2</v>
      </c>
      <c r="O193" s="13">
        <f>((((VLOOKUP(B193,Database!$A:$AS,MATCH($O$1,Database!$A$1:$AS$1,),))))-(((VLOOKUP(EDATE(B193,-12),Database!$A:$AS,MATCH($O$1,Database!$A$1:$AS$1,),)))))/(((VLOOKUP(EDATE(B193,-12),Database!$A:$AS,MATCH($O$1,Database!$A$1:$AS$1,),))))</f>
        <v>6.5660138826189622E-3</v>
      </c>
      <c r="P193" s="13">
        <f>((((VLOOKUP(B193,Database!$A:$AS,MATCH($P$1,Database!$A$1:$AS$1,),))))-(((VLOOKUP(EDATE(B193,-12),Database!$A:$AS,MATCH($P$1,Database!$A$1:$AS$1,),)))))/(((VLOOKUP(EDATE(B193,-12),Database!$A:$AS,MATCH($P$1,Database!$A$1:$AS$1,),))))</f>
        <v>0.14586748260829721</v>
      </c>
      <c r="Q193" s="13">
        <f>((((VLOOKUP(B193,Database!$A:$AS,MATCH($Q$1,Database!$A$1:$AS$1,),))))-(((VLOOKUP(EDATE(B193,-12),Database!$A:$AS,MATCH($Q$1,Database!$A$1:$AS$1,),)))))/(((VLOOKUP(EDATE(B193,-12),Database!$A:$AS,MATCH($Q$1,Database!$A$1:$AS$1,),))))</f>
        <v>5.3952321206247093E-2</v>
      </c>
      <c r="R193" s="13">
        <f>((((VLOOKUP(B193,Database!$A:$AS,MATCH($R$1,Database!$A$1:$AS$1,),))))-(((VLOOKUP(EDATE(B193,-12),Database!$A:$AS,MATCH($R$1,Database!$A$1:$AS$1,),)))))/(((VLOOKUP(EDATE(B193,-12),Database!$A:$AS,MATCH($R$1,Database!$A$1:$AS$1,),))))</f>
        <v>2.7181688119644592E-2</v>
      </c>
      <c r="S193" s="13">
        <f>((((VLOOKUP(B193,Database!$A:$AS,MATCH($S$1,Database!$A$1:$AS$1,),))))-(((VLOOKUP(EDATE(B193,-12),Database!$A:$AS,MATCH($S$1,Database!$A$1:$AS$1,),)))))/(((VLOOKUP(EDATE(B193,-12),Database!$A:$AS,MATCH($S$1,Database!$A$1:$AS$1,),))))</f>
        <v>2.0430107524933936E-2</v>
      </c>
      <c r="T193" s="13">
        <f>((((VLOOKUP(B193,Database!$A:$AS,MATCH($T$1,Database!$A$1:$AS$1,),))))-(((VLOOKUP(EDATE(B193,-12),Database!$A:$AS,MATCH($T$1,Database!$A$1:$AS$1,),)))))/(((VLOOKUP(EDATE(B193,-12),Database!$A:$AS,MATCH($T$1,Database!$A$1:$AS$1,),))))</f>
        <v>0.10652173913733513</v>
      </c>
      <c r="U193" s="13">
        <f>((((VLOOKUP(B193,Database!$A:$AS,MATCH($U$1,Database!$A$1:$AS$1,),))))-(((VLOOKUP(EDATE(B193,-12),Database!$A:$AS,MATCH($U$1,Database!$A$1:$AS$1,),)))))/(((VLOOKUP(EDATE(B193,-12),Database!$A:$AS,MATCH($U$1,Database!$A$1:$AS$1,),))))</f>
        <v>0.11644832605749576</v>
      </c>
      <c r="V193" s="13">
        <f>((((VLOOKUP(B193,Database!$A:$AS,MATCH($V$1,Database!$A$1:$AS$1,),))))-(((VLOOKUP(EDATE(B193,-12),Database!$A:$AS,MATCH($V$1,Database!$A$1:$AS$1,),)))))/(((VLOOKUP(EDATE(B193,-12),Database!$A:$AS,MATCH($V$1,Database!$A$1:$AS$1,),))))</f>
        <v>0.16432865731462931</v>
      </c>
    </row>
    <row r="194" spans="1:22" s="83" customFormat="1" x14ac:dyDescent="0.2">
      <c r="A194" s="43"/>
      <c r="B194" s="78">
        <v>38047</v>
      </c>
      <c r="C194" s="13">
        <f>((((VLOOKUP(B194,Database!$A:$AS,MATCH($C$1,Database!$A$1:$AS$1,),))))-(((VLOOKUP(EDATE(B194,-12),Database!$A:$AS,MATCH($C$1,Database!$A$1:$AS$1,),)))))/(((VLOOKUP(EDATE(B194,-12),Database!$A:$AS,MATCH($C$1,Database!$A$1:$AS$1,),))))</f>
        <v>1.6655156162359425E-2</v>
      </c>
      <c r="D194" s="13">
        <f>((((VLOOKUP(B194,Database!$A:$AS,MATCH($D$1,Database!$A$1:$AS$1,),))))-(((VLOOKUP(EDATE(B194,-12),Database!$A:$AS,MATCH($D$1,Database!$A$1:$AS$1,),)))))/(((VLOOKUP(EDATE(B194,-12),Database!$A:$AS,MATCH($D$1,Database!$A$1:$AS$1,),))))</f>
        <v>1.5723270440251572E-2</v>
      </c>
      <c r="E194" s="13">
        <f>((((VLOOKUP(B194,Database!$A:$AS,MATCH($E$1,Database!$A$1:$AS$1,),))))-(((VLOOKUP(EDATE(B194,-12),Database!$A:$AS,MATCH($E$1,Database!$A$1:$AS$1,),)))))/(((VLOOKUP(EDATE(B194,-12),Database!$A:$AS,MATCH($E$1,Database!$A$1:$AS$1,),))))</f>
        <v>3.5181236673376567E-2</v>
      </c>
      <c r="F194" s="13">
        <f>((((VLOOKUP(B194,Database!$A:$AS,MATCH($F$1,Database!$A$1:$AS$1,),))))-(((VLOOKUP(EDATE(B194,-12),Database!$A:$AS,MATCH($F$1,Database!$A$1:$AS$1,),)))))/(((VLOOKUP(EDATE(B194,-12),Database!$A:$AS,MATCH($F$1,Database!$A$1:$AS$1,),))))</f>
        <v>1.4999999995812153E-2</v>
      </c>
      <c r="G194" s="13">
        <f>((((VLOOKUP(B194,Database!$A:$AS,MATCH($G$1,Database!$A$1:$AS$1,),))))-(((VLOOKUP(EDATE(B194,-12),Database!$A:$AS,MATCH($G$1,Database!$A$1:$AS$1,),)))))/(((VLOOKUP(EDATE(B194,-12),Database!$A:$AS,MATCH($G$1,Database!$A$1:$AS$1,),))))</f>
        <v>6.8756875687568759E-3</v>
      </c>
      <c r="H194" s="13">
        <f>((((VLOOKUP(B194,Database!$A:$AS,MATCH($H$1,Database!$A$1:$AS$1,),))))-(((VLOOKUP(EDATE(B194,-12),Database!$A:$AS,MATCH($H$1,Database!$A$1:$AS$1,),)))))/(((VLOOKUP(EDATE(B194,-12),Database!$A:$AS,MATCH($H$1,Database!$A$1:$AS$1,),))))</f>
        <v>-2.6859504133620676E-2</v>
      </c>
      <c r="I194" s="13">
        <f>((((VLOOKUP(B194,Database!$A:$AS,MATCH($I$1,Database!$A$1:$AS$1,),))))-(((VLOOKUP(EDATE(B194,-12),Database!$A:$AS,MATCH($I$1,Database!$A$1:$AS$1,),)))))/(((VLOOKUP(EDATE(B194,-12),Database!$A:$AS,MATCH($I$1,Database!$A$1:$AS$1,),))))</f>
        <v>-8.972267536911013E-3</v>
      </c>
      <c r="J194" s="13">
        <f>((((VLOOKUP(B194,Database!$A:$AS,MATCH($J$1,Database!$A$1:$AS$1,),))))-(((VLOOKUP(EDATE(B194,-12),Database!$A:$AS,MATCH($J$1,Database!$A$1:$AS$1,),)))))/(((VLOOKUP(EDATE(B194,-12),Database!$A:$AS,MATCH($J$1,Database!$A$1:$AS$1,),))))</f>
        <v>2.1739834237136327E-2</v>
      </c>
      <c r="K194" s="13">
        <f>((((VLOOKUP(B194,Database!$A:$AS,MATCH($K$1,Database!$A$1:$AS$1,),))))-(((VLOOKUP(EDATE(B194,-12),Database!$A:$AS,MATCH($K$1,Database!$A$1:$AS$1,),)))))/(((VLOOKUP(EDATE(B194,-12),Database!$A:$AS,MATCH($K$1,Database!$A$1:$AS$1,),))))</f>
        <v>4.5816733064911894E-2</v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>5.0872554557998731E-2</v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>6.6078378965716611E-2</v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>7.2564064798527797E-2</v>
      </c>
      <c r="O194" s="13">
        <f>((((VLOOKUP(B194,Database!$A:$AS,MATCH($O$1,Database!$A$1:$AS$1,),))))-(((VLOOKUP(EDATE(B194,-12),Database!$A:$AS,MATCH($O$1,Database!$A$1:$AS$1,),)))))/(((VLOOKUP(EDATE(B194,-12),Database!$A:$AS,MATCH($O$1,Database!$A$1:$AS$1,),))))</f>
        <v>2.2648044507037984E-2</v>
      </c>
      <c r="P194" s="13">
        <f>((((VLOOKUP(B194,Database!$A:$AS,MATCH($P$1,Database!$A$1:$AS$1,),))))-(((VLOOKUP(EDATE(B194,-12),Database!$A:$AS,MATCH($P$1,Database!$A$1:$AS$1,),)))))/(((VLOOKUP(EDATE(B194,-12),Database!$A:$AS,MATCH($P$1,Database!$A$1:$AS$1,),))))</f>
        <v>0.10575483135134175</v>
      </c>
      <c r="Q194" s="13">
        <f>((((VLOOKUP(B194,Database!$A:$AS,MATCH($Q$1,Database!$A$1:$AS$1,),))))-(((VLOOKUP(EDATE(B194,-12),Database!$A:$AS,MATCH($Q$1,Database!$A$1:$AS$1,),)))))/(((VLOOKUP(EDATE(B194,-12),Database!$A:$AS,MATCH($Q$1,Database!$A$1:$AS$1,),))))</f>
        <v>5.88972431116489E-2</v>
      </c>
      <c r="R194" s="13">
        <f>((((VLOOKUP(B194,Database!$A:$AS,MATCH($R$1,Database!$A$1:$AS$1,),))))-(((VLOOKUP(EDATE(B194,-12),Database!$A:$AS,MATCH($R$1,Database!$A$1:$AS$1,),)))))/(((VLOOKUP(EDATE(B194,-12),Database!$A:$AS,MATCH($R$1,Database!$A$1:$AS$1,),))))</f>
        <v>4.7720797719827797E-2</v>
      </c>
      <c r="S194" s="13">
        <f>((((VLOOKUP(B194,Database!$A:$AS,MATCH($S$1,Database!$A$1:$AS$1,),))))-(((VLOOKUP(EDATE(B194,-12),Database!$A:$AS,MATCH($S$1,Database!$A$1:$AS$1,),)))))/(((VLOOKUP(EDATE(B194,-12),Database!$A:$AS,MATCH($S$1,Database!$A$1:$AS$1,),))))</f>
        <v>5.9782608680525089E-2</v>
      </c>
      <c r="T194" s="13">
        <f>((((VLOOKUP(B194,Database!$A:$AS,MATCH($T$1,Database!$A$1:$AS$1,),))))-(((VLOOKUP(EDATE(B194,-12),Database!$A:$AS,MATCH($T$1,Database!$A$1:$AS$1,),)))))/(((VLOOKUP(EDATE(B194,-12),Database!$A:$AS,MATCH($T$1,Database!$A$1:$AS$1,),))))</f>
        <v>9.6359743034586304E-2</v>
      </c>
      <c r="U194" s="13">
        <f>((((VLOOKUP(B194,Database!$A:$AS,MATCH($U$1,Database!$A$1:$AS$1,),))))-(((VLOOKUP(EDATE(B194,-12),Database!$A:$AS,MATCH($U$1,Database!$A$1:$AS$1,),)))))/(((VLOOKUP(EDATE(B194,-12),Database!$A:$AS,MATCH($U$1,Database!$A$1:$AS$1,),))))</f>
        <v>0.11094890510317969</v>
      </c>
      <c r="V194" s="13">
        <f>((((VLOOKUP(B194,Database!$A:$AS,MATCH($V$1,Database!$A$1:$AS$1,),))))-(((VLOOKUP(EDATE(B194,-12),Database!$A:$AS,MATCH($V$1,Database!$A$1:$AS$1,),)))))/(((VLOOKUP(EDATE(B194,-12),Database!$A:$AS,MATCH($V$1,Database!$A$1:$AS$1,),))))</f>
        <v>0.18019801980198022</v>
      </c>
    </row>
    <row r="195" spans="1:22" s="83" customFormat="1" x14ac:dyDescent="0.2">
      <c r="A195" s="43"/>
      <c r="B195" s="78">
        <v>38078</v>
      </c>
      <c r="C195" s="13">
        <f>((((VLOOKUP(B195,Database!$A:$AS,MATCH($C$1,Database!$A$1:$AS$1,),))))-(((VLOOKUP(EDATE(B195,-12),Database!$A:$AS,MATCH($C$1,Database!$A$1:$AS$1,),)))))/(((VLOOKUP(EDATE(B195,-12),Database!$A:$AS,MATCH($C$1,Database!$A$1:$AS$1,),))))</f>
        <v>2.7367262108030171E-2</v>
      </c>
      <c r="D195" s="13">
        <f>((((VLOOKUP(B195,Database!$A:$AS,MATCH($D$1,Database!$A$1:$AS$1,),))))-(((VLOOKUP(EDATE(B195,-12),Database!$A:$AS,MATCH($D$1,Database!$A$1:$AS$1,),)))))/(((VLOOKUP(EDATE(B195,-12),Database!$A:$AS,MATCH($D$1,Database!$A$1:$AS$1,),))))</f>
        <v>2.0876826722338204E-2</v>
      </c>
      <c r="E195" s="13">
        <f>((((VLOOKUP(B195,Database!$A:$AS,MATCH($E$1,Database!$A$1:$AS$1,),))))-(((VLOOKUP(EDATE(B195,-12),Database!$A:$AS,MATCH($E$1,Database!$A$1:$AS$1,),)))))/(((VLOOKUP(EDATE(B195,-12),Database!$A:$AS,MATCH($E$1,Database!$A$1:$AS$1,),))))</f>
        <v>6.8108108109280197E-2</v>
      </c>
      <c r="F195" s="13">
        <f>((((VLOOKUP(B195,Database!$A:$AS,MATCH($F$1,Database!$A$1:$AS$1,),))))-(((VLOOKUP(EDATE(B195,-12),Database!$A:$AS,MATCH($F$1,Database!$A$1:$AS$1,),)))))/(((VLOOKUP(EDATE(B195,-12),Database!$A:$AS,MATCH($F$1,Database!$A$1:$AS$1,),))))</f>
        <v>3.2581453641811975E-2</v>
      </c>
      <c r="G195" s="13">
        <f>((((VLOOKUP(B195,Database!$A:$AS,MATCH($G$1,Database!$A$1:$AS$1,),))))-(((VLOOKUP(EDATE(B195,-12),Database!$A:$AS,MATCH($G$1,Database!$A$1:$AS$1,),)))))/(((VLOOKUP(EDATE(B195,-12),Database!$A:$AS,MATCH($G$1,Database!$A$1:$AS$1,),))))</f>
        <v>6.8737970855100358E-3</v>
      </c>
      <c r="H195" s="13">
        <f>((((VLOOKUP(B195,Database!$A:$AS,MATCH($H$1,Database!$A$1:$AS$1,),))))-(((VLOOKUP(EDATE(B195,-12),Database!$A:$AS,MATCH($H$1,Database!$A$1:$AS$1,),)))))/(((VLOOKUP(EDATE(B195,-12),Database!$A:$AS,MATCH($H$1,Database!$A$1:$AS$1,),))))</f>
        <v>-2.3662551448153459E-2</v>
      </c>
      <c r="I195" s="13">
        <f>((((VLOOKUP(B195,Database!$A:$AS,MATCH($I$1,Database!$A$1:$AS$1,),))))-(((VLOOKUP(EDATE(B195,-12),Database!$A:$AS,MATCH($I$1,Database!$A$1:$AS$1,),)))))/(((VLOOKUP(EDATE(B195,-12),Database!$A:$AS,MATCH($I$1,Database!$A$1:$AS$1,),))))</f>
        <v>-4.0225261479798656E-3</v>
      </c>
      <c r="J195" s="13">
        <f>((((VLOOKUP(B195,Database!$A:$AS,MATCH($J$1,Database!$A$1:$AS$1,),))))-(((VLOOKUP(EDATE(B195,-12),Database!$A:$AS,MATCH($J$1,Database!$A$1:$AS$1,),)))))/(((VLOOKUP(EDATE(B195,-12),Database!$A:$AS,MATCH($J$1,Database!$A$1:$AS$1,),))))</f>
        <v>1.0561423008714323E-2</v>
      </c>
      <c r="K195" s="13">
        <f>((((VLOOKUP(B195,Database!$A:$AS,MATCH($K$1,Database!$A$1:$AS$1,),))))-(((VLOOKUP(EDATE(B195,-12),Database!$A:$AS,MATCH($K$1,Database!$A$1:$AS$1,),)))))/(((VLOOKUP(EDATE(B195,-12),Database!$A:$AS,MATCH($K$1,Database!$A$1:$AS$1,),))))</f>
        <v>4.1385948025022379E-2</v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>4.7194154979295376E-2</v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>7.234449657837401E-2</v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>0.12283270186229654</v>
      </c>
      <c r="O195" s="13">
        <f>((((VLOOKUP(B195,Database!$A:$AS,MATCH($O$1,Database!$A$1:$AS$1,),))))-(((VLOOKUP(EDATE(B195,-12),Database!$A:$AS,MATCH($O$1,Database!$A$1:$AS$1,),)))))/(((VLOOKUP(EDATE(B195,-12),Database!$A:$AS,MATCH($O$1,Database!$A$1:$AS$1,),))))</f>
        <v>2.447365307885721E-2</v>
      </c>
      <c r="P195" s="13">
        <f>((((VLOOKUP(B195,Database!$A:$AS,MATCH($P$1,Database!$A$1:$AS$1,),))))-(((VLOOKUP(EDATE(B195,-12),Database!$A:$AS,MATCH($P$1,Database!$A$1:$AS$1,),)))))/(((VLOOKUP(EDATE(B195,-12),Database!$A:$AS,MATCH($P$1,Database!$A$1:$AS$1,),))))</f>
        <v>0.13556088521050477</v>
      </c>
      <c r="Q195" s="13">
        <f>((((VLOOKUP(B195,Database!$A:$AS,MATCH($Q$1,Database!$A$1:$AS$1,),))))-(((VLOOKUP(EDATE(B195,-12),Database!$A:$AS,MATCH($Q$1,Database!$A$1:$AS$1,),)))))/(((VLOOKUP(EDATE(B195,-12),Database!$A:$AS,MATCH($Q$1,Database!$A$1:$AS$1,),))))</f>
        <v>7.304785894313158E-2</v>
      </c>
      <c r="R195" s="13">
        <f>((((VLOOKUP(B195,Database!$A:$AS,MATCH($R$1,Database!$A$1:$AS$1,),))))-(((VLOOKUP(EDATE(B195,-12),Database!$A:$AS,MATCH($R$1,Database!$A$1:$AS$1,),)))))/(((VLOOKUP(EDATE(B195,-12),Database!$A:$AS,MATCH($R$1,Database!$A$1:$AS$1,),))))</f>
        <v>3.4361851332260517E-2</v>
      </c>
      <c r="S195" s="13">
        <f>((((VLOOKUP(B195,Database!$A:$AS,MATCH($S$1,Database!$A$1:$AS$1,),))))-(((VLOOKUP(EDATE(B195,-12),Database!$A:$AS,MATCH($S$1,Database!$A$1:$AS$1,),)))))/(((VLOOKUP(EDATE(B195,-12),Database!$A:$AS,MATCH($S$1,Database!$A$1:$AS$1,),))))</f>
        <v>8.0874316941822441E-2</v>
      </c>
      <c r="T195" s="13">
        <f>((((VLOOKUP(B195,Database!$A:$AS,MATCH($T$1,Database!$A$1:$AS$1,),))))-(((VLOOKUP(EDATE(B195,-12),Database!$A:$AS,MATCH($T$1,Database!$A$1:$AS$1,),)))))/(((VLOOKUP(EDATE(B195,-12),Database!$A:$AS,MATCH($T$1,Database!$A$1:$AS$1,),))))</f>
        <v>0.15011037526229234</v>
      </c>
      <c r="U195" s="13">
        <f>((((VLOOKUP(B195,Database!$A:$AS,MATCH($U$1,Database!$A$1:$AS$1,),))))-(((VLOOKUP(EDATE(B195,-12),Database!$A:$AS,MATCH($U$1,Database!$A$1:$AS$1,),)))))/(((VLOOKUP(EDATE(B195,-12),Database!$A:$AS,MATCH($U$1,Database!$A$1:$AS$1,),))))</f>
        <v>9.9715099704018456E-2</v>
      </c>
      <c r="V195" s="13">
        <f>((((VLOOKUP(B195,Database!$A:$AS,MATCH($V$1,Database!$A$1:$AS$1,),))))-(((VLOOKUP(EDATE(B195,-12),Database!$A:$AS,MATCH($V$1,Database!$A$1:$AS$1,),)))))/(((VLOOKUP(EDATE(B195,-12),Database!$A:$AS,MATCH($V$1,Database!$A$1:$AS$1,),))))</f>
        <v>0.2149901380670611</v>
      </c>
    </row>
    <row r="196" spans="1:22" s="83" customFormat="1" x14ac:dyDescent="0.2">
      <c r="A196" s="43"/>
      <c r="B196" s="78">
        <v>38108</v>
      </c>
      <c r="C196" s="13">
        <f>((((VLOOKUP(B196,Database!$A:$AS,MATCH($C$1,Database!$A$1:$AS$1,),))))-(((VLOOKUP(EDATE(B196,-12),Database!$A:$AS,MATCH($C$1,Database!$A$1:$AS$1,),)))))/(((VLOOKUP(EDATE(B196,-12),Database!$A:$AS,MATCH($C$1,Database!$A$1:$AS$1,),))))</f>
        <v>3.5100748976695413E-2</v>
      </c>
      <c r="D196" s="13">
        <f>((((VLOOKUP(B196,Database!$A:$AS,MATCH($D$1,Database!$A$1:$AS$1,),))))-(((VLOOKUP(EDATE(B196,-12),Database!$A:$AS,MATCH($D$1,Database!$A$1:$AS$1,),)))))/(((VLOOKUP(EDATE(B196,-12),Database!$A:$AS,MATCH($D$1,Database!$A$1:$AS$1,),))))</f>
        <v>3.9278131634819559E-2</v>
      </c>
      <c r="E196" s="13">
        <f>((((VLOOKUP(B196,Database!$A:$AS,MATCH($E$1,Database!$A$1:$AS$1,),))))-(((VLOOKUP(EDATE(B196,-12),Database!$A:$AS,MATCH($E$1,Database!$A$1:$AS$1,),)))))/(((VLOOKUP(EDATE(B196,-12),Database!$A:$AS,MATCH($E$1,Database!$A$1:$AS$1,),))))</f>
        <v>5.5496264682708858E-2</v>
      </c>
      <c r="F196" s="13">
        <f>((((VLOOKUP(B196,Database!$A:$AS,MATCH($F$1,Database!$A$1:$AS$1,),))))-(((VLOOKUP(EDATE(B196,-12),Database!$A:$AS,MATCH($F$1,Database!$A$1:$AS$1,),)))))/(((VLOOKUP(EDATE(B196,-12),Database!$A:$AS,MATCH($F$1,Database!$A$1:$AS$1,),))))</f>
        <v>5.3097345130393873E-2</v>
      </c>
      <c r="G196" s="13">
        <f>((((VLOOKUP(B196,Database!$A:$AS,MATCH($G$1,Database!$A$1:$AS$1,),))))-(((VLOOKUP(EDATE(B196,-12),Database!$A:$AS,MATCH($G$1,Database!$A$1:$AS$1,),)))))/(((VLOOKUP(EDATE(B196,-12),Database!$A:$AS,MATCH($G$1,Database!$A$1:$AS$1,),))))</f>
        <v>2.5722868944799186E-2</v>
      </c>
      <c r="H196" s="13">
        <f>((((VLOOKUP(B196,Database!$A:$AS,MATCH($H$1,Database!$A$1:$AS$1,),))))-(((VLOOKUP(EDATE(B196,-12),Database!$A:$AS,MATCH($H$1,Database!$A$1:$AS$1,),)))))/(((VLOOKUP(EDATE(B196,-12),Database!$A:$AS,MATCH($H$1,Database!$A$1:$AS$1,),))))</f>
        <v>-1.7311608962952196E-2</v>
      </c>
      <c r="I196" s="13">
        <f>((((VLOOKUP(B196,Database!$A:$AS,MATCH($I$1,Database!$A$1:$AS$1,),))))-(((VLOOKUP(EDATE(B196,-12),Database!$A:$AS,MATCH($I$1,Database!$A$1:$AS$1,),)))))/(((VLOOKUP(EDATE(B196,-12),Database!$A:$AS,MATCH($I$1,Database!$A$1:$AS$1,),))))</f>
        <v>2.7454242929158681E-2</v>
      </c>
      <c r="J196" s="13">
        <f>((((VLOOKUP(B196,Database!$A:$AS,MATCH($J$1,Database!$A$1:$AS$1,),))))-(((VLOOKUP(EDATE(B196,-12),Database!$A:$AS,MATCH($J$1,Database!$A$1:$AS$1,),)))))/(((VLOOKUP(EDATE(B196,-12),Database!$A:$AS,MATCH($J$1,Database!$A$1:$AS$1,),))))</f>
        <v>2.6867275658248174E-2</v>
      </c>
      <c r="K196" s="13">
        <f>((((VLOOKUP(B196,Database!$A:$AS,MATCH($K$1,Database!$A$1:$AS$1,),))))-(((VLOOKUP(EDATE(B196,-12),Database!$A:$AS,MATCH($K$1,Database!$A$1:$AS$1,),)))))/(((VLOOKUP(EDATE(B196,-12),Database!$A:$AS,MATCH($K$1,Database!$A$1:$AS$1,),))))</f>
        <v>5.3045186645527452E-2</v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>4.2589999607343221E-2</v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>8.0884058555445101E-2</v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>9.9152632060520024E-2</v>
      </c>
      <c r="O196" s="13">
        <f>((((VLOOKUP(B196,Database!$A:$AS,MATCH($O$1,Database!$A$1:$AS$1,),))))-(((VLOOKUP(EDATE(B196,-12),Database!$A:$AS,MATCH($O$1,Database!$A$1:$AS$1,),)))))/(((VLOOKUP(EDATE(B196,-12),Database!$A:$AS,MATCH($O$1,Database!$A$1:$AS$1,),))))</f>
        <v>1.9432972713261186E-2</v>
      </c>
      <c r="P196" s="13">
        <f>((((VLOOKUP(B196,Database!$A:$AS,MATCH($P$1,Database!$A$1:$AS$1,),))))-(((VLOOKUP(EDATE(B196,-12),Database!$A:$AS,MATCH($P$1,Database!$A$1:$AS$1,),)))))/(((VLOOKUP(EDATE(B196,-12),Database!$A:$AS,MATCH($P$1,Database!$A$1:$AS$1,),))))</f>
        <v>0.15849063504365707</v>
      </c>
      <c r="Q196" s="13">
        <f>((((VLOOKUP(B196,Database!$A:$AS,MATCH($Q$1,Database!$A$1:$AS$1,),))))-(((VLOOKUP(EDATE(B196,-12),Database!$A:$AS,MATCH($Q$1,Database!$A$1:$AS$1,),)))))/(((VLOOKUP(EDATE(B196,-12),Database!$A:$AS,MATCH($Q$1,Database!$A$1:$AS$1,),))))</f>
        <v>0.10411311054383712</v>
      </c>
      <c r="R196" s="13">
        <f>((((VLOOKUP(B196,Database!$A:$AS,MATCH($R$1,Database!$A$1:$AS$1,),))))-(((VLOOKUP(EDATE(B196,-12),Database!$A:$AS,MATCH($R$1,Database!$A$1:$AS$1,),)))))/(((VLOOKUP(EDATE(B196,-12),Database!$A:$AS,MATCH($R$1,Database!$A$1:$AS$1,),))))</f>
        <v>2.9391182645265319E-2</v>
      </c>
      <c r="S196" s="13">
        <f>((((VLOOKUP(B196,Database!$A:$AS,MATCH($S$1,Database!$A$1:$AS$1,),))))-(((VLOOKUP(EDATE(B196,-12),Database!$A:$AS,MATCH($S$1,Database!$A$1:$AS$1,),)))))/(((VLOOKUP(EDATE(B196,-12),Database!$A:$AS,MATCH($S$1,Database!$A$1:$AS$1,),))))</f>
        <v>1.5135135139348582E-2</v>
      </c>
      <c r="T196" s="13">
        <f>((((VLOOKUP(B196,Database!$A:$AS,MATCH($T$1,Database!$A$1:$AS$1,),))))-(((VLOOKUP(EDATE(B196,-12),Database!$A:$AS,MATCH($T$1,Database!$A$1:$AS$1,),)))))/(((VLOOKUP(EDATE(B196,-12),Database!$A:$AS,MATCH($T$1,Database!$A$1:$AS$1,),))))</f>
        <v>0.18061674009645123</v>
      </c>
      <c r="U196" s="13">
        <f>((((VLOOKUP(B196,Database!$A:$AS,MATCH($U$1,Database!$A$1:$AS$1,),))))-(((VLOOKUP(EDATE(B196,-12),Database!$A:$AS,MATCH($U$1,Database!$A$1:$AS$1,),)))))/(((VLOOKUP(EDATE(B196,-12),Database!$A:$AS,MATCH($U$1,Database!$A$1:$AS$1,),))))</f>
        <v>0.11644832605749576</v>
      </c>
      <c r="V196" s="13">
        <f>((((VLOOKUP(B196,Database!$A:$AS,MATCH($V$1,Database!$A$1:$AS$1,),))))-(((VLOOKUP(EDATE(B196,-12),Database!$A:$AS,MATCH($V$1,Database!$A$1:$AS$1,),)))))/(((VLOOKUP(EDATE(B196,-12),Database!$A:$AS,MATCH($V$1,Database!$A$1:$AS$1,),))))</f>
        <v>0.15116279069767435</v>
      </c>
    </row>
    <row r="197" spans="1:22" s="83" customFormat="1" x14ac:dyDescent="0.2">
      <c r="A197" s="43"/>
      <c r="B197" s="78">
        <v>38139</v>
      </c>
      <c r="C197" s="13">
        <f>((((VLOOKUP(B197,Database!$A:$AS,MATCH($C$1,Database!$A$1:$AS$1,),))))-(((VLOOKUP(EDATE(B197,-12),Database!$A:$AS,MATCH($C$1,Database!$A$1:$AS$1,),)))))/(((VLOOKUP(EDATE(B197,-12),Database!$A:$AS,MATCH($C$1,Database!$A$1:$AS$1,),))))</f>
        <v>2.5684063430194727E-2</v>
      </c>
      <c r="D197" s="13">
        <f>((((VLOOKUP(B197,Database!$A:$AS,MATCH($D$1,Database!$A$1:$AS$1,),))))-(((VLOOKUP(EDATE(B197,-12),Database!$A:$AS,MATCH($D$1,Database!$A$1:$AS$1,),)))))/(((VLOOKUP(EDATE(B197,-12),Database!$A:$AS,MATCH($D$1,Database!$A$1:$AS$1,),))))</f>
        <v>3.8216560509554076E-2</v>
      </c>
      <c r="E197" s="13">
        <f>((((VLOOKUP(B197,Database!$A:$AS,MATCH($E$1,Database!$A$1:$AS$1,),))))-(((VLOOKUP(EDATE(B197,-12),Database!$A:$AS,MATCH($E$1,Database!$A$1:$AS$1,),)))))/(((VLOOKUP(EDATE(B197,-12),Database!$A:$AS,MATCH($E$1,Database!$A$1:$AS$1,),))))</f>
        <v>6.781485468378684E-2</v>
      </c>
      <c r="F197" s="13">
        <f>((((VLOOKUP(B197,Database!$A:$AS,MATCH($F$1,Database!$A$1:$AS$1,),))))-(((VLOOKUP(EDATE(B197,-12),Database!$A:$AS,MATCH($F$1,Database!$A$1:$AS$1,),)))))/(((VLOOKUP(EDATE(B197,-12),Database!$A:$AS,MATCH($F$1,Database!$A$1:$AS$1,),))))</f>
        <v>5.0825921227007465E-2</v>
      </c>
      <c r="G197" s="13">
        <f>((((VLOOKUP(B197,Database!$A:$AS,MATCH($G$1,Database!$A$1:$AS$1,),))))-(((VLOOKUP(EDATE(B197,-12),Database!$A:$AS,MATCH($G$1,Database!$A$1:$AS$1,),)))))/(((VLOOKUP(EDATE(B197,-12),Database!$A:$AS,MATCH($G$1,Database!$A$1:$AS$1,),))))</f>
        <v>3.8208168642951137E-2</v>
      </c>
      <c r="H197" s="13">
        <f>((((VLOOKUP(B197,Database!$A:$AS,MATCH($H$1,Database!$A$1:$AS$1,),))))-(((VLOOKUP(EDATE(B197,-12),Database!$A:$AS,MATCH($H$1,Database!$A$1:$AS$1,),)))))/(((VLOOKUP(EDATE(B197,-12),Database!$A:$AS,MATCH($H$1,Database!$A$1:$AS$1,),))))</f>
        <v>-1.3065326633851522E-2</v>
      </c>
      <c r="I197" s="13">
        <f>((((VLOOKUP(B197,Database!$A:$AS,MATCH($I$1,Database!$A$1:$AS$1,),))))-(((VLOOKUP(EDATE(B197,-12),Database!$A:$AS,MATCH($I$1,Database!$A$1:$AS$1,),)))))/(((VLOOKUP(EDATE(B197,-12),Database!$A:$AS,MATCH($I$1,Database!$A$1:$AS$1,),))))</f>
        <v>9.0386195565491951E-3</v>
      </c>
      <c r="J197" s="13">
        <f>((((VLOOKUP(B197,Database!$A:$AS,MATCH($J$1,Database!$A$1:$AS$1,),))))-(((VLOOKUP(EDATE(B197,-12),Database!$A:$AS,MATCH($J$1,Database!$A$1:$AS$1,),)))))/(((VLOOKUP(EDATE(B197,-12),Database!$A:$AS,MATCH($J$1,Database!$A$1:$AS$1,),))))</f>
        <v>2.917444597783685E-2</v>
      </c>
      <c r="K197" s="13">
        <f>((((VLOOKUP(B197,Database!$A:$AS,MATCH($K$1,Database!$A$1:$AS$1,),))))-(((VLOOKUP(EDATE(B197,-12),Database!$A:$AS,MATCH($K$1,Database!$A$1:$AS$1,),)))))/(((VLOOKUP(EDATE(B197,-12),Database!$A:$AS,MATCH($K$1,Database!$A$1:$AS$1,),))))</f>
        <v>4.296874999759704E-2</v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>3.8268922168984948E-2</v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>9.0494898921391884E-2</v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>9.7075542105820867E-2</v>
      </c>
      <c r="O197" s="13">
        <f>((((VLOOKUP(B197,Database!$A:$AS,MATCH($O$1,Database!$A$1:$AS$1,),))))-(((VLOOKUP(EDATE(B197,-12),Database!$A:$AS,MATCH($O$1,Database!$A$1:$AS$1,),)))))/(((VLOOKUP(EDATE(B197,-12),Database!$A:$AS,MATCH($O$1,Database!$A$1:$AS$1,),))))</f>
        <v>3.9219235701363195E-2</v>
      </c>
      <c r="P197" s="13">
        <f>((((VLOOKUP(B197,Database!$A:$AS,MATCH($P$1,Database!$A$1:$AS$1,),))))-(((VLOOKUP(EDATE(B197,-12),Database!$A:$AS,MATCH($P$1,Database!$A$1:$AS$1,),)))))/(((VLOOKUP(EDATE(B197,-12),Database!$A:$AS,MATCH($P$1,Database!$A$1:$AS$1,),))))</f>
        <v>9.3256535232709797E-2</v>
      </c>
      <c r="Q197" s="13">
        <f>((((VLOOKUP(B197,Database!$A:$AS,MATCH($Q$1,Database!$A$1:$AS$1,),))))-(((VLOOKUP(EDATE(B197,-12),Database!$A:$AS,MATCH($Q$1,Database!$A$1:$AS$1,),)))))/(((VLOOKUP(EDATE(B197,-12),Database!$A:$AS,MATCH($Q$1,Database!$A$1:$AS$1,),))))</f>
        <v>0.1010230178997388</v>
      </c>
      <c r="R197" s="13">
        <f>((((VLOOKUP(B197,Database!$A:$AS,MATCH($R$1,Database!$A$1:$AS$1,),))))-(((VLOOKUP(EDATE(B197,-12),Database!$A:$AS,MATCH($R$1,Database!$A$1:$AS$1,),)))))/(((VLOOKUP(EDATE(B197,-12),Database!$A:$AS,MATCH($R$1,Database!$A$1:$AS$1,),))))</f>
        <v>2.0818875790591198E-3</v>
      </c>
      <c r="S197" s="13">
        <f>((((VLOOKUP(B197,Database!$A:$AS,MATCH($S$1,Database!$A$1:$AS$1,),))))-(((VLOOKUP(EDATE(B197,-12),Database!$A:$AS,MATCH($S$1,Database!$A$1:$AS$1,),)))))/(((VLOOKUP(EDATE(B197,-12),Database!$A:$AS,MATCH($S$1,Database!$A$1:$AS$1,),))))</f>
        <v>3.7715517233593482E-2</v>
      </c>
      <c r="T197" s="13">
        <f>((((VLOOKUP(B197,Database!$A:$AS,MATCH($T$1,Database!$A$1:$AS$1,),))))-(((VLOOKUP(EDATE(B197,-12),Database!$A:$AS,MATCH($T$1,Database!$A$1:$AS$1,),)))))/(((VLOOKUP(EDATE(B197,-12),Database!$A:$AS,MATCH($T$1,Database!$A$1:$AS$1,),))))</f>
        <v>0.12500000001589123</v>
      </c>
      <c r="U197" s="13">
        <f>((((VLOOKUP(B197,Database!$A:$AS,MATCH($U$1,Database!$A$1:$AS$1,),))))-(((VLOOKUP(EDATE(B197,-12),Database!$A:$AS,MATCH($U$1,Database!$A$1:$AS$1,),)))))/(((VLOOKUP(EDATE(B197,-12),Database!$A:$AS,MATCH($U$1,Database!$A$1:$AS$1,),))))</f>
        <v>0.1007194244639516</v>
      </c>
      <c r="V197" s="13">
        <f>((((VLOOKUP(B197,Database!$A:$AS,MATCH($V$1,Database!$A$1:$AS$1,),))))-(((VLOOKUP(EDATE(B197,-12),Database!$A:$AS,MATCH($V$1,Database!$A$1:$AS$1,),)))))/(((VLOOKUP(EDATE(B197,-12),Database!$A:$AS,MATCH($V$1,Database!$A$1:$AS$1,),))))</f>
        <v>0.13294797687861271</v>
      </c>
    </row>
    <row r="198" spans="1:22" s="83" customFormat="1" x14ac:dyDescent="0.2">
      <c r="A198" s="43"/>
      <c r="B198" s="78">
        <v>38169</v>
      </c>
      <c r="C198" s="13">
        <f>((((VLOOKUP(B198,Database!$A:$AS,MATCH($C$1,Database!$A$1:$AS$1,),))))-(((VLOOKUP(EDATE(B198,-12),Database!$A:$AS,MATCH($C$1,Database!$A$1:$AS$1,),)))))/(((VLOOKUP(EDATE(B198,-12),Database!$A:$AS,MATCH($C$1,Database!$A$1:$AS$1,),))))</f>
        <v>2.8089049895016309E-2</v>
      </c>
      <c r="D198" s="13">
        <f>((((VLOOKUP(B198,Database!$A:$AS,MATCH($D$1,Database!$A$1:$AS$1,),))))-(((VLOOKUP(EDATE(B198,-12),Database!$A:$AS,MATCH($D$1,Database!$A$1:$AS$1,),)))))/(((VLOOKUP(EDATE(B198,-12),Database!$A:$AS,MATCH($D$1,Database!$A$1:$AS$1,),))))</f>
        <v>3.0271398747390457E-2</v>
      </c>
      <c r="E198" s="13">
        <f>((((VLOOKUP(B198,Database!$A:$AS,MATCH($E$1,Database!$A$1:$AS$1,),))))-(((VLOOKUP(EDATE(B198,-12),Database!$A:$AS,MATCH($E$1,Database!$A$1:$AS$1,),)))))/(((VLOOKUP(EDATE(B198,-12),Database!$A:$AS,MATCH($E$1,Database!$A$1:$AS$1,),))))</f>
        <v>7.8242229372958411E-2</v>
      </c>
      <c r="F198" s="13">
        <f>((((VLOOKUP(B198,Database!$A:$AS,MATCH($F$1,Database!$A$1:$AS$1,),))))-(((VLOOKUP(EDATE(B198,-12),Database!$A:$AS,MATCH($F$1,Database!$A$1:$AS$1,),)))))/(((VLOOKUP(EDATE(B198,-12),Database!$A:$AS,MATCH($F$1,Database!$A$1:$AS$1,),))))</f>
        <v>3.8461538459152241E-2</v>
      </c>
      <c r="G198" s="13">
        <f>((((VLOOKUP(B198,Database!$A:$AS,MATCH($G$1,Database!$A$1:$AS$1,),))))-(((VLOOKUP(EDATE(B198,-12),Database!$A:$AS,MATCH($G$1,Database!$A$1:$AS$1,),)))))/(((VLOOKUP(EDATE(B198,-12),Database!$A:$AS,MATCH($G$1,Database!$A$1:$AS$1,),))))</f>
        <v>2.4602293747687722E-2</v>
      </c>
      <c r="H198" s="13">
        <f>((((VLOOKUP(B198,Database!$A:$AS,MATCH($H$1,Database!$A$1:$AS$1,),))))-(((VLOOKUP(EDATE(B198,-12),Database!$A:$AS,MATCH($H$1,Database!$A$1:$AS$1,),)))))/(((VLOOKUP(EDATE(B198,-12),Database!$A:$AS,MATCH($H$1,Database!$A$1:$AS$1,),))))</f>
        <v>-3.46534653477652E-2</v>
      </c>
      <c r="I198" s="13">
        <f>((((VLOOKUP(B198,Database!$A:$AS,MATCH($I$1,Database!$A$1:$AS$1,),))))-(((VLOOKUP(EDATE(B198,-12),Database!$A:$AS,MATCH($I$1,Database!$A$1:$AS$1,),)))))/(((VLOOKUP(EDATE(B198,-12),Database!$A:$AS,MATCH($I$1,Database!$A$1:$AS$1,),))))</f>
        <v>-2.4311183218460103E-3</v>
      </c>
      <c r="J198" s="13">
        <f>((((VLOOKUP(B198,Database!$A:$AS,MATCH($J$1,Database!$A$1:$AS$1,),))))-(((VLOOKUP(EDATE(B198,-12),Database!$A:$AS,MATCH($J$1,Database!$A$1:$AS$1,),)))))/(((VLOOKUP(EDATE(B198,-12),Database!$A:$AS,MATCH($J$1,Database!$A$1:$AS$1,),))))</f>
        <v>2.1969251111928875E-2</v>
      </c>
      <c r="K198" s="13">
        <f>((((VLOOKUP(B198,Database!$A:$AS,MATCH($K$1,Database!$A$1:$AS$1,),))))-(((VLOOKUP(EDATE(B198,-12),Database!$A:$AS,MATCH($K$1,Database!$A$1:$AS$1,),)))))/(((VLOOKUP(EDATE(B198,-12),Database!$A:$AS,MATCH($K$1,Database!$A$1:$AS$1,),))))</f>
        <v>1.5414258184518529E-2</v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>3.6445735258276706E-2</v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>7.7349006851568258E-2</v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>0.11833396929390096</v>
      </c>
      <c r="O198" s="13">
        <f>((((VLOOKUP(B198,Database!$A:$AS,MATCH($O$1,Database!$A$1:$AS$1,),))))-(((VLOOKUP(EDATE(B198,-12),Database!$A:$AS,MATCH($O$1,Database!$A$1:$AS$1,),)))))/(((VLOOKUP(EDATE(B198,-12),Database!$A:$AS,MATCH($O$1,Database!$A$1:$AS$1,),))))</f>
        <v>2.1017290584888878E-2</v>
      </c>
      <c r="P198" s="13">
        <f>((((VLOOKUP(B198,Database!$A:$AS,MATCH($P$1,Database!$A$1:$AS$1,),))))-(((VLOOKUP(EDATE(B198,-12),Database!$A:$AS,MATCH($P$1,Database!$A$1:$AS$1,),)))))/(((VLOOKUP(EDATE(B198,-12),Database!$A:$AS,MATCH($P$1,Database!$A$1:$AS$1,),))))</f>
        <v>0.13049445453172168</v>
      </c>
      <c r="Q198" s="13">
        <f>((((VLOOKUP(B198,Database!$A:$AS,MATCH($Q$1,Database!$A$1:$AS$1,),))))-(((VLOOKUP(EDATE(B198,-12),Database!$A:$AS,MATCH($Q$1,Database!$A$1:$AS$1,),)))))/(((VLOOKUP(EDATE(B198,-12),Database!$A:$AS,MATCH($Q$1,Database!$A$1:$AS$1,),))))</f>
        <v>0.12015503877019632</v>
      </c>
      <c r="R198" s="13">
        <f>((((VLOOKUP(B198,Database!$A:$AS,MATCH($R$1,Database!$A$1:$AS$1,),))))-(((VLOOKUP(EDATE(B198,-12),Database!$A:$AS,MATCH($R$1,Database!$A$1:$AS$1,),)))))/(((VLOOKUP(EDATE(B198,-12),Database!$A:$AS,MATCH($R$1,Database!$A$1:$AS$1,),))))</f>
        <v>2.0847810982849602E-2</v>
      </c>
      <c r="S198" s="13">
        <f>((((VLOOKUP(B198,Database!$A:$AS,MATCH($S$1,Database!$A$1:$AS$1,),))))-(((VLOOKUP(EDATE(B198,-12),Database!$A:$AS,MATCH($S$1,Database!$A$1:$AS$1,),)))))/(((VLOOKUP(EDATE(B198,-12),Database!$A:$AS,MATCH($S$1,Database!$A$1:$AS$1,),))))</f>
        <v>0.12381951731908833</v>
      </c>
      <c r="T198" s="13">
        <f>((((VLOOKUP(B198,Database!$A:$AS,MATCH($T$1,Database!$A$1:$AS$1,),))))-(((VLOOKUP(EDATE(B198,-12),Database!$A:$AS,MATCH($T$1,Database!$A$1:$AS$1,),)))))/(((VLOOKUP(EDATE(B198,-12),Database!$A:$AS,MATCH($T$1,Database!$A$1:$AS$1,),))))</f>
        <v>0.11594202900261191</v>
      </c>
      <c r="U198" s="13">
        <f>((((VLOOKUP(B198,Database!$A:$AS,MATCH($U$1,Database!$A$1:$AS$1,),))))-(((VLOOKUP(EDATE(B198,-12),Database!$A:$AS,MATCH($U$1,Database!$A$1:$AS$1,),)))))/(((VLOOKUP(EDATE(B198,-12),Database!$A:$AS,MATCH($U$1,Database!$A$1:$AS$1,),))))</f>
        <v>0.11637931034538505</v>
      </c>
      <c r="V198" s="13">
        <f>((((VLOOKUP(B198,Database!$A:$AS,MATCH($V$1,Database!$A$1:$AS$1,),))))-(((VLOOKUP(EDATE(B198,-12),Database!$A:$AS,MATCH($V$1,Database!$A$1:$AS$1,),)))))/(((VLOOKUP(EDATE(B198,-12),Database!$A:$AS,MATCH($V$1,Database!$A$1:$AS$1,),))))</f>
        <v>8.9053803339517706E-2</v>
      </c>
    </row>
    <row r="199" spans="1:22" s="83" customFormat="1" x14ac:dyDescent="0.2">
      <c r="A199" s="43"/>
      <c r="B199" s="78">
        <v>38200</v>
      </c>
      <c r="C199" s="13">
        <f>((((VLOOKUP(B199,Database!$A:$AS,MATCH($C$1,Database!$A$1:$AS$1,),))))-(((VLOOKUP(EDATE(B199,-12),Database!$A:$AS,MATCH($C$1,Database!$A$1:$AS$1,),)))))/(((VLOOKUP(EDATE(B199,-12),Database!$A:$AS,MATCH($C$1,Database!$A$1:$AS$1,),))))</f>
        <v>3.1201414315489999E-2</v>
      </c>
      <c r="D199" s="13">
        <f>((((VLOOKUP(B199,Database!$A:$AS,MATCH($D$1,Database!$A$1:$AS$1,),))))-(((VLOOKUP(EDATE(B199,-12),Database!$A:$AS,MATCH($D$1,Database!$A$1:$AS$1,),)))))/(((VLOOKUP(EDATE(B199,-12),Database!$A:$AS,MATCH($D$1,Database!$A$1:$AS$1,),))))</f>
        <v>2.0063357972544788E-2</v>
      </c>
      <c r="E199" s="13">
        <f>((((VLOOKUP(B199,Database!$A:$AS,MATCH($E$1,Database!$A$1:$AS$1,),))))-(((VLOOKUP(EDATE(B199,-12),Database!$A:$AS,MATCH($E$1,Database!$A$1:$AS$1,),)))))/(((VLOOKUP(EDATE(B199,-12),Database!$A:$AS,MATCH($E$1,Database!$A$1:$AS$1,),))))</f>
        <v>7.3593073591133859E-2</v>
      </c>
      <c r="F199" s="13">
        <f>((((VLOOKUP(B199,Database!$A:$AS,MATCH($F$1,Database!$A$1:$AS$1,),))))-(((VLOOKUP(EDATE(B199,-12),Database!$A:$AS,MATCH($F$1,Database!$A$1:$AS$1,),)))))/(((VLOOKUP(EDATE(B199,-12),Database!$A:$AS,MATCH($F$1,Database!$A$1:$AS$1,),))))</f>
        <v>5.4707379128028685E-2</v>
      </c>
      <c r="G199" s="13">
        <f>((((VLOOKUP(B199,Database!$A:$AS,MATCH($G$1,Database!$A$1:$AS$1,),))))-(((VLOOKUP(EDATE(B199,-12),Database!$A:$AS,MATCH($G$1,Database!$A$1:$AS$1,),)))))/(((VLOOKUP(EDATE(B199,-12),Database!$A:$AS,MATCH($G$1,Database!$A$1:$AS$1,),))))</f>
        <v>-7.614448881047388E-3</v>
      </c>
      <c r="H199" s="13">
        <f>((((VLOOKUP(B199,Database!$A:$AS,MATCH($H$1,Database!$A$1:$AS$1,),))))-(((VLOOKUP(EDATE(B199,-12),Database!$A:$AS,MATCH($H$1,Database!$A$1:$AS$1,),)))))/(((VLOOKUP(EDATE(B199,-12),Database!$A:$AS,MATCH($H$1,Database!$A$1:$AS$1,),))))</f>
        <v>-3.2608695657367279E-2</v>
      </c>
      <c r="I199" s="13">
        <f>((((VLOOKUP(B199,Database!$A:$AS,MATCH($I$1,Database!$A$1:$AS$1,),))))-(((VLOOKUP(EDATE(B199,-12),Database!$A:$AS,MATCH($I$1,Database!$A$1:$AS$1,),)))))/(((VLOOKUP(EDATE(B199,-12),Database!$A:$AS,MATCH($I$1,Database!$A$1:$AS$1,),))))</f>
        <v>-2.4834437079239084E-3</v>
      </c>
      <c r="J199" s="13">
        <f>((((VLOOKUP(B199,Database!$A:$AS,MATCH($J$1,Database!$A$1:$AS$1,),))))-(((VLOOKUP(EDATE(B199,-12),Database!$A:$AS,MATCH($J$1,Database!$A$1:$AS$1,),)))))/(((VLOOKUP(EDATE(B199,-12),Database!$A:$AS,MATCH($J$1,Database!$A$1:$AS$1,),))))</f>
        <v>7.1919798568060812E-3</v>
      </c>
      <c r="K199" s="13">
        <f>((((VLOOKUP(B199,Database!$A:$AS,MATCH($K$1,Database!$A$1:$AS$1,),))))-(((VLOOKUP(EDATE(B199,-12),Database!$A:$AS,MATCH($K$1,Database!$A$1:$AS$1,),)))))/(((VLOOKUP(EDATE(B199,-12),Database!$A:$AS,MATCH($K$1,Database!$A$1:$AS$1,),))))</f>
        <v>5.6475170393011483E-2</v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>3.7454852486624918E-2</v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>0.10227481285190888</v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>0.11911146072043444</v>
      </c>
      <c r="O199" s="13">
        <f>((((VLOOKUP(B199,Database!$A:$AS,MATCH($O$1,Database!$A$1:$AS$1,),))))-(((VLOOKUP(EDATE(B199,-12),Database!$A:$AS,MATCH($O$1,Database!$A$1:$AS$1,),)))))/(((VLOOKUP(EDATE(B199,-12),Database!$A:$AS,MATCH($O$1,Database!$A$1:$AS$1,),))))</f>
        <v>4.0499917761453619E-2</v>
      </c>
      <c r="P199" s="13">
        <f>((((VLOOKUP(B199,Database!$A:$AS,MATCH($P$1,Database!$A$1:$AS$1,),))))-(((VLOOKUP(EDATE(B199,-12),Database!$A:$AS,MATCH($P$1,Database!$A$1:$AS$1,),)))))/(((VLOOKUP(EDATE(B199,-12),Database!$A:$AS,MATCH($P$1,Database!$A$1:$AS$1,),))))</f>
        <v>9.0629147871399279E-2</v>
      </c>
      <c r="Q199" s="13">
        <f>((((VLOOKUP(B199,Database!$A:$AS,MATCH($Q$1,Database!$A$1:$AS$1,),))))-(((VLOOKUP(EDATE(B199,-12),Database!$A:$AS,MATCH($Q$1,Database!$A$1:$AS$1,),)))))/(((VLOOKUP(EDATE(B199,-12),Database!$A:$AS,MATCH($Q$1,Database!$A$1:$AS$1,),))))</f>
        <v>0.11592356686996053</v>
      </c>
      <c r="R199" s="13">
        <f>((((VLOOKUP(B199,Database!$A:$AS,MATCH($R$1,Database!$A$1:$AS$1,),))))-(((VLOOKUP(EDATE(B199,-12),Database!$A:$AS,MATCH($R$1,Database!$A$1:$AS$1,),)))))/(((VLOOKUP(EDATE(B199,-12),Database!$A:$AS,MATCH($R$1,Database!$A$1:$AS$1,),))))</f>
        <v>-1.1653313907000893E-2</v>
      </c>
      <c r="S199" s="13">
        <f>((((VLOOKUP(B199,Database!$A:$AS,MATCH($S$1,Database!$A$1:$AS$1,),))))-(((VLOOKUP(EDATE(B199,-12),Database!$A:$AS,MATCH($S$1,Database!$A$1:$AS$1,),)))))/(((VLOOKUP(EDATE(B199,-12),Database!$A:$AS,MATCH($S$1,Database!$A$1:$AS$1,),))))</f>
        <v>-0.13941825475814074</v>
      </c>
      <c r="T199" s="13">
        <f>((((VLOOKUP(B199,Database!$A:$AS,MATCH($T$1,Database!$A$1:$AS$1,),))))-(((VLOOKUP(EDATE(B199,-12),Database!$A:$AS,MATCH($T$1,Database!$A$1:$AS$1,),)))))/(((VLOOKUP(EDATE(B199,-12),Database!$A:$AS,MATCH($T$1,Database!$A$1:$AS$1,),))))</f>
        <v>8.0808080798693338E-2</v>
      </c>
      <c r="U199" s="13">
        <f>((((VLOOKUP(B199,Database!$A:$AS,MATCH($U$1,Database!$A$1:$AS$1,),))))-(((VLOOKUP(EDATE(B199,-12),Database!$A:$AS,MATCH($U$1,Database!$A$1:$AS$1,),)))))/(((VLOOKUP(EDATE(B199,-12),Database!$A:$AS,MATCH($U$1,Database!$A$1:$AS$1,),))))</f>
        <v>9.4233473974057291E-2</v>
      </c>
      <c r="V199" s="13">
        <f>((((VLOOKUP(B199,Database!$A:$AS,MATCH($V$1,Database!$A$1:$AS$1,),))))-(((VLOOKUP(EDATE(B199,-12),Database!$A:$AS,MATCH($V$1,Database!$A$1:$AS$1,),)))))/(((VLOOKUP(EDATE(B199,-12),Database!$A:$AS,MATCH($V$1,Database!$A$1:$AS$1,),))))</f>
        <v>9.444444444444447E-2</v>
      </c>
    </row>
    <row r="200" spans="1:22" s="83" customFormat="1" x14ac:dyDescent="0.2">
      <c r="A200" s="43"/>
      <c r="B200" s="78">
        <v>38231</v>
      </c>
      <c r="C200" s="13">
        <f>((((VLOOKUP(B200,Database!$A:$AS,MATCH($C$1,Database!$A$1:$AS$1,),))))-(((VLOOKUP(EDATE(B200,-12),Database!$A:$AS,MATCH($C$1,Database!$A$1:$AS$1,),)))))/(((VLOOKUP(EDATE(B200,-12),Database!$A:$AS,MATCH($C$1,Database!$A$1:$AS$1,),))))</f>
        <v>2.5140911540953981E-2</v>
      </c>
      <c r="D200" s="13">
        <f>((((VLOOKUP(B200,Database!$A:$AS,MATCH($D$1,Database!$A$1:$AS$1,),))))-(((VLOOKUP(EDATE(B200,-12),Database!$A:$AS,MATCH($D$1,Database!$A$1:$AS$1,),)))))/(((VLOOKUP(EDATE(B200,-12),Database!$A:$AS,MATCH($D$1,Database!$A$1:$AS$1,),))))</f>
        <v>3.9194915254237163E-2</v>
      </c>
      <c r="E200" s="13">
        <f>((((VLOOKUP(B200,Database!$A:$AS,MATCH($E$1,Database!$A$1:$AS$1,),))))-(((VLOOKUP(EDATE(B200,-12),Database!$A:$AS,MATCH($E$1,Database!$A$1:$AS$1,),)))))/(((VLOOKUP(EDATE(B200,-12),Database!$A:$AS,MATCH($E$1,Database!$A$1:$AS$1,),))))</f>
        <v>4.5168067230565739E-2</v>
      </c>
      <c r="F200" s="13">
        <f>((((VLOOKUP(B200,Database!$A:$AS,MATCH($F$1,Database!$A$1:$AS$1,),))))-(((VLOOKUP(EDATE(B200,-12),Database!$A:$AS,MATCH($F$1,Database!$A$1:$AS$1,),)))))/(((VLOOKUP(EDATE(B200,-12),Database!$A:$AS,MATCH($F$1,Database!$A$1:$AS$1,),))))</f>
        <v>5.4846938781611662E-2</v>
      </c>
      <c r="G200" s="13">
        <f>((((VLOOKUP(B200,Database!$A:$AS,MATCH($G$1,Database!$A$1:$AS$1,),))))-(((VLOOKUP(EDATE(B200,-12),Database!$A:$AS,MATCH($G$1,Database!$A$1:$AS$1,),)))))/(((VLOOKUP(EDATE(B200,-12),Database!$A:$AS,MATCH($G$1,Database!$A$1:$AS$1,),))))</f>
        <v>3.1040268456375822E-2</v>
      </c>
      <c r="H200" s="13">
        <f>((((VLOOKUP(B200,Database!$A:$AS,MATCH($H$1,Database!$A$1:$AS$1,),))))-(((VLOOKUP(EDATE(B200,-12),Database!$A:$AS,MATCH($H$1,Database!$A$1:$AS$1,),)))))/(((VLOOKUP(EDATE(B200,-12),Database!$A:$AS,MATCH($H$1,Database!$A$1:$AS$1,),))))</f>
        <v>-2.0833333335831629E-2</v>
      </c>
      <c r="I200" s="13">
        <f>((((VLOOKUP(B200,Database!$A:$AS,MATCH($I$1,Database!$A$1:$AS$1,),))))-(((VLOOKUP(EDATE(B200,-12),Database!$A:$AS,MATCH($I$1,Database!$A$1:$AS$1,),)))))/(((VLOOKUP(EDATE(B200,-12),Database!$A:$AS,MATCH($I$1,Database!$A$1:$AS$1,),))))</f>
        <v>7.419620772878722E-3</v>
      </c>
      <c r="J200" s="13">
        <f>((((VLOOKUP(B200,Database!$A:$AS,MATCH($J$1,Database!$A$1:$AS$1,),))))-(((VLOOKUP(EDATE(B200,-12),Database!$A:$AS,MATCH($J$1,Database!$A$1:$AS$1,),)))))/(((VLOOKUP(EDATE(B200,-12),Database!$A:$AS,MATCH($J$1,Database!$A$1:$AS$1,),))))</f>
        <v>3.4800667835329042E-2</v>
      </c>
      <c r="K200" s="13">
        <f>((((VLOOKUP(B200,Database!$A:$AS,MATCH($K$1,Database!$A$1:$AS$1,),))))-(((VLOOKUP(EDATE(B200,-12),Database!$A:$AS,MATCH($K$1,Database!$A$1:$AS$1,),)))))/(((VLOOKUP(EDATE(B200,-12),Database!$A:$AS,MATCH($K$1,Database!$A$1:$AS$1,),))))</f>
        <v>5.4211035812467723E-2</v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>4.2976425337426939E-2</v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>5.6136478289473941E-2</v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>0.13058991457000266</v>
      </c>
      <c r="O200" s="13">
        <f>((((VLOOKUP(B200,Database!$A:$AS,MATCH($O$1,Database!$A$1:$AS$1,),))))-(((VLOOKUP(EDATE(B200,-12),Database!$A:$AS,MATCH($O$1,Database!$A$1:$AS$1,),)))))/(((VLOOKUP(EDATE(B200,-12),Database!$A:$AS,MATCH($O$1,Database!$A$1:$AS$1,),))))</f>
        <v>2.534229053290251E-2</v>
      </c>
      <c r="P200" s="13">
        <f>((((VLOOKUP(B200,Database!$A:$AS,MATCH($P$1,Database!$A$1:$AS$1,),))))-(((VLOOKUP(EDATE(B200,-12),Database!$A:$AS,MATCH($P$1,Database!$A$1:$AS$1,),)))))/(((VLOOKUP(EDATE(B200,-12),Database!$A:$AS,MATCH($P$1,Database!$A$1:$AS$1,),))))</f>
        <v>8.7867774318074771E-2</v>
      </c>
      <c r="Q200" s="13">
        <f>((((VLOOKUP(B200,Database!$A:$AS,MATCH($Q$1,Database!$A$1:$AS$1,),))))-(((VLOOKUP(EDATE(B200,-12),Database!$A:$AS,MATCH($Q$1,Database!$A$1:$AS$1,),)))))/(((VLOOKUP(EDATE(B200,-12),Database!$A:$AS,MATCH($Q$1,Database!$A$1:$AS$1,),))))</f>
        <v>8.6206896558473911E-2</v>
      </c>
      <c r="R200" s="13">
        <f>((((VLOOKUP(B200,Database!$A:$AS,MATCH($R$1,Database!$A$1:$AS$1,),))))-(((VLOOKUP(EDATE(B200,-12),Database!$A:$AS,MATCH($R$1,Database!$A$1:$AS$1,),)))))/(((VLOOKUP(EDATE(B200,-12),Database!$A:$AS,MATCH($R$1,Database!$A$1:$AS$1,),))))</f>
        <v>-6.854009596587142E-3</v>
      </c>
      <c r="S200" s="13">
        <f>((((VLOOKUP(B200,Database!$A:$AS,MATCH($S$1,Database!$A$1:$AS$1,),))))-(((VLOOKUP(EDATE(B200,-12),Database!$A:$AS,MATCH($S$1,Database!$A$1:$AS$1,),)))))/(((VLOOKUP(EDATE(B200,-12),Database!$A:$AS,MATCH($S$1,Database!$A$1:$AS$1,),))))</f>
        <v>6.1878453036843271E-2</v>
      </c>
      <c r="T200" s="13">
        <f>((((VLOOKUP(B200,Database!$A:$AS,MATCH($T$1,Database!$A$1:$AS$1,),))))-(((VLOOKUP(EDATE(B200,-12),Database!$A:$AS,MATCH($T$1,Database!$A$1:$AS$1,),)))))/(((VLOOKUP(EDATE(B200,-12),Database!$A:$AS,MATCH($T$1,Database!$A$1:$AS$1,),))))</f>
        <v>5.8585858576022096E-2</v>
      </c>
      <c r="U200" s="13">
        <f>((((VLOOKUP(B200,Database!$A:$AS,MATCH($U$1,Database!$A$1:$AS$1,),))))-(((VLOOKUP(EDATE(B200,-12),Database!$A:$AS,MATCH($U$1,Database!$A$1:$AS$1,),)))))/(((VLOOKUP(EDATE(B200,-12),Database!$A:$AS,MATCH($U$1,Database!$A$1:$AS$1,),))))</f>
        <v>8.5434173672979577E-2</v>
      </c>
      <c r="V200" s="13">
        <f>((((VLOOKUP(B200,Database!$A:$AS,MATCH($V$1,Database!$A$1:$AS$1,),))))-(((VLOOKUP(EDATE(B200,-12),Database!$A:$AS,MATCH($V$1,Database!$A$1:$AS$1,),)))))/(((VLOOKUP(EDATE(B200,-12),Database!$A:$AS,MATCH($V$1,Database!$A$1:$AS$1,),))))</f>
        <v>9.8148148148148096E-2</v>
      </c>
    </row>
    <row r="201" spans="1:22" s="83" customFormat="1" x14ac:dyDescent="0.2">
      <c r="A201" s="43"/>
      <c r="B201" s="78">
        <v>38261</v>
      </c>
      <c r="C201" s="13">
        <f>((((VLOOKUP(B201,Database!$A:$AS,MATCH($C$1,Database!$A$1:$AS$1,),))))-(((VLOOKUP(EDATE(B201,-12),Database!$A:$AS,MATCH($C$1,Database!$A$1:$AS$1,),)))))/(((VLOOKUP(EDATE(B201,-12),Database!$A:$AS,MATCH($C$1,Database!$A$1:$AS$1,),))))</f>
        <v>3.3399754956587438E-2</v>
      </c>
      <c r="D201" s="13">
        <f>((((VLOOKUP(B201,Database!$A:$AS,MATCH($D$1,Database!$A$1:$AS$1,),))))-(((VLOOKUP(EDATE(B201,-12),Database!$A:$AS,MATCH($D$1,Database!$A$1:$AS$1,),)))))/(((VLOOKUP(EDATE(B201,-12),Database!$A:$AS,MATCH($D$1,Database!$A$1:$AS$1,),))))</f>
        <v>1.8595041322314022E-2</v>
      </c>
      <c r="E201" s="13">
        <f>((((VLOOKUP(B201,Database!$A:$AS,MATCH($E$1,Database!$A$1:$AS$1,),))))-(((VLOOKUP(EDATE(B201,-12),Database!$A:$AS,MATCH($E$1,Database!$A$1:$AS$1,),)))))/(((VLOOKUP(EDATE(B201,-12),Database!$A:$AS,MATCH($E$1,Database!$A$1:$AS$1,),))))</f>
        <v>1.3499480791144951E-2</v>
      </c>
      <c r="F201" s="13">
        <f>((((VLOOKUP(B201,Database!$A:$AS,MATCH($F$1,Database!$A$1:$AS$1,),))))-(((VLOOKUP(EDATE(B201,-12),Database!$A:$AS,MATCH($F$1,Database!$A$1:$AS$1,),)))))/(((VLOOKUP(EDATE(B201,-12),Database!$A:$AS,MATCH($F$1,Database!$A$1:$AS$1,),))))</f>
        <v>3.5891089102967295E-2</v>
      </c>
      <c r="G201" s="13">
        <f>((((VLOOKUP(B201,Database!$A:$AS,MATCH($G$1,Database!$A$1:$AS$1,),))))-(((VLOOKUP(EDATE(B201,-12),Database!$A:$AS,MATCH($G$1,Database!$A$1:$AS$1,),)))))/(((VLOOKUP(EDATE(B201,-12),Database!$A:$AS,MATCH($G$1,Database!$A$1:$AS$1,),))))</f>
        <v>1.4197306152166021E-2</v>
      </c>
      <c r="H201" s="13">
        <f>((((VLOOKUP(B201,Database!$A:$AS,MATCH($H$1,Database!$A$1:$AS$1,),))))-(((VLOOKUP(EDATE(B201,-12),Database!$A:$AS,MATCH($H$1,Database!$A$1:$AS$1,),)))))/(((VLOOKUP(EDATE(B201,-12),Database!$A:$AS,MATCH($H$1,Database!$A$1:$AS$1,),))))</f>
        <v>-2.2308438407728046E-2</v>
      </c>
      <c r="I201" s="13">
        <f>((((VLOOKUP(B201,Database!$A:$AS,MATCH($I$1,Database!$A$1:$AS$1,),))))-(((VLOOKUP(EDATE(B201,-12),Database!$A:$AS,MATCH($I$1,Database!$A$1:$AS$1,),)))))/(((VLOOKUP(EDATE(B201,-12),Database!$A:$AS,MATCH($I$1,Database!$A$1:$AS$1,),))))</f>
        <v>4.8939641095592746E-3</v>
      </c>
      <c r="J201" s="13">
        <f>((((VLOOKUP(B201,Database!$A:$AS,MATCH($J$1,Database!$A$1:$AS$1,),))))-(((VLOOKUP(EDATE(B201,-12),Database!$A:$AS,MATCH($J$1,Database!$A$1:$AS$1,),)))))/(((VLOOKUP(EDATE(B201,-12),Database!$A:$AS,MATCH($J$1,Database!$A$1:$AS$1,),))))</f>
        <v>3.7369624643716734E-3</v>
      </c>
      <c r="K201" s="13">
        <f>((((VLOOKUP(B201,Database!$A:$AS,MATCH($K$1,Database!$A$1:$AS$1,),))))-(((VLOOKUP(EDATE(B201,-12),Database!$A:$AS,MATCH($K$1,Database!$A$1:$AS$1,),)))))/(((VLOOKUP(EDATE(B201,-12),Database!$A:$AS,MATCH($K$1,Database!$A$1:$AS$1,),))))</f>
        <v>5.7337220596086265E-2</v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>4.5161897574333115E-2</v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>6.4515070798775651E-2</v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>0.13852888080428805</v>
      </c>
      <c r="O201" s="13">
        <f>((((VLOOKUP(B201,Database!$A:$AS,MATCH($O$1,Database!$A$1:$AS$1,),))))-(((VLOOKUP(EDATE(B201,-12),Database!$A:$AS,MATCH($O$1,Database!$A$1:$AS$1,),)))))/(((VLOOKUP(EDATE(B201,-12),Database!$A:$AS,MATCH($O$1,Database!$A$1:$AS$1,),))))</f>
        <v>1.8619492130600962E-2</v>
      </c>
      <c r="P201" s="13">
        <f>((((VLOOKUP(B201,Database!$A:$AS,MATCH($P$1,Database!$A$1:$AS$1,),))))-(((VLOOKUP(EDATE(B201,-12),Database!$A:$AS,MATCH($P$1,Database!$A$1:$AS$1,),)))))/(((VLOOKUP(EDATE(B201,-12),Database!$A:$AS,MATCH($P$1,Database!$A$1:$AS$1,),))))</f>
        <v>6.1550151987554057E-2</v>
      </c>
      <c r="Q201" s="13">
        <f>((((VLOOKUP(B201,Database!$A:$AS,MATCH($Q$1,Database!$A$1:$AS$1,),))))-(((VLOOKUP(EDATE(B201,-12),Database!$A:$AS,MATCH($Q$1,Database!$A$1:$AS$1,),)))))/(((VLOOKUP(EDATE(B201,-12),Database!$A:$AS,MATCH($Q$1,Database!$A$1:$AS$1,),))))</f>
        <v>7.23039215669906E-2</v>
      </c>
      <c r="R201" s="13">
        <f>((((VLOOKUP(B201,Database!$A:$AS,MATCH($R$1,Database!$A$1:$AS$1,),))))-(((VLOOKUP(EDATE(B201,-12),Database!$A:$AS,MATCH($R$1,Database!$A$1:$AS$1,),)))))/(((VLOOKUP(EDATE(B201,-12),Database!$A:$AS,MATCH($R$1,Database!$A$1:$AS$1,),))))</f>
        <v>-4.3478260869565098E-2</v>
      </c>
      <c r="S201" s="13">
        <f>((((VLOOKUP(B201,Database!$A:$AS,MATCH($S$1,Database!$A$1:$AS$1,),))))-(((VLOOKUP(EDATE(B201,-12),Database!$A:$AS,MATCH($S$1,Database!$A$1:$AS$1,),)))))/(((VLOOKUP(EDATE(B201,-12),Database!$A:$AS,MATCH($S$1,Database!$A$1:$AS$1,),))))</f>
        <v>-6.2862669237895574E-2</v>
      </c>
      <c r="T201" s="13">
        <f>((((VLOOKUP(B201,Database!$A:$AS,MATCH($T$1,Database!$A$1:$AS$1,),))))-(((VLOOKUP(EDATE(B201,-12),Database!$A:$AS,MATCH($T$1,Database!$A$1:$AS$1,),)))))/(((VLOOKUP(EDATE(B201,-12),Database!$A:$AS,MATCH($T$1,Database!$A$1:$AS$1,),))))</f>
        <v>3.2653061228988249E-2</v>
      </c>
      <c r="U201" s="13">
        <f>((((VLOOKUP(B201,Database!$A:$AS,MATCH($U$1,Database!$A$1:$AS$1,),))))-(((VLOOKUP(EDATE(B201,-12),Database!$A:$AS,MATCH($U$1,Database!$A$1:$AS$1,),)))))/(((VLOOKUP(EDATE(B201,-12),Database!$A:$AS,MATCH($U$1,Database!$A$1:$AS$1,),))))</f>
        <v>9.0529247922678607E-2</v>
      </c>
      <c r="V201" s="13">
        <f>((((VLOOKUP(B201,Database!$A:$AS,MATCH($V$1,Database!$A$1:$AS$1,),))))-(((VLOOKUP(EDATE(B201,-12),Database!$A:$AS,MATCH($V$1,Database!$A$1:$AS$1,),)))))/(((VLOOKUP(EDATE(B201,-12),Database!$A:$AS,MATCH($V$1,Database!$A$1:$AS$1,),))))</f>
        <v>8.5144927536231804E-2</v>
      </c>
    </row>
    <row r="202" spans="1:22" s="83" customFormat="1" x14ac:dyDescent="0.2">
      <c r="A202" s="43"/>
      <c r="B202" s="78">
        <v>38292</v>
      </c>
      <c r="C202" s="13">
        <f>((((VLOOKUP(B202,Database!$A:$AS,MATCH($C$1,Database!$A$1:$AS$1,),))))-(((VLOOKUP(EDATE(B202,-12),Database!$A:$AS,MATCH($C$1,Database!$A$1:$AS$1,),)))))/(((VLOOKUP(EDATE(B202,-12),Database!$A:$AS,MATCH($C$1,Database!$A$1:$AS$1,),))))</f>
        <v>2.9100004870429859E-2</v>
      </c>
      <c r="D202" s="13">
        <f>((((VLOOKUP(B202,Database!$A:$AS,MATCH($D$1,Database!$A$1:$AS$1,),))))-(((VLOOKUP(EDATE(B202,-12),Database!$A:$AS,MATCH($D$1,Database!$A$1:$AS$1,),)))))/(((VLOOKUP(EDATE(B202,-12),Database!$A:$AS,MATCH($D$1,Database!$A$1:$AS$1,),))))</f>
        <v>9.3264248704663794E-3</v>
      </c>
      <c r="E202" s="13">
        <f>((((VLOOKUP(B202,Database!$A:$AS,MATCH($E$1,Database!$A$1:$AS$1,),))))-(((VLOOKUP(EDATE(B202,-12),Database!$A:$AS,MATCH($E$1,Database!$A$1:$AS$1,),)))))/(((VLOOKUP(EDATE(B202,-12),Database!$A:$AS,MATCH($E$1,Database!$A$1:$AS$1,),))))</f>
        <v>2.3834196896853083E-2</v>
      </c>
      <c r="F202" s="13">
        <f>((((VLOOKUP(B202,Database!$A:$AS,MATCH($F$1,Database!$A$1:$AS$1,),))))-(((VLOOKUP(EDATE(B202,-12),Database!$A:$AS,MATCH($F$1,Database!$A$1:$AS$1,),)))))/(((VLOOKUP(EDATE(B202,-12),Database!$A:$AS,MATCH($F$1,Database!$A$1:$AS$1,),))))</f>
        <v>8.5784313660456288E-3</v>
      </c>
      <c r="G202" s="13">
        <f>((((VLOOKUP(B202,Database!$A:$AS,MATCH($G$1,Database!$A$1:$AS$1,),))))-(((VLOOKUP(EDATE(B202,-12),Database!$A:$AS,MATCH($G$1,Database!$A$1:$AS$1,),)))))/(((VLOOKUP(EDATE(B202,-12),Database!$A:$AS,MATCH($G$1,Database!$A$1:$AS$1,),))))</f>
        <v>1.7076566125290054E-2</v>
      </c>
      <c r="H202" s="13">
        <f>((((VLOOKUP(B202,Database!$A:$AS,MATCH($H$1,Database!$A$1:$AS$1,),))))-(((VLOOKUP(EDATE(B202,-12),Database!$A:$AS,MATCH($H$1,Database!$A$1:$AS$1,),)))))/(((VLOOKUP(EDATE(B202,-12),Database!$A:$AS,MATCH($H$1,Database!$A$1:$AS$1,),))))</f>
        <v>1.8018018017514879E-2</v>
      </c>
      <c r="I202" s="13">
        <f>((((VLOOKUP(B202,Database!$A:$AS,MATCH($I$1,Database!$A$1:$AS$1,),))))-(((VLOOKUP(EDATE(B202,-12),Database!$A:$AS,MATCH($I$1,Database!$A$1:$AS$1,),)))))/(((VLOOKUP(EDATE(B202,-12),Database!$A:$AS,MATCH($I$1,Database!$A$1:$AS$1,),))))</f>
        <v>-2.2580645160353706E-2</v>
      </c>
      <c r="J202" s="13">
        <f>((((VLOOKUP(B202,Database!$A:$AS,MATCH($J$1,Database!$A$1:$AS$1,),))))-(((VLOOKUP(EDATE(B202,-12),Database!$A:$AS,MATCH($J$1,Database!$A$1:$AS$1,),)))))/(((VLOOKUP(EDATE(B202,-12),Database!$A:$AS,MATCH($J$1,Database!$A$1:$AS$1,),))))</f>
        <v>2.0069899171092174E-2</v>
      </c>
      <c r="K202" s="13">
        <f>((((VLOOKUP(B202,Database!$A:$AS,MATCH($K$1,Database!$A$1:$AS$1,),))))-(((VLOOKUP(EDATE(B202,-12),Database!$A:$AS,MATCH($K$1,Database!$A$1:$AS$1,),)))))/(((VLOOKUP(EDATE(B202,-12),Database!$A:$AS,MATCH($K$1,Database!$A$1:$AS$1,),))))</f>
        <v>6.3291139232372326E-2</v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>4.298444083812953E-2</v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>8.3366180596664827E-2</v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>0.11018109339839974</v>
      </c>
      <c r="O202" s="13">
        <f>((((VLOOKUP(B202,Database!$A:$AS,MATCH($O$1,Database!$A$1:$AS$1,),))))-(((VLOOKUP(EDATE(B202,-12),Database!$A:$AS,MATCH($O$1,Database!$A$1:$AS$1,),)))))/(((VLOOKUP(EDATE(B202,-12),Database!$A:$AS,MATCH($O$1,Database!$A$1:$AS$1,),))))</f>
        <v>1.7888568721856405E-2</v>
      </c>
      <c r="P202" s="13">
        <f>((((VLOOKUP(B202,Database!$A:$AS,MATCH($P$1,Database!$A$1:$AS$1,),))))-(((VLOOKUP(EDATE(B202,-12),Database!$A:$AS,MATCH($P$1,Database!$A$1:$AS$1,),)))))/(((VLOOKUP(EDATE(B202,-12),Database!$A:$AS,MATCH($P$1,Database!$A$1:$AS$1,),))))</f>
        <v>7.7938944177339695E-2</v>
      </c>
      <c r="Q202" s="13">
        <f>((((VLOOKUP(B202,Database!$A:$AS,MATCH($Q$1,Database!$A$1:$AS$1,),))))-(((VLOOKUP(EDATE(B202,-12),Database!$A:$AS,MATCH($Q$1,Database!$A$1:$AS$1,),)))))/(((VLOOKUP(EDATE(B202,-12),Database!$A:$AS,MATCH($Q$1,Database!$A$1:$AS$1,),))))</f>
        <v>5.8111380146609694E-2</v>
      </c>
      <c r="R202" s="13">
        <f>((((VLOOKUP(B202,Database!$A:$AS,MATCH($R$1,Database!$A$1:$AS$1,),))))-(((VLOOKUP(EDATE(B202,-12),Database!$A:$AS,MATCH($R$1,Database!$A$1:$AS$1,),)))))/(((VLOOKUP(EDATE(B202,-12),Database!$A:$AS,MATCH($R$1,Database!$A$1:$AS$1,),))))</f>
        <v>1.197183098689854E-2</v>
      </c>
      <c r="S202" s="13">
        <f>((((VLOOKUP(B202,Database!$A:$AS,MATCH($S$1,Database!$A$1:$AS$1,),))))-(((VLOOKUP(EDATE(B202,-12),Database!$A:$AS,MATCH($S$1,Database!$A$1:$AS$1,),)))))/(((VLOOKUP(EDATE(B202,-12),Database!$A:$AS,MATCH($S$1,Database!$A$1:$AS$1,),))))</f>
        <v>-7.3500967110929252E-2</v>
      </c>
      <c r="T202" s="13">
        <f>((((VLOOKUP(B202,Database!$A:$AS,MATCH($T$1,Database!$A$1:$AS$1,),))))-(((VLOOKUP(EDATE(B202,-12),Database!$A:$AS,MATCH($T$1,Database!$A$1:$AS$1,),)))))/(((VLOOKUP(EDATE(B202,-12),Database!$A:$AS,MATCH($T$1,Database!$A$1:$AS$1,),))))</f>
        <v>4.3032786893980851E-2</v>
      </c>
      <c r="U202" s="13">
        <f>((((VLOOKUP(B202,Database!$A:$AS,MATCH($U$1,Database!$A$1:$AS$1,),))))-(((VLOOKUP(EDATE(B202,-12),Database!$A:$AS,MATCH($U$1,Database!$A$1:$AS$1,),)))))/(((VLOOKUP(EDATE(B202,-12),Database!$A:$AS,MATCH($U$1,Database!$A$1:$AS$1,),))))</f>
        <v>7.692307691990645E-2</v>
      </c>
      <c r="V202" s="13">
        <f>((((VLOOKUP(B202,Database!$A:$AS,MATCH($V$1,Database!$A$1:$AS$1,),))))-(((VLOOKUP(EDATE(B202,-12),Database!$A:$AS,MATCH($V$1,Database!$A$1:$AS$1,),)))))/(((VLOOKUP(EDATE(B202,-12),Database!$A:$AS,MATCH($V$1,Database!$A$1:$AS$1,),))))</f>
        <v>8.8447653429602868E-2</v>
      </c>
    </row>
    <row r="203" spans="1:22" s="83" customFormat="1" x14ac:dyDescent="0.2">
      <c r="A203" s="43"/>
      <c r="B203" s="78">
        <v>38322</v>
      </c>
      <c r="C203" s="13">
        <f>((((VLOOKUP(B203,Database!$A:$AS,MATCH($C$1,Database!$A$1:$AS$1,),))))-(((VLOOKUP(EDATE(B203,-12),Database!$A:$AS,MATCH($C$1,Database!$A$1:$AS$1,),)))))/(((VLOOKUP(EDATE(B203,-12),Database!$A:$AS,MATCH($C$1,Database!$A$1:$AS$1,),))))</f>
        <v>3.6161594080299085E-2</v>
      </c>
      <c r="D203" s="13">
        <f>((((VLOOKUP(B203,Database!$A:$AS,MATCH($D$1,Database!$A$1:$AS$1,),))))-(((VLOOKUP(EDATE(B203,-12),Database!$A:$AS,MATCH($D$1,Database!$A$1:$AS$1,),)))))/(((VLOOKUP(EDATE(B203,-12),Database!$A:$AS,MATCH($D$1,Database!$A$1:$AS$1,),))))</f>
        <v>7.2314049586777156E-3</v>
      </c>
      <c r="E203" s="13">
        <f>((((VLOOKUP(B203,Database!$A:$AS,MATCH($E$1,Database!$A$1:$AS$1,),))))-(((VLOOKUP(EDATE(B203,-12),Database!$A:$AS,MATCH($E$1,Database!$A$1:$AS$1,),)))))/(((VLOOKUP(EDATE(B203,-12),Database!$A:$AS,MATCH($E$1,Database!$A$1:$AS$1,),))))</f>
        <v>1.351351351545229E-2</v>
      </c>
      <c r="F203" s="13">
        <f>((((VLOOKUP(B203,Database!$A:$AS,MATCH($F$1,Database!$A$1:$AS$1,),))))-(((VLOOKUP(EDATE(B203,-12),Database!$A:$AS,MATCH($F$1,Database!$A$1:$AS$1,),)))))/(((VLOOKUP(EDATE(B203,-12),Database!$A:$AS,MATCH($F$1,Database!$A$1:$AS$1,),))))</f>
        <v>-1.2195121907195869E-3</v>
      </c>
      <c r="G203" s="13">
        <f>((((VLOOKUP(B203,Database!$A:$AS,MATCH($G$1,Database!$A$1:$AS$1,),))))-(((VLOOKUP(EDATE(B203,-12),Database!$A:$AS,MATCH($G$1,Database!$A$1:$AS$1,),)))))/(((VLOOKUP(EDATE(B203,-12),Database!$A:$AS,MATCH($G$1,Database!$A$1:$AS$1,),))))</f>
        <v>1.3099630996309846E-2</v>
      </c>
      <c r="H203" s="13">
        <f>((((VLOOKUP(B203,Database!$A:$AS,MATCH($H$1,Database!$A$1:$AS$1,),))))-(((VLOOKUP(EDATE(B203,-12),Database!$A:$AS,MATCH($H$1,Database!$A$1:$AS$1,),)))))/(((VLOOKUP(EDATE(B203,-12),Database!$A:$AS,MATCH($H$1,Database!$A$1:$AS$1,),))))</f>
        <v>3.437499999588349E-2</v>
      </c>
      <c r="I203" s="13">
        <f>((((VLOOKUP(B203,Database!$A:$AS,MATCH($I$1,Database!$A$1:$AS$1,),))))-(((VLOOKUP(EDATE(B203,-12),Database!$A:$AS,MATCH($I$1,Database!$A$1:$AS$1,),)))))/(((VLOOKUP(EDATE(B203,-12),Database!$A:$AS,MATCH($I$1,Database!$A$1:$AS$1,),))))</f>
        <v>-3.062046736730091E-2</v>
      </c>
      <c r="J203" s="13">
        <f>((((VLOOKUP(B203,Database!$A:$AS,MATCH($J$1,Database!$A$1:$AS$1,),))))-(((VLOOKUP(EDATE(B203,-12),Database!$A:$AS,MATCH($J$1,Database!$A$1:$AS$1,),)))))/(((VLOOKUP(EDATE(B203,-12),Database!$A:$AS,MATCH($J$1,Database!$A$1:$AS$1,),))))</f>
        <v>5.7110454007780727E-3</v>
      </c>
      <c r="K203" s="13">
        <f>((((VLOOKUP(B203,Database!$A:$AS,MATCH($K$1,Database!$A$1:$AS$1,),))))-(((VLOOKUP(EDATE(B203,-12),Database!$A:$AS,MATCH($K$1,Database!$A$1:$AS$1,),)))))/(((VLOOKUP(EDATE(B203,-12),Database!$A:$AS,MATCH($K$1,Database!$A$1:$AS$1,),))))</f>
        <v>9.5238095211788482E-4</v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>2.313304636804631E-2</v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>6.4761159852563185E-2</v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>0.12411088366807448</v>
      </c>
      <c r="O203" s="13">
        <f>((((VLOOKUP(B203,Database!$A:$AS,MATCH($O$1,Database!$A$1:$AS$1,),))))-(((VLOOKUP(EDATE(B203,-12),Database!$A:$AS,MATCH($O$1,Database!$A$1:$AS$1,),)))))/(((VLOOKUP(EDATE(B203,-12),Database!$A:$AS,MATCH($O$1,Database!$A$1:$AS$1,),))))</f>
        <v>1.6407951692846114E-2</v>
      </c>
      <c r="P203" s="13">
        <f>((((VLOOKUP(B203,Database!$A:$AS,MATCH($P$1,Database!$A$1:$AS$1,),))))-(((VLOOKUP(EDATE(B203,-12),Database!$A:$AS,MATCH($P$1,Database!$A$1:$AS$1,),)))))/(((VLOOKUP(EDATE(B203,-12),Database!$A:$AS,MATCH($P$1,Database!$A$1:$AS$1,),))))</f>
        <v>4.193159484887253E-2</v>
      </c>
      <c r="Q203" s="13">
        <f>((((VLOOKUP(B203,Database!$A:$AS,MATCH($Q$1,Database!$A$1:$AS$1,),))))-(((VLOOKUP(EDATE(B203,-12),Database!$A:$AS,MATCH($Q$1,Database!$A$1:$AS$1,),)))))/(((VLOOKUP(EDATE(B203,-12),Database!$A:$AS,MATCH($Q$1,Database!$A$1:$AS$1,),))))</f>
        <v>8.8669950741065137E-2</v>
      </c>
      <c r="R203" s="13">
        <f>((((VLOOKUP(B203,Database!$A:$AS,MATCH($R$1,Database!$A$1:$AS$1,),))))-(((VLOOKUP(EDATE(B203,-12),Database!$A:$AS,MATCH($R$1,Database!$A$1:$AS$1,),)))))/(((VLOOKUP(EDATE(B203,-12),Database!$A:$AS,MATCH($R$1,Database!$A$1:$AS$1,),))))</f>
        <v>-3.4013605440230965E-2</v>
      </c>
      <c r="S203" s="13">
        <f>((((VLOOKUP(B203,Database!$A:$AS,MATCH($S$1,Database!$A$1:$AS$1,),))))-(((VLOOKUP(EDATE(B203,-12),Database!$A:$AS,MATCH($S$1,Database!$A$1:$AS$1,),)))))/(((VLOOKUP(EDATE(B203,-12),Database!$A:$AS,MATCH($S$1,Database!$A$1:$AS$1,),))))</f>
        <v>1.2244897955184252E-2</v>
      </c>
      <c r="T203" s="13">
        <f>((((VLOOKUP(B203,Database!$A:$AS,MATCH($T$1,Database!$A$1:$AS$1,),))))-(((VLOOKUP(EDATE(B203,-12),Database!$A:$AS,MATCH($T$1,Database!$A$1:$AS$1,),)))))/(((VLOOKUP(EDATE(B203,-12),Database!$A:$AS,MATCH($T$1,Database!$A$1:$AS$1,),))))</f>
        <v>4.225352113554641E-2</v>
      </c>
      <c r="U203" s="13">
        <f>((((VLOOKUP(B203,Database!$A:$AS,MATCH($U$1,Database!$A$1:$AS$1,),))))-(((VLOOKUP(EDATE(B203,-12),Database!$A:$AS,MATCH($U$1,Database!$A$1:$AS$1,),)))))/(((VLOOKUP(EDATE(B203,-12),Database!$A:$AS,MATCH($U$1,Database!$A$1:$AS$1,),))))</f>
        <v>4.1610738262926585E-2</v>
      </c>
      <c r="V203" s="13">
        <f>((((VLOOKUP(B203,Database!$A:$AS,MATCH($V$1,Database!$A$1:$AS$1,),))))-(((VLOOKUP(EDATE(B203,-12),Database!$A:$AS,MATCH($V$1,Database!$A$1:$AS$1,),)))))/(((VLOOKUP(EDATE(B203,-12),Database!$A:$AS,MATCH($V$1,Database!$A$1:$AS$1,),))))</f>
        <v>2.2927689594356211E-2</v>
      </c>
    </row>
    <row r="204" spans="1:22" s="83" customFormat="1" x14ac:dyDescent="0.2">
      <c r="A204" s="43"/>
      <c r="B204" s="78">
        <v>38353</v>
      </c>
      <c r="C204" s="13">
        <f>((((VLOOKUP(B204,Database!$A:$AS,MATCH($C$1,Database!$A$1:$AS$1,),))))-(((VLOOKUP(EDATE(B204,-12),Database!$A:$AS,MATCH($C$1,Database!$A$1:$AS$1,),)))))/(((VLOOKUP(EDATE(B204,-12),Database!$A:$AS,MATCH($C$1,Database!$A$1:$AS$1,),))))</f>
        <v>3.8374405688773108E-2</v>
      </c>
      <c r="D204" s="13">
        <f>((((VLOOKUP(B204,Database!$A:$AS,MATCH($D$1,Database!$A$1:$AS$1,),))))-(((VLOOKUP(EDATE(B204,-12),Database!$A:$AS,MATCH($D$1,Database!$A$1:$AS$1,),)))))/(((VLOOKUP(EDATE(B204,-12),Database!$A:$AS,MATCH($D$1,Database!$A$1:$AS$1,),))))</f>
        <v>1.6546018614270883E-2</v>
      </c>
      <c r="E204" s="13">
        <f>((((VLOOKUP(B204,Database!$A:$AS,MATCH($E$1,Database!$A$1:$AS$1,),))))-(((VLOOKUP(EDATE(B204,-12),Database!$A:$AS,MATCH($E$1,Database!$A$1:$AS$1,),)))))/(((VLOOKUP(EDATE(B204,-12),Database!$A:$AS,MATCH($E$1,Database!$A$1:$AS$1,),))))</f>
        <v>1.9407558731855814E-2</v>
      </c>
      <c r="F204" s="13">
        <f>((((VLOOKUP(B204,Database!$A:$AS,MATCH($F$1,Database!$A$1:$AS$1,),))))-(((VLOOKUP(EDATE(B204,-12),Database!$A:$AS,MATCH($F$1,Database!$A$1:$AS$1,),)))))/(((VLOOKUP(EDATE(B204,-12),Database!$A:$AS,MATCH($F$1,Database!$A$1:$AS$1,),))))</f>
        <v>3.8130381301225647E-2</v>
      </c>
      <c r="G204" s="13">
        <f>((((VLOOKUP(B204,Database!$A:$AS,MATCH($G$1,Database!$A$1:$AS$1,),))))-(((VLOOKUP(EDATE(B204,-12),Database!$A:$AS,MATCH($G$1,Database!$A$1:$AS$1,),)))))/(((VLOOKUP(EDATE(B204,-12),Database!$A:$AS,MATCH($G$1,Database!$A$1:$AS$1,),))))</f>
        <v>2.3098075160403395E-2</v>
      </c>
      <c r="H204" s="13">
        <f>((((VLOOKUP(B204,Database!$A:$AS,MATCH($H$1,Database!$A$1:$AS$1,),))))-(((VLOOKUP(EDATE(B204,-12),Database!$A:$AS,MATCH($H$1,Database!$A$1:$AS$1,),)))))/(((VLOOKUP(EDATE(B204,-12),Database!$A:$AS,MATCH($H$1,Database!$A$1:$AS$1,),))))</f>
        <v>4.0860215058364777E-2</v>
      </c>
      <c r="I204" s="13">
        <f>((((VLOOKUP(B204,Database!$A:$AS,MATCH($I$1,Database!$A$1:$AS$1,),))))-(((VLOOKUP(EDATE(B204,-12),Database!$A:$AS,MATCH($I$1,Database!$A$1:$AS$1,),)))))/(((VLOOKUP(EDATE(B204,-12),Database!$A:$AS,MATCH($I$1,Database!$A$1:$AS$1,),))))</f>
        <v>-2.9814665589387605E-2</v>
      </c>
      <c r="J204" s="13">
        <f>((((VLOOKUP(B204,Database!$A:$AS,MATCH($J$1,Database!$A$1:$AS$1,),))))-(((VLOOKUP(EDATE(B204,-12),Database!$A:$AS,MATCH($J$1,Database!$A$1:$AS$1,),)))))/(((VLOOKUP(EDATE(B204,-12),Database!$A:$AS,MATCH($J$1,Database!$A$1:$AS$1,),))))</f>
        <v>8.7052110064053147E-3</v>
      </c>
      <c r="K204" s="13">
        <f>((((VLOOKUP(B204,Database!$A:$AS,MATCH($K$1,Database!$A$1:$AS$1,),))))-(((VLOOKUP(EDATE(B204,-12),Database!$A:$AS,MATCH($K$1,Database!$A$1:$AS$1,),)))))/(((VLOOKUP(EDATE(B204,-12),Database!$A:$AS,MATCH($K$1,Database!$A$1:$AS$1,),))))</f>
        <v>-5.6390977521687761E-3</v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>2.954590855534487E-2</v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>4.9175316378111331E-2</v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>0.10696191797059573</v>
      </c>
      <c r="O204" s="13">
        <f>((((VLOOKUP(B204,Database!$A:$AS,MATCH($O$1,Database!$A$1:$AS$1,),))))-(((VLOOKUP(EDATE(B204,-12),Database!$A:$AS,MATCH($O$1,Database!$A$1:$AS$1,),)))))/(((VLOOKUP(EDATE(B204,-12),Database!$A:$AS,MATCH($O$1,Database!$A$1:$AS$1,),))))</f>
        <v>3.3746688040397932E-2</v>
      </c>
      <c r="P204" s="13">
        <f>((((VLOOKUP(B204,Database!$A:$AS,MATCH($P$1,Database!$A$1:$AS$1,),))))-(((VLOOKUP(EDATE(B204,-12),Database!$A:$AS,MATCH($P$1,Database!$A$1:$AS$1,),)))))/(((VLOOKUP(EDATE(B204,-12),Database!$A:$AS,MATCH($P$1,Database!$A$1:$AS$1,),))))</f>
        <v>7.6626570085880932E-2</v>
      </c>
      <c r="Q204" s="13">
        <f>((((VLOOKUP(B204,Database!$A:$AS,MATCH($Q$1,Database!$A$1:$AS$1,),))))-(((VLOOKUP(EDATE(B204,-12),Database!$A:$AS,MATCH($Q$1,Database!$A$1:$AS$1,),)))))/(((VLOOKUP(EDATE(B204,-12),Database!$A:$AS,MATCH($Q$1,Database!$A$1:$AS$1,),))))</f>
        <v>7.2551390575636462E-2</v>
      </c>
      <c r="R204" s="13">
        <f>((((VLOOKUP(B204,Database!$A:$AS,MATCH($R$1,Database!$A$1:$AS$1,),))))-(((VLOOKUP(EDATE(B204,-12),Database!$A:$AS,MATCH($R$1,Database!$A$1:$AS$1,),)))))/(((VLOOKUP(EDATE(B204,-12),Database!$A:$AS,MATCH($R$1,Database!$A$1:$AS$1,),))))</f>
        <v>1.6312056740615189E-2</v>
      </c>
      <c r="S204" s="13">
        <f>((((VLOOKUP(B204,Database!$A:$AS,MATCH($S$1,Database!$A$1:$AS$1,),))))-(((VLOOKUP(EDATE(B204,-12),Database!$A:$AS,MATCH($S$1,Database!$A$1:$AS$1,),)))))/(((VLOOKUP(EDATE(B204,-12),Database!$A:$AS,MATCH($S$1,Database!$A$1:$AS$1,),))))</f>
        <v>3.1982942447591638E-2</v>
      </c>
      <c r="T204" s="13">
        <f>((((VLOOKUP(B204,Database!$A:$AS,MATCH($T$1,Database!$A$1:$AS$1,),))))-(((VLOOKUP(EDATE(B204,-12),Database!$A:$AS,MATCH($T$1,Database!$A$1:$AS$1,),)))))/(((VLOOKUP(EDATE(B204,-12),Database!$A:$AS,MATCH($T$1,Database!$A$1:$AS$1,),))))</f>
        <v>0.19207920792161565</v>
      </c>
      <c r="U204" s="13">
        <f>((((VLOOKUP(B204,Database!$A:$AS,MATCH($U$1,Database!$A$1:$AS$1,),))))-(((VLOOKUP(EDATE(B204,-12),Database!$A:$AS,MATCH($U$1,Database!$A$1:$AS$1,),)))))/(((VLOOKUP(EDATE(B204,-12),Database!$A:$AS,MATCH($U$1,Database!$A$1:$AS$1,),))))</f>
        <v>3.8978494634460938E-2</v>
      </c>
      <c r="V204" s="13">
        <f>((((VLOOKUP(B204,Database!$A:$AS,MATCH($V$1,Database!$A$1:$AS$1,),))))-(((VLOOKUP(EDATE(B204,-12),Database!$A:$AS,MATCH($V$1,Database!$A$1:$AS$1,),)))))/(((VLOOKUP(EDATE(B204,-12),Database!$A:$AS,MATCH($V$1,Database!$A$1:$AS$1,),))))</f>
        <v>4.4905008635578607E-2</v>
      </c>
    </row>
    <row r="205" spans="1:22" s="83" customFormat="1" x14ac:dyDescent="0.2">
      <c r="A205" s="43"/>
      <c r="B205" s="78">
        <v>38384</v>
      </c>
      <c r="C205" s="13">
        <f>((((VLOOKUP(B205,Database!$A:$AS,MATCH($C$1,Database!$A$1:$AS$1,),))))-(((VLOOKUP(EDATE(B205,-12),Database!$A:$AS,MATCH($C$1,Database!$A$1:$AS$1,),)))))/(((VLOOKUP(EDATE(B205,-12),Database!$A:$AS,MATCH($C$1,Database!$A$1:$AS$1,),))))</f>
        <v>3.985427863807111E-2</v>
      </c>
      <c r="D205" s="13">
        <f>((((VLOOKUP(B205,Database!$A:$AS,MATCH($D$1,Database!$A$1:$AS$1,),))))-(((VLOOKUP(EDATE(B205,-12),Database!$A:$AS,MATCH($D$1,Database!$A$1:$AS$1,),)))))/(((VLOOKUP(EDATE(B205,-12),Database!$A:$AS,MATCH($D$1,Database!$A$1:$AS$1,),))))</f>
        <v>1.0298661174047374E-2</v>
      </c>
      <c r="E205" s="13">
        <f>((((VLOOKUP(B205,Database!$A:$AS,MATCH($E$1,Database!$A$1:$AS$1,),))))-(((VLOOKUP(EDATE(B205,-12),Database!$A:$AS,MATCH($E$1,Database!$A$1:$AS$1,),)))))/(((VLOOKUP(EDATE(B205,-12),Database!$A:$AS,MATCH($E$1,Database!$A$1:$AS$1,),))))</f>
        <v>2.254098360323474E-2</v>
      </c>
      <c r="F205" s="13">
        <f>((((VLOOKUP(B205,Database!$A:$AS,MATCH($F$1,Database!$A$1:$AS$1,),))))-(((VLOOKUP(EDATE(B205,-12),Database!$A:$AS,MATCH($F$1,Database!$A$1:$AS$1,),)))))/(((VLOOKUP(EDATE(B205,-12),Database!$A:$AS,MATCH($F$1,Database!$A$1:$AS$1,),))))</f>
        <v>1.7135862912422459E-2</v>
      </c>
      <c r="G205" s="13">
        <f>((((VLOOKUP(B205,Database!$A:$AS,MATCH($G$1,Database!$A$1:$AS$1,),))))-(((VLOOKUP(EDATE(B205,-12),Database!$A:$AS,MATCH($G$1,Database!$A$1:$AS$1,),)))))/(((VLOOKUP(EDATE(B205,-12),Database!$A:$AS,MATCH($G$1,Database!$A$1:$AS$1,),))))</f>
        <v>1.4520373899627606E-3</v>
      </c>
      <c r="H205" s="13">
        <f>((((VLOOKUP(B205,Database!$A:$AS,MATCH($H$1,Database!$A$1:$AS$1,),))))-(((VLOOKUP(EDATE(B205,-12),Database!$A:$AS,MATCH($H$1,Database!$A$1:$AS$1,),)))))/(((VLOOKUP(EDATE(B205,-12),Database!$A:$AS,MATCH($H$1,Database!$A$1:$AS$1,),))))</f>
        <v>1.0706638113158763E-2</v>
      </c>
      <c r="I205" s="13">
        <f>((((VLOOKUP(B205,Database!$A:$AS,MATCH($I$1,Database!$A$1:$AS$1,),))))-(((VLOOKUP(EDATE(B205,-12),Database!$A:$AS,MATCH($I$1,Database!$A$1:$AS$1,),)))))/(((VLOOKUP(EDATE(B205,-12),Database!$A:$AS,MATCH($I$1,Database!$A$1:$AS$1,),))))</f>
        <v>-2.2635408244801623E-2</v>
      </c>
      <c r="J205" s="13">
        <f>((((VLOOKUP(B205,Database!$A:$AS,MATCH($J$1,Database!$A$1:$AS$1,),))))-(((VLOOKUP(EDATE(B205,-12),Database!$A:$AS,MATCH($J$1,Database!$A$1:$AS$1,),)))))/(((VLOOKUP(EDATE(B205,-12),Database!$A:$AS,MATCH($J$1,Database!$A$1:$AS$1,),))))</f>
        <v>1.2091089971601987E-2</v>
      </c>
      <c r="K205" s="13">
        <f>((((VLOOKUP(B205,Database!$A:$AS,MATCH($K$1,Database!$A$1:$AS$1,),))))-(((VLOOKUP(EDATE(B205,-12),Database!$A:$AS,MATCH($K$1,Database!$A$1:$AS$1,),)))))/(((VLOOKUP(EDATE(B205,-12),Database!$A:$AS,MATCH($K$1,Database!$A$1:$AS$1,),))))</f>
        <v>3.7523452156419411E-2</v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>2.441541359537984E-2</v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>0.10136360077536451</v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>0.13783276734591457</v>
      </c>
      <c r="O205" s="13">
        <f>((((VLOOKUP(B205,Database!$A:$AS,MATCH($O$1,Database!$A$1:$AS$1,),))))-(((VLOOKUP(EDATE(B205,-12),Database!$A:$AS,MATCH($O$1,Database!$A$1:$AS$1,),)))))/(((VLOOKUP(EDATE(B205,-12),Database!$A:$AS,MATCH($O$1,Database!$A$1:$AS$1,),))))</f>
        <v>2.6848397122999312E-2</v>
      </c>
      <c r="P205" s="13">
        <f>((((VLOOKUP(B205,Database!$A:$AS,MATCH($P$1,Database!$A$1:$AS$1,),))))-(((VLOOKUP(EDATE(B205,-12),Database!$A:$AS,MATCH($P$1,Database!$A$1:$AS$1,),)))))/(((VLOOKUP(EDATE(B205,-12),Database!$A:$AS,MATCH($P$1,Database!$A$1:$AS$1,),))))</f>
        <v>8.964475881515022E-3</v>
      </c>
      <c r="Q205" s="13">
        <f>((((VLOOKUP(B205,Database!$A:$AS,MATCH($Q$1,Database!$A$1:$AS$1,),))))-(((VLOOKUP(EDATE(B205,-12),Database!$A:$AS,MATCH($Q$1,Database!$A$1:$AS$1,),)))))/(((VLOOKUP(EDATE(B205,-12),Database!$A:$AS,MATCH($Q$1,Database!$A$1:$AS$1,),))))</f>
        <v>4.0476190476164638E-2</v>
      </c>
      <c r="R205" s="13">
        <f>((((VLOOKUP(B205,Database!$A:$AS,MATCH($R$1,Database!$A$1:$AS$1,),))))-(((VLOOKUP(EDATE(B205,-12),Database!$A:$AS,MATCH($R$1,Database!$A$1:$AS$1,),)))))/(((VLOOKUP(EDATE(B205,-12),Database!$A:$AS,MATCH($R$1,Database!$A$1:$AS$1,),))))</f>
        <v>-4.1782729755297241E-3</v>
      </c>
      <c r="S205" s="13">
        <f>((((VLOOKUP(B205,Database!$A:$AS,MATCH($S$1,Database!$A$1:$AS$1,),))))-(((VLOOKUP(EDATE(B205,-12),Database!$A:$AS,MATCH($S$1,Database!$A$1:$AS$1,),)))))/(((VLOOKUP(EDATE(B205,-12),Database!$A:$AS,MATCH($S$1,Database!$A$1:$AS$1,),))))</f>
        <v>5.1633298223437242E-2</v>
      </c>
      <c r="T205" s="13">
        <f>((((VLOOKUP(B205,Database!$A:$AS,MATCH($T$1,Database!$A$1:$AS$1,),))))-(((VLOOKUP(EDATE(B205,-12),Database!$A:$AS,MATCH($T$1,Database!$A$1:$AS$1,),)))))/(((VLOOKUP(EDATE(B205,-12),Database!$A:$AS,MATCH($T$1,Database!$A$1:$AS$1,),))))</f>
        <v>0.13359528486087274</v>
      </c>
      <c r="U205" s="13">
        <f>((((VLOOKUP(B205,Database!$A:$AS,MATCH($U$1,Database!$A$1:$AS$1,),))))-(((VLOOKUP(EDATE(B205,-12),Database!$A:$AS,MATCH($U$1,Database!$A$1:$AS$1,),)))))/(((VLOOKUP(EDATE(B205,-12),Database!$A:$AS,MATCH($U$1,Database!$A$1:$AS$1,),))))</f>
        <v>7.8226857931567601E-3</v>
      </c>
      <c r="V205" s="13">
        <f>((((VLOOKUP(B205,Database!$A:$AS,MATCH($V$1,Database!$A$1:$AS$1,),))))-(((VLOOKUP(EDATE(B205,-12),Database!$A:$AS,MATCH($V$1,Database!$A$1:$AS$1,),)))))/(((VLOOKUP(EDATE(B205,-12),Database!$A:$AS,MATCH($V$1,Database!$A$1:$AS$1,),))))</f>
        <v>3.9586919104991347E-2</v>
      </c>
    </row>
    <row r="206" spans="1:22" s="83" customFormat="1" x14ac:dyDescent="0.2">
      <c r="A206" s="43"/>
      <c r="B206" s="78">
        <v>38412</v>
      </c>
      <c r="C206" s="13">
        <f>((((VLOOKUP(B206,Database!$A:$AS,MATCH($C$1,Database!$A$1:$AS$1,),))))-(((VLOOKUP(EDATE(B206,-12),Database!$A:$AS,MATCH($C$1,Database!$A$1:$AS$1,),)))))/(((VLOOKUP(EDATE(B206,-12),Database!$A:$AS,MATCH($C$1,Database!$A$1:$AS$1,),))))</f>
        <v>4.2400121628861802E-2</v>
      </c>
      <c r="D206" s="13">
        <f>((((VLOOKUP(B206,Database!$A:$AS,MATCH($D$1,Database!$A$1:$AS$1,),))))-(((VLOOKUP(EDATE(B206,-12),Database!$A:$AS,MATCH($D$1,Database!$A$1:$AS$1,),)))))/(((VLOOKUP(EDATE(B206,-12),Database!$A:$AS,MATCH($D$1,Database!$A$1:$AS$1,),))))</f>
        <v>1.1351909184726464E-2</v>
      </c>
      <c r="E206" s="13">
        <f>((((VLOOKUP(B206,Database!$A:$AS,MATCH($E$1,Database!$A$1:$AS$1,),))))-(((VLOOKUP(EDATE(B206,-12),Database!$A:$AS,MATCH($E$1,Database!$A$1:$AS$1,),)))))/(((VLOOKUP(EDATE(B206,-12),Database!$A:$AS,MATCH($E$1,Database!$A$1:$AS$1,),))))</f>
        <v>3.08959835140524E-2</v>
      </c>
      <c r="F206" s="13">
        <f>((((VLOOKUP(B206,Database!$A:$AS,MATCH($F$1,Database!$A$1:$AS$1,),))))-(((VLOOKUP(EDATE(B206,-12),Database!$A:$AS,MATCH($F$1,Database!$A$1:$AS$1,),)))))/(((VLOOKUP(EDATE(B206,-12),Database!$A:$AS,MATCH($F$1,Database!$A$1:$AS$1,),))))</f>
        <v>3.6945812810035575E-2</v>
      </c>
      <c r="G206" s="13">
        <f>((((VLOOKUP(B206,Database!$A:$AS,MATCH($G$1,Database!$A$1:$AS$1,),))))-(((VLOOKUP(EDATE(B206,-12),Database!$A:$AS,MATCH($G$1,Database!$A$1:$AS$1,),)))))/(((VLOOKUP(EDATE(B206,-12),Database!$A:$AS,MATCH($G$1,Database!$A$1:$AS$1,),))))</f>
        <v>-1.7026313393426244E-2</v>
      </c>
      <c r="H206" s="13">
        <f>((((VLOOKUP(B206,Database!$A:$AS,MATCH($H$1,Database!$A$1:$AS$1,),))))-(((VLOOKUP(EDATE(B206,-12),Database!$A:$AS,MATCH($H$1,Database!$A$1:$AS$1,),)))))/(((VLOOKUP(EDATE(B206,-12),Database!$A:$AS,MATCH($H$1,Database!$A$1:$AS$1,),))))</f>
        <v>-3.0785562637369871E-2</v>
      </c>
      <c r="I206" s="13">
        <f>((((VLOOKUP(B206,Database!$A:$AS,MATCH($I$1,Database!$A$1:$AS$1,),))))-(((VLOOKUP(EDATE(B206,-12),Database!$A:$AS,MATCH($I$1,Database!$A$1:$AS$1,),)))))/(((VLOOKUP(EDATE(B206,-12),Database!$A:$AS,MATCH($I$1,Database!$A$1:$AS$1,),))))</f>
        <v>-4.1152263390405522E-3</v>
      </c>
      <c r="J206" s="13">
        <f>((((VLOOKUP(B206,Database!$A:$AS,MATCH($J$1,Database!$A$1:$AS$1,),))))-(((VLOOKUP(EDATE(B206,-12),Database!$A:$AS,MATCH($J$1,Database!$A$1:$AS$1,),)))))/(((VLOOKUP(EDATE(B206,-12),Database!$A:$AS,MATCH($J$1,Database!$A$1:$AS$1,),))))</f>
        <v>-4.7529270108966981E-4</v>
      </c>
      <c r="K206" s="13">
        <f>((((VLOOKUP(B206,Database!$A:$AS,MATCH($K$1,Database!$A$1:$AS$1,),))))-(((VLOOKUP(EDATE(B206,-12),Database!$A:$AS,MATCH($K$1,Database!$A$1:$AS$1,),)))))/(((VLOOKUP(EDATE(B206,-12),Database!$A:$AS,MATCH($K$1,Database!$A$1:$AS$1,),))))</f>
        <v>5.0476190481296701E-2</v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>8.8602628886975503E-3</v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>5.4678302022525493E-2</v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>0.14257486679747491</v>
      </c>
      <c r="O206" s="13">
        <f>((((VLOOKUP(B206,Database!$A:$AS,MATCH($O$1,Database!$A$1:$AS$1,),))))-(((VLOOKUP(EDATE(B206,-12),Database!$A:$AS,MATCH($O$1,Database!$A$1:$AS$1,),)))))/(((VLOOKUP(EDATE(B206,-12),Database!$A:$AS,MATCH($O$1,Database!$A$1:$AS$1,),))))</f>
        <v>3.891894264738697E-3</v>
      </c>
      <c r="P206" s="13">
        <f>((((VLOOKUP(B206,Database!$A:$AS,MATCH($P$1,Database!$A$1:$AS$1,),))))-(((VLOOKUP(EDATE(B206,-12),Database!$A:$AS,MATCH($P$1,Database!$A$1:$AS$1,),)))))/(((VLOOKUP(EDATE(B206,-12),Database!$A:$AS,MATCH($P$1,Database!$A$1:$AS$1,),))))</f>
        <v>5.5494647240321167E-2</v>
      </c>
      <c r="Q206" s="13">
        <f>((((VLOOKUP(B206,Database!$A:$AS,MATCH($Q$1,Database!$A$1:$AS$1,),))))-(((VLOOKUP(EDATE(B206,-12),Database!$A:$AS,MATCH($Q$1,Database!$A$1:$AS$1,),)))))/(((VLOOKUP(EDATE(B206,-12),Database!$A:$AS,MATCH($Q$1,Database!$A$1:$AS$1,),))))</f>
        <v>4.3786982252616513E-2</v>
      </c>
      <c r="R206" s="13">
        <f>((((VLOOKUP(B206,Database!$A:$AS,MATCH($R$1,Database!$A$1:$AS$1,),))))-(((VLOOKUP(EDATE(B206,-12),Database!$A:$AS,MATCH($R$1,Database!$A$1:$AS$1,),)))))/(((VLOOKUP(EDATE(B206,-12),Database!$A:$AS,MATCH($R$1,Database!$A$1:$AS$1,),))))</f>
        <v>-5.778382052841935E-2</v>
      </c>
      <c r="S206" s="13">
        <f>((((VLOOKUP(B206,Database!$A:$AS,MATCH($S$1,Database!$A$1:$AS$1,),))))-(((VLOOKUP(EDATE(B206,-12),Database!$A:$AS,MATCH($S$1,Database!$A$1:$AS$1,),)))))/(((VLOOKUP(EDATE(B206,-12),Database!$A:$AS,MATCH($S$1,Database!$A$1:$AS$1,),))))</f>
        <v>-1.641025640508172E-2</v>
      </c>
      <c r="T206" s="13">
        <f>((((VLOOKUP(B206,Database!$A:$AS,MATCH($T$1,Database!$A$1:$AS$1,),))))-(((VLOOKUP(EDATE(B206,-12),Database!$A:$AS,MATCH($T$1,Database!$A$1:$AS$1,),)))))/(((VLOOKUP(EDATE(B206,-12),Database!$A:$AS,MATCH($T$1,Database!$A$1:$AS$1,),))))</f>
        <v>0.11523437499378152</v>
      </c>
      <c r="U206" s="13">
        <f>((((VLOOKUP(B206,Database!$A:$AS,MATCH($U$1,Database!$A$1:$AS$1,),))))-(((VLOOKUP(EDATE(B206,-12),Database!$A:$AS,MATCH($U$1,Database!$A$1:$AS$1,),)))))/(((VLOOKUP(EDATE(B206,-12),Database!$A:$AS,MATCH($U$1,Database!$A$1:$AS$1,),))))</f>
        <v>1.7082785815573459E-2</v>
      </c>
      <c r="V206" s="13">
        <f>((((VLOOKUP(B206,Database!$A:$AS,MATCH($V$1,Database!$A$1:$AS$1,),))))-(((VLOOKUP(EDATE(B206,-12),Database!$A:$AS,MATCH($V$1,Database!$A$1:$AS$1,),)))))/(((VLOOKUP(EDATE(B206,-12),Database!$A:$AS,MATCH($V$1,Database!$A$1:$AS$1,),))))</f>
        <v>-1.1744966442953067E-2</v>
      </c>
    </row>
    <row r="207" spans="1:22" s="83" customFormat="1" x14ac:dyDescent="0.2">
      <c r="A207" s="43"/>
      <c r="B207" s="78">
        <v>38443</v>
      </c>
      <c r="C207" s="13">
        <f>((((VLOOKUP(B207,Database!$A:$AS,MATCH($C$1,Database!$A$1:$AS$1,),))))-(((VLOOKUP(EDATE(B207,-12),Database!$A:$AS,MATCH($C$1,Database!$A$1:$AS$1,),)))))/(((VLOOKUP(EDATE(B207,-12),Database!$A:$AS,MATCH($C$1,Database!$A$1:$AS$1,),))))</f>
        <v>4.0142603261977848E-2</v>
      </c>
      <c r="D207" s="13">
        <f>((((VLOOKUP(B207,Database!$A:$AS,MATCH($D$1,Database!$A$1:$AS$1,),))))-(((VLOOKUP(EDATE(B207,-12),Database!$A:$AS,MATCH($D$1,Database!$A$1:$AS$1,),)))))/(((VLOOKUP(EDATE(B207,-12),Database!$A:$AS,MATCH($D$1,Database!$A$1:$AS$1,),))))</f>
        <v>1.6359918200409086E-2</v>
      </c>
      <c r="E207" s="13">
        <f>((((VLOOKUP(B207,Database!$A:$AS,MATCH($E$1,Database!$A$1:$AS$1,),))))-(((VLOOKUP(EDATE(B207,-12),Database!$A:$AS,MATCH($E$1,Database!$A$1:$AS$1,),)))))/(((VLOOKUP(EDATE(B207,-12),Database!$A:$AS,MATCH($E$1,Database!$A$1:$AS$1,),))))</f>
        <v>1.720647773233161E-2</v>
      </c>
      <c r="F207" s="13">
        <f>((((VLOOKUP(B207,Database!$A:$AS,MATCH($F$1,Database!$A$1:$AS$1,),))))-(((VLOOKUP(EDATE(B207,-12),Database!$A:$AS,MATCH($F$1,Database!$A$1:$AS$1,),)))))/(((VLOOKUP(EDATE(B207,-12),Database!$A:$AS,MATCH($F$1,Database!$A$1:$AS$1,),))))</f>
        <v>2.9126213583984612E-2</v>
      </c>
      <c r="G207" s="13">
        <f>((((VLOOKUP(B207,Database!$A:$AS,MATCH($G$1,Database!$A$1:$AS$1,),))))-(((VLOOKUP(EDATE(B207,-12),Database!$A:$AS,MATCH($G$1,Database!$A$1:$AS$1,),)))))/(((VLOOKUP(EDATE(B207,-12),Database!$A:$AS,MATCH($G$1,Database!$A$1:$AS$1,),))))</f>
        <v>7.9191698525396381E-3</v>
      </c>
      <c r="H207" s="13">
        <f>((((VLOOKUP(B207,Database!$A:$AS,MATCH($H$1,Database!$A$1:$AS$1,),))))-(((VLOOKUP(EDATE(B207,-12),Database!$A:$AS,MATCH($H$1,Database!$A$1:$AS$1,),)))))/(((VLOOKUP(EDATE(B207,-12),Database!$A:$AS,MATCH($H$1,Database!$A$1:$AS$1,),))))</f>
        <v>1.2644889360222575E-2</v>
      </c>
      <c r="I207" s="13">
        <f>((((VLOOKUP(B207,Database!$A:$AS,MATCH($I$1,Database!$A$1:$AS$1,),))))-(((VLOOKUP(EDATE(B207,-12),Database!$A:$AS,MATCH($I$1,Database!$A$1:$AS$1,),)))))/(((VLOOKUP(EDATE(B207,-12),Database!$A:$AS,MATCH($I$1,Database!$A$1:$AS$1,),))))</f>
        <v>-2.4232633272761781E-3</v>
      </c>
      <c r="J207" s="13">
        <f>((((VLOOKUP(B207,Database!$A:$AS,MATCH($J$1,Database!$A$1:$AS$1,),))))-(((VLOOKUP(EDATE(B207,-12),Database!$A:$AS,MATCH($J$1,Database!$A$1:$AS$1,),)))))/(((VLOOKUP(EDATE(B207,-12),Database!$A:$AS,MATCH($J$1,Database!$A$1:$AS$1,),))))</f>
        <v>1.7745252786148236E-2</v>
      </c>
      <c r="K207" s="13">
        <f>((((VLOOKUP(B207,Database!$A:$AS,MATCH($K$1,Database!$A$1:$AS$1,),))))-(((VLOOKUP(EDATE(B207,-12),Database!$A:$AS,MATCH($K$1,Database!$A$1:$AS$1,),)))))/(((VLOOKUP(EDATE(B207,-12),Database!$A:$AS,MATCH($K$1,Database!$A$1:$AS$1,),))))</f>
        <v>-9.2421441748868956E-3</v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>1.8339621132247776E-2</v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>5.7446559601254617E-2</v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>4.3837659813184764E-2</v>
      </c>
      <c r="O207" s="13">
        <f>((((VLOOKUP(B207,Database!$A:$AS,MATCH($O$1,Database!$A$1:$AS$1,),))))-(((VLOOKUP(EDATE(B207,-12),Database!$A:$AS,MATCH($O$1,Database!$A$1:$AS$1,),)))))/(((VLOOKUP(EDATE(B207,-12),Database!$A:$AS,MATCH($O$1,Database!$A$1:$AS$1,),))))</f>
        <v>1.8461183118916022E-2</v>
      </c>
      <c r="P207" s="13">
        <f>((((VLOOKUP(B207,Database!$A:$AS,MATCH($P$1,Database!$A$1:$AS$1,),))))-(((VLOOKUP(EDATE(B207,-12),Database!$A:$AS,MATCH($P$1,Database!$A$1:$AS$1,),)))))/(((VLOOKUP(EDATE(B207,-12),Database!$A:$AS,MATCH($P$1,Database!$A$1:$AS$1,),))))</f>
        <v>3.3232531719074011E-2</v>
      </c>
      <c r="Q207" s="13">
        <f>((((VLOOKUP(B207,Database!$A:$AS,MATCH($Q$1,Database!$A$1:$AS$1,),))))-(((VLOOKUP(EDATE(B207,-12),Database!$A:$AS,MATCH($Q$1,Database!$A$1:$AS$1,),)))))/(((VLOOKUP(EDATE(B207,-12),Database!$A:$AS,MATCH($Q$1,Database!$A$1:$AS$1,),))))</f>
        <v>3.6384976532565498E-2</v>
      </c>
      <c r="R207" s="13">
        <f>((((VLOOKUP(B207,Database!$A:$AS,MATCH($R$1,Database!$A$1:$AS$1,),))))-(((VLOOKUP(EDATE(B207,-12),Database!$A:$AS,MATCH($R$1,Database!$A$1:$AS$1,),)))))/(((VLOOKUP(EDATE(B207,-12),Database!$A:$AS,MATCH($R$1,Database!$A$1:$AS$1,),))))</f>
        <v>-5.9661016954739146E-2</v>
      </c>
      <c r="S207" s="13">
        <f>((((VLOOKUP(B207,Database!$A:$AS,MATCH($S$1,Database!$A$1:$AS$1,),))))-(((VLOOKUP(EDATE(B207,-12),Database!$A:$AS,MATCH($S$1,Database!$A$1:$AS$1,),)))))/(((VLOOKUP(EDATE(B207,-12),Database!$A:$AS,MATCH($S$1,Database!$A$1:$AS$1,),))))</f>
        <v>1.3144590504027387E-2</v>
      </c>
      <c r="T207" s="13">
        <f>((((VLOOKUP(B207,Database!$A:$AS,MATCH($T$1,Database!$A$1:$AS$1,),))))-(((VLOOKUP(EDATE(B207,-12),Database!$A:$AS,MATCH($T$1,Database!$A$1:$AS$1,),)))))/(((VLOOKUP(EDATE(B207,-12),Database!$A:$AS,MATCH($T$1,Database!$A$1:$AS$1,),))))</f>
        <v>0.10748560460254689</v>
      </c>
      <c r="U207" s="13">
        <f>((((VLOOKUP(B207,Database!$A:$AS,MATCH($U$1,Database!$A$1:$AS$1,),))))-(((VLOOKUP(EDATE(B207,-12),Database!$A:$AS,MATCH($U$1,Database!$A$1:$AS$1,),)))))/(((VLOOKUP(EDATE(B207,-12),Database!$A:$AS,MATCH($U$1,Database!$A$1:$AS$1,),))))</f>
        <v>2.3316062176400729E-2</v>
      </c>
      <c r="V207" s="13">
        <f>((((VLOOKUP(B207,Database!$A:$AS,MATCH($V$1,Database!$A$1:$AS$1,),))))-(((VLOOKUP(EDATE(B207,-12),Database!$A:$AS,MATCH($V$1,Database!$A$1:$AS$1,),)))))/(((VLOOKUP(EDATE(B207,-12),Database!$A:$AS,MATCH($V$1,Database!$A$1:$AS$1,),))))</f>
        <v>-1.1363636363636409E-2</v>
      </c>
    </row>
    <row r="208" spans="1:22" s="83" customFormat="1" x14ac:dyDescent="0.2">
      <c r="A208" s="43"/>
      <c r="B208" s="78">
        <v>38473</v>
      </c>
      <c r="C208" s="13">
        <f>((((VLOOKUP(B208,Database!$A:$AS,MATCH($C$1,Database!$A$1:$AS$1,),))))-(((VLOOKUP(EDATE(B208,-12),Database!$A:$AS,MATCH($C$1,Database!$A$1:$AS$1,),)))))/(((VLOOKUP(EDATE(B208,-12),Database!$A:$AS,MATCH($C$1,Database!$A$1:$AS$1,),))))</f>
        <v>3.3745215740864913E-2</v>
      </c>
      <c r="D208" s="13">
        <f>((((VLOOKUP(B208,Database!$A:$AS,MATCH($D$1,Database!$A$1:$AS$1,),))))-(((VLOOKUP(EDATE(B208,-12),Database!$A:$AS,MATCH($D$1,Database!$A$1:$AS$1,),)))))/(((VLOOKUP(EDATE(B208,-12),Database!$A:$AS,MATCH($D$1,Database!$A$1:$AS$1,),))))</f>
        <v>2.0429009193052975E-3</v>
      </c>
      <c r="E208" s="13">
        <f>((((VLOOKUP(B208,Database!$A:$AS,MATCH($E$1,Database!$A$1:$AS$1,),))))-(((VLOOKUP(EDATE(B208,-12),Database!$A:$AS,MATCH($E$1,Database!$A$1:$AS$1,),)))))/(((VLOOKUP(EDATE(B208,-12),Database!$A:$AS,MATCH($E$1,Database!$A$1:$AS$1,),))))</f>
        <v>8.0889787618404485E-3</v>
      </c>
      <c r="F208" s="13">
        <f>((((VLOOKUP(B208,Database!$A:$AS,MATCH($F$1,Database!$A$1:$AS$1,),))))-(((VLOOKUP(EDATE(B208,-12),Database!$A:$AS,MATCH($F$1,Database!$A$1:$AS$1,),)))))/(((VLOOKUP(EDATE(B208,-12),Database!$A:$AS,MATCH($F$1,Database!$A$1:$AS$1,),))))</f>
        <v>4.8019207629601294E-3</v>
      </c>
      <c r="G208" s="13">
        <f>((((VLOOKUP(B208,Database!$A:$AS,MATCH($G$1,Database!$A$1:$AS$1,),))))-(((VLOOKUP(EDATE(B208,-12),Database!$A:$AS,MATCH($G$1,Database!$A$1:$AS$1,),)))))/(((VLOOKUP(EDATE(B208,-12),Database!$A:$AS,MATCH($G$1,Database!$A$1:$AS$1,),))))</f>
        <v>2.5626944902068564E-3</v>
      </c>
      <c r="H208" s="13">
        <f>((((VLOOKUP(B208,Database!$A:$AS,MATCH($H$1,Database!$A$1:$AS$1,),))))-(((VLOOKUP(EDATE(B208,-12),Database!$A:$AS,MATCH($H$1,Database!$A$1:$AS$1,),)))))/(((VLOOKUP(EDATE(B208,-12),Database!$A:$AS,MATCH($H$1,Database!$A$1:$AS$1,),))))</f>
        <v>-2.0725388557701402E-3</v>
      </c>
      <c r="I208" s="13">
        <f>((((VLOOKUP(B208,Database!$A:$AS,MATCH($I$1,Database!$A$1:$AS$1,),))))-(((VLOOKUP(EDATE(B208,-12),Database!$A:$AS,MATCH($I$1,Database!$A$1:$AS$1,),)))))/(((VLOOKUP(EDATE(B208,-12),Database!$A:$AS,MATCH($I$1,Database!$A$1:$AS$1,),))))</f>
        <v>-2.267206477642306E-2</v>
      </c>
      <c r="J208" s="13">
        <f>((((VLOOKUP(B208,Database!$A:$AS,MATCH($J$1,Database!$A$1:$AS$1,),))))-(((VLOOKUP(EDATE(B208,-12),Database!$A:$AS,MATCH($J$1,Database!$A$1:$AS$1,),)))))/(((VLOOKUP(EDATE(B208,-12),Database!$A:$AS,MATCH($J$1,Database!$A$1:$AS$1,),))))</f>
        <v>1.8235732547875832E-3</v>
      </c>
      <c r="K208" s="13">
        <f>((((VLOOKUP(B208,Database!$A:$AS,MATCH($K$1,Database!$A$1:$AS$1,),))))-(((VLOOKUP(EDATE(B208,-12),Database!$A:$AS,MATCH($K$1,Database!$A$1:$AS$1,),)))))/(((VLOOKUP(EDATE(B208,-12),Database!$A:$AS,MATCH($K$1,Database!$A$1:$AS$1,),))))</f>
        <v>5.5970149238069016E-3</v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>3.8948204031974916E-2</v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>2.7489370731431147E-2</v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>5.7167732392418742E-2</v>
      </c>
      <c r="O208" s="13">
        <f>((((VLOOKUP(B208,Database!$A:$AS,MATCH($O$1,Database!$A$1:$AS$1,),))))-(((VLOOKUP(EDATE(B208,-12),Database!$A:$AS,MATCH($O$1,Database!$A$1:$AS$1,),)))))/(((VLOOKUP(EDATE(B208,-12),Database!$A:$AS,MATCH($O$1,Database!$A$1:$AS$1,),))))</f>
        <v>3.1505782544613226E-2</v>
      </c>
      <c r="P208" s="13">
        <f>((((VLOOKUP(B208,Database!$A:$AS,MATCH($P$1,Database!$A$1:$AS$1,),))))-(((VLOOKUP(EDATE(B208,-12),Database!$A:$AS,MATCH($P$1,Database!$A$1:$AS$1,),)))))/(((VLOOKUP(EDATE(B208,-12),Database!$A:$AS,MATCH($P$1,Database!$A$1:$AS$1,),))))</f>
        <v>1.7541089736283589E-2</v>
      </c>
      <c r="Q208" s="13">
        <f>((((VLOOKUP(B208,Database!$A:$AS,MATCH($Q$1,Database!$A$1:$AS$1,),))))-(((VLOOKUP(EDATE(B208,-12),Database!$A:$AS,MATCH($Q$1,Database!$A$1:$AS$1,),)))))/(((VLOOKUP(EDATE(B208,-12),Database!$A:$AS,MATCH($Q$1,Database!$A$1:$AS$1,),))))</f>
        <v>6.2863795109252052E-2</v>
      </c>
      <c r="R208" s="13">
        <f>((((VLOOKUP(B208,Database!$A:$AS,MATCH($R$1,Database!$A$1:$AS$1,),))))-(((VLOOKUP(EDATE(B208,-12),Database!$A:$AS,MATCH($R$1,Database!$A$1:$AS$1,),)))))/(((VLOOKUP(EDATE(B208,-12),Database!$A:$AS,MATCH($R$1,Database!$A$1:$AS$1,),))))</f>
        <v>-3.6029911623842968E-2</v>
      </c>
      <c r="S208" s="13">
        <f>((((VLOOKUP(B208,Database!$A:$AS,MATCH($S$1,Database!$A$1:$AS$1,),))))-(((VLOOKUP(EDATE(B208,-12),Database!$A:$AS,MATCH($S$1,Database!$A$1:$AS$1,),)))))/(((VLOOKUP(EDATE(B208,-12),Database!$A:$AS,MATCH($S$1,Database!$A$1:$AS$1,),))))</f>
        <v>6.3897763575294211E-2</v>
      </c>
      <c r="T208" s="13">
        <f>((((VLOOKUP(B208,Database!$A:$AS,MATCH($T$1,Database!$A$1:$AS$1,),))))-(((VLOOKUP(EDATE(B208,-12),Database!$A:$AS,MATCH($T$1,Database!$A$1:$AS$1,),)))))/(((VLOOKUP(EDATE(B208,-12),Database!$A:$AS,MATCH($T$1,Database!$A$1:$AS$1,),))))</f>
        <v>8.582089551027422E-2</v>
      </c>
      <c r="U208" s="13">
        <f>((((VLOOKUP(B208,Database!$A:$AS,MATCH($U$1,Database!$A$1:$AS$1,),))))-(((VLOOKUP(EDATE(B208,-12),Database!$A:$AS,MATCH($U$1,Database!$A$1:$AS$1,),)))))/(((VLOOKUP(EDATE(B208,-12),Database!$A:$AS,MATCH($U$1,Database!$A$1:$AS$1,),))))</f>
        <v>1.6949152536626402E-2</v>
      </c>
      <c r="V208" s="13">
        <f>((((VLOOKUP(B208,Database!$A:$AS,MATCH($V$1,Database!$A$1:$AS$1,),))))-(((VLOOKUP(EDATE(B208,-12),Database!$A:$AS,MATCH($V$1,Database!$A$1:$AS$1,),)))))/(((VLOOKUP(EDATE(B208,-12),Database!$A:$AS,MATCH($V$1,Database!$A$1:$AS$1,),))))</f>
        <v>1.0101010101010124E-2</v>
      </c>
    </row>
    <row r="209" spans="1:22" s="83" customFormat="1" x14ac:dyDescent="0.2">
      <c r="A209" s="43"/>
      <c r="B209" s="78">
        <v>38504</v>
      </c>
      <c r="C209" s="13">
        <f>((((VLOOKUP(B209,Database!$A:$AS,MATCH($C$1,Database!$A$1:$AS$1,),))))-(((VLOOKUP(EDATE(B209,-12),Database!$A:$AS,MATCH($C$1,Database!$A$1:$AS$1,),)))))/(((VLOOKUP(EDATE(B209,-12),Database!$A:$AS,MATCH($C$1,Database!$A$1:$AS$1,),))))</f>
        <v>4.6044975861064964E-2</v>
      </c>
      <c r="D209" s="13">
        <f>((((VLOOKUP(B209,Database!$A:$AS,MATCH($D$1,Database!$A$1:$AS$1,),))))-(((VLOOKUP(EDATE(B209,-12),Database!$A:$AS,MATCH($D$1,Database!$A$1:$AS$1,),)))))/(((VLOOKUP(EDATE(B209,-12),Database!$A:$AS,MATCH($D$1,Database!$A$1:$AS$1,),))))</f>
        <v>1.2269938650306778E-2</v>
      </c>
      <c r="E209" s="13">
        <f>((((VLOOKUP(B209,Database!$A:$AS,MATCH($E$1,Database!$A$1:$AS$1,),))))-(((VLOOKUP(EDATE(B209,-12),Database!$A:$AS,MATCH($E$1,Database!$A$1:$AS$1,),)))))/(((VLOOKUP(EDATE(B209,-12),Database!$A:$AS,MATCH($E$1,Database!$A$1:$AS$1,),))))</f>
        <v>9.0725806400283188E-3</v>
      </c>
      <c r="F209" s="13">
        <f>((((VLOOKUP(B209,Database!$A:$AS,MATCH($F$1,Database!$A$1:$AS$1,),))))-(((VLOOKUP(EDATE(B209,-12),Database!$A:$AS,MATCH($F$1,Database!$A$1:$AS$1,),)))))/(((VLOOKUP(EDATE(B209,-12),Database!$A:$AS,MATCH($F$1,Database!$A$1:$AS$1,),))))</f>
        <v>3.3857315597057444E-2</v>
      </c>
      <c r="G209" s="13">
        <f>((((VLOOKUP(B209,Database!$A:$AS,MATCH($G$1,Database!$A$1:$AS$1,),))))-(((VLOOKUP(EDATE(B209,-12),Database!$A:$AS,MATCH($G$1,Database!$A$1:$AS$1,),)))))/(((VLOOKUP(EDATE(B209,-12),Database!$A:$AS,MATCH($G$1,Database!$A$1:$AS$1,),))))</f>
        <v>-7.8861493836112247E-3</v>
      </c>
      <c r="H209" s="13">
        <f>((((VLOOKUP(B209,Database!$A:$AS,MATCH($H$1,Database!$A$1:$AS$1,),))))-(((VLOOKUP(EDATE(B209,-12),Database!$A:$AS,MATCH($H$1,Database!$A$1:$AS$1,),)))))/(((VLOOKUP(EDATE(B209,-12),Database!$A:$AS,MATCH($H$1,Database!$A$1:$AS$1,),))))</f>
        <v>-9.1649694498607635E-3</v>
      </c>
      <c r="I209" s="13">
        <f>((((VLOOKUP(B209,Database!$A:$AS,MATCH($I$1,Database!$A$1:$AS$1,),))))-(((VLOOKUP(EDATE(B209,-12),Database!$A:$AS,MATCH($I$1,Database!$A$1:$AS$1,),)))))/(((VLOOKUP(EDATE(B209,-12),Database!$A:$AS,MATCH($I$1,Database!$A$1:$AS$1,),))))</f>
        <v>-1.7100977194008216E-2</v>
      </c>
      <c r="J209" s="13">
        <f>((((VLOOKUP(B209,Database!$A:$AS,MATCH($J$1,Database!$A$1:$AS$1,),))))-(((VLOOKUP(EDATE(B209,-12),Database!$A:$AS,MATCH($J$1,Database!$A$1:$AS$1,),)))))/(((VLOOKUP(EDATE(B209,-12),Database!$A:$AS,MATCH($J$1,Database!$A$1:$AS$1,),))))</f>
        <v>1.1200151491279787E-3</v>
      </c>
      <c r="K209" s="13">
        <f>((((VLOOKUP(B209,Database!$A:$AS,MATCH($K$1,Database!$A$1:$AS$1,),))))-(((VLOOKUP(EDATE(B209,-12),Database!$A:$AS,MATCH($K$1,Database!$A$1:$AS$1,),)))))/(((VLOOKUP(EDATE(B209,-12),Database!$A:$AS,MATCH($K$1,Database!$A$1:$AS$1,),))))</f>
        <v>4.4007490633705952E-2</v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>1.8423155373143613E-2</v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>5.4292178451418281E-2</v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>7.3664590585554093E-2</v>
      </c>
      <c r="O209" s="13">
        <f>((((VLOOKUP(B209,Database!$A:$AS,MATCH($O$1,Database!$A$1:$AS$1,),))))-(((VLOOKUP(EDATE(B209,-12),Database!$A:$AS,MATCH($O$1,Database!$A$1:$AS$1,),)))))/(((VLOOKUP(EDATE(B209,-12),Database!$A:$AS,MATCH($O$1,Database!$A$1:$AS$1,),))))</f>
        <v>9.9287730262740698E-3</v>
      </c>
      <c r="P209" s="13">
        <f>((((VLOOKUP(B209,Database!$A:$AS,MATCH($P$1,Database!$A$1:$AS$1,),))))-(((VLOOKUP(EDATE(B209,-12),Database!$A:$AS,MATCH($P$1,Database!$A$1:$AS$1,),)))))/(((VLOOKUP(EDATE(B209,-12),Database!$A:$AS,MATCH($P$1,Database!$A$1:$AS$1,),))))</f>
        <v>5.8958937865016443E-2</v>
      </c>
      <c r="Q209" s="13">
        <f>((((VLOOKUP(B209,Database!$A:$AS,MATCH($Q$1,Database!$A$1:$AS$1,),))))-(((VLOOKUP(EDATE(B209,-12),Database!$A:$AS,MATCH($Q$1,Database!$A$1:$AS$1,),)))))/(((VLOOKUP(EDATE(B209,-12),Database!$A:$AS,MATCH($Q$1,Database!$A$1:$AS$1,),))))</f>
        <v>3.9488966318344941E-2</v>
      </c>
      <c r="R209" s="13">
        <f>((((VLOOKUP(B209,Database!$A:$AS,MATCH($R$1,Database!$A$1:$AS$1,),))))-(((VLOOKUP(EDATE(B209,-12),Database!$A:$AS,MATCH($R$1,Database!$A$1:$AS$1,),)))))/(((VLOOKUP(EDATE(B209,-12),Database!$A:$AS,MATCH($R$1,Database!$A$1:$AS$1,),))))</f>
        <v>-4.362880886413617E-2</v>
      </c>
      <c r="S209" s="13">
        <f>((((VLOOKUP(B209,Database!$A:$AS,MATCH($S$1,Database!$A$1:$AS$1,),))))-(((VLOOKUP(EDATE(B209,-12),Database!$A:$AS,MATCH($S$1,Database!$A$1:$AS$1,),)))))/(((VLOOKUP(EDATE(B209,-12),Database!$A:$AS,MATCH($S$1,Database!$A$1:$AS$1,),))))</f>
        <v>4.7767393572776672E-2</v>
      </c>
      <c r="T209" s="13">
        <f>((((VLOOKUP(B209,Database!$A:$AS,MATCH($T$1,Database!$A$1:$AS$1,),))))-(((VLOOKUP(EDATE(B209,-12),Database!$A:$AS,MATCH($T$1,Database!$A$1:$AS$1,),)))))/(((VLOOKUP(EDATE(B209,-12),Database!$A:$AS,MATCH($T$1,Database!$A$1:$AS$1,),))))</f>
        <v>9.2278719383849725E-2</v>
      </c>
      <c r="U209" s="13">
        <f>((((VLOOKUP(B209,Database!$A:$AS,MATCH($U$1,Database!$A$1:$AS$1,),))))-(((VLOOKUP(EDATE(B209,-12),Database!$A:$AS,MATCH($U$1,Database!$A$1:$AS$1,),)))))/(((VLOOKUP(EDATE(B209,-12),Database!$A:$AS,MATCH($U$1,Database!$A$1:$AS$1,),))))</f>
        <v>3.6601307188089793E-2</v>
      </c>
      <c r="V209" s="13">
        <f>((((VLOOKUP(B209,Database!$A:$AS,MATCH($V$1,Database!$A$1:$AS$1,),))))-(((VLOOKUP(EDATE(B209,-12),Database!$A:$AS,MATCH($V$1,Database!$A$1:$AS$1,),)))))/(((VLOOKUP(EDATE(B209,-12),Database!$A:$AS,MATCH($V$1,Database!$A$1:$AS$1,),))))</f>
        <v>4.421768707482996E-2</v>
      </c>
    </row>
    <row r="210" spans="1:22" s="83" customFormat="1" x14ac:dyDescent="0.2">
      <c r="A210" s="43"/>
      <c r="B210" s="78">
        <v>38534</v>
      </c>
      <c r="C210" s="13">
        <f>((((VLOOKUP(B210,Database!$A:$AS,MATCH($C$1,Database!$A$1:$AS$1,),))))-(((VLOOKUP(EDATE(B210,-12),Database!$A:$AS,MATCH($C$1,Database!$A$1:$AS$1,),)))))/(((VLOOKUP(EDATE(B210,-12),Database!$A:$AS,MATCH($C$1,Database!$A$1:$AS$1,),))))</f>
        <v>3.4958822412468948E-2</v>
      </c>
      <c r="D210" s="13">
        <f>((((VLOOKUP(B210,Database!$A:$AS,MATCH($D$1,Database!$A$1:$AS$1,),))))-(((VLOOKUP(EDATE(B210,-12),Database!$A:$AS,MATCH($D$1,Database!$A$1:$AS$1,),)))))/(((VLOOKUP(EDATE(B210,-12),Database!$A:$AS,MATCH($D$1,Database!$A$1:$AS$1,),))))</f>
        <v>8.1053698074974381E-3</v>
      </c>
      <c r="E210" s="13">
        <f>((((VLOOKUP(B210,Database!$A:$AS,MATCH($E$1,Database!$A$1:$AS$1,),))))-(((VLOOKUP(EDATE(B210,-12),Database!$A:$AS,MATCH($E$1,Database!$A$1:$AS$1,),)))))/(((VLOOKUP(EDATE(B210,-12),Database!$A:$AS,MATCH($E$1,Database!$A$1:$AS$1,),))))</f>
        <v>-1.0934393641116525E-2</v>
      </c>
      <c r="F210" s="13">
        <f>((((VLOOKUP(B210,Database!$A:$AS,MATCH($F$1,Database!$A$1:$AS$1,),))))-(((VLOOKUP(EDATE(B210,-12),Database!$A:$AS,MATCH($F$1,Database!$A$1:$AS$1,),)))))/(((VLOOKUP(EDATE(B210,-12),Database!$A:$AS,MATCH($F$1,Database!$A$1:$AS$1,),))))</f>
        <v>3.7037037034824298E-2</v>
      </c>
      <c r="G210" s="13">
        <f>((((VLOOKUP(B210,Database!$A:$AS,MATCH($G$1,Database!$A$1:$AS$1,),))))-(((VLOOKUP(EDATE(B210,-12),Database!$A:$AS,MATCH($G$1,Database!$A$1:$AS$1,),)))))/(((VLOOKUP(EDATE(B210,-12),Database!$A:$AS,MATCH($G$1,Database!$A$1:$AS$1,),))))</f>
        <v>-1.5165192272973521E-2</v>
      </c>
      <c r="H210" s="13">
        <f>((((VLOOKUP(B210,Database!$A:$AS,MATCH($H$1,Database!$A$1:$AS$1,),))))-(((VLOOKUP(EDATE(B210,-12),Database!$A:$AS,MATCH($H$1,Database!$A$1:$AS$1,),)))))/(((VLOOKUP(EDATE(B210,-12),Database!$A:$AS,MATCH($H$1,Database!$A$1:$AS$1,),))))</f>
        <v>-1.0256410254062681E-2</v>
      </c>
      <c r="I210" s="13">
        <f>((((VLOOKUP(B210,Database!$A:$AS,MATCH($I$1,Database!$A$1:$AS$1,),))))-(((VLOOKUP(EDATE(B210,-12),Database!$A:$AS,MATCH($I$1,Database!$A$1:$AS$1,),)))))/(((VLOOKUP(EDATE(B210,-12),Database!$A:$AS,MATCH($I$1,Database!$A$1:$AS$1,),))))</f>
        <v>-5.6864337894003613E-3</v>
      </c>
      <c r="J210" s="13">
        <f>((((VLOOKUP(B210,Database!$A:$AS,MATCH($J$1,Database!$A$1:$AS$1,),))))-(((VLOOKUP(EDATE(B210,-12),Database!$A:$AS,MATCH($J$1,Database!$A$1:$AS$1,),)))))/(((VLOOKUP(EDATE(B210,-12),Database!$A:$AS,MATCH($J$1,Database!$A$1:$AS$1,),))))</f>
        <v>3.1318533958652238E-3</v>
      </c>
      <c r="K210" s="13">
        <f>((((VLOOKUP(B210,Database!$A:$AS,MATCH($K$1,Database!$A$1:$AS$1,),))))-(((VLOOKUP(EDATE(B210,-12),Database!$A:$AS,MATCH($K$1,Database!$A$1:$AS$1,),)))))/(((VLOOKUP(EDATE(B210,-12),Database!$A:$AS,MATCH($K$1,Database!$A$1:$AS$1,),))))</f>
        <v>6.5464895636636641E-2</v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>3.2141975694690208E-3</v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>5.4007254688907172E-2</v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>2.0989112821760691E-2</v>
      </c>
      <c r="O210" s="13">
        <f>((((VLOOKUP(B210,Database!$A:$AS,MATCH($O$1,Database!$A$1:$AS$1,),))))-(((VLOOKUP(EDATE(B210,-12),Database!$A:$AS,MATCH($O$1,Database!$A$1:$AS$1,),)))))/(((VLOOKUP(EDATE(B210,-12),Database!$A:$AS,MATCH($O$1,Database!$A$1:$AS$1,),))))</f>
        <v>1.9748884723126615E-2</v>
      </c>
      <c r="P210" s="13">
        <f>((((VLOOKUP(B210,Database!$A:$AS,MATCH($P$1,Database!$A$1:$AS$1,),))))-(((VLOOKUP(EDATE(B210,-12),Database!$A:$AS,MATCH($P$1,Database!$A$1:$AS$1,),)))))/(((VLOOKUP(EDATE(B210,-12),Database!$A:$AS,MATCH($P$1,Database!$A$1:$AS$1,),))))</f>
        <v>7.7025297772391088E-2</v>
      </c>
      <c r="Q210" s="13">
        <f>((((VLOOKUP(B210,Database!$A:$AS,MATCH($Q$1,Database!$A$1:$AS$1,),))))-(((VLOOKUP(EDATE(B210,-12),Database!$A:$AS,MATCH($Q$1,Database!$A$1:$AS$1,),)))))/(((VLOOKUP(EDATE(B210,-12),Database!$A:$AS,MATCH($Q$1,Database!$A$1:$AS$1,),))))</f>
        <v>2.5374855819003825E-2</v>
      </c>
      <c r="R210" s="13">
        <f>((((VLOOKUP(B210,Database!$A:$AS,MATCH($R$1,Database!$A$1:$AS$1,),))))-(((VLOOKUP(EDATE(B210,-12),Database!$A:$AS,MATCH($R$1,Database!$A$1:$AS$1,),)))))/(((VLOOKUP(EDATE(B210,-12),Database!$A:$AS,MATCH($R$1,Database!$A$1:$AS$1,),))))</f>
        <v>-5.5139550713690935E-2</v>
      </c>
      <c r="S210" s="13">
        <f>((((VLOOKUP(B210,Database!$A:$AS,MATCH($S$1,Database!$A$1:$AS$1,),))))-(((VLOOKUP(EDATE(B210,-12),Database!$A:$AS,MATCH($S$1,Database!$A$1:$AS$1,),)))))/(((VLOOKUP(EDATE(B210,-12),Database!$A:$AS,MATCH($S$1,Database!$A$1:$AS$1,),))))</f>
        <v>-9.1503267968304505E-2</v>
      </c>
      <c r="T210" s="13">
        <f>((((VLOOKUP(B210,Database!$A:$AS,MATCH($T$1,Database!$A$1:$AS$1,),))))-(((VLOOKUP(EDATE(B210,-12),Database!$A:$AS,MATCH($T$1,Database!$A$1:$AS$1,),)))))/(((VLOOKUP(EDATE(B210,-12),Database!$A:$AS,MATCH($T$1,Database!$A$1:$AS$1,),))))</f>
        <v>0.1001855287470088</v>
      </c>
      <c r="U210" s="13">
        <f>((((VLOOKUP(B210,Database!$A:$AS,MATCH($U$1,Database!$A$1:$AS$1,),))))-(((VLOOKUP(EDATE(B210,-12),Database!$A:$AS,MATCH($U$1,Database!$A$1:$AS$1,),)))))/(((VLOOKUP(EDATE(B210,-12),Database!$A:$AS,MATCH($U$1,Database!$A$1:$AS$1,),))))</f>
        <v>2.1879021880546051E-2</v>
      </c>
      <c r="V210" s="13">
        <f>((((VLOOKUP(B210,Database!$A:$AS,MATCH($V$1,Database!$A$1:$AS$1,),))))-(((VLOOKUP(EDATE(B210,-12),Database!$A:$AS,MATCH($V$1,Database!$A$1:$AS$1,),)))))/(((VLOOKUP(EDATE(B210,-12),Database!$A:$AS,MATCH($V$1,Database!$A$1:$AS$1,),))))</f>
        <v>5.1107325383304938E-2</v>
      </c>
    </row>
    <row r="211" spans="1:22" s="83" customFormat="1" x14ac:dyDescent="0.2">
      <c r="A211" s="43"/>
      <c r="B211" s="78">
        <v>38565</v>
      </c>
      <c r="C211" s="13">
        <f>((((VLOOKUP(B211,Database!$A:$AS,MATCH($C$1,Database!$A$1:$AS$1,),))))-(((VLOOKUP(EDATE(B211,-12),Database!$A:$AS,MATCH($C$1,Database!$A$1:$AS$1,),)))))/(((VLOOKUP(EDATE(B211,-12),Database!$A:$AS,MATCH($C$1,Database!$A$1:$AS$1,),))))</f>
        <v>3.765519181332766E-2</v>
      </c>
      <c r="D211" s="13">
        <f>((((VLOOKUP(B211,Database!$A:$AS,MATCH($D$1,Database!$A$1:$AS$1,),))))-(((VLOOKUP(EDATE(B211,-12),Database!$A:$AS,MATCH($D$1,Database!$A$1:$AS$1,),)))))/(((VLOOKUP(EDATE(B211,-12),Database!$A:$AS,MATCH($D$1,Database!$A$1:$AS$1,),))))</f>
        <v>1.8633540372670926E-2</v>
      </c>
      <c r="E211" s="13">
        <f>((((VLOOKUP(B211,Database!$A:$AS,MATCH($E$1,Database!$A$1:$AS$1,),))))-(((VLOOKUP(EDATE(B211,-12),Database!$A:$AS,MATCH($E$1,Database!$A$1:$AS$1,),)))))/(((VLOOKUP(EDATE(B211,-12),Database!$A:$AS,MATCH($E$1,Database!$A$1:$AS$1,),))))</f>
        <v>3.0241935466761502E-3</v>
      </c>
      <c r="F211" s="13">
        <f>((((VLOOKUP(B211,Database!$A:$AS,MATCH($F$1,Database!$A$1:$AS$1,),))))-(((VLOOKUP(EDATE(B211,-12),Database!$A:$AS,MATCH($F$1,Database!$A$1:$AS$1,),)))))/(((VLOOKUP(EDATE(B211,-12),Database!$A:$AS,MATCH($F$1,Database!$A$1:$AS$1,),))))</f>
        <v>1.6887816645965475E-2</v>
      </c>
      <c r="G211" s="13">
        <f>((((VLOOKUP(B211,Database!$A:$AS,MATCH($G$1,Database!$A$1:$AS$1,),))))-(((VLOOKUP(EDATE(B211,-12),Database!$A:$AS,MATCH($G$1,Database!$A$1:$AS$1,),)))))/(((VLOOKUP(EDATE(B211,-12),Database!$A:$AS,MATCH($G$1,Database!$A$1:$AS$1,),))))</f>
        <v>1.5345747169458225E-2</v>
      </c>
      <c r="H211" s="13">
        <f>((((VLOOKUP(B211,Database!$A:$AS,MATCH($H$1,Database!$A$1:$AS$1,),))))-(((VLOOKUP(EDATE(B211,-12),Database!$A:$AS,MATCH($H$1,Database!$A$1:$AS$1,),)))))/(((VLOOKUP(EDATE(B211,-12),Database!$A:$AS,MATCH($H$1,Database!$A$1:$AS$1,),))))</f>
        <v>-1.3278855976232148E-2</v>
      </c>
      <c r="I211" s="13">
        <f>((((VLOOKUP(B211,Database!$A:$AS,MATCH($I$1,Database!$A$1:$AS$1,),))))-(((VLOOKUP(EDATE(B211,-12),Database!$A:$AS,MATCH($I$1,Database!$A$1:$AS$1,),)))))/(((VLOOKUP(EDATE(B211,-12),Database!$A:$AS,MATCH($I$1,Database!$A$1:$AS$1,),))))</f>
        <v>8.298755189959043E-3</v>
      </c>
      <c r="J211" s="13">
        <f>((((VLOOKUP(B211,Database!$A:$AS,MATCH($J$1,Database!$A$1:$AS$1,),))))-(((VLOOKUP(EDATE(B211,-12),Database!$A:$AS,MATCH($J$1,Database!$A$1:$AS$1,),)))))/(((VLOOKUP(EDATE(B211,-12),Database!$A:$AS,MATCH($J$1,Database!$A$1:$AS$1,),))))</f>
        <v>2.80816483541779E-2</v>
      </c>
      <c r="K211" s="13">
        <f>((((VLOOKUP(B211,Database!$A:$AS,MATCH($K$1,Database!$A$1:$AS$1,),))))-(((VLOOKUP(EDATE(B211,-12),Database!$A:$AS,MATCH($K$1,Database!$A$1:$AS$1,),)))))/(((VLOOKUP(EDATE(B211,-12),Database!$A:$AS,MATCH($K$1,Database!$A$1:$AS$1,),))))</f>
        <v>-9.2165898592030289E-3</v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>3.3241668290467957E-2</v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>3.249044283780788E-2</v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>4.0275456214470186E-2</v>
      </c>
      <c r="O211" s="13">
        <f>((((VLOOKUP(B211,Database!$A:$AS,MATCH($O$1,Database!$A$1:$AS$1,),))))-(((VLOOKUP(EDATE(B211,-12),Database!$A:$AS,MATCH($O$1,Database!$A$1:$AS$1,),)))))/(((VLOOKUP(EDATE(B211,-12),Database!$A:$AS,MATCH($O$1,Database!$A$1:$AS$1,),))))</f>
        <v>2.3030861354134884E-2</v>
      </c>
      <c r="P211" s="13">
        <f>((((VLOOKUP(B211,Database!$A:$AS,MATCH($P$1,Database!$A$1:$AS$1,),))))-(((VLOOKUP(EDATE(B211,-12),Database!$A:$AS,MATCH($P$1,Database!$A$1:$AS$1,),)))))/(((VLOOKUP(EDATE(B211,-12),Database!$A:$AS,MATCH($P$1,Database!$A$1:$AS$1,),))))</f>
        <v>6.4469542072182834E-2</v>
      </c>
      <c r="Q211" s="13">
        <f>((((VLOOKUP(B211,Database!$A:$AS,MATCH($Q$1,Database!$A$1:$AS$1,),))))-(((VLOOKUP(EDATE(B211,-12),Database!$A:$AS,MATCH($Q$1,Database!$A$1:$AS$1,),)))))/(((VLOOKUP(EDATE(B211,-12),Database!$A:$AS,MATCH($Q$1,Database!$A$1:$AS$1,),))))</f>
        <v>1.7123287670380807E-2</v>
      </c>
      <c r="R211" s="13">
        <f>((((VLOOKUP(B211,Database!$A:$AS,MATCH($R$1,Database!$A$1:$AS$1,),))))-(((VLOOKUP(EDATE(B211,-12),Database!$A:$AS,MATCH($R$1,Database!$A$1:$AS$1,),)))))/(((VLOOKUP(EDATE(B211,-12),Database!$A:$AS,MATCH($R$1,Database!$A$1:$AS$1,),))))</f>
        <v>3.6109064111935527E-2</v>
      </c>
      <c r="S211" s="13">
        <f>((((VLOOKUP(B211,Database!$A:$AS,MATCH($S$1,Database!$A$1:$AS$1,),))))-(((VLOOKUP(EDATE(B211,-12),Database!$A:$AS,MATCH($S$1,Database!$A$1:$AS$1,),)))))/(((VLOOKUP(EDATE(B211,-12),Database!$A:$AS,MATCH($S$1,Database!$A$1:$AS$1,),))))</f>
        <v>0.1736596736574082</v>
      </c>
      <c r="T211" s="13">
        <f>((((VLOOKUP(B211,Database!$A:$AS,MATCH($T$1,Database!$A$1:$AS$1,),))))-(((VLOOKUP(EDATE(B211,-12),Database!$A:$AS,MATCH($T$1,Database!$A$1:$AS$1,),)))))/(((VLOOKUP(EDATE(B211,-12),Database!$A:$AS,MATCH($T$1,Database!$A$1:$AS$1,),))))</f>
        <v>0.12710280374708768</v>
      </c>
      <c r="U211" s="13">
        <f>((((VLOOKUP(B211,Database!$A:$AS,MATCH($U$1,Database!$A$1:$AS$1,),))))-(((VLOOKUP(EDATE(B211,-12),Database!$A:$AS,MATCH($U$1,Database!$A$1:$AS$1,),)))))/(((VLOOKUP(EDATE(B211,-12),Database!$A:$AS,MATCH($U$1,Database!$A$1:$AS$1,),))))</f>
        <v>3.0848329053304761E-2</v>
      </c>
      <c r="V211" s="13">
        <f>((((VLOOKUP(B211,Database!$A:$AS,MATCH($V$1,Database!$A$1:$AS$1,),))))-(((VLOOKUP(EDATE(B211,-12),Database!$A:$AS,MATCH($V$1,Database!$A$1:$AS$1,),)))))/(((VLOOKUP(EDATE(B211,-12),Database!$A:$AS,MATCH($V$1,Database!$A$1:$AS$1,),))))</f>
        <v>5.4145516074450013E-2</v>
      </c>
    </row>
    <row r="212" spans="1:22" s="83" customFormat="1" x14ac:dyDescent="0.2">
      <c r="A212" s="43"/>
      <c r="B212" s="78">
        <v>38596</v>
      </c>
      <c r="C212" s="13">
        <f>((((VLOOKUP(B212,Database!$A:$AS,MATCH($C$1,Database!$A$1:$AS$1,),))))-(((VLOOKUP(EDATE(B212,-12),Database!$A:$AS,MATCH($C$1,Database!$A$1:$AS$1,),)))))/(((VLOOKUP(EDATE(B212,-12),Database!$A:$AS,MATCH($C$1,Database!$A$1:$AS$1,),))))</f>
        <v>1.6709726387685822E-2</v>
      </c>
      <c r="D212" s="13">
        <f>((((VLOOKUP(B212,Database!$A:$AS,MATCH($D$1,Database!$A$1:$AS$1,),))))-(((VLOOKUP(EDATE(B212,-12),Database!$A:$AS,MATCH($D$1,Database!$A$1:$AS$1,),)))))/(((VLOOKUP(EDATE(B212,-12),Database!$A:$AS,MATCH($D$1,Database!$A$1:$AS$1,),))))</f>
        <v>1.6309887869520985E-2</v>
      </c>
      <c r="E212" s="13">
        <f>((((VLOOKUP(B212,Database!$A:$AS,MATCH($E$1,Database!$A$1:$AS$1,),))))-(((VLOOKUP(EDATE(B212,-12),Database!$A:$AS,MATCH($E$1,Database!$A$1:$AS$1,),)))))/(((VLOOKUP(EDATE(B212,-12),Database!$A:$AS,MATCH($E$1,Database!$A$1:$AS$1,),))))</f>
        <v>8.0402010097368089E-3</v>
      </c>
      <c r="F212" s="13">
        <f>((((VLOOKUP(B212,Database!$A:$AS,MATCH($F$1,Database!$A$1:$AS$1,),))))-(((VLOOKUP(EDATE(B212,-12),Database!$A:$AS,MATCH($F$1,Database!$A$1:$AS$1,),)))))/(((VLOOKUP(EDATE(B212,-12),Database!$A:$AS,MATCH($F$1,Database!$A$1:$AS$1,),))))</f>
        <v>4.8367593706626959E-2</v>
      </c>
      <c r="G212" s="13">
        <f>((((VLOOKUP(B212,Database!$A:$AS,MATCH($G$1,Database!$A$1:$AS$1,),))))-(((VLOOKUP(EDATE(B212,-12),Database!$A:$AS,MATCH($G$1,Database!$A$1:$AS$1,),)))))/(((VLOOKUP(EDATE(B212,-12),Database!$A:$AS,MATCH($G$1,Database!$A$1:$AS$1,),))))</f>
        <v>5.7860952897568086E-3</v>
      </c>
      <c r="H212" s="13">
        <f>((((VLOOKUP(B212,Database!$A:$AS,MATCH($H$1,Database!$A$1:$AS$1,),))))-(((VLOOKUP(EDATE(B212,-12),Database!$A:$AS,MATCH($H$1,Database!$A$1:$AS$1,),)))))/(((VLOOKUP(EDATE(B212,-12),Database!$A:$AS,MATCH($H$1,Database!$A$1:$AS$1,),))))</f>
        <v>-1.6210739618774658E-2</v>
      </c>
      <c r="I212" s="13">
        <f>((((VLOOKUP(B212,Database!$A:$AS,MATCH($I$1,Database!$A$1:$AS$1,),))))-(((VLOOKUP(EDATE(B212,-12),Database!$A:$AS,MATCH($I$1,Database!$A$1:$AS$1,),)))))/(((VLOOKUP(EDATE(B212,-12),Database!$A:$AS,MATCH($I$1,Database!$A$1:$AS$1,),))))</f>
        <v>-8.1833060261116001E-4</v>
      </c>
      <c r="J212" s="13">
        <f>((((VLOOKUP(B212,Database!$A:$AS,MATCH($J$1,Database!$A$1:$AS$1,),))))-(((VLOOKUP(EDATE(B212,-12),Database!$A:$AS,MATCH($J$1,Database!$A$1:$AS$1,),)))))/(((VLOOKUP(EDATE(B212,-12),Database!$A:$AS,MATCH($J$1,Database!$A$1:$AS$1,),))))</f>
        <v>4.4703993425457243E-3</v>
      </c>
      <c r="K212" s="13">
        <f>((((VLOOKUP(B212,Database!$A:$AS,MATCH($K$1,Database!$A$1:$AS$1,),))))-(((VLOOKUP(EDATE(B212,-12),Database!$A:$AS,MATCH($K$1,Database!$A$1:$AS$1,),)))))/(((VLOOKUP(EDATE(B212,-12),Database!$A:$AS,MATCH($K$1,Database!$A$1:$AS$1,),))))</f>
        <v>2.2038567496224223E-2</v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>2.7075838580869285E-2</v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>6.7422169100744125E-2</v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>1.8771041996379984E-2</v>
      </c>
      <c r="O212" s="13">
        <f>((((VLOOKUP(B212,Database!$A:$AS,MATCH($O$1,Database!$A$1:$AS$1,),))))-(((VLOOKUP(EDATE(B212,-12),Database!$A:$AS,MATCH($O$1,Database!$A$1:$AS$1,),)))))/(((VLOOKUP(EDATE(B212,-12),Database!$A:$AS,MATCH($O$1,Database!$A$1:$AS$1,),))))</f>
        <v>1.9688135598307198E-2</v>
      </c>
      <c r="P212" s="13">
        <f>((((VLOOKUP(B212,Database!$A:$AS,MATCH($P$1,Database!$A$1:$AS$1,),))))-(((VLOOKUP(EDATE(B212,-12),Database!$A:$AS,MATCH($P$1,Database!$A$1:$AS$1,),)))))/(((VLOOKUP(EDATE(B212,-12),Database!$A:$AS,MATCH($P$1,Database!$A$1:$AS$1,),))))</f>
        <v>5.0416023678113348E-2</v>
      </c>
      <c r="Q212" s="13">
        <f>((((VLOOKUP(B212,Database!$A:$AS,MATCH($Q$1,Database!$A$1:$AS$1,),))))-(((VLOOKUP(EDATE(B212,-12),Database!$A:$AS,MATCH($Q$1,Database!$A$1:$AS$1,),)))))/(((VLOOKUP(EDATE(B212,-12),Database!$A:$AS,MATCH($Q$1,Database!$A$1:$AS$1,),))))</f>
        <v>0</v>
      </c>
      <c r="R212" s="13">
        <f>((((VLOOKUP(B212,Database!$A:$AS,MATCH($R$1,Database!$A$1:$AS$1,),))))-(((VLOOKUP(EDATE(B212,-12),Database!$A:$AS,MATCH($R$1,Database!$A$1:$AS$1,),)))))/(((VLOOKUP(EDATE(B212,-12),Database!$A:$AS,MATCH($R$1,Database!$A$1:$AS$1,),))))</f>
        <v>-1.1732229124520478E-2</v>
      </c>
      <c r="S212" s="13">
        <f>((((VLOOKUP(B212,Database!$A:$AS,MATCH($S$1,Database!$A$1:$AS$1,),))))-(((VLOOKUP(EDATE(B212,-12),Database!$A:$AS,MATCH($S$1,Database!$A$1:$AS$1,),)))))/(((VLOOKUP(EDATE(B212,-12),Database!$A:$AS,MATCH($S$1,Database!$A$1:$AS$1,),))))</f>
        <v>3.4339229970643266E-2</v>
      </c>
      <c r="T212" s="13">
        <f>((((VLOOKUP(B212,Database!$A:$AS,MATCH($T$1,Database!$A$1:$AS$1,),))))-(((VLOOKUP(EDATE(B212,-12),Database!$A:$AS,MATCH($T$1,Database!$A$1:$AS$1,),)))))/(((VLOOKUP(EDATE(B212,-12),Database!$A:$AS,MATCH($T$1,Database!$A$1:$AS$1,),))))</f>
        <v>0.16412213740421594</v>
      </c>
      <c r="U212" s="13">
        <f>((((VLOOKUP(B212,Database!$A:$AS,MATCH($U$1,Database!$A$1:$AS$1,),))))-(((VLOOKUP(EDATE(B212,-12),Database!$A:$AS,MATCH($U$1,Database!$A$1:$AS$1,),)))))/(((VLOOKUP(EDATE(B212,-12),Database!$A:$AS,MATCH($U$1,Database!$A$1:$AS$1,),))))</f>
        <v>3.7419354835895563E-2</v>
      </c>
      <c r="V212" s="13">
        <f>((((VLOOKUP(B212,Database!$A:$AS,MATCH($V$1,Database!$A$1:$AS$1,),))))-(((VLOOKUP(EDATE(B212,-12),Database!$A:$AS,MATCH($V$1,Database!$A$1:$AS$1,),)))))/(((VLOOKUP(EDATE(B212,-12),Database!$A:$AS,MATCH($V$1,Database!$A$1:$AS$1,),))))</f>
        <v>6.0708263069139991E-2</v>
      </c>
    </row>
    <row r="213" spans="1:22" s="83" customFormat="1" x14ac:dyDescent="0.2">
      <c r="A213" s="43"/>
      <c r="B213" s="78">
        <v>38626</v>
      </c>
      <c r="C213" s="13">
        <f>((((VLOOKUP(B213,Database!$A:$AS,MATCH($C$1,Database!$A$1:$AS$1,),))))-(((VLOOKUP(EDATE(B213,-12),Database!$A:$AS,MATCH($C$1,Database!$A$1:$AS$1,),)))))/(((VLOOKUP(EDATE(B213,-12),Database!$A:$AS,MATCH($C$1,Database!$A$1:$AS$1,),))))</f>
        <v>1.9443846693800077E-2</v>
      </c>
      <c r="D213" s="13">
        <f>((((VLOOKUP(B213,Database!$A:$AS,MATCH($D$1,Database!$A$1:$AS$1,),))))-(((VLOOKUP(EDATE(B213,-12),Database!$A:$AS,MATCH($D$1,Database!$A$1:$AS$1,),)))))/(((VLOOKUP(EDATE(B213,-12),Database!$A:$AS,MATCH($D$1,Database!$A$1:$AS$1,),))))</f>
        <v>1.3184584178499102E-2</v>
      </c>
      <c r="E213" s="13">
        <f>((((VLOOKUP(B213,Database!$A:$AS,MATCH($E$1,Database!$A$1:$AS$1,),))))-(((VLOOKUP(EDATE(B213,-12),Database!$A:$AS,MATCH($E$1,Database!$A$1:$AS$1,),)))))/(((VLOOKUP(EDATE(B213,-12),Database!$A:$AS,MATCH($E$1,Database!$A$1:$AS$1,),))))</f>
        <v>1.8442622949815163E-2</v>
      </c>
      <c r="F213" s="13">
        <f>((((VLOOKUP(B213,Database!$A:$AS,MATCH($F$1,Database!$A$1:$AS$1,),))))-(((VLOOKUP(EDATE(B213,-12),Database!$A:$AS,MATCH($F$1,Database!$A$1:$AS$1,),)))))/(((VLOOKUP(EDATE(B213,-12),Database!$A:$AS,MATCH($F$1,Database!$A$1:$AS$1,),))))</f>
        <v>5.6152927121168601E-2</v>
      </c>
      <c r="G213" s="13">
        <f>((((VLOOKUP(B213,Database!$A:$AS,MATCH($G$1,Database!$A$1:$AS$1,),))))-(((VLOOKUP(EDATE(B213,-12),Database!$A:$AS,MATCH($G$1,Database!$A$1:$AS$1,),)))))/(((VLOOKUP(EDATE(B213,-12),Database!$A:$AS,MATCH($G$1,Database!$A$1:$AS$1,),))))</f>
        <v>-3.1048097631012149E-2</v>
      </c>
      <c r="H213" s="13">
        <f>((((VLOOKUP(B213,Database!$A:$AS,MATCH($H$1,Database!$A$1:$AS$1,),))))-(((VLOOKUP(EDATE(B213,-12),Database!$A:$AS,MATCH($H$1,Database!$A$1:$AS$1,),)))))/(((VLOOKUP(EDATE(B213,-12),Database!$A:$AS,MATCH($H$1,Database!$A$1:$AS$1,),))))</f>
        <v>-3.1746031744128267E-2</v>
      </c>
      <c r="I213" s="13">
        <f>((((VLOOKUP(B213,Database!$A:$AS,MATCH($I$1,Database!$A$1:$AS$1,),))))-(((VLOOKUP(EDATE(B213,-12),Database!$A:$AS,MATCH($I$1,Database!$A$1:$AS$1,),)))))/(((VLOOKUP(EDATE(B213,-12),Database!$A:$AS,MATCH($I$1,Database!$A$1:$AS$1,),))))</f>
        <v>-8.1168831200326644E-3</v>
      </c>
      <c r="J213" s="13">
        <f>((((VLOOKUP(B213,Database!$A:$AS,MATCH($J$1,Database!$A$1:$AS$1,),))))-(((VLOOKUP(EDATE(B213,-12),Database!$A:$AS,MATCH($J$1,Database!$A$1:$AS$1,),)))))/(((VLOOKUP(EDATE(B213,-12),Database!$A:$AS,MATCH($J$1,Database!$A$1:$AS$1,),))))</f>
        <v>5.0169878967680145E-3</v>
      </c>
      <c r="K213" s="13">
        <f>((((VLOOKUP(B213,Database!$A:$AS,MATCH($K$1,Database!$A$1:$AS$1,),))))-(((VLOOKUP(EDATE(B213,-12),Database!$A:$AS,MATCH($K$1,Database!$A$1:$AS$1,),)))))/(((VLOOKUP(EDATE(B213,-12),Database!$A:$AS,MATCH($K$1,Database!$A$1:$AS$1,),))))</f>
        <v>3.216911764737982E-2</v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>1.8373603483255497E-2</v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>6.0090708693801342E-2</v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>3.7604956290767523E-2</v>
      </c>
      <c r="O213" s="13">
        <f>((((VLOOKUP(B213,Database!$A:$AS,MATCH($O$1,Database!$A$1:$AS$1,),))))-(((VLOOKUP(EDATE(B213,-12),Database!$A:$AS,MATCH($O$1,Database!$A$1:$AS$1,),)))))/(((VLOOKUP(EDATE(B213,-12),Database!$A:$AS,MATCH($O$1,Database!$A$1:$AS$1,),))))</f>
        <v>2.1506631410974211E-2</v>
      </c>
      <c r="P213" s="13">
        <f>((((VLOOKUP(B213,Database!$A:$AS,MATCH($P$1,Database!$A$1:$AS$1,),))))-(((VLOOKUP(EDATE(B213,-12),Database!$A:$AS,MATCH($P$1,Database!$A$1:$AS$1,),)))))/(((VLOOKUP(EDATE(B213,-12),Database!$A:$AS,MATCH($P$1,Database!$A$1:$AS$1,),))))</f>
        <v>7.7181261426948117E-2</v>
      </c>
      <c r="Q213" s="13">
        <f>((((VLOOKUP(B213,Database!$A:$AS,MATCH($Q$1,Database!$A$1:$AS$1,),))))-(((VLOOKUP(EDATE(B213,-12),Database!$A:$AS,MATCH($Q$1,Database!$A$1:$AS$1,),)))))/(((VLOOKUP(EDATE(B213,-12),Database!$A:$AS,MATCH($Q$1,Database!$A$1:$AS$1,),))))</f>
        <v>1.1428571407218183E-3</v>
      </c>
      <c r="R213" s="13">
        <f>((((VLOOKUP(B213,Database!$A:$AS,MATCH($R$1,Database!$A$1:$AS$1,),))))-(((VLOOKUP(EDATE(B213,-12),Database!$A:$AS,MATCH($R$1,Database!$A$1:$AS$1,),)))))/(((VLOOKUP(EDATE(B213,-12),Database!$A:$AS,MATCH($R$1,Database!$A$1:$AS$1,),))))</f>
        <v>2.0923520921457057E-2</v>
      </c>
      <c r="S213" s="13">
        <f>((((VLOOKUP(B213,Database!$A:$AS,MATCH($S$1,Database!$A$1:$AS$1,),))))-(((VLOOKUP(EDATE(B213,-12),Database!$A:$AS,MATCH($S$1,Database!$A$1:$AS$1,),)))))/(((VLOOKUP(EDATE(B213,-12),Database!$A:$AS,MATCH($S$1,Database!$A$1:$AS$1,),))))</f>
        <v>4.3343653245337593E-2</v>
      </c>
      <c r="T213" s="13">
        <f>((((VLOOKUP(B213,Database!$A:$AS,MATCH($T$1,Database!$A$1:$AS$1,),))))-(((VLOOKUP(EDATE(B213,-12),Database!$A:$AS,MATCH($T$1,Database!$A$1:$AS$1,),)))))/(((VLOOKUP(EDATE(B213,-12),Database!$A:$AS,MATCH($T$1,Database!$A$1:$AS$1,),))))</f>
        <v>0.22529644268321602</v>
      </c>
      <c r="U213" s="13">
        <f>((((VLOOKUP(B213,Database!$A:$AS,MATCH($U$1,Database!$A$1:$AS$1,),))))-(((VLOOKUP(EDATE(B213,-12),Database!$A:$AS,MATCH($U$1,Database!$A$1:$AS$1,),)))))/(((VLOOKUP(EDATE(B213,-12),Database!$A:$AS,MATCH($U$1,Database!$A$1:$AS$1,),))))</f>
        <v>3.7037037034198569E-2</v>
      </c>
      <c r="V213" s="13">
        <f>((((VLOOKUP(B213,Database!$A:$AS,MATCH($V$1,Database!$A$1:$AS$1,),))))-(((VLOOKUP(EDATE(B213,-12),Database!$A:$AS,MATCH($V$1,Database!$A$1:$AS$1,),)))))/(((VLOOKUP(EDATE(B213,-12),Database!$A:$AS,MATCH($V$1,Database!$A$1:$AS$1,),))))</f>
        <v>7.8464106844741172E-2</v>
      </c>
    </row>
    <row r="214" spans="1:22" s="83" customFormat="1" x14ac:dyDescent="0.2">
      <c r="A214" s="43"/>
      <c r="B214" s="78">
        <v>38657</v>
      </c>
      <c r="C214" s="13">
        <f>((((VLOOKUP(B214,Database!$A:$AS,MATCH($C$1,Database!$A$1:$AS$1,),))))-(((VLOOKUP(EDATE(B214,-12),Database!$A:$AS,MATCH($C$1,Database!$A$1:$AS$1,),)))))/(((VLOOKUP(EDATE(B214,-12),Database!$A:$AS,MATCH($C$1,Database!$A$1:$AS$1,),))))</f>
        <v>2.7733146461799599E-2</v>
      </c>
      <c r="D214" s="13">
        <f>((((VLOOKUP(B214,Database!$A:$AS,MATCH($D$1,Database!$A$1:$AS$1,),))))-(((VLOOKUP(EDATE(B214,-12),Database!$A:$AS,MATCH($D$1,Database!$A$1:$AS$1,),)))))/(((VLOOKUP(EDATE(B214,-12),Database!$A:$AS,MATCH($D$1,Database!$A$1:$AS$1,),))))</f>
        <v>4.3121149897330478E-2</v>
      </c>
      <c r="E214" s="13">
        <f>((((VLOOKUP(B214,Database!$A:$AS,MATCH($E$1,Database!$A$1:$AS$1,),))))-(((VLOOKUP(EDATE(B214,-12),Database!$A:$AS,MATCH($E$1,Database!$A$1:$AS$1,),)))))/(((VLOOKUP(EDATE(B214,-12),Database!$A:$AS,MATCH($E$1,Database!$A$1:$AS$1,),))))</f>
        <v>2.631578946804768E-2</v>
      </c>
      <c r="F214" s="13">
        <f>((((VLOOKUP(B214,Database!$A:$AS,MATCH($F$1,Database!$A$1:$AS$1,),))))-(((VLOOKUP(EDATE(B214,-12),Database!$A:$AS,MATCH($F$1,Database!$A$1:$AS$1,),)))))/(((VLOOKUP(EDATE(B214,-12),Database!$A:$AS,MATCH($F$1,Database!$A$1:$AS$1,),))))</f>
        <v>6.1968408269689391E-2</v>
      </c>
      <c r="G214" s="13">
        <f>((((VLOOKUP(B214,Database!$A:$AS,MATCH($G$1,Database!$A$1:$AS$1,),))))-(((VLOOKUP(EDATE(B214,-12),Database!$A:$AS,MATCH($G$1,Database!$A$1:$AS$1,),)))))/(((VLOOKUP(EDATE(B214,-12),Database!$A:$AS,MATCH($G$1,Database!$A$1:$AS$1,),))))</f>
        <v>2.4911032028469657E-2</v>
      </c>
      <c r="H214" s="13">
        <f>((((VLOOKUP(B214,Database!$A:$AS,MATCH($H$1,Database!$A$1:$AS$1,),))))-(((VLOOKUP(EDATE(B214,-12),Database!$A:$AS,MATCH($H$1,Database!$A$1:$AS$1,),)))))/(((VLOOKUP(EDATE(B214,-12),Database!$A:$AS,MATCH($H$1,Database!$A$1:$AS$1,),))))</f>
        <v>-3.4414945920458503E-2</v>
      </c>
      <c r="I214" s="13">
        <f>((((VLOOKUP(B214,Database!$A:$AS,MATCH($I$1,Database!$A$1:$AS$1,),))))-(((VLOOKUP(EDATE(B214,-12),Database!$A:$AS,MATCH($I$1,Database!$A$1:$AS$1,),)))))/(((VLOOKUP(EDATE(B214,-12),Database!$A:$AS,MATCH($I$1,Database!$A$1:$AS$1,),))))</f>
        <v>1.8976897687195508E-2</v>
      </c>
      <c r="J214" s="13">
        <f>((((VLOOKUP(B214,Database!$A:$AS,MATCH($J$1,Database!$A$1:$AS$1,),))))-(((VLOOKUP(EDATE(B214,-12),Database!$A:$AS,MATCH($J$1,Database!$A$1:$AS$1,),)))))/(((VLOOKUP(EDATE(B214,-12),Database!$A:$AS,MATCH($J$1,Database!$A$1:$AS$1,),))))</f>
        <v>1.272024132353748E-2</v>
      </c>
      <c r="K214" s="13">
        <f>((((VLOOKUP(B214,Database!$A:$AS,MATCH($K$1,Database!$A$1:$AS$1,),))))-(((VLOOKUP(EDATE(B214,-12),Database!$A:$AS,MATCH($K$1,Database!$A$1:$AS$1,),)))))/(((VLOOKUP(EDATE(B214,-12),Database!$A:$AS,MATCH($K$1,Database!$A$1:$AS$1,),))))</f>
        <v>7.3260073331515019E-3</v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>3.6464476340993028E-2</v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>5.6958978551208871E-2</v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>2.3287902667943127E-2</v>
      </c>
      <c r="O214" s="13">
        <f>((((VLOOKUP(B214,Database!$A:$AS,MATCH($O$1,Database!$A$1:$AS$1,),))))-(((VLOOKUP(EDATE(B214,-12),Database!$A:$AS,MATCH($O$1,Database!$A$1:$AS$1,),)))))/(((VLOOKUP(EDATE(B214,-12),Database!$A:$AS,MATCH($O$1,Database!$A$1:$AS$1,),))))</f>
        <v>2.9212513367249993E-2</v>
      </c>
      <c r="P214" s="13">
        <f>((((VLOOKUP(B214,Database!$A:$AS,MATCH($P$1,Database!$A$1:$AS$1,),))))-(((VLOOKUP(EDATE(B214,-12),Database!$A:$AS,MATCH($P$1,Database!$A$1:$AS$1,),)))))/(((VLOOKUP(EDATE(B214,-12),Database!$A:$AS,MATCH($P$1,Database!$A$1:$AS$1,),))))</f>
        <v>0.1045672888903892</v>
      </c>
      <c r="Q214" s="13">
        <f>((((VLOOKUP(B214,Database!$A:$AS,MATCH($Q$1,Database!$A$1:$AS$1,),))))-(((VLOOKUP(EDATE(B214,-12),Database!$A:$AS,MATCH($Q$1,Database!$A$1:$AS$1,),)))))/(((VLOOKUP(EDATE(B214,-12),Database!$A:$AS,MATCH($Q$1,Database!$A$1:$AS$1,),))))</f>
        <v>1.3729977111806069E-2</v>
      </c>
      <c r="R214" s="13">
        <f>((((VLOOKUP(B214,Database!$A:$AS,MATCH($R$1,Database!$A$1:$AS$1,),))))-(((VLOOKUP(EDATE(B214,-12),Database!$A:$AS,MATCH($R$1,Database!$A$1:$AS$1,),)))))/(((VLOOKUP(EDATE(B214,-12),Database!$A:$AS,MATCH($R$1,Database!$A$1:$AS$1,),))))</f>
        <v>-1.3221990261422515E-2</v>
      </c>
      <c r="S214" s="13">
        <f>((((VLOOKUP(B214,Database!$A:$AS,MATCH($S$1,Database!$A$1:$AS$1,),))))-(((VLOOKUP(EDATE(B214,-12),Database!$A:$AS,MATCH($S$1,Database!$A$1:$AS$1,),)))))/(((VLOOKUP(EDATE(B214,-12),Database!$A:$AS,MATCH($S$1,Database!$A$1:$AS$1,),))))</f>
        <v>0.19937369519062029</v>
      </c>
      <c r="T214" s="13">
        <f>((((VLOOKUP(B214,Database!$A:$AS,MATCH($T$1,Database!$A$1:$AS$1,),))))-(((VLOOKUP(EDATE(B214,-12),Database!$A:$AS,MATCH($T$1,Database!$A$1:$AS$1,),)))))/(((VLOOKUP(EDATE(B214,-12),Database!$A:$AS,MATCH($T$1,Database!$A$1:$AS$1,),))))</f>
        <v>0.22200392927605681</v>
      </c>
      <c r="U214" s="13">
        <f>((((VLOOKUP(B214,Database!$A:$AS,MATCH($U$1,Database!$A$1:$AS$1,),))))-(((VLOOKUP(EDATE(B214,-12),Database!$A:$AS,MATCH($U$1,Database!$A$1:$AS$1,),)))))/(((VLOOKUP(EDATE(B214,-12),Database!$A:$AS,MATCH($U$1,Database!$A$1:$AS$1,),))))</f>
        <v>5.1020408157667757E-2</v>
      </c>
      <c r="V214" s="13">
        <f>((((VLOOKUP(B214,Database!$A:$AS,MATCH($V$1,Database!$A$1:$AS$1,),))))-(((VLOOKUP(EDATE(B214,-12),Database!$A:$AS,MATCH($V$1,Database!$A$1:$AS$1,),)))))/(((VLOOKUP(EDATE(B214,-12),Database!$A:$AS,MATCH($V$1,Database!$A$1:$AS$1,),))))</f>
        <v>9.1210613598673301E-2</v>
      </c>
    </row>
    <row r="215" spans="1:22" s="83" customFormat="1" x14ac:dyDescent="0.2">
      <c r="A215" s="43"/>
      <c r="B215" s="78">
        <v>38687</v>
      </c>
      <c r="C215" s="13">
        <f>((((VLOOKUP(B215,Database!$A:$AS,MATCH($C$1,Database!$A$1:$AS$1,),))))-(((VLOOKUP(EDATE(B215,-12),Database!$A:$AS,MATCH($C$1,Database!$A$1:$AS$1,),)))))/(((VLOOKUP(EDATE(B215,-12),Database!$A:$AS,MATCH($C$1,Database!$A$1:$AS$1,),))))</f>
        <v>2.5772038354444016E-2</v>
      </c>
      <c r="D215" s="13">
        <f>((((VLOOKUP(B215,Database!$A:$AS,MATCH($D$1,Database!$A$1:$AS$1,),))))-(((VLOOKUP(EDATE(B215,-12),Database!$A:$AS,MATCH($D$1,Database!$A$1:$AS$1,),)))))/(((VLOOKUP(EDATE(B215,-12),Database!$A:$AS,MATCH($D$1,Database!$A$1:$AS$1,),))))</f>
        <v>3.0769230769230771E-2</v>
      </c>
      <c r="E215" s="13">
        <f>((((VLOOKUP(B215,Database!$A:$AS,MATCH($E$1,Database!$A$1:$AS$1,),))))-(((VLOOKUP(EDATE(B215,-12),Database!$A:$AS,MATCH($E$1,Database!$A$1:$AS$1,),)))))/(((VLOOKUP(EDATE(B215,-12),Database!$A:$AS,MATCH($E$1,Database!$A$1:$AS$1,),))))</f>
        <v>4.4102564096466623E-2</v>
      </c>
      <c r="F215" s="13">
        <f>((((VLOOKUP(B215,Database!$A:$AS,MATCH($F$1,Database!$A$1:$AS$1,),))))-(((VLOOKUP(EDATE(B215,-12),Database!$A:$AS,MATCH($F$1,Database!$A$1:$AS$1,),)))))/(((VLOOKUP(EDATE(B215,-12),Database!$A:$AS,MATCH($F$1,Database!$A$1:$AS$1,),))))</f>
        <v>6.4713064711171192E-2</v>
      </c>
      <c r="G215" s="13">
        <f>((((VLOOKUP(B215,Database!$A:$AS,MATCH($G$1,Database!$A$1:$AS$1,),))))-(((VLOOKUP(EDATE(B215,-12),Database!$A:$AS,MATCH($G$1,Database!$A$1:$AS$1,),)))))/(((VLOOKUP(EDATE(B215,-12),Database!$A:$AS,MATCH($G$1,Database!$A$1:$AS$1,),))))</f>
        <v>1.0471680932434946E-2</v>
      </c>
      <c r="H215" s="13">
        <f>((((VLOOKUP(B215,Database!$A:$AS,MATCH($H$1,Database!$A$1:$AS$1,),))))-(((VLOOKUP(EDATE(B215,-12),Database!$A:$AS,MATCH($H$1,Database!$A$1:$AS$1,),)))))/(((VLOOKUP(EDATE(B215,-12),Database!$A:$AS,MATCH($H$1,Database!$A$1:$AS$1,),))))</f>
        <v>-9.0634441085632907E-3</v>
      </c>
      <c r="I215" s="13">
        <f>((((VLOOKUP(B215,Database!$A:$AS,MATCH($I$1,Database!$A$1:$AS$1,),))))-(((VLOOKUP(EDATE(B215,-12),Database!$A:$AS,MATCH($I$1,Database!$A$1:$AS$1,),)))))/(((VLOOKUP(EDATE(B215,-12),Database!$A:$AS,MATCH($I$1,Database!$A$1:$AS$1,),))))</f>
        <v>1.1637572734408049E-2</v>
      </c>
      <c r="J215" s="13">
        <f>((((VLOOKUP(B215,Database!$A:$AS,MATCH($J$1,Database!$A$1:$AS$1,),))))-(((VLOOKUP(EDATE(B215,-12),Database!$A:$AS,MATCH($J$1,Database!$A$1:$AS$1,),)))))/(((VLOOKUP(EDATE(B215,-12),Database!$A:$AS,MATCH($J$1,Database!$A$1:$AS$1,),))))</f>
        <v>4.6919049543688772E-2</v>
      </c>
      <c r="K215" s="13">
        <f>((((VLOOKUP(B215,Database!$A:$AS,MATCH($K$1,Database!$A$1:$AS$1,),))))-(((VLOOKUP(EDATE(B215,-12),Database!$A:$AS,MATCH($K$1,Database!$A$1:$AS$1,),)))))/(((VLOOKUP(EDATE(B215,-12),Database!$A:$AS,MATCH($K$1,Database!$A$1:$AS$1,),))))</f>
        <v>3.8058991435740257E-2</v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>5.3144198864208035E-2</v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>5.6967635318474305E-2</v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>5.312174785485186E-2</v>
      </c>
      <c r="O215" s="13">
        <f>((((VLOOKUP(B215,Database!$A:$AS,MATCH($O$1,Database!$A$1:$AS$1,),))))-(((VLOOKUP(EDATE(B215,-12),Database!$A:$AS,MATCH($O$1,Database!$A$1:$AS$1,),)))))/(((VLOOKUP(EDATE(B215,-12),Database!$A:$AS,MATCH($O$1,Database!$A$1:$AS$1,),))))</f>
        <v>3.5538640581640205E-2</v>
      </c>
      <c r="P215" s="13">
        <f>((((VLOOKUP(B215,Database!$A:$AS,MATCH($P$1,Database!$A$1:$AS$1,),))))-(((VLOOKUP(EDATE(B215,-12),Database!$A:$AS,MATCH($P$1,Database!$A$1:$AS$1,),)))))/(((VLOOKUP(EDATE(B215,-12),Database!$A:$AS,MATCH($P$1,Database!$A$1:$AS$1,),))))</f>
        <v>8.9396100805904197E-2</v>
      </c>
      <c r="Q215" s="13">
        <f>((((VLOOKUP(B215,Database!$A:$AS,MATCH($Q$1,Database!$A$1:$AS$1,),))))-(((VLOOKUP(EDATE(B215,-12),Database!$A:$AS,MATCH($Q$1,Database!$A$1:$AS$1,),)))))/(((VLOOKUP(EDATE(B215,-12),Database!$A:$AS,MATCH($Q$1,Database!$A$1:$AS$1,),))))</f>
        <v>2.3755656105273321E-2</v>
      </c>
      <c r="R215" s="13">
        <f>((((VLOOKUP(B215,Database!$A:$AS,MATCH($R$1,Database!$A$1:$AS$1,),))))-(((VLOOKUP(EDATE(B215,-12),Database!$A:$AS,MATCH($R$1,Database!$A$1:$AS$1,),)))))/(((VLOOKUP(EDATE(B215,-12),Database!$A:$AS,MATCH($R$1,Database!$A$1:$AS$1,),))))</f>
        <v>-2.0422535209212018E-2</v>
      </c>
      <c r="S215" s="13">
        <f>((((VLOOKUP(B215,Database!$A:$AS,MATCH($S$1,Database!$A$1:$AS$1,),))))-(((VLOOKUP(EDATE(B215,-12),Database!$A:$AS,MATCH($S$1,Database!$A$1:$AS$1,),)))))/(((VLOOKUP(EDATE(B215,-12),Database!$A:$AS,MATCH($S$1,Database!$A$1:$AS$1,),))))</f>
        <v>-4.8387096775563181E-2</v>
      </c>
      <c r="T215" s="13">
        <f>((((VLOOKUP(B215,Database!$A:$AS,MATCH($T$1,Database!$A$1:$AS$1,),))))-(((VLOOKUP(EDATE(B215,-12),Database!$A:$AS,MATCH($T$1,Database!$A$1:$AS$1,),)))))/(((VLOOKUP(EDATE(B215,-12),Database!$A:$AS,MATCH($T$1,Database!$A$1:$AS$1,),))))</f>
        <v>0.18918918918188399</v>
      </c>
      <c r="U215" s="13">
        <f>((((VLOOKUP(B215,Database!$A:$AS,MATCH($U$1,Database!$A$1:$AS$1,),))))-(((VLOOKUP(EDATE(B215,-12),Database!$A:$AS,MATCH($U$1,Database!$A$1:$AS$1,),)))))/(((VLOOKUP(EDATE(B215,-12),Database!$A:$AS,MATCH($U$1,Database!$A$1:$AS$1,),))))</f>
        <v>6.0567010306587538E-2</v>
      </c>
      <c r="V215" s="13">
        <f>((((VLOOKUP(B215,Database!$A:$AS,MATCH($V$1,Database!$A$1:$AS$1,),))))-(((VLOOKUP(EDATE(B215,-12),Database!$A:$AS,MATCH($V$1,Database!$A$1:$AS$1,),)))))/(((VLOOKUP(EDATE(B215,-12),Database!$A:$AS,MATCH($V$1,Database!$A$1:$AS$1,),))))</f>
        <v>0.15344827586206905</v>
      </c>
    </row>
    <row r="216" spans="1:22" s="83" customFormat="1" x14ac:dyDescent="0.2">
      <c r="A216" s="43"/>
      <c r="B216" s="78">
        <v>38718</v>
      </c>
      <c r="C216" s="13">
        <f>((((VLOOKUP(B216,Database!$A:$AS,MATCH($C$1,Database!$A$1:$AS$1,),))))-(((VLOOKUP(EDATE(B216,-12),Database!$A:$AS,MATCH($C$1,Database!$A$1:$AS$1,),)))))/(((VLOOKUP(EDATE(B216,-12),Database!$A:$AS,MATCH($C$1,Database!$A$1:$AS$1,),))))</f>
        <v>2.3085550432255988E-2</v>
      </c>
      <c r="D216" s="13">
        <f>((((VLOOKUP(B216,Database!$A:$AS,MATCH($D$1,Database!$A$1:$AS$1,),))))-(((VLOOKUP(EDATE(B216,-12),Database!$A:$AS,MATCH($D$1,Database!$A$1:$AS$1,),)))))/(((VLOOKUP(EDATE(B216,-12),Database!$A:$AS,MATCH($D$1,Database!$A$1:$AS$1,),))))</f>
        <v>3.0518819938962362E-2</v>
      </c>
      <c r="E216" s="13">
        <f>((((VLOOKUP(B216,Database!$A:$AS,MATCH($E$1,Database!$A$1:$AS$1,),))))-(((VLOOKUP(EDATE(B216,-12),Database!$A:$AS,MATCH($E$1,Database!$A$1:$AS$1,),)))))/(((VLOOKUP(EDATE(B216,-12),Database!$A:$AS,MATCH($E$1,Database!$A$1:$AS$1,),))))</f>
        <v>2.3046092189846656E-2</v>
      </c>
      <c r="F216" s="13">
        <f>((((VLOOKUP(B216,Database!$A:$AS,MATCH($F$1,Database!$A$1:$AS$1,),))))-(((VLOOKUP(EDATE(B216,-12),Database!$A:$AS,MATCH($F$1,Database!$A$1:$AS$1,),)))))/(((VLOOKUP(EDATE(B216,-12),Database!$A:$AS,MATCH($F$1,Database!$A$1:$AS$1,),))))</f>
        <v>3.9099526067235289E-2</v>
      </c>
      <c r="G216" s="13">
        <f>((((VLOOKUP(B216,Database!$A:$AS,MATCH($G$1,Database!$A$1:$AS$1,),))))-(((VLOOKUP(EDATE(B216,-12),Database!$A:$AS,MATCH($G$1,Database!$A$1:$AS$1,),)))))/(((VLOOKUP(EDATE(B216,-12),Database!$A:$AS,MATCH($G$1,Database!$A$1:$AS$1,),))))</f>
        <v>-1.236337573911494E-2</v>
      </c>
      <c r="H216" s="13">
        <f>((((VLOOKUP(B216,Database!$A:$AS,MATCH($H$1,Database!$A$1:$AS$1,),))))-(((VLOOKUP(EDATE(B216,-12),Database!$A:$AS,MATCH($H$1,Database!$A$1:$AS$1,),)))))/(((VLOOKUP(EDATE(B216,-12),Database!$A:$AS,MATCH($H$1,Database!$A$1:$AS$1,),))))</f>
        <v>2.3760330576785622E-2</v>
      </c>
      <c r="I216" s="13">
        <f>((((VLOOKUP(B216,Database!$A:$AS,MATCH($I$1,Database!$A$1:$AS$1,),))))-(((VLOOKUP(EDATE(B216,-12),Database!$A:$AS,MATCH($I$1,Database!$A$1:$AS$1,),)))))/(((VLOOKUP(EDATE(B216,-12),Database!$A:$AS,MATCH($I$1,Database!$A$1:$AS$1,),))))</f>
        <v>1.4950166108776107E-2</v>
      </c>
      <c r="J216" s="13">
        <f>((((VLOOKUP(B216,Database!$A:$AS,MATCH($J$1,Database!$A$1:$AS$1,),))))-(((VLOOKUP(EDATE(B216,-12),Database!$A:$AS,MATCH($J$1,Database!$A$1:$AS$1,),)))))/(((VLOOKUP(EDATE(B216,-12),Database!$A:$AS,MATCH($J$1,Database!$A$1:$AS$1,),))))</f>
        <v>4.545017467962259E-2</v>
      </c>
      <c r="K216" s="13">
        <f>((((VLOOKUP(B216,Database!$A:$AS,MATCH($K$1,Database!$A$1:$AS$1,),))))-(((VLOOKUP(EDATE(B216,-12),Database!$A:$AS,MATCH($K$1,Database!$A$1:$AS$1,),)))))/(((VLOOKUP(EDATE(B216,-12),Database!$A:$AS,MATCH($K$1,Database!$A$1:$AS$1,),))))</f>
        <v>6.9943289234135744E-2</v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>4.1763024579726193E-2</v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>6.5680139897411727E-2</v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>7.112383241860866E-2</v>
      </c>
      <c r="O216" s="13">
        <f>((((VLOOKUP(B216,Database!$A:$AS,MATCH($O$1,Database!$A$1:$AS$1,),))))-(((VLOOKUP(EDATE(B216,-12),Database!$A:$AS,MATCH($O$1,Database!$A$1:$AS$1,),)))))/(((VLOOKUP(EDATE(B216,-12),Database!$A:$AS,MATCH($O$1,Database!$A$1:$AS$1,),))))</f>
        <v>1.8088810319869711E-2</v>
      </c>
      <c r="P216" s="13">
        <f>((((VLOOKUP(B216,Database!$A:$AS,MATCH($P$1,Database!$A$1:$AS$1,),))))-(((VLOOKUP(EDATE(B216,-12),Database!$A:$AS,MATCH($P$1,Database!$A$1:$AS$1,),)))))/(((VLOOKUP(EDATE(B216,-12),Database!$A:$AS,MATCH($P$1,Database!$A$1:$AS$1,),))))</f>
        <v>9.8472222217399222E-2</v>
      </c>
      <c r="Q216" s="13">
        <f>((((VLOOKUP(B216,Database!$A:$AS,MATCH($Q$1,Database!$A$1:$AS$1,),))))-(((VLOOKUP(EDATE(B216,-12),Database!$A:$AS,MATCH($Q$1,Database!$A$1:$AS$1,),)))))/(((VLOOKUP(EDATE(B216,-12),Database!$A:$AS,MATCH($Q$1,Database!$A$1:$AS$1,),))))</f>
        <v>2.3675310030416459E-2</v>
      </c>
      <c r="R216" s="13">
        <f>((((VLOOKUP(B216,Database!$A:$AS,MATCH($R$1,Database!$A$1:$AS$1,),))))-(((VLOOKUP(EDATE(B216,-12),Database!$A:$AS,MATCH($R$1,Database!$A$1:$AS$1,),)))))/(((VLOOKUP(EDATE(B216,-12),Database!$A:$AS,MATCH($R$1,Database!$A$1:$AS$1,),))))</f>
        <v>-3.9078855547645862E-2</v>
      </c>
      <c r="S216" s="13">
        <f>((((VLOOKUP(B216,Database!$A:$AS,MATCH($S$1,Database!$A$1:$AS$1,),))))-(((VLOOKUP(EDATE(B216,-12),Database!$A:$AS,MATCH($S$1,Database!$A$1:$AS$1,),)))))/(((VLOOKUP(EDATE(B216,-12),Database!$A:$AS,MATCH($S$1,Database!$A$1:$AS$1,),))))</f>
        <v>9.5041322300025932E-2</v>
      </c>
      <c r="T216" s="13">
        <f>((((VLOOKUP(B216,Database!$A:$AS,MATCH($T$1,Database!$A$1:$AS$1,),))))-(((VLOOKUP(EDATE(B216,-12),Database!$A:$AS,MATCH($T$1,Database!$A$1:$AS$1,),)))))/(((VLOOKUP(EDATE(B216,-12),Database!$A:$AS,MATCH($T$1,Database!$A$1:$AS$1,),))))</f>
        <v>3.1561461796531055E-2</v>
      </c>
      <c r="U216" s="13">
        <f>((((VLOOKUP(B216,Database!$A:$AS,MATCH($U$1,Database!$A$1:$AS$1,),))))-(((VLOOKUP(EDATE(B216,-12),Database!$A:$AS,MATCH($U$1,Database!$A$1:$AS$1,),)))))/(((VLOOKUP(EDATE(B216,-12),Database!$A:$AS,MATCH($U$1,Database!$A$1:$AS$1,),))))</f>
        <v>8.5381630008500922E-2</v>
      </c>
      <c r="V216" s="13">
        <f>((((VLOOKUP(B216,Database!$A:$AS,MATCH($V$1,Database!$A$1:$AS$1,),))))-(((VLOOKUP(EDATE(B216,-12),Database!$A:$AS,MATCH($V$1,Database!$A$1:$AS$1,),)))))/(((VLOOKUP(EDATE(B216,-12),Database!$A:$AS,MATCH($V$1,Database!$A$1:$AS$1,),))))</f>
        <v>7.9338842975206561E-2</v>
      </c>
    </row>
    <row r="217" spans="1:22" s="83" customFormat="1" x14ac:dyDescent="0.2">
      <c r="A217" s="43"/>
      <c r="B217" s="78">
        <v>38749</v>
      </c>
      <c r="C217" s="13">
        <f>((((VLOOKUP(B217,Database!$A:$AS,MATCH($C$1,Database!$A$1:$AS$1,),))))-(((VLOOKUP(EDATE(B217,-12),Database!$A:$AS,MATCH($C$1,Database!$A$1:$AS$1,),)))))/(((VLOOKUP(EDATE(B217,-12),Database!$A:$AS,MATCH($C$1,Database!$A$1:$AS$1,),))))</f>
        <v>1.5711629823669183E-2</v>
      </c>
      <c r="D217" s="13">
        <f>((((VLOOKUP(B217,Database!$A:$AS,MATCH($D$1,Database!$A$1:$AS$1,),))))-(((VLOOKUP(EDATE(B217,-12),Database!$A:$AS,MATCH($D$1,Database!$A$1:$AS$1,),)))))/(((VLOOKUP(EDATE(B217,-12),Database!$A:$AS,MATCH($D$1,Database!$A$1:$AS$1,),))))</f>
        <v>3.1600407747196829E-2</v>
      </c>
      <c r="E217" s="13">
        <f>((((VLOOKUP(B217,Database!$A:$AS,MATCH($E$1,Database!$A$1:$AS$1,),))))-(((VLOOKUP(EDATE(B217,-12),Database!$A:$AS,MATCH($E$1,Database!$A$1:$AS$1,),)))))/(((VLOOKUP(EDATE(B217,-12),Database!$A:$AS,MATCH($E$1,Database!$A$1:$AS$1,),))))</f>
        <v>2.1042084165722477E-2</v>
      </c>
      <c r="F217" s="13">
        <f>((((VLOOKUP(B217,Database!$A:$AS,MATCH($F$1,Database!$A$1:$AS$1,),))))-(((VLOOKUP(EDATE(B217,-12),Database!$A:$AS,MATCH($F$1,Database!$A$1:$AS$1,),)))))/(((VLOOKUP(EDATE(B217,-12),Database!$A:$AS,MATCH($F$1,Database!$A$1:$AS$1,),))))</f>
        <v>6.1371841150281763E-2</v>
      </c>
      <c r="G217" s="13">
        <f>((((VLOOKUP(B217,Database!$A:$AS,MATCH($G$1,Database!$A$1:$AS$1,),))))-(((VLOOKUP(EDATE(B217,-12),Database!$A:$AS,MATCH($G$1,Database!$A$1:$AS$1,),)))))/(((VLOOKUP(EDATE(B217,-12),Database!$A:$AS,MATCH($G$1,Database!$A$1:$AS$1,),))))</f>
        <v>-7.6121431807883028E-3</v>
      </c>
      <c r="H217" s="13">
        <f>((((VLOOKUP(B217,Database!$A:$AS,MATCH($H$1,Database!$A$1:$AS$1,),))))-(((VLOOKUP(EDATE(B217,-12),Database!$A:$AS,MATCH($H$1,Database!$A$1:$AS$1,),)))))/(((VLOOKUP(EDATE(B217,-12),Database!$A:$AS,MATCH($H$1,Database!$A$1:$AS$1,),))))</f>
        <v>3.2838983051223146E-2</v>
      </c>
      <c r="I217" s="13">
        <f>((((VLOOKUP(B217,Database!$A:$AS,MATCH($I$1,Database!$A$1:$AS$1,),))))-(((VLOOKUP(EDATE(B217,-12),Database!$A:$AS,MATCH($I$1,Database!$A$1:$AS$1,),)))))/(((VLOOKUP(EDATE(B217,-12),Database!$A:$AS,MATCH($I$1,Database!$A$1:$AS$1,),))))</f>
        <v>2.9776674937862548E-2</v>
      </c>
      <c r="J217" s="13">
        <f>((((VLOOKUP(B217,Database!$A:$AS,MATCH($J$1,Database!$A$1:$AS$1,),))))-(((VLOOKUP(EDATE(B217,-12),Database!$A:$AS,MATCH($J$1,Database!$A$1:$AS$1,),)))))/(((VLOOKUP(EDATE(B217,-12),Database!$A:$AS,MATCH($J$1,Database!$A$1:$AS$1,),))))</f>
        <v>3.9262348578927395E-2</v>
      </c>
      <c r="K217" s="13">
        <f>((((VLOOKUP(B217,Database!$A:$AS,MATCH($K$1,Database!$A$1:$AS$1,),))))-(((VLOOKUP(EDATE(B217,-12),Database!$A:$AS,MATCH($K$1,Database!$A$1:$AS$1,),)))))/(((VLOOKUP(EDATE(B217,-12),Database!$A:$AS,MATCH($K$1,Database!$A$1:$AS$1,),))))</f>
        <v>5.4249547905229354E-3</v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>3.5250326580158309E-2</v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>1.9636226008113097E-2</v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>6.3418375357393711E-2</v>
      </c>
      <c r="O217" s="13">
        <f>((((VLOOKUP(B217,Database!$A:$AS,MATCH($O$1,Database!$A$1:$AS$1,),))))-(((VLOOKUP(EDATE(B217,-12),Database!$A:$AS,MATCH($O$1,Database!$A$1:$AS$1,),)))))/(((VLOOKUP(EDATE(B217,-12),Database!$A:$AS,MATCH($O$1,Database!$A$1:$AS$1,),))))</f>
        <v>2.6057124923252739E-2</v>
      </c>
      <c r="P217" s="13">
        <f>((((VLOOKUP(B217,Database!$A:$AS,MATCH($P$1,Database!$A$1:$AS$1,),))))-(((VLOOKUP(EDATE(B217,-12),Database!$A:$AS,MATCH($P$1,Database!$A$1:$AS$1,),)))))/(((VLOOKUP(EDATE(B217,-12),Database!$A:$AS,MATCH($P$1,Database!$A$1:$AS$1,),))))</f>
        <v>0.10806723483427659</v>
      </c>
      <c r="Q217" s="13">
        <f>((((VLOOKUP(B217,Database!$A:$AS,MATCH($Q$1,Database!$A$1:$AS$1,),))))-(((VLOOKUP(EDATE(B217,-12),Database!$A:$AS,MATCH($Q$1,Database!$A$1:$AS$1,),)))))/(((VLOOKUP(EDATE(B217,-12),Database!$A:$AS,MATCH($Q$1,Database!$A$1:$AS$1,),))))</f>
        <v>4.5766590386542932E-2</v>
      </c>
      <c r="R217" s="13">
        <f>((((VLOOKUP(B217,Database!$A:$AS,MATCH($R$1,Database!$A$1:$AS$1,),))))-(((VLOOKUP(EDATE(B217,-12),Database!$A:$AS,MATCH($R$1,Database!$A$1:$AS$1,),)))))/(((VLOOKUP(EDATE(B217,-12),Database!$A:$AS,MATCH($R$1,Database!$A$1:$AS$1,),))))</f>
        <v>-7.6923076912845251E-3</v>
      </c>
      <c r="S217" s="13">
        <f>((((VLOOKUP(B217,Database!$A:$AS,MATCH($S$1,Database!$A$1:$AS$1,),))))-(((VLOOKUP(EDATE(B217,-12),Database!$A:$AS,MATCH($S$1,Database!$A$1:$AS$1,),)))))/(((VLOOKUP(EDATE(B217,-12),Database!$A:$AS,MATCH($S$1,Database!$A$1:$AS$1,),))))</f>
        <v>-9.0180360733959575E-2</v>
      </c>
      <c r="T217" s="13">
        <f>((((VLOOKUP(B217,Database!$A:$AS,MATCH($T$1,Database!$A$1:$AS$1,),))))-(((VLOOKUP(EDATE(B217,-12),Database!$A:$AS,MATCH($T$1,Database!$A$1:$AS$1,),)))))/(((VLOOKUP(EDATE(B217,-12),Database!$A:$AS,MATCH($T$1,Database!$A$1:$AS$1,),))))</f>
        <v>8.3188908157656255E-2</v>
      </c>
      <c r="U217" s="13">
        <f>((((VLOOKUP(B217,Database!$A:$AS,MATCH($U$1,Database!$A$1:$AS$1,),))))-(((VLOOKUP(EDATE(B217,-12),Database!$A:$AS,MATCH($U$1,Database!$A$1:$AS$1,),)))))/(((VLOOKUP(EDATE(B217,-12),Database!$A:$AS,MATCH($U$1,Database!$A$1:$AS$1,),))))</f>
        <v>6.727037515154749E-2</v>
      </c>
      <c r="V217" s="13">
        <f>((((VLOOKUP(B217,Database!$A:$AS,MATCH($V$1,Database!$A$1:$AS$1,),))))-(((VLOOKUP(EDATE(B217,-12),Database!$A:$AS,MATCH($V$1,Database!$A$1:$AS$1,),)))))/(((VLOOKUP(EDATE(B217,-12),Database!$A:$AS,MATCH($V$1,Database!$A$1:$AS$1,),))))</f>
        <v>9.933774834437098E-2</v>
      </c>
    </row>
    <row r="218" spans="1:22" s="83" customFormat="1" x14ac:dyDescent="0.2">
      <c r="A218" s="43"/>
      <c r="B218" s="78">
        <v>38777</v>
      </c>
      <c r="C218" s="13">
        <f>((((VLOOKUP(B218,Database!$A:$AS,MATCH($C$1,Database!$A$1:$AS$1,),))))-(((VLOOKUP(EDATE(B218,-12),Database!$A:$AS,MATCH($C$1,Database!$A$1:$AS$1,),)))))/(((VLOOKUP(EDATE(B218,-12),Database!$A:$AS,MATCH($C$1,Database!$A$1:$AS$1,),))))</f>
        <v>1.9850526256854354E-2</v>
      </c>
      <c r="D218" s="13">
        <f>((((VLOOKUP(B218,Database!$A:$AS,MATCH($D$1,Database!$A$1:$AS$1,),))))-(((VLOOKUP(EDATE(B218,-12),Database!$A:$AS,MATCH($D$1,Database!$A$1:$AS$1,),)))))/(((VLOOKUP(EDATE(B218,-12),Database!$A:$AS,MATCH($D$1,Database!$A$1:$AS$1,),))))</f>
        <v>3.9795918367347E-2</v>
      </c>
      <c r="E218" s="13">
        <f>((((VLOOKUP(B218,Database!$A:$AS,MATCH($E$1,Database!$A$1:$AS$1,),))))-(((VLOOKUP(EDATE(B218,-12),Database!$A:$AS,MATCH($E$1,Database!$A$1:$AS$1,),)))))/(((VLOOKUP(EDATE(B218,-12),Database!$A:$AS,MATCH($E$1,Database!$A$1:$AS$1,),))))</f>
        <v>2.4975024979404944E-2</v>
      </c>
      <c r="F218" s="13">
        <f>((((VLOOKUP(B218,Database!$A:$AS,MATCH($F$1,Database!$A$1:$AS$1,),))))-(((VLOOKUP(EDATE(B218,-12),Database!$A:$AS,MATCH($F$1,Database!$A$1:$AS$1,),)))))/(((VLOOKUP(EDATE(B218,-12),Database!$A:$AS,MATCH($F$1,Database!$A$1:$AS$1,),))))</f>
        <v>3.8004750599128306E-2</v>
      </c>
      <c r="G218" s="13">
        <f>((((VLOOKUP(B218,Database!$A:$AS,MATCH($G$1,Database!$A$1:$AS$1,),))))-(((VLOOKUP(EDATE(B218,-12),Database!$A:$AS,MATCH($G$1,Database!$A$1:$AS$1,),)))))/(((VLOOKUP(EDATE(B218,-12),Database!$A:$AS,MATCH($G$1,Database!$A$1:$AS$1,),))))</f>
        <v>3.3067802889959315E-2</v>
      </c>
      <c r="H218" s="13">
        <f>((((VLOOKUP(B218,Database!$A:$AS,MATCH($H$1,Database!$A$1:$AS$1,),))))-(((VLOOKUP(EDATE(B218,-12),Database!$A:$AS,MATCH($H$1,Database!$A$1:$AS$1,),)))))/(((VLOOKUP(EDATE(B218,-12),Database!$A:$AS,MATCH($H$1,Database!$A$1:$AS$1,),))))</f>
        <v>8.3242059145015451E-2</v>
      </c>
      <c r="I218" s="13">
        <f>((((VLOOKUP(B218,Database!$A:$AS,MATCH($I$1,Database!$A$1:$AS$1,),))))-(((VLOOKUP(EDATE(B218,-12),Database!$A:$AS,MATCH($I$1,Database!$A$1:$AS$1,),)))))/(((VLOOKUP(EDATE(B218,-12),Database!$A:$AS,MATCH($I$1,Database!$A$1:$AS$1,),))))</f>
        <v>3.3884297522252707E-2</v>
      </c>
      <c r="J218" s="13">
        <f>((((VLOOKUP(B218,Database!$A:$AS,MATCH($J$1,Database!$A$1:$AS$1,),))))-(((VLOOKUP(EDATE(B218,-12),Database!$A:$AS,MATCH($J$1,Database!$A$1:$AS$1,),)))))/(((VLOOKUP(EDATE(B218,-12),Database!$A:$AS,MATCH($J$1,Database!$A$1:$AS$1,),))))</f>
        <v>4.0244733633016422E-2</v>
      </c>
      <c r="K218" s="13">
        <f>((((VLOOKUP(B218,Database!$A:$AS,MATCH($K$1,Database!$A$1:$AS$1,),))))-(((VLOOKUP(EDATE(B218,-12),Database!$A:$AS,MATCH($K$1,Database!$A$1:$AS$1,),)))))/(((VLOOKUP(EDATE(B218,-12),Database!$A:$AS,MATCH($K$1,Database!$A$1:$AS$1,),))))</f>
        <v>1.1786038074656849E-2</v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>4.9381334144074272E-2</v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>6.9055550456769269E-2</v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>6.5734386231313405E-2</v>
      </c>
      <c r="O218" s="13">
        <f>((((VLOOKUP(B218,Database!$A:$AS,MATCH($O$1,Database!$A$1:$AS$1,),))))-(((VLOOKUP(EDATE(B218,-12),Database!$A:$AS,MATCH($O$1,Database!$A$1:$AS$1,),)))))/(((VLOOKUP(EDATE(B218,-12),Database!$A:$AS,MATCH($O$1,Database!$A$1:$AS$1,),))))</f>
        <v>3.8404440004743828E-2</v>
      </c>
      <c r="P218" s="13">
        <f>((((VLOOKUP(B218,Database!$A:$AS,MATCH($P$1,Database!$A$1:$AS$1,),))))-(((VLOOKUP(EDATE(B218,-12),Database!$A:$AS,MATCH($P$1,Database!$A$1:$AS$1,),)))))/(((VLOOKUP(EDATE(B218,-12),Database!$A:$AS,MATCH($P$1,Database!$A$1:$AS$1,),))))</f>
        <v>8.7144471939876123E-2</v>
      </c>
      <c r="Q218" s="13">
        <f>((((VLOOKUP(B218,Database!$A:$AS,MATCH($Q$1,Database!$A$1:$AS$1,),))))-(((VLOOKUP(EDATE(B218,-12),Database!$A:$AS,MATCH($Q$1,Database!$A$1:$AS$1,),)))))/(((VLOOKUP(EDATE(B218,-12),Database!$A:$AS,MATCH($Q$1,Database!$A$1:$AS$1,),))))</f>
        <v>2.8344671200179593E-2</v>
      </c>
      <c r="R218" s="13">
        <f>((((VLOOKUP(B218,Database!$A:$AS,MATCH($R$1,Database!$A$1:$AS$1,),))))-(((VLOOKUP(EDATE(B218,-12),Database!$A:$AS,MATCH($R$1,Database!$A$1:$AS$1,),)))))/(((VLOOKUP(EDATE(B218,-12),Database!$A:$AS,MATCH($R$1,Database!$A$1:$AS$1,),))))</f>
        <v>4.9062049066176741E-2</v>
      </c>
      <c r="S218" s="13">
        <f>((((VLOOKUP(B218,Database!$A:$AS,MATCH($S$1,Database!$A$1:$AS$1,),))))-(((VLOOKUP(EDATE(B218,-12),Database!$A:$AS,MATCH($S$1,Database!$A$1:$AS$1,),)))))/(((VLOOKUP(EDATE(B218,-12),Database!$A:$AS,MATCH($S$1,Database!$A$1:$AS$1,),))))</f>
        <v>5.0052137644898992E-2</v>
      </c>
      <c r="T218" s="13">
        <f>((((VLOOKUP(B218,Database!$A:$AS,MATCH($T$1,Database!$A$1:$AS$1,),))))-(((VLOOKUP(EDATE(B218,-12),Database!$A:$AS,MATCH($T$1,Database!$A$1:$AS$1,),)))))/(((VLOOKUP(EDATE(B218,-12),Database!$A:$AS,MATCH($T$1,Database!$A$1:$AS$1,),))))</f>
        <v>0.12259194395352073</v>
      </c>
      <c r="U218" s="13">
        <f>((((VLOOKUP(B218,Database!$A:$AS,MATCH($U$1,Database!$A$1:$AS$1,),))))-(((VLOOKUP(EDATE(B218,-12),Database!$A:$AS,MATCH($U$1,Database!$A$1:$AS$1,),)))))/(((VLOOKUP(EDATE(B218,-12),Database!$A:$AS,MATCH($U$1,Database!$A$1:$AS$1,),))))</f>
        <v>8.5271317825149975E-2</v>
      </c>
      <c r="V218" s="13">
        <f>((((VLOOKUP(B218,Database!$A:$AS,MATCH($V$1,Database!$A$1:$AS$1,),))))-(((VLOOKUP(EDATE(B218,-12),Database!$A:$AS,MATCH($V$1,Database!$A$1:$AS$1,),)))))/(((VLOOKUP(EDATE(B218,-12),Database!$A:$AS,MATCH($V$1,Database!$A$1:$AS$1,),))))</f>
        <v>0.13582342954159604</v>
      </c>
    </row>
    <row r="219" spans="1:22" s="83" customFormat="1" x14ac:dyDescent="0.2">
      <c r="A219" s="43"/>
      <c r="B219" s="78">
        <v>38808</v>
      </c>
      <c r="C219" s="13">
        <f>((((VLOOKUP(B219,Database!$A:$AS,MATCH($C$1,Database!$A$1:$AS$1,),))))-(((VLOOKUP(EDATE(B219,-12),Database!$A:$AS,MATCH($C$1,Database!$A$1:$AS$1,),)))))/(((VLOOKUP(EDATE(B219,-12),Database!$A:$AS,MATCH($C$1,Database!$A$1:$AS$1,),))))</f>
        <v>2.1064628893262993E-2</v>
      </c>
      <c r="D219" s="13">
        <f>((((VLOOKUP(B219,Database!$A:$AS,MATCH($D$1,Database!$A$1:$AS$1,),))))-(((VLOOKUP(EDATE(B219,-12),Database!$A:$AS,MATCH($D$1,Database!$A$1:$AS$1,),)))))/(((VLOOKUP(EDATE(B219,-12),Database!$A:$AS,MATCH($D$1,Database!$A$1:$AS$1,),))))</f>
        <v>2.9175050301810779E-2</v>
      </c>
      <c r="E219" s="13">
        <f>((((VLOOKUP(B219,Database!$A:$AS,MATCH($E$1,Database!$A$1:$AS$1,),))))-(((VLOOKUP(EDATE(B219,-12),Database!$A:$AS,MATCH($E$1,Database!$A$1:$AS$1,),)))))/(((VLOOKUP(EDATE(B219,-12),Database!$A:$AS,MATCH($E$1,Database!$A$1:$AS$1,),))))</f>
        <v>3.9800995020594324E-2</v>
      </c>
      <c r="F219" s="13">
        <f>((((VLOOKUP(B219,Database!$A:$AS,MATCH($F$1,Database!$A$1:$AS$1,),))))-(((VLOOKUP(EDATE(B219,-12),Database!$A:$AS,MATCH($F$1,Database!$A$1:$AS$1,),)))))/(((VLOOKUP(EDATE(B219,-12),Database!$A:$AS,MATCH($F$1,Database!$A$1:$AS$1,),))))</f>
        <v>5.4245283023596366E-2</v>
      </c>
      <c r="G219" s="13">
        <f>((((VLOOKUP(B219,Database!$A:$AS,MATCH($G$1,Database!$A$1:$AS$1,),))))-(((VLOOKUP(EDATE(B219,-12),Database!$A:$AS,MATCH($G$1,Database!$A$1:$AS$1,),)))))/(((VLOOKUP(EDATE(B219,-12),Database!$A:$AS,MATCH($G$1,Database!$A$1:$AS$1,),))))</f>
        <v>2.1674342996477456E-3</v>
      </c>
      <c r="H219" s="13">
        <f>((((VLOOKUP(B219,Database!$A:$AS,MATCH($H$1,Database!$A$1:$AS$1,),))))-(((VLOOKUP(EDATE(B219,-12),Database!$A:$AS,MATCH($H$1,Database!$A$1:$AS$1,),)))))/(((VLOOKUP(EDATE(B219,-12),Database!$A:$AS,MATCH($H$1,Database!$A$1:$AS$1,),))))</f>
        <v>1.1446409994698876E-2</v>
      </c>
      <c r="I219" s="13">
        <f>((((VLOOKUP(B219,Database!$A:$AS,MATCH($I$1,Database!$A$1:$AS$1,),))))-(((VLOOKUP(EDATE(B219,-12),Database!$A:$AS,MATCH($I$1,Database!$A$1:$AS$1,),)))))/(((VLOOKUP(EDATE(B219,-12),Database!$A:$AS,MATCH($I$1,Database!$A$1:$AS$1,),))))</f>
        <v>4.8582995937909105E-3</v>
      </c>
      <c r="J219" s="13">
        <f>((((VLOOKUP(B219,Database!$A:$AS,MATCH($J$1,Database!$A$1:$AS$1,),))))-(((VLOOKUP(EDATE(B219,-12),Database!$A:$AS,MATCH($J$1,Database!$A$1:$AS$1,),)))))/(((VLOOKUP(EDATE(B219,-12),Database!$A:$AS,MATCH($J$1,Database!$A$1:$AS$1,),))))</f>
        <v>1.7741329076197528E-2</v>
      </c>
      <c r="K219" s="13">
        <f>((((VLOOKUP(B219,Database!$A:$AS,MATCH($K$1,Database!$A$1:$AS$1,),))))-(((VLOOKUP(EDATE(B219,-12),Database!$A:$AS,MATCH($K$1,Database!$A$1:$AS$1,),)))))/(((VLOOKUP(EDATE(B219,-12),Database!$A:$AS,MATCH($K$1,Database!$A$1:$AS$1,),))))</f>
        <v>4.8507462682320986E-2</v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>4.7899214741663185E-2</v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>6.0834922868087615E-2</v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>0.10121041987074246</v>
      </c>
      <c r="O219" s="13">
        <f>((((VLOOKUP(B219,Database!$A:$AS,MATCH($O$1,Database!$A$1:$AS$1,),))))-(((VLOOKUP(EDATE(B219,-12),Database!$A:$AS,MATCH($O$1,Database!$A$1:$AS$1,),)))))/(((VLOOKUP(EDATE(B219,-12),Database!$A:$AS,MATCH($O$1,Database!$A$1:$AS$1,),))))</f>
        <v>1.884199612903209E-2</v>
      </c>
      <c r="P219" s="13">
        <f>((((VLOOKUP(B219,Database!$A:$AS,MATCH($P$1,Database!$A$1:$AS$1,),))))-(((VLOOKUP(EDATE(B219,-12),Database!$A:$AS,MATCH($P$1,Database!$A$1:$AS$1,),)))))/(((VLOOKUP(EDATE(B219,-12),Database!$A:$AS,MATCH($P$1,Database!$A$1:$AS$1,),))))</f>
        <v>9.7590436073984418E-2</v>
      </c>
      <c r="Q219" s="13">
        <f>((((VLOOKUP(B219,Database!$A:$AS,MATCH($Q$1,Database!$A$1:$AS$1,),))))-(((VLOOKUP(EDATE(B219,-12),Database!$A:$AS,MATCH($Q$1,Database!$A$1:$AS$1,),)))))/(((VLOOKUP(EDATE(B219,-12),Database!$A:$AS,MATCH($Q$1,Database!$A$1:$AS$1,),))))</f>
        <v>3.5107587764962263E-2</v>
      </c>
      <c r="R219" s="13">
        <f>((((VLOOKUP(B219,Database!$A:$AS,MATCH($R$1,Database!$A$1:$AS$1,),))))-(((VLOOKUP(EDATE(B219,-12),Database!$A:$AS,MATCH($R$1,Database!$A$1:$AS$1,),)))))/(((VLOOKUP(EDATE(B219,-12),Database!$A:$AS,MATCH($R$1,Database!$A$1:$AS$1,),))))</f>
        <v>2.9560201876672815E-2</v>
      </c>
      <c r="S219" s="13">
        <f>((((VLOOKUP(B219,Database!$A:$AS,MATCH($S$1,Database!$A$1:$AS$1,),))))-(((VLOOKUP(EDATE(B219,-12),Database!$A:$AS,MATCH($S$1,Database!$A$1:$AS$1,),)))))/(((VLOOKUP(EDATE(B219,-12),Database!$A:$AS,MATCH($S$1,Database!$A$1:$AS$1,),))))</f>
        <v>4.2914171646820189E-2</v>
      </c>
      <c r="T219" s="13">
        <f>((((VLOOKUP(B219,Database!$A:$AS,MATCH($T$1,Database!$A$1:$AS$1,),))))-(((VLOOKUP(EDATE(B219,-12),Database!$A:$AS,MATCH($T$1,Database!$A$1:$AS$1,),)))))/(((VLOOKUP(EDATE(B219,-12),Database!$A:$AS,MATCH($T$1,Database!$A$1:$AS$1,),))))</f>
        <v>0.10225303294161918</v>
      </c>
      <c r="U219" s="13">
        <f>((((VLOOKUP(B219,Database!$A:$AS,MATCH($U$1,Database!$A$1:$AS$1,),))))-(((VLOOKUP(EDATE(B219,-12),Database!$A:$AS,MATCH($U$1,Database!$A$1:$AS$1,),)))))/(((VLOOKUP(EDATE(B219,-12),Database!$A:$AS,MATCH($U$1,Database!$A$1:$AS$1,),))))</f>
        <v>4.9367088616521233E-2</v>
      </c>
      <c r="V219" s="13">
        <f>((((VLOOKUP(B219,Database!$A:$AS,MATCH($V$1,Database!$A$1:$AS$1,),))))-(((VLOOKUP(EDATE(B219,-12),Database!$A:$AS,MATCH($V$1,Database!$A$1:$AS$1,),)))))/(((VLOOKUP(EDATE(B219,-12),Database!$A:$AS,MATCH($V$1,Database!$A$1:$AS$1,),))))</f>
        <v>0.11330049261083741</v>
      </c>
    </row>
    <row r="220" spans="1:22" s="83" customFormat="1" x14ac:dyDescent="0.2">
      <c r="A220" s="43"/>
      <c r="B220" s="78">
        <v>38838</v>
      </c>
      <c r="C220" s="13">
        <f>((((VLOOKUP(B220,Database!$A:$AS,MATCH($C$1,Database!$A$1:$AS$1,),))))-(((VLOOKUP(EDATE(B220,-12),Database!$A:$AS,MATCH($C$1,Database!$A$1:$AS$1,),)))))/(((VLOOKUP(EDATE(B220,-12),Database!$A:$AS,MATCH($C$1,Database!$A$1:$AS$1,),))))</f>
        <v>1.998407626271035E-2</v>
      </c>
      <c r="D220" s="13">
        <f>((((VLOOKUP(B220,Database!$A:$AS,MATCH($D$1,Database!$A$1:$AS$1,),))))-(((VLOOKUP(EDATE(B220,-12),Database!$A:$AS,MATCH($D$1,Database!$A$1:$AS$1,),)))))/(((VLOOKUP(EDATE(B220,-12),Database!$A:$AS,MATCH($D$1,Database!$A$1:$AS$1,),))))</f>
        <v>5.8103975535168231E-2</v>
      </c>
      <c r="E220" s="13">
        <f>((((VLOOKUP(B220,Database!$A:$AS,MATCH($E$1,Database!$A$1:$AS$1,),))))-(((VLOOKUP(EDATE(B220,-12),Database!$A:$AS,MATCH($E$1,Database!$A$1:$AS$1,),)))))/(((VLOOKUP(EDATE(B220,-12),Database!$A:$AS,MATCH($E$1,Database!$A$1:$AS$1,),))))</f>
        <v>3.2096288866988579E-2</v>
      </c>
      <c r="F220" s="13">
        <f>((((VLOOKUP(B220,Database!$A:$AS,MATCH($F$1,Database!$A$1:$AS$1,),))))-(((VLOOKUP(EDATE(B220,-12),Database!$A:$AS,MATCH($F$1,Database!$A$1:$AS$1,),)))))/(((VLOOKUP(EDATE(B220,-12),Database!$A:$AS,MATCH($F$1,Database!$A$1:$AS$1,),))))</f>
        <v>8.3632019112820838E-2</v>
      </c>
      <c r="G220" s="13">
        <f>((((VLOOKUP(B220,Database!$A:$AS,MATCH($G$1,Database!$A$1:$AS$1,),))))-(((VLOOKUP(EDATE(B220,-12),Database!$A:$AS,MATCH($G$1,Database!$A$1:$AS$1,),)))))/(((VLOOKUP(EDATE(B220,-12),Database!$A:$AS,MATCH($G$1,Database!$A$1:$AS$1,),))))</f>
        <v>2.9213072850100316E-2</v>
      </c>
      <c r="H220" s="13">
        <f>((((VLOOKUP(B220,Database!$A:$AS,MATCH($H$1,Database!$A$1:$AS$1,),))))-(((VLOOKUP(EDATE(B220,-12),Database!$A:$AS,MATCH($H$1,Database!$A$1:$AS$1,),)))))/(((VLOOKUP(EDATE(B220,-12),Database!$A:$AS,MATCH($H$1,Database!$A$1:$AS$1,),))))</f>
        <v>2.3883696779128376E-2</v>
      </c>
      <c r="I220" s="13">
        <f>((((VLOOKUP(B220,Database!$A:$AS,MATCH($I$1,Database!$A$1:$AS$1,),))))-(((VLOOKUP(EDATE(B220,-12),Database!$A:$AS,MATCH($I$1,Database!$A$1:$AS$1,),)))))/(((VLOOKUP(EDATE(B220,-12),Database!$A:$AS,MATCH($I$1,Database!$A$1:$AS$1,),))))</f>
        <v>5.2195526099774327E-2</v>
      </c>
      <c r="J220" s="13">
        <f>((((VLOOKUP(B220,Database!$A:$AS,MATCH($J$1,Database!$A$1:$AS$1,),))))-(((VLOOKUP(EDATE(B220,-12),Database!$A:$AS,MATCH($J$1,Database!$A$1:$AS$1,),)))))/(((VLOOKUP(EDATE(B220,-12),Database!$A:$AS,MATCH($J$1,Database!$A$1:$AS$1,),))))</f>
        <v>4.3488239575634302E-2</v>
      </c>
      <c r="K220" s="13">
        <f>((((VLOOKUP(B220,Database!$A:$AS,MATCH($K$1,Database!$A$1:$AS$1,),))))-(((VLOOKUP(EDATE(B220,-12),Database!$A:$AS,MATCH($K$1,Database!$A$1:$AS$1,),)))))/(((VLOOKUP(EDATE(B220,-12),Database!$A:$AS,MATCH($K$1,Database!$A$1:$AS$1,),))))</f>
        <v>6.2152133581961311E-2</v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>4.0790473750435971E-2</v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>9.9980558591775348E-2</v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>0.10697767587873076</v>
      </c>
      <c r="O220" s="13">
        <f>((((VLOOKUP(B220,Database!$A:$AS,MATCH($O$1,Database!$A$1:$AS$1,),))))-(((VLOOKUP(EDATE(B220,-12),Database!$A:$AS,MATCH($O$1,Database!$A$1:$AS$1,),)))))/(((VLOOKUP(EDATE(B220,-12),Database!$A:$AS,MATCH($O$1,Database!$A$1:$AS$1,),))))</f>
        <v>6.8159975192710054E-3</v>
      </c>
      <c r="P220" s="13">
        <f>((((VLOOKUP(B220,Database!$A:$AS,MATCH($P$1,Database!$A$1:$AS$1,),))))-(((VLOOKUP(EDATE(B220,-12),Database!$A:$AS,MATCH($P$1,Database!$A$1:$AS$1,),)))))/(((VLOOKUP(EDATE(B220,-12),Database!$A:$AS,MATCH($P$1,Database!$A$1:$AS$1,),))))</f>
        <v>0.11573671796676126</v>
      </c>
      <c r="Q220" s="13">
        <f>((((VLOOKUP(B220,Database!$A:$AS,MATCH($Q$1,Database!$A$1:$AS$1,),))))-(((VLOOKUP(EDATE(B220,-12),Database!$A:$AS,MATCH($Q$1,Database!$A$1:$AS$1,),)))))/(((VLOOKUP(EDATE(B220,-12),Database!$A:$AS,MATCH($Q$1,Database!$A$1:$AS$1,),))))</f>
        <v>9.8576122687108574E-3</v>
      </c>
      <c r="R220" s="13">
        <f>((((VLOOKUP(B220,Database!$A:$AS,MATCH($R$1,Database!$A$1:$AS$1,),))))-(((VLOOKUP(EDATE(B220,-12),Database!$A:$AS,MATCH($R$1,Database!$A$1:$AS$1,),)))))/(((VLOOKUP(EDATE(B220,-12),Database!$A:$AS,MATCH($R$1,Database!$A$1:$AS$1,),))))</f>
        <v>2.1861777151947436E-2</v>
      </c>
      <c r="S220" s="13">
        <f>((((VLOOKUP(B220,Database!$A:$AS,MATCH($S$1,Database!$A$1:$AS$1,),))))-(((VLOOKUP(EDATE(B220,-12),Database!$A:$AS,MATCH($S$1,Database!$A$1:$AS$1,),)))))/(((VLOOKUP(EDATE(B220,-12),Database!$A:$AS,MATCH($S$1,Database!$A$1:$AS$1,),))))</f>
        <v>0.11111111111298473</v>
      </c>
      <c r="T220" s="13">
        <f>((((VLOOKUP(B220,Database!$A:$AS,MATCH($T$1,Database!$A$1:$AS$1,),))))-(((VLOOKUP(EDATE(B220,-12),Database!$A:$AS,MATCH($T$1,Database!$A$1:$AS$1,),)))))/(((VLOOKUP(EDATE(B220,-12),Database!$A:$AS,MATCH($T$1,Database!$A$1:$AS$1,),))))</f>
        <v>0.10137457044177506</v>
      </c>
      <c r="U220" s="13">
        <f>((((VLOOKUP(B220,Database!$A:$AS,MATCH($U$1,Database!$A$1:$AS$1,),))))-(((VLOOKUP(EDATE(B220,-12),Database!$A:$AS,MATCH($U$1,Database!$A$1:$AS$1,),)))))/(((VLOOKUP(EDATE(B220,-12),Database!$A:$AS,MATCH($U$1,Database!$A$1:$AS$1,),))))</f>
        <v>0.10769230770177673</v>
      </c>
      <c r="V220" s="13">
        <f>((((VLOOKUP(B220,Database!$A:$AS,MATCH($V$1,Database!$A$1:$AS$1,),))))-(((VLOOKUP(EDATE(B220,-12),Database!$A:$AS,MATCH($V$1,Database!$A$1:$AS$1,),)))))/(((VLOOKUP(EDATE(B220,-12),Database!$A:$AS,MATCH($V$1,Database!$A$1:$AS$1,),))))</f>
        <v>0.16333333333333327</v>
      </c>
    </row>
    <row r="221" spans="1:22" s="83" customFormat="1" x14ac:dyDescent="0.2">
      <c r="A221" s="43"/>
      <c r="B221" s="78">
        <v>38869</v>
      </c>
      <c r="C221" s="13">
        <f>((((VLOOKUP(B221,Database!$A:$AS,MATCH($C$1,Database!$A$1:$AS$1,),))))-(((VLOOKUP(EDATE(B221,-12),Database!$A:$AS,MATCH($C$1,Database!$A$1:$AS$1,),)))))/(((VLOOKUP(EDATE(B221,-12),Database!$A:$AS,MATCH($C$1,Database!$A$1:$AS$1,),))))</f>
        <v>1.9064641055001063E-2</v>
      </c>
      <c r="D221" s="13">
        <f>((((VLOOKUP(B221,Database!$A:$AS,MATCH($D$1,Database!$A$1:$AS$1,),))))-(((VLOOKUP(EDATE(B221,-12),Database!$A:$AS,MATCH($D$1,Database!$A$1:$AS$1,),)))))/(((VLOOKUP(EDATE(B221,-12),Database!$A:$AS,MATCH($D$1,Database!$A$1:$AS$1,),))))</f>
        <v>4.7474747474747503E-2</v>
      </c>
      <c r="E221" s="13">
        <f>((((VLOOKUP(B221,Database!$A:$AS,MATCH($E$1,Database!$A$1:$AS$1,),))))-(((VLOOKUP(EDATE(B221,-12),Database!$A:$AS,MATCH($E$1,Database!$A$1:$AS$1,),)))))/(((VLOOKUP(EDATE(B221,-12),Database!$A:$AS,MATCH($E$1,Database!$A$1:$AS$1,),))))</f>
        <v>4.1958041962091304E-2</v>
      </c>
      <c r="F221" s="13">
        <f>((((VLOOKUP(B221,Database!$A:$AS,MATCH($F$1,Database!$A$1:$AS$1,),))))-(((VLOOKUP(EDATE(B221,-12),Database!$A:$AS,MATCH($F$1,Database!$A$1:$AS$1,),)))))/(((VLOOKUP(EDATE(B221,-12),Database!$A:$AS,MATCH($F$1,Database!$A$1:$AS$1,),))))</f>
        <v>5.4970760234082379E-2</v>
      </c>
      <c r="G221" s="13">
        <f>((((VLOOKUP(B221,Database!$A:$AS,MATCH($G$1,Database!$A$1:$AS$1,),))))-(((VLOOKUP(EDATE(B221,-12),Database!$A:$AS,MATCH($G$1,Database!$A$1:$AS$1,),)))))/(((VLOOKUP(EDATE(B221,-12),Database!$A:$AS,MATCH($G$1,Database!$A$1:$AS$1,),))))</f>
        <v>2.8323435358611187E-2</v>
      </c>
      <c r="H221" s="13">
        <f>((((VLOOKUP(B221,Database!$A:$AS,MATCH($H$1,Database!$A$1:$AS$1,),))))-(((VLOOKUP(EDATE(B221,-12),Database!$A:$AS,MATCH($H$1,Database!$A$1:$AS$1,),)))))/(((VLOOKUP(EDATE(B221,-12),Database!$A:$AS,MATCH($H$1,Database!$A$1:$AS$1,),))))</f>
        <v>2.5693730733267243E-2</v>
      </c>
      <c r="I221" s="13">
        <f>((((VLOOKUP(B221,Database!$A:$AS,MATCH($I$1,Database!$A$1:$AS$1,),))))-(((VLOOKUP(EDATE(B221,-12),Database!$A:$AS,MATCH($I$1,Database!$A$1:$AS$1,),)))))/(((VLOOKUP(EDATE(B221,-12),Database!$A:$AS,MATCH($I$1,Database!$A$1:$AS$1,),))))</f>
        <v>5.5509527753088879E-2</v>
      </c>
      <c r="J221" s="13">
        <f>((((VLOOKUP(B221,Database!$A:$AS,MATCH($J$1,Database!$A$1:$AS$1,),))))-(((VLOOKUP(EDATE(B221,-12),Database!$A:$AS,MATCH($J$1,Database!$A$1:$AS$1,),)))))/(((VLOOKUP(EDATE(B221,-12),Database!$A:$AS,MATCH($J$1,Database!$A$1:$AS$1,),))))</f>
        <v>4.4112317414493292E-2</v>
      </c>
      <c r="K221" s="13">
        <f>((((VLOOKUP(B221,Database!$A:$AS,MATCH($K$1,Database!$A$1:$AS$1,),))))-(((VLOOKUP(EDATE(B221,-12),Database!$A:$AS,MATCH($K$1,Database!$A$1:$AS$1,),)))))/(((VLOOKUP(EDATE(B221,-12),Database!$A:$AS,MATCH($K$1,Database!$A$1:$AS$1,),))))</f>
        <v>7.1748878903820342E-3</v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>5.8650894142056605E-2</v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>5.0273302680446059E-2</v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>9.0301731199728855E-2</v>
      </c>
      <c r="O221" s="13">
        <f>((((VLOOKUP(B221,Database!$A:$AS,MATCH($O$1,Database!$A$1:$AS$1,),))))-(((VLOOKUP(EDATE(B221,-12),Database!$A:$AS,MATCH($O$1,Database!$A$1:$AS$1,),)))))/(((VLOOKUP(EDATE(B221,-12),Database!$A:$AS,MATCH($O$1,Database!$A$1:$AS$1,),))))</f>
        <v>8.1144812973732387E-3</v>
      </c>
      <c r="P221" s="13">
        <f>((((VLOOKUP(B221,Database!$A:$AS,MATCH($P$1,Database!$A$1:$AS$1,),))))-(((VLOOKUP(EDATE(B221,-12),Database!$A:$AS,MATCH($P$1,Database!$A$1:$AS$1,),)))))/(((VLOOKUP(EDATE(B221,-12),Database!$A:$AS,MATCH($P$1,Database!$A$1:$AS$1,),))))</f>
        <v>9.1053824021165353E-2</v>
      </c>
      <c r="Q221" s="13">
        <f>((((VLOOKUP(B221,Database!$A:$AS,MATCH($Q$1,Database!$A$1:$AS$1,),))))-(((VLOOKUP(EDATE(B221,-12),Database!$A:$AS,MATCH($Q$1,Database!$A$1:$AS$1,),)))))/(((VLOOKUP(EDATE(B221,-12),Database!$A:$AS,MATCH($Q$1,Database!$A$1:$AS$1,),))))</f>
        <v>1.2290502800790901E-2</v>
      </c>
      <c r="R221" s="13">
        <f>((((VLOOKUP(B221,Database!$A:$AS,MATCH($R$1,Database!$A$1:$AS$1,),))))-(((VLOOKUP(EDATE(B221,-12),Database!$A:$AS,MATCH($R$1,Database!$A$1:$AS$1,),)))))/(((VLOOKUP(EDATE(B221,-12),Database!$A:$AS,MATCH($R$1,Database!$A$1:$AS$1,),))))</f>
        <v>3.6929761038465236E-2</v>
      </c>
      <c r="S221" s="13">
        <f>((((VLOOKUP(B221,Database!$A:$AS,MATCH($S$1,Database!$A$1:$AS$1,),))))-(((VLOOKUP(EDATE(B221,-12),Database!$A:$AS,MATCH($S$1,Database!$A$1:$AS$1,),)))))/(((VLOOKUP(EDATE(B221,-12),Database!$A:$AS,MATCH($S$1,Database!$A$1:$AS$1,),))))</f>
        <v>4.2616451922727595E-2</v>
      </c>
      <c r="T221" s="13">
        <f>((((VLOOKUP(B221,Database!$A:$AS,MATCH($T$1,Database!$A$1:$AS$1,),))))-(((VLOOKUP(EDATE(B221,-12),Database!$A:$AS,MATCH($T$1,Database!$A$1:$AS$1,),)))))/(((VLOOKUP(EDATE(B221,-12),Database!$A:$AS,MATCH($T$1,Database!$A$1:$AS$1,),))))</f>
        <v>0.11206896552720054</v>
      </c>
      <c r="U221" s="13">
        <f>((((VLOOKUP(B221,Database!$A:$AS,MATCH($U$1,Database!$A$1:$AS$1,),))))-(((VLOOKUP(EDATE(B221,-12),Database!$A:$AS,MATCH($U$1,Database!$A$1:$AS$1,),)))))/(((VLOOKUP(EDATE(B221,-12),Database!$A:$AS,MATCH($U$1,Database!$A$1:$AS$1,),))))</f>
        <v>8.5750315251625242E-2</v>
      </c>
      <c r="V221" s="13">
        <f>((((VLOOKUP(B221,Database!$A:$AS,MATCH($V$1,Database!$A$1:$AS$1,),))))-(((VLOOKUP(EDATE(B221,-12),Database!$A:$AS,MATCH($V$1,Database!$A$1:$AS$1,),)))))/(((VLOOKUP(EDATE(B221,-12),Database!$A:$AS,MATCH($V$1,Database!$A$1:$AS$1,),))))</f>
        <v>0.14657980456026071</v>
      </c>
    </row>
    <row r="222" spans="1:22" s="83" customFormat="1" x14ac:dyDescent="0.2">
      <c r="A222" s="43"/>
      <c r="B222" s="78">
        <v>38899</v>
      </c>
      <c r="C222" s="13">
        <f>((((VLOOKUP(B222,Database!$A:$AS,MATCH($C$1,Database!$A$1:$AS$1,),))))-(((VLOOKUP(EDATE(B222,-12),Database!$A:$AS,MATCH($C$1,Database!$A$1:$AS$1,),)))))/(((VLOOKUP(EDATE(B222,-12),Database!$A:$AS,MATCH($C$1,Database!$A$1:$AS$1,),))))</f>
        <v>2.1689465958568889E-2</v>
      </c>
      <c r="D222" s="13">
        <f>((((VLOOKUP(B222,Database!$A:$AS,MATCH($D$1,Database!$A$1:$AS$1,),))))-(((VLOOKUP(EDATE(B222,-12),Database!$A:$AS,MATCH($D$1,Database!$A$1:$AS$1,),)))))/(((VLOOKUP(EDATE(B222,-12),Database!$A:$AS,MATCH($D$1,Database!$A$1:$AS$1,),))))</f>
        <v>4.0201005025125629E-2</v>
      </c>
      <c r="E222" s="13">
        <f>((((VLOOKUP(B222,Database!$A:$AS,MATCH($E$1,Database!$A$1:$AS$1,),))))-(((VLOOKUP(EDATE(B222,-12),Database!$A:$AS,MATCH($E$1,Database!$A$1:$AS$1,),)))))/(((VLOOKUP(EDATE(B222,-12),Database!$A:$AS,MATCH($E$1,Database!$A$1:$AS$1,),))))</f>
        <v>5.2261306530925464E-2</v>
      </c>
      <c r="F222" s="13">
        <f>((((VLOOKUP(B222,Database!$A:$AS,MATCH($F$1,Database!$A$1:$AS$1,),))))-(((VLOOKUP(EDATE(B222,-12),Database!$A:$AS,MATCH($F$1,Database!$A$1:$AS$1,),)))))/(((VLOOKUP(EDATE(B222,-12),Database!$A:$AS,MATCH($F$1,Database!$A$1:$AS$1,),))))</f>
        <v>5.7603686635599623E-2</v>
      </c>
      <c r="G222" s="13">
        <f>((((VLOOKUP(B222,Database!$A:$AS,MATCH($G$1,Database!$A$1:$AS$1,),))))-(((VLOOKUP(EDATE(B222,-12),Database!$A:$AS,MATCH($G$1,Database!$A$1:$AS$1,),)))))/(((VLOOKUP(EDATE(B222,-12),Database!$A:$AS,MATCH($G$1,Database!$A$1:$AS$1,),))))</f>
        <v>1.7415215398716828E-2</v>
      </c>
      <c r="H222" s="13">
        <f>((((VLOOKUP(B222,Database!$A:$AS,MATCH($H$1,Database!$A$1:$AS$1,),))))-(((VLOOKUP(EDATE(B222,-12),Database!$A:$AS,MATCH($H$1,Database!$A$1:$AS$1,),)))))/(((VLOOKUP(EDATE(B222,-12),Database!$A:$AS,MATCH($H$1,Database!$A$1:$AS$1,),))))</f>
        <v>2.3834196889534063E-2</v>
      </c>
      <c r="I222" s="13">
        <f>((((VLOOKUP(B222,Database!$A:$AS,MATCH($I$1,Database!$A$1:$AS$1,),))))-(((VLOOKUP(EDATE(B222,-12),Database!$A:$AS,MATCH($I$1,Database!$A$1:$AS$1,),)))))/(((VLOOKUP(EDATE(B222,-12),Database!$A:$AS,MATCH($I$1,Database!$A$1:$AS$1,),))))</f>
        <v>2.5326797384032141E-2</v>
      </c>
      <c r="J222" s="13">
        <f>((((VLOOKUP(B222,Database!$A:$AS,MATCH($J$1,Database!$A$1:$AS$1,),))))-(((VLOOKUP(EDATE(B222,-12),Database!$A:$AS,MATCH($J$1,Database!$A$1:$AS$1,),)))))/(((VLOOKUP(EDATE(B222,-12),Database!$A:$AS,MATCH($J$1,Database!$A$1:$AS$1,),))))</f>
        <v>3.5215753508028962E-2</v>
      </c>
      <c r="K222" s="13">
        <f>((((VLOOKUP(B222,Database!$A:$AS,MATCH($K$1,Database!$A$1:$AS$1,),))))-(((VLOOKUP(EDATE(B222,-12),Database!$A:$AS,MATCH($K$1,Database!$A$1:$AS$1,),)))))/(((VLOOKUP(EDATE(B222,-12),Database!$A:$AS,MATCH($K$1,Database!$A$1:$AS$1,),))))</f>
        <v>-2.2261798747194441E-2</v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>7.2701207441819335E-2</v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>6.2199167905516044E-2</v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>0.14855247491982887</v>
      </c>
      <c r="O222" s="13">
        <f>((((VLOOKUP(B222,Database!$A:$AS,MATCH($O$1,Database!$A$1:$AS$1,),))))-(((VLOOKUP(EDATE(B222,-12),Database!$A:$AS,MATCH($O$1,Database!$A$1:$AS$1,),)))))/(((VLOOKUP(EDATE(B222,-12),Database!$A:$AS,MATCH($O$1,Database!$A$1:$AS$1,),))))</f>
        <v>5.6054323784642908E-3</v>
      </c>
      <c r="P222" s="13">
        <f>((((VLOOKUP(B222,Database!$A:$AS,MATCH($P$1,Database!$A$1:$AS$1,),))))-(((VLOOKUP(EDATE(B222,-12),Database!$A:$AS,MATCH($P$1,Database!$A$1:$AS$1,),)))))/(((VLOOKUP(EDATE(B222,-12),Database!$A:$AS,MATCH($P$1,Database!$A$1:$AS$1,),))))</f>
        <v>2.8759006233442255E-2</v>
      </c>
      <c r="Q222" s="13">
        <f>((((VLOOKUP(B222,Database!$A:$AS,MATCH($Q$1,Database!$A$1:$AS$1,),))))-(((VLOOKUP(EDATE(B222,-12),Database!$A:$AS,MATCH($Q$1,Database!$A$1:$AS$1,),)))))/(((VLOOKUP(EDATE(B222,-12),Database!$A:$AS,MATCH($Q$1,Database!$A$1:$AS$1,),))))</f>
        <v>3.0371203604066574E-2</v>
      </c>
      <c r="R222" s="13">
        <f>((((VLOOKUP(B222,Database!$A:$AS,MATCH($R$1,Database!$A$1:$AS$1,),))))-(((VLOOKUP(EDATE(B222,-12),Database!$A:$AS,MATCH($R$1,Database!$A$1:$AS$1,),)))))/(((VLOOKUP(EDATE(B222,-12),Database!$A:$AS,MATCH($R$1,Database!$A$1:$AS$1,),))))</f>
        <v>1.4409221860754214E-3</v>
      </c>
      <c r="S222" s="13">
        <f>((((VLOOKUP(B222,Database!$A:$AS,MATCH($S$1,Database!$A$1:$AS$1,),))))-(((VLOOKUP(EDATE(B222,-12),Database!$A:$AS,MATCH($S$1,Database!$A$1:$AS$1,),)))))/(((VLOOKUP(EDATE(B222,-12),Database!$A:$AS,MATCH($S$1,Database!$A$1:$AS$1,),))))</f>
        <v>6.9886947579415243E-2</v>
      </c>
      <c r="T222" s="13">
        <f>((((VLOOKUP(B222,Database!$A:$AS,MATCH($T$1,Database!$A$1:$AS$1,),))))-(((VLOOKUP(EDATE(B222,-12),Database!$A:$AS,MATCH($T$1,Database!$A$1:$AS$1,),)))))/(((VLOOKUP(EDATE(B222,-12),Database!$A:$AS,MATCH($T$1,Database!$A$1:$AS$1,),))))</f>
        <v>8.6003372691320829E-2</v>
      </c>
      <c r="U222" s="13">
        <f>((((VLOOKUP(B222,Database!$A:$AS,MATCH($U$1,Database!$A$1:$AS$1,),))))-(((VLOOKUP(EDATE(B222,-12),Database!$A:$AS,MATCH($U$1,Database!$A$1:$AS$1,),)))))/(((VLOOKUP(EDATE(B222,-12),Database!$A:$AS,MATCH($U$1,Database!$A$1:$AS$1,),))))</f>
        <v>8.3123425688729005E-2</v>
      </c>
      <c r="V222" s="13">
        <f>((((VLOOKUP(B222,Database!$A:$AS,MATCH($V$1,Database!$A$1:$AS$1,),))))-(((VLOOKUP(EDATE(B222,-12),Database!$A:$AS,MATCH($V$1,Database!$A$1:$AS$1,),)))))/(((VLOOKUP(EDATE(B222,-12),Database!$A:$AS,MATCH($V$1,Database!$A$1:$AS$1,),))))</f>
        <v>0.15072933549432735</v>
      </c>
    </row>
    <row r="223" spans="1:22" s="83" customFormat="1" x14ac:dyDescent="0.2">
      <c r="A223" s="43"/>
      <c r="B223" s="78">
        <v>38930</v>
      </c>
      <c r="C223" s="13">
        <f>((((VLOOKUP(B223,Database!$A:$AS,MATCH($C$1,Database!$A$1:$AS$1,),))))-(((VLOOKUP(EDATE(B223,-12),Database!$A:$AS,MATCH($C$1,Database!$A$1:$AS$1,),)))))/(((VLOOKUP(EDATE(B223,-12),Database!$A:$AS,MATCH($C$1,Database!$A$1:$AS$1,),))))</f>
        <v>2.2548508199549389E-2</v>
      </c>
      <c r="D223" s="13">
        <f>((((VLOOKUP(B223,Database!$A:$AS,MATCH($D$1,Database!$A$1:$AS$1,),))))-(((VLOOKUP(EDATE(B223,-12),Database!$A:$AS,MATCH($D$1,Database!$A$1:$AS$1,),)))))/(((VLOOKUP(EDATE(B223,-12),Database!$A:$AS,MATCH($D$1,Database!$A$1:$AS$1,),))))</f>
        <v>5.4878048780487715E-2</v>
      </c>
      <c r="E223" s="13">
        <f>((((VLOOKUP(B223,Database!$A:$AS,MATCH($E$1,Database!$A$1:$AS$1,),))))-(((VLOOKUP(EDATE(B223,-12),Database!$A:$AS,MATCH($E$1,Database!$A$1:$AS$1,),)))))/(((VLOOKUP(EDATE(B223,-12),Database!$A:$AS,MATCH($E$1,Database!$A$1:$AS$1,),))))</f>
        <v>5.5276381906109104E-2</v>
      </c>
      <c r="F223" s="13">
        <f>((((VLOOKUP(B223,Database!$A:$AS,MATCH($F$1,Database!$A$1:$AS$1,),))))-(((VLOOKUP(EDATE(B223,-12),Database!$A:$AS,MATCH($F$1,Database!$A$1:$AS$1,),)))))/(((VLOOKUP(EDATE(B223,-12),Database!$A:$AS,MATCH($F$1,Database!$A$1:$AS$1,),))))</f>
        <v>9.6085409262041566E-2</v>
      </c>
      <c r="G223" s="13">
        <f>((((VLOOKUP(B223,Database!$A:$AS,MATCH($G$1,Database!$A$1:$AS$1,),))))-(((VLOOKUP(EDATE(B223,-12),Database!$A:$AS,MATCH($G$1,Database!$A$1:$AS$1,),)))))/(((VLOOKUP(EDATE(B223,-12),Database!$A:$AS,MATCH($G$1,Database!$A$1:$AS$1,),))))</f>
        <v>1.6127545848308909E-2</v>
      </c>
      <c r="H223" s="13">
        <f>((((VLOOKUP(B223,Database!$A:$AS,MATCH($H$1,Database!$A$1:$AS$1,),))))-(((VLOOKUP(EDATE(B223,-12),Database!$A:$AS,MATCH($H$1,Database!$A$1:$AS$1,),)))))/(((VLOOKUP(EDATE(B223,-12),Database!$A:$AS,MATCH($H$1,Database!$A$1:$AS$1,),))))</f>
        <v>3.6231884059296282E-2</v>
      </c>
      <c r="I223" s="13">
        <f>((((VLOOKUP(B223,Database!$A:$AS,MATCH($I$1,Database!$A$1:$AS$1,),))))-(((VLOOKUP(EDATE(B223,-12),Database!$A:$AS,MATCH($I$1,Database!$A$1:$AS$1,),)))))/(((VLOOKUP(EDATE(B223,-12),Database!$A:$AS,MATCH($I$1,Database!$A$1:$AS$1,),))))</f>
        <v>4.6913580242015612E-2</v>
      </c>
      <c r="J223" s="13">
        <f>((((VLOOKUP(B223,Database!$A:$AS,MATCH($J$1,Database!$A$1:$AS$1,),))))-(((VLOOKUP(EDATE(B223,-12),Database!$A:$AS,MATCH($J$1,Database!$A$1:$AS$1,),)))))/(((VLOOKUP(EDATE(B223,-12),Database!$A:$AS,MATCH($J$1,Database!$A$1:$AS$1,),))))</f>
        <v>2.4718785805505263E-2</v>
      </c>
      <c r="K223" s="13">
        <f>((((VLOOKUP(B223,Database!$A:$AS,MATCH($K$1,Database!$A$1:$AS$1,),))))-(((VLOOKUP(EDATE(B223,-12),Database!$A:$AS,MATCH($K$1,Database!$A$1:$AS$1,),)))))/(((VLOOKUP(EDATE(B223,-12),Database!$A:$AS,MATCH($K$1,Database!$A$1:$AS$1,),))))</f>
        <v>4.2790697671779551E-2</v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>5.1507606139523557E-2</v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>7.6385726552696764E-2</v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>0.10066029495884629</v>
      </c>
      <c r="O223" s="13">
        <f>((((VLOOKUP(B223,Database!$A:$AS,MATCH($O$1,Database!$A$1:$AS$1,),))))-(((VLOOKUP(EDATE(B223,-12),Database!$A:$AS,MATCH($O$1,Database!$A$1:$AS$1,),)))))/(((VLOOKUP(EDATE(B223,-12),Database!$A:$AS,MATCH($O$1,Database!$A$1:$AS$1,),))))</f>
        <v>-1.0081284356064747E-2</v>
      </c>
      <c r="P223" s="13">
        <f>((((VLOOKUP(B223,Database!$A:$AS,MATCH($P$1,Database!$A$1:$AS$1,),))))-(((VLOOKUP(EDATE(B223,-12),Database!$A:$AS,MATCH($P$1,Database!$A$1:$AS$1,),)))))/(((VLOOKUP(EDATE(B223,-12),Database!$A:$AS,MATCH($P$1,Database!$A$1:$AS$1,),))))</f>
        <v>0.10143447308363678</v>
      </c>
      <c r="Q223" s="13">
        <f>((((VLOOKUP(B223,Database!$A:$AS,MATCH($Q$1,Database!$A$1:$AS$1,),))))-(((VLOOKUP(EDATE(B223,-12),Database!$A:$AS,MATCH($Q$1,Database!$A$1:$AS$1,),)))))/(((VLOOKUP(EDATE(B223,-12),Database!$A:$AS,MATCH($Q$1,Database!$A$1:$AS$1,),))))</f>
        <v>2.5813692483173493E-2</v>
      </c>
      <c r="R223" s="13">
        <f>((((VLOOKUP(B223,Database!$A:$AS,MATCH($R$1,Database!$A$1:$AS$1,),))))-(((VLOOKUP(EDATE(B223,-12),Database!$A:$AS,MATCH($R$1,Database!$A$1:$AS$1,),)))))/(((VLOOKUP(EDATE(B223,-12),Database!$A:$AS,MATCH($R$1,Database!$A$1:$AS$1,),))))</f>
        <v>1.4224751068861959E-2</v>
      </c>
      <c r="S223" s="13">
        <f>((((VLOOKUP(B223,Database!$A:$AS,MATCH($S$1,Database!$A$1:$AS$1,),))))-(((VLOOKUP(EDATE(B223,-12),Database!$A:$AS,MATCH($S$1,Database!$A$1:$AS$1,),)))))/(((VLOOKUP(EDATE(B223,-12),Database!$A:$AS,MATCH($S$1,Database!$A$1:$AS$1,),))))</f>
        <v>3.0784508435181931E-2</v>
      </c>
      <c r="T223" s="13">
        <f>((((VLOOKUP(B223,Database!$A:$AS,MATCH($T$1,Database!$A$1:$AS$1,),))))-(((VLOOKUP(EDATE(B223,-12),Database!$A:$AS,MATCH($T$1,Database!$A$1:$AS$1,),)))))/(((VLOOKUP(EDATE(B223,-12),Database!$A:$AS,MATCH($T$1,Database!$A$1:$AS$1,),))))</f>
        <v>6.4676616913772633E-2</v>
      </c>
      <c r="U223" s="13">
        <f>((((VLOOKUP(B223,Database!$A:$AS,MATCH($U$1,Database!$A$1:$AS$1,),))))-(((VLOOKUP(EDATE(B223,-12),Database!$A:$AS,MATCH($U$1,Database!$A$1:$AS$1,),)))))/(((VLOOKUP(EDATE(B223,-12),Database!$A:$AS,MATCH($U$1,Database!$A$1:$AS$1,),))))</f>
        <v>6.857855361466951E-2</v>
      </c>
      <c r="V223" s="13">
        <f>((((VLOOKUP(B223,Database!$A:$AS,MATCH($V$1,Database!$A$1:$AS$1,),))))-(((VLOOKUP(EDATE(B223,-12),Database!$A:$AS,MATCH($V$1,Database!$A$1:$AS$1,),)))))/(((VLOOKUP(EDATE(B223,-12),Database!$A:$AS,MATCH($V$1,Database!$A$1:$AS$1,),))))</f>
        <v>0.13483146067415741</v>
      </c>
    </row>
    <row r="224" spans="1:22" s="83" customFormat="1" x14ac:dyDescent="0.2">
      <c r="A224" s="43"/>
      <c r="B224" s="78">
        <v>38961</v>
      </c>
      <c r="C224" s="13">
        <f>((((VLOOKUP(B224,Database!$A:$AS,MATCH($C$1,Database!$A$1:$AS$1,),))))-(((VLOOKUP(EDATE(B224,-12),Database!$A:$AS,MATCH($C$1,Database!$A$1:$AS$1,),)))))/(((VLOOKUP(EDATE(B224,-12),Database!$A:$AS,MATCH($C$1,Database!$A$1:$AS$1,),))))</f>
        <v>4.0878870048717271E-2</v>
      </c>
      <c r="D224" s="13">
        <f>((((VLOOKUP(B224,Database!$A:$AS,MATCH($D$1,Database!$A$1:$AS$1,),))))-(((VLOOKUP(EDATE(B224,-12),Database!$A:$AS,MATCH($D$1,Database!$A$1:$AS$1,),)))))/(((VLOOKUP(EDATE(B224,-12),Database!$A:$AS,MATCH($D$1,Database!$A$1:$AS$1,),))))</f>
        <v>4.2126379137412261E-2</v>
      </c>
      <c r="E224" s="13">
        <f>((((VLOOKUP(B224,Database!$A:$AS,MATCH($E$1,Database!$A$1:$AS$1,),))))-(((VLOOKUP(EDATE(B224,-12),Database!$A:$AS,MATCH($E$1,Database!$A$1:$AS$1,),)))))/(((VLOOKUP(EDATE(B224,-12),Database!$A:$AS,MATCH($E$1,Database!$A$1:$AS$1,),))))</f>
        <v>4.5862412753977629E-2</v>
      </c>
      <c r="F224" s="13">
        <f>((((VLOOKUP(B224,Database!$A:$AS,MATCH($F$1,Database!$A$1:$AS$1,),))))-(((VLOOKUP(EDATE(B224,-12),Database!$A:$AS,MATCH($F$1,Database!$A$1:$AS$1,),)))))/(((VLOOKUP(EDATE(B224,-12),Database!$A:$AS,MATCH($F$1,Database!$A$1:$AS$1,),))))</f>
        <v>6.4590542096691336E-2</v>
      </c>
      <c r="G224" s="13">
        <f>((((VLOOKUP(B224,Database!$A:$AS,MATCH($G$1,Database!$A$1:$AS$1,),))))-(((VLOOKUP(EDATE(B224,-12),Database!$A:$AS,MATCH($G$1,Database!$A$1:$AS$1,),)))))/(((VLOOKUP(EDATE(B224,-12),Database!$A:$AS,MATCH($G$1,Database!$A$1:$AS$1,),))))</f>
        <v>6.2921348314606993E-3</v>
      </c>
      <c r="H224" s="13">
        <f>((((VLOOKUP(B224,Database!$A:$AS,MATCH($H$1,Database!$A$1:$AS$1,),))))-(((VLOOKUP(EDATE(B224,-12),Database!$A:$AS,MATCH($H$1,Database!$A$1:$AS$1,),)))))/(((VLOOKUP(EDATE(B224,-12),Database!$A:$AS,MATCH($H$1,Database!$A$1:$AS$1,),))))</f>
        <v>4.3254376936462502E-2</v>
      </c>
      <c r="I224" s="13">
        <f>((((VLOOKUP(B224,Database!$A:$AS,MATCH($I$1,Database!$A$1:$AS$1,),))))-(((VLOOKUP(EDATE(B224,-12),Database!$A:$AS,MATCH($I$1,Database!$A$1:$AS$1,),)))))/(((VLOOKUP(EDATE(B224,-12),Database!$A:$AS,MATCH($I$1,Database!$A$1:$AS$1,),))))</f>
        <v>3.9312039309282169E-2</v>
      </c>
      <c r="J224" s="13">
        <f>((((VLOOKUP(B224,Database!$A:$AS,MATCH($J$1,Database!$A$1:$AS$1,),))))-(((VLOOKUP(EDATE(B224,-12),Database!$A:$AS,MATCH($J$1,Database!$A$1:$AS$1,),)))))/(((VLOOKUP(EDATE(B224,-12),Database!$A:$AS,MATCH($J$1,Database!$A$1:$AS$1,),))))</f>
        <v>4.0697036651361464E-2</v>
      </c>
      <c r="K224" s="13">
        <f>((((VLOOKUP(B224,Database!$A:$AS,MATCH($K$1,Database!$A$1:$AS$1,),))))-(((VLOOKUP(EDATE(B224,-12),Database!$A:$AS,MATCH($K$1,Database!$A$1:$AS$1,),)))))/(((VLOOKUP(EDATE(B224,-12),Database!$A:$AS,MATCH($K$1,Database!$A$1:$AS$1,),))))</f>
        <v>2.695417789905127E-2</v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>5.0106774348764829E-2</v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>6.8970045358595827E-2</v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>0.13477006678590453</v>
      </c>
      <c r="O224" s="13">
        <f>((((VLOOKUP(B224,Database!$A:$AS,MATCH($O$1,Database!$A$1:$AS$1,),))))-(((VLOOKUP(EDATE(B224,-12),Database!$A:$AS,MATCH($O$1,Database!$A$1:$AS$1,),)))))/(((VLOOKUP(EDATE(B224,-12),Database!$A:$AS,MATCH($O$1,Database!$A$1:$AS$1,),))))</f>
        <v>-2.8031169388814354E-2</v>
      </c>
      <c r="P224" s="13">
        <f>((((VLOOKUP(B224,Database!$A:$AS,MATCH($P$1,Database!$A$1:$AS$1,),))))-(((VLOOKUP(EDATE(B224,-12),Database!$A:$AS,MATCH($P$1,Database!$A$1:$AS$1,),)))))/(((VLOOKUP(EDATE(B224,-12),Database!$A:$AS,MATCH($P$1,Database!$A$1:$AS$1,),))))</f>
        <v>0.10815436342844507</v>
      </c>
      <c r="Q224" s="13">
        <f>((((VLOOKUP(B224,Database!$A:$AS,MATCH($Q$1,Database!$A$1:$AS$1,),))))-(((VLOOKUP(EDATE(B224,-12),Database!$A:$AS,MATCH($Q$1,Database!$A$1:$AS$1,),)))))/(((VLOOKUP(EDATE(B224,-12),Database!$A:$AS,MATCH($Q$1,Database!$A$1:$AS$1,),))))</f>
        <v>2.3809523806091352E-2</v>
      </c>
      <c r="R224" s="13">
        <f>((((VLOOKUP(B224,Database!$A:$AS,MATCH($R$1,Database!$A$1:$AS$1,),))))-(((VLOOKUP(EDATE(B224,-12),Database!$A:$AS,MATCH($R$1,Database!$A$1:$AS$1,),)))))/(((VLOOKUP(EDATE(B224,-12),Database!$A:$AS,MATCH($R$1,Database!$A$1:$AS$1,),))))</f>
        <v>-2.5139664802496822E-2</v>
      </c>
      <c r="S224" s="13">
        <f>((((VLOOKUP(B224,Database!$A:$AS,MATCH($S$1,Database!$A$1:$AS$1,),))))-(((VLOOKUP(EDATE(B224,-12),Database!$A:$AS,MATCH($S$1,Database!$A$1:$AS$1,),)))))/(((VLOOKUP(EDATE(B224,-12),Database!$A:$AS,MATCH($S$1,Database!$A$1:$AS$1,),))))</f>
        <v>5.0301810857040857E-2</v>
      </c>
      <c r="T224" s="13">
        <f>((((VLOOKUP(B224,Database!$A:$AS,MATCH($T$1,Database!$A$1:$AS$1,),))))-(((VLOOKUP(EDATE(B224,-12),Database!$A:$AS,MATCH($T$1,Database!$A$1:$AS$1,),)))))/(((VLOOKUP(EDATE(B224,-12),Database!$A:$AS,MATCH($T$1,Database!$A$1:$AS$1,),))))</f>
        <v>5.2459016400968041E-2</v>
      </c>
      <c r="U224" s="13">
        <f>((((VLOOKUP(B224,Database!$A:$AS,MATCH($U$1,Database!$A$1:$AS$1,),))))-(((VLOOKUP(EDATE(B224,-12),Database!$A:$AS,MATCH($U$1,Database!$A$1:$AS$1,),)))))/(((VLOOKUP(EDATE(B224,-12),Database!$A:$AS,MATCH($U$1,Database!$A$1:$AS$1,),))))</f>
        <v>8.9552238806341403E-2</v>
      </c>
      <c r="V224" s="13">
        <f>((((VLOOKUP(B224,Database!$A:$AS,MATCH($V$1,Database!$A$1:$AS$1,),))))-(((VLOOKUP(EDATE(B224,-12),Database!$A:$AS,MATCH($V$1,Database!$A$1:$AS$1,),)))))/(((VLOOKUP(EDATE(B224,-12),Database!$A:$AS,MATCH($V$1,Database!$A$1:$AS$1,),))))</f>
        <v>0.13990461049284586</v>
      </c>
    </row>
    <row r="225" spans="1:22" s="83" customFormat="1" x14ac:dyDescent="0.2">
      <c r="A225" s="43"/>
      <c r="B225" s="78">
        <v>38991</v>
      </c>
      <c r="C225" s="13">
        <f>((((VLOOKUP(B225,Database!$A:$AS,MATCH($C$1,Database!$A$1:$AS$1,),))))-(((VLOOKUP(EDATE(B225,-12),Database!$A:$AS,MATCH($C$1,Database!$A$1:$AS$1,),)))))/(((VLOOKUP(EDATE(B225,-12),Database!$A:$AS,MATCH($C$1,Database!$A$1:$AS$1,),))))</f>
        <v>2.7405594731142652E-2</v>
      </c>
      <c r="D225" s="13">
        <f>((((VLOOKUP(B225,Database!$A:$AS,MATCH($D$1,Database!$A$1:$AS$1,),))))-(((VLOOKUP(EDATE(B225,-12),Database!$A:$AS,MATCH($D$1,Database!$A$1:$AS$1,),)))))/(((VLOOKUP(EDATE(B225,-12),Database!$A:$AS,MATCH($D$1,Database!$A$1:$AS$1,),))))</f>
        <v>3.7037037037036924E-2</v>
      </c>
      <c r="E225" s="13">
        <f>((((VLOOKUP(B225,Database!$A:$AS,MATCH($E$1,Database!$A$1:$AS$1,),))))-(((VLOOKUP(EDATE(B225,-12),Database!$A:$AS,MATCH($E$1,Database!$A$1:$AS$1,),)))))/(((VLOOKUP(EDATE(B225,-12),Database!$A:$AS,MATCH($E$1,Database!$A$1:$AS$1,),))))</f>
        <v>5.9356136824436231E-2</v>
      </c>
      <c r="F225" s="13">
        <f>((((VLOOKUP(B225,Database!$A:$AS,MATCH($F$1,Database!$A$1:$AS$1,),))))-(((VLOOKUP(EDATE(B225,-12),Database!$A:$AS,MATCH($F$1,Database!$A$1:$AS$1,),)))))/(((VLOOKUP(EDATE(B225,-12),Database!$A:$AS,MATCH($F$1,Database!$A$1:$AS$1,),))))</f>
        <v>4.1855203627242647E-2</v>
      </c>
      <c r="G225" s="13">
        <f>((((VLOOKUP(B225,Database!$A:$AS,MATCH($G$1,Database!$A$1:$AS$1,),))))-(((VLOOKUP(EDATE(B225,-12),Database!$A:$AS,MATCH($G$1,Database!$A$1:$AS$1,),)))))/(((VLOOKUP(EDATE(B225,-12),Database!$A:$AS,MATCH($G$1,Database!$A$1:$AS$1,),))))</f>
        <v>2.8245971476199269E-2</v>
      </c>
      <c r="H225" s="13">
        <f>((((VLOOKUP(B225,Database!$A:$AS,MATCH($H$1,Database!$A$1:$AS$1,),))))-(((VLOOKUP(EDATE(B225,-12),Database!$A:$AS,MATCH($H$1,Database!$A$1:$AS$1,),)))))/(((VLOOKUP(EDATE(B225,-12),Database!$A:$AS,MATCH($H$1,Database!$A$1:$AS$1,),))))</f>
        <v>3.27868852438713E-2</v>
      </c>
      <c r="I225" s="13">
        <f>((((VLOOKUP(B225,Database!$A:$AS,MATCH($I$1,Database!$A$1:$AS$1,),))))-(((VLOOKUP(EDATE(B225,-12),Database!$A:$AS,MATCH($I$1,Database!$A$1:$AS$1,),)))))/(((VLOOKUP(EDATE(B225,-12),Database!$A:$AS,MATCH($I$1,Database!$A$1:$AS$1,),))))</f>
        <v>4.009819967525962E-2</v>
      </c>
      <c r="J225" s="13">
        <f>((((VLOOKUP(B225,Database!$A:$AS,MATCH($J$1,Database!$A$1:$AS$1,),))))-(((VLOOKUP(EDATE(B225,-12),Database!$A:$AS,MATCH($J$1,Database!$A$1:$AS$1,),)))))/(((VLOOKUP(EDATE(B225,-12),Database!$A:$AS,MATCH($J$1,Database!$A$1:$AS$1,),))))</f>
        <v>4.0346276581678199E-2</v>
      </c>
      <c r="K225" s="13">
        <f>((((VLOOKUP(B225,Database!$A:$AS,MATCH($K$1,Database!$A$1:$AS$1,),))))-(((VLOOKUP(EDATE(B225,-12),Database!$A:$AS,MATCH($K$1,Database!$A$1:$AS$1,),)))))/(((VLOOKUP(EDATE(B225,-12),Database!$A:$AS,MATCH($K$1,Database!$A$1:$AS$1,),))))</f>
        <v>2.6714158505537367E-2</v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>4.3944820038938362E-2</v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>7.8792714953224791E-2</v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>9.1370565533655038E-2</v>
      </c>
      <c r="O225" s="13">
        <f>((((VLOOKUP(B225,Database!$A:$AS,MATCH($O$1,Database!$A$1:$AS$1,),))))-(((VLOOKUP(EDATE(B225,-12),Database!$A:$AS,MATCH($O$1,Database!$A$1:$AS$1,),)))))/(((VLOOKUP(EDATE(B225,-12),Database!$A:$AS,MATCH($O$1,Database!$A$1:$AS$1,),))))</f>
        <v>-3.0753000763875337E-2</v>
      </c>
      <c r="P225" s="13">
        <f>((((VLOOKUP(B225,Database!$A:$AS,MATCH($P$1,Database!$A$1:$AS$1,),))))-(((VLOOKUP(EDATE(B225,-12),Database!$A:$AS,MATCH($P$1,Database!$A$1:$AS$1,),)))))/(((VLOOKUP(EDATE(B225,-12),Database!$A:$AS,MATCH($P$1,Database!$A$1:$AS$1,),))))</f>
        <v>0.1325516487684999</v>
      </c>
      <c r="Q225" s="13">
        <f>((((VLOOKUP(B225,Database!$A:$AS,MATCH($Q$1,Database!$A$1:$AS$1,),))))-(((VLOOKUP(EDATE(B225,-12),Database!$A:$AS,MATCH($Q$1,Database!$A$1:$AS$1,),)))))/(((VLOOKUP(EDATE(B225,-12),Database!$A:$AS,MATCH($Q$1,Database!$A$1:$AS$1,),))))</f>
        <v>3.65296803696998E-2</v>
      </c>
      <c r="R225" s="13">
        <f>((((VLOOKUP(B225,Database!$A:$AS,MATCH($R$1,Database!$A$1:$AS$1,),))))-(((VLOOKUP(EDATE(B225,-12),Database!$A:$AS,MATCH($R$1,Database!$A$1:$AS$1,),)))))/(((VLOOKUP(EDATE(B225,-12),Database!$A:$AS,MATCH($R$1,Database!$A$1:$AS$1,),))))</f>
        <v>4.946996466441104E-3</v>
      </c>
      <c r="S225" s="13">
        <f>((((VLOOKUP(B225,Database!$A:$AS,MATCH($S$1,Database!$A$1:$AS$1,),))))-(((VLOOKUP(EDATE(B225,-12),Database!$A:$AS,MATCH($S$1,Database!$A$1:$AS$1,),)))))/(((VLOOKUP(EDATE(B225,-12),Database!$A:$AS,MATCH($S$1,Database!$A$1:$AS$1,),))))</f>
        <v>-2.9673590536590981E-3</v>
      </c>
      <c r="T225" s="13">
        <f>((((VLOOKUP(B225,Database!$A:$AS,MATCH($T$1,Database!$A$1:$AS$1,),))))-(((VLOOKUP(EDATE(B225,-12),Database!$A:$AS,MATCH($T$1,Database!$A$1:$AS$1,),)))))/(((VLOOKUP(EDATE(B225,-12),Database!$A:$AS,MATCH($T$1,Database!$A$1:$AS$1,),))))</f>
        <v>4.193548386461976E-2</v>
      </c>
      <c r="U225" s="13">
        <f>((((VLOOKUP(B225,Database!$A:$AS,MATCH($U$1,Database!$A$1:$AS$1,),))))-(((VLOOKUP(EDATE(B225,-12),Database!$A:$AS,MATCH($U$1,Database!$A$1:$AS$1,),)))))/(((VLOOKUP(EDATE(B225,-12),Database!$A:$AS,MATCH($U$1,Database!$A$1:$AS$1,),))))</f>
        <v>7.3891625607754266E-2</v>
      </c>
      <c r="V225" s="13">
        <f>((((VLOOKUP(B225,Database!$A:$AS,MATCH($V$1,Database!$A$1:$AS$1,),))))-(((VLOOKUP(EDATE(B225,-12),Database!$A:$AS,MATCH($V$1,Database!$A$1:$AS$1,),)))))/(((VLOOKUP(EDATE(B225,-12),Database!$A:$AS,MATCH($V$1,Database!$A$1:$AS$1,),))))</f>
        <v>0.11609907120743035</v>
      </c>
    </row>
    <row r="226" spans="1:22" s="83" customFormat="1" x14ac:dyDescent="0.2">
      <c r="A226" s="43"/>
      <c r="B226" s="78">
        <v>39022</v>
      </c>
      <c r="C226" s="13">
        <f>((((VLOOKUP(B226,Database!$A:$AS,MATCH($C$1,Database!$A$1:$AS$1,),))))-(((VLOOKUP(EDATE(B226,-12),Database!$A:$AS,MATCH($C$1,Database!$A$1:$AS$1,),)))))/(((VLOOKUP(EDATE(B226,-12),Database!$A:$AS,MATCH($C$1,Database!$A$1:$AS$1,),))))</f>
        <v>1.6012515155555102E-2</v>
      </c>
      <c r="D226" s="13">
        <f>((((VLOOKUP(B226,Database!$A:$AS,MATCH($D$1,Database!$A$1:$AS$1,),))))-(((VLOOKUP(EDATE(B226,-12),Database!$A:$AS,MATCH($D$1,Database!$A$1:$AS$1,),)))))/(((VLOOKUP(EDATE(B226,-12),Database!$A:$AS,MATCH($D$1,Database!$A$1:$AS$1,),))))</f>
        <v>2.9527559055118113E-2</v>
      </c>
      <c r="E226" s="13">
        <f>((((VLOOKUP(B226,Database!$A:$AS,MATCH($E$1,Database!$A$1:$AS$1,),))))-(((VLOOKUP(EDATE(B226,-12),Database!$A:$AS,MATCH($E$1,Database!$A$1:$AS$1,),)))))/(((VLOOKUP(EDATE(B226,-12),Database!$A:$AS,MATCH($E$1,Database!$A$1:$AS$1,),))))</f>
        <v>4.8323471400430369E-2</v>
      </c>
      <c r="F226" s="13">
        <f>((((VLOOKUP(B226,Database!$A:$AS,MATCH($F$1,Database!$A$1:$AS$1,),))))-(((VLOOKUP(EDATE(B226,-12),Database!$A:$AS,MATCH($F$1,Database!$A$1:$AS$1,),)))))/(((VLOOKUP(EDATE(B226,-12),Database!$A:$AS,MATCH($F$1,Database!$A$1:$AS$1,),))))</f>
        <v>7.2082379853797521E-2</v>
      </c>
      <c r="G226" s="13">
        <f>((((VLOOKUP(B226,Database!$A:$AS,MATCH($G$1,Database!$A$1:$AS$1,),))))-(((VLOOKUP(EDATE(B226,-12),Database!$A:$AS,MATCH($G$1,Database!$A$1:$AS$1,),)))))/(((VLOOKUP(EDATE(B226,-12),Database!$A:$AS,MATCH($G$1,Database!$A$1:$AS$1,),))))</f>
        <v>-1.7094017094016985E-2</v>
      </c>
      <c r="H226" s="13">
        <f>((((VLOOKUP(B226,Database!$A:$AS,MATCH($H$1,Database!$A$1:$AS$1,),))))-(((VLOOKUP(EDATE(B226,-12),Database!$A:$AS,MATCH($H$1,Database!$A$1:$AS$1,),)))))/(((VLOOKUP(EDATE(B226,-12),Database!$A:$AS,MATCH($H$1,Database!$A$1:$AS$1,),))))</f>
        <v>3.4623217925904663E-2</v>
      </c>
      <c r="I226" s="13">
        <f>((((VLOOKUP(B226,Database!$A:$AS,MATCH($I$1,Database!$A$1:$AS$1,),))))-(((VLOOKUP(EDATE(B226,-12),Database!$A:$AS,MATCH($I$1,Database!$A$1:$AS$1,),)))))/(((VLOOKUP(EDATE(B226,-12),Database!$A:$AS,MATCH($I$1,Database!$A$1:$AS$1,),))))</f>
        <v>3.0769230771473272E-2</v>
      </c>
      <c r="J226" s="13">
        <f>((((VLOOKUP(B226,Database!$A:$AS,MATCH($J$1,Database!$A$1:$AS$1,),))))-(((VLOOKUP(EDATE(B226,-12),Database!$A:$AS,MATCH($J$1,Database!$A$1:$AS$1,),)))))/(((VLOOKUP(EDATE(B226,-12),Database!$A:$AS,MATCH($J$1,Database!$A$1:$AS$1,),))))</f>
        <v>3.8964675138927304E-2</v>
      </c>
      <c r="K226" s="13">
        <f>((((VLOOKUP(B226,Database!$A:$AS,MATCH($K$1,Database!$A$1:$AS$1,),))))-(((VLOOKUP(EDATE(B226,-12),Database!$A:$AS,MATCH($K$1,Database!$A$1:$AS$1,),)))))/(((VLOOKUP(EDATE(B226,-12),Database!$A:$AS,MATCH($K$1,Database!$A$1:$AS$1,),))))</f>
        <v>5.1818181812669985E-2</v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>2.4488692371591316E-2</v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>6.9302950495444882E-2</v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>0.20441074205701534</v>
      </c>
      <c r="O226" s="13">
        <f>((((VLOOKUP(B226,Database!$A:$AS,MATCH($O$1,Database!$A$1:$AS$1,),))))-(((VLOOKUP(EDATE(B226,-12),Database!$A:$AS,MATCH($O$1,Database!$A$1:$AS$1,),)))))/(((VLOOKUP(EDATE(B226,-12),Database!$A:$AS,MATCH($O$1,Database!$A$1:$AS$1,),))))</f>
        <v>-3.8879116874891158E-2</v>
      </c>
      <c r="P226" s="13">
        <f>((((VLOOKUP(B226,Database!$A:$AS,MATCH($P$1,Database!$A$1:$AS$1,),))))-(((VLOOKUP(EDATE(B226,-12),Database!$A:$AS,MATCH($P$1,Database!$A$1:$AS$1,),)))))/(((VLOOKUP(EDATE(B226,-12),Database!$A:$AS,MATCH($P$1,Database!$A$1:$AS$1,),))))</f>
        <v>7.1479162534370935E-2</v>
      </c>
      <c r="Q226" s="13">
        <f>((((VLOOKUP(B226,Database!$A:$AS,MATCH($Q$1,Database!$A$1:$AS$1,),))))-(((VLOOKUP(EDATE(B226,-12),Database!$A:$AS,MATCH($Q$1,Database!$A$1:$AS$1,),)))))/(((VLOOKUP(EDATE(B226,-12),Database!$A:$AS,MATCH($Q$1,Database!$A$1:$AS$1,),))))</f>
        <v>3.9503386012822113E-2</v>
      </c>
      <c r="R226" s="13">
        <f>((((VLOOKUP(B226,Database!$A:$AS,MATCH($R$1,Database!$A$1:$AS$1,),))))-(((VLOOKUP(EDATE(B226,-12),Database!$A:$AS,MATCH($R$1,Database!$A$1:$AS$1,),)))))/(((VLOOKUP(EDATE(B226,-12),Database!$A:$AS,MATCH($R$1,Database!$A$1:$AS$1,),))))</f>
        <v>-2.8208744707862981E-2</v>
      </c>
      <c r="S226" s="13">
        <f>((((VLOOKUP(B226,Database!$A:$AS,MATCH($S$1,Database!$A$1:$AS$1,),))))-(((VLOOKUP(EDATE(B226,-12),Database!$A:$AS,MATCH($S$1,Database!$A$1:$AS$1,),)))))/(((VLOOKUP(EDATE(B226,-12),Database!$A:$AS,MATCH($S$1,Database!$A$1:$AS$1,),))))</f>
        <v>-0.1235857267161297</v>
      </c>
      <c r="T226" s="13">
        <f>((((VLOOKUP(B226,Database!$A:$AS,MATCH($T$1,Database!$A$1:$AS$1,),))))-(((VLOOKUP(EDATE(B226,-12),Database!$A:$AS,MATCH($T$1,Database!$A$1:$AS$1,),)))))/(((VLOOKUP(EDATE(B226,-12),Database!$A:$AS,MATCH($T$1,Database!$A$1:$AS$1,),))))</f>
        <v>3.3762057868223221E-2</v>
      </c>
      <c r="U226" s="13">
        <f>((((VLOOKUP(B226,Database!$A:$AS,MATCH($U$1,Database!$A$1:$AS$1,),))))-(((VLOOKUP(EDATE(B226,-12),Database!$A:$AS,MATCH($U$1,Database!$A$1:$AS$1,),)))))/(((VLOOKUP(EDATE(B226,-12),Database!$A:$AS,MATCH($U$1,Database!$A$1:$AS$1,),))))</f>
        <v>8.0097087375134879E-2</v>
      </c>
      <c r="V226" s="13">
        <f>((((VLOOKUP(B226,Database!$A:$AS,MATCH($V$1,Database!$A$1:$AS$1,),))))-(((VLOOKUP(EDATE(B226,-12),Database!$A:$AS,MATCH($V$1,Database!$A$1:$AS$1,),)))))/(((VLOOKUP(EDATE(B226,-12),Database!$A:$AS,MATCH($V$1,Database!$A$1:$AS$1,),))))</f>
        <v>8.8145896656534911E-2</v>
      </c>
    </row>
    <row r="227" spans="1:22" s="83" customFormat="1" x14ac:dyDescent="0.2">
      <c r="A227" s="43"/>
      <c r="B227" s="78">
        <v>39052</v>
      </c>
      <c r="C227" s="13">
        <f>((((VLOOKUP(B227,Database!$A:$AS,MATCH($C$1,Database!$A$1:$AS$1,),))))-(((VLOOKUP(EDATE(B227,-12),Database!$A:$AS,MATCH($C$1,Database!$A$1:$AS$1,),)))))/(((VLOOKUP(EDATE(B227,-12),Database!$A:$AS,MATCH($C$1,Database!$A$1:$AS$1,),))))</f>
        <v>2.0789974222076048E-2</v>
      </c>
      <c r="D227" s="13">
        <f>((((VLOOKUP(B227,Database!$A:$AS,MATCH($D$1,Database!$A$1:$AS$1,),))))-(((VLOOKUP(EDATE(B227,-12),Database!$A:$AS,MATCH($D$1,Database!$A$1:$AS$1,),)))))/(((VLOOKUP(EDATE(B227,-12),Database!$A:$AS,MATCH($D$1,Database!$A$1:$AS$1,),))))</f>
        <v>5.5721393034825817E-2</v>
      </c>
      <c r="E227" s="13">
        <f>((((VLOOKUP(B227,Database!$A:$AS,MATCH($E$1,Database!$A$1:$AS$1,),))))-(((VLOOKUP(EDATE(B227,-12),Database!$A:$AS,MATCH($E$1,Database!$A$1:$AS$1,),)))))/(((VLOOKUP(EDATE(B227,-12),Database!$A:$AS,MATCH($E$1,Database!$A$1:$AS$1,),))))</f>
        <v>4.5186640473306082E-2</v>
      </c>
      <c r="F227" s="13">
        <f>((((VLOOKUP(B227,Database!$A:$AS,MATCH($F$1,Database!$A$1:$AS$1,),))))-(((VLOOKUP(EDATE(B227,-12),Database!$A:$AS,MATCH($F$1,Database!$A$1:$AS$1,),)))))/(((VLOOKUP(EDATE(B227,-12),Database!$A:$AS,MATCH($F$1,Database!$A$1:$AS$1,),))))</f>
        <v>8.4862385324178655E-2</v>
      </c>
      <c r="G227" s="13">
        <f>((((VLOOKUP(B227,Database!$A:$AS,MATCH($G$1,Database!$A$1:$AS$1,),))))-(((VLOOKUP(EDATE(B227,-12),Database!$A:$AS,MATCH($G$1,Database!$A$1:$AS$1,),)))))/(((VLOOKUP(EDATE(B227,-12),Database!$A:$AS,MATCH($G$1,Database!$A$1:$AS$1,),))))</f>
        <v>1.1714877894926531E-2</v>
      </c>
      <c r="H227" s="13">
        <f>((((VLOOKUP(B227,Database!$A:$AS,MATCH($H$1,Database!$A$1:$AS$1,),))))-(((VLOOKUP(EDATE(B227,-12),Database!$A:$AS,MATCH($H$1,Database!$A$1:$AS$1,),)))))/(((VLOOKUP(EDATE(B227,-12),Database!$A:$AS,MATCH($H$1,Database!$A$1:$AS$1,),))))</f>
        <v>2.4390243908200923E-2</v>
      </c>
      <c r="I227" s="13">
        <f>((((VLOOKUP(B227,Database!$A:$AS,MATCH($I$1,Database!$A$1:$AS$1,),))))-(((VLOOKUP(EDATE(B227,-12),Database!$A:$AS,MATCH($I$1,Database!$A$1:$AS$1,),)))))/(((VLOOKUP(EDATE(B227,-12),Database!$A:$AS,MATCH($I$1,Database!$A$1:$AS$1,),))))</f>
        <v>6.327033689584495E-2</v>
      </c>
      <c r="J227" s="13">
        <f>((((VLOOKUP(B227,Database!$A:$AS,MATCH($J$1,Database!$A$1:$AS$1,),))))-(((VLOOKUP(EDATE(B227,-12),Database!$A:$AS,MATCH($J$1,Database!$A$1:$AS$1,),)))))/(((VLOOKUP(EDATE(B227,-12),Database!$A:$AS,MATCH($J$1,Database!$A$1:$AS$1,),))))</f>
        <v>5.1332948643772545E-2</v>
      </c>
      <c r="K227" s="13">
        <f>((((VLOOKUP(B227,Database!$A:$AS,MATCH($K$1,Database!$A$1:$AS$1,),))))-(((VLOOKUP(EDATE(B227,-12),Database!$A:$AS,MATCH($K$1,Database!$A$1:$AS$1,),)))))/(((VLOOKUP(EDATE(B227,-12),Database!$A:$AS,MATCH($K$1,Database!$A$1:$AS$1,),))))</f>
        <v>9.1659028416592209E-2</v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>8.8892606487162122E-3</v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>7.0004459070960742E-2</v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>0.14281031679974016</v>
      </c>
      <c r="O227" s="13">
        <f>((((VLOOKUP(B227,Database!$A:$AS,MATCH($O$1,Database!$A$1:$AS$1,),))))-(((VLOOKUP(EDATE(B227,-12),Database!$A:$AS,MATCH($O$1,Database!$A$1:$AS$1,),)))))/(((VLOOKUP(EDATE(B227,-12),Database!$A:$AS,MATCH($O$1,Database!$A$1:$AS$1,),))))</f>
        <v>-3.5474220815771333E-2</v>
      </c>
      <c r="P227" s="13">
        <f>((((VLOOKUP(B227,Database!$A:$AS,MATCH($P$1,Database!$A$1:$AS$1,),))))-(((VLOOKUP(EDATE(B227,-12),Database!$A:$AS,MATCH($P$1,Database!$A$1:$AS$1,),)))))/(((VLOOKUP(EDATE(B227,-12),Database!$A:$AS,MATCH($P$1,Database!$A$1:$AS$1,),))))</f>
        <v>5.6685581269135733E-2</v>
      </c>
      <c r="Q227" s="13">
        <f>((((VLOOKUP(B227,Database!$A:$AS,MATCH($Q$1,Database!$A$1:$AS$1,),))))-(((VLOOKUP(EDATE(B227,-12),Database!$A:$AS,MATCH($Q$1,Database!$A$1:$AS$1,),)))))/(((VLOOKUP(EDATE(B227,-12),Database!$A:$AS,MATCH($Q$1,Database!$A$1:$AS$1,),))))</f>
        <v>3.0939226521798802E-2</v>
      </c>
      <c r="R227" s="13">
        <f>((((VLOOKUP(B227,Database!$A:$AS,MATCH($R$1,Database!$A$1:$AS$1,),))))-(((VLOOKUP(EDATE(B227,-12),Database!$A:$AS,MATCH($R$1,Database!$A$1:$AS$1,),)))))/(((VLOOKUP(EDATE(B227,-12),Database!$A:$AS,MATCH($R$1,Database!$A$1:$AS$1,),))))</f>
        <v>2.3005032349704028E-2</v>
      </c>
      <c r="S227" s="13">
        <f>((((VLOOKUP(B227,Database!$A:$AS,MATCH($S$1,Database!$A$1:$AS$1,),))))-(((VLOOKUP(EDATE(B227,-12),Database!$A:$AS,MATCH($S$1,Database!$A$1:$AS$1,),)))))/(((VLOOKUP(EDATE(B227,-12),Database!$A:$AS,MATCH($S$1,Database!$A$1:$AS$1,),))))</f>
        <v>0.13559322034896482</v>
      </c>
      <c r="T227" s="13">
        <f>((((VLOOKUP(B227,Database!$A:$AS,MATCH($T$1,Database!$A$1:$AS$1,),))))-(((VLOOKUP(EDATE(B227,-12),Database!$A:$AS,MATCH($T$1,Database!$A$1:$AS$1,),)))))/(((VLOOKUP(EDATE(B227,-12),Database!$A:$AS,MATCH($T$1,Database!$A$1:$AS$1,),))))</f>
        <v>8.2792207802275627E-2</v>
      </c>
      <c r="U227" s="13">
        <f>((((VLOOKUP(B227,Database!$A:$AS,MATCH($U$1,Database!$A$1:$AS$1,),))))-(((VLOOKUP(EDATE(B227,-12),Database!$A:$AS,MATCH($U$1,Database!$A$1:$AS$1,),)))))/(((VLOOKUP(EDATE(B227,-12),Database!$A:$AS,MATCH($U$1,Database!$A$1:$AS$1,),))))</f>
        <v>9.4775212641257864E-2</v>
      </c>
      <c r="V227" s="13">
        <f>((((VLOOKUP(B227,Database!$A:$AS,MATCH($V$1,Database!$A$1:$AS$1,),))))-(((VLOOKUP(EDATE(B227,-12),Database!$A:$AS,MATCH($V$1,Database!$A$1:$AS$1,),)))))/(((VLOOKUP(EDATE(B227,-12),Database!$A:$AS,MATCH($V$1,Database!$A$1:$AS$1,),))))</f>
        <v>0.11958146487294469</v>
      </c>
    </row>
    <row r="228" spans="1:22" s="83" customFormat="1" x14ac:dyDescent="0.2">
      <c r="A228" s="43"/>
      <c r="B228" s="78">
        <v>39083</v>
      </c>
      <c r="C228" s="13">
        <f>((((VLOOKUP(B228,Database!$A:$AS,MATCH($C$1,Database!$A$1:$AS$1,),))))-(((VLOOKUP(EDATE(B228,-12),Database!$A:$AS,MATCH($C$1,Database!$A$1:$AS$1,),)))))/(((VLOOKUP(EDATE(B228,-12),Database!$A:$AS,MATCH($C$1,Database!$A$1:$AS$1,),))))</f>
        <v>1.5505113630368593E-2</v>
      </c>
      <c r="D228" s="13">
        <f>((((VLOOKUP(B228,Database!$A:$AS,MATCH($D$1,Database!$A$1:$AS$1,),))))-(((VLOOKUP(EDATE(B228,-12),Database!$A:$AS,MATCH($D$1,Database!$A$1:$AS$1,),)))))/(((VLOOKUP(EDATE(B228,-12),Database!$A:$AS,MATCH($D$1,Database!$A$1:$AS$1,),))))</f>
        <v>4.3435340572556817E-2</v>
      </c>
      <c r="E228" s="13">
        <f>((((VLOOKUP(B228,Database!$A:$AS,MATCH($E$1,Database!$A$1:$AS$1,),))))-(((VLOOKUP(EDATE(B228,-12),Database!$A:$AS,MATCH($E$1,Database!$A$1:$AS$1,),)))))/(((VLOOKUP(EDATE(B228,-12),Database!$A:$AS,MATCH($E$1,Database!$A$1:$AS$1,),))))</f>
        <v>3.1341821743618339E-2</v>
      </c>
      <c r="F228" s="13">
        <f>((((VLOOKUP(B228,Database!$A:$AS,MATCH($F$1,Database!$A$1:$AS$1,),))))-(((VLOOKUP(EDATE(B228,-12),Database!$A:$AS,MATCH($F$1,Database!$A$1:$AS$1,),)))))/(((VLOOKUP(EDATE(B228,-12),Database!$A:$AS,MATCH($F$1,Database!$A$1:$AS$1,),))))</f>
        <v>8.4378563275392657E-2</v>
      </c>
      <c r="G228" s="13">
        <f>((((VLOOKUP(B228,Database!$A:$AS,MATCH($G$1,Database!$A$1:$AS$1,),))))-(((VLOOKUP(EDATE(B228,-12),Database!$A:$AS,MATCH($G$1,Database!$A$1:$AS$1,),)))))/(((VLOOKUP(EDATE(B228,-12),Database!$A:$AS,MATCH($G$1,Database!$A$1:$AS$1,),))))</f>
        <v>6.8940493468795825E-3</v>
      </c>
      <c r="H228" s="13">
        <f>((((VLOOKUP(B228,Database!$A:$AS,MATCH($H$1,Database!$A$1:$AS$1,),))))-(((VLOOKUP(EDATE(B228,-12),Database!$A:$AS,MATCH($H$1,Database!$A$1:$AS$1,),)))))/(((VLOOKUP(EDATE(B228,-12),Database!$A:$AS,MATCH($H$1,Database!$A$1:$AS$1,),))))</f>
        <v>2.9263370328064142E-2</v>
      </c>
      <c r="I228" s="13">
        <f>((((VLOOKUP(B228,Database!$A:$AS,MATCH($I$1,Database!$A$1:$AS$1,),))))-(((VLOOKUP(EDATE(B228,-12),Database!$A:$AS,MATCH($I$1,Database!$A$1:$AS$1,),)))))/(((VLOOKUP(EDATE(B228,-12),Database!$A:$AS,MATCH($I$1,Database!$A$1:$AS$1,),))))</f>
        <v>4.8281505734107291E-2</v>
      </c>
      <c r="J228" s="13">
        <f>((((VLOOKUP(B228,Database!$A:$AS,MATCH($J$1,Database!$A$1:$AS$1,),))))-(((VLOOKUP(EDATE(B228,-12),Database!$A:$AS,MATCH($J$1,Database!$A$1:$AS$1,),)))))/(((VLOOKUP(EDATE(B228,-12),Database!$A:$AS,MATCH($J$1,Database!$A$1:$AS$1,),))))</f>
        <v>3.1310359634881949E-2</v>
      </c>
      <c r="K228" s="13">
        <f>((((VLOOKUP(B228,Database!$A:$AS,MATCH($K$1,Database!$A$1:$AS$1,),))))-(((VLOOKUP(EDATE(B228,-12),Database!$A:$AS,MATCH($K$1,Database!$A$1:$AS$1,),)))))/(((VLOOKUP(EDATE(B228,-12),Database!$A:$AS,MATCH($K$1,Database!$A$1:$AS$1,),))))</f>
        <v>3.2685512367085445E-2</v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>1.0724776422930713E-2</v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>9.5663265306122444E-2</v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>0.13921883407408503</v>
      </c>
      <c r="O228" s="13">
        <f>((((VLOOKUP(B228,Database!$A:$AS,MATCH($O$1,Database!$A$1:$AS$1,),))))-(((VLOOKUP(EDATE(B228,-12),Database!$A:$AS,MATCH($O$1,Database!$A$1:$AS$1,),)))))/(((VLOOKUP(EDATE(B228,-12),Database!$A:$AS,MATCH($O$1,Database!$A$1:$AS$1,),))))</f>
        <v>-3.5595342689687781E-2</v>
      </c>
      <c r="P228" s="13">
        <f>((((VLOOKUP(B228,Database!$A:$AS,MATCH($P$1,Database!$A$1:$AS$1,),))))-(((VLOOKUP(EDATE(B228,-12),Database!$A:$AS,MATCH($P$1,Database!$A$1:$AS$1,),)))))/(((VLOOKUP(EDATE(B228,-12),Database!$A:$AS,MATCH($P$1,Database!$A$1:$AS$1,),))))</f>
        <v>2.8940307109624509E-2</v>
      </c>
      <c r="Q228" s="13">
        <f>((((VLOOKUP(B228,Database!$A:$AS,MATCH($Q$1,Database!$A$1:$AS$1,),))))-(((VLOOKUP(EDATE(B228,-12),Database!$A:$AS,MATCH($Q$1,Database!$A$1:$AS$1,),)))))/(((VLOOKUP(EDATE(B228,-12),Database!$A:$AS,MATCH($Q$1,Database!$A$1:$AS$1,),))))</f>
        <v>2.0925110133028828E-2</v>
      </c>
      <c r="R228" s="13">
        <f>((((VLOOKUP(B228,Database!$A:$AS,MATCH($R$1,Database!$A$1:$AS$1,),))))-(((VLOOKUP(EDATE(B228,-12),Database!$A:$AS,MATCH($R$1,Database!$A$1:$AS$1,),)))))/(((VLOOKUP(EDATE(B228,-12),Database!$A:$AS,MATCH($R$1,Database!$A$1:$AS$1,),))))</f>
        <v>8.7872185906881894E-2</v>
      </c>
      <c r="S228" s="13">
        <f>((((VLOOKUP(B228,Database!$A:$AS,MATCH($S$1,Database!$A$1:$AS$1,),))))-(((VLOOKUP(EDATE(B228,-12),Database!$A:$AS,MATCH($S$1,Database!$A$1:$AS$1,),)))))/(((VLOOKUP(EDATE(B228,-12),Database!$A:$AS,MATCH($S$1,Database!$A$1:$AS$1,),))))</f>
        <v>8.4905660469569225E-3</v>
      </c>
      <c r="T228" s="13">
        <f>((((VLOOKUP(B228,Database!$A:$AS,MATCH($T$1,Database!$A$1:$AS$1,),))))-(((VLOOKUP(EDATE(B228,-12),Database!$A:$AS,MATCH($T$1,Database!$A$1:$AS$1,),)))))/(((VLOOKUP(EDATE(B228,-12),Database!$A:$AS,MATCH($T$1,Database!$A$1:$AS$1,),))))</f>
        <v>0.11755233495440154</v>
      </c>
      <c r="U228" s="13">
        <f>((((VLOOKUP(B228,Database!$A:$AS,MATCH($U$1,Database!$A$1:$AS$1,),))))-(((VLOOKUP(EDATE(B228,-12),Database!$A:$AS,MATCH($U$1,Database!$A$1:$AS$1,),)))))/(((VLOOKUP(EDATE(B228,-12),Database!$A:$AS,MATCH($U$1,Database!$A$1:$AS$1,),))))</f>
        <v>0.12038140643390344</v>
      </c>
      <c r="V228" s="13">
        <f>((((VLOOKUP(B228,Database!$A:$AS,MATCH($V$1,Database!$A$1:$AS$1,),))))-(((VLOOKUP(EDATE(B228,-12),Database!$A:$AS,MATCH($V$1,Database!$A$1:$AS$1,),)))))/(((VLOOKUP(EDATE(B228,-12),Database!$A:$AS,MATCH($V$1,Database!$A$1:$AS$1,),))))</f>
        <v>0.1393568147013784</v>
      </c>
    </row>
    <row r="229" spans="1:22" s="83" customFormat="1" x14ac:dyDescent="0.2">
      <c r="A229" s="43"/>
      <c r="B229" s="78">
        <v>39114</v>
      </c>
      <c r="C229" s="13">
        <f>((((VLOOKUP(B229,Database!$A:$AS,MATCH($C$1,Database!$A$1:$AS$1,),))))-(((VLOOKUP(EDATE(B229,-12),Database!$A:$AS,MATCH($C$1,Database!$A$1:$AS$1,),)))))/(((VLOOKUP(EDATE(B229,-12),Database!$A:$AS,MATCH($C$1,Database!$A$1:$AS$1,),))))</f>
        <v>2.510036485019973E-2</v>
      </c>
      <c r="D229" s="13">
        <f>((((VLOOKUP(B229,Database!$A:$AS,MATCH($D$1,Database!$A$1:$AS$1,),))))-(((VLOOKUP(EDATE(B229,-12),Database!$A:$AS,MATCH($D$1,Database!$A$1:$AS$1,),)))))/(((VLOOKUP(EDATE(B229,-12),Database!$A:$AS,MATCH($D$1,Database!$A$1:$AS$1,),))))</f>
        <v>5.0395256916995992E-2</v>
      </c>
      <c r="E229" s="13">
        <f>((((VLOOKUP(B229,Database!$A:$AS,MATCH($E$1,Database!$A$1:$AS$1,),))))-(((VLOOKUP(EDATE(B229,-12),Database!$A:$AS,MATCH($E$1,Database!$A$1:$AS$1,),)))))/(((VLOOKUP(EDATE(B229,-12),Database!$A:$AS,MATCH($E$1,Database!$A$1:$AS$1,),))))</f>
        <v>3.9254170760755415E-2</v>
      </c>
      <c r="F229" s="13">
        <f>((((VLOOKUP(B229,Database!$A:$AS,MATCH($F$1,Database!$A$1:$AS$1,),))))-(((VLOOKUP(EDATE(B229,-12),Database!$A:$AS,MATCH($F$1,Database!$A$1:$AS$1,),)))))/(((VLOOKUP(EDATE(B229,-12),Database!$A:$AS,MATCH($F$1,Database!$A$1:$AS$1,),))))</f>
        <v>8.2766439917010645E-2</v>
      </c>
      <c r="G229" s="13">
        <f>((((VLOOKUP(B229,Database!$A:$AS,MATCH($G$1,Database!$A$1:$AS$1,),))))-(((VLOOKUP(EDATE(B229,-12),Database!$A:$AS,MATCH($G$1,Database!$A$1:$AS$1,),)))))/(((VLOOKUP(EDATE(B229,-12),Database!$A:$AS,MATCH($G$1,Database!$A$1:$AS$1,),))))</f>
        <v>2.2920281252853537E-2</v>
      </c>
      <c r="H229" s="13">
        <f>((((VLOOKUP(B229,Database!$A:$AS,MATCH($H$1,Database!$A$1:$AS$1,),))))-(((VLOOKUP(EDATE(B229,-12),Database!$A:$AS,MATCH($H$1,Database!$A$1:$AS$1,),)))))/(((VLOOKUP(EDATE(B229,-12),Database!$A:$AS,MATCH($H$1,Database!$A$1:$AS$1,),))))</f>
        <v>3.1794871795223972E-2</v>
      </c>
      <c r="I229" s="13">
        <f>((((VLOOKUP(B229,Database!$A:$AS,MATCH($I$1,Database!$A$1:$AS$1,),))))-(((VLOOKUP(EDATE(B229,-12),Database!$A:$AS,MATCH($I$1,Database!$A$1:$AS$1,),)))))/(((VLOOKUP(EDATE(B229,-12),Database!$A:$AS,MATCH($I$1,Database!$A$1:$AS$1,),))))</f>
        <v>3.5341365454588776E-2</v>
      </c>
      <c r="J229" s="13">
        <f>((((VLOOKUP(B229,Database!$A:$AS,MATCH($J$1,Database!$A$1:$AS$1,),))))-(((VLOOKUP(EDATE(B229,-12),Database!$A:$AS,MATCH($J$1,Database!$A$1:$AS$1,),)))))/(((VLOOKUP(EDATE(B229,-12),Database!$A:$AS,MATCH($J$1,Database!$A$1:$AS$1,),))))</f>
        <v>2.9913842619069621E-2</v>
      </c>
      <c r="K229" s="13">
        <f>((((VLOOKUP(B229,Database!$A:$AS,MATCH($K$1,Database!$A$1:$AS$1,),))))-(((VLOOKUP(EDATE(B229,-12),Database!$A:$AS,MATCH($K$1,Database!$A$1:$AS$1,),)))))/(((VLOOKUP(EDATE(B229,-12),Database!$A:$AS,MATCH($K$1,Database!$A$1:$AS$1,),))))</f>
        <v>6.5647482014073125E-2</v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>2.534237293867319E-2</v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>7.7020202020201947E-2</v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>0.14050641482451581</v>
      </c>
      <c r="O229" s="13">
        <f>((((VLOOKUP(B229,Database!$A:$AS,MATCH($O$1,Database!$A$1:$AS$1,),))))-(((VLOOKUP(EDATE(B229,-12),Database!$A:$AS,MATCH($O$1,Database!$A$1:$AS$1,),)))))/(((VLOOKUP(EDATE(B229,-12),Database!$A:$AS,MATCH($O$1,Database!$A$1:$AS$1,),))))</f>
        <v>-2.2940497096354415E-2</v>
      </c>
      <c r="P229" s="13">
        <f>((((VLOOKUP(B229,Database!$A:$AS,MATCH($P$1,Database!$A$1:$AS$1,),))))-(((VLOOKUP(EDATE(B229,-12),Database!$A:$AS,MATCH($P$1,Database!$A$1:$AS$1,),)))))/(((VLOOKUP(EDATE(B229,-12),Database!$A:$AS,MATCH($P$1,Database!$A$1:$AS$1,),))))</f>
        <v>5.7962154703580203E-2</v>
      </c>
      <c r="Q229" s="13">
        <f>((((VLOOKUP(B229,Database!$A:$AS,MATCH($Q$1,Database!$A$1:$AS$1,),))))-(((VLOOKUP(EDATE(B229,-12),Database!$A:$AS,MATCH($Q$1,Database!$A$1:$AS$1,),)))))/(((VLOOKUP(EDATE(B229,-12),Database!$A:$AS,MATCH($Q$1,Database!$A$1:$AS$1,),))))</f>
        <v>2.7352297591584373E-2</v>
      </c>
      <c r="R229" s="13">
        <f>((((VLOOKUP(B229,Database!$A:$AS,MATCH($R$1,Database!$A$1:$AS$1,),))))-(((VLOOKUP(EDATE(B229,-12),Database!$A:$AS,MATCH($R$1,Database!$A$1:$AS$1,),)))))/(((VLOOKUP(EDATE(B229,-12),Database!$A:$AS,MATCH($R$1,Database!$A$1:$AS$1,),))))</f>
        <v>4.6511627900741592E-2</v>
      </c>
      <c r="S229" s="13">
        <f>((((VLOOKUP(B229,Database!$A:$AS,MATCH($S$1,Database!$A$1:$AS$1,),))))-(((VLOOKUP(EDATE(B229,-12),Database!$A:$AS,MATCH($S$1,Database!$A$1:$AS$1,),)))))/(((VLOOKUP(EDATE(B229,-12),Database!$A:$AS,MATCH($S$1,Database!$A$1:$AS$1,),))))</f>
        <v>0.20264317181646602</v>
      </c>
      <c r="T229" s="13">
        <f>((((VLOOKUP(B229,Database!$A:$AS,MATCH($T$1,Database!$A$1:$AS$1,),))))-(((VLOOKUP(EDATE(B229,-12),Database!$A:$AS,MATCH($T$1,Database!$A$1:$AS$1,),)))))/(((VLOOKUP(EDATE(B229,-12),Database!$A:$AS,MATCH($T$1,Database!$A$1:$AS$1,),))))</f>
        <v>8.4799999997362971E-2</v>
      </c>
      <c r="U229" s="13">
        <f>((((VLOOKUP(B229,Database!$A:$AS,MATCH($U$1,Database!$A$1:$AS$1,),))))-(((VLOOKUP(EDATE(B229,-12),Database!$A:$AS,MATCH($U$1,Database!$A$1:$AS$1,),)))))/(((VLOOKUP(EDATE(B229,-12),Database!$A:$AS,MATCH($U$1,Database!$A$1:$AS$1,),))))</f>
        <v>0.13454545455462416</v>
      </c>
      <c r="V229" s="13">
        <f>((((VLOOKUP(B229,Database!$A:$AS,MATCH($V$1,Database!$A$1:$AS$1,),))))-(((VLOOKUP(EDATE(B229,-12),Database!$A:$AS,MATCH($V$1,Database!$A$1:$AS$1,),)))))/(((VLOOKUP(EDATE(B229,-12),Database!$A:$AS,MATCH($V$1,Database!$A$1:$AS$1,),))))</f>
        <v>0.11897590361445769</v>
      </c>
    </row>
    <row r="230" spans="1:22" s="83" customFormat="1" x14ac:dyDescent="0.2">
      <c r="A230" s="43"/>
      <c r="B230" s="78">
        <v>39142</v>
      </c>
      <c r="C230" s="13">
        <f>((((VLOOKUP(B230,Database!$A:$AS,MATCH($C$1,Database!$A$1:$AS$1,),))))-(((VLOOKUP(EDATE(B230,-12),Database!$A:$AS,MATCH($C$1,Database!$A$1:$AS$1,),)))))/(((VLOOKUP(EDATE(B230,-12),Database!$A:$AS,MATCH($C$1,Database!$A$1:$AS$1,),))))</f>
        <v>2.4689755204971745E-2</v>
      </c>
      <c r="D230" s="13">
        <f>((((VLOOKUP(B230,Database!$A:$AS,MATCH($D$1,Database!$A$1:$AS$1,),))))-(((VLOOKUP(EDATE(B230,-12),Database!$A:$AS,MATCH($D$1,Database!$A$1:$AS$1,),)))))/(((VLOOKUP(EDATE(B230,-12),Database!$A:$AS,MATCH($D$1,Database!$A$1:$AS$1,),))))</f>
        <v>4.8086359175662327E-2</v>
      </c>
      <c r="E230" s="13">
        <f>((((VLOOKUP(B230,Database!$A:$AS,MATCH($E$1,Database!$A$1:$AS$1,),))))-(((VLOOKUP(EDATE(B230,-12),Database!$A:$AS,MATCH($E$1,Database!$A$1:$AS$1,),)))))/(((VLOOKUP(EDATE(B230,-12),Database!$A:$AS,MATCH($E$1,Database!$A$1:$AS$1,),))))</f>
        <v>3.2163742689822444E-2</v>
      </c>
      <c r="F230" s="13">
        <f>((((VLOOKUP(B230,Database!$A:$AS,MATCH($F$1,Database!$A$1:$AS$1,),))))-(((VLOOKUP(EDATE(B230,-12),Database!$A:$AS,MATCH($F$1,Database!$A$1:$AS$1,),)))))/(((VLOOKUP(EDATE(B230,-12),Database!$A:$AS,MATCH($F$1,Database!$A$1:$AS$1,),))))</f>
        <v>9.8398169335310787E-2</v>
      </c>
      <c r="G230" s="13">
        <f>((((VLOOKUP(B230,Database!$A:$AS,MATCH($G$1,Database!$A$1:$AS$1,),))))-(((VLOOKUP(EDATE(B230,-12),Database!$A:$AS,MATCH($G$1,Database!$A$1:$AS$1,),)))))/(((VLOOKUP(EDATE(B230,-12),Database!$A:$AS,MATCH($G$1,Database!$A$1:$AS$1,),))))</f>
        <v>1.2014704563794526E-2</v>
      </c>
      <c r="H230" s="13">
        <f>((((VLOOKUP(B230,Database!$A:$AS,MATCH($H$1,Database!$A$1:$AS$1,),))))-(((VLOOKUP(EDATE(B230,-12),Database!$A:$AS,MATCH($H$1,Database!$A$1:$AS$1,),)))))/(((VLOOKUP(EDATE(B230,-12),Database!$A:$AS,MATCH($H$1,Database!$A$1:$AS$1,),))))</f>
        <v>1.5166835193008594E-2</v>
      </c>
      <c r="I230" s="13">
        <f>((((VLOOKUP(B230,Database!$A:$AS,MATCH($I$1,Database!$A$1:$AS$1,),))))-(((VLOOKUP(EDATE(B230,-12),Database!$A:$AS,MATCH($I$1,Database!$A$1:$AS$1,),)))))/(((VLOOKUP(EDATE(B230,-12),Database!$A:$AS,MATCH($I$1,Database!$A$1:$AS$1,),))))</f>
        <v>3.7569944044911104E-2</v>
      </c>
      <c r="J230" s="13">
        <f>((((VLOOKUP(B230,Database!$A:$AS,MATCH($J$1,Database!$A$1:$AS$1,),))))-(((VLOOKUP(EDATE(B230,-12),Database!$A:$AS,MATCH($J$1,Database!$A$1:$AS$1,),)))))/(((VLOOKUP(EDATE(B230,-12),Database!$A:$AS,MATCH($J$1,Database!$A$1:$AS$1,),))))</f>
        <v>3.9807704027498371E-2</v>
      </c>
      <c r="K230" s="13">
        <f>((((VLOOKUP(B230,Database!$A:$AS,MATCH($K$1,Database!$A$1:$AS$1,),))))-(((VLOOKUP(EDATE(B230,-12),Database!$A:$AS,MATCH($K$1,Database!$A$1:$AS$1,),)))))/(((VLOOKUP(EDATE(B230,-12),Database!$A:$AS,MATCH($K$1,Database!$A$1:$AS$1,),))))</f>
        <v>7.078853046420773E-2</v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>2.4163082146278683E-2</v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>7.8651685393258577E-2</v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>0.14371225944013999</v>
      </c>
      <c r="O230" s="13">
        <f>((((VLOOKUP(B230,Database!$A:$AS,MATCH($O$1,Database!$A$1:$AS$1,),))))-(((VLOOKUP(EDATE(B230,-12),Database!$A:$AS,MATCH($O$1,Database!$A$1:$AS$1,),)))))/(((VLOOKUP(EDATE(B230,-12),Database!$A:$AS,MATCH($O$1,Database!$A$1:$AS$1,),))))</f>
        <v>-2.2600655060565553E-2</v>
      </c>
      <c r="P230" s="13">
        <f>((((VLOOKUP(B230,Database!$A:$AS,MATCH($P$1,Database!$A$1:$AS$1,),))))-(((VLOOKUP(EDATE(B230,-12),Database!$A:$AS,MATCH($P$1,Database!$A$1:$AS$1,),)))))/(((VLOOKUP(EDATE(B230,-12),Database!$A:$AS,MATCH($P$1,Database!$A$1:$AS$1,),))))</f>
        <v>3.6096162755584797E-2</v>
      </c>
      <c r="Q230" s="13">
        <f>((((VLOOKUP(B230,Database!$A:$AS,MATCH($Q$1,Database!$A$1:$AS$1,),))))-(((VLOOKUP(EDATE(B230,-12),Database!$A:$AS,MATCH($Q$1,Database!$A$1:$AS$1,),)))))/(((VLOOKUP(EDATE(B230,-12),Database!$A:$AS,MATCH($Q$1,Database!$A$1:$AS$1,),))))</f>
        <v>4.6306504954809008E-2</v>
      </c>
      <c r="R230" s="13">
        <f>((((VLOOKUP(B230,Database!$A:$AS,MATCH($R$1,Database!$A$1:$AS$1,),))))-(((VLOOKUP(EDATE(B230,-12),Database!$A:$AS,MATCH($R$1,Database!$A$1:$AS$1,),)))))/(((VLOOKUP(EDATE(B230,-12),Database!$A:$AS,MATCH($R$1,Database!$A$1:$AS$1,),))))</f>
        <v>-2.4071526822463787E-2</v>
      </c>
      <c r="S230" s="13">
        <f>((((VLOOKUP(B230,Database!$A:$AS,MATCH($S$1,Database!$A$1:$AS$1,),))))-(((VLOOKUP(EDATE(B230,-12),Database!$A:$AS,MATCH($S$1,Database!$A$1:$AS$1,),)))))/(((VLOOKUP(EDATE(B230,-12),Database!$A:$AS,MATCH($S$1,Database!$A$1:$AS$1,),))))</f>
        <v>8.1429990068383556E-2</v>
      </c>
      <c r="T230" s="13">
        <f>((((VLOOKUP(B230,Database!$A:$AS,MATCH($T$1,Database!$A$1:$AS$1,),))))-(((VLOOKUP(EDATE(B230,-12),Database!$A:$AS,MATCH($T$1,Database!$A$1:$AS$1,),)))))/(((VLOOKUP(EDATE(B230,-12),Database!$A:$AS,MATCH($T$1,Database!$A$1:$AS$1,),))))</f>
        <v>7.4882995330765909E-2</v>
      </c>
      <c r="U230" s="13">
        <f>((((VLOOKUP(B230,Database!$A:$AS,MATCH($U$1,Database!$A$1:$AS$1,),))))-(((VLOOKUP(EDATE(B230,-12),Database!$A:$AS,MATCH($U$1,Database!$A$1:$AS$1,),)))))/(((VLOOKUP(EDATE(B230,-12),Database!$A:$AS,MATCH($U$1,Database!$A$1:$AS$1,),))))</f>
        <v>0.126190476193623</v>
      </c>
      <c r="V230" s="13">
        <f>((((VLOOKUP(B230,Database!$A:$AS,MATCH($V$1,Database!$A$1:$AS$1,),))))-(((VLOOKUP(EDATE(B230,-12),Database!$A:$AS,MATCH($V$1,Database!$A$1:$AS$1,),)))))/(((VLOOKUP(EDATE(B230,-12),Database!$A:$AS,MATCH($V$1,Database!$A$1:$AS$1,),))))</f>
        <v>0.13303437967115084</v>
      </c>
    </row>
    <row r="231" spans="1:22" s="83" customFormat="1" x14ac:dyDescent="0.2">
      <c r="A231" s="43"/>
      <c r="B231" s="78">
        <v>39173</v>
      </c>
      <c r="C231" s="13">
        <f>((((VLOOKUP(B231,Database!$A:$AS,MATCH($C$1,Database!$A$1:$AS$1,),))))-(((VLOOKUP(EDATE(B231,-12),Database!$A:$AS,MATCH($C$1,Database!$A$1:$AS$1,),)))))/(((VLOOKUP(EDATE(B231,-12),Database!$A:$AS,MATCH($C$1,Database!$A$1:$AS$1,),))))</f>
        <v>2.8770264554083536E-2</v>
      </c>
      <c r="D231" s="13">
        <f>((((VLOOKUP(B231,Database!$A:$AS,MATCH($D$1,Database!$A$1:$AS$1,),))))-(((VLOOKUP(EDATE(B231,-12),Database!$A:$AS,MATCH($D$1,Database!$A$1:$AS$1,),)))))/(((VLOOKUP(EDATE(B231,-12),Database!$A:$AS,MATCH($D$1,Database!$A$1:$AS$1,),))))</f>
        <v>3.1280547409579695E-2</v>
      </c>
      <c r="E231" s="13">
        <f>((((VLOOKUP(B231,Database!$A:$AS,MATCH($E$1,Database!$A$1:$AS$1,),))))-(((VLOOKUP(EDATE(B231,-12),Database!$A:$AS,MATCH($E$1,Database!$A$1:$AS$1,),)))))/(((VLOOKUP(EDATE(B231,-12),Database!$A:$AS,MATCH($E$1,Database!$A$1:$AS$1,),))))</f>
        <v>1.0526315792346707E-2</v>
      </c>
      <c r="F231" s="13">
        <f>((((VLOOKUP(B231,Database!$A:$AS,MATCH($F$1,Database!$A$1:$AS$1,),))))-(((VLOOKUP(EDATE(B231,-12),Database!$A:$AS,MATCH($F$1,Database!$A$1:$AS$1,),)))))/(((VLOOKUP(EDATE(B231,-12),Database!$A:$AS,MATCH($F$1,Database!$A$1:$AS$1,),))))</f>
        <v>6.3758389255100661E-2</v>
      </c>
      <c r="G231" s="13">
        <f>((((VLOOKUP(B231,Database!$A:$AS,MATCH($G$1,Database!$A$1:$AS$1,),))))-(((VLOOKUP(EDATE(B231,-12),Database!$A:$AS,MATCH($G$1,Database!$A$1:$AS$1,),)))))/(((VLOOKUP(EDATE(B231,-12),Database!$A:$AS,MATCH($G$1,Database!$A$1:$AS$1,),))))</f>
        <v>4.5057222672791888E-4</v>
      </c>
      <c r="H231" s="13">
        <f>((((VLOOKUP(B231,Database!$A:$AS,MATCH($H$1,Database!$A$1:$AS$1,),))))-(((VLOOKUP(EDATE(B231,-12),Database!$A:$AS,MATCH($H$1,Database!$A$1:$AS$1,),)))))/(((VLOOKUP(EDATE(B231,-12),Database!$A:$AS,MATCH($H$1,Database!$A$1:$AS$1,),))))</f>
        <v>2.4691358020793978E-2</v>
      </c>
      <c r="I231" s="13">
        <f>((((VLOOKUP(B231,Database!$A:$AS,MATCH($I$1,Database!$A$1:$AS$1,),))))-(((VLOOKUP(EDATE(B231,-12),Database!$A:$AS,MATCH($I$1,Database!$A$1:$AS$1,),)))))/(((VLOOKUP(EDATE(B231,-12),Database!$A:$AS,MATCH($I$1,Database!$A$1:$AS$1,),))))</f>
        <v>2.6591458501910085E-2</v>
      </c>
      <c r="J231" s="13">
        <f>((((VLOOKUP(B231,Database!$A:$AS,MATCH($J$1,Database!$A$1:$AS$1,),))))-(((VLOOKUP(EDATE(B231,-12),Database!$A:$AS,MATCH($J$1,Database!$A$1:$AS$1,),)))))/(((VLOOKUP(EDATE(B231,-12),Database!$A:$AS,MATCH($J$1,Database!$A$1:$AS$1,),))))</f>
        <v>1.9840994971691121E-2</v>
      </c>
      <c r="K231" s="13">
        <f>((((VLOOKUP(B231,Database!$A:$AS,MATCH($K$1,Database!$A$1:$AS$1,),))))-(((VLOOKUP(EDATE(B231,-12),Database!$A:$AS,MATCH($K$1,Database!$A$1:$AS$1,),)))))/(((VLOOKUP(EDATE(B231,-12),Database!$A:$AS,MATCH($K$1,Database!$A$1:$AS$1,),))))</f>
        <v>4.9822064060991857E-2</v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>1.7924020366719522E-2</v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>6.7080745341614983E-2</v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>0.1696679349821931</v>
      </c>
      <c r="O231" s="13">
        <f>((((VLOOKUP(B231,Database!$A:$AS,MATCH($O$1,Database!$A$1:$AS$1,),))))-(((VLOOKUP(EDATE(B231,-12),Database!$A:$AS,MATCH($O$1,Database!$A$1:$AS$1,),)))))/(((VLOOKUP(EDATE(B231,-12),Database!$A:$AS,MATCH($O$1,Database!$A$1:$AS$1,),))))</f>
        <v>-2.0647896652735195E-2</v>
      </c>
      <c r="P231" s="13">
        <f>((((VLOOKUP(B231,Database!$A:$AS,MATCH($P$1,Database!$A$1:$AS$1,),))))-(((VLOOKUP(EDATE(B231,-12),Database!$A:$AS,MATCH($P$1,Database!$A$1:$AS$1,),)))))/(((VLOOKUP(EDATE(B231,-12),Database!$A:$AS,MATCH($P$1,Database!$A$1:$AS$1,),))))</f>
        <v>6.3164874859000533E-2</v>
      </c>
      <c r="Q231" s="13">
        <f>((((VLOOKUP(B231,Database!$A:$AS,MATCH($Q$1,Database!$A$1:$AS$1,),))))-(((VLOOKUP(EDATE(B231,-12),Database!$A:$AS,MATCH($Q$1,Database!$A$1:$AS$1,),)))))/(((VLOOKUP(EDATE(B231,-12),Database!$A:$AS,MATCH($Q$1,Database!$A$1:$AS$1,),))))</f>
        <v>5.0328227576465087E-2</v>
      </c>
      <c r="R231" s="13">
        <f>((((VLOOKUP(B231,Database!$A:$AS,MATCH($R$1,Database!$A$1:$AS$1,),))))-(((VLOOKUP(EDATE(B231,-12),Database!$A:$AS,MATCH($R$1,Database!$A$1:$AS$1,),)))))/(((VLOOKUP(EDATE(B231,-12),Database!$A:$AS,MATCH($R$1,Database!$A$1:$AS$1,),))))</f>
        <v>0</v>
      </c>
      <c r="S231" s="13">
        <f>((((VLOOKUP(B231,Database!$A:$AS,MATCH($S$1,Database!$A$1:$AS$1,),))))-(((VLOOKUP(EDATE(B231,-12),Database!$A:$AS,MATCH($S$1,Database!$A$1:$AS$1,),)))))/(((VLOOKUP(EDATE(B231,-12),Database!$A:$AS,MATCH($S$1,Database!$A$1:$AS$1,),))))</f>
        <v>3.2535885165165507E-2</v>
      </c>
      <c r="T231" s="13">
        <f>((((VLOOKUP(B231,Database!$A:$AS,MATCH($T$1,Database!$A$1:$AS$1,),))))-(((VLOOKUP(EDATE(B231,-12),Database!$A:$AS,MATCH($T$1,Database!$A$1:$AS$1,),)))))/(((VLOOKUP(EDATE(B231,-12),Database!$A:$AS,MATCH($T$1,Database!$A$1:$AS$1,),))))</f>
        <v>8.9622641499791544E-2</v>
      </c>
      <c r="U231" s="13">
        <f>((((VLOOKUP(B231,Database!$A:$AS,MATCH($U$1,Database!$A$1:$AS$1,),))))-(((VLOOKUP(EDATE(B231,-12),Database!$A:$AS,MATCH($U$1,Database!$A$1:$AS$1,),)))))/(((VLOOKUP(EDATE(B231,-12),Database!$A:$AS,MATCH($U$1,Database!$A$1:$AS$1,),))))</f>
        <v>0.12545235222507004</v>
      </c>
      <c r="V231" s="13">
        <f>((((VLOOKUP(B231,Database!$A:$AS,MATCH($V$1,Database!$A$1:$AS$1,),))))-(((VLOOKUP(EDATE(B231,-12),Database!$A:$AS,MATCH($V$1,Database!$A$1:$AS$1,),)))))/(((VLOOKUP(EDATE(B231,-12),Database!$A:$AS,MATCH($V$1,Database!$A$1:$AS$1,),))))</f>
        <v>0.10029498525073742</v>
      </c>
    </row>
    <row r="232" spans="1:22" s="83" customFormat="1" x14ac:dyDescent="0.2">
      <c r="A232" s="43"/>
      <c r="B232" s="78">
        <v>39203</v>
      </c>
      <c r="C232" s="13">
        <f>((((VLOOKUP(B232,Database!$A:$AS,MATCH($C$1,Database!$A$1:$AS$1,),))))-(((VLOOKUP(EDATE(B232,-12),Database!$A:$AS,MATCH($C$1,Database!$A$1:$AS$1,),)))))/(((VLOOKUP(EDATE(B232,-12),Database!$A:$AS,MATCH($C$1,Database!$A$1:$AS$1,),))))</f>
        <v>2.9473235056924004E-2</v>
      </c>
      <c r="D232" s="13">
        <f>((((VLOOKUP(B232,Database!$A:$AS,MATCH($D$1,Database!$A$1:$AS$1,),))))-(((VLOOKUP(EDATE(B232,-12),Database!$A:$AS,MATCH($D$1,Database!$A$1:$AS$1,),)))))/(((VLOOKUP(EDATE(B232,-12),Database!$A:$AS,MATCH($D$1,Database!$A$1:$AS$1,),))))</f>
        <v>3.3718689788053952E-2</v>
      </c>
      <c r="E232" s="13">
        <f>((((VLOOKUP(B232,Database!$A:$AS,MATCH($E$1,Database!$A$1:$AS$1,),))))-(((VLOOKUP(EDATE(B232,-12),Database!$A:$AS,MATCH($E$1,Database!$A$1:$AS$1,),)))))/(((VLOOKUP(EDATE(B232,-12),Database!$A:$AS,MATCH($E$1,Database!$A$1:$AS$1,),))))</f>
        <v>3.7900874632101358E-2</v>
      </c>
      <c r="F232" s="13">
        <f>((((VLOOKUP(B232,Database!$A:$AS,MATCH($F$1,Database!$A$1:$AS$1,),))))-(((VLOOKUP(EDATE(B232,-12),Database!$A:$AS,MATCH($F$1,Database!$A$1:$AS$1,),)))))/(((VLOOKUP(EDATE(B232,-12),Database!$A:$AS,MATCH($F$1,Database!$A$1:$AS$1,),))))</f>
        <v>6.7254685777372925E-2</v>
      </c>
      <c r="G232" s="13">
        <f>((((VLOOKUP(B232,Database!$A:$AS,MATCH($G$1,Database!$A$1:$AS$1,),))))-(((VLOOKUP(EDATE(B232,-12),Database!$A:$AS,MATCH($G$1,Database!$A$1:$AS$1,),)))))/(((VLOOKUP(EDATE(B232,-12),Database!$A:$AS,MATCH($G$1,Database!$A$1:$AS$1,),))))</f>
        <v>8.3377683164805039E-3</v>
      </c>
      <c r="H232" s="13">
        <f>((((VLOOKUP(B232,Database!$A:$AS,MATCH($H$1,Database!$A$1:$AS$1,),))))-(((VLOOKUP(EDATE(B232,-12),Database!$A:$AS,MATCH($H$1,Database!$A$1:$AS$1,),)))))/(((VLOOKUP(EDATE(B232,-12),Database!$A:$AS,MATCH($H$1,Database!$A$1:$AS$1,),))))</f>
        <v>1.8255578092808922E-2</v>
      </c>
      <c r="I232" s="13">
        <f>((((VLOOKUP(B232,Database!$A:$AS,MATCH($I$1,Database!$A$1:$AS$1,),))))-(((VLOOKUP(EDATE(B232,-12),Database!$A:$AS,MATCH($I$1,Database!$A$1:$AS$1,),)))))/(((VLOOKUP(EDATE(B232,-12),Database!$A:$AS,MATCH($I$1,Database!$A$1:$AS$1,),))))</f>
        <v>2.4409448817291658E-2</v>
      </c>
      <c r="J232" s="13">
        <f>((((VLOOKUP(B232,Database!$A:$AS,MATCH($J$1,Database!$A$1:$AS$1,),))))-(((VLOOKUP(EDATE(B232,-12),Database!$A:$AS,MATCH($J$1,Database!$A$1:$AS$1,),)))))/(((VLOOKUP(EDATE(B232,-12),Database!$A:$AS,MATCH($J$1,Database!$A$1:$AS$1,),))))</f>
        <v>3.5198822909906856E-2</v>
      </c>
      <c r="K232" s="13">
        <f>((((VLOOKUP(B232,Database!$A:$AS,MATCH($K$1,Database!$A$1:$AS$1,),))))-(((VLOOKUP(EDATE(B232,-12),Database!$A:$AS,MATCH($K$1,Database!$A$1:$AS$1,),)))))/(((VLOOKUP(EDATE(B232,-12),Database!$A:$AS,MATCH($K$1,Database!$A$1:$AS$1,),))))</f>
        <v>3.2314410480051931E-2</v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>5.7352823459972547E-3</v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>6.3725490196078469E-2</v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>0.18964609017897097</v>
      </c>
      <c r="O232" s="13">
        <f>((((VLOOKUP(B232,Database!$A:$AS,MATCH($O$1,Database!$A$1:$AS$1,),))))-(((VLOOKUP(EDATE(B232,-12),Database!$A:$AS,MATCH($O$1,Database!$A$1:$AS$1,),)))))/(((VLOOKUP(EDATE(B232,-12),Database!$A:$AS,MATCH($O$1,Database!$A$1:$AS$1,),))))</f>
        <v>-1.5081937568201779E-2</v>
      </c>
      <c r="P232" s="13">
        <f>((((VLOOKUP(B232,Database!$A:$AS,MATCH($P$1,Database!$A$1:$AS$1,),))))-(((VLOOKUP(EDATE(B232,-12),Database!$A:$AS,MATCH($P$1,Database!$A$1:$AS$1,),)))))/(((VLOOKUP(EDATE(B232,-12),Database!$A:$AS,MATCH($P$1,Database!$A$1:$AS$1,),))))</f>
        <v>5.6656514674905838E-2</v>
      </c>
      <c r="Q232" s="13">
        <f>((((VLOOKUP(B232,Database!$A:$AS,MATCH($Q$1,Database!$A$1:$AS$1,),))))-(((VLOOKUP(EDATE(B232,-12),Database!$A:$AS,MATCH($Q$1,Database!$A$1:$AS$1,),)))))/(((VLOOKUP(EDATE(B232,-12),Database!$A:$AS,MATCH($Q$1,Database!$A$1:$AS$1,),))))</f>
        <v>4.4468546633320782E-2</v>
      </c>
      <c r="R232" s="13">
        <f>((((VLOOKUP(B232,Database!$A:$AS,MATCH($R$1,Database!$A$1:$AS$1,),))))-(((VLOOKUP(EDATE(B232,-12),Database!$A:$AS,MATCH($R$1,Database!$A$1:$AS$1,),)))))/(((VLOOKUP(EDATE(B232,-12),Database!$A:$AS,MATCH($R$1,Database!$A$1:$AS$1,),))))</f>
        <v>1.3802622500248864E-2</v>
      </c>
      <c r="S232" s="13">
        <f>((((VLOOKUP(B232,Database!$A:$AS,MATCH($S$1,Database!$A$1:$AS$1,),))))-(((VLOOKUP(EDATE(B232,-12),Database!$A:$AS,MATCH($S$1,Database!$A$1:$AS$1,),)))))/(((VLOOKUP(EDATE(B232,-12),Database!$A:$AS,MATCH($S$1,Database!$A$1:$AS$1,),))))</f>
        <v>-7.3873873872533885E-2</v>
      </c>
      <c r="T232" s="13">
        <f>((((VLOOKUP(B232,Database!$A:$AS,MATCH($T$1,Database!$A$1:$AS$1,),))))-(((VLOOKUP(EDATE(B232,-12),Database!$A:$AS,MATCH($T$1,Database!$A$1:$AS$1,),)))))/(((VLOOKUP(EDATE(B232,-12),Database!$A:$AS,MATCH($T$1,Database!$A$1:$AS$1,),))))</f>
        <v>9.8283931361878962E-2</v>
      </c>
      <c r="U232" s="13">
        <f>((((VLOOKUP(B232,Database!$A:$AS,MATCH($U$1,Database!$A$1:$AS$1,),))))-(((VLOOKUP(EDATE(B232,-12),Database!$A:$AS,MATCH($U$1,Database!$A$1:$AS$1,),)))))/(((VLOOKUP(EDATE(B232,-12),Database!$A:$AS,MATCH($U$1,Database!$A$1:$AS$1,),))))</f>
        <v>8.5648148145575823E-2</v>
      </c>
      <c r="V232" s="13">
        <f>((((VLOOKUP(B232,Database!$A:$AS,MATCH($V$1,Database!$A$1:$AS$1,),))))-(((VLOOKUP(EDATE(B232,-12),Database!$A:$AS,MATCH($V$1,Database!$A$1:$AS$1,),)))))/(((VLOOKUP(EDATE(B232,-12),Database!$A:$AS,MATCH($V$1,Database!$A$1:$AS$1,),))))</f>
        <v>8.309455587392546E-2</v>
      </c>
    </row>
    <row r="233" spans="1:22" s="83" customFormat="1" x14ac:dyDescent="0.2">
      <c r="A233" s="43"/>
      <c r="B233" s="78">
        <v>39234</v>
      </c>
      <c r="C233" s="13">
        <f>((((VLOOKUP(B233,Database!$A:$AS,MATCH($C$1,Database!$A$1:$AS$1,),))))-(((VLOOKUP(EDATE(B233,-12),Database!$A:$AS,MATCH($C$1,Database!$A$1:$AS$1,),)))))/(((VLOOKUP(EDATE(B233,-12),Database!$A:$AS,MATCH($C$1,Database!$A$1:$AS$1,),))))</f>
        <v>2.6543962744943375E-2</v>
      </c>
      <c r="D233" s="13">
        <f>((((VLOOKUP(B233,Database!$A:$AS,MATCH($D$1,Database!$A$1:$AS$1,),))))-(((VLOOKUP(EDATE(B233,-12),Database!$A:$AS,MATCH($D$1,Database!$A$1:$AS$1,),)))))/(((VLOOKUP(EDATE(B233,-12),Database!$A:$AS,MATCH($D$1,Database!$A$1:$AS$1,),))))</f>
        <v>3.5679845708775339E-2</v>
      </c>
      <c r="E233" s="13">
        <f>((((VLOOKUP(B233,Database!$A:$AS,MATCH($E$1,Database!$A$1:$AS$1,),))))-(((VLOOKUP(EDATE(B233,-12),Database!$A:$AS,MATCH($E$1,Database!$A$1:$AS$1,),)))))/(((VLOOKUP(EDATE(B233,-12),Database!$A:$AS,MATCH($E$1,Database!$A$1:$AS$1,),))))</f>
        <v>2.396931926662178E-2</v>
      </c>
      <c r="F233" s="13">
        <f>((((VLOOKUP(B233,Database!$A:$AS,MATCH($F$1,Database!$A$1:$AS$1,),))))-(((VLOOKUP(EDATE(B233,-12),Database!$A:$AS,MATCH($F$1,Database!$A$1:$AS$1,),)))))/(((VLOOKUP(EDATE(B233,-12),Database!$A:$AS,MATCH($F$1,Database!$A$1:$AS$1,),))))</f>
        <v>7.2062084251748551E-2</v>
      </c>
      <c r="G233" s="13">
        <f>((((VLOOKUP(B233,Database!$A:$AS,MATCH($G$1,Database!$A$1:$AS$1,),))))-(((VLOOKUP(EDATE(B233,-12),Database!$A:$AS,MATCH($G$1,Database!$A$1:$AS$1,),)))))/(((VLOOKUP(EDATE(B233,-12),Database!$A:$AS,MATCH($G$1,Database!$A$1:$AS$1,),))))</f>
        <v>6.1306086183918057E-3</v>
      </c>
      <c r="H233" s="13">
        <f>((((VLOOKUP(B233,Database!$A:$AS,MATCH($H$1,Database!$A$1:$AS$1,),))))-(((VLOOKUP(EDATE(B233,-12),Database!$A:$AS,MATCH($H$1,Database!$A$1:$AS$1,),)))))/(((VLOOKUP(EDATE(B233,-12),Database!$A:$AS,MATCH($H$1,Database!$A$1:$AS$1,),))))</f>
        <v>-1.3026052104852651E-2</v>
      </c>
      <c r="I233" s="13">
        <f>((((VLOOKUP(B233,Database!$A:$AS,MATCH($I$1,Database!$A$1:$AS$1,),))))-(((VLOOKUP(EDATE(B233,-12),Database!$A:$AS,MATCH($I$1,Database!$A$1:$AS$1,),)))))/(((VLOOKUP(EDATE(B233,-12),Database!$A:$AS,MATCH($I$1,Database!$A$1:$AS$1,),))))</f>
        <v>1.491365777189747E-2</v>
      </c>
      <c r="J233" s="13">
        <f>((((VLOOKUP(B233,Database!$A:$AS,MATCH($J$1,Database!$A$1:$AS$1,),))))-(((VLOOKUP(EDATE(B233,-12),Database!$A:$AS,MATCH($J$1,Database!$A$1:$AS$1,),)))))/(((VLOOKUP(EDATE(B233,-12),Database!$A:$AS,MATCH($J$1,Database!$A$1:$AS$1,),))))</f>
        <v>3.193359742929535E-2</v>
      </c>
      <c r="K233" s="13">
        <f>((((VLOOKUP(B233,Database!$A:$AS,MATCH($K$1,Database!$A$1:$AS$1,),))))-(((VLOOKUP(EDATE(B233,-12),Database!$A:$AS,MATCH($K$1,Database!$A$1:$AS$1,),)))))/(((VLOOKUP(EDATE(B233,-12),Database!$A:$AS,MATCH($K$1,Database!$A$1:$AS$1,),))))</f>
        <v>5.0756901161411405E-2</v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>9.7325025585266681E-3</v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>8.1885856079404573E-2</v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>0.19532363895495691</v>
      </c>
      <c r="O233" s="13">
        <f>((((VLOOKUP(B233,Database!$A:$AS,MATCH($O$1,Database!$A$1:$AS$1,),))))-(((VLOOKUP(EDATE(B233,-12),Database!$A:$AS,MATCH($O$1,Database!$A$1:$AS$1,),)))))/(((VLOOKUP(EDATE(B233,-12),Database!$A:$AS,MATCH($O$1,Database!$A$1:$AS$1,),))))</f>
        <v>-7.0734289303030374E-3</v>
      </c>
      <c r="P233" s="13">
        <f>((((VLOOKUP(B233,Database!$A:$AS,MATCH($P$1,Database!$A$1:$AS$1,),))))-(((VLOOKUP(EDATE(B233,-12),Database!$A:$AS,MATCH($P$1,Database!$A$1:$AS$1,),)))))/(((VLOOKUP(EDATE(B233,-12),Database!$A:$AS,MATCH($P$1,Database!$A$1:$AS$1,),))))</f>
        <v>6.4443259612176326E-2</v>
      </c>
      <c r="Q233" s="13">
        <f>((((VLOOKUP(B233,Database!$A:$AS,MATCH($Q$1,Database!$A$1:$AS$1,),))))-(((VLOOKUP(EDATE(B233,-12),Database!$A:$AS,MATCH($Q$1,Database!$A$1:$AS$1,),)))))/(((VLOOKUP(EDATE(B233,-12),Database!$A:$AS,MATCH($Q$1,Database!$A$1:$AS$1,),))))</f>
        <v>7.0640176598339141E-2</v>
      </c>
      <c r="R233" s="13">
        <f>((((VLOOKUP(B233,Database!$A:$AS,MATCH($R$1,Database!$A$1:$AS$1,),))))-(((VLOOKUP(EDATE(B233,-12),Database!$A:$AS,MATCH($R$1,Database!$A$1:$AS$1,),)))))/(((VLOOKUP(EDATE(B233,-12),Database!$A:$AS,MATCH($R$1,Database!$A$1:$AS$1,),))))</f>
        <v>1.396648044893895E-2</v>
      </c>
      <c r="S233" s="13">
        <f>((((VLOOKUP(B233,Database!$A:$AS,MATCH($S$1,Database!$A$1:$AS$1,),))))-(((VLOOKUP(EDATE(B233,-12),Database!$A:$AS,MATCH($S$1,Database!$A$1:$AS$1,),)))))/(((VLOOKUP(EDATE(B233,-12),Database!$A:$AS,MATCH($S$1,Database!$A$1:$AS$1,),))))</f>
        <v>-2.4714828897429791E-2</v>
      </c>
      <c r="T233" s="13">
        <f>((((VLOOKUP(B233,Database!$A:$AS,MATCH($T$1,Database!$A$1:$AS$1,),))))-(((VLOOKUP(EDATE(B233,-12),Database!$A:$AS,MATCH($T$1,Database!$A$1:$AS$1,),)))))/(((VLOOKUP(EDATE(B233,-12),Database!$A:$AS,MATCH($T$1,Database!$A$1:$AS$1,),))))</f>
        <v>6.8217054265200708E-2</v>
      </c>
      <c r="U233" s="13">
        <f>((((VLOOKUP(B233,Database!$A:$AS,MATCH($U$1,Database!$A$1:$AS$1,),))))-(((VLOOKUP(EDATE(B233,-12),Database!$A:$AS,MATCH($U$1,Database!$A$1:$AS$1,),)))))/(((VLOOKUP(EDATE(B233,-12),Database!$A:$AS,MATCH($U$1,Database!$A$1:$AS$1,),))))</f>
        <v>8.9430894314798601E-2</v>
      </c>
      <c r="V233" s="13">
        <f>((((VLOOKUP(B233,Database!$A:$AS,MATCH($V$1,Database!$A$1:$AS$1,),))))-(((VLOOKUP(EDATE(B233,-12),Database!$A:$AS,MATCH($V$1,Database!$A$1:$AS$1,),)))))/(((VLOOKUP(EDATE(B233,-12),Database!$A:$AS,MATCH($V$1,Database!$A$1:$AS$1,),))))</f>
        <v>7.9545454545454461E-2</v>
      </c>
    </row>
    <row r="234" spans="1:22" s="83" customFormat="1" x14ac:dyDescent="0.2">
      <c r="A234" s="43"/>
      <c r="B234" s="78">
        <v>39264</v>
      </c>
      <c r="C234" s="13">
        <f>((((VLOOKUP(B234,Database!$A:$AS,MATCH($C$1,Database!$A$1:$AS$1,),))))-(((VLOOKUP(EDATE(B234,-12),Database!$A:$AS,MATCH($C$1,Database!$A$1:$AS$1,),)))))/(((VLOOKUP(EDATE(B234,-12),Database!$A:$AS,MATCH($C$1,Database!$A$1:$AS$1,),))))</f>
        <v>2.5957338214564082E-2</v>
      </c>
      <c r="D234" s="13">
        <f>((((VLOOKUP(B234,Database!$A:$AS,MATCH($D$1,Database!$A$1:$AS$1,),))))-(((VLOOKUP(EDATE(B234,-12),Database!$A:$AS,MATCH($D$1,Database!$A$1:$AS$1,),)))))/(((VLOOKUP(EDATE(B234,-12),Database!$A:$AS,MATCH($D$1,Database!$A$1:$AS$1,),))))</f>
        <v>3.9613526570048255E-2</v>
      </c>
      <c r="E234" s="13">
        <f>((((VLOOKUP(B234,Database!$A:$AS,MATCH($E$1,Database!$A$1:$AS$1,),))))-(((VLOOKUP(EDATE(B234,-12),Database!$A:$AS,MATCH($E$1,Database!$A$1:$AS$1,),)))))/(((VLOOKUP(EDATE(B234,-12),Database!$A:$AS,MATCH($E$1,Database!$A$1:$AS$1,),))))</f>
        <v>2.1012416433646895E-2</v>
      </c>
      <c r="F234" s="13">
        <f>((((VLOOKUP(B234,Database!$A:$AS,MATCH($F$1,Database!$A$1:$AS$1,),))))-(((VLOOKUP(EDATE(B234,-12),Database!$A:$AS,MATCH($F$1,Database!$A$1:$AS$1,),)))))/(((VLOOKUP(EDATE(B234,-12),Database!$A:$AS,MATCH($F$1,Database!$A$1:$AS$1,),))))</f>
        <v>6.1002178658042985E-2</v>
      </c>
      <c r="G234" s="13">
        <f>((((VLOOKUP(B234,Database!$A:$AS,MATCH($G$1,Database!$A$1:$AS$1,),))))-(((VLOOKUP(EDATE(B234,-12),Database!$A:$AS,MATCH($G$1,Database!$A$1:$AS$1,),)))))/(((VLOOKUP(EDATE(B234,-12),Database!$A:$AS,MATCH($G$1,Database!$A$1:$AS$1,),))))</f>
        <v>2.1441441441441399E-2</v>
      </c>
      <c r="H234" s="13">
        <f>((((VLOOKUP(B234,Database!$A:$AS,MATCH($H$1,Database!$A$1:$AS$1,),))))-(((VLOOKUP(EDATE(B234,-12),Database!$A:$AS,MATCH($H$1,Database!$A$1:$AS$1,),)))))/(((VLOOKUP(EDATE(B234,-12),Database!$A:$AS,MATCH($H$1,Database!$A$1:$AS$1,),))))</f>
        <v>-9.1093117406811138E-3</v>
      </c>
      <c r="I234" s="13">
        <f>((((VLOOKUP(B234,Database!$A:$AS,MATCH($I$1,Database!$A$1:$AS$1,),))))-(((VLOOKUP(EDATE(B234,-12),Database!$A:$AS,MATCH($I$1,Database!$A$1:$AS$1,),)))))/(((VLOOKUP(EDATE(B234,-12),Database!$A:$AS,MATCH($I$1,Database!$A$1:$AS$1,),))))</f>
        <v>2.3904382471484784E-2</v>
      </c>
      <c r="J234" s="13">
        <f>((((VLOOKUP(B234,Database!$A:$AS,MATCH($J$1,Database!$A$1:$AS$1,),))))-(((VLOOKUP(EDATE(B234,-12),Database!$A:$AS,MATCH($J$1,Database!$A$1:$AS$1,),)))))/(((VLOOKUP(EDATE(B234,-12),Database!$A:$AS,MATCH($J$1,Database!$A$1:$AS$1,),))))</f>
        <v>1.0885997096772973E-2</v>
      </c>
      <c r="K234" s="13">
        <f>((((VLOOKUP(B234,Database!$A:$AS,MATCH($K$1,Database!$A$1:$AS$1,),))))-(((VLOOKUP(EDATE(B234,-12),Database!$A:$AS,MATCH($K$1,Database!$A$1:$AS$1,),)))))/(((VLOOKUP(EDATE(B234,-12),Database!$A:$AS,MATCH($K$1,Database!$A$1:$AS$1,),))))</f>
        <v>5.7377049173236515E-2</v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>1.8923663385137249E-2</v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>8.3640836408364047E-2</v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>0.15755920144686875</v>
      </c>
      <c r="O234" s="13">
        <f>((((VLOOKUP(B234,Database!$A:$AS,MATCH($O$1,Database!$A$1:$AS$1,),))))-(((VLOOKUP(EDATE(B234,-12),Database!$A:$AS,MATCH($O$1,Database!$A$1:$AS$1,),)))))/(((VLOOKUP(EDATE(B234,-12),Database!$A:$AS,MATCH($O$1,Database!$A$1:$AS$1,),))))</f>
        <v>-1.7909011959036339E-2</v>
      </c>
      <c r="P234" s="13">
        <f>((((VLOOKUP(B234,Database!$A:$AS,MATCH($P$1,Database!$A$1:$AS$1,),))))-(((VLOOKUP(EDATE(B234,-12),Database!$A:$AS,MATCH($P$1,Database!$A$1:$AS$1,),)))))/(((VLOOKUP(EDATE(B234,-12),Database!$A:$AS,MATCH($P$1,Database!$A$1:$AS$1,),))))</f>
        <v>0.13177961709608196</v>
      </c>
      <c r="Q234" s="13">
        <f>((((VLOOKUP(B234,Database!$A:$AS,MATCH($Q$1,Database!$A$1:$AS$1,),))))-(((VLOOKUP(EDATE(B234,-12),Database!$A:$AS,MATCH($Q$1,Database!$A$1:$AS$1,),)))))/(((VLOOKUP(EDATE(B234,-12),Database!$A:$AS,MATCH($Q$1,Database!$A$1:$AS$1,),))))</f>
        <v>5.3493449780566117E-2</v>
      </c>
      <c r="R234" s="13">
        <f>((((VLOOKUP(B234,Database!$A:$AS,MATCH($R$1,Database!$A$1:$AS$1,),))))-(((VLOOKUP(EDATE(B234,-12),Database!$A:$AS,MATCH($R$1,Database!$A$1:$AS$1,),)))))/(((VLOOKUP(EDATE(B234,-12),Database!$A:$AS,MATCH($R$1,Database!$A$1:$AS$1,),))))</f>
        <v>4.7482014389567027E-2</v>
      </c>
      <c r="S234" s="13">
        <f>((((VLOOKUP(B234,Database!$A:$AS,MATCH($S$1,Database!$A$1:$AS$1,),))))-(((VLOOKUP(EDATE(B234,-12),Database!$A:$AS,MATCH($S$1,Database!$A$1:$AS$1,),)))))/(((VLOOKUP(EDATE(B234,-12),Database!$A:$AS,MATCH($S$1,Database!$A$1:$AS$1,),))))</f>
        <v>9.221902017580233E-2</v>
      </c>
      <c r="T234" s="13">
        <f>((((VLOOKUP(B234,Database!$A:$AS,MATCH($T$1,Database!$A$1:$AS$1,),))))-(((VLOOKUP(EDATE(B234,-12),Database!$A:$AS,MATCH($T$1,Database!$A$1:$AS$1,),)))))/(((VLOOKUP(EDATE(B234,-12),Database!$A:$AS,MATCH($T$1,Database!$A$1:$AS$1,),))))</f>
        <v>6.5217391301309449E-2</v>
      </c>
      <c r="U234" s="13">
        <f>((((VLOOKUP(B234,Database!$A:$AS,MATCH($U$1,Database!$A$1:$AS$1,),))))-(((VLOOKUP(EDATE(B234,-12),Database!$A:$AS,MATCH($U$1,Database!$A$1:$AS$1,),)))))/(((VLOOKUP(EDATE(B234,-12),Database!$A:$AS,MATCH($U$1,Database!$A$1:$AS$1,),))))</f>
        <v>0.10581395348776355</v>
      </c>
      <c r="V234" s="13">
        <f>((((VLOOKUP(B234,Database!$A:$AS,MATCH($V$1,Database!$A$1:$AS$1,),))))-(((VLOOKUP(EDATE(B234,-12),Database!$A:$AS,MATCH($V$1,Database!$A$1:$AS$1,),)))))/(((VLOOKUP(EDATE(B234,-12),Database!$A:$AS,MATCH($V$1,Database!$A$1:$AS$1,),))))</f>
        <v>8.1690140845070383E-2</v>
      </c>
    </row>
    <row r="235" spans="1:22" s="83" customFormat="1" x14ac:dyDescent="0.2">
      <c r="A235" s="43"/>
      <c r="B235" s="78">
        <v>39295</v>
      </c>
      <c r="C235" s="13">
        <f>((((VLOOKUP(B235,Database!$A:$AS,MATCH($C$1,Database!$A$1:$AS$1,),))))-(((VLOOKUP(EDATE(B235,-12),Database!$A:$AS,MATCH($C$1,Database!$A$1:$AS$1,),)))))/(((VLOOKUP(EDATE(B235,-12),Database!$A:$AS,MATCH($C$1,Database!$A$1:$AS$1,),))))</f>
        <v>2.3924122456416591E-2</v>
      </c>
      <c r="D235" s="13">
        <f>((((VLOOKUP(B235,Database!$A:$AS,MATCH($D$1,Database!$A$1:$AS$1,),))))-(((VLOOKUP(EDATE(B235,-12),Database!$A:$AS,MATCH($D$1,Database!$A$1:$AS$1,),)))))/(((VLOOKUP(EDATE(B235,-12),Database!$A:$AS,MATCH($D$1,Database!$A$1:$AS$1,),))))</f>
        <v>4.3352601156069363E-2</v>
      </c>
      <c r="E235" s="13">
        <f>((((VLOOKUP(B235,Database!$A:$AS,MATCH($E$1,Database!$A$1:$AS$1,),))))-(((VLOOKUP(EDATE(B235,-12),Database!$A:$AS,MATCH($E$1,Database!$A$1:$AS$1,),)))))/(((VLOOKUP(EDATE(B235,-12),Database!$A:$AS,MATCH($E$1,Database!$A$1:$AS$1,),))))</f>
        <v>4.3809523811242992E-2</v>
      </c>
      <c r="F235" s="13">
        <f>((((VLOOKUP(B235,Database!$A:$AS,MATCH($F$1,Database!$A$1:$AS$1,),))))-(((VLOOKUP(EDATE(B235,-12),Database!$A:$AS,MATCH($F$1,Database!$A$1:$AS$1,),)))))/(((VLOOKUP(EDATE(B235,-12),Database!$A:$AS,MATCH($F$1,Database!$A$1:$AS$1,),))))</f>
        <v>5.7359307357597165E-2</v>
      </c>
      <c r="G235" s="13">
        <f>((((VLOOKUP(B235,Database!$A:$AS,MATCH($G$1,Database!$A$1:$AS$1,),))))-(((VLOOKUP(EDATE(B235,-12),Database!$A:$AS,MATCH($G$1,Database!$A$1:$AS$1,),)))))/(((VLOOKUP(EDATE(B235,-12),Database!$A:$AS,MATCH($G$1,Database!$A$1:$AS$1,),))))</f>
        <v>3.4373299473970539E-2</v>
      </c>
      <c r="H235" s="13">
        <f>((((VLOOKUP(B235,Database!$A:$AS,MATCH($H$1,Database!$A$1:$AS$1,),))))-(((VLOOKUP(EDATE(B235,-12),Database!$A:$AS,MATCH($H$1,Database!$A$1:$AS$1,),)))))/(((VLOOKUP(EDATE(B235,-12),Database!$A:$AS,MATCH($H$1,Database!$A$1:$AS$1,),))))</f>
        <v>-2.6973026972386634E-2</v>
      </c>
      <c r="I235" s="13">
        <f>((((VLOOKUP(B235,Database!$A:$AS,MATCH($I$1,Database!$A$1:$AS$1,),))))-(((VLOOKUP(EDATE(B235,-12),Database!$A:$AS,MATCH($I$1,Database!$A$1:$AS$1,),)))))/(((VLOOKUP(EDATE(B235,-12),Database!$A:$AS,MATCH($I$1,Database!$A$1:$AS$1,),))))</f>
        <v>4.7955974842674512E-2</v>
      </c>
      <c r="J235" s="13">
        <f>((((VLOOKUP(B235,Database!$A:$AS,MATCH($J$1,Database!$A$1:$AS$1,),))))-(((VLOOKUP(EDATE(B235,-12),Database!$A:$AS,MATCH($J$1,Database!$A$1:$AS$1,),)))))/(((VLOOKUP(EDATE(B235,-12),Database!$A:$AS,MATCH($J$1,Database!$A$1:$AS$1,),))))</f>
        <v>1.5138375398745404E-2</v>
      </c>
      <c r="K235" s="13">
        <f>((((VLOOKUP(B235,Database!$A:$AS,MATCH($K$1,Database!$A$1:$AS$1,),))))-(((VLOOKUP(EDATE(B235,-12),Database!$A:$AS,MATCH($K$1,Database!$A$1:$AS$1,),)))))/(((VLOOKUP(EDATE(B235,-12),Database!$A:$AS,MATCH($K$1,Database!$A$1:$AS$1,),))))</f>
        <v>5.0847457630898256E-2</v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>-5.467151631260897E-4</v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>6.3106796116504715E-2</v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>0.18112269509394588</v>
      </c>
      <c r="O235" s="13">
        <f>((((VLOOKUP(B235,Database!$A:$AS,MATCH($O$1,Database!$A$1:$AS$1,),))))-(((VLOOKUP(EDATE(B235,-12),Database!$A:$AS,MATCH($O$1,Database!$A$1:$AS$1,),)))))/(((VLOOKUP(EDATE(B235,-12),Database!$A:$AS,MATCH($O$1,Database!$A$1:$AS$1,),))))</f>
        <v>-4.6963519141781651E-3</v>
      </c>
      <c r="P235" s="13">
        <f>((((VLOOKUP(B235,Database!$A:$AS,MATCH($P$1,Database!$A$1:$AS$1,),))))-(((VLOOKUP(EDATE(B235,-12),Database!$A:$AS,MATCH($P$1,Database!$A$1:$AS$1,),)))))/(((VLOOKUP(EDATE(B235,-12),Database!$A:$AS,MATCH($P$1,Database!$A$1:$AS$1,),))))</f>
        <v>9.0639835031891811E-2</v>
      </c>
      <c r="Q235" s="13">
        <f>((((VLOOKUP(B235,Database!$A:$AS,MATCH($Q$1,Database!$A$1:$AS$1,),))))-(((VLOOKUP(EDATE(B235,-12),Database!$A:$AS,MATCH($Q$1,Database!$A$1:$AS$1,),)))))/(((VLOOKUP(EDATE(B235,-12),Database!$A:$AS,MATCH($Q$1,Database!$A$1:$AS$1,),))))</f>
        <v>7.2210065649732591E-2</v>
      </c>
      <c r="R235" s="13">
        <f>((((VLOOKUP(B235,Database!$A:$AS,MATCH($R$1,Database!$A$1:$AS$1,),))))-(((VLOOKUP(EDATE(B235,-12),Database!$A:$AS,MATCH($R$1,Database!$A$1:$AS$1,),)))))/(((VLOOKUP(EDATE(B235,-12),Database!$A:$AS,MATCH($R$1,Database!$A$1:$AS$1,),))))</f>
        <v>3.506311357425834E-3</v>
      </c>
      <c r="S235" s="13">
        <f>((((VLOOKUP(B235,Database!$A:$AS,MATCH($S$1,Database!$A$1:$AS$1,),))))-(((VLOOKUP(EDATE(B235,-12),Database!$A:$AS,MATCH($S$1,Database!$A$1:$AS$1,),)))))/(((VLOOKUP(EDATE(B235,-12),Database!$A:$AS,MATCH($S$1,Database!$A$1:$AS$1,),))))</f>
        <v>2.6011560705696869E-2</v>
      </c>
      <c r="T235" s="13">
        <f>((((VLOOKUP(B235,Database!$A:$AS,MATCH($T$1,Database!$A$1:$AS$1,),))))-(((VLOOKUP(EDATE(B235,-12),Database!$A:$AS,MATCH($T$1,Database!$A$1:$AS$1,),)))))/(((VLOOKUP(EDATE(B235,-12),Database!$A:$AS,MATCH($T$1,Database!$A$1:$AS$1,),))))</f>
        <v>8.5669781933405298E-2</v>
      </c>
      <c r="U235" s="13">
        <f>((((VLOOKUP(B235,Database!$A:$AS,MATCH($U$1,Database!$A$1:$AS$1,),))))-(((VLOOKUP(EDATE(B235,-12),Database!$A:$AS,MATCH($U$1,Database!$A$1:$AS$1,),)))))/(((VLOOKUP(EDATE(B235,-12),Database!$A:$AS,MATCH($U$1,Database!$A$1:$AS$1,),))))</f>
        <v>9.2182030341222229E-2</v>
      </c>
      <c r="V235" s="13">
        <f>((((VLOOKUP(B235,Database!$A:$AS,MATCH($V$1,Database!$A$1:$AS$1,),))))-(((VLOOKUP(EDATE(B235,-12),Database!$A:$AS,MATCH($V$1,Database!$A$1:$AS$1,),)))))/(((VLOOKUP(EDATE(B235,-12),Database!$A:$AS,MATCH($V$1,Database!$A$1:$AS$1,),))))</f>
        <v>9.0523338048090402E-2</v>
      </c>
    </row>
    <row r="236" spans="1:22" s="83" customFormat="1" x14ac:dyDescent="0.2">
      <c r="A236" s="43"/>
      <c r="B236" s="78">
        <v>39326</v>
      </c>
      <c r="C236" s="13">
        <f>((((VLOOKUP(B236,Database!$A:$AS,MATCH($C$1,Database!$A$1:$AS$1,),))))-(((VLOOKUP(EDATE(B236,-12),Database!$A:$AS,MATCH($C$1,Database!$A$1:$AS$1,),)))))/(((VLOOKUP(EDATE(B236,-12),Database!$A:$AS,MATCH($C$1,Database!$A$1:$AS$1,),))))</f>
        <v>2.805459631788591E-2</v>
      </c>
      <c r="D236" s="13">
        <f>((((VLOOKUP(B236,Database!$A:$AS,MATCH($D$1,Database!$A$1:$AS$1,),))))-(((VLOOKUP(EDATE(B236,-12),Database!$A:$AS,MATCH($D$1,Database!$A$1:$AS$1,),)))))/(((VLOOKUP(EDATE(B236,-12),Database!$A:$AS,MATCH($D$1,Database!$A$1:$AS$1,),))))</f>
        <v>3.7536092396535048E-2</v>
      </c>
      <c r="E236" s="13">
        <f>((((VLOOKUP(B236,Database!$A:$AS,MATCH($E$1,Database!$A$1:$AS$1,),))))-(((VLOOKUP(EDATE(B236,-12),Database!$A:$AS,MATCH($E$1,Database!$A$1:$AS$1,),)))))/(((VLOOKUP(EDATE(B236,-12),Database!$A:$AS,MATCH($E$1,Database!$A$1:$AS$1,),))))</f>
        <v>2.9551954243088513E-2</v>
      </c>
      <c r="F236" s="13">
        <f>((((VLOOKUP(B236,Database!$A:$AS,MATCH($F$1,Database!$A$1:$AS$1,),))))-(((VLOOKUP(EDATE(B236,-12),Database!$A:$AS,MATCH($F$1,Database!$A$1:$AS$1,),)))))/(((VLOOKUP(EDATE(B236,-12),Database!$A:$AS,MATCH($F$1,Database!$A$1:$AS$1,),))))</f>
        <v>6.9339111591658412E-2</v>
      </c>
      <c r="G236" s="13">
        <f>((((VLOOKUP(B236,Database!$A:$AS,MATCH($G$1,Database!$A$1:$AS$1,),))))-(((VLOOKUP(EDATE(B236,-12),Database!$A:$AS,MATCH($G$1,Database!$A$1:$AS$1,),)))))/(((VLOOKUP(EDATE(B236,-12),Database!$A:$AS,MATCH($G$1,Database!$A$1:$AS$1,),))))</f>
        <v>-4.555605180884369E-3</v>
      </c>
      <c r="H236" s="13">
        <f>((((VLOOKUP(B236,Database!$A:$AS,MATCH($H$1,Database!$A$1:$AS$1,),))))-(((VLOOKUP(EDATE(B236,-12),Database!$A:$AS,MATCH($H$1,Database!$A$1:$AS$1,),)))))/(((VLOOKUP(EDATE(B236,-12),Database!$A:$AS,MATCH($H$1,Database!$A$1:$AS$1,),))))</f>
        <v>-4.9358341557394839E-2</v>
      </c>
      <c r="I236" s="13">
        <f>((((VLOOKUP(B236,Database!$A:$AS,MATCH($I$1,Database!$A$1:$AS$1,),))))-(((VLOOKUP(EDATE(B236,-12),Database!$A:$AS,MATCH($I$1,Database!$A$1:$AS$1,),)))))/(((VLOOKUP(EDATE(B236,-12),Database!$A:$AS,MATCH($I$1,Database!$A$1:$AS$1,),))))</f>
        <v>2.2852639878120841E-2</v>
      </c>
      <c r="J236" s="13">
        <f>((((VLOOKUP(B236,Database!$A:$AS,MATCH($J$1,Database!$A$1:$AS$1,),))))-(((VLOOKUP(EDATE(B236,-12),Database!$A:$AS,MATCH($J$1,Database!$A$1:$AS$1,),)))))/(((VLOOKUP(EDATE(B236,-12),Database!$A:$AS,MATCH($J$1,Database!$A$1:$AS$1,),))))</f>
        <v>1.2038849574642605E-2</v>
      </c>
      <c r="K236" s="13">
        <f>((((VLOOKUP(B236,Database!$A:$AS,MATCH($K$1,Database!$A$1:$AS$1,),))))-(((VLOOKUP(EDATE(B236,-12),Database!$A:$AS,MATCH($K$1,Database!$A$1:$AS$1,),)))))/(((VLOOKUP(EDATE(B236,-12),Database!$A:$AS,MATCH($K$1,Database!$A$1:$AS$1,),))))</f>
        <v>1.1373578299528236E-2</v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>1.1758053654267112E-2</v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>5.5690072639225291E-2</v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>0.13600871179352292</v>
      </c>
      <c r="O236" s="13">
        <f>((((VLOOKUP(B236,Database!$A:$AS,MATCH($O$1,Database!$A$1:$AS$1,),))))-(((VLOOKUP(EDATE(B236,-12),Database!$A:$AS,MATCH($O$1,Database!$A$1:$AS$1,),)))))/(((VLOOKUP(EDATE(B236,-12),Database!$A:$AS,MATCH($O$1,Database!$A$1:$AS$1,),))))</f>
        <v>6.4820641884761783E-3</v>
      </c>
      <c r="P236" s="13">
        <f>((((VLOOKUP(B236,Database!$A:$AS,MATCH($P$1,Database!$A$1:$AS$1,),))))-(((VLOOKUP(EDATE(B236,-12),Database!$A:$AS,MATCH($P$1,Database!$A$1:$AS$1,),)))))/(((VLOOKUP(EDATE(B236,-12),Database!$A:$AS,MATCH($P$1,Database!$A$1:$AS$1,),))))</f>
        <v>6.4236609400883785E-2</v>
      </c>
      <c r="Q236" s="13">
        <f>((((VLOOKUP(B236,Database!$A:$AS,MATCH($Q$1,Database!$A$1:$AS$1,),))))-(((VLOOKUP(EDATE(B236,-12),Database!$A:$AS,MATCH($Q$1,Database!$A$1:$AS$1,),)))))/(((VLOOKUP(EDATE(B236,-12),Database!$A:$AS,MATCH($Q$1,Database!$A$1:$AS$1,),))))</f>
        <v>7.4197120710753545E-2</v>
      </c>
      <c r="R236" s="13">
        <f>((((VLOOKUP(B236,Database!$A:$AS,MATCH($R$1,Database!$A$1:$AS$1,),))))-(((VLOOKUP(EDATE(B236,-12),Database!$A:$AS,MATCH($R$1,Database!$A$1:$AS$1,),)))))/(((VLOOKUP(EDATE(B236,-12),Database!$A:$AS,MATCH($R$1,Database!$A$1:$AS$1,),))))</f>
        <v>2.7936962749663098E-2</v>
      </c>
      <c r="S236" s="13">
        <f>((((VLOOKUP(B236,Database!$A:$AS,MATCH($S$1,Database!$A$1:$AS$1,),))))-(((VLOOKUP(EDATE(B236,-12),Database!$A:$AS,MATCH($S$1,Database!$A$1:$AS$1,),)))))/(((VLOOKUP(EDATE(B236,-12),Database!$A:$AS,MATCH($S$1,Database!$A$1:$AS$1,),))))</f>
        <v>9.5785440662797157E-3</v>
      </c>
      <c r="T236" s="13">
        <f>((((VLOOKUP(B236,Database!$A:$AS,MATCH($T$1,Database!$A$1:$AS$1,),))))-(((VLOOKUP(EDATE(B236,-12),Database!$A:$AS,MATCH($T$1,Database!$A$1:$AS$1,),)))))/(((VLOOKUP(EDATE(B236,-12),Database!$A:$AS,MATCH($T$1,Database!$A$1:$AS$1,),))))</f>
        <v>9.345794391460599E-2</v>
      </c>
      <c r="U236" s="13">
        <f>((((VLOOKUP(B236,Database!$A:$AS,MATCH($U$1,Database!$A$1:$AS$1,),))))-(((VLOOKUP(EDATE(B236,-12),Database!$A:$AS,MATCH($U$1,Database!$A$1:$AS$1,),)))))/(((VLOOKUP(EDATE(B236,-12),Database!$A:$AS,MATCH($U$1,Database!$A$1:$AS$1,),))))</f>
        <v>7.1917808219451804E-2</v>
      </c>
      <c r="V236" s="13">
        <f>((((VLOOKUP(B236,Database!$A:$AS,MATCH($V$1,Database!$A$1:$AS$1,),))))-(((VLOOKUP(EDATE(B236,-12),Database!$A:$AS,MATCH($V$1,Database!$A$1:$AS$1,),)))))/(((VLOOKUP(EDATE(B236,-12),Database!$A:$AS,MATCH($V$1,Database!$A$1:$AS$1,),))))</f>
        <v>7.9497907949790836E-2</v>
      </c>
    </row>
    <row r="237" spans="1:22" s="83" customFormat="1" x14ac:dyDescent="0.2">
      <c r="A237" s="43"/>
      <c r="B237" s="78">
        <v>39356</v>
      </c>
      <c r="C237" s="13">
        <f>((((VLOOKUP(B237,Database!$A:$AS,MATCH($C$1,Database!$A$1:$AS$1,),))))-(((VLOOKUP(EDATE(B237,-12),Database!$A:$AS,MATCH($C$1,Database!$A$1:$AS$1,),)))))/(((VLOOKUP(EDATE(B237,-12),Database!$A:$AS,MATCH($C$1,Database!$A$1:$AS$1,),))))</f>
        <v>2.6126689571397289E-2</v>
      </c>
      <c r="D237" s="13">
        <f>((((VLOOKUP(B237,Database!$A:$AS,MATCH($D$1,Database!$A$1:$AS$1,),))))-(((VLOOKUP(EDATE(B237,-12),Database!$A:$AS,MATCH($D$1,Database!$A$1:$AS$1,),)))))/(((VLOOKUP(EDATE(B237,-12),Database!$A:$AS,MATCH($D$1,Database!$A$1:$AS$1,),))))</f>
        <v>4.922779922779931E-2</v>
      </c>
      <c r="E237" s="13">
        <f>((((VLOOKUP(B237,Database!$A:$AS,MATCH($E$1,Database!$A$1:$AS$1,),))))-(((VLOOKUP(EDATE(B237,-12),Database!$A:$AS,MATCH($E$1,Database!$A$1:$AS$1,),)))))/(((VLOOKUP(EDATE(B237,-12),Database!$A:$AS,MATCH($E$1,Database!$A$1:$AS$1,),))))</f>
        <v>3.8936372265067153E-2</v>
      </c>
      <c r="F237" s="13">
        <f>((((VLOOKUP(B237,Database!$A:$AS,MATCH($F$1,Database!$A$1:$AS$1,),))))-(((VLOOKUP(EDATE(B237,-12),Database!$A:$AS,MATCH($F$1,Database!$A$1:$AS$1,),)))))/(((VLOOKUP(EDATE(B237,-12),Database!$A:$AS,MATCH($F$1,Database!$A$1:$AS$1,),))))</f>
        <v>7.2747014112651734E-2</v>
      </c>
      <c r="G237" s="13">
        <f>((((VLOOKUP(B237,Database!$A:$AS,MATCH($G$1,Database!$A$1:$AS$1,),))))-(((VLOOKUP(EDATE(B237,-12),Database!$A:$AS,MATCH($G$1,Database!$A$1:$AS$1,),)))))/(((VLOOKUP(EDATE(B237,-12),Database!$A:$AS,MATCH($G$1,Database!$A$1:$AS$1,),))))</f>
        <v>2.6569395658830972E-2</v>
      </c>
      <c r="H237" s="13">
        <f>((((VLOOKUP(B237,Database!$A:$AS,MATCH($H$1,Database!$A$1:$AS$1,),))))-(((VLOOKUP(EDATE(B237,-12),Database!$A:$AS,MATCH($H$1,Database!$A$1:$AS$1,),)))))/(((VLOOKUP(EDATE(B237,-12),Database!$A:$AS,MATCH($H$1,Database!$A$1:$AS$1,),))))</f>
        <v>-3.4722222223311235E-2</v>
      </c>
      <c r="I237" s="13">
        <f>((((VLOOKUP(B237,Database!$A:$AS,MATCH($I$1,Database!$A$1:$AS$1,),))))-(((VLOOKUP(EDATE(B237,-12),Database!$A:$AS,MATCH($I$1,Database!$A$1:$AS$1,),)))))/(((VLOOKUP(EDATE(B237,-12),Database!$A:$AS,MATCH($I$1,Database!$A$1:$AS$1,),))))</f>
        <v>1.1014948858726458E-2</v>
      </c>
      <c r="J237" s="13">
        <f>((((VLOOKUP(B237,Database!$A:$AS,MATCH($J$1,Database!$A$1:$AS$1,),))))-(((VLOOKUP(EDATE(B237,-12),Database!$A:$AS,MATCH($J$1,Database!$A$1:$AS$1,),)))))/(((VLOOKUP(EDATE(B237,-12),Database!$A:$AS,MATCH($J$1,Database!$A$1:$AS$1,),))))</f>
        <v>1.8517674930909923E-2</v>
      </c>
      <c r="K237" s="13">
        <f>((((VLOOKUP(B237,Database!$A:$AS,MATCH($K$1,Database!$A$1:$AS$1,),))))-(((VLOOKUP(EDATE(B237,-12),Database!$A:$AS,MATCH($K$1,Database!$A$1:$AS$1,),)))))/(((VLOOKUP(EDATE(B237,-12),Database!$A:$AS,MATCH($K$1,Database!$A$1:$AS$1,),))))</f>
        <v>1.4744145711432274E-2</v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>1.5055169028701671E-2</v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>4.8076923076923073E-2</v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>0.19018907427906329</v>
      </c>
      <c r="O237" s="13">
        <f>((((VLOOKUP(B237,Database!$A:$AS,MATCH($O$1,Database!$A$1:$AS$1,),))))-(((VLOOKUP(EDATE(B237,-12),Database!$A:$AS,MATCH($O$1,Database!$A$1:$AS$1,),)))))/(((VLOOKUP(EDATE(B237,-12),Database!$A:$AS,MATCH($O$1,Database!$A$1:$AS$1,),))))</f>
        <v>1.3817759157166067E-3</v>
      </c>
      <c r="P237" s="13">
        <f>((((VLOOKUP(B237,Database!$A:$AS,MATCH($P$1,Database!$A$1:$AS$1,),))))-(((VLOOKUP(EDATE(B237,-12),Database!$A:$AS,MATCH($P$1,Database!$A$1:$AS$1,),)))))/(((VLOOKUP(EDATE(B237,-12),Database!$A:$AS,MATCH($P$1,Database!$A$1:$AS$1,),))))</f>
        <v>6.1596234335296908E-2</v>
      </c>
      <c r="Q237" s="13">
        <f>((((VLOOKUP(B237,Database!$A:$AS,MATCH($Q$1,Database!$A$1:$AS$1,),))))-(((VLOOKUP(EDATE(B237,-12),Database!$A:$AS,MATCH($Q$1,Database!$A$1:$AS$1,),)))))/(((VLOOKUP(EDATE(B237,-12),Database!$A:$AS,MATCH($Q$1,Database!$A$1:$AS$1,),))))</f>
        <v>9.5814977974394422E-2</v>
      </c>
      <c r="R237" s="13">
        <f>((((VLOOKUP(B237,Database!$A:$AS,MATCH($R$1,Database!$A$1:$AS$1,),))))-(((VLOOKUP(EDATE(B237,-12),Database!$A:$AS,MATCH($R$1,Database!$A$1:$AS$1,),)))))/(((VLOOKUP(EDATE(B237,-12),Database!$A:$AS,MATCH($R$1,Database!$A$1:$AS$1,),))))</f>
        <v>2.8129395278406978E-3</v>
      </c>
      <c r="S237" s="13">
        <f>((((VLOOKUP(B237,Database!$A:$AS,MATCH($S$1,Database!$A$1:$AS$1,),))))-(((VLOOKUP(EDATE(B237,-12),Database!$A:$AS,MATCH($S$1,Database!$A$1:$AS$1,),)))))/(((VLOOKUP(EDATE(B237,-12),Database!$A:$AS,MATCH($S$1,Database!$A$1:$AS$1,),))))</f>
        <v>0.13492063492793041</v>
      </c>
      <c r="T237" s="13">
        <f>((((VLOOKUP(B237,Database!$A:$AS,MATCH($T$1,Database!$A$1:$AS$1,),))))-(((VLOOKUP(EDATE(B237,-12),Database!$A:$AS,MATCH($T$1,Database!$A$1:$AS$1,),)))))/(((VLOOKUP(EDATE(B237,-12),Database!$A:$AS,MATCH($T$1,Database!$A$1:$AS$1,),))))</f>
        <v>7.894736843042266E-2</v>
      </c>
      <c r="U237" s="13">
        <f>((((VLOOKUP(B237,Database!$A:$AS,MATCH($U$1,Database!$A$1:$AS$1,),))))-(((VLOOKUP(EDATE(B237,-12),Database!$A:$AS,MATCH($U$1,Database!$A$1:$AS$1,),)))))/(((VLOOKUP(EDATE(B237,-12),Database!$A:$AS,MATCH($U$1,Database!$A$1:$AS$1,),))))</f>
        <v>9.0596330278701842E-2</v>
      </c>
      <c r="V237" s="13">
        <f>((((VLOOKUP(B237,Database!$A:$AS,MATCH($V$1,Database!$A$1:$AS$1,),))))-(((VLOOKUP(EDATE(B237,-12),Database!$A:$AS,MATCH($V$1,Database!$A$1:$AS$1,),)))))/(((VLOOKUP(EDATE(B237,-12),Database!$A:$AS,MATCH($V$1,Database!$A$1:$AS$1,),))))</f>
        <v>8.7378640776699198E-2</v>
      </c>
    </row>
    <row r="238" spans="1:22" s="83" customFormat="1" x14ac:dyDescent="0.2">
      <c r="A238" s="43"/>
      <c r="B238" s="78">
        <v>39387</v>
      </c>
      <c r="C238" s="13">
        <f>((((VLOOKUP(B238,Database!$A:$AS,MATCH($C$1,Database!$A$1:$AS$1,),))))-(((VLOOKUP(EDATE(B238,-12),Database!$A:$AS,MATCH($C$1,Database!$A$1:$AS$1,),)))))/(((VLOOKUP(EDATE(B238,-12),Database!$A:$AS,MATCH($C$1,Database!$A$1:$AS$1,),))))</f>
        <v>3.2589462058416771E-2</v>
      </c>
      <c r="D238" s="13">
        <f>((((VLOOKUP(B238,Database!$A:$AS,MATCH($D$1,Database!$A$1:$AS$1,),))))-(((VLOOKUP(EDATE(B238,-12),Database!$A:$AS,MATCH($D$1,Database!$A$1:$AS$1,),)))))/(((VLOOKUP(EDATE(B238,-12),Database!$A:$AS,MATCH($D$1,Database!$A$1:$AS$1,),))))</f>
        <v>3.2504780114722812E-2</v>
      </c>
      <c r="E238" s="13">
        <f>((((VLOOKUP(B238,Database!$A:$AS,MATCH($E$1,Database!$A$1:$AS$1,),))))-(((VLOOKUP(EDATE(B238,-12),Database!$A:$AS,MATCH($E$1,Database!$A$1:$AS$1,),)))))/(((VLOOKUP(EDATE(B238,-12),Database!$A:$AS,MATCH($E$1,Database!$A$1:$AS$1,),))))</f>
        <v>1.8814675444918771E-2</v>
      </c>
      <c r="F238" s="13">
        <f>((((VLOOKUP(B238,Database!$A:$AS,MATCH($F$1,Database!$A$1:$AS$1,),))))-(((VLOOKUP(EDATE(B238,-12),Database!$A:$AS,MATCH($F$1,Database!$A$1:$AS$1,),)))))/(((VLOOKUP(EDATE(B238,-12),Database!$A:$AS,MATCH($F$1,Database!$A$1:$AS$1,),))))</f>
        <v>5.2294557100581195E-2</v>
      </c>
      <c r="G238" s="13">
        <f>((((VLOOKUP(B238,Database!$A:$AS,MATCH($G$1,Database!$A$1:$AS$1,),))))-(((VLOOKUP(EDATE(B238,-12),Database!$A:$AS,MATCH($G$1,Database!$A$1:$AS$1,),)))))/(((VLOOKUP(EDATE(B238,-12),Database!$A:$AS,MATCH($G$1,Database!$A$1:$AS$1,),))))</f>
        <v>1.4311594202898535E-2</v>
      </c>
      <c r="H238" s="13">
        <f>((((VLOOKUP(B238,Database!$A:$AS,MATCH($H$1,Database!$A$1:$AS$1,),))))-(((VLOOKUP(EDATE(B238,-12),Database!$A:$AS,MATCH($H$1,Database!$A$1:$AS$1,),)))))/(((VLOOKUP(EDATE(B238,-12),Database!$A:$AS,MATCH($H$1,Database!$A$1:$AS$1,),))))</f>
        <v>-4.2322834648488773E-2</v>
      </c>
      <c r="I238" s="13">
        <f>((((VLOOKUP(B238,Database!$A:$AS,MATCH($I$1,Database!$A$1:$AS$1,),))))-(((VLOOKUP(EDATE(B238,-12),Database!$A:$AS,MATCH($I$1,Database!$A$1:$AS$1,),)))))/(((VLOOKUP(EDATE(B238,-12),Database!$A:$AS,MATCH($I$1,Database!$A$1:$AS$1,),))))</f>
        <v>-1.5710919110551429E-3</v>
      </c>
      <c r="J238" s="13">
        <f>((((VLOOKUP(B238,Database!$A:$AS,MATCH($J$1,Database!$A$1:$AS$1,),))))-(((VLOOKUP(EDATE(B238,-12),Database!$A:$AS,MATCH($J$1,Database!$A$1:$AS$1,),)))))/(((VLOOKUP(EDATE(B238,-12),Database!$A:$AS,MATCH($J$1,Database!$A$1:$AS$1,),))))</f>
        <v>-6.5574752223416244E-3</v>
      </c>
      <c r="K238" s="13">
        <f>((((VLOOKUP(B238,Database!$A:$AS,MATCH($K$1,Database!$A$1:$AS$1,),))))-(((VLOOKUP(EDATE(B238,-12),Database!$A:$AS,MATCH($K$1,Database!$A$1:$AS$1,),)))))/(((VLOOKUP(EDATE(B238,-12),Database!$A:$AS,MATCH($K$1,Database!$A$1:$AS$1,),))))</f>
        <v>4.062229905531569E-2</v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>3.5569720758633684E-3</v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>6.3321385902031027E-2</v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>0.10335399782880431</v>
      </c>
      <c r="O238" s="13">
        <f>((((VLOOKUP(B238,Database!$A:$AS,MATCH($O$1,Database!$A$1:$AS$1,),))))-(((VLOOKUP(EDATE(B238,-12),Database!$A:$AS,MATCH($O$1,Database!$A$1:$AS$1,),)))))/(((VLOOKUP(EDATE(B238,-12),Database!$A:$AS,MATCH($O$1,Database!$A$1:$AS$1,),))))</f>
        <v>-1.2539167773912743E-3</v>
      </c>
      <c r="P238" s="13">
        <f>((((VLOOKUP(B238,Database!$A:$AS,MATCH($P$1,Database!$A$1:$AS$1,),))))-(((VLOOKUP(EDATE(B238,-12),Database!$A:$AS,MATCH($P$1,Database!$A$1:$AS$1,),)))))/(((VLOOKUP(EDATE(B238,-12),Database!$A:$AS,MATCH($P$1,Database!$A$1:$AS$1,),))))</f>
        <v>7.7908514005887733E-2</v>
      </c>
      <c r="Q238" s="13">
        <f>((((VLOOKUP(B238,Database!$A:$AS,MATCH($Q$1,Database!$A$1:$AS$1,),))))-(((VLOOKUP(EDATE(B238,-12),Database!$A:$AS,MATCH($Q$1,Database!$A$1:$AS$1,),)))))/(((VLOOKUP(EDATE(B238,-12),Database!$A:$AS,MATCH($Q$1,Database!$A$1:$AS$1,),))))</f>
        <v>6.9489685122861966E-2</v>
      </c>
      <c r="R238" s="13">
        <f>((((VLOOKUP(B238,Database!$A:$AS,MATCH($R$1,Database!$A$1:$AS$1,),))))-(((VLOOKUP(EDATE(B238,-12),Database!$A:$AS,MATCH($R$1,Database!$A$1:$AS$1,),)))))/(((VLOOKUP(EDATE(B238,-12),Database!$A:$AS,MATCH($R$1,Database!$A$1:$AS$1,),))))</f>
        <v>4.4267053697810435E-2</v>
      </c>
      <c r="S238" s="13">
        <f>((((VLOOKUP(B238,Database!$A:$AS,MATCH($S$1,Database!$A$1:$AS$1,),))))-(((VLOOKUP(EDATE(B238,-12),Database!$A:$AS,MATCH($S$1,Database!$A$1:$AS$1,),)))))/(((VLOOKUP(EDATE(B238,-12),Database!$A:$AS,MATCH($S$1,Database!$A$1:$AS$1,),))))</f>
        <v>0.12413108242906942</v>
      </c>
      <c r="T238" s="13">
        <f>((((VLOOKUP(B238,Database!$A:$AS,MATCH($T$1,Database!$A$1:$AS$1,),))))-(((VLOOKUP(EDATE(B238,-12),Database!$A:$AS,MATCH($T$1,Database!$A$1:$AS$1,),)))))/(((VLOOKUP(EDATE(B238,-12),Database!$A:$AS,MATCH($T$1,Database!$A$1:$AS$1,),))))</f>
        <v>8.709175738405453E-2</v>
      </c>
      <c r="U238" s="13">
        <f>((((VLOOKUP(B238,Database!$A:$AS,MATCH($U$1,Database!$A$1:$AS$1,),))))-(((VLOOKUP(EDATE(B238,-12),Database!$A:$AS,MATCH($U$1,Database!$A$1:$AS$1,),)))))/(((VLOOKUP(EDATE(B238,-12),Database!$A:$AS,MATCH($U$1,Database!$A$1:$AS$1,),))))</f>
        <v>7.5280898883399672E-2</v>
      </c>
      <c r="V238" s="13">
        <f>((((VLOOKUP(B238,Database!$A:$AS,MATCH($V$1,Database!$A$1:$AS$1,),))))-(((VLOOKUP(EDATE(B238,-12),Database!$A:$AS,MATCH($V$1,Database!$A$1:$AS$1,),)))))/(((VLOOKUP(EDATE(B238,-12),Database!$A:$AS,MATCH($V$1,Database!$A$1:$AS$1,),))))</f>
        <v>8.6592178770949768E-2</v>
      </c>
    </row>
    <row r="239" spans="1:22" s="83" customFormat="1" x14ac:dyDescent="0.2">
      <c r="A239" s="43"/>
      <c r="B239" s="78">
        <v>39417</v>
      </c>
      <c r="C239" s="13">
        <f>((((VLOOKUP(B239,Database!$A:$AS,MATCH($C$1,Database!$A$1:$AS$1,),))))-(((VLOOKUP(EDATE(B239,-12),Database!$A:$AS,MATCH($C$1,Database!$A$1:$AS$1,),)))))/(((VLOOKUP(EDATE(B239,-12),Database!$A:$AS,MATCH($C$1,Database!$A$1:$AS$1,),))))</f>
        <v>2.2039328651101822E-2</v>
      </c>
      <c r="D239" s="13">
        <f>((((VLOOKUP(B239,Database!$A:$AS,MATCH($D$1,Database!$A$1:$AS$1,),))))-(((VLOOKUP(EDATE(B239,-12),Database!$A:$AS,MATCH($D$1,Database!$A$1:$AS$1,),)))))/(((VLOOKUP(EDATE(B239,-12),Database!$A:$AS,MATCH($D$1,Database!$A$1:$AS$1,),))))</f>
        <v>2.3562676720075403E-2</v>
      </c>
      <c r="E239" s="13">
        <f>((((VLOOKUP(B239,Database!$A:$AS,MATCH($E$1,Database!$A$1:$AS$1,),))))-(((VLOOKUP(EDATE(B239,-12),Database!$A:$AS,MATCH($E$1,Database!$A$1:$AS$1,),)))))/(((VLOOKUP(EDATE(B239,-12),Database!$A:$AS,MATCH($E$1,Database!$A$1:$AS$1,),))))</f>
        <v>2.349624060559171E-2</v>
      </c>
      <c r="F239" s="13">
        <f>((((VLOOKUP(B239,Database!$A:$AS,MATCH($F$1,Database!$A$1:$AS$1,),))))-(((VLOOKUP(EDATE(B239,-12),Database!$A:$AS,MATCH($F$1,Database!$A$1:$AS$1,),)))))/(((VLOOKUP(EDATE(B239,-12),Database!$A:$AS,MATCH($F$1,Database!$A$1:$AS$1,),))))</f>
        <v>5.2854122620759905E-2</v>
      </c>
      <c r="G239" s="13">
        <f>((((VLOOKUP(B239,Database!$A:$AS,MATCH($G$1,Database!$A$1:$AS$1,),))))-(((VLOOKUP(EDATE(B239,-12),Database!$A:$AS,MATCH($G$1,Database!$A$1:$AS$1,),)))))/(((VLOOKUP(EDATE(B239,-12),Database!$A:$AS,MATCH($G$1,Database!$A$1:$AS$1,),))))</f>
        <v>-9.7978088536563148E-4</v>
      </c>
      <c r="H239" s="13">
        <f>((((VLOOKUP(B239,Database!$A:$AS,MATCH($H$1,Database!$A$1:$AS$1,),))))-(((VLOOKUP(EDATE(B239,-12),Database!$A:$AS,MATCH($H$1,Database!$A$1:$AS$1,),)))))/(((VLOOKUP(EDATE(B239,-12),Database!$A:$AS,MATCH($H$1,Database!$A$1:$AS$1,),))))</f>
        <v>-3.9682539682466378E-2</v>
      </c>
      <c r="I239" s="13">
        <f>((((VLOOKUP(B239,Database!$A:$AS,MATCH($I$1,Database!$A$1:$AS$1,),))))-(((VLOOKUP(EDATE(B239,-12),Database!$A:$AS,MATCH($I$1,Database!$A$1:$AS$1,),)))))/(((VLOOKUP(EDATE(B239,-12),Database!$A:$AS,MATCH($I$1,Database!$A$1:$AS$1,),))))</f>
        <v>-1.081916537826464E-2</v>
      </c>
      <c r="J239" s="13">
        <f>((((VLOOKUP(B239,Database!$A:$AS,MATCH($J$1,Database!$A$1:$AS$1,),))))-(((VLOOKUP(EDATE(B239,-12),Database!$A:$AS,MATCH($J$1,Database!$A$1:$AS$1,),)))))/(((VLOOKUP(EDATE(B239,-12),Database!$A:$AS,MATCH($J$1,Database!$A$1:$AS$1,),))))</f>
        <v>-2.0951795503422656E-2</v>
      </c>
      <c r="K239" s="13">
        <f>((((VLOOKUP(B239,Database!$A:$AS,MATCH($K$1,Database!$A$1:$AS$1,),))))-(((VLOOKUP(EDATE(B239,-12),Database!$A:$AS,MATCH($K$1,Database!$A$1:$AS$1,),)))))/(((VLOOKUP(EDATE(B239,-12),Database!$A:$AS,MATCH($K$1,Database!$A$1:$AS$1,),))))</f>
        <v>7.5566750608787505E-3</v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>2.5260307206750477E-2</v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>5.5753262158956145E-2</v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>0.13876725884958047</v>
      </c>
      <c r="O239" s="13">
        <f>((((VLOOKUP(B239,Database!$A:$AS,MATCH($O$1,Database!$A$1:$AS$1,),))))-(((VLOOKUP(EDATE(B239,-12),Database!$A:$AS,MATCH($O$1,Database!$A$1:$AS$1,),)))))/(((VLOOKUP(EDATE(B239,-12),Database!$A:$AS,MATCH($O$1,Database!$A$1:$AS$1,),))))</f>
        <v>-2.9307441606483818E-2</v>
      </c>
      <c r="P239" s="13">
        <f>((((VLOOKUP(B239,Database!$A:$AS,MATCH($P$1,Database!$A$1:$AS$1,),))))-(((VLOOKUP(EDATE(B239,-12),Database!$A:$AS,MATCH($P$1,Database!$A$1:$AS$1,),)))))/(((VLOOKUP(EDATE(B239,-12),Database!$A:$AS,MATCH($P$1,Database!$A$1:$AS$1,),))))</f>
        <v>0.11176438189164828</v>
      </c>
      <c r="Q239" s="13">
        <f>((((VLOOKUP(B239,Database!$A:$AS,MATCH($Q$1,Database!$A$1:$AS$1,),))))-(((VLOOKUP(EDATE(B239,-12),Database!$A:$AS,MATCH($Q$1,Database!$A$1:$AS$1,),)))))/(((VLOOKUP(EDATE(B239,-12),Database!$A:$AS,MATCH($Q$1,Database!$A$1:$AS$1,),))))</f>
        <v>6.0021436231856636E-2</v>
      </c>
      <c r="R239" s="13">
        <f>((((VLOOKUP(B239,Database!$A:$AS,MATCH($R$1,Database!$A$1:$AS$1,),))))-(((VLOOKUP(EDATE(B239,-12),Database!$A:$AS,MATCH($R$1,Database!$A$1:$AS$1,),)))))/(((VLOOKUP(EDATE(B239,-12),Database!$A:$AS,MATCH($R$1,Database!$A$1:$AS$1,),))))</f>
        <v>7.7301475745161097E-3</v>
      </c>
      <c r="S239" s="13">
        <f>((((VLOOKUP(B239,Database!$A:$AS,MATCH($S$1,Database!$A$1:$AS$1,),))))-(((VLOOKUP(EDATE(B239,-12),Database!$A:$AS,MATCH($S$1,Database!$A$1:$AS$1,),)))))/(((VLOOKUP(EDATE(B239,-12),Database!$A:$AS,MATCH($S$1,Database!$A$1:$AS$1,),))))</f>
        <v>5.9701492533325989E-2</v>
      </c>
      <c r="T239" s="13">
        <f>((((VLOOKUP(B239,Database!$A:$AS,MATCH($T$1,Database!$A$1:$AS$1,),))))-(((VLOOKUP(EDATE(B239,-12),Database!$A:$AS,MATCH($T$1,Database!$A$1:$AS$1,),)))))/(((VLOOKUP(EDATE(B239,-12),Database!$A:$AS,MATCH($T$1,Database!$A$1:$AS$1,),))))</f>
        <v>7.6461769109035668E-2</v>
      </c>
      <c r="U239" s="13">
        <f>((((VLOOKUP(B239,Database!$A:$AS,MATCH($U$1,Database!$A$1:$AS$1,),))))-(((VLOOKUP(EDATE(B239,-12),Database!$A:$AS,MATCH($U$1,Database!$A$1:$AS$1,),)))))/(((VLOOKUP(EDATE(B239,-12),Database!$A:$AS,MATCH($U$1,Database!$A$1:$AS$1,),))))</f>
        <v>7.8801331854826712E-2</v>
      </c>
      <c r="V239" s="13">
        <f>((((VLOOKUP(B239,Database!$A:$AS,MATCH($V$1,Database!$A$1:$AS$1,),))))-(((VLOOKUP(EDATE(B239,-12),Database!$A:$AS,MATCH($V$1,Database!$A$1:$AS$1,),)))))/(((VLOOKUP(EDATE(B239,-12),Database!$A:$AS,MATCH($V$1,Database!$A$1:$AS$1,),))))</f>
        <v>6.5420560747663434E-2</v>
      </c>
    </row>
    <row r="240" spans="1:22" s="83" customFormat="1" x14ac:dyDescent="0.2">
      <c r="A240" s="43"/>
      <c r="B240" s="78">
        <v>39448</v>
      </c>
      <c r="C240" s="13">
        <f>((((VLOOKUP(B240,Database!$A:$AS,MATCH($C$1,Database!$A$1:$AS$1,),))))-(((VLOOKUP(EDATE(B240,-12),Database!$A:$AS,MATCH($C$1,Database!$A$1:$AS$1,),)))))/(((VLOOKUP(EDATE(B240,-12),Database!$A:$AS,MATCH($C$1,Database!$A$1:$AS$1,),))))</f>
        <v>2.4582415385326042E-2</v>
      </c>
      <c r="D240" s="13">
        <f>((((VLOOKUP(B240,Database!$A:$AS,MATCH($D$1,Database!$A$1:$AS$1,),))))-(((VLOOKUP(EDATE(B240,-12),Database!$A:$AS,MATCH($D$1,Database!$A$1:$AS$1,),)))))/(((VLOOKUP(EDATE(B240,-12),Database!$A:$AS,MATCH($D$1,Database!$A$1:$AS$1,),))))</f>
        <v>3.5950804162724663E-2</v>
      </c>
      <c r="E240" s="13">
        <f>((((VLOOKUP(B240,Database!$A:$AS,MATCH($E$1,Database!$A$1:$AS$1,),))))-(((VLOOKUP(EDATE(B240,-12),Database!$A:$AS,MATCH($E$1,Database!$A$1:$AS$1,),)))))/(((VLOOKUP(EDATE(B240,-12),Database!$A:$AS,MATCH($E$1,Database!$A$1:$AS$1,),))))</f>
        <v>4.1213025968552197E-2</v>
      </c>
      <c r="F240" s="13">
        <f>((((VLOOKUP(B240,Database!$A:$AS,MATCH($F$1,Database!$A$1:$AS$1,),))))-(((VLOOKUP(EDATE(B240,-12),Database!$A:$AS,MATCH($F$1,Database!$A$1:$AS$1,),)))))/(((VLOOKUP(EDATE(B240,-12),Database!$A:$AS,MATCH($F$1,Database!$A$1:$AS$1,),))))</f>
        <v>6.3091482653624034E-2</v>
      </c>
      <c r="G240" s="13">
        <f>((((VLOOKUP(B240,Database!$A:$AS,MATCH($G$1,Database!$A$1:$AS$1,),))))-(((VLOOKUP(EDATE(B240,-12),Database!$A:$AS,MATCH($G$1,Database!$A$1:$AS$1,),)))))/(((VLOOKUP(EDATE(B240,-12),Database!$A:$AS,MATCH($G$1,Database!$A$1:$AS$1,),))))</f>
        <v>1.9639639639639703E-2</v>
      </c>
      <c r="H240" s="13">
        <f>((((VLOOKUP(B240,Database!$A:$AS,MATCH($H$1,Database!$A$1:$AS$1,),))))-(((VLOOKUP(EDATE(B240,-12),Database!$A:$AS,MATCH($H$1,Database!$A$1:$AS$1,),)))))/(((VLOOKUP(EDATE(B240,-12),Database!$A:$AS,MATCH($H$1,Database!$A$1:$AS$1,),))))</f>
        <v>-4.4117647057885061E-2</v>
      </c>
      <c r="I240" s="13">
        <f>((((VLOOKUP(B240,Database!$A:$AS,MATCH($I$1,Database!$A$1:$AS$1,),))))-(((VLOOKUP(EDATE(B240,-12),Database!$A:$AS,MATCH($I$1,Database!$A$1:$AS$1,),)))))/(((VLOOKUP(EDATE(B240,-12),Database!$A:$AS,MATCH($I$1,Database!$A$1:$AS$1,),))))</f>
        <v>2.0296643244360927E-2</v>
      </c>
      <c r="J240" s="13">
        <f>((((VLOOKUP(B240,Database!$A:$AS,MATCH($J$1,Database!$A$1:$AS$1,),))))-(((VLOOKUP(EDATE(B240,-12),Database!$A:$AS,MATCH($J$1,Database!$A$1:$AS$1,),)))))/(((VLOOKUP(EDATE(B240,-12),Database!$A:$AS,MATCH($J$1,Database!$A$1:$AS$1,),))))</f>
        <v>1.6796355314695885E-3</v>
      </c>
      <c r="K240" s="13">
        <f>((((VLOOKUP(B240,Database!$A:$AS,MATCH($K$1,Database!$A$1:$AS$1,),))))-(((VLOOKUP(EDATE(B240,-12),Database!$A:$AS,MATCH($K$1,Database!$A$1:$AS$1,),)))))/(((VLOOKUP(EDATE(B240,-12),Database!$A:$AS,MATCH($K$1,Database!$A$1:$AS$1,),))))</f>
        <v>3.421727972515691E-2</v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>2.112590520529262E-2</v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>6.9848661233993012E-2</v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>0.13560415839598414</v>
      </c>
      <c r="O240" s="13">
        <f>((((VLOOKUP(B240,Database!$A:$AS,MATCH($O$1,Database!$A$1:$AS$1,),))))-(((VLOOKUP(EDATE(B240,-12),Database!$A:$AS,MATCH($O$1,Database!$A$1:$AS$1,),)))))/(((VLOOKUP(EDATE(B240,-12),Database!$A:$AS,MATCH($O$1,Database!$A$1:$AS$1,),))))</f>
        <v>-2.750386658332192E-2</v>
      </c>
      <c r="P240" s="13">
        <f>((((VLOOKUP(B240,Database!$A:$AS,MATCH($P$1,Database!$A$1:$AS$1,),))))-(((VLOOKUP(EDATE(B240,-12),Database!$A:$AS,MATCH($P$1,Database!$A$1:$AS$1,),)))))/(((VLOOKUP(EDATE(B240,-12),Database!$A:$AS,MATCH($P$1,Database!$A$1:$AS$1,),))))</f>
        <v>0.12225392880326769</v>
      </c>
      <c r="Q240" s="13">
        <f>((((VLOOKUP(B240,Database!$A:$AS,MATCH($Q$1,Database!$A$1:$AS$1,),))))-(((VLOOKUP(EDATE(B240,-12),Database!$A:$AS,MATCH($Q$1,Database!$A$1:$AS$1,),)))))/(((VLOOKUP(EDATE(B240,-12),Database!$A:$AS,MATCH($Q$1,Database!$A$1:$AS$1,),))))</f>
        <v>8.5221143470854285E-2</v>
      </c>
      <c r="R240" s="13">
        <f>((((VLOOKUP(B240,Database!$A:$AS,MATCH($R$1,Database!$A$1:$AS$1,),))))-(((VLOOKUP(EDATE(B240,-12),Database!$A:$AS,MATCH($R$1,Database!$A$1:$AS$1,),)))))/(((VLOOKUP(EDATE(B240,-12),Database!$A:$AS,MATCH($R$1,Database!$A$1:$AS$1,),))))</f>
        <v>-1.3351134848371374E-2</v>
      </c>
      <c r="S240" s="13">
        <f>((((VLOOKUP(B240,Database!$A:$AS,MATCH($S$1,Database!$A$1:$AS$1,),))))-(((VLOOKUP(EDATE(B240,-12),Database!$A:$AS,MATCH($S$1,Database!$A$1:$AS$1,),)))))/(((VLOOKUP(EDATE(B240,-12),Database!$A:$AS,MATCH($S$1,Database!$A$1:$AS$1,),))))</f>
        <v>-1.8709073973520918E-3</v>
      </c>
      <c r="T240" s="13">
        <f>((((VLOOKUP(B240,Database!$A:$AS,MATCH($T$1,Database!$A$1:$AS$1,),))))-(((VLOOKUP(EDATE(B240,-12),Database!$A:$AS,MATCH($T$1,Database!$A$1:$AS$1,),)))))/(((VLOOKUP(EDATE(B240,-12),Database!$A:$AS,MATCH($T$1,Database!$A$1:$AS$1,),))))</f>
        <v>2.0172910661910563E-2</v>
      </c>
      <c r="U240" s="13">
        <f>((((VLOOKUP(B240,Database!$A:$AS,MATCH($U$1,Database!$A$1:$AS$1,),))))-(((VLOOKUP(EDATE(B240,-12),Database!$A:$AS,MATCH($U$1,Database!$A$1:$AS$1,),)))))/(((VLOOKUP(EDATE(B240,-12),Database!$A:$AS,MATCH($U$1,Database!$A$1:$AS$1,),))))</f>
        <v>3.404255319637934E-2</v>
      </c>
      <c r="V240" s="13">
        <f>((((VLOOKUP(B240,Database!$A:$AS,MATCH($V$1,Database!$A$1:$AS$1,),))))-(((VLOOKUP(EDATE(B240,-12),Database!$A:$AS,MATCH($V$1,Database!$A$1:$AS$1,),)))))/(((VLOOKUP(EDATE(B240,-12),Database!$A:$AS,MATCH($V$1,Database!$A$1:$AS$1,),))))</f>
        <v>0.10618279569892461</v>
      </c>
    </row>
    <row r="241" spans="1:22" s="83" customFormat="1" x14ac:dyDescent="0.2">
      <c r="A241" s="43"/>
      <c r="B241" s="78">
        <v>39479</v>
      </c>
      <c r="C241" s="13">
        <f>((((VLOOKUP(B241,Database!$A:$AS,MATCH($C$1,Database!$A$1:$AS$1,),))))-(((VLOOKUP(EDATE(B241,-12),Database!$A:$AS,MATCH($C$1,Database!$A$1:$AS$1,),)))))/(((VLOOKUP(EDATE(B241,-12),Database!$A:$AS,MATCH($C$1,Database!$A$1:$AS$1,),))))</f>
        <v>1.1197346290323991E-2</v>
      </c>
      <c r="D241" s="13">
        <f>((((VLOOKUP(B241,Database!$A:$AS,MATCH($D$1,Database!$A$1:$AS$1,),))))-(((VLOOKUP(EDATE(B241,-12),Database!$A:$AS,MATCH($D$1,Database!$A$1:$AS$1,),)))))/(((VLOOKUP(EDATE(B241,-12),Database!$A:$AS,MATCH($D$1,Database!$A$1:$AS$1,),))))</f>
        <v>2.8222013170272814E-2</v>
      </c>
      <c r="E241" s="13">
        <f>((((VLOOKUP(B241,Database!$A:$AS,MATCH($E$1,Database!$A$1:$AS$1,),))))-(((VLOOKUP(EDATE(B241,-12),Database!$A:$AS,MATCH($E$1,Database!$A$1:$AS$1,),)))))/(((VLOOKUP(EDATE(B241,-12),Database!$A:$AS,MATCH($E$1,Database!$A$1:$AS$1,),))))</f>
        <v>3.7989031496780859E-2</v>
      </c>
      <c r="F241" s="13">
        <f>((((VLOOKUP(B241,Database!$A:$AS,MATCH($F$1,Database!$A$1:$AS$1,),))))-(((VLOOKUP(EDATE(B241,-12),Database!$A:$AS,MATCH($F$1,Database!$A$1:$AS$1,),)))))/(((VLOOKUP(EDATE(B241,-12),Database!$A:$AS,MATCH($F$1,Database!$A$1:$AS$1,),))))</f>
        <v>5.5497382197417698E-2</v>
      </c>
      <c r="G241" s="13">
        <f>((((VLOOKUP(B241,Database!$A:$AS,MATCH($G$1,Database!$A$1:$AS$1,),))))-(((VLOOKUP(EDATE(B241,-12),Database!$A:$AS,MATCH($G$1,Database!$A$1:$AS$1,),)))))/(((VLOOKUP(EDATE(B241,-12),Database!$A:$AS,MATCH($G$1,Database!$A$1:$AS$1,),))))</f>
        <v>1.9282271023031698E-2</v>
      </c>
      <c r="H241" s="13">
        <f>((((VLOOKUP(B241,Database!$A:$AS,MATCH($H$1,Database!$A$1:$AS$1,),))))-(((VLOOKUP(EDATE(B241,-12),Database!$A:$AS,MATCH($H$1,Database!$A$1:$AS$1,),)))))/(((VLOOKUP(EDATE(B241,-12),Database!$A:$AS,MATCH($H$1,Database!$A$1:$AS$1,),))))</f>
        <v>-2.2862823060086686E-2</v>
      </c>
      <c r="I241" s="13">
        <f>((((VLOOKUP(B241,Database!$A:$AS,MATCH($I$1,Database!$A$1:$AS$1,),))))-(((VLOOKUP(EDATE(B241,-12),Database!$A:$AS,MATCH($I$1,Database!$A$1:$AS$1,),)))))/(((VLOOKUP(EDATE(B241,-12),Database!$A:$AS,MATCH($I$1,Database!$A$1:$AS$1,),))))</f>
        <v>6.2063615214434254E-3</v>
      </c>
      <c r="J241" s="13">
        <f>((((VLOOKUP(B241,Database!$A:$AS,MATCH($J$1,Database!$A$1:$AS$1,),))))-(((VLOOKUP(EDATE(B241,-12),Database!$A:$AS,MATCH($J$1,Database!$A$1:$AS$1,),)))))/(((VLOOKUP(EDATE(B241,-12),Database!$A:$AS,MATCH($J$1,Database!$A$1:$AS$1,),))))</f>
        <v>-7.3095827725082269E-3</v>
      </c>
      <c r="K241" s="13">
        <f>((((VLOOKUP(B241,Database!$A:$AS,MATCH($K$1,Database!$A$1:$AS$1,),))))-(((VLOOKUP(EDATE(B241,-12),Database!$A:$AS,MATCH($K$1,Database!$A$1:$AS$1,),)))))/(((VLOOKUP(EDATE(B241,-12),Database!$A:$AS,MATCH($K$1,Database!$A$1:$AS$1,),))))</f>
        <v>1.8565400847150287E-2</v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>2.0953423251384027E-2</v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>5.392731535756165E-2</v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>0.1289160059274651</v>
      </c>
      <c r="O241" s="13">
        <f>((((VLOOKUP(B241,Database!$A:$AS,MATCH($O$1,Database!$A$1:$AS$1,),))))-(((VLOOKUP(EDATE(B241,-12),Database!$A:$AS,MATCH($O$1,Database!$A$1:$AS$1,),)))))/(((VLOOKUP(EDATE(B241,-12),Database!$A:$AS,MATCH($O$1,Database!$A$1:$AS$1,),))))</f>
        <v>-3.6306275673990342E-2</v>
      </c>
      <c r="P241" s="13">
        <f>((((VLOOKUP(B241,Database!$A:$AS,MATCH($P$1,Database!$A$1:$AS$1,),))))-(((VLOOKUP(EDATE(B241,-12),Database!$A:$AS,MATCH($P$1,Database!$A$1:$AS$1,),)))))/(((VLOOKUP(EDATE(B241,-12),Database!$A:$AS,MATCH($P$1,Database!$A$1:$AS$1,),))))</f>
        <v>0.11003010106054026</v>
      </c>
      <c r="Q241" s="13">
        <f>((((VLOOKUP(B241,Database!$A:$AS,MATCH($Q$1,Database!$A$1:$AS$1,),))))-(((VLOOKUP(EDATE(B241,-12),Database!$A:$AS,MATCH($Q$1,Database!$A$1:$AS$1,),)))))/(((VLOOKUP(EDATE(B241,-12),Database!$A:$AS,MATCH($Q$1,Database!$A$1:$AS$1,),))))</f>
        <v>6.7092651757682933E-2</v>
      </c>
      <c r="R241" s="13">
        <f>((((VLOOKUP(B241,Database!$A:$AS,MATCH($R$1,Database!$A$1:$AS$1,),))))-(((VLOOKUP(EDATE(B241,-12),Database!$A:$AS,MATCH($R$1,Database!$A$1:$AS$1,),)))))/(((VLOOKUP(EDATE(B241,-12),Database!$A:$AS,MATCH($R$1,Database!$A$1:$AS$1,),))))</f>
        <v>-6.2626262622530751E-2</v>
      </c>
      <c r="S241" s="13">
        <f>((((VLOOKUP(B241,Database!$A:$AS,MATCH($S$1,Database!$A$1:$AS$1,),))))-(((VLOOKUP(EDATE(B241,-12),Database!$A:$AS,MATCH($S$1,Database!$A$1:$AS$1,),)))))/(((VLOOKUP(EDATE(B241,-12),Database!$A:$AS,MATCH($S$1,Database!$A$1:$AS$1,),))))</f>
        <v>-1.9230769236109439E-2</v>
      </c>
      <c r="T241" s="13">
        <f>((((VLOOKUP(B241,Database!$A:$AS,MATCH($T$1,Database!$A$1:$AS$1,),))))-(((VLOOKUP(EDATE(B241,-12),Database!$A:$AS,MATCH($T$1,Database!$A$1:$AS$1,),)))))/(((VLOOKUP(EDATE(B241,-12),Database!$A:$AS,MATCH($T$1,Database!$A$1:$AS$1,),))))</f>
        <v>6.4896755163721231E-2</v>
      </c>
      <c r="U241" s="13">
        <f>((((VLOOKUP(B241,Database!$A:$AS,MATCH($U$1,Database!$A$1:$AS$1,),))))-(((VLOOKUP(EDATE(B241,-12),Database!$A:$AS,MATCH($U$1,Database!$A$1:$AS$1,),)))))/(((VLOOKUP(EDATE(B241,-12),Database!$A:$AS,MATCH($U$1,Database!$A$1:$AS$1,),))))</f>
        <v>5.1282051278489428E-2</v>
      </c>
      <c r="V241" s="13">
        <f>((((VLOOKUP(B241,Database!$A:$AS,MATCH($V$1,Database!$A$1:$AS$1,),))))-(((VLOOKUP(EDATE(B241,-12),Database!$A:$AS,MATCH($V$1,Database!$A$1:$AS$1,),)))))/(((VLOOKUP(EDATE(B241,-12),Database!$A:$AS,MATCH($V$1,Database!$A$1:$AS$1,),))))</f>
        <v>0.10228802153432044</v>
      </c>
    </row>
    <row r="242" spans="1:22" s="83" customFormat="1" x14ac:dyDescent="0.2">
      <c r="A242" s="43"/>
      <c r="B242" s="78">
        <v>39508</v>
      </c>
      <c r="C242" s="13">
        <f>((((VLOOKUP(B242,Database!$A:$AS,MATCH($C$1,Database!$A$1:$AS$1,),))))-(((VLOOKUP(EDATE(B242,-12),Database!$A:$AS,MATCH($C$1,Database!$A$1:$AS$1,),)))))/(((VLOOKUP(EDATE(B242,-12),Database!$A:$AS,MATCH($C$1,Database!$A$1:$AS$1,),))))</f>
        <v>5.589666782368571E-3</v>
      </c>
      <c r="D242" s="13">
        <f>((((VLOOKUP(B242,Database!$A:$AS,MATCH($D$1,Database!$A$1:$AS$1,),))))-(((VLOOKUP(EDATE(B242,-12),Database!$A:$AS,MATCH($D$1,Database!$A$1:$AS$1,),)))))/(((VLOOKUP(EDATE(B242,-12),Database!$A:$AS,MATCH($D$1,Database!$A$1:$AS$1,),))))</f>
        <v>1.8726591760299626E-2</v>
      </c>
      <c r="E242" s="13">
        <f>((((VLOOKUP(B242,Database!$A:$AS,MATCH($E$1,Database!$A$1:$AS$1,),))))-(((VLOOKUP(EDATE(B242,-12),Database!$A:$AS,MATCH($E$1,Database!$A$1:$AS$1,),)))))/(((VLOOKUP(EDATE(B242,-12),Database!$A:$AS,MATCH($E$1,Database!$A$1:$AS$1,),))))</f>
        <v>2.7288113641909768E-2</v>
      </c>
      <c r="F242" s="13">
        <f>((((VLOOKUP(B242,Database!$A:$AS,MATCH($F$1,Database!$A$1:$AS$1,),))))-(((VLOOKUP(EDATE(B242,-12),Database!$A:$AS,MATCH($F$1,Database!$A$1:$AS$1,),)))))/(((VLOOKUP(EDATE(B242,-12),Database!$A:$AS,MATCH($F$1,Database!$A$1:$AS$1,),))))</f>
        <v>4.2708333324793082E-2</v>
      </c>
      <c r="G242" s="13">
        <f>((((VLOOKUP(B242,Database!$A:$AS,MATCH($G$1,Database!$A$1:$AS$1,),))))-(((VLOOKUP(EDATE(B242,-12),Database!$A:$AS,MATCH($G$1,Database!$A$1:$AS$1,),)))))/(((VLOOKUP(EDATE(B242,-12),Database!$A:$AS,MATCH($G$1,Database!$A$1:$AS$1,),))))</f>
        <v>-8.8597501550501603E-5</v>
      </c>
      <c r="H242" s="13">
        <f>((((VLOOKUP(B242,Database!$A:$AS,MATCH($H$1,Database!$A$1:$AS$1,),))))-(((VLOOKUP(EDATE(B242,-12),Database!$A:$AS,MATCH($H$1,Database!$A$1:$AS$1,),)))))/(((VLOOKUP(EDATE(B242,-12),Database!$A:$AS,MATCH($H$1,Database!$A$1:$AS$1,),))))</f>
        <v>-3.58565737042199E-2</v>
      </c>
      <c r="I242" s="13">
        <f>((((VLOOKUP(B242,Database!$A:$AS,MATCH($I$1,Database!$A$1:$AS$1,),))))-(((VLOOKUP(EDATE(B242,-12),Database!$A:$AS,MATCH($I$1,Database!$A$1:$AS$1,),)))))/(((VLOOKUP(EDATE(B242,-12),Database!$A:$AS,MATCH($I$1,Database!$A$1:$AS$1,),))))</f>
        <v>4.6224961466257959E-3</v>
      </c>
      <c r="J242" s="13">
        <f>((((VLOOKUP(B242,Database!$A:$AS,MATCH($J$1,Database!$A$1:$AS$1,),))))-(((VLOOKUP(EDATE(B242,-12),Database!$A:$AS,MATCH($J$1,Database!$A$1:$AS$1,),)))))/(((VLOOKUP(EDATE(B242,-12),Database!$A:$AS,MATCH($J$1,Database!$A$1:$AS$1,),))))</f>
        <v>-4.1676130743524324E-2</v>
      </c>
      <c r="K242" s="13">
        <f>((((VLOOKUP(B242,Database!$A:$AS,MATCH($K$1,Database!$A$1:$AS$1,),))))-(((VLOOKUP(EDATE(B242,-12),Database!$A:$AS,MATCH($K$1,Database!$A$1:$AS$1,),)))))/(((VLOOKUP(EDATE(B242,-12),Database!$A:$AS,MATCH($K$1,Database!$A$1:$AS$1,),))))</f>
        <v>0</v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>-4.9244648556260862E-6</v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>4.0509259259259259E-2</v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>0.11835150245464873</v>
      </c>
      <c r="O242" s="13">
        <f>((((VLOOKUP(B242,Database!$A:$AS,MATCH($O$1,Database!$A$1:$AS$1,),))))-(((VLOOKUP(EDATE(B242,-12),Database!$A:$AS,MATCH($O$1,Database!$A$1:$AS$1,),)))))/(((VLOOKUP(EDATE(B242,-12),Database!$A:$AS,MATCH($O$1,Database!$A$1:$AS$1,),))))</f>
        <v>-4.6793345326038363E-2</v>
      </c>
      <c r="P242" s="13">
        <f>((((VLOOKUP(B242,Database!$A:$AS,MATCH($P$1,Database!$A$1:$AS$1,),))))-(((VLOOKUP(EDATE(B242,-12),Database!$A:$AS,MATCH($P$1,Database!$A$1:$AS$1,),)))))/(((VLOOKUP(EDATE(B242,-12),Database!$A:$AS,MATCH($P$1,Database!$A$1:$AS$1,),))))</f>
        <v>0.12674260917332728</v>
      </c>
      <c r="Q242" s="13">
        <f>((((VLOOKUP(B242,Database!$A:$AS,MATCH($Q$1,Database!$A$1:$AS$1,),))))-(((VLOOKUP(EDATE(B242,-12),Database!$A:$AS,MATCH($Q$1,Database!$A$1:$AS$1,),)))))/(((VLOOKUP(EDATE(B242,-12),Database!$A:$AS,MATCH($Q$1,Database!$A$1:$AS$1,),))))</f>
        <v>5.9009483671737542E-2</v>
      </c>
      <c r="R242" s="13">
        <f>((((VLOOKUP(B242,Database!$A:$AS,MATCH($R$1,Database!$A$1:$AS$1,),))))-(((VLOOKUP(EDATE(B242,-12),Database!$A:$AS,MATCH($R$1,Database!$A$1:$AS$1,),)))))/(((VLOOKUP(EDATE(B242,-12),Database!$A:$AS,MATCH($R$1,Database!$A$1:$AS$1,),))))</f>
        <v>-3.5236081752607111E-2</v>
      </c>
      <c r="S242" s="13">
        <f>((((VLOOKUP(B242,Database!$A:$AS,MATCH($S$1,Database!$A$1:$AS$1,),))))-(((VLOOKUP(EDATE(B242,-12),Database!$A:$AS,MATCH($S$1,Database!$A$1:$AS$1,),)))))/(((VLOOKUP(EDATE(B242,-12),Database!$A:$AS,MATCH($S$1,Database!$A$1:$AS$1,),))))</f>
        <v>-2.2956841142892478E-2</v>
      </c>
      <c r="T242" s="13">
        <f>((((VLOOKUP(B242,Database!$A:$AS,MATCH($T$1,Database!$A$1:$AS$1,),))))-(((VLOOKUP(EDATE(B242,-12),Database!$A:$AS,MATCH($T$1,Database!$A$1:$AS$1,),)))))/(((VLOOKUP(EDATE(B242,-12),Database!$A:$AS,MATCH($T$1,Database!$A$1:$AS$1,),))))</f>
        <v>4.7895500726763712E-2</v>
      </c>
      <c r="U242" s="13">
        <f>((((VLOOKUP(B242,Database!$A:$AS,MATCH($U$1,Database!$A$1:$AS$1,),))))-(((VLOOKUP(EDATE(B242,-12),Database!$A:$AS,MATCH($U$1,Database!$A$1:$AS$1,),)))))/(((VLOOKUP(EDATE(B242,-12),Database!$A:$AS,MATCH($U$1,Database!$A$1:$AS$1,),))))</f>
        <v>1.057082451257736E-3</v>
      </c>
      <c r="V242" s="13">
        <f>((((VLOOKUP(B242,Database!$A:$AS,MATCH($V$1,Database!$A$1:$AS$1,),))))-(((VLOOKUP(EDATE(B242,-12),Database!$A:$AS,MATCH($V$1,Database!$A$1:$AS$1,),)))))/(((VLOOKUP(EDATE(B242,-12),Database!$A:$AS,MATCH($V$1,Database!$A$1:$AS$1,),))))</f>
        <v>5.1451187335092428E-2</v>
      </c>
    </row>
    <row r="243" spans="1:22" s="83" customFormat="1" x14ac:dyDescent="0.2">
      <c r="A243" s="43"/>
      <c r="B243" s="78">
        <v>39539</v>
      </c>
      <c r="C243" s="13">
        <f>((((VLOOKUP(B243,Database!$A:$AS,MATCH($C$1,Database!$A$1:$AS$1,),))))-(((VLOOKUP(EDATE(B243,-12),Database!$A:$AS,MATCH($C$1,Database!$A$1:$AS$1,),)))))/(((VLOOKUP(EDATE(B243,-12),Database!$A:$AS,MATCH($C$1,Database!$A$1:$AS$1,),))))</f>
        <v>-8.2545697942678232E-3</v>
      </c>
      <c r="D243" s="13">
        <f>((((VLOOKUP(B243,Database!$A:$AS,MATCH($D$1,Database!$A$1:$AS$1,),))))-(((VLOOKUP(EDATE(B243,-12),Database!$A:$AS,MATCH($D$1,Database!$A$1:$AS$1,),)))))/(((VLOOKUP(EDATE(B243,-12),Database!$A:$AS,MATCH($D$1,Database!$A$1:$AS$1,),))))</f>
        <v>4.36018957345971E-2</v>
      </c>
      <c r="E243" s="13">
        <f>((((VLOOKUP(B243,Database!$A:$AS,MATCH($E$1,Database!$A$1:$AS$1,),))))-(((VLOOKUP(EDATE(B243,-12),Database!$A:$AS,MATCH($E$1,Database!$A$1:$AS$1,),)))))/(((VLOOKUP(EDATE(B243,-12),Database!$A:$AS,MATCH($E$1,Database!$A$1:$AS$1,),))))</f>
        <v>2.5735163206612701E-2</v>
      </c>
      <c r="F243" s="13">
        <f>((((VLOOKUP(B243,Database!$A:$AS,MATCH($F$1,Database!$A$1:$AS$1,),))))-(((VLOOKUP(EDATE(B243,-12),Database!$A:$AS,MATCH($F$1,Database!$A$1:$AS$1,),)))))/(((VLOOKUP(EDATE(B243,-12),Database!$A:$AS,MATCH($F$1,Database!$A$1:$AS$1,),))))</f>
        <v>5.4679284965773012E-2</v>
      </c>
      <c r="G243" s="13">
        <f>((((VLOOKUP(B243,Database!$A:$AS,MATCH($G$1,Database!$A$1:$AS$1,),))))-(((VLOOKUP(EDATE(B243,-12),Database!$A:$AS,MATCH($G$1,Database!$A$1:$AS$1,),)))))/(((VLOOKUP(EDATE(B243,-12),Database!$A:$AS,MATCH($G$1,Database!$A$1:$AS$1,),))))</f>
        <v>3.8461538461538554E-2</v>
      </c>
      <c r="H243" s="13">
        <f>((((VLOOKUP(B243,Database!$A:$AS,MATCH($H$1,Database!$A$1:$AS$1,),))))-(((VLOOKUP(EDATE(B243,-12),Database!$A:$AS,MATCH($H$1,Database!$A$1:$AS$1,),)))))/(((VLOOKUP(EDATE(B243,-12),Database!$A:$AS,MATCH($H$1,Database!$A$1:$AS$1,),))))</f>
        <v>-2.2088353414141955E-2</v>
      </c>
      <c r="I243" s="13">
        <f>((((VLOOKUP(B243,Database!$A:$AS,MATCH($I$1,Database!$A$1:$AS$1,),))))-(((VLOOKUP(EDATE(B243,-12),Database!$A:$AS,MATCH($I$1,Database!$A$1:$AS$1,),)))))/(((VLOOKUP(EDATE(B243,-12),Database!$A:$AS,MATCH($I$1,Database!$A$1:$AS$1,),))))</f>
        <v>3.3751962327112521E-2</v>
      </c>
      <c r="J243" s="13">
        <f>((((VLOOKUP(B243,Database!$A:$AS,MATCH($J$1,Database!$A$1:$AS$1,),))))-(((VLOOKUP(EDATE(B243,-12),Database!$A:$AS,MATCH($J$1,Database!$A$1:$AS$1,),)))))/(((VLOOKUP(EDATE(B243,-12),Database!$A:$AS,MATCH($J$1,Database!$A$1:$AS$1,),))))</f>
        <v>4.3543554887212361E-3</v>
      </c>
      <c r="K243" s="13">
        <f>((((VLOOKUP(B243,Database!$A:$AS,MATCH($K$1,Database!$A$1:$AS$1,),))))-(((VLOOKUP(EDATE(B243,-12),Database!$A:$AS,MATCH($K$1,Database!$A$1:$AS$1,),)))))/(((VLOOKUP(EDATE(B243,-12),Database!$A:$AS,MATCH($K$1,Database!$A$1:$AS$1,),))))</f>
        <v>7.6271186419349197E-3</v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>-1.8397948207905317E-3</v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>5.005820721769496E-2</v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>0.10126035152006363</v>
      </c>
      <c r="O243" s="13">
        <f>((((VLOOKUP(B243,Database!$A:$AS,MATCH($O$1,Database!$A$1:$AS$1,),))))-(((VLOOKUP(EDATE(B243,-12),Database!$A:$AS,MATCH($O$1,Database!$A$1:$AS$1,),)))))/(((VLOOKUP(EDATE(B243,-12),Database!$A:$AS,MATCH($O$1,Database!$A$1:$AS$1,),))))</f>
        <v>-3.2390559084249176E-2</v>
      </c>
      <c r="P243" s="13">
        <f>((((VLOOKUP(B243,Database!$A:$AS,MATCH($P$1,Database!$A$1:$AS$1,),))))-(((VLOOKUP(EDATE(B243,-12),Database!$A:$AS,MATCH($P$1,Database!$A$1:$AS$1,),)))))/(((VLOOKUP(EDATE(B243,-12),Database!$A:$AS,MATCH($P$1,Database!$A$1:$AS$1,),))))</f>
        <v>0.11107424855512067</v>
      </c>
      <c r="Q243" s="13">
        <f>((((VLOOKUP(B243,Database!$A:$AS,MATCH($Q$1,Database!$A$1:$AS$1,),))))-(((VLOOKUP(EDATE(B243,-12),Database!$A:$AS,MATCH($Q$1,Database!$A$1:$AS$1,),)))))/(((VLOOKUP(EDATE(B243,-12),Database!$A:$AS,MATCH($Q$1,Database!$A$1:$AS$1,),))))</f>
        <v>4.5833333332623655E-2</v>
      </c>
      <c r="R243" s="13">
        <f>((((VLOOKUP(B243,Database!$A:$AS,MATCH($R$1,Database!$A$1:$AS$1,),))))-(((VLOOKUP(EDATE(B243,-12),Database!$A:$AS,MATCH($R$1,Database!$A$1:$AS$1,),)))))/(((VLOOKUP(EDATE(B243,-12),Database!$A:$AS,MATCH($R$1,Database!$A$1:$AS$1,),))))</f>
        <v>1.1204481795721604E-2</v>
      </c>
      <c r="S243" s="13">
        <f>((((VLOOKUP(B243,Database!$A:$AS,MATCH($S$1,Database!$A$1:$AS$1,),))))-(((VLOOKUP(EDATE(B243,-12),Database!$A:$AS,MATCH($S$1,Database!$A$1:$AS$1,),)))))/(((VLOOKUP(EDATE(B243,-12),Database!$A:$AS,MATCH($S$1,Database!$A$1:$AS$1,),))))</f>
        <v>-5.0973123250067046E-2</v>
      </c>
      <c r="T243" s="13">
        <f>((((VLOOKUP(B243,Database!$A:$AS,MATCH($T$1,Database!$A$1:$AS$1,),))))-(((VLOOKUP(EDATE(B243,-12),Database!$A:$AS,MATCH($T$1,Database!$A$1:$AS$1,),)))))/(((VLOOKUP(EDATE(B243,-12),Database!$A:$AS,MATCH($T$1,Database!$A$1:$AS$1,),))))</f>
        <v>2.8860028856926137E-2</v>
      </c>
      <c r="U243" s="13">
        <f>((((VLOOKUP(B243,Database!$A:$AS,MATCH($U$1,Database!$A$1:$AS$1,),))))-(((VLOOKUP(EDATE(B243,-12),Database!$A:$AS,MATCH($U$1,Database!$A$1:$AS$1,),)))))/(((VLOOKUP(EDATE(B243,-12),Database!$A:$AS,MATCH($U$1,Database!$A$1:$AS$1,),))))</f>
        <v>3.6441586283457152E-2</v>
      </c>
      <c r="V243" s="13">
        <f>((((VLOOKUP(B243,Database!$A:$AS,MATCH($V$1,Database!$A$1:$AS$1,),))))-(((VLOOKUP(EDATE(B243,-12),Database!$A:$AS,MATCH($V$1,Database!$A$1:$AS$1,),)))))/(((VLOOKUP(EDATE(B243,-12),Database!$A:$AS,MATCH($V$1,Database!$A$1:$AS$1,),))))</f>
        <v>9.3833780160857916E-2</v>
      </c>
    </row>
    <row r="244" spans="1:22" s="83" customFormat="1" x14ac:dyDescent="0.2">
      <c r="A244" s="43"/>
      <c r="B244" s="78">
        <v>39569</v>
      </c>
      <c r="C244" s="13">
        <f>((((VLOOKUP(B244,Database!$A:$AS,MATCH($C$1,Database!$A$1:$AS$1,),))))-(((VLOOKUP(EDATE(B244,-12),Database!$A:$AS,MATCH($C$1,Database!$A$1:$AS$1,),)))))/(((VLOOKUP(EDATE(B244,-12),Database!$A:$AS,MATCH($C$1,Database!$A$1:$AS$1,),))))</f>
        <v>-1.4806295350851739E-2</v>
      </c>
      <c r="D244" s="13">
        <f>((((VLOOKUP(B244,Database!$A:$AS,MATCH($D$1,Database!$A$1:$AS$1,),))))-(((VLOOKUP(EDATE(B244,-12),Database!$A:$AS,MATCH($D$1,Database!$A$1:$AS$1,),)))))/(((VLOOKUP(EDATE(B244,-12),Database!$A:$AS,MATCH($D$1,Database!$A$1:$AS$1,),))))</f>
        <v>-3.7278657968312346E-3</v>
      </c>
      <c r="E244" s="13">
        <f>((((VLOOKUP(B244,Database!$A:$AS,MATCH($E$1,Database!$A$1:$AS$1,),))))-(((VLOOKUP(EDATE(B244,-12),Database!$A:$AS,MATCH($E$1,Database!$A$1:$AS$1,),)))))/(((VLOOKUP(EDATE(B244,-12),Database!$A:$AS,MATCH($E$1,Database!$A$1:$AS$1,),))))</f>
        <v>1.9515419810165517E-2</v>
      </c>
      <c r="F244" s="13">
        <f>((((VLOOKUP(B244,Database!$A:$AS,MATCH($F$1,Database!$A$1:$AS$1,),))))-(((VLOOKUP(EDATE(B244,-12),Database!$A:$AS,MATCH($F$1,Database!$A$1:$AS$1,),)))))/(((VLOOKUP(EDATE(B244,-12),Database!$A:$AS,MATCH($F$1,Database!$A$1:$AS$1,),))))</f>
        <v>1.5495867774710658E-2</v>
      </c>
      <c r="G244" s="13">
        <f>((((VLOOKUP(B244,Database!$A:$AS,MATCH($G$1,Database!$A$1:$AS$1,),))))-(((VLOOKUP(EDATE(B244,-12),Database!$A:$AS,MATCH($G$1,Database!$A$1:$AS$1,),)))))/(((VLOOKUP(EDATE(B244,-12),Database!$A:$AS,MATCH($G$1,Database!$A$1:$AS$1,),))))</f>
        <v>-3.3515130190007056E-2</v>
      </c>
      <c r="H244" s="13">
        <f>((((VLOOKUP(B244,Database!$A:$AS,MATCH($H$1,Database!$A$1:$AS$1,),))))-(((VLOOKUP(EDATE(B244,-12),Database!$A:$AS,MATCH($H$1,Database!$A$1:$AS$1,),)))))/(((VLOOKUP(EDATE(B244,-12),Database!$A:$AS,MATCH($H$1,Database!$A$1:$AS$1,),))))</f>
        <v>-3.4860557770049684E-2</v>
      </c>
      <c r="I244" s="13">
        <f>((((VLOOKUP(B244,Database!$A:$AS,MATCH($I$1,Database!$A$1:$AS$1,),))))-(((VLOOKUP(EDATE(B244,-12),Database!$A:$AS,MATCH($I$1,Database!$A$1:$AS$1,),)))))/(((VLOOKUP(EDATE(B244,-12),Database!$A:$AS,MATCH($I$1,Database!$A$1:$AS$1,),))))</f>
        <v>-2.305918524336802E-2</v>
      </c>
      <c r="J244" s="13">
        <f>((((VLOOKUP(B244,Database!$A:$AS,MATCH($J$1,Database!$A$1:$AS$1,),))))-(((VLOOKUP(EDATE(B244,-12),Database!$A:$AS,MATCH($J$1,Database!$A$1:$AS$1,),)))))/(((VLOOKUP(EDATE(B244,-12),Database!$A:$AS,MATCH($J$1,Database!$A$1:$AS$1,),))))</f>
        <v>-5.7116900619467739E-2</v>
      </c>
      <c r="K244" s="13">
        <f>((((VLOOKUP(B244,Database!$A:$AS,MATCH($K$1,Database!$A$1:$AS$1,),))))-(((VLOOKUP(EDATE(B244,-12),Database!$A:$AS,MATCH($K$1,Database!$A$1:$AS$1,),)))))/(((VLOOKUP(EDATE(B244,-12),Database!$A:$AS,MATCH($K$1,Database!$A$1:$AS$1,),))))</f>
        <v>-2.5380710652812923E-3</v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>2.5981830752502752E-3</v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>5.1843317972350235E-2</v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>7.3809989398548145E-2</v>
      </c>
      <c r="O244" s="13">
        <f>((((VLOOKUP(B244,Database!$A:$AS,MATCH($O$1,Database!$A$1:$AS$1,),))))-(((VLOOKUP(EDATE(B244,-12),Database!$A:$AS,MATCH($O$1,Database!$A$1:$AS$1,),)))))/(((VLOOKUP(EDATE(B244,-12),Database!$A:$AS,MATCH($O$1,Database!$A$1:$AS$1,),))))</f>
        <v>-3.7331907880533199E-2</v>
      </c>
      <c r="P244" s="13">
        <f>((((VLOOKUP(B244,Database!$A:$AS,MATCH($P$1,Database!$A$1:$AS$1,),))))-(((VLOOKUP(EDATE(B244,-12),Database!$A:$AS,MATCH($P$1,Database!$A$1:$AS$1,),)))))/(((VLOOKUP(EDATE(B244,-12),Database!$A:$AS,MATCH($P$1,Database!$A$1:$AS$1,),))))</f>
        <v>9.1601847825564381E-2</v>
      </c>
      <c r="Q244" s="13">
        <f>((((VLOOKUP(B244,Database!$A:$AS,MATCH($Q$1,Database!$A$1:$AS$1,),))))-(((VLOOKUP(EDATE(B244,-12),Database!$A:$AS,MATCH($Q$1,Database!$A$1:$AS$1,),)))))/(((VLOOKUP(EDATE(B244,-12),Database!$A:$AS,MATCH($Q$1,Database!$A$1:$AS$1,),))))</f>
        <v>4.9844236761358657E-2</v>
      </c>
      <c r="R244" s="13">
        <f>((((VLOOKUP(B244,Database!$A:$AS,MATCH($R$1,Database!$A$1:$AS$1,),))))-(((VLOOKUP(EDATE(B244,-12),Database!$A:$AS,MATCH($R$1,Database!$A$1:$AS$1,),)))))/(((VLOOKUP(EDATE(B244,-12),Database!$A:$AS,MATCH($R$1,Database!$A$1:$AS$1,),))))</f>
        <v>-6.8754254595802339E-2</v>
      </c>
      <c r="S244" s="13">
        <f>((((VLOOKUP(B244,Database!$A:$AS,MATCH($S$1,Database!$A$1:$AS$1,),))))-(((VLOOKUP(EDATE(B244,-12),Database!$A:$AS,MATCH($S$1,Database!$A$1:$AS$1,),)))))/(((VLOOKUP(EDATE(B244,-12),Database!$A:$AS,MATCH($S$1,Database!$A$1:$AS$1,),))))</f>
        <v>5.5447470811238193E-2</v>
      </c>
      <c r="T244" s="13">
        <f>((((VLOOKUP(B244,Database!$A:$AS,MATCH($T$1,Database!$A$1:$AS$1,),))))-(((VLOOKUP(EDATE(B244,-12),Database!$A:$AS,MATCH($T$1,Database!$A$1:$AS$1,),)))))/(((VLOOKUP(EDATE(B244,-12),Database!$A:$AS,MATCH($T$1,Database!$A$1:$AS$1,),))))</f>
        <v>9.943181824921387E-3</v>
      </c>
      <c r="U244" s="13">
        <f>((((VLOOKUP(B244,Database!$A:$AS,MATCH($U$1,Database!$A$1:$AS$1,),))))-(((VLOOKUP(EDATE(B244,-12),Database!$A:$AS,MATCH($U$1,Database!$A$1:$AS$1,),)))))/(((VLOOKUP(EDATE(B244,-12),Database!$A:$AS,MATCH($U$1,Database!$A$1:$AS$1,),))))</f>
        <v>1.812366737862631E-2</v>
      </c>
      <c r="V244" s="13">
        <f>((((VLOOKUP(B244,Database!$A:$AS,MATCH($V$1,Database!$A$1:$AS$1,),))))-(((VLOOKUP(EDATE(B244,-12),Database!$A:$AS,MATCH($V$1,Database!$A$1:$AS$1,),)))))/(((VLOOKUP(EDATE(B244,-12),Database!$A:$AS,MATCH($V$1,Database!$A$1:$AS$1,),))))</f>
        <v>3.4391534391534508E-2</v>
      </c>
    </row>
    <row r="245" spans="1:22" s="83" customFormat="1" x14ac:dyDescent="0.2">
      <c r="A245" s="43"/>
      <c r="B245" s="78">
        <v>39600</v>
      </c>
      <c r="C245" s="13">
        <f>((((VLOOKUP(B245,Database!$A:$AS,MATCH($C$1,Database!$A$1:$AS$1,),))))-(((VLOOKUP(EDATE(B245,-12),Database!$A:$AS,MATCH($C$1,Database!$A$1:$AS$1,),)))))/(((VLOOKUP(EDATE(B245,-12),Database!$A:$AS,MATCH($C$1,Database!$A$1:$AS$1,),))))</f>
        <v>-1.7253128366331624E-2</v>
      </c>
      <c r="D245" s="13">
        <f>((((VLOOKUP(B245,Database!$A:$AS,MATCH($D$1,Database!$A$1:$AS$1,),))))-(((VLOOKUP(EDATE(B245,-12),Database!$A:$AS,MATCH($D$1,Database!$A$1:$AS$1,),)))))/(((VLOOKUP(EDATE(B245,-12),Database!$A:$AS,MATCH($D$1,Database!$A$1:$AS$1,),))))</f>
        <v>-2.7932960893855808E-3</v>
      </c>
      <c r="E245" s="13">
        <f>((((VLOOKUP(B245,Database!$A:$AS,MATCH($E$1,Database!$A$1:$AS$1,),))))-(((VLOOKUP(EDATE(B245,-12),Database!$A:$AS,MATCH($E$1,Database!$A$1:$AS$1,),)))))/(((VLOOKUP(EDATE(B245,-12),Database!$A:$AS,MATCH($E$1,Database!$A$1:$AS$1,),))))</f>
        <v>-7.8956626027582074E-3</v>
      </c>
      <c r="F245" s="13">
        <f>((((VLOOKUP(B245,Database!$A:$AS,MATCH($F$1,Database!$A$1:$AS$1,),))))-(((VLOOKUP(EDATE(B245,-12),Database!$A:$AS,MATCH($F$1,Database!$A$1:$AS$1,),)))))/(((VLOOKUP(EDATE(B245,-12),Database!$A:$AS,MATCH($F$1,Database!$A$1:$AS$1,),))))</f>
        <v>2.7921406414223898E-2</v>
      </c>
      <c r="G245" s="13">
        <f>((((VLOOKUP(B245,Database!$A:$AS,MATCH($G$1,Database!$A$1:$AS$1,),))))-(((VLOOKUP(EDATE(B245,-12),Database!$A:$AS,MATCH($G$1,Database!$A$1:$AS$1,),)))))/(((VLOOKUP(EDATE(B245,-12),Database!$A:$AS,MATCH($G$1,Database!$A$1:$AS$1,),))))</f>
        <v>-3.2585658777817009E-2</v>
      </c>
      <c r="H245" s="13">
        <f>((((VLOOKUP(B245,Database!$A:$AS,MATCH($H$1,Database!$A$1:$AS$1,),))))-(((VLOOKUP(EDATE(B245,-12),Database!$A:$AS,MATCH($H$1,Database!$A$1:$AS$1,),)))))/(((VLOOKUP(EDATE(B245,-12),Database!$A:$AS,MATCH($H$1,Database!$A$1:$AS$1,),))))</f>
        <v>-1.8274111674590195E-2</v>
      </c>
      <c r="I245" s="13">
        <f>((((VLOOKUP(B245,Database!$A:$AS,MATCH($I$1,Database!$A$1:$AS$1,),))))-(((VLOOKUP(EDATE(B245,-12),Database!$A:$AS,MATCH($I$1,Database!$A$1:$AS$1,),)))))/(((VLOOKUP(EDATE(B245,-12),Database!$A:$AS,MATCH($I$1,Database!$A$1:$AS$1,),))))</f>
        <v>-6.1871616404532929E-3</v>
      </c>
      <c r="J245" s="13">
        <f>((((VLOOKUP(B245,Database!$A:$AS,MATCH($J$1,Database!$A$1:$AS$1,),))))-(((VLOOKUP(EDATE(B245,-12),Database!$A:$AS,MATCH($J$1,Database!$A$1:$AS$1,),)))))/(((VLOOKUP(EDATE(B245,-12),Database!$A:$AS,MATCH($J$1,Database!$A$1:$AS$1,),))))</f>
        <v>-9.5022558259169027E-2</v>
      </c>
      <c r="K245" s="13">
        <f>((((VLOOKUP(B245,Database!$A:$AS,MATCH($K$1,Database!$A$1:$AS$1,),))))-(((VLOOKUP(EDATE(B245,-12),Database!$A:$AS,MATCH($K$1,Database!$A$1:$AS$1,),)))))/(((VLOOKUP(EDATE(B245,-12),Database!$A:$AS,MATCH($K$1,Database!$A$1:$AS$1,),))))</f>
        <v>-1.186440678481715E-2</v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>4.1326479818392025E-3</v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>2.7522935779816415E-2</v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>8.1333669073898177E-2</v>
      </c>
      <c r="O245" s="13">
        <f>((((VLOOKUP(B245,Database!$A:$AS,MATCH($O$1,Database!$A$1:$AS$1,),))))-(((VLOOKUP(EDATE(B245,-12),Database!$A:$AS,MATCH($O$1,Database!$A$1:$AS$1,),)))))/(((VLOOKUP(EDATE(B245,-12),Database!$A:$AS,MATCH($O$1,Database!$A$1:$AS$1,),))))</f>
        <v>-3.309910346224193E-2</v>
      </c>
      <c r="P245" s="13">
        <f>((((VLOOKUP(B245,Database!$A:$AS,MATCH($P$1,Database!$A$1:$AS$1,),))))-(((VLOOKUP(EDATE(B245,-12),Database!$A:$AS,MATCH($P$1,Database!$A$1:$AS$1,),)))))/(((VLOOKUP(EDATE(B245,-12),Database!$A:$AS,MATCH($P$1,Database!$A$1:$AS$1,),))))</f>
        <v>8.7892967777047304E-2</v>
      </c>
      <c r="Q245" s="13">
        <f>((((VLOOKUP(B245,Database!$A:$AS,MATCH($Q$1,Database!$A$1:$AS$1,),))))-(((VLOOKUP(EDATE(B245,-12),Database!$A:$AS,MATCH($Q$1,Database!$A$1:$AS$1,),)))))/(((VLOOKUP(EDATE(B245,-12),Database!$A:$AS,MATCH($Q$1,Database!$A$1:$AS$1,),))))</f>
        <v>6.0824742266496749E-2</v>
      </c>
      <c r="R245" s="13">
        <f>((((VLOOKUP(B245,Database!$A:$AS,MATCH($R$1,Database!$A$1:$AS$1,),))))-(((VLOOKUP(EDATE(B245,-12),Database!$A:$AS,MATCH($R$1,Database!$A$1:$AS$1,),)))))/(((VLOOKUP(EDATE(B245,-12),Database!$A:$AS,MATCH($R$1,Database!$A$1:$AS$1,),))))</f>
        <v>-8.2644628069541946E-3</v>
      </c>
      <c r="S245" s="13">
        <f>((((VLOOKUP(B245,Database!$A:$AS,MATCH($S$1,Database!$A$1:$AS$1,),))))-(((VLOOKUP(EDATE(B245,-12),Database!$A:$AS,MATCH($S$1,Database!$A$1:$AS$1,),)))))/(((VLOOKUP(EDATE(B245,-12),Database!$A:$AS,MATCH($S$1,Database!$A$1:$AS$1,),))))</f>
        <v>1.851851851669413E-2</v>
      </c>
      <c r="T245" s="13">
        <f>((((VLOOKUP(B245,Database!$A:$AS,MATCH($T$1,Database!$A$1:$AS$1,),))))-(((VLOOKUP(EDATE(B245,-12),Database!$A:$AS,MATCH($T$1,Database!$A$1:$AS$1,),)))))/(((VLOOKUP(EDATE(B245,-12),Database!$A:$AS,MATCH($T$1,Database!$A$1:$AS$1,),))))</f>
        <v>3.6284470246228814E-2</v>
      </c>
      <c r="U245" s="13">
        <f>((((VLOOKUP(B245,Database!$A:$AS,MATCH($U$1,Database!$A$1:$AS$1,),))))-(((VLOOKUP(EDATE(B245,-12),Database!$A:$AS,MATCH($U$1,Database!$A$1:$AS$1,),)))))/(((VLOOKUP(EDATE(B245,-12),Database!$A:$AS,MATCH($U$1,Database!$A$1:$AS$1,),))))</f>
        <v>7.4626865695512556E-3</v>
      </c>
      <c r="V245" s="13">
        <f>((((VLOOKUP(B245,Database!$A:$AS,MATCH($V$1,Database!$A$1:$AS$1,),))))-(((VLOOKUP(EDATE(B245,-12),Database!$A:$AS,MATCH($V$1,Database!$A$1:$AS$1,),)))))/(((VLOOKUP(EDATE(B245,-12),Database!$A:$AS,MATCH($V$1,Database!$A$1:$AS$1,),))))</f>
        <v>3.6842105263157857E-2</v>
      </c>
    </row>
    <row r="246" spans="1:22" s="83" customFormat="1" x14ac:dyDescent="0.2">
      <c r="A246" s="43"/>
      <c r="B246" s="78">
        <v>39630</v>
      </c>
      <c r="C246" s="13">
        <f>((((VLOOKUP(B246,Database!$A:$AS,MATCH($C$1,Database!$A$1:$AS$1,),))))-(((VLOOKUP(EDATE(B246,-12),Database!$A:$AS,MATCH($C$1,Database!$A$1:$AS$1,),)))))/(((VLOOKUP(EDATE(B246,-12),Database!$A:$AS,MATCH($C$1,Database!$A$1:$AS$1,),))))</f>
        <v>-2.0728286906306764E-2</v>
      </c>
      <c r="D246" s="13">
        <f>((((VLOOKUP(B246,Database!$A:$AS,MATCH($D$1,Database!$A$1:$AS$1,),))))-(((VLOOKUP(EDATE(B246,-12),Database!$A:$AS,MATCH($D$1,Database!$A$1:$AS$1,),)))))/(((VLOOKUP(EDATE(B246,-12),Database!$A:$AS,MATCH($D$1,Database!$A$1:$AS$1,),))))</f>
        <v>-1.4869888475836378E-2</v>
      </c>
      <c r="E246" s="13">
        <f>((((VLOOKUP(B246,Database!$A:$AS,MATCH($E$1,Database!$A$1:$AS$1,),))))-(((VLOOKUP(EDATE(B246,-12),Database!$A:$AS,MATCH($E$1,Database!$A$1:$AS$1,),)))))/(((VLOOKUP(EDATE(B246,-12),Database!$A:$AS,MATCH($E$1,Database!$A$1:$AS$1,),))))</f>
        <v>-8.8237302790554611E-3</v>
      </c>
      <c r="F246" s="13">
        <f>((((VLOOKUP(B246,Database!$A:$AS,MATCH($F$1,Database!$A$1:$AS$1,),))))-(((VLOOKUP(EDATE(B246,-12),Database!$A:$AS,MATCH($F$1,Database!$A$1:$AS$1,),)))))/(((VLOOKUP(EDATE(B246,-12),Database!$A:$AS,MATCH($F$1,Database!$A$1:$AS$1,),))))</f>
        <v>3.0800821346591433E-3</v>
      </c>
      <c r="G246" s="13">
        <f>((((VLOOKUP(B246,Database!$A:$AS,MATCH($G$1,Database!$A$1:$AS$1,),))))-(((VLOOKUP(EDATE(B246,-12),Database!$A:$AS,MATCH($G$1,Database!$A$1:$AS$1,),)))))/(((VLOOKUP(EDATE(B246,-12),Database!$A:$AS,MATCH($G$1,Database!$A$1:$AS$1,),))))</f>
        <v>-2.672428999823603E-2</v>
      </c>
      <c r="H246" s="13">
        <f>((((VLOOKUP(B246,Database!$A:$AS,MATCH($H$1,Database!$A$1:$AS$1,),))))-(((VLOOKUP(EDATE(B246,-12),Database!$A:$AS,MATCH($H$1,Database!$A$1:$AS$1,),)))))/(((VLOOKUP(EDATE(B246,-12),Database!$A:$AS,MATCH($H$1,Database!$A$1:$AS$1,),))))</f>
        <v>-1.1235955051697555E-2</v>
      </c>
      <c r="I246" s="13">
        <f>((((VLOOKUP(B246,Database!$A:$AS,MATCH($I$1,Database!$A$1:$AS$1,),))))-(((VLOOKUP(EDATE(B246,-12),Database!$A:$AS,MATCH($I$1,Database!$A$1:$AS$1,),)))))/(((VLOOKUP(EDATE(B246,-12),Database!$A:$AS,MATCH($I$1,Database!$A$1:$AS$1,),))))</f>
        <v>-3.1906614787512423E-2</v>
      </c>
      <c r="J246" s="13">
        <f>((((VLOOKUP(B246,Database!$A:$AS,MATCH($J$1,Database!$A$1:$AS$1,),))))-(((VLOOKUP(EDATE(B246,-12),Database!$A:$AS,MATCH($J$1,Database!$A$1:$AS$1,),)))))/(((VLOOKUP(EDATE(B246,-12),Database!$A:$AS,MATCH($J$1,Database!$A$1:$AS$1,),))))</f>
        <v>-4.3864131658666268E-2</v>
      </c>
      <c r="K246" s="13">
        <f>((((VLOOKUP(B246,Database!$A:$AS,MATCH($K$1,Database!$A$1:$AS$1,),))))-(((VLOOKUP(EDATE(B246,-12),Database!$A:$AS,MATCH($K$1,Database!$A$1:$AS$1,),)))))/(((VLOOKUP(EDATE(B246,-12),Database!$A:$AS,MATCH($K$1,Database!$A$1:$AS$1,),))))</f>
        <v>-8.6132644248436267E-4</v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>-7.2041580645519354E-3</v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>1.0215664018161246E-2</v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>5.1847462176251684E-2</v>
      </c>
      <c r="O246" s="13">
        <f>((((VLOOKUP(B246,Database!$A:$AS,MATCH($O$1,Database!$A$1:$AS$1,),))))-(((VLOOKUP(EDATE(B246,-12),Database!$A:$AS,MATCH($O$1,Database!$A$1:$AS$1,),)))))/(((VLOOKUP(EDATE(B246,-12),Database!$A:$AS,MATCH($O$1,Database!$A$1:$AS$1,),))))</f>
        <v>-7.3410371627388223E-3</v>
      </c>
      <c r="P246" s="13">
        <f>((((VLOOKUP(B246,Database!$A:$AS,MATCH($P$1,Database!$A$1:$AS$1,),))))-(((VLOOKUP(EDATE(B246,-12),Database!$A:$AS,MATCH($P$1,Database!$A$1:$AS$1,),)))))/(((VLOOKUP(EDATE(B246,-12),Database!$A:$AS,MATCH($P$1,Database!$A$1:$AS$1,),))))</f>
        <v>7.0332430624611655E-2</v>
      </c>
      <c r="Q246" s="13">
        <f>((((VLOOKUP(B246,Database!$A:$AS,MATCH($Q$1,Database!$A$1:$AS$1,),))))-(((VLOOKUP(EDATE(B246,-12),Database!$A:$AS,MATCH($Q$1,Database!$A$1:$AS$1,),)))))/(((VLOOKUP(EDATE(B246,-12),Database!$A:$AS,MATCH($Q$1,Database!$A$1:$AS$1,),))))</f>
        <v>6.9430051805785861E-2</v>
      </c>
      <c r="R246" s="13">
        <f>((((VLOOKUP(B246,Database!$A:$AS,MATCH($R$1,Database!$A$1:$AS$1,),))))-(((VLOOKUP(EDATE(B246,-12),Database!$A:$AS,MATCH($R$1,Database!$A$1:$AS$1,),)))))/(((VLOOKUP(EDATE(B246,-12),Database!$A:$AS,MATCH($R$1,Database!$A$1:$AS$1,),))))</f>
        <v>-3.5714285715268017E-2</v>
      </c>
      <c r="S246" s="13">
        <f>((((VLOOKUP(B246,Database!$A:$AS,MATCH($S$1,Database!$A$1:$AS$1,),))))-(((VLOOKUP(EDATE(B246,-12),Database!$A:$AS,MATCH($S$1,Database!$A$1:$AS$1,),)))))/(((VLOOKUP(EDATE(B246,-12),Database!$A:$AS,MATCH($S$1,Database!$A$1:$AS$1,),))))</f>
        <v>-9.146877748476509E-2</v>
      </c>
      <c r="T246" s="13">
        <f>((((VLOOKUP(B246,Database!$A:$AS,MATCH($T$1,Database!$A$1:$AS$1,),))))-(((VLOOKUP(EDATE(B246,-12),Database!$A:$AS,MATCH($T$1,Database!$A$1:$AS$1,),)))))/(((VLOOKUP(EDATE(B246,-12),Database!$A:$AS,MATCH($T$1,Database!$A$1:$AS$1,),))))</f>
        <v>1.8950437307583751E-2</v>
      </c>
      <c r="U246" s="13">
        <f>((((VLOOKUP(B246,Database!$A:$AS,MATCH($U$1,Database!$A$1:$AS$1,),))))-(((VLOOKUP(EDATE(B246,-12),Database!$A:$AS,MATCH($U$1,Database!$A$1:$AS$1,),)))))/(((VLOOKUP(EDATE(B246,-12),Database!$A:$AS,MATCH($U$1,Database!$A$1:$AS$1,),))))</f>
        <v>-3.4700315450645183E-2</v>
      </c>
      <c r="V246" s="13">
        <f>((((VLOOKUP(B246,Database!$A:$AS,MATCH($V$1,Database!$A$1:$AS$1,),))))-(((VLOOKUP(EDATE(B246,-12),Database!$A:$AS,MATCH($V$1,Database!$A$1:$AS$1,),)))))/(((VLOOKUP(EDATE(B246,-12),Database!$A:$AS,MATCH($V$1,Database!$A$1:$AS$1,),))))</f>
        <v>2.2135416666666706E-2</v>
      </c>
    </row>
    <row r="247" spans="1:22" s="83" customFormat="1" x14ac:dyDescent="0.2">
      <c r="A247" s="43"/>
      <c r="B247" s="78">
        <v>39661</v>
      </c>
      <c r="C247" s="13">
        <f>((((VLOOKUP(B247,Database!$A:$AS,MATCH($C$1,Database!$A$1:$AS$1,),))))-(((VLOOKUP(EDATE(B247,-12),Database!$A:$AS,MATCH($C$1,Database!$A$1:$AS$1,),)))))/(((VLOOKUP(EDATE(B247,-12),Database!$A:$AS,MATCH($C$1,Database!$A$1:$AS$1,),))))</f>
        <v>-3.8286099299498978E-2</v>
      </c>
      <c r="D247" s="13">
        <f>((((VLOOKUP(B247,Database!$A:$AS,MATCH($D$1,Database!$A$1:$AS$1,),))))-(((VLOOKUP(EDATE(B247,-12),Database!$A:$AS,MATCH($D$1,Database!$A$1:$AS$1,),)))))/(((VLOOKUP(EDATE(B247,-12),Database!$A:$AS,MATCH($D$1,Database!$A$1:$AS$1,),))))</f>
        <v>-2.4930747922437699E-2</v>
      </c>
      <c r="E247" s="13">
        <f>((((VLOOKUP(B247,Database!$A:$AS,MATCH($E$1,Database!$A$1:$AS$1,),))))-(((VLOOKUP(EDATE(B247,-12),Database!$A:$AS,MATCH($E$1,Database!$A$1:$AS$1,),)))))/(((VLOOKUP(EDATE(B247,-12),Database!$A:$AS,MATCH($E$1,Database!$A$1:$AS$1,),))))</f>
        <v>-6.8568579988915496E-2</v>
      </c>
      <c r="F247" s="13">
        <f>((((VLOOKUP(B247,Database!$A:$AS,MATCH($F$1,Database!$A$1:$AS$1,),))))-(((VLOOKUP(EDATE(B247,-12),Database!$A:$AS,MATCH($F$1,Database!$A$1:$AS$1,),)))))/(((VLOOKUP(EDATE(B247,-12),Database!$A:$AS,MATCH($F$1,Database!$A$1:$AS$1,),))))</f>
        <v>2.047082906626187E-2</v>
      </c>
      <c r="G247" s="13">
        <f>((((VLOOKUP(B247,Database!$A:$AS,MATCH($G$1,Database!$A$1:$AS$1,),))))-(((VLOOKUP(EDATE(B247,-12),Database!$A:$AS,MATCH($G$1,Database!$A$1:$AS$1,),)))))/(((VLOOKUP(EDATE(B247,-12),Database!$A:$AS,MATCH($G$1,Database!$A$1:$AS$1,),))))</f>
        <v>-4.5681718544497971E-2</v>
      </c>
      <c r="H247" s="13">
        <f>((((VLOOKUP(B247,Database!$A:$AS,MATCH($H$1,Database!$A$1:$AS$1,),))))-(((VLOOKUP(EDATE(B247,-12),Database!$A:$AS,MATCH($H$1,Database!$A$1:$AS$1,),)))))/(((VLOOKUP(EDATE(B247,-12),Database!$A:$AS,MATCH($H$1,Database!$A$1:$AS$1,),))))</f>
        <v>2.0533880956025412E-3</v>
      </c>
      <c r="I247" s="13">
        <f>((((VLOOKUP(B247,Database!$A:$AS,MATCH($I$1,Database!$A$1:$AS$1,),))))-(((VLOOKUP(EDATE(B247,-12),Database!$A:$AS,MATCH($I$1,Database!$A$1:$AS$1,),)))))/(((VLOOKUP(EDATE(B247,-12),Database!$A:$AS,MATCH($I$1,Database!$A$1:$AS$1,),))))</f>
        <v>-9.0772693168329158E-2</v>
      </c>
      <c r="J247" s="13">
        <f>((((VLOOKUP(B247,Database!$A:$AS,MATCH($J$1,Database!$A$1:$AS$1,),))))-(((VLOOKUP(EDATE(B247,-12),Database!$A:$AS,MATCH($J$1,Database!$A$1:$AS$1,),)))))/(((VLOOKUP(EDATE(B247,-12),Database!$A:$AS,MATCH($J$1,Database!$A$1:$AS$1,),))))</f>
        <v>-8.1419921464138401E-2</v>
      </c>
      <c r="K247" s="13">
        <f>((((VLOOKUP(B247,Database!$A:$AS,MATCH($K$1,Database!$A$1:$AS$1,),))))-(((VLOOKUP(EDATE(B247,-12),Database!$A:$AS,MATCH($K$1,Database!$A$1:$AS$1,),)))))/(((VLOOKUP(EDATE(B247,-12),Database!$A:$AS,MATCH($K$1,Database!$A$1:$AS$1,),))))</f>
        <v>-9.3378607868573396E-3</v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>1.993036411126802E-3</v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>2.1689497716895042E-2</v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>6.2242280083138382E-2</v>
      </c>
      <c r="O247" s="13">
        <f>((((VLOOKUP(B247,Database!$A:$AS,MATCH($O$1,Database!$A$1:$AS$1,),))))-(((VLOOKUP(EDATE(B247,-12),Database!$A:$AS,MATCH($O$1,Database!$A$1:$AS$1,),)))))/(((VLOOKUP(EDATE(B247,-12),Database!$A:$AS,MATCH($O$1,Database!$A$1:$AS$1,),))))</f>
        <v>-2.5033800220543839E-2</v>
      </c>
      <c r="P247" s="13">
        <f>((((VLOOKUP(B247,Database!$A:$AS,MATCH($P$1,Database!$A$1:$AS$1,),))))-(((VLOOKUP(EDATE(B247,-12),Database!$A:$AS,MATCH($P$1,Database!$A$1:$AS$1,),)))))/(((VLOOKUP(EDATE(B247,-12),Database!$A:$AS,MATCH($P$1,Database!$A$1:$AS$1,),))))</f>
        <v>3.9021852232709972E-2</v>
      </c>
      <c r="Q247" s="13">
        <f>((((VLOOKUP(B247,Database!$A:$AS,MATCH($Q$1,Database!$A$1:$AS$1,),))))-(((VLOOKUP(EDATE(B247,-12),Database!$A:$AS,MATCH($Q$1,Database!$A$1:$AS$1,),)))))/(((VLOOKUP(EDATE(B247,-12),Database!$A:$AS,MATCH($Q$1,Database!$A$1:$AS$1,),))))</f>
        <v>3.9795918366987613E-2</v>
      </c>
      <c r="R247" s="13">
        <f>((((VLOOKUP(B247,Database!$A:$AS,MATCH($R$1,Database!$A$1:$AS$1,),))))-(((VLOOKUP(EDATE(B247,-12),Database!$A:$AS,MATCH($R$1,Database!$A$1:$AS$1,),)))))/(((VLOOKUP(EDATE(B247,-12),Database!$A:$AS,MATCH($R$1,Database!$A$1:$AS$1,),))))</f>
        <v>-4.5422781274790949E-2</v>
      </c>
      <c r="S247" s="13">
        <f>((((VLOOKUP(B247,Database!$A:$AS,MATCH($S$1,Database!$A$1:$AS$1,),))))-(((VLOOKUP(EDATE(B247,-12),Database!$A:$AS,MATCH($S$1,Database!$A$1:$AS$1,),)))))/(((VLOOKUP(EDATE(B247,-12),Database!$A:$AS,MATCH($S$1,Database!$A$1:$AS$1,),))))</f>
        <v>3.3802816890313121E-2</v>
      </c>
      <c r="T247" s="13">
        <f>((((VLOOKUP(B247,Database!$A:$AS,MATCH($T$1,Database!$A$1:$AS$1,),))))-(((VLOOKUP(EDATE(B247,-12),Database!$A:$AS,MATCH($T$1,Database!$A$1:$AS$1,),)))))/(((VLOOKUP(EDATE(B247,-12),Database!$A:$AS,MATCH($T$1,Database!$A$1:$AS$1,),))))</f>
        <v>-1.0043041613618176E-2</v>
      </c>
      <c r="U247" s="13">
        <f>((((VLOOKUP(B247,Database!$A:$AS,MATCH($U$1,Database!$A$1:$AS$1,),))))-(((VLOOKUP(EDATE(B247,-12),Database!$A:$AS,MATCH($U$1,Database!$A$1:$AS$1,),)))))/(((VLOOKUP(EDATE(B247,-12),Database!$A:$AS,MATCH($U$1,Database!$A$1:$AS$1,),))))</f>
        <v>-4.0598290606601604E-2</v>
      </c>
      <c r="V247" s="13">
        <f>((((VLOOKUP(B247,Database!$A:$AS,MATCH($V$1,Database!$A$1:$AS$1,),))))-(((VLOOKUP(EDATE(B247,-12),Database!$A:$AS,MATCH($V$1,Database!$A$1:$AS$1,),)))))/(((VLOOKUP(EDATE(B247,-12),Database!$A:$AS,MATCH($V$1,Database!$A$1:$AS$1,),))))</f>
        <v>1.2970168612193066E-3</v>
      </c>
    </row>
    <row r="248" spans="1:22" s="83" customFormat="1" x14ac:dyDescent="0.2">
      <c r="A248" s="43"/>
      <c r="B248" s="78">
        <v>39692</v>
      </c>
      <c r="C248" s="13">
        <f>((((VLOOKUP(B248,Database!$A:$AS,MATCH($C$1,Database!$A$1:$AS$1,),))))-(((VLOOKUP(EDATE(B248,-12),Database!$A:$AS,MATCH($C$1,Database!$A$1:$AS$1,),)))))/(((VLOOKUP(EDATE(B248,-12),Database!$A:$AS,MATCH($C$1,Database!$A$1:$AS$1,),))))</f>
        <v>-8.1771153872675001E-2</v>
      </c>
      <c r="D248" s="13">
        <f>((((VLOOKUP(B248,Database!$A:$AS,MATCH($D$1,Database!$A$1:$AS$1,),))))-(((VLOOKUP(EDATE(B248,-12),Database!$A:$AS,MATCH($D$1,Database!$A$1:$AS$1,),)))))/(((VLOOKUP(EDATE(B248,-12),Database!$A:$AS,MATCH($D$1,Database!$A$1:$AS$1,),))))</f>
        <v>-2.7829313543599257E-2</v>
      </c>
      <c r="E248" s="13">
        <f>((((VLOOKUP(B248,Database!$A:$AS,MATCH($E$1,Database!$A$1:$AS$1,),))))-(((VLOOKUP(EDATE(B248,-12),Database!$A:$AS,MATCH($E$1,Database!$A$1:$AS$1,),)))))/(((VLOOKUP(EDATE(B248,-12),Database!$A:$AS,MATCH($E$1,Database!$A$1:$AS$1,),))))</f>
        <v>-4.2527944136236812E-2</v>
      </c>
      <c r="F248" s="13">
        <f>((((VLOOKUP(B248,Database!$A:$AS,MATCH($F$1,Database!$A$1:$AS$1,),))))-(((VLOOKUP(EDATE(B248,-12),Database!$A:$AS,MATCH($F$1,Database!$A$1:$AS$1,),)))))/(((VLOOKUP(EDATE(B248,-12),Database!$A:$AS,MATCH($F$1,Database!$A$1:$AS$1,),))))</f>
        <v>-1.3171225930202472E-2</v>
      </c>
      <c r="G248" s="13">
        <f>((((VLOOKUP(B248,Database!$A:$AS,MATCH($G$1,Database!$A$1:$AS$1,),))))-(((VLOOKUP(EDATE(B248,-12),Database!$A:$AS,MATCH($G$1,Database!$A$1:$AS$1,),)))))/(((VLOOKUP(EDATE(B248,-12),Database!$A:$AS,MATCH($G$1,Database!$A$1:$AS$1,),))))</f>
        <v>-2.7458722182340294E-2</v>
      </c>
      <c r="H248" s="13">
        <f>((((VLOOKUP(B248,Database!$A:$AS,MATCH($H$1,Database!$A$1:$AS$1,),))))-(((VLOOKUP(EDATE(B248,-12),Database!$A:$AS,MATCH($H$1,Database!$A$1:$AS$1,),)))))/(((VLOOKUP(EDATE(B248,-12),Database!$A:$AS,MATCH($H$1,Database!$A$1:$AS$1,),))))</f>
        <v>1.7653167177856203E-2</v>
      </c>
      <c r="I248" s="13">
        <f>((((VLOOKUP(B248,Database!$A:$AS,MATCH($I$1,Database!$A$1:$AS$1,),))))-(((VLOOKUP(EDATE(B248,-12),Database!$A:$AS,MATCH($I$1,Database!$A$1:$AS$1,),)))))/(((VLOOKUP(EDATE(B248,-12),Database!$A:$AS,MATCH($I$1,Database!$A$1:$AS$1,),))))</f>
        <v>-7.2419106317684445E-2</v>
      </c>
      <c r="J248" s="13">
        <f>((((VLOOKUP(B248,Database!$A:$AS,MATCH($J$1,Database!$A$1:$AS$1,),))))-(((VLOOKUP(EDATE(B248,-12),Database!$A:$AS,MATCH($J$1,Database!$A$1:$AS$1,),)))))/(((VLOOKUP(EDATE(B248,-12),Database!$A:$AS,MATCH($J$1,Database!$A$1:$AS$1,),))))</f>
        <v>-9.456252464669615E-2</v>
      </c>
      <c r="K248" s="13">
        <f>((((VLOOKUP(B248,Database!$A:$AS,MATCH($K$1,Database!$A$1:$AS$1,),))))-(((VLOOKUP(EDATE(B248,-12),Database!$A:$AS,MATCH($K$1,Database!$A$1:$AS$1,),)))))/(((VLOOKUP(EDATE(B248,-12),Database!$A:$AS,MATCH($K$1,Database!$A$1:$AS$1,),))))</f>
        <v>-1.9896193766119077E-2</v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>-2.2740380992689071E-2</v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>1.0321100917431094E-2</v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>0.10302420018535428</v>
      </c>
      <c r="O248" s="13">
        <f>((((VLOOKUP(B248,Database!$A:$AS,MATCH($O$1,Database!$A$1:$AS$1,),))))-(((VLOOKUP(EDATE(B248,-12),Database!$A:$AS,MATCH($O$1,Database!$A$1:$AS$1,),)))))/(((VLOOKUP(EDATE(B248,-12),Database!$A:$AS,MATCH($O$1,Database!$A$1:$AS$1,),))))</f>
        <v>-2.9493881827681059E-2</v>
      </c>
      <c r="P248" s="13">
        <f>((((VLOOKUP(B248,Database!$A:$AS,MATCH($P$1,Database!$A$1:$AS$1,),))))-(((VLOOKUP(EDATE(B248,-12),Database!$A:$AS,MATCH($P$1,Database!$A$1:$AS$1,),)))))/(((VLOOKUP(EDATE(B248,-12),Database!$A:$AS,MATCH($P$1,Database!$A$1:$AS$1,),))))</f>
        <v>3.4777248383317166E-2</v>
      </c>
      <c r="Q248" s="13">
        <f>((((VLOOKUP(B248,Database!$A:$AS,MATCH($Q$1,Database!$A$1:$AS$1,),))))-(((VLOOKUP(EDATE(B248,-12),Database!$A:$AS,MATCH($Q$1,Database!$A$1:$AS$1,),)))))/(((VLOOKUP(EDATE(B248,-12),Database!$A:$AS,MATCH($Q$1,Database!$A$1:$AS$1,),))))</f>
        <v>6.4948453608343934E-2</v>
      </c>
      <c r="R248" s="13">
        <f>((((VLOOKUP(B248,Database!$A:$AS,MATCH($R$1,Database!$A$1:$AS$1,),))))-(((VLOOKUP(EDATE(B248,-12),Database!$A:$AS,MATCH($R$1,Database!$A$1:$AS$1,),)))))/(((VLOOKUP(EDATE(B248,-12),Database!$A:$AS,MATCH($R$1,Database!$A$1:$AS$1,),))))</f>
        <v>-4.738675957889138E-2</v>
      </c>
      <c r="S248" s="13">
        <f>((((VLOOKUP(B248,Database!$A:$AS,MATCH($S$1,Database!$A$1:$AS$1,),))))-(((VLOOKUP(EDATE(B248,-12),Database!$A:$AS,MATCH($S$1,Database!$A$1:$AS$1,),)))))/(((VLOOKUP(EDATE(B248,-12),Database!$A:$AS,MATCH($S$1,Database!$A$1:$AS$1,),))))</f>
        <v>1.423149905056614E-2</v>
      </c>
      <c r="T248" s="13">
        <f>((((VLOOKUP(B248,Database!$A:$AS,MATCH($T$1,Database!$A$1:$AS$1,),))))-(((VLOOKUP(EDATE(B248,-12),Database!$A:$AS,MATCH($T$1,Database!$A$1:$AS$1,),)))))/(((VLOOKUP(EDATE(B248,-12),Database!$A:$AS,MATCH($T$1,Database!$A$1:$AS$1,),))))</f>
        <v>-1.9943019942370528E-2</v>
      </c>
      <c r="U248" s="13">
        <f>((((VLOOKUP(B248,Database!$A:$AS,MATCH($U$1,Database!$A$1:$AS$1,),))))-(((VLOOKUP(EDATE(B248,-12),Database!$A:$AS,MATCH($U$1,Database!$A$1:$AS$1,),)))))/(((VLOOKUP(EDATE(B248,-12),Database!$A:$AS,MATCH($U$1,Database!$A$1:$AS$1,),))))</f>
        <v>-3.6208732696851174E-2</v>
      </c>
      <c r="V248" s="13">
        <f>((((VLOOKUP(B248,Database!$A:$AS,MATCH($V$1,Database!$A$1:$AS$1,),))))-(((VLOOKUP(EDATE(B248,-12),Database!$A:$AS,MATCH($V$1,Database!$A$1:$AS$1,),)))))/(((VLOOKUP(EDATE(B248,-12),Database!$A:$AS,MATCH($V$1,Database!$A$1:$AS$1,),))))</f>
        <v>5.1679586563306385E-3</v>
      </c>
    </row>
    <row r="249" spans="1:22" s="83" customFormat="1" x14ac:dyDescent="0.2">
      <c r="A249" s="43"/>
      <c r="B249" s="78">
        <v>39722</v>
      </c>
      <c r="C249" s="13">
        <f>((((VLOOKUP(B249,Database!$A:$AS,MATCH($C$1,Database!$A$1:$AS$1,),))))-(((VLOOKUP(EDATE(B249,-12),Database!$A:$AS,MATCH($C$1,Database!$A$1:$AS$1,),)))))/(((VLOOKUP(EDATE(B249,-12),Database!$A:$AS,MATCH($C$1,Database!$A$1:$AS$1,),))))</f>
        <v>-7.0506333957558412E-2</v>
      </c>
      <c r="D249" s="13">
        <f>((((VLOOKUP(B249,Database!$A:$AS,MATCH($D$1,Database!$A$1:$AS$1,),))))-(((VLOOKUP(EDATE(B249,-12),Database!$A:$AS,MATCH($D$1,Database!$A$1:$AS$1,),)))))/(((VLOOKUP(EDATE(B249,-12),Database!$A:$AS,MATCH($D$1,Database!$A$1:$AS$1,),))))</f>
        <v>-6.0717571297148193E-2</v>
      </c>
      <c r="E249" s="13">
        <f>((((VLOOKUP(B249,Database!$A:$AS,MATCH($E$1,Database!$A$1:$AS$1,),))))-(((VLOOKUP(EDATE(B249,-12),Database!$A:$AS,MATCH($E$1,Database!$A$1:$AS$1,),)))))/(((VLOOKUP(EDATE(B249,-12),Database!$A:$AS,MATCH($E$1,Database!$A$1:$AS$1,),))))</f>
        <v>-7.5497919264932836E-2</v>
      </c>
      <c r="F249" s="13">
        <f>((((VLOOKUP(B249,Database!$A:$AS,MATCH($F$1,Database!$A$1:$AS$1,),))))-(((VLOOKUP(EDATE(B249,-12),Database!$A:$AS,MATCH($F$1,Database!$A$1:$AS$1,),)))))/(((VLOOKUP(EDATE(B249,-12),Database!$A:$AS,MATCH($F$1,Database!$A$1:$AS$1,),))))</f>
        <v>-3.5425101218150415E-2</v>
      </c>
      <c r="G249" s="13">
        <f>((((VLOOKUP(B249,Database!$A:$AS,MATCH($G$1,Database!$A$1:$AS$1,),))))-(((VLOOKUP(EDATE(B249,-12),Database!$A:$AS,MATCH($G$1,Database!$A$1:$AS$1,),)))))/(((VLOOKUP(EDATE(B249,-12),Database!$A:$AS,MATCH($G$1,Database!$A$1:$AS$1,),))))</f>
        <v>-6.7029303386559047E-2</v>
      </c>
      <c r="H249" s="13">
        <f>((((VLOOKUP(B249,Database!$A:$AS,MATCH($H$1,Database!$A$1:$AS$1,),))))-(((VLOOKUP(EDATE(B249,-12),Database!$A:$AS,MATCH($H$1,Database!$A$1:$AS$1,),)))))/(((VLOOKUP(EDATE(B249,-12),Database!$A:$AS,MATCH($H$1,Database!$A$1:$AS$1,),))))</f>
        <v>1.3360739980152244E-2</v>
      </c>
      <c r="I249" s="13">
        <f>((((VLOOKUP(B249,Database!$A:$AS,MATCH($I$1,Database!$A$1:$AS$1,),))))-(((VLOOKUP(EDATE(B249,-12),Database!$A:$AS,MATCH($I$1,Database!$A$1:$AS$1,),)))))/(((VLOOKUP(EDATE(B249,-12),Database!$A:$AS,MATCH($I$1,Database!$A$1:$AS$1,),))))</f>
        <v>-8.2490272371396806E-2</v>
      </c>
      <c r="J249" s="13">
        <f>((((VLOOKUP(B249,Database!$A:$AS,MATCH($J$1,Database!$A$1:$AS$1,),))))-(((VLOOKUP(EDATE(B249,-12),Database!$A:$AS,MATCH($J$1,Database!$A$1:$AS$1,),)))))/(((VLOOKUP(EDATE(B249,-12),Database!$A:$AS,MATCH($J$1,Database!$A$1:$AS$1,),))))</f>
        <v>-0.14372609969682038</v>
      </c>
      <c r="K249" s="13">
        <f>((((VLOOKUP(B249,Database!$A:$AS,MATCH($K$1,Database!$A$1:$AS$1,),))))-(((VLOOKUP(EDATE(B249,-12),Database!$A:$AS,MATCH($K$1,Database!$A$1:$AS$1,),)))))/(((VLOOKUP(EDATE(B249,-12),Database!$A:$AS,MATCH($K$1,Database!$A$1:$AS$1,),))))</f>
        <v>-5.6410256411439701E-2</v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>-1.8633786065731583E-2</v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>-1.949541284403673E-2</v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>3.8969671245395895E-2</v>
      </c>
      <c r="O249" s="13">
        <f>((((VLOOKUP(B249,Database!$A:$AS,MATCH($O$1,Database!$A$1:$AS$1,),))))-(((VLOOKUP(EDATE(B249,-12),Database!$A:$AS,MATCH($O$1,Database!$A$1:$AS$1,),)))))/(((VLOOKUP(EDATE(B249,-12),Database!$A:$AS,MATCH($O$1,Database!$A$1:$AS$1,),))))</f>
        <v>-2.6488561322575599E-2</v>
      </c>
      <c r="P249" s="13">
        <f>((((VLOOKUP(B249,Database!$A:$AS,MATCH($P$1,Database!$A$1:$AS$1,),))))-(((VLOOKUP(EDATE(B249,-12),Database!$A:$AS,MATCH($P$1,Database!$A$1:$AS$1,),)))))/(((VLOOKUP(EDATE(B249,-12),Database!$A:$AS,MATCH($P$1,Database!$A$1:$AS$1,),))))</f>
        <v>-1.5156539786160935E-2</v>
      </c>
      <c r="Q249" s="13">
        <f>((((VLOOKUP(B249,Database!$A:$AS,MATCH($Q$1,Database!$A$1:$AS$1,),))))-(((VLOOKUP(EDATE(B249,-12),Database!$A:$AS,MATCH($Q$1,Database!$A$1:$AS$1,),)))))/(((VLOOKUP(EDATE(B249,-12),Database!$A:$AS,MATCH($Q$1,Database!$A$1:$AS$1,),))))</f>
        <v>7.0351758753603904E-3</v>
      </c>
      <c r="R249" s="13">
        <f>((((VLOOKUP(B249,Database!$A:$AS,MATCH($R$1,Database!$A$1:$AS$1,),))))-(((VLOOKUP(EDATE(B249,-12),Database!$A:$AS,MATCH($R$1,Database!$A$1:$AS$1,),)))))/(((VLOOKUP(EDATE(B249,-12),Database!$A:$AS,MATCH($R$1,Database!$A$1:$AS$1,),))))</f>
        <v>-5.1893408140452076E-2</v>
      </c>
      <c r="S249" s="13">
        <f>((((VLOOKUP(B249,Database!$A:$AS,MATCH($S$1,Database!$A$1:$AS$1,),))))-(((VLOOKUP(EDATE(B249,-12),Database!$A:$AS,MATCH($S$1,Database!$A$1:$AS$1,),)))))/(((VLOOKUP(EDATE(B249,-12),Database!$A:$AS,MATCH($S$1,Database!$A$1:$AS$1,),))))</f>
        <v>-9.8776223784719772E-2</v>
      </c>
      <c r="T249" s="13">
        <f>((((VLOOKUP(B249,Database!$A:$AS,MATCH($T$1,Database!$A$1:$AS$1,),))))-(((VLOOKUP(EDATE(B249,-12),Database!$A:$AS,MATCH($T$1,Database!$A$1:$AS$1,),)))))/(((VLOOKUP(EDATE(B249,-12),Database!$A:$AS,MATCH($T$1,Database!$A$1:$AS$1,),))))</f>
        <v>-6.1692969877380315E-2</v>
      </c>
      <c r="U249" s="13">
        <f>((((VLOOKUP(B249,Database!$A:$AS,MATCH($U$1,Database!$A$1:$AS$1,),))))-(((VLOOKUP(EDATE(B249,-12),Database!$A:$AS,MATCH($U$1,Database!$A$1:$AS$1,),)))))/(((VLOOKUP(EDATE(B249,-12),Database!$A:$AS,MATCH($U$1,Database!$A$1:$AS$1,),))))</f>
        <v>-7.3606729761002562E-2</v>
      </c>
      <c r="V249" s="13">
        <f>((((VLOOKUP(B249,Database!$A:$AS,MATCH($V$1,Database!$A$1:$AS$1,),))))-(((VLOOKUP(EDATE(B249,-12),Database!$A:$AS,MATCH($V$1,Database!$A$1:$AS$1,),)))))/(((VLOOKUP(EDATE(B249,-12),Database!$A:$AS,MATCH($V$1,Database!$A$1:$AS$1,),))))</f>
        <v>-2.168367346938779E-2</v>
      </c>
    </row>
    <row r="250" spans="1:22" s="83" customFormat="1" x14ac:dyDescent="0.2">
      <c r="A250" s="43"/>
      <c r="B250" s="78">
        <v>39753</v>
      </c>
      <c r="C250" s="13">
        <f>((((VLOOKUP(B250,Database!$A:$AS,MATCH($C$1,Database!$A$1:$AS$1,),))))-(((VLOOKUP(EDATE(B250,-12),Database!$A:$AS,MATCH($C$1,Database!$A$1:$AS$1,),)))))/(((VLOOKUP(EDATE(B250,-12),Database!$A:$AS,MATCH($C$1,Database!$A$1:$AS$1,),))))</f>
        <v>-8.7809609873850267E-2</v>
      </c>
      <c r="D250" s="13">
        <f>((((VLOOKUP(B250,Database!$A:$AS,MATCH($D$1,Database!$A$1:$AS$1,),))))-(((VLOOKUP(EDATE(B250,-12),Database!$A:$AS,MATCH($D$1,Database!$A$1:$AS$1,),)))))/(((VLOOKUP(EDATE(B250,-12),Database!$A:$AS,MATCH($D$1,Database!$A$1:$AS$1,),))))</f>
        <v>-8.8888888888888837E-2</v>
      </c>
      <c r="E250" s="13">
        <f>((((VLOOKUP(B250,Database!$A:$AS,MATCH($E$1,Database!$A$1:$AS$1,),))))-(((VLOOKUP(EDATE(B250,-12),Database!$A:$AS,MATCH($E$1,Database!$A$1:$AS$1,),)))))/(((VLOOKUP(EDATE(B250,-12),Database!$A:$AS,MATCH($E$1,Database!$A$1:$AS$1,),))))</f>
        <v>-0.12627450386783573</v>
      </c>
      <c r="F250" s="13">
        <f>((((VLOOKUP(B250,Database!$A:$AS,MATCH($F$1,Database!$A$1:$AS$1,),))))-(((VLOOKUP(EDATE(B250,-12),Database!$A:$AS,MATCH($F$1,Database!$A$1:$AS$1,),)))))/(((VLOOKUP(EDATE(B250,-12),Database!$A:$AS,MATCH($F$1,Database!$A$1:$AS$1,),))))</f>
        <v>-7.6064908721307209E-2</v>
      </c>
      <c r="G250" s="13">
        <f>((((VLOOKUP(B250,Database!$A:$AS,MATCH($G$1,Database!$A$1:$AS$1,),))))-(((VLOOKUP(EDATE(B250,-12),Database!$A:$AS,MATCH($G$1,Database!$A$1:$AS$1,),)))))/(((VLOOKUP(EDATE(B250,-12),Database!$A:$AS,MATCH($G$1,Database!$A$1:$AS$1,),))))</f>
        <v>-9.796392212895158E-2</v>
      </c>
      <c r="H250" s="13">
        <f>((((VLOOKUP(B250,Database!$A:$AS,MATCH($H$1,Database!$A$1:$AS$1,),))))-(((VLOOKUP(EDATE(B250,-12),Database!$A:$AS,MATCH($H$1,Database!$A$1:$AS$1,),)))))/(((VLOOKUP(EDATE(B250,-12),Database!$A:$AS,MATCH($H$1,Database!$A$1:$AS$1,),))))</f>
        <v>-1.5416238434226457E-2</v>
      </c>
      <c r="I250" s="13">
        <f>((((VLOOKUP(B250,Database!$A:$AS,MATCH($I$1,Database!$A$1:$AS$1,),))))-(((VLOOKUP(EDATE(B250,-12),Database!$A:$AS,MATCH($I$1,Database!$A$1:$AS$1,),)))))/(((VLOOKUP(EDATE(B250,-12),Database!$A:$AS,MATCH($I$1,Database!$A$1:$AS$1,),))))</f>
        <v>-0.10385523210330824</v>
      </c>
      <c r="J250" s="13">
        <f>((((VLOOKUP(B250,Database!$A:$AS,MATCH($J$1,Database!$A$1:$AS$1,),))))-(((VLOOKUP(EDATE(B250,-12),Database!$A:$AS,MATCH($J$1,Database!$A$1:$AS$1,),)))))/(((VLOOKUP(EDATE(B250,-12),Database!$A:$AS,MATCH($J$1,Database!$A$1:$AS$1,),))))</f>
        <v>-0.16295436734724561</v>
      </c>
      <c r="K250" s="13">
        <f>((((VLOOKUP(B250,Database!$A:$AS,MATCH($K$1,Database!$A$1:$AS$1,),))))-(((VLOOKUP(EDATE(B250,-12),Database!$A:$AS,MATCH($K$1,Database!$A$1:$AS$1,),)))))/(((VLOOKUP(EDATE(B250,-12),Database!$A:$AS,MATCH($K$1,Database!$A$1:$AS$1,),))))</f>
        <v>-0.11627906976782817</v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>-2.1584767412752282E-2</v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>-0.10786516853932578</v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>2.2271147506021525E-2</v>
      </c>
      <c r="O250" s="13">
        <f>((((VLOOKUP(B250,Database!$A:$AS,MATCH($O$1,Database!$A$1:$AS$1,),))))-(((VLOOKUP(EDATE(B250,-12),Database!$A:$AS,MATCH($O$1,Database!$A$1:$AS$1,),)))))/(((VLOOKUP(EDATE(B250,-12),Database!$A:$AS,MATCH($O$1,Database!$A$1:$AS$1,),))))</f>
        <v>-4.1370765465149513E-2</v>
      </c>
      <c r="P250" s="13">
        <f>((((VLOOKUP(B250,Database!$A:$AS,MATCH($P$1,Database!$A$1:$AS$1,),))))-(((VLOOKUP(EDATE(B250,-12),Database!$A:$AS,MATCH($P$1,Database!$A$1:$AS$1,),)))))/(((VLOOKUP(EDATE(B250,-12),Database!$A:$AS,MATCH($P$1,Database!$A$1:$AS$1,),))))</f>
        <v>-0.11992690075790957</v>
      </c>
      <c r="Q250" s="13">
        <f>((((VLOOKUP(B250,Database!$A:$AS,MATCH($Q$1,Database!$A$1:$AS$1,),))))-(((VLOOKUP(EDATE(B250,-12),Database!$A:$AS,MATCH($Q$1,Database!$A$1:$AS$1,),)))))/(((VLOOKUP(EDATE(B250,-12),Database!$A:$AS,MATCH($Q$1,Database!$A$1:$AS$1,),))))</f>
        <v>-4.1624365487307344E-2</v>
      </c>
      <c r="R250" s="13">
        <f>((((VLOOKUP(B250,Database!$A:$AS,MATCH($R$1,Database!$A$1:$AS$1,),))))-(((VLOOKUP(EDATE(B250,-12),Database!$A:$AS,MATCH($R$1,Database!$A$1:$AS$1,),)))))/(((VLOOKUP(EDATE(B250,-12),Database!$A:$AS,MATCH($R$1,Database!$A$1:$AS$1,),))))</f>
        <v>-9.3815149405429649E-2</v>
      </c>
      <c r="S250" s="13">
        <f>((((VLOOKUP(B250,Database!$A:$AS,MATCH($S$1,Database!$A$1:$AS$1,),))))-(((VLOOKUP(EDATE(B250,-12),Database!$A:$AS,MATCH($S$1,Database!$A$1:$AS$1,),)))))/(((VLOOKUP(EDATE(B250,-12),Database!$A:$AS,MATCH($S$1,Database!$A$1:$AS$1,),))))</f>
        <v>4.4169611255753145E-3</v>
      </c>
      <c r="T250" s="13">
        <f>((((VLOOKUP(B250,Database!$A:$AS,MATCH($T$1,Database!$A$1:$AS$1,),))))-(((VLOOKUP(EDATE(B250,-12),Database!$A:$AS,MATCH($T$1,Database!$A$1:$AS$1,),)))))/(((VLOOKUP(EDATE(B250,-12),Database!$A:$AS,MATCH($T$1,Database!$A$1:$AS$1,),))))</f>
        <v>-0.10014306151307484</v>
      </c>
      <c r="U250" s="13">
        <f>((((VLOOKUP(B250,Database!$A:$AS,MATCH($U$1,Database!$A$1:$AS$1,),))))-(((VLOOKUP(EDATE(B250,-12),Database!$A:$AS,MATCH($U$1,Database!$A$1:$AS$1,),)))))/(((VLOOKUP(EDATE(B250,-12),Database!$A:$AS,MATCH($U$1,Database!$A$1:$AS$1,),))))</f>
        <v>-0.11180773249893837</v>
      </c>
      <c r="V250" s="13">
        <f>((((VLOOKUP(B250,Database!$A:$AS,MATCH($V$1,Database!$A$1:$AS$1,),))))-(((VLOOKUP(EDATE(B250,-12),Database!$A:$AS,MATCH($V$1,Database!$A$1:$AS$1,),)))))/(((VLOOKUP(EDATE(B250,-12),Database!$A:$AS,MATCH($V$1,Database!$A$1:$AS$1,),))))</f>
        <v>-6.6838046272493609E-2</v>
      </c>
    </row>
    <row r="251" spans="1:22" s="83" customFormat="1" x14ac:dyDescent="0.2">
      <c r="A251" s="43"/>
      <c r="B251" s="78">
        <v>39783</v>
      </c>
      <c r="C251" s="13">
        <f>((((VLOOKUP(B251,Database!$A:$AS,MATCH($C$1,Database!$A$1:$AS$1,),))))-(((VLOOKUP(EDATE(B251,-12),Database!$A:$AS,MATCH($C$1,Database!$A$1:$AS$1,),)))))/(((VLOOKUP(EDATE(B251,-12),Database!$A:$AS,MATCH($C$1,Database!$A$1:$AS$1,),))))</f>
        <v>-0.11357467785532671</v>
      </c>
      <c r="D251" s="13">
        <f>((((VLOOKUP(B251,Database!$A:$AS,MATCH($D$1,Database!$A$1:$AS$1,),))))-(((VLOOKUP(EDATE(B251,-12),Database!$A:$AS,MATCH($D$1,Database!$A$1:$AS$1,),)))))/(((VLOOKUP(EDATE(B251,-12),Database!$A:$AS,MATCH($D$1,Database!$A$1:$AS$1,),))))</f>
        <v>-0.12523020257826883</v>
      </c>
      <c r="E251" s="13">
        <f>((((VLOOKUP(B251,Database!$A:$AS,MATCH($E$1,Database!$A$1:$AS$1,),))))-(((VLOOKUP(EDATE(B251,-12),Database!$A:$AS,MATCH($E$1,Database!$A$1:$AS$1,),)))))/(((VLOOKUP(EDATE(B251,-12),Database!$A:$AS,MATCH($E$1,Database!$A$1:$AS$1,),))))</f>
        <v>-0.2013297738539169</v>
      </c>
      <c r="F251" s="13">
        <f>((((VLOOKUP(B251,Database!$A:$AS,MATCH($F$1,Database!$A$1:$AS$1,),))))-(((VLOOKUP(EDATE(B251,-12),Database!$A:$AS,MATCH($F$1,Database!$A$1:$AS$1,),)))))/(((VLOOKUP(EDATE(B251,-12),Database!$A:$AS,MATCH($F$1,Database!$A$1:$AS$1,),))))</f>
        <v>-0.11947791164646537</v>
      </c>
      <c r="G251" s="13">
        <f>((((VLOOKUP(B251,Database!$A:$AS,MATCH($G$1,Database!$A$1:$AS$1,),))))-(((VLOOKUP(EDATE(B251,-12),Database!$A:$AS,MATCH($G$1,Database!$A$1:$AS$1,),)))))/(((VLOOKUP(EDATE(B251,-12),Database!$A:$AS,MATCH($G$1,Database!$A$1:$AS$1,),))))</f>
        <v>-0.11180456490727525</v>
      </c>
      <c r="H251" s="13">
        <f>((((VLOOKUP(B251,Database!$A:$AS,MATCH($H$1,Database!$A$1:$AS$1,),))))-(((VLOOKUP(EDATE(B251,-12),Database!$A:$AS,MATCH($H$1,Database!$A$1:$AS$1,),)))))/(((VLOOKUP(EDATE(B251,-12),Database!$A:$AS,MATCH($H$1,Database!$A$1:$AS$1,),))))</f>
        <v>-1.859504132179815E-2</v>
      </c>
      <c r="I251" s="13">
        <f>((((VLOOKUP(B251,Database!$A:$AS,MATCH($I$1,Database!$A$1:$AS$1,),))))-(((VLOOKUP(EDATE(B251,-12),Database!$A:$AS,MATCH($I$1,Database!$A$1:$AS$1,),)))))/(((VLOOKUP(EDATE(B251,-12),Database!$A:$AS,MATCH($I$1,Database!$A$1:$AS$1,),))))</f>
        <v>-0.14687500000112313</v>
      </c>
      <c r="J251" s="13">
        <f>((((VLOOKUP(B251,Database!$A:$AS,MATCH($J$1,Database!$A$1:$AS$1,),))))-(((VLOOKUP(EDATE(B251,-12),Database!$A:$AS,MATCH($J$1,Database!$A$1:$AS$1,),)))))/(((VLOOKUP(EDATE(B251,-12),Database!$A:$AS,MATCH($J$1,Database!$A$1:$AS$1,),))))</f>
        <v>-0.19947078873856497</v>
      </c>
      <c r="K251" s="13">
        <f>((((VLOOKUP(B251,Database!$A:$AS,MATCH($K$1,Database!$A$1:$AS$1,),))))-(((VLOOKUP(EDATE(B251,-12),Database!$A:$AS,MATCH($K$1,Database!$A$1:$AS$1,),)))))/(((VLOOKUP(EDATE(B251,-12),Database!$A:$AS,MATCH($K$1,Database!$A$1:$AS$1,),))))</f>
        <v>-0.17666666665975062</v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>-4.9113823288286174E-2</v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>-0.14269662921348317</v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>-2.0007951929557136E-2</v>
      </c>
      <c r="O251" s="13">
        <f>((((VLOOKUP(B251,Database!$A:$AS,MATCH($O$1,Database!$A$1:$AS$1,),))))-(((VLOOKUP(EDATE(B251,-12),Database!$A:$AS,MATCH($O$1,Database!$A$1:$AS$1,),)))))/(((VLOOKUP(EDATE(B251,-12),Database!$A:$AS,MATCH($O$1,Database!$A$1:$AS$1,),))))</f>
        <v>-5.46656631482779E-2</v>
      </c>
      <c r="P251" s="13">
        <f>((((VLOOKUP(B251,Database!$A:$AS,MATCH($P$1,Database!$A$1:$AS$1,),))))-(((VLOOKUP(EDATE(B251,-12),Database!$A:$AS,MATCH($P$1,Database!$A$1:$AS$1,),)))))/(((VLOOKUP(EDATE(B251,-12),Database!$A:$AS,MATCH($P$1,Database!$A$1:$AS$1,),))))</f>
        <v>-0.20952899941700515</v>
      </c>
      <c r="Q251" s="13">
        <f>((((VLOOKUP(B251,Database!$A:$AS,MATCH($Q$1,Database!$A$1:$AS$1,),))))-(((VLOOKUP(EDATE(B251,-12),Database!$A:$AS,MATCH($Q$1,Database!$A$1:$AS$1,),)))))/(((VLOOKUP(EDATE(B251,-12),Database!$A:$AS,MATCH($Q$1,Database!$A$1:$AS$1,),))))</f>
        <v>-0.15267947421503381</v>
      </c>
      <c r="R251" s="13">
        <f>((((VLOOKUP(B251,Database!$A:$AS,MATCH($R$1,Database!$A$1:$AS$1,),))))-(((VLOOKUP(EDATE(B251,-12),Database!$A:$AS,MATCH($R$1,Database!$A$1:$AS$1,),)))))/(((VLOOKUP(EDATE(B251,-12),Database!$A:$AS,MATCH($R$1,Database!$A$1:$AS$1,),))))</f>
        <v>-9.7629009762706206E-2</v>
      </c>
      <c r="S251" s="13">
        <f>((((VLOOKUP(B251,Database!$A:$AS,MATCH($S$1,Database!$A$1:$AS$1,),))))-(((VLOOKUP(EDATE(B251,-12),Database!$A:$AS,MATCH($S$1,Database!$A$1:$AS$1,),)))))/(((VLOOKUP(EDATE(B251,-12),Database!$A:$AS,MATCH($S$1,Database!$A$1:$AS$1,),))))</f>
        <v>-0.10563380282692729</v>
      </c>
      <c r="T251" s="13">
        <f>((((VLOOKUP(B251,Database!$A:$AS,MATCH($T$1,Database!$A$1:$AS$1,),))))-(((VLOOKUP(EDATE(B251,-12),Database!$A:$AS,MATCH($T$1,Database!$A$1:$AS$1,),)))))/(((VLOOKUP(EDATE(B251,-12),Database!$A:$AS,MATCH($T$1,Database!$A$1:$AS$1,),))))</f>
        <v>-0.14902506962956064</v>
      </c>
      <c r="U251" s="13">
        <f>((((VLOOKUP(B251,Database!$A:$AS,MATCH($U$1,Database!$A$1:$AS$1,),))))-(((VLOOKUP(EDATE(B251,-12),Database!$A:$AS,MATCH($U$1,Database!$A$1:$AS$1,),)))))/(((VLOOKUP(EDATE(B251,-12),Database!$A:$AS,MATCH($U$1,Database!$A$1:$AS$1,),))))</f>
        <v>-0.14917695473136694</v>
      </c>
      <c r="V251" s="13">
        <f>((((VLOOKUP(B251,Database!$A:$AS,MATCH($V$1,Database!$A$1:$AS$1,),))))-(((VLOOKUP(EDATE(B251,-12),Database!$A:$AS,MATCH($V$1,Database!$A$1:$AS$1,),)))))/(((VLOOKUP(EDATE(B251,-12),Database!$A:$AS,MATCH($V$1,Database!$A$1:$AS$1,),))))</f>
        <v>-9.3984962406015046E-2</v>
      </c>
    </row>
    <row r="252" spans="1:22" s="83" customFormat="1" x14ac:dyDescent="0.2">
      <c r="A252" s="43"/>
      <c r="B252" s="78">
        <v>39814</v>
      </c>
      <c r="C252" s="13">
        <f>((((VLOOKUP(B252,Database!$A:$AS,MATCH($C$1,Database!$A$1:$AS$1,),))))-(((VLOOKUP(EDATE(B252,-12),Database!$A:$AS,MATCH($C$1,Database!$A$1:$AS$1,),)))))/(((VLOOKUP(EDATE(B252,-12),Database!$A:$AS,MATCH($C$1,Database!$A$1:$AS$1,),))))</f>
        <v>-0.13421127735690186</v>
      </c>
      <c r="D252" s="13">
        <f>((((VLOOKUP(B252,Database!$A:$AS,MATCH($D$1,Database!$A$1:$AS$1,),))))-(((VLOOKUP(EDATE(B252,-12),Database!$A:$AS,MATCH($D$1,Database!$A$1:$AS$1,),)))))/(((VLOOKUP(EDATE(B252,-12),Database!$A:$AS,MATCH($D$1,Database!$A$1:$AS$1,),))))</f>
        <v>-0.16803652968036534</v>
      </c>
      <c r="E252" s="13">
        <f>((((VLOOKUP(B252,Database!$A:$AS,MATCH($E$1,Database!$A$1:$AS$1,),))))-(((VLOOKUP(EDATE(B252,-12),Database!$A:$AS,MATCH($E$1,Database!$A$1:$AS$1,),)))))/(((VLOOKUP(EDATE(B252,-12),Database!$A:$AS,MATCH($E$1,Database!$A$1:$AS$1,),))))</f>
        <v>-0.27045650300950347</v>
      </c>
      <c r="F252" s="13">
        <f>((((VLOOKUP(B252,Database!$A:$AS,MATCH($F$1,Database!$A$1:$AS$1,),))))-(((VLOOKUP(EDATE(B252,-12),Database!$A:$AS,MATCH($F$1,Database!$A$1:$AS$1,),)))))/(((VLOOKUP(EDATE(B252,-12),Database!$A:$AS,MATCH($F$1,Database!$A$1:$AS$1,),))))</f>
        <v>-0.20178041543373071</v>
      </c>
      <c r="G252" s="13">
        <f>((((VLOOKUP(B252,Database!$A:$AS,MATCH($G$1,Database!$A$1:$AS$1,),))))-(((VLOOKUP(EDATE(B252,-12),Database!$A:$AS,MATCH($G$1,Database!$A$1:$AS$1,),)))))/(((VLOOKUP(EDATE(B252,-12),Database!$A:$AS,MATCH($G$1,Database!$A$1:$AS$1,),))))</f>
        <v>-0.15241208694115568</v>
      </c>
      <c r="H252" s="13">
        <f>((((VLOOKUP(B252,Database!$A:$AS,MATCH($H$1,Database!$A$1:$AS$1,),))))-(((VLOOKUP(EDATE(B252,-12),Database!$A:$AS,MATCH($H$1,Database!$A$1:$AS$1,),)))))/(((VLOOKUP(EDATE(B252,-12),Database!$A:$AS,MATCH($H$1,Database!$A$1:$AS$1,),))))</f>
        <v>-3.589743589875638E-2</v>
      </c>
      <c r="I252" s="13">
        <f>((((VLOOKUP(B252,Database!$A:$AS,MATCH($I$1,Database!$A$1:$AS$1,),))))-(((VLOOKUP(EDATE(B252,-12),Database!$A:$AS,MATCH($I$1,Database!$A$1:$AS$1,),)))))/(((VLOOKUP(EDATE(B252,-12),Database!$A:$AS,MATCH($I$1,Database!$A$1:$AS$1,),))))</f>
        <v>-0.19663351186066569</v>
      </c>
      <c r="J252" s="13">
        <f>((((VLOOKUP(B252,Database!$A:$AS,MATCH($J$1,Database!$A$1:$AS$1,),))))-(((VLOOKUP(EDATE(B252,-12),Database!$A:$AS,MATCH($J$1,Database!$A$1:$AS$1,),)))))/(((VLOOKUP(EDATE(B252,-12),Database!$A:$AS,MATCH($J$1,Database!$A$1:$AS$1,),))))</f>
        <v>-0.2086526832812621</v>
      </c>
      <c r="K252" s="13">
        <f>((((VLOOKUP(B252,Database!$A:$AS,MATCH($K$1,Database!$A$1:$AS$1,),))))-(((VLOOKUP(EDATE(B252,-12),Database!$A:$AS,MATCH($K$1,Database!$A$1:$AS$1,),)))))/(((VLOOKUP(EDATE(B252,-12),Database!$A:$AS,MATCH($K$1,Database!$A$1:$AS$1,),))))</f>
        <v>-0.20678246484672794</v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>-7.5446521197837041E-2</v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>-0.1719260065288358</v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>-4.8976245475547832E-2</v>
      </c>
      <c r="O252" s="13">
        <f>((((VLOOKUP(B252,Database!$A:$AS,MATCH($O$1,Database!$A$1:$AS$1,),))))-(((VLOOKUP(EDATE(B252,-12),Database!$A:$AS,MATCH($O$1,Database!$A$1:$AS$1,),)))))/(((VLOOKUP(EDATE(B252,-12),Database!$A:$AS,MATCH($O$1,Database!$A$1:$AS$1,),))))</f>
        <v>-7.0604734656737084E-2</v>
      </c>
      <c r="P252" s="13">
        <f>((((VLOOKUP(B252,Database!$A:$AS,MATCH($P$1,Database!$A$1:$AS$1,),))))-(((VLOOKUP(EDATE(B252,-12),Database!$A:$AS,MATCH($P$1,Database!$A$1:$AS$1,),)))))/(((VLOOKUP(EDATE(B252,-12),Database!$A:$AS,MATCH($P$1,Database!$A$1:$AS$1,),))))</f>
        <v>-0.20695906076157464</v>
      </c>
      <c r="Q252" s="13">
        <f>((((VLOOKUP(B252,Database!$A:$AS,MATCH($Q$1,Database!$A$1:$AS$1,),))))-(((VLOOKUP(EDATE(B252,-12),Database!$A:$AS,MATCH($Q$1,Database!$A$1:$AS$1,),)))))/(((VLOOKUP(EDATE(B252,-12),Database!$A:$AS,MATCH($Q$1,Database!$A$1:$AS$1,),))))</f>
        <v>-0.14811133201103047</v>
      </c>
      <c r="R252" s="13">
        <f>((((VLOOKUP(B252,Database!$A:$AS,MATCH($R$1,Database!$A$1:$AS$1,),))))-(((VLOOKUP(EDATE(B252,-12),Database!$A:$AS,MATCH($R$1,Database!$A$1:$AS$1,),)))))/(((VLOOKUP(EDATE(B252,-12),Database!$A:$AS,MATCH($R$1,Database!$A$1:$AS$1,),))))</f>
        <v>-0.16305818673334582</v>
      </c>
      <c r="S252" s="13">
        <f>((((VLOOKUP(B252,Database!$A:$AS,MATCH($S$1,Database!$A$1:$AS$1,),))))-(((VLOOKUP(EDATE(B252,-12),Database!$A:$AS,MATCH($S$1,Database!$A$1:$AS$1,),)))))/(((VLOOKUP(EDATE(B252,-12),Database!$A:$AS,MATCH($S$1,Database!$A$1:$AS$1,),))))</f>
        <v>-9.3720712326392872E-3</v>
      </c>
      <c r="T252" s="13">
        <f>((((VLOOKUP(B252,Database!$A:$AS,MATCH($T$1,Database!$A$1:$AS$1,),))))-(((VLOOKUP(EDATE(B252,-12),Database!$A:$AS,MATCH($T$1,Database!$A$1:$AS$1,),)))))/(((VLOOKUP(EDATE(B252,-12),Database!$A:$AS,MATCH($T$1,Database!$A$1:$AS$1,),))))</f>
        <v>-0.19491525423872455</v>
      </c>
      <c r="U252" s="13">
        <f>((((VLOOKUP(B252,Database!$A:$AS,MATCH($U$1,Database!$A$1:$AS$1,),))))-(((VLOOKUP(EDATE(B252,-12),Database!$A:$AS,MATCH($U$1,Database!$A$1:$AS$1,),)))))/(((VLOOKUP(EDATE(B252,-12),Database!$A:$AS,MATCH($U$1,Database!$A$1:$AS$1,),))))</f>
        <v>-0.1944444444444445</v>
      </c>
      <c r="V252" s="13">
        <f>((((VLOOKUP(B252,Database!$A:$AS,MATCH($V$1,Database!$A$1:$AS$1,),))))-(((VLOOKUP(EDATE(B252,-12),Database!$A:$AS,MATCH($V$1,Database!$A$1:$AS$1,),)))))/(((VLOOKUP(EDATE(B252,-12),Database!$A:$AS,MATCH($V$1,Database!$A$1:$AS$1,),))))</f>
        <v>-0.13365735115431349</v>
      </c>
    </row>
    <row r="253" spans="1:22" s="83" customFormat="1" x14ac:dyDescent="0.2">
      <c r="A253" s="43"/>
      <c r="B253" s="78">
        <v>39845</v>
      </c>
      <c r="C253" s="13">
        <f>((((VLOOKUP(B253,Database!$A:$AS,MATCH($C$1,Database!$A$1:$AS$1,),))))-(((VLOOKUP(EDATE(B253,-12),Database!$A:$AS,MATCH($C$1,Database!$A$1:$AS$1,),)))))/(((VLOOKUP(EDATE(B253,-12),Database!$A:$AS,MATCH($C$1,Database!$A$1:$AS$1,),))))</f>
        <v>-0.13666586880257481</v>
      </c>
      <c r="D253" s="13">
        <f>((((VLOOKUP(B253,Database!$A:$AS,MATCH($D$1,Database!$A$1:$AS$1,),))))-(((VLOOKUP(EDATE(B253,-12),Database!$A:$AS,MATCH($D$1,Database!$A$1:$AS$1,),)))))/(((VLOOKUP(EDATE(B253,-12),Database!$A:$AS,MATCH($D$1,Database!$A$1:$AS$1,),))))</f>
        <v>-0.18481244281793233</v>
      </c>
      <c r="E253" s="13">
        <f>((((VLOOKUP(B253,Database!$A:$AS,MATCH($E$1,Database!$A$1:$AS$1,),))))-(((VLOOKUP(EDATE(B253,-12),Database!$A:$AS,MATCH($E$1,Database!$A$1:$AS$1,),)))))/(((VLOOKUP(EDATE(B253,-12),Database!$A:$AS,MATCH($E$1,Database!$A$1:$AS$1,),))))</f>
        <v>-0.33333333333612331</v>
      </c>
      <c r="F253" s="13">
        <f>((((VLOOKUP(B253,Database!$A:$AS,MATCH($F$1,Database!$A$1:$AS$1,),))))-(((VLOOKUP(EDATE(B253,-12),Database!$A:$AS,MATCH($F$1,Database!$A$1:$AS$1,),)))))/(((VLOOKUP(EDATE(B253,-12),Database!$A:$AS,MATCH($F$1,Database!$A$1:$AS$1,),))))</f>
        <v>-0.22420634921020757</v>
      </c>
      <c r="G253" s="13">
        <f>((((VLOOKUP(B253,Database!$A:$AS,MATCH($G$1,Database!$A$1:$AS$1,),))))-(((VLOOKUP(EDATE(B253,-12),Database!$A:$AS,MATCH($G$1,Database!$A$1:$AS$1,),)))))/(((VLOOKUP(EDATE(B253,-12),Database!$A:$AS,MATCH($G$1,Database!$A$1:$AS$1,),))))</f>
        <v>-0.17157120336311091</v>
      </c>
      <c r="H253" s="13">
        <f>((((VLOOKUP(B253,Database!$A:$AS,MATCH($H$1,Database!$A$1:$AS$1,),))))-(((VLOOKUP(EDATE(B253,-12),Database!$A:$AS,MATCH($H$1,Database!$A$1:$AS$1,),)))))/(((VLOOKUP(EDATE(B253,-12),Database!$A:$AS,MATCH($H$1,Database!$A$1:$AS$1,),))))</f>
        <v>-5.7985757885779886E-2</v>
      </c>
      <c r="I253" s="13">
        <f>((((VLOOKUP(B253,Database!$A:$AS,MATCH($I$1,Database!$A$1:$AS$1,),))))-(((VLOOKUP(EDATE(B253,-12),Database!$A:$AS,MATCH($I$1,Database!$A$1:$AS$1,),)))))/(((VLOOKUP(EDATE(B253,-12),Database!$A:$AS,MATCH($I$1,Database!$A$1:$AS$1,),))))</f>
        <v>-0.21973785659339007</v>
      </c>
      <c r="J253" s="13">
        <f>((((VLOOKUP(B253,Database!$A:$AS,MATCH($J$1,Database!$A$1:$AS$1,),))))-(((VLOOKUP(EDATE(B253,-12),Database!$A:$AS,MATCH($J$1,Database!$A$1:$AS$1,),)))))/(((VLOOKUP(EDATE(B253,-12),Database!$A:$AS,MATCH($J$1,Database!$A$1:$AS$1,),))))</f>
        <v>-0.20574840072436973</v>
      </c>
      <c r="K253" s="13">
        <f>((((VLOOKUP(B253,Database!$A:$AS,MATCH($K$1,Database!$A$1:$AS$1,),))))-(((VLOOKUP(EDATE(B253,-12),Database!$A:$AS,MATCH($K$1,Database!$A$1:$AS$1,),)))))/(((VLOOKUP(EDATE(B253,-12),Database!$A:$AS,MATCH($K$1,Database!$A$1:$AS$1,),))))</f>
        <v>-0.18558409279776378</v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>-7.583349435187027E-2</v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>-0.14460511679644047</v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>-3.8100612944747543E-2</v>
      </c>
      <c r="O253" s="13">
        <f>((((VLOOKUP(B253,Database!$A:$AS,MATCH($O$1,Database!$A$1:$AS$1,),))))-(((VLOOKUP(EDATE(B253,-12),Database!$A:$AS,MATCH($O$1,Database!$A$1:$AS$1,),)))))/(((VLOOKUP(EDATE(B253,-12),Database!$A:$AS,MATCH($O$1,Database!$A$1:$AS$1,),))))</f>
        <v>-8.3376973240169155E-2</v>
      </c>
      <c r="P253" s="13">
        <f>((((VLOOKUP(B253,Database!$A:$AS,MATCH($P$1,Database!$A$1:$AS$1,),))))-(((VLOOKUP(EDATE(B253,-12),Database!$A:$AS,MATCH($P$1,Database!$A$1:$AS$1,),)))))/(((VLOOKUP(EDATE(B253,-12),Database!$A:$AS,MATCH($P$1,Database!$A$1:$AS$1,),))))</f>
        <v>-0.1446419059572224</v>
      </c>
      <c r="Q253" s="13">
        <f>((((VLOOKUP(B253,Database!$A:$AS,MATCH($Q$1,Database!$A$1:$AS$1,),))))-(((VLOOKUP(EDATE(B253,-12),Database!$A:$AS,MATCH($Q$1,Database!$A$1:$AS$1,),)))))/(((VLOOKUP(EDATE(B253,-12),Database!$A:$AS,MATCH($Q$1,Database!$A$1:$AS$1,),))))</f>
        <v>-0.12574850299488041</v>
      </c>
      <c r="R253" s="13">
        <f>((((VLOOKUP(B253,Database!$A:$AS,MATCH($R$1,Database!$A$1:$AS$1,),))))-(((VLOOKUP(EDATE(B253,-12),Database!$A:$AS,MATCH($R$1,Database!$A$1:$AS$1,),)))))/(((VLOOKUP(EDATE(B253,-12),Database!$A:$AS,MATCH($R$1,Database!$A$1:$AS$1,),))))</f>
        <v>-7.1120689652971178E-2</v>
      </c>
      <c r="S253" s="13">
        <f>((((VLOOKUP(B253,Database!$A:$AS,MATCH($S$1,Database!$A$1:$AS$1,),))))-(((VLOOKUP(EDATE(B253,-12),Database!$A:$AS,MATCH($S$1,Database!$A$1:$AS$1,),)))))/(((VLOOKUP(EDATE(B253,-12),Database!$A:$AS,MATCH($S$1,Database!$A$1:$AS$1,),))))</f>
        <v>-2.6143790841345667E-2</v>
      </c>
      <c r="T253" s="13">
        <f>((((VLOOKUP(B253,Database!$A:$AS,MATCH($T$1,Database!$A$1:$AS$1,),))))-(((VLOOKUP(EDATE(B253,-12),Database!$A:$AS,MATCH($T$1,Database!$A$1:$AS$1,),)))))/(((VLOOKUP(EDATE(B253,-12),Database!$A:$AS,MATCH($T$1,Database!$A$1:$AS$1,),))))</f>
        <v>-0.19390581717992533</v>
      </c>
      <c r="U253" s="13">
        <f>((((VLOOKUP(B253,Database!$A:$AS,MATCH($U$1,Database!$A$1:$AS$1,),))))-(((VLOOKUP(EDATE(B253,-12),Database!$A:$AS,MATCH($U$1,Database!$A$1:$AS$1,),)))))/(((VLOOKUP(EDATE(B253,-12),Database!$A:$AS,MATCH($U$1,Database!$A$1:$AS$1,),))))</f>
        <v>-0.20121951219580367</v>
      </c>
      <c r="V253" s="13">
        <f>((((VLOOKUP(B253,Database!$A:$AS,MATCH($V$1,Database!$A$1:$AS$1,),))))-(((VLOOKUP(EDATE(B253,-12),Database!$A:$AS,MATCH($V$1,Database!$A$1:$AS$1,),)))))/(((VLOOKUP(EDATE(B253,-12),Database!$A:$AS,MATCH($V$1,Database!$A$1:$AS$1,),))))</f>
        <v>-0.11233211233211236</v>
      </c>
    </row>
    <row r="254" spans="1:22" s="83" customFormat="1" x14ac:dyDescent="0.2">
      <c r="A254" s="43"/>
      <c r="B254" s="78">
        <v>39873</v>
      </c>
      <c r="C254" s="13">
        <f>((((VLOOKUP(B254,Database!$A:$AS,MATCH($C$1,Database!$A$1:$AS$1,),))))-(((VLOOKUP(EDATE(B254,-12),Database!$A:$AS,MATCH($C$1,Database!$A$1:$AS$1,),)))))/(((VLOOKUP(EDATE(B254,-12),Database!$A:$AS,MATCH($C$1,Database!$A$1:$AS$1,),))))</f>
        <v>-0.14751295397540418</v>
      </c>
      <c r="D254" s="13">
        <f>((((VLOOKUP(B254,Database!$A:$AS,MATCH($D$1,Database!$A$1:$AS$1,),))))-(((VLOOKUP(EDATE(B254,-12),Database!$A:$AS,MATCH($D$1,Database!$A$1:$AS$1,),)))))/(((VLOOKUP(EDATE(B254,-12),Database!$A:$AS,MATCH($D$1,Database!$A$1:$AS$1,),))))</f>
        <v>-0.19209558823529405</v>
      </c>
      <c r="E254" s="13">
        <f>((((VLOOKUP(B254,Database!$A:$AS,MATCH($E$1,Database!$A$1:$AS$1,),))))-(((VLOOKUP(EDATE(B254,-12),Database!$A:$AS,MATCH($E$1,Database!$A$1:$AS$1,),)))))/(((VLOOKUP(EDATE(B254,-12),Database!$A:$AS,MATCH($E$1,Database!$A$1:$AS$1,),))))</f>
        <v>-0.32031250000165179</v>
      </c>
      <c r="F254" s="13">
        <f>((((VLOOKUP(B254,Database!$A:$AS,MATCH($F$1,Database!$A$1:$AS$1,),))))-(((VLOOKUP(EDATE(B254,-12),Database!$A:$AS,MATCH($F$1,Database!$A$1:$AS$1,),)))))/(((VLOOKUP(EDATE(B254,-12),Database!$A:$AS,MATCH($F$1,Database!$A$1:$AS$1,),))))</f>
        <v>-0.2157842157852338</v>
      </c>
      <c r="G254" s="13">
        <f>((((VLOOKUP(B254,Database!$A:$AS,MATCH($G$1,Database!$A$1:$AS$1,),))))-(((VLOOKUP(EDATE(B254,-12),Database!$A:$AS,MATCH($G$1,Database!$A$1:$AS$1,),)))))/(((VLOOKUP(EDATE(B254,-12),Database!$A:$AS,MATCH($G$1,Database!$A$1:$AS$1,),))))</f>
        <v>-0.17729930887825629</v>
      </c>
      <c r="H254" s="13">
        <f>((((VLOOKUP(B254,Database!$A:$AS,MATCH($H$1,Database!$A$1:$AS$1,),))))-(((VLOOKUP(EDATE(B254,-12),Database!$A:$AS,MATCH($H$1,Database!$A$1:$AS$1,),)))))/(((VLOOKUP(EDATE(B254,-12),Database!$A:$AS,MATCH($H$1,Database!$A$1:$AS$1,),))))</f>
        <v>-4.855371901225361E-2</v>
      </c>
      <c r="I254" s="13">
        <f>((((VLOOKUP(B254,Database!$A:$AS,MATCH($I$1,Database!$A$1:$AS$1,),))))-(((VLOOKUP(EDATE(B254,-12),Database!$A:$AS,MATCH($I$1,Database!$A$1:$AS$1,),)))))/(((VLOOKUP(EDATE(B254,-12),Database!$A:$AS,MATCH($I$1,Database!$A$1:$AS$1,),))))</f>
        <v>-0.25460122699450016</v>
      </c>
      <c r="J254" s="13">
        <f>((((VLOOKUP(B254,Database!$A:$AS,MATCH($J$1,Database!$A$1:$AS$1,),))))-(((VLOOKUP(EDATE(B254,-12),Database!$A:$AS,MATCH($J$1,Database!$A$1:$AS$1,),)))))/(((VLOOKUP(EDATE(B254,-12),Database!$A:$AS,MATCH($J$1,Database!$A$1:$AS$1,),))))</f>
        <v>-0.21471332563314385</v>
      </c>
      <c r="K254" s="13">
        <f>((((VLOOKUP(B254,Database!$A:$AS,MATCH($K$1,Database!$A$1:$AS$1,),))))-(((VLOOKUP(EDATE(B254,-12),Database!$A:$AS,MATCH($K$1,Database!$A$1:$AS$1,),)))))/(((VLOOKUP(EDATE(B254,-12),Database!$A:$AS,MATCH($K$1,Database!$A$1:$AS$1,),))))</f>
        <v>-0.2117154811716602</v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>-7.8171973540845444E-2</v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>-0.14682981090100114</v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>-5.6139330388864019E-2</v>
      </c>
      <c r="O254" s="13">
        <f>((((VLOOKUP(B254,Database!$A:$AS,MATCH($O$1,Database!$A$1:$AS$1,),))))-(((VLOOKUP(EDATE(B254,-12),Database!$A:$AS,MATCH($O$1,Database!$A$1:$AS$1,),)))))/(((VLOOKUP(EDATE(B254,-12),Database!$A:$AS,MATCH($O$1,Database!$A$1:$AS$1,),))))</f>
        <v>-9.3758213067122093E-2</v>
      </c>
      <c r="P254" s="13">
        <f>((((VLOOKUP(B254,Database!$A:$AS,MATCH($P$1,Database!$A$1:$AS$1,),))))-(((VLOOKUP(EDATE(B254,-12),Database!$A:$AS,MATCH($P$1,Database!$A$1:$AS$1,),)))))/(((VLOOKUP(EDATE(B254,-12),Database!$A:$AS,MATCH($P$1,Database!$A$1:$AS$1,),))))</f>
        <v>-0.11486893098735866</v>
      </c>
      <c r="Q254" s="13">
        <f>((((VLOOKUP(B254,Database!$A:$AS,MATCH($Q$1,Database!$A$1:$AS$1,),))))-(((VLOOKUP(EDATE(B254,-12),Database!$A:$AS,MATCH($Q$1,Database!$A$1:$AS$1,),)))))/(((VLOOKUP(EDATE(B254,-12),Database!$A:$AS,MATCH($Q$1,Database!$A$1:$AS$1,),))))</f>
        <v>-0.12437810945502936</v>
      </c>
      <c r="R254" s="13">
        <f>((((VLOOKUP(B254,Database!$A:$AS,MATCH($R$1,Database!$A$1:$AS$1,),))))-(((VLOOKUP(EDATE(B254,-12),Database!$A:$AS,MATCH($R$1,Database!$A$1:$AS$1,),)))))/(((VLOOKUP(EDATE(B254,-12),Database!$A:$AS,MATCH($R$1,Database!$A$1:$AS$1,),))))</f>
        <v>-8.5463842217554209E-2</v>
      </c>
      <c r="S254" s="13">
        <f>((((VLOOKUP(B254,Database!$A:$AS,MATCH($S$1,Database!$A$1:$AS$1,),))))-(((VLOOKUP(EDATE(B254,-12),Database!$A:$AS,MATCH($S$1,Database!$A$1:$AS$1,),)))))/(((VLOOKUP(EDATE(B254,-12),Database!$A:$AS,MATCH($S$1,Database!$A$1:$AS$1,),))))</f>
        <v>4.6992481306877077E-3</v>
      </c>
      <c r="T254" s="13">
        <f>((((VLOOKUP(B254,Database!$A:$AS,MATCH($T$1,Database!$A$1:$AS$1,),))))-(((VLOOKUP(EDATE(B254,-12),Database!$A:$AS,MATCH($T$1,Database!$A$1:$AS$1,),)))))/(((VLOOKUP(EDATE(B254,-12),Database!$A:$AS,MATCH($T$1,Database!$A$1:$AS$1,),))))</f>
        <v>-0.20221606648506399</v>
      </c>
      <c r="U254" s="13">
        <f>((((VLOOKUP(B254,Database!$A:$AS,MATCH($U$1,Database!$A$1:$AS$1,),))))-(((VLOOKUP(EDATE(B254,-12),Database!$A:$AS,MATCH($U$1,Database!$A$1:$AS$1,),)))))/(((VLOOKUP(EDATE(B254,-12),Database!$A:$AS,MATCH($U$1,Database!$A$1:$AS$1,),))))</f>
        <v>-0.15522703273179631</v>
      </c>
      <c r="V254" s="13">
        <f>((((VLOOKUP(B254,Database!$A:$AS,MATCH($V$1,Database!$A$1:$AS$1,),))))-(((VLOOKUP(EDATE(B254,-12),Database!$A:$AS,MATCH($V$1,Database!$A$1:$AS$1,),)))))/(((VLOOKUP(EDATE(B254,-12),Database!$A:$AS,MATCH($V$1,Database!$A$1:$AS$1,),))))</f>
        <v>-6.5244667503136802E-2</v>
      </c>
    </row>
    <row r="255" spans="1:22" s="83" customFormat="1" x14ac:dyDescent="0.2">
      <c r="A255" s="43"/>
      <c r="B255" s="78">
        <v>39904</v>
      </c>
      <c r="C255" s="13">
        <f>((((VLOOKUP(B255,Database!$A:$AS,MATCH($C$1,Database!$A$1:$AS$1,),))))-(((VLOOKUP(EDATE(B255,-12),Database!$A:$AS,MATCH($C$1,Database!$A$1:$AS$1,),)))))/(((VLOOKUP(EDATE(B255,-12),Database!$A:$AS,MATCH($C$1,Database!$A$1:$AS$1,),))))</f>
        <v>-0.14834238101899663</v>
      </c>
      <c r="D255" s="13">
        <f>((((VLOOKUP(B255,Database!$A:$AS,MATCH($D$1,Database!$A$1:$AS$1,),))))-(((VLOOKUP(EDATE(B255,-12),Database!$A:$AS,MATCH($D$1,Database!$A$1:$AS$1,),)))))/(((VLOOKUP(EDATE(B255,-12),Database!$A:$AS,MATCH($D$1,Database!$A$1:$AS$1,),))))</f>
        <v>-0.21344232515894643</v>
      </c>
      <c r="E255" s="13">
        <f>((((VLOOKUP(B255,Database!$A:$AS,MATCH($E$1,Database!$A$1:$AS$1,),))))-(((VLOOKUP(EDATE(B255,-12),Database!$A:$AS,MATCH($E$1,Database!$A$1:$AS$1,),)))))/(((VLOOKUP(EDATE(B255,-12),Database!$A:$AS,MATCH($E$1,Database!$A$1:$AS$1,),))))</f>
        <v>-0.28770706190021772</v>
      </c>
      <c r="F255" s="13">
        <f>((((VLOOKUP(B255,Database!$A:$AS,MATCH($F$1,Database!$A$1:$AS$1,),))))-(((VLOOKUP(EDATE(B255,-12),Database!$A:$AS,MATCH($F$1,Database!$A$1:$AS$1,),)))))/(((VLOOKUP(EDATE(B255,-12),Database!$A:$AS,MATCH($F$1,Database!$A$1:$AS$1,),))))</f>
        <v>-0.2402791625126515</v>
      </c>
      <c r="G255" s="13">
        <f>((((VLOOKUP(B255,Database!$A:$AS,MATCH($G$1,Database!$A$1:$AS$1,),))))-(((VLOOKUP(EDATE(B255,-12),Database!$A:$AS,MATCH($G$1,Database!$A$1:$AS$1,),)))))/(((VLOOKUP(EDATE(B255,-12),Database!$A:$AS,MATCH($G$1,Database!$A$1:$AS$1,),))))</f>
        <v>-0.19498655564229336</v>
      </c>
      <c r="H255" s="13">
        <f>((((VLOOKUP(B255,Database!$A:$AS,MATCH($H$1,Database!$A$1:$AS$1,),))))-(((VLOOKUP(EDATE(B255,-12),Database!$A:$AS,MATCH($H$1,Database!$A$1:$AS$1,),)))))/(((VLOOKUP(EDATE(B255,-12),Database!$A:$AS,MATCH($H$1,Database!$A$1:$AS$1,),))))</f>
        <v>-4.6201232031727123E-2</v>
      </c>
      <c r="I255" s="13">
        <f>((((VLOOKUP(B255,Database!$A:$AS,MATCH($I$1,Database!$A$1:$AS$1,),))))-(((VLOOKUP(EDATE(B255,-12),Database!$A:$AS,MATCH($I$1,Database!$A$1:$AS$1,),)))))/(((VLOOKUP(EDATE(B255,-12),Database!$A:$AS,MATCH($I$1,Database!$A$1:$AS$1,),))))</f>
        <v>-0.25816249050960266</v>
      </c>
      <c r="J255" s="13">
        <f>((((VLOOKUP(B255,Database!$A:$AS,MATCH($J$1,Database!$A$1:$AS$1,),))))-(((VLOOKUP(EDATE(B255,-12),Database!$A:$AS,MATCH($J$1,Database!$A$1:$AS$1,),)))))/(((VLOOKUP(EDATE(B255,-12),Database!$A:$AS,MATCH($J$1,Database!$A$1:$AS$1,),))))</f>
        <v>-0.21884767973266087</v>
      </c>
      <c r="K255" s="13">
        <f>((((VLOOKUP(B255,Database!$A:$AS,MATCH($K$1,Database!$A$1:$AS$1,),))))-(((VLOOKUP(EDATE(B255,-12),Database!$A:$AS,MATCH($K$1,Database!$A$1:$AS$1,),)))))/(((VLOOKUP(EDATE(B255,-12),Database!$A:$AS,MATCH($K$1,Database!$A$1:$AS$1,),))))</f>
        <v>-0.20941968040445033</v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>-7.1794541445920124E-2</v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>-0.14745011086474497</v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>-2.359633136529965E-2</v>
      </c>
      <c r="O255" s="13">
        <f>((((VLOOKUP(B255,Database!$A:$AS,MATCH($O$1,Database!$A$1:$AS$1,),))))-(((VLOOKUP(EDATE(B255,-12),Database!$A:$AS,MATCH($O$1,Database!$A$1:$AS$1,),)))))/(((VLOOKUP(EDATE(B255,-12),Database!$A:$AS,MATCH($O$1,Database!$A$1:$AS$1,),))))</f>
        <v>-0.12014977126016939</v>
      </c>
      <c r="P255" s="13">
        <f>((((VLOOKUP(B255,Database!$A:$AS,MATCH($P$1,Database!$A$1:$AS$1,),))))-(((VLOOKUP(EDATE(B255,-12),Database!$A:$AS,MATCH($P$1,Database!$A$1:$AS$1,),)))))/(((VLOOKUP(EDATE(B255,-12),Database!$A:$AS,MATCH($P$1,Database!$A$1:$AS$1,),))))</f>
        <v>-8.8969841747135042E-2</v>
      </c>
      <c r="Q255" s="13">
        <f>((((VLOOKUP(B255,Database!$A:$AS,MATCH($Q$1,Database!$A$1:$AS$1,),))))-(((VLOOKUP(EDATE(B255,-12),Database!$A:$AS,MATCH($Q$1,Database!$A$1:$AS$1,),)))))/(((VLOOKUP(EDATE(B255,-12),Database!$A:$AS,MATCH($Q$1,Database!$A$1:$AS$1,),))))</f>
        <v>-0.1125498008031649</v>
      </c>
      <c r="R255" s="13">
        <f>((((VLOOKUP(B255,Database!$A:$AS,MATCH($R$1,Database!$A$1:$AS$1,),))))-(((VLOOKUP(EDATE(B255,-12),Database!$A:$AS,MATCH($R$1,Database!$A$1:$AS$1,),)))))/(((VLOOKUP(EDATE(B255,-12),Database!$A:$AS,MATCH($R$1,Database!$A$1:$AS$1,),))))</f>
        <v>-0.14473684210681395</v>
      </c>
      <c r="S255" s="13">
        <f>((((VLOOKUP(B255,Database!$A:$AS,MATCH($S$1,Database!$A$1:$AS$1,),))))-(((VLOOKUP(EDATE(B255,-12),Database!$A:$AS,MATCH($S$1,Database!$A$1:$AS$1,),)))))/(((VLOOKUP(EDATE(B255,-12),Database!$A:$AS,MATCH($S$1,Database!$A$1:$AS$1,),))))</f>
        <v>3.4179687492866533E-2</v>
      </c>
      <c r="T255" s="13">
        <f>((((VLOOKUP(B255,Database!$A:$AS,MATCH($T$1,Database!$A$1:$AS$1,),))))-(((VLOOKUP(EDATE(B255,-12),Database!$A:$AS,MATCH($T$1,Database!$A$1:$AS$1,),)))))/(((VLOOKUP(EDATE(B255,-12),Database!$A:$AS,MATCH($T$1,Database!$A$1:$AS$1,),))))</f>
        <v>-0.17952314165305111</v>
      </c>
      <c r="U255" s="13">
        <f>((((VLOOKUP(B255,Database!$A:$AS,MATCH($U$1,Database!$A$1:$AS$1,),))))-(((VLOOKUP(EDATE(B255,-12),Database!$A:$AS,MATCH($U$1,Database!$A$1:$AS$1,),)))))/(((VLOOKUP(EDATE(B255,-12),Database!$A:$AS,MATCH($U$1,Database!$A$1:$AS$1,),))))</f>
        <v>-0.18924508789814612</v>
      </c>
      <c r="V255" s="13">
        <f>((((VLOOKUP(B255,Database!$A:$AS,MATCH($V$1,Database!$A$1:$AS$1,),))))-(((VLOOKUP(EDATE(B255,-12),Database!$A:$AS,MATCH($V$1,Database!$A$1:$AS$1,),)))))/(((VLOOKUP(EDATE(B255,-12),Database!$A:$AS,MATCH($V$1,Database!$A$1:$AS$1,),))))</f>
        <v>-0.10171568627450978</v>
      </c>
    </row>
    <row r="256" spans="1:22" s="83" customFormat="1" x14ac:dyDescent="0.2">
      <c r="A256" s="43"/>
      <c r="B256" s="78">
        <v>39934</v>
      </c>
      <c r="C256" s="13">
        <f>((((VLOOKUP(B256,Database!$A:$AS,MATCH($C$1,Database!$A$1:$AS$1,),))))-(((VLOOKUP(EDATE(B256,-12),Database!$A:$AS,MATCH($C$1,Database!$A$1:$AS$1,),)))))/(((VLOOKUP(EDATE(B256,-12),Database!$A:$AS,MATCH($C$1,Database!$A$1:$AS$1,),))))</f>
        <v>-0.15197099313352086</v>
      </c>
      <c r="D256" s="13">
        <f>((((VLOOKUP(B256,Database!$A:$AS,MATCH($D$1,Database!$A$1:$AS$1,),))))-(((VLOOKUP(EDATE(B256,-12),Database!$A:$AS,MATCH($D$1,Database!$A$1:$AS$1,),)))))/(((VLOOKUP(EDATE(B256,-12),Database!$A:$AS,MATCH($D$1,Database!$A$1:$AS$1,),))))</f>
        <v>-0.17025257249766138</v>
      </c>
      <c r="E256" s="13">
        <f>((((VLOOKUP(B256,Database!$A:$AS,MATCH($E$1,Database!$A$1:$AS$1,),))))-(((VLOOKUP(EDATE(B256,-12),Database!$A:$AS,MATCH($E$1,Database!$A$1:$AS$1,),)))))/(((VLOOKUP(EDATE(B256,-12),Database!$A:$AS,MATCH($E$1,Database!$A$1:$AS$1,),))))</f>
        <v>-0.26539462272224579</v>
      </c>
      <c r="F256" s="13">
        <f>((((VLOOKUP(B256,Database!$A:$AS,MATCH($F$1,Database!$A$1:$AS$1,),))))-(((VLOOKUP(EDATE(B256,-12),Database!$A:$AS,MATCH($F$1,Database!$A$1:$AS$1,),)))))/(((VLOOKUP(EDATE(B256,-12),Database!$A:$AS,MATCH($F$1,Database!$A$1:$AS$1,),))))</f>
        <v>-0.18921668361981753</v>
      </c>
      <c r="G256" s="13">
        <f>((((VLOOKUP(B256,Database!$A:$AS,MATCH($G$1,Database!$A$1:$AS$1,),))))-(((VLOOKUP(EDATE(B256,-12),Database!$A:$AS,MATCH($G$1,Database!$A$1:$AS$1,),)))))/(((VLOOKUP(EDATE(B256,-12),Database!$A:$AS,MATCH($G$1,Database!$A$1:$AS$1,),))))</f>
        <v>-0.1450805497406025</v>
      </c>
      <c r="H256" s="13">
        <f>((((VLOOKUP(B256,Database!$A:$AS,MATCH($H$1,Database!$A$1:$AS$1,),))))-(((VLOOKUP(EDATE(B256,-12),Database!$A:$AS,MATCH($H$1,Database!$A$1:$AS$1,),)))))/(((VLOOKUP(EDATE(B256,-12),Database!$A:$AS,MATCH($H$1,Database!$A$1:$AS$1,),))))</f>
        <v>-5.8823529413458156E-2</v>
      </c>
      <c r="I256" s="13">
        <f>((((VLOOKUP(B256,Database!$A:$AS,MATCH($I$1,Database!$A$1:$AS$1,),))))-(((VLOOKUP(EDATE(B256,-12),Database!$A:$AS,MATCH($I$1,Database!$A$1:$AS$1,),)))))/(((VLOOKUP(EDATE(B256,-12),Database!$A:$AS,MATCH($I$1,Database!$A$1:$AS$1,),))))</f>
        <v>-0.21793863099894703</v>
      </c>
      <c r="J256" s="13">
        <f>((((VLOOKUP(B256,Database!$A:$AS,MATCH($J$1,Database!$A$1:$AS$1,),))))-(((VLOOKUP(EDATE(B256,-12),Database!$A:$AS,MATCH($J$1,Database!$A$1:$AS$1,),)))))/(((VLOOKUP(EDATE(B256,-12),Database!$A:$AS,MATCH($J$1,Database!$A$1:$AS$1,),))))</f>
        <v>-0.19950892024823474</v>
      </c>
      <c r="K256" s="13">
        <f>((((VLOOKUP(B256,Database!$A:$AS,MATCH($K$1,Database!$A$1:$AS$1,),))))-(((VLOOKUP(EDATE(B256,-12),Database!$A:$AS,MATCH($K$1,Database!$A$1:$AS$1,),)))))/(((VLOOKUP(EDATE(B256,-12),Database!$A:$AS,MATCH($K$1,Database!$A$1:$AS$1,),))))</f>
        <v>-0.22646310433016692</v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>-7.9235589173153445E-2</v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>-0.15553121577217965</v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>-1.4698245157909132E-2</v>
      </c>
      <c r="O256" s="13">
        <f>((((VLOOKUP(B256,Database!$A:$AS,MATCH($O$1,Database!$A$1:$AS$1,),))))-(((VLOOKUP(EDATE(B256,-12),Database!$A:$AS,MATCH($O$1,Database!$A$1:$AS$1,),)))))/(((VLOOKUP(EDATE(B256,-12),Database!$A:$AS,MATCH($O$1,Database!$A$1:$AS$1,),))))</f>
        <v>-0.12542522133344131</v>
      </c>
      <c r="P256" s="13">
        <f>((((VLOOKUP(B256,Database!$A:$AS,MATCH($P$1,Database!$A$1:$AS$1,),))))-(((VLOOKUP(EDATE(B256,-12),Database!$A:$AS,MATCH($P$1,Database!$A$1:$AS$1,),)))))/(((VLOOKUP(EDATE(B256,-12),Database!$A:$AS,MATCH($P$1,Database!$A$1:$AS$1,),))))</f>
        <v>-6.7650498551580979E-2</v>
      </c>
      <c r="Q256" s="13">
        <f>((((VLOOKUP(B256,Database!$A:$AS,MATCH($Q$1,Database!$A$1:$AS$1,),))))-(((VLOOKUP(EDATE(B256,-12),Database!$A:$AS,MATCH($Q$1,Database!$A$1:$AS$1,),)))))/(((VLOOKUP(EDATE(B256,-12),Database!$A:$AS,MATCH($Q$1,Database!$A$1:$AS$1,),))))</f>
        <v>-0.10682492581405106</v>
      </c>
      <c r="R256" s="13">
        <f>((((VLOOKUP(B256,Database!$A:$AS,MATCH($R$1,Database!$A$1:$AS$1,),))))-(((VLOOKUP(EDATE(B256,-12),Database!$A:$AS,MATCH($R$1,Database!$A$1:$AS$1,),)))))/(((VLOOKUP(EDATE(B256,-12),Database!$A:$AS,MATCH($R$1,Database!$A$1:$AS$1,),))))</f>
        <v>-9.0643274850569874E-2</v>
      </c>
      <c r="S256" s="13">
        <f>((((VLOOKUP(B256,Database!$A:$AS,MATCH($S$1,Database!$A$1:$AS$1,),))))-(((VLOOKUP(EDATE(B256,-12),Database!$A:$AS,MATCH($S$1,Database!$A$1:$AS$1,),)))))/(((VLOOKUP(EDATE(B256,-12),Database!$A:$AS,MATCH($S$1,Database!$A$1:$AS$1,),))))</f>
        <v>-6.0829493091249763E-2</v>
      </c>
      <c r="T256" s="13">
        <f>((((VLOOKUP(B256,Database!$A:$AS,MATCH($T$1,Database!$A$1:$AS$1,),))))-(((VLOOKUP(EDATE(B256,-12),Database!$A:$AS,MATCH($T$1,Database!$A$1:$AS$1,),)))))/(((VLOOKUP(EDATE(B256,-12),Database!$A:$AS,MATCH($T$1,Database!$A$1:$AS$1,),))))</f>
        <v>-0.15049226442086511</v>
      </c>
      <c r="U256" s="13">
        <f>((((VLOOKUP(B256,Database!$A:$AS,MATCH($U$1,Database!$A$1:$AS$1,),))))-(((VLOOKUP(EDATE(B256,-12),Database!$A:$AS,MATCH($U$1,Database!$A$1:$AS$1,),)))))/(((VLOOKUP(EDATE(B256,-12),Database!$A:$AS,MATCH($U$1,Database!$A$1:$AS$1,),))))</f>
        <v>-0.18010471204093076</v>
      </c>
      <c r="V256" s="13">
        <f>((((VLOOKUP(B256,Database!$A:$AS,MATCH($V$1,Database!$A$1:$AS$1,),))))-(((VLOOKUP(EDATE(B256,-12),Database!$A:$AS,MATCH($V$1,Database!$A$1:$AS$1,),)))))/(((VLOOKUP(EDATE(B256,-12),Database!$A:$AS,MATCH($V$1,Database!$A$1:$AS$1,),))))</f>
        <v>-5.4987212276214795E-2</v>
      </c>
    </row>
    <row r="257" spans="1:22" s="83" customFormat="1" x14ac:dyDescent="0.2">
      <c r="A257" s="43"/>
      <c r="B257" s="78">
        <v>39965</v>
      </c>
      <c r="C257" s="13">
        <f>((((VLOOKUP(B257,Database!$A:$AS,MATCH($C$1,Database!$A$1:$AS$1,),))))-(((VLOOKUP(EDATE(B257,-12),Database!$A:$AS,MATCH($C$1,Database!$A$1:$AS$1,),)))))/(((VLOOKUP(EDATE(B257,-12),Database!$A:$AS,MATCH($C$1,Database!$A$1:$AS$1,),))))</f>
        <v>-0.15288159200129423</v>
      </c>
      <c r="D257" s="13">
        <f>((((VLOOKUP(B257,Database!$A:$AS,MATCH($D$1,Database!$A$1:$AS$1,),))))-(((VLOOKUP(EDATE(B257,-12),Database!$A:$AS,MATCH($D$1,Database!$A$1:$AS$1,),)))))/(((VLOOKUP(EDATE(B257,-12),Database!$A:$AS,MATCH($D$1,Database!$A$1:$AS$1,),))))</f>
        <v>-0.16619981325863678</v>
      </c>
      <c r="E257" s="13">
        <f>((((VLOOKUP(B257,Database!$A:$AS,MATCH($E$1,Database!$A$1:$AS$1,),))))-(((VLOOKUP(EDATE(B257,-12),Database!$A:$AS,MATCH($E$1,Database!$A$1:$AS$1,),)))))/(((VLOOKUP(EDATE(B257,-12),Database!$A:$AS,MATCH($E$1,Database!$A$1:$AS$1,),))))</f>
        <v>-0.23262032085271273</v>
      </c>
      <c r="F257" s="13">
        <f>((((VLOOKUP(B257,Database!$A:$AS,MATCH($F$1,Database!$A$1:$AS$1,),))))-(((VLOOKUP(EDATE(B257,-12),Database!$A:$AS,MATCH($F$1,Database!$A$1:$AS$1,),)))))/(((VLOOKUP(EDATE(B257,-12),Database!$A:$AS,MATCH($F$1,Database!$A$1:$AS$1,),))))</f>
        <v>-0.19215291750520233</v>
      </c>
      <c r="G257" s="13">
        <f>((((VLOOKUP(B257,Database!$A:$AS,MATCH($G$1,Database!$A$1:$AS$1,),))))-(((VLOOKUP(EDATE(B257,-12),Database!$A:$AS,MATCH($G$1,Database!$A$1:$AS$1,),)))))/(((VLOOKUP(EDATE(B257,-12),Database!$A:$AS,MATCH($G$1,Database!$A$1:$AS$1,),))))</f>
        <v>-0.13162939297124601</v>
      </c>
      <c r="H257" s="13">
        <f>((((VLOOKUP(B257,Database!$A:$AS,MATCH($H$1,Database!$A$1:$AS$1,),))))-(((VLOOKUP(EDATE(B257,-12),Database!$A:$AS,MATCH($H$1,Database!$A$1:$AS$1,),)))))/(((VLOOKUP(EDATE(B257,-12),Database!$A:$AS,MATCH($H$1,Database!$A$1:$AS$1,),))))</f>
        <v>-5.0672182005757314E-2</v>
      </c>
      <c r="I257" s="13">
        <f>((((VLOOKUP(B257,Database!$A:$AS,MATCH($I$1,Database!$A$1:$AS$1,),))))-(((VLOOKUP(EDATE(B257,-12),Database!$A:$AS,MATCH($I$1,Database!$A$1:$AS$1,),)))))/(((VLOOKUP(EDATE(B257,-12),Database!$A:$AS,MATCH($I$1,Database!$A$1:$AS$1,),))))</f>
        <v>-0.23190661478906904</v>
      </c>
      <c r="J257" s="13">
        <f>((((VLOOKUP(B257,Database!$A:$AS,MATCH($J$1,Database!$A$1:$AS$1,),))))-(((VLOOKUP(EDATE(B257,-12),Database!$A:$AS,MATCH($J$1,Database!$A$1:$AS$1,),)))))/(((VLOOKUP(EDATE(B257,-12),Database!$A:$AS,MATCH($J$1,Database!$A$1:$AS$1,),))))</f>
        <v>-0.16200449249096385</v>
      </c>
      <c r="K257" s="13">
        <f>((((VLOOKUP(B257,Database!$A:$AS,MATCH($K$1,Database!$A$1:$AS$1,),))))-(((VLOOKUP(EDATE(B257,-12),Database!$A:$AS,MATCH($K$1,Database!$A$1:$AS$1,),)))))/(((VLOOKUP(EDATE(B257,-12),Database!$A:$AS,MATCH($K$1,Database!$A$1:$AS$1,),))))</f>
        <v>-0.19811320754425729</v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>-8.1668079411666206E-2</v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>-0.13392857142857142</v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>-2.1098229164070132E-2</v>
      </c>
      <c r="O257" s="13">
        <f>((((VLOOKUP(B257,Database!$A:$AS,MATCH($O$1,Database!$A$1:$AS$1,),))))-(((VLOOKUP(EDATE(B257,-12),Database!$A:$AS,MATCH($O$1,Database!$A$1:$AS$1,),)))))/(((VLOOKUP(EDATE(B257,-12),Database!$A:$AS,MATCH($O$1,Database!$A$1:$AS$1,),))))</f>
        <v>-0.1354194511342216</v>
      </c>
      <c r="P257" s="13">
        <f>((((VLOOKUP(B257,Database!$A:$AS,MATCH($P$1,Database!$A$1:$AS$1,),))))-(((VLOOKUP(EDATE(B257,-12),Database!$A:$AS,MATCH($P$1,Database!$A$1:$AS$1,),)))))/(((VLOOKUP(EDATE(B257,-12),Database!$A:$AS,MATCH($P$1,Database!$A$1:$AS$1,),))))</f>
        <v>-2.4256963874256809E-2</v>
      </c>
      <c r="Q257" s="13">
        <f>((((VLOOKUP(B257,Database!$A:$AS,MATCH($Q$1,Database!$A$1:$AS$1,),))))-(((VLOOKUP(EDATE(B257,-12),Database!$A:$AS,MATCH($Q$1,Database!$A$1:$AS$1,),)))))/(((VLOOKUP(EDATE(B257,-12),Database!$A:$AS,MATCH($Q$1,Database!$A$1:$AS$1,),))))</f>
        <v>-0.11078717201619089</v>
      </c>
      <c r="R257" s="13">
        <f>((((VLOOKUP(B257,Database!$A:$AS,MATCH($R$1,Database!$A$1:$AS$1,),))))-(((VLOOKUP(EDATE(B257,-12),Database!$A:$AS,MATCH($R$1,Database!$A$1:$AS$1,),)))))/(((VLOOKUP(EDATE(B257,-12),Database!$A:$AS,MATCH($R$1,Database!$A$1:$AS$1,),))))</f>
        <v>-0.14236111111352523</v>
      </c>
      <c r="S257" s="13">
        <f>((((VLOOKUP(B257,Database!$A:$AS,MATCH($S$1,Database!$A$1:$AS$1,),))))-(((VLOOKUP(EDATE(B257,-12),Database!$A:$AS,MATCH($S$1,Database!$A$1:$AS$1,),)))))/(((VLOOKUP(EDATE(B257,-12),Database!$A:$AS,MATCH($S$1,Database!$A$1:$AS$1,),))))</f>
        <v>-9.5693779793231213E-3</v>
      </c>
      <c r="T257" s="13">
        <f>((((VLOOKUP(B257,Database!$A:$AS,MATCH($T$1,Database!$A$1:$AS$1,),))))-(((VLOOKUP(EDATE(B257,-12),Database!$A:$AS,MATCH($T$1,Database!$A$1:$AS$1,),)))))/(((VLOOKUP(EDATE(B257,-12),Database!$A:$AS,MATCH($T$1,Database!$A$1:$AS$1,),))))</f>
        <v>-0.13025210084586833</v>
      </c>
      <c r="U257" s="13">
        <f>((((VLOOKUP(B257,Database!$A:$AS,MATCH($U$1,Database!$A$1:$AS$1,),))))-(((VLOOKUP(EDATE(B257,-12),Database!$A:$AS,MATCH($U$1,Database!$A$1:$AS$1,),)))))/(((VLOOKUP(EDATE(B257,-12),Database!$A:$AS,MATCH($U$1,Database!$A$1:$AS$1,),))))</f>
        <v>-0.14603174603880184</v>
      </c>
      <c r="V257" s="13">
        <f>((((VLOOKUP(B257,Database!$A:$AS,MATCH($V$1,Database!$A$1:$AS$1,),))))-(((VLOOKUP(EDATE(B257,-12),Database!$A:$AS,MATCH($V$1,Database!$A$1:$AS$1,),)))))/(((VLOOKUP(EDATE(B257,-12),Database!$A:$AS,MATCH($V$1,Database!$A$1:$AS$1,),))))</f>
        <v>-4.8223350253807071E-2</v>
      </c>
    </row>
    <row r="258" spans="1:22" s="83" customFormat="1" x14ac:dyDescent="0.2">
      <c r="A258" s="43"/>
      <c r="B258" s="78">
        <v>39995</v>
      </c>
      <c r="C258" s="13">
        <f>((((VLOOKUP(B258,Database!$A:$AS,MATCH($C$1,Database!$A$1:$AS$1,),))))-(((VLOOKUP(EDATE(B258,-12),Database!$A:$AS,MATCH($C$1,Database!$A$1:$AS$1,),)))))/(((VLOOKUP(EDATE(B258,-12),Database!$A:$AS,MATCH($C$1,Database!$A$1:$AS$1,),))))</f>
        <v>-0.13919251017197212</v>
      </c>
      <c r="D258" s="13">
        <f>((((VLOOKUP(B258,Database!$A:$AS,MATCH($D$1,Database!$A$1:$AS$1,),))))-(((VLOOKUP(EDATE(B258,-12),Database!$A:$AS,MATCH($D$1,Database!$A$1:$AS$1,),)))))/(((VLOOKUP(EDATE(B258,-12),Database!$A:$AS,MATCH($D$1,Database!$A$1:$AS$1,),))))</f>
        <v>-0.1566037735849056</v>
      </c>
      <c r="E258" s="13">
        <f>((((VLOOKUP(B258,Database!$A:$AS,MATCH($E$1,Database!$A$1:$AS$1,),))))-(((VLOOKUP(EDATE(B258,-12),Database!$A:$AS,MATCH($E$1,Database!$A$1:$AS$1,),)))))/(((VLOOKUP(EDATE(B258,-12),Database!$A:$AS,MATCH($E$1,Database!$A$1:$AS$1,),))))</f>
        <v>-0.22370766487751845</v>
      </c>
      <c r="F258" s="13">
        <f>((((VLOOKUP(B258,Database!$A:$AS,MATCH($F$1,Database!$A$1:$AS$1,),))))-(((VLOOKUP(EDATE(B258,-12),Database!$A:$AS,MATCH($F$1,Database!$A$1:$AS$1,),)))))/(((VLOOKUP(EDATE(B258,-12),Database!$A:$AS,MATCH($F$1,Database!$A$1:$AS$1,),))))</f>
        <v>-0.18628454452652576</v>
      </c>
      <c r="G258" s="13">
        <f>((((VLOOKUP(B258,Database!$A:$AS,MATCH($G$1,Database!$A$1:$AS$1,),))))-(((VLOOKUP(EDATE(B258,-12),Database!$A:$AS,MATCH($G$1,Database!$A$1:$AS$1,),)))))/(((VLOOKUP(EDATE(B258,-12),Database!$A:$AS,MATCH($G$1,Database!$A$1:$AS$1,),))))</f>
        <v>-0.14091526959673764</v>
      </c>
      <c r="H258" s="13">
        <f>((((VLOOKUP(B258,Database!$A:$AS,MATCH($H$1,Database!$A$1:$AS$1,),))))-(((VLOOKUP(EDATE(B258,-12),Database!$A:$AS,MATCH($H$1,Database!$A$1:$AS$1,),)))))/(((VLOOKUP(EDATE(B258,-12),Database!$A:$AS,MATCH($H$1,Database!$A$1:$AS$1,),))))</f>
        <v>-4.7520661163177269E-2</v>
      </c>
      <c r="I258" s="13">
        <f>((((VLOOKUP(B258,Database!$A:$AS,MATCH($I$1,Database!$A$1:$AS$1,),))))-(((VLOOKUP(EDATE(B258,-12),Database!$A:$AS,MATCH($I$1,Database!$A$1:$AS$1,),)))))/(((VLOOKUP(EDATE(B258,-12),Database!$A:$AS,MATCH($I$1,Database!$A$1:$AS$1,),))))</f>
        <v>-0.18890675241302965</v>
      </c>
      <c r="J258" s="13">
        <f>((((VLOOKUP(B258,Database!$A:$AS,MATCH($J$1,Database!$A$1:$AS$1,),))))-(((VLOOKUP(EDATE(B258,-12),Database!$A:$AS,MATCH($J$1,Database!$A$1:$AS$1,),)))))/(((VLOOKUP(EDATE(B258,-12),Database!$A:$AS,MATCH($J$1,Database!$A$1:$AS$1,),))))</f>
        <v>-0.17656582804837093</v>
      </c>
      <c r="K258" s="13">
        <f>((((VLOOKUP(B258,Database!$A:$AS,MATCH($K$1,Database!$A$1:$AS$1,),))))-(((VLOOKUP(EDATE(B258,-12),Database!$A:$AS,MATCH($K$1,Database!$A$1:$AS$1,),)))))/(((VLOOKUP(EDATE(B258,-12),Database!$A:$AS,MATCH($K$1,Database!$A$1:$AS$1,),))))</f>
        <v>-0.1982758620659931</v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>-6.3779611458920665E-2</v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>-0.11685393258426972</v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>1.5687394925247771E-2</v>
      </c>
      <c r="O258" s="13">
        <f>((((VLOOKUP(B258,Database!$A:$AS,MATCH($O$1,Database!$A$1:$AS$1,),))))-(((VLOOKUP(EDATE(B258,-12),Database!$A:$AS,MATCH($O$1,Database!$A$1:$AS$1,),)))))/(((VLOOKUP(EDATE(B258,-12),Database!$A:$AS,MATCH($O$1,Database!$A$1:$AS$1,),))))</f>
        <v>-0.14796135133299348</v>
      </c>
      <c r="P258" s="13">
        <f>((((VLOOKUP(B258,Database!$A:$AS,MATCH($P$1,Database!$A$1:$AS$1,),))))-(((VLOOKUP(EDATE(B258,-12),Database!$A:$AS,MATCH($P$1,Database!$A$1:$AS$1,),)))))/(((VLOOKUP(EDATE(B258,-12),Database!$A:$AS,MATCH($P$1,Database!$A$1:$AS$1,),))))</f>
        <v>5.9770452080355179E-3</v>
      </c>
      <c r="Q258" s="13">
        <f>((((VLOOKUP(B258,Database!$A:$AS,MATCH($Q$1,Database!$A$1:$AS$1,),))))-(((VLOOKUP(EDATE(B258,-12),Database!$A:$AS,MATCH($Q$1,Database!$A$1:$AS$1,),)))))/(((VLOOKUP(EDATE(B258,-12),Database!$A:$AS,MATCH($Q$1,Database!$A$1:$AS$1,),))))</f>
        <v>-0.10271317828775126</v>
      </c>
      <c r="R258" s="13">
        <f>((((VLOOKUP(B258,Database!$A:$AS,MATCH($R$1,Database!$A$1:$AS$1,),))))-(((VLOOKUP(EDATE(B258,-12),Database!$A:$AS,MATCH($R$1,Database!$A$1:$AS$1,),)))))/(((VLOOKUP(EDATE(B258,-12),Database!$A:$AS,MATCH($R$1,Database!$A$1:$AS$1,),))))</f>
        <v>-0.11182336182449434</v>
      </c>
      <c r="S258" s="13">
        <f>((((VLOOKUP(B258,Database!$A:$AS,MATCH($S$1,Database!$A$1:$AS$1,),))))-(((VLOOKUP(EDATE(B258,-12),Database!$A:$AS,MATCH($S$1,Database!$A$1:$AS$1,),)))))/(((VLOOKUP(EDATE(B258,-12),Database!$A:$AS,MATCH($S$1,Database!$A$1:$AS$1,),))))</f>
        <v>-7.7444336857920787E-3</v>
      </c>
      <c r="T258" s="13">
        <f>((((VLOOKUP(B258,Database!$A:$AS,MATCH($T$1,Database!$A$1:$AS$1,),))))-(((VLOOKUP(EDATE(B258,-12),Database!$A:$AS,MATCH($T$1,Database!$A$1:$AS$1,),)))))/(((VLOOKUP(EDATE(B258,-12),Database!$A:$AS,MATCH($T$1,Database!$A$1:$AS$1,),))))</f>
        <v>-9.585121602067935E-2</v>
      </c>
      <c r="U258" s="13">
        <f>((((VLOOKUP(B258,Database!$A:$AS,MATCH($U$1,Database!$A$1:$AS$1,),))))-(((VLOOKUP(EDATE(B258,-12),Database!$A:$AS,MATCH($U$1,Database!$A$1:$AS$1,),)))))/(((VLOOKUP(EDATE(B258,-12),Database!$A:$AS,MATCH($U$1,Database!$A$1:$AS$1,),))))</f>
        <v>-0.14161220044178277</v>
      </c>
      <c r="V258" s="13">
        <f>((((VLOOKUP(B258,Database!$A:$AS,MATCH($V$1,Database!$A$1:$AS$1,),))))-(((VLOOKUP(EDATE(B258,-12),Database!$A:$AS,MATCH($V$1,Database!$A$1:$AS$1,),)))))/(((VLOOKUP(EDATE(B258,-12),Database!$A:$AS,MATCH($V$1,Database!$A$1:$AS$1,),))))</f>
        <v>-4.4585987261146494E-2</v>
      </c>
    </row>
    <row r="259" spans="1:22" s="83" customFormat="1" x14ac:dyDescent="0.2">
      <c r="A259" s="43"/>
      <c r="B259" s="78">
        <v>40026</v>
      </c>
      <c r="C259" s="13">
        <f>((((VLOOKUP(B259,Database!$A:$AS,MATCH($C$1,Database!$A$1:$AS$1,),))))-(((VLOOKUP(EDATE(B259,-12),Database!$A:$AS,MATCH($C$1,Database!$A$1:$AS$1,),)))))/(((VLOOKUP(EDATE(B259,-12),Database!$A:$AS,MATCH($C$1,Database!$A$1:$AS$1,),))))</f>
        <v>-0.11575248240717152</v>
      </c>
      <c r="D259" s="13">
        <f>((((VLOOKUP(B259,Database!$A:$AS,MATCH($D$1,Database!$A$1:$AS$1,),))))-(((VLOOKUP(EDATE(B259,-12),Database!$A:$AS,MATCH($D$1,Database!$A$1:$AS$1,),)))))/(((VLOOKUP(EDATE(B259,-12),Database!$A:$AS,MATCH($D$1,Database!$A$1:$AS$1,),))))</f>
        <v>-0.1534090909090908</v>
      </c>
      <c r="E259" s="13">
        <f>((((VLOOKUP(B259,Database!$A:$AS,MATCH($E$1,Database!$A$1:$AS$1,),))))-(((VLOOKUP(EDATE(B259,-12),Database!$A:$AS,MATCH($E$1,Database!$A$1:$AS$1,),)))))/(((VLOOKUP(EDATE(B259,-12),Database!$A:$AS,MATCH($E$1,Database!$A$1:$AS$1,),))))</f>
        <v>-0.18223866789821661</v>
      </c>
      <c r="F259" s="13">
        <f>((((VLOOKUP(B259,Database!$A:$AS,MATCH($F$1,Database!$A$1:$AS$1,),))))-(((VLOOKUP(EDATE(B259,-12),Database!$A:$AS,MATCH($F$1,Database!$A$1:$AS$1,),)))))/(((VLOOKUP(EDATE(B259,-12),Database!$A:$AS,MATCH($F$1,Database!$A$1:$AS$1,),))))</f>
        <v>-0.19257773319630889</v>
      </c>
      <c r="G259" s="13">
        <f>((((VLOOKUP(B259,Database!$A:$AS,MATCH($G$1,Database!$A$1:$AS$1,),))))-(((VLOOKUP(EDATE(B259,-12),Database!$A:$AS,MATCH($G$1,Database!$A$1:$AS$1,),)))))/(((VLOOKUP(EDATE(B259,-12),Database!$A:$AS,MATCH($G$1,Database!$A$1:$AS$1,),))))</f>
        <v>-0.11475560455714819</v>
      </c>
      <c r="H259" s="13">
        <f>((((VLOOKUP(B259,Database!$A:$AS,MATCH($H$1,Database!$A$1:$AS$1,),))))-(((VLOOKUP(EDATE(B259,-12),Database!$A:$AS,MATCH($H$1,Database!$A$1:$AS$1,),)))))/(((VLOOKUP(EDATE(B259,-12),Database!$A:$AS,MATCH($H$1,Database!$A$1:$AS$1,),))))</f>
        <v>-8.1967213114441689E-2</v>
      </c>
      <c r="I259" s="13">
        <f>((((VLOOKUP(B259,Database!$A:$AS,MATCH($I$1,Database!$A$1:$AS$1,),))))-(((VLOOKUP(EDATE(B259,-12),Database!$A:$AS,MATCH($I$1,Database!$A$1:$AS$1,),)))))/(((VLOOKUP(EDATE(B259,-12),Database!$A:$AS,MATCH($I$1,Database!$A$1:$AS$1,),))))</f>
        <v>-0.18646864686738251</v>
      </c>
      <c r="J259" s="13">
        <f>((((VLOOKUP(B259,Database!$A:$AS,MATCH($J$1,Database!$A$1:$AS$1,),))))-(((VLOOKUP(EDATE(B259,-12),Database!$A:$AS,MATCH($J$1,Database!$A$1:$AS$1,),)))))/(((VLOOKUP(EDATE(B259,-12),Database!$A:$AS,MATCH($J$1,Database!$A$1:$AS$1,),))))</f>
        <v>-0.14449457084838407</v>
      </c>
      <c r="K259" s="13">
        <f>((((VLOOKUP(B259,Database!$A:$AS,MATCH($K$1,Database!$A$1:$AS$1,),))))-(((VLOOKUP(EDATE(B259,-12),Database!$A:$AS,MATCH($K$1,Database!$A$1:$AS$1,),)))))/(((VLOOKUP(EDATE(B259,-12),Database!$A:$AS,MATCH($K$1,Database!$A$1:$AS$1,),))))</f>
        <v>-0.19023136246711742</v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>-7.1279270557820268E-2</v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>-0.12625698324022344</v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>5.4775738996409258E-2</v>
      </c>
      <c r="O259" s="13">
        <f>((((VLOOKUP(B259,Database!$A:$AS,MATCH($O$1,Database!$A$1:$AS$1,),))))-(((VLOOKUP(EDATE(B259,-12),Database!$A:$AS,MATCH($O$1,Database!$A$1:$AS$1,),)))))/(((VLOOKUP(EDATE(B259,-12),Database!$A:$AS,MATCH($O$1,Database!$A$1:$AS$1,),))))</f>
        <v>-0.1404640533384163</v>
      </c>
      <c r="P259" s="13">
        <f>((((VLOOKUP(B259,Database!$A:$AS,MATCH($P$1,Database!$A$1:$AS$1,),))))-(((VLOOKUP(EDATE(B259,-12),Database!$A:$AS,MATCH($P$1,Database!$A$1:$AS$1,),)))))/(((VLOOKUP(EDATE(B259,-12),Database!$A:$AS,MATCH($P$1,Database!$A$1:$AS$1,),))))</f>
        <v>1.4350794490646589E-2</v>
      </c>
      <c r="Q259" s="13">
        <f>((((VLOOKUP(B259,Database!$A:$AS,MATCH($Q$1,Database!$A$1:$AS$1,),))))-(((VLOOKUP(EDATE(B259,-12),Database!$A:$AS,MATCH($Q$1,Database!$A$1:$AS$1,),)))))/(((VLOOKUP(EDATE(B259,-12),Database!$A:$AS,MATCH($Q$1,Database!$A$1:$AS$1,),))))</f>
        <v>-7.7526987239892944E-2</v>
      </c>
      <c r="R259" s="13">
        <f>((((VLOOKUP(B259,Database!$A:$AS,MATCH($R$1,Database!$A$1:$AS$1,),))))-(((VLOOKUP(EDATE(B259,-12),Database!$A:$AS,MATCH($R$1,Database!$A$1:$AS$1,),)))))/(((VLOOKUP(EDATE(B259,-12),Database!$A:$AS,MATCH($R$1,Database!$A$1:$AS$1,),))))</f>
        <v>-0.12737920936545616</v>
      </c>
      <c r="S259" s="13">
        <f>((((VLOOKUP(B259,Database!$A:$AS,MATCH($S$1,Database!$A$1:$AS$1,),))))-(((VLOOKUP(EDATE(B259,-12),Database!$A:$AS,MATCH($S$1,Database!$A$1:$AS$1,),)))))/(((VLOOKUP(EDATE(B259,-12),Database!$A:$AS,MATCH($S$1,Database!$A$1:$AS$1,),))))</f>
        <v>-0.16893732970018907</v>
      </c>
      <c r="T259" s="13">
        <f>((((VLOOKUP(B259,Database!$A:$AS,MATCH($T$1,Database!$A$1:$AS$1,),))))-(((VLOOKUP(EDATE(B259,-12),Database!$A:$AS,MATCH($T$1,Database!$A$1:$AS$1,),)))))/(((VLOOKUP(EDATE(B259,-12),Database!$A:$AS,MATCH($T$1,Database!$A$1:$AS$1,),))))</f>
        <v>-9.5652173915690211E-2</v>
      </c>
      <c r="U259" s="13">
        <f>((((VLOOKUP(B259,Database!$A:$AS,MATCH($U$1,Database!$A$1:$AS$1,),))))-(((VLOOKUP(EDATE(B259,-12),Database!$A:$AS,MATCH($U$1,Database!$A$1:$AS$1,),)))))/(((VLOOKUP(EDATE(B259,-12),Database!$A:$AS,MATCH($U$1,Database!$A$1:$AS$1,),))))</f>
        <v>-9.3541202669703491E-2</v>
      </c>
      <c r="V259" s="13">
        <f>((((VLOOKUP(B259,Database!$A:$AS,MATCH($V$1,Database!$A$1:$AS$1,),))))-(((VLOOKUP(EDATE(B259,-12),Database!$A:$AS,MATCH($V$1,Database!$A$1:$AS$1,),)))))/(((VLOOKUP(EDATE(B259,-12),Database!$A:$AS,MATCH($V$1,Database!$A$1:$AS$1,),))))</f>
        <v>-2.2020725388601073E-2</v>
      </c>
    </row>
    <row r="260" spans="1:22" s="83" customFormat="1" x14ac:dyDescent="0.2">
      <c r="A260" s="43"/>
      <c r="B260" s="78">
        <v>40057</v>
      </c>
      <c r="C260" s="13">
        <f>((((VLOOKUP(B260,Database!$A:$AS,MATCH($C$1,Database!$A$1:$AS$1,),))))-(((VLOOKUP(EDATE(B260,-12),Database!$A:$AS,MATCH($C$1,Database!$A$1:$AS$1,),)))))/(((VLOOKUP(EDATE(B260,-12),Database!$A:$AS,MATCH($C$1,Database!$A$1:$AS$1,),))))</f>
        <v>-6.8601344131521025E-2</v>
      </c>
      <c r="D260" s="13">
        <f>((((VLOOKUP(B260,Database!$A:$AS,MATCH($D$1,Database!$A$1:$AS$1,),))))-(((VLOOKUP(EDATE(B260,-12),Database!$A:$AS,MATCH($D$1,Database!$A$1:$AS$1,),)))))/(((VLOOKUP(EDATE(B260,-12),Database!$A:$AS,MATCH($D$1,Database!$A$1:$AS$1,),))))</f>
        <v>-0.12595419847328249</v>
      </c>
      <c r="E260" s="13">
        <f>((((VLOOKUP(B260,Database!$A:$AS,MATCH($E$1,Database!$A$1:$AS$1,),))))-(((VLOOKUP(EDATE(B260,-12),Database!$A:$AS,MATCH($E$1,Database!$A$1:$AS$1,),)))))/(((VLOOKUP(EDATE(B260,-12),Database!$A:$AS,MATCH($E$1,Database!$A$1:$AS$1,),))))</f>
        <v>-0.16803652967870766</v>
      </c>
      <c r="F260" s="13">
        <f>((((VLOOKUP(B260,Database!$A:$AS,MATCH($F$1,Database!$A$1:$AS$1,),))))-(((VLOOKUP(EDATE(B260,-12),Database!$A:$AS,MATCH($F$1,Database!$A$1:$AS$1,),)))))/(((VLOOKUP(EDATE(B260,-12),Database!$A:$AS,MATCH($F$1,Database!$A$1:$AS$1,),))))</f>
        <v>-0.13655030800753887</v>
      </c>
      <c r="G260" s="13">
        <f>((((VLOOKUP(B260,Database!$A:$AS,MATCH($G$1,Database!$A$1:$AS$1,),))))-(((VLOOKUP(EDATE(B260,-12),Database!$A:$AS,MATCH($G$1,Database!$A$1:$AS$1,),)))))/(((VLOOKUP(EDATE(B260,-12),Database!$A:$AS,MATCH($G$1,Database!$A$1:$AS$1,),))))</f>
        <v>-0.1064772098173094</v>
      </c>
      <c r="H260" s="13">
        <f>((((VLOOKUP(B260,Database!$A:$AS,MATCH($H$1,Database!$A$1:$AS$1,),))))-(((VLOOKUP(EDATE(B260,-12),Database!$A:$AS,MATCH($H$1,Database!$A$1:$AS$1,),)))))/(((VLOOKUP(EDATE(B260,-12),Database!$A:$AS,MATCH($H$1,Database!$A$1:$AS$1,),))))</f>
        <v>-7.5510204075823678E-2</v>
      </c>
      <c r="I260" s="13">
        <f>((((VLOOKUP(B260,Database!$A:$AS,MATCH($I$1,Database!$A$1:$AS$1,),))))-(((VLOOKUP(EDATE(B260,-12),Database!$A:$AS,MATCH($I$1,Database!$A$1:$AS$1,),)))))/(((VLOOKUP(EDATE(B260,-12),Database!$A:$AS,MATCH($I$1,Database!$A$1:$AS$1,),))))</f>
        <v>-0.15697674419198651</v>
      </c>
      <c r="J260" s="13">
        <f>((((VLOOKUP(B260,Database!$A:$AS,MATCH($J$1,Database!$A$1:$AS$1,),))))-(((VLOOKUP(EDATE(B260,-12),Database!$A:$AS,MATCH($J$1,Database!$A$1:$AS$1,),)))))/(((VLOOKUP(EDATE(B260,-12),Database!$A:$AS,MATCH($J$1,Database!$A$1:$AS$1,),))))</f>
        <v>-0.12896440661290126</v>
      </c>
      <c r="K260" s="13">
        <f>((((VLOOKUP(B260,Database!$A:$AS,MATCH($K$1,Database!$A$1:$AS$1,),))))-(((VLOOKUP(EDATE(B260,-12),Database!$A:$AS,MATCH($K$1,Database!$A$1:$AS$1,),)))))/(((VLOOKUP(EDATE(B260,-12),Database!$A:$AS,MATCH($K$1,Database!$A$1:$AS$1,),))))</f>
        <v>-0.15357458075980243</v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>-5.4956869406927233E-2</v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>-0.10442678774120305</v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>1.7276428766650025E-2</v>
      </c>
      <c r="O260" s="13">
        <f>((((VLOOKUP(B260,Database!$A:$AS,MATCH($O$1,Database!$A$1:$AS$1,),))))-(((VLOOKUP(EDATE(B260,-12),Database!$A:$AS,MATCH($O$1,Database!$A$1:$AS$1,),)))))/(((VLOOKUP(EDATE(B260,-12),Database!$A:$AS,MATCH($O$1,Database!$A$1:$AS$1,),))))</f>
        <v>-0.11696686182062933</v>
      </c>
      <c r="P260" s="13">
        <f>((((VLOOKUP(B260,Database!$A:$AS,MATCH($P$1,Database!$A$1:$AS$1,),))))-(((VLOOKUP(EDATE(B260,-12),Database!$A:$AS,MATCH($P$1,Database!$A$1:$AS$1,),)))))/(((VLOOKUP(EDATE(B260,-12),Database!$A:$AS,MATCH($P$1,Database!$A$1:$AS$1,),))))</f>
        <v>6.1123177170071055E-2</v>
      </c>
      <c r="Q260" s="13">
        <f>((((VLOOKUP(B260,Database!$A:$AS,MATCH($Q$1,Database!$A$1:$AS$1,),))))-(((VLOOKUP(EDATE(B260,-12),Database!$A:$AS,MATCH($Q$1,Database!$A$1:$AS$1,),)))))/(((VLOOKUP(EDATE(B260,-12),Database!$A:$AS,MATCH($Q$1,Database!$A$1:$AS$1,),))))</f>
        <v>-7.5508228460061902E-2</v>
      </c>
      <c r="R260" s="13">
        <f>((((VLOOKUP(B260,Database!$A:$AS,MATCH($R$1,Database!$A$1:$AS$1,),))))-(((VLOOKUP(EDATE(B260,-12),Database!$A:$AS,MATCH($R$1,Database!$A$1:$AS$1,),)))))/(((VLOOKUP(EDATE(B260,-12),Database!$A:$AS,MATCH($R$1,Database!$A$1:$AS$1,),))))</f>
        <v>-9.656181419345003E-2</v>
      </c>
      <c r="S260" s="13">
        <f>((((VLOOKUP(B260,Database!$A:$AS,MATCH($S$1,Database!$A$1:$AS$1,),))))-(((VLOOKUP(EDATE(B260,-12),Database!$A:$AS,MATCH($S$1,Database!$A$1:$AS$1,),)))))/(((VLOOKUP(EDATE(B260,-12),Database!$A:$AS,MATCH($S$1,Database!$A$1:$AS$1,),))))</f>
        <v>-6.2675397567024296E-2</v>
      </c>
      <c r="T260" s="13">
        <f>((((VLOOKUP(B260,Database!$A:$AS,MATCH($T$1,Database!$A$1:$AS$1,),))))-(((VLOOKUP(EDATE(B260,-12),Database!$A:$AS,MATCH($T$1,Database!$A$1:$AS$1,),)))))/(((VLOOKUP(EDATE(B260,-12),Database!$A:$AS,MATCH($T$1,Database!$A$1:$AS$1,),))))</f>
        <v>-8.2848837201358189E-2</v>
      </c>
      <c r="U260" s="13">
        <f>((((VLOOKUP(B260,Database!$A:$AS,MATCH($U$1,Database!$A$1:$AS$1,),))))-(((VLOOKUP(EDATE(B260,-12),Database!$A:$AS,MATCH($U$1,Database!$A$1:$AS$1,),)))))/(((VLOOKUP(EDATE(B260,-12),Database!$A:$AS,MATCH($U$1,Database!$A$1:$AS$1,),))))</f>
        <v>-9.9447513812765342E-2</v>
      </c>
      <c r="V260" s="13">
        <f>((((VLOOKUP(B260,Database!$A:$AS,MATCH($V$1,Database!$A$1:$AS$1,),))))-(((VLOOKUP(EDATE(B260,-12),Database!$A:$AS,MATCH($V$1,Database!$A$1:$AS$1,),)))))/(((VLOOKUP(EDATE(B260,-12),Database!$A:$AS,MATCH($V$1,Database!$A$1:$AS$1,),))))</f>
        <v>-1.6709511568123357E-2</v>
      </c>
    </row>
    <row r="261" spans="1:22" s="83" customFormat="1" x14ac:dyDescent="0.2">
      <c r="A261" s="43"/>
      <c r="B261" s="78">
        <v>40087</v>
      </c>
      <c r="C261" s="13">
        <f>((((VLOOKUP(B261,Database!$A:$AS,MATCH($C$1,Database!$A$1:$AS$1,),))))-(((VLOOKUP(EDATE(B261,-12),Database!$A:$AS,MATCH($C$1,Database!$A$1:$AS$1,),)))))/(((VLOOKUP(EDATE(B261,-12),Database!$A:$AS,MATCH($C$1,Database!$A$1:$AS$1,),))))</f>
        <v>-7.4380488180870924E-2</v>
      </c>
      <c r="D261" s="13">
        <f>((((VLOOKUP(B261,Database!$A:$AS,MATCH($D$1,Database!$A$1:$AS$1,),))))-(((VLOOKUP(EDATE(B261,-12),Database!$A:$AS,MATCH($D$1,Database!$A$1:$AS$1,),)))))/(((VLOOKUP(EDATE(B261,-12),Database!$A:$AS,MATCH($D$1,Database!$A$1:$AS$1,),))))</f>
        <v>-0.10675808031341814</v>
      </c>
      <c r="E261" s="13">
        <f>((((VLOOKUP(B261,Database!$A:$AS,MATCH($E$1,Database!$A$1:$AS$1,),))))-(((VLOOKUP(EDATE(B261,-12),Database!$A:$AS,MATCH($E$1,Database!$A$1:$AS$1,),)))))/(((VLOOKUP(EDATE(B261,-12),Database!$A:$AS,MATCH($E$1,Database!$A$1:$AS$1,),))))</f>
        <v>-0.12605042017020768</v>
      </c>
      <c r="F261" s="13">
        <f>((((VLOOKUP(B261,Database!$A:$AS,MATCH($F$1,Database!$A$1:$AS$1,),))))-(((VLOOKUP(EDATE(B261,-12),Database!$A:$AS,MATCH($F$1,Database!$A$1:$AS$1,),)))))/(((VLOOKUP(EDATE(B261,-12),Database!$A:$AS,MATCH($F$1,Database!$A$1:$AS$1,),))))</f>
        <v>-0.13641133263456989</v>
      </c>
      <c r="G261" s="13">
        <f>((((VLOOKUP(B261,Database!$A:$AS,MATCH($G$1,Database!$A$1:$AS$1,),))))-(((VLOOKUP(EDATE(B261,-12),Database!$A:$AS,MATCH($G$1,Database!$A$1:$AS$1,),)))))/(((VLOOKUP(EDATE(B261,-12),Database!$A:$AS,MATCH($G$1,Database!$A$1:$AS$1,),))))</f>
        <v>-9.5448561218732422E-2</v>
      </c>
      <c r="H261" s="13">
        <f>((((VLOOKUP(B261,Database!$A:$AS,MATCH($H$1,Database!$A$1:$AS$1,),))))-(((VLOOKUP(EDATE(B261,-12),Database!$A:$AS,MATCH($H$1,Database!$A$1:$AS$1,),)))))/(((VLOOKUP(EDATE(B261,-12),Database!$A:$AS,MATCH($H$1,Database!$A$1:$AS$1,),))))</f>
        <v>-8.4178498988747089E-2</v>
      </c>
      <c r="I261" s="13">
        <f>((((VLOOKUP(B261,Database!$A:$AS,MATCH($I$1,Database!$A$1:$AS$1,),))))-(((VLOOKUP(EDATE(B261,-12),Database!$A:$AS,MATCH($I$1,Database!$A$1:$AS$1,),)))))/(((VLOOKUP(EDATE(B261,-12),Database!$A:$AS,MATCH($I$1,Database!$A$1:$AS$1,),))))</f>
        <v>-0.12468193384126802</v>
      </c>
      <c r="J261" s="13">
        <f>((((VLOOKUP(B261,Database!$A:$AS,MATCH($J$1,Database!$A$1:$AS$1,),))))-(((VLOOKUP(EDATE(B261,-12),Database!$A:$AS,MATCH($J$1,Database!$A$1:$AS$1,),)))))/(((VLOOKUP(EDATE(B261,-12),Database!$A:$AS,MATCH($J$1,Database!$A$1:$AS$1,),))))</f>
        <v>-8.2885000433823713E-2</v>
      </c>
      <c r="K261" s="13">
        <f>((((VLOOKUP(B261,Database!$A:$AS,MATCH($K$1,Database!$A$1:$AS$1,),))))-(((VLOOKUP(EDATE(B261,-12),Database!$A:$AS,MATCH($K$1,Database!$A$1:$AS$1,),)))))/(((VLOOKUP(EDATE(B261,-12),Database!$A:$AS,MATCH($K$1,Database!$A$1:$AS$1,),))))</f>
        <v>-0.13949275362930863</v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>-4.6321321535852951E-2</v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>-7.0175438596491224E-2</v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>2.5143069598626871E-2</v>
      </c>
      <c r="O261" s="13">
        <f>((((VLOOKUP(B261,Database!$A:$AS,MATCH($O$1,Database!$A$1:$AS$1,),))))-(((VLOOKUP(EDATE(B261,-12),Database!$A:$AS,MATCH($O$1,Database!$A$1:$AS$1,),)))))/(((VLOOKUP(EDATE(B261,-12),Database!$A:$AS,MATCH($O$1,Database!$A$1:$AS$1,),))))</f>
        <v>-0.11341847194792296</v>
      </c>
      <c r="P261" s="13">
        <f>((((VLOOKUP(B261,Database!$A:$AS,MATCH($P$1,Database!$A$1:$AS$1,),))))-(((VLOOKUP(EDATE(B261,-12),Database!$A:$AS,MATCH($P$1,Database!$A$1:$AS$1,),)))))/(((VLOOKUP(EDATE(B261,-12),Database!$A:$AS,MATCH($P$1,Database!$A$1:$AS$1,),))))</f>
        <v>5.5161318479314006E-2</v>
      </c>
      <c r="Q261" s="13">
        <f>((((VLOOKUP(B261,Database!$A:$AS,MATCH($Q$1,Database!$A$1:$AS$1,),))))-(((VLOOKUP(EDATE(B261,-12),Database!$A:$AS,MATCH($Q$1,Database!$A$1:$AS$1,),)))))/(((VLOOKUP(EDATE(B261,-12),Database!$A:$AS,MATCH($Q$1,Database!$A$1:$AS$1,),))))</f>
        <v>-2.7944111769589941E-2</v>
      </c>
      <c r="R261" s="13">
        <f>((((VLOOKUP(B261,Database!$A:$AS,MATCH($R$1,Database!$A$1:$AS$1,),))))-(((VLOOKUP(EDATE(B261,-12),Database!$A:$AS,MATCH($R$1,Database!$A$1:$AS$1,),)))))/(((VLOOKUP(EDATE(B261,-12),Database!$A:$AS,MATCH($R$1,Database!$A$1:$AS$1,),))))</f>
        <v>-0.10724852070711245</v>
      </c>
      <c r="S261" s="13">
        <f>((((VLOOKUP(B261,Database!$A:$AS,MATCH($S$1,Database!$A$1:$AS$1,),))))-(((VLOOKUP(EDATE(B261,-12),Database!$A:$AS,MATCH($S$1,Database!$A$1:$AS$1,),)))))/(((VLOOKUP(EDATE(B261,-12),Database!$A:$AS,MATCH($S$1,Database!$A$1:$AS$1,),))))</f>
        <v>-2.6188166824169617E-2</v>
      </c>
      <c r="T261" s="13">
        <f>((((VLOOKUP(B261,Database!$A:$AS,MATCH($T$1,Database!$A$1:$AS$1,),))))-(((VLOOKUP(EDATE(B261,-12),Database!$A:$AS,MATCH($T$1,Database!$A$1:$AS$1,),)))))/(((VLOOKUP(EDATE(B261,-12),Database!$A:$AS,MATCH($T$1,Database!$A$1:$AS$1,),))))</f>
        <v>-1.6819571865911105E-2</v>
      </c>
      <c r="U261" s="13">
        <f>((((VLOOKUP(B261,Database!$A:$AS,MATCH($U$1,Database!$A$1:$AS$1,),))))-(((VLOOKUP(EDATE(B261,-12),Database!$A:$AS,MATCH($U$1,Database!$A$1:$AS$1,),)))))/(((VLOOKUP(EDATE(B261,-12),Database!$A:$AS,MATCH($U$1,Database!$A$1:$AS$1,),))))</f>
        <v>-6.4699205445222729E-2</v>
      </c>
      <c r="V261" s="13">
        <f>((((VLOOKUP(B261,Database!$A:$AS,MATCH($V$1,Database!$A$1:$AS$1,),))))-(((VLOOKUP(EDATE(B261,-12),Database!$A:$AS,MATCH($V$1,Database!$A$1:$AS$1,),)))))/(((VLOOKUP(EDATE(B261,-12),Database!$A:$AS,MATCH($V$1,Database!$A$1:$AS$1,),))))</f>
        <v>9.1264667535854351E-3</v>
      </c>
    </row>
    <row r="262" spans="1:22" s="83" customFormat="1" x14ac:dyDescent="0.2">
      <c r="A262" s="43"/>
      <c r="B262" s="78">
        <v>40118</v>
      </c>
      <c r="C262" s="13">
        <f>((((VLOOKUP(B262,Database!$A:$AS,MATCH($C$1,Database!$A$1:$AS$1,),))))-(((VLOOKUP(EDATE(B262,-12),Database!$A:$AS,MATCH($C$1,Database!$A$1:$AS$1,),)))))/(((VLOOKUP(EDATE(B262,-12),Database!$A:$AS,MATCH($C$1,Database!$A$1:$AS$1,),))))</f>
        <v>-5.849345859002876E-2</v>
      </c>
      <c r="D262" s="13">
        <f>((((VLOOKUP(B262,Database!$A:$AS,MATCH($D$1,Database!$A$1:$AS$1,),))))-(((VLOOKUP(EDATE(B262,-12),Database!$A:$AS,MATCH($D$1,Database!$A$1:$AS$1,),)))))/(((VLOOKUP(EDATE(B262,-12),Database!$A:$AS,MATCH($D$1,Database!$A$1:$AS$1,),))))</f>
        <v>-7.0121951219512244E-2</v>
      </c>
      <c r="E262" s="13">
        <f>((((VLOOKUP(B262,Database!$A:$AS,MATCH($E$1,Database!$A$1:$AS$1,),))))-(((VLOOKUP(EDATE(B262,-12),Database!$A:$AS,MATCH($E$1,Database!$A$1:$AS$1,),)))))/(((VLOOKUP(EDATE(B262,-12),Database!$A:$AS,MATCH($E$1,Database!$A$1:$AS$1,),))))</f>
        <v>-4.6906187629320986E-2</v>
      </c>
      <c r="F262" s="13">
        <f>((((VLOOKUP(B262,Database!$A:$AS,MATCH($F$1,Database!$A$1:$AS$1,),))))-(((VLOOKUP(EDATE(B262,-12),Database!$A:$AS,MATCH($F$1,Database!$A$1:$AS$1,),)))))/(((VLOOKUP(EDATE(B262,-12),Database!$A:$AS,MATCH($F$1,Database!$A$1:$AS$1,),))))</f>
        <v>-8.5620197583215457E-2</v>
      </c>
      <c r="G262" s="13">
        <f>((((VLOOKUP(B262,Database!$A:$AS,MATCH($G$1,Database!$A$1:$AS$1,),))))-(((VLOOKUP(EDATE(B262,-12),Database!$A:$AS,MATCH($G$1,Database!$A$1:$AS$1,),)))))/(((VLOOKUP(EDATE(B262,-12),Database!$A:$AS,MATCH($G$1,Database!$A$1:$AS$1,),))))</f>
        <v>-3.8313038313038353E-2</v>
      </c>
      <c r="H262" s="13">
        <f>((((VLOOKUP(B262,Database!$A:$AS,MATCH($H$1,Database!$A$1:$AS$1,),))))-(((VLOOKUP(EDATE(B262,-12),Database!$A:$AS,MATCH($H$1,Database!$A$1:$AS$1,),)))))/(((VLOOKUP(EDATE(B262,-12),Database!$A:$AS,MATCH($H$1,Database!$A$1:$AS$1,),))))</f>
        <v>-5.741127349224559E-2</v>
      </c>
      <c r="I262" s="13">
        <f>((((VLOOKUP(B262,Database!$A:$AS,MATCH($I$1,Database!$A$1:$AS$1,),))))-(((VLOOKUP(EDATE(B262,-12),Database!$A:$AS,MATCH($I$1,Database!$A$1:$AS$1,),)))))/(((VLOOKUP(EDATE(B262,-12),Database!$A:$AS,MATCH($I$1,Database!$A$1:$AS$1,),))))</f>
        <v>-9.1308165052434595E-2</v>
      </c>
      <c r="J262" s="13">
        <f>((((VLOOKUP(B262,Database!$A:$AS,MATCH($J$1,Database!$A$1:$AS$1,),))))-(((VLOOKUP(EDATE(B262,-12),Database!$A:$AS,MATCH($J$1,Database!$A$1:$AS$1,),)))))/(((VLOOKUP(EDATE(B262,-12),Database!$A:$AS,MATCH($J$1,Database!$A$1:$AS$1,),))))</f>
        <v>-5.6820841510010732E-2</v>
      </c>
      <c r="K262" s="13">
        <f>((((VLOOKUP(B262,Database!$A:$AS,MATCH($K$1,Database!$A$1:$AS$1,),))))-(((VLOOKUP(EDATE(B262,-12),Database!$A:$AS,MATCH($K$1,Database!$A$1:$AS$1,),)))))/(((VLOOKUP(EDATE(B262,-12),Database!$A:$AS,MATCH($K$1,Database!$A$1:$AS$1,),))))</f>
        <v>-0.11654135338819288</v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>-1.6430511877388903E-2</v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>2.0151133501259372E-2</v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>6.4316193077574191E-2</v>
      </c>
      <c r="O262" s="13">
        <f>((((VLOOKUP(B262,Database!$A:$AS,MATCH($O$1,Database!$A$1:$AS$1,),))))-(((VLOOKUP(EDATE(B262,-12),Database!$A:$AS,MATCH($O$1,Database!$A$1:$AS$1,),)))))/(((VLOOKUP(EDATE(B262,-12),Database!$A:$AS,MATCH($O$1,Database!$A$1:$AS$1,),))))</f>
        <v>-8.2549535451284892E-2</v>
      </c>
      <c r="P262" s="13">
        <f>((((VLOOKUP(B262,Database!$A:$AS,MATCH($P$1,Database!$A$1:$AS$1,),))))-(((VLOOKUP(EDATE(B262,-12),Database!$A:$AS,MATCH($P$1,Database!$A$1:$AS$1,),)))))/(((VLOOKUP(EDATE(B262,-12),Database!$A:$AS,MATCH($P$1,Database!$A$1:$AS$1,),))))</f>
        <v>0.18716465752067879</v>
      </c>
      <c r="Q262" s="13">
        <f>((((VLOOKUP(B262,Database!$A:$AS,MATCH($Q$1,Database!$A$1:$AS$1,),))))-(((VLOOKUP(EDATE(B262,-12),Database!$A:$AS,MATCH($Q$1,Database!$A$1:$AS$1,),)))))/(((VLOOKUP(EDATE(B262,-12),Database!$A:$AS,MATCH($Q$1,Database!$A$1:$AS$1,),))))</f>
        <v>4.8728813564581176E-2</v>
      </c>
      <c r="R262" s="13">
        <f>((((VLOOKUP(B262,Database!$A:$AS,MATCH($R$1,Database!$A$1:$AS$1,),))))-(((VLOOKUP(EDATE(B262,-12),Database!$A:$AS,MATCH($R$1,Database!$A$1:$AS$1,),)))))/(((VLOOKUP(EDATE(B262,-12),Database!$A:$AS,MATCH($R$1,Database!$A$1:$AS$1,),))))</f>
        <v>-5.7515337427510783E-2</v>
      </c>
      <c r="S262" s="13">
        <f>((((VLOOKUP(B262,Database!$A:$AS,MATCH($S$1,Database!$A$1:$AS$1,),))))-(((VLOOKUP(EDATE(B262,-12),Database!$A:$AS,MATCH($S$1,Database!$A$1:$AS$1,),)))))/(((VLOOKUP(EDATE(B262,-12),Database!$A:$AS,MATCH($S$1,Database!$A$1:$AS$1,),))))</f>
        <v>-0.1591908531265129</v>
      </c>
      <c r="T262" s="13">
        <f>((((VLOOKUP(B262,Database!$A:$AS,MATCH($T$1,Database!$A$1:$AS$1,),))))-(((VLOOKUP(EDATE(B262,-12),Database!$A:$AS,MATCH($T$1,Database!$A$1:$AS$1,),)))))/(((VLOOKUP(EDATE(B262,-12),Database!$A:$AS,MATCH($T$1,Database!$A$1:$AS$1,),))))</f>
        <v>6.5182829891947638E-2</v>
      </c>
      <c r="U262" s="13">
        <f>((((VLOOKUP(B262,Database!$A:$AS,MATCH($U$1,Database!$A$1:$AS$1,),))))-(((VLOOKUP(EDATE(B262,-12),Database!$A:$AS,MATCH($U$1,Database!$A$1:$AS$1,),)))))/(((VLOOKUP(EDATE(B262,-12),Database!$A:$AS,MATCH($U$1,Database!$A$1:$AS$1,),))))</f>
        <v>-4.5882352937494278E-2</v>
      </c>
      <c r="V262" s="13">
        <f>((((VLOOKUP(B262,Database!$A:$AS,MATCH($V$1,Database!$A$1:$AS$1,),))))-(((VLOOKUP(EDATE(B262,-12),Database!$A:$AS,MATCH($V$1,Database!$A$1:$AS$1,),)))))/(((VLOOKUP(EDATE(B262,-12),Database!$A:$AS,MATCH($V$1,Database!$A$1:$AS$1,),))))</f>
        <v>7.1625344352617124E-2</v>
      </c>
    </row>
    <row r="263" spans="1:22" s="83" customFormat="1" x14ac:dyDescent="0.2">
      <c r="A263" s="43"/>
      <c r="B263" s="78">
        <v>40148</v>
      </c>
      <c r="C263" s="13">
        <f>((((VLOOKUP(B263,Database!$A:$AS,MATCH($C$1,Database!$A$1:$AS$1,),))))-(((VLOOKUP(EDATE(B263,-12),Database!$A:$AS,MATCH($C$1,Database!$A$1:$AS$1,),)))))/(((VLOOKUP(EDATE(B263,-12),Database!$A:$AS,MATCH($C$1,Database!$A$1:$AS$1,),))))</f>
        <v>-2.799999999928917E-2</v>
      </c>
      <c r="D263" s="13">
        <f>((((VLOOKUP(B263,Database!$A:$AS,MATCH($D$1,Database!$A$1:$AS$1,),))))-(((VLOOKUP(EDATE(B263,-12),Database!$A:$AS,MATCH($D$1,Database!$A$1:$AS$1,),)))))/(((VLOOKUP(EDATE(B263,-12),Database!$A:$AS,MATCH($D$1,Database!$A$1:$AS$1,),))))</f>
        <v>-3.6842105263157891E-2</v>
      </c>
      <c r="E263" s="13">
        <f>((((VLOOKUP(B263,Database!$A:$AS,MATCH($E$1,Database!$A$1:$AS$1,),))))-(((VLOOKUP(EDATE(B263,-12),Database!$A:$AS,MATCH($E$1,Database!$A$1:$AS$1,),)))))/(((VLOOKUP(EDATE(B263,-12),Database!$A:$AS,MATCH($E$1,Database!$A$1:$AS$1,),))))</f>
        <v>4.5602605871668811E-2</v>
      </c>
      <c r="F263" s="13">
        <f>((((VLOOKUP(B263,Database!$A:$AS,MATCH($F$1,Database!$A$1:$AS$1,),))))-(((VLOOKUP(EDATE(B263,-12),Database!$A:$AS,MATCH($F$1,Database!$A$1:$AS$1,),)))))/(((VLOOKUP(EDATE(B263,-12),Database!$A:$AS,MATCH($F$1,Database!$A$1:$AS$1,),))))</f>
        <v>-5.0171037629370412E-2</v>
      </c>
      <c r="G263" s="13">
        <f>((((VLOOKUP(B263,Database!$A:$AS,MATCH($G$1,Database!$A$1:$AS$1,),))))-(((VLOOKUP(EDATE(B263,-12),Database!$A:$AS,MATCH($G$1,Database!$A$1:$AS$1,),)))))/(((VLOOKUP(EDATE(B263,-12),Database!$A:$AS,MATCH($G$1,Database!$A$1:$AS$1,),))))</f>
        <v>-2.7906042963260401E-2</v>
      </c>
      <c r="H263" s="13">
        <f>((((VLOOKUP(B263,Database!$A:$AS,MATCH($H$1,Database!$A$1:$AS$1,),))))-(((VLOOKUP(EDATE(B263,-12),Database!$A:$AS,MATCH($H$1,Database!$A$1:$AS$1,),)))))/(((VLOOKUP(EDATE(B263,-12),Database!$A:$AS,MATCH($H$1,Database!$A$1:$AS$1,),))))</f>
        <v>-5.3684210531322933E-2</v>
      </c>
      <c r="I263" s="13">
        <f>((((VLOOKUP(B263,Database!$A:$AS,MATCH($I$1,Database!$A$1:$AS$1,),))))-(((VLOOKUP(EDATE(B263,-12),Database!$A:$AS,MATCH($I$1,Database!$A$1:$AS$1,),)))))/(((VLOOKUP(EDATE(B263,-12),Database!$A:$AS,MATCH($I$1,Database!$A$1:$AS$1,),))))</f>
        <v>-6.5934065934267164E-2</v>
      </c>
      <c r="J263" s="13">
        <f>((((VLOOKUP(B263,Database!$A:$AS,MATCH($J$1,Database!$A$1:$AS$1,),))))-(((VLOOKUP(EDATE(B263,-12),Database!$A:$AS,MATCH($J$1,Database!$A$1:$AS$1,),)))))/(((VLOOKUP(EDATE(B263,-12),Database!$A:$AS,MATCH($J$1,Database!$A$1:$AS$1,),))))</f>
        <v>-1.3324245082427029E-2</v>
      </c>
      <c r="K263" s="13">
        <f>((((VLOOKUP(B263,Database!$A:$AS,MATCH($K$1,Database!$A$1:$AS$1,),))))-(((VLOOKUP(EDATE(B263,-12),Database!$A:$AS,MATCH($K$1,Database!$A$1:$AS$1,),)))))/(((VLOOKUP(EDATE(B263,-12),Database!$A:$AS,MATCH($K$1,Database!$A$1:$AS$1,),))))</f>
        <v>-3.9473684219581577E-2</v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>-8.824516331596392E-3</v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>6.4220183486238605E-2</v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>9.6025994176481638E-2</v>
      </c>
      <c r="O263" s="13">
        <f>((((VLOOKUP(B263,Database!$A:$AS,MATCH($O$1,Database!$A$1:$AS$1,),))))-(((VLOOKUP(EDATE(B263,-12),Database!$A:$AS,MATCH($O$1,Database!$A$1:$AS$1,),)))))/(((VLOOKUP(EDATE(B263,-12),Database!$A:$AS,MATCH($O$1,Database!$A$1:$AS$1,),))))</f>
        <v>-5.8022144542326314E-2</v>
      </c>
      <c r="P263" s="13">
        <f>((((VLOOKUP(B263,Database!$A:$AS,MATCH($P$1,Database!$A$1:$AS$1,),))))-(((VLOOKUP(EDATE(B263,-12),Database!$A:$AS,MATCH($P$1,Database!$A$1:$AS$1,),)))))/(((VLOOKUP(EDATE(B263,-12),Database!$A:$AS,MATCH($P$1,Database!$A$1:$AS$1,),))))</f>
        <v>0.34638464551327736</v>
      </c>
      <c r="Q263" s="13">
        <f>((((VLOOKUP(B263,Database!$A:$AS,MATCH($Q$1,Database!$A$1:$AS$1,),))))-(((VLOOKUP(EDATE(B263,-12),Database!$A:$AS,MATCH($Q$1,Database!$A$1:$AS$1,),)))))/(((VLOOKUP(EDATE(B263,-12),Database!$A:$AS,MATCH($Q$1,Database!$A$1:$AS$1,),))))</f>
        <v>0.18257756562610791</v>
      </c>
      <c r="R263" s="13">
        <f>((((VLOOKUP(B263,Database!$A:$AS,MATCH($R$1,Database!$A$1:$AS$1,),))))-(((VLOOKUP(EDATE(B263,-12),Database!$A:$AS,MATCH($R$1,Database!$A$1:$AS$1,),)))))/(((VLOOKUP(EDATE(B263,-12),Database!$A:$AS,MATCH($R$1,Database!$A$1:$AS$1,),))))</f>
        <v>-7.1870170018612942E-2</v>
      </c>
      <c r="S263" s="13">
        <f>((((VLOOKUP(B263,Database!$A:$AS,MATCH($S$1,Database!$A$1:$AS$1,),))))-(((VLOOKUP(EDATE(B263,-12),Database!$A:$AS,MATCH($S$1,Database!$A$1:$AS$1,),)))))/(((VLOOKUP(EDATE(B263,-12),Database!$A:$AS,MATCH($S$1,Database!$A$1:$AS$1,),))))</f>
        <v>-4.1338582672432463E-2</v>
      </c>
      <c r="T263" s="13">
        <f>((((VLOOKUP(B263,Database!$A:$AS,MATCH($T$1,Database!$A$1:$AS$1,),))))-(((VLOOKUP(EDATE(B263,-12),Database!$A:$AS,MATCH($T$1,Database!$A$1:$AS$1,),)))))/(((VLOOKUP(EDATE(B263,-12),Database!$A:$AS,MATCH($T$1,Database!$A$1:$AS$1,),))))</f>
        <v>5.0736497541525545E-2</v>
      </c>
      <c r="U263" s="13">
        <f>((((VLOOKUP(B263,Database!$A:$AS,MATCH($U$1,Database!$A$1:$AS$1,),))))-(((VLOOKUP(EDATE(B263,-12),Database!$A:$AS,MATCH($U$1,Database!$A$1:$AS$1,),)))))/(((VLOOKUP(EDATE(B263,-12),Database!$A:$AS,MATCH($U$1,Database!$A$1:$AS$1,),))))</f>
        <v>0</v>
      </c>
      <c r="V263" s="13">
        <f>((((VLOOKUP(B263,Database!$A:$AS,MATCH($V$1,Database!$A$1:$AS$1,),))))-(((VLOOKUP(EDATE(B263,-12),Database!$A:$AS,MATCH($V$1,Database!$A$1:$AS$1,),)))))/(((VLOOKUP(EDATE(B263,-12),Database!$A:$AS,MATCH($V$1,Database!$A$1:$AS$1,),))))</f>
        <v>5.5325034578146616E-2</v>
      </c>
    </row>
    <row r="264" spans="1:22" s="83" customFormat="1" x14ac:dyDescent="0.2">
      <c r="A264" s="43"/>
      <c r="B264" s="78">
        <v>40179</v>
      </c>
      <c r="C264" s="13">
        <f>((((VLOOKUP(B264,Database!$A:$AS,MATCH($C$1,Database!$A$1:$AS$1,),))))-(((VLOOKUP(EDATE(B264,-12),Database!$A:$AS,MATCH($C$1,Database!$A$1:$AS$1,),)))))/(((VLOOKUP(EDATE(B264,-12),Database!$A:$AS,MATCH($C$1,Database!$A$1:$AS$1,),))))</f>
        <v>7.805109331823528E-3</v>
      </c>
      <c r="D264" s="13">
        <f>((((VLOOKUP(B264,Database!$A:$AS,MATCH($D$1,Database!$A$1:$AS$1,),))))-(((VLOOKUP(EDATE(B264,-12),Database!$A:$AS,MATCH($D$1,Database!$A$1:$AS$1,),)))))/(((VLOOKUP(EDATE(B264,-12),Database!$A:$AS,MATCH($D$1,Database!$A$1:$AS$1,),))))</f>
        <v>2.1953896816684963E-2</v>
      </c>
      <c r="E264" s="13">
        <f>((((VLOOKUP(B264,Database!$A:$AS,MATCH($E$1,Database!$A$1:$AS$1,),))))-(((VLOOKUP(EDATE(B264,-12),Database!$A:$AS,MATCH($E$1,Database!$A$1:$AS$1,),)))))/(((VLOOKUP(EDATE(B264,-12),Database!$A:$AS,MATCH($E$1,Database!$A$1:$AS$1,),))))</f>
        <v>0.16292798110731402</v>
      </c>
      <c r="F264" s="13">
        <f>((((VLOOKUP(B264,Database!$A:$AS,MATCH($F$1,Database!$A$1:$AS$1,),))))-(((VLOOKUP(EDATE(B264,-12),Database!$A:$AS,MATCH($F$1,Database!$A$1:$AS$1,),)))))/(((VLOOKUP(EDATE(B264,-12),Database!$A:$AS,MATCH($F$1,Database!$A$1:$AS$1,),))))</f>
        <v>4.2131350690704256E-2</v>
      </c>
      <c r="G264" s="13">
        <f>((((VLOOKUP(B264,Database!$A:$AS,MATCH($G$1,Database!$A$1:$AS$1,),))))-(((VLOOKUP(EDATE(B264,-12),Database!$A:$AS,MATCH($G$1,Database!$A$1:$AS$1,),)))))/(((VLOOKUP(EDATE(B264,-12),Database!$A:$AS,MATCH($G$1,Database!$A$1:$AS$1,),))))</f>
        <v>2.0223079328677136E-2</v>
      </c>
      <c r="H264" s="13">
        <f>((((VLOOKUP(B264,Database!$A:$AS,MATCH($H$1,Database!$A$1:$AS$1,),))))-(((VLOOKUP(EDATE(B264,-12),Database!$A:$AS,MATCH($H$1,Database!$A$1:$AS$1,),)))))/(((VLOOKUP(EDATE(B264,-12),Database!$A:$AS,MATCH($H$1,Database!$A$1:$AS$1,),))))</f>
        <v>-4.2553191489572206E-2</v>
      </c>
      <c r="I264" s="13">
        <f>((((VLOOKUP(B264,Database!$A:$AS,MATCH($I$1,Database!$A$1:$AS$1,),))))-(((VLOOKUP(EDATE(B264,-12),Database!$A:$AS,MATCH($I$1,Database!$A$1:$AS$1,),)))))/(((VLOOKUP(EDATE(B264,-12),Database!$A:$AS,MATCH($I$1,Database!$A$1:$AS$1,),))))</f>
        <v>5.7142857127072851E-3</v>
      </c>
      <c r="J264" s="13">
        <f>((((VLOOKUP(B264,Database!$A:$AS,MATCH($J$1,Database!$A$1:$AS$1,),))))-(((VLOOKUP(EDATE(B264,-12),Database!$A:$AS,MATCH($J$1,Database!$A$1:$AS$1,),)))))/(((VLOOKUP(EDATE(B264,-12),Database!$A:$AS,MATCH($J$1,Database!$A$1:$AS$1,),))))</f>
        <v>-2.1751971269237291E-2</v>
      </c>
      <c r="K264" s="13">
        <f>((((VLOOKUP(B264,Database!$A:$AS,MATCH($K$1,Database!$A$1:$AS$1,),))))-(((VLOOKUP(EDATE(B264,-12),Database!$A:$AS,MATCH($K$1,Database!$A$1:$AS$1,),)))))/(((VLOOKUP(EDATE(B264,-12),Database!$A:$AS,MATCH($K$1,Database!$A$1:$AS$1,),))))</f>
        <v>1.6684045876429281E-2</v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>2.6569544434932993E-2</v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>8.5413929040735886E-2</v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>0.1387167299179895</v>
      </c>
      <c r="O264" s="13">
        <f>((((VLOOKUP(B264,Database!$A:$AS,MATCH($O$1,Database!$A$1:$AS$1,),))))-(((VLOOKUP(EDATE(B264,-12),Database!$A:$AS,MATCH($O$1,Database!$A$1:$AS$1,),)))))/(((VLOOKUP(EDATE(B264,-12),Database!$A:$AS,MATCH($O$1,Database!$A$1:$AS$1,),))))</f>
        <v>-2.889107523854946E-2</v>
      </c>
      <c r="P264" s="13">
        <f>((((VLOOKUP(B264,Database!$A:$AS,MATCH($P$1,Database!$A$1:$AS$1,),))))-(((VLOOKUP(EDATE(B264,-12),Database!$A:$AS,MATCH($P$1,Database!$A$1:$AS$1,),)))))/(((VLOOKUP(EDATE(B264,-12),Database!$A:$AS,MATCH($P$1,Database!$A$1:$AS$1,),))))</f>
        <v>0.32893041237104997</v>
      </c>
      <c r="Q264" s="13">
        <f>((((VLOOKUP(B264,Database!$A:$AS,MATCH($Q$1,Database!$A$1:$AS$1,),))))-(((VLOOKUP(EDATE(B264,-12),Database!$A:$AS,MATCH($Q$1,Database!$A$1:$AS$1,),)))))/(((VLOOKUP(EDATE(B264,-12),Database!$A:$AS,MATCH($Q$1,Database!$A$1:$AS$1,),))))</f>
        <v>0.17502917153065337</v>
      </c>
      <c r="R264" s="13">
        <f>((((VLOOKUP(B264,Database!$A:$AS,MATCH($R$1,Database!$A$1:$AS$1,),))))-(((VLOOKUP(EDATE(B264,-12),Database!$A:$AS,MATCH($R$1,Database!$A$1:$AS$1,),)))))/(((VLOOKUP(EDATE(B264,-12),Database!$A:$AS,MATCH($R$1,Database!$A$1:$AS$1,),))))</f>
        <v>-6.2247372675540723E-2</v>
      </c>
      <c r="S264" s="13">
        <f>((((VLOOKUP(B264,Database!$A:$AS,MATCH($S$1,Database!$A$1:$AS$1,),))))-(((VLOOKUP(EDATE(B264,-12),Database!$A:$AS,MATCH($S$1,Database!$A$1:$AS$1,),)))))/(((VLOOKUP(EDATE(B264,-12),Database!$A:$AS,MATCH($S$1,Database!$A$1:$AS$1,),))))</f>
        <v>7.5881450337578552E-3</v>
      </c>
      <c r="T264" s="13">
        <f>((((VLOOKUP(B264,Database!$A:$AS,MATCH($T$1,Database!$A$1:$AS$1,),))))-(((VLOOKUP(EDATE(B264,-12),Database!$A:$AS,MATCH($T$1,Database!$A$1:$AS$1,),)))))/(((VLOOKUP(EDATE(B264,-12),Database!$A:$AS,MATCH($T$1,Database!$A$1:$AS$1,),))))</f>
        <v>0.11578947368679604</v>
      </c>
      <c r="U264" s="13">
        <f>((((VLOOKUP(B264,Database!$A:$AS,MATCH($U$1,Database!$A$1:$AS$1,),))))-(((VLOOKUP(EDATE(B264,-12),Database!$A:$AS,MATCH($U$1,Database!$A$1:$AS$1,),)))))/(((VLOOKUP(EDATE(B264,-12),Database!$A:$AS,MATCH($U$1,Database!$A$1:$AS$1,),))))</f>
        <v>4.7254150701007351E-2</v>
      </c>
      <c r="V264" s="13">
        <f>((((VLOOKUP(B264,Database!$A:$AS,MATCH($V$1,Database!$A$1:$AS$1,),))))-(((VLOOKUP(EDATE(B264,-12),Database!$A:$AS,MATCH($V$1,Database!$A$1:$AS$1,),)))))/(((VLOOKUP(EDATE(B264,-12),Database!$A:$AS,MATCH($V$1,Database!$A$1:$AS$1,),))))</f>
        <v>0.1136044880785415</v>
      </c>
    </row>
    <row r="265" spans="1:22" s="83" customFormat="1" x14ac:dyDescent="0.2">
      <c r="A265" s="43"/>
      <c r="B265" s="78">
        <v>40210</v>
      </c>
      <c r="C265" s="13">
        <f>((((VLOOKUP(B265,Database!$A:$AS,MATCH($C$1,Database!$A$1:$AS$1,),))))-(((VLOOKUP(EDATE(B265,-12),Database!$A:$AS,MATCH($C$1,Database!$A$1:$AS$1,),)))))/(((VLOOKUP(EDATE(B265,-12),Database!$A:$AS,MATCH($C$1,Database!$A$1:$AS$1,),))))</f>
        <v>1.7702021099000875E-2</v>
      </c>
      <c r="D265" s="13">
        <f>((((VLOOKUP(B265,Database!$A:$AS,MATCH($D$1,Database!$A$1:$AS$1,),))))-(((VLOOKUP(EDATE(B265,-12),Database!$A:$AS,MATCH($D$1,Database!$A$1:$AS$1,),)))))/(((VLOOKUP(EDATE(B265,-12),Database!$A:$AS,MATCH($D$1,Database!$A$1:$AS$1,),))))</f>
        <v>3.9281705948372617E-2</v>
      </c>
      <c r="E265" s="13">
        <f>((((VLOOKUP(B265,Database!$A:$AS,MATCH($E$1,Database!$A$1:$AS$1,),))))-(((VLOOKUP(EDATE(B265,-12),Database!$A:$AS,MATCH($E$1,Database!$A$1:$AS$1,),)))))/(((VLOOKUP(EDATE(B265,-12),Database!$A:$AS,MATCH($E$1,Database!$A$1:$AS$1,),))))</f>
        <v>0.27319587628885389</v>
      </c>
      <c r="F265" s="13">
        <f>((((VLOOKUP(B265,Database!$A:$AS,MATCH($F$1,Database!$A$1:$AS$1,),))))-(((VLOOKUP(EDATE(B265,-12),Database!$A:$AS,MATCH($F$1,Database!$A$1:$AS$1,),)))))/(((VLOOKUP(EDATE(B265,-12),Database!$A:$AS,MATCH($F$1,Database!$A$1:$AS$1,),))))</f>
        <v>6.5217391312132361E-2</v>
      </c>
      <c r="G265" s="13">
        <f>((((VLOOKUP(B265,Database!$A:$AS,MATCH($G$1,Database!$A$1:$AS$1,),))))-(((VLOOKUP(EDATE(B265,-12),Database!$A:$AS,MATCH($G$1,Database!$A$1:$AS$1,),)))))/(((VLOOKUP(EDATE(B265,-12),Database!$A:$AS,MATCH($G$1,Database!$A$1:$AS$1,),))))</f>
        <v>2.7909927053599751E-2</v>
      </c>
      <c r="H265" s="13">
        <f>((((VLOOKUP(B265,Database!$A:$AS,MATCH($H$1,Database!$A$1:$AS$1,),))))-(((VLOOKUP(EDATE(B265,-12),Database!$A:$AS,MATCH($H$1,Database!$A$1:$AS$1,),)))))/(((VLOOKUP(EDATE(B265,-12),Database!$A:$AS,MATCH($H$1,Database!$A$1:$AS$1,),))))</f>
        <v>-2.4838012957293345E-2</v>
      </c>
      <c r="I265" s="13">
        <f>((((VLOOKUP(B265,Database!$A:$AS,MATCH($I$1,Database!$A$1:$AS$1,),))))-(((VLOOKUP(EDATE(B265,-12),Database!$A:$AS,MATCH($I$1,Database!$A$1:$AS$1,),)))))/(((VLOOKUP(EDATE(B265,-12),Database!$A:$AS,MATCH($I$1,Database!$A$1:$AS$1,),))))</f>
        <v>3.3596837951948857E-2</v>
      </c>
      <c r="J265" s="13">
        <f>((((VLOOKUP(B265,Database!$A:$AS,MATCH($J$1,Database!$A$1:$AS$1,),))))-(((VLOOKUP(EDATE(B265,-12),Database!$A:$AS,MATCH($J$1,Database!$A$1:$AS$1,),)))))/(((VLOOKUP(EDATE(B265,-12),Database!$A:$AS,MATCH($J$1,Database!$A$1:$AS$1,),))))</f>
        <v>-1.7362846713095487E-2</v>
      </c>
      <c r="K265" s="13">
        <f>((((VLOOKUP(B265,Database!$A:$AS,MATCH($K$1,Database!$A$1:$AS$1,),))))-(((VLOOKUP(EDATE(B265,-12),Database!$A:$AS,MATCH($K$1,Database!$A$1:$AS$1,),)))))/(((VLOOKUP(EDATE(B265,-12),Database!$A:$AS,MATCH($K$1,Database!$A$1:$AS$1,),))))</f>
        <v>-1.9328585956034278E-2</v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>2.3996262668093779E-2</v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>7.4122236671001152E-2</v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>0.13721664889844001</v>
      </c>
      <c r="O265" s="13">
        <f>((((VLOOKUP(B265,Database!$A:$AS,MATCH($O$1,Database!$A$1:$AS$1,),))))-(((VLOOKUP(EDATE(B265,-12),Database!$A:$AS,MATCH($O$1,Database!$A$1:$AS$1,),)))))/(((VLOOKUP(EDATE(B265,-12),Database!$A:$AS,MATCH($O$1,Database!$A$1:$AS$1,),))))</f>
        <v>-3.9900279906494905E-3</v>
      </c>
      <c r="P265" s="13">
        <f>((((VLOOKUP(B265,Database!$A:$AS,MATCH($P$1,Database!$A$1:$AS$1,),))))-(((VLOOKUP(EDATE(B265,-12),Database!$A:$AS,MATCH($P$1,Database!$A$1:$AS$1,),)))))/(((VLOOKUP(EDATE(B265,-12),Database!$A:$AS,MATCH($P$1,Database!$A$1:$AS$1,),))))</f>
        <v>0.26302083332658788</v>
      </c>
      <c r="Q265" s="13">
        <f>((((VLOOKUP(B265,Database!$A:$AS,MATCH($Q$1,Database!$A$1:$AS$1,),))))-(((VLOOKUP(EDATE(B265,-12),Database!$A:$AS,MATCH($Q$1,Database!$A$1:$AS$1,),)))))/(((VLOOKUP(EDATE(B265,-12),Database!$A:$AS,MATCH($Q$1,Database!$A$1:$AS$1,),))))</f>
        <v>0.14726027397771579</v>
      </c>
      <c r="R265" s="13">
        <f>((((VLOOKUP(B265,Database!$A:$AS,MATCH($R$1,Database!$A$1:$AS$1,),))))-(((VLOOKUP(EDATE(B265,-12),Database!$A:$AS,MATCH($R$1,Database!$A$1:$AS$1,),)))))/(((VLOOKUP(EDATE(B265,-12),Database!$A:$AS,MATCH($R$1,Database!$A$1:$AS$1,),))))</f>
        <v>-0.10286156225785893</v>
      </c>
      <c r="S265" s="13">
        <f>((((VLOOKUP(B265,Database!$A:$AS,MATCH($S$1,Database!$A$1:$AS$1,),))))-(((VLOOKUP(EDATE(B265,-12),Database!$A:$AS,MATCH($S$1,Database!$A$1:$AS$1,),)))))/(((VLOOKUP(EDATE(B265,-12),Database!$A:$AS,MATCH($S$1,Database!$A$1:$AS$1,),))))</f>
        <v>2.6198041305396859E-2</v>
      </c>
      <c r="T265" s="13">
        <f>((((VLOOKUP(B265,Database!$A:$AS,MATCH($T$1,Database!$A$1:$AS$1,),))))-(((VLOOKUP(EDATE(B265,-12),Database!$A:$AS,MATCH($T$1,Database!$A$1:$AS$1,),)))))/(((VLOOKUP(EDATE(B265,-12),Database!$A:$AS,MATCH($T$1,Database!$A$1:$AS$1,),))))</f>
        <v>0.11855670103269929</v>
      </c>
      <c r="U265" s="13">
        <f>((((VLOOKUP(B265,Database!$A:$AS,MATCH($U$1,Database!$A$1:$AS$1,),))))-(((VLOOKUP(EDATE(B265,-12),Database!$A:$AS,MATCH($U$1,Database!$A$1:$AS$1,),)))))/(((VLOOKUP(EDATE(B265,-12),Database!$A:$AS,MATCH($U$1,Database!$A$1:$AS$1,),))))</f>
        <v>4.1984732828846974E-2</v>
      </c>
      <c r="V265" s="13">
        <f>((((VLOOKUP(B265,Database!$A:$AS,MATCH($V$1,Database!$A$1:$AS$1,),))))-(((VLOOKUP(EDATE(B265,-12),Database!$A:$AS,MATCH($V$1,Database!$A$1:$AS$1,),)))))/(((VLOOKUP(EDATE(B265,-12),Database!$A:$AS,MATCH($V$1,Database!$A$1:$AS$1,),))))</f>
        <v>9.4910591471801808E-2</v>
      </c>
    </row>
    <row r="266" spans="1:22" s="83" customFormat="1" x14ac:dyDescent="0.2">
      <c r="A266" s="43"/>
      <c r="B266" s="78">
        <v>40238</v>
      </c>
      <c r="C266" s="13">
        <f>((((VLOOKUP(B266,Database!$A:$AS,MATCH($C$1,Database!$A$1:$AS$1,),))))-(((VLOOKUP(EDATE(B266,-12),Database!$A:$AS,MATCH($C$1,Database!$A$1:$AS$1,),)))))/(((VLOOKUP(EDATE(B266,-12),Database!$A:$AS,MATCH($C$1,Database!$A$1:$AS$1,),))))</f>
        <v>4.1858102059371453E-2</v>
      </c>
      <c r="D266" s="13">
        <f>((((VLOOKUP(B266,Database!$A:$AS,MATCH($D$1,Database!$A$1:$AS$1,),))))-(((VLOOKUP(EDATE(B266,-12),Database!$A:$AS,MATCH($D$1,Database!$A$1:$AS$1,),)))))/(((VLOOKUP(EDATE(B266,-12),Database!$A:$AS,MATCH($D$1,Database!$A$1:$AS$1,),))))</f>
        <v>7.2810011376564177E-2</v>
      </c>
      <c r="E266" s="13">
        <f>((((VLOOKUP(B266,Database!$A:$AS,MATCH($E$1,Database!$A$1:$AS$1,),))))-(((VLOOKUP(EDATE(B266,-12),Database!$A:$AS,MATCH($E$1,Database!$A$1:$AS$1,),)))))/(((VLOOKUP(EDATE(B266,-12),Database!$A:$AS,MATCH($E$1,Database!$A$1:$AS$1,),))))</f>
        <v>0.26564495531131516</v>
      </c>
      <c r="F266" s="13">
        <f>((((VLOOKUP(B266,Database!$A:$AS,MATCH($F$1,Database!$A$1:$AS$1,),))))-(((VLOOKUP(EDATE(B266,-12),Database!$A:$AS,MATCH($F$1,Database!$A$1:$AS$1,),)))))/(((VLOOKUP(EDATE(B266,-12),Database!$A:$AS,MATCH($F$1,Database!$A$1:$AS$1,),))))</f>
        <v>9.6815286631864075E-2</v>
      </c>
      <c r="G266" s="13">
        <f>((((VLOOKUP(B266,Database!$A:$AS,MATCH($G$1,Database!$A$1:$AS$1,),))))-(((VLOOKUP(EDATE(B266,-12),Database!$A:$AS,MATCH($G$1,Database!$A$1:$AS$1,),)))))/(((VLOOKUP(EDATE(B266,-12),Database!$A:$AS,MATCH($G$1,Database!$A$1:$AS$1,),))))</f>
        <v>6.7959073774905787E-2</v>
      </c>
      <c r="H266" s="13">
        <f>((((VLOOKUP(B266,Database!$A:$AS,MATCH($H$1,Database!$A$1:$AS$1,),))))-(((VLOOKUP(EDATE(B266,-12),Database!$A:$AS,MATCH($H$1,Database!$A$1:$AS$1,),)))))/(((VLOOKUP(EDATE(B266,-12),Database!$A:$AS,MATCH($H$1,Database!$A$1:$AS$1,),))))</f>
        <v>-3.2573289834207874E-3</v>
      </c>
      <c r="I266" s="13">
        <f>((((VLOOKUP(B266,Database!$A:$AS,MATCH($I$1,Database!$A$1:$AS$1,),))))-(((VLOOKUP(EDATE(B266,-12),Database!$A:$AS,MATCH($I$1,Database!$A$1:$AS$1,),)))))/(((VLOOKUP(EDATE(B266,-12),Database!$A:$AS,MATCH($I$1,Database!$A$1:$AS$1,),))))</f>
        <v>8.2304526750114404E-2</v>
      </c>
      <c r="J266" s="13">
        <f>((((VLOOKUP(B266,Database!$A:$AS,MATCH($J$1,Database!$A$1:$AS$1,),))))-(((VLOOKUP(EDATE(B266,-12),Database!$A:$AS,MATCH($J$1,Database!$A$1:$AS$1,),)))))/(((VLOOKUP(EDATE(B266,-12),Database!$A:$AS,MATCH($J$1,Database!$A$1:$AS$1,),))))</f>
        <v>4.0268717742380632E-2</v>
      </c>
      <c r="K266" s="13">
        <f>((((VLOOKUP(B266,Database!$A:$AS,MATCH($K$1,Database!$A$1:$AS$1,),))))-(((VLOOKUP(EDATE(B266,-12),Database!$A:$AS,MATCH($K$1,Database!$A$1:$AS$1,),)))))/(((VLOOKUP(EDATE(B266,-12),Database!$A:$AS,MATCH($K$1,Database!$A$1:$AS$1,),))))</f>
        <v>5.2016985144877972E-2</v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>4.2447309066031641E-2</v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>8.8657105606258113E-2</v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>0.14425110783399148</v>
      </c>
      <c r="O266" s="13">
        <f>((((VLOOKUP(B266,Database!$A:$AS,MATCH($O$1,Database!$A$1:$AS$1,),))))-(((VLOOKUP(EDATE(B266,-12),Database!$A:$AS,MATCH($O$1,Database!$A$1:$AS$1,),)))))/(((VLOOKUP(EDATE(B266,-12),Database!$A:$AS,MATCH($O$1,Database!$A$1:$AS$1,),))))</f>
        <v>2.9649494826998368E-2</v>
      </c>
      <c r="P266" s="13">
        <f>((((VLOOKUP(B266,Database!$A:$AS,MATCH($P$1,Database!$A$1:$AS$1,),))))-(((VLOOKUP(EDATE(B266,-12),Database!$A:$AS,MATCH($P$1,Database!$A$1:$AS$1,),)))))/(((VLOOKUP(EDATE(B266,-12),Database!$A:$AS,MATCH($P$1,Database!$A$1:$AS$1,),))))</f>
        <v>0.22689075630332101</v>
      </c>
      <c r="Q266" s="13">
        <f>((((VLOOKUP(B266,Database!$A:$AS,MATCH($Q$1,Database!$A$1:$AS$1,),))))-(((VLOOKUP(EDATE(B266,-12),Database!$A:$AS,MATCH($Q$1,Database!$A$1:$AS$1,),)))))/(((VLOOKUP(EDATE(B266,-12),Database!$A:$AS,MATCH($Q$1,Database!$A$1:$AS$1,),))))</f>
        <v>0.17045454545607022</v>
      </c>
      <c r="R266" s="13">
        <f>((((VLOOKUP(B266,Database!$A:$AS,MATCH($R$1,Database!$A$1:$AS$1,),))))-(((VLOOKUP(EDATE(B266,-12),Database!$A:$AS,MATCH($R$1,Database!$A$1:$AS$1,),)))))/(((VLOOKUP(EDATE(B266,-12),Database!$A:$AS,MATCH($R$1,Database!$A$1:$AS$1,),))))</f>
        <v>-5.8306709266184781E-2</v>
      </c>
      <c r="S266" s="13">
        <f>((((VLOOKUP(B266,Database!$A:$AS,MATCH($S$1,Database!$A$1:$AS$1,),))))-(((VLOOKUP(EDATE(B266,-12),Database!$A:$AS,MATCH($S$1,Database!$A$1:$AS$1,),)))))/(((VLOOKUP(EDATE(B266,-12),Database!$A:$AS,MATCH($S$1,Database!$A$1:$AS$1,),))))</f>
        <v>3.2000618719203726E-2</v>
      </c>
      <c r="T266" s="13">
        <f>((((VLOOKUP(B266,Database!$A:$AS,MATCH($T$1,Database!$A$1:$AS$1,),))))-(((VLOOKUP(EDATE(B266,-12),Database!$A:$AS,MATCH($T$1,Database!$A$1:$AS$1,),)))))/(((VLOOKUP(EDATE(B266,-12),Database!$A:$AS,MATCH($T$1,Database!$A$1:$AS$1,),))))</f>
        <v>0.15104166665943222</v>
      </c>
      <c r="U266" s="13">
        <f>((((VLOOKUP(B266,Database!$A:$AS,MATCH($U$1,Database!$A$1:$AS$1,),))))-(((VLOOKUP(EDATE(B266,-12),Database!$A:$AS,MATCH($U$1,Database!$A$1:$AS$1,),)))))/(((VLOOKUP(EDATE(B266,-12),Database!$A:$AS,MATCH($U$1,Database!$A$1:$AS$1,),))))</f>
        <v>5.999999999574928E-2</v>
      </c>
      <c r="V266" s="13">
        <f>((((VLOOKUP(B266,Database!$A:$AS,MATCH($V$1,Database!$A$1:$AS$1,),))))-(((VLOOKUP(EDATE(B266,-12),Database!$A:$AS,MATCH($V$1,Database!$A$1:$AS$1,),)))))/(((VLOOKUP(EDATE(B266,-12),Database!$A:$AS,MATCH($V$1,Database!$A$1:$AS$1,),))))</f>
        <v>0.10067114093959731</v>
      </c>
    </row>
    <row r="267" spans="1:22" s="83" customFormat="1" x14ac:dyDescent="0.2">
      <c r="A267" s="43"/>
      <c r="B267" s="78">
        <v>40269</v>
      </c>
      <c r="C267" s="13">
        <f>((((VLOOKUP(B267,Database!$A:$AS,MATCH($C$1,Database!$A$1:$AS$1,),))))-(((VLOOKUP(EDATE(B267,-12),Database!$A:$AS,MATCH($C$1,Database!$A$1:$AS$1,),)))))/(((VLOOKUP(EDATE(B267,-12),Database!$A:$AS,MATCH($C$1,Database!$A$1:$AS$1,),))))</f>
        <v>5.3854639138996727E-2</v>
      </c>
      <c r="D267" s="13">
        <f>((((VLOOKUP(B267,Database!$A:$AS,MATCH($D$1,Database!$A$1:$AS$1,),))))-(((VLOOKUP(EDATE(B267,-12),Database!$A:$AS,MATCH($D$1,Database!$A$1:$AS$1,),)))))/(((VLOOKUP(EDATE(B267,-12),Database!$A:$AS,MATCH($D$1,Database!$A$1:$AS$1,),))))</f>
        <v>9.4688221709006967E-2</v>
      </c>
      <c r="E267" s="13">
        <f>((((VLOOKUP(B267,Database!$A:$AS,MATCH($E$1,Database!$A$1:$AS$1,),))))-(((VLOOKUP(EDATE(B267,-12),Database!$A:$AS,MATCH($E$1,Database!$A$1:$AS$1,),)))))/(((VLOOKUP(EDATE(B267,-12),Database!$A:$AS,MATCH($E$1,Database!$A$1:$AS$1,),))))</f>
        <v>0.2276621787008333</v>
      </c>
      <c r="F267" s="13">
        <f>((((VLOOKUP(B267,Database!$A:$AS,MATCH($F$1,Database!$A$1:$AS$1,),))))-(((VLOOKUP(EDATE(B267,-12),Database!$A:$AS,MATCH($F$1,Database!$A$1:$AS$1,),)))))/(((VLOOKUP(EDATE(B267,-12),Database!$A:$AS,MATCH($F$1,Database!$A$1:$AS$1,),))))</f>
        <v>0.15091863517713155</v>
      </c>
      <c r="G267" s="13">
        <f>((((VLOOKUP(B267,Database!$A:$AS,MATCH($G$1,Database!$A$1:$AS$1,),))))-(((VLOOKUP(EDATE(B267,-12),Database!$A:$AS,MATCH($G$1,Database!$A$1:$AS$1,),)))))/(((VLOOKUP(EDATE(B267,-12),Database!$A:$AS,MATCH($G$1,Database!$A$1:$AS$1,),))))</f>
        <v>6.4109470962180823E-2</v>
      </c>
      <c r="H267" s="13">
        <f>((((VLOOKUP(B267,Database!$A:$AS,MATCH($H$1,Database!$A$1:$AS$1,),))))-(((VLOOKUP(EDATE(B267,-12),Database!$A:$AS,MATCH($H$1,Database!$A$1:$AS$1,),)))))/(((VLOOKUP(EDATE(B267,-12),Database!$A:$AS,MATCH($H$1,Database!$A$1:$AS$1,),))))</f>
        <v>-9.6878363829599381E-3</v>
      </c>
      <c r="I267" s="13">
        <f>((((VLOOKUP(B267,Database!$A:$AS,MATCH($I$1,Database!$A$1:$AS$1,),))))-(((VLOOKUP(EDATE(B267,-12),Database!$A:$AS,MATCH($I$1,Database!$A$1:$AS$1,),)))))/(((VLOOKUP(EDATE(B267,-12),Database!$A:$AS,MATCH($I$1,Database!$A$1:$AS$1,),))))</f>
        <v>8.5977482084441434E-2</v>
      </c>
      <c r="J267" s="13">
        <f>((((VLOOKUP(B267,Database!$A:$AS,MATCH($J$1,Database!$A$1:$AS$1,),))))-(((VLOOKUP(EDATE(B267,-12),Database!$A:$AS,MATCH($J$1,Database!$A$1:$AS$1,),)))))/(((VLOOKUP(EDATE(B267,-12),Database!$A:$AS,MATCH($J$1,Database!$A$1:$AS$1,),))))</f>
        <v>2.7683191932308528E-2</v>
      </c>
      <c r="K267" s="13">
        <f>((((VLOOKUP(B267,Database!$A:$AS,MATCH($K$1,Database!$A$1:$AS$1,),))))-(((VLOOKUP(EDATE(B267,-12),Database!$A:$AS,MATCH($K$1,Database!$A$1:$AS$1,),)))))/(((VLOOKUP(EDATE(B267,-12),Database!$A:$AS,MATCH($K$1,Database!$A$1:$AS$1,),))))</f>
        <v>7.02127659593028E-2</v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>5.0274835577271283E-2</v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>7.4122236671001152E-2</v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>0.12775224035825891</v>
      </c>
      <c r="O267" s="13">
        <f>((((VLOOKUP(B267,Database!$A:$AS,MATCH($O$1,Database!$A$1:$AS$1,),))))-(((VLOOKUP(EDATE(B267,-12),Database!$A:$AS,MATCH($O$1,Database!$A$1:$AS$1,),)))))/(((VLOOKUP(EDATE(B267,-12),Database!$A:$AS,MATCH($O$1,Database!$A$1:$AS$1,),))))</f>
        <v>4.7339064653131896E-2</v>
      </c>
      <c r="P267" s="13">
        <f>((((VLOOKUP(B267,Database!$A:$AS,MATCH($P$1,Database!$A$1:$AS$1,),))))-(((VLOOKUP(EDATE(B267,-12),Database!$A:$AS,MATCH($P$1,Database!$A$1:$AS$1,),)))))/(((VLOOKUP(EDATE(B267,-12),Database!$A:$AS,MATCH($P$1,Database!$A$1:$AS$1,),))))</f>
        <v>0.20134773717490853</v>
      </c>
      <c r="Q267" s="13">
        <f>((((VLOOKUP(B267,Database!$A:$AS,MATCH($Q$1,Database!$A$1:$AS$1,),))))-(((VLOOKUP(EDATE(B267,-12),Database!$A:$AS,MATCH($Q$1,Database!$A$1:$AS$1,),)))))/(((VLOOKUP(EDATE(B267,-12),Database!$A:$AS,MATCH($Q$1,Database!$A$1:$AS$1,),))))</f>
        <v>0.15824915824957003</v>
      </c>
      <c r="R267" s="13">
        <f>((((VLOOKUP(B267,Database!$A:$AS,MATCH($R$1,Database!$A$1:$AS$1,),))))-(((VLOOKUP(EDATE(B267,-12),Database!$A:$AS,MATCH($R$1,Database!$A$1:$AS$1,),)))))/(((VLOOKUP(EDATE(B267,-12),Database!$A:$AS,MATCH($R$1,Database!$A$1:$AS$1,),))))</f>
        <v>-7.3684210526230462E-2</v>
      </c>
      <c r="S267" s="13">
        <f>((((VLOOKUP(B267,Database!$A:$AS,MATCH($S$1,Database!$A$1:$AS$1,),))))-(((VLOOKUP(EDATE(B267,-12),Database!$A:$AS,MATCH($S$1,Database!$A$1:$AS$1,),)))))/(((VLOOKUP(EDATE(B267,-12),Database!$A:$AS,MATCH($S$1,Database!$A$1:$AS$1,),))))</f>
        <v>-2.9373508292561707E-2</v>
      </c>
      <c r="T267" s="13">
        <f>((((VLOOKUP(B267,Database!$A:$AS,MATCH($T$1,Database!$A$1:$AS$1,),))))-(((VLOOKUP(EDATE(B267,-12),Database!$A:$AS,MATCH($T$1,Database!$A$1:$AS$1,),)))))/(((VLOOKUP(EDATE(B267,-12),Database!$A:$AS,MATCH($T$1,Database!$A$1:$AS$1,),))))</f>
        <v>0.14529914530498983</v>
      </c>
      <c r="U267" s="13">
        <f>((((VLOOKUP(B267,Database!$A:$AS,MATCH($U$1,Database!$A$1:$AS$1,),))))-(((VLOOKUP(EDATE(B267,-12),Database!$A:$AS,MATCH($U$1,Database!$A$1:$AS$1,),)))))/(((VLOOKUP(EDATE(B267,-12),Database!$A:$AS,MATCH($U$1,Database!$A$1:$AS$1,),))))</f>
        <v>9.438775509933961E-2</v>
      </c>
      <c r="V267" s="13">
        <f>((((VLOOKUP(B267,Database!$A:$AS,MATCH($V$1,Database!$A$1:$AS$1,),))))-(((VLOOKUP(EDATE(B267,-12),Database!$A:$AS,MATCH($V$1,Database!$A$1:$AS$1,),)))))/(((VLOOKUP(EDATE(B267,-12),Database!$A:$AS,MATCH($V$1,Database!$A$1:$AS$1,),))))</f>
        <v>9.9590723055934485E-2</v>
      </c>
    </row>
    <row r="268" spans="1:22" s="83" customFormat="1" x14ac:dyDescent="0.2">
      <c r="A268" s="43"/>
      <c r="B268" s="78">
        <v>40299</v>
      </c>
      <c r="C268" s="13">
        <f>((((VLOOKUP(B268,Database!$A:$AS,MATCH($C$1,Database!$A$1:$AS$1,),))))-(((VLOOKUP(EDATE(B268,-12),Database!$A:$AS,MATCH($C$1,Database!$A$1:$AS$1,),)))))/(((VLOOKUP(EDATE(B268,-12),Database!$A:$AS,MATCH($C$1,Database!$A$1:$AS$1,),))))</f>
        <v>7.9484150070224066E-2</v>
      </c>
      <c r="D268" s="13">
        <f>((((VLOOKUP(B268,Database!$A:$AS,MATCH($D$1,Database!$A$1:$AS$1,),))))-(((VLOOKUP(EDATE(B268,-12),Database!$A:$AS,MATCH($D$1,Database!$A$1:$AS$1,),)))))/(((VLOOKUP(EDATE(B268,-12),Database!$A:$AS,MATCH($D$1,Database!$A$1:$AS$1,),))))</f>
        <v>8.793686583990977E-2</v>
      </c>
      <c r="E268" s="13">
        <f>((((VLOOKUP(B268,Database!$A:$AS,MATCH($E$1,Database!$A$1:$AS$1,),))))-(((VLOOKUP(EDATE(B268,-12),Database!$A:$AS,MATCH($E$1,Database!$A$1:$AS$1,),)))))/(((VLOOKUP(EDATE(B268,-12),Database!$A:$AS,MATCH($E$1,Database!$A$1:$AS$1,),))))</f>
        <v>0.17945690672239559</v>
      </c>
      <c r="F268" s="13">
        <f>((((VLOOKUP(B268,Database!$A:$AS,MATCH($F$1,Database!$A$1:$AS$1,),))))-(((VLOOKUP(EDATE(B268,-12),Database!$A:$AS,MATCH($F$1,Database!$A$1:$AS$1,),)))))/(((VLOOKUP(EDATE(B268,-12),Database!$A:$AS,MATCH($F$1,Database!$A$1:$AS$1,),))))</f>
        <v>0.13425345043080236</v>
      </c>
      <c r="G268" s="13">
        <f>((((VLOOKUP(B268,Database!$A:$AS,MATCH($G$1,Database!$A$1:$AS$1,),))))-(((VLOOKUP(EDATE(B268,-12),Database!$A:$AS,MATCH($G$1,Database!$A$1:$AS$1,),)))))/(((VLOOKUP(EDATE(B268,-12),Database!$A:$AS,MATCH($G$1,Database!$A$1:$AS$1,),))))</f>
        <v>5.9831789630575852E-2</v>
      </c>
      <c r="H268" s="13">
        <f>((((VLOOKUP(B268,Database!$A:$AS,MATCH($H$1,Database!$A$1:$AS$1,),))))-(((VLOOKUP(EDATE(B268,-12),Database!$A:$AS,MATCH($H$1,Database!$A$1:$AS$1,),)))))/(((VLOOKUP(EDATE(B268,-12),Database!$A:$AS,MATCH($H$1,Database!$A$1:$AS$1,),))))</f>
        <v>7.6754386008400875E-3</v>
      </c>
      <c r="I268" s="13">
        <f>((((VLOOKUP(B268,Database!$A:$AS,MATCH($I$1,Database!$A$1:$AS$1,),))))-(((VLOOKUP(EDATE(B268,-12),Database!$A:$AS,MATCH($I$1,Database!$A$1:$AS$1,),)))))/(((VLOOKUP(EDATE(B268,-12),Database!$A:$AS,MATCH($I$1,Database!$A$1:$AS$1,),))))</f>
        <v>7.1428571432164675E-2</v>
      </c>
      <c r="J268" s="13">
        <f>((((VLOOKUP(B268,Database!$A:$AS,MATCH($J$1,Database!$A$1:$AS$1,),))))-(((VLOOKUP(EDATE(B268,-12),Database!$A:$AS,MATCH($J$1,Database!$A$1:$AS$1,),)))))/(((VLOOKUP(EDATE(B268,-12),Database!$A:$AS,MATCH($J$1,Database!$A$1:$AS$1,),))))</f>
        <v>2.8276062905261096E-2</v>
      </c>
      <c r="K268" s="13">
        <f>((((VLOOKUP(B268,Database!$A:$AS,MATCH($K$1,Database!$A$1:$AS$1,),))))-(((VLOOKUP(EDATE(B268,-12),Database!$A:$AS,MATCH($K$1,Database!$A$1:$AS$1,),)))))/(((VLOOKUP(EDATE(B268,-12),Database!$A:$AS,MATCH($K$1,Database!$A$1:$AS$1,),))))</f>
        <v>0.13048245614844167</v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>5.5048688504547298E-2</v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>7.3929961089494206E-2</v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>8.3744260781234953E-2</v>
      </c>
      <c r="O268" s="13">
        <f>((((VLOOKUP(B268,Database!$A:$AS,MATCH($O$1,Database!$A$1:$AS$1,),))))-(((VLOOKUP(EDATE(B268,-12),Database!$A:$AS,MATCH($O$1,Database!$A$1:$AS$1,),)))))/(((VLOOKUP(EDATE(B268,-12),Database!$A:$AS,MATCH($O$1,Database!$A$1:$AS$1,),))))</f>
        <v>8.2900707059508555E-2</v>
      </c>
      <c r="P268" s="13">
        <f>((((VLOOKUP(B268,Database!$A:$AS,MATCH($P$1,Database!$A$1:$AS$1,),))))-(((VLOOKUP(EDATE(B268,-12),Database!$A:$AS,MATCH($P$1,Database!$A$1:$AS$1,),)))))/(((VLOOKUP(EDATE(B268,-12),Database!$A:$AS,MATCH($P$1,Database!$A$1:$AS$1,),))))</f>
        <v>0.20081469029565277</v>
      </c>
      <c r="Q268" s="13">
        <f>((((VLOOKUP(B268,Database!$A:$AS,MATCH($Q$1,Database!$A$1:$AS$1,),))))-(((VLOOKUP(EDATE(B268,-12),Database!$A:$AS,MATCH($Q$1,Database!$A$1:$AS$1,),)))))/(((VLOOKUP(EDATE(B268,-12),Database!$A:$AS,MATCH($Q$1,Database!$A$1:$AS$1,),))))</f>
        <v>0.14064230343139711</v>
      </c>
      <c r="R268" s="13">
        <f>((((VLOOKUP(B268,Database!$A:$AS,MATCH($R$1,Database!$A$1:$AS$1,),))))-(((VLOOKUP(EDATE(B268,-12),Database!$A:$AS,MATCH($R$1,Database!$A$1:$AS$1,),)))))/(((VLOOKUP(EDATE(B268,-12),Database!$A:$AS,MATCH($R$1,Database!$A$1:$AS$1,),))))</f>
        <v>-6.5112540199524852E-2</v>
      </c>
      <c r="S268" s="13">
        <f>((((VLOOKUP(B268,Database!$A:$AS,MATCH($S$1,Database!$A$1:$AS$1,),))))-(((VLOOKUP(EDATE(B268,-12),Database!$A:$AS,MATCH($S$1,Database!$A$1:$AS$1,),)))))/(((VLOOKUP(EDATE(B268,-12),Database!$A:$AS,MATCH($S$1,Database!$A$1:$AS$1,),))))</f>
        <v>2.5383607134146519E-2</v>
      </c>
      <c r="T268" s="13">
        <f>((((VLOOKUP(B268,Database!$A:$AS,MATCH($T$1,Database!$A$1:$AS$1,),))))-(((VLOOKUP(EDATE(B268,-12),Database!$A:$AS,MATCH($T$1,Database!$A$1:$AS$1,),)))))/(((VLOOKUP(EDATE(B268,-12),Database!$A:$AS,MATCH($T$1,Database!$A$1:$AS$1,),))))</f>
        <v>0.1407284768265103</v>
      </c>
      <c r="U268" s="13">
        <f>((((VLOOKUP(B268,Database!$A:$AS,MATCH($U$1,Database!$A$1:$AS$1,),))))-(((VLOOKUP(EDATE(B268,-12),Database!$A:$AS,MATCH($U$1,Database!$A$1:$AS$1,),)))))/(((VLOOKUP(EDATE(B268,-12),Database!$A:$AS,MATCH($U$1,Database!$A$1:$AS$1,),))))</f>
        <v>8.3014048528451401E-2</v>
      </c>
      <c r="V268" s="13">
        <f>((((VLOOKUP(B268,Database!$A:$AS,MATCH($V$1,Database!$A$1:$AS$1,),))))-(((VLOOKUP(EDATE(B268,-12),Database!$A:$AS,MATCH($V$1,Database!$A$1:$AS$1,),)))))/(((VLOOKUP(EDATE(B268,-12),Database!$A:$AS,MATCH($V$1,Database!$A$1:$AS$1,),))))</f>
        <v>0.13261163734776721</v>
      </c>
    </row>
    <row r="269" spans="1:22" s="83" customFormat="1" x14ac:dyDescent="0.2">
      <c r="A269" s="43"/>
      <c r="B269" s="78">
        <v>40330</v>
      </c>
      <c r="C269" s="13">
        <f>((((VLOOKUP(B269,Database!$A:$AS,MATCH($C$1,Database!$A$1:$AS$1,),))))-(((VLOOKUP(EDATE(B269,-12),Database!$A:$AS,MATCH($C$1,Database!$A$1:$AS$1,),)))))/(((VLOOKUP(EDATE(B269,-12),Database!$A:$AS,MATCH($C$1,Database!$A$1:$AS$1,),))))</f>
        <v>8.5191680981656456E-2</v>
      </c>
      <c r="D269" s="13">
        <f>((((VLOOKUP(B269,Database!$A:$AS,MATCH($D$1,Database!$A$1:$AS$1,),))))-(((VLOOKUP(EDATE(B269,-12),Database!$A:$AS,MATCH($D$1,Database!$A$1:$AS$1,),)))))/(((VLOOKUP(EDATE(B269,-12),Database!$A:$AS,MATCH($D$1,Database!$A$1:$AS$1,),))))</f>
        <v>8.1746920492721128E-2</v>
      </c>
      <c r="E269" s="13">
        <f>((((VLOOKUP(B269,Database!$A:$AS,MATCH($E$1,Database!$A$1:$AS$1,),))))-(((VLOOKUP(EDATE(B269,-12),Database!$A:$AS,MATCH($E$1,Database!$A$1:$AS$1,),)))))/(((VLOOKUP(EDATE(B269,-12),Database!$A:$AS,MATCH($E$1,Database!$A$1:$AS$1,),))))</f>
        <v>0.15331010452504318</v>
      </c>
      <c r="F269" s="13">
        <f>((((VLOOKUP(B269,Database!$A:$AS,MATCH($F$1,Database!$A$1:$AS$1,),))))-(((VLOOKUP(EDATE(B269,-12),Database!$A:$AS,MATCH($F$1,Database!$A$1:$AS$1,),)))))/(((VLOOKUP(EDATE(B269,-12),Database!$A:$AS,MATCH($F$1,Database!$A$1:$AS$1,),))))</f>
        <v>0.12204234121553793</v>
      </c>
      <c r="G269" s="13">
        <f>((((VLOOKUP(B269,Database!$A:$AS,MATCH($G$1,Database!$A$1:$AS$1,),))))-(((VLOOKUP(EDATE(B269,-12),Database!$A:$AS,MATCH($G$1,Database!$A$1:$AS$1,),)))))/(((VLOOKUP(EDATE(B269,-12),Database!$A:$AS,MATCH($G$1,Database!$A$1:$AS$1,),))))</f>
        <v>4.2257962787764225E-2</v>
      </c>
      <c r="H269" s="13">
        <f>((((VLOOKUP(B269,Database!$A:$AS,MATCH($H$1,Database!$A$1:$AS$1,),))))-(((VLOOKUP(EDATE(B269,-12),Database!$A:$AS,MATCH($H$1,Database!$A$1:$AS$1,),)))))/(((VLOOKUP(EDATE(B269,-12),Database!$A:$AS,MATCH($H$1,Database!$A$1:$AS$1,),))))</f>
        <v>-1.1982570811363185E-2</v>
      </c>
      <c r="I269" s="13">
        <f>((((VLOOKUP(B269,Database!$A:$AS,MATCH($I$1,Database!$A$1:$AS$1,),))))-(((VLOOKUP(EDATE(B269,-12),Database!$A:$AS,MATCH($I$1,Database!$A$1:$AS$1,),)))))/(((VLOOKUP(EDATE(B269,-12),Database!$A:$AS,MATCH($I$1,Database!$A$1:$AS$1,),))))</f>
        <v>0.10536980750241534</v>
      </c>
      <c r="J269" s="13">
        <f>((((VLOOKUP(B269,Database!$A:$AS,MATCH($J$1,Database!$A$1:$AS$1,),))))-(((VLOOKUP(EDATE(B269,-12),Database!$A:$AS,MATCH($J$1,Database!$A$1:$AS$1,),)))))/(((VLOOKUP(EDATE(B269,-12),Database!$A:$AS,MATCH($J$1,Database!$A$1:$AS$1,),))))</f>
        <v>2.6650725081550652E-2</v>
      </c>
      <c r="K269" s="13">
        <f>((((VLOOKUP(B269,Database!$A:$AS,MATCH($K$1,Database!$A$1:$AS$1,),))))-(((VLOOKUP(EDATE(B269,-12),Database!$A:$AS,MATCH($K$1,Database!$A$1:$AS$1,),)))))/(((VLOOKUP(EDATE(B269,-12),Database!$A:$AS,MATCH($K$1,Database!$A$1:$AS$1,),))))</f>
        <v>0.12406417112058114</v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>5.427706326917104E-2</v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>6.7010309278350555E-2</v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>7.3975747245500559E-2</v>
      </c>
      <c r="O269" s="13">
        <f>((((VLOOKUP(B269,Database!$A:$AS,MATCH($O$1,Database!$A$1:$AS$1,),))))-(((VLOOKUP(EDATE(B269,-12),Database!$A:$AS,MATCH($O$1,Database!$A$1:$AS$1,),)))))/(((VLOOKUP(EDATE(B269,-12),Database!$A:$AS,MATCH($O$1,Database!$A$1:$AS$1,),))))</f>
        <v>9.4614527443896632E-2</v>
      </c>
      <c r="P269" s="13">
        <f>((((VLOOKUP(B269,Database!$A:$AS,MATCH($P$1,Database!$A$1:$AS$1,),))))-(((VLOOKUP(EDATE(B269,-12),Database!$A:$AS,MATCH($P$1,Database!$A$1:$AS$1,),)))))/(((VLOOKUP(EDATE(B269,-12),Database!$A:$AS,MATCH($P$1,Database!$A$1:$AS$1,),))))</f>
        <v>0.15858489276483906</v>
      </c>
      <c r="Q269" s="13">
        <f>((((VLOOKUP(B269,Database!$A:$AS,MATCH($Q$1,Database!$A$1:$AS$1,),))))-(((VLOOKUP(EDATE(B269,-12),Database!$A:$AS,MATCH($Q$1,Database!$A$1:$AS$1,),)))))/(((VLOOKUP(EDATE(B269,-12),Database!$A:$AS,MATCH($Q$1,Database!$A$1:$AS$1,),))))</f>
        <v>0.11803278689328457</v>
      </c>
      <c r="R269" s="13">
        <f>((((VLOOKUP(B269,Database!$A:$AS,MATCH($R$1,Database!$A$1:$AS$1,),))))-(((VLOOKUP(EDATE(B269,-12),Database!$A:$AS,MATCH($R$1,Database!$A$1:$AS$1,),)))))/(((VLOOKUP(EDATE(B269,-12),Database!$A:$AS,MATCH($R$1,Database!$A$1:$AS$1,),))))</f>
        <v>-5.7489878540127388E-2</v>
      </c>
      <c r="S269" s="13">
        <f>((((VLOOKUP(B269,Database!$A:$AS,MATCH($S$1,Database!$A$1:$AS$1,),))))-(((VLOOKUP(EDATE(B269,-12),Database!$A:$AS,MATCH($S$1,Database!$A$1:$AS$1,),)))))/(((VLOOKUP(EDATE(B269,-12),Database!$A:$AS,MATCH($S$1,Database!$A$1:$AS$1,),))))</f>
        <v>4.2329253673901245E-2</v>
      </c>
      <c r="T269" s="13">
        <f>((((VLOOKUP(B269,Database!$A:$AS,MATCH($T$1,Database!$A$1:$AS$1,),))))-(((VLOOKUP(EDATE(B269,-12),Database!$A:$AS,MATCH($T$1,Database!$A$1:$AS$1,),)))))/(((VLOOKUP(EDATE(B269,-12),Database!$A:$AS,MATCH($T$1,Database!$A$1:$AS$1,),))))</f>
        <v>0.11594202898597407</v>
      </c>
      <c r="U269" s="13">
        <f>((((VLOOKUP(B269,Database!$A:$AS,MATCH($U$1,Database!$A$1:$AS$1,),))))-(((VLOOKUP(EDATE(B269,-12),Database!$A:$AS,MATCH($U$1,Database!$A$1:$AS$1,),)))))/(((VLOOKUP(EDATE(B269,-12),Database!$A:$AS,MATCH($U$1,Database!$A$1:$AS$1,),))))</f>
        <v>7.4349442383927739E-2</v>
      </c>
      <c r="V269" s="13">
        <f>((((VLOOKUP(B269,Database!$A:$AS,MATCH($V$1,Database!$A$1:$AS$1,),))))-(((VLOOKUP(EDATE(B269,-12),Database!$A:$AS,MATCH($V$1,Database!$A$1:$AS$1,),)))))/(((VLOOKUP(EDATE(B269,-12),Database!$A:$AS,MATCH($V$1,Database!$A$1:$AS$1,),))))</f>
        <v>0.14133333333333326</v>
      </c>
    </row>
    <row r="270" spans="1:22" s="83" customFormat="1" x14ac:dyDescent="0.2">
      <c r="A270" s="43"/>
      <c r="B270" s="78">
        <v>40360</v>
      </c>
      <c r="C270" s="13">
        <f>((((VLOOKUP(B270,Database!$A:$AS,MATCH($C$1,Database!$A$1:$AS$1,),))))-(((VLOOKUP(EDATE(B270,-12),Database!$A:$AS,MATCH($C$1,Database!$A$1:$AS$1,),)))))/(((VLOOKUP(EDATE(B270,-12),Database!$A:$AS,MATCH($C$1,Database!$A$1:$AS$1,),))))</f>
        <v>7.7548978331018703E-2</v>
      </c>
      <c r="D270" s="13">
        <f>((((VLOOKUP(B270,Database!$A:$AS,MATCH($D$1,Database!$A$1:$AS$1,),))))-(((VLOOKUP(EDATE(B270,-12),Database!$A:$AS,MATCH($D$1,Database!$A$1:$AS$1,),)))))/(((VLOOKUP(EDATE(B270,-12),Database!$A:$AS,MATCH($D$1,Database!$A$1:$AS$1,),))))</f>
        <v>7.6062639821029052E-2</v>
      </c>
      <c r="E270" s="13">
        <f>((((VLOOKUP(B270,Database!$A:$AS,MATCH($E$1,Database!$A$1:$AS$1,),))))-(((VLOOKUP(EDATE(B270,-12),Database!$A:$AS,MATCH($E$1,Database!$A$1:$AS$1,),)))))/(((VLOOKUP(EDATE(B270,-12),Database!$A:$AS,MATCH($E$1,Database!$A$1:$AS$1,),))))</f>
        <v>0.15384615384185174</v>
      </c>
      <c r="F270" s="13">
        <f>((((VLOOKUP(B270,Database!$A:$AS,MATCH($F$1,Database!$A$1:$AS$1,),))))-(((VLOOKUP(EDATE(B270,-12),Database!$A:$AS,MATCH($F$1,Database!$A$1:$AS$1,),)))))/(((VLOOKUP(EDATE(B270,-12),Database!$A:$AS,MATCH($F$1,Database!$A$1:$AS$1,),))))</f>
        <v>0.12578616352074659</v>
      </c>
      <c r="G270" s="13">
        <f>((((VLOOKUP(B270,Database!$A:$AS,MATCH($G$1,Database!$A$1:$AS$1,),))))-(((VLOOKUP(EDATE(B270,-12),Database!$A:$AS,MATCH($G$1,Database!$A$1:$AS$1,),)))))/(((VLOOKUP(EDATE(B270,-12),Database!$A:$AS,MATCH($G$1,Database!$A$1:$AS$1,),))))</f>
        <v>5.3586497890295341E-2</v>
      </c>
      <c r="H270" s="13">
        <f>((((VLOOKUP(B270,Database!$A:$AS,MATCH($H$1,Database!$A$1:$AS$1,),))))-(((VLOOKUP(EDATE(B270,-12),Database!$A:$AS,MATCH($H$1,Database!$A$1:$AS$1,),)))))/(((VLOOKUP(EDATE(B270,-12),Database!$A:$AS,MATCH($H$1,Database!$A$1:$AS$1,),))))</f>
        <v>-2.1691973964687201E-2</v>
      </c>
      <c r="I270" s="13">
        <f>((((VLOOKUP(B270,Database!$A:$AS,MATCH($I$1,Database!$A$1:$AS$1,),))))-(((VLOOKUP(EDATE(B270,-12),Database!$A:$AS,MATCH($I$1,Database!$A$1:$AS$1,),)))))/(((VLOOKUP(EDATE(B270,-12),Database!$A:$AS,MATCH($I$1,Database!$A$1:$AS$1,),))))</f>
        <v>7.8295341927656484E-2</v>
      </c>
      <c r="J270" s="13">
        <f>((((VLOOKUP(B270,Database!$A:$AS,MATCH($J$1,Database!$A$1:$AS$1,),))))-(((VLOOKUP(EDATE(B270,-12),Database!$A:$AS,MATCH($J$1,Database!$A$1:$AS$1,),)))))/(((VLOOKUP(EDATE(B270,-12),Database!$A:$AS,MATCH($J$1,Database!$A$1:$AS$1,),))))</f>
        <v>4.0852168537336827E-3</v>
      </c>
      <c r="K270" s="13">
        <f>((((VLOOKUP(B270,Database!$A:$AS,MATCH($K$1,Database!$A$1:$AS$1,),))))-(((VLOOKUP(EDATE(B270,-12),Database!$A:$AS,MATCH($K$1,Database!$A$1:$AS$1,),)))))/(((VLOOKUP(EDATE(B270,-12),Database!$A:$AS,MATCH($K$1,Database!$A$1:$AS$1,),))))</f>
        <v>0.13225806451141203</v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>4.4073615377944804E-2</v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>5.5979643765903385E-2</v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>0.10264394545482278</v>
      </c>
      <c r="O270" s="13">
        <f>((((VLOOKUP(B270,Database!$A:$AS,MATCH($O$1,Database!$A$1:$AS$1,),))))-(((VLOOKUP(EDATE(B270,-12),Database!$A:$AS,MATCH($O$1,Database!$A$1:$AS$1,),)))))/(((VLOOKUP(EDATE(B270,-12),Database!$A:$AS,MATCH($O$1,Database!$A$1:$AS$1,),))))</f>
        <v>9.3766989985143767E-2</v>
      </c>
      <c r="P270" s="13">
        <f>((((VLOOKUP(B270,Database!$A:$AS,MATCH($P$1,Database!$A$1:$AS$1,),))))-(((VLOOKUP(EDATE(B270,-12),Database!$A:$AS,MATCH($P$1,Database!$A$1:$AS$1,),)))))/(((VLOOKUP(EDATE(B270,-12),Database!$A:$AS,MATCH($P$1,Database!$A$1:$AS$1,),))))</f>
        <v>0.13812544045665651</v>
      </c>
      <c r="Q270" s="13">
        <f>((((VLOOKUP(B270,Database!$A:$AS,MATCH($Q$1,Database!$A$1:$AS$1,),))))-(((VLOOKUP(EDATE(B270,-12),Database!$A:$AS,MATCH($Q$1,Database!$A$1:$AS$1,),)))))/(((VLOOKUP(EDATE(B270,-12),Database!$A:$AS,MATCH($Q$1,Database!$A$1:$AS$1,),))))</f>
        <v>9.9352051836086211E-2</v>
      </c>
      <c r="R270" s="13">
        <f>((((VLOOKUP(B270,Database!$A:$AS,MATCH($R$1,Database!$A$1:$AS$1,),))))-(((VLOOKUP(EDATE(B270,-12),Database!$A:$AS,MATCH($R$1,Database!$A$1:$AS$1,),)))))/(((VLOOKUP(EDATE(B270,-12),Database!$A:$AS,MATCH($R$1,Database!$A$1:$AS$1,),))))</f>
        <v>-0.12269446671467506</v>
      </c>
      <c r="S270" s="13">
        <f>((((VLOOKUP(B270,Database!$A:$AS,MATCH($S$1,Database!$A$1:$AS$1,),))))-(((VLOOKUP(EDATE(B270,-12),Database!$A:$AS,MATCH($S$1,Database!$A$1:$AS$1,),)))))/(((VLOOKUP(EDATE(B270,-12),Database!$A:$AS,MATCH($S$1,Database!$A$1:$AS$1,),))))</f>
        <v>4.1114365272615493E-2</v>
      </c>
      <c r="T270" s="13">
        <f>((((VLOOKUP(B270,Database!$A:$AS,MATCH($T$1,Database!$A$1:$AS$1,),))))-(((VLOOKUP(EDATE(B270,-12),Database!$A:$AS,MATCH($T$1,Database!$A$1:$AS$1,),)))))/(((VLOOKUP(EDATE(B270,-12),Database!$A:$AS,MATCH($T$1,Database!$A$1:$AS$1,),))))</f>
        <v>0.10443037974983993</v>
      </c>
      <c r="U270" s="13">
        <f>((((VLOOKUP(B270,Database!$A:$AS,MATCH($U$1,Database!$A$1:$AS$1,),))))-(((VLOOKUP(EDATE(B270,-12),Database!$A:$AS,MATCH($U$1,Database!$A$1:$AS$1,),)))))/(((VLOOKUP(EDATE(B270,-12),Database!$A:$AS,MATCH($U$1,Database!$A$1:$AS$1,),))))</f>
        <v>0.10532994923650089</v>
      </c>
      <c r="V270" s="13">
        <f>((((VLOOKUP(B270,Database!$A:$AS,MATCH($V$1,Database!$A$1:$AS$1,),))))-(((VLOOKUP(EDATE(B270,-12),Database!$A:$AS,MATCH($V$1,Database!$A$1:$AS$1,),)))))/(((VLOOKUP(EDATE(B270,-12),Database!$A:$AS,MATCH($V$1,Database!$A$1:$AS$1,),))))</f>
        <v>0.13066666666666663</v>
      </c>
    </row>
    <row r="271" spans="1:22" s="83" customFormat="1" x14ac:dyDescent="0.2">
      <c r="A271" s="43"/>
      <c r="B271" s="78">
        <v>40391</v>
      </c>
      <c r="C271" s="13">
        <f>((((VLOOKUP(B271,Database!$A:$AS,MATCH($C$1,Database!$A$1:$AS$1,),))))-(((VLOOKUP(EDATE(B271,-12),Database!$A:$AS,MATCH($C$1,Database!$A$1:$AS$1,),)))))/(((VLOOKUP(EDATE(B271,-12),Database!$A:$AS,MATCH($C$1,Database!$A$1:$AS$1,),))))</f>
        <v>6.9224328617137565E-2</v>
      </c>
      <c r="D271" s="13">
        <f>((((VLOOKUP(B271,Database!$A:$AS,MATCH($D$1,Database!$A$1:$AS$1,),))))-(((VLOOKUP(EDATE(B271,-12),Database!$A:$AS,MATCH($D$1,Database!$A$1:$AS$1,),)))))/(((VLOOKUP(EDATE(B271,-12),Database!$A:$AS,MATCH($D$1,Database!$A$1:$AS$1,),))))</f>
        <v>8.5011185682326559E-2</v>
      </c>
      <c r="E271" s="13">
        <f>((((VLOOKUP(B271,Database!$A:$AS,MATCH($E$1,Database!$A$1:$AS$1,),))))-(((VLOOKUP(EDATE(B271,-12),Database!$A:$AS,MATCH($E$1,Database!$A$1:$AS$1,),)))))/(((VLOOKUP(EDATE(B271,-12),Database!$A:$AS,MATCH($E$1,Database!$A$1:$AS$1,),))))</f>
        <v>0.14253393664357955</v>
      </c>
      <c r="F271" s="13">
        <f>((((VLOOKUP(B271,Database!$A:$AS,MATCH($F$1,Database!$A$1:$AS$1,),))))-(((VLOOKUP(EDATE(B271,-12),Database!$A:$AS,MATCH($F$1,Database!$A$1:$AS$1,),)))))/(((VLOOKUP(EDATE(B271,-12),Database!$A:$AS,MATCH($F$1,Database!$A$1:$AS$1,),))))</f>
        <v>0.13043478260923583</v>
      </c>
      <c r="G271" s="13">
        <f>((((VLOOKUP(B271,Database!$A:$AS,MATCH($G$1,Database!$A$1:$AS$1,),))))-(((VLOOKUP(EDATE(B271,-12),Database!$A:$AS,MATCH($G$1,Database!$A$1:$AS$1,),)))))/(((VLOOKUP(EDATE(B271,-12),Database!$A:$AS,MATCH($G$1,Database!$A$1:$AS$1,),))))</f>
        <v>2.4597820446289619E-2</v>
      </c>
      <c r="H271" s="13">
        <f>((((VLOOKUP(B271,Database!$A:$AS,MATCH($H$1,Database!$A$1:$AS$1,),))))-(((VLOOKUP(EDATE(B271,-12),Database!$A:$AS,MATCH($H$1,Database!$A$1:$AS$1,),)))))/(((VLOOKUP(EDATE(B271,-12),Database!$A:$AS,MATCH($H$1,Database!$A$1:$AS$1,),))))</f>
        <v>8.9285714202322897E-3</v>
      </c>
      <c r="I271" s="13">
        <f>((((VLOOKUP(B271,Database!$A:$AS,MATCH($I$1,Database!$A$1:$AS$1,),))))-(((VLOOKUP(EDATE(B271,-12),Database!$A:$AS,MATCH($I$1,Database!$A$1:$AS$1,),)))))/(((VLOOKUP(EDATE(B271,-12),Database!$A:$AS,MATCH($I$1,Database!$A$1:$AS$1,),))))</f>
        <v>0.13995943205045083</v>
      </c>
      <c r="J271" s="13">
        <f>((((VLOOKUP(B271,Database!$A:$AS,MATCH($J$1,Database!$A$1:$AS$1,),))))-(((VLOOKUP(EDATE(B271,-12),Database!$A:$AS,MATCH($J$1,Database!$A$1:$AS$1,),)))))/(((VLOOKUP(EDATE(B271,-12),Database!$A:$AS,MATCH($J$1,Database!$A$1:$AS$1,),))))</f>
        <v>-6.350901618250443E-3</v>
      </c>
      <c r="K271" s="13">
        <f>((((VLOOKUP(B271,Database!$A:$AS,MATCH($K$1,Database!$A$1:$AS$1,),))))-(((VLOOKUP(EDATE(B271,-12),Database!$A:$AS,MATCH($K$1,Database!$A$1:$AS$1,),)))))/(((VLOOKUP(EDATE(B271,-12),Database!$A:$AS,MATCH($K$1,Database!$A$1:$AS$1,),))))</f>
        <v>9.6296296301547749E-2</v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>6.8809950974863143E-2</v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>6.5217391304347755E-2</v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>4.1172239914377705E-2</v>
      </c>
      <c r="O271" s="13">
        <f>((((VLOOKUP(B271,Database!$A:$AS,MATCH($O$1,Database!$A$1:$AS$1,),))))-(((VLOOKUP(EDATE(B271,-12),Database!$A:$AS,MATCH($O$1,Database!$A$1:$AS$1,),)))))/(((VLOOKUP(EDATE(B271,-12),Database!$A:$AS,MATCH($O$1,Database!$A$1:$AS$1,),))))</f>
        <v>9.7336052345151733E-2</v>
      </c>
      <c r="P271" s="13">
        <f>((((VLOOKUP(B271,Database!$A:$AS,MATCH($P$1,Database!$A$1:$AS$1,),))))-(((VLOOKUP(EDATE(B271,-12),Database!$A:$AS,MATCH($P$1,Database!$A$1:$AS$1,),)))))/(((VLOOKUP(EDATE(B271,-12),Database!$A:$AS,MATCH($P$1,Database!$A$1:$AS$1,),))))</f>
        <v>0.12257380917507359</v>
      </c>
      <c r="Q271" s="13">
        <f>((((VLOOKUP(B271,Database!$A:$AS,MATCH($Q$1,Database!$A$1:$AS$1,),))))-(((VLOOKUP(EDATE(B271,-12),Database!$A:$AS,MATCH($Q$1,Database!$A$1:$AS$1,),)))))/(((VLOOKUP(EDATE(B271,-12),Database!$A:$AS,MATCH($Q$1,Database!$A$1:$AS$1,),))))</f>
        <v>7.8723404252687826E-2</v>
      </c>
      <c r="R271" s="13">
        <f>((((VLOOKUP(B271,Database!$A:$AS,MATCH($R$1,Database!$A$1:$AS$1,),))))-(((VLOOKUP(EDATE(B271,-12),Database!$A:$AS,MATCH($R$1,Database!$A$1:$AS$1,),)))))/(((VLOOKUP(EDATE(B271,-12),Database!$A:$AS,MATCH($R$1,Database!$A$1:$AS$1,),))))</f>
        <v>-1.7617449664366146E-2</v>
      </c>
      <c r="S271" s="13">
        <f>((((VLOOKUP(B271,Database!$A:$AS,MATCH($S$1,Database!$A$1:$AS$1,),))))-(((VLOOKUP(EDATE(B271,-12),Database!$A:$AS,MATCH($S$1,Database!$A$1:$AS$1,),)))))/(((VLOOKUP(EDATE(B271,-12),Database!$A:$AS,MATCH($S$1,Database!$A$1:$AS$1,),))))</f>
        <v>8.2804634059948853E-2</v>
      </c>
      <c r="T271" s="13">
        <f>((((VLOOKUP(B271,Database!$A:$AS,MATCH($T$1,Database!$A$1:$AS$1,),))))-(((VLOOKUP(EDATE(B271,-12),Database!$A:$AS,MATCH($T$1,Database!$A$1:$AS$1,),)))))/(((VLOOKUP(EDATE(B271,-12),Database!$A:$AS,MATCH($T$1,Database!$A$1:$AS$1,),))))</f>
        <v>0.14583333333633844</v>
      </c>
      <c r="U271" s="13">
        <f>((((VLOOKUP(B271,Database!$A:$AS,MATCH($U$1,Database!$A$1:$AS$1,),))))-(((VLOOKUP(EDATE(B271,-12),Database!$A:$AS,MATCH($U$1,Database!$A$1:$AS$1,),)))))/(((VLOOKUP(EDATE(B271,-12),Database!$A:$AS,MATCH($U$1,Database!$A$1:$AS$1,),))))</f>
        <v>9.4594594600572027E-2</v>
      </c>
      <c r="V271" s="13">
        <f>((((VLOOKUP(B271,Database!$A:$AS,MATCH($V$1,Database!$A$1:$AS$1,),))))-(((VLOOKUP(EDATE(B271,-12),Database!$A:$AS,MATCH($V$1,Database!$A$1:$AS$1,),)))))/(((VLOOKUP(EDATE(B271,-12),Database!$A:$AS,MATCH($V$1,Database!$A$1:$AS$1,),))))</f>
        <v>0.11125827814569544</v>
      </c>
    </row>
    <row r="272" spans="1:22" s="83" customFormat="1" x14ac:dyDescent="0.2">
      <c r="A272" s="43"/>
      <c r="B272" s="78">
        <v>40422</v>
      </c>
      <c r="C272" s="13">
        <f>((((VLOOKUP(B272,Database!$A:$AS,MATCH($C$1,Database!$A$1:$AS$1,),))))-(((VLOOKUP(EDATE(B272,-12),Database!$A:$AS,MATCH($C$1,Database!$A$1:$AS$1,),)))))/(((VLOOKUP(EDATE(B272,-12),Database!$A:$AS,MATCH($C$1,Database!$A$1:$AS$1,),))))</f>
        <v>6.3129810816286172E-2</v>
      </c>
      <c r="D272" s="13">
        <f>((((VLOOKUP(B272,Database!$A:$AS,MATCH($D$1,Database!$A$1:$AS$1,),))))-(((VLOOKUP(EDATE(B272,-12),Database!$A:$AS,MATCH($D$1,Database!$A$1:$AS$1,),)))))/(((VLOOKUP(EDATE(B272,-12),Database!$A:$AS,MATCH($D$1,Database!$A$1:$AS$1,),))))</f>
        <v>6.1135371179039395E-2</v>
      </c>
      <c r="E272" s="13">
        <f>((((VLOOKUP(B272,Database!$A:$AS,MATCH($E$1,Database!$A$1:$AS$1,),))))-(((VLOOKUP(EDATE(B272,-12),Database!$A:$AS,MATCH($E$1,Database!$A$1:$AS$1,),)))))/(((VLOOKUP(EDATE(B272,-12),Database!$A:$AS,MATCH($E$1,Database!$A$1:$AS$1,),))))</f>
        <v>0.122941822170583</v>
      </c>
      <c r="F272" s="13">
        <f>((((VLOOKUP(B272,Database!$A:$AS,MATCH($F$1,Database!$A$1:$AS$1,),))))-(((VLOOKUP(EDATE(B272,-12),Database!$A:$AS,MATCH($F$1,Database!$A$1:$AS$1,),)))))/(((VLOOKUP(EDATE(B272,-12),Database!$A:$AS,MATCH($F$1,Database!$A$1:$AS$1,),))))</f>
        <v>9.8692033293669656E-2</v>
      </c>
      <c r="G272" s="13">
        <f>((((VLOOKUP(B272,Database!$A:$AS,MATCH($G$1,Database!$A$1:$AS$1,),))))-(((VLOOKUP(EDATE(B272,-12),Database!$A:$AS,MATCH($G$1,Database!$A$1:$AS$1,),)))))/(((VLOOKUP(EDATE(B272,-12),Database!$A:$AS,MATCH($G$1,Database!$A$1:$AS$1,),))))</f>
        <v>3.2837670384138706E-2</v>
      </c>
      <c r="H272" s="13">
        <f>((((VLOOKUP(B272,Database!$A:$AS,MATCH($H$1,Database!$A$1:$AS$1,),))))-(((VLOOKUP(EDATE(B272,-12),Database!$A:$AS,MATCH($H$1,Database!$A$1:$AS$1,),)))))/(((VLOOKUP(EDATE(B272,-12),Database!$A:$AS,MATCH($H$1,Database!$A$1:$AS$1,),))))</f>
        <v>-1.1037527570709523E-3</v>
      </c>
      <c r="I272" s="13">
        <f>((((VLOOKUP(B272,Database!$A:$AS,MATCH($I$1,Database!$A$1:$AS$1,),))))-(((VLOOKUP(EDATE(B272,-12),Database!$A:$AS,MATCH($I$1,Database!$A$1:$AS$1,),)))))/(((VLOOKUP(EDATE(B272,-12),Database!$A:$AS,MATCH($I$1,Database!$A$1:$AS$1,),))))</f>
        <v>6.4039408872528347E-2</v>
      </c>
      <c r="J272" s="13">
        <f>((((VLOOKUP(B272,Database!$A:$AS,MATCH($J$1,Database!$A$1:$AS$1,),))))-(((VLOOKUP(EDATE(B272,-12),Database!$A:$AS,MATCH($J$1,Database!$A$1:$AS$1,),)))))/(((VLOOKUP(EDATE(B272,-12),Database!$A:$AS,MATCH($J$1,Database!$A$1:$AS$1,),))))</f>
        <v>-1.4177640262467744E-2</v>
      </c>
      <c r="K272" s="13">
        <f>((((VLOOKUP(B272,Database!$A:$AS,MATCH($K$1,Database!$A$1:$AS$1,),))))-(((VLOOKUP(EDATE(B272,-12),Database!$A:$AS,MATCH($K$1,Database!$A$1:$AS$1,),)))))/(((VLOOKUP(EDATE(B272,-12),Database!$A:$AS,MATCH($K$1,Database!$A$1:$AS$1,),))))</f>
        <v>8.8633993739383965E-2</v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>6.0888751912352365E-2</v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>6.4638783269961905E-2</v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>6.2192935196562826E-2</v>
      </c>
      <c r="O272" s="13">
        <f>((((VLOOKUP(B272,Database!$A:$AS,MATCH($O$1,Database!$A$1:$AS$1,),))))-(((VLOOKUP(EDATE(B272,-12),Database!$A:$AS,MATCH($O$1,Database!$A$1:$AS$1,),)))))/(((VLOOKUP(EDATE(B272,-12),Database!$A:$AS,MATCH($O$1,Database!$A$1:$AS$1,),))))</f>
        <v>7.3656394938753061E-2</v>
      </c>
      <c r="P272" s="13">
        <f>((((VLOOKUP(B272,Database!$A:$AS,MATCH($P$1,Database!$A$1:$AS$1,),))))-(((VLOOKUP(EDATE(B272,-12),Database!$A:$AS,MATCH($P$1,Database!$A$1:$AS$1,),)))))/(((VLOOKUP(EDATE(B272,-12),Database!$A:$AS,MATCH($P$1,Database!$A$1:$AS$1,),))))</f>
        <v>9.4771929821116346E-2</v>
      </c>
      <c r="Q272" s="13">
        <f>((((VLOOKUP(B272,Database!$A:$AS,MATCH($Q$1,Database!$A$1:$AS$1,),))))-(((VLOOKUP(EDATE(B272,-12),Database!$A:$AS,MATCH($Q$1,Database!$A$1:$AS$1,),)))))/(((VLOOKUP(EDATE(B272,-12),Database!$A:$AS,MATCH($Q$1,Database!$A$1:$AS$1,),))))</f>
        <v>6.3874345544191385E-2</v>
      </c>
      <c r="R272" s="13">
        <f>((((VLOOKUP(B272,Database!$A:$AS,MATCH($R$1,Database!$A$1:$AS$1,),))))-(((VLOOKUP(EDATE(B272,-12),Database!$A:$AS,MATCH($R$1,Database!$A$1:$AS$1,),)))))/(((VLOOKUP(EDATE(B272,-12),Database!$A:$AS,MATCH($R$1,Database!$A$1:$AS$1,),))))</f>
        <v>-0.12307692307330627</v>
      </c>
      <c r="S272" s="13">
        <f>((((VLOOKUP(B272,Database!$A:$AS,MATCH($S$1,Database!$A$1:$AS$1,),))))-(((VLOOKUP(EDATE(B272,-12),Database!$A:$AS,MATCH($S$1,Database!$A$1:$AS$1,),)))))/(((VLOOKUP(EDATE(B272,-12),Database!$A:$AS,MATCH($S$1,Database!$A$1:$AS$1,),))))</f>
        <v>8.3009424065720386E-2</v>
      </c>
      <c r="T272" s="13">
        <f>((((VLOOKUP(B272,Database!$A:$AS,MATCH($T$1,Database!$A$1:$AS$1,),))))-(((VLOOKUP(EDATE(B272,-12),Database!$A:$AS,MATCH($T$1,Database!$A$1:$AS$1,),)))))/(((VLOOKUP(EDATE(B272,-12),Database!$A:$AS,MATCH($T$1,Database!$A$1:$AS$1,),))))</f>
        <v>0.13470681458457801</v>
      </c>
      <c r="U272" s="13">
        <f>((((VLOOKUP(B272,Database!$A:$AS,MATCH($U$1,Database!$A$1:$AS$1,),))))-(((VLOOKUP(EDATE(B272,-12),Database!$A:$AS,MATCH($U$1,Database!$A$1:$AS$1,),)))))/(((VLOOKUP(EDATE(B272,-12),Database!$A:$AS,MATCH($U$1,Database!$A$1:$AS$1,),))))</f>
        <v>0.11411042944454011</v>
      </c>
      <c r="V272" s="13">
        <f>((((VLOOKUP(B272,Database!$A:$AS,MATCH($V$1,Database!$A$1:$AS$1,),))))-(((VLOOKUP(EDATE(B272,-12),Database!$A:$AS,MATCH($V$1,Database!$A$1:$AS$1,),)))))/(((VLOOKUP(EDATE(B272,-12),Database!$A:$AS,MATCH($V$1,Database!$A$1:$AS$1,),))))</f>
        <v>0.11633986928104582</v>
      </c>
    </row>
    <row r="273" spans="1:22" s="83" customFormat="1" x14ac:dyDescent="0.2">
      <c r="A273" s="43"/>
      <c r="B273" s="78">
        <v>40452</v>
      </c>
      <c r="C273" s="13">
        <f>((((VLOOKUP(B273,Database!$A:$AS,MATCH($C$1,Database!$A$1:$AS$1,),))))-(((VLOOKUP(EDATE(B273,-12),Database!$A:$AS,MATCH($C$1,Database!$A$1:$AS$1,),)))))/(((VLOOKUP(EDATE(B273,-12),Database!$A:$AS,MATCH($C$1,Database!$A$1:$AS$1,),))))</f>
        <v>5.763208779863882E-2</v>
      </c>
      <c r="D273" s="13">
        <f>((((VLOOKUP(B273,Database!$A:$AS,MATCH($D$1,Database!$A$1:$AS$1,),))))-(((VLOOKUP(EDATE(B273,-12),Database!$A:$AS,MATCH($D$1,Database!$A$1:$AS$1,),)))))/(((VLOOKUP(EDATE(B273,-12),Database!$A:$AS,MATCH($D$1,Database!$A$1:$AS$1,),))))</f>
        <v>7.4561403508771898E-2</v>
      </c>
      <c r="E273" s="13">
        <f>((((VLOOKUP(B273,Database!$A:$AS,MATCH($E$1,Database!$A$1:$AS$1,),))))-(((VLOOKUP(EDATE(B273,-12),Database!$A:$AS,MATCH($E$1,Database!$A$1:$AS$1,),)))))/(((VLOOKUP(EDATE(B273,-12),Database!$A:$AS,MATCH($E$1,Database!$A$1:$AS$1,),))))</f>
        <v>6.1965811970793913E-2</v>
      </c>
      <c r="F273" s="13">
        <f>((((VLOOKUP(B273,Database!$A:$AS,MATCH($F$1,Database!$A$1:$AS$1,),))))-(((VLOOKUP(EDATE(B273,-12),Database!$A:$AS,MATCH($F$1,Database!$A$1:$AS$1,),)))))/(((VLOOKUP(EDATE(B273,-12),Database!$A:$AS,MATCH($F$1,Database!$A$1:$AS$1,),))))</f>
        <v>0.14702308627380523</v>
      </c>
      <c r="G273" s="13">
        <f>((((VLOOKUP(B273,Database!$A:$AS,MATCH($G$1,Database!$A$1:$AS$1,),))))-(((VLOOKUP(EDATE(B273,-12),Database!$A:$AS,MATCH($G$1,Database!$A$1:$AS$1,),)))))/(((VLOOKUP(EDATE(B273,-12),Database!$A:$AS,MATCH($G$1,Database!$A$1:$AS$1,),))))</f>
        <v>3.804969331531341E-2</v>
      </c>
      <c r="H273" s="13">
        <f>((((VLOOKUP(B273,Database!$A:$AS,MATCH($H$1,Database!$A$1:$AS$1,),))))-(((VLOOKUP(EDATE(B273,-12),Database!$A:$AS,MATCH($H$1,Database!$A$1:$AS$1,),)))))/(((VLOOKUP(EDATE(B273,-12),Database!$A:$AS,MATCH($H$1,Database!$A$1:$AS$1,),))))</f>
        <v>1.1074197118154491E-2</v>
      </c>
      <c r="I273" s="13">
        <f>((((VLOOKUP(B273,Database!$A:$AS,MATCH($I$1,Database!$A$1:$AS$1,),))))-(((VLOOKUP(EDATE(B273,-12),Database!$A:$AS,MATCH($I$1,Database!$A$1:$AS$1,),)))))/(((VLOOKUP(EDATE(B273,-12),Database!$A:$AS,MATCH($I$1,Database!$A$1:$AS$1,),))))</f>
        <v>5.0387596891524937E-2</v>
      </c>
      <c r="J273" s="13">
        <f>((((VLOOKUP(B273,Database!$A:$AS,MATCH($J$1,Database!$A$1:$AS$1,),))))-(((VLOOKUP(EDATE(B273,-12),Database!$A:$AS,MATCH($J$1,Database!$A$1:$AS$1,),)))))/(((VLOOKUP(EDATE(B273,-12),Database!$A:$AS,MATCH($J$1,Database!$A$1:$AS$1,),))))</f>
        <v>-1.319424011300079E-3</v>
      </c>
      <c r="K273" s="13">
        <f>((((VLOOKUP(B273,Database!$A:$AS,MATCH($K$1,Database!$A$1:$AS$1,),))))-(((VLOOKUP(EDATE(B273,-12),Database!$A:$AS,MATCH($K$1,Database!$A$1:$AS$1,),)))))/(((VLOOKUP(EDATE(B273,-12),Database!$A:$AS,MATCH($K$1,Database!$A$1:$AS$1,),))))</f>
        <v>9.7894736846891525E-2</v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>4.8334422613420761E-2</v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>7.7987421383647837E-2</v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>0.1169412903823694</v>
      </c>
      <c r="O273" s="13">
        <f>((((VLOOKUP(B273,Database!$A:$AS,MATCH($O$1,Database!$A$1:$AS$1,),))))-(((VLOOKUP(EDATE(B273,-12),Database!$A:$AS,MATCH($O$1,Database!$A$1:$AS$1,),)))))/(((VLOOKUP(EDATE(B273,-12),Database!$A:$AS,MATCH($O$1,Database!$A$1:$AS$1,),))))</f>
        <v>8.2661904277513867E-2</v>
      </c>
      <c r="P273" s="13">
        <f>((((VLOOKUP(B273,Database!$A:$AS,MATCH($P$1,Database!$A$1:$AS$1,),))))-(((VLOOKUP(EDATE(B273,-12),Database!$A:$AS,MATCH($P$1,Database!$A$1:$AS$1,),)))))/(((VLOOKUP(EDATE(B273,-12),Database!$A:$AS,MATCH($P$1,Database!$A$1:$AS$1,),))))</f>
        <v>0.10197858308085206</v>
      </c>
      <c r="Q273" s="13">
        <f>((((VLOOKUP(B273,Database!$A:$AS,MATCH($Q$1,Database!$A$1:$AS$1,),))))-(((VLOOKUP(EDATE(B273,-12),Database!$A:$AS,MATCH($Q$1,Database!$A$1:$AS$1,),)))))/(((VLOOKUP(EDATE(B273,-12),Database!$A:$AS,MATCH($Q$1,Database!$A$1:$AS$1,),))))</f>
        <v>4.0041067761356915E-2</v>
      </c>
      <c r="R273" s="13">
        <f>((((VLOOKUP(B273,Database!$A:$AS,MATCH($R$1,Database!$A$1:$AS$1,),))))-(((VLOOKUP(EDATE(B273,-12),Database!$A:$AS,MATCH($R$1,Database!$A$1:$AS$1,),)))))/(((VLOOKUP(EDATE(B273,-12),Database!$A:$AS,MATCH($R$1,Database!$A$1:$AS$1,),))))</f>
        <v>-4.1425020710091361E-2</v>
      </c>
      <c r="S273" s="13">
        <f>((((VLOOKUP(B273,Database!$A:$AS,MATCH($S$1,Database!$A$1:$AS$1,),))))-(((VLOOKUP(EDATE(B273,-12),Database!$A:$AS,MATCH($S$1,Database!$A$1:$AS$1,),)))))/(((VLOOKUP(EDATE(B273,-12),Database!$A:$AS,MATCH($S$1,Database!$A$1:$AS$1,),))))</f>
        <v>1.6106832471043104E-3</v>
      </c>
      <c r="T273" s="13">
        <f>((((VLOOKUP(B273,Database!$A:$AS,MATCH($T$1,Database!$A$1:$AS$1,),))))-(((VLOOKUP(EDATE(B273,-12),Database!$A:$AS,MATCH($T$1,Database!$A$1:$AS$1,),)))))/(((VLOOKUP(EDATE(B273,-12),Database!$A:$AS,MATCH($T$1,Database!$A$1:$AS$1,),))))</f>
        <v>0.12441679626960055</v>
      </c>
      <c r="U273" s="13">
        <f>((((VLOOKUP(B273,Database!$A:$AS,MATCH($U$1,Database!$A$1:$AS$1,),))))-(((VLOOKUP(EDATE(B273,-12),Database!$A:$AS,MATCH($U$1,Database!$A$1:$AS$1,),)))))/(((VLOOKUP(EDATE(B273,-12),Database!$A:$AS,MATCH($U$1,Database!$A$1:$AS$1,),))))</f>
        <v>0.10194174756945693</v>
      </c>
      <c r="V273" s="13">
        <f>((((VLOOKUP(B273,Database!$A:$AS,MATCH($V$1,Database!$A$1:$AS$1,),))))-(((VLOOKUP(EDATE(B273,-12),Database!$A:$AS,MATCH($V$1,Database!$A$1:$AS$1,),)))))/(((VLOOKUP(EDATE(B273,-12),Database!$A:$AS,MATCH($V$1,Database!$A$1:$AS$1,),))))</f>
        <v>0.1046511627906976</v>
      </c>
    </row>
    <row r="274" spans="1:22" s="83" customFormat="1" x14ac:dyDescent="0.2">
      <c r="A274" s="43"/>
      <c r="B274" s="78">
        <v>40483</v>
      </c>
      <c r="C274" s="13">
        <f>((((VLOOKUP(B274,Database!$A:$AS,MATCH($C$1,Database!$A$1:$AS$1,),))))-(((VLOOKUP(EDATE(B274,-12),Database!$A:$AS,MATCH($C$1,Database!$A$1:$AS$1,),)))))/(((VLOOKUP(EDATE(B274,-12),Database!$A:$AS,MATCH($C$1,Database!$A$1:$AS$1,),))))</f>
        <v>5.3943987971737661E-2</v>
      </c>
      <c r="D274" s="13">
        <f>((((VLOOKUP(B274,Database!$A:$AS,MATCH($D$1,Database!$A$1:$AS$1,),))))-(((VLOOKUP(EDATE(B274,-12),Database!$A:$AS,MATCH($D$1,Database!$A$1:$AS$1,),)))))/(((VLOOKUP(EDATE(B274,-12),Database!$A:$AS,MATCH($D$1,Database!$A$1:$AS$1,),))))</f>
        <v>8.0874316939890778E-2</v>
      </c>
      <c r="E274" s="13">
        <f>((((VLOOKUP(B274,Database!$A:$AS,MATCH($E$1,Database!$A$1:$AS$1,),))))-(((VLOOKUP(EDATE(B274,-12),Database!$A:$AS,MATCH($E$1,Database!$A$1:$AS$1,),)))))/(((VLOOKUP(EDATE(B274,-12),Database!$A:$AS,MATCH($E$1,Database!$A$1:$AS$1,),))))</f>
        <v>5.8638743459321706E-2</v>
      </c>
      <c r="F274" s="13">
        <f>((((VLOOKUP(B274,Database!$A:$AS,MATCH($F$1,Database!$A$1:$AS$1,),))))-(((VLOOKUP(EDATE(B274,-12),Database!$A:$AS,MATCH($F$1,Database!$A$1:$AS$1,),)))))/(((VLOOKUP(EDATE(B274,-12),Database!$A:$AS,MATCH($F$1,Database!$A$1:$AS$1,),))))</f>
        <v>0.12725090035651204</v>
      </c>
      <c r="G274" s="13">
        <f>((((VLOOKUP(B274,Database!$A:$AS,MATCH($G$1,Database!$A$1:$AS$1,),))))-(((VLOOKUP(EDATE(B274,-12),Database!$A:$AS,MATCH($G$1,Database!$A$1:$AS$1,),)))))/(((VLOOKUP(EDATE(B274,-12),Database!$A:$AS,MATCH($G$1,Database!$A$1:$AS$1,),))))</f>
        <v>4.1383570105003049E-2</v>
      </c>
      <c r="H274" s="13">
        <f>((((VLOOKUP(B274,Database!$A:$AS,MATCH($H$1,Database!$A$1:$AS$1,),))))-(((VLOOKUP(EDATE(B274,-12),Database!$A:$AS,MATCH($H$1,Database!$A$1:$AS$1,),)))))/(((VLOOKUP(EDATE(B274,-12),Database!$A:$AS,MATCH($H$1,Database!$A$1:$AS$1,),))))</f>
        <v>1.1074197097560978E-3</v>
      </c>
      <c r="I274" s="13">
        <f>((((VLOOKUP(B274,Database!$A:$AS,MATCH($I$1,Database!$A$1:$AS$1,),))))-(((VLOOKUP(EDATE(B274,-12),Database!$A:$AS,MATCH($I$1,Database!$A$1:$AS$1,),)))))/(((VLOOKUP(EDATE(B274,-12),Database!$A:$AS,MATCH($I$1,Database!$A$1:$AS$1,),))))</f>
        <v>5.3140096619571135E-2</v>
      </c>
      <c r="J274" s="13">
        <f>((((VLOOKUP(B274,Database!$A:$AS,MATCH($J$1,Database!$A$1:$AS$1,),))))-(((VLOOKUP(EDATE(B274,-12),Database!$A:$AS,MATCH($J$1,Database!$A$1:$AS$1,),)))))/(((VLOOKUP(EDATE(B274,-12),Database!$A:$AS,MATCH($J$1,Database!$A$1:$AS$1,),))))</f>
        <v>3.2985282608175737E-2</v>
      </c>
      <c r="K274" s="13">
        <f>((((VLOOKUP(B274,Database!$A:$AS,MATCH($K$1,Database!$A$1:$AS$1,),))))-(((VLOOKUP(EDATE(B274,-12),Database!$A:$AS,MATCH($K$1,Database!$A$1:$AS$1,),)))))/(((VLOOKUP(EDATE(B274,-12),Database!$A:$AS,MATCH($K$1,Database!$A$1:$AS$1,),))))</f>
        <v>0.14148936170554521</v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>3.1631735407618003E-2</v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>6.2962962962962887E-2</v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>6.4776405018735703E-2</v>
      </c>
      <c r="O274" s="13">
        <f>((((VLOOKUP(B274,Database!$A:$AS,MATCH($O$1,Database!$A$1:$AS$1,),))))-(((VLOOKUP(EDATE(B274,-12),Database!$A:$AS,MATCH($O$1,Database!$A$1:$AS$1,),)))))/(((VLOOKUP(EDATE(B274,-12),Database!$A:$AS,MATCH($O$1,Database!$A$1:$AS$1,),))))</f>
        <v>6.6455923553474822E-2</v>
      </c>
      <c r="P274" s="13">
        <f>((((VLOOKUP(B274,Database!$A:$AS,MATCH($P$1,Database!$A$1:$AS$1,),))))-(((VLOOKUP(EDATE(B274,-12),Database!$A:$AS,MATCH($P$1,Database!$A$1:$AS$1,),)))))/(((VLOOKUP(EDATE(B274,-12),Database!$A:$AS,MATCH($P$1,Database!$A$1:$AS$1,),))))</f>
        <v>0.10592240417867711</v>
      </c>
      <c r="Q274" s="13">
        <f>((((VLOOKUP(B274,Database!$A:$AS,MATCH($Q$1,Database!$A$1:$AS$1,),))))-(((VLOOKUP(EDATE(B274,-12),Database!$A:$AS,MATCH($Q$1,Database!$A$1:$AS$1,),)))))/(((VLOOKUP(EDATE(B274,-12),Database!$A:$AS,MATCH($Q$1,Database!$A$1:$AS$1,),))))</f>
        <v>3.2323232317783418E-2</v>
      </c>
      <c r="R274" s="13">
        <f>((((VLOOKUP(B274,Database!$A:$AS,MATCH($R$1,Database!$A$1:$AS$1,),))))-(((VLOOKUP(EDATE(B274,-12),Database!$A:$AS,MATCH($R$1,Database!$A$1:$AS$1,),)))))/(((VLOOKUP(EDATE(B274,-12),Database!$A:$AS,MATCH($R$1,Database!$A$1:$AS$1,),))))</f>
        <v>-7.1602929209660104E-2</v>
      </c>
      <c r="S274" s="13">
        <f>((((VLOOKUP(B274,Database!$A:$AS,MATCH($S$1,Database!$A$1:$AS$1,),))))-(((VLOOKUP(EDATE(B274,-12),Database!$A:$AS,MATCH($S$1,Database!$A$1:$AS$1,),)))))/(((VLOOKUP(EDATE(B274,-12),Database!$A:$AS,MATCH($S$1,Database!$A$1:$AS$1,),))))</f>
        <v>0.15731275533621272</v>
      </c>
      <c r="T274" s="13">
        <f>((((VLOOKUP(B274,Database!$A:$AS,MATCH($T$1,Database!$A$1:$AS$1,),))))-(((VLOOKUP(EDATE(B274,-12),Database!$A:$AS,MATCH($T$1,Database!$A$1:$AS$1,),)))))/(((VLOOKUP(EDATE(B274,-12),Database!$A:$AS,MATCH($T$1,Database!$A$1:$AS$1,),))))</f>
        <v>0.11343283581416745</v>
      </c>
      <c r="U274" s="13">
        <f>((((VLOOKUP(B274,Database!$A:$AS,MATCH($U$1,Database!$A$1:$AS$1,),))))-(((VLOOKUP(EDATE(B274,-12),Database!$A:$AS,MATCH($U$1,Database!$A$1:$AS$1,),)))))/(((VLOOKUP(EDATE(B274,-12),Database!$A:$AS,MATCH($U$1,Database!$A$1:$AS$1,),))))</f>
        <v>0.11344019728471463</v>
      </c>
      <c r="V274" s="13">
        <f>((((VLOOKUP(B274,Database!$A:$AS,MATCH($V$1,Database!$A$1:$AS$1,),))))-(((VLOOKUP(EDATE(B274,-12),Database!$A:$AS,MATCH($V$1,Database!$A$1:$AS$1,),)))))/(((VLOOKUP(EDATE(B274,-12),Database!$A:$AS,MATCH($V$1,Database!$A$1:$AS$1,),))))</f>
        <v>9.768637532133688E-2</v>
      </c>
    </row>
    <row r="275" spans="1:22" s="83" customFormat="1" x14ac:dyDescent="0.2">
      <c r="A275" s="43"/>
      <c r="B275" s="78">
        <v>40513</v>
      </c>
      <c r="C275" s="13">
        <f>((((VLOOKUP(B275,Database!$A:$AS,MATCH($C$1,Database!$A$1:$AS$1,),))))-(((VLOOKUP(EDATE(B275,-12),Database!$A:$AS,MATCH($C$1,Database!$A$1:$AS$1,),)))))/(((VLOOKUP(EDATE(B275,-12),Database!$A:$AS,MATCH($C$1,Database!$A$1:$AS$1,),))))</f>
        <v>6.079728687080746E-2</v>
      </c>
      <c r="D275" s="13">
        <f>((((VLOOKUP(B275,Database!$A:$AS,MATCH($D$1,Database!$A$1:$AS$1,),))))-(((VLOOKUP(EDATE(B275,-12),Database!$A:$AS,MATCH($D$1,Database!$A$1:$AS$1,),)))))/(((VLOOKUP(EDATE(B275,-12),Database!$A:$AS,MATCH($D$1,Database!$A$1:$AS$1,),))))</f>
        <v>8.9617486338797847E-2</v>
      </c>
      <c r="E275" s="13">
        <f>((((VLOOKUP(B275,Database!$A:$AS,MATCH($E$1,Database!$A$1:$AS$1,),))))-(((VLOOKUP(EDATE(B275,-12),Database!$A:$AS,MATCH($E$1,Database!$A$1:$AS$1,),)))))/(((VLOOKUP(EDATE(B275,-12),Database!$A:$AS,MATCH($E$1,Database!$A$1:$AS$1,),))))</f>
        <v>5.2959501554039314E-2</v>
      </c>
      <c r="F275" s="13">
        <f>((((VLOOKUP(B275,Database!$A:$AS,MATCH($F$1,Database!$A$1:$AS$1,),))))-(((VLOOKUP(EDATE(B275,-12),Database!$A:$AS,MATCH($F$1,Database!$A$1:$AS$1,),)))))/(((VLOOKUP(EDATE(B275,-12),Database!$A:$AS,MATCH($F$1,Database!$A$1:$AS$1,),))))</f>
        <v>0.14525810323262001</v>
      </c>
      <c r="G275" s="13">
        <f>((((VLOOKUP(B275,Database!$A:$AS,MATCH($G$1,Database!$A$1:$AS$1,),))))-(((VLOOKUP(EDATE(B275,-12),Database!$A:$AS,MATCH($G$1,Database!$A$1:$AS$1,),)))))/(((VLOOKUP(EDATE(B275,-12),Database!$A:$AS,MATCH($G$1,Database!$A$1:$AS$1,),))))</f>
        <v>5.8137133415943773E-2</v>
      </c>
      <c r="H275" s="13">
        <f>((((VLOOKUP(B275,Database!$A:$AS,MATCH($H$1,Database!$A$1:$AS$1,),))))-(((VLOOKUP(EDATE(B275,-12),Database!$A:$AS,MATCH($H$1,Database!$A$1:$AS$1,),)))))/(((VLOOKUP(EDATE(B275,-12),Database!$A:$AS,MATCH($H$1,Database!$A$1:$AS$1,),))))</f>
        <v>-1.1123470520248938E-2</v>
      </c>
      <c r="I275" s="13">
        <f>((((VLOOKUP(B275,Database!$A:$AS,MATCH($I$1,Database!$A$1:$AS$1,),))))-(((VLOOKUP(EDATE(B275,-12),Database!$A:$AS,MATCH($I$1,Database!$A$1:$AS$1,),)))))/(((VLOOKUP(EDATE(B275,-12),Database!$A:$AS,MATCH($I$1,Database!$A$1:$AS$1,),))))</f>
        <v>7.7450980397040028E-2</v>
      </c>
      <c r="J275" s="13">
        <f>((((VLOOKUP(B275,Database!$A:$AS,MATCH($J$1,Database!$A$1:$AS$1,),))))-(((VLOOKUP(EDATE(B275,-12),Database!$A:$AS,MATCH($J$1,Database!$A$1:$AS$1,),)))))/(((VLOOKUP(EDATE(B275,-12),Database!$A:$AS,MATCH($J$1,Database!$A$1:$AS$1,),))))</f>
        <v>-4.9966405163273967E-3</v>
      </c>
      <c r="K275" s="13">
        <f>((((VLOOKUP(B275,Database!$A:$AS,MATCH($K$1,Database!$A$1:$AS$1,),))))-(((VLOOKUP(EDATE(B275,-12),Database!$A:$AS,MATCH($K$1,Database!$A$1:$AS$1,),)))))/(((VLOOKUP(EDATE(B275,-12),Database!$A:$AS,MATCH($K$1,Database!$A$1:$AS$1,),))))</f>
        <v>0.1190727081233301</v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>4.2982692035247377E-2</v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>6.0344827586206788E-2</v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>8.1877381317646089E-2</v>
      </c>
      <c r="O275" s="13">
        <f>((((VLOOKUP(B275,Database!$A:$AS,MATCH($O$1,Database!$A$1:$AS$1,),))))-(((VLOOKUP(EDATE(B275,-12),Database!$A:$AS,MATCH($O$1,Database!$A$1:$AS$1,),)))))/(((VLOOKUP(EDATE(B275,-12),Database!$A:$AS,MATCH($O$1,Database!$A$1:$AS$1,),))))</f>
        <v>9.3019383097796768E-2</v>
      </c>
      <c r="P275" s="13">
        <f>((((VLOOKUP(B275,Database!$A:$AS,MATCH($P$1,Database!$A$1:$AS$1,),))))-(((VLOOKUP(EDATE(B275,-12),Database!$A:$AS,MATCH($P$1,Database!$A$1:$AS$1,),)))))/(((VLOOKUP(EDATE(B275,-12),Database!$A:$AS,MATCH($P$1,Database!$A$1:$AS$1,),))))</f>
        <v>0.11005085358018925</v>
      </c>
      <c r="Q275" s="13">
        <f>((((VLOOKUP(B275,Database!$A:$AS,MATCH($Q$1,Database!$A$1:$AS$1,),))))-(((VLOOKUP(EDATE(B275,-12),Database!$A:$AS,MATCH($Q$1,Database!$A$1:$AS$1,),)))))/(((VLOOKUP(EDATE(B275,-12),Database!$A:$AS,MATCH($Q$1,Database!$A$1:$AS$1,),))))</f>
        <v>3.6326942478577082E-2</v>
      </c>
      <c r="R275" s="13">
        <f>((((VLOOKUP(B275,Database!$A:$AS,MATCH($R$1,Database!$A$1:$AS$1,),))))-(((VLOOKUP(EDATE(B275,-12),Database!$A:$AS,MATCH($R$1,Database!$A$1:$AS$1,),)))))/(((VLOOKUP(EDATE(B275,-12),Database!$A:$AS,MATCH($R$1,Database!$A$1:$AS$1,),))))</f>
        <v>-4.8293089087717046E-2</v>
      </c>
      <c r="S275" s="13">
        <f>((((VLOOKUP(B275,Database!$A:$AS,MATCH($S$1,Database!$A$1:$AS$1,),))))-(((VLOOKUP(EDATE(B275,-12),Database!$A:$AS,MATCH($S$1,Database!$A$1:$AS$1,),)))))/(((VLOOKUP(EDATE(B275,-12),Database!$A:$AS,MATCH($S$1,Database!$A$1:$AS$1,),))))</f>
        <v>0.1261231992392754</v>
      </c>
      <c r="T275" s="13">
        <f>((((VLOOKUP(B275,Database!$A:$AS,MATCH($T$1,Database!$A$1:$AS$1,),))))-(((VLOOKUP(EDATE(B275,-12),Database!$A:$AS,MATCH($T$1,Database!$A$1:$AS$1,),)))))/(((VLOOKUP(EDATE(B275,-12),Database!$A:$AS,MATCH($T$1,Database!$A$1:$AS$1,),))))</f>
        <v>0.18068535825671353</v>
      </c>
      <c r="U275" s="13">
        <f>((((VLOOKUP(B275,Database!$A:$AS,MATCH($U$1,Database!$A$1:$AS$1,),))))-(((VLOOKUP(EDATE(B275,-12),Database!$A:$AS,MATCH($U$1,Database!$A$1:$AS$1,),)))))/(((VLOOKUP(EDATE(B275,-12),Database!$A:$AS,MATCH($U$1,Database!$A$1:$AS$1,),))))</f>
        <v>7.738814993809269E-2</v>
      </c>
      <c r="V275" s="13">
        <f>((((VLOOKUP(B275,Database!$A:$AS,MATCH($V$1,Database!$A$1:$AS$1,),))))-(((VLOOKUP(EDATE(B275,-12),Database!$A:$AS,MATCH($V$1,Database!$A$1:$AS$1,),)))))/(((VLOOKUP(EDATE(B275,-12),Database!$A:$AS,MATCH($V$1,Database!$A$1:$AS$1,),))))</f>
        <v>9.1743119266055051E-2</v>
      </c>
    </row>
    <row r="276" spans="1:22" s="83" customFormat="1" x14ac:dyDescent="0.2">
      <c r="A276" s="43"/>
      <c r="B276" s="78">
        <v>40544</v>
      </c>
      <c r="C276" s="13">
        <f>((((VLOOKUP(B276,Database!$A:$AS,MATCH($C$1,Database!$A$1:$AS$1,),))))-(((VLOOKUP(EDATE(B276,-12),Database!$A:$AS,MATCH($C$1,Database!$A$1:$AS$1,),)))))/(((VLOOKUP(EDATE(B276,-12),Database!$A:$AS,MATCH($C$1,Database!$A$1:$AS$1,),))))</f>
        <v>4.707284507625354E-2</v>
      </c>
      <c r="D276" s="13">
        <f>((((VLOOKUP(B276,Database!$A:$AS,MATCH($D$1,Database!$A$1:$AS$1,),))))-(((VLOOKUP(EDATE(B276,-12),Database!$A:$AS,MATCH($D$1,Database!$A$1:$AS$1,),)))))/(((VLOOKUP(EDATE(B276,-12),Database!$A:$AS,MATCH($D$1,Database!$A$1:$AS$1,),))))</f>
        <v>6.4446831364124602E-2</v>
      </c>
      <c r="E276" s="13">
        <f>((((VLOOKUP(B276,Database!$A:$AS,MATCH($E$1,Database!$A$1:$AS$1,),))))-(((VLOOKUP(EDATE(B276,-12),Database!$A:$AS,MATCH($E$1,Database!$A$1:$AS$1,),)))))/(((VLOOKUP(EDATE(B276,-12),Database!$A:$AS,MATCH($E$1,Database!$A$1:$AS$1,),))))</f>
        <v>3.6548223345474022E-2</v>
      </c>
      <c r="F276" s="13">
        <f>((((VLOOKUP(B276,Database!$A:$AS,MATCH($F$1,Database!$A$1:$AS$1,),))))-(((VLOOKUP(EDATE(B276,-12),Database!$A:$AS,MATCH($F$1,Database!$A$1:$AS$1,),)))))/(((VLOOKUP(EDATE(B276,-12),Database!$A:$AS,MATCH($F$1,Database!$A$1:$AS$1,),))))</f>
        <v>0.13198573127082427</v>
      </c>
      <c r="G276" s="13">
        <f>((((VLOOKUP(B276,Database!$A:$AS,MATCH($G$1,Database!$A$1:$AS$1,),))))-(((VLOOKUP(EDATE(B276,-12),Database!$A:$AS,MATCH($G$1,Database!$A$1:$AS$1,),)))))/(((VLOOKUP(EDATE(B276,-12),Database!$A:$AS,MATCH($G$1,Database!$A$1:$AS$1,),))))</f>
        <v>5.9160110350464819E-2</v>
      </c>
      <c r="H276" s="13">
        <f>((((VLOOKUP(B276,Database!$A:$AS,MATCH($H$1,Database!$A$1:$AS$1,),))))-(((VLOOKUP(EDATE(B276,-12),Database!$A:$AS,MATCH($H$1,Database!$A$1:$AS$1,),)))))/(((VLOOKUP(EDATE(B276,-12),Database!$A:$AS,MATCH($H$1,Database!$A$1:$AS$1,),))))</f>
        <v>-3.1111111108172284E-2</v>
      </c>
      <c r="I276" s="13">
        <f>((((VLOOKUP(B276,Database!$A:$AS,MATCH($I$1,Database!$A$1:$AS$1,),))))-(((VLOOKUP(EDATE(B276,-12),Database!$A:$AS,MATCH($I$1,Database!$A$1:$AS$1,),)))))/(((VLOOKUP(EDATE(B276,-12),Database!$A:$AS,MATCH($I$1,Database!$A$1:$AS$1,),))))</f>
        <v>2.0833333333925289E-2</v>
      </c>
      <c r="J276" s="13">
        <f>((((VLOOKUP(B276,Database!$A:$AS,MATCH($J$1,Database!$A$1:$AS$1,),))))-(((VLOOKUP(EDATE(B276,-12),Database!$A:$AS,MATCH($J$1,Database!$A$1:$AS$1,),)))))/(((VLOOKUP(EDATE(B276,-12),Database!$A:$AS,MATCH($J$1,Database!$A$1:$AS$1,),))))</f>
        <v>1.3370137146873257E-2</v>
      </c>
      <c r="K276" s="13">
        <f>((((VLOOKUP(B276,Database!$A:$AS,MATCH($K$1,Database!$A$1:$AS$1,),))))-(((VLOOKUP(EDATE(B276,-12),Database!$A:$AS,MATCH($K$1,Database!$A$1:$AS$1,),)))))/(((VLOOKUP(EDATE(B276,-12),Database!$A:$AS,MATCH($K$1,Database!$A$1:$AS$1,),))))</f>
        <v>9.4358974363613041E-2</v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>3.8864281955198629E-2</v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>5.6900726392251855E-2</v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>7.5009962373021488E-2</v>
      </c>
      <c r="O276" s="13">
        <f>((((VLOOKUP(B276,Database!$A:$AS,MATCH($O$1,Database!$A$1:$AS$1,),))))-(((VLOOKUP(EDATE(B276,-12),Database!$A:$AS,MATCH($O$1,Database!$A$1:$AS$1,),)))))/(((VLOOKUP(EDATE(B276,-12),Database!$A:$AS,MATCH($O$1,Database!$A$1:$AS$1,),))))</f>
        <v>7.8607722778623421E-2</v>
      </c>
      <c r="P276" s="13">
        <f>((((VLOOKUP(B276,Database!$A:$AS,MATCH($P$1,Database!$A$1:$AS$1,),))))-(((VLOOKUP(EDATE(B276,-12),Database!$A:$AS,MATCH($P$1,Database!$A$1:$AS$1,),)))))/(((VLOOKUP(EDATE(B276,-12),Database!$A:$AS,MATCH($P$1,Database!$A$1:$AS$1,),))))</f>
        <v>0.12757287157134542</v>
      </c>
      <c r="Q276" s="13">
        <f>((((VLOOKUP(B276,Database!$A:$AS,MATCH($Q$1,Database!$A$1:$AS$1,),))))-(((VLOOKUP(EDATE(B276,-12),Database!$A:$AS,MATCH($Q$1,Database!$A$1:$AS$1,),)))))/(((VLOOKUP(EDATE(B276,-12),Database!$A:$AS,MATCH($Q$1,Database!$A$1:$AS$1,),))))</f>
        <v>2.0854021853232669E-2</v>
      </c>
      <c r="R276" s="13">
        <f>((((VLOOKUP(B276,Database!$A:$AS,MATCH($R$1,Database!$A$1:$AS$1,),))))-(((VLOOKUP(EDATE(B276,-12),Database!$A:$AS,MATCH($R$1,Database!$A$1:$AS$1,),)))))/(((VLOOKUP(EDATE(B276,-12),Database!$A:$AS,MATCH($R$1,Database!$A$1:$AS$1,),))))</f>
        <v>-3.7931034486270498E-2</v>
      </c>
      <c r="S276" s="13">
        <f>((((VLOOKUP(B276,Database!$A:$AS,MATCH($S$1,Database!$A$1:$AS$1,),))))-(((VLOOKUP(EDATE(B276,-12),Database!$A:$AS,MATCH($S$1,Database!$A$1:$AS$1,),)))))/(((VLOOKUP(EDATE(B276,-12),Database!$A:$AS,MATCH($S$1,Database!$A$1:$AS$1,),))))</f>
        <v>-1.095617530242851E-2</v>
      </c>
      <c r="T276" s="13">
        <f>((((VLOOKUP(B276,Database!$A:$AS,MATCH($T$1,Database!$A$1:$AS$1,),))))-(((VLOOKUP(EDATE(B276,-12),Database!$A:$AS,MATCH($T$1,Database!$A$1:$AS$1,),)))))/(((VLOOKUP(EDATE(B276,-12),Database!$A:$AS,MATCH($T$1,Database!$A$1:$AS$1,),))))</f>
        <v>0.24213836476899553</v>
      </c>
      <c r="U276" s="13">
        <f>((((VLOOKUP(B276,Database!$A:$AS,MATCH($U$1,Database!$A$1:$AS$1,),))))-(((VLOOKUP(EDATE(B276,-12),Database!$A:$AS,MATCH($U$1,Database!$A$1:$AS$1,),)))))/(((VLOOKUP(EDATE(B276,-12),Database!$A:$AS,MATCH($U$1,Database!$A$1:$AS$1,),))))</f>
        <v>0.12439024389854182</v>
      </c>
      <c r="V276" s="13">
        <f>((((VLOOKUP(B276,Database!$A:$AS,MATCH($V$1,Database!$A$1:$AS$1,),))))-(((VLOOKUP(EDATE(B276,-12),Database!$A:$AS,MATCH($V$1,Database!$A$1:$AS$1,),)))))/(((VLOOKUP(EDATE(B276,-12),Database!$A:$AS,MATCH($V$1,Database!$A$1:$AS$1,),))))</f>
        <v>8.060453400503767E-2</v>
      </c>
    </row>
    <row r="277" spans="1:22" s="83" customFormat="1" x14ac:dyDescent="0.2">
      <c r="A277" s="43"/>
      <c r="B277" s="78">
        <v>40575</v>
      </c>
      <c r="C277" s="13">
        <f>((((VLOOKUP(B277,Database!$A:$AS,MATCH($C$1,Database!$A$1:$AS$1,),))))-(((VLOOKUP(EDATE(B277,-12),Database!$A:$AS,MATCH($C$1,Database!$A$1:$AS$1,),)))))/(((VLOOKUP(EDATE(B277,-12),Database!$A:$AS,MATCH($C$1,Database!$A$1:$AS$1,),))))</f>
        <v>3.9043240200978241E-2</v>
      </c>
      <c r="D277" s="13">
        <f>((((VLOOKUP(B277,Database!$A:$AS,MATCH($D$1,Database!$A$1:$AS$1,),))))-(((VLOOKUP(EDATE(B277,-12),Database!$A:$AS,MATCH($D$1,Database!$A$1:$AS$1,),)))))/(((VLOOKUP(EDATE(B277,-12),Database!$A:$AS,MATCH($D$1,Database!$A$1:$AS$1,),))))</f>
        <v>8.0993520518358536E-2</v>
      </c>
      <c r="E277" s="13">
        <f>((((VLOOKUP(B277,Database!$A:$AS,MATCH($E$1,Database!$A$1:$AS$1,),))))-(((VLOOKUP(EDATE(B277,-12),Database!$A:$AS,MATCH($E$1,Database!$A$1:$AS$1,),)))))/(((VLOOKUP(EDATE(B277,-12),Database!$A:$AS,MATCH($E$1,Database!$A$1:$AS$1,),))))</f>
        <v>3.7449392713269233E-2</v>
      </c>
      <c r="F277" s="13">
        <f>((((VLOOKUP(B277,Database!$A:$AS,MATCH($F$1,Database!$A$1:$AS$1,),))))-(((VLOOKUP(EDATE(B277,-12),Database!$A:$AS,MATCH($F$1,Database!$A$1:$AS$1,),)))))/(((VLOOKUP(EDATE(B277,-12),Database!$A:$AS,MATCH($F$1,Database!$A$1:$AS$1,),))))</f>
        <v>0.15606242497029052</v>
      </c>
      <c r="G277" s="13">
        <f>((((VLOOKUP(B277,Database!$A:$AS,MATCH($G$1,Database!$A$1:$AS$1,),))))-(((VLOOKUP(EDATE(B277,-12),Database!$A:$AS,MATCH($G$1,Database!$A$1:$AS$1,),)))))/(((VLOOKUP(EDATE(B277,-12),Database!$A:$AS,MATCH($G$1,Database!$A$1:$AS$1,),))))</f>
        <v>6.9834413246940161E-2</v>
      </c>
      <c r="H277" s="13">
        <f>((((VLOOKUP(B277,Database!$A:$AS,MATCH($H$1,Database!$A$1:$AS$1,),))))-(((VLOOKUP(EDATE(B277,-12),Database!$A:$AS,MATCH($H$1,Database!$A$1:$AS$1,),)))))/(((VLOOKUP(EDATE(B277,-12),Database!$A:$AS,MATCH($H$1,Database!$A$1:$AS$1,),))))</f>
        <v>-6.6445182719223547E-2</v>
      </c>
      <c r="I277" s="13">
        <f>((((VLOOKUP(B277,Database!$A:$AS,MATCH($I$1,Database!$A$1:$AS$1,),))))-(((VLOOKUP(EDATE(B277,-12),Database!$A:$AS,MATCH($I$1,Database!$A$1:$AS$1,),)))))/(((VLOOKUP(EDATE(B277,-12),Database!$A:$AS,MATCH($I$1,Database!$A$1:$AS$1,),))))</f>
        <v>5.7361376666513697E-2</v>
      </c>
      <c r="J277" s="13">
        <f>((((VLOOKUP(B277,Database!$A:$AS,MATCH($J$1,Database!$A$1:$AS$1,),))))-(((VLOOKUP(EDATE(B277,-12),Database!$A:$AS,MATCH($J$1,Database!$A$1:$AS$1,),)))))/(((VLOOKUP(EDATE(B277,-12),Database!$A:$AS,MATCH($J$1,Database!$A$1:$AS$1,),))))</f>
        <v>2.6317304923697212E-2</v>
      </c>
      <c r="K277" s="13">
        <f>((((VLOOKUP(B277,Database!$A:$AS,MATCH($K$1,Database!$A$1:$AS$1,),))))-(((VLOOKUP(EDATE(B277,-12),Database!$A:$AS,MATCH($K$1,Database!$A$1:$AS$1,),)))))/(((VLOOKUP(EDATE(B277,-12),Database!$A:$AS,MATCH($K$1,Database!$A$1:$AS$1,),))))</f>
        <v>0.1203319502048865</v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>3.8217670392005222E-2</v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>5.3268765133171983E-2</v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>6.5973881011824415E-2</v>
      </c>
      <c r="O277" s="13">
        <f>((((VLOOKUP(B277,Database!$A:$AS,MATCH($O$1,Database!$A$1:$AS$1,),))))-(((VLOOKUP(EDATE(B277,-12),Database!$A:$AS,MATCH($O$1,Database!$A$1:$AS$1,),)))))/(((VLOOKUP(EDATE(B277,-12),Database!$A:$AS,MATCH($O$1,Database!$A$1:$AS$1,),))))</f>
        <v>6.028649427956282E-2</v>
      </c>
      <c r="P277" s="13">
        <f>((((VLOOKUP(B277,Database!$A:$AS,MATCH($P$1,Database!$A$1:$AS$1,),))))-(((VLOOKUP(EDATE(B277,-12),Database!$A:$AS,MATCH($P$1,Database!$A$1:$AS$1,),)))))/(((VLOOKUP(EDATE(B277,-12),Database!$A:$AS,MATCH($P$1,Database!$A$1:$AS$1,),))))</f>
        <v>7.6109367994593891E-2</v>
      </c>
      <c r="Q277" s="13">
        <f>((((VLOOKUP(B277,Database!$A:$AS,MATCH($Q$1,Database!$A$1:$AS$1,),))))-(((VLOOKUP(EDATE(B277,-12),Database!$A:$AS,MATCH($Q$1,Database!$A$1:$AS$1,),)))))/(((VLOOKUP(EDATE(B277,-12),Database!$A:$AS,MATCH($Q$1,Database!$A$1:$AS$1,),))))</f>
        <v>3.6815920401436095E-2</v>
      </c>
      <c r="R277" s="13">
        <f>((((VLOOKUP(B277,Database!$A:$AS,MATCH($R$1,Database!$A$1:$AS$1,),))))-(((VLOOKUP(EDATE(B277,-12),Database!$A:$AS,MATCH($R$1,Database!$A$1:$AS$1,),)))))/(((VLOOKUP(EDATE(B277,-12),Database!$A:$AS,MATCH($R$1,Database!$A$1:$AS$1,),))))</f>
        <v>-4.2241379310136447E-2</v>
      </c>
      <c r="S277" s="13">
        <f>((((VLOOKUP(B277,Database!$A:$AS,MATCH($S$1,Database!$A$1:$AS$1,),))))-(((VLOOKUP(EDATE(B277,-12),Database!$A:$AS,MATCH($S$1,Database!$A$1:$AS$1,),)))))/(((VLOOKUP(EDATE(B277,-12),Database!$A:$AS,MATCH($S$1,Database!$A$1:$AS$1,),))))</f>
        <v>-8.9197225047760904E-3</v>
      </c>
      <c r="T277" s="13">
        <f>((((VLOOKUP(B277,Database!$A:$AS,MATCH($T$1,Database!$A$1:$AS$1,),))))-(((VLOOKUP(EDATE(B277,-12),Database!$A:$AS,MATCH($T$1,Database!$A$1:$AS$1,),)))))/(((VLOOKUP(EDATE(B277,-12),Database!$A:$AS,MATCH($T$1,Database!$A$1:$AS$1,),))))</f>
        <v>0.19508448540944934</v>
      </c>
      <c r="U277" s="13">
        <f>((((VLOOKUP(B277,Database!$A:$AS,MATCH($U$1,Database!$A$1:$AS$1,),))))-(((VLOOKUP(EDATE(B277,-12),Database!$A:$AS,MATCH($U$1,Database!$A$1:$AS$1,),)))))/(((VLOOKUP(EDATE(B277,-12),Database!$A:$AS,MATCH($U$1,Database!$A$1:$AS$1,),))))</f>
        <v>0.11111111110975423</v>
      </c>
      <c r="V277" s="13">
        <f>((((VLOOKUP(B277,Database!$A:$AS,MATCH($V$1,Database!$A$1:$AS$1,),))))-(((VLOOKUP(EDATE(B277,-12),Database!$A:$AS,MATCH($V$1,Database!$A$1:$AS$1,),)))))/(((VLOOKUP(EDATE(B277,-12),Database!$A:$AS,MATCH($V$1,Database!$A$1:$AS$1,),))))</f>
        <v>0.10678391959798995</v>
      </c>
    </row>
    <row r="278" spans="1:22" s="83" customFormat="1" x14ac:dyDescent="0.2">
      <c r="A278" s="43"/>
      <c r="B278" s="78">
        <v>40603</v>
      </c>
      <c r="C278" s="13">
        <f>((((VLOOKUP(B278,Database!$A:$AS,MATCH($C$1,Database!$A$1:$AS$1,),))))-(((VLOOKUP(EDATE(B278,-12),Database!$A:$AS,MATCH($C$1,Database!$A$1:$AS$1,),)))))/(((VLOOKUP(EDATE(B278,-12),Database!$A:$AS,MATCH($C$1,Database!$A$1:$AS$1,),))))</f>
        <v>4.2057151982301338E-2</v>
      </c>
      <c r="D278" s="13">
        <f>((((VLOOKUP(B278,Database!$A:$AS,MATCH($D$1,Database!$A$1:$AS$1,),))))-(((VLOOKUP(EDATE(B278,-12),Database!$A:$AS,MATCH($D$1,Database!$A$1:$AS$1,),)))))/(((VLOOKUP(EDATE(B278,-12),Database!$A:$AS,MATCH($D$1,Database!$A$1:$AS$1,),))))</f>
        <v>6.256627783669147E-2</v>
      </c>
      <c r="E278" s="13">
        <f>((((VLOOKUP(B278,Database!$A:$AS,MATCH($E$1,Database!$A$1:$AS$1,),))))-(((VLOOKUP(EDATE(B278,-12),Database!$A:$AS,MATCH($E$1,Database!$A$1:$AS$1,),)))))/(((VLOOKUP(EDATE(B278,-12),Database!$A:$AS,MATCH($E$1,Database!$A$1:$AS$1,),))))</f>
        <v>-0.12916246216297658</v>
      </c>
      <c r="F278" s="13">
        <f>((((VLOOKUP(B278,Database!$A:$AS,MATCH($F$1,Database!$A$1:$AS$1,),))))-(((VLOOKUP(EDATE(B278,-12),Database!$A:$AS,MATCH($F$1,Database!$A$1:$AS$1,),)))))/(((VLOOKUP(EDATE(B278,-12),Database!$A:$AS,MATCH($F$1,Database!$A$1:$AS$1,),))))</f>
        <v>0.12543554006956498</v>
      </c>
      <c r="G278" s="13">
        <f>((((VLOOKUP(B278,Database!$A:$AS,MATCH($G$1,Database!$A$1:$AS$1,),))))-(((VLOOKUP(EDATE(B278,-12),Database!$A:$AS,MATCH($G$1,Database!$A$1:$AS$1,),)))))/(((VLOOKUP(EDATE(B278,-12),Database!$A:$AS,MATCH($G$1,Database!$A$1:$AS$1,),))))</f>
        <v>3.5800726099233536E-2</v>
      </c>
      <c r="H278" s="13">
        <f>((((VLOOKUP(B278,Database!$A:$AS,MATCH($H$1,Database!$A$1:$AS$1,),))))-(((VLOOKUP(EDATE(B278,-12),Database!$A:$AS,MATCH($H$1,Database!$A$1:$AS$1,),)))))/(((VLOOKUP(EDATE(B278,-12),Database!$A:$AS,MATCH($H$1,Database!$A$1:$AS$1,),))))</f>
        <v>-8.3877995649156198E-2</v>
      </c>
      <c r="I278" s="13">
        <f>((((VLOOKUP(B278,Database!$A:$AS,MATCH($I$1,Database!$A$1:$AS$1,),))))-(((VLOOKUP(EDATE(B278,-12),Database!$A:$AS,MATCH($I$1,Database!$A$1:$AS$1,),)))))/(((VLOOKUP(EDATE(B278,-12),Database!$A:$AS,MATCH($I$1,Database!$A$1:$AS$1,),))))</f>
        <v>5.3231939161329282E-2</v>
      </c>
      <c r="J278" s="13">
        <f>((((VLOOKUP(B278,Database!$A:$AS,MATCH($J$1,Database!$A$1:$AS$1,),))))-(((VLOOKUP(EDATE(B278,-12),Database!$A:$AS,MATCH($J$1,Database!$A$1:$AS$1,),)))))/(((VLOOKUP(EDATE(B278,-12),Database!$A:$AS,MATCH($J$1,Database!$A$1:$AS$1,),))))</f>
        <v>-1.3439904154931587E-2</v>
      </c>
      <c r="K278" s="13">
        <f>((((VLOOKUP(B278,Database!$A:$AS,MATCH($K$1,Database!$A$1:$AS$1,),))))-(((VLOOKUP(EDATE(B278,-12),Database!$A:$AS,MATCH($K$1,Database!$A$1:$AS$1,),)))))/(((VLOOKUP(EDATE(B278,-12),Database!$A:$AS,MATCH($K$1,Database!$A$1:$AS$1,),))))</f>
        <v>7.5681130170342503E-2</v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>3.6201733020653666E-2</v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>3.8323353293413208E-2</v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>9.2943250571046993E-2</v>
      </c>
      <c r="O278" s="13">
        <f>((((VLOOKUP(B278,Database!$A:$AS,MATCH($O$1,Database!$A$1:$AS$1,),))))-(((VLOOKUP(EDATE(B278,-12),Database!$A:$AS,MATCH($O$1,Database!$A$1:$AS$1,),)))))/(((VLOOKUP(EDATE(B278,-12),Database!$A:$AS,MATCH($O$1,Database!$A$1:$AS$1,),))))</f>
        <v>5.8784692361381535E-2</v>
      </c>
      <c r="P278" s="13">
        <f>((((VLOOKUP(B278,Database!$A:$AS,MATCH($P$1,Database!$A$1:$AS$1,),))))-(((VLOOKUP(EDATE(B278,-12),Database!$A:$AS,MATCH($P$1,Database!$A$1:$AS$1,),)))))/(((VLOOKUP(EDATE(B278,-12),Database!$A:$AS,MATCH($P$1,Database!$A$1:$AS$1,),))))</f>
        <v>8.6425499835355676E-2</v>
      </c>
      <c r="Q278" s="13">
        <f>((((VLOOKUP(B278,Database!$A:$AS,MATCH($Q$1,Database!$A$1:$AS$1,),))))-(((VLOOKUP(EDATE(B278,-12),Database!$A:$AS,MATCH($Q$1,Database!$A$1:$AS$1,),)))))/(((VLOOKUP(EDATE(B278,-12),Database!$A:$AS,MATCH($Q$1,Database!$A$1:$AS$1,),))))</f>
        <v>1.747572815794236E-2</v>
      </c>
      <c r="R278" s="13">
        <f>((((VLOOKUP(B278,Database!$A:$AS,MATCH($R$1,Database!$A$1:$AS$1,),))))-(((VLOOKUP(EDATE(B278,-12),Database!$A:$AS,MATCH($R$1,Database!$A$1:$AS$1,),)))))/(((VLOOKUP(EDATE(B278,-12),Database!$A:$AS,MATCH($R$1,Database!$A$1:$AS$1,),))))</f>
        <v>-5.8524173030345066E-2</v>
      </c>
      <c r="S278" s="13">
        <f>((((VLOOKUP(B278,Database!$A:$AS,MATCH($S$1,Database!$A$1:$AS$1,),))))-(((VLOOKUP(EDATE(B278,-12),Database!$A:$AS,MATCH($S$1,Database!$A$1:$AS$1,),)))))/(((VLOOKUP(EDATE(B278,-12),Database!$A:$AS,MATCH($S$1,Database!$A$1:$AS$1,),))))</f>
        <v>-4.711538461303514E-2</v>
      </c>
      <c r="T278" s="13">
        <f>((((VLOOKUP(B278,Database!$A:$AS,MATCH($T$1,Database!$A$1:$AS$1,),))))-(((VLOOKUP(EDATE(B278,-12),Database!$A:$AS,MATCH($T$1,Database!$A$1:$AS$1,),)))))/(((VLOOKUP(EDATE(B278,-12),Database!$A:$AS,MATCH($T$1,Database!$A$1:$AS$1,),))))</f>
        <v>0.16892911011502248</v>
      </c>
      <c r="U278" s="13">
        <f>((((VLOOKUP(B278,Database!$A:$AS,MATCH($U$1,Database!$A$1:$AS$1,),))))-(((VLOOKUP(EDATE(B278,-12),Database!$A:$AS,MATCH($U$1,Database!$A$1:$AS$1,),)))))/(((VLOOKUP(EDATE(B278,-12),Database!$A:$AS,MATCH($U$1,Database!$A$1:$AS$1,),))))</f>
        <v>6.8396226410031638E-2</v>
      </c>
      <c r="V278" s="13">
        <f>((((VLOOKUP(B278,Database!$A:$AS,MATCH($V$1,Database!$A$1:$AS$1,),))))-(((VLOOKUP(EDATE(B278,-12),Database!$A:$AS,MATCH($V$1,Database!$A$1:$AS$1,),)))))/(((VLOOKUP(EDATE(B278,-12),Database!$A:$AS,MATCH($V$1,Database!$A$1:$AS$1,),))))</f>
        <v>6.3414634146341492E-2</v>
      </c>
    </row>
    <row r="279" spans="1:22" s="83" customFormat="1" x14ac:dyDescent="0.2">
      <c r="A279" s="43"/>
      <c r="B279" s="78">
        <v>40634</v>
      </c>
      <c r="C279" s="13">
        <f>((((VLOOKUP(B279,Database!$A:$AS,MATCH($C$1,Database!$A$1:$AS$1,),))))-(((VLOOKUP(EDATE(B279,-12),Database!$A:$AS,MATCH($C$1,Database!$A$1:$AS$1,),)))))/(((VLOOKUP(EDATE(B279,-12),Database!$A:$AS,MATCH($C$1,Database!$A$1:$AS$1,),))))</f>
        <v>3.4583615346870003E-2</v>
      </c>
      <c r="D279" s="13">
        <f>((((VLOOKUP(B279,Database!$A:$AS,MATCH($D$1,Database!$A$1:$AS$1,),))))-(((VLOOKUP(EDATE(B279,-12),Database!$A:$AS,MATCH($D$1,Database!$A$1:$AS$1,),)))))/(((VLOOKUP(EDATE(B279,-12),Database!$A:$AS,MATCH($D$1,Database!$A$1:$AS$1,),))))</f>
        <v>5.2742616033755275E-2</v>
      </c>
      <c r="E279" s="13">
        <f>((((VLOOKUP(B279,Database!$A:$AS,MATCH($E$1,Database!$A$1:$AS$1,),))))-(((VLOOKUP(EDATE(B279,-12),Database!$A:$AS,MATCH($E$1,Database!$A$1:$AS$1,),)))))/(((VLOOKUP(EDATE(B279,-12),Database!$A:$AS,MATCH($E$1,Database!$A$1:$AS$1,),))))</f>
        <v>-0.12362911266448358</v>
      </c>
      <c r="F279" s="13">
        <f>((((VLOOKUP(B279,Database!$A:$AS,MATCH($F$1,Database!$A$1:$AS$1,),))))-(((VLOOKUP(EDATE(B279,-12),Database!$A:$AS,MATCH($F$1,Database!$A$1:$AS$1,),)))))/(((VLOOKUP(EDATE(B279,-12),Database!$A:$AS,MATCH($F$1,Database!$A$1:$AS$1,),))))</f>
        <v>0.11174458380361374</v>
      </c>
      <c r="G279" s="13">
        <f>((((VLOOKUP(B279,Database!$A:$AS,MATCH($G$1,Database!$A$1:$AS$1,),))))-(((VLOOKUP(EDATE(B279,-12),Database!$A:$AS,MATCH($G$1,Database!$A$1:$AS$1,),)))))/(((VLOOKUP(EDATE(B279,-12),Database!$A:$AS,MATCH($G$1,Database!$A$1:$AS$1,),))))</f>
        <v>2.2377480761441814E-2</v>
      </c>
      <c r="H279" s="13">
        <f>((((VLOOKUP(B279,Database!$A:$AS,MATCH($H$1,Database!$A$1:$AS$1,),))))-(((VLOOKUP(EDATE(B279,-12),Database!$A:$AS,MATCH($H$1,Database!$A$1:$AS$1,),)))))/(((VLOOKUP(EDATE(B279,-12),Database!$A:$AS,MATCH($H$1,Database!$A$1:$AS$1,),))))</f>
        <v>-8.6956521739130377E-2</v>
      </c>
      <c r="I279" s="13">
        <f>((((VLOOKUP(B279,Database!$A:$AS,MATCH($I$1,Database!$A$1:$AS$1,),))))-(((VLOOKUP(EDATE(B279,-12),Database!$A:$AS,MATCH($I$1,Database!$A$1:$AS$1,),)))))/(((VLOOKUP(EDATE(B279,-12),Database!$A:$AS,MATCH($I$1,Database!$A$1:$AS$1,),))))</f>
        <v>5.4665409991170102E-2</v>
      </c>
      <c r="J279" s="13">
        <f>((((VLOOKUP(B279,Database!$A:$AS,MATCH($J$1,Database!$A$1:$AS$1,),))))-(((VLOOKUP(EDATE(B279,-12),Database!$A:$AS,MATCH($J$1,Database!$A$1:$AS$1,),)))))/(((VLOOKUP(EDATE(B279,-12),Database!$A:$AS,MATCH($J$1,Database!$A$1:$AS$1,),))))</f>
        <v>-1.7980157236733973E-2</v>
      </c>
      <c r="K279" s="13">
        <f>((((VLOOKUP(B279,Database!$A:$AS,MATCH($K$1,Database!$A$1:$AS$1,),))))-(((VLOOKUP(EDATE(B279,-12),Database!$A:$AS,MATCH($K$1,Database!$A$1:$AS$1,),)))))/(((VLOOKUP(EDATE(B279,-12),Database!$A:$AS,MATCH($K$1,Database!$A$1:$AS$1,),))))</f>
        <v>5.4671968195518318E-2</v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>2.7916454567294999E-2</v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>6.1743341404358464E-2</v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>5.5092027795582497E-2</v>
      </c>
      <c r="O279" s="13">
        <f>((((VLOOKUP(B279,Database!$A:$AS,MATCH($O$1,Database!$A$1:$AS$1,),))))-(((VLOOKUP(EDATE(B279,-12),Database!$A:$AS,MATCH($O$1,Database!$A$1:$AS$1,),)))))/(((VLOOKUP(EDATE(B279,-12),Database!$A:$AS,MATCH($O$1,Database!$A$1:$AS$1,),))))</f>
        <v>6.4987558418673111E-2</v>
      </c>
      <c r="P279" s="13">
        <f>((((VLOOKUP(B279,Database!$A:$AS,MATCH($P$1,Database!$A$1:$AS$1,),))))-(((VLOOKUP(EDATE(B279,-12),Database!$A:$AS,MATCH($P$1,Database!$A$1:$AS$1,),)))))/(((VLOOKUP(EDATE(B279,-12),Database!$A:$AS,MATCH($P$1,Database!$A$1:$AS$1,),))))</f>
        <v>5.589628303627496E-2</v>
      </c>
      <c r="Q279" s="13">
        <f>((((VLOOKUP(B279,Database!$A:$AS,MATCH($Q$1,Database!$A$1:$AS$1,),))))-(((VLOOKUP(EDATE(B279,-12),Database!$A:$AS,MATCH($Q$1,Database!$A$1:$AS$1,),)))))/(((VLOOKUP(EDATE(B279,-12),Database!$A:$AS,MATCH($Q$1,Database!$A$1:$AS$1,),))))</f>
        <v>-1.0658914726396641E-2</v>
      </c>
      <c r="R279" s="13">
        <f>((((VLOOKUP(B279,Database!$A:$AS,MATCH($R$1,Database!$A$1:$AS$1,),))))-(((VLOOKUP(EDATE(B279,-12),Database!$A:$AS,MATCH($R$1,Database!$A$1:$AS$1,),)))))/(((VLOOKUP(EDATE(B279,-12),Database!$A:$AS,MATCH($R$1,Database!$A$1:$AS$1,),))))</f>
        <v>-6.1188811188734669E-2</v>
      </c>
      <c r="S279" s="13">
        <f>((((VLOOKUP(B279,Database!$A:$AS,MATCH($S$1,Database!$A$1:$AS$1,),))))-(((VLOOKUP(EDATE(B279,-12),Database!$A:$AS,MATCH($S$1,Database!$A$1:$AS$1,),)))))/(((VLOOKUP(EDATE(B279,-12),Database!$A:$AS,MATCH($S$1,Database!$A$1:$AS$1,),))))</f>
        <v>3.8183694534418583E-2</v>
      </c>
      <c r="T279" s="13">
        <f>((((VLOOKUP(B279,Database!$A:$AS,MATCH($T$1,Database!$A$1:$AS$1,),))))-(((VLOOKUP(EDATE(B279,-12),Database!$A:$AS,MATCH($T$1,Database!$A$1:$AS$1,),)))))/(((VLOOKUP(EDATE(B279,-12),Database!$A:$AS,MATCH($T$1,Database!$A$1:$AS$1,),))))</f>
        <v>0.15522388058859365</v>
      </c>
      <c r="U279" s="13">
        <f>((((VLOOKUP(B279,Database!$A:$AS,MATCH($U$1,Database!$A$1:$AS$1,),))))-(((VLOOKUP(EDATE(B279,-12),Database!$A:$AS,MATCH($U$1,Database!$A$1:$AS$1,),)))))/(((VLOOKUP(EDATE(B279,-12),Database!$A:$AS,MATCH($U$1,Database!$A$1:$AS$1,),))))</f>
        <v>6.0606060608886451E-2</v>
      </c>
      <c r="V279" s="13">
        <f>((((VLOOKUP(B279,Database!$A:$AS,MATCH($V$1,Database!$A$1:$AS$1,),))))-(((VLOOKUP(EDATE(B279,-12),Database!$A:$AS,MATCH($V$1,Database!$A$1:$AS$1,),)))))/(((VLOOKUP(EDATE(B279,-12),Database!$A:$AS,MATCH($V$1,Database!$A$1:$AS$1,),))))</f>
        <v>9.1811414392059629E-2</v>
      </c>
    </row>
    <row r="280" spans="1:22" s="83" customFormat="1" x14ac:dyDescent="0.2">
      <c r="A280" s="43"/>
      <c r="B280" s="78">
        <v>40664</v>
      </c>
      <c r="C280" s="13">
        <f>((((VLOOKUP(B280,Database!$A:$AS,MATCH($C$1,Database!$A$1:$AS$1,),))))-(((VLOOKUP(EDATE(B280,-12),Database!$A:$AS,MATCH($C$1,Database!$A$1:$AS$1,),)))))/(((VLOOKUP(EDATE(B280,-12),Database!$A:$AS,MATCH($C$1,Database!$A$1:$AS$1,),))))</f>
        <v>2.2045266689459195E-2</v>
      </c>
      <c r="D280" s="13">
        <f>((((VLOOKUP(B280,Database!$A:$AS,MATCH($D$1,Database!$A$1:$AS$1,),))))-(((VLOOKUP(EDATE(B280,-12),Database!$A:$AS,MATCH($D$1,Database!$A$1:$AS$1,),)))))/(((VLOOKUP(EDATE(B280,-12),Database!$A:$AS,MATCH($D$1,Database!$A$1:$AS$1,),))))</f>
        <v>4.0414507772020783E-2</v>
      </c>
      <c r="E280" s="13">
        <f>((((VLOOKUP(B280,Database!$A:$AS,MATCH($E$1,Database!$A$1:$AS$1,),))))-(((VLOOKUP(EDATE(B280,-12),Database!$A:$AS,MATCH($E$1,Database!$A$1:$AS$1,),)))))/(((VLOOKUP(EDATE(B280,-12),Database!$A:$AS,MATCH($E$1,Database!$A$1:$AS$1,),))))</f>
        <v>-6.2062062058528121E-2</v>
      </c>
      <c r="F280" s="13">
        <f>((((VLOOKUP(B280,Database!$A:$AS,MATCH($F$1,Database!$A$1:$AS$1,),))))-(((VLOOKUP(EDATE(B280,-12),Database!$A:$AS,MATCH($F$1,Database!$A$1:$AS$1,),)))))/(((VLOOKUP(EDATE(B280,-12),Database!$A:$AS,MATCH($F$1,Database!$A$1:$AS$1,),))))</f>
        <v>9.1814159292794101E-2</v>
      </c>
      <c r="G280" s="13">
        <f>((((VLOOKUP(B280,Database!$A:$AS,MATCH($G$1,Database!$A$1:$AS$1,),))))-(((VLOOKUP(EDATE(B280,-12),Database!$A:$AS,MATCH($G$1,Database!$A$1:$AS$1,),)))))/(((VLOOKUP(EDATE(B280,-12),Database!$A:$AS,MATCH($G$1,Database!$A$1:$AS$1,),))))</f>
        <v>4.7413360120542432E-2</v>
      </c>
      <c r="H280" s="13">
        <f>((((VLOOKUP(B280,Database!$A:$AS,MATCH($H$1,Database!$A$1:$AS$1,),))))-(((VLOOKUP(EDATE(B280,-12),Database!$A:$AS,MATCH($H$1,Database!$A$1:$AS$1,),)))))/(((VLOOKUP(EDATE(B280,-12),Database!$A:$AS,MATCH($H$1,Database!$A$1:$AS$1,),))))</f>
        <v>-7.1817192602007127E-2</v>
      </c>
      <c r="I280" s="13">
        <f>((((VLOOKUP(B280,Database!$A:$AS,MATCH($I$1,Database!$A$1:$AS$1,),))))-(((VLOOKUP(EDATE(B280,-12),Database!$A:$AS,MATCH($I$1,Database!$A$1:$AS$1,),)))))/(((VLOOKUP(EDATE(B280,-12),Database!$A:$AS,MATCH($I$1,Database!$A$1:$AS$1,),))))</f>
        <v>3.0046948351472955E-2</v>
      </c>
      <c r="J280" s="13">
        <f>((((VLOOKUP(B280,Database!$A:$AS,MATCH($J$1,Database!$A$1:$AS$1,),))))-(((VLOOKUP(EDATE(B280,-12),Database!$A:$AS,MATCH($J$1,Database!$A$1:$AS$1,),)))))/(((VLOOKUP(EDATE(B280,-12),Database!$A:$AS,MATCH($J$1,Database!$A$1:$AS$1,),))))</f>
        <v>-1.7539388110011895E-2</v>
      </c>
      <c r="K280" s="13">
        <f>((((VLOOKUP(B280,Database!$A:$AS,MATCH($K$1,Database!$A$1:$AS$1,),))))-(((VLOOKUP(EDATE(B280,-12),Database!$A:$AS,MATCH($K$1,Database!$A$1:$AS$1,),)))))/(((VLOOKUP(EDATE(B280,-12),Database!$A:$AS,MATCH($K$1,Database!$A$1:$AS$1,),))))</f>
        <v>3.9767216293373042E-2</v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>3.7191303989812581E-2</v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>5.9178743961352726E-2</v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>5.7125860356281047E-2</v>
      </c>
      <c r="O280" s="13">
        <f>((((VLOOKUP(B280,Database!$A:$AS,MATCH($O$1,Database!$A$1:$AS$1,),))))-(((VLOOKUP(EDATE(B280,-12),Database!$A:$AS,MATCH($O$1,Database!$A$1:$AS$1,),)))))/(((VLOOKUP(EDATE(B280,-12),Database!$A:$AS,MATCH($O$1,Database!$A$1:$AS$1,),))))</f>
        <v>2.1030002241779106E-2</v>
      </c>
      <c r="P280" s="13">
        <f>((((VLOOKUP(B280,Database!$A:$AS,MATCH($P$1,Database!$A$1:$AS$1,),))))-(((VLOOKUP(EDATE(B280,-12),Database!$A:$AS,MATCH($P$1,Database!$A$1:$AS$1,),)))))/(((VLOOKUP(EDATE(B280,-12),Database!$A:$AS,MATCH($P$1,Database!$A$1:$AS$1,),))))</f>
        <v>5.5158896819433957E-2</v>
      </c>
      <c r="Q280" s="13">
        <f>((((VLOOKUP(B280,Database!$A:$AS,MATCH($Q$1,Database!$A$1:$AS$1,),))))-(((VLOOKUP(EDATE(B280,-12),Database!$A:$AS,MATCH($Q$1,Database!$A$1:$AS$1,),)))))/(((VLOOKUP(EDATE(B280,-12),Database!$A:$AS,MATCH($Q$1,Database!$A$1:$AS$1,),))))</f>
        <v>2.0388349511720756E-2</v>
      </c>
      <c r="R280" s="13">
        <f>((((VLOOKUP(B280,Database!$A:$AS,MATCH($R$1,Database!$A$1:$AS$1,),))))-(((VLOOKUP(EDATE(B280,-12),Database!$A:$AS,MATCH($R$1,Database!$A$1:$AS$1,),)))))/(((VLOOKUP(EDATE(B280,-12),Database!$A:$AS,MATCH($R$1,Database!$A$1:$AS$1,),))))</f>
        <v>-6.6208082545304706E-2</v>
      </c>
      <c r="S280" s="13">
        <f>((((VLOOKUP(B280,Database!$A:$AS,MATCH($S$1,Database!$A$1:$AS$1,),))))-(((VLOOKUP(EDATE(B280,-12),Database!$A:$AS,MATCH($S$1,Database!$A$1:$AS$1,),)))))/(((VLOOKUP(EDATE(B280,-12),Database!$A:$AS,MATCH($S$1,Database!$A$1:$AS$1,),))))</f>
        <v>2.1319796955607928E-2</v>
      </c>
      <c r="T280" s="13">
        <f>((((VLOOKUP(B280,Database!$A:$AS,MATCH($T$1,Database!$A$1:$AS$1,),))))-(((VLOOKUP(EDATE(B280,-12),Database!$A:$AS,MATCH($T$1,Database!$A$1:$AS$1,),)))))/(((VLOOKUP(EDATE(B280,-12),Database!$A:$AS,MATCH($T$1,Database!$A$1:$AS$1,),))))</f>
        <v>0.13497822930900388</v>
      </c>
      <c r="U280" s="13">
        <f>((((VLOOKUP(B280,Database!$A:$AS,MATCH($U$1,Database!$A$1:$AS$1,),))))-(((VLOOKUP(EDATE(B280,-12),Database!$A:$AS,MATCH($U$1,Database!$A$1:$AS$1,),)))))/(((VLOOKUP(EDATE(B280,-12),Database!$A:$AS,MATCH($U$1,Database!$A$1:$AS$1,),))))</f>
        <v>9.551886792477865E-2</v>
      </c>
      <c r="V280" s="13">
        <f>((((VLOOKUP(B280,Database!$A:$AS,MATCH($V$1,Database!$A$1:$AS$1,),))))-(((VLOOKUP(EDATE(B280,-12),Database!$A:$AS,MATCH($V$1,Database!$A$1:$AS$1,),)))))/(((VLOOKUP(EDATE(B280,-12),Database!$A:$AS,MATCH($V$1,Database!$A$1:$AS$1,),))))</f>
        <v>5.3763440860215055E-2</v>
      </c>
    </row>
    <row r="281" spans="1:22" s="83" customFormat="1" x14ac:dyDescent="0.2">
      <c r="A281" s="43"/>
      <c r="B281" s="78">
        <v>40695</v>
      </c>
      <c r="C281" s="13">
        <f>((((VLOOKUP(B281,Database!$A:$AS,MATCH($C$1,Database!$A$1:$AS$1,),))))-(((VLOOKUP(EDATE(B281,-12),Database!$A:$AS,MATCH($C$1,Database!$A$1:$AS$1,),)))))/(((VLOOKUP(EDATE(B281,-12),Database!$A:$AS,MATCH($C$1,Database!$A$1:$AS$1,),))))</f>
        <v>2.2578716836618822E-2</v>
      </c>
      <c r="D281" s="13">
        <f>((((VLOOKUP(B281,Database!$A:$AS,MATCH($D$1,Database!$A$1:$AS$1,),))))-(((VLOOKUP(EDATE(B281,-12),Database!$A:$AS,MATCH($D$1,Database!$A$1:$AS$1,),)))))/(((VLOOKUP(EDATE(B281,-12),Database!$A:$AS,MATCH($D$1,Database!$A$1:$AS$1,),))))</f>
        <v>2.4844720496894471E-2</v>
      </c>
      <c r="E281" s="13">
        <f>((((VLOOKUP(B281,Database!$A:$AS,MATCH($E$1,Database!$A$1:$AS$1,),))))-(((VLOOKUP(EDATE(B281,-12),Database!$A:$AS,MATCH($E$1,Database!$A$1:$AS$1,),)))))/(((VLOOKUP(EDATE(B281,-12),Database!$A:$AS,MATCH($E$1,Database!$A$1:$AS$1,),))))</f>
        <v>-1.8126888215269924E-2</v>
      </c>
      <c r="F281" s="13">
        <f>((((VLOOKUP(B281,Database!$A:$AS,MATCH($F$1,Database!$A$1:$AS$1,),))))-(((VLOOKUP(EDATE(B281,-12),Database!$A:$AS,MATCH($F$1,Database!$A$1:$AS$1,),)))))/(((VLOOKUP(EDATE(B281,-12),Database!$A:$AS,MATCH($F$1,Database!$A$1:$AS$1,),))))</f>
        <v>7.769145394839444E-2</v>
      </c>
      <c r="G281" s="13">
        <f>((((VLOOKUP(B281,Database!$A:$AS,MATCH($G$1,Database!$A$1:$AS$1,),))))-(((VLOOKUP(EDATE(B281,-12),Database!$A:$AS,MATCH($G$1,Database!$A$1:$AS$1,),)))))/(((VLOOKUP(EDATE(B281,-12),Database!$A:$AS,MATCH($G$1,Database!$A$1:$AS$1,),))))</f>
        <v>2.3398890569843601E-2</v>
      </c>
      <c r="H281" s="13">
        <f>((((VLOOKUP(B281,Database!$A:$AS,MATCH($H$1,Database!$A$1:$AS$1,),))))-(((VLOOKUP(EDATE(B281,-12),Database!$A:$AS,MATCH($H$1,Database!$A$1:$AS$1,),)))))/(((VLOOKUP(EDATE(B281,-12),Database!$A:$AS,MATCH($H$1,Database!$A$1:$AS$1,),))))</f>
        <v>-5.4024255788098392E-2</v>
      </c>
      <c r="I281" s="13">
        <f>((((VLOOKUP(B281,Database!$A:$AS,MATCH($I$1,Database!$A$1:$AS$1,),))))-(((VLOOKUP(EDATE(B281,-12),Database!$A:$AS,MATCH($I$1,Database!$A$1:$AS$1,),)))))/(((VLOOKUP(EDATE(B281,-12),Database!$A:$AS,MATCH($I$1,Database!$A$1:$AS$1,),))))</f>
        <v>-1.8331805708317953E-3</v>
      </c>
      <c r="J281" s="13">
        <f>((((VLOOKUP(B281,Database!$A:$AS,MATCH($J$1,Database!$A$1:$AS$1,),))))-(((VLOOKUP(EDATE(B281,-12),Database!$A:$AS,MATCH($J$1,Database!$A$1:$AS$1,),)))))/(((VLOOKUP(EDATE(B281,-12),Database!$A:$AS,MATCH($J$1,Database!$A$1:$AS$1,),))))</f>
        <v>-1.9262556818751064E-2</v>
      </c>
      <c r="K281" s="13">
        <f>((((VLOOKUP(B281,Database!$A:$AS,MATCH($K$1,Database!$A$1:$AS$1,),))))-(((VLOOKUP(EDATE(B281,-12),Database!$A:$AS,MATCH($K$1,Database!$A$1:$AS$1,),)))))/(((VLOOKUP(EDATE(B281,-12),Database!$A:$AS,MATCH($K$1,Database!$A$1:$AS$1,),))))</f>
        <v>-1.4272121784834765E-2</v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>3.2977676965154683E-2</v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>6.5217391304347894E-2</v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>9.679411648732017E-2</v>
      </c>
      <c r="O281" s="13">
        <f>((((VLOOKUP(B281,Database!$A:$AS,MATCH($O$1,Database!$A$1:$AS$1,),))))-(((VLOOKUP(EDATE(B281,-12),Database!$A:$AS,MATCH($O$1,Database!$A$1:$AS$1,),)))))/(((VLOOKUP(EDATE(B281,-12),Database!$A:$AS,MATCH($O$1,Database!$A$1:$AS$1,),))))</f>
        <v>2.0816170410432204E-2</v>
      </c>
      <c r="P281" s="13">
        <f>((((VLOOKUP(B281,Database!$A:$AS,MATCH($P$1,Database!$A$1:$AS$1,),))))-(((VLOOKUP(EDATE(B281,-12),Database!$A:$AS,MATCH($P$1,Database!$A$1:$AS$1,),)))))/(((VLOOKUP(EDATE(B281,-12),Database!$A:$AS,MATCH($P$1,Database!$A$1:$AS$1,),))))</f>
        <v>5.8487492230816188E-2</v>
      </c>
      <c r="Q281" s="13">
        <f>((((VLOOKUP(B281,Database!$A:$AS,MATCH($Q$1,Database!$A$1:$AS$1,),))))-(((VLOOKUP(EDATE(B281,-12),Database!$A:$AS,MATCH($Q$1,Database!$A$1:$AS$1,),)))))/(((VLOOKUP(EDATE(B281,-12),Database!$A:$AS,MATCH($Q$1,Database!$A$1:$AS$1,),))))</f>
        <v>4.887585532469093E-3</v>
      </c>
      <c r="R281" s="13">
        <f>((((VLOOKUP(B281,Database!$A:$AS,MATCH($R$1,Database!$A$1:$AS$1,),))))-(((VLOOKUP(EDATE(B281,-12),Database!$A:$AS,MATCH($R$1,Database!$A$1:$AS$1,),)))))/(((VLOOKUP(EDATE(B281,-12),Database!$A:$AS,MATCH($R$1,Database!$A$1:$AS$1,),))))</f>
        <v>-0.10567010309116528</v>
      </c>
      <c r="S281" s="13">
        <f>((((VLOOKUP(B281,Database!$A:$AS,MATCH($S$1,Database!$A$1:$AS$1,),))))-(((VLOOKUP(EDATE(B281,-12),Database!$A:$AS,MATCH($S$1,Database!$A$1:$AS$1,),)))))/(((VLOOKUP(EDATE(B281,-12),Database!$A:$AS,MATCH($S$1,Database!$A$1:$AS$1,),))))</f>
        <v>-3.0481809241596821E-2</v>
      </c>
      <c r="T281" s="13">
        <f>((((VLOOKUP(B281,Database!$A:$AS,MATCH($T$1,Database!$A$1:$AS$1,),))))-(((VLOOKUP(EDATE(B281,-12),Database!$A:$AS,MATCH($T$1,Database!$A$1:$AS$1,),)))))/(((VLOOKUP(EDATE(B281,-12),Database!$A:$AS,MATCH($T$1,Database!$A$1:$AS$1,),))))</f>
        <v>0.15007215007910543</v>
      </c>
      <c r="U281" s="13">
        <f>((((VLOOKUP(B281,Database!$A:$AS,MATCH($U$1,Database!$A$1:$AS$1,),))))-(((VLOOKUP(EDATE(B281,-12),Database!$A:$AS,MATCH($U$1,Database!$A$1:$AS$1,),)))))/(((VLOOKUP(EDATE(B281,-12),Database!$A:$AS,MATCH($U$1,Database!$A$1:$AS$1,),))))</f>
        <v>6.343713956066907E-2</v>
      </c>
      <c r="V281" s="13">
        <f>((((VLOOKUP(B281,Database!$A:$AS,MATCH($V$1,Database!$A$1:$AS$1,),))))-(((VLOOKUP(EDATE(B281,-12),Database!$A:$AS,MATCH($V$1,Database!$A$1:$AS$1,),)))))/(((VLOOKUP(EDATE(B281,-12),Database!$A:$AS,MATCH($V$1,Database!$A$1:$AS$1,),))))</f>
        <v>2.4532710280373932E-2</v>
      </c>
    </row>
    <row r="282" spans="1:22" s="83" customFormat="1" x14ac:dyDescent="0.2">
      <c r="A282" s="43"/>
      <c r="B282" s="78">
        <v>40725</v>
      </c>
      <c r="C282" s="13">
        <f>((((VLOOKUP(B282,Database!$A:$AS,MATCH($C$1,Database!$A$1:$AS$1,),))))-(((VLOOKUP(EDATE(B282,-12),Database!$A:$AS,MATCH($C$1,Database!$A$1:$AS$1,),)))))/(((VLOOKUP(EDATE(B282,-12),Database!$A:$AS,MATCH($C$1,Database!$A$1:$AS$1,),))))</f>
        <v>2.3717297263361328E-2</v>
      </c>
      <c r="D282" s="13">
        <f>((((VLOOKUP(B282,Database!$A:$AS,MATCH($D$1,Database!$A$1:$AS$1,),))))-(((VLOOKUP(EDATE(B282,-12),Database!$A:$AS,MATCH($D$1,Database!$A$1:$AS$1,),)))))/(((VLOOKUP(EDATE(B282,-12),Database!$A:$AS,MATCH($D$1,Database!$A$1:$AS$1,),))))</f>
        <v>3.9501039501039469E-2</v>
      </c>
      <c r="E282" s="13">
        <f>((((VLOOKUP(B282,Database!$A:$AS,MATCH($E$1,Database!$A$1:$AS$1,),))))-(((VLOOKUP(EDATE(B282,-12),Database!$A:$AS,MATCH($E$1,Database!$A$1:$AS$1,),)))))/(((VLOOKUP(EDATE(B282,-12),Database!$A:$AS,MATCH($E$1,Database!$A$1:$AS$1,),))))</f>
        <v>-2.0895522391821696E-2</v>
      </c>
      <c r="F282" s="13">
        <f>((((VLOOKUP(B282,Database!$A:$AS,MATCH($F$1,Database!$A$1:$AS$1,),))))-(((VLOOKUP(EDATE(B282,-12),Database!$A:$AS,MATCH($F$1,Database!$A$1:$AS$1,),)))))/(((VLOOKUP(EDATE(B282,-12),Database!$A:$AS,MATCH($F$1,Database!$A$1:$AS$1,),))))</f>
        <v>0.11843575418709755</v>
      </c>
      <c r="G282" s="13">
        <f>((((VLOOKUP(B282,Database!$A:$AS,MATCH($G$1,Database!$A$1:$AS$1,),))))-(((VLOOKUP(EDATE(B282,-12),Database!$A:$AS,MATCH($G$1,Database!$A$1:$AS$1,),)))))/(((VLOOKUP(EDATE(B282,-12),Database!$A:$AS,MATCH($G$1,Database!$A$1:$AS$1,),))))</f>
        <v>2.6832198638366108E-2</v>
      </c>
      <c r="H282" s="13">
        <f>((((VLOOKUP(B282,Database!$A:$AS,MATCH($H$1,Database!$A$1:$AS$1,),))))-(((VLOOKUP(EDATE(B282,-12),Database!$A:$AS,MATCH($H$1,Database!$A$1:$AS$1,),)))))/(((VLOOKUP(EDATE(B282,-12),Database!$A:$AS,MATCH($H$1,Database!$A$1:$AS$1,),))))</f>
        <v>-5.0997782701465516E-2</v>
      </c>
      <c r="I282" s="13">
        <f>((((VLOOKUP(B282,Database!$A:$AS,MATCH($I$1,Database!$A$1:$AS$1,),))))-(((VLOOKUP(EDATE(B282,-12),Database!$A:$AS,MATCH($I$1,Database!$A$1:$AS$1,),)))))/(((VLOOKUP(EDATE(B282,-12),Database!$A:$AS,MATCH($I$1,Database!$A$1:$AS$1,),))))</f>
        <v>-2.7573529404077575E-3</v>
      </c>
      <c r="J282" s="13">
        <f>((((VLOOKUP(B282,Database!$A:$AS,MATCH($J$1,Database!$A$1:$AS$1,),))))-(((VLOOKUP(EDATE(B282,-12),Database!$A:$AS,MATCH($J$1,Database!$A$1:$AS$1,),)))))/(((VLOOKUP(EDATE(B282,-12),Database!$A:$AS,MATCH($J$1,Database!$A$1:$AS$1,),))))</f>
        <v>-5.2283356750105446E-3</v>
      </c>
      <c r="K282" s="13">
        <f>((((VLOOKUP(B282,Database!$A:$AS,MATCH($K$1,Database!$A$1:$AS$1,),))))-(((VLOOKUP(EDATE(B282,-12),Database!$A:$AS,MATCH($K$1,Database!$A$1:$AS$1,),)))))/(((VLOOKUP(EDATE(B282,-12),Database!$A:$AS,MATCH($K$1,Database!$A$1:$AS$1,),))))</f>
        <v>9.4966761702235808E-3</v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>3.2778881064282887E-2</v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>6.6265060240963861E-2</v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>3.8749954151576504E-2</v>
      </c>
      <c r="O282" s="13">
        <f>((((VLOOKUP(B282,Database!$A:$AS,MATCH($O$1,Database!$A$1:$AS$1,),))))-(((VLOOKUP(EDATE(B282,-12),Database!$A:$AS,MATCH($O$1,Database!$A$1:$AS$1,),)))))/(((VLOOKUP(EDATE(B282,-12),Database!$A:$AS,MATCH($O$1,Database!$A$1:$AS$1,),))))</f>
        <v>3.8568554546980417E-2</v>
      </c>
      <c r="P282" s="13">
        <f>((((VLOOKUP(B282,Database!$A:$AS,MATCH($P$1,Database!$A$1:$AS$1,),))))-(((VLOOKUP(EDATE(B282,-12),Database!$A:$AS,MATCH($P$1,Database!$A$1:$AS$1,),)))))/(((VLOOKUP(EDATE(B282,-12),Database!$A:$AS,MATCH($P$1,Database!$A$1:$AS$1,),))))</f>
        <v>5.1916301913495388E-2</v>
      </c>
      <c r="Q282" s="13">
        <f>((((VLOOKUP(B282,Database!$A:$AS,MATCH($Q$1,Database!$A$1:$AS$1,),))))-(((VLOOKUP(EDATE(B282,-12),Database!$A:$AS,MATCH($Q$1,Database!$A$1:$AS$1,),)))))/(((VLOOKUP(EDATE(B282,-12),Database!$A:$AS,MATCH($Q$1,Database!$A$1:$AS$1,),))))</f>
        <v>1.2770137518475584E-2</v>
      </c>
      <c r="R282" s="13">
        <f>((((VLOOKUP(B282,Database!$A:$AS,MATCH($R$1,Database!$A$1:$AS$1,),))))-(((VLOOKUP(EDATE(B282,-12),Database!$A:$AS,MATCH($R$1,Database!$A$1:$AS$1,),)))))/(((VLOOKUP(EDATE(B282,-12),Database!$A:$AS,MATCH($R$1,Database!$A$1:$AS$1,),))))</f>
        <v>1.4625228513908848E-2</v>
      </c>
      <c r="S282" s="13">
        <f>((((VLOOKUP(B282,Database!$A:$AS,MATCH($S$1,Database!$A$1:$AS$1,),))))-(((VLOOKUP(EDATE(B282,-12),Database!$A:$AS,MATCH($S$1,Database!$A$1:$AS$1,),)))))/(((VLOOKUP(EDATE(B282,-12),Database!$A:$AS,MATCH($S$1,Database!$A$1:$AS$1,),))))</f>
        <v>-7.8528827028153725E-2</v>
      </c>
      <c r="T282" s="13">
        <f>((((VLOOKUP(B282,Database!$A:$AS,MATCH($T$1,Database!$A$1:$AS$1,),))))-(((VLOOKUP(EDATE(B282,-12),Database!$A:$AS,MATCH($T$1,Database!$A$1:$AS$1,),)))))/(((VLOOKUP(EDATE(B282,-12),Database!$A:$AS,MATCH($T$1,Database!$A$1:$AS$1,),))))</f>
        <v>0.16332378223269914</v>
      </c>
      <c r="U282" s="13">
        <f>((((VLOOKUP(B282,Database!$A:$AS,MATCH($U$1,Database!$A$1:$AS$1,),))))-(((VLOOKUP(EDATE(B282,-12),Database!$A:$AS,MATCH($U$1,Database!$A$1:$AS$1,),)))))/(((VLOOKUP(EDATE(B282,-12),Database!$A:$AS,MATCH($U$1,Database!$A$1:$AS$1,),))))</f>
        <v>4.2479908150653514E-2</v>
      </c>
      <c r="V282" s="13">
        <f>((((VLOOKUP(B282,Database!$A:$AS,MATCH($V$1,Database!$A$1:$AS$1,),))))-(((VLOOKUP(EDATE(B282,-12),Database!$A:$AS,MATCH($V$1,Database!$A$1:$AS$1,),)))))/(((VLOOKUP(EDATE(B282,-12),Database!$A:$AS,MATCH($V$1,Database!$A$1:$AS$1,),))))</f>
        <v>4.0094339622641577E-2</v>
      </c>
    </row>
    <row r="283" spans="1:22" s="83" customFormat="1" x14ac:dyDescent="0.2">
      <c r="A283" s="43"/>
      <c r="B283" s="78">
        <v>40756</v>
      </c>
      <c r="C283" s="13">
        <f>((((VLOOKUP(B283,Database!$A:$AS,MATCH($C$1,Database!$A$1:$AS$1,),))))-(((VLOOKUP(EDATE(B283,-12),Database!$A:$AS,MATCH($C$1,Database!$A$1:$AS$1,),)))))/(((VLOOKUP(EDATE(B283,-12),Database!$A:$AS,MATCH($C$1,Database!$A$1:$AS$1,),))))</f>
        <v>2.641195619914926E-2</v>
      </c>
      <c r="D283" s="13">
        <f>((((VLOOKUP(B283,Database!$A:$AS,MATCH($D$1,Database!$A$1:$AS$1,),))))-(((VLOOKUP(EDATE(B283,-12),Database!$A:$AS,MATCH($D$1,Database!$A$1:$AS$1,),)))))/(((VLOOKUP(EDATE(B283,-12),Database!$A:$AS,MATCH($D$1,Database!$A$1:$AS$1,),))))</f>
        <v>3.195876288659788E-2</v>
      </c>
      <c r="E283" s="13">
        <f>((((VLOOKUP(B283,Database!$A:$AS,MATCH($E$1,Database!$A$1:$AS$1,),))))-(((VLOOKUP(EDATE(B283,-12),Database!$A:$AS,MATCH($E$1,Database!$A$1:$AS$1,),)))))/(((VLOOKUP(EDATE(B283,-12),Database!$A:$AS,MATCH($E$1,Database!$A$1:$AS$1,),))))</f>
        <v>-1.0891089108605222E-2</v>
      </c>
      <c r="F283" s="13">
        <f>((((VLOOKUP(B283,Database!$A:$AS,MATCH($F$1,Database!$A$1:$AS$1,),))))-(((VLOOKUP(EDATE(B283,-12),Database!$A:$AS,MATCH($F$1,Database!$A$1:$AS$1,),)))))/(((VLOOKUP(EDATE(B283,-12),Database!$A:$AS,MATCH($F$1,Database!$A$1:$AS$1,),))))</f>
        <v>9.1208791208706799E-2</v>
      </c>
      <c r="G283" s="13">
        <f>((((VLOOKUP(B283,Database!$A:$AS,MATCH($G$1,Database!$A$1:$AS$1,),))))-(((VLOOKUP(EDATE(B283,-12),Database!$A:$AS,MATCH($G$1,Database!$A$1:$AS$1,),)))))/(((VLOOKUP(EDATE(B283,-12),Database!$A:$AS,MATCH($G$1,Database!$A$1:$AS$1,),))))</f>
        <v>3.0287682333873529E-2</v>
      </c>
      <c r="H283" s="13">
        <f>((((VLOOKUP(B283,Database!$A:$AS,MATCH($H$1,Database!$A$1:$AS$1,),))))-(((VLOOKUP(EDATE(B283,-12),Database!$A:$AS,MATCH($H$1,Database!$A$1:$AS$1,),)))))/(((VLOOKUP(EDATE(B283,-12),Database!$A:$AS,MATCH($H$1,Database!$A$1:$AS$1,),))))</f>
        <v>-5.6415929198886251E-2</v>
      </c>
      <c r="I283" s="13">
        <f>((((VLOOKUP(B283,Database!$A:$AS,MATCH($I$1,Database!$A$1:$AS$1,),))))-(((VLOOKUP(EDATE(B283,-12),Database!$A:$AS,MATCH($I$1,Database!$A$1:$AS$1,),)))))/(((VLOOKUP(EDATE(B283,-12),Database!$A:$AS,MATCH($I$1,Database!$A$1:$AS$1,),))))</f>
        <v>-4.0925266907334244E-2</v>
      </c>
      <c r="J283" s="13">
        <f>((((VLOOKUP(B283,Database!$A:$AS,MATCH($J$1,Database!$A$1:$AS$1,),))))-(((VLOOKUP(EDATE(B283,-12),Database!$A:$AS,MATCH($J$1,Database!$A$1:$AS$1,),)))))/(((VLOOKUP(EDATE(B283,-12),Database!$A:$AS,MATCH($J$1,Database!$A$1:$AS$1,),))))</f>
        <v>4.3665607799740231E-3</v>
      </c>
      <c r="K283" s="13">
        <f>((((VLOOKUP(B283,Database!$A:$AS,MATCH($K$1,Database!$A$1:$AS$1,),))))-(((VLOOKUP(EDATE(B283,-12),Database!$A:$AS,MATCH($K$1,Database!$A$1:$AS$1,),)))))/(((VLOOKUP(EDATE(B283,-12),Database!$A:$AS,MATCH($K$1,Database!$A$1:$AS$1,),))))</f>
        <v>-9.652509649808775E-4</v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>2.0592313489119381E-2</v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>5.6422569027611079E-2</v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>2.9305478339358135E-2</v>
      </c>
      <c r="O283" s="13">
        <f>((((VLOOKUP(B283,Database!$A:$AS,MATCH($O$1,Database!$A$1:$AS$1,),))))-(((VLOOKUP(EDATE(B283,-12),Database!$A:$AS,MATCH($O$1,Database!$A$1:$AS$1,),)))))/(((VLOOKUP(EDATE(B283,-12),Database!$A:$AS,MATCH($O$1,Database!$A$1:$AS$1,),))))</f>
        <v>4.9273410525150996E-2</v>
      </c>
      <c r="P283" s="13">
        <f>((((VLOOKUP(B283,Database!$A:$AS,MATCH($P$1,Database!$A$1:$AS$1,),))))-(((VLOOKUP(EDATE(B283,-12),Database!$A:$AS,MATCH($P$1,Database!$A$1:$AS$1,),)))))/(((VLOOKUP(EDATE(B283,-12),Database!$A:$AS,MATCH($P$1,Database!$A$1:$AS$1,),))))</f>
        <v>5.383344774489271E-2</v>
      </c>
      <c r="Q283" s="13">
        <f>((((VLOOKUP(B283,Database!$A:$AS,MATCH($Q$1,Database!$A$1:$AS$1,),))))-(((VLOOKUP(EDATE(B283,-12),Database!$A:$AS,MATCH($Q$1,Database!$A$1:$AS$1,),)))))/(((VLOOKUP(EDATE(B283,-12),Database!$A:$AS,MATCH($Q$1,Database!$A$1:$AS$1,),))))</f>
        <v>6.9033530532329693E-3</v>
      </c>
      <c r="R283" s="13">
        <f>((((VLOOKUP(B283,Database!$A:$AS,MATCH($R$1,Database!$A$1:$AS$1,),))))-(((VLOOKUP(EDATE(B283,-12),Database!$A:$AS,MATCH($R$1,Database!$A$1:$AS$1,),)))))/(((VLOOKUP(EDATE(B283,-12),Database!$A:$AS,MATCH($R$1,Database!$A$1:$AS$1,),))))</f>
        <v>-9.4790777115673575E-2</v>
      </c>
      <c r="S283" s="13">
        <f>((((VLOOKUP(B283,Database!$A:$AS,MATCH($S$1,Database!$A$1:$AS$1,),))))-(((VLOOKUP(EDATE(B283,-12),Database!$A:$AS,MATCH($S$1,Database!$A$1:$AS$1,),)))))/(((VLOOKUP(EDATE(B283,-12),Database!$A:$AS,MATCH($S$1,Database!$A$1:$AS$1,),))))</f>
        <v>8.6723768738892301E-2</v>
      </c>
      <c r="T283" s="13">
        <f>((((VLOOKUP(B283,Database!$A:$AS,MATCH($T$1,Database!$A$1:$AS$1,),))))-(((VLOOKUP(EDATE(B283,-12),Database!$A:$AS,MATCH($T$1,Database!$A$1:$AS$1,),)))))/(((VLOOKUP(EDATE(B283,-12),Database!$A:$AS,MATCH($T$1,Database!$A$1:$AS$1,),))))</f>
        <v>0.16923076923550334</v>
      </c>
      <c r="U283" s="13">
        <f>((((VLOOKUP(B283,Database!$A:$AS,MATCH($U$1,Database!$A$1:$AS$1,),))))-(((VLOOKUP(EDATE(B283,-12),Database!$A:$AS,MATCH($U$1,Database!$A$1:$AS$1,),)))))/(((VLOOKUP(EDATE(B283,-12),Database!$A:$AS,MATCH($U$1,Database!$A$1:$AS$1,),))))</f>
        <v>2.6936026928543515E-2</v>
      </c>
      <c r="V283" s="13">
        <f>((((VLOOKUP(B283,Database!$A:$AS,MATCH($V$1,Database!$A$1:$AS$1,),))))-(((VLOOKUP(EDATE(B283,-12),Database!$A:$AS,MATCH($V$1,Database!$A$1:$AS$1,),)))))/(((VLOOKUP(EDATE(B283,-12),Database!$A:$AS,MATCH($V$1,Database!$A$1:$AS$1,),))))</f>
        <v>7.7473182359952319E-2</v>
      </c>
    </row>
    <row r="284" spans="1:22" s="83" customFormat="1" x14ac:dyDescent="0.2">
      <c r="A284" s="43"/>
      <c r="B284" s="78">
        <v>40787</v>
      </c>
      <c r="C284" s="13">
        <f>((((VLOOKUP(B284,Database!$A:$AS,MATCH($C$1,Database!$A$1:$AS$1,),))))-(((VLOOKUP(EDATE(B284,-12),Database!$A:$AS,MATCH($C$1,Database!$A$1:$AS$1,),)))))/(((VLOOKUP(EDATE(B284,-12),Database!$A:$AS,MATCH($C$1,Database!$A$1:$AS$1,),))))</f>
        <v>2.3247730426774117E-2</v>
      </c>
      <c r="D284" s="13">
        <f>((((VLOOKUP(B284,Database!$A:$AS,MATCH($D$1,Database!$A$1:$AS$1,),))))-(((VLOOKUP(EDATE(B284,-12),Database!$A:$AS,MATCH($D$1,Database!$A$1:$AS$1,),)))))/(((VLOOKUP(EDATE(B284,-12),Database!$A:$AS,MATCH($D$1,Database!$A$1:$AS$1,),))))</f>
        <v>1.9547325102880569E-2</v>
      </c>
      <c r="E284" s="13">
        <f>((((VLOOKUP(B284,Database!$A:$AS,MATCH($E$1,Database!$A$1:$AS$1,),))))-(((VLOOKUP(EDATE(B284,-12),Database!$A:$AS,MATCH($E$1,Database!$A$1:$AS$1,),)))))/(((VLOOKUP(EDATE(B284,-12),Database!$A:$AS,MATCH($E$1,Database!$A$1:$AS$1,),))))</f>
        <v>-2.9325513199106167E-2</v>
      </c>
      <c r="F284" s="13">
        <f>((((VLOOKUP(B284,Database!$A:$AS,MATCH($F$1,Database!$A$1:$AS$1,),))))-(((VLOOKUP(EDATE(B284,-12),Database!$A:$AS,MATCH($F$1,Database!$A$1:$AS$1,),)))))/(((VLOOKUP(EDATE(B284,-12),Database!$A:$AS,MATCH($F$1,Database!$A$1:$AS$1,),))))</f>
        <v>5.8441558435936021E-2</v>
      </c>
      <c r="G284" s="13">
        <f>((((VLOOKUP(B284,Database!$A:$AS,MATCH($G$1,Database!$A$1:$AS$1,),))))-(((VLOOKUP(EDATE(B284,-12),Database!$A:$AS,MATCH($G$1,Database!$A$1:$AS$1,),)))))/(((VLOOKUP(EDATE(B284,-12),Database!$A:$AS,MATCH($G$1,Database!$A$1:$AS$1,),))))</f>
        <v>9.5980803839232961E-3</v>
      </c>
      <c r="H284" s="13">
        <f>((((VLOOKUP(B284,Database!$A:$AS,MATCH($H$1,Database!$A$1:$AS$1,),))))-(((VLOOKUP(EDATE(B284,-12),Database!$A:$AS,MATCH($H$1,Database!$A$1:$AS$1,),)))))/(((VLOOKUP(EDATE(B284,-12),Database!$A:$AS,MATCH($H$1,Database!$A$1:$AS$1,),))))</f>
        <v>-5.5248618792023328E-2</v>
      </c>
      <c r="I284" s="13">
        <f>((((VLOOKUP(B284,Database!$A:$AS,MATCH($I$1,Database!$A$1:$AS$1,),))))-(((VLOOKUP(EDATE(B284,-12),Database!$A:$AS,MATCH($I$1,Database!$A$1:$AS$1,),)))))/(((VLOOKUP(EDATE(B284,-12),Database!$A:$AS,MATCH($I$1,Database!$A$1:$AS$1,),))))</f>
        <v>-6.4814814858542204E-3</v>
      </c>
      <c r="J284" s="13">
        <f>((((VLOOKUP(B284,Database!$A:$AS,MATCH($J$1,Database!$A$1:$AS$1,),))))-(((VLOOKUP(EDATE(B284,-12),Database!$A:$AS,MATCH($J$1,Database!$A$1:$AS$1,),)))))/(((VLOOKUP(EDATE(B284,-12),Database!$A:$AS,MATCH($J$1,Database!$A$1:$AS$1,),))))</f>
        <v>-1.2458257183571981E-2</v>
      </c>
      <c r="K284" s="13">
        <f>((((VLOOKUP(B284,Database!$A:$AS,MATCH($K$1,Database!$A$1:$AS$1,),))))-(((VLOOKUP(EDATE(B284,-12),Database!$A:$AS,MATCH($K$1,Database!$A$1:$AS$1,),)))))/(((VLOOKUP(EDATE(B284,-12),Database!$A:$AS,MATCH($K$1,Database!$A$1:$AS$1,),))))</f>
        <v>1.1494252870370565E-2</v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>3.114778085830093E-2</v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>4.880952380952374E-2</v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>2.5069138752268426E-2</v>
      </c>
      <c r="O284" s="13">
        <f>((((VLOOKUP(B284,Database!$A:$AS,MATCH($O$1,Database!$A$1:$AS$1,),))))-(((VLOOKUP(EDATE(B284,-12),Database!$A:$AS,MATCH($O$1,Database!$A$1:$AS$1,),)))))/(((VLOOKUP(EDATE(B284,-12),Database!$A:$AS,MATCH($O$1,Database!$A$1:$AS$1,),))))</f>
        <v>6.1417685757479842E-2</v>
      </c>
      <c r="P284" s="13">
        <f>((((VLOOKUP(B284,Database!$A:$AS,MATCH($P$1,Database!$A$1:$AS$1,),))))-(((VLOOKUP(EDATE(B284,-12),Database!$A:$AS,MATCH($P$1,Database!$A$1:$AS$1,),)))))/(((VLOOKUP(EDATE(B284,-12),Database!$A:$AS,MATCH($P$1,Database!$A$1:$AS$1,),))))</f>
        <v>5.4987553816915606E-2</v>
      </c>
      <c r="Q284" s="13">
        <f>((((VLOOKUP(B284,Database!$A:$AS,MATCH($Q$1,Database!$A$1:$AS$1,),))))-(((VLOOKUP(EDATE(B284,-12),Database!$A:$AS,MATCH($Q$1,Database!$A$1:$AS$1,),)))))/(((VLOOKUP(EDATE(B284,-12),Database!$A:$AS,MATCH($Q$1,Database!$A$1:$AS$1,),))))</f>
        <v>-1.3779527560128658E-2</v>
      </c>
      <c r="R284" s="13">
        <f>((((VLOOKUP(B284,Database!$A:$AS,MATCH($R$1,Database!$A$1:$AS$1,),))))-(((VLOOKUP(EDATE(B284,-12),Database!$A:$AS,MATCH($R$1,Database!$A$1:$AS$1,),)))))/(((VLOOKUP(EDATE(B284,-12),Database!$A:$AS,MATCH($R$1,Database!$A$1:$AS$1,),))))</f>
        <v>3.1394275154819185E-2</v>
      </c>
      <c r="S284" s="13">
        <f>((((VLOOKUP(B284,Database!$A:$AS,MATCH($S$1,Database!$A$1:$AS$1,),))))-(((VLOOKUP(EDATE(B284,-12),Database!$A:$AS,MATCH($S$1,Database!$A$1:$AS$1,),)))))/(((VLOOKUP(EDATE(B284,-12),Database!$A:$AS,MATCH($S$1,Database!$A$1:$AS$1,),))))</f>
        <v>1.8572825013557122E-2</v>
      </c>
      <c r="T284" s="13">
        <f>((((VLOOKUP(B284,Database!$A:$AS,MATCH($T$1,Database!$A$1:$AS$1,),))))-(((VLOOKUP(EDATE(B284,-12),Database!$A:$AS,MATCH($T$1,Database!$A$1:$AS$1,),)))))/(((VLOOKUP(EDATE(B284,-12),Database!$A:$AS,MATCH($T$1,Database!$A$1:$AS$1,),))))</f>
        <v>0.1061452513897813</v>
      </c>
      <c r="U284" s="13">
        <f>((((VLOOKUP(B284,Database!$A:$AS,MATCH($U$1,Database!$A$1:$AS$1,),))))-(((VLOOKUP(EDATE(B284,-12),Database!$A:$AS,MATCH($U$1,Database!$A$1:$AS$1,),)))))/(((VLOOKUP(EDATE(B284,-12),Database!$A:$AS,MATCH($U$1,Database!$A$1:$AS$1,),))))</f>
        <v>5.5066079344649344E-3</v>
      </c>
      <c r="V284" s="13">
        <f>((((VLOOKUP(B284,Database!$A:$AS,MATCH($V$1,Database!$A$1:$AS$1,),))))-(((VLOOKUP(EDATE(B284,-12),Database!$A:$AS,MATCH($V$1,Database!$A$1:$AS$1,),)))))/(((VLOOKUP(EDATE(B284,-12),Database!$A:$AS,MATCH($V$1,Database!$A$1:$AS$1,),))))</f>
        <v>6.7915690866510503E-2</v>
      </c>
    </row>
    <row r="285" spans="1:22" s="83" customFormat="1" x14ac:dyDescent="0.2">
      <c r="A285" s="43"/>
      <c r="B285" s="78">
        <v>40817</v>
      </c>
      <c r="C285" s="13">
        <f>((((VLOOKUP(B285,Database!$A:$AS,MATCH($C$1,Database!$A$1:$AS$1,),))))-(((VLOOKUP(EDATE(B285,-12),Database!$A:$AS,MATCH($C$1,Database!$A$1:$AS$1,),)))))/(((VLOOKUP(EDATE(B285,-12),Database!$A:$AS,MATCH($C$1,Database!$A$1:$AS$1,),))))</f>
        <v>3.2128700329059574E-2</v>
      </c>
      <c r="D285" s="13">
        <f>((((VLOOKUP(B285,Database!$A:$AS,MATCH($D$1,Database!$A$1:$AS$1,),))))-(((VLOOKUP(EDATE(B285,-12),Database!$A:$AS,MATCH($D$1,Database!$A$1:$AS$1,),)))))/(((VLOOKUP(EDATE(B285,-12),Database!$A:$AS,MATCH($D$1,Database!$A$1:$AS$1,),))))</f>
        <v>8.1632653061224202E-3</v>
      </c>
      <c r="E285" s="13">
        <f>((((VLOOKUP(B285,Database!$A:$AS,MATCH($E$1,Database!$A$1:$AS$1,),))))-(((VLOOKUP(EDATE(B285,-12),Database!$A:$AS,MATCH($E$1,Database!$A$1:$AS$1,),)))))/(((VLOOKUP(EDATE(B285,-12),Database!$A:$AS,MATCH($E$1,Database!$A$1:$AS$1,),))))</f>
        <v>1.509054326086892E-2</v>
      </c>
      <c r="F285" s="13">
        <f>((((VLOOKUP(B285,Database!$A:$AS,MATCH($F$1,Database!$A$1:$AS$1,),))))-(((VLOOKUP(EDATE(B285,-12),Database!$A:$AS,MATCH($F$1,Database!$A$1:$AS$1,),)))))/(((VLOOKUP(EDATE(B285,-12),Database!$A:$AS,MATCH($F$1,Database!$A$1:$AS$1,),))))</f>
        <v>4.7669491522719022E-2</v>
      </c>
      <c r="G285" s="13">
        <f>((((VLOOKUP(B285,Database!$A:$AS,MATCH($G$1,Database!$A$1:$AS$1,),))))-(((VLOOKUP(EDATE(B285,-12),Database!$A:$AS,MATCH($G$1,Database!$A$1:$AS$1,),)))))/(((VLOOKUP(EDATE(B285,-12),Database!$A:$AS,MATCH($G$1,Database!$A$1:$AS$1,),))))</f>
        <v>1.3319979969955058E-2</v>
      </c>
      <c r="H285" s="13">
        <f>((((VLOOKUP(B285,Database!$A:$AS,MATCH($H$1,Database!$A$1:$AS$1,),))))-(((VLOOKUP(EDATE(B285,-12),Database!$A:$AS,MATCH($H$1,Database!$A$1:$AS$1,),)))))/(((VLOOKUP(EDATE(B285,-12),Database!$A:$AS,MATCH($H$1,Database!$A$1:$AS$1,),))))</f>
        <v>-5.8050383352603242E-2</v>
      </c>
      <c r="I285" s="13">
        <f>((((VLOOKUP(B285,Database!$A:$AS,MATCH($I$1,Database!$A$1:$AS$1,),))))-(((VLOOKUP(EDATE(B285,-12),Database!$A:$AS,MATCH($I$1,Database!$A$1:$AS$1,),)))))/(((VLOOKUP(EDATE(B285,-12),Database!$A:$AS,MATCH($I$1,Database!$A$1:$AS$1,),))))</f>
        <v>-2.2140221396154233E-2</v>
      </c>
      <c r="J285" s="13">
        <f>((((VLOOKUP(B285,Database!$A:$AS,MATCH($J$1,Database!$A$1:$AS$1,),))))-(((VLOOKUP(EDATE(B285,-12),Database!$A:$AS,MATCH($J$1,Database!$A$1:$AS$1,),)))))/(((VLOOKUP(EDATE(B285,-12),Database!$A:$AS,MATCH($J$1,Database!$A$1:$AS$1,),))))</f>
        <v>-3.7325349296644744E-2</v>
      </c>
      <c r="K285" s="13">
        <f>((((VLOOKUP(B285,Database!$A:$AS,MATCH($K$1,Database!$A$1:$AS$1,),))))-(((VLOOKUP(EDATE(B285,-12),Database!$A:$AS,MATCH($K$1,Database!$A$1:$AS$1,),)))))/(((VLOOKUP(EDATE(B285,-12),Database!$A:$AS,MATCH($K$1,Database!$A$1:$AS$1,),))))</f>
        <v>1.2464046017627749E-2</v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>4.0007482928888775E-2</v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>3.6172695449241475E-2</v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>-5.0279134432755904E-2</v>
      </c>
      <c r="O285" s="13">
        <f>((((VLOOKUP(B285,Database!$A:$AS,MATCH($O$1,Database!$A$1:$AS$1,),))))-(((VLOOKUP(EDATE(B285,-12),Database!$A:$AS,MATCH($O$1,Database!$A$1:$AS$1,),)))))/(((VLOOKUP(EDATE(B285,-12),Database!$A:$AS,MATCH($O$1,Database!$A$1:$AS$1,),))))</f>
        <v>4.5568945256008846E-2</v>
      </c>
      <c r="P285" s="13">
        <f>((((VLOOKUP(B285,Database!$A:$AS,MATCH($P$1,Database!$A$1:$AS$1,),))))-(((VLOOKUP(EDATE(B285,-12),Database!$A:$AS,MATCH($P$1,Database!$A$1:$AS$1,),)))))/(((VLOOKUP(EDATE(B285,-12),Database!$A:$AS,MATCH($P$1,Database!$A$1:$AS$1,),))))</f>
        <v>6.2605916298353159E-2</v>
      </c>
      <c r="Q285" s="13">
        <f>((((VLOOKUP(B285,Database!$A:$AS,MATCH($Q$1,Database!$A$1:$AS$1,),))))-(((VLOOKUP(EDATE(B285,-12),Database!$A:$AS,MATCH($Q$1,Database!$A$1:$AS$1,),)))))/(((VLOOKUP(EDATE(B285,-12),Database!$A:$AS,MATCH($Q$1,Database!$A$1:$AS$1,),))))</f>
        <v>-2.0730503461067081E-2</v>
      </c>
      <c r="R285" s="13">
        <f>((((VLOOKUP(B285,Database!$A:$AS,MATCH($R$1,Database!$A$1:$AS$1,),))))-(((VLOOKUP(EDATE(B285,-12),Database!$A:$AS,MATCH($R$1,Database!$A$1:$AS$1,),)))))/(((VLOOKUP(EDATE(B285,-12),Database!$A:$AS,MATCH($R$1,Database!$A$1:$AS$1,),))))</f>
        <v>-0.11668107174052723</v>
      </c>
      <c r="S285" s="13">
        <f>((((VLOOKUP(B285,Database!$A:$AS,MATCH($S$1,Database!$A$1:$AS$1,),))))-(((VLOOKUP(EDATE(B285,-12),Database!$A:$AS,MATCH($S$1,Database!$A$1:$AS$1,),)))))/(((VLOOKUP(EDATE(B285,-12),Database!$A:$AS,MATCH($S$1,Database!$A$1:$AS$1,),))))</f>
        <v>8.1223628702815881E-2</v>
      </c>
      <c r="T285" s="13">
        <f>((((VLOOKUP(B285,Database!$A:$AS,MATCH($T$1,Database!$A$1:$AS$1,),))))-(((VLOOKUP(EDATE(B285,-12),Database!$A:$AS,MATCH($T$1,Database!$A$1:$AS$1,),)))))/(((VLOOKUP(EDATE(B285,-12),Database!$A:$AS,MATCH($T$1,Database!$A$1:$AS$1,),))))</f>
        <v>0.15767634854559429</v>
      </c>
      <c r="U285" s="13">
        <f>((((VLOOKUP(B285,Database!$A:$AS,MATCH($U$1,Database!$A$1:$AS$1,),))))-(((VLOOKUP(EDATE(B285,-12),Database!$A:$AS,MATCH($U$1,Database!$A$1:$AS$1,),)))))/(((VLOOKUP(EDATE(B285,-12),Database!$A:$AS,MATCH($U$1,Database!$A$1:$AS$1,),))))</f>
        <v>1.2114537453619775E-2</v>
      </c>
      <c r="V285" s="13">
        <f>((((VLOOKUP(B285,Database!$A:$AS,MATCH($V$1,Database!$A$1:$AS$1,),))))-(((VLOOKUP(EDATE(B285,-12),Database!$A:$AS,MATCH($V$1,Database!$A$1:$AS$1,),)))))/(((VLOOKUP(EDATE(B285,-12),Database!$A:$AS,MATCH($V$1,Database!$A$1:$AS$1,),))))</f>
        <v>6.1988304093567217E-2</v>
      </c>
    </row>
    <row r="286" spans="1:22" s="83" customFormat="1" x14ac:dyDescent="0.2">
      <c r="A286" s="43"/>
      <c r="B286" s="78">
        <v>40848</v>
      </c>
      <c r="C286" s="13">
        <f>((((VLOOKUP(B286,Database!$A:$AS,MATCH($C$1,Database!$A$1:$AS$1,),))))-(((VLOOKUP(EDATE(B286,-12),Database!$A:$AS,MATCH($C$1,Database!$A$1:$AS$1,),)))))/(((VLOOKUP(EDATE(B286,-12),Database!$A:$AS,MATCH($C$1,Database!$A$1:$AS$1,),))))</f>
        <v>3.2097980132278318E-2</v>
      </c>
      <c r="D286" s="13">
        <f>((((VLOOKUP(B286,Database!$A:$AS,MATCH($D$1,Database!$A$1:$AS$1,),))))-(((VLOOKUP(EDATE(B286,-12),Database!$A:$AS,MATCH($D$1,Database!$A$1:$AS$1,),)))))/(((VLOOKUP(EDATE(B286,-12),Database!$A:$AS,MATCH($D$1,Database!$A$1:$AS$1,),))))</f>
        <v>2.0222446916075693E-3</v>
      </c>
      <c r="E286" s="13">
        <f>((((VLOOKUP(B286,Database!$A:$AS,MATCH($E$1,Database!$A$1:$AS$1,),))))-(((VLOOKUP(EDATE(B286,-12),Database!$A:$AS,MATCH($E$1,Database!$A$1:$AS$1,),)))))/(((VLOOKUP(EDATE(B286,-12),Database!$A:$AS,MATCH($E$1,Database!$A$1:$AS$1,),))))</f>
        <v>-2.1760633035873053E-2</v>
      </c>
      <c r="F286" s="13">
        <f>((((VLOOKUP(B286,Database!$A:$AS,MATCH($F$1,Database!$A$1:$AS$1,),))))-(((VLOOKUP(EDATE(B286,-12),Database!$A:$AS,MATCH($F$1,Database!$A$1:$AS$1,),)))))/(((VLOOKUP(EDATE(B286,-12),Database!$A:$AS,MATCH($F$1,Database!$A$1:$AS$1,),))))</f>
        <v>4.5793397236166947E-2</v>
      </c>
      <c r="G286" s="13">
        <f>((((VLOOKUP(B286,Database!$A:$AS,MATCH($G$1,Database!$A$1:$AS$1,),))))-(((VLOOKUP(EDATE(B286,-12),Database!$A:$AS,MATCH($G$1,Database!$A$1:$AS$1,),)))))/(((VLOOKUP(EDATE(B286,-12),Database!$A:$AS,MATCH($G$1,Database!$A$1:$AS$1,),))))</f>
        <v>2.0462633451957368E-2</v>
      </c>
      <c r="H286" s="13">
        <f>((((VLOOKUP(B286,Database!$A:$AS,MATCH($H$1,Database!$A$1:$AS$1,),))))-(((VLOOKUP(EDATE(B286,-12),Database!$A:$AS,MATCH($H$1,Database!$A$1:$AS$1,),)))))/(((VLOOKUP(EDATE(B286,-12),Database!$A:$AS,MATCH($H$1,Database!$A$1:$AS$1,),))))</f>
        <v>-5.6415929198886251E-2</v>
      </c>
      <c r="I286" s="13">
        <f>((((VLOOKUP(B286,Database!$A:$AS,MATCH($I$1,Database!$A$1:$AS$1,),))))-(((VLOOKUP(EDATE(B286,-12),Database!$A:$AS,MATCH($I$1,Database!$A$1:$AS$1,),)))))/(((VLOOKUP(EDATE(B286,-12),Database!$A:$AS,MATCH($I$1,Database!$A$1:$AS$1,),))))</f>
        <v>-2.0183486238969865E-2</v>
      </c>
      <c r="J286" s="13">
        <f>((((VLOOKUP(B286,Database!$A:$AS,MATCH($J$1,Database!$A$1:$AS$1,),))))-(((VLOOKUP(EDATE(B286,-12),Database!$A:$AS,MATCH($J$1,Database!$A$1:$AS$1,),)))))/(((VLOOKUP(EDATE(B286,-12),Database!$A:$AS,MATCH($J$1,Database!$A$1:$AS$1,),))))</f>
        <v>-6.8456065784075829E-2</v>
      </c>
      <c r="K286" s="13">
        <f>((((VLOOKUP(B286,Database!$A:$AS,MATCH($K$1,Database!$A$1:$AS$1,),))))-(((VLOOKUP(EDATE(B286,-12),Database!$A:$AS,MATCH($K$1,Database!$A$1:$AS$1,),)))))/(((VLOOKUP(EDATE(B286,-12),Database!$A:$AS,MATCH($K$1,Database!$A$1:$AS$1,),))))</f>
        <v>-4.8462255363896423E-2</v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>4.0958854641902173E-2</v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>3.4843205574912897E-2</v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>6.260804103243435E-2</v>
      </c>
      <c r="O286" s="13">
        <f>((((VLOOKUP(B286,Database!$A:$AS,MATCH($O$1,Database!$A$1:$AS$1,),))))-(((VLOOKUP(EDATE(B286,-12),Database!$A:$AS,MATCH($O$1,Database!$A$1:$AS$1,),)))))/(((VLOOKUP(EDATE(B286,-12),Database!$A:$AS,MATCH($O$1,Database!$A$1:$AS$1,),))))</f>
        <v>4.2561479974342953E-2</v>
      </c>
      <c r="P286" s="13">
        <f>((((VLOOKUP(B286,Database!$A:$AS,MATCH($P$1,Database!$A$1:$AS$1,),))))-(((VLOOKUP(EDATE(B286,-12),Database!$A:$AS,MATCH($P$1,Database!$A$1:$AS$1,),)))))/(((VLOOKUP(EDATE(B286,-12),Database!$A:$AS,MATCH($P$1,Database!$A$1:$AS$1,),))))</f>
        <v>3.7671959911444418E-2</v>
      </c>
      <c r="Q286" s="13">
        <f>((((VLOOKUP(B286,Database!$A:$AS,MATCH($Q$1,Database!$A$1:$AS$1,),))))-(((VLOOKUP(EDATE(B286,-12),Database!$A:$AS,MATCH($Q$1,Database!$A$1:$AS$1,),)))))/(((VLOOKUP(EDATE(B286,-12),Database!$A:$AS,MATCH($Q$1,Database!$A$1:$AS$1,),))))</f>
        <v>-2.2504892361453924E-2</v>
      </c>
      <c r="R286" s="13">
        <f>((((VLOOKUP(B286,Database!$A:$AS,MATCH($R$1,Database!$A$1:$AS$1,),))))-(((VLOOKUP(EDATE(B286,-12),Database!$A:$AS,MATCH($R$1,Database!$A$1:$AS$1,),)))))/(((VLOOKUP(EDATE(B286,-12),Database!$A:$AS,MATCH($R$1,Database!$A$1:$AS$1,),))))</f>
        <v>-7.6248904471016787E-2</v>
      </c>
      <c r="S286" s="13">
        <f>((((VLOOKUP(B286,Database!$A:$AS,MATCH($S$1,Database!$A$1:$AS$1,),))))-(((VLOOKUP(EDATE(B286,-12),Database!$A:$AS,MATCH($S$1,Database!$A$1:$AS$1,),)))))/(((VLOOKUP(EDATE(B286,-12),Database!$A:$AS,MATCH($S$1,Database!$A$1:$AS$1,),))))</f>
        <v>-5.6567593475527589E-2</v>
      </c>
      <c r="T286" s="13">
        <f>((((VLOOKUP(B286,Database!$A:$AS,MATCH($T$1,Database!$A$1:$AS$1,),))))-(((VLOOKUP(EDATE(B286,-12),Database!$A:$AS,MATCH($T$1,Database!$A$1:$AS$1,),)))))/(((VLOOKUP(EDATE(B286,-12),Database!$A:$AS,MATCH($T$1,Database!$A$1:$AS$1,),))))</f>
        <v>0.11126005362025534</v>
      </c>
      <c r="U286" s="13">
        <f>((((VLOOKUP(B286,Database!$A:$AS,MATCH($U$1,Database!$A$1:$AS$1,),))))-(((VLOOKUP(EDATE(B286,-12),Database!$A:$AS,MATCH($U$1,Database!$A$1:$AS$1,),)))))/(((VLOOKUP(EDATE(B286,-12),Database!$A:$AS,MATCH($U$1,Database!$A$1:$AS$1,),))))</f>
        <v>4.6511627910840396E-2</v>
      </c>
      <c r="V286" s="13">
        <f>((((VLOOKUP(B286,Database!$A:$AS,MATCH($V$1,Database!$A$1:$AS$1,),))))-(((VLOOKUP(EDATE(B286,-12),Database!$A:$AS,MATCH($V$1,Database!$A$1:$AS$1,),)))))/(((VLOOKUP(EDATE(B286,-12),Database!$A:$AS,MATCH($V$1,Database!$A$1:$AS$1,),))))</f>
        <v>7.8454332552693073E-2</v>
      </c>
    </row>
    <row r="287" spans="1:22" s="83" customFormat="1" x14ac:dyDescent="0.2">
      <c r="A287" s="43"/>
      <c r="B287" s="78">
        <v>40878</v>
      </c>
      <c r="C287" s="13">
        <f>((((VLOOKUP(B287,Database!$A:$AS,MATCH($C$1,Database!$A$1:$AS$1,),))))-(((VLOOKUP(EDATE(B287,-12),Database!$A:$AS,MATCH($C$1,Database!$A$1:$AS$1,),)))))/(((VLOOKUP(EDATE(B287,-12),Database!$A:$AS,MATCH($C$1,Database!$A$1:$AS$1,),))))</f>
        <v>2.7288006728093006E-2</v>
      </c>
      <c r="D287" s="13">
        <f>((((VLOOKUP(B287,Database!$A:$AS,MATCH($D$1,Database!$A$1:$AS$1,),))))-(((VLOOKUP(EDATE(B287,-12),Database!$A:$AS,MATCH($D$1,Database!$A$1:$AS$1,),)))))/(((VLOOKUP(EDATE(B287,-12),Database!$A:$AS,MATCH($D$1,Database!$A$1:$AS$1,),))))</f>
        <v>-1.2036108324974953E-2</v>
      </c>
      <c r="E287" s="13">
        <f>((((VLOOKUP(B287,Database!$A:$AS,MATCH($E$1,Database!$A$1:$AS$1,),))))-(((VLOOKUP(EDATE(B287,-12),Database!$A:$AS,MATCH($E$1,Database!$A$1:$AS$1,),)))))/(((VLOOKUP(EDATE(B287,-12),Database!$A:$AS,MATCH($E$1,Database!$A$1:$AS$1,),))))</f>
        <v>-4.9309664666610182E-3</v>
      </c>
      <c r="F287" s="13">
        <f>((((VLOOKUP(B287,Database!$A:$AS,MATCH($F$1,Database!$A$1:$AS$1,),))))-(((VLOOKUP(EDATE(B287,-12),Database!$A:$AS,MATCH($F$1,Database!$A$1:$AS$1,),)))))/(((VLOOKUP(EDATE(B287,-12),Database!$A:$AS,MATCH($F$1,Database!$A$1:$AS$1,),))))</f>
        <v>1.4675052410395985E-2</v>
      </c>
      <c r="G287" s="13">
        <f>((((VLOOKUP(B287,Database!$A:$AS,MATCH($G$1,Database!$A$1:$AS$1,),))))-(((VLOOKUP(EDATE(B287,-12),Database!$A:$AS,MATCH($G$1,Database!$A$1:$AS$1,),)))))/(((VLOOKUP(EDATE(B287,-12),Database!$A:$AS,MATCH($G$1,Database!$A$1:$AS$1,),))))</f>
        <v>-1.2589050453791276E-2</v>
      </c>
      <c r="H287" s="13">
        <f>((((VLOOKUP(B287,Database!$A:$AS,MATCH($H$1,Database!$A$1:$AS$1,),))))-(((VLOOKUP(EDATE(B287,-12),Database!$A:$AS,MATCH($H$1,Database!$A$1:$AS$1,),)))))/(((VLOOKUP(EDATE(B287,-12),Database!$A:$AS,MATCH($H$1,Database!$A$1:$AS$1,),))))</f>
        <v>-4.1619797521920972E-2</v>
      </c>
      <c r="I287" s="13">
        <f>((((VLOOKUP(B287,Database!$A:$AS,MATCH($I$1,Database!$A$1:$AS$1,),))))-(((VLOOKUP(EDATE(B287,-12),Database!$A:$AS,MATCH($I$1,Database!$A$1:$AS$1,),)))))/(((VLOOKUP(EDATE(B287,-12),Database!$A:$AS,MATCH($I$1,Database!$A$1:$AS$1,),))))</f>
        <v>-2.0018198362627703E-2</v>
      </c>
      <c r="J287" s="13">
        <f>((((VLOOKUP(B287,Database!$A:$AS,MATCH($J$1,Database!$A$1:$AS$1,),))))-(((VLOOKUP(EDATE(B287,-12),Database!$A:$AS,MATCH($J$1,Database!$A$1:$AS$1,),)))))/(((VLOOKUP(EDATE(B287,-12),Database!$A:$AS,MATCH($J$1,Database!$A$1:$AS$1,),))))</f>
        <v>-2.3482305046497735E-2</v>
      </c>
      <c r="K287" s="13">
        <f>((((VLOOKUP(B287,Database!$A:$AS,MATCH($K$1,Database!$A$1:$AS$1,),))))-(((VLOOKUP(EDATE(B287,-12),Database!$A:$AS,MATCH($K$1,Database!$A$1:$AS$1,),)))))/(((VLOOKUP(EDATE(B287,-12),Database!$A:$AS,MATCH($K$1,Database!$A$1:$AS$1,),))))</f>
        <v>-4.3314500948215588E-2</v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>3.8637230230451465E-2</v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>4.1811846689895571E-2</v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>3.056819916717152E-2</v>
      </c>
      <c r="O287" s="13">
        <f>((((VLOOKUP(B287,Database!$A:$AS,MATCH($O$1,Database!$A$1:$AS$1,),))))-(((VLOOKUP(EDATE(B287,-12),Database!$A:$AS,MATCH($O$1,Database!$A$1:$AS$1,),)))))/(((VLOOKUP(EDATE(B287,-12),Database!$A:$AS,MATCH($O$1,Database!$A$1:$AS$1,),))))</f>
        <v>3.3012142392928177E-2</v>
      </c>
      <c r="P287" s="13">
        <f>((((VLOOKUP(B287,Database!$A:$AS,MATCH($P$1,Database!$A$1:$AS$1,),))))-(((VLOOKUP(EDATE(B287,-12),Database!$A:$AS,MATCH($P$1,Database!$A$1:$AS$1,),)))))/(((VLOOKUP(EDATE(B287,-12),Database!$A:$AS,MATCH($P$1,Database!$A$1:$AS$1,),))))</f>
        <v>4.0255791941747601E-3</v>
      </c>
      <c r="Q287" s="13">
        <f>((((VLOOKUP(B287,Database!$A:$AS,MATCH($Q$1,Database!$A$1:$AS$1,),))))-(((VLOOKUP(EDATE(B287,-12),Database!$A:$AS,MATCH($Q$1,Database!$A$1:$AS$1,),)))))/(((VLOOKUP(EDATE(B287,-12),Database!$A:$AS,MATCH($Q$1,Database!$A$1:$AS$1,),))))</f>
        <v>-1.9474196653047051E-3</v>
      </c>
      <c r="R287" s="13">
        <f>((((VLOOKUP(B287,Database!$A:$AS,MATCH($R$1,Database!$A$1:$AS$1,),))))-(((VLOOKUP(EDATE(B287,-12),Database!$A:$AS,MATCH($R$1,Database!$A$1:$AS$1,),)))))/(((VLOOKUP(EDATE(B287,-12),Database!$A:$AS,MATCH($R$1,Database!$A$1:$AS$1,),))))</f>
        <v>-0.12685914261170311</v>
      </c>
      <c r="S287" s="13">
        <f>((((VLOOKUP(B287,Database!$A:$AS,MATCH($S$1,Database!$A$1:$AS$1,),))))-(((VLOOKUP(EDATE(B287,-12),Database!$A:$AS,MATCH($S$1,Database!$A$1:$AS$1,),)))))/(((VLOOKUP(EDATE(B287,-12),Database!$A:$AS,MATCH($S$1,Database!$A$1:$AS$1,),))))</f>
        <v>-4.7388781429195573E-2</v>
      </c>
      <c r="T287" s="13">
        <f>((((VLOOKUP(B287,Database!$A:$AS,MATCH($T$1,Database!$A$1:$AS$1,),))))-(((VLOOKUP(EDATE(B287,-12),Database!$A:$AS,MATCH($T$1,Database!$A$1:$AS$1,),)))))/(((VLOOKUP(EDATE(B287,-12),Database!$A:$AS,MATCH($T$1,Database!$A$1:$AS$1,),))))</f>
        <v>9.3667546165369792E-2</v>
      </c>
      <c r="U287" s="13">
        <f>((((VLOOKUP(B287,Database!$A:$AS,MATCH($U$1,Database!$A$1:$AS$1,),))))-(((VLOOKUP(EDATE(B287,-12),Database!$A:$AS,MATCH($U$1,Database!$A$1:$AS$1,),)))))/(((VLOOKUP(EDATE(B287,-12),Database!$A:$AS,MATCH($U$1,Database!$A$1:$AS$1,),))))</f>
        <v>4.7138047130563701E-2</v>
      </c>
      <c r="V287" s="13">
        <f>((((VLOOKUP(B287,Database!$A:$AS,MATCH($V$1,Database!$A$1:$AS$1,),))))-(((VLOOKUP(EDATE(B287,-12),Database!$A:$AS,MATCH($V$1,Database!$A$1:$AS$1,),)))))/(((VLOOKUP(EDATE(B287,-12),Database!$A:$AS,MATCH($V$1,Database!$A$1:$AS$1,),))))</f>
        <v>0.12965186074429769</v>
      </c>
    </row>
    <row r="288" spans="1:22" s="83" customFormat="1" x14ac:dyDescent="0.2">
      <c r="A288" s="43"/>
      <c r="B288" s="78">
        <v>40909</v>
      </c>
      <c r="C288" s="13">
        <f>((((VLOOKUP(B288,Database!$A:$AS,MATCH($C$1,Database!$A$1:$AS$1,),))))-(((VLOOKUP(EDATE(B288,-12),Database!$A:$AS,MATCH($C$1,Database!$A$1:$AS$1,),)))))/(((VLOOKUP(EDATE(B288,-12),Database!$A:$AS,MATCH($C$1,Database!$A$1:$AS$1,),))))</f>
        <v>3.5307156420728417E-2</v>
      </c>
      <c r="D288" s="13">
        <f>((((VLOOKUP(B288,Database!$A:$AS,MATCH($D$1,Database!$A$1:$AS$1,),))))-(((VLOOKUP(EDATE(B288,-12),Database!$A:$AS,MATCH($D$1,Database!$A$1:$AS$1,),)))))/(((VLOOKUP(EDATE(B288,-12),Database!$A:$AS,MATCH($D$1,Database!$A$1:$AS$1,),))))</f>
        <v>-1.311806256306758E-2</v>
      </c>
      <c r="E288" s="13">
        <f>((((VLOOKUP(B288,Database!$A:$AS,MATCH($E$1,Database!$A$1:$AS$1,),))))-(((VLOOKUP(EDATE(B288,-12),Database!$A:$AS,MATCH($E$1,Database!$A$1:$AS$1,),)))))/(((VLOOKUP(EDATE(B288,-12),Database!$A:$AS,MATCH($E$1,Database!$A$1:$AS$1,),))))</f>
        <v>-8.8148873642159443E-3</v>
      </c>
      <c r="F288" s="13">
        <f>((((VLOOKUP(B288,Database!$A:$AS,MATCH($F$1,Database!$A$1:$AS$1,),))))-(((VLOOKUP(EDATE(B288,-12),Database!$A:$AS,MATCH($F$1,Database!$A$1:$AS$1,),)))))/(((VLOOKUP(EDATE(B288,-12),Database!$A:$AS,MATCH($F$1,Database!$A$1:$AS$1,),))))</f>
        <v>2.2058823523232352E-2</v>
      </c>
      <c r="G288" s="13">
        <f>((((VLOOKUP(B288,Database!$A:$AS,MATCH($G$1,Database!$A$1:$AS$1,),))))-(((VLOOKUP(EDATE(B288,-12),Database!$A:$AS,MATCH($G$1,Database!$A$1:$AS$1,),)))))/(((VLOOKUP(EDATE(B288,-12),Database!$A:$AS,MATCH($G$1,Database!$A$1:$AS$1,),))))</f>
        <v>-2.8072544858190204E-2</v>
      </c>
      <c r="H288" s="13">
        <f>((((VLOOKUP(B288,Database!$A:$AS,MATCH($H$1,Database!$A$1:$AS$1,),))))-(((VLOOKUP(EDATE(B288,-12),Database!$A:$AS,MATCH($H$1,Database!$A$1:$AS$1,),)))))/(((VLOOKUP(EDATE(B288,-12),Database!$A:$AS,MATCH($H$1,Database!$A$1:$AS$1,),))))</f>
        <v>-2.7522935775610022E-2</v>
      </c>
      <c r="I288" s="13">
        <f>((((VLOOKUP(B288,Database!$A:$AS,MATCH($I$1,Database!$A$1:$AS$1,),))))-(((VLOOKUP(EDATE(B288,-12),Database!$A:$AS,MATCH($I$1,Database!$A$1:$AS$1,),)))))/(((VLOOKUP(EDATE(B288,-12),Database!$A:$AS,MATCH($I$1,Database!$A$1:$AS$1,),))))</f>
        <v>-3.8961038959593138E-2</v>
      </c>
      <c r="J288" s="13">
        <f>((((VLOOKUP(B288,Database!$A:$AS,MATCH($J$1,Database!$A$1:$AS$1,),))))-(((VLOOKUP(EDATE(B288,-12),Database!$A:$AS,MATCH($J$1,Database!$A$1:$AS$1,),)))))/(((VLOOKUP(EDATE(B288,-12),Database!$A:$AS,MATCH($J$1,Database!$A$1:$AS$1,),))))</f>
        <v>-4.7866303479552119E-2</v>
      </c>
      <c r="K288" s="13">
        <f>((((VLOOKUP(B288,Database!$A:$AS,MATCH($K$1,Database!$A$1:$AS$1,),))))-(((VLOOKUP(EDATE(B288,-12),Database!$A:$AS,MATCH($K$1,Database!$A$1:$AS$1,),)))))/(((VLOOKUP(EDATE(B288,-12),Database!$A:$AS,MATCH($K$1,Database!$A$1:$AS$1,),))))</f>
        <v>1.0309278347617109E-2</v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>3.6460249553105423E-2</v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>3.2073310423825857E-2</v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>7.3717419699078808E-3</v>
      </c>
      <c r="O288" s="13">
        <f>((((VLOOKUP(B288,Database!$A:$AS,MATCH($O$1,Database!$A$1:$AS$1,),))))-(((VLOOKUP(EDATE(B288,-12),Database!$A:$AS,MATCH($O$1,Database!$A$1:$AS$1,),)))))/(((VLOOKUP(EDATE(B288,-12),Database!$A:$AS,MATCH($O$1,Database!$A$1:$AS$1,),))))</f>
        <v>3.5520314403562209E-2</v>
      </c>
      <c r="P288" s="13">
        <f>((((VLOOKUP(B288,Database!$A:$AS,MATCH($P$1,Database!$A$1:$AS$1,),))))-(((VLOOKUP(EDATE(B288,-12),Database!$A:$AS,MATCH($P$1,Database!$A$1:$AS$1,),)))))/(((VLOOKUP(EDATE(B288,-12),Database!$A:$AS,MATCH($P$1,Database!$A$1:$AS$1,),))))</f>
        <v>4.6275441206239118E-3</v>
      </c>
      <c r="Q288" s="13">
        <f>((((VLOOKUP(B288,Database!$A:$AS,MATCH($Q$1,Database!$A$1:$AS$1,),))))-(((VLOOKUP(EDATE(B288,-12),Database!$A:$AS,MATCH($Q$1,Database!$A$1:$AS$1,),)))))/(((VLOOKUP(EDATE(B288,-12),Database!$A:$AS,MATCH($Q$1,Database!$A$1:$AS$1,),))))</f>
        <v>-4.6692607004784899E-2</v>
      </c>
      <c r="R288" s="13">
        <f>((((VLOOKUP(B288,Database!$A:$AS,MATCH($R$1,Database!$A$1:$AS$1,),))))-(((VLOOKUP(EDATE(B288,-12),Database!$A:$AS,MATCH($R$1,Database!$A$1:$AS$1,),)))))/(((VLOOKUP(EDATE(B288,-12),Database!$A:$AS,MATCH($R$1,Database!$A$1:$AS$1,),))))</f>
        <v>-6.9892473115626755E-2</v>
      </c>
      <c r="S288" s="13">
        <f>((((VLOOKUP(B288,Database!$A:$AS,MATCH($S$1,Database!$A$1:$AS$1,),))))-(((VLOOKUP(EDATE(B288,-12),Database!$A:$AS,MATCH($S$1,Database!$A$1:$AS$1,),)))))/(((VLOOKUP(EDATE(B288,-12),Database!$A:$AS,MATCH($S$1,Database!$A$1:$AS$1,),))))</f>
        <v>-3.0211480387181172E-3</v>
      </c>
      <c r="T288" s="13">
        <f>((((VLOOKUP(B288,Database!$A:$AS,MATCH($T$1,Database!$A$1:$AS$1,),))))-(((VLOOKUP(EDATE(B288,-12),Database!$A:$AS,MATCH($T$1,Database!$A$1:$AS$1,),)))))/(((VLOOKUP(EDATE(B288,-12),Database!$A:$AS,MATCH($T$1,Database!$A$1:$AS$1,),))))</f>
        <v>3.7974683546547358E-2</v>
      </c>
      <c r="U288" s="13">
        <f>((((VLOOKUP(B288,Database!$A:$AS,MATCH($U$1,Database!$A$1:$AS$1,),))))-(((VLOOKUP(EDATE(B288,-12),Database!$A:$AS,MATCH($U$1,Database!$A$1:$AS$1,),)))))/(((VLOOKUP(EDATE(B288,-12),Database!$A:$AS,MATCH($U$1,Database!$A$1:$AS$1,),))))</f>
        <v>0</v>
      </c>
      <c r="V288" s="13">
        <f>((((VLOOKUP(B288,Database!$A:$AS,MATCH($V$1,Database!$A$1:$AS$1,),))))-(((VLOOKUP(EDATE(B288,-12),Database!$A:$AS,MATCH($V$1,Database!$A$1:$AS$1,),)))))/(((VLOOKUP(EDATE(B288,-12),Database!$A:$AS,MATCH($V$1,Database!$A$1:$AS$1,),))))</f>
        <v>6.0606060606060642E-2</v>
      </c>
    </row>
    <row r="289" spans="1:22" s="83" customFormat="1" x14ac:dyDescent="0.2">
      <c r="A289" s="43"/>
      <c r="B289" s="78">
        <v>40940</v>
      </c>
      <c r="C289" s="13">
        <f>((((VLOOKUP(B289,Database!$A:$AS,MATCH($C$1,Database!$A$1:$AS$1,),))))-(((VLOOKUP(EDATE(B289,-12),Database!$A:$AS,MATCH($C$1,Database!$A$1:$AS$1,),)))))/(((VLOOKUP(EDATE(B289,-12),Database!$A:$AS,MATCH($C$1,Database!$A$1:$AS$1,),))))</f>
        <v>4.286725902971994E-2</v>
      </c>
      <c r="D289" s="13">
        <f>((((VLOOKUP(B289,Database!$A:$AS,MATCH($D$1,Database!$A$1:$AS$1,),))))-(((VLOOKUP(EDATE(B289,-12),Database!$A:$AS,MATCH($D$1,Database!$A$1:$AS$1,),)))))/(((VLOOKUP(EDATE(B289,-12),Database!$A:$AS,MATCH($D$1,Database!$A$1:$AS$1,),))))</f>
        <v>-1.6983016983016869E-2</v>
      </c>
      <c r="E289" s="13">
        <f>((((VLOOKUP(B289,Database!$A:$AS,MATCH($E$1,Database!$A$1:$AS$1,),))))-(((VLOOKUP(EDATE(B289,-12),Database!$A:$AS,MATCH($E$1,Database!$A$1:$AS$1,),)))))/(((VLOOKUP(EDATE(B289,-12),Database!$A:$AS,MATCH($E$1,Database!$A$1:$AS$1,),))))</f>
        <v>-1.4634146342761771E-2</v>
      </c>
      <c r="F289" s="13">
        <f>((((VLOOKUP(B289,Database!$A:$AS,MATCH($F$1,Database!$A$1:$AS$1,),))))-(((VLOOKUP(EDATE(B289,-12),Database!$A:$AS,MATCH($F$1,Database!$A$1:$AS$1,),)))))/(((VLOOKUP(EDATE(B289,-12),Database!$A:$AS,MATCH($F$1,Database!$A$1:$AS$1,),))))</f>
        <v>9.345794389902868E-3</v>
      </c>
      <c r="G289" s="13">
        <f>((((VLOOKUP(B289,Database!$A:$AS,MATCH($G$1,Database!$A$1:$AS$1,),))))-(((VLOOKUP(EDATE(B289,-12),Database!$A:$AS,MATCH($G$1,Database!$A$1:$AS$1,),)))))/(((VLOOKUP(EDATE(B289,-12),Database!$A:$AS,MATCH($G$1,Database!$A$1:$AS$1,),))))</f>
        <v>-2.3264756777542799E-2</v>
      </c>
      <c r="H289" s="13">
        <f>((((VLOOKUP(B289,Database!$A:$AS,MATCH($H$1,Database!$A$1:$AS$1,),))))-(((VLOOKUP(EDATE(B289,-12),Database!$A:$AS,MATCH($H$1,Database!$A$1:$AS$1,),)))))/(((VLOOKUP(EDATE(B289,-12),Database!$A:$AS,MATCH($H$1,Database!$A$1:$AS$1,),))))</f>
        <v>4.7449584826992275E-3</v>
      </c>
      <c r="I289" s="13">
        <f>((((VLOOKUP(B289,Database!$A:$AS,MATCH($I$1,Database!$A$1:$AS$1,),))))-(((VLOOKUP(EDATE(B289,-12),Database!$A:$AS,MATCH($I$1,Database!$A$1:$AS$1,),)))))/(((VLOOKUP(EDATE(B289,-12),Database!$A:$AS,MATCH($I$1,Database!$A$1:$AS$1,),))))</f>
        <v>-6.0578661842939412E-2</v>
      </c>
      <c r="J289" s="13">
        <f>((((VLOOKUP(B289,Database!$A:$AS,MATCH($J$1,Database!$A$1:$AS$1,),))))-(((VLOOKUP(EDATE(B289,-12),Database!$A:$AS,MATCH($J$1,Database!$A$1:$AS$1,),)))))/(((VLOOKUP(EDATE(B289,-12),Database!$A:$AS,MATCH($J$1,Database!$A$1:$AS$1,),))))</f>
        <v>-7.3803912770109378E-2</v>
      </c>
      <c r="K289" s="13">
        <f>((((VLOOKUP(B289,Database!$A:$AS,MATCH($K$1,Database!$A$1:$AS$1,),))))-(((VLOOKUP(EDATE(B289,-12),Database!$A:$AS,MATCH($K$1,Database!$A$1:$AS$1,),)))))/(((VLOOKUP(EDATE(B289,-12),Database!$A:$AS,MATCH($K$1,Database!$A$1:$AS$1,),))))</f>
        <v>-5.7407407409979232E-2</v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>3.7385313258666036E-2</v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>4.3678160919540195E-2</v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>6.7370625508438682E-3</v>
      </c>
      <c r="O289" s="13">
        <f>((((VLOOKUP(B289,Database!$A:$AS,MATCH($O$1,Database!$A$1:$AS$1,),))))-(((VLOOKUP(EDATE(B289,-12),Database!$A:$AS,MATCH($O$1,Database!$A$1:$AS$1,),)))))/(((VLOOKUP(EDATE(B289,-12),Database!$A:$AS,MATCH($O$1,Database!$A$1:$AS$1,),))))</f>
        <v>1.7143815961767953E-2</v>
      </c>
      <c r="P289" s="13">
        <f>((((VLOOKUP(B289,Database!$A:$AS,MATCH($P$1,Database!$A$1:$AS$1,),))))-(((VLOOKUP(EDATE(B289,-12),Database!$A:$AS,MATCH($P$1,Database!$A$1:$AS$1,),)))))/(((VLOOKUP(EDATE(B289,-12),Database!$A:$AS,MATCH($P$1,Database!$A$1:$AS$1,),))))</f>
        <v>5.6814395199416702E-2</v>
      </c>
      <c r="Q289" s="13">
        <f>((((VLOOKUP(B289,Database!$A:$AS,MATCH($Q$1,Database!$A$1:$AS$1,),))))-(((VLOOKUP(EDATE(B289,-12),Database!$A:$AS,MATCH($Q$1,Database!$A$1:$AS$1,),)))))/(((VLOOKUP(EDATE(B289,-12),Database!$A:$AS,MATCH($Q$1,Database!$A$1:$AS$1,),))))</f>
        <v>-4.9904030712531716E-2</v>
      </c>
      <c r="R289" s="13">
        <f>((((VLOOKUP(B289,Database!$A:$AS,MATCH($R$1,Database!$A$1:$AS$1,),))))-(((VLOOKUP(EDATE(B289,-12),Database!$A:$AS,MATCH($R$1,Database!$A$1:$AS$1,),)))))/(((VLOOKUP(EDATE(B289,-12),Database!$A:$AS,MATCH($R$1,Database!$A$1:$AS$1,),))))</f>
        <v>-7.9207920799395509E-2</v>
      </c>
      <c r="S289" s="13">
        <f>((((VLOOKUP(B289,Database!$A:$AS,MATCH($S$1,Database!$A$1:$AS$1,),))))-(((VLOOKUP(EDATE(B289,-12),Database!$A:$AS,MATCH($S$1,Database!$A$1:$AS$1,),)))))/(((VLOOKUP(EDATE(B289,-12),Database!$A:$AS,MATCH($S$1,Database!$A$1:$AS$1,),))))</f>
        <v>-1.0999999987850558E-2</v>
      </c>
      <c r="T289" s="13">
        <f>((((VLOOKUP(B289,Database!$A:$AS,MATCH($T$1,Database!$A$1:$AS$1,),))))-(((VLOOKUP(EDATE(B289,-12),Database!$A:$AS,MATCH($T$1,Database!$A$1:$AS$1,),)))))/(((VLOOKUP(EDATE(B289,-12),Database!$A:$AS,MATCH($T$1,Database!$A$1:$AS$1,),))))</f>
        <v>3.984575835222795E-2</v>
      </c>
      <c r="U289" s="13">
        <f>((((VLOOKUP(B289,Database!$A:$AS,MATCH($U$1,Database!$A$1:$AS$1,),))))-(((VLOOKUP(EDATE(B289,-12),Database!$A:$AS,MATCH($U$1,Database!$A$1:$AS$1,),)))))/(((VLOOKUP(EDATE(B289,-12),Database!$A:$AS,MATCH($U$1,Database!$A$1:$AS$1,),))))</f>
        <v>2.5274725268650239E-2</v>
      </c>
      <c r="V289" s="13">
        <f>((((VLOOKUP(B289,Database!$A:$AS,MATCH($V$1,Database!$A$1:$AS$1,),))))-(((VLOOKUP(EDATE(B289,-12),Database!$A:$AS,MATCH($V$1,Database!$A$1:$AS$1,),)))))/(((VLOOKUP(EDATE(B289,-12),Database!$A:$AS,MATCH($V$1,Database!$A$1:$AS$1,),))))</f>
        <v>5.6753688989784343E-3</v>
      </c>
    </row>
    <row r="290" spans="1:22" s="83" customFormat="1" x14ac:dyDescent="0.2">
      <c r="A290" s="43"/>
      <c r="B290" s="78">
        <v>40969</v>
      </c>
      <c r="C290" s="13">
        <f>((((VLOOKUP(B290,Database!$A:$AS,MATCH($C$1,Database!$A$1:$AS$1,),))))-(((VLOOKUP(EDATE(B290,-12),Database!$A:$AS,MATCH($C$1,Database!$A$1:$AS$1,),)))))/(((VLOOKUP(EDATE(B290,-12),Database!$A:$AS,MATCH($C$1,Database!$A$1:$AS$1,),))))</f>
        <v>2.7088713138818256E-2</v>
      </c>
      <c r="D290" s="13">
        <f>((((VLOOKUP(B290,Database!$A:$AS,MATCH($D$1,Database!$A$1:$AS$1,),))))-(((VLOOKUP(EDATE(B290,-12),Database!$A:$AS,MATCH($D$1,Database!$A$1:$AS$1,),)))))/(((VLOOKUP(EDATE(B290,-12),Database!$A:$AS,MATCH($D$1,Database!$A$1:$AS$1,),))))</f>
        <v>-1.9960079840319361E-2</v>
      </c>
      <c r="E290" s="13">
        <f>((((VLOOKUP(B290,Database!$A:$AS,MATCH($E$1,Database!$A$1:$AS$1,),))))-(((VLOOKUP(EDATE(B290,-12),Database!$A:$AS,MATCH($E$1,Database!$A$1:$AS$1,),)))))/(((VLOOKUP(EDATE(B290,-12),Database!$A:$AS,MATCH($E$1,Database!$A$1:$AS$1,),))))</f>
        <v>0.16801853997267821</v>
      </c>
      <c r="F290" s="13">
        <f>((((VLOOKUP(B290,Database!$A:$AS,MATCH($F$1,Database!$A$1:$AS$1,),))))-(((VLOOKUP(EDATE(B290,-12),Database!$A:$AS,MATCH($F$1,Database!$A$1:$AS$1,),)))))/(((VLOOKUP(EDATE(B290,-12),Database!$A:$AS,MATCH($F$1,Database!$A$1:$AS$1,),))))</f>
        <v>1.5479876156677039E-2</v>
      </c>
      <c r="G290" s="13">
        <f>((((VLOOKUP(B290,Database!$A:$AS,MATCH($G$1,Database!$A$1:$AS$1,),))))-(((VLOOKUP(EDATE(B290,-12),Database!$A:$AS,MATCH($G$1,Database!$A$1:$AS$1,),)))))/(((VLOOKUP(EDATE(B290,-12),Database!$A:$AS,MATCH($G$1,Database!$A$1:$AS$1,),))))</f>
        <v>-1.9861746665368437E-2</v>
      </c>
      <c r="H290" s="13">
        <f>((((VLOOKUP(B290,Database!$A:$AS,MATCH($H$1,Database!$A$1:$AS$1,),))))-(((VLOOKUP(EDATE(B290,-12),Database!$A:$AS,MATCH($H$1,Database!$A$1:$AS$1,),)))))/(((VLOOKUP(EDATE(B290,-12),Database!$A:$AS,MATCH($H$1,Database!$A$1:$AS$1,),))))</f>
        <v>1.1890606396081356E-3</v>
      </c>
      <c r="I290" s="13">
        <f>((((VLOOKUP(B290,Database!$A:$AS,MATCH($I$1,Database!$A$1:$AS$1,),))))-(((VLOOKUP(EDATE(B290,-12),Database!$A:$AS,MATCH($I$1,Database!$A$1:$AS$1,),)))))/(((VLOOKUP(EDATE(B290,-12),Database!$A:$AS,MATCH($I$1,Database!$A$1:$AS$1,),))))</f>
        <v>-5.8664259923594378E-2</v>
      </c>
      <c r="J290" s="13">
        <f>((((VLOOKUP(B290,Database!$A:$AS,MATCH($J$1,Database!$A$1:$AS$1,),))))-(((VLOOKUP(EDATE(B290,-12),Database!$A:$AS,MATCH($J$1,Database!$A$1:$AS$1,),)))))/(((VLOOKUP(EDATE(B290,-12),Database!$A:$AS,MATCH($J$1,Database!$A$1:$AS$1,),))))</f>
        <v>-7.0429750500994648E-2</v>
      </c>
      <c r="K290" s="13">
        <f>((((VLOOKUP(B290,Database!$A:$AS,MATCH($K$1,Database!$A$1:$AS$1,),))))-(((VLOOKUP(EDATE(B290,-12),Database!$A:$AS,MATCH($K$1,Database!$A$1:$AS$1,),)))))/(((VLOOKUP(EDATE(B290,-12),Database!$A:$AS,MATCH($K$1,Database!$A$1:$AS$1,),))))</f>
        <v>-3.8461538460095347E-2</v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>3.241968693106205E-2</v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>3.9215686274509706E-2</v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>-2.5418011991053226E-2</v>
      </c>
      <c r="O290" s="13">
        <f>((((VLOOKUP(B290,Database!$A:$AS,MATCH($O$1,Database!$A$1:$AS$1,),))))-(((VLOOKUP(EDATE(B290,-12),Database!$A:$AS,MATCH($O$1,Database!$A$1:$AS$1,),)))))/(((VLOOKUP(EDATE(B290,-12),Database!$A:$AS,MATCH($O$1,Database!$A$1:$AS$1,),))))</f>
        <v>7.4599969043651253E-3</v>
      </c>
      <c r="P290" s="13">
        <f>((((VLOOKUP(B290,Database!$A:$AS,MATCH($P$1,Database!$A$1:$AS$1,),))))-(((VLOOKUP(EDATE(B290,-12),Database!$A:$AS,MATCH($P$1,Database!$A$1:$AS$1,),)))))/(((VLOOKUP(EDATE(B290,-12),Database!$A:$AS,MATCH($P$1,Database!$A$1:$AS$1,),))))</f>
        <v>8.3549262472802036E-3</v>
      </c>
      <c r="Q290" s="13">
        <f>((((VLOOKUP(B290,Database!$A:$AS,MATCH($Q$1,Database!$A$1:$AS$1,),))))-(((VLOOKUP(EDATE(B290,-12),Database!$A:$AS,MATCH($Q$1,Database!$A$1:$AS$1,),)))))/(((VLOOKUP(EDATE(B290,-12),Database!$A:$AS,MATCH($Q$1,Database!$A$1:$AS$1,),))))</f>
        <v>-6.2022900768585153E-2</v>
      </c>
      <c r="R290" s="13">
        <f>((((VLOOKUP(B290,Database!$A:$AS,MATCH($R$1,Database!$A$1:$AS$1,),))))-(((VLOOKUP(EDATE(B290,-12),Database!$A:$AS,MATCH($R$1,Database!$A$1:$AS$1,),)))))/(((VLOOKUP(EDATE(B290,-12),Database!$A:$AS,MATCH($R$1,Database!$A$1:$AS$1,),))))</f>
        <v>-8.1981981982087629E-2</v>
      </c>
      <c r="S290" s="13">
        <f>((((VLOOKUP(B290,Database!$A:$AS,MATCH($S$1,Database!$A$1:$AS$1,),))))-(((VLOOKUP(EDATE(B290,-12),Database!$A:$AS,MATCH($S$1,Database!$A$1:$AS$1,),)))))/(((VLOOKUP(EDATE(B290,-12),Database!$A:$AS,MATCH($S$1,Database!$A$1:$AS$1,),))))</f>
        <v>1.0090817353715396E-2</v>
      </c>
      <c r="T290" s="13">
        <f>((((VLOOKUP(B290,Database!$A:$AS,MATCH($T$1,Database!$A$1:$AS$1,),))))-(((VLOOKUP(EDATE(B290,-12),Database!$A:$AS,MATCH($T$1,Database!$A$1:$AS$1,),)))))/(((VLOOKUP(EDATE(B290,-12),Database!$A:$AS,MATCH($T$1,Database!$A$1:$AS$1,),))))</f>
        <v>6.7096774196295783E-2</v>
      </c>
      <c r="U290" s="13">
        <f>((((VLOOKUP(B290,Database!$A:$AS,MATCH($U$1,Database!$A$1:$AS$1,),))))-(((VLOOKUP(EDATE(B290,-12),Database!$A:$AS,MATCH($U$1,Database!$A$1:$AS$1,),)))))/(((VLOOKUP(EDATE(B290,-12),Database!$A:$AS,MATCH($U$1,Database!$A$1:$AS$1,),))))</f>
        <v>1.9867549669020372E-2</v>
      </c>
      <c r="V290" s="13">
        <f>((((VLOOKUP(B290,Database!$A:$AS,MATCH($V$1,Database!$A$1:$AS$1,),))))-(((VLOOKUP(EDATE(B290,-12),Database!$A:$AS,MATCH($V$1,Database!$A$1:$AS$1,),)))))/(((VLOOKUP(EDATE(B290,-12),Database!$A:$AS,MATCH($V$1,Database!$A$1:$AS$1,),))))</f>
        <v>3.4403669724770644E-2</v>
      </c>
    </row>
    <row r="291" spans="1:22" s="83" customFormat="1" x14ac:dyDescent="0.2">
      <c r="A291" s="43"/>
      <c r="B291" s="78">
        <v>41000</v>
      </c>
      <c r="C291" s="13">
        <f>((((VLOOKUP(B291,Database!$A:$AS,MATCH($C$1,Database!$A$1:$AS$1,),))))-(((VLOOKUP(EDATE(B291,-12),Database!$A:$AS,MATCH($C$1,Database!$A$1:$AS$1,),)))))/(((VLOOKUP(EDATE(B291,-12),Database!$A:$AS,MATCH($C$1,Database!$A$1:$AS$1,),))))</f>
        <v>3.8556644482160569E-2</v>
      </c>
      <c r="D291" s="13">
        <f>((((VLOOKUP(B291,Database!$A:$AS,MATCH($D$1,Database!$A$1:$AS$1,),))))-(((VLOOKUP(EDATE(B291,-12),Database!$A:$AS,MATCH($D$1,Database!$A$1:$AS$1,),)))))/(((VLOOKUP(EDATE(B291,-12),Database!$A:$AS,MATCH($D$1,Database!$A$1:$AS$1,),))))</f>
        <v>-2.3046092184368708E-2</v>
      </c>
      <c r="E291" s="13">
        <f>((((VLOOKUP(B291,Database!$A:$AS,MATCH($E$1,Database!$A$1:$AS$1,),))))-(((VLOOKUP(EDATE(B291,-12),Database!$A:$AS,MATCH($E$1,Database!$A$1:$AS$1,),)))))/(((VLOOKUP(EDATE(B291,-12),Database!$A:$AS,MATCH($E$1,Database!$A$1:$AS$1,),))))</f>
        <v>0.14106939704530883</v>
      </c>
      <c r="F291" s="13">
        <f>((((VLOOKUP(B291,Database!$A:$AS,MATCH($F$1,Database!$A$1:$AS$1,),))))-(((VLOOKUP(EDATE(B291,-12),Database!$A:$AS,MATCH($F$1,Database!$A$1:$AS$1,),)))))/(((VLOOKUP(EDATE(B291,-12),Database!$A:$AS,MATCH($F$1,Database!$A$1:$AS$1,),))))</f>
        <v>-9.2307692282126968E-3</v>
      </c>
      <c r="G291" s="13">
        <f>((((VLOOKUP(B291,Database!$A:$AS,MATCH($G$1,Database!$A$1:$AS$1,),))))-(((VLOOKUP(EDATE(B291,-12),Database!$A:$AS,MATCH($G$1,Database!$A$1:$AS$1,),)))))/(((VLOOKUP(EDATE(B291,-12),Database!$A:$AS,MATCH($G$1,Database!$A$1:$AS$1,),))))</f>
        <v>9.9039318609538639E-5</v>
      </c>
      <c r="H291" s="13">
        <f>((((VLOOKUP(B291,Database!$A:$AS,MATCH($H$1,Database!$A$1:$AS$1,),))))-(((VLOOKUP(EDATE(B291,-12),Database!$A:$AS,MATCH($H$1,Database!$A$1:$AS$1,),)))))/(((VLOOKUP(EDATE(B291,-12),Database!$A:$AS,MATCH($H$1,Database!$A$1:$AS$1,),))))</f>
        <v>1.3095238089980126E-2</v>
      </c>
      <c r="I291" s="13">
        <f>((((VLOOKUP(B291,Database!$A:$AS,MATCH($I$1,Database!$A$1:$AS$1,),))))-(((VLOOKUP(EDATE(B291,-12),Database!$A:$AS,MATCH($I$1,Database!$A$1:$AS$1,),)))))/(((VLOOKUP(EDATE(B291,-12),Database!$A:$AS,MATCH($I$1,Database!$A$1:$AS$1,),))))</f>
        <v>-8.1322609474045404E-2</v>
      </c>
      <c r="J291" s="13">
        <f>((((VLOOKUP(B291,Database!$A:$AS,MATCH($J$1,Database!$A$1:$AS$1,),))))-(((VLOOKUP(EDATE(B291,-12),Database!$A:$AS,MATCH($J$1,Database!$A$1:$AS$1,),)))))/(((VLOOKUP(EDATE(B291,-12),Database!$A:$AS,MATCH($J$1,Database!$A$1:$AS$1,),))))</f>
        <v>-7.5515397596834191E-2</v>
      </c>
      <c r="K291" s="13">
        <f>((((VLOOKUP(B291,Database!$A:$AS,MATCH($K$1,Database!$A$1:$AS$1,),))))-(((VLOOKUP(EDATE(B291,-12),Database!$A:$AS,MATCH($K$1,Database!$A$1:$AS$1,),)))))/(((VLOOKUP(EDATE(B291,-12),Database!$A:$AS,MATCH($K$1,Database!$A$1:$AS$1,),))))</f>
        <v>-3.0160226202593669E-2</v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>3.7977316906181773E-2</v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>2.8506271379703532E-2</v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>-2.4138598837705808E-2</v>
      </c>
      <c r="O291" s="13">
        <f>((((VLOOKUP(B291,Database!$A:$AS,MATCH($O$1,Database!$A$1:$AS$1,),))))-(((VLOOKUP(EDATE(B291,-12),Database!$A:$AS,MATCH($O$1,Database!$A$1:$AS$1,),)))))/(((VLOOKUP(EDATE(B291,-12),Database!$A:$AS,MATCH($O$1,Database!$A$1:$AS$1,),))))</f>
        <v>1.2574225822514372E-2</v>
      </c>
      <c r="P291" s="13">
        <f>((((VLOOKUP(B291,Database!$A:$AS,MATCH($P$1,Database!$A$1:$AS$1,),))))-(((VLOOKUP(EDATE(B291,-12),Database!$A:$AS,MATCH($P$1,Database!$A$1:$AS$1,),)))))/(((VLOOKUP(EDATE(B291,-12),Database!$A:$AS,MATCH($P$1,Database!$A$1:$AS$1,),))))</f>
        <v>3.3858365375244802E-2</v>
      </c>
      <c r="Q291" s="13">
        <f>((((VLOOKUP(B291,Database!$A:$AS,MATCH($Q$1,Database!$A$1:$AS$1,),))))-(((VLOOKUP(EDATE(B291,-12),Database!$A:$AS,MATCH($Q$1,Database!$A$1:$AS$1,),)))))/(((VLOOKUP(EDATE(B291,-12),Database!$A:$AS,MATCH($Q$1,Database!$A$1:$AS$1,),))))</f>
        <v>-3.5259549457714118E-2</v>
      </c>
      <c r="R291" s="13">
        <f>((((VLOOKUP(B291,Database!$A:$AS,MATCH($R$1,Database!$A$1:$AS$1,),))))-(((VLOOKUP(EDATE(B291,-12),Database!$A:$AS,MATCH($R$1,Database!$A$1:$AS$1,),)))))/(((VLOOKUP(EDATE(B291,-12),Database!$A:$AS,MATCH($R$1,Database!$A$1:$AS$1,),))))</f>
        <v>-4.283054003585525E-2</v>
      </c>
      <c r="S291" s="13">
        <f>((((VLOOKUP(B291,Database!$A:$AS,MATCH($S$1,Database!$A$1:$AS$1,),))))-(((VLOOKUP(EDATE(B291,-12),Database!$A:$AS,MATCH($S$1,Database!$A$1:$AS$1,),)))))/(((VLOOKUP(EDATE(B291,-12),Database!$A:$AS,MATCH($S$1,Database!$A$1:$AS$1,),))))</f>
        <v>-3.6779324059353823E-2</v>
      </c>
      <c r="T291" s="13">
        <f>((((VLOOKUP(B291,Database!$A:$AS,MATCH($T$1,Database!$A$1:$AS$1,),))))-(((VLOOKUP(EDATE(B291,-12),Database!$A:$AS,MATCH($T$1,Database!$A$1:$AS$1,),)))))/(((VLOOKUP(EDATE(B291,-12),Database!$A:$AS,MATCH($T$1,Database!$A$1:$AS$1,),))))</f>
        <v>8.139534884096547E-2</v>
      </c>
      <c r="U291" s="13">
        <f>((((VLOOKUP(B291,Database!$A:$AS,MATCH($U$1,Database!$A$1:$AS$1,),))))-(((VLOOKUP(EDATE(B291,-12),Database!$A:$AS,MATCH($U$1,Database!$A$1:$AS$1,),)))))/(((VLOOKUP(EDATE(B291,-12),Database!$A:$AS,MATCH($U$1,Database!$A$1:$AS$1,),))))</f>
        <v>1.4285714280847031E-2</v>
      </c>
      <c r="V291" s="13">
        <f>((((VLOOKUP(B291,Database!$A:$AS,MATCH($V$1,Database!$A$1:$AS$1,),))))-(((VLOOKUP(EDATE(B291,-12),Database!$A:$AS,MATCH($V$1,Database!$A$1:$AS$1,),)))))/(((VLOOKUP(EDATE(B291,-12),Database!$A:$AS,MATCH($V$1,Database!$A$1:$AS$1,),))))</f>
        <v>2.7272727272727337E-2</v>
      </c>
    </row>
    <row r="292" spans="1:22" s="83" customFormat="1" x14ac:dyDescent="0.2">
      <c r="A292" s="43"/>
      <c r="B292" s="78">
        <v>41030</v>
      </c>
      <c r="C292" s="13">
        <f>((((VLOOKUP(B292,Database!$A:$AS,MATCH($C$1,Database!$A$1:$AS$1,),))))-(((VLOOKUP(EDATE(B292,-12),Database!$A:$AS,MATCH($C$1,Database!$A$1:$AS$1,),)))))/(((VLOOKUP(EDATE(B292,-12),Database!$A:$AS,MATCH($C$1,Database!$A$1:$AS$1,),))))</f>
        <v>3.8550224293240495E-2</v>
      </c>
      <c r="D292" s="13">
        <f>((((VLOOKUP(B292,Database!$A:$AS,MATCH($D$1,Database!$A$1:$AS$1,),))))-(((VLOOKUP(EDATE(B292,-12),Database!$A:$AS,MATCH($D$1,Database!$A$1:$AS$1,),)))))/(((VLOOKUP(EDATE(B292,-12),Database!$A:$AS,MATCH($D$1,Database!$A$1:$AS$1,),))))</f>
        <v>-2.0916334661354664E-2</v>
      </c>
      <c r="E292" s="13">
        <f>((((VLOOKUP(B292,Database!$A:$AS,MATCH($E$1,Database!$A$1:$AS$1,),))))-(((VLOOKUP(EDATE(B292,-12),Database!$A:$AS,MATCH($E$1,Database!$A$1:$AS$1,),)))))/(((VLOOKUP(EDATE(B292,-12),Database!$A:$AS,MATCH($E$1,Database!$A$1:$AS$1,),))))</f>
        <v>5.1227321238237693E-2</v>
      </c>
      <c r="F292" s="13">
        <f>((((VLOOKUP(B292,Database!$A:$AS,MATCH($F$1,Database!$A$1:$AS$1,),))))-(((VLOOKUP(EDATE(B292,-12),Database!$A:$AS,MATCH($F$1,Database!$A$1:$AS$1,),)))))/(((VLOOKUP(EDATE(B292,-12),Database!$A:$AS,MATCH($F$1,Database!$A$1:$AS$1,),))))</f>
        <v>-2.0263424445649161E-3</v>
      </c>
      <c r="G292" s="13">
        <f>((((VLOOKUP(B292,Database!$A:$AS,MATCH($G$1,Database!$A$1:$AS$1,),))))-(((VLOOKUP(EDATE(B292,-12),Database!$A:$AS,MATCH($G$1,Database!$A$1:$AS$1,),)))))/(((VLOOKUP(EDATE(B292,-12),Database!$A:$AS,MATCH($G$1,Database!$A$1:$AS$1,),))))</f>
        <v>-4.5554809628848184E-2</v>
      </c>
      <c r="H292" s="13">
        <f>((((VLOOKUP(B292,Database!$A:$AS,MATCH($H$1,Database!$A$1:$AS$1,),))))-(((VLOOKUP(EDATE(B292,-12),Database!$A:$AS,MATCH($H$1,Database!$A$1:$AS$1,),)))))/(((VLOOKUP(EDATE(B292,-12),Database!$A:$AS,MATCH($H$1,Database!$A$1:$AS$1,),))))</f>
        <v>1.4067995313926947E-2</v>
      </c>
      <c r="I292" s="13">
        <f>((((VLOOKUP(B292,Database!$A:$AS,MATCH($I$1,Database!$A$1:$AS$1,),))))-(((VLOOKUP(EDATE(B292,-12),Database!$A:$AS,MATCH($I$1,Database!$A$1:$AS$1,),)))))/(((VLOOKUP(EDATE(B292,-12),Database!$A:$AS,MATCH($I$1,Database!$A$1:$AS$1,),))))</f>
        <v>-4.9225159521483985E-2</v>
      </c>
      <c r="J292" s="13">
        <f>((((VLOOKUP(B292,Database!$A:$AS,MATCH($J$1,Database!$A$1:$AS$1,),))))-(((VLOOKUP(EDATE(B292,-12),Database!$A:$AS,MATCH($J$1,Database!$A$1:$AS$1,),)))))/(((VLOOKUP(EDATE(B292,-12),Database!$A:$AS,MATCH($J$1,Database!$A$1:$AS$1,),))))</f>
        <v>-5.8592361271612874E-2</v>
      </c>
      <c r="K292" s="13">
        <f>((((VLOOKUP(B292,Database!$A:$AS,MATCH($K$1,Database!$A$1:$AS$1,),))))-(((VLOOKUP(EDATE(B292,-12),Database!$A:$AS,MATCH($K$1,Database!$A$1:$AS$1,),)))))/(((VLOOKUP(EDATE(B292,-12),Database!$A:$AS,MATCH($K$1,Database!$A$1:$AS$1,),))))</f>
        <v>-9.3283582063443944E-4</v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>3.0589335103575858E-2</v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>3.5347776510832318E-2</v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>2.4444141537782543E-2</v>
      </c>
      <c r="O292" s="13">
        <f>((((VLOOKUP(B292,Database!$A:$AS,MATCH($O$1,Database!$A$1:$AS$1,),))))-(((VLOOKUP(EDATE(B292,-12),Database!$A:$AS,MATCH($O$1,Database!$A$1:$AS$1,),)))))/(((VLOOKUP(EDATE(B292,-12),Database!$A:$AS,MATCH($O$1,Database!$A$1:$AS$1,),))))</f>
        <v>3.0036831884444372E-2</v>
      </c>
      <c r="P292" s="13">
        <f>((((VLOOKUP(B292,Database!$A:$AS,MATCH($P$1,Database!$A$1:$AS$1,),))))-(((VLOOKUP(EDATE(B292,-12),Database!$A:$AS,MATCH($P$1,Database!$A$1:$AS$1,),)))))/(((VLOOKUP(EDATE(B292,-12),Database!$A:$AS,MATCH($P$1,Database!$A$1:$AS$1,),))))</f>
        <v>3.4374011290769668E-2</v>
      </c>
      <c r="Q292" s="13">
        <f>((((VLOOKUP(B292,Database!$A:$AS,MATCH($Q$1,Database!$A$1:$AS$1,),))))-(((VLOOKUP(EDATE(B292,-12),Database!$A:$AS,MATCH($Q$1,Database!$A$1:$AS$1,),)))))/(((VLOOKUP(EDATE(B292,-12),Database!$A:$AS,MATCH($Q$1,Database!$A$1:$AS$1,),))))</f>
        <v>-5.8991436720513213E-2</v>
      </c>
      <c r="R292" s="13">
        <f>((((VLOOKUP(B292,Database!$A:$AS,MATCH($R$1,Database!$A$1:$AS$1,),))))-(((VLOOKUP(EDATE(B292,-12),Database!$A:$AS,MATCH($R$1,Database!$A$1:$AS$1,),)))))/(((VLOOKUP(EDATE(B292,-12),Database!$A:$AS,MATCH($R$1,Database!$A$1:$AS$1,),))))</f>
        <v>-2.8545119697514075E-2</v>
      </c>
      <c r="S292" s="13">
        <f>((((VLOOKUP(B292,Database!$A:$AS,MATCH($S$1,Database!$A$1:$AS$1,),))))-(((VLOOKUP(EDATE(B292,-12),Database!$A:$AS,MATCH($S$1,Database!$A$1:$AS$1,),)))))/(((VLOOKUP(EDATE(B292,-12),Database!$A:$AS,MATCH($S$1,Database!$A$1:$AS$1,),))))</f>
        <v>4.9701789252329801E-3</v>
      </c>
      <c r="T292" s="13">
        <f>((((VLOOKUP(B292,Database!$A:$AS,MATCH($T$1,Database!$A$1:$AS$1,),))))-(((VLOOKUP(EDATE(B292,-12),Database!$A:$AS,MATCH($T$1,Database!$A$1:$AS$1,),)))))/(((VLOOKUP(EDATE(B292,-12),Database!$A:$AS,MATCH($T$1,Database!$A$1:$AS$1,),))))</f>
        <v>7.4168797955043497E-2</v>
      </c>
      <c r="U292" s="13">
        <f>((((VLOOKUP(B292,Database!$A:$AS,MATCH($U$1,Database!$A$1:$AS$1,),))))-(((VLOOKUP(EDATE(B292,-12),Database!$A:$AS,MATCH($U$1,Database!$A$1:$AS$1,),)))))/(((VLOOKUP(EDATE(B292,-12),Database!$A:$AS,MATCH($U$1,Database!$A$1:$AS$1,),))))</f>
        <v>-4.3057050651948217E-3</v>
      </c>
      <c r="V292" s="13">
        <f>((((VLOOKUP(B292,Database!$A:$AS,MATCH($V$1,Database!$A$1:$AS$1,),))))-(((VLOOKUP(EDATE(B292,-12),Database!$A:$AS,MATCH($V$1,Database!$A$1:$AS$1,),)))))/(((VLOOKUP(EDATE(B292,-12),Database!$A:$AS,MATCH($V$1,Database!$A$1:$AS$1,),))))</f>
        <v>4.1950113378684838E-2</v>
      </c>
    </row>
    <row r="293" spans="1:22" s="83" customFormat="1" x14ac:dyDescent="0.2">
      <c r="A293" s="43"/>
      <c r="B293" s="78">
        <v>41061</v>
      </c>
      <c r="C293" s="13">
        <f>((((VLOOKUP(B293,Database!$A:$AS,MATCH($C$1,Database!$A$1:$AS$1,),))))-(((VLOOKUP(EDATE(B293,-12),Database!$A:$AS,MATCH($C$1,Database!$A$1:$AS$1,),)))))/(((VLOOKUP(EDATE(B293,-12),Database!$A:$AS,MATCH($C$1,Database!$A$1:$AS$1,),))))</f>
        <v>3.585397792243511E-2</v>
      </c>
      <c r="D293" s="13">
        <f>((((VLOOKUP(B293,Database!$A:$AS,MATCH($D$1,Database!$A$1:$AS$1,),))))-(((VLOOKUP(EDATE(B293,-12),Database!$A:$AS,MATCH($D$1,Database!$A$1:$AS$1,),)))))/(((VLOOKUP(EDATE(B293,-12),Database!$A:$AS,MATCH($D$1,Database!$A$1:$AS$1,),))))</f>
        <v>-1.6161616161616103E-2</v>
      </c>
      <c r="E293" s="13">
        <f>((((VLOOKUP(B293,Database!$A:$AS,MATCH($E$1,Database!$A$1:$AS$1,),))))-(((VLOOKUP(EDATE(B293,-12),Database!$A:$AS,MATCH($E$1,Database!$A$1:$AS$1,),)))))/(((VLOOKUP(EDATE(B293,-12),Database!$A:$AS,MATCH($E$1,Database!$A$1:$AS$1,),))))</f>
        <v>3.0769230831953296E-3</v>
      </c>
      <c r="F293" s="13">
        <f>((((VLOOKUP(B293,Database!$A:$AS,MATCH($F$1,Database!$A$1:$AS$1,),))))-(((VLOOKUP(EDATE(B293,-12),Database!$A:$AS,MATCH($F$1,Database!$A$1:$AS$1,),)))))/(((VLOOKUP(EDATE(B293,-12),Database!$A:$AS,MATCH($F$1,Database!$A$1:$AS$1,),))))</f>
        <v>2.0597322273632232E-3</v>
      </c>
      <c r="G293" s="13">
        <f>((((VLOOKUP(B293,Database!$A:$AS,MATCH($G$1,Database!$A$1:$AS$1,),))))-(((VLOOKUP(EDATE(B293,-12),Database!$A:$AS,MATCH($G$1,Database!$A$1:$AS$1,),)))))/(((VLOOKUP(EDATE(B293,-12),Database!$A:$AS,MATCH($G$1,Database!$A$1:$AS$1,),))))</f>
        <v>-2.6805952498275342E-2</v>
      </c>
      <c r="H293" s="13">
        <f>((((VLOOKUP(B293,Database!$A:$AS,MATCH($H$1,Database!$A$1:$AS$1,),))))-(((VLOOKUP(EDATE(B293,-12),Database!$A:$AS,MATCH($H$1,Database!$A$1:$AS$1,),)))))/(((VLOOKUP(EDATE(B293,-12),Database!$A:$AS,MATCH($H$1,Database!$A$1:$AS$1,),))))</f>
        <v>-6.9930069892177333E-3</v>
      </c>
      <c r="I293" s="13">
        <f>((((VLOOKUP(B293,Database!$A:$AS,MATCH($I$1,Database!$A$1:$AS$1,),))))-(((VLOOKUP(EDATE(B293,-12),Database!$A:$AS,MATCH($I$1,Database!$A$1:$AS$1,),)))))/(((VLOOKUP(EDATE(B293,-12),Database!$A:$AS,MATCH($I$1,Database!$A$1:$AS$1,),))))</f>
        <v>-6.1524334249962537E-2</v>
      </c>
      <c r="J293" s="13">
        <f>((((VLOOKUP(B293,Database!$A:$AS,MATCH($J$1,Database!$A$1:$AS$1,),))))-(((VLOOKUP(EDATE(B293,-12),Database!$A:$AS,MATCH($J$1,Database!$A$1:$AS$1,),)))))/(((VLOOKUP(EDATE(B293,-12),Database!$A:$AS,MATCH($J$1,Database!$A$1:$AS$1,),))))</f>
        <v>-6.5750538667200112E-2</v>
      </c>
      <c r="K293" s="13">
        <f>((((VLOOKUP(B293,Database!$A:$AS,MATCH($K$1,Database!$A$1:$AS$1,),))))-(((VLOOKUP(EDATE(B293,-12),Database!$A:$AS,MATCH($K$1,Database!$A$1:$AS$1,),)))))/(((VLOOKUP(EDATE(B293,-12),Database!$A:$AS,MATCH($K$1,Database!$A$1:$AS$1,),))))</f>
        <v>1.0617760614788693E-2</v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>4.0482081358045666E-2</v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>3.0612244897959214E-2</v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>-2.3073504863378374E-2</v>
      </c>
      <c r="O293" s="13">
        <f>((((VLOOKUP(B293,Database!$A:$AS,MATCH($O$1,Database!$A$1:$AS$1,),))))-(((VLOOKUP(EDATE(B293,-12),Database!$A:$AS,MATCH($O$1,Database!$A$1:$AS$1,),)))))/(((VLOOKUP(EDATE(B293,-12),Database!$A:$AS,MATCH($O$1,Database!$A$1:$AS$1,),))))</f>
        <v>1.7783286025477799E-2</v>
      </c>
      <c r="P293" s="13">
        <f>((((VLOOKUP(B293,Database!$A:$AS,MATCH($P$1,Database!$A$1:$AS$1,),))))-(((VLOOKUP(EDATE(B293,-12),Database!$A:$AS,MATCH($P$1,Database!$A$1:$AS$1,),)))))/(((VLOOKUP(EDATE(B293,-12),Database!$A:$AS,MATCH($P$1,Database!$A$1:$AS$1,),))))</f>
        <v>6.6120556114683824E-3</v>
      </c>
      <c r="Q293" s="13">
        <f>((((VLOOKUP(B293,Database!$A:$AS,MATCH($Q$1,Database!$A$1:$AS$1,),))))-(((VLOOKUP(EDATE(B293,-12),Database!$A:$AS,MATCH($Q$1,Database!$A$1:$AS$1,),)))))/(((VLOOKUP(EDATE(B293,-12),Database!$A:$AS,MATCH($Q$1,Database!$A$1:$AS$1,),))))</f>
        <v>-3.6964980546191004E-2</v>
      </c>
      <c r="R293" s="13">
        <f>((((VLOOKUP(B293,Database!$A:$AS,MATCH($R$1,Database!$A$1:$AS$1,),))))-(((VLOOKUP(EDATE(B293,-12),Database!$A:$AS,MATCH($R$1,Database!$A$1:$AS$1,),)))))/(((VLOOKUP(EDATE(B293,-12),Database!$A:$AS,MATCH($R$1,Database!$A$1:$AS$1,),))))</f>
        <v>-1.9212295910468029E-3</v>
      </c>
      <c r="S293" s="13">
        <f>((((VLOOKUP(B293,Database!$A:$AS,MATCH($S$1,Database!$A$1:$AS$1,),))))-(((VLOOKUP(EDATE(B293,-12),Database!$A:$AS,MATCH($S$1,Database!$A$1:$AS$1,),)))))/(((VLOOKUP(EDATE(B293,-12),Database!$A:$AS,MATCH($S$1,Database!$A$1:$AS$1,),))))</f>
        <v>8.1135902649005793E-3</v>
      </c>
      <c r="T293" s="13">
        <f>((((VLOOKUP(B293,Database!$A:$AS,MATCH($T$1,Database!$A$1:$AS$1,),))))-(((VLOOKUP(EDATE(B293,-12),Database!$A:$AS,MATCH($T$1,Database!$A$1:$AS$1,),)))))/(((VLOOKUP(EDATE(B293,-12),Database!$A:$AS,MATCH($T$1,Database!$A$1:$AS$1,),))))</f>
        <v>4.6424090334125881E-2</v>
      </c>
      <c r="U293" s="13">
        <f>((((VLOOKUP(B293,Database!$A:$AS,MATCH($U$1,Database!$A$1:$AS$1,),))))-(((VLOOKUP(EDATE(B293,-12),Database!$A:$AS,MATCH($U$1,Database!$A$1:$AS$1,),)))))/(((VLOOKUP(EDATE(B293,-12),Database!$A:$AS,MATCH($U$1,Database!$A$1:$AS$1,),))))</f>
        <v>1.0845986972815693E-3</v>
      </c>
      <c r="V293" s="13">
        <f>((((VLOOKUP(B293,Database!$A:$AS,MATCH($V$1,Database!$A$1:$AS$1,),))))-(((VLOOKUP(EDATE(B293,-12),Database!$A:$AS,MATCH($V$1,Database!$A$1:$AS$1,),)))))/(((VLOOKUP(EDATE(B293,-12),Database!$A:$AS,MATCH($V$1,Database!$A$1:$AS$1,),))))</f>
        <v>3.4207525655644243E-2</v>
      </c>
    </row>
    <row r="294" spans="1:22" s="83" customFormat="1" x14ac:dyDescent="0.2">
      <c r="A294" s="43"/>
      <c r="B294" s="78">
        <v>41091</v>
      </c>
      <c r="C294" s="13">
        <f>((((VLOOKUP(B294,Database!$A:$AS,MATCH($C$1,Database!$A$1:$AS$1,),))))-(((VLOOKUP(EDATE(B294,-12),Database!$A:$AS,MATCH($C$1,Database!$A$1:$AS$1,),)))))/(((VLOOKUP(EDATE(B294,-12),Database!$A:$AS,MATCH($C$1,Database!$A$1:$AS$1,),))))</f>
        <v>3.2673243259036665E-2</v>
      </c>
      <c r="D294" s="13">
        <f>((((VLOOKUP(B294,Database!$A:$AS,MATCH($D$1,Database!$A$1:$AS$1,),))))-(((VLOOKUP(EDATE(B294,-12),Database!$A:$AS,MATCH($D$1,Database!$A$1:$AS$1,),)))))/(((VLOOKUP(EDATE(B294,-12),Database!$A:$AS,MATCH($D$1,Database!$A$1:$AS$1,),))))</f>
        <v>-2.2999999999999972E-2</v>
      </c>
      <c r="E294" s="13">
        <f>((((VLOOKUP(B294,Database!$A:$AS,MATCH($E$1,Database!$A$1:$AS$1,),))))-(((VLOOKUP(EDATE(B294,-12),Database!$A:$AS,MATCH($E$1,Database!$A$1:$AS$1,),)))))/(((VLOOKUP(EDATE(B294,-12),Database!$A:$AS,MATCH($E$1,Database!$A$1:$AS$1,),))))</f>
        <v>-1.1178861788315975E-2</v>
      </c>
      <c r="F294" s="13">
        <f>((((VLOOKUP(B294,Database!$A:$AS,MATCH($F$1,Database!$A$1:$AS$1,),))))-(((VLOOKUP(EDATE(B294,-12),Database!$A:$AS,MATCH($F$1,Database!$A$1:$AS$1,),)))))/(((VLOOKUP(EDATE(B294,-12),Database!$A:$AS,MATCH($F$1,Database!$A$1:$AS$1,),))))</f>
        <v>-1.6983016981709446E-2</v>
      </c>
      <c r="G294" s="13">
        <f>((((VLOOKUP(B294,Database!$A:$AS,MATCH($G$1,Database!$A$1:$AS$1,),))))-(((VLOOKUP(EDATE(B294,-12),Database!$A:$AS,MATCH($G$1,Database!$A$1:$AS$1,),)))))/(((VLOOKUP(EDATE(B294,-12),Database!$A:$AS,MATCH($G$1,Database!$A$1:$AS$1,),))))</f>
        <v>-3.042121684867399E-2</v>
      </c>
      <c r="H294" s="13">
        <f>((((VLOOKUP(B294,Database!$A:$AS,MATCH($H$1,Database!$A$1:$AS$1,),))))-(((VLOOKUP(EDATE(B294,-12),Database!$A:$AS,MATCH($H$1,Database!$A$1:$AS$1,),)))))/(((VLOOKUP(EDATE(B294,-12),Database!$A:$AS,MATCH($H$1,Database!$A$1:$AS$1,),))))</f>
        <v>2.6869158876486995E-2</v>
      </c>
      <c r="I294" s="13">
        <f>((((VLOOKUP(B294,Database!$A:$AS,MATCH($I$1,Database!$A$1:$AS$1,),))))-(((VLOOKUP(EDATE(B294,-12),Database!$A:$AS,MATCH($I$1,Database!$A$1:$AS$1,),)))))/(((VLOOKUP(EDATE(B294,-12),Database!$A:$AS,MATCH($I$1,Database!$A$1:$AS$1,),))))</f>
        <v>-4.8847926265913368E-2</v>
      </c>
      <c r="J294" s="13">
        <f>((((VLOOKUP(B294,Database!$A:$AS,MATCH($J$1,Database!$A$1:$AS$1,),))))-(((VLOOKUP(EDATE(B294,-12),Database!$A:$AS,MATCH($J$1,Database!$A$1:$AS$1,),)))))/(((VLOOKUP(EDATE(B294,-12),Database!$A:$AS,MATCH($J$1,Database!$A$1:$AS$1,),))))</f>
        <v>-7.5435277026037015E-2</v>
      </c>
      <c r="K294" s="13">
        <f>((((VLOOKUP(B294,Database!$A:$AS,MATCH($K$1,Database!$A$1:$AS$1,),))))-(((VLOOKUP(EDATE(B294,-12),Database!$A:$AS,MATCH($K$1,Database!$A$1:$AS$1,),)))))/(((VLOOKUP(EDATE(B294,-12),Database!$A:$AS,MATCH($K$1,Database!$A$1:$AS$1,),))))</f>
        <v>-1.8814675450945752E-2</v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>3.3415321874427029E-2</v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>3.1638418079096016E-2</v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>-1.2630172628254966E-2</v>
      </c>
      <c r="O294" s="13">
        <f>((((VLOOKUP(B294,Database!$A:$AS,MATCH($O$1,Database!$A$1:$AS$1,),))))-(((VLOOKUP(EDATE(B294,-12),Database!$A:$AS,MATCH($O$1,Database!$A$1:$AS$1,),)))))/(((VLOOKUP(EDATE(B294,-12),Database!$A:$AS,MATCH($O$1,Database!$A$1:$AS$1,),))))</f>
        <v>-3.7212727048433485E-3</v>
      </c>
      <c r="P294" s="13">
        <f>((((VLOOKUP(B294,Database!$A:$AS,MATCH($P$1,Database!$A$1:$AS$1,),))))-(((VLOOKUP(EDATE(B294,-12),Database!$A:$AS,MATCH($P$1,Database!$A$1:$AS$1,),)))))/(((VLOOKUP(EDATE(B294,-12),Database!$A:$AS,MATCH($P$1,Database!$A$1:$AS$1,),))))</f>
        <v>-8.8295292334340456E-4</v>
      </c>
      <c r="Q294" s="13">
        <f>((((VLOOKUP(B294,Database!$A:$AS,MATCH($Q$1,Database!$A$1:$AS$1,),))))-(((VLOOKUP(EDATE(B294,-12),Database!$A:$AS,MATCH($Q$1,Database!$A$1:$AS$1,),)))))/(((VLOOKUP(EDATE(B294,-12),Database!$A:$AS,MATCH($Q$1,Database!$A$1:$AS$1,),))))</f>
        <v>-2.5218234720519012E-2</v>
      </c>
      <c r="R294" s="13">
        <f>((((VLOOKUP(B294,Database!$A:$AS,MATCH($R$1,Database!$A$1:$AS$1,),))))-(((VLOOKUP(EDATE(B294,-12),Database!$A:$AS,MATCH($R$1,Database!$A$1:$AS$1,),)))))/(((VLOOKUP(EDATE(B294,-12),Database!$A:$AS,MATCH($R$1,Database!$A$1:$AS$1,),))))</f>
        <v>-4.0540540541881262E-2</v>
      </c>
      <c r="S294" s="13">
        <f>((((VLOOKUP(B294,Database!$A:$AS,MATCH($S$1,Database!$A$1:$AS$1,),))))-(((VLOOKUP(EDATE(B294,-12),Database!$A:$AS,MATCH($S$1,Database!$A$1:$AS$1,),)))))/(((VLOOKUP(EDATE(B294,-12),Database!$A:$AS,MATCH($S$1,Database!$A$1:$AS$1,),))))</f>
        <v>5.7173678521831459E-2</v>
      </c>
      <c r="T294" s="13">
        <f>((((VLOOKUP(B294,Database!$A:$AS,MATCH($T$1,Database!$A$1:$AS$1,),))))-(((VLOOKUP(EDATE(B294,-12),Database!$A:$AS,MATCH($T$1,Database!$A$1:$AS$1,),)))))/(((VLOOKUP(EDATE(B294,-12),Database!$A:$AS,MATCH($T$1,Database!$A$1:$AS$1,),))))</f>
        <v>3.6945812810035575E-2</v>
      </c>
      <c r="U294" s="13">
        <f>((((VLOOKUP(B294,Database!$A:$AS,MATCH($U$1,Database!$A$1:$AS$1,),))))-(((VLOOKUP(EDATE(B294,-12),Database!$A:$AS,MATCH($U$1,Database!$A$1:$AS$1,),)))))/(((VLOOKUP(EDATE(B294,-12),Database!$A:$AS,MATCH($U$1,Database!$A$1:$AS$1,),))))</f>
        <v>1.762114537706962E-2</v>
      </c>
      <c r="V294" s="13">
        <f>((((VLOOKUP(B294,Database!$A:$AS,MATCH($V$1,Database!$A$1:$AS$1,),))))-(((VLOOKUP(EDATE(B294,-12),Database!$A:$AS,MATCH($V$1,Database!$A$1:$AS$1,),)))))/(((VLOOKUP(EDATE(B294,-12),Database!$A:$AS,MATCH($V$1,Database!$A$1:$AS$1,),))))</f>
        <v>2.8344671201814057E-2</v>
      </c>
    </row>
    <row r="295" spans="1:22" s="83" customFormat="1" x14ac:dyDescent="0.2">
      <c r="A295" s="43"/>
      <c r="B295" s="78">
        <v>41122</v>
      </c>
      <c r="C295" s="13">
        <f>((((VLOOKUP(B295,Database!$A:$AS,MATCH($C$1,Database!$A$1:$AS$1,),))))-(((VLOOKUP(EDATE(B295,-12),Database!$A:$AS,MATCH($C$1,Database!$A$1:$AS$1,),)))))/(((VLOOKUP(EDATE(B295,-12),Database!$A:$AS,MATCH($C$1,Database!$A$1:$AS$1,),))))</f>
        <v>2.2317032797854332E-2</v>
      </c>
      <c r="D295" s="13">
        <f>((((VLOOKUP(B295,Database!$A:$AS,MATCH($D$1,Database!$A$1:$AS$1,),))))-(((VLOOKUP(EDATE(B295,-12),Database!$A:$AS,MATCH($D$1,Database!$A$1:$AS$1,),)))))/(((VLOOKUP(EDATE(B295,-12),Database!$A:$AS,MATCH($D$1,Database!$A$1:$AS$1,),))))</f>
        <v>-1.6983016983016869E-2</v>
      </c>
      <c r="E295" s="13">
        <f>((((VLOOKUP(B295,Database!$A:$AS,MATCH($E$1,Database!$A$1:$AS$1,),))))-(((VLOOKUP(EDATE(B295,-12),Database!$A:$AS,MATCH($E$1,Database!$A$1:$AS$1,),)))))/(((VLOOKUP(EDATE(B295,-12),Database!$A:$AS,MATCH($E$1,Database!$A$1:$AS$1,),))))</f>
        <v>-3.8038038034299108E-2</v>
      </c>
      <c r="F295" s="13">
        <f>((((VLOOKUP(B295,Database!$A:$AS,MATCH($F$1,Database!$A$1:$AS$1,),))))-(((VLOOKUP(EDATE(B295,-12),Database!$A:$AS,MATCH($F$1,Database!$A$1:$AS$1,),)))))/(((VLOOKUP(EDATE(B295,-12),Database!$A:$AS,MATCH($F$1,Database!$A$1:$AS$1,),))))</f>
        <v>-9.0634441162768687E-3</v>
      </c>
      <c r="G295" s="13">
        <f>((((VLOOKUP(B295,Database!$A:$AS,MATCH($G$1,Database!$A$1:$AS$1,),))))-(((VLOOKUP(EDATE(B295,-12),Database!$A:$AS,MATCH($G$1,Database!$A$1:$AS$1,),)))))/(((VLOOKUP(EDATE(B295,-12),Database!$A:$AS,MATCH($G$1,Database!$A$1:$AS$1,),))))</f>
        <v>-4.9159374692751118E-4</v>
      </c>
      <c r="H295" s="13">
        <f>((((VLOOKUP(B295,Database!$A:$AS,MATCH($H$1,Database!$A$1:$AS$1,),))))-(((VLOOKUP(EDATE(B295,-12),Database!$A:$AS,MATCH($H$1,Database!$A$1:$AS$1,),)))))/(((VLOOKUP(EDATE(B295,-12),Database!$A:$AS,MATCH($H$1,Database!$A$1:$AS$1,),))))</f>
        <v>2.2274325905542181E-2</v>
      </c>
      <c r="I295" s="13">
        <f>((((VLOOKUP(B295,Database!$A:$AS,MATCH($I$1,Database!$A$1:$AS$1,),))))-(((VLOOKUP(EDATE(B295,-12),Database!$A:$AS,MATCH($I$1,Database!$A$1:$AS$1,),)))))/(((VLOOKUP(EDATE(B295,-12),Database!$A:$AS,MATCH($I$1,Database!$A$1:$AS$1,),))))</f>
        <v>-4.8237476811091314E-2</v>
      </c>
      <c r="J295" s="13">
        <f>((((VLOOKUP(B295,Database!$A:$AS,MATCH($J$1,Database!$A$1:$AS$1,),))))-(((VLOOKUP(EDATE(B295,-12),Database!$A:$AS,MATCH($J$1,Database!$A$1:$AS$1,),)))))/(((VLOOKUP(EDATE(B295,-12),Database!$A:$AS,MATCH($J$1,Database!$A$1:$AS$1,),))))</f>
        <v>-5.1884268460645311E-2</v>
      </c>
      <c r="K295" s="13">
        <f>((((VLOOKUP(B295,Database!$A:$AS,MATCH($K$1,Database!$A$1:$AS$1,),))))-(((VLOOKUP(EDATE(B295,-12),Database!$A:$AS,MATCH($K$1,Database!$A$1:$AS$1,),)))))/(((VLOOKUP(EDATE(B295,-12),Database!$A:$AS,MATCH($K$1,Database!$A$1:$AS$1,),))))</f>
        <v>4.0579710143219413E-2</v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>2.3741402513781387E-2</v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>4.6590909090909023E-2</v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>6.0432006325318822E-3</v>
      </c>
      <c r="O295" s="13">
        <f>((((VLOOKUP(B295,Database!$A:$AS,MATCH($O$1,Database!$A$1:$AS$1,),))))-(((VLOOKUP(EDATE(B295,-12),Database!$A:$AS,MATCH($O$1,Database!$A$1:$AS$1,),)))))/(((VLOOKUP(EDATE(B295,-12),Database!$A:$AS,MATCH($O$1,Database!$A$1:$AS$1,),))))</f>
        <v>-2.406127132695627E-2</v>
      </c>
      <c r="P295" s="13">
        <f>((((VLOOKUP(B295,Database!$A:$AS,MATCH($P$1,Database!$A$1:$AS$1,),))))-(((VLOOKUP(EDATE(B295,-12),Database!$A:$AS,MATCH($P$1,Database!$A$1:$AS$1,),)))))/(((VLOOKUP(EDATE(B295,-12),Database!$A:$AS,MATCH($P$1,Database!$A$1:$AS$1,),))))</f>
        <v>-1.2590202641628006E-2</v>
      </c>
      <c r="Q295" s="13">
        <f>((((VLOOKUP(B295,Database!$A:$AS,MATCH($Q$1,Database!$A$1:$AS$1,),))))-(((VLOOKUP(EDATE(B295,-12),Database!$A:$AS,MATCH($Q$1,Database!$A$1:$AS$1,),)))))/(((VLOOKUP(EDATE(B295,-12),Database!$A:$AS,MATCH($Q$1,Database!$A$1:$AS$1,),))))</f>
        <v>4.8971596471518242E-3</v>
      </c>
      <c r="R295" s="13">
        <f>((((VLOOKUP(B295,Database!$A:$AS,MATCH($R$1,Database!$A$1:$AS$1,),))))-(((VLOOKUP(EDATE(B295,-12),Database!$A:$AS,MATCH($R$1,Database!$A$1:$AS$1,),)))))/(((VLOOKUP(EDATE(B295,-12),Database!$A:$AS,MATCH($R$1,Database!$A$1:$AS$1,),))))</f>
        <v>5.6603773611814531E-3</v>
      </c>
      <c r="S295" s="13">
        <f>((((VLOOKUP(B295,Database!$A:$AS,MATCH($S$1,Database!$A$1:$AS$1,),))))-(((VLOOKUP(EDATE(B295,-12),Database!$A:$AS,MATCH($S$1,Database!$A$1:$AS$1,),)))))/(((VLOOKUP(EDATE(B295,-12),Database!$A:$AS,MATCH($S$1,Database!$A$1:$AS$1,),))))</f>
        <v>1.5763546800341994E-2</v>
      </c>
      <c r="T295" s="13">
        <f>((((VLOOKUP(B295,Database!$A:$AS,MATCH($T$1,Database!$A$1:$AS$1,),))))-(((VLOOKUP(EDATE(B295,-12),Database!$A:$AS,MATCH($T$1,Database!$A$1:$AS$1,),)))))/(((VLOOKUP(EDATE(B295,-12),Database!$A:$AS,MATCH($T$1,Database!$A$1:$AS$1,),))))</f>
        <v>-7.1770334908197262E-3</v>
      </c>
      <c r="U295" s="13">
        <f>((((VLOOKUP(B295,Database!$A:$AS,MATCH($U$1,Database!$A$1:$AS$1,),))))-(((VLOOKUP(EDATE(B295,-12),Database!$A:$AS,MATCH($U$1,Database!$A$1:$AS$1,),)))))/(((VLOOKUP(EDATE(B295,-12),Database!$A:$AS,MATCH($U$1,Database!$A$1:$AS$1,),))))</f>
        <v>-1.9672131147684475E-2</v>
      </c>
      <c r="V295" s="13">
        <f>((((VLOOKUP(B295,Database!$A:$AS,MATCH($V$1,Database!$A$1:$AS$1,),))))-(((VLOOKUP(EDATE(B295,-12),Database!$A:$AS,MATCH($V$1,Database!$A$1:$AS$1,),)))))/(((VLOOKUP(EDATE(B295,-12),Database!$A:$AS,MATCH($V$1,Database!$A$1:$AS$1,),))))</f>
        <v>2.2123893805308477E-3</v>
      </c>
    </row>
    <row r="296" spans="1:22" s="83" customFormat="1" x14ac:dyDescent="0.2">
      <c r="A296" s="43"/>
      <c r="B296" s="78">
        <v>41153</v>
      </c>
      <c r="C296" s="13">
        <f>((((VLOOKUP(B296,Database!$A:$AS,MATCH($C$1,Database!$A$1:$AS$1,),))))-(((VLOOKUP(EDATE(B296,-12),Database!$A:$AS,MATCH($C$1,Database!$A$1:$AS$1,),)))))/(((VLOOKUP(EDATE(B296,-12),Database!$A:$AS,MATCH($C$1,Database!$A$1:$AS$1,),))))</f>
        <v>2.2548127737682937E-2</v>
      </c>
      <c r="D296" s="13">
        <f>((((VLOOKUP(B296,Database!$A:$AS,MATCH($D$1,Database!$A$1:$AS$1,),))))-(((VLOOKUP(EDATE(B296,-12),Database!$A:$AS,MATCH($D$1,Database!$A$1:$AS$1,),)))))/(((VLOOKUP(EDATE(B296,-12),Database!$A:$AS,MATCH($D$1,Database!$A$1:$AS$1,),))))</f>
        <v>-2.5227043390514632E-2</v>
      </c>
      <c r="E296" s="13">
        <f>((((VLOOKUP(B296,Database!$A:$AS,MATCH($E$1,Database!$A$1:$AS$1,),))))-(((VLOOKUP(EDATE(B296,-12),Database!$A:$AS,MATCH($E$1,Database!$A$1:$AS$1,),)))))/(((VLOOKUP(EDATE(B296,-12),Database!$A:$AS,MATCH($E$1,Database!$A$1:$AS$1,),))))</f>
        <v>-5.3373615304877491E-2</v>
      </c>
      <c r="F296" s="13">
        <f>((((VLOOKUP(B296,Database!$A:$AS,MATCH($F$1,Database!$A$1:$AS$1,),))))-(((VLOOKUP(EDATE(B296,-12),Database!$A:$AS,MATCH($F$1,Database!$A$1:$AS$1,),)))))/(((VLOOKUP(EDATE(B296,-12),Database!$A:$AS,MATCH($F$1,Database!$A$1:$AS$1,),))))</f>
        <v>-7.1574642072942335E-3</v>
      </c>
      <c r="G296" s="13">
        <f>((((VLOOKUP(B296,Database!$A:$AS,MATCH($G$1,Database!$A$1:$AS$1,),))))-(((VLOOKUP(EDATE(B296,-12),Database!$A:$AS,MATCH($G$1,Database!$A$1:$AS$1,),)))))/(((VLOOKUP(EDATE(B296,-12),Database!$A:$AS,MATCH($G$1,Database!$A$1:$AS$1,),))))</f>
        <v>-1.5547633194692091E-2</v>
      </c>
      <c r="H296" s="13">
        <f>((((VLOOKUP(B296,Database!$A:$AS,MATCH($H$1,Database!$A$1:$AS$1,),))))-(((VLOOKUP(EDATE(B296,-12),Database!$A:$AS,MATCH($H$1,Database!$A$1:$AS$1,),)))))/(((VLOOKUP(EDATE(B296,-12),Database!$A:$AS,MATCH($H$1,Database!$A$1:$AS$1,),))))</f>
        <v>-5.8479532150387519E-3</v>
      </c>
      <c r="I296" s="13">
        <f>((((VLOOKUP(B296,Database!$A:$AS,MATCH($I$1,Database!$A$1:$AS$1,),))))-(((VLOOKUP(EDATE(B296,-12),Database!$A:$AS,MATCH($I$1,Database!$A$1:$AS$1,),)))))/(((VLOOKUP(EDATE(B296,-12),Database!$A:$AS,MATCH($I$1,Database!$A$1:$AS$1,),))))</f>
        <v>-4.5666356004912076E-2</v>
      </c>
      <c r="J296" s="13">
        <f>((((VLOOKUP(B296,Database!$A:$AS,MATCH($J$1,Database!$A$1:$AS$1,),))))-(((VLOOKUP(EDATE(B296,-12),Database!$A:$AS,MATCH($J$1,Database!$A$1:$AS$1,),)))))/(((VLOOKUP(EDATE(B296,-12),Database!$A:$AS,MATCH($J$1,Database!$A$1:$AS$1,),))))</f>
        <v>-7.4103500728190122E-2</v>
      </c>
      <c r="K296" s="13">
        <f>((((VLOOKUP(B296,Database!$A:$AS,MATCH($K$1,Database!$A$1:$AS$1,),))))-(((VLOOKUP(EDATE(B296,-12),Database!$A:$AS,MATCH($K$1,Database!$A$1:$AS$1,),)))))/(((VLOOKUP(EDATE(B296,-12),Database!$A:$AS,MATCH($K$1,Database!$A$1:$AS$1,),))))</f>
        <v>-4.2613636361403549E-2</v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>2.9934596723513777E-2</v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>3.8592508513053417E-2</v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>-1.255446104931794E-2</v>
      </c>
      <c r="O296" s="13">
        <f>((((VLOOKUP(B296,Database!$A:$AS,MATCH($O$1,Database!$A$1:$AS$1,),))))-(((VLOOKUP(EDATE(B296,-12),Database!$A:$AS,MATCH($O$1,Database!$A$1:$AS$1,),)))))/(((VLOOKUP(EDATE(B296,-12),Database!$A:$AS,MATCH($O$1,Database!$A$1:$AS$1,),))))</f>
        <v>-3.3843669969921546E-2</v>
      </c>
      <c r="P296" s="13">
        <f>((((VLOOKUP(B296,Database!$A:$AS,MATCH($P$1,Database!$A$1:$AS$1,),))))-(((VLOOKUP(EDATE(B296,-12),Database!$A:$AS,MATCH($P$1,Database!$A$1:$AS$1,),)))))/(((VLOOKUP(EDATE(B296,-12),Database!$A:$AS,MATCH($P$1,Database!$A$1:$AS$1,),))))</f>
        <v>-8.6683544343266646E-3</v>
      </c>
      <c r="Q296" s="13">
        <f>((((VLOOKUP(B296,Database!$A:$AS,MATCH($Q$1,Database!$A$1:$AS$1,),))))-(((VLOOKUP(EDATE(B296,-12),Database!$A:$AS,MATCH($Q$1,Database!$A$1:$AS$1,),)))))/(((VLOOKUP(EDATE(B296,-12),Database!$A:$AS,MATCH($Q$1,Database!$A$1:$AS$1,),))))</f>
        <v>3.9920159696741073E-3</v>
      </c>
      <c r="R296" s="13">
        <f>((((VLOOKUP(B296,Database!$A:$AS,MATCH($R$1,Database!$A$1:$AS$1,),))))-(((VLOOKUP(EDATE(B296,-12),Database!$A:$AS,MATCH($R$1,Database!$A$1:$AS$1,),)))))/(((VLOOKUP(EDATE(B296,-12),Database!$A:$AS,MATCH($R$1,Database!$A$1:$AS$1,),))))</f>
        <v>-6.803939122018457E-2</v>
      </c>
      <c r="S296" s="13">
        <f>((((VLOOKUP(B296,Database!$A:$AS,MATCH($S$1,Database!$A$1:$AS$1,),))))-(((VLOOKUP(EDATE(B296,-12),Database!$A:$AS,MATCH($S$1,Database!$A$1:$AS$1,),)))))/(((VLOOKUP(EDATE(B296,-12),Database!$A:$AS,MATCH($S$1,Database!$A$1:$AS$1,),))))</f>
        <v>-0.13915547024649236</v>
      </c>
      <c r="T296" s="13">
        <f>((((VLOOKUP(B296,Database!$A:$AS,MATCH($T$1,Database!$A$1:$AS$1,),))))-(((VLOOKUP(EDATE(B296,-12),Database!$A:$AS,MATCH($T$1,Database!$A$1:$AS$1,),)))))/(((VLOOKUP(EDATE(B296,-12),Database!$A:$AS,MATCH($T$1,Database!$A$1:$AS$1,),))))</f>
        <v>7.1969696974958308E-2</v>
      </c>
      <c r="U296" s="13">
        <f>((((VLOOKUP(B296,Database!$A:$AS,MATCH($U$1,Database!$A$1:$AS$1,),))))-(((VLOOKUP(EDATE(B296,-12),Database!$A:$AS,MATCH($U$1,Database!$A$1:$AS$1,),)))))/(((VLOOKUP(EDATE(B296,-12),Database!$A:$AS,MATCH($U$1,Database!$A$1:$AS$1,),))))</f>
        <v>-1.2048192768708705E-2</v>
      </c>
      <c r="V296" s="13">
        <f>((((VLOOKUP(B296,Database!$A:$AS,MATCH($V$1,Database!$A$1:$AS$1,),))))-(((VLOOKUP(EDATE(B296,-12),Database!$A:$AS,MATCH($V$1,Database!$A$1:$AS$1,),)))))/(((VLOOKUP(EDATE(B296,-12),Database!$A:$AS,MATCH($V$1,Database!$A$1:$AS$1,),))))</f>
        <v>-2.192982456140382E-3</v>
      </c>
    </row>
    <row r="297" spans="1:22" s="83" customFormat="1" x14ac:dyDescent="0.2">
      <c r="A297" s="43"/>
      <c r="B297" s="78">
        <v>41183</v>
      </c>
      <c r="C297" s="13">
        <f>((((VLOOKUP(B297,Database!$A:$AS,MATCH($C$1,Database!$A$1:$AS$1,),))))-(((VLOOKUP(EDATE(B297,-12),Database!$A:$AS,MATCH($C$1,Database!$A$1:$AS$1,),)))))/(((VLOOKUP(EDATE(B297,-12),Database!$A:$AS,MATCH($C$1,Database!$A$1:$AS$1,),))))</f>
        <v>1.9272610980028825E-2</v>
      </c>
      <c r="D297" s="13">
        <f>((((VLOOKUP(B297,Database!$A:$AS,MATCH($D$1,Database!$A$1:$AS$1,),))))-(((VLOOKUP(EDATE(B297,-12),Database!$A:$AS,MATCH($D$1,Database!$A$1:$AS$1,),)))))/(((VLOOKUP(EDATE(B297,-12),Database!$A:$AS,MATCH($D$1,Database!$A$1:$AS$1,),))))</f>
        <v>-3.036437246963563E-2</v>
      </c>
      <c r="E297" s="13">
        <f>((((VLOOKUP(B297,Database!$A:$AS,MATCH($E$1,Database!$A$1:$AS$1,),))))-(((VLOOKUP(EDATE(B297,-12),Database!$A:$AS,MATCH($E$1,Database!$A$1:$AS$1,),)))))/(((VLOOKUP(EDATE(B297,-12),Database!$A:$AS,MATCH($E$1,Database!$A$1:$AS$1,),))))</f>
        <v>-6.5411298313039046E-2</v>
      </c>
      <c r="F297" s="13">
        <f>((((VLOOKUP(B297,Database!$A:$AS,MATCH($F$1,Database!$A$1:$AS$1,),))))-(((VLOOKUP(EDATE(B297,-12),Database!$A:$AS,MATCH($F$1,Database!$A$1:$AS$1,),)))))/(((VLOOKUP(EDATE(B297,-12),Database!$A:$AS,MATCH($F$1,Database!$A$1:$AS$1,),))))</f>
        <v>-3.1344792717996846E-2</v>
      </c>
      <c r="G297" s="13">
        <f>((((VLOOKUP(B297,Database!$A:$AS,MATCH($G$1,Database!$A$1:$AS$1,),))))-(((VLOOKUP(EDATE(B297,-12),Database!$A:$AS,MATCH($G$1,Database!$A$1:$AS$1,),)))))/(((VLOOKUP(EDATE(B297,-12),Database!$A:$AS,MATCH($G$1,Database!$A$1:$AS$1,),))))</f>
        <v>-3.1923305000988375E-2</v>
      </c>
      <c r="H297" s="13">
        <f>((((VLOOKUP(B297,Database!$A:$AS,MATCH($H$1,Database!$A$1:$AS$1,),))))-(((VLOOKUP(EDATE(B297,-12),Database!$A:$AS,MATCH($H$1,Database!$A$1:$AS$1,),)))))/(((VLOOKUP(EDATE(B297,-12),Database!$A:$AS,MATCH($H$1,Database!$A$1:$AS$1,),))))</f>
        <v>-1.3953488364600154E-2</v>
      </c>
      <c r="I297" s="13">
        <f>((((VLOOKUP(B297,Database!$A:$AS,MATCH($I$1,Database!$A$1:$AS$1,),))))-(((VLOOKUP(EDATE(B297,-12),Database!$A:$AS,MATCH($I$1,Database!$A$1:$AS$1,),)))))/(((VLOOKUP(EDATE(B297,-12),Database!$A:$AS,MATCH($I$1,Database!$A$1:$AS$1,),))))</f>
        <v>-5.1886792454031772E-2</v>
      </c>
      <c r="J297" s="13">
        <f>((((VLOOKUP(B297,Database!$A:$AS,MATCH($J$1,Database!$A$1:$AS$1,),))))-(((VLOOKUP(EDATE(B297,-12),Database!$A:$AS,MATCH($J$1,Database!$A$1:$AS$1,),)))))/(((VLOOKUP(EDATE(B297,-12),Database!$A:$AS,MATCH($J$1,Database!$A$1:$AS$1,),))))</f>
        <v>-4.9603585994772409E-2</v>
      </c>
      <c r="K297" s="13">
        <f>((((VLOOKUP(B297,Database!$A:$AS,MATCH($K$1,Database!$A$1:$AS$1,),))))-(((VLOOKUP(EDATE(B297,-12),Database!$A:$AS,MATCH($K$1,Database!$A$1:$AS$1,),)))))/(((VLOOKUP(EDATE(B297,-12),Database!$A:$AS,MATCH($K$1,Database!$A$1:$AS$1,),))))</f>
        <v>-2.7462121204580171E-2</v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>7.347031913183413E-3</v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>2.1396396396396462E-2</v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>6.4493378151674219E-2</v>
      </c>
      <c r="O297" s="13">
        <f>((((VLOOKUP(B297,Database!$A:$AS,MATCH($O$1,Database!$A$1:$AS$1,),))))-(((VLOOKUP(EDATE(B297,-12),Database!$A:$AS,MATCH($O$1,Database!$A$1:$AS$1,),)))))/(((VLOOKUP(EDATE(B297,-12),Database!$A:$AS,MATCH($O$1,Database!$A$1:$AS$1,),))))</f>
        <v>-2.7643893961391108E-2</v>
      </c>
      <c r="P297" s="13">
        <f>((((VLOOKUP(B297,Database!$A:$AS,MATCH($P$1,Database!$A$1:$AS$1,),))))-(((VLOOKUP(EDATE(B297,-12),Database!$A:$AS,MATCH($P$1,Database!$A$1:$AS$1,),)))))/(((VLOOKUP(EDATE(B297,-12),Database!$A:$AS,MATCH($P$1,Database!$A$1:$AS$1,),))))</f>
        <v>5.9048561126810641E-3</v>
      </c>
      <c r="Q297" s="13">
        <f>((((VLOOKUP(B297,Database!$A:$AS,MATCH($Q$1,Database!$A$1:$AS$1,),))))-(((VLOOKUP(EDATE(B297,-12),Database!$A:$AS,MATCH($Q$1,Database!$A$1:$AS$1,),)))))/(((VLOOKUP(EDATE(B297,-12),Database!$A:$AS,MATCH($Q$1,Database!$A$1:$AS$1,),))))</f>
        <v>2.9233870968074269E-2</v>
      </c>
      <c r="R297" s="13">
        <f>((((VLOOKUP(B297,Database!$A:$AS,MATCH($R$1,Database!$A$1:$AS$1,),))))-(((VLOOKUP(EDATE(B297,-12),Database!$A:$AS,MATCH($R$1,Database!$A$1:$AS$1,),)))))/(((VLOOKUP(EDATE(B297,-12),Database!$A:$AS,MATCH($R$1,Database!$A$1:$AS$1,),))))</f>
        <v>3.2289628185636896E-2</v>
      </c>
      <c r="S297" s="13">
        <f>((((VLOOKUP(B297,Database!$A:$AS,MATCH($S$1,Database!$A$1:$AS$1,),))))-(((VLOOKUP(EDATE(B297,-12),Database!$A:$AS,MATCH($S$1,Database!$A$1:$AS$1,),)))))/(((VLOOKUP(EDATE(B297,-12),Database!$A:$AS,MATCH($S$1,Database!$A$1:$AS$1,),))))</f>
        <v>-4.7804878046225907E-2</v>
      </c>
      <c r="T297" s="13">
        <f>((((VLOOKUP(B297,Database!$A:$AS,MATCH($T$1,Database!$A$1:$AS$1,),))))-(((VLOOKUP(EDATE(B297,-12),Database!$A:$AS,MATCH($T$1,Database!$A$1:$AS$1,),)))))/(((VLOOKUP(EDATE(B297,-12),Database!$A:$AS,MATCH($T$1,Database!$A$1:$AS$1,),))))</f>
        <v>1.5531660696648335E-2</v>
      </c>
      <c r="U297" s="13">
        <f>((((VLOOKUP(B297,Database!$A:$AS,MATCH($U$1,Database!$A$1:$AS$1,),))))-(((VLOOKUP(EDATE(B297,-12),Database!$A:$AS,MATCH($U$1,Database!$A$1:$AS$1,),)))))/(((VLOOKUP(EDATE(B297,-12),Database!$A:$AS,MATCH($U$1,Database!$A$1:$AS$1,),))))</f>
        <v>-3.3732317742757298E-2</v>
      </c>
      <c r="V297" s="13">
        <f>((((VLOOKUP(B297,Database!$A:$AS,MATCH($V$1,Database!$A$1:$AS$1,),))))-(((VLOOKUP(EDATE(B297,-12),Database!$A:$AS,MATCH($V$1,Database!$A$1:$AS$1,),)))))/(((VLOOKUP(EDATE(B297,-12),Database!$A:$AS,MATCH($V$1,Database!$A$1:$AS$1,),))))</f>
        <v>-1.1013215859030211E-3</v>
      </c>
    </row>
    <row r="298" spans="1:22" s="83" customFormat="1" x14ac:dyDescent="0.2">
      <c r="A298" s="43"/>
      <c r="B298" s="78">
        <v>41214</v>
      </c>
      <c r="C298" s="13">
        <f>((((VLOOKUP(B298,Database!$A:$AS,MATCH($C$1,Database!$A$1:$AS$1,),))))-(((VLOOKUP(EDATE(B298,-12),Database!$A:$AS,MATCH($C$1,Database!$A$1:$AS$1,),)))))/(((VLOOKUP(EDATE(B298,-12),Database!$A:$AS,MATCH($C$1,Database!$A$1:$AS$1,),))))</f>
        <v>2.3534769931318811E-2</v>
      </c>
      <c r="D298" s="13">
        <f>((((VLOOKUP(B298,Database!$A:$AS,MATCH($D$1,Database!$A$1:$AS$1,),))))-(((VLOOKUP(EDATE(B298,-12),Database!$A:$AS,MATCH($D$1,Database!$A$1:$AS$1,),)))))/(((VLOOKUP(EDATE(B298,-12),Database!$A:$AS,MATCH($D$1,Database!$A$1:$AS$1,),))))</f>
        <v>-4.0363269424823413E-2</v>
      </c>
      <c r="E298" s="13">
        <f>((((VLOOKUP(B298,Database!$A:$AS,MATCH($E$1,Database!$A$1:$AS$1,),))))-(((VLOOKUP(EDATE(B298,-12),Database!$A:$AS,MATCH($E$1,Database!$A$1:$AS$1,),)))))/(((VLOOKUP(EDATE(B298,-12),Database!$A:$AS,MATCH($E$1,Database!$A$1:$AS$1,),))))</f>
        <v>-5.3589484334735385E-2</v>
      </c>
      <c r="F298" s="13">
        <f>((((VLOOKUP(B298,Database!$A:$AS,MATCH($F$1,Database!$A$1:$AS$1,),))))-(((VLOOKUP(EDATE(B298,-12),Database!$A:$AS,MATCH($F$1,Database!$A$1:$AS$1,),)))))/(((VLOOKUP(EDATE(B298,-12),Database!$A:$AS,MATCH($F$1,Database!$A$1:$AS$1,),))))</f>
        <v>-3.1568228113985165E-2</v>
      </c>
      <c r="G298" s="13">
        <f>((((VLOOKUP(B298,Database!$A:$AS,MATCH($G$1,Database!$A$1:$AS$1,),))))-(((VLOOKUP(EDATE(B298,-12),Database!$A:$AS,MATCH($G$1,Database!$A$1:$AS$1,),)))))/(((VLOOKUP(EDATE(B298,-12),Database!$A:$AS,MATCH($G$1,Database!$A$1:$AS$1,),))))</f>
        <v>-5.1632277438729036E-2</v>
      </c>
      <c r="H298" s="13">
        <f>((((VLOOKUP(B298,Database!$A:$AS,MATCH($H$1,Database!$A$1:$AS$1,),))))-(((VLOOKUP(EDATE(B298,-12),Database!$A:$AS,MATCH($H$1,Database!$A$1:$AS$1,),)))))/(((VLOOKUP(EDATE(B298,-12),Database!$A:$AS,MATCH($H$1,Database!$A$1:$AS$1,),))))</f>
        <v>-5.8616647114110836E-3</v>
      </c>
      <c r="I298" s="13">
        <f>((((VLOOKUP(B298,Database!$A:$AS,MATCH($I$1,Database!$A$1:$AS$1,),))))-(((VLOOKUP(EDATE(B298,-12),Database!$A:$AS,MATCH($I$1,Database!$A$1:$AS$1,),)))))/(((VLOOKUP(EDATE(B298,-12),Database!$A:$AS,MATCH($I$1,Database!$A$1:$AS$1,),))))</f>
        <v>-7.2097378278749347E-2</v>
      </c>
      <c r="J298" s="13">
        <f>((((VLOOKUP(B298,Database!$A:$AS,MATCH($J$1,Database!$A$1:$AS$1,),))))-(((VLOOKUP(EDATE(B298,-12),Database!$A:$AS,MATCH($J$1,Database!$A$1:$AS$1,),)))))/(((VLOOKUP(EDATE(B298,-12),Database!$A:$AS,MATCH($J$1,Database!$A$1:$AS$1,),))))</f>
        <v>-6.9320875619153399E-2</v>
      </c>
      <c r="K298" s="13">
        <f>((((VLOOKUP(B298,Database!$A:$AS,MATCH($K$1,Database!$A$1:$AS$1,),))))-(((VLOOKUP(EDATE(B298,-12),Database!$A:$AS,MATCH($K$1,Database!$A$1:$AS$1,),)))))/(((VLOOKUP(EDATE(B298,-12),Database!$A:$AS,MATCH($K$1,Database!$A$1:$AS$1,),))))</f>
        <v>-4.8971596460614933E-3</v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>2.1433926560911809E-2</v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>2.3569023569023666E-2</v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>-4.2098345092121583E-2</v>
      </c>
      <c r="O298" s="13">
        <f>((((VLOOKUP(B298,Database!$A:$AS,MATCH($O$1,Database!$A$1:$AS$1,),))))-(((VLOOKUP(EDATE(B298,-12),Database!$A:$AS,MATCH($O$1,Database!$A$1:$AS$1,),)))))/(((VLOOKUP(EDATE(B298,-12),Database!$A:$AS,MATCH($O$1,Database!$A$1:$AS$1,),))))</f>
        <v>-1.5179396704660106E-2</v>
      </c>
      <c r="P298" s="13">
        <f>((((VLOOKUP(B298,Database!$A:$AS,MATCH($P$1,Database!$A$1:$AS$1,),))))-(((VLOOKUP(EDATE(B298,-12),Database!$A:$AS,MATCH($P$1,Database!$A$1:$AS$1,),)))))/(((VLOOKUP(EDATE(B298,-12),Database!$A:$AS,MATCH($P$1,Database!$A$1:$AS$1,),))))</f>
        <v>2.9747230378846447E-2</v>
      </c>
      <c r="Q298" s="13">
        <f>((((VLOOKUP(B298,Database!$A:$AS,MATCH($Q$1,Database!$A$1:$AS$1,),))))-(((VLOOKUP(EDATE(B298,-12),Database!$A:$AS,MATCH($Q$1,Database!$A$1:$AS$1,),)))))/(((VLOOKUP(EDATE(B298,-12),Database!$A:$AS,MATCH($Q$1,Database!$A$1:$AS$1,),))))</f>
        <v>7.0070070029753699E-3</v>
      </c>
      <c r="R298" s="13">
        <f>((((VLOOKUP(B298,Database!$A:$AS,MATCH($R$1,Database!$A$1:$AS$1,),))))-(((VLOOKUP(EDATE(B298,-12),Database!$A:$AS,MATCH($R$1,Database!$A$1:$AS$1,),)))))/(((VLOOKUP(EDATE(B298,-12),Database!$A:$AS,MATCH($R$1,Database!$A$1:$AS$1,),))))</f>
        <v>-3.1309297908685127E-2</v>
      </c>
      <c r="S298" s="13">
        <f>((((VLOOKUP(B298,Database!$A:$AS,MATCH($S$1,Database!$A$1:$AS$1,),))))-(((VLOOKUP(EDATE(B298,-12),Database!$A:$AS,MATCH($S$1,Database!$A$1:$AS$1,),)))))/(((VLOOKUP(EDATE(B298,-12),Database!$A:$AS,MATCH($S$1,Database!$A$1:$AS$1,),))))</f>
        <v>-3.0487804886512301E-2</v>
      </c>
      <c r="T298" s="13">
        <f>((((VLOOKUP(B298,Database!$A:$AS,MATCH($T$1,Database!$A$1:$AS$1,),))))-(((VLOOKUP(EDATE(B298,-12),Database!$A:$AS,MATCH($T$1,Database!$A$1:$AS$1,),)))))/(((VLOOKUP(EDATE(B298,-12),Database!$A:$AS,MATCH($T$1,Database!$A$1:$AS$1,),))))</f>
        <v>1.0856453567599404E-2</v>
      </c>
      <c r="U298" s="13">
        <f>((((VLOOKUP(B298,Database!$A:$AS,MATCH($U$1,Database!$A$1:$AS$1,),))))-(((VLOOKUP(EDATE(B298,-12),Database!$A:$AS,MATCH($U$1,Database!$A$1:$AS$1,),)))))/(((VLOOKUP(EDATE(B298,-12),Database!$A:$AS,MATCH($U$1,Database!$A$1:$AS$1,),))))</f>
        <v>-6.7724867734275523E-2</v>
      </c>
      <c r="V298" s="13">
        <f>((((VLOOKUP(B298,Database!$A:$AS,MATCH($V$1,Database!$A$1:$AS$1,),))))-(((VLOOKUP(EDATE(B298,-12),Database!$A:$AS,MATCH($V$1,Database!$A$1:$AS$1,),)))))/(((VLOOKUP(EDATE(B298,-12),Database!$A:$AS,MATCH($V$1,Database!$A$1:$AS$1,),))))</f>
        <v>-2.9315960912051995E-2</v>
      </c>
    </row>
    <row r="299" spans="1:22" s="83" customFormat="1" x14ac:dyDescent="0.2">
      <c r="A299" s="43"/>
      <c r="B299" s="78">
        <v>41244</v>
      </c>
      <c r="C299" s="13">
        <f>((((VLOOKUP(B299,Database!$A:$AS,MATCH($C$1,Database!$A$1:$AS$1,),))))-(((VLOOKUP(EDATE(B299,-12),Database!$A:$AS,MATCH($C$1,Database!$A$1:$AS$1,),)))))/(((VLOOKUP(EDATE(B299,-12),Database!$A:$AS,MATCH($C$1,Database!$A$1:$AS$1,),))))</f>
        <v>2.0866963886362888E-2</v>
      </c>
      <c r="D299" s="13">
        <f>((((VLOOKUP(B299,Database!$A:$AS,MATCH($D$1,Database!$A$1:$AS$1,),))))-(((VLOOKUP(EDATE(B299,-12),Database!$A:$AS,MATCH($D$1,Database!$A$1:$AS$1,),)))))/(((VLOOKUP(EDATE(B299,-12),Database!$A:$AS,MATCH($D$1,Database!$A$1:$AS$1,),))))</f>
        <v>-2.944162436548229E-2</v>
      </c>
      <c r="E299" s="13">
        <f>((((VLOOKUP(B299,Database!$A:$AS,MATCH($E$1,Database!$A$1:$AS$1,),))))-(((VLOOKUP(EDATE(B299,-12),Database!$A:$AS,MATCH($E$1,Database!$A$1:$AS$1,),)))))/(((VLOOKUP(EDATE(B299,-12),Database!$A:$AS,MATCH($E$1,Database!$A$1:$AS$1,),))))</f>
        <v>-5.9464816655239866E-2</v>
      </c>
      <c r="F299" s="13">
        <f>((((VLOOKUP(B299,Database!$A:$AS,MATCH($F$1,Database!$A$1:$AS$1,),))))-(((VLOOKUP(EDATE(B299,-12),Database!$A:$AS,MATCH($F$1,Database!$A$1:$AS$1,),)))))/(((VLOOKUP(EDATE(B299,-12),Database!$A:$AS,MATCH($F$1,Database!$A$1:$AS$1,),))))</f>
        <v>-9.2975206586275675E-3</v>
      </c>
      <c r="G299" s="13">
        <f>((((VLOOKUP(B299,Database!$A:$AS,MATCH($G$1,Database!$A$1:$AS$1,),))))-(((VLOOKUP(EDATE(B299,-12),Database!$A:$AS,MATCH($G$1,Database!$A$1:$AS$1,),)))))/(((VLOOKUP(EDATE(B299,-12),Database!$A:$AS,MATCH($G$1,Database!$A$1:$AS$1,),))))</f>
        <v>-2.3324767740660342E-2</v>
      </c>
      <c r="H299" s="13">
        <f>((((VLOOKUP(B299,Database!$A:$AS,MATCH($H$1,Database!$A$1:$AS$1,),))))-(((VLOOKUP(EDATE(B299,-12),Database!$A:$AS,MATCH($H$1,Database!$A$1:$AS$1,),)))))/(((VLOOKUP(EDATE(B299,-12),Database!$A:$AS,MATCH($H$1,Database!$A$1:$AS$1,),))))</f>
        <v>-5.8685445995556003E-3</v>
      </c>
      <c r="I299" s="13">
        <f>((((VLOOKUP(B299,Database!$A:$AS,MATCH($I$1,Database!$A$1:$AS$1,),))))-(((VLOOKUP(EDATE(B299,-12),Database!$A:$AS,MATCH($I$1,Database!$A$1:$AS$1,),)))))/(((VLOOKUP(EDATE(B299,-12),Database!$A:$AS,MATCH($I$1,Database!$A$1:$AS$1,),))))</f>
        <v>-7.2423398327087135E-2</v>
      </c>
      <c r="J299" s="13">
        <f>((((VLOOKUP(B299,Database!$A:$AS,MATCH($J$1,Database!$A$1:$AS$1,),))))-(((VLOOKUP(EDATE(B299,-12),Database!$A:$AS,MATCH($J$1,Database!$A$1:$AS$1,),)))))/(((VLOOKUP(EDATE(B299,-12),Database!$A:$AS,MATCH($J$1,Database!$A$1:$AS$1,),))))</f>
        <v>-8.0867600364321793E-2</v>
      </c>
      <c r="K299" s="13">
        <f>((((VLOOKUP(B299,Database!$A:$AS,MATCH($K$1,Database!$A$1:$AS$1,),))))-(((VLOOKUP(EDATE(B299,-12),Database!$A:$AS,MATCH($K$1,Database!$A$1:$AS$1,),)))))/(((VLOOKUP(EDATE(B299,-12),Database!$A:$AS,MATCH($K$1,Database!$A$1:$AS$1,),))))</f>
        <v>1.0826771660401375E-2</v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>3.8620714111806701E-3</v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>2.1181716833890651E-2</v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>-2.6870088142405317E-2</v>
      </c>
      <c r="O299" s="13">
        <f>((((VLOOKUP(B299,Database!$A:$AS,MATCH($O$1,Database!$A$1:$AS$1,),))))-(((VLOOKUP(EDATE(B299,-12),Database!$A:$AS,MATCH($O$1,Database!$A$1:$AS$1,),)))))/(((VLOOKUP(EDATE(B299,-12),Database!$A:$AS,MATCH($O$1,Database!$A$1:$AS$1,),))))</f>
        <v>-2.8770912405524905E-2</v>
      </c>
      <c r="P299" s="13">
        <f>((((VLOOKUP(B299,Database!$A:$AS,MATCH($P$1,Database!$A$1:$AS$1,),))))-(((VLOOKUP(EDATE(B299,-12),Database!$A:$AS,MATCH($P$1,Database!$A$1:$AS$1,),)))))/(((VLOOKUP(EDATE(B299,-12),Database!$A:$AS,MATCH($P$1,Database!$A$1:$AS$1,),))))</f>
        <v>4.8510034042889429E-2</v>
      </c>
      <c r="Q299" s="13">
        <f>((((VLOOKUP(B299,Database!$A:$AS,MATCH($Q$1,Database!$A$1:$AS$1,),))))-(((VLOOKUP(EDATE(B299,-12),Database!$A:$AS,MATCH($Q$1,Database!$A$1:$AS$1,),)))))/(((VLOOKUP(EDATE(B299,-12),Database!$A:$AS,MATCH($Q$1,Database!$A$1:$AS$1,),))))</f>
        <v>-1.1707317069003997E-2</v>
      </c>
      <c r="R299" s="13">
        <f>((((VLOOKUP(B299,Database!$A:$AS,MATCH($R$1,Database!$A$1:$AS$1,),))))-(((VLOOKUP(EDATE(B299,-12),Database!$A:$AS,MATCH($R$1,Database!$A$1:$AS$1,),)))))/(((VLOOKUP(EDATE(B299,-12),Database!$A:$AS,MATCH($R$1,Database!$A$1:$AS$1,),))))</f>
        <v>9.0180360764565357E-3</v>
      </c>
      <c r="S299" s="13">
        <f>((((VLOOKUP(B299,Database!$A:$AS,MATCH($S$1,Database!$A$1:$AS$1,),))))-(((VLOOKUP(EDATE(B299,-12),Database!$A:$AS,MATCH($S$1,Database!$A$1:$AS$1,),)))))/(((VLOOKUP(EDATE(B299,-12),Database!$A:$AS,MATCH($S$1,Database!$A$1:$AS$1,),))))</f>
        <v>-1.0152284261503977E-2</v>
      </c>
      <c r="T299" s="13">
        <f>((((VLOOKUP(B299,Database!$A:$AS,MATCH($T$1,Database!$A$1:$AS$1,),))))-(((VLOOKUP(EDATE(B299,-12),Database!$A:$AS,MATCH($T$1,Database!$A$1:$AS$1,),)))))/(((VLOOKUP(EDATE(B299,-12),Database!$A:$AS,MATCH($T$1,Database!$A$1:$AS$1,),))))</f>
        <v>2.5331724974980187E-2</v>
      </c>
      <c r="U299" s="13">
        <f>((((VLOOKUP(B299,Database!$A:$AS,MATCH($U$1,Database!$A$1:$AS$1,),))))-(((VLOOKUP(EDATE(B299,-12),Database!$A:$AS,MATCH($U$1,Database!$A$1:$AS$1,),)))))/(((VLOOKUP(EDATE(B299,-12),Database!$A:$AS,MATCH($U$1,Database!$A$1:$AS$1,),))))</f>
        <v>-4.394426580357623E-2</v>
      </c>
      <c r="V299" s="13">
        <f>((((VLOOKUP(B299,Database!$A:$AS,MATCH($V$1,Database!$A$1:$AS$1,),))))-(((VLOOKUP(EDATE(B299,-12),Database!$A:$AS,MATCH($V$1,Database!$A$1:$AS$1,),)))))/(((VLOOKUP(EDATE(B299,-12),Database!$A:$AS,MATCH($V$1,Database!$A$1:$AS$1,),))))</f>
        <v>-5.4197662061636502E-2</v>
      </c>
    </row>
    <row r="300" spans="1:22" s="83" customFormat="1" x14ac:dyDescent="0.2">
      <c r="A300" s="43"/>
      <c r="B300" s="78">
        <v>41275</v>
      </c>
      <c r="C300" s="13">
        <f>((((VLOOKUP(B300,Database!$A:$AS,MATCH($C$1,Database!$A$1:$AS$1,),))))-(((VLOOKUP(EDATE(B300,-12),Database!$A:$AS,MATCH($C$1,Database!$A$1:$AS$1,),)))))/(((VLOOKUP(EDATE(B300,-12),Database!$A:$AS,MATCH($C$1,Database!$A$1:$AS$1,),))))</f>
        <v>1.4354620718597569E-2</v>
      </c>
      <c r="D300" s="13">
        <f>((((VLOOKUP(B300,Database!$A:$AS,MATCH($D$1,Database!$A$1:$AS$1,),))))-(((VLOOKUP(EDATE(B300,-12),Database!$A:$AS,MATCH($D$1,Database!$A$1:$AS$1,),)))))/(((VLOOKUP(EDATE(B300,-12),Database!$A:$AS,MATCH($D$1,Database!$A$1:$AS$1,),))))</f>
        <v>-2.6584867075664563E-2</v>
      </c>
      <c r="E300" s="13">
        <f>((((VLOOKUP(B300,Database!$A:$AS,MATCH($E$1,Database!$A$1:$AS$1,),))))-(((VLOOKUP(EDATE(B300,-12),Database!$A:$AS,MATCH($E$1,Database!$A$1:$AS$1,),)))))/(((VLOOKUP(EDATE(B300,-12),Database!$A:$AS,MATCH($E$1,Database!$A$1:$AS$1,),))))</f>
        <v>-8.1637640541782117E-2</v>
      </c>
      <c r="F300" s="13">
        <f>((((VLOOKUP(B300,Database!$A:$AS,MATCH($F$1,Database!$A$1:$AS$1,),))))-(((VLOOKUP(EDATE(B300,-12),Database!$A:$AS,MATCH($F$1,Database!$A$1:$AS$1,),)))))/(((VLOOKUP(EDATE(B300,-12),Database!$A:$AS,MATCH($F$1,Database!$A$1:$AS$1,),))))</f>
        <v>-2.6721479954992067E-2</v>
      </c>
      <c r="G300" s="13">
        <f>((((VLOOKUP(B300,Database!$A:$AS,MATCH($G$1,Database!$A$1:$AS$1,),))))-(((VLOOKUP(EDATE(B300,-12),Database!$A:$AS,MATCH($G$1,Database!$A$1:$AS$1,),)))))/(((VLOOKUP(EDATE(B300,-12),Database!$A:$AS,MATCH($G$1,Database!$A$1:$AS$1,),))))</f>
        <v>-2.0942928039702227E-2</v>
      </c>
      <c r="H300" s="13">
        <f>((((VLOOKUP(B300,Database!$A:$AS,MATCH($H$1,Database!$A$1:$AS$1,),))))-(((VLOOKUP(EDATE(B300,-12),Database!$A:$AS,MATCH($H$1,Database!$A$1:$AS$1,),)))))/(((VLOOKUP(EDATE(B300,-12),Database!$A:$AS,MATCH($H$1,Database!$A$1:$AS$1,),))))</f>
        <v>-2.5943396226906373E-2</v>
      </c>
      <c r="I300" s="13">
        <f>((((VLOOKUP(B300,Database!$A:$AS,MATCH($I$1,Database!$A$1:$AS$1,),))))-(((VLOOKUP(EDATE(B300,-12),Database!$A:$AS,MATCH($I$1,Database!$A$1:$AS$1,),)))))/(((VLOOKUP(EDATE(B300,-12),Database!$A:$AS,MATCH($I$1,Database!$A$1:$AS$1,),))))</f>
        <v>-3.5714285710838116E-2</v>
      </c>
      <c r="J300" s="13">
        <f>((((VLOOKUP(B300,Database!$A:$AS,MATCH($J$1,Database!$A$1:$AS$1,),))))-(((VLOOKUP(EDATE(B300,-12),Database!$A:$AS,MATCH($J$1,Database!$A$1:$AS$1,),)))))/(((VLOOKUP(EDATE(B300,-12),Database!$A:$AS,MATCH($J$1,Database!$A$1:$AS$1,),))))</f>
        <v>-5.3034140922478372E-2</v>
      </c>
      <c r="K300" s="13">
        <f>((((VLOOKUP(B300,Database!$A:$AS,MATCH($K$1,Database!$A$1:$AS$1,),))))-(((VLOOKUP(EDATE(B300,-12),Database!$A:$AS,MATCH($K$1,Database!$A$1:$AS$1,),)))))/(((VLOOKUP(EDATE(B300,-12),Database!$A:$AS,MATCH($K$1,Database!$A$1:$AS$1,),))))</f>
        <v>-7.2356215211774863E-2</v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>-1.2783306299759146E-3</v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>-5.5493895671476145E-3</v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>-1.7424688040517312E-2</v>
      </c>
      <c r="O300" s="13">
        <f>((((VLOOKUP(B300,Database!$A:$AS,MATCH($O$1,Database!$A$1:$AS$1,),))))-(((VLOOKUP(EDATE(B300,-12),Database!$A:$AS,MATCH($O$1,Database!$A$1:$AS$1,),)))))/(((VLOOKUP(EDATE(B300,-12),Database!$A:$AS,MATCH($O$1,Database!$A$1:$AS$1,),))))</f>
        <v>-2.1363561739647534E-2</v>
      </c>
      <c r="P300" s="13">
        <f>((((VLOOKUP(B300,Database!$A:$AS,MATCH($P$1,Database!$A$1:$AS$1,),))))-(((VLOOKUP(EDATE(B300,-12),Database!$A:$AS,MATCH($P$1,Database!$A$1:$AS$1,),)))))/(((VLOOKUP(EDATE(B300,-12),Database!$A:$AS,MATCH($P$1,Database!$A$1:$AS$1,),))))</f>
        <v>2.5955894345298099E-2</v>
      </c>
      <c r="Q300" s="13">
        <f>((((VLOOKUP(B300,Database!$A:$AS,MATCH($Q$1,Database!$A$1:$AS$1,),))))-(((VLOOKUP(EDATE(B300,-12),Database!$A:$AS,MATCH($Q$1,Database!$A$1:$AS$1,),)))))/(((VLOOKUP(EDATE(B300,-12),Database!$A:$AS,MATCH($Q$1,Database!$A$1:$AS$1,),))))</f>
        <v>4.1836734689697584E-2</v>
      </c>
      <c r="R300" s="13">
        <f>((((VLOOKUP(B300,Database!$A:$AS,MATCH($R$1,Database!$A$1:$AS$1,),))))-(((VLOOKUP(EDATE(B300,-12),Database!$A:$AS,MATCH($R$1,Database!$A$1:$AS$1,),)))))/(((VLOOKUP(EDATE(B300,-12),Database!$A:$AS,MATCH($R$1,Database!$A$1:$AS$1,),))))</f>
        <v>-3.0828516376144019E-2</v>
      </c>
      <c r="S300" s="13">
        <f>((((VLOOKUP(B300,Database!$A:$AS,MATCH($S$1,Database!$A$1:$AS$1,),))))-(((VLOOKUP(EDATE(B300,-12),Database!$A:$AS,MATCH($S$1,Database!$A$1:$AS$1,),)))))/(((VLOOKUP(EDATE(B300,-12),Database!$A:$AS,MATCH($S$1,Database!$A$1:$AS$1,),))))</f>
        <v>-4.4444444443374982E-2</v>
      </c>
      <c r="T300" s="13">
        <f>((((VLOOKUP(B300,Database!$A:$AS,MATCH($T$1,Database!$A$1:$AS$1,),))))-(((VLOOKUP(EDATE(B300,-12),Database!$A:$AS,MATCH($T$1,Database!$A$1:$AS$1,),)))))/(((VLOOKUP(EDATE(B300,-12),Database!$A:$AS,MATCH($T$1,Database!$A$1:$AS$1,),))))</f>
        <v>4.1463414630814599E-2</v>
      </c>
      <c r="U300" s="13">
        <f>((((VLOOKUP(B300,Database!$A:$AS,MATCH($U$1,Database!$A$1:$AS$1,),))))-(((VLOOKUP(EDATE(B300,-12),Database!$A:$AS,MATCH($U$1,Database!$A$1:$AS$1,),)))))/(((VLOOKUP(EDATE(B300,-12),Database!$A:$AS,MATCH($U$1,Database!$A$1:$AS$1,),))))</f>
        <v>-5.097613882646846E-2</v>
      </c>
      <c r="V300" s="13">
        <f>((((VLOOKUP(B300,Database!$A:$AS,MATCH($V$1,Database!$A$1:$AS$1,),))))-(((VLOOKUP(EDATE(B300,-12),Database!$A:$AS,MATCH($V$1,Database!$A$1:$AS$1,),)))))/(((VLOOKUP(EDATE(B300,-12),Database!$A:$AS,MATCH($V$1,Database!$A$1:$AS$1,),))))</f>
        <v>-1.9780219780219748E-2</v>
      </c>
    </row>
    <row r="301" spans="1:22" s="83" customFormat="1" x14ac:dyDescent="0.2">
      <c r="A301" s="43"/>
      <c r="B301" s="78">
        <v>41306</v>
      </c>
      <c r="C301" s="13">
        <f>((((VLOOKUP(B301,Database!$A:$AS,MATCH($C$1,Database!$A$1:$AS$1,),))))-(((VLOOKUP(EDATE(B301,-12),Database!$A:$AS,MATCH($C$1,Database!$A$1:$AS$1,),)))))/(((VLOOKUP(EDATE(B301,-12),Database!$A:$AS,MATCH($C$1,Database!$A$1:$AS$1,),))))</f>
        <v>1.64325972963584E-2</v>
      </c>
      <c r="D301" s="13">
        <f>((((VLOOKUP(B301,Database!$A:$AS,MATCH($D$1,Database!$A$1:$AS$1,),))))-(((VLOOKUP(EDATE(B301,-12),Database!$A:$AS,MATCH($D$1,Database!$A$1:$AS$1,),)))))/(((VLOOKUP(EDATE(B301,-12),Database!$A:$AS,MATCH($D$1,Database!$A$1:$AS$1,),))))</f>
        <v>-3.048780487804878E-2</v>
      </c>
      <c r="E301" s="13">
        <f>((((VLOOKUP(B301,Database!$A:$AS,MATCH($E$1,Database!$A$1:$AS$1,),))))-(((VLOOKUP(EDATE(B301,-12),Database!$A:$AS,MATCH($E$1,Database!$A$1:$AS$1,),)))))/(((VLOOKUP(EDATE(B301,-12),Database!$A:$AS,MATCH($E$1,Database!$A$1:$AS$1,),))))</f>
        <v>-6.438629787922924E-2</v>
      </c>
      <c r="F301" s="13">
        <f>((((VLOOKUP(B301,Database!$A:$AS,MATCH($F$1,Database!$A$1:$AS$1,),))))-(((VLOOKUP(EDATE(B301,-12),Database!$A:$AS,MATCH($F$1,Database!$A$1:$AS$1,),)))))/(((VLOOKUP(EDATE(B301,-12),Database!$A:$AS,MATCH($F$1,Database!$A$1:$AS$1,),))))</f>
        <v>-1.7489711932727317E-2</v>
      </c>
      <c r="G301" s="13">
        <f>((((VLOOKUP(B301,Database!$A:$AS,MATCH($G$1,Database!$A$1:$AS$1,),))))-(((VLOOKUP(EDATE(B301,-12),Database!$A:$AS,MATCH($G$1,Database!$A$1:$AS$1,),)))))/(((VLOOKUP(EDATE(B301,-12),Database!$A:$AS,MATCH($G$1,Database!$A$1:$AS$1,),))))</f>
        <v>-1.8602362204724415E-2</v>
      </c>
      <c r="H301" s="13">
        <f>((((VLOOKUP(B301,Database!$A:$AS,MATCH($H$1,Database!$A$1:$AS$1,),))))-(((VLOOKUP(EDATE(B301,-12),Database!$A:$AS,MATCH($H$1,Database!$A$1:$AS$1,),)))))/(((VLOOKUP(EDATE(B301,-12),Database!$A:$AS,MATCH($H$1,Database!$A$1:$AS$1,),))))</f>
        <v>-2.3612750890857015E-2</v>
      </c>
      <c r="I301" s="13">
        <f>((((VLOOKUP(B301,Database!$A:$AS,MATCH($I$1,Database!$A$1:$AS$1,),))))-(((VLOOKUP(EDATE(B301,-12),Database!$A:$AS,MATCH($I$1,Database!$A$1:$AS$1,),)))))/(((VLOOKUP(EDATE(B301,-12),Database!$A:$AS,MATCH($I$1,Database!$A$1:$AS$1,),))))</f>
        <v>-4.4273339743959951E-2</v>
      </c>
      <c r="J301" s="13">
        <f>((((VLOOKUP(B301,Database!$A:$AS,MATCH($J$1,Database!$A$1:$AS$1,),))))-(((VLOOKUP(EDATE(B301,-12),Database!$A:$AS,MATCH($J$1,Database!$A$1:$AS$1,),)))))/(((VLOOKUP(EDATE(B301,-12),Database!$A:$AS,MATCH($J$1,Database!$A$1:$AS$1,),))))</f>
        <v>-4.4123586423142555E-2</v>
      </c>
      <c r="K301" s="13">
        <f>((((VLOOKUP(B301,Database!$A:$AS,MATCH($K$1,Database!$A$1:$AS$1,),))))-(((VLOOKUP(EDATE(B301,-12),Database!$A:$AS,MATCH($K$1,Database!$A$1:$AS$1,),)))))/(((VLOOKUP(EDATE(B301,-12),Database!$A:$AS,MATCH($K$1,Database!$A$1:$AS$1,),))))</f>
        <v>-2.0628683687843284E-2</v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>1.3984199688115589E-3</v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>-6.6079295154184399E-3</v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>-2.0439376005058029E-2</v>
      </c>
      <c r="O301" s="13">
        <f>((((VLOOKUP(B301,Database!$A:$AS,MATCH($O$1,Database!$A$1:$AS$1,),))))-(((VLOOKUP(EDATE(B301,-12),Database!$A:$AS,MATCH($O$1,Database!$A$1:$AS$1,),)))))/(((VLOOKUP(EDATE(B301,-12),Database!$A:$AS,MATCH($O$1,Database!$A$1:$AS$1,),))))</f>
        <v>1.1018515888962643E-2</v>
      </c>
      <c r="P301" s="13">
        <f>((((VLOOKUP(B301,Database!$A:$AS,MATCH($P$1,Database!$A$1:$AS$1,),))))-(((VLOOKUP(EDATE(B301,-12),Database!$A:$AS,MATCH($P$1,Database!$A$1:$AS$1,),)))))/(((VLOOKUP(EDATE(B301,-12),Database!$A:$AS,MATCH($P$1,Database!$A$1:$AS$1,),))))</f>
        <v>-1.0070156073367221E-2</v>
      </c>
      <c r="Q301" s="13">
        <f>((((VLOOKUP(B301,Database!$A:$AS,MATCH($Q$1,Database!$A$1:$AS$1,),))))-(((VLOOKUP(EDATE(B301,-12),Database!$A:$AS,MATCH($Q$1,Database!$A$1:$AS$1,),)))))/(((VLOOKUP(EDATE(B301,-12),Database!$A:$AS,MATCH($Q$1,Database!$A$1:$AS$1,),))))</f>
        <v>7.0707070666481331E-3</v>
      </c>
      <c r="R301" s="13">
        <f>((((VLOOKUP(B301,Database!$A:$AS,MATCH($R$1,Database!$A$1:$AS$1,),))))-(((VLOOKUP(EDATE(B301,-12),Database!$A:$AS,MATCH($R$1,Database!$A$1:$AS$1,),)))))/(((VLOOKUP(EDATE(B301,-12),Database!$A:$AS,MATCH($R$1,Database!$A$1:$AS$1,),))))</f>
        <v>-3.1280547408268924E-2</v>
      </c>
      <c r="S301" s="13">
        <f>((((VLOOKUP(B301,Database!$A:$AS,MATCH($S$1,Database!$A$1:$AS$1,),))))-(((VLOOKUP(EDATE(B301,-12),Database!$A:$AS,MATCH($S$1,Database!$A$1:$AS$1,),)))))/(((VLOOKUP(EDATE(B301,-12),Database!$A:$AS,MATCH($S$1,Database!$A$1:$AS$1,),))))</f>
        <v>-4.8533872605696207E-2</v>
      </c>
      <c r="T301" s="13">
        <f>((((VLOOKUP(B301,Database!$A:$AS,MATCH($T$1,Database!$A$1:$AS$1,),))))-(((VLOOKUP(EDATE(B301,-12),Database!$A:$AS,MATCH($T$1,Database!$A$1:$AS$1,),)))))/(((VLOOKUP(EDATE(B301,-12),Database!$A:$AS,MATCH($T$1,Database!$A$1:$AS$1,),))))</f>
        <v>7.9110012359701734E-2</v>
      </c>
      <c r="U301" s="13">
        <f>((((VLOOKUP(B301,Database!$A:$AS,MATCH($U$1,Database!$A$1:$AS$1,),))))-(((VLOOKUP(EDATE(B301,-12),Database!$A:$AS,MATCH($U$1,Database!$A$1:$AS$1,),)))))/(((VLOOKUP(EDATE(B301,-12),Database!$A:$AS,MATCH($U$1,Database!$A$1:$AS$1,),))))</f>
        <v>-4.8231511254364014E-2</v>
      </c>
      <c r="V301" s="13">
        <f>((((VLOOKUP(B301,Database!$A:$AS,MATCH($V$1,Database!$A$1:$AS$1,),))))-(((VLOOKUP(EDATE(B301,-12),Database!$A:$AS,MATCH($V$1,Database!$A$1:$AS$1,),)))))/(((VLOOKUP(EDATE(B301,-12),Database!$A:$AS,MATCH($V$1,Database!$A$1:$AS$1,),))))</f>
        <v>1.8058690744921092E-2</v>
      </c>
    </row>
    <row r="302" spans="1:22" s="83" customFormat="1" x14ac:dyDescent="0.2">
      <c r="A302" s="43"/>
      <c r="B302" s="78">
        <v>41334</v>
      </c>
      <c r="C302" s="13">
        <f>((((VLOOKUP(B302,Database!$A:$AS,MATCH($C$1,Database!$A$1:$AS$1,),))))-(((VLOOKUP(EDATE(B302,-12),Database!$A:$AS,MATCH($C$1,Database!$A$1:$AS$1,),)))))/(((VLOOKUP(EDATE(B302,-12),Database!$A:$AS,MATCH($C$1,Database!$A$1:$AS$1,),))))</f>
        <v>2.5766427744955293E-2</v>
      </c>
      <c r="D302" s="13">
        <f>((((VLOOKUP(B302,Database!$A:$AS,MATCH($D$1,Database!$A$1:$AS$1,),))))-(((VLOOKUP(EDATE(B302,-12),Database!$A:$AS,MATCH($D$1,Database!$A$1:$AS$1,),)))))/(((VLOOKUP(EDATE(B302,-12),Database!$A:$AS,MATCH($D$1,Database!$A$1:$AS$1,),))))</f>
        <v>-1.8329938900203638E-2</v>
      </c>
      <c r="E302" s="13">
        <f>((((VLOOKUP(B302,Database!$A:$AS,MATCH($E$1,Database!$A$1:$AS$1,),))))-(((VLOOKUP(EDATE(B302,-12),Database!$A:$AS,MATCH($E$1,Database!$A$1:$AS$1,),)))))/(((VLOOKUP(EDATE(B302,-12),Database!$A:$AS,MATCH($E$1,Database!$A$1:$AS$1,),))))</f>
        <v>-5.383174550153412E-2</v>
      </c>
      <c r="F302" s="13">
        <f>((((VLOOKUP(B302,Database!$A:$AS,MATCH($F$1,Database!$A$1:$AS$1,),))))-(((VLOOKUP(EDATE(B302,-12),Database!$A:$AS,MATCH($F$1,Database!$A$1:$AS$1,),)))))/(((VLOOKUP(EDATE(B302,-12),Database!$A:$AS,MATCH($F$1,Database!$A$1:$AS$1,),))))</f>
        <v>-1.6260162603939626E-2</v>
      </c>
      <c r="G302" s="13">
        <f>((((VLOOKUP(B302,Database!$A:$AS,MATCH($G$1,Database!$A$1:$AS$1,),))))-(((VLOOKUP(EDATE(B302,-12),Database!$A:$AS,MATCH($G$1,Database!$A$1:$AS$1,),)))))/(((VLOOKUP(EDATE(B302,-12),Database!$A:$AS,MATCH($G$1,Database!$A$1:$AS$1,),))))</f>
        <v>-8.2447601072811981E-3</v>
      </c>
      <c r="H302" s="13">
        <f>((((VLOOKUP(B302,Database!$A:$AS,MATCH($H$1,Database!$A$1:$AS$1,),))))-(((VLOOKUP(EDATE(B302,-12),Database!$A:$AS,MATCH($H$1,Database!$A$1:$AS$1,),)))))/(((VLOOKUP(EDATE(B302,-12),Database!$A:$AS,MATCH($H$1,Database!$A$1:$AS$1,),))))</f>
        <v>4.7505938253558965E-3</v>
      </c>
      <c r="I302" s="13">
        <f>((((VLOOKUP(B302,Database!$A:$AS,MATCH($I$1,Database!$A$1:$AS$1,),))))-(((VLOOKUP(EDATE(B302,-12),Database!$A:$AS,MATCH($I$1,Database!$A$1:$AS$1,),)))))/(((VLOOKUP(EDATE(B302,-12),Database!$A:$AS,MATCH($I$1,Database!$A$1:$AS$1,),))))</f>
        <v>-5.2732502398081069E-2</v>
      </c>
      <c r="J302" s="13">
        <f>((((VLOOKUP(B302,Database!$A:$AS,MATCH($J$1,Database!$A$1:$AS$1,),))))-(((VLOOKUP(EDATE(B302,-12),Database!$A:$AS,MATCH($J$1,Database!$A$1:$AS$1,),)))))/(((VLOOKUP(EDATE(B302,-12),Database!$A:$AS,MATCH($J$1,Database!$A$1:$AS$1,),))))</f>
        <v>-2.4901516539777926E-2</v>
      </c>
      <c r="K302" s="13">
        <f>((((VLOOKUP(B302,Database!$A:$AS,MATCH($K$1,Database!$A$1:$AS$1,),))))-(((VLOOKUP(EDATE(B302,-12),Database!$A:$AS,MATCH($K$1,Database!$A$1:$AS$1,),)))))/(((VLOOKUP(EDATE(B302,-12),Database!$A:$AS,MATCH($K$1,Database!$A$1:$AS$1,),))))</f>
        <v>-1.4634146347078734E-2</v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>3.9450166784997789E-3</v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>3.6625971143174382E-2</v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>7.2227852372036012E-3</v>
      </c>
      <c r="O302" s="13">
        <f>((((VLOOKUP(B302,Database!$A:$AS,MATCH($O$1,Database!$A$1:$AS$1,),))))-(((VLOOKUP(EDATE(B302,-12),Database!$A:$AS,MATCH($O$1,Database!$A$1:$AS$1,),)))))/(((VLOOKUP(EDATE(B302,-12),Database!$A:$AS,MATCH($O$1,Database!$A$1:$AS$1,),))))</f>
        <v>1.5519326755187936E-2</v>
      </c>
      <c r="P302" s="13">
        <f>((((VLOOKUP(B302,Database!$A:$AS,MATCH($P$1,Database!$A$1:$AS$1,),))))-(((VLOOKUP(EDATE(B302,-12),Database!$A:$AS,MATCH($P$1,Database!$A$1:$AS$1,),)))))/(((VLOOKUP(EDATE(B302,-12),Database!$A:$AS,MATCH($P$1,Database!$A$1:$AS$1,),))))</f>
        <v>-2.2965248630733371E-3</v>
      </c>
      <c r="Q302" s="13">
        <f>((((VLOOKUP(B302,Database!$A:$AS,MATCH($Q$1,Database!$A$1:$AS$1,),))))-(((VLOOKUP(EDATE(B302,-12),Database!$A:$AS,MATCH($Q$1,Database!$A$1:$AS$1,),)))))/(((VLOOKUP(EDATE(B302,-12),Database!$A:$AS,MATCH($Q$1,Database!$A$1:$AS$1,),))))</f>
        <v>2.9501525941372991E-2</v>
      </c>
      <c r="R302" s="13">
        <f>((((VLOOKUP(B302,Database!$A:$AS,MATCH($R$1,Database!$A$1:$AS$1,),))))-(((VLOOKUP(EDATE(B302,-12),Database!$A:$AS,MATCH($R$1,Database!$A$1:$AS$1,),)))))/(((VLOOKUP(EDATE(B302,-12),Database!$A:$AS,MATCH($R$1,Database!$A$1:$AS$1,),))))</f>
        <v>-4.9067713402515378E-3</v>
      </c>
      <c r="S302" s="13">
        <f>((((VLOOKUP(B302,Database!$A:$AS,MATCH($S$1,Database!$A$1:$AS$1,),))))-(((VLOOKUP(EDATE(B302,-12),Database!$A:$AS,MATCH($S$1,Database!$A$1:$AS$1,),)))))/(((VLOOKUP(EDATE(B302,-12),Database!$A:$AS,MATCH($S$1,Database!$A$1:$AS$1,),))))</f>
        <v>-4.1958041960482841E-2</v>
      </c>
      <c r="T302" s="13">
        <f>((((VLOOKUP(B302,Database!$A:$AS,MATCH($T$1,Database!$A$1:$AS$1,),))))-(((VLOOKUP(EDATE(B302,-12),Database!$A:$AS,MATCH($T$1,Database!$A$1:$AS$1,),)))))/(((VLOOKUP(EDATE(B302,-12),Database!$A:$AS,MATCH($T$1,Database!$A$1:$AS$1,),))))</f>
        <v>5.1995163234019294E-2</v>
      </c>
      <c r="U302" s="13">
        <f>((((VLOOKUP(B302,Database!$A:$AS,MATCH($U$1,Database!$A$1:$AS$1,),))))-(((VLOOKUP(EDATE(B302,-12),Database!$A:$AS,MATCH($U$1,Database!$A$1:$AS$1,),)))))/(((VLOOKUP(EDATE(B302,-12),Database!$A:$AS,MATCH($U$1,Database!$A$1:$AS$1,),))))</f>
        <v>-4.6536796539537774E-2</v>
      </c>
      <c r="V302" s="13">
        <f>((((VLOOKUP(B302,Database!$A:$AS,MATCH($V$1,Database!$A$1:$AS$1,),))))-(((VLOOKUP(EDATE(B302,-12),Database!$A:$AS,MATCH($V$1,Database!$A$1:$AS$1,),)))))/(((VLOOKUP(EDATE(B302,-12),Database!$A:$AS,MATCH($V$1,Database!$A$1:$AS$1,),))))</f>
        <v>-6.651884700665283E-3</v>
      </c>
    </row>
    <row r="303" spans="1:22" s="83" customFormat="1" x14ac:dyDescent="0.2">
      <c r="A303" s="43"/>
      <c r="B303" s="78">
        <v>41365</v>
      </c>
      <c r="C303" s="13">
        <f>((((VLOOKUP(B303,Database!$A:$AS,MATCH($C$1,Database!$A$1:$AS$1,),))))-(((VLOOKUP(EDATE(B303,-12),Database!$A:$AS,MATCH($C$1,Database!$A$1:$AS$1,),)))))/(((VLOOKUP(EDATE(B303,-12),Database!$A:$AS,MATCH($C$1,Database!$A$1:$AS$1,),))))</f>
        <v>1.7251389566520808E-2</v>
      </c>
      <c r="D303" s="13">
        <f>((((VLOOKUP(B303,Database!$A:$AS,MATCH($D$1,Database!$A$1:$AS$1,),))))-(((VLOOKUP(EDATE(B303,-12),Database!$A:$AS,MATCH($D$1,Database!$A$1:$AS$1,),)))))/(((VLOOKUP(EDATE(B303,-12),Database!$A:$AS,MATCH($D$1,Database!$A$1:$AS$1,),))))</f>
        <v>-9.2307692307692889E-3</v>
      </c>
      <c r="E303" s="13">
        <f>((((VLOOKUP(B303,Database!$A:$AS,MATCH($E$1,Database!$A$1:$AS$1,),))))-(((VLOOKUP(EDATE(B303,-12),Database!$A:$AS,MATCH($E$1,Database!$A$1:$AS$1,),)))))/(((VLOOKUP(EDATE(B303,-12),Database!$A:$AS,MATCH($E$1,Database!$A$1:$AS$1,),))))</f>
        <v>-4.7172490572864531E-2</v>
      </c>
      <c r="F303" s="13">
        <f>((((VLOOKUP(B303,Database!$A:$AS,MATCH($F$1,Database!$A$1:$AS$1,),))))-(((VLOOKUP(EDATE(B303,-12),Database!$A:$AS,MATCH($F$1,Database!$A$1:$AS$1,),)))))/(((VLOOKUP(EDATE(B303,-12),Database!$A:$AS,MATCH($F$1,Database!$A$1:$AS$1,),))))</f>
        <v>5.1759834388570725E-3</v>
      </c>
      <c r="G303" s="13">
        <f>((((VLOOKUP(B303,Database!$A:$AS,MATCH($G$1,Database!$A$1:$AS$1,),))))-(((VLOOKUP(EDATE(B303,-12),Database!$A:$AS,MATCH($G$1,Database!$A$1:$AS$1,),)))))/(((VLOOKUP(EDATE(B303,-12),Database!$A:$AS,MATCH($G$1,Database!$A$1:$AS$1,),))))</f>
        <v>4.852446028916566E-3</v>
      </c>
      <c r="H303" s="13">
        <f>((((VLOOKUP(B303,Database!$A:$AS,MATCH($H$1,Database!$A$1:$AS$1,),))))-(((VLOOKUP(EDATE(B303,-12),Database!$A:$AS,MATCH($H$1,Database!$A$1:$AS$1,),)))))/(((VLOOKUP(EDATE(B303,-12),Database!$A:$AS,MATCH($H$1,Database!$A$1:$AS$1,),))))</f>
        <v>9.40070505511292E-3</v>
      </c>
      <c r="I303" s="13">
        <f>((((VLOOKUP(B303,Database!$A:$AS,MATCH($I$1,Database!$A$1:$AS$1,),))))-(((VLOOKUP(EDATE(B303,-12),Database!$A:$AS,MATCH($I$1,Database!$A$1:$AS$1,),)))))/(((VLOOKUP(EDATE(B303,-12),Database!$A:$AS,MATCH($I$1,Database!$A$1:$AS$1,),))))</f>
        <v>-4.6692607000749085E-2</v>
      </c>
      <c r="J303" s="13">
        <f>((((VLOOKUP(B303,Database!$A:$AS,MATCH($J$1,Database!$A$1:$AS$1,),))))-(((VLOOKUP(EDATE(B303,-12),Database!$A:$AS,MATCH($J$1,Database!$A$1:$AS$1,),)))))/(((VLOOKUP(EDATE(B303,-12),Database!$A:$AS,MATCH($J$1,Database!$A$1:$AS$1,),))))</f>
        <v>-2.7980535283241858E-2</v>
      </c>
      <c r="K303" s="13">
        <f>((((VLOOKUP(B303,Database!$A:$AS,MATCH($K$1,Database!$A$1:$AS$1,),))))-(((VLOOKUP(EDATE(B303,-12),Database!$A:$AS,MATCH($K$1,Database!$A$1:$AS$1,),)))))/(((VLOOKUP(EDATE(B303,-12),Database!$A:$AS,MATCH($K$1,Database!$A$1:$AS$1,),))))</f>
        <v>-4.0816326538544744E-2</v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>-1.1937502495750905E-2</v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>2.4390243902439056E-2</v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>3.2971916715576803E-2</v>
      </c>
      <c r="O303" s="13">
        <f>((((VLOOKUP(B303,Database!$A:$AS,MATCH($O$1,Database!$A$1:$AS$1,),))))-(((VLOOKUP(EDATE(B303,-12),Database!$A:$AS,MATCH($O$1,Database!$A$1:$AS$1,),)))))/(((VLOOKUP(EDATE(B303,-12),Database!$A:$AS,MATCH($O$1,Database!$A$1:$AS$1,),))))</f>
        <v>-5.008878098919379E-4</v>
      </c>
      <c r="P303" s="13">
        <f>((((VLOOKUP(B303,Database!$A:$AS,MATCH($P$1,Database!$A$1:$AS$1,),))))-(((VLOOKUP(EDATE(B303,-12),Database!$A:$AS,MATCH($P$1,Database!$A$1:$AS$1,),)))))/(((VLOOKUP(EDATE(B303,-12),Database!$A:$AS,MATCH($P$1,Database!$A$1:$AS$1,),))))</f>
        <v>-4.9984005137634936E-3</v>
      </c>
      <c r="Q303" s="13">
        <f>((((VLOOKUP(B303,Database!$A:$AS,MATCH($Q$1,Database!$A$1:$AS$1,),))))-(((VLOOKUP(EDATE(B303,-12),Database!$A:$AS,MATCH($Q$1,Database!$A$1:$AS$1,),)))))/(((VLOOKUP(EDATE(B303,-12),Database!$A:$AS,MATCH($Q$1,Database!$A$1:$AS$1,),))))</f>
        <v>4.4670050760794146E-2</v>
      </c>
      <c r="R303" s="13">
        <f>((((VLOOKUP(B303,Database!$A:$AS,MATCH($R$1,Database!$A$1:$AS$1,),))))-(((VLOOKUP(EDATE(B303,-12),Database!$A:$AS,MATCH($R$1,Database!$A$1:$AS$1,),)))))/(((VLOOKUP(EDATE(B303,-12),Database!$A:$AS,MATCH($R$1,Database!$A$1:$AS$1,),))))</f>
        <v>1.9455252862582149E-3</v>
      </c>
      <c r="S303" s="13">
        <f>((((VLOOKUP(B303,Database!$A:$AS,MATCH($S$1,Database!$A$1:$AS$1,),))))-(((VLOOKUP(EDATE(B303,-12),Database!$A:$AS,MATCH($S$1,Database!$A$1:$AS$1,),)))))/(((VLOOKUP(EDATE(B303,-12),Database!$A:$AS,MATCH($S$1,Database!$A$1:$AS$1,),))))</f>
        <v>1.0319917503749329E-3</v>
      </c>
      <c r="T303" s="13">
        <f>((((VLOOKUP(B303,Database!$A:$AS,MATCH($T$1,Database!$A$1:$AS$1,),))))-(((VLOOKUP(EDATE(B303,-12),Database!$A:$AS,MATCH($T$1,Database!$A$1:$AS$1,),)))))/(((VLOOKUP(EDATE(B303,-12),Database!$A:$AS,MATCH($T$1,Database!$A$1:$AS$1,),))))</f>
        <v>4.7789725215860841E-2</v>
      </c>
      <c r="U303" s="13">
        <f>((((VLOOKUP(B303,Database!$A:$AS,MATCH($U$1,Database!$A$1:$AS$1,),))))-(((VLOOKUP(EDATE(B303,-12),Database!$A:$AS,MATCH($U$1,Database!$A$1:$AS$1,),)))))/(((VLOOKUP(EDATE(B303,-12),Database!$A:$AS,MATCH($U$1,Database!$A$1:$AS$1,),))))</f>
        <v>-3.0335861320755417E-2</v>
      </c>
      <c r="V303" s="13">
        <f>((((VLOOKUP(B303,Database!$A:$AS,MATCH($V$1,Database!$A$1:$AS$1,),))))-(((VLOOKUP(EDATE(B303,-12),Database!$A:$AS,MATCH($V$1,Database!$A$1:$AS$1,),)))))/(((VLOOKUP(EDATE(B303,-12),Database!$A:$AS,MATCH($V$1,Database!$A$1:$AS$1,),))))</f>
        <v>4.4247787610618523E-3</v>
      </c>
    </row>
    <row r="304" spans="1:22" s="83" customFormat="1" x14ac:dyDescent="0.2">
      <c r="A304" s="43"/>
      <c r="B304" s="78">
        <v>41395</v>
      </c>
      <c r="C304" s="13">
        <f>((((VLOOKUP(B304,Database!$A:$AS,MATCH($C$1,Database!$A$1:$AS$1,),))))-(((VLOOKUP(EDATE(B304,-12),Database!$A:$AS,MATCH($C$1,Database!$A$1:$AS$1,),)))))/(((VLOOKUP(EDATE(B304,-12),Database!$A:$AS,MATCH($C$1,Database!$A$1:$AS$1,),))))</f>
        <v>1.6474310772249073E-2</v>
      </c>
      <c r="D304" s="13">
        <f>((((VLOOKUP(B304,Database!$A:$AS,MATCH($D$1,Database!$A$1:$AS$1,),))))-(((VLOOKUP(EDATE(B304,-12),Database!$A:$AS,MATCH($D$1,Database!$A$1:$AS$1,),)))))/(((VLOOKUP(EDATE(B304,-12),Database!$A:$AS,MATCH($D$1,Database!$A$1:$AS$1,),))))</f>
        <v>-1.5259409969481181E-2</v>
      </c>
      <c r="E304" s="13">
        <f>((((VLOOKUP(B304,Database!$A:$AS,MATCH($E$1,Database!$A$1:$AS$1,),))))-(((VLOOKUP(EDATE(B304,-12),Database!$A:$AS,MATCH($E$1,Database!$A$1:$AS$1,),)))))/(((VLOOKUP(EDATE(B304,-12),Database!$A:$AS,MATCH($E$1,Database!$A$1:$AS$1,),))))</f>
        <v>-1.4924946583075365E-2</v>
      </c>
      <c r="F304" s="13">
        <f>((((VLOOKUP(B304,Database!$A:$AS,MATCH($F$1,Database!$A$1:$AS$1,),))))-(((VLOOKUP(EDATE(B304,-12),Database!$A:$AS,MATCH($F$1,Database!$A$1:$AS$1,),)))))/(((VLOOKUP(EDATE(B304,-12),Database!$A:$AS,MATCH($F$1,Database!$A$1:$AS$1,),))))</f>
        <v>-2.0304568535752625E-2</v>
      </c>
      <c r="G304" s="13">
        <f>((((VLOOKUP(B304,Database!$A:$AS,MATCH($G$1,Database!$A$1:$AS$1,),))))-(((VLOOKUP(EDATE(B304,-12),Database!$A:$AS,MATCH($G$1,Database!$A$1:$AS$1,),)))))/(((VLOOKUP(EDATE(B304,-12),Database!$A:$AS,MATCH($G$1,Database!$A$1:$AS$1,),))))</f>
        <v>1.5574758842443703E-2</v>
      </c>
      <c r="H304" s="13">
        <f>((((VLOOKUP(B304,Database!$A:$AS,MATCH($H$1,Database!$A$1:$AS$1,),))))-(((VLOOKUP(EDATE(B304,-12),Database!$A:$AS,MATCH($H$1,Database!$A$1:$AS$1,),)))))/(((VLOOKUP(EDATE(B304,-12),Database!$A:$AS,MATCH($H$1,Database!$A$1:$AS$1,),))))</f>
        <v>1.0404624277145955E-2</v>
      </c>
      <c r="I304" s="13">
        <f>((((VLOOKUP(B304,Database!$A:$AS,MATCH($I$1,Database!$A$1:$AS$1,),))))-(((VLOOKUP(EDATE(B304,-12),Database!$A:$AS,MATCH($I$1,Database!$A$1:$AS$1,),)))))/(((VLOOKUP(EDATE(B304,-12),Database!$A:$AS,MATCH($I$1,Database!$A$1:$AS$1,),))))</f>
        <v>-4.3144774695440834E-2</v>
      </c>
      <c r="J304" s="13">
        <f>((((VLOOKUP(B304,Database!$A:$AS,MATCH($J$1,Database!$A$1:$AS$1,),))))-(((VLOOKUP(EDATE(B304,-12),Database!$A:$AS,MATCH($J$1,Database!$A$1:$AS$1,),)))))/(((VLOOKUP(EDATE(B304,-12),Database!$A:$AS,MATCH($J$1,Database!$A$1:$AS$1,),))))</f>
        <v>-3.100727722136647E-2</v>
      </c>
      <c r="K304" s="13">
        <f>((((VLOOKUP(B304,Database!$A:$AS,MATCH($K$1,Database!$A$1:$AS$1,),))))-(((VLOOKUP(EDATE(B304,-12),Database!$A:$AS,MATCH($K$1,Database!$A$1:$AS$1,),)))))/(((VLOOKUP(EDATE(B304,-12),Database!$A:$AS,MATCH($K$1,Database!$A$1:$AS$1,),))))</f>
        <v>-9.3370681607832531E-2</v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>-1.2235222795478208E-2</v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>3.7444933920704908E-2</v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>4.4222587572963299E-3</v>
      </c>
      <c r="O304" s="13">
        <f>((((VLOOKUP(B304,Database!$A:$AS,MATCH($O$1,Database!$A$1:$AS$1,),))))-(((VLOOKUP(EDATE(B304,-12),Database!$A:$AS,MATCH($O$1,Database!$A$1:$AS$1,),)))))/(((VLOOKUP(EDATE(B304,-12),Database!$A:$AS,MATCH($O$1,Database!$A$1:$AS$1,),))))</f>
        <v>-2.0356621010475641E-3</v>
      </c>
      <c r="P304" s="13">
        <f>((((VLOOKUP(B304,Database!$A:$AS,MATCH($P$1,Database!$A$1:$AS$1,),))))-(((VLOOKUP(EDATE(B304,-12),Database!$A:$AS,MATCH($P$1,Database!$A$1:$AS$1,),)))))/(((VLOOKUP(EDATE(B304,-12),Database!$A:$AS,MATCH($P$1,Database!$A$1:$AS$1,),))))</f>
        <v>-1.629024459900923E-2</v>
      </c>
      <c r="Q304" s="13">
        <f>((((VLOOKUP(B304,Database!$A:$AS,MATCH($Q$1,Database!$A$1:$AS$1,),))))-(((VLOOKUP(EDATE(B304,-12),Database!$A:$AS,MATCH($Q$1,Database!$A$1:$AS$1,),)))))/(((VLOOKUP(EDATE(B304,-12),Database!$A:$AS,MATCH($Q$1,Database!$A$1:$AS$1,),))))</f>
        <v>3.6400404445029094E-2</v>
      </c>
      <c r="R304" s="13">
        <f>((((VLOOKUP(B304,Database!$A:$AS,MATCH($R$1,Database!$A$1:$AS$1,),))))-(((VLOOKUP(EDATE(B304,-12),Database!$A:$AS,MATCH($R$1,Database!$A$1:$AS$1,),)))))/(((VLOOKUP(EDATE(B304,-12),Database!$A:$AS,MATCH($R$1,Database!$A$1:$AS$1,),))))</f>
        <v>-4.0758293845419936E-2</v>
      </c>
      <c r="S304" s="13">
        <f>((((VLOOKUP(B304,Database!$A:$AS,MATCH($S$1,Database!$A$1:$AS$1,),))))-(((VLOOKUP(EDATE(B304,-12),Database!$A:$AS,MATCH($S$1,Database!$A$1:$AS$1,),)))))/(((VLOOKUP(EDATE(B304,-12),Database!$A:$AS,MATCH($S$1,Database!$A$1:$AS$1,),))))</f>
        <v>-3.9564787266861585E-3</v>
      </c>
      <c r="T304" s="13">
        <f>((((VLOOKUP(B304,Database!$A:$AS,MATCH($T$1,Database!$A$1:$AS$1,),))))-(((VLOOKUP(EDATE(B304,-12),Database!$A:$AS,MATCH($T$1,Database!$A$1:$AS$1,),)))))/(((VLOOKUP(EDATE(B304,-12),Database!$A:$AS,MATCH($T$1,Database!$A$1:$AS$1,),))))</f>
        <v>4.6428571427763549E-2</v>
      </c>
      <c r="U304" s="13">
        <f>((((VLOOKUP(B304,Database!$A:$AS,MATCH($U$1,Database!$A$1:$AS$1,),))))-(((VLOOKUP(EDATE(B304,-12),Database!$A:$AS,MATCH($U$1,Database!$A$1:$AS$1,),)))))/(((VLOOKUP(EDATE(B304,-12),Database!$A:$AS,MATCH($U$1,Database!$A$1:$AS$1,),))))</f>
        <v>-2.8108108109546007E-2</v>
      </c>
      <c r="V304" s="13">
        <f>((((VLOOKUP(B304,Database!$A:$AS,MATCH($V$1,Database!$A$1:$AS$1,),))))-(((VLOOKUP(EDATE(B304,-12),Database!$A:$AS,MATCH($V$1,Database!$A$1:$AS$1,),)))))/(((VLOOKUP(EDATE(B304,-12),Database!$A:$AS,MATCH($V$1,Database!$A$1:$AS$1,),))))</f>
        <v>4.3525571273122033E-3</v>
      </c>
    </row>
    <row r="305" spans="1:22" s="83" customFormat="1" x14ac:dyDescent="0.2">
      <c r="A305" s="43"/>
      <c r="B305" s="78">
        <v>41426</v>
      </c>
      <c r="C305" s="13">
        <f>((((VLOOKUP(B305,Database!$A:$AS,MATCH($C$1,Database!$A$1:$AS$1,),))))-(((VLOOKUP(EDATE(B305,-12),Database!$A:$AS,MATCH($C$1,Database!$A$1:$AS$1,),)))))/(((VLOOKUP(EDATE(B305,-12),Database!$A:$AS,MATCH($C$1,Database!$A$1:$AS$1,),))))</f>
        <v>1.79441952741097E-2</v>
      </c>
      <c r="D305" s="13">
        <f>((((VLOOKUP(B305,Database!$A:$AS,MATCH($D$1,Database!$A$1:$AS$1,),))))-(((VLOOKUP(EDATE(B305,-12),Database!$A:$AS,MATCH($D$1,Database!$A$1:$AS$1,),)))))/(((VLOOKUP(EDATE(B305,-12),Database!$A:$AS,MATCH($D$1,Database!$A$1:$AS$1,),))))</f>
        <v>-6.1601642710473149E-3</v>
      </c>
      <c r="E305" s="13">
        <f>((((VLOOKUP(B305,Database!$A:$AS,MATCH($E$1,Database!$A$1:$AS$1,),))))-(((VLOOKUP(EDATE(B305,-12),Database!$A:$AS,MATCH($E$1,Database!$A$1:$AS$1,),)))))/(((VLOOKUP(EDATE(B305,-12),Database!$A:$AS,MATCH($E$1,Database!$A$1:$AS$1,),))))</f>
        <v>-1.7835408481209569E-2</v>
      </c>
      <c r="F305" s="13">
        <f>((((VLOOKUP(B305,Database!$A:$AS,MATCH($F$1,Database!$A$1:$AS$1,),))))-(((VLOOKUP(EDATE(B305,-12),Database!$A:$AS,MATCH($F$1,Database!$A$1:$AS$1,),)))))/(((VLOOKUP(EDATE(B305,-12),Database!$A:$AS,MATCH($F$1,Database!$A$1:$AS$1,),))))</f>
        <v>9.2497430704358719E-3</v>
      </c>
      <c r="G305" s="13">
        <f>((((VLOOKUP(B305,Database!$A:$AS,MATCH($G$1,Database!$A$1:$AS$1,),))))-(((VLOOKUP(EDATE(B305,-12),Database!$A:$AS,MATCH($G$1,Database!$A$1:$AS$1,),)))))/(((VLOOKUP(EDATE(B305,-12),Database!$A:$AS,MATCH($G$1,Database!$A$1:$AS$1,),))))</f>
        <v>1.0835443037974615E-2</v>
      </c>
      <c r="H305" s="13">
        <f>((((VLOOKUP(B305,Database!$A:$AS,MATCH($H$1,Database!$A$1:$AS$1,),))))-(((VLOOKUP(EDATE(B305,-12),Database!$A:$AS,MATCH($H$1,Database!$A$1:$AS$1,),)))))/(((VLOOKUP(EDATE(B305,-12),Database!$A:$AS,MATCH($H$1,Database!$A$1:$AS$1,),))))</f>
        <v>3.8732394361432054E-2</v>
      </c>
      <c r="I305" s="13">
        <f>((((VLOOKUP(B305,Database!$A:$AS,MATCH($I$1,Database!$A$1:$AS$1,),))))-(((VLOOKUP(EDATE(B305,-12),Database!$A:$AS,MATCH($I$1,Database!$A$1:$AS$1,),)))))/(((VLOOKUP(EDATE(B305,-12),Database!$A:$AS,MATCH($I$1,Database!$A$1:$AS$1,),))))</f>
        <v>-2.4461839530074175E-2</v>
      </c>
      <c r="J305" s="13">
        <f>((((VLOOKUP(B305,Database!$A:$AS,MATCH($J$1,Database!$A$1:$AS$1,),))))-(((VLOOKUP(EDATE(B305,-12),Database!$A:$AS,MATCH($J$1,Database!$A$1:$AS$1,),)))))/(((VLOOKUP(EDATE(B305,-12),Database!$A:$AS,MATCH($J$1,Database!$A$1:$AS$1,),))))</f>
        <v>-1.5436812595481441E-2</v>
      </c>
      <c r="K305" s="13">
        <f>((((VLOOKUP(B305,Database!$A:$AS,MATCH($K$1,Database!$A$1:$AS$1,),))))-(((VLOOKUP(EDATE(B305,-12),Database!$A:$AS,MATCH($K$1,Database!$A$1:$AS$1,),)))))/(((VLOOKUP(EDATE(B305,-12),Database!$A:$AS,MATCH($K$1,Database!$A$1:$AS$1,),))))</f>
        <v>-6.2082139447942712E-2</v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>-1.5339535076481833E-2</v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>1.9801980198019771E-2</v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>-6.7322187781520904E-3</v>
      </c>
      <c r="O305" s="13">
        <f>((((VLOOKUP(B305,Database!$A:$AS,MATCH($O$1,Database!$A$1:$AS$1,),))))-(((VLOOKUP(EDATE(B305,-12),Database!$A:$AS,MATCH($O$1,Database!$A$1:$AS$1,),)))))/(((VLOOKUP(EDATE(B305,-12),Database!$A:$AS,MATCH($O$1,Database!$A$1:$AS$1,),))))</f>
        <v>6.5982300206937595E-4</v>
      </c>
      <c r="P305" s="13">
        <f>((((VLOOKUP(B305,Database!$A:$AS,MATCH($P$1,Database!$A$1:$AS$1,),))))-(((VLOOKUP(EDATE(B305,-12),Database!$A:$AS,MATCH($P$1,Database!$A$1:$AS$1,),)))))/(((VLOOKUP(EDATE(B305,-12),Database!$A:$AS,MATCH($P$1,Database!$A$1:$AS$1,),))))</f>
        <v>3.4100510969088719E-3</v>
      </c>
      <c r="Q305" s="13">
        <f>((((VLOOKUP(B305,Database!$A:$AS,MATCH($Q$1,Database!$A$1:$AS$1,),))))-(((VLOOKUP(EDATE(B305,-12),Database!$A:$AS,MATCH($Q$1,Database!$A$1:$AS$1,),)))))/(((VLOOKUP(EDATE(B305,-12),Database!$A:$AS,MATCH($Q$1,Database!$A$1:$AS$1,),))))</f>
        <v>4.242424241823748E-2</v>
      </c>
      <c r="R305" s="13">
        <f>((((VLOOKUP(B305,Database!$A:$AS,MATCH($R$1,Database!$A$1:$AS$1,),))))-(((VLOOKUP(EDATE(B305,-12),Database!$A:$AS,MATCH($R$1,Database!$A$1:$AS$1,),)))))/(((VLOOKUP(EDATE(B305,-12),Database!$A:$AS,MATCH($R$1,Database!$A$1:$AS$1,),))))</f>
        <v>2.4061597688676946E-2</v>
      </c>
      <c r="S305" s="13">
        <f>((((VLOOKUP(B305,Database!$A:$AS,MATCH($S$1,Database!$A$1:$AS$1,),))))-(((VLOOKUP(EDATE(B305,-12),Database!$A:$AS,MATCH($S$1,Database!$A$1:$AS$1,),)))))/(((VLOOKUP(EDATE(B305,-12),Database!$A:$AS,MATCH($S$1,Database!$A$1:$AS$1,),))))</f>
        <v>-2.4144869218860179E-2</v>
      </c>
      <c r="T305" s="13">
        <f>((((VLOOKUP(B305,Database!$A:$AS,MATCH($T$1,Database!$A$1:$AS$1,),))))-(((VLOOKUP(EDATE(B305,-12),Database!$A:$AS,MATCH($T$1,Database!$A$1:$AS$1,),)))))/(((VLOOKUP(EDATE(B305,-12),Database!$A:$AS,MATCH($T$1,Database!$A$1:$AS$1,),))))</f>
        <v>8.6330935251971025E-2</v>
      </c>
      <c r="U305" s="13">
        <f>((((VLOOKUP(B305,Database!$A:$AS,MATCH($U$1,Database!$A$1:$AS$1,),))))-(((VLOOKUP(EDATE(B305,-12),Database!$A:$AS,MATCH($U$1,Database!$A$1:$AS$1,),)))))/(((VLOOKUP(EDATE(B305,-12),Database!$A:$AS,MATCH($U$1,Database!$A$1:$AS$1,),))))</f>
        <v>-1.7334777900670659E-2</v>
      </c>
      <c r="V305" s="13">
        <f>((((VLOOKUP(B305,Database!$A:$AS,MATCH($V$1,Database!$A$1:$AS$1,),))))-(((VLOOKUP(EDATE(B305,-12),Database!$A:$AS,MATCH($V$1,Database!$A$1:$AS$1,),)))))/(((VLOOKUP(EDATE(B305,-12),Database!$A:$AS,MATCH($V$1,Database!$A$1:$AS$1,),))))</f>
        <v>2.7563395810363836E-2</v>
      </c>
    </row>
    <row r="306" spans="1:22" s="83" customFormat="1" x14ac:dyDescent="0.2">
      <c r="A306" s="43"/>
      <c r="B306" s="78">
        <v>41456</v>
      </c>
      <c r="C306" s="13">
        <f>((((VLOOKUP(B306,Database!$A:$AS,MATCH($C$1,Database!$A$1:$AS$1,),))))-(((VLOOKUP(EDATE(B306,-12),Database!$A:$AS,MATCH($C$1,Database!$A$1:$AS$1,),)))))/(((VLOOKUP(EDATE(B306,-12),Database!$A:$AS,MATCH($C$1,Database!$A$1:$AS$1,),))))</f>
        <v>1.2713122417773502E-2</v>
      </c>
      <c r="D306" s="13">
        <f>((((VLOOKUP(B306,Database!$A:$AS,MATCH($D$1,Database!$A$1:$AS$1,),))))-(((VLOOKUP(EDATE(B306,-12),Database!$A:$AS,MATCH($D$1,Database!$A$1:$AS$1,),)))))/(((VLOOKUP(EDATE(B306,-12),Database!$A:$AS,MATCH($D$1,Database!$A$1:$AS$1,),))))</f>
        <v>-1.7400204708290713E-2</v>
      </c>
      <c r="E306" s="13">
        <f>((((VLOOKUP(B306,Database!$A:$AS,MATCH($E$1,Database!$A$1:$AS$1,),))))-(((VLOOKUP(EDATE(B306,-12),Database!$A:$AS,MATCH($E$1,Database!$A$1:$AS$1,),)))))/(((VLOOKUP(EDATE(B306,-12),Database!$A:$AS,MATCH($E$1,Database!$A$1:$AS$1,),))))</f>
        <v>2.2301193885202303E-3</v>
      </c>
      <c r="F306" s="13">
        <f>((((VLOOKUP(B306,Database!$A:$AS,MATCH($F$1,Database!$A$1:$AS$1,),))))-(((VLOOKUP(EDATE(B306,-12),Database!$A:$AS,MATCH($F$1,Database!$A$1:$AS$1,),)))))/(((VLOOKUP(EDATE(B306,-12),Database!$A:$AS,MATCH($F$1,Database!$A$1:$AS$1,),))))</f>
        <v>-1.9308943090907842E-2</v>
      </c>
      <c r="G306" s="13">
        <f>((((VLOOKUP(B306,Database!$A:$AS,MATCH($G$1,Database!$A$1:$AS$1,),))))-(((VLOOKUP(EDATE(B306,-12),Database!$A:$AS,MATCH($G$1,Database!$A$1:$AS$1,),)))))/(((VLOOKUP(EDATE(B306,-12),Database!$A:$AS,MATCH($G$1,Database!$A$1:$AS$1,),))))</f>
        <v>-3.2180209171358927E-3</v>
      </c>
      <c r="H306" s="13">
        <f>((((VLOOKUP(B306,Database!$A:$AS,MATCH($H$1,Database!$A$1:$AS$1,),))))-(((VLOOKUP(EDATE(B306,-12),Database!$A:$AS,MATCH($H$1,Database!$A$1:$AS$1,),)))))/(((VLOOKUP(EDATE(B306,-12),Database!$A:$AS,MATCH($H$1,Database!$A$1:$AS$1,),))))</f>
        <v>3.4129692761279387E-3</v>
      </c>
      <c r="I306" s="13">
        <f>((((VLOOKUP(B306,Database!$A:$AS,MATCH($I$1,Database!$A$1:$AS$1,),))))-(((VLOOKUP(EDATE(B306,-12),Database!$A:$AS,MATCH($I$1,Database!$A$1:$AS$1,),)))))/(((VLOOKUP(EDATE(B306,-12),Database!$A:$AS,MATCH($I$1,Database!$A$1:$AS$1,),))))</f>
        <v>-3.5852713184369979E-2</v>
      </c>
      <c r="J306" s="13">
        <f>((((VLOOKUP(B306,Database!$A:$AS,MATCH($J$1,Database!$A$1:$AS$1,),))))-(((VLOOKUP(EDATE(B306,-12),Database!$A:$AS,MATCH($J$1,Database!$A$1:$AS$1,),)))))/(((VLOOKUP(EDATE(B306,-12),Database!$A:$AS,MATCH($J$1,Database!$A$1:$AS$1,),))))</f>
        <v>-1.1493302467437353E-2</v>
      </c>
      <c r="K306" s="13">
        <f>((((VLOOKUP(B306,Database!$A:$AS,MATCH($K$1,Database!$A$1:$AS$1,),))))-(((VLOOKUP(EDATE(B306,-12),Database!$A:$AS,MATCH($K$1,Database!$A$1:$AS$1,),)))))/(((VLOOKUP(EDATE(B306,-12),Database!$A:$AS,MATCH($K$1,Database!$A$1:$AS$1,),))))</f>
        <v>-3.8350910833056778E-2</v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>-9.7387306561136072E-3</v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>5.4764512595837896E-3</v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>2.9009854418246196E-2</v>
      </c>
      <c r="O306" s="13">
        <f>((((VLOOKUP(B306,Database!$A:$AS,MATCH($O$1,Database!$A$1:$AS$1,),))))-(((VLOOKUP(EDATE(B306,-12),Database!$A:$AS,MATCH($O$1,Database!$A$1:$AS$1,),)))))/(((VLOOKUP(EDATE(B306,-12),Database!$A:$AS,MATCH($O$1,Database!$A$1:$AS$1,),))))</f>
        <v>8.5306332433655822E-3</v>
      </c>
      <c r="P306" s="13">
        <f>((((VLOOKUP(B306,Database!$A:$AS,MATCH($P$1,Database!$A$1:$AS$1,),))))-(((VLOOKUP(EDATE(B306,-12),Database!$A:$AS,MATCH($P$1,Database!$A$1:$AS$1,),)))))/(((VLOOKUP(EDATE(B306,-12),Database!$A:$AS,MATCH($P$1,Database!$A$1:$AS$1,),))))</f>
        <v>1.9807813486227861E-3</v>
      </c>
      <c r="Q306" s="13">
        <f>((((VLOOKUP(B306,Database!$A:$AS,MATCH($Q$1,Database!$A$1:$AS$1,),))))-(((VLOOKUP(EDATE(B306,-12),Database!$A:$AS,MATCH($Q$1,Database!$A$1:$AS$1,),)))))/(((VLOOKUP(EDATE(B306,-12),Database!$A:$AS,MATCH($Q$1,Database!$A$1:$AS$1,),))))</f>
        <v>1.8905472637598345E-2</v>
      </c>
      <c r="R306" s="13">
        <f>((((VLOOKUP(B306,Database!$A:$AS,MATCH($R$1,Database!$A$1:$AS$1,),))))-(((VLOOKUP(EDATE(B306,-12),Database!$A:$AS,MATCH($R$1,Database!$A$1:$AS$1,),)))))/(((VLOOKUP(EDATE(B306,-12),Database!$A:$AS,MATCH($R$1,Database!$A$1:$AS$1,),))))</f>
        <v>-7.2300469483762259E-2</v>
      </c>
      <c r="S306" s="13">
        <f>((((VLOOKUP(B306,Database!$A:$AS,MATCH($S$1,Database!$A$1:$AS$1,),))))-(((VLOOKUP(EDATE(B306,-12),Database!$A:$AS,MATCH($S$1,Database!$A$1:$AS$1,),)))))/(((VLOOKUP(EDATE(B306,-12),Database!$A:$AS,MATCH($S$1,Database!$A$1:$AS$1,),))))</f>
        <v>-2.7551020398224935E-2</v>
      </c>
      <c r="T306" s="13">
        <f>((((VLOOKUP(B306,Database!$A:$AS,MATCH($T$1,Database!$A$1:$AS$1,),))))-(((VLOOKUP(EDATE(B306,-12),Database!$A:$AS,MATCH($T$1,Database!$A$1:$AS$1,),)))))/(((VLOOKUP(EDATE(B306,-12),Database!$A:$AS,MATCH($T$1,Database!$A$1:$AS$1,),))))</f>
        <v>7.007125890378052E-2</v>
      </c>
      <c r="U306" s="13">
        <f>((((VLOOKUP(B306,Database!$A:$AS,MATCH($U$1,Database!$A$1:$AS$1,),))))-(((VLOOKUP(EDATE(B306,-12),Database!$A:$AS,MATCH($U$1,Database!$A$1:$AS$1,),)))))/(((VLOOKUP(EDATE(B306,-12),Database!$A:$AS,MATCH($U$1,Database!$A$1:$AS$1,),))))</f>
        <v>4.3290043350491629E-3</v>
      </c>
      <c r="V306" s="13">
        <f>((((VLOOKUP(B306,Database!$A:$AS,MATCH($V$1,Database!$A$1:$AS$1,),))))-(((VLOOKUP(EDATE(B306,-12),Database!$A:$AS,MATCH($V$1,Database!$A$1:$AS$1,),)))))/(((VLOOKUP(EDATE(B306,-12),Database!$A:$AS,MATCH($V$1,Database!$A$1:$AS$1,),))))</f>
        <v>3.9691289966923858E-2</v>
      </c>
    </row>
    <row r="307" spans="1:22" s="83" customFormat="1" x14ac:dyDescent="0.2">
      <c r="A307" s="43"/>
      <c r="B307" s="78">
        <v>41487</v>
      </c>
      <c r="C307" s="13">
        <f>((((VLOOKUP(B307,Database!$A:$AS,MATCH($C$1,Database!$A$1:$AS$1,),))))-(((VLOOKUP(EDATE(B307,-12),Database!$A:$AS,MATCH($C$1,Database!$A$1:$AS$1,),)))))/(((VLOOKUP(EDATE(B307,-12),Database!$A:$AS,MATCH($C$1,Database!$A$1:$AS$1,),))))</f>
        <v>2.2772454311606637E-2</v>
      </c>
      <c r="D307" s="13">
        <f>((((VLOOKUP(B307,Database!$A:$AS,MATCH($D$1,Database!$A$1:$AS$1,),))))-(((VLOOKUP(EDATE(B307,-12),Database!$A:$AS,MATCH($D$1,Database!$A$1:$AS$1,),)))))/(((VLOOKUP(EDATE(B307,-12),Database!$A:$AS,MATCH($D$1,Database!$A$1:$AS$1,),))))</f>
        <v>-2.032520325203252E-2</v>
      </c>
      <c r="E307" s="13">
        <f>((((VLOOKUP(B307,Database!$A:$AS,MATCH($E$1,Database!$A$1:$AS$1,),))))-(((VLOOKUP(EDATE(B307,-12),Database!$A:$AS,MATCH($E$1,Database!$A$1:$AS$1,),)))))/(((VLOOKUP(EDATE(B307,-12),Database!$A:$AS,MATCH($E$1,Database!$A$1:$AS$1,),))))</f>
        <v>1.7786153268215598E-2</v>
      </c>
      <c r="F307" s="13">
        <f>((((VLOOKUP(B307,Database!$A:$AS,MATCH($F$1,Database!$A$1:$AS$1,),))))-(((VLOOKUP(EDATE(B307,-12),Database!$A:$AS,MATCH($F$1,Database!$A$1:$AS$1,),)))))/(((VLOOKUP(EDATE(B307,-12),Database!$A:$AS,MATCH($F$1,Database!$A$1:$AS$1,),))))</f>
        <v>3.0487804869682171E-3</v>
      </c>
      <c r="G307" s="13">
        <f>((((VLOOKUP(B307,Database!$A:$AS,MATCH($G$1,Database!$A$1:$AS$1,),))))-(((VLOOKUP(EDATE(B307,-12),Database!$A:$AS,MATCH($G$1,Database!$A$1:$AS$1,),)))))/(((VLOOKUP(EDATE(B307,-12),Database!$A:$AS,MATCH($G$1,Database!$A$1:$AS$1,),))))</f>
        <v>-3.2657879205193717E-2</v>
      </c>
      <c r="H307" s="13">
        <f>((((VLOOKUP(B307,Database!$A:$AS,MATCH($H$1,Database!$A$1:$AS$1,),))))-(((VLOOKUP(EDATE(B307,-12),Database!$A:$AS,MATCH($H$1,Database!$A$1:$AS$1,),)))))/(((VLOOKUP(EDATE(B307,-12),Database!$A:$AS,MATCH($H$1,Database!$A$1:$AS$1,),))))</f>
        <v>4.587155964378805E-3</v>
      </c>
      <c r="I307" s="13">
        <f>((((VLOOKUP(B307,Database!$A:$AS,MATCH($I$1,Database!$A$1:$AS$1,),))))-(((VLOOKUP(EDATE(B307,-12),Database!$A:$AS,MATCH($I$1,Database!$A$1:$AS$1,),)))))/(((VLOOKUP(EDATE(B307,-12),Database!$A:$AS,MATCH($I$1,Database!$A$1:$AS$1,),))))</f>
        <v>-4.580896686209239E-2</v>
      </c>
      <c r="J307" s="13">
        <f>((((VLOOKUP(B307,Database!$A:$AS,MATCH($J$1,Database!$A$1:$AS$1,),))))-(((VLOOKUP(EDATE(B307,-12),Database!$A:$AS,MATCH($J$1,Database!$A$1:$AS$1,),)))))/(((VLOOKUP(EDATE(B307,-12),Database!$A:$AS,MATCH($J$1,Database!$A$1:$AS$1,),))))</f>
        <v>-2.393525890231709E-2</v>
      </c>
      <c r="K307" s="13">
        <f>((((VLOOKUP(B307,Database!$A:$AS,MATCH($K$1,Database!$A$1:$AS$1,),))))-(((VLOOKUP(EDATE(B307,-12),Database!$A:$AS,MATCH($K$1,Database!$A$1:$AS$1,),)))))/(((VLOOKUP(EDATE(B307,-12),Database!$A:$AS,MATCH($K$1,Database!$A$1:$AS$1,),))))</f>
        <v>-8.4493964721124873E-2</v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>6.4217773695769394E-4</v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>-8.6862106406080039E-3</v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>4.197677532719999E-2</v>
      </c>
      <c r="O307" s="13">
        <f>((((VLOOKUP(B307,Database!$A:$AS,MATCH($O$1,Database!$A$1:$AS$1,),))))-(((VLOOKUP(EDATE(B307,-12),Database!$A:$AS,MATCH($O$1,Database!$A$1:$AS$1,),)))))/(((VLOOKUP(EDATE(B307,-12),Database!$A:$AS,MATCH($O$1,Database!$A$1:$AS$1,),))))</f>
        <v>2.7652310252263963E-2</v>
      </c>
      <c r="P307" s="13">
        <f>((((VLOOKUP(B307,Database!$A:$AS,MATCH($P$1,Database!$A$1:$AS$1,),))))-(((VLOOKUP(EDATE(B307,-12),Database!$A:$AS,MATCH($P$1,Database!$A$1:$AS$1,),)))))/(((VLOOKUP(EDATE(B307,-12),Database!$A:$AS,MATCH($P$1,Database!$A$1:$AS$1,),))))</f>
        <v>3.5396953015122468E-2</v>
      </c>
      <c r="Q307" s="13">
        <f>((((VLOOKUP(B307,Database!$A:$AS,MATCH($Q$1,Database!$A$1:$AS$1,),))))-(((VLOOKUP(EDATE(B307,-12),Database!$A:$AS,MATCH($Q$1,Database!$A$1:$AS$1,),)))))/(((VLOOKUP(EDATE(B307,-12),Database!$A:$AS,MATCH($Q$1,Database!$A$1:$AS$1,),))))</f>
        <v>3.8986354791531409E-3</v>
      </c>
      <c r="R307" s="13">
        <f>((((VLOOKUP(B307,Database!$A:$AS,MATCH($R$1,Database!$A$1:$AS$1,),))))-(((VLOOKUP(EDATE(B307,-12),Database!$A:$AS,MATCH($R$1,Database!$A$1:$AS$1,),)))))/(((VLOOKUP(EDATE(B307,-12),Database!$A:$AS,MATCH($R$1,Database!$A$1:$AS$1,),))))</f>
        <v>-5.9099437147979723E-2</v>
      </c>
      <c r="S307" s="13">
        <f>((((VLOOKUP(B307,Database!$A:$AS,MATCH($S$1,Database!$A$1:$AS$1,),))))-(((VLOOKUP(EDATE(B307,-12),Database!$A:$AS,MATCH($S$1,Database!$A$1:$AS$1,),)))))/(((VLOOKUP(EDATE(B307,-12),Database!$A:$AS,MATCH($S$1,Database!$A$1:$AS$1,),))))</f>
        <v>-7.8564500486684299E-2</v>
      </c>
      <c r="T307" s="13">
        <f>((((VLOOKUP(B307,Database!$A:$AS,MATCH($T$1,Database!$A$1:$AS$1,),))))-(((VLOOKUP(EDATE(B307,-12),Database!$A:$AS,MATCH($T$1,Database!$A$1:$AS$1,),)))))/(((VLOOKUP(EDATE(B307,-12),Database!$A:$AS,MATCH($T$1,Database!$A$1:$AS$1,),))))</f>
        <v>5.5421686739439126E-2</v>
      </c>
      <c r="U307" s="13">
        <f>((((VLOOKUP(B307,Database!$A:$AS,MATCH($U$1,Database!$A$1:$AS$1,),))))-(((VLOOKUP(EDATE(B307,-12),Database!$A:$AS,MATCH($U$1,Database!$A$1:$AS$1,),)))))/(((VLOOKUP(EDATE(B307,-12),Database!$A:$AS,MATCH($U$1,Database!$A$1:$AS$1,),))))</f>
        <v>4.3478260877321956E-2</v>
      </c>
      <c r="V307" s="13">
        <f>((((VLOOKUP(B307,Database!$A:$AS,MATCH($V$1,Database!$A$1:$AS$1,),))))-(((VLOOKUP(EDATE(B307,-12),Database!$A:$AS,MATCH($V$1,Database!$A$1:$AS$1,),)))))/(((VLOOKUP(EDATE(B307,-12),Database!$A:$AS,MATCH($V$1,Database!$A$1:$AS$1,),))))</f>
        <v>4.85651214128036E-2</v>
      </c>
    </row>
    <row r="308" spans="1:22" s="83" customFormat="1" x14ac:dyDescent="0.2">
      <c r="A308" s="43"/>
      <c r="B308" s="78">
        <v>41518</v>
      </c>
      <c r="C308" s="13">
        <f>((((VLOOKUP(B308,Database!$A:$AS,MATCH($C$1,Database!$A$1:$AS$1,),))))-(((VLOOKUP(EDATE(B308,-12),Database!$A:$AS,MATCH($C$1,Database!$A$1:$AS$1,),)))))/(((VLOOKUP(EDATE(B308,-12),Database!$A:$AS,MATCH($C$1,Database!$A$1:$AS$1,),))))</f>
        <v>2.9078623265872603E-2</v>
      </c>
      <c r="D308" s="13">
        <f>((((VLOOKUP(B308,Database!$A:$AS,MATCH($D$1,Database!$A$1:$AS$1,),))))-(((VLOOKUP(EDATE(B308,-12),Database!$A:$AS,MATCH($D$1,Database!$A$1:$AS$1,),)))))/(((VLOOKUP(EDATE(B308,-12),Database!$A:$AS,MATCH($D$1,Database!$A$1:$AS$1,),))))</f>
        <v>0</v>
      </c>
      <c r="E308" s="13">
        <f>((((VLOOKUP(B308,Database!$A:$AS,MATCH($E$1,Database!$A$1:$AS$1,),))))-(((VLOOKUP(EDATE(B308,-12),Database!$A:$AS,MATCH($E$1,Database!$A$1:$AS$1,),)))))/(((VLOOKUP(EDATE(B308,-12),Database!$A:$AS,MATCH($E$1,Database!$A$1:$AS$1,),))))</f>
        <v>4.8814956361070812E-2</v>
      </c>
      <c r="F308" s="13">
        <f>((((VLOOKUP(B308,Database!$A:$AS,MATCH($F$1,Database!$A$1:$AS$1,),))))-(((VLOOKUP(EDATE(B308,-12),Database!$A:$AS,MATCH($F$1,Database!$A$1:$AS$1,),)))))/(((VLOOKUP(EDATE(B308,-12),Database!$A:$AS,MATCH($F$1,Database!$A$1:$AS$1,),))))</f>
        <v>1.1328527291696101E-2</v>
      </c>
      <c r="G308" s="13">
        <f>((((VLOOKUP(B308,Database!$A:$AS,MATCH($G$1,Database!$A$1:$AS$1,),))))-(((VLOOKUP(EDATE(B308,-12),Database!$A:$AS,MATCH($G$1,Database!$A$1:$AS$1,),)))))/(((VLOOKUP(EDATE(B308,-12),Database!$A:$AS,MATCH($G$1,Database!$A$1:$AS$1,),))))</f>
        <v>-5.1302685846493406E-3</v>
      </c>
      <c r="H308" s="13">
        <f>((((VLOOKUP(B308,Database!$A:$AS,MATCH($H$1,Database!$A$1:$AS$1,),))))-(((VLOOKUP(EDATE(B308,-12),Database!$A:$AS,MATCH($H$1,Database!$A$1:$AS$1,),)))))/(((VLOOKUP(EDATE(B308,-12),Database!$A:$AS,MATCH($H$1,Database!$A$1:$AS$1,),))))</f>
        <v>5.2941176469365706E-2</v>
      </c>
      <c r="I308" s="13">
        <f>((((VLOOKUP(B308,Database!$A:$AS,MATCH($I$1,Database!$A$1:$AS$1,),))))-(((VLOOKUP(EDATE(B308,-12),Database!$A:$AS,MATCH($I$1,Database!$A$1:$AS$1,),)))))/(((VLOOKUP(EDATE(B308,-12),Database!$A:$AS,MATCH($I$1,Database!$A$1:$AS$1,),))))</f>
        <v>-2.6367187502384388E-2</v>
      </c>
      <c r="J308" s="13">
        <f>((((VLOOKUP(B308,Database!$A:$AS,MATCH($J$1,Database!$A$1:$AS$1,),))))-(((VLOOKUP(EDATE(B308,-12),Database!$A:$AS,MATCH($J$1,Database!$A$1:$AS$1,),)))))/(((VLOOKUP(EDATE(B308,-12),Database!$A:$AS,MATCH($J$1,Database!$A$1:$AS$1,),))))</f>
        <v>8.9996755860655298E-3</v>
      </c>
      <c r="K308" s="13">
        <f>((((VLOOKUP(B308,Database!$A:$AS,MATCH($K$1,Database!$A$1:$AS$1,),))))-(((VLOOKUP(EDATE(B308,-12),Database!$A:$AS,MATCH($K$1,Database!$A$1:$AS$1,),)))))/(((VLOOKUP(EDATE(B308,-12),Database!$A:$AS,MATCH($K$1,Database!$A$1:$AS$1,),))))</f>
        <v>-1.8793273980948013E-2</v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>-1.3882591562973294E-2</v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>1.3114754098360687E-2</v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>6.249904766235917E-2</v>
      </c>
      <c r="O308" s="13">
        <f>((((VLOOKUP(B308,Database!$A:$AS,MATCH($O$1,Database!$A$1:$AS$1,),))))-(((VLOOKUP(EDATE(B308,-12),Database!$A:$AS,MATCH($O$1,Database!$A$1:$AS$1,),)))))/(((VLOOKUP(EDATE(B308,-12),Database!$A:$AS,MATCH($O$1,Database!$A$1:$AS$1,),))))</f>
        <v>3.9613117361367044E-2</v>
      </c>
      <c r="P308" s="13">
        <f>((((VLOOKUP(B308,Database!$A:$AS,MATCH($P$1,Database!$A$1:$AS$1,),))))-(((VLOOKUP(EDATE(B308,-12),Database!$A:$AS,MATCH($P$1,Database!$A$1:$AS$1,),)))))/(((VLOOKUP(EDATE(B308,-12),Database!$A:$AS,MATCH($P$1,Database!$A$1:$AS$1,),))))</f>
        <v>9.0199603673952588E-3</v>
      </c>
      <c r="Q308" s="13">
        <f>((((VLOOKUP(B308,Database!$A:$AS,MATCH($Q$1,Database!$A$1:$AS$1,),))))-(((VLOOKUP(EDATE(B308,-12),Database!$A:$AS,MATCH($Q$1,Database!$A$1:$AS$1,),)))))/(((VLOOKUP(EDATE(B308,-12),Database!$A:$AS,MATCH($Q$1,Database!$A$1:$AS$1,),))))</f>
        <v>2.8827037773656066E-2</v>
      </c>
      <c r="R308" s="13">
        <f>((((VLOOKUP(B308,Database!$A:$AS,MATCH($R$1,Database!$A$1:$AS$1,),))))-(((VLOOKUP(EDATE(B308,-12),Database!$A:$AS,MATCH($R$1,Database!$A$1:$AS$1,),)))))/(((VLOOKUP(EDATE(B308,-12),Database!$A:$AS,MATCH($R$1,Database!$A$1:$AS$1,),))))</f>
        <v>-2.6897214216951036E-2</v>
      </c>
      <c r="S308" s="13">
        <f>((((VLOOKUP(B308,Database!$A:$AS,MATCH($S$1,Database!$A$1:$AS$1,),))))-(((VLOOKUP(EDATE(B308,-12),Database!$A:$AS,MATCH($S$1,Database!$A$1:$AS$1,),)))))/(((VLOOKUP(EDATE(B308,-12),Database!$A:$AS,MATCH($S$1,Database!$A$1:$AS$1,),))))</f>
        <v>7.8037904123498744E-2</v>
      </c>
      <c r="T308" s="13">
        <f>((((VLOOKUP(B308,Database!$A:$AS,MATCH($T$1,Database!$A$1:$AS$1,),))))-(((VLOOKUP(EDATE(B308,-12),Database!$A:$AS,MATCH($T$1,Database!$A$1:$AS$1,),)))))/(((VLOOKUP(EDATE(B308,-12),Database!$A:$AS,MATCH($T$1,Database!$A$1:$AS$1,),))))</f>
        <v>9.1872791517020463E-2</v>
      </c>
      <c r="U308" s="13">
        <f>((((VLOOKUP(B308,Database!$A:$AS,MATCH($U$1,Database!$A$1:$AS$1,),))))-(((VLOOKUP(EDATE(B308,-12),Database!$A:$AS,MATCH($U$1,Database!$A$1:$AS$1,),)))))/(((VLOOKUP(EDATE(B308,-12),Database!$A:$AS,MATCH($U$1,Database!$A$1:$AS$1,),))))</f>
        <v>1.7738359204281733E-2</v>
      </c>
      <c r="V308" s="13">
        <f>((((VLOOKUP(B308,Database!$A:$AS,MATCH($V$1,Database!$A$1:$AS$1,),))))-(((VLOOKUP(EDATE(B308,-12),Database!$A:$AS,MATCH($V$1,Database!$A$1:$AS$1,),)))))/(((VLOOKUP(EDATE(B308,-12),Database!$A:$AS,MATCH($V$1,Database!$A$1:$AS$1,),))))</f>
        <v>3.8461538461538464E-2</v>
      </c>
    </row>
    <row r="309" spans="1:22" s="83" customFormat="1" x14ac:dyDescent="0.2">
      <c r="A309" s="43"/>
      <c r="B309" s="78">
        <v>41548</v>
      </c>
      <c r="C309" s="13">
        <f>((((VLOOKUP(B309,Database!$A:$AS,MATCH($C$1,Database!$A$1:$AS$1,),))))-(((VLOOKUP(EDATE(B309,-12),Database!$A:$AS,MATCH($C$1,Database!$A$1:$AS$1,),)))))/(((VLOOKUP(EDATE(B309,-12),Database!$A:$AS,MATCH($C$1,Database!$A$1:$AS$1,),))))</f>
        <v>2.442625371559471E-2</v>
      </c>
      <c r="D309" s="13">
        <f>((((VLOOKUP(B309,Database!$A:$AS,MATCH($D$1,Database!$A$1:$AS$1,),))))-(((VLOOKUP(EDATE(B309,-12),Database!$A:$AS,MATCH($D$1,Database!$A$1:$AS$1,),)))))/(((VLOOKUP(EDATE(B309,-12),Database!$A:$AS,MATCH($D$1,Database!$A$1:$AS$1,),))))</f>
        <v>3.1315240083507013E-3</v>
      </c>
      <c r="E309" s="13">
        <f>((((VLOOKUP(B309,Database!$A:$AS,MATCH($E$1,Database!$A$1:$AS$1,),))))-(((VLOOKUP(EDATE(B309,-12),Database!$A:$AS,MATCH($E$1,Database!$A$1:$AS$1,),)))))/(((VLOOKUP(EDATE(B309,-12),Database!$A:$AS,MATCH($E$1,Database!$A$1:$AS$1,),))))</f>
        <v>4.8577567448098789E-2</v>
      </c>
      <c r="F309" s="13">
        <f>((((VLOOKUP(B309,Database!$A:$AS,MATCH($F$1,Database!$A$1:$AS$1,),))))-(((VLOOKUP(EDATE(B309,-12),Database!$A:$AS,MATCH($F$1,Database!$A$1:$AS$1,),)))))/(((VLOOKUP(EDATE(B309,-12),Database!$A:$AS,MATCH($F$1,Database!$A$1:$AS$1,),))))</f>
        <v>1.7745302712527236E-2</v>
      </c>
      <c r="G309" s="13">
        <f>((((VLOOKUP(B309,Database!$A:$AS,MATCH($G$1,Database!$A$1:$AS$1,),))))-(((VLOOKUP(EDATE(B309,-12),Database!$A:$AS,MATCH($G$1,Database!$A$1:$AS$1,),)))))/(((VLOOKUP(EDATE(B309,-12),Database!$A:$AS,MATCH($G$1,Database!$A$1:$AS$1,),))))</f>
        <v>1.1434405308830936E-2</v>
      </c>
      <c r="H309" s="13">
        <f>((((VLOOKUP(B309,Database!$A:$AS,MATCH($H$1,Database!$A$1:$AS$1,),))))-(((VLOOKUP(EDATE(B309,-12),Database!$A:$AS,MATCH($H$1,Database!$A$1:$AS$1,),)))))/(((VLOOKUP(EDATE(B309,-12),Database!$A:$AS,MATCH($H$1,Database!$A$1:$AS$1,),))))</f>
        <v>6.4858490561783638E-2</v>
      </c>
      <c r="I309" s="13">
        <f>((((VLOOKUP(B309,Database!$A:$AS,MATCH($I$1,Database!$A$1:$AS$1,),))))-(((VLOOKUP(EDATE(B309,-12),Database!$A:$AS,MATCH($I$1,Database!$A$1:$AS$1,),)))))/(((VLOOKUP(EDATE(B309,-12),Database!$A:$AS,MATCH($I$1,Database!$A$1:$AS$1,),))))</f>
        <v>-3.9800995080127568E-3</v>
      </c>
      <c r="J309" s="13">
        <f>((((VLOOKUP(B309,Database!$A:$AS,MATCH($J$1,Database!$A$1:$AS$1,),))))-(((VLOOKUP(EDATE(B309,-12),Database!$A:$AS,MATCH($J$1,Database!$A$1:$AS$1,),)))))/(((VLOOKUP(EDATE(B309,-12),Database!$A:$AS,MATCH($J$1,Database!$A$1:$AS$1,),))))</f>
        <v>-1.0284752594544734E-2</v>
      </c>
      <c r="K309" s="13">
        <f>((((VLOOKUP(B309,Database!$A:$AS,MATCH($K$1,Database!$A$1:$AS$1,),))))-(((VLOOKUP(EDATE(B309,-12),Database!$A:$AS,MATCH($K$1,Database!$A$1:$AS$1,),)))))/(((VLOOKUP(EDATE(B309,-12),Database!$A:$AS,MATCH($K$1,Database!$A$1:$AS$1,),))))</f>
        <v>-7.4975657262177545E-2</v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>5.3192410160648471E-3</v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>1.7640573318632793E-2</v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>1.9988886286702139E-2</v>
      </c>
      <c r="O309" s="13">
        <f>((((VLOOKUP(B309,Database!$A:$AS,MATCH($O$1,Database!$A$1:$AS$1,),))))-(((VLOOKUP(EDATE(B309,-12),Database!$A:$AS,MATCH($O$1,Database!$A$1:$AS$1,),)))))/(((VLOOKUP(EDATE(B309,-12),Database!$A:$AS,MATCH($O$1,Database!$A$1:$AS$1,),))))</f>
        <v>5.4349486300623577E-2</v>
      </c>
      <c r="P309" s="13">
        <f>((((VLOOKUP(B309,Database!$A:$AS,MATCH($P$1,Database!$A$1:$AS$1,),))))-(((VLOOKUP(EDATE(B309,-12),Database!$A:$AS,MATCH($P$1,Database!$A$1:$AS$1,),)))))/(((VLOOKUP(EDATE(B309,-12),Database!$A:$AS,MATCH($P$1,Database!$A$1:$AS$1,),))))</f>
        <v>1.5322710126854563E-2</v>
      </c>
      <c r="Q309" s="13">
        <f>((((VLOOKUP(B309,Database!$A:$AS,MATCH($Q$1,Database!$A$1:$AS$1,),))))-(((VLOOKUP(EDATE(B309,-12),Database!$A:$AS,MATCH($Q$1,Database!$A$1:$AS$1,),)))))/(((VLOOKUP(EDATE(B309,-12),Database!$A:$AS,MATCH($Q$1,Database!$A$1:$AS$1,),))))</f>
        <v>2.9382957918493839E-3</v>
      </c>
      <c r="R309" s="13">
        <f>((((VLOOKUP(B309,Database!$A:$AS,MATCH($R$1,Database!$A$1:$AS$1,),))))-(((VLOOKUP(EDATE(B309,-12),Database!$A:$AS,MATCH($R$1,Database!$A$1:$AS$1,),)))))/(((VLOOKUP(EDATE(B309,-12),Database!$A:$AS,MATCH($R$1,Database!$A$1:$AS$1,),))))</f>
        <v>-5.4028436025442786E-2</v>
      </c>
      <c r="S309" s="13">
        <f>((((VLOOKUP(B309,Database!$A:$AS,MATCH($S$1,Database!$A$1:$AS$1,),))))-(((VLOOKUP(EDATE(B309,-12),Database!$A:$AS,MATCH($S$1,Database!$A$1:$AS$1,),)))))/(((VLOOKUP(EDATE(B309,-12),Database!$A:$AS,MATCH($S$1,Database!$A$1:$AS$1,),))))</f>
        <v>-7.5819672138183192E-2</v>
      </c>
      <c r="T309" s="13">
        <f>((((VLOOKUP(B309,Database!$A:$AS,MATCH($T$1,Database!$A$1:$AS$1,),))))-(((VLOOKUP(EDATE(B309,-12),Database!$A:$AS,MATCH($T$1,Database!$A$1:$AS$1,),)))))/(((VLOOKUP(EDATE(B309,-12),Database!$A:$AS,MATCH($T$1,Database!$A$1:$AS$1,),))))</f>
        <v>7.88235294094254E-2</v>
      </c>
      <c r="U309" s="13">
        <f>((((VLOOKUP(B309,Database!$A:$AS,MATCH($U$1,Database!$A$1:$AS$1,),))))-(((VLOOKUP(EDATE(B309,-12),Database!$A:$AS,MATCH($U$1,Database!$A$1:$AS$1,),)))))/(((VLOOKUP(EDATE(B309,-12),Database!$A:$AS,MATCH($U$1,Database!$A$1:$AS$1,),))))</f>
        <v>5.2927927925822495E-2</v>
      </c>
      <c r="V309" s="13">
        <f>((((VLOOKUP(B309,Database!$A:$AS,MATCH($V$1,Database!$A$1:$AS$1,),))))-(((VLOOKUP(EDATE(B309,-12),Database!$A:$AS,MATCH($V$1,Database!$A$1:$AS$1,),)))))/(((VLOOKUP(EDATE(B309,-12),Database!$A:$AS,MATCH($V$1,Database!$A$1:$AS$1,),))))</f>
        <v>4.5203969128996629E-2</v>
      </c>
    </row>
    <row r="310" spans="1:22" s="83" customFormat="1" x14ac:dyDescent="0.2">
      <c r="A310" s="43"/>
      <c r="B310" s="78">
        <v>41579</v>
      </c>
      <c r="C310" s="13">
        <f>((((VLOOKUP(B310,Database!$A:$AS,MATCH($C$1,Database!$A$1:$AS$1,),))))-(((VLOOKUP(EDATE(B310,-12),Database!$A:$AS,MATCH($C$1,Database!$A$1:$AS$1,),)))))/(((VLOOKUP(EDATE(B310,-12),Database!$A:$AS,MATCH($C$1,Database!$A$1:$AS$1,),))))</f>
        <v>2.2376170735643165E-2</v>
      </c>
      <c r="D310" s="13">
        <f>((((VLOOKUP(B310,Database!$A:$AS,MATCH($D$1,Database!$A$1:$AS$1,),))))-(((VLOOKUP(EDATE(B310,-12),Database!$A:$AS,MATCH($D$1,Database!$A$1:$AS$1,),)))))/(((VLOOKUP(EDATE(B310,-12),Database!$A:$AS,MATCH($D$1,Database!$A$1:$AS$1,),))))</f>
        <v>2.4185068349106324E-2</v>
      </c>
      <c r="E310" s="13">
        <f>((((VLOOKUP(B310,Database!$A:$AS,MATCH($E$1,Database!$A$1:$AS$1,),))))-(((VLOOKUP(EDATE(B310,-12),Database!$A:$AS,MATCH($E$1,Database!$A$1:$AS$1,),)))))/(((VLOOKUP(EDATE(B310,-12),Database!$A:$AS,MATCH($E$1,Database!$A$1:$AS$1,),))))</f>
        <v>6.0582723246766959E-2</v>
      </c>
      <c r="F310" s="13">
        <f>((((VLOOKUP(B310,Database!$A:$AS,MATCH($F$1,Database!$A$1:$AS$1,),))))-(((VLOOKUP(EDATE(B310,-12),Database!$A:$AS,MATCH($F$1,Database!$A$1:$AS$1,),)))))/(((VLOOKUP(EDATE(B310,-12),Database!$A:$AS,MATCH($F$1,Database!$A$1:$AS$1,),))))</f>
        <v>4.8370136702513902E-2</v>
      </c>
      <c r="G310" s="13">
        <f>((((VLOOKUP(B310,Database!$A:$AS,MATCH($G$1,Database!$A$1:$AS$1,),))))-(((VLOOKUP(EDATE(B310,-12),Database!$A:$AS,MATCH($G$1,Database!$A$1:$AS$1,),)))))/(((VLOOKUP(EDATE(B310,-12),Database!$A:$AS,MATCH($G$1,Database!$A$1:$AS$1,),))))</f>
        <v>2.9111338100102087E-2</v>
      </c>
      <c r="H310" s="13">
        <f>((((VLOOKUP(B310,Database!$A:$AS,MATCH($H$1,Database!$A$1:$AS$1,),))))-(((VLOOKUP(EDATE(B310,-12),Database!$A:$AS,MATCH($H$1,Database!$A$1:$AS$1,),)))))/(((VLOOKUP(EDATE(B310,-12),Database!$A:$AS,MATCH($H$1,Database!$A$1:$AS$1,),))))</f>
        <v>7.0754716975494458E-2</v>
      </c>
      <c r="I310" s="13">
        <f>((((VLOOKUP(B310,Database!$A:$AS,MATCH($I$1,Database!$A$1:$AS$1,),))))-(((VLOOKUP(EDATE(B310,-12),Database!$A:$AS,MATCH($I$1,Database!$A$1:$AS$1,),)))))/(((VLOOKUP(EDATE(B310,-12),Database!$A:$AS,MATCH($I$1,Database!$A$1:$AS$1,),))))</f>
        <v>6.0544904120331559E-3</v>
      </c>
      <c r="J310" s="13">
        <f>((((VLOOKUP(B310,Database!$A:$AS,MATCH($J$1,Database!$A$1:$AS$1,),))))-(((VLOOKUP(EDATE(B310,-12),Database!$A:$AS,MATCH($J$1,Database!$A$1:$AS$1,),)))))/(((VLOOKUP(EDATE(B310,-12),Database!$A:$AS,MATCH($J$1,Database!$A$1:$AS$1,),))))</f>
        <v>2.8327223122276392E-2</v>
      </c>
      <c r="K310" s="13">
        <f>((((VLOOKUP(B310,Database!$A:$AS,MATCH($K$1,Database!$A$1:$AS$1,),))))-(((VLOOKUP(EDATE(B310,-12),Database!$A:$AS,MATCH($K$1,Database!$A$1:$AS$1,),)))))/(((VLOOKUP(EDATE(B310,-12),Database!$A:$AS,MATCH($K$1,Database!$A$1:$AS$1,),))))</f>
        <v>-1.4763779523490684E-2</v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>-5.4929858678156333E-3</v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>4.6052631578947401E-2</v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>3.7447571643382103E-2</v>
      </c>
      <c r="O310" s="13">
        <f>((((VLOOKUP(B310,Database!$A:$AS,MATCH($O$1,Database!$A$1:$AS$1,),))))-(((VLOOKUP(EDATE(B310,-12),Database!$A:$AS,MATCH($O$1,Database!$A$1:$AS$1,),)))))/(((VLOOKUP(EDATE(B310,-12),Database!$A:$AS,MATCH($O$1,Database!$A$1:$AS$1,),))))</f>
        <v>4.0103839788292572E-2</v>
      </c>
      <c r="P310" s="13">
        <f>((((VLOOKUP(B310,Database!$A:$AS,MATCH($P$1,Database!$A$1:$AS$1,),))))-(((VLOOKUP(EDATE(B310,-12),Database!$A:$AS,MATCH($P$1,Database!$A$1:$AS$1,),)))))/(((VLOOKUP(EDATE(B310,-12),Database!$A:$AS,MATCH($P$1,Database!$A$1:$AS$1,),))))</f>
        <v>-4.5894799562105392E-3</v>
      </c>
      <c r="Q310" s="13">
        <f>((((VLOOKUP(B310,Database!$A:$AS,MATCH($Q$1,Database!$A$1:$AS$1,),))))-(((VLOOKUP(EDATE(B310,-12),Database!$A:$AS,MATCH($Q$1,Database!$A$1:$AS$1,),)))))/(((VLOOKUP(EDATE(B310,-12),Database!$A:$AS,MATCH($Q$1,Database!$A$1:$AS$1,),))))</f>
        <v>2.3856858847474984E-2</v>
      </c>
      <c r="R310" s="13">
        <f>((((VLOOKUP(B310,Database!$A:$AS,MATCH($R$1,Database!$A$1:$AS$1,),))))-(((VLOOKUP(EDATE(B310,-12),Database!$A:$AS,MATCH($R$1,Database!$A$1:$AS$1,),)))))/(((VLOOKUP(EDATE(B310,-12),Database!$A:$AS,MATCH($R$1,Database!$A$1:$AS$1,),))))</f>
        <v>-5.484818805077675E-2</v>
      </c>
      <c r="S310" s="13">
        <f>((((VLOOKUP(B310,Database!$A:$AS,MATCH($S$1,Database!$A$1:$AS$1,),))))-(((VLOOKUP(EDATE(B310,-12),Database!$A:$AS,MATCH($S$1,Database!$A$1:$AS$1,),)))))/(((VLOOKUP(EDATE(B310,-12),Database!$A:$AS,MATCH($S$1,Database!$A$1:$AS$1,),))))</f>
        <v>2.096436054861196E-3</v>
      </c>
      <c r="T310" s="13">
        <f>((((VLOOKUP(B310,Database!$A:$AS,MATCH($T$1,Database!$A$1:$AS$1,),))))-(((VLOOKUP(EDATE(B310,-12),Database!$A:$AS,MATCH($T$1,Database!$A$1:$AS$1,),)))))/(((VLOOKUP(EDATE(B310,-12),Database!$A:$AS,MATCH($T$1,Database!$A$1:$AS$1,),))))</f>
        <v>0.10143198089816277</v>
      </c>
      <c r="U310" s="13">
        <f>((((VLOOKUP(B310,Database!$A:$AS,MATCH($U$1,Database!$A$1:$AS$1,),))))-(((VLOOKUP(EDATE(B310,-12),Database!$A:$AS,MATCH($U$1,Database!$A$1:$AS$1,),)))))/(((VLOOKUP(EDATE(B310,-12),Database!$A:$AS,MATCH($U$1,Database!$A$1:$AS$1,),))))</f>
        <v>5.7888762773948395E-2</v>
      </c>
      <c r="V310" s="13">
        <f>((((VLOOKUP(B310,Database!$A:$AS,MATCH($V$1,Database!$A$1:$AS$1,),))))-(((VLOOKUP(EDATE(B310,-12),Database!$A:$AS,MATCH($V$1,Database!$A$1:$AS$1,),)))))/(((VLOOKUP(EDATE(B310,-12),Database!$A:$AS,MATCH($V$1,Database!$A$1:$AS$1,),))))</f>
        <v>7.6062639821029052E-2</v>
      </c>
    </row>
    <row r="311" spans="1:22" s="83" customFormat="1" x14ac:dyDescent="0.2">
      <c r="A311" s="43"/>
      <c r="B311" s="78">
        <v>41609</v>
      </c>
      <c r="C311" s="13">
        <f>((((VLOOKUP(B311,Database!$A:$AS,MATCH($C$1,Database!$A$1:$AS$1,),))))-(((VLOOKUP(EDATE(B311,-12),Database!$A:$AS,MATCH($C$1,Database!$A$1:$AS$1,),)))))/(((VLOOKUP(EDATE(B311,-12),Database!$A:$AS,MATCH($C$1,Database!$A$1:$AS$1,),))))</f>
        <v>2.192802930247376E-2</v>
      </c>
      <c r="D311" s="13">
        <f>((((VLOOKUP(B311,Database!$A:$AS,MATCH($D$1,Database!$A$1:$AS$1,),))))-(((VLOOKUP(EDATE(B311,-12),Database!$A:$AS,MATCH($D$1,Database!$A$1:$AS$1,),)))))/(((VLOOKUP(EDATE(B311,-12),Database!$A:$AS,MATCH($D$1,Database!$A$1:$AS$1,),))))</f>
        <v>1.778242677824271E-2</v>
      </c>
      <c r="E311" s="13">
        <f>((((VLOOKUP(B311,Database!$A:$AS,MATCH($E$1,Database!$A$1:$AS$1,),))))-(((VLOOKUP(EDATE(B311,-12),Database!$A:$AS,MATCH($E$1,Database!$A$1:$AS$1,),)))))/(((VLOOKUP(EDATE(B311,-12),Database!$A:$AS,MATCH($E$1,Database!$A$1:$AS$1,),))))</f>
        <v>4.6054192790735297E-2</v>
      </c>
      <c r="F311" s="13">
        <f>((((VLOOKUP(B311,Database!$A:$AS,MATCH($F$1,Database!$A$1:$AS$1,),))))-(((VLOOKUP(EDATE(B311,-12),Database!$A:$AS,MATCH($F$1,Database!$A$1:$AS$1,),)))))/(((VLOOKUP(EDATE(B311,-12),Database!$A:$AS,MATCH($F$1,Database!$A$1:$AS$1,),))))</f>
        <v>4.066736183450561E-2</v>
      </c>
      <c r="G311" s="13">
        <f>((((VLOOKUP(B311,Database!$A:$AS,MATCH($G$1,Database!$A$1:$AS$1,),))))-(((VLOOKUP(EDATE(B311,-12),Database!$A:$AS,MATCH($G$1,Database!$A$1:$AS$1,),)))))/(((VLOOKUP(EDATE(B311,-12),Database!$A:$AS,MATCH($G$1,Database!$A$1:$AS$1,),))))</f>
        <v>6.9823922282939892E-3</v>
      </c>
      <c r="H311" s="13">
        <f>((((VLOOKUP(B311,Database!$A:$AS,MATCH($H$1,Database!$A$1:$AS$1,),))))-(((VLOOKUP(EDATE(B311,-12),Database!$A:$AS,MATCH($H$1,Database!$A$1:$AS$1,),)))))/(((VLOOKUP(EDATE(B311,-12),Database!$A:$AS,MATCH($H$1,Database!$A$1:$AS$1,),))))</f>
        <v>7.9102715465159429E-2</v>
      </c>
      <c r="I311" s="13">
        <f>((((VLOOKUP(B311,Database!$A:$AS,MATCH($I$1,Database!$A$1:$AS$1,),))))-(((VLOOKUP(EDATE(B311,-12),Database!$A:$AS,MATCH($I$1,Database!$A$1:$AS$1,),)))))/(((VLOOKUP(EDATE(B311,-12),Database!$A:$AS,MATCH($I$1,Database!$A$1:$AS$1,),))))</f>
        <v>-1.2012012018655883E-2</v>
      </c>
      <c r="J311" s="13">
        <f>((((VLOOKUP(B311,Database!$A:$AS,MATCH($J$1,Database!$A$1:$AS$1,),))))-(((VLOOKUP(EDATE(B311,-12),Database!$A:$AS,MATCH($J$1,Database!$A$1:$AS$1,),)))))/(((VLOOKUP(EDATE(B311,-12),Database!$A:$AS,MATCH($J$1,Database!$A$1:$AS$1,),))))</f>
        <v>2.4742770545552108E-2</v>
      </c>
      <c r="K311" s="13">
        <f>((((VLOOKUP(B311,Database!$A:$AS,MATCH($K$1,Database!$A$1:$AS$1,),))))-(((VLOOKUP(EDATE(B311,-12),Database!$A:$AS,MATCH($K$1,Database!$A$1:$AS$1,),)))))/(((VLOOKUP(EDATE(B311,-12),Database!$A:$AS,MATCH($K$1,Database!$A$1:$AS$1,),))))</f>
        <v>-2.3369036030401753E-2</v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>8.5210456739484314E-3</v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>4.8034934497816657E-2</v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>3.6438450139135138E-2</v>
      </c>
      <c r="O311" s="13">
        <f>((((VLOOKUP(B311,Database!$A:$AS,MATCH($O$1,Database!$A$1:$AS$1,),))))-(((VLOOKUP(EDATE(B311,-12),Database!$A:$AS,MATCH($O$1,Database!$A$1:$AS$1,),)))))/(((VLOOKUP(EDATE(B311,-12),Database!$A:$AS,MATCH($O$1,Database!$A$1:$AS$1,),))))</f>
        <v>3.5611445861664669E-2</v>
      </c>
      <c r="P311" s="13">
        <f>((((VLOOKUP(B311,Database!$A:$AS,MATCH($P$1,Database!$A$1:$AS$1,),))))-(((VLOOKUP(EDATE(B311,-12),Database!$A:$AS,MATCH($P$1,Database!$A$1:$AS$1,),)))))/(((VLOOKUP(EDATE(B311,-12),Database!$A:$AS,MATCH($P$1,Database!$A$1:$AS$1,),))))</f>
        <v>1.0495917148119755E-2</v>
      </c>
      <c r="Q311" s="13">
        <f>((((VLOOKUP(B311,Database!$A:$AS,MATCH($Q$1,Database!$A$1:$AS$1,),))))-(((VLOOKUP(EDATE(B311,-12),Database!$A:$AS,MATCH($Q$1,Database!$A$1:$AS$1,),)))))/(((VLOOKUP(EDATE(B311,-12),Database!$A:$AS,MATCH($Q$1,Database!$A$1:$AS$1,),))))</f>
        <v>-2.2704837119756339E-2</v>
      </c>
      <c r="R311" s="13">
        <f>((((VLOOKUP(B311,Database!$A:$AS,MATCH($R$1,Database!$A$1:$AS$1,),))))-(((VLOOKUP(EDATE(B311,-12),Database!$A:$AS,MATCH($R$1,Database!$A$1:$AS$1,),)))))/(((VLOOKUP(EDATE(B311,-12),Database!$A:$AS,MATCH($R$1,Database!$A$1:$AS$1,),))))</f>
        <v>-1.0923535251776056E-2</v>
      </c>
      <c r="S311" s="13">
        <f>((((VLOOKUP(B311,Database!$A:$AS,MATCH($S$1,Database!$A$1:$AS$1,),))))-(((VLOOKUP(EDATE(B311,-12),Database!$A:$AS,MATCH($S$1,Database!$A$1:$AS$1,),)))))/(((VLOOKUP(EDATE(B311,-12),Database!$A:$AS,MATCH($S$1,Database!$A$1:$AS$1,),))))</f>
        <v>1.2307692301427316E-2</v>
      </c>
      <c r="T311" s="13">
        <f>((((VLOOKUP(B311,Database!$A:$AS,MATCH($T$1,Database!$A$1:$AS$1,),))))-(((VLOOKUP(EDATE(B311,-12),Database!$A:$AS,MATCH($T$1,Database!$A$1:$AS$1,),)))))/(((VLOOKUP(EDATE(B311,-12),Database!$A:$AS,MATCH($T$1,Database!$A$1:$AS$1,),))))</f>
        <v>7.9999999993411175E-2</v>
      </c>
      <c r="U311" s="13">
        <f>((((VLOOKUP(B311,Database!$A:$AS,MATCH($U$1,Database!$A$1:$AS$1,),))))-(((VLOOKUP(EDATE(B311,-12),Database!$A:$AS,MATCH($U$1,Database!$A$1:$AS$1,),)))))/(((VLOOKUP(EDATE(B311,-12),Database!$A:$AS,MATCH($U$1,Database!$A$1:$AS$1,),))))</f>
        <v>6.0538116592003782E-2</v>
      </c>
      <c r="V311" s="13">
        <f>((((VLOOKUP(B311,Database!$A:$AS,MATCH($V$1,Database!$A$1:$AS$1,),))))-(((VLOOKUP(EDATE(B311,-12),Database!$A:$AS,MATCH($V$1,Database!$A$1:$AS$1,),)))))/(((VLOOKUP(EDATE(B311,-12),Database!$A:$AS,MATCH($V$1,Database!$A$1:$AS$1,),))))</f>
        <v>4.2696629213483113E-2</v>
      </c>
    </row>
    <row r="312" spans="1:22" s="83" customFormat="1" x14ac:dyDescent="0.2">
      <c r="A312" s="43"/>
      <c r="B312" s="78">
        <v>41640</v>
      </c>
      <c r="C312" s="13">
        <f>((((VLOOKUP(B312,Database!$A:$AS,MATCH($C$1,Database!$A$1:$AS$1,),))))-(((VLOOKUP(EDATE(B312,-12),Database!$A:$AS,MATCH($C$1,Database!$A$1:$AS$1,),)))))/(((VLOOKUP(EDATE(B312,-12),Database!$A:$AS,MATCH($C$1,Database!$A$1:$AS$1,),))))</f>
        <v>1.9065586601240254E-2</v>
      </c>
      <c r="D312" s="13">
        <f>((((VLOOKUP(B312,Database!$A:$AS,MATCH($D$1,Database!$A$1:$AS$1,),))))-(((VLOOKUP(EDATE(B312,-12),Database!$A:$AS,MATCH($D$1,Database!$A$1:$AS$1,),)))))/(((VLOOKUP(EDATE(B312,-12),Database!$A:$AS,MATCH($D$1,Database!$A$1:$AS$1,),))))</f>
        <v>1.7857142857142887E-2</v>
      </c>
      <c r="E312" s="13">
        <f>((((VLOOKUP(B312,Database!$A:$AS,MATCH($E$1,Database!$A$1:$AS$1,),))))-(((VLOOKUP(EDATE(B312,-12),Database!$A:$AS,MATCH($E$1,Database!$A$1:$AS$1,),)))))/(((VLOOKUP(EDATE(B312,-12),Database!$A:$AS,MATCH($E$1,Database!$A$1:$AS$1,),))))</f>
        <v>8.5953878411235862E-2</v>
      </c>
      <c r="F312" s="13">
        <f>((((VLOOKUP(B312,Database!$A:$AS,MATCH($F$1,Database!$A$1:$AS$1,),))))-(((VLOOKUP(EDATE(B312,-12),Database!$A:$AS,MATCH($F$1,Database!$A$1:$AS$1,),)))))/(((VLOOKUP(EDATE(B312,-12),Database!$A:$AS,MATCH($F$1,Database!$A$1:$AS$1,),))))</f>
        <v>4.8574445621832961E-2</v>
      </c>
      <c r="G312" s="13">
        <f>((((VLOOKUP(B312,Database!$A:$AS,MATCH($G$1,Database!$A$1:$AS$1,),))))-(((VLOOKUP(EDATE(B312,-12),Database!$A:$AS,MATCH($G$1,Database!$A$1:$AS$1,),)))))/(((VLOOKUP(EDATE(B312,-12),Database!$A:$AS,MATCH($G$1,Database!$A$1:$AS$1,),))))</f>
        <v>-6.488240064882406E-3</v>
      </c>
      <c r="H312" s="13">
        <f>((((VLOOKUP(B312,Database!$A:$AS,MATCH($H$1,Database!$A$1:$AS$1,),))))-(((VLOOKUP(EDATE(B312,-12),Database!$A:$AS,MATCH($H$1,Database!$A$1:$AS$1,),)))))/(((VLOOKUP(EDATE(B312,-12),Database!$A:$AS,MATCH($H$1,Database!$A$1:$AS$1,),))))</f>
        <v>0.11016949151989054</v>
      </c>
      <c r="I312" s="13">
        <f>((((VLOOKUP(B312,Database!$A:$AS,MATCH($I$1,Database!$A$1:$AS$1,),))))-(((VLOOKUP(EDATE(B312,-12),Database!$A:$AS,MATCH($I$1,Database!$A$1:$AS$1,),)))))/(((VLOOKUP(EDATE(B312,-12),Database!$A:$AS,MATCH($I$1,Database!$A$1:$AS$1,),))))</f>
        <v>4.0040039995446605E-3</v>
      </c>
      <c r="J312" s="13">
        <f>((((VLOOKUP(B312,Database!$A:$AS,MATCH($J$1,Database!$A$1:$AS$1,),))))-(((VLOOKUP(EDATE(B312,-12),Database!$A:$AS,MATCH($J$1,Database!$A$1:$AS$1,),)))))/(((VLOOKUP(EDATE(B312,-12),Database!$A:$AS,MATCH($J$1,Database!$A$1:$AS$1,),))))</f>
        <v>1.1989678182603889E-2</v>
      </c>
      <c r="K312" s="13">
        <f>((((VLOOKUP(B312,Database!$A:$AS,MATCH($K$1,Database!$A$1:$AS$1,),))))-(((VLOOKUP(EDATE(B312,-12),Database!$A:$AS,MATCH($K$1,Database!$A$1:$AS$1,),)))))/(((VLOOKUP(EDATE(B312,-12),Database!$A:$AS,MATCH($K$1,Database!$A$1:$AS$1,),))))</f>
        <v>1.999999999440082E-3</v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>1.841931511892983E-2</v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>7.812500000000033E-3</v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>5.0404912539399403E-2</v>
      </c>
      <c r="O312" s="13">
        <f>((((VLOOKUP(B312,Database!$A:$AS,MATCH($O$1,Database!$A$1:$AS$1,),))))-(((VLOOKUP(EDATE(B312,-12),Database!$A:$AS,MATCH($O$1,Database!$A$1:$AS$1,),)))))/(((VLOOKUP(EDATE(B312,-12),Database!$A:$AS,MATCH($O$1,Database!$A$1:$AS$1,),))))</f>
        <v>3.1422811961444891E-2</v>
      </c>
      <c r="P312" s="13">
        <f>((((VLOOKUP(B312,Database!$A:$AS,MATCH($P$1,Database!$A$1:$AS$1,),))))-(((VLOOKUP(EDATE(B312,-12),Database!$A:$AS,MATCH($P$1,Database!$A$1:$AS$1,),)))))/(((VLOOKUP(EDATE(B312,-12),Database!$A:$AS,MATCH($P$1,Database!$A$1:$AS$1,),))))</f>
        <v>7.0523963221721109E-3</v>
      </c>
      <c r="Q312" s="13">
        <f>((((VLOOKUP(B312,Database!$A:$AS,MATCH($Q$1,Database!$A$1:$AS$1,),))))-(((VLOOKUP(EDATE(B312,-12),Database!$A:$AS,MATCH($Q$1,Database!$A$1:$AS$1,),)))))/(((VLOOKUP(EDATE(B312,-12),Database!$A:$AS,MATCH($Q$1,Database!$A$1:$AS$1,),))))</f>
        <v>-1.46914789414556E-2</v>
      </c>
      <c r="R312" s="13">
        <f>((((VLOOKUP(B312,Database!$A:$AS,MATCH($R$1,Database!$A$1:$AS$1,),))))-(((VLOOKUP(EDATE(B312,-12),Database!$A:$AS,MATCH($R$1,Database!$A$1:$AS$1,),)))))/(((VLOOKUP(EDATE(B312,-12),Database!$A:$AS,MATCH($R$1,Database!$A$1:$AS$1,),))))</f>
        <v>-3.1809145137574046E-2</v>
      </c>
      <c r="S312" s="13">
        <f>((((VLOOKUP(B312,Database!$A:$AS,MATCH($S$1,Database!$A$1:$AS$1,),))))-(((VLOOKUP(EDATE(B312,-12),Database!$A:$AS,MATCH($S$1,Database!$A$1:$AS$1,),)))))/(((VLOOKUP(EDATE(B312,-12),Database!$A:$AS,MATCH($S$1,Database!$A$1:$AS$1,),))))</f>
        <v>9.5137420729392894E-2</v>
      </c>
      <c r="T312" s="13">
        <f>((((VLOOKUP(B312,Database!$A:$AS,MATCH($T$1,Database!$A$1:$AS$1,),))))-(((VLOOKUP(EDATE(B312,-12),Database!$A:$AS,MATCH($T$1,Database!$A$1:$AS$1,),)))))/(((VLOOKUP(EDATE(B312,-12),Database!$A:$AS,MATCH($T$1,Database!$A$1:$AS$1,),))))</f>
        <v>0.11475409836833478</v>
      </c>
      <c r="U312" s="13">
        <f>((((VLOOKUP(B312,Database!$A:$AS,MATCH($U$1,Database!$A$1:$AS$1,),))))-(((VLOOKUP(EDATE(B312,-12),Database!$A:$AS,MATCH($U$1,Database!$A$1:$AS$1,),)))))/(((VLOOKUP(EDATE(B312,-12),Database!$A:$AS,MATCH($U$1,Database!$A$1:$AS$1,),))))</f>
        <v>6.0571428572852491E-2</v>
      </c>
      <c r="V312" s="13">
        <f>((((VLOOKUP(B312,Database!$A:$AS,MATCH($V$1,Database!$A$1:$AS$1,),))))-(((VLOOKUP(EDATE(B312,-12),Database!$A:$AS,MATCH($V$1,Database!$A$1:$AS$1,),)))))/(((VLOOKUP(EDATE(B312,-12),Database!$A:$AS,MATCH($V$1,Database!$A$1:$AS$1,),))))</f>
        <v>6.3901345291479852E-2</v>
      </c>
    </row>
    <row r="313" spans="1:22" s="83" customFormat="1" x14ac:dyDescent="0.2">
      <c r="A313" s="43"/>
      <c r="B313" s="78">
        <v>41671</v>
      </c>
      <c r="C313" s="13">
        <f>((((VLOOKUP(B313,Database!$A:$AS,MATCH($C$1,Database!$A$1:$AS$1,),))))-(((VLOOKUP(EDATE(B313,-12),Database!$A:$AS,MATCH($C$1,Database!$A$1:$AS$1,),)))))/(((VLOOKUP(EDATE(B313,-12),Database!$A:$AS,MATCH($C$1,Database!$A$1:$AS$1,),))))</f>
        <v>2.1754600798545142E-2</v>
      </c>
      <c r="D313" s="13">
        <f>((((VLOOKUP(B313,Database!$A:$AS,MATCH($D$1,Database!$A$1:$AS$1,),))))-(((VLOOKUP(EDATE(B313,-12),Database!$A:$AS,MATCH($D$1,Database!$A$1:$AS$1,),)))))/(((VLOOKUP(EDATE(B313,-12),Database!$A:$AS,MATCH($D$1,Database!$A$1:$AS$1,),))))</f>
        <v>2.3060796645702184E-2</v>
      </c>
      <c r="E313" s="13">
        <f>((((VLOOKUP(B313,Database!$A:$AS,MATCH($E$1,Database!$A$1:$AS$1,),))))-(((VLOOKUP(EDATE(B313,-12),Database!$A:$AS,MATCH($E$1,Database!$A$1:$AS$1,),)))))/(((VLOOKUP(EDATE(B313,-12),Database!$A:$AS,MATCH($E$1,Database!$A$1:$AS$1,),))))</f>
        <v>6.0824742275375217E-2</v>
      </c>
      <c r="F313" s="13">
        <f>((((VLOOKUP(B313,Database!$A:$AS,MATCH($F$1,Database!$A$1:$AS$1,),))))-(((VLOOKUP(EDATE(B313,-12),Database!$A:$AS,MATCH($F$1,Database!$A$1:$AS$1,),)))))/(((VLOOKUP(EDATE(B313,-12),Database!$A:$AS,MATCH($F$1,Database!$A$1:$AS$1,),))))</f>
        <v>4.0837696334146467E-2</v>
      </c>
      <c r="G313" s="13">
        <f>((((VLOOKUP(B313,Database!$A:$AS,MATCH($G$1,Database!$A$1:$AS$1,),))))-(((VLOOKUP(EDATE(B313,-12),Database!$A:$AS,MATCH($G$1,Database!$A$1:$AS$1,),)))))/(((VLOOKUP(EDATE(B313,-12),Database!$A:$AS,MATCH($G$1,Database!$A$1:$AS$1,),))))</f>
        <v>-2.2063985558118432E-3</v>
      </c>
      <c r="H313" s="13">
        <f>((((VLOOKUP(B313,Database!$A:$AS,MATCH($H$1,Database!$A$1:$AS$1,),))))-(((VLOOKUP(EDATE(B313,-12),Database!$A:$AS,MATCH($H$1,Database!$A$1:$AS$1,),)))))/(((VLOOKUP(EDATE(B313,-12),Database!$A:$AS,MATCH($H$1,Database!$A$1:$AS$1,),))))</f>
        <v>0.10882708584975977</v>
      </c>
      <c r="I313" s="13">
        <f>((((VLOOKUP(B313,Database!$A:$AS,MATCH($I$1,Database!$A$1:$AS$1,),))))-(((VLOOKUP(EDATE(B313,-12),Database!$A:$AS,MATCH($I$1,Database!$A$1:$AS$1,),)))))/(((VLOOKUP(EDATE(B313,-12),Database!$A:$AS,MATCH($I$1,Database!$A$1:$AS$1,),))))</f>
        <v>2.0140986835536106E-3</v>
      </c>
      <c r="J313" s="13">
        <f>((((VLOOKUP(B313,Database!$A:$AS,MATCH($J$1,Database!$A$1:$AS$1,),))))-(((VLOOKUP(EDATE(B313,-12),Database!$A:$AS,MATCH($J$1,Database!$A$1:$AS$1,),)))))/(((VLOOKUP(EDATE(B313,-12),Database!$A:$AS,MATCH($J$1,Database!$A$1:$AS$1,),))))</f>
        <v>2.783352699014869E-2</v>
      </c>
      <c r="K313" s="13">
        <f>((((VLOOKUP(B313,Database!$A:$AS,MATCH($K$1,Database!$A$1:$AS$1,),))))-(((VLOOKUP(EDATE(B313,-12),Database!$A:$AS,MATCH($K$1,Database!$A$1:$AS$1,),)))))/(((VLOOKUP(EDATE(B313,-12),Database!$A:$AS,MATCH($K$1,Database!$A$1:$AS$1,),))))</f>
        <v>4.0120361071983891E-3</v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>1.43873280522255E-2</v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>2.993348115299338E-2</v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>5.3549892427396585E-2</v>
      </c>
      <c r="O313" s="13">
        <f>((((VLOOKUP(B313,Database!$A:$AS,MATCH($O$1,Database!$A$1:$AS$1,),))))-(((VLOOKUP(EDATE(B313,-12),Database!$A:$AS,MATCH($O$1,Database!$A$1:$AS$1,),)))))/(((VLOOKUP(EDATE(B313,-12),Database!$A:$AS,MATCH($O$1,Database!$A$1:$AS$1,),))))</f>
        <v>3.9520176444755008E-2</v>
      </c>
      <c r="P313" s="13">
        <f>((((VLOOKUP(B313,Database!$A:$AS,MATCH($P$1,Database!$A$1:$AS$1,),))))-(((VLOOKUP(EDATE(B313,-12),Database!$A:$AS,MATCH($P$1,Database!$A$1:$AS$1,),)))))/(((VLOOKUP(EDATE(B313,-12),Database!$A:$AS,MATCH($P$1,Database!$A$1:$AS$1,),))))</f>
        <v>5.4147671804948821E-3</v>
      </c>
      <c r="Q313" s="13">
        <f>((((VLOOKUP(B313,Database!$A:$AS,MATCH($Q$1,Database!$A$1:$AS$1,),))))-(((VLOOKUP(EDATE(B313,-12),Database!$A:$AS,MATCH($Q$1,Database!$A$1:$AS$1,),)))))/(((VLOOKUP(EDATE(B313,-12),Database!$A:$AS,MATCH($Q$1,Database!$A$1:$AS$1,),))))</f>
        <v>1.5045135405451221E-2</v>
      </c>
      <c r="R313" s="13">
        <f>((((VLOOKUP(B313,Database!$A:$AS,MATCH($R$1,Database!$A$1:$AS$1,),))))-(((VLOOKUP(EDATE(B313,-12),Database!$A:$AS,MATCH($R$1,Database!$A$1:$AS$1,),)))))/(((VLOOKUP(EDATE(B313,-12),Database!$A:$AS,MATCH($R$1,Database!$A$1:$AS$1,),))))</f>
        <v>6.0544904166186624E-3</v>
      </c>
      <c r="S313" s="13">
        <f>((((VLOOKUP(B313,Database!$A:$AS,MATCH($S$1,Database!$A$1:$AS$1,),))))-(((VLOOKUP(EDATE(B313,-12),Database!$A:$AS,MATCH($S$1,Database!$A$1:$AS$1,),)))))/(((VLOOKUP(EDATE(B313,-12),Database!$A:$AS,MATCH($S$1,Database!$A$1:$AS$1,),))))</f>
        <v>0.16046758767419517</v>
      </c>
      <c r="T313" s="13">
        <f>((((VLOOKUP(B313,Database!$A:$AS,MATCH($T$1,Database!$A$1:$AS$1,),))))-(((VLOOKUP(EDATE(B313,-12),Database!$A:$AS,MATCH($T$1,Database!$A$1:$AS$1,),)))))/(((VLOOKUP(EDATE(B313,-12),Database!$A:$AS,MATCH($T$1,Database!$A$1:$AS$1,),))))</f>
        <v>8.0183276056612157E-2</v>
      </c>
      <c r="U313" s="13">
        <f>((((VLOOKUP(B313,Database!$A:$AS,MATCH($U$1,Database!$A$1:$AS$1,),))))-(((VLOOKUP(EDATE(B313,-12),Database!$A:$AS,MATCH($U$1,Database!$A$1:$AS$1,),)))))/(((VLOOKUP(EDATE(B313,-12),Database!$A:$AS,MATCH($U$1,Database!$A$1:$AS$1,),))))</f>
        <v>6.1936936936150586E-2</v>
      </c>
      <c r="V313" s="13">
        <f>((((VLOOKUP(B313,Database!$A:$AS,MATCH($V$1,Database!$A$1:$AS$1,),))))-(((VLOOKUP(EDATE(B313,-12),Database!$A:$AS,MATCH($V$1,Database!$A$1:$AS$1,),)))))/(((VLOOKUP(EDATE(B313,-12),Database!$A:$AS,MATCH($V$1,Database!$A$1:$AS$1,),))))</f>
        <v>4.9889135254988913E-2</v>
      </c>
    </row>
    <row r="314" spans="1:22" s="83" customFormat="1" x14ac:dyDescent="0.2">
      <c r="A314" s="43"/>
      <c r="B314" s="78">
        <v>41699</v>
      </c>
      <c r="C314" s="13">
        <f>((((VLOOKUP(B314,Database!$A:$AS,MATCH($C$1,Database!$A$1:$AS$1,),))))-(((VLOOKUP(EDATE(B314,-12),Database!$A:$AS,MATCH($C$1,Database!$A$1:$AS$1,),)))))/(((VLOOKUP(EDATE(B314,-12),Database!$A:$AS,MATCH($C$1,Database!$A$1:$AS$1,),))))</f>
        <v>2.7443046964219901E-2</v>
      </c>
      <c r="D314" s="13">
        <f>((((VLOOKUP(B314,Database!$A:$AS,MATCH($D$1,Database!$A$1:$AS$1,),))))-(((VLOOKUP(EDATE(B314,-12),Database!$A:$AS,MATCH($D$1,Database!$A$1:$AS$1,),)))))/(((VLOOKUP(EDATE(B314,-12),Database!$A:$AS,MATCH($D$1,Database!$A$1:$AS$1,),))))</f>
        <v>7.2614107883816241E-3</v>
      </c>
      <c r="E314" s="13">
        <f>((((VLOOKUP(B314,Database!$A:$AS,MATCH($E$1,Database!$A$1:$AS$1,),))))-(((VLOOKUP(EDATE(B314,-12),Database!$A:$AS,MATCH($E$1,Database!$A$1:$AS$1,),)))))/(((VLOOKUP(EDATE(B314,-12),Database!$A:$AS,MATCH($E$1,Database!$A$1:$AS$1,),))))</f>
        <v>6.5372829427205917E-2</v>
      </c>
      <c r="F314" s="13">
        <f>((((VLOOKUP(B314,Database!$A:$AS,MATCH($F$1,Database!$A$1:$AS$1,),))))-(((VLOOKUP(EDATE(B314,-12),Database!$A:$AS,MATCH($F$1,Database!$A$1:$AS$1,),)))))/(((VLOOKUP(EDATE(B314,-12),Database!$A:$AS,MATCH($F$1,Database!$A$1:$AS$1,),))))</f>
        <v>3.0991735539089842E-2</v>
      </c>
      <c r="G314" s="13">
        <f>((((VLOOKUP(B314,Database!$A:$AS,MATCH($G$1,Database!$A$1:$AS$1,),))))-(((VLOOKUP(EDATE(B314,-12),Database!$A:$AS,MATCH($G$1,Database!$A$1:$AS$1,),)))))/(((VLOOKUP(EDATE(B314,-12),Database!$A:$AS,MATCH($G$1,Database!$A$1:$AS$1,),))))</f>
        <v>-1.0717147435897509E-2</v>
      </c>
      <c r="H314" s="13">
        <f>((((VLOOKUP(B314,Database!$A:$AS,MATCH($H$1,Database!$A$1:$AS$1,),))))-(((VLOOKUP(EDATE(B314,-12),Database!$A:$AS,MATCH($H$1,Database!$A$1:$AS$1,),)))))/(((VLOOKUP(EDATE(B314,-12),Database!$A:$AS,MATCH($H$1,Database!$A$1:$AS$1,),))))</f>
        <v>7.210401891582946E-2</v>
      </c>
      <c r="I314" s="13">
        <f>((((VLOOKUP(B314,Database!$A:$AS,MATCH($I$1,Database!$A$1:$AS$1,),))))-(((VLOOKUP(EDATE(B314,-12),Database!$A:$AS,MATCH($I$1,Database!$A$1:$AS$1,),)))))/(((VLOOKUP(EDATE(B314,-12),Database!$A:$AS,MATCH($I$1,Database!$A$1:$AS$1,),))))</f>
        <v>-3.0364372461131723E-3</v>
      </c>
      <c r="J314" s="13">
        <f>((((VLOOKUP(B314,Database!$A:$AS,MATCH($J$1,Database!$A$1:$AS$1,),))))-(((VLOOKUP(EDATE(B314,-12),Database!$A:$AS,MATCH($J$1,Database!$A$1:$AS$1,),)))))/(((VLOOKUP(EDATE(B314,-12),Database!$A:$AS,MATCH($J$1,Database!$A$1:$AS$1,),))))</f>
        <v>8.205471706444421E-3</v>
      </c>
      <c r="K314" s="13">
        <f>((((VLOOKUP(B314,Database!$A:$AS,MATCH($K$1,Database!$A$1:$AS$1,),))))-(((VLOOKUP(EDATE(B314,-12),Database!$A:$AS,MATCH($K$1,Database!$A$1:$AS$1,),)))))/(((VLOOKUP(EDATE(B314,-12),Database!$A:$AS,MATCH($K$1,Database!$A$1:$AS$1,),))))</f>
        <v>-3.1683168317949158E-2</v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>1.3745529863293918E-2</v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>-1.2847965738758059E-2</v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>3.2050168148155846E-2</v>
      </c>
      <c r="O314" s="13">
        <f>((((VLOOKUP(B314,Database!$A:$AS,MATCH($O$1,Database!$A$1:$AS$1,),))))-(((VLOOKUP(EDATE(B314,-12),Database!$A:$AS,MATCH($O$1,Database!$A$1:$AS$1,),)))))/(((VLOOKUP(EDATE(B314,-12),Database!$A:$AS,MATCH($O$1,Database!$A$1:$AS$1,),))))</f>
        <v>3.6382495700436369E-2</v>
      </c>
      <c r="P314" s="13">
        <f>((((VLOOKUP(B314,Database!$A:$AS,MATCH($P$1,Database!$A$1:$AS$1,),))))-(((VLOOKUP(EDATE(B314,-12),Database!$A:$AS,MATCH($P$1,Database!$A$1:$AS$1,),)))))/(((VLOOKUP(EDATE(B314,-12),Database!$A:$AS,MATCH($P$1,Database!$A$1:$AS$1,),))))</f>
        <v>3.1343162504549847E-2</v>
      </c>
      <c r="Q314" s="13">
        <f>((((VLOOKUP(B314,Database!$A:$AS,MATCH($Q$1,Database!$A$1:$AS$1,),))))-(((VLOOKUP(EDATE(B314,-12),Database!$A:$AS,MATCH($Q$1,Database!$A$1:$AS$1,),)))))/(((VLOOKUP(EDATE(B314,-12),Database!$A:$AS,MATCH($Q$1,Database!$A$1:$AS$1,),))))</f>
        <v>-1.9762845812909724E-3</v>
      </c>
      <c r="R314" s="13">
        <f>((((VLOOKUP(B314,Database!$A:$AS,MATCH($R$1,Database!$A$1:$AS$1,),))))-(((VLOOKUP(EDATE(B314,-12),Database!$A:$AS,MATCH($R$1,Database!$A$1:$AS$1,),)))))/(((VLOOKUP(EDATE(B314,-12),Database!$A:$AS,MATCH($R$1,Database!$A$1:$AS$1,),))))</f>
        <v>-3.6489151877895712E-2</v>
      </c>
      <c r="S314" s="13">
        <f>((((VLOOKUP(B314,Database!$A:$AS,MATCH($S$1,Database!$A$1:$AS$1,),))))-(((VLOOKUP(EDATE(B314,-12),Database!$A:$AS,MATCH($S$1,Database!$A$1:$AS$1,),)))))/(((VLOOKUP(EDATE(B314,-12),Database!$A:$AS,MATCH($S$1,Database!$A$1:$AS$1,),))))</f>
        <v>0.16371220021533725</v>
      </c>
      <c r="T314" s="13">
        <f>((((VLOOKUP(B314,Database!$A:$AS,MATCH($T$1,Database!$A$1:$AS$1,),))))-(((VLOOKUP(EDATE(B314,-12),Database!$A:$AS,MATCH($T$1,Database!$A$1:$AS$1,),)))))/(((VLOOKUP(EDATE(B314,-12),Database!$A:$AS,MATCH($T$1,Database!$A$1:$AS$1,),))))</f>
        <v>8.6206896550931431E-2</v>
      </c>
      <c r="U314" s="13">
        <f>((((VLOOKUP(B314,Database!$A:$AS,MATCH($U$1,Database!$A$1:$AS$1,),))))-(((VLOOKUP(EDATE(B314,-12),Database!$A:$AS,MATCH($U$1,Database!$A$1:$AS$1,),)))))/(((VLOOKUP(EDATE(B314,-12),Database!$A:$AS,MATCH($U$1,Database!$A$1:$AS$1,),))))</f>
        <v>8.6265607271649752E-2</v>
      </c>
      <c r="V314" s="13">
        <f>((((VLOOKUP(B314,Database!$A:$AS,MATCH($V$1,Database!$A$1:$AS$1,),))))-(((VLOOKUP(EDATE(B314,-12),Database!$A:$AS,MATCH($V$1,Database!$A$1:$AS$1,),)))))/(((VLOOKUP(EDATE(B314,-12),Database!$A:$AS,MATCH($V$1,Database!$A$1:$AS$1,),))))</f>
        <v>5.35714285714287E-2</v>
      </c>
    </row>
    <row r="315" spans="1:22" s="83" customFormat="1" x14ac:dyDescent="0.2">
      <c r="A315" s="43"/>
      <c r="B315" s="78">
        <v>41730</v>
      </c>
      <c r="C315" s="13">
        <f>((((VLOOKUP(B315,Database!$A:$AS,MATCH($C$1,Database!$A$1:$AS$1,),))))-(((VLOOKUP(EDATE(B315,-12),Database!$A:$AS,MATCH($C$1,Database!$A$1:$AS$1,),)))))/(((VLOOKUP(EDATE(B315,-12),Database!$A:$AS,MATCH($C$1,Database!$A$1:$AS$1,),))))</f>
        <v>2.8699085897027247E-2</v>
      </c>
      <c r="D315" s="13">
        <f>((((VLOOKUP(B315,Database!$A:$AS,MATCH($D$1,Database!$A$1:$AS$1,),))))-(((VLOOKUP(EDATE(B315,-12),Database!$A:$AS,MATCH($D$1,Database!$A$1:$AS$1,),)))))/(((VLOOKUP(EDATE(B315,-12),Database!$A:$AS,MATCH($D$1,Database!$A$1:$AS$1,),))))</f>
        <v>2.0703933747412008E-2</v>
      </c>
      <c r="E315" s="13">
        <f>((((VLOOKUP(B315,Database!$A:$AS,MATCH($E$1,Database!$A$1:$AS$1,),))))-(((VLOOKUP(EDATE(B315,-12),Database!$A:$AS,MATCH($E$1,Database!$A$1:$AS$1,),)))))/(((VLOOKUP(EDATE(B315,-12),Database!$A:$AS,MATCH($E$1,Database!$A$1:$AS$1,),))))</f>
        <v>1.7329255859994168E-2</v>
      </c>
      <c r="F315" s="13">
        <f>((((VLOOKUP(B315,Database!$A:$AS,MATCH($F$1,Database!$A$1:$AS$1,),))))-(((VLOOKUP(EDATE(B315,-12),Database!$A:$AS,MATCH($F$1,Database!$A$1:$AS$1,),)))))/(((VLOOKUP(EDATE(B315,-12),Database!$A:$AS,MATCH($F$1,Database!$A$1:$AS$1,),))))</f>
        <v>2.3686920697073816E-2</v>
      </c>
      <c r="G315" s="13">
        <f>((((VLOOKUP(B315,Database!$A:$AS,MATCH($G$1,Database!$A$1:$AS$1,),))))-(((VLOOKUP(EDATE(B315,-12),Database!$A:$AS,MATCH($G$1,Database!$A$1:$AS$1,),)))))/(((VLOOKUP(EDATE(B315,-12),Database!$A:$AS,MATCH($G$1,Database!$A$1:$AS$1,),))))</f>
        <v>-2.2863900660293614E-2</v>
      </c>
      <c r="H315" s="13">
        <f>((((VLOOKUP(B315,Database!$A:$AS,MATCH($H$1,Database!$A$1:$AS$1,),))))-(((VLOOKUP(EDATE(B315,-12),Database!$A:$AS,MATCH($H$1,Database!$A$1:$AS$1,),)))))/(((VLOOKUP(EDATE(B315,-12),Database!$A:$AS,MATCH($H$1,Database!$A$1:$AS$1,),))))</f>
        <v>4.3073341101730597E-2</v>
      </c>
      <c r="I315" s="13">
        <f>((((VLOOKUP(B315,Database!$A:$AS,MATCH($I$1,Database!$A$1:$AS$1,),))))-(((VLOOKUP(EDATE(B315,-12),Database!$A:$AS,MATCH($I$1,Database!$A$1:$AS$1,),)))))/(((VLOOKUP(EDATE(B315,-12),Database!$A:$AS,MATCH($I$1,Database!$A$1:$AS$1,),))))</f>
        <v>1.5306122444710147E-2</v>
      </c>
      <c r="J315" s="13">
        <f>((((VLOOKUP(B315,Database!$A:$AS,MATCH($J$1,Database!$A$1:$AS$1,),))))-(((VLOOKUP(EDATE(B315,-12),Database!$A:$AS,MATCH($J$1,Database!$A$1:$AS$1,),)))))/(((VLOOKUP(EDATE(B315,-12),Database!$A:$AS,MATCH($J$1,Database!$A$1:$AS$1,),))))</f>
        <v>3.4895314061485369E-2</v>
      </c>
      <c r="K315" s="13">
        <f>((((VLOOKUP(B315,Database!$A:$AS,MATCH($K$1,Database!$A$1:$AS$1,),))))-(((VLOOKUP(EDATE(B315,-12),Database!$A:$AS,MATCH($K$1,Database!$A$1:$AS$1,),)))))/(((VLOOKUP(EDATE(B315,-12),Database!$A:$AS,MATCH($K$1,Database!$A$1:$AS$1,),))))</f>
        <v>-2.0263424513201297E-3</v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>3.1453562704718781E-2</v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>2.2727272727272665E-2</v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>4.0221913071819937E-2</v>
      </c>
      <c r="O315" s="13">
        <f>((((VLOOKUP(B315,Database!$A:$AS,MATCH($O$1,Database!$A$1:$AS$1,),))))-(((VLOOKUP(EDATE(B315,-12),Database!$A:$AS,MATCH($O$1,Database!$A$1:$AS$1,),)))))/(((VLOOKUP(EDATE(B315,-12),Database!$A:$AS,MATCH($O$1,Database!$A$1:$AS$1,),))))</f>
        <v>5.7242441400944442E-2</v>
      </c>
      <c r="P315" s="13">
        <f>((((VLOOKUP(B315,Database!$A:$AS,MATCH($P$1,Database!$A$1:$AS$1,),))))-(((VLOOKUP(EDATE(B315,-12),Database!$A:$AS,MATCH($P$1,Database!$A$1:$AS$1,),)))))/(((VLOOKUP(EDATE(B315,-12),Database!$A:$AS,MATCH($P$1,Database!$A$1:$AS$1,),))))</f>
        <v>2.7659446203680525E-2</v>
      </c>
      <c r="Q315" s="13">
        <f>((((VLOOKUP(B315,Database!$A:$AS,MATCH($Q$1,Database!$A$1:$AS$1,),))))-(((VLOOKUP(EDATE(B315,-12),Database!$A:$AS,MATCH($Q$1,Database!$A$1:$AS$1,),)))))/(((VLOOKUP(EDATE(B315,-12),Database!$A:$AS,MATCH($Q$1,Database!$A$1:$AS$1,),))))</f>
        <v>-2.7210884355783078E-2</v>
      </c>
      <c r="R315" s="13">
        <f>((((VLOOKUP(B315,Database!$A:$AS,MATCH($R$1,Database!$A$1:$AS$1,),))))-(((VLOOKUP(EDATE(B315,-12),Database!$A:$AS,MATCH($R$1,Database!$A$1:$AS$1,),)))))/(((VLOOKUP(EDATE(B315,-12),Database!$A:$AS,MATCH($R$1,Database!$A$1:$AS$1,),))))</f>
        <v>-2.9126213586759587E-2</v>
      </c>
      <c r="S315" s="13">
        <f>((((VLOOKUP(B315,Database!$A:$AS,MATCH($S$1,Database!$A$1:$AS$1,),))))-(((VLOOKUP(EDATE(B315,-12),Database!$A:$AS,MATCH($S$1,Database!$A$1:$AS$1,),)))))/(((VLOOKUP(EDATE(B315,-12),Database!$A:$AS,MATCH($S$1,Database!$A$1:$AS$1,),))))</f>
        <v>0.33917525772397505</v>
      </c>
      <c r="T315" s="13">
        <f>((((VLOOKUP(B315,Database!$A:$AS,MATCH($T$1,Database!$A$1:$AS$1,),))))-(((VLOOKUP(EDATE(B315,-12),Database!$A:$AS,MATCH($T$1,Database!$A$1:$AS$1,),)))))/(((VLOOKUP(EDATE(B315,-12),Database!$A:$AS,MATCH($T$1,Database!$A$1:$AS$1,),))))</f>
        <v>6.7274800452381461E-2</v>
      </c>
      <c r="U315" s="13">
        <f>((((VLOOKUP(B315,Database!$A:$AS,MATCH($U$1,Database!$A$1:$AS$1,),))))-(((VLOOKUP(EDATE(B315,-12),Database!$A:$AS,MATCH($U$1,Database!$A$1:$AS$1,),)))))/(((VLOOKUP(EDATE(B315,-12),Database!$A:$AS,MATCH($U$1,Database!$A$1:$AS$1,),))))</f>
        <v>6.9273743018345435E-2</v>
      </c>
      <c r="V315" s="13">
        <f>((((VLOOKUP(B315,Database!$A:$AS,MATCH($V$1,Database!$A$1:$AS$1,),))))-(((VLOOKUP(EDATE(B315,-12),Database!$A:$AS,MATCH($V$1,Database!$A$1:$AS$1,),)))))/(((VLOOKUP(EDATE(B315,-12),Database!$A:$AS,MATCH($V$1,Database!$A$1:$AS$1,),))))</f>
        <v>5.506607929515419E-2</v>
      </c>
    </row>
    <row r="316" spans="1:22" s="83" customFormat="1" x14ac:dyDescent="0.2">
      <c r="A316" s="43"/>
      <c r="B316" s="78">
        <v>41760</v>
      </c>
      <c r="C316" s="13">
        <f>((((VLOOKUP(B316,Database!$A:$AS,MATCH($C$1,Database!$A$1:$AS$1,),))))-(((VLOOKUP(EDATE(B316,-12),Database!$A:$AS,MATCH($C$1,Database!$A$1:$AS$1,),)))))/(((VLOOKUP(EDATE(B316,-12),Database!$A:$AS,MATCH($C$1,Database!$A$1:$AS$1,),))))</f>
        <v>3.1894792303409511E-2</v>
      </c>
      <c r="D316" s="13">
        <f>((((VLOOKUP(B316,Database!$A:$AS,MATCH($D$1,Database!$A$1:$AS$1,),))))-(((VLOOKUP(EDATE(B316,-12),Database!$A:$AS,MATCH($D$1,Database!$A$1:$AS$1,),)))))/(((VLOOKUP(EDATE(B316,-12),Database!$A:$AS,MATCH($D$1,Database!$A$1:$AS$1,),))))</f>
        <v>1.0330578512396695E-2</v>
      </c>
      <c r="E316" s="13">
        <f>((((VLOOKUP(B316,Database!$A:$AS,MATCH($E$1,Database!$A$1:$AS$1,),))))-(((VLOOKUP(EDATE(B316,-12),Database!$A:$AS,MATCH($E$1,Database!$A$1:$AS$1,),)))))/(((VLOOKUP(EDATE(B316,-12),Database!$A:$AS,MATCH($E$1,Database!$A$1:$AS$1,),))))</f>
        <v>2.3092369474766301E-2</v>
      </c>
      <c r="F316" s="13">
        <f>((((VLOOKUP(B316,Database!$A:$AS,MATCH($F$1,Database!$A$1:$AS$1,),))))-(((VLOOKUP(EDATE(B316,-12),Database!$A:$AS,MATCH($F$1,Database!$A$1:$AS$1,),)))))/(((VLOOKUP(EDATE(B316,-12),Database!$A:$AS,MATCH($F$1,Database!$A$1:$AS$1,),))))</f>
        <v>2.2797927461827124E-2</v>
      </c>
      <c r="G316" s="13">
        <f>((((VLOOKUP(B316,Database!$A:$AS,MATCH($G$1,Database!$A$1:$AS$1,),))))-(((VLOOKUP(EDATE(B316,-12),Database!$A:$AS,MATCH($G$1,Database!$A$1:$AS$1,),)))))/(((VLOOKUP(EDATE(B316,-12),Database!$A:$AS,MATCH($G$1,Database!$A$1:$AS$1,),))))</f>
        <v>-4.0862768378351594E-2</v>
      </c>
      <c r="H316" s="13">
        <f>((((VLOOKUP(B316,Database!$A:$AS,MATCH($H$1,Database!$A$1:$AS$1,),))))-(((VLOOKUP(EDATE(B316,-12),Database!$A:$AS,MATCH($H$1,Database!$A$1:$AS$1,),)))))/(((VLOOKUP(EDATE(B316,-12),Database!$A:$AS,MATCH($H$1,Database!$A$1:$AS$1,),))))</f>
        <v>1.1441647594551772E-2</v>
      </c>
      <c r="I316" s="13">
        <f>((((VLOOKUP(B316,Database!$A:$AS,MATCH($I$1,Database!$A$1:$AS$1,),))))-(((VLOOKUP(EDATE(B316,-12),Database!$A:$AS,MATCH($I$1,Database!$A$1:$AS$1,),)))))/(((VLOOKUP(EDATE(B316,-12),Database!$A:$AS,MATCH($I$1,Database!$A$1:$AS$1,),))))</f>
        <v>-1.8036072139348359E-2</v>
      </c>
      <c r="J316" s="13">
        <f>((((VLOOKUP(B316,Database!$A:$AS,MATCH($J$1,Database!$A$1:$AS$1,),))))-(((VLOOKUP(EDATE(B316,-12),Database!$A:$AS,MATCH($J$1,Database!$A$1:$AS$1,),)))))/(((VLOOKUP(EDATE(B316,-12),Database!$A:$AS,MATCH($J$1,Database!$A$1:$AS$1,),))))</f>
        <v>2.5384720711851067E-2</v>
      </c>
      <c r="K316" s="13">
        <f>((((VLOOKUP(B316,Database!$A:$AS,MATCH($K$1,Database!$A$1:$AS$1,),))))-(((VLOOKUP(EDATE(B316,-12),Database!$A:$AS,MATCH($K$1,Database!$A$1:$AS$1,),)))))/(((VLOOKUP(EDATE(B316,-12),Database!$A:$AS,MATCH($K$1,Database!$A$1:$AS$1,),))))</f>
        <v>-1.4418125639657458E-2</v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>3.5209030871793119E-2</v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>-2.1231422505308159E-3</v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>4.4278194306531418E-2</v>
      </c>
      <c r="O316" s="13">
        <f>((((VLOOKUP(B316,Database!$A:$AS,MATCH($O$1,Database!$A$1:$AS$1,),))))-(((VLOOKUP(EDATE(B316,-12),Database!$A:$AS,MATCH($O$1,Database!$A$1:$AS$1,),)))))/(((VLOOKUP(EDATE(B316,-12),Database!$A:$AS,MATCH($O$1,Database!$A$1:$AS$1,),))))</f>
        <v>6.2269357081349744E-2</v>
      </c>
      <c r="P316" s="13">
        <f>((((VLOOKUP(B316,Database!$A:$AS,MATCH($P$1,Database!$A$1:$AS$1,),))))-(((VLOOKUP(EDATE(B316,-12),Database!$A:$AS,MATCH($P$1,Database!$A$1:$AS$1,),)))))/(((VLOOKUP(EDATE(B316,-12),Database!$A:$AS,MATCH($P$1,Database!$A$1:$AS$1,),))))</f>
        <v>-2.3972396638466944E-3</v>
      </c>
      <c r="Q316" s="13">
        <f>((((VLOOKUP(B316,Database!$A:$AS,MATCH($Q$1,Database!$A$1:$AS$1,),))))-(((VLOOKUP(EDATE(B316,-12),Database!$A:$AS,MATCH($Q$1,Database!$A$1:$AS$1,),)))))/(((VLOOKUP(EDATE(B316,-12),Database!$A:$AS,MATCH($Q$1,Database!$A$1:$AS$1,),))))</f>
        <v>-3.6097560979007237E-2</v>
      </c>
      <c r="R316" s="13">
        <f>((((VLOOKUP(B316,Database!$A:$AS,MATCH($R$1,Database!$A$1:$AS$1,),))))-(((VLOOKUP(EDATE(B316,-12),Database!$A:$AS,MATCH($R$1,Database!$A$1:$AS$1,),)))))/(((VLOOKUP(EDATE(B316,-12),Database!$A:$AS,MATCH($R$1,Database!$A$1:$AS$1,),))))</f>
        <v>4.3478260873866574E-2</v>
      </c>
      <c r="S316" s="13">
        <f>((((VLOOKUP(B316,Database!$A:$AS,MATCH($S$1,Database!$A$1:$AS$1,),))))-(((VLOOKUP(EDATE(B316,-12),Database!$A:$AS,MATCH($S$1,Database!$A$1:$AS$1,),)))))/(((VLOOKUP(EDATE(B316,-12),Database!$A:$AS,MATCH($S$1,Database!$A$1:$AS$1,),))))</f>
        <v>0.32671300892857358</v>
      </c>
      <c r="T316" s="13">
        <f>((((VLOOKUP(B316,Database!$A:$AS,MATCH($T$1,Database!$A$1:$AS$1,),))))-(((VLOOKUP(EDATE(B316,-12),Database!$A:$AS,MATCH($T$1,Database!$A$1:$AS$1,),)))))/(((VLOOKUP(EDATE(B316,-12),Database!$A:$AS,MATCH($T$1,Database!$A$1:$AS$1,),))))</f>
        <v>5.1194539257922556E-2</v>
      </c>
      <c r="U316" s="13">
        <f>((((VLOOKUP(B316,Database!$A:$AS,MATCH($U$1,Database!$A$1:$AS$1,),))))-(((VLOOKUP(EDATE(B316,-12),Database!$A:$AS,MATCH($U$1,Database!$A$1:$AS$1,),)))))/(((VLOOKUP(EDATE(B316,-12),Database!$A:$AS,MATCH($U$1,Database!$A$1:$AS$1,),))))</f>
        <v>5.2280311466344778E-2</v>
      </c>
      <c r="V316" s="13">
        <f>((((VLOOKUP(B316,Database!$A:$AS,MATCH($V$1,Database!$A$1:$AS$1,),))))-(((VLOOKUP(EDATE(B316,-12),Database!$A:$AS,MATCH($V$1,Database!$A$1:$AS$1,),)))))/(((VLOOKUP(EDATE(B316,-12),Database!$A:$AS,MATCH($V$1,Database!$A$1:$AS$1,),))))</f>
        <v>2.0585048754062901E-2</v>
      </c>
    </row>
    <row r="317" spans="1:22" s="83" customFormat="1" x14ac:dyDescent="0.2">
      <c r="A317" s="43"/>
      <c r="B317" s="78">
        <v>41791</v>
      </c>
      <c r="C317" s="13">
        <f>((((VLOOKUP(B317,Database!$A:$AS,MATCH($C$1,Database!$A$1:$AS$1,),))))-(((VLOOKUP(EDATE(B317,-12),Database!$A:$AS,MATCH($C$1,Database!$A$1:$AS$1,),)))))/(((VLOOKUP(EDATE(B317,-12),Database!$A:$AS,MATCH($C$1,Database!$A$1:$AS$1,),))))</f>
        <v>3.3926204436541832E-2</v>
      </c>
      <c r="D317" s="13">
        <f>((((VLOOKUP(B317,Database!$A:$AS,MATCH($D$1,Database!$A$1:$AS$1,),))))-(((VLOOKUP(EDATE(B317,-12),Database!$A:$AS,MATCH($D$1,Database!$A$1:$AS$1,),)))))/(((VLOOKUP(EDATE(B317,-12),Database!$A:$AS,MATCH($D$1,Database!$A$1:$AS$1,),))))</f>
        <v>5.1652892561983473E-3</v>
      </c>
      <c r="E317" s="13">
        <f>((((VLOOKUP(B317,Database!$A:$AS,MATCH($E$1,Database!$A$1:$AS$1,),))))-(((VLOOKUP(EDATE(B317,-12),Database!$A:$AS,MATCH($E$1,Database!$A$1:$AS$1,),)))))/(((VLOOKUP(EDATE(B317,-12),Database!$A:$AS,MATCH($E$1,Database!$A$1:$AS$1,),))))</f>
        <v>2.0283975656986739E-2</v>
      </c>
      <c r="F317" s="13">
        <f>((((VLOOKUP(B317,Database!$A:$AS,MATCH($F$1,Database!$A$1:$AS$1,),))))-(((VLOOKUP(EDATE(B317,-12),Database!$A:$AS,MATCH($F$1,Database!$A$1:$AS$1,),)))))/(((VLOOKUP(EDATE(B317,-12),Database!$A:$AS,MATCH($F$1,Database!$A$1:$AS$1,),))))</f>
        <v>6.1099796316795938E-3</v>
      </c>
      <c r="G317" s="13">
        <f>((((VLOOKUP(B317,Database!$A:$AS,MATCH($G$1,Database!$A$1:$AS$1,),))))-(((VLOOKUP(EDATE(B317,-12),Database!$A:$AS,MATCH($G$1,Database!$A$1:$AS$1,),)))))/(((VLOOKUP(EDATE(B317,-12),Database!$A:$AS,MATCH($G$1,Database!$A$1:$AS$1,),))))</f>
        <v>-8.2147866159085672E-3</v>
      </c>
      <c r="H317" s="13">
        <f>((((VLOOKUP(B317,Database!$A:$AS,MATCH($H$1,Database!$A$1:$AS$1,),))))-(((VLOOKUP(EDATE(B317,-12),Database!$A:$AS,MATCH($H$1,Database!$A$1:$AS$1,),)))))/(((VLOOKUP(EDATE(B317,-12),Database!$A:$AS,MATCH($H$1,Database!$A$1:$AS$1,),))))</f>
        <v>-4.5197740123559789E-3</v>
      </c>
      <c r="I317" s="13">
        <f>((((VLOOKUP(B317,Database!$A:$AS,MATCH($I$1,Database!$A$1:$AS$1,),))))-(((VLOOKUP(EDATE(B317,-12),Database!$A:$AS,MATCH($I$1,Database!$A$1:$AS$1,),)))))/(((VLOOKUP(EDATE(B317,-12),Database!$A:$AS,MATCH($I$1,Database!$A$1:$AS$1,),))))</f>
        <v>2.0060180569494036E-3</v>
      </c>
      <c r="J317" s="13">
        <f>((((VLOOKUP(B317,Database!$A:$AS,MATCH($J$1,Database!$A$1:$AS$1,),))))-(((VLOOKUP(EDATE(B317,-12),Database!$A:$AS,MATCH($J$1,Database!$A$1:$AS$1,),)))))/(((VLOOKUP(EDATE(B317,-12),Database!$A:$AS,MATCH($J$1,Database!$A$1:$AS$1,),))))</f>
        <v>5.7780600345742616E-3</v>
      </c>
      <c r="K317" s="13">
        <f>((((VLOOKUP(B317,Database!$A:$AS,MATCH($K$1,Database!$A$1:$AS$1,),))))-(((VLOOKUP(EDATE(B317,-12),Database!$A:$AS,MATCH($K$1,Database!$A$1:$AS$1,),)))))/(((VLOOKUP(EDATE(B317,-12),Database!$A:$AS,MATCH($K$1,Database!$A$1:$AS$1,),))))</f>
        <v>-6.1099796317213911E-3</v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>3.0389284771875288E-2</v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>2.5889967637540361E-2</v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>8.1066669598796368E-2</v>
      </c>
      <c r="O317" s="13">
        <f>((((VLOOKUP(B317,Database!$A:$AS,MATCH($O$1,Database!$A$1:$AS$1,),))))-(((VLOOKUP(EDATE(B317,-12),Database!$A:$AS,MATCH($O$1,Database!$A$1:$AS$1,),)))))/(((VLOOKUP(EDATE(B317,-12),Database!$A:$AS,MATCH($O$1,Database!$A$1:$AS$1,),))))</f>
        <v>7.4502346067959455E-2</v>
      </c>
      <c r="P317" s="13">
        <f>((((VLOOKUP(B317,Database!$A:$AS,MATCH($P$1,Database!$A$1:$AS$1,),))))-(((VLOOKUP(EDATE(B317,-12),Database!$A:$AS,MATCH($P$1,Database!$A$1:$AS$1,),)))))/(((VLOOKUP(EDATE(B317,-12),Database!$A:$AS,MATCH($P$1,Database!$A$1:$AS$1,),))))</f>
        <v>2.4440857743235758E-2</v>
      </c>
      <c r="Q317" s="13">
        <f>((((VLOOKUP(B317,Database!$A:$AS,MATCH($Q$1,Database!$A$1:$AS$1,),))))-(((VLOOKUP(EDATE(B317,-12),Database!$A:$AS,MATCH($Q$1,Database!$A$1:$AS$1,),)))))/(((VLOOKUP(EDATE(B317,-12),Database!$A:$AS,MATCH($Q$1,Database!$A$1:$AS$1,),))))</f>
        <v>-6.8798449607252149E-2</v>
      </c>
      <c r="R317" s="13">
        <f>((((VLOOKUP(B317,Database!$A:$AS,MATCH($R$1,Database!$A$1:$AS$1,),))))-(((VLOOKUP(EDATE(B317,-12),Database!$A:$AS,MATCH($R$1,Database!$A$1:$AS$1,),)))))/(((VLOOKUP(EDATE(B317,-12),Database!$A:$AS,MATCH($R$1,Database!$A$1:$AS$1,),))))</f>
        <v>-7.5187969926156145E-2</v>
      </c>
      <c r="S317" s="13">
        <f>((((VLOOKUP(B317,Database!$A:$AS,MATCH($S$1,Database!$A$1:$AS$1,),))))-(((VLOOKUP(EDATE(B317,-12),Database!$A:$AS,MATCH($S$1,Database!$A$1:$AS$1,),)))))/(((VLOOKUP(EDATE(B317,-12),Database!$A:$AS,MATCH($S$1,Database!$A$1:$AS$1,),))))</f>
        <v>4.6391752582298905E-2</v>
      </c>
      <c r="T317" s="13">
        <f>((((VLOOKUP(B317,Database!$A:$AS,MATCH($T$1,Database!$A$1:$AS$1,),))))-(((VLOOKUP(EDATE(B317,-12),Database!$A:$AS,MATCH($T$1,Database!$A$1:$AS$1,),)))))/(((VLOOKUP(EDATE(B317,-12),Database!$A:$AS,MATCH($T$1,Database!$A$1:$AS$1,),))))</f>
        <v>3.9735099337821496E-2</v>
      </c>
      <c r="U317" s="13">
        <f>((((VLOOKUP(B317,Database!$A:$AS,MATCH($U$1,Database!$A$1:$AS$1,),))))-(((VLOOKUP(EDATE(B317,-12),Database!$A:$AS,MATCH($U$1,Database!$A$1:$AS$1,),)))))/(((VLOOKUP(EDATE(B317,-12),Database!$A:$AS,MATCH($U$1,Database!$A$1:$AS$1,),))))</f>
        <v>5.0716648290279324E-2</v>
      </c>
      <c r="V317" s="13">
        <f>((((VLOOKUP(B317,Database!$A:$AS,MATCH($V$1,Database!$A$1:$AS$1,),))))-(((VLOOKUP(EDATE(B317,-12),Database!$A:$AS,MATCH($V$1,Database!$A$1:$AS$1,),)))))/(((VLOOKUP(EDATE(B317,-12),Database!$A:$AS,MATCH($V$1,Database!$A$1:$AS$1,),))))</f>
        <v>1.8240343347639514E-2</v>
      </c>
    </row>
    <row r="318" spans="1:22" s="83" customFormat="1" x14ac:dyDescent="0.2">
      <c r="A318" s="43"/>
      <c r="B318" s="78">
        <v>41821</v>
      </c>
      <c r="C318" s="13">
        <f>((((VLOOKUP(B318,Database!$A:$AS,MATCH($C$1,Database!$A$1:$AS$1,),))))-(((VLOOKUP(EDATE(B318,-12),Database!$A:$AS,MATCH($C$1,Database!$A$1:$AS$1,),)))))/(((VLOOKUP(EDATE(B318,-12),Database!$A:$AS,MATCH($C$1,Database!$A$1:$AS$1,),))))</f>
        <v>3.9703640507032519E-2</v>
      </c>
      <c r="D318" s="13">
        <f>((((VLOOKUP(B318,Database!$A:$AS,MATCH($D$1,Database!$A$1:$AS$1,),))))-(((VLOOKUP(EDATE(B318,-12),Database!$A:$AS,MATCH($D$1,Database!$A$1:$AS$1,),)))))/(((VLOOKUP(EDATE(B318,-12),Database!$A:$AS,MATCH($D$1,Database!$A$1:$AS$1,),))))</f>
        <v>2.187499999999994E-2</v>
      </c>
      <c r="E318" s="13">
        <f>((((VLOOKUP(B318,Database!$A:$AS,MATCH($E$1,Database!$A$1:$AS$1,),))))-(((VLOOKUP(EDATE(B318,-12),Database!$A:$AS,MATCH($E$1,Database!$A$1:$AS$1,),)))))/(((VLOOKUP(EDATE(B318,-12),Database!$A:$AS,MATCH($E$1,Database!$A$1:$AS$1,),))))</f>
        <v>2.9970029961846733E-3</v>
      </c>
      <c r="F318" s="13">
        <f>((((VLOOKUP(B318,Database!$A:$AS,MATCH($F$1,Database!$A$1:$AS$1,),))))-(((VLOOKUP(EDATE(B318,-12),Database!$A:$AS,MATCH($F$1,Database!$A$1:$AS$1,),)))))/(((VLOOKUP(EDATE(B318,-12),Database!$A:$AS,MATCH($F$1,Database!$A$1:$AS$1,),))))</f>
        <v>4.5595854923654394E-2</v>
      </c>
      <c r="G318" s="13">
        <f>((((VLOOKUP(B318,Database!$A:$AS,MATCH($G$1,Database!$A$1:$AS$1,),))))-(((VLOOKUP(EDATE(B318,-12),Database!$A:$AS,MATCH($G$1,Database!$A$1:$AS$1,),)))))/(((VLOOKUP(EDATE(B318,-12),Database!$A:$AS,MATCH($G$1,Database!$A$1:$AS$1,),))))</f>
        <v>1.22074253430185E-2</v>
      </c>
      <c r="H318" s="13">
        <f>((((VLOOKUP(B318,Database!$A:$AS,MATCH($H$1,Database!$A$1:$AS$1,),))))-(((VLOOKUP(EDATE(B318,-12),Database!$A:$AS,MATCH($H$1,Database!$A$1:$AS$1,),)))))/(((VLOOKUP(EDATE(B318,-12),Database!$A:$AS,MATCH($H$1,Database!$A$1:$AS$1,),))))</f>
        <v>-1.1337868457058575E-3</v>
      </c>
      <c r="I318" s="13">
        <f>((((VLOOKUP(B318,Database!$A:$AS,MATCH($I$1,Database!$A$1:$AS$1,),))))-(((VLOOKUP(EDATE(B318,-12),Database!$A:$AS,MATCH($I$1,Database!$A$1:$AS$1,),)))))/(((VLOOKUP(EDATE(B318,-12),Database!$A:$AS,MATCH($I$1,Database!$A$1:$AS$1,),))))</f>
        <v>-1.0050251250169954E-2</v>
      </c>
      <c r="J318" s="13">
        <f>((((VLOOKUP(B318,Database!$A:$AS,MATCH($J$1,Database!$A$1:$AS$1,),))))-(((VLOOKUP(EDATE(B318,-12),Database!$A:$AS,MATCH($J$1,Database!$A$1:$AS$1,),)))))/(((VLOOKUP(EDATE(B318,-12),Database!$A:$AS,MATCH($J$1,Database!$A$1:$AS$1,),))))</f>
        <v>9.1802593092151497E-3</v>
      </c>
      <c r="K318" s="13">
        <f>((((VLOOKUP(B318,Database!$A:$AS,MATCH($K$1,Database!$A$1:$AS$1,),))))-(((VLOOKUP(EDATE(B318,-12),Database!$A:$AS,MATCH($K$1,Database!$A$1:$AS$1,),)))))/(((VLOOKUP(EDATE(B318,-12),Database!$A:$AS,MATCH($K$1,Database!$A$1:$AS$1,),))))</f>
        <v>-4.7856430704487044E-2</v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>2.9566634524800826E-2</v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>2.9411764705882384E-2</v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>5.5290117313433147E-2</v>
      </c>
      <c r="O318" s="13">
        <f>((((VLOOKUP(B318,Database!$A:$AS,MATCH($O$1,Database!$A$1:$AS$1,),))))-(((VLOOKUP(EDATE(B318,-12),Database!$A:$AS,MATCH($O$1,Database!$A$1:$AS$1,),)))))/(((VLOOKUP(EDATE(B318,-12),Database!$A:$AS,MATCH($O$1,Database!$A$1:$AS$1,),))))</f>
        <v>6.3944508334305455E-2</v>
      </c>
      <c r="P318" s="13">
        <f>((((VLOOKUP(B318,Database!$A:$AS,MATCH($P$1,Database!$A$1:$AS$1,),))))-(((VLOOKUP(EDATE(B318,-12),Database!$A:$AS,MATCH($P$1,Database!$A$1:$AS$1,),)))))/(((VLOOKUP(EDATE(B318,-12),Database!$A:$AS,MATCH($P$1,Database!$A$1:$AS$1,),))))</f>
        <v>4.1402662178594236E-2</v>
      </c>
      <c r="Q318" s="13">
        <f>((((VLOOKUP(B318,Database!$A:$AS,MATCH($Q$1,Database!$A$1:$AS$1,),))))-(((VLOOKUP(EDATE(B318,-12),Database!$A:$AS,MATCH($Q$1,Database!$A$1:$AS$1,),)))))/(((VLOOKUP(EDATE(B318,-12),Database!$A:$AS,MATCH($Q$1,Database!$A$1:$AS$1,),))))</f>
        <v>-4.0039062504893939E-2</v>
      </c>
      <c r="R318" s="13">
        <f>((((VLOOKUP(B318,Database!$A:$AS,MATCH($R$1,Database!$A$1:$AS$1,),))))-(((VLOOKUP(EDATE(B318,-12),Database!$A:$AS,MATCH($R$1,Database!$A$1:$AS$1,),)))))/(((VLOOKUP(EDATE(B318,-12),Database!$A:$AS,MATCH($R$1,Database!$A$1:$AS$1,),))))</f>
        <v>-1.0121457481222217E-2</v>
      </c>
      <c r="S318" s="13">
        <f>((((VLOOKUP(B318,Database!$A:$AS,MATCH($S$1,Database!$A$1:$AS$1,),))))-(((VLOOKUP(EDATE(B318,-12),Database!$A:$AS,MATCH($S$1,Database!$A$1:$AS$1,),)))))/(((VLOOKUP(EDATE(B318,-12),Database!$A:$AS,MATCH($S$1,Database!$A$1:$AS$1,),))))</f>
        <v>0.18572927595356964</v>
      </c>
      <c r="T318" s="13">
        <f>((((VLOOKUP(B318,Database!$A:$AS,MATCH($T$1,Database!$A$1:$AS$1,),))))-(((VLOOKUP(EDATE(B318,-12),Database!$A:$AS,MATCH($T$1,Database!$A$1:$AS$1,),)))))/(((VLOOKUP(EDATE(B318,-12),Database!$A:$AS,MATCH($T$1,Database!$A$1:$AS$1,),))))</f>
        <v>7.1032186458540897E-2</v>
      </c>
      <c r="U318" s="13">
        <f>((((VLOOKUP(B318,Database!$A:$AS,MATCH($U$1,Database!$A$1:$AS$1,),))))-(((VLOOKUP(EDATE(B318,-12),Database!$A:$AS,MATCH($U$1,Database!$A$1:$AS$1,),)))))/(((VLOOKUP(EDATE(B318,-12),Database!$A:$AS,MATCH($U$1,Database!$A$1:$AS$1,),))))</f>
        <v>2.9094827586241635E-2</v>
      </c>
      <c r="V318" s="13">
        <f>((((VLOOKUP(B318,Database!$A:$AS,MATCH($V$1,Database!$A$1:$AS$1,),))))-(((VLOOKUP(EDATE(B318,-12),Database!$A:$AS,MATCH($V$1,Database!$A$1:$AS$1,),)))))/(((VLOOKUP(EDATE(B318,-12),Database!$A:$AS,MATCH($V$1,Database!$A$1:$AS$1,),))))</f>
        <v>2.545068928950165E-2</v>
      </c>
    </row>
    <row r="319" spans="1:22" s="83" customFormat="1" x14ac:dyDescent="0.2">
      <c r="A319" s="43"/>
      <c r="B319" s="78">
        <v>41852</v>
      </c>
      <c r="C319" s="13">
        <f>((((VLOOKUP(B319,Database!$A:$AS,MATCH($C$1,Database!$A$1:$AS$1,),))))-(((VLOOKUP(EDATE(B319,-12),Database!$A:$AS,MATCH($C$1,Database!$A$1:$AS$1,),)))))/(((VLOOKUP(EDATE(B319,-12),Database!$A:$AS,MATCH($C$1,Database!$A$1:$AS$1,),))))</f>
        <v>3.1653393588682237E-2</v>
      </c>
      <c r="D319" s="13">
        <f>((((VLOOKUP(B319,Database!$A:$AS,MATCH($D$1,Database!$A$1:$AS$1,),))))-(((VLOOKUP(EDATE(B319,-12),Database!$A:$AS,MATCH($D$1,Database!$A$1:$AS$1,),)))))/(((VLOOKUP(EDATE(B319,-12),Database!$A:$AS,MATCH($D$1,Database!$A$1:$AS$1,),))))</f>
        <v>0</v>
      </c>
      <c r="E319" s="13">
        <f>((((VLOOKUP(B319,Database!$A:$AS,MATCH($E$1,Database!$A$1:$AS$1,),))))-(((VLOOKUP(EDATE(B319,-12),Database!$A:$AS,MATCH($E$1,Database!$A$1:$AS$1,),)))))/(((VLOOKUP(EDATE(B319,-12),Database!$A:$AS,MATCH($E$1,Database!$A$1:$AS$1,),))))</f>
        <v>-8.9641434238542164E-3</v>
      </c>
      <c r="F319" s="13">
        <f>((((VLOOKUP(B319,Database!$A:$AS,MATCH($F$1,Database!$A$1:$AS$1,),))))-(((VLOOKUP(EDATE(B319,-12),Database!$A:$AS,MATCH($F$1,Database!$A$1:$AS$1,),)))))/(((VLOOKUP(EDATE(B319,-12),Database!$A:$AS,MATCH($F$1,Database!$A$1:$AS$1,),))))</f>
        <v>-2.026342451657746E-2</v>
      </c>
      <c r="G319" s="13">
        <f>((((VLOOKUP(B319,Database!$A:$AS,MATCH($G$1,Database!$A$1:$AS$1,),))))-(((VLOOKUP(EDATE(B319,-12),Database!$A:$AS,MATCH($G$1,Database!$A$1:$AS$1,),)))))/(((VLOOKUP(EDATE(B319,-12),Database!$A:$AS,MATCH($G$1,Database!$A$1:$AS$1,),))))</f>
        <v>-2.0337604230221966E-3</v>
      </c>
      <c r="H319" s="13">
        <f>((((VLOOKUP(B319,Database!$A:$AS,MATCH($H$1,Database!$A$1:$AS$1,),))))-(((VLOOKUP(EDATE(B319,-12),Database!$A:$AS,MATCH($H$1,Database!$A$1:$AS$1,),)))))/(((VLOOKUP(EDATE(B319,-12),Database!$A:$AS,MATCH($H$1,Database!$A$1:$AS$1,),))))</f>
        <v>-4.5662100467283489E-3</v>
      </c>
      <c r="I319" s="13">
        <f>((((VLOOKUP(B319,Database!$A:$AS,MATCH($I$1,Database!$A$1:$AS$1,),))))-(((VLOOKUP(EDATE(B319,-12),Database!$A:$AS,MATCH($I$1,Database!$A$1:$AS$1,),)))))/(((VLOOKUP(EDATE(B319,-12),Database!$A:$AS,MATCH($I$1,Database!$A$1:$AS$1,),))))</f>
        <v>-7.1501532122161086E-3</v>
      </c>
      <c r="J319" s="13">
        <f>((((VLOOKUP(B319,Database!$A:$AS,MATCH($J$1,Database!$A$1:$AS$1,),))))-(((VLOOKUP(EDATE(B319,-12),Database!$A:$AS,MATCH($J$1,Database!$A$1:$AS$1,),)))))/(((VLOOKUP(EDATE(B319,-12),Database!$A:$AS,MATCH($J$1,Database!$A$1:$AS$1,),))))</f>
        <v>2.9013639490952183E-3</v>
      </c>
      <c r="K319" s="13">
        <f>((((VLOOKUP(B319,Database!$A:$AS,MATCH($K$1,Database!$A$1:$AS$1,),))))-(((VLOOKUP(EDATE(B319,-12),Database!$A:$AS,MATCH($K$1,Database!$A$1:$AS$1,),)))))/(((VLOOKUP(EDATE(B319,-12),Database!$A:$AS,MATCH($K$1,Database!$A$1:$AS$1,),))))</f>
        <v>-9.1277890441538011E-3</v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>2.8165946801239579E-2</v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>3.723986856516983E-2</v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>3.2866538665384637E-2</v>
      </c>
      <c r="O319" s="13">
        <f>((((VLOOKUP(B319,Database!$A:$AS,MATCH($O$1,Database!$A$1:$AS$1,),))))-(((VLOOKUP(EDATE(B319,-12),Database!$A:$AS,MATCH($O$1,Database!$A$1:$AS$1,),)))))/(((VLOOKUP(EDATE(B319,-12),Database!$A:$AS,MATCH($O$1,Database!$A$1:$AS$1,),))))</f>
        <v>3.7216073401307254E-2</v>
      </c>
      <c r="P319" s="13">
        <f>((((VLOOKUP(B319,Database!$A:$AS,MATCH($P$1,Database!$A$1:$AS$1,),))))-(((VLOOKUP(EDATE(B319,-12),Database!$A:$AS,MATCH($P$1,Database!$A$1:$AS$1,),)))))/(((VLOOKUP(EDATE(B319,-12),Database!$A:$AS,MATCH($P$1,Database!$A$1:$AS$1,),))))</f>
        <v>-1.1209780189876188E-2</v>
      </c>
      <c r="Q319" s="13">
        <f>((((VLOOKUP(B319,Database!$A:$AS,MATCH($Q$1,Database!$A$1:$AS$1,),))))-(((VLOOKUP(EDATE(B319,-12),Database!$A:$AS,MATCH($Q$1,Database!$A$1:$AS$1,),)))))/(((VLOOKUP(EDATE(B319,-12),Database!$A:$AS,MATCH($Q$1,Database!$A$1:$AS$1,),))))</f>
        <v>-3.5922330100477642E-2</v>
      </c>
      <c r="R319" s="13">
        <f>((((VLOOKUP(B319,Database!$A:$AS,MATCH($R$1,Database!$A$1:$AS$1,),))))-(((VLOOKUP(EDATE(B319,-12),Database!$A:$AS,MATCH($R$1,Database!$A$1:$AS$1,),)))))/(((VLOOKUP(EDATE(B319,-12),Database!$A:$AS,MATCH($R$1,Database!$A$1:$AS$1,),))))</f>
        <v>-4.0877367898988139E-2</v>
      </c>
      <c r="S319" s="13">
        <f>((((VLOOKUP(B319,Database!$A:$AS,MATCH($S$1,Database!$A$1:$AS$1,),))))-(((VLOOKUP(EDATE(B319,-12),Database!$A:$AS,MATCH($S$1,Database!$A$1:$AS$1,),)))))/(((VLOOKUP(EDATE(B319,-12),Database!$A:$AS,MATCH($S$1,Database!$A$1:$AS$1,),))))</f>
        <v>0.25157894736551756</v>
      </c>
      <c r="T319" s="13">
        <f>((((VLOOKUP(B319,Database!$A:$AS,MATCH($T$1,Database!$A$1:$AS$1,),))))-(((VLOOKUP(EDATE(B319,-12),Database!$A:$AS,MATCH($T$1,Database!$A$1:$AS$1,),)))))/(((VLOOKUP(EDATE(B319,-12),Database!$A:$AS,MATCH($T$1,Database!$A$1:$AS$1,),))))</f>
        <v>4.7945205477731734E-2</v>
      </c>
      <c r="U319" s="13">
        <f>((((VLOOKUP(B319,Database!$A:$AS,MATCH($U$1,Database!$A$1:$AS$1,),))))-(((VLOOKUP(EDATE(B319,-12),Database!$A:$AS,MATCH($U$1,Database!$A$1:$AS$1,),)))))/(((VLOOKUP(EDATE(B319,-12),Database!$A:$AS,MATCH($U$1,Database!$A$1:$AS$1,),))))</f>
        <v>1.9230769230769214E-2</v>
      </c>
      <c r="V319" s="13">
        <f>((((VLOOKUP(B319,Database!$A:$AS,MATCH($V$1,Database!$A$1:$AS$1,),))))-(((VLOOKUP(EDATE(B319,-12),Database!$A:$AS,MATCH($V$1,Database!$A$1:$AS$1,),)))))/(((VLOOKUP(EDATE(B319,-12),Database!$A:$AS,MATCH($V$1,Database!$A$1:$AS$1,),))))</f>
        <v>6.3157894736841505E-3</v>
      </c>
    </row>
    <row r="320" spans="1:22" s="83" customFormat="1" x14ac:dyDescent="0.2">
      <c r="A320" s="43"/>
      <c r="B320" s="78">
        <v>41883</v>
      </c>
      <c r="C320" s="13">
        <f>((((VLOOKUP(B320,Database!$A:$AS,MATCH($C$1,Database!$A$1:$AS$1,),))))-(((VLOOKUP(EDATE(B320,-12),Database!$A:$AS,MATCH($C$1,Database!$A$1:$AS$1,),)))))/(((VLOOKUP(EDATE(B320,-12),Database!$A:$AS,MATCH($C$1,Database!$A$1:$AS$1,),))))</f>
        <v>2.9273372717659136E-2</v>
      </c>
      <c r="D320" s="13">
        <f>((((VLOOKUP(B320,Database!$A:$AS,MATCH($D$1,Database!$A$1:$AS$1,),))))-(((VLOOKUP(EDATE(B320,-12),Database!$A:$AS,MATCH($D$1,Database!$A$1:$AS$1,),)))))/(((VLOOKUP(EDATE(B320,-12),Database!$A:$AS,MATCH($D$1,Database!$A$1:$AS$1,),))))</f>
        <v>8.2815734989649219E-3</v>
      </c>
      <c r="E320" s="13">
        <f>((((VLOOKUP(B320,Database!$A:$AS,MATCH($E$1,Database!$A$1:$AS$1,),))))-(((VLOOKUP(EDATE(B320,-12),Database!$A:$AS,MATCH($E$1,Database!$A$1:$AS$1,),)))))/(((VLOOKUP(EDATE(B320,-12),Database!$A:$AS,MATCH($E$1,Database!$A$1:$AS$1,),))))</f>
        <v>-5.9288537533196415E-3</v>
      </c>
      <c r="F320" s="13">
        <f>((((VLOOKUP(B320,Database!$A:$AS,MATCH($F$1,Database!$A$1:$AS$1,),))))-(((VLOOKUP(EDATE(B320,-12),Database!$A:$AS,MATCH($F$1,Database!$A$1:$AS$1,),)))))/(((VLOOKUP(EDATE(B320,-12),Database!$A:$AS,MATCH($F$1,Database!$A$1:$AS$1,),))))</f>
        <v>9.1649694475193898E-3</v>
      </c>
      <c r="G320" s="13">
        <f>((((VLOOKUP(B320,Database!$A:$AS,MATCH($G$1,Database!$A$1:$AS$1,),))))-(((VLOOKUP(EDATE(B320,-12),Database!$A:$AS,MATCH($G$1,Database!$A$1:$AS$1,),)))))/(((VLOOKUP(EDATE(B320,-12),Database!$A:$AS,MATCH($G$1,Database!$A$1:$AS$1,),))))</f>
        <v>2.6289180990898978E-3</v>
      </c>
      <c r="H320" s="13">
        <f>((((VLOOKUP(B320,Database!$A:$AS,MATCH($H$1,Database!$A$1:$AS$1,),))))-(((VLOOKUP(EDATE(B320,-12),Database!$A:$AS,MATCH($H$1,Database!$A$1:$AS$1,),)))))/(((VLOOKUP(EDATE(B320,-12),Database!$A:$AS,MATCH($H$1,Database!$A$1:$AS$1,),))))</f>
        <v>-2.234636870997626E-2</v>
      </c>
      <c r="I320" s="13">
        <f>((((VLOOKUP(B320,Database!$A:$AS,MATCH($I$1,Database!$A$1:$AS$1,),))))-(((VLOOKUP(EDATE(B320,-12),Database!$A:$AS,MATCH($I$1,Database!$A$1:$AS$1,),)))))/(((VLOOKUP(EDATE(B320,-12),Database!$A:$AS,MATCH($I$1,Database!$A$1:$AS$1,),))))</f>
        <v>-1.8054162492482848E-2</v>
      </c>
      <c r="J320" s="13">
        <f>((((VLOOKUP(B320,Database!$A:$AS,MATCH($J$1,Database!$A$1:$AS$1,),))))-(((VLOOKUP(EDATE(B320,-12),Database!$A:$AS,MATCH($J$1,Database!$A$1:$AS$1,),)))))/(((VLOOKUP(EDATE(B320,-12),Database!$A:$AS,MATCH($J$1,Database!$A$1:$AS$1,),))))</f>
        <v>9.5209450419687924E-3</v>
      </c>
      <c r="K320" s="13">
        <f>((((VLOOKUP(B320,Database!$A:$AS,MATCH($K$1,Database!$A$1:$AS$1,),))))-(((VLOOKUP(EDATE(B320,-12),Database!$A:$AS,MATCH($K$1,Database!$A$1:$AS$1,),)))))/(((VLOOKUP(EDATE(B320,-12),Database!$A:$AS,MATCH($K$1,Database!$A$1:$AS$1,),))))</f>
        <v>-3.8306451612171624E-2</v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>3.3182891212578683E-2</v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>3.5598705501618089E-2</v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>3.5565697863875249E-2</v>
      </c>
      <c r="O320" s="13">
        <f>((((VLOOKUP(B320,Database!$A:$AS,MATCH($O$1,Database!$A$1:$AS$1,),))))-(((VLOOKUP(EDATE(B320,-12),Database!$A:$AS,MATCH($O$1,Database!$A$1:$AS$1,),)))))/(((VLOOKUP(EDATE(B320,-12),Database!$A:$AS,MATCH($O$1,Database!$A$1:$AS$1,),))))</f>
        <v>4.8476987847949821E-2</v>
      </c>
      <c r="P320" s="13">
        <f>((((VLOOKUP(B320,Database!$A:$AS,MATCH($P$1,Database!$A$1:$AS$1,),))))-(((VLOOKUP(EDATE(B320,-12),Database!$A:$AS,MATCH($P$1,Database!$A$1:$AS$1,),)))))/(((VLOOKUP(EDATE(B320,-12),Database!$A:$AS,MATCH($P$1,Database!$A$1:$AS$1,),))))</f>
        <v>3.533211171737514E-3</v>
      </c>
      <c r="Q320" s="13">
        <f>((((VLOOKUP(B320,Database!$A:$AS,MATCH($Q$1,Database!$A$1:$AS$1,),))))-(((VLOOKUP(EDATE(B320,-12),Database!$A:$AS,MATCH($Q$1,Database!$A$1:$AS$1,),)))))/(((VLOOKUP(EDATE(B320,-12),Database!$A:$AS,MATCH($Q$1,Database!$A$1:$AS$1,),))))</f>
        <v>-3.9613526566207521E-2</v>
      </c>
      <c r="R320" s="13">
        <f>((((VLOOKUP(B320,Database!$A:$AS,MATCH($R$1,Database!$A$1:$AS$1,),))))-(((VLOOKUP(EDATE(B320,-12),Database!$A:$AS,MATCH($R$1,Database!$A$1:$AS$1,),)))))/(((VLOOKUP(EDATE(B320,-12),Database!$A:$AS,MATCH($R$1,Database!$A$1:$AS$1,),))))</f>
        <v>-3.8499506424838334E-2</v>
      </c>
      <c r="S320" s="13">
        <f>((((VLOOKUP(B320,Database!$A:$AS,MATCH($S$1,Database!$A$1:$AS$1,),))))-(((VLOOKUP(EDATE(B320,-12),Database!$A:$AS,MATCH($S$1,Database!$A$1:$AS$1,),)))))/(((VLOOKUP(EDATE(B320,-12),Database!$A:$AS,MATCH($S$1,Database!$A$1:$AS$1,),))))</f>
        <v>0.20475698035438822</v>
      </c>
      <c r="T320" s="13">
        <f>((((VLOOKUP(B320,Database!$A:$AS,MATCH($T$1,Database!$A$1:$AS$1,),))))-(((VLOOKUP(EDATE(B320,-12),Database!$A:$AS,MATCH($T$1,Database!$A$1:$AS$1,),)))))/(((VLOOKUP(EDATE(B320,-12),Database!$A:$AS,MATCH($T$1,Database!$A$1:$AS$1,),))))</f>
        <v>3.6677454150086511E-2</v>
      </c>
      <c r="U320" s="13">
        <f>((((VLOOKUP(B320,Database!$A:$AS,MATCH($U$1,Database!$A$1:$AS$1,),))))-(((VLOOKUP(EDATE(B320,-12),Database!$A:$AS,MATCH($U$1,Database!$A$1:$AS$1,),)))))/(((VLOOKUP(EDATE(B320,-12),Database!$A:$AS,MATCH($U$1,Database!$A$1:$AS$1,),))))</f>
        <v>5.7734204783343797E-2</v>
      </c>
      <c r="V320" s="13">
        <f>((((VLOOKUP(B320,Database!$A:$AS,MATCH($V$1,Database!$A$1:$AS$1,),))))-(((VLOOKUP(EDATE(B320,-12),Database!$A:$AS,MATCH($V$1,Database!$A$1:$AS$1,),)))))/(((VLOOKUP(EDATE(B320,-12),Database!$A:$AS,MATCH($V$1,Database!$A$1:$AS$1,),))))</f>
        <v>2.1164021164021163E-2</v>
      </c>
    </row>
    <row r="321" spans="1:22" s="83" customFormat="1" x14ac:dyDescent="0.2">
      <c r="A321" s="43"/>
      <c r="B321" s="78">
        <v>41913</v>
      </c>
      <c r="C321" s="13">
        <f>((((VLOOKUP(B321,Database!$A:$AS,MATCH($C$1,Database!$A$1:$AS$1,),))))-(((VLOOKUP(EDATE(B321,-12),Database!$A:$AS,MATCH($C$1,Database!$A$1:$AS$1,),)))))/(((VLOOKUP(EDATE(B321,-12),Database!$A:$AS,MATCH($C$1,Database!$A$1:$AS$1,),))))</f>
        <v>3.0768599469143645E-2</v>
      </c>
      <c r="D321" s="13">
        <f>((((VLOOKUP(B321,Database!$A:$AS,MATCH($D$1,Database!$A$1:$AS$1,),))))-(((VLOOKUP(EDATE(B321,-12),Database!$A:$AS,MATCH($D$1,Database!$A$1:$AS$1,),)))))/(((VLOOKUP(EDATE(B321,-12),Database!$A:$AS,MATCH($D$1,Database!$A$1:$AS$1,),))))</f>
        <v>1.040582726326743E-2</v>
      </c>
      <c r="E321" s="13">
        <f>((((VLOOKUP(B321,Database!$A:$AS,MATCH($E$1,Database!$A$1:$AS$1,),))))-(((VLOOKUP(EDATE(B321,-12),Database!$A:$AS,MATCH($E$1,Database!$A$1:$AS$1,),)))))/(((VLOOKUP(EDATE(B321,-12),Database!$A:$AS,MATCH($E$1,Database!$A$1:$AS$1,),))))</f>
        <v>-8.8669950714743741E-3</v>
      </c>
      <c r="F321" s="13">
        <f>((((VLOOKUP(B321,Database!$A:$AS,MATCH($F$1,Database!$A$1:$AS$1,),))))-(((VLOOKUP(EDATE(B321,-12),Database!$A:$AS,MATCH($F$1,Database!$A$1:$AS$1,),)))))/(((VLOOKUP(EDATE(B321,-12),Database!$A:$AS,MATCH($F$1,Database!$A$1:$AS$1,),))))</f>
        <v>1.8461538466682987E-2</v>
      </c>
      <c r="G321" s="13">
        <f>((((VLOOKUP(B321,Database!$A:$AS,MATCH($G$1,Database!$A$1:$AS$1,),))))-(((VLOOKUP(EDATE(B321,-12),Database!$A:$AS,MATCH($G$1,Database!$A$1:$AS$1,),)))))/(((VLOOKUP(EDATE(B321,-12),Database!$A:$AS,MATCH($G$1,Database!$A$1:$AS$1,),))))</f>
        <v>-1.4434238417280637E-2</v>
      </c>
      <c r="H321" s="13">
        <f>((((VLOOKUP(B321,Database!$A:$AS,MATCH($H$1,Database!$A$1:$AS$1,),))))-(((VLOOKUP(EDATE(B321,-12),Database!$A:$AS,MATCH($H$1,Database!$A$1:$AS$1,),)))))/(((VLOOKUP(EDATE(B321,-12),Database!$A:$AS,MATCH($H$1,Database!$A$1:$AS$1,),))))</f>
        <v>-3.7652270214081518E-2</v>
      </c>
      <c r="I321" s="13">
        <f>((((VLOOKUP(B321,Database!$A:$AS,MATCH($I$1,Database!$A$1:$AS$1,),))))-(((VLOOKUP(EDATE(B321,-12),Database!$A:$AS,MATCH($I$1,Database!$A$1:$AS$1,),)))))/(((VLOOKUP(EDATE(B321,-12),Database!$A:$AS,MATCH($I$1,Database!$A$1:$AS$1,),))))</f>
        <v>-2.3976023969476536E-2</v>
      </c>
      <c r="J321" s="13">
        <f>((((VLOOKUP(B321,Database!$A:$AS,MATCH($J$1,Database!$A$1:$AS$1,),))))-(((VLOOKUP(EDATE(B321,-12),Database!$A:$AS,MATCH($J$1,Database!$A$1:$AS$1,),)))))/(((VLOOKUP(EDATE(B321,-12),Database!$A:$AS,MATCH($J$1,Database!$A$1:$AS$1,),))))</f>
        <v>1.4758210964016232E-2</v>
      </c>
      <c r="K321" s="13">
        <f>((((VLOOKUP(B321,Database!$A:$AS,MATCH($K$1,Database!$A$1:$AS$1,),))))-(((VLOOKUP(EDATE(B321,-12),Database!$A:$AS,MATCH($K$1,Database!$A$1:$AS$1,),)))))/(((VLOOKUP(EDATE(B321,-12),Database!$A:$AS,MATCH($K$1,Database!$A$1:$AS$1,),))))</f>
        <v>9.4736842184591531E-3</v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>3.0646278623232787E-2</v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>5.2004333694474512E-2</v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>6.2019278160113066E-3</v>
      </c>
      <c r="O321" s="13">
        <f>((((VLOOKUP(B321,Database!$A:$AS,MATCH($O$1,Database!$A$1:$AS$1,),))))-(((VLOOKUP(EDATE(B321,-12),Database!$A:$AS,MATCH($O$1,Database!$A$1:$AS$1,),)))))/(((VLOOKUP(EDATE(B321,-12),Database!$A:$AS,MATCH($O$1,Database!$A$1:$AS$1,),))))</f>
        <v>4.2399427101178437E-2</v>
      </c>
      <c r="P321" s="13">
        <f>((((VLOOKUP(B321,Database!$A:$AS,MATCH($P$1,Database!$A$1:$AS$1,),))))-(((VLOOKUP(EDATE(B321,-12),Database!$A:$AS,MATCH($P$1,Database!$A$1:$AS$1,),)))))/(((VLOOKUP(EDATE(B321,-12),Database!$A:$AS,MATCH($P$1,Database!$A$1:$AS$1,),))))</f>
        <v>-2.8690590321563778E-2</v>
      </c>
      <c r="Q321" s="13">
        <f>((((VLOOKUP(B321,Database!$A:$AS,MATCH($Q$1,Database!$A$1:$AS$1,),))))-(((VLOOKUP(EDATE(B321,-12),Database!$A:$AS,MATCH($Q$1,Database!$A$1:$AS$1,),)))))/(((VLOOKUP(EDATE(B321,-12),Database!$A:$AS,MATCH($Q$1,Database!$A$1:$AS$1,),))))</f>
        <v>-2.6367187503871882E-2</v>
      </c>
      <c r="R321" s="13">
        <f>((((VLOOKUP(B321,Database!$A:$AS,MATCH($R$1,Database!$A$1:$AS$1,),))))-(((VLOOKUP(EDATE(B321,-12),Database!$A:$AS,MATCH($R$1,Database!$A$1:$AS$1,),)))))/(((VLOOKUP(EDATE(B321,-12),Database!$A:$AS,MATCH($R$1,Database!$A$1:$AS$1,),))))</f>
        <v>2.0040080203342476E-3</v>
      </c>
      <c r="S321" s="13">
        <f>((((VLOOKUP(B321,Database!$A:$AS,MATCH($S$1,Database!$A$1:$AS$1,),))))-(((VLOOKUP(EDATE(B321,-12),Database!$A:$AS,MATCH($S$1,Database!$A$1:$AS$1,),)))))/(((VLOOKUP(EDATE(B321,-12),Database!$A:$AS,MATCH($S$1,Database!$A$1:$AS$1,),))))</f>
        <v>0.34589800443505825</v>
      </c>
      <c r="T321" s="13">
        <f>((((VLOOKUP(B321,Database!$A:$AS,MATCH($T$1,Database!$A$1:$AS$1,),))))-(((VLOOKUP(EDATE(B321,-12),Database!$A:$AS,MATCH($T$1,Database!$A$1:$AS$1,),)))))/(((VLOOKUP(EDATE(B321,-12),Database!$A:$AS,MATCH($T$1,Database!$A$1:$AS$1,),))))</f>
        <v>3.4896401313514985E-2</v>
      </c>
      <c r="U321" s="13">
        <f>((((VLOOKUP(B321,Database!$A:$AS,MATCH($U$1,Database!$A$1:$AS$1,),))))-(((VLOOKUP(EDATE(B321,-12),Database!$A:$AS,MATCH($U$1,Database!$A$1:$AS$1,),)))))/(((VLOOKUP(EDATE(B321,-12),Database!$A:$AS,MATCH($U$1,Database!$A$1:$AS$1,),))))</f>
        <v>3.315508022016174E-2</v>
      </c>
      <c r="V321" s="13">
        <f>((((VLOOKUP(B321,Database!$A:$AS,MATCH($V$1,Database!$A$1:$AS$1,),))))-(((VLOOKUP(EDATE(B321,-12),Database!$A:$AS,MATCH($V$1,Database!$A$1:$AS$1,),)))))/(((VLOOKUP(EDATE(B321,-12),Database!$A:$AS,MATCH($V$1,Database!$A$1:$AS$1,),))))</f>
        <v>1.8987341772151868E-2</v>
      </c>
    </row>
    <row r="322" spans="1:22" s="83" customFormat="1" x14ac:dyDescent="0.2">
      <c r="A322" s="43"/>
      <c r="B322" s="78">
        <v>41944</v>
      </c>
      <c r="C322" s="13">
        <f>((((VLOOKUP(B322,Database!$A:$AS,MATCH($C$1,Database!$A$1:$AS$1,),))))-(((VLOOKUP(EDATE(B322,-12),Database!$A:$AS,MATCH($C$1,Database!$A$1:$AS$1,),)))))/(((VLOOKUP(EDATE(B322,-12),Database!$A:$AS,MATCH($C$1,Database!$A$1:$AS$1,),))))</f>
        <v>3.4845602039965798E-2</v>
      </c>
      <c r="D322" s="13">
        <f>((((VLOOKUP(B322,Database!$A:$AS,MATCH($D$1,Database!$A$1:$AS$1,),))))-(((VLOOKUP(EDATE(B322,-12),Database!$A:$AS,MATCH($D$1,Database!$A$1:$AS$1,),)))))/(((VLOOKUP(EDATE(B322,-12),Database!$A:$AS,MATCH($D$1,Database!$A$1:$AS$1,),))))</f>
        <v>-6.1601642710473149E-3</v>
      </c>
      <c r="E322" s="13">
        <f>((((VLOOKUP(B322,Database!$A:$AS,MATCH($E$1,Database!$A$1:$AS$1,),))))-(((VLOOKUP(EDATE(B322,-12),Database!$A:$AS,MATCH($E$1,Database!$A$1:$AS$1,),)))))/(((VLOOKUP(EDATE(B322,-12),Database!$A:$AS,MATCH($E$1,Database!$A$1:$AS$1,),))))</f>
        <v>-1.2757605498579273E-2</v>
      </c>
      <c r="F322" s="13">
        <f>((((VLOOKUP(B322,Database!$A:$AS,MATCH($F$1,Database!$A$1:$AS$1,),))))-(((VLOOKUP(EDATE(B322,-12),Database!$A:$AS,MATCH($F$1,Database!$A$1:$AS$1,),)))))/(((VLOOKUP(EDATE(B322,-12),Database!$A:$AS,MATCH($F$1,Database!$A$1:$AS$1,),))))</f>
        <v>-3.0090270804086238E-3</v>
      </c>
      <c r="G322" s="13">
        <f>((((VLOOKUP(B322,Database!$A:$AS,MATCH($G$1,Database!$A$1:$AS$1,),))))-(((VLOOKUP(EDATE(B322,-12),Database!$A:$AS,MATCH($G$1,Database!$A$1:$AS$1,),)))))/(((VLOOKUP(EDATE(B322,-12),Database!$A:$AS,MATCH($G$1,Database!$A$1:$AS$1,),))))</f>
        <v>-4.0992555831265466E-2</v>
      </c>
      <c r="H322" s="13">
        <f>((((VLOOKUP(B322,Database!$A:$AS,MATCH($H$1,Database!$A$1:$AS$1,),))))-(((VLOOKUP(EDATE(B322,-12),Database!$A:$AS,MATCH($H$1,Database!$A$1:$AS$1,),)))))/(((VLOOKUP(EDATE(B322,-12),Database!$A:$AS,MATCH($H$1,Database!$A$1:$AS$1,),))))</f>
        <v>-3.4140969163356551E-2</v>
      </c>
      <c r="I322" s="13">
        <f>((((VLOOKUP(B322,Database!$A:$AS,MATCH($I$1,Database!$A$1:$AS$1,),))))-(((VLOOKUP(EDATE(B322,-12),Database!$A:$AS,MATCH($I$1,Database!$A$1:$AS$1,),)))))/(((VLOOKUP(EDATE(B322,-12),Database!$A:$AS,MATCH($I$1,Database!$A$1:$AS$1,),))))</f>
        <v>-1.9057171515942068E-2</v>
      </c>
      <c r="J322" s="13">
        <f>((((VLOOKUP(B322,Database!$A:$AS,MATCH($J$1,Database!$A$1:$AS$1,),))))-(((VLOOKUP(EDATE(B322,-12),Database!$A:$AS,MATCH($J$1,Database!$A$1:$AS$1,),)))))/(((VLOOKUP(EDATE(B322,-12),Database!$A:$AS,MATCH($J$1,Database!$A$1:$AS$1,),))))</f>
        <v>-1.2332884219477124E-3</v>
      </c>
      <c r="K322" s="13">
        <f>((((VLOOKUP(B322,Database!$A:$AS,MATCH($K$1,Database!$A$1:$AS$1,),))))-(((VLOOKUP(EDATE(B322,-12),Database!$A:$AS,MATCH($K$1,Database!$A$1:$AS$1,),)))))/(((VLOOKUP(EDATE(B322,-12),Database!$A:$AS,MATCH($K$1,Database!$A$1:$AS$1,),))))</f>
        <v>-4.595404595118191E-2</v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>2.7940260843925119E-2</v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>2.410901467505238E-2</v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>7.3177205821456648E-2</v>
      </c>
      <c r="O322" s="13">
        <f>((((VLOOKUP(B322,Database!$A:$AS,MATCH($O$1,Database!$A$1:$AS$1,),))))-(((VLOOKUP(EDATE(B322,-12),Database!$A:$AS,MATCH($O$1,Database!$A$1:$AS$1,),)))))/(((VLOOKUP(EDATE(B322,-12),Database!$A:$AS,MATCH($O$1,Database!$A$1:$AS$1,),))))</f>
        <v>4.2208130598822807E-2</v>
      </c>
      <c r="P322" s="13">
        <f>((((VLOOKUP(B322,Database!$A:$AS,MATCH($P$1,Database!$A$1:$AS$1,),))))-(((VLOOKUP(EDATE(B322,-12),Database!$A:$AS,MATCH($P$1,Database!$A$1:$AS$1,),)))))/(((VLOOKUP(EDATE(B322,-12),Database!$A:$AS,MATCH($P$1,Database!$A$1:$AS$1,),))))</f>
        <v>-1.6736025870999337E-2</v>
      </c>
      <c r="Q322" s="13">
        <f>((((VLOOKUP(B322,Database!$A:$AS,MATCH($Q$1,Database!$A$1:$AS$1,),))))-(((VLOOKUP(EDATE(B322,-12),Database!$A:$AS,MATCH($Q$1,Database!$A$1:$AS$1,),)))))/(((VLOOKUP(EDATE(B322,-12),Database!$A:$AS,MATCH($Q$1,Database!$A$1:$AS$1,),))))</f>
        <v>-4.2718446601445227E-2</v>
      </c>
      <c r="R322" s="13">
        <f>((((VLOOKUP(B322,Database!$A:$AS,MATCH($R$1,Database!$A$1:$AS$1,),))))-(((VLOOKUP(EDATE(B322,-12),Database!$A:$AS,MATCH($R$1,Database!$A$1:$AS$1,),)))))/(((VLOOKUP(EDATE(B322,-12),Database!$A:$AS,MATCH($R$1,Database!$A$1:$AS$1,),))))</f>
        <v>3.0051813468449241E-2</v>
      </c>
      <c r="S322" s="13">
        <f>((((VLOOKUP(B322,Database!$A:$AS,MATCH($S$1,Database!$A$1:$AS$1,),))))-(((VLOOKUP(EDATE(B322,-12),Database!$A:$AS,MATCH($S$1,Database!$A$1:$AS$1,),)))))/(((VLOOKUP(EDATE(B322,-12),Database!$A:$AS,MATCH($S$1,Database!$A$1:$AS$1,),))))</f>
        <v>0.2615062761545201</v>
      </c>
      <c r="T322" s="13">
        <f>((((VLOOKUP(B322,Database!$A:$AS,MATCH($T$1,Database!$A$1:$AS$1,),))))-(((VLOOKUP(EDATE(B322,-12),Database!$A:$AS,MATCH($T$1,Database!$A$1:$AS$1,),)))))/(((VLOOKUP(EDATE(B322,-12),Database!$A:$AS,MATCH($T$1,Database!$A$1:$AS$1,),))))</f>
        <v>3.6836403041533565E-2</v>
      </c>
      <c r="U322" s="13">
        <f>((((VLOOKUP(B322,Database!$A:$AS,MATCH($U$1,Database!$A$1:$AS$1,),))))-(((VLOOKUP(EDATE(B322,-12),Database!$A:$AS,MATCH($U$1,Database!$A$1:$AS$1,),)))))/(((VLOOKUP(EDATE(B322,-12),Database!$A:$AS,MATCH($U$1,Database!$A$1:$AS$1,),))))</f>
        <v>4.7210300430658492E-2</v>
      </c>
      <c r="V322" s="13">
        <f>((((VLOOKUP(B322,Database!$A:$AS,MATCH($V$1,Database!$A$1:$AS$1,),))))-(((VLOOKUP(EDATE(B322,-12),Database!$A:$AS,MATCH($V$1,Database!$A$1:$AS$1,),)))))/(((VLOOKUP(EDATE(B322,-12),Database!$A:$AS,MATCH($V$1,Database!$A$1:$AS$1,),))))</f>
        <v>3.1185031185030888E-3</v>
      </c>
    </row>
    <row r="323" spans="1:22" s="83" customFormat="1" x14ac:dyDescent="0.2">
      <c r="A323" s="43"/>
      <c r="B323" s="78">
        <v>41974</v>
      </c>
      <c r="C323" s="13">
        <f>((((VLOOKUP(B323,Database!$A:$AS,MATCH($C$1,Database!$A$1:$AS$1,),))))-(((VLOOKUP(EDATE(B323,-12),Database!$A:$AS,MATCH($C$1,Database!$A$1:$AS$1,),)))))/(((VLOOKUP(EDATE(B323,-12),Database!$A:$AS,MATCH($C$1,Database!$A$1:$AS$1,),))))</f>
        <v>3.2362617548207129E-2</v>
      </c>
      <c r="D323" s="13">
        <f>((((VLOOKUP(B323,Database!$A:$AS,MATCH($D$1,Database!$A$1:$AS$1,),))))-(((VLOOKUP(EDATE(B323,-12),Database!$A:$AS,MATCH($D$1,Database!$A$1:$AS$1,),)))))/(((VLOOKUP(EDATE(B323,-12),Database!$A:$AS,MATCH($D$1,Database!$A$1:$AS$1,),))))</f>
        <v>8.2219938335045956E-3</v>
      </c>
      <c r="E323" s="13">
        <f>((((VLOOKUP(B323,Database!$A:$AS,MATCH($E$1,Database!$A$1:$AS$1,),))))-(((VLOOKUP(EDATE(B323,-12),Database!$A:$AS,MATCH($E$1,Database!$A$1:$AS$1,),)))))/(((VLOOKUP(EDATE(B323,-12),Database!$A:$AS,MATCH($E$1,Database!$A$1:$AS$1,),))))</f>
        <v>-1.6683022569780624E-2</v>
      </c>
      <c r="F323" s="13">
        <f>((((VLOOKUP(B323,Database!$A:$AS,MATCH($F$1,Database!$A$1:$AS$1,),))))-(((VLOOKUP(EDATE(B323,-12),Database!$A:$AS,MATCH($F$1,Database!$A$1:$AS$1,),)))))/(((VLOOKUP(EDATE(B323,-12),Database!$A:$AS,MATCH($F$1,Database!$A$1:$AS$1,),))))</f>
        <v>1.3026052107321127E-2</v>
      </c>
      <c r="G323" s="13">
        <f>((((VLOOKUP(B323,Database!$A:$AS,MATCH($G$1,Database!$A$1:$AS$1,),))))-(((VLOOKUP(EDATE(B323,-12),Database!$A:$AS,MATCH($G$1,Database!$A$1:$AS$1,),)))))/(((VLOOKUP(EDATE(B323,-12),Database!$A:$AS,MATCH($G$1,Database!$A$1:$AS$1,),))))</f>
        <v>-4.019696512913903E-4</v>
      </c>
      <c r="H323" s="13">
        <f>((((VLOOKUP(B323,Database!$A:$AS,MATCH($H$1,Database!$A$1:$AS$1,),))))-(((VLOOKUP(EDATE(B323,-12),Database!$A:$AS,MATCH($H$1,Database!$A$1:$AS$1,),)))))/(((VLOOKUP(EDATE(B323,-12),Database!$A:$AS,MATCH($H$1,Database!$A$1:$AS$1,),))))</f>
        <v>-1.8599562364952634E-2</v>
      </c>
      <c r="I323" s="13">
        <f>((((VLOOKUP(B323,Database!$A:$AS,MATCH($I$1,Database!$A$1:$AS$1,),))))-(((VLOOKUP(EDATE(B323,-12),Database!$A:$AS,MATCH($I$1,Database!$A$1:$AS$1,),)))))/(((VLOOKUP(EDATE(B323,-12),Database!$A:$AS,MATCH($I$1,Database!$A$1:$AS$1,),))))</f>
        <v>1.0131712324150514E-3</v>
      </c>
      <c r="J323" s="13">
        <f>((((VLOOKUP(B323,Database!$A:$AS,MATCH($J$1,Database!$A$1:$AS$1,),))))-(((VLOOKUP(EDATE(B323,-12),Database!$A:$AS,MATCH($J$1,Database!$A$1:$AS$1,),)))))/(((VLOOKUP(EDATE(B323,-12),Database!$A:$AS,MATCH($J$1,Database!$A$1:$AS$1,),))))</f>
        <v>-5.1703099428691422E-4</v>
      </c>
      <c r="K323" s="13">
        <f>((((VLOOKUP(B323,Database!$A:$AS,MATCH($K$1,Database!$A$1:$AS$1,),))))-(((VLOOKUP(EDATE(B323,-12),Database!$A:$AS,MATCH($K$1,Database!$A$1:$AS$1,),)))))/(((VLOOKUP(EDATE(B323,-12),Database!$A:$AS,MATCH($K$1,Database!$A$1:$AS$1,),))))</f>
        <v>-4.9850448640122828E-3</v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>2.6686507518220888E-2</v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>4.2708333333333272E-2</v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>4.1378498349154622E-2</v>
      </c>
      <c r="O323" s="13">
        <f>((((VLOOKUP(B323,Database!$A:$AS,MATCH($O$1,Database!$A$1:$AS$1,),))))-(((VLOOKUP(EDATE(B323,-12),Database!$A:$AS,MATCH($O$1,Database!$A$1:$AS$1,),)))))/(((VLOOKUP(EDATE(B323,-12),Database!$A:$AS,MATCH($O$1,Database!$A$1:$AS$1,),))))</f>
        <v>5.5551866666979852E-2</v>
      </c>
      <c r="P323" s="13">
        <f>((((VLOOKUP(B323,Database!$A:$AS,MATCH($P$1,Database!$A$1:$AS$1,),))))-(((VLOOKUP(EDATE(B323,-12),Database!$A:$AS,MATCH($P$1,Database!$A$1:$AS$1,),)))))/(((VLOOKUP(EDATE(B323,-12),Database!$A:$AS,MATCH($P$1,Database!$A$1:$AS$1,),))))</f>
        <v>-2.2665904573534899E-3</v>
      </c>
      <c r="Q323" s="13">
        <f>((((VLOOKUP(B323,Database!$A:$AS,MATCH($Q$1,Database!$A$1:$AS$1,),))))-(((VLOOKUP(EDATE(B323,-12),Database!$A:$AS,MATCH($Q$1,Database!$A$1:$AS$1,),)))))/(((VLOOKUP(EDATE(B323,-12),Database!$A:$AS,MATCH($Q$1,Database!$A$1:$AS$1,),))))</f>
        <v>-3.6363636368974044E-2</v>
      </c>
      <c r="R323" s="13">
        <f>((((VLOOKUP(B323,Database!$A:$AS,MATCH($R$1,Database!$A$1:$AS$1,),))))-(((VLOOKUP(EDATE(B323,-12),Database!$A:$AS,MATCH($R$1,Database!$A$1:$AS$1,),)))))/(((VLOOKUP(EDATE(B323,-12),Database!$A:$AS,MATCH($R$1,Database!$A$1:$AS$1,),))))</f>
        <v>-2.8112449799075585E-2</v>
      </c>
      <c r="S323" s="13">
        <f>((((VLOOKUP(B323,Database!$A:$AS,MATCH($S$1,Database!$A$1:$AS$1,),))))-(((VLOOKUP(EDATE(B323,-12),Database!$A:$AS,MATCH($S$1,Database!$A$1:$AS$1,),)))))/(((VLOOKUP(EDATE(B323,-12),Database!$A:$AS,MATCH($S$1,Database!$A$1:$AS$1,),))))</f>
        <v>0.12765957447630158</v>
      </c>
      <c r="T323" s="13">
        <f>((((VLOOKUP(B323,Database!$A:$AS,MATCH($T$1,Database!$A$1:$AS$1,),))))-(((VLOOKUP(EDATE(B323,-12),Database!$A:$AS,MATCH($T$1,Database!$A$1:$AS$1,),)))))/(((VLOOKUP(EDATE(B323,-12),Database!$A:$AS,MATCH($T$1,Database!$A$1:$AS$1,),))))</f>
        <v>4.1394335515234235E-2</v>
      </c>
      <c r="U323" s="13">
        <f>((((VLOOKUP(B323,Database!$A:$AS,MATCH($U$1,Database!$A$1:$AS$1,),))))-(((VLOOKUP(EDATE(B323,-12),Database!$A:$AS,MATCH($U$1,Database!$A$1:$AS$1,),)))))/(((VLOOKUP(EDATE(B323,-12),Database!$A:$AS,MATCH($U$1,Database!$A$1:$AS$1,),))))</f>
        <v>4.6511627908206059E-2</v>
      </c>
      <c r="V323" s="13">
        <f>((((VLOOKUP(B323,Database!$A:$AS,MATCH($V$1,Database!$A$1:$AS$1,),))))-(((VLOOKUP(EDATE(B323,-12),Database!$A:$AS,MATCH($V$1,Database!$A$1:$AS$1,),)))))/(((VLOOKUP(EDATE(B323,-12),Database!$A:$AS,MATCH($V$1,Database!$A$1:$AS$1,),))))</f>
        <v>5.6034482758620725E-2</v>
      </c>
    </row>
    <row r="324" spans="1:22" s="83" customFormat="1" x14ac:dyDescent="0.2">
      <c r="A324" s="43"/>
      <c r="B324" s="78">
        <v>42005</v>
      </c>
      <c r="C324" s="13">
        <f>((((VLOOKUP(B324,Database!$A:$AS,MATCH($C$1,Database!$A$1:$AS$1,),))))-(((VLOOKUP(EDATE(B324,-12),Database!$A:$AS,MATCH($C$1,Database!$A$1:$AS$1,),)))))/(((VLOOKUP(EDATE(B324,-12),Database!$A:$AS,MATCH($C$1,Database!$A$1:$AS$1,),))))</f>
        <v>2.8088326434639838E-2</v>
      </c>
      <c r="D324" s="13">
        <f>((((VLOOKUP(B324,Database!$A:$AS,MATCH($D$1,Database!$A$1:$AS$1,),))))-(((VLOOKUP(EDATE(B324,-12),Database!$A:$AS,MATCH($D$1,Database!$A$1:$AS$1,),)))))/(((VLOOKUP(EDATE(B324,-12),Database!$A:$AS,MATCH($D$1,Database!$A$1:$AS$1,),))))</f>
        <v>9.2879256965943385E-3</v>
      </c>
      <c r="E324" s="13">
        <f>((((VLOOKUP(B324,Database!$A:$AS,MATCH($E$1,Database!$A$1:$AS$1,),))))-(((VLOOKUP(EDATE(B324,-12),Database!$A:$AS,MATCH($E$1,Database!$A$1:$AS$1,),)))))/(((VLOOKUP(EDATE(B324,-12),Database!$A:$AS,MATCH($E$1,Database!$A$1:$AS$1,),))))</f>
        <v>-8.6872586848547127E-3</v>
      </c>
      <c r="F324" s="13">
        <f>((((VLOOKUP(B324,Database!$A:$AS,MATCH($F$1,Database!$A$1:$AS$1,),))))-(((VLOOKUP(EDATE(B324,-12),Database!$A:$AS,MATCH($F$1,Database!$A$1:$AS$1,),)))))/(((VLOOKUP(EDATE(B324,-12),Database!$A:$AS,MATCH($F$1,Database!$A$1:$AS$1,),))))</f>
        <v>-5.0352467290269085E-3</v>
      </c>
      <c r="G324" s="13">
        <f>((((VLOOKUP(B324,Database!$A:$AS,MATCH($G$1,Database!$A$1:$AS$1,),))))-(((VLOOKUP(EDATE(B324,-12),Database!$A:$AS,MATCH($G$1,Database!$A$1:$AS$1,),)))))/(((VLOOKUP(EDATE(B324,-12),Database!$A:$AS,MATCH($G$1,Database!$A$1:$AS$1,),))))</f>
        <v>1.5408163265306175E-2</v>
      </c>
      <c r="H324" s="13">
        <f>((((VLOOKUP(B324,Database!$A:$AS,MATCH($H$1,Database!$A$1:$AS$1,),))))-(((VLOOKUP(EDATE(B324,-12),Database!$A:$AS,MATCH($H$1,Database!$A$1:$AS$1,),)))))/(((VLOOKUP(EDATE(B324,-12),Database!$A:$AS,MATCH($H$1,Database!$A$1:$AS$1,),))))</f>
        <v>3.2715376259889336E-3</v>
      </c>
      <c r="I324" s="13">
        <f>((((VLOOKUP(B324,Database!$A:$AS,MATCH($I$1,Database!$A$1:$AS$1,),))))-(((VLOOKUP(EDATE(B324,-12),Database!$A:$AS,MATCH($I$1,Database!$A$1:$AS$1,),)))))/(((VLOOKUP(EDATE(B324,-12),Database!$A:$AS,MATCH($I$1,Database!$A$1:$AS$1,),))))</f>
        <v>-1.9940179459437976E-2</v>
      </c>
      <c r="J324" s="13">
        <f>((((VLOOKUP(B324,Database!$A:$AS,MATCH($J$1,Database!$A$1:$AS$1,),))))-(((VLOOKUP(EDATE(B324,-12),Database!$A:$AS,MATCH($J$1,Database!$A$1:$AS$1,),)))))/(((VLOOKUP(EDATE(B324,-12),Database!$A:$AS,MATCH($J$1,Database!$A$1:$AS$1,),))))</f>
        <v>3.3583830007715924E-3</v>
      </c>
      <c r="K324" s="13">
        <f>((((VLOOKUP(B324,Database!$A:$AS,MATCH($K$1,Database!$A$1:$AS$1,),))))-(((VLOOKUP(EDATE(B324,-12),Database!$A:$AS,MATCH($K$1,Database!$A$1:$AS$1,),)))))/(((VLOOKUP(EDATE(B324,-12),Database!$A:$AS,MATCH($K$1,Database!$A$1:$AS$1,),))))</f>
        <v>-5.5888223557236383E-2</v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>1.8675050139718853E-2</v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>0.12070874861572543</v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>2.268243001630707E-2</v>
      </c>
      <c r="O324" s="13">
        <f>((((VLOOKUP(B324,Database!$A:$AS,MATCH($O$1,Database!$A$1:$AS$1,),))))-(((VLOOKUP(EDATE(B324,-12),Database!$A:$AS,MATCH($O$1,Database!$A$1:$AS$1,),)))))/(((VLOOKUP(EDATE(B324,-12),Database!$A:$AS,MATCH($O$1,Database!$A$1:$AS$1,),))))</f>
        <v>4.4656270755314927E-2</v>
      </c>
      <c r="P324" s="13">
        <f>((((VLOOKUP(B324,Database!$A:$AS,MATCH($P$1,Database!$A$1:$AS$1,),))))-(((VLOOKUP(EDATE(B324,-12),Database!$A:$AS,MATCH($P$1,Database!$A$1:$AS$1,),)))))/(((VLOOKUP(EDATE(B324,-12),Database!$A:$AS,MATCH($P$1,Database!$A$1:$AS$1,),))))</f>
        <v>-3.9305617198423425E-2</v>
      </c>
      <c r="Q324" s="13">
        <f>((((VLOOKUP(B324,Database!$A:$AS,MATCH($Q$1,Database!$A$1:$AS$1,),))))-(((VLOOKUP(EDATE(B324,-12),Database!$A:$AS,MATCH($Q$1,Database!$A$1:$AS$1,),)))))/(((VLOOKUP(EDATE(B324,-12),Database!$A:$AS,MATCH($Q$1,Database!$A$1:$AS$1,),))))</f>
        <v>-4.5725646119060263E-2</v>
      </c>
      <c r="R324" s="13">
        <f>((((VLOOKUP(B324,Database!$A:$AS,MATCH($R$1,Database!$A$1:$AS$1,),))))-(((VLOOKUP(EDATE(B324,-12),Database!$A:$AS,MATCH($R$1,Database!$A$1:$AS$1,),)))))/(((VLOOKUP(EDATE(B324,-12),Database!$A:$AS,MATCH($R$1,Database!$A$1:$AS$1,),))))</f>
        <v>6.1601642740021119E-3</v>
      </c>
      <c r="S324" s="13">
        <f>((((VLOOKUP(B324,Database!$A:$AS,MATCH($S$1,Database!$A$1:$AS$1,),))))-(((VLOOKUP(EDATE(B324,-12),Database!$A:$AS,MATCH($S$1,Database!$A$1:$AS$1,),)))))/(((VLOOKUP(EDATE(B324,-12),Database!$A:$AS,MATCH($S$1,Database!$A$1:$AS$1,),))))</f>
        <v>0.19275004661448245</v>
      </c>
      <c r="T324" s="13">
        <f>((((VLOOKUP(B324,Database!$A:$AS,MATCH($T$1,Database!$A$1:$AS$1,),))))-(((VLOOKUP(EDATE(B324,-12),Database!$A:$AS,MATCH($T$1,Database!$A$1:$AS$1,),)))))/(((VLOOKUP(EDATE(B324,-12),Database!$A:$AS,MATCH($T$1,Database!$A$1:$AS$1,),))))</f>
        <v>0</v>
      </c>
      <c r="U324" s="13">
        <f>((((VLOOKUP(B324,Database!$A:$AS,MATCH($U$1,Database!$A$1:$AS$1,),))))-(((VLOOKUP(EDATE(B324,-12),Database!$A:$AS,MATCH($U$1,Database!$A$1:$AS$1,),)))))/(((VLOOKUP(EDATE(B324,-12),Database!$A:$AS,MATCH($U$1,Database!$A$1:$AS$1,),))))</f>
        <v>5.495689654460479E-2</v>
      </c>
      <c r="V324" s="13">
        <f>((((VLOOKUP(B324,Database!$A:$AS,MATCH($V$1,Database!$A$1:$AS$1,),))))-(((VLOOKUP(EDATE(B324,-12),Database!$A:$AS,MATCH($V$1,Database!$A$1:$AS$1,),)))))/(((VLOOKUP(EDATE(B324,-12),Database!$A:$AS,MATCH($V$1,Database!$A$1:$AS$1,),))))</f>
        <v>3.8988408851422428E-2</v>
      </c>
    </row>
    <row r="325" spans="1:22" s="83" customFormat="1" x14ac:dyDescent="0.2">
      <c r="A325" s="43"/>
      <c r="B325" s="78">
        <v>42036</v>
      </c>
      <c r="C325" s="13">
        <f>((((VLOOKUP(B325,Database!$A:$AS,MATCH($C$1,Database!$A$1:$AS$1,),))))-(((VLOOKUP(EDATE(B325,-12),Database!$A:$AS,MATCH($C$1,Database!$A$1:$AS$1,),)))))/(((VLOOKUP(EDATE(B325,-12),Database!$A:$AS,MATCH($C$1,Database!$A$1:$AS$1,),))))</f>
        <v>1.4261080762971291E-2</v>
      </c>
      <c r="D325" s="13">
        <f>((((VLOOKUP(B325,Database!$A:$AS,MATCH($D$1,Database!$A$1:$AS$1,),))))-(((VLOOKUP(EDATE(B325,-12),Database!$A:$AS,MATCH($D$1,Database!$A$1:$AS$1,),)))))/(((VLOOKUP(EDATE(B325,-12),Database!$A:$AS,MATCH($D$1,Database!$A$1:$AS$1,),))))</f>
        <v>2.7663934426229539E-2</v>
      </c>
      <c r="E325" s="13">
        <f>((((VLOOKUP(B325,Database!$A:$AS,MATCH($E$1,Database!$A$1:$AS$1,),))))-(((VLOOKUP(EDATE(B325,-12),Database!$A:$AS,MATCH($E$1,Database!$A$1:$AS$1,),)))))/(((VLOOKUP(EDATE(B325,-12),Database!$A:$AS,MATCH($E$1,Database!$A$1:$AS$1,),))))</f>
        <v>-3.0126336256492393E-2</v>
      </c>
      <c r="F325" s="13">
        <f>((((VLOOKUP(B325,Database!$A:$AS,MATCH($F$1,Database!$A$1:$AS$1,),))))-(((VLOOKUP(EDATE(B325,-12),Database!$A:$AS,MATCH($F$1,Database!$A$1:$AS$1,),)))))/(((VLOOKUP(EDATE(B325,-12),Database!$A:$AS,MATCH($F$1,Database!$A$1:$AS$1,),))))</f>
        <v>0</v>
      </c>
      <c r="G325" s="13">
        <f>((((VLOOKUP(B325,Database!$A:$AS,MATCH($G$1,Database!$A$1:$AS$1,),))))-(((VLOOKUP(EDATE(B325,-12),Database!$A:$AS,MATCH($G$1,Database!$A$1:$AS$1,),)))))/(((VLOOKUP(EDATE(B325,-12),Database!$A:$AS,MATCH($G$1,Database!$A$1:$AS$1,),))))</f>
        <v>6.0307568599860147E-3</v>
      </c>
      <c r="H325" s="13">
        <f>((((VLOOKUP(B325,Database!$A:$AS,MATCH($H$1,Database!$A$1:$AS$1,),))))-(((VLOOKUP(EDATE(B325,-12),Database!$A:$AS,MATCH($H$1,Database!$A$1:$AS$1,),)))))/(((VLOOKUP(EDATE(B325,-12),Database!$A:$AS,MATCH($H$1,Database!$A$1:$AS$1,),))))</f>
        <v>2.0719738284409882E-2</v>
      </c>
      <c r="I325" s="13">
        <f>((((VLOOKUP(B325,Database!$A:$AS,MATCH($I$1,Database!$A$1:$AS$1,),))))-(((VLOOKUP(EDATE(B325,-12),Database!$A:$AS,MATCH($I$1,Database!$A$1:$AS$1,),)))))/(((VLOOKUP(EDATE(B325,-12),Database!$A:$AS,MATCH($I$1,Database!$A$1:$AS$1,),))))</f>
        <v>-4.0201004980578419E-3</v>
      </c>
      <c r="J325" s="13">
        <f>((((VLOOKUP(B325,Database!$A:$AS,MATCH($J$1,Database!$A$1:$AS$1,),))))-(((VLOOKUP(EDATE(B325,-12),Database!$A:$AS,MATCH($J$1,Database!$A$1:$AS$1,),)))))/(((VLOOKUP(EDATE(B325,-12),Database!$A:$AS,MATCH($J$1,Database!$A$1:$AS$1,),))))</f>
        <v>1.0369456853825409E-2</v>
      </c>
      <c r="K325" s="13">
        <f>((((VLOOKUP(B325,Database!$A:$AS,MATCH($K$1,Database!$A$1:$AS$1,),))))-(((VLOOKUP(EDATE(B325,-12),Database!$A:$AS,MATCH($K$1,Database!$A$1:$AS$1,),)))))/(((VLOOKUP(EDATE(B325,-12),Database!$A:$AS,MATCH($K$1,Database!$A$1:$AS$1,),))))</f>
        <v>-4.3956043953738713E-2</v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>2.0366334393159477E-2</v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>7.7502691065661877E-2</v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>3.0412093063786064E-2</v>
      </c>
      <c r="O325" s="13">
        <f>((((VLOOKUP(B325,Database!$A:$AS,MATCH($O$1,Database!$A$1:$AS$1,),))))-(((VLOOKUP(EDATE(B325,-12),Database!$A:$AS,MATCH($O$1,Database!$A$1:$AS$1,),)))))/(((VLOOKUP(EDATE(B325,-12),Database!$A:$AS,MATCH($O$1,Database!$A$1:$AS$1,),))))</f>
        <v>1.9122518341007342E-2</v>
      </c>
      <c r="P325" s="13">
        <f>((((VLOOKUP(B325,Database!$A:$AS,MATCH($P$1,Database!$A$1:$AS$1,),))))-(((VLOOKUP(EDATE(B325,-12),Database!$A:$AS,MATCH($P$1,Database!$A$1:$AS$1,),)))))/(((VLOOKUP(EDATE(B325,-12),Database!$A:$AS,MATCH($P$1,Database!$A$1:$AS$1,),))))</f>
        <v>-3.0690030609037775E-3</v>
      </c>
      <c r="Q325" s="13">
        <f>((((VLOOKUP(B325,Database!$A:$AS,MATCH($Q$1,Database!$A$1:$AS$1,),))))-(((VLOOKUP(EDATE(B325,-12),Database!$A:$AS,MATCH($Q$1,Database!$A$1:$AS$1,),)))))/(((VLOOKUP(EDATE(B325,-12),Database!$A:$AS,MATCH($Q$1,Database!$A$1:$AS$1,),))))</f>
        <v>-5.7312252965136347E-2</v>
      </c>
      <c r="R325" s="13">
        <f>((((VLOOKUP(B325,Database!$A:$AS,MATCH($R$1,Database!$A$1:$AS$1,),))))-(((VLOOKUP(EDATE(B325,-12),Database!$A:$AS,MATCH($R$1,Database!$A$1:$AS$1,),)))))/(((VLOOKUP(EDATE(B325,-12),Database!$A:$AS,MATCH($R$1,Database!$A$1:$AS$1,),))))</f>
        <v>2.0060180544465164E-2</v>
      </c>
      <c r="S325" s="13">
        <f>((((VLOOKUP(B325,Database!$A:$AS,MATCH($S$1,Database!$A$1:$AS$1,),))))-(((VLOOKUP(EDATE(B325,-12),Database!$A:$AS,MATCH($S$1,Database!$A$1:$AS$1,),)))))/(((VLOOKUP(EDATE(B325,-12),Database!$A:$AS,MATCH($S$1,Database!$A$1:$AS$1,),))))</f>
        <v>0.592652697201973</v>
      </c>
      <c r="T325" s="13">
        <f>((((VLOOKUP(B325,Database!$A:$AS,MATCH($T$1,Database!$A$1:$AS$1,),))))-(((VLOOKUP(EDATE(B325,-12),Database!$A:$AS,MATCH($T$1,Database!$A$1:$AS$1,),)))))/(((VLOOKUP(EDATE(B325,-12),Database!$A:$AS,MATCH($T$1,Database!$A$1:$AS$1,),))))</f>
        <v>9.5440084915704472E-3</v>
      </c>
      <c r="U325" s="13">
        <f>((((VLOOKUP(B325,Database!$A:$AS,MATCH($U$1,Database!$A$1:$AS$1,),))))-(((VLOOKUP(EDATE(B325,-12),Database!$A:$AS,MATCH($U$1,Database!$A$1:$AS$1,),)))))/(((VLOOKUP(EDATE(B325,-12),Database!$A:$AS,MATCH($U$1,Database!$A$1:$AS$1,),))))</f>
        <v>4.772004241820902E-2</v>
      </c>
      <c r="V325" s="13">
        <f>((((VLOOKUP(B325,Database!$A:$AS,MATCH($V$1,Database!$A$1:$AS$1,),))))-(((VLOOKUP(EDATE(B325,-12),Database!$A:$AS,MATCH($V$1,Database!$A$1:$AS$1,),)))))/(((VLOOKUP(EDATE(B325,-12),Database!$A:$AS,MATCH($V$1,Database!$A$1:$AS$1,),))))</f>
        <v>4.7518479408658922E-2</v>
      </c>
    </row>
    <row r="326" spans="1:22" s="83" customFormat="1" x14ac:dyDescent="0.2">
      <c r="A326" s="43"/>
      <c r="B326" s="78">
        <v>42064</v>
      </c>
      <c r="C326" s="13">
        <f>((((VLOOKUP(B326,Database!$A:$AS,MATCH($C$1,Database!$A$1:$AS$1,),))))-(((VLOOKUP(EDATE(B326,-12),Database!$A:$AS,MATCH($C$1,Database!$A$1:$AS$1,),)))))/(((VLOOKUP(EDATE(B326,-12),Database!$A:$AS,MATCH($C$1,Database!$A$1:$AS$1,),))))</f>
        <v>1.142680851223603E-3</v>
      </c>
      <c r="D326" s="13">
        <f>((((VLOOKUP(B326,Database!$A:$AS,MATCH($D$1,Database!$A$1:$AS$1,),))))-(((VLOOKUP(EDATE(B326,-12),Database!$A:$AS,MATCH($D$1,Database!$A$1:$AS$1,),)))))/(((VLOOKUP(EDATE(B326,-12),Database!$A:$AS,MATCH($D$1,Database!$A$1:$AS$1,),))))</f>
        <v>3.3985581874356456E-2</v>
      </c>
      <c r="E326" s="13">
        <f>((((VLOOKUP(B326,Database!$A:$AS,MATCH($E$1,Database!$A$1:$AS$1,),))))-(((VLOOKUP(EDATE(B326,-12),Database!$A:$AS,MATCH($E$1,Database!$A$1:$AS$1,),)))))/(((VLOOKUP(EDATE(B326,-12),Database!$A:$AS,MATCH($E$1,Database!$A$1:$AS$1,),))))</f>
        <v>-4.7938638541966602E-2</v>
      </c>
      <c r="F326" s="13">
        <f>((((VLOOKUP(B326,Database!$A:$AS,MATCH($F$1,Database!$A$1:$AS$1,),))))-(((VLOOKUP(EDATE(B326,-12),Database!$A:$AS,MATCH($F$1,Database!$A$1:$AS$1,),)))))/(((VLOOKUP(EDATE(B326,-12),Database!$A:$AS,MATCH($F$1,Database!$A$1:$AS$1,),))))</f>
        <v>-4.0080160276259663E-3</v>
      </c>
      <c r="G326" s="13">
        <f>((((VLOOKUP(B326,Database!$A:$AS,MATCH($G$1,Database!$A$1:$AS$1,),))))-(((VLOOKUP(EDATE(B326,-12),Database!$A:$AS,MATCH($G$1,Database!$A$1:$AS$1,),)))))/(((VLOOKUP(EDATE(B326,-12),Database!$A:$AS,MATCH($G$1,Database!$A$1:$AS$1,),))))</f>
        <v>1.1339475549255894E-2</v>
      </c>
      <c r="H326" s="13">
        <f>((((VLOOKUP(B326,Database!$A:$AS,MATCH($H$1,Database!$A$1:$AS$1,),))))-(((VLOOKUP(EDATE(B326,-12),Database!$A:$AS,MATCH($H$1,Database!$A$1:$AS$1,),)))))/(((VLOOKUP(EDATE(B326,-12),Database!$A:$AS,MATCH($H$1,Database!$A$1:$AS$1,),))))</f>
        <v>4.1896361636398545E-2</v>
      </c>
      <c r="I326" s="13">
        <f>((((VLOOKUP(B326,Database!$A:$AS,MATCH($I$1,Database!$A$1:$AS$1,),))))-(((VLOOKUP(EDATE(B326,-12),Database!$A:$AS,MATCH($I$1,Database!$A$1:$AS$1,),)))))/(((VLOOKUP(EDATE(B326,-12),Database!$A:$AS,MATCH($I$1,Database!$A$1:$AS$1,),))))</f>
        <v>9.1370558349968597E-3</v>
      </c>
      <c r="J326" s="13">
        <f>((((VLOOKUP(B326,Database!$A:$AS,MATCH($J$1,Database!$A$1:$AS$1,),))))-(((VLOOKUP(EDATE(B326,-12),Database!$A:$AS,MATCH($J$1,Database!$A$1:$AS$1,),)))))/(((VLOOKUP(EDATE(B326,-12),Database!$A:$AS,MATCH($J$1,Database!$A$1:$AS$1,),))))</f>
        <v>2.6180836710612842E-2</v>
      </c>
      <c r="K326" s="13">
        <f>((((VLOOKUP(B326,Database!$A:$AS,MATCH($K$1,Database!$A$1:$AS$1,),))))-(((VLOOKUP(EDATE(B326,-12),Database!$A:$AS,MATCH($K$1,Database!$A$1:$AS$1,),)))))/(((VLOOKUP(EDATE(B326,-12),Database!$A:$AS,MATCH($K$1,Database!$A$1:$AS$1,),))))</f>
        <v>-1.7382413083136077E-2</v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>1.783617524348103E-2</v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>8.0260303687635481E-2</v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>2.3844607598633868E-2</v>
      </c>
      <c r="O326" s="13">
        <f>((((VLOOKUP(B326,Database!$A:$AS,MATCH($O$1,Database!$A$1:$AS$1,),))))-(((VLOOKUP(EDATE(B326,-12),Database!$A:$AS,MATCH($O$1,Database!$A$1:$AS$1,),)))))/(((VLOOKUP(EDATE(B326,-12),Database!$A:$AS,MATCH($O$1,Database!$A$1:$AS$1,),))))</f>
        <v>9.8169604944534344E-3</v>
      </c>
      <c r="P326" s="13">
        <f>((((VLOOKUP(B326,Database!$A:$AS,MATCH($P$1,Database!$A$1:$AS$1,),))))-(((VLOOKUP(EDATE(B326,-12),Database!$A:$AS,MATCH($P$1,Database!$A$1:$AS$1,),)))))/(((VLOOKUP(EDATE(B326,-12),Database!$A:$AS,MATCH($P$1,Database!$A$1:$AS$1,),))))</f>
        <v>-2.9584402561360554E-2</v>
      </c>
      <c r="Q326" s="13">
        <f>((((VLOOKUP(B326,Database!$A:$AS,MATCH($Q$1,Database!$A$1:$AS$1,),))))-(((VLOOKUP(EDATE(B326,-12),Database!$A:$AS,MATCH($Q$1,Database!$A$1:$AS$1,),)))))/(((VLOOKUP(EDATE(B326,-12),Database!$A:$AS,MATCH($Q$1,Database!$A$1:$AS$1,),))))</f>
        <v>-5.9405940590854238E-2</v>
      </c>
      <c r="R326" s="13">
        <f>((((VLOOKUP(B326,Database!$A:$AS,MATCH($R$1,Database!$A$1:$AS$1,),))))-(((VLOOKUP(EDATE(B326,-12),Database!$A:$AS,MATCH($R$1,Database!$A$1:$AS$1,),)))))/(((VLOOKUP(EDATE(B326,-12),Database!$A:$AS,MATCH($R$1,Database!$A$1:$AS$1,),))))</f>
        <v>4.0941658143070082E-2</v>
      </c>
      <c r="S326" s="13">
        <f>((((VLOOKUP(B326,Database!$A:$AS,MATCH($S$1,Database!$A$1:$AS$1,),))))-(((VLOOKUP(EDATE(B326,-12),Database!$A:$AS,MATCH($S$1,Database!$A$1:$AS$1,),)))))/(((VLOOKUP(EDATE(B326,-12),Database!$A:$AS,MATCH($S$1,Database!$A$1:$AS$1,),))))</f>
        <v>0.57832687729455878</v>
      </c>
      <c r="T326" s="13">
        <f>((((VLOOKUP(B326,Database!$A:$AS,MATCH($T$1,Database!$A$1:$AS$1,),))))-(((VLOOKUP(EDATE(B326,-12),Database!$A:$AS,MATCH($T$1,Database!$A$1:$AS$1,),)))))/(((VLOOKUP(EDATE(B326,-12),Database!$A:$AS,MATCH($T$1,Database!$A$1:$AS$1,),))))</f>
        <v>4.8677248681492979E-2</v>
      </c>
      <c r="U326" s="13">
        <f>((((VLOOKUP(B326,Database!$A:$AS,MATCH($U$1,Database!$A$1:$AS$1,),))))-(((VLOOKUP(EDATE(B326,-12),Database!$A:$AS,MATCH($U$1,Database!$A$1:$AS$1,),)))))/(((VLOOKUP(EDATE(B326,-12),Database!$A:$AS,MATCH($U$1,Database!$A$1:$AS$1,),))))</f>
        <v>3.9707419015579705E-2</v>
      </c>
      <c r="V326" s="13">
        <f>((((VLOOKUP(B326,Database!$A:$AS,MATCH($V$1,Database!$A$1:$AS$1,),))))-(((VLOOKUP(EDATE(B326,-12),Database!$A:$AS,MATCH($V$1,Database!$A$1:$AS$1,),)))))/(((VLOOKUP(EDATE(B326,-12),Database!$A:$AS,MATCH($V$1,Database!$A$1:$AS$1,),))))</f>
        <v>6.1440677966101663E-2</v>
      </c>
    </row>
    <row r="327" spans="1:22" s="83" customFormat="1" x14ac:dyDescent="0.2">
      <c r="A327" s="43"/>
      <c r="B327" s="78">
        <v>42095</v>
      </c>
      <c r="C327" s="13">
        <f>((((VLOOKUP(B327,Database!$A:$AS,MATCH($C$1,Database!$A$1:$AS$1,),))))-(((VLOOKUP(EDATE(B327,-12),Database!$A:$AS,MATCH($C$1,Database!$A$1:$AS$1,),)))))/(((VLOOKUP(EDATE(B327,-12),Database!$A:$AS,MATCH($C$1,Database!$A$1:$AS$1,),))))</f>
        <v>-5.3793586960514516E-3</v>
      </c>
      <c r="D327" s="13">
        <f>((((VLOOKUP(B327,Database!$A:$AS,MATCH($D$1,Database!$A$1:$AS$1,),))))-(((VLOOKUP(EDATE(B327,-12),Database!$A:$AS,MATCH($D$1,Database!$A$1:$AS$1,),)))))/(((VLOOKUP(EDATE(B327,-12),Database!$A:$AS,MATCH($D$1,Database!$A$1:$AS$1,),))))</f>
        <v>1.3184584178499102E-2</v>
      </c>
      <c r="E327" s="13">
        <f>((((VLOOKUP(B327,Database!$A:$AS,MATCH($E$1,Database!$A$1:$AS$1,),))))-(((VLOOKUP(EDATE(B327,-12),Database!$A:$AS,MATCH($E$1,Database!$A$1:$AS$1,),)))))/(((VLOOKUP(EDATE(B327,-12),Database!$A:$AS,MATCH($E$1,Database!$A$1:$AS$1,),))))</f>
        <v>-1.0020040044012638E-3</v>
      </c>
      <c r="F327" s="13">
        <f>((((VLOOKUP(B327,Database!$A:$AS,MATCH($F$1,Database!$A$1:$AS$1,),))))-(((VLOOKUP(EDATE(B327,-12),Database!$A:$AS,MATCH($F$1,Database!$A$1:$AS$1,),)))))/(((VLOOKUP(EDATE(B327,-12),Database!$A:$AS,MATCH($F$1,Database!$A$1:$AS$1,),))))</f>
        <v>6.036217302142626E-3</v>
      </c>
      <c r="G327" s="13">
        <f>((((VLOOKUP(B327,Database!$A:$AS,MATCH($G$1,Database!$A$1:$AS$1,),))))-(((VLOOKUP(EDATE(B327,-12),Database!$A:$AS,MATCH($G$1,Database!$A$1:$AS$1,),)))))/(((VLOOKUP(EDATE(B327,-12),Database!$A:$AS,MATCH($G$1,Database!$A$1:$AS$1,),))))</f>
        <v>2.5214321734745334E-3</v>
      </c>
      <c r="H327" s="13">
        <f>((((VLOOKUP(B327,Database!$A:$AS,MATCH($H$1,Database!$A$1:$AS$1,),))))-(((VLOOKUP(EDATE(B327,-12),Database!$A:$AS,MATCH($H$1,Database!$A$1:$AS$1,),)))))/(((VLOOKUP(EDATE(B327,-12),Database!$A:$AS,MATCH($H$1,Database!$A$1:$AS$1,),))))</f>
        <v>4.6874999995135426E-2</v>
      </c>
      <c r="I327" s="13">
        <f>((((VLOOKUP(B327,Database!$A:$AS,MATCH($I$1,Database!$A$1:$AS$1,),))))-(((VLOOKUP(EDATE(B327,-12),Database!$A:$AS,MATCH($I$1,Database!$A$1:$AS$1,),)))))/(((VLOOKUP(EDATE(B327,-12),Database!$A:$AS,MATCH($I$1,Database!$A$1:$AS$1,),))))</f>
        <v>2.0100502540544123E-3</v>
      </c>
      <c r="J327" s="13">
        <f>((((VLOOKUP(B327,Database!$A:$AS,MATCH($J$1,Database!$A$1:$AS$1,),))))-(((VLOOKUP(EDATE(B327,-12),Database!$A:$AS,MATCH($J$1,Database!$A$1:$AS$1,),)))))/(((VLOOKUP(EDATE(B327,-12),Database!$A:$AS,MATCH($J$1,Database!$A$1:$AS$1,),))))</f>
        <v>2.2117000775495714E-2</v>
      </c>
      <c r="K327" s="13">
        <f>((((VLOOKUP(B327,Database!$A:$AS,MATCH($K$1,Database!$A$1:$AS$1,),))))-(((VLOOKUP(EDATE(B327,-12),Database!$A:$AS,MATCH($K$1,Database!$A$1:$AS$1,),)))))/(((VLOOKUP(EDATE(B327,-12),Database!$A:$AS,MATCH($K$1,Database!$A$1:$AS$1,),))))</f>
        <v>3.4517766498152497E-2</v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>1.7923755008992657E-2</v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>5.2910052910052907E-2</v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>6.4142576802087795E-3</v>
      </c>
      <c r="O327" s="13">
        <f>((((VLOOKUP(B327,Database!$A:$AS,MATCH($O$1,Database!$A$1:$AS$1,),))))-(((VLOOKUP(EDATE(B327,-12),Database!$A:$AS,MATCH($O$1,Database!$A$1:$AS$1,),)))))/(((VLOOKUP(EDATE(B327,-12),Database!$A:$AS,MATCH($O$1,Database!$A$1:$AS$1,),))))</f>
        <v>-1.182351015317429E-2</v>
      </c>
      <c r="P327" s="13">
        <f>((((VLOOKUP(B327,Database!$A:$AS,MATCH($P$1,Database!$A$1:$AS$1,),))))-(((VLOOKUP(EDATE(B327,-12),Database!$A:$AS,MATCH($P$1,Database!$A$1:$AS$1,),)))))/(((VLOOKUP(EDATE(B327,-12),Database!$A:$AS,MATCH($P$1,Database!$A$1:$AS$1,),))))</f>
        <v>-2.3317201930339121E-2</v>
      </c>
      <c r="Q327" s="13">
        <f>((((VLOOKUP(B327,Database!$A:$AS,MATCH($Q$1,Database!$A$1:$AS$1,),))))-(((VLOOKUP(EDATE(B327,-12),Database!$A:$AS,MATCH($Q$1,Database!$A$1:$AS$1,),)))))/(((VLOOKUP(EDATE(B327,-12),Database!$A:$AS,MATCH($Q$1,Database!$A$1:$AS$1,),))))</f>
        <v>-7.0929070932596955E-2</v>
      </c>
      <c r="R327" s="13">
        <f>((((VLOOKUP(B327,Database!$A:$AS,MATCH($R$1,Database!$A$1:$AS$1,),))))-(((VLOOKUP(EDATE(B327,-12),Database!$A:$AS,MATCH($R$1,Database!$A$1:$AS$1,),)))))/(((VLOOKUP(EDATE(B327,-12),Database!$A:$AS,MATCH($R$1,Database!$A$1:$AS$1,),))))</f>
        <v>6.9999999999799892E-3</v>
      </c>
      <c r="S327" s="13">
        <f>((((VLOOKUP(B327,Database!$A:$AS,MATCH($S$1,Database!$A$1:$AS$1,),))))-(((VLOOKUP(EDATE(B327,-12),Database!$A:$AS,MATCH($S$1,Database!$A$1:$AS$1,),)))))/(((VLOOKUP(EDATE(B327,-12),Database!$A:$AS,MATCH($S$1,Database!$A$1:$AS$1,),))))</f>
        <v>0.21536530375944724</v>
      </c>
      <c r="T327" s="13">
        <f>((((VLOOKUP(B327,Database!$A:$AS,MATCH($T$1,Database!$A$1:$AS$1,),))))-(((VLOOKUP(EDATE(B327,-12),Database!$A:$AS,MATCH($T$1,Database!$A$1:$AS$1,),)))))/(((VLOOKUP(EDATE(B327,-12),Database!$A:$AS,MATCH($T$1,Database!$A$1:$AS$1,),))))</f>
        <v>6.1965811966405659E-2</v>
      </c>
      <c r="U327" s="13">
        <f>((((VLOOKUP(B327,Database!$A:$AS,MATCH($U$1,Database!$A$1:$AS$1,),))))-(((VLOOKUP(EDATE(B327,-12),Database!$A:$AS,MATCH($U$1,Database!$A$1:$AS$1,),)))))/(((VLOOKUP(EDATE(B327,-12),Database!$A:$AS,MATCH($U$1,Database!$A$1:$AS$1,),))))</f>
        <v>4.9111807730346076E-2</v>
      </c>
      <c r="V327" s="13">
        <f>((((VLOOKUP(B327,Database!$A:$AS,MATCH($V$1,Database!$A$1:$AS$1,),))))-(((VLOOKUP(EDATE(B327,-12),Database!$A:$AS,MATCH($V$1,Database!$A$1:$AS$1,),)))))/(((VLOOKUP(EDATE(B327,-12),Database!$A:$AS,MATCH($V$1,Database!$A$1:$AS$1,),))))</f>
        <v>2.1920668058455203E-2</v>
      </c>
    </row>
    <row r="328" spans="1:22" s="83" customFormat="1" x14ac:dyDescent="0.2">
      <c r="A328" s="43"/>
      <c r="B328" s="78">
        <v>42125</v>
      </c>
      <c r="C328" s="13">
        <f>((((VLOOKUP(B328,Database!$A:$AS,MATCH($C$1,Database!$A$1:$AS$1,),))))-(((VLOOKUP(EDATE(B328,-12),Database!$A:$AS,MATCH($C$1,Database!$A$1:$AS$1,),)))))/(((VLOOKUP(EDATE(B328,-12),Database!$A:$AS,MATCH($C$1,Database!$A$1:$AS$1,),))))</f>
        <v>-1.3613087812464468E-2</v>
      </c>
      <c r="D328" s="13">
        <f>((((VLOOKUP(B328,Database!$A:$AS,MATCH($D$1,Database!$A$1:$AS$1,),))))-(((VLOOKUP(EDATE(B328,-12),Database!$A:$AS,MATCH($D$1,Database!$A$1:$AS$1,),)))))/(((VLOOKUP(EDATE(B328,-12),Database!$A:$AS,MATCH($D$1,Database!$A$1:$AS$1,),))))</f>
        <v>2.4539877300613556E-2</v>
      </c>
      <c r="E328" s="13">
        <f>((((VLOOKUP(B328,Database!$A:$AS,MATCH($E$1,Database!$A$1:$AS$1,),))))-(((VLOOKUP(EDATE(B328,-12),Database!$A:$AS,MATCH($E$1,Database!$A$1:$AS$1,),)))))/(((VLOOKUP(EDATE(B328,-12),Database!$A:$AS,MATCH($E$1,Database!$A$1:$AS$1,),))))</f>
        <v>-2.1589793916142939E-2</v>
      </c>
      <c r="F328" s="13">
        <f>((((VLOOKUP(B328,Database!$A:$AS,MATCH($F$1,Database!$A$1:$AS$1,),))))-(((VLOOKUP(EDATE(B328,-12),Database!$A:$AS,MATCH($F$1,Database!$A$1:$AS$1,),)))))/(((VLOOKUP(EDATE(B328,-12),Database!$A:$AS,MATCH($F$1,Database!$A$1:$AS$1,),))))</f>
        <v>1.4184397162617523E-2</v>
      </c>
      <c r="G328" s="13">
        <f>((((VLOOKUP(B328,Database!$A:$AS,MATCH($G$1,Database!$A$1:$AS$1,),))))-(((VLOOKUP(EDATE(B328,-12),Database!$A:$AS,MATCH($G$1,Database!$A$1:$AS$1,),)))))/(((VLOOKUP(EDATE(B328,-12),Database!$A:$AS,MATCH($G$1,Database!$A$1:$AS$1,),))))</f>
        <v>3.3732205487930642E-2</v>
      </c>
      <c r="H328" s="13">
        <f>((((VLOOKUP(B328,Database!$A:$AS,MATCH($H$1,Database!$A$1:$AS$1,),))))-(((VLOOKUP(EDATE(B328,-12),Database!$A:$AS,MATCH($H$1,Database!$A$1:$AS$1,),)))))/(((VLOOKUP(EDATE(B328,-12),Database!$A:$AS,MATCH($H$1,Database!$A$1:$AS$1,),))))</f>
        <v>5.4298642535983176E-2</v>
      </c>
      <c r="I328" s="13">
        <f>((((VLOOKUP(B328,Database!$A:$AS,MATCH($I$1,Database!$A$1:$AS$1,),))))-(((VLOOKUP(EDATE(B328,-12),Database!$A:$AS,MATCH($I$1,Database!$A$1:$AS$1,),)))))/(((VLOOKUP(EDATE(B328,-12),Database!$A:$AS,MATCH($I$1,Database!$A$1:$AS$1,),))))</f>
        <v>2.5510204081320272E-2</v>
      </c>
      <c r="J328" s="13">
        <f>((((VLOOKUP(B328,Database!$A:$AS,MATCH($J$1,Database!$A$1:$AS$1,),))))-(((VLOOKUP(EDATE(B328,-12),Database!$A:$AS,MATCH($J$1,Database!$A$1:$AS$1,),)))))/(((VLOOKUP(EDATE(B328,-12),Database!$A:$AS,MATCH($J$1,Database!$A$1:$AS$1,),))))</f>
        <v>3.6538639326951783E-2</v>
      </c>
      <c r="K328" s="13">
        <f>((((VLOOKUP(B328,Database!$A:$AS,MATCH($K$1,Database!$A$1:$AS$1,),))))-(((VLOOKUP(EDATE(B328,-12),Database!$A:$AS,MATCH($K$1,Database!$A$1:$AS$1,),)))))/(((VLOOKUP(EDATE(B328,-12),Database!$A:$AS,MATCH($K$1,Database!$A$1:$AS$1,),))))</f>
        <v>4.9111807729090927E-2</v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>-9.2043494278076028E-5</v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>6.4893617021276537E-2</v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>1.6831016354430555E-2</v>
      </c>
      <c r="O328" s="13">
        <f>((((VLOOKUP(B328,Database!$A:$AS,MATCH($O$1,Database!$A$1:$AS$1,),))))-(((VLOOKUP(EDATE(B328,-12),Database!$A:$AS,MATCH($O$1,Database!$A$1:$AS$1,),)))))/(((VLOOKUP(EDATE(B328,-12),Database!$A:$AS,MATCH($O$1,Database!$A$1:$AS$1,),))))</f>
        <v>-2.3571438055001705E-2</v>
      </c>
      <c r="P328" s="13">
        <f>((((VLOOKUP(B328,Database!$A:$AS,MATCH($P$1,Database!$A$1:$AS$1,),))))-(((VLOOKUP(EDATE(B328,-12),Database!$A:$AS,MATCH($P$1,Database!$A$1:$AS$1,),)))))/(((VLOOKUP(EDATE(B328,-12),Database!$A:$AS,MATCH($P$1,Database!$A$1:$AS$1,),))))</f>
        <v>-1.5674800680033362E-2</v>
      </c>
      <c r="Q328" s="13">
        <f>((((VLOOKUP(B328,Database!$A:$AS,MATCH($Q$1,Database!$A$1:$AS$1,),))))-(((VLOOKUP(EDATE(B328,-12),Database!$A:$AS,MATCH($Q$1,Database!$A$1:$AS$1,),)))))/(((VLOOKUP(EDATE(B328,-12),Database!$A:$AS,MATCH($Q$1,Database!$A$1:$AS$1,),))))</f>
        <v>-6.6801619428043663E-2</v>
      </c>
      <c r="R328" s="13">
        <f>((((VLOOKUP(B328,Database!$A:$AS,MATCH($R$1,Database!$A$1:$AS$1,),))))-(((VLOOKUP(EDATE(B328,-12),Database!$A:$AS,MATCH($R$1,Database!$A$1:$AS$1,),)))))/(((VLOOKUP(EDATE(B328,-12),Database!$A:$AS,MATCH($R$1,Database!$A$1:$AS$1,),))))</f>
        <v>-8.9015151516264837E-2</v>
      </c>
      <c r="S328" s="13">
        <f>((((VLOOKUP(B328,Database!$A:$AS,MATCH($S$1,Database!$A$1:$AS$1,),))))-(((VLOOKUP(EDATE(B328,-12),Database!$A:$AS,MATCH($S$1,Database!$A$1:$AS$1,),)))))/(((VLOOKUP(EDATE(B328,-12),Database!$A:$AS,MATCH($S$1,Database!$A$1:$AS$1,),))))</f>
        <v>0.18883927033482123</v>
      </c>
      <c r="T328" s="13">
        <f>((((VLOOKUP(B328,Database!$A:$AS,MATCH($T$1,Database!$A$1:$AS$1,),))))-(((VLOOKUP(EDATE(B328,-12),Database!$A:$AS,MATCH($T$1,Database!$A$1:$AS$1,),)))))/(((VLOOKUP(EDATE(B328,-12),Database!$A:$AS,MATCH($T$1,Database!$A$1:$AS$1,),))))</f>
        <v>7.6839826832634739E-2</v>
      </c>
      <c r="U328" s="13">
        <f>((((VLOOKUP(B328,Database!$A:$AS,MATCH($U$1,Database!$A$1:$AS$1,),))))-(((VLOOKUP(EDATE(B328,-12),Database!$A:$AS,MATCH($U$1,Database!$A$1:$AS$1,),)))))/(((VLOOKUP(EDATE(B328,-12),Database!$A:$AS,MATCH($U$1,Database!$A$1:$AS$1,),))))</f>
        <v>5.3911205067010665E-2</v>
      </c>
      <c r="V328" s="13">
        <f>((((VLOOKUP(B328,Database!$A:$AS,MATCH($V$1,Database!$A$1:$AS$1,),))))-(((VLOOKUP(EDATE(B328,-12),Database!$A:$AS,MATCH($V$1,Database!$A$1:$AS$1,),)))))/(((VLOOKUP(EDATE(B328,-12),Database!$A:$AS,MATCH($V$1,Database!$A$1:$AS$1,),))))</f>
        <v>5.0955414012738821E-2</v>
      </c>
    </row>
    <row r="329" spans="1:22" s="83" customFormat="1" x14ac:dyDescent="0.2">
      <c r="A329" s="43"/>
      <c r="B329" s="78">
        <v>42156</v>
      </c>
      <c r="C329" s="13">
        <f>((((VLOOKUP(B329,Database!$A:$AS,MATCH($C$1,Database!$A$1:$AS$1,),))))-(((VLOOKUP(EDATE(B329,-12),Database!$A:$AS,MATCH($C$1,Database!$A$1:$AS$1,),)))))/(((VLOOKUP(EDATE(B329,-12),Database!$A:$AS,MATCH($C$1,Database!$A$1:$AS$1,),))))</f>
        <v>-2.0140934875590221E-2</v>
      </c>
      <c r="D329" s="13">
        <f>((((VLOOKUP(B329,Database!$A:$AS,MATCH($D$1,Database!$A$1:$AS$1,),))))-(((VLOOKUP(EDATE(B329,-12),Database!$A:$AS,MATCH($D$1,Database!$A$1:$AS$1,),)))))/(((VLOOKUP(EDATE(B329,-12),Database!$A:$AS,MATCH($D$1,Database!$A$1:$AS$1,),))))</f>
        <v>3.2887975334018528E-2</v>
      </c>
      <c r="E329" s="13">
        <f>((((VLOOKUP(B329,Database!$A:$AS,MATCH($E$1,Database!$A$1:$AS$1,),))))-(((VLOOKUP(EDATE(B329,-12),Database!$A:$AS,MATCH($E$1,Database!$A$1:$AS$1,),)))))/(((VLOOKUP(EDATE(B329,-12),Database!$A:$AS,MATCH($E$1,Database!$A$1:$AS$1,),))))</f>
        <v>-9.9403578170111887E-4</v>
      </c>
      <c r="F329" s="13">
        <f>((((VLOOKUP(B329,Database!$A:$AS,MATCH($F$1,Database!$A$1:$AS$1,),))))-(((VLOOKUP(EDATE(B329,-12),Database!$A:$AS,MATCH($F$1,Database!$A$1:$AS$1,),)))))/(((VLOOKUP(EDATE(B329,-12),Database!$A:$AS,MATCH($F$1,Database!$A$1:$AS$1,),))))</f>
        <v>1.3157894729783111E-2</v>
      </c>
      <c r="G329" s="13">
        <f>((((VLOOKUP(B329,Database!$A:$AS,MATCH($G$1,Database!$A$1:$AS$1,),))))-(((VLOOKUP(EDATE(B329,-12),Database!$A:$AS,MATCH($G$1,Database!$A$1:$AS$1,),)))))/(((VLOOKUP(EDATE(B329,-12),Database!$A:$AS,MATCH($G$1,Database!$A$1:$AS$1,),))))</f>
        <v>1.2323232323232312E-2</v>
      </c>
      <c r="H329" s="13">
        <f>((((VLOOKUP(B329,Database!$A:$AS,MATCH($H$1,Database!$A$1:$AS$1,),))))-(((VLOOKUP(EDATE(B329,-12),Database!$A:$AS,MATCH($H$1,Database!$A$1:$AS$1,),)))))/(((VLOOKUP(EDATE(B329,-12),Database!$A:$AS,MATCH($H$1,Database!$A$1:$AS$1,),))))</f>
        <v>5.9023836552682202E-2</v>
      </c>
      <c r="I329" s="13">
        <f>((((VLOOKUP(B329,Database!$A:$AS,MATCH($I$1,Database!$A$1:$AS$1,),))))-(((VLOOKUP(EDATE(B329,-12),Database!$A:$AS,MATCH($I$1,Database!$A$1:$AS$1,),)))))/(((VLOOKUP(EDATE(B329,-12),Database!$A:$AS,MATCH($I$1,Database!$A$1:$AS$1,),))))</f>
        <v>1.0010009973834449E-3</v>
      </c>
      <c r="J329" s="13">
        <f>((((VLOOKUP(B329,Database!$A:$AS,MATCH($J$1,Database!$A$1:$AS$1,),))))-(((VLOOKUP(EDATE(B329,-12),Database!$A:$AS,MATCH($J$1,Database!$A$1:$AS$1,),)))))/(((VLOOKUP(EDATE(B329,-12),Database!$A:$AS,MATCH($J$1,Database!$A$1:$AS$1,),))))</f>
        <v>4.8412139776042036E-2</v>
      </c>
      <c r="K329" s="13">
        <f>((((VLOOKUP(B329,Database!$A:$AS,MATCH($K$1,Database!$A$1:$AS$1,),))))-(((VLOOKUP(EDATE(B329,-12),Database!$A:$AS,MATCH($K$1,Database!$A$1:$AS$1,),)))))/(((VLOOKUP(EDATE(B329,-12),Database!$A:$AS,MATCH($K$1,Database!$A$1:$AS$1,),))))</f>
        <v>2.6639344265171176E-2</v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>6.1708990020937502E-3</v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>4.9421661409043145E-2</v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>8.9329225712644466E-3</v>
      </c>
      <c r="O329" s="13">
        <f>((((VLOOKUP(B329,Database!$A:$AS,MATCH($O$1,Database!$A$1:$AS$1,),))))-(((VLOOKUP(EDATE(B329,-12),Database!$A:$AS,MATCH($O$1,Database!$A$1:$AS$1,),)))))/(((VLOOKUP(EDATE(B329,-12),Database!$A:$AS,MATCH($O$1,Database!$A$1:$AS$1,),))))</f>
        <v>-2.3830343126447277E-2</v>
      </c>
      <c r="P329" s="13">
        <f>((((VLOOKUP(B329,Database!$A:$AS,MATCH($P$1,Database!$A$1:$AS$1,),))))-(((VLOOKUP(EDATE(B329,-12),Database!$A:$AS,MATCH($P$1,Database!$A$1:$AS$1,),)))))/(((VLOOKUP(EDATE(B329,-12),Database!$A:$AS,MATCH($P$1,Database!$A$1:$AS$1,),))))</f>
        <v>-2.1421092294256063E-2</v>
      </c>
      <c r="Q329" s="13">
        <f>((((VLOOKUP(B329,Database!$A:$AS,MATCH($Q$1,Database!$A$1:$AS$1,),))))-(((VLOOKUP(EDATE(B329,-12),Database!$A:$AS,MATCH($Q$1,Database!$A$1:$AS$1,),)))))/(((VLOOKUP(EDATE(B329,-12),Database!$A:$AS,MATCH($Q$1,Database!$A$1:$AS$1,),))))</f>
        <v>-4.994797086472616E-2</v>
      </c>
      <c r="R329" s="13">
        <f>((((VLOOKUP(B329,Database!$A:$AS,MATCH($R$1,Database!$A$1:$AS$1,),))))-(((VLOOKUP(EDATE(B329,-12),Database!$A:$AS,MATCH($R$1,Database!$A$1:$AS$1,),)))))/(((VLOOKUP(EDATE(B329,-12),Database!$A:$AS,MATCH($R$1,Database!$A$1:$AS$1,),))))</f>
        <v>-3.1504065042149788E-2</v>
      </c>
      <c r="S329" s="13">
        <f>((((VLOOKUP(B329,Database!$A:$AS,MATCH($S$1,Database!$A$1:$AS$1,),))))-(((VLOOKUP(EDATE(B329,-12),Database!$A:$AS,MATCH($S$1,Database!$A$1:$AS$1,),)))))/(((VLOOKUP(EDATE(B329,-12),Database!$A:$AS,MATCH($S$1,Database!$A$1:$AS$1,),))))</f>
        <v>0.61958560535526697</v>
      </c>
      <c r="T329" s="13">
        <f>((((VLOOKUP(B329,Database!$A:$AS,MATCH($T$1,Database!$A$1:$AS$1,),))))-(((VLOOKUP(EDATE(B329,-12),Database!$A:$AS,MATCH($T$1,Database!$A$1:$AS$1,),)))))/(((VLOOKUP(EDATE(B329,-12),Database!$A:$AS,MATCH($T$1,Database!$A$1:$AS$1,),))))</f>
        <v>6.5817409762442172E-2</v>
      </c>
      <c r="U329" s="13">
        <f>((((VLOOKUP(B329,Database!$A:$AS,MATCH($U$1,Database!$A$1:$AS$1,),))))-(((VLOOKUP(EDATE(B329,-12),Database!$A:$AS,MATCH($U$1,Database!$A$1:$AS$1,),)))))/(((VLOOKUP(EDATE(B329,-12),Database!$A:$AS,MATCH($U$1,Database!$A$1:$AS$1,),))))</f>
        <v>5.2465897171995311E-2</v>
      </c>
      <c r="V329" s="13">
        <f>((((VLOOKUP(B329,Database!$A:$AS,MATCH($V$1,Database!$A$1:$AS$1,),))))-(((VLOOKUP(EDATE(B329,-12),Database!$A:$AS,MATCH($V$1,Database!$A$1:$AS$1,),)))))/(((VLOOKUP(EDATE(B329,-12),Database!$A:$AS,MATCH($V$1,Database!$A$1:$AS$1,),))))</f>
        <v>4.9525816649104194E-2</v>
      </c>
    </row>
    <row r="330" spans="1:22" s="83" customFormat="1" x14ac:dyDescent="0.2">
      <c r="A330" s="43"/>
      <c r="B330" s="78">
        <v>42186</v>
      </c>
      <c r="C330" s="13">
        <f>((((VLOOKUP(B330,Database!$A:$AS,MATCH($C$1,Database!$A$1:$AS$1,),))))-(((VLOOKUP(EDATE(B330,-12),Database!$A:$AS,MATCH($C$1,Database!$A$1:$AS$1,),)))))/(((VLOOKUP(EDATE(B330,-12),Database!$A:$AS,MATCH($C$1,Database!$A$1:$AS$1,),))))</f>
        <v>-1.6187010136558124E-2</v>
      </c>
      <c r="D330" s="13">
        <f>((((VLOOKUP(B330,Database!$A:$AS,MATCH($D$1,Database!$A$1:$AS$1,),))))-(((VLOOKUP(EDATE(B330,-12),Database!$A:$AS,MATCH($D$1,Database!$A$1:$AS$1,),)))))/(((VLOOKUP(EDATE(B330,-12),Database!$A:$AS,MATCH($D$1,Database!$A$1:$AS$1,),))))</f>
        <v>2.9561671763506686E-2</v>
      </c>
      <c r="E330" s="13">
        <f>((((VLOOKUP(B330,Database!$A:$AS,MATCH($E$1,Database!$A$1:$AS$1,),))))-(((VLOOKUP(EDATE(B330,-12),Database!$A:$AS,MATCH($E$1,Database!$A$1:$AS$1,),)))))/(((VLOOKUP(EDATE(B330,-12),Database!$A:$AS,MATCH($E$1,Database!$A$1:$AS$1,),))))</f>
        <v>0</v>
      </c>
      <c r="F330" s="13">
        <f>((((VLOOKUP(B330,Database!$A:$AS,MATCH($F$1,Database!$A$1:$AS$1,),))))-(((VLOOKUP(EDATE(B330,-12),Database!$A:$AS,MATCH($F$1,Database!$A$1:$AS$1,),)))))/(((VLOOKUP(EDATE(B330,-12),Database!$A:$AS,MATCH($F$1,Database!$A$1:$AS$1,),))))</f>
        <v>5.9464816633841419E-3</v>
      </c>
      <c r="G330" s="13">
        <f>((((VLOOKUP(B330,Database!$A:$AS,MATCH($G$1,Database!$A$1:$AS$1,),))))-(((VLOOKUP(EDATE(B330,-12),Database!$A:$AS,MATCH($G$1,Database!$A$1:$AS$1,),)))))/(((VLOOKUP(EDATE(B330,-12),Database!$A:$AS,MATCH($G$1,Database!$A$1:$AS$1,),))))</f>
        <v>-1.2159872421010654E-2</v>
      </c>
      <c r="H330" s="13">
        <f>((((VLOOKUP(B330,Database!$A:$AS,MATCH($H$1,Database!$A$1:$AS$1,),))))-(((VLOOKUP(EDATE(B330,-12),Database!$A:$AS,MATCH($H$1,Database!$A$1:$AS$1,),)))))/(((VLOOKUP(EDATE(B330,-12),Database!$A:$AS,MATCH($H$1,Database!$A$1:$AS$1,),))))</f>
        <v>5.3348467655009536E-2</v>
      </c>
      <c r="I330" s="13">
        <f>((((VLOOKUP(B330,Database!$A:$AS,MATCH($I$1,Database!$A$1:$AS$1,),))))-(((VLOOKUP(EDATE(B330,-12),Database!$A:$AS,MATCH($I$1,Database!$A$1:$AS$1,),)))))/(((VLOOKUP(EDATE(B330,-12),Database!$A:$AS,MATCH($I$1,Database!$A$1:$AS$1,),))))</f>
        <v>2.5380710659537724E-2</v>
      </c>
      <c r="J330" s="13">
        <f>((((VLOOKUP(B330,Database!$A:$AS,MATCH($J$1,Database!$A$1:$AS$1,),))))-(((VLOOKUP(EDATE(B330,-12),Database!$A:$AS,MATCH($J$1,Database!$A$1:$AS$1,),)))))/(((VLOOKUP(EDATE(B330,-12),Database!$A:$AS,MATCH($J$1,Database!$A$1:$AS$1,),))))</f>
        <v>6.0030253420570827E-2</v>
      </c>
      <c r="K330" s="13">
        <f>((((VLOOKUP(B330,Database!$A:$AS,MATCH($K$1,Database!$A$1:$AS$1,),))))-(((VLOOKUP(EDATE(B330,-12),Database!$A:$AS,MATCH($K$1,Database!$A$1:$AS$1,),)))))/(((VLOOKUP(EDATE(B330,-12),Database!$A:$AS,MATCH($K$1,Database!$A$1:$AS$1,),))))</f>
        <v>2.7225130882355869E-2</v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>8.8637375017122724E-3</v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>5.9259259259259199E-2</v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>1.2739553664972588E-2</v>
      </c>
      <c r="O330" s="13">
        <f>((((VLOOKUP(B330,Database!$A:$AS,MATCH($O$1,Database!$A$1:$AS$1,),))))-(((VLOOKUP(EDATE(B330,-12),Database!$A:$AS,MATCH($O$1,Database!$A$1:$AS$1,),)))))/(((VLOOKUP(EDATE(B330,-12),Database!$A:$AS,MATCH($O$1,Database!$A$1:$AS$1,),))))</f>
        <v>-3.6611308174073313E-3</v>
      </c>
      <c r="P330" s="13">
        <f>((((VLOOKUP(B330,Database!$A:$AS,MATCH($P$1,Database!$A$1:$AS$1,),))))-(((VLOOKUP(EDATE(B330,-12),Database!$A:$AS,MATCH($P$1,Database!$A$1:$AS$1,),)))))/(((VLOOKUP(EDATE(B330,-12),Database!$A:$AS,MATCH($P$1,Database!$A$1:$AS$1,),))))</f>
        <v>-3.8208809930055904E-2</v>
      </c>
      <c r="Q330" s="13">
        <f>((((VLOOKUP(B330,Database!$A:$AS,MATCH($Q$1,Database!$A$1:$AS$1,),))))-(((VLOOKUP(EDATE(B330,-12),Database!$A:$AS,MATCH($Q$1,Database!$A$1:$AS$1,),)))))/(((VLOOKUP(EDATE(B330,-12),Database!$A:$AS,MATCH($Q$1,Database!$A$1:$AS$1,),))))</f>
        <v>-8.8504577824118705E-2</v>
      </c>
      <c r="R330" s="13">
        <f>((((VLOOKUP(B330,Database!$A:$AS,MATCH($R$1,Database!$A$1:$AS$1,),))))-(((VLOOKUP(EDATE(B330,-12),Database!$A:$AS,MATCH($R$1,Database!$A$1:$AS$1,),)))))/(((VLOOKUP(EDATE(B330,-12),Database!$A:$AS,MATCH($R$1,Database!$A$1:$AS$1,),))))</f>
        <v>-2.0449897794263942E-3</v>
      </c>
      <c r="S330" s="13">
        <f>((((VLOOKUP(B330,Database!$A:$AS,MATCH($S$1,Database!$A$1:$AS$1,),))))-(((VLOOKUP(EDATE(B330,-12),Database!$A:$AS,MATCH($S$1,Database!$A$1:$AS$1,),)))))/(((VLOOKUP(EDATE(B330,-12),Database!$A:$AS,MATCH($S$1,Database!$A$1:$AS$1,),))))</f>
        <v>0.41962137860202248</v>
      </c>
      <c r="T330" s="13">
        <f>((((VLOOKUP(B330,Database!$A:$AS,MATCH($T$1,Database!$A$1:$AS$1,),))))-(((VLOOKUP(EDATE(B330,-12),Database!$A:$AS,MATCH($T$1,Database!$A$1:$AS$1,),)))))/(((VLOOKUP(EDATE(B330,-12),Database!$A:$AS,MATCH($T$1,Database!$A$1:$AS$1,),))))</f>
        <v>3.4196891192740761E-2</v>
      </c>
      <c r="U330" s="13">
        <f>((((VLOOKUP(B330,Database!$A:$AS,MATCH($U$1,Database!$A$1:$AS$1,),))))-(((VLOOKUP(EDATE(B330,-12),Database!$A:$AS,MATCH($U$1,Database!$A$1:$AS$1,),)))))/(((VLOOKUP(EDATE(B330,-12),Database!$A:$AS,MATCH($U$1,Database!$A$1:$AS$1,),))))</f>
        <v>8.1675392663270147E-2</v>
      </c>
      <c r="V330" s="13">
        <f>((((VLOOKUP(B330,Database!$A:$AS,MATCH($V$1,Database!$A$1:$AS$1,),))))-(((VLOOKUP(EDATE(B330,-12),Database!$A:$AS,MATCH($V$1,Database!$A$1:$AS$1,),)))))/(((VLOOKUP(EDATE(B330,-12),Database!$A:$AS,MATCH($V$1,Database!$A$1:$AS$1,),))))</f>
        <v>4.2399172699069225E-2</v>
      </c>
    </row>
    <row r="331" spans="1:22" s="83" customFormat="1" x14ac:dyDescent="0.2">
      <c r="A331" s="43"/>
      <c r="B331" s="78">
        <v>42217</v>
      </c>
      <c r="C331" s="13">
        <f>((((VLOOKUP(B331,Database!$A:$AS,MATCH($C$1,Database!$A$1:$AS$1,),))))-(((VLOOKUP(EDATE(B331,-12),Database!$A:$AS,MATCH($C$1,Database!$A$1:$AS$1,),)))))/(((VLOOKUP(EDATE(B331,-12),Database!$A:$AS,MATCH($C$1,Database!$A$1:$AS$1,),))))</f>
        <v>-1.6927571705069713E-2</v>
      </c>
      <c r="D331" s="13">
        <f>((((VLOOKUP(B331,Database!$A:$AS,MATCH($D$1,Database!$A$1:$AS$1,),))))-(((VLOOKUP(EDATE(B331,-12),Database!$A:$AS,MATCH($D$1,Database!$A$1:$AS$1,),)))))/(((VLOOKUP(EDATE(B331,-12),Database!$A:$AS,MATCH($D$1,Database!$A$1:$AS$1,),))))</f>
        <v>3.4232365145228184E-2</v>
      </c>
      <c r="E331" s="13">
        <f>((((VLOOKUP(B331,Database!$A:$AS,MATCH($E$1,Database!$A$1:$AS$1,),))))-(((VLOOKUP(EDATE(B331,-12),Database!$A:$AS,MATCH($E$1,Database!$A$1:$AS$1,),)))))/(((VLOOKUP(EDATE(B331,-12),Database!$A:$AS,MATCH($E$1,Database!$A$1:$AS$1,),))))</f>
        <v>-7.0351758741138979E-3</v>
      </c>
      <c r="F331" s="13">
        <f>((((VLOOKUP(B331,Database!$A:$AS,MATCH($F$1,Database!$A$1:$AS$1,),))))-(((VLOOKUP(EDATE(B331,-12),Database!$A:$AS,MATCH($F$1,Database!$A$1:$AS$1,),)))))/(((VLOOKUP(EDATE(B331,-12),Database!$A:$AS,MATCH($F$1,Database!$A$1:$AS$1,),))))</f>
        <v>2.1716649435583428E-2</v>
      </c>
      <c r="G331" s="13">
        <f>((((VLOOKUP(B331,Database!$A:$AS,MATCH($G$1,Database!$A$1:$AS$1,),))))-(((VLOOKUP(EDATE(B331,-12),Database!$A:$AS,MATCH($G$1,Database!$A$1:$AS$1,),)))))/(((VLOOKUP(EDATE(B331,-12),Database!$A:$AS,MATCH($G$1,Database!$A$1:$AS$1,),))))</f>
        <v>1.7016507030772385E-2</v>
      </c>
      <c r="H331" s="13">
        <f>((((VLOOKUP(B331,Database!$A:$AS,MATCH($H$1,Database!$A$1:$AS$1,),))))-(((VLOOKUP(EDATE(B331,-12),Database!$A:$AS,MATCH($H$1,Database!$A$1:$AS$1,),)))))/(((VLOOKUP(EDATE(B331,-12),Database!$A:$AS,MATCH($H$1,Database!$A$1:$AS$1,),))))</f>
        <v>6.9954128443448574E-2</v>
      </c>
      <c r="I331" s="13">
        <f>((((VLOOKUP(B331,Database!$A:$AS,MATCH($I$1,Database!$A$1:$AS$1,),))))-(((VLOOKUP(EDATE(B331,-12),Database!$A:$AS,MATCH($I$1,Database!$A$1:$AS$1,),)))))/(((VLOOKUP(EDATE(B331,-12),Database!$A:$AS,MATCH($I$1,Database!$A$1:$AS$1,),))))</f>
        <v>1.6460905352080644E-2</v>
      </c>
      <c r="J331" s="13">
        <f>((((VLOOKUP(B331,Database!$A:$AS,MATCH($J$1,Database!$A$1:$AS$1,),))))-(((VLOOKUP(EDATE(B331,-12),Database!$A:$AS,MATCH($J$1,Database!$A$1:$AS$1,),)))))/(((VLOOKUP(EDATE(B331,-12),Database!$A:$AS,MATCH($J$1,Database!$A$1:$AS$1,),))))</f>
        <v>2.3555573861767279E-2</v>
      </c>
      <c r="K331" s="13">
        <f>((((VLOOKUP(B331,Database!$A:$AS,MATCH($K$1,Database!$A$1:$AS$1,),))))-(((VLOOKUP(EDATE(B331,-12),Database!$A:$AS,MATCH($K$1,Database!$A$1:$AS$1,),)))))/(((VLOOKUP(EDATE(B331,-12),Database!$A:$AS,MATCH($K$1,Database!$A$1:$AS$1,),))))</f>
        <v>5.9365404302938553E-2</v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>1.1576901555087456E-2</v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>6.5469904963041212E-2</v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>3.3813750969968907E-2</v>
      </c>
      <c r="O331" s="13">
        <f>((((VLOOKUP(B331,Database!$A:$AS,MATCH($O$1,Database!$A$1:$AS$1,),))))-(((VLOOKUP(EDATE(B331,-12),Database!$A:$AS,MATCH($O$1,Database!$A$1:$AS$1,),)))))/(((VLOOKUP(EDATE(B331,-12),Database!$A:$AS,MATCH($O$1,Database!$A$1:$AS$1,),))))</f>
        <v>2.4153964688779214E-2</v>
      </c>
      <c r="P331" s="13">
        <f>((((VLOOKUP(B331,Database!$A:$AS,MATCH($P$1,Database!$A$1:$AS$1,),))))-(((VLOOKUP(EDATE(B331,-12),Database!$A:$AS,MATCH($P$1,Database!$A$1:$AS$1,),)))))/(((VLOOKUP(EDATE(B331,-12),Database!$A:$AS,MATCH($P$1,Database!$A$1:$AS$1,),))))</f>
        <v>2.5955981559383192E-2</v>
      </c>
      <c r="Q331" s="13">
        <f>((((VLOOKUP(B331,Database!$A:$AS,MATCH($Q$1,Database!$A$1:$AS$1,),))))-(((VLOOKUP(EDATE(B331,-12),Database!$A:$AS,MATCH($Q$1,Database!$A$1:$AS$1,),)))))/(((VLOOKUP(EDATE(B331,-12),Database!$A:$AS,MATCH($Q$1,Database!$A$1:$AS$1,),))))</f>
        <v>-9.063444108313666E-2</v>
      </c>
      <c r="R331" s="13">
        <f>((((VLOOKUP(B331,Database!$A:$AS,MATCH($R$1,Database!$A$1:$AS$1,),))))-(((VLOOKUP(EDATE(B331,-12),Database!$A:$AS,MATCH($R$1,Database!$A$1:$AS$1,),)))))/(((VLOOKUP(EDATE(B331,-12),Database!$A:$AS,MATCH($R$1,Database!$A$1:$AS$1,),))))</f>
        <v>4.9896049898949218E-2</v>
      </c>
      <c r="S331" s="13">
        <f>((((VLOOKUP(B331,Database!$A:$AS,MATCH($S$1,Database!$A$1:$AS$1,),))))-(((VLOOKUP(EDATE(B331,-12),Database!$A:$AS,MATCH($S$1,Database!$A$1:$AS$1,),)))))/(((VLOOKUP(EDATE(B331,-12),Database!$A:$AS,MATCH($S$1,Database!$A$1:$AS$1,),))))</f>
        <v>0.42799093730434246</v>
      </c>
      <c r="T331" s="13">
        <f>((((VLOOKUP(B331,Database!$A:$AS,MATCH($T$1,Database!$A$1:$AS$1,),))))-(((VLOOKUP(EDATE(B331,-12),Database!$A:$AS,MATCH($T$1,Database!$A$1:$AS$1,),)))))/(((VLOOKUP(EDATE(B331,-12),Database!$A:$AS,MATCH($T$1,Database!$A$1:$AS$1,),))))</f>
        <v>0.11764705882417023</v>
      </c>
      <c r="U331" s="13">
        <f>((((VLOOKUP(B331,Database!$A:$AS,MATCH($U$1,Database!$A$1:$AS$1,),))))-(((VLOOKUP(EDATE(B331,-12),Database!$A:$AS,MATCH($U$1,Database!$A$1:$AS$1,),)))))/(((VLOOKUP(EDATE(B331,-12),Database!$A:$AS,MATCH($U$1,Database!$A$1:$AS$1,),))))</f>
        <v>5.3459119489866015E-2</v>
      </c>
      <c r="V331" s="13">
        <f>((((VLOOKUP(B331,Database!$A:$AS,MATCH($V$1,Database!$A$1:$AS$1,),))))-(((VLOOKUP(EDATE(B331,-12),Database!$A:$AS,MATCH($V$1,Database!$A$1:$AS$1,),)))))/(((VLOOKUP(EDATE(B331,-12),Database!$A:$AS,MATCH($V$1,Database!$A$1:$AS$1,),))))</f>
        <v>3.1380753138075312E-2</v>
      </c>
    </row>
    <row r="332" spans="1:22" s="83" customFormat="1" x14ac:dyDescent="0.2">
      <c r="A332" s="43"/>
      <c r="B332" s="78">
        <v>42248</v>
      </c>
      <c r="C332" s="13">
        <f>((((VLOOKUP(B332,Database!$A:$AS,MATCH($C$1,Database!$A$1:$AS$1,),))))-(((VLOOKUP(EDATE(B332,-12),Database!$A:$AS,MATCH($C$1,Database!$A$1:$AS$1,),)))))/(((VLOOKUP(EDATE(B332,-12),Database!$A:$AS,MATCH($C$1,Database!$A$1:$AS$1,),))))</f>
        <v>-2.3477023041968532E-2</v>
      </c>
      <c r="D332" s="13">
        <f>((((VLOOKUP(B332,Database!$A:$AS,MATCH($D$1,Database!$A$1:$AS$1,),))))-(((VLOOKUP(EDATE(B332,-12),Database!$A:$AS,MATCH($D$1,Database!$A$1:$AS$1,),)))))/(((VLOOKUP(EDATE(B332,-12),Database!$A:$AS,MATCH($D$1,Database!$A$1:$AS$1,),))))</f>
        <v>2.8747433264887032E-2</v>
      </c>
      <c r="E332" s="13">
        <f>((((VLOOKUP(B332,Database!$A:$AS,MATCH($E$1,Database!$A$1:$AS$1,),))))-(((VLOOKUP(EDATE(B332,-12),Database!$A:$AS,MATCH($E$1,Database!$A$1:$AS$1,),)))))/(((VLOOKUP(EDATE(B332,-12),Database!$A:$AS,MATCH($E$1,Database!$A$1:$AS$1,),))))</f>
        <v>-9.9403578170111887E-4</v>
      </c>
      <c r="F332" s="13">
        <f>((((VLOOKUP(B332,Database!$A:$AS,MATCH($F$1,Database!$A$1:$AS$1,),))))-(((VLOOKUP(EDATE(B332,-12),Database!$A:$AS,MATCH($F$1,Database!$A$1:$AS$1,),)))))/(((VLOOKUP(EDATE(B332,-12),Database!$A:$AS,MATCH($F$1,Database!$A$1:$AS$1,),))))</f>
        <v>1.0090817319750804E-3</v>
      </c>
      <c r="G332" s="13">
        <f>((((VLOOKUP(B332,Database!$A:$AS,MATCH($G$1,Database!$A$1:$AS$1,),))))-(((VLOOKUP(EDATE(B332,-12),Database!$A:$AS,MATCH($G$1,Database!$A$1:$AS$1,),)))))/(((VLOOKUP(EDATE(B332,-12),Database!$A:$AS,MATCH($G$1,Database!$A$1:$AS$1,),))))</f>
        <v>2.05728116175878E-2</v>
      </c>
      <c r="H332" s="13">
        <f>((((VLOOKUP(B332,Database!$A:$AS,MATCH($H$1,Database!$A$1:$AS$1,),))))-(((VLOOKUP(EDATE(B332,-12),Database!$A:$AS,MATCH($H$1,Database!$A$1:$AS$1,),)))))/(((VLOOKUP(EDATE(B332,-12),Database!$A:$AS,MATCH($H$1,Database!$A$1:$AS$1,),))))</f>
        <v>5.9428571431680371E-2</v>
      </c>
      <c r="I332" s="13">
        <f>((((VLOOKUP(B332,Database!$A:$AS,MATCH($I$1,Database!$A$1:$AS$1,),))))-(((VLOOKUP(EDATE(B332,-12),Database!$A:$AS,MATCH($I$1,Database!$A$1:$AS$1,),)))))/(((VLOOKUP(EDATE(B332,-12),Database!$A:$AS,MATCH($I$1,Database!$A$1:$AS$1,),))))</f>
        <v>1.9407558734924807E-2</v>
      </c>
      <c r="J332" s="13">
        <f>((((VLOOKUP(B332,Database!$A:$AS,MATCH($J$1,Database!$A$1:$AS$1,),))))-(((VLOOKUP(EDATE(B332,-12),Database!$A:$AS,MATCH($J$1,Database!$A$1:$AS$1,),)))))/(((VLOOKUP(EDATE(B332,-12),Database!$A:$AS,MATCH($J$1,Database!$A$1:$AS$1,),))))</f>
        <v>4.007725736537341E-2</v>
      </c>
      <c r="K332" s="13">
        <f>((((VLOOKUP(B332,Database!$A:$AS,MATCH($K$1,Database!$A$1:$AS$1,),))))-(((VLOOKUP(EDATE(B332,-12),Database!$A:$AS,MATCH($K$1,Database!$A$1:$AS$1,),)))))/(((VLOOKUP(EDATE(B332,-12),Database!$A:$AS,MATCH($K$1,Database!$A$1:$AS$1,),))))</f>
        <v>8.0712788258079426E-2</v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>1.4385380578030835E-2</v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>3.9583333333333304E-2</v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>1.8970523370280865E-2</v>
      </c>
      <c r="O332" s="13">
        <f>((((VLOOKUP(B332,Database!$A:$AS,MATCH($O$1,Database!$A$1:$AS$1,),))))-(((VLOOKUP(EDATE(B332,-12),Database!$A:$AS,MATCH($O$1,Database!$A$1:$AS$1,),)))))/(((VLOOKUP(EDATE(B332,-12),Database!$A:$AS,MATCH($O$1,Database!$A$1:$AS$1,),))))</f>
        <v>-1.6430404713211562E-2</v>
      </c>
      <c r="P332" s="13">
        <f>((((VLOOKUP(B332,Database!$A:$AS,MATCH($P$1,Database!$A$1:$AS$1,),))))-(((VLOOKUP(EDATE(B332,-12),Database!$A:$AS,MATCH($P$1,Database!$A$1:$AS$1,),)))))/(((VLOOKUP(EDATE(B332,-12),Database!$A:$AS,MATCH($P$1,Database!$A$1:$AS$1,),))))</f>
        <v>3.807275589457871E-2</v>
      </c>
      <c r="Q332" s="13">
        <f>((((VLOOKUP(B332,Database!$A:$AS,MATCH($Q$1,Database!$A$1:$AS$1,),))))-(((VLOOKUP(EDATE(B332,-12),Database!$A:$AS,MATCH($Q$1,Database!$A$1:$AS$1,),)))))/(((VLOOKUP(EDATE(B332,-12),Database!$A:$AS,MATCH($Q$1,Database!$A$1:$AS$1,),))))</f>
        <v>-0.11267605633712731</v>
      </c>
      <c r="R332" s="13">
        <f>((((VLOOKUP(B332,Database!$A:$AS,MATCH($R$1,Database!$A$1:$AS$1,),))))-(((VLOOKUP(EDATE(B332,-12),Database!$A:$AS,MATCH($R$1,Database!$A$1:$AS$1,),)))))/(((VLOOKUP(EDATE(B332,-12),Database!$A:$AS,MATCH($R$1,Database!$A$1:$AS$1,),))))</f>
        <v>3.2854209454492252E-2</v>
      </c>
      <c r="S332" s="13">
        <f>((((VLOOKUP(B332,Database!$A:$AS,MATCH($S$1,Database!$A$1:$AS$1,),))))-(((VLOOKUP(EDATE(B332,-12),Database!$A:$AS,MATCH($S$1,Database!$A$1:$AS$1,),)))))/(((VLOOKUP(EDATE(B332,-12),Database!$A:$AS,MATCH($S$1,Database!$A$1:$AS$1,),))))</f>
        <v>0.35106837921054812</v>
      </c>
      <c r="T332" s="13">
        <f>((((VLOOKUP(B332,Database!$A:$AS,MATCH($T$1,Database!$A$1:$AS$1,),))))-(((VLOOKUP(EDATE(B332,-12),Database!$A:$AS,MATCH($T$1,Database!$A$1:$AS$1,),)))))/(((VLOOKUP(EDATE(B332,-12),Database!$A:$AS,MATCH($T$1,Database!$A$1:$AS$1,),))))</f>
        <v>6.8678459939319356E-2</v>
      </c>
      <c r="U332" s="13">
        <f>((((VLOOKUP(B332,Database!$A:$AS,MATCH($U$1,Database!$A$1:$AS$1,),))))-(((VLOOKUP(EDATE(B332,-12),Database!$A:$AS,MATCH($U$1,Database!$A$1:$AS$1,),)))))/(((VLOOKUP(EDATE(B332,-12),Database!$A:$AS,MATCH($U$1,Database!$A$1:$AS$1,),))))</f>
        <v>3.0895983529291821E-2</v>
      </c>
      <c r="V332" s="13">
        <f>((((VLOOKUP(B332,Database!$A:$AS,MATCH($V$1,Database!$A$1:$AS$1,),))))-(((VLOOKUP(EDATE(B332,-12),Database!$A:$AS,MATCH($V$1,Database!$A$1:$AS$1,),)))))/(((VLOOKUP(EDATE(B332,-12),Database!$A:$AS,MATCH($V$1,Database!$A$1:$AS$1,),))))</f>
        <v>4.3523316062176194E-2</v>
      </c>
    </row>
    <row r="333" spans="1:22" s="83" customFormat="1" x14ac:dyDescent="0.2">
      <c r="A333" s="43"/>
      <c r="B333" s="78">
        <v>42278</v>
      </c>
      <c r="C333" s="13">
        <f>((((VLOOKUP(B333,Database!$A:$AS,MATCH($C$1,Database!$A$1:$AS$1,),))))-(((VLOOKUP(EDATE(B333,-12),Database!$A:$AS,MATCH($C$1,Database!$A$1:$AS$1,),)))))/(((VLOOKUP(EDATE(B333,-12),Database!$A:$AS,MATCH($C$1,Database!$A$1:$AS$1,),))))</f>
        <v>-2.7500434503638607E-2</v>
      </c>
      <c r="D333" s="13">
        <f>((((VLOOKUP(B333,Database!$A:$AS,MATCH($D$1,Database!$A$1:$AS$1,),))))-(((VLOOKUP(EDATE(B333,-12),Database!$A:$AS,MATCH($D$1,Database!$A$1:$AS$1,),)))))/(((VLOOKUP(EDATE(B333,-12),Database!$A:$AS,MATCH($D$1,Database!$A$1:$AS$1,),))))</f>
        <v>3.295571575695163E-2</v>
      </c>
      <c r="E333" s="13">
        <f>((((VLOOKUP(B333,Database!$A:$AS,MATCH($E$1,Database!$A$1:$AS$1,),))))-(((VLOOKUP(EDATE(B333,-12),Database!$A:$AS,MATCH($E$1,Database!$A$1:$AS$1,),)))))/(((VLOOKUP(EDATE(B333,-12),Database!$A:$AS,MATCH($E$1,Database!$A$1:$AS$1,),))))</f>
        <v>0</v>
      </c>
      <c r="F333" s="13">
        <f>((((VLOOKUP(B333,Database!$A:$AS,MATCH($F$1,Database!$A$1:$AS$1,),))))-(((VLOOKUP(EDATE(B333,-12),Database!$A:$AS,MATCH($F$1,Database!$A$1:$AS$1,),)))))/(((VLOOKUP(EDATE(B333,-12),Database!$A:$AS,MATCH($F$1,Database!$A$1:$AS$1,),))))</f>
        <v>9.0634441062053556E-3</v>
      </c>
      <c r="G333" s="13">
        <f>((((VLOOKUP(B333,Database!$A:$AS,MATCH($G$1,Database!$A$1:$AS$1,),))))-(((VLOOKUP(EDATE(B333,-12),Database!$A:$AS,MATCH($G$1,Database!$A$1:$AS$1,),)))))/(((VLOOKUP(EDATE(B333,-12),Database!$A:$AS,MATCH($G$1,Database!$A$1:$AS$1,),))))</f>
        <v>3.9737812371978654E-2</v>
      </c>
      <c r="H333" s="13">
        <f>((((VLOOKUP(B333,Database!$A:$AS,MATCH($H$1,Database!$A$1:$AS$1,),))))-(((VLOOKUP(EDATE(B333,-12),Database!$A:$AS,MATCH($H$1,Database!$A$1:$AS$1,),)))))/(((VLOOKUP(EDATE(B333,-12),Database!$A:$AS,MATCH($H$1,Database!$A$1:$AS$1,),))))</f>
        <v>6.9044879177199259E-2</v>
      </c>
      <c r="I333" s="13">
        <f>((((VLOOKUP(B333,Database!$A:$AS,MATCH($I$1,Database!$A$1:$AS$1,),))))-(((VLOOKUP(EDATE(B333,-12),Database!$A:$AS,MATCH($I$1,Database!$A$1:$AS$1,),)))))/(((VLOOKUP(EDATE(B333,-12),Database!$A:$AS,MATCH($I$1,Database!$A$1:$AS$1,),))))</f>
        <v>2.2517911975958919E-2</v>
      </c>
      <c r="J333" s="13">
        <f>((((VLOOKUP(B333,Database!$A:$AS,MATCH($J$1,Database!$A$1:$AS$1,),))))-(((VLOOKUP(EDATE(B333,-12),Database!$A:$AS,MATCH($J$1,Database!$A$1:$AS$1,),)))))/(((VLOOKUP(EDATE(B333,-12),Database!$A:$AS,MATCH($J$1,Database!$A$1:$AS$1,),))))</f>
        <v>4.291698990926867E-2</v>
      </c>
      <c r="K333" s="13">
        <f>((((VLOOKUP(B333,Database!$A:$AS,MATCH($K$1,Database!$A$1:$AS$1,),))))-(((VLOOKUP(EDATE(B333,-12),Database!$A:$AS,MATCH($K$1,Database!$A$1:$AS$1,),)))))/(((VLOOKUP(EDATE(B333,-12),Database!$A:$AS,MATCH($K$1,Database!$A$1:$AS$1,),))))</f>
        <v>6.8821689261124211E-2</v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>5.965404333069046E-3</v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>3.3985581874356456E-2</v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>9.5115184091435809E-2</v>
      </c>
      <c r="O333" s="13">
        <f>((((VLOOKUP(B333,Database!$A:$AS,MATCH($O$1,Database!$A$1:$AS$1,),))))-(((VLOOKUP(EDATE(B333,-12),Database!$A:$AS,MATCH($O$1,Database!$A$1:$AS$1,),)))))/(((VLOOKUP(EDATE(B333,-12),Database!$A:$AS,MATCH($O$1,Database!$A$1:$AS$1,),))))</f>
        <v>-2.6468012360873882E-2</v>
      </c>
      <c r="P333" s="13">
        <f>((((VLOOKUP(B333,Database!$A:$AS,MATCH($P$1,Database!$A$1:$AS$1,),))))-(((VLOOKUP(EDATE(B333,-12),Database!$A:$AS,MATCH($P$1,Database!$A$1:$AS$1,),)))))/(((VLOOKUP(EDATE(B333,-12),Database!$A:$AS,MATCH($P$1,Database!$A$1:$AS$1,),))))</f>
        <v>3.1746031749585242E-2</v>
      </c>
      <c r="Q333" s="13">
        <f>((((VLOOKUP(B333,Database!$A:$AS,MATCH($Q$1,Database!$A$1:$AS$1,),))))-(((VLOOKUP(EDATE(B333,-12),Database!$A:$AS,MATCH($Q$1,Database!$A$1:$AS$1,),)))))/(((VLOOKUP(EDATE(B333,-12),Database!$A:$AS,MATCH($Q$1,Database!$A$1:$AS$1,),))))</f>
        <v>-0.11735205616798469</v>
      </c>
      <c r="R333" s="13">
        <f>((((VLOOKUP(B333,Database!$A:$AS,MATCH($R$1,Database!$A$1:$AS$1,),))))-(((VLOOKUP(EDATE(B333,-12),Database!$A:$AS,MATCH($R$1,Database!$A$1:$AS$1,),)))))/(((VLOOKUP(EDATE(B333,-12),Database!$A:$AS,MATCH($R$1,Database!$A$1:$AS$1,),))))</f>
        <v>-3.0000000014215656E-3</v>
      </c>
      <c r="S333" s="13">
        <f>((((VLOOKUP(B333,Database!$A:$AS,MATCH($S$1,Database!$A$1:$AS$1,),))))-(((VLOOKUP(EDATE(B333,-12),Database!$A:$AS,MATCH($S$1,Database!$A$1:$AS$1,),)))))/(((VLOOKUP(EDATE(B333,-12),Database!$A:$AS,MATCH($S$1,Database!$A$1:$AS$1,),))))</f>
        <v>0.21934563025799111</v>
      </c>
      <c r="T333" s="13">
        <f>((((VLOOKUP(B333,Database!$A:$AS,MATCH($T$1,Database!$A$1:$AS$1,),))))-(((VLOOKUP(EDATE(B333,-12),Database!$A:$AS,MATCH($T$1,Database!$A$1:$AS$1,),)))))/(((VLOOKUP(EDATE(B333,-12),Database!$A:$AS,MATCH($T$1,Database!$A$1:$AS$1,),))))</f>
        <v>5.6902002102029163E-2</v>
      </c>
      <c r="U333" s="13">
        <f>((((VLOOKUP(B333,Database!$A:$AS,MATCH($U$1,Database!$A$1:$AS$1,),))))-(((VLOOKUP(EDATE(B333,-12),Database!$A:$AS,MATCH($U$1,Database!$A$1:$AS$1,),)))))/(((VLOOKUP(EDATE(B333,-12),Database!$A:$AS,MATCH($U$1,Database!$A$1:$AS$1,),))))</f>
        <v>5.7971014490652846E-2</v>
      </c>
      <c r="V333" s="13">
        <f>((((VLOOKUP(B333,Database!$A:$AS,MATCH($V$1,Database!$A$1:$AS$1,),))))-(((VLOOKUP(EDATE(B333,-12),Database!$A:$AS,MATCH($V$1,Database!$A$1:$AS$1,),)))))/(((VLOOKUP(EDATE(B333,-12),Database!$A:$AS,MATCH($V$1,Database!$A$1:$AS$1,),))))</f>
        <v>5.0724637681159479E-2</v>
      </c>
    </row>
    <row r="334" spans="1:22" s="83" customFormat="1" x14ac:dyDescent="0.2">
      <c r="A334" s="43"/>
      <c r="B334" s="78">
        <v>42309</v>
      </c>
      <c r="C334" s="13">
        <f>((((VLOOKUP(B334,Database!$A:$AS,MATCH($C$1,Database!$A$1:$AS$1,),))))-(((VLOOKUP(EDATE(B334,-12),Database!$A:$AS,MATCH($C$1,Database!$A$1:$AS$1,),)))))/(((VLOOKUP(EDATE(B334,-12),Database!$A:$AS,MATCH($C$1,Database!$A$1:$AS$1,),))))</f>
        <v>-4.1064216250668625E-2</v>
      </c>
      <c r="D334" s="13">
        <f>((((VLOOKUP(B334,Database!$A:$AS,MATCH($D$1,Database!$A$1:$AS$1,),))))-(((VLOOKUP(EDATE(B334,-12),Database!$A:$AS,MATCH($D$1,Database!$A$1:$AS$1,),)))))/(((VLOOKUP(EDATE(B334,-12),Database!$A:$AS,MATCH($D$1,Database!$A$1:$AS$1,),))))</f>
        <v>3.0991735537190084E-2</v>
      </c>
      <c r="E334" s="13">
        <f>((((VLOOKUP(B334,Database!$A:$AS,MATCH($E$1,Database!$A$1:$AS$1,),))))-(((VLOOKUP(EDATE(B334,-12),Database!$A:$AS,MATCH($E$1,Database!$A$1:$AS$1,),)))))/(((VLOOKUP(EDATE(B334,-12),Database!$A:$AS,MATCH($E$1,Database!$A$1:$AS$1,),))))</f>
        <v>-5.9642147100892988E-3</v>
      </c>
      <c r="F334" s="13">
        <f>((((VLOOKUP(B334,Database!$A:$AS,MATCH($F$1,Database!$A$1:$AS$1,),))))-(((VLOOKUP(EDATE(B334,-12),Database!$A:$AS,MATCH($F$1,Database!$A$1:$AS$1,),)))))/(((VLOOKUP(EDATE(B334,-12),Database!$A:$AS,MATCH($F$1,Database!$A$1:$AS$1,),))))</f>
        <v>-2.0120724374012877E-3</v>
      </c>
      <c r="G334" s="13">
        <f>((((VLOOKUP(B334,Database!$A:$AS,MATCH($G$1,Database!$A$1:$AS$1,),))))-(((VLOOKUP(EDATE(B334,-12),Database!$A:$AS,MATCH($G$1,Database!$A$1:$AS$1,),)))))/(((VLOOKUP(EDATE(B334,-12),Database!$A:$AS,MATCH($G$1,Database!$A$1:$AS$1,),))))</f>
        <v>2.7737528462016069E-2</v>
      </c>
      <c r="H334" s="13">
        <f>((((VLOOKUP(B334,Database!$A:$AS,MATCH($H$1,Database!$A$1:$AS$1,),))))-(((VLOOKUP(EDATE(B334,-12),Database!$A:$AS,MATCH($H$1,Database!$A$1:$AS$1,),)))))/(((VLOOKUP(EDATE(B334,-12),Database!$A:$AS,MATCH($H$1,Database!$A$1:$AS$1,),))))</f>
        <v>4.6750285071091802E-2</v>
      </c>
      <c r="I334" s="13">
        <f>((((VLOOKUP(B334,Database!$A:$AS,MATCH($I$1,Database!$A$1:$AS$1,),))))-(((VLOOKUP(EDATE(B334,-12),Database!$A:$AS,MATCH($I$1,Database!$A$1:$AS$1,),)))))/(((VLOOKUP(EDATE(B334,-12),Database!$A:$AS,MATCH($I$1,Database!$A$1:$AS$1,),))))</f>
        <v>2.8629856849628318E-2</v>
      </c>
      <c r="J334" s="13">
        <f>((((VLOOKUP(B334,Database!$A:$AS,MATCH($J$1,Database!$A$1:$AS$1,),))))-(((VLOOKUP(EDATE(B334,-12),Database!$A:$AS,MATCH($J$1,Database!$A$1:$AS$1,),)))))/(((VLOOKUP(EDATE(B334,-12),Database!$A:$AS,MATCH($J$1,Database!$A$1:$AS$1,),))))</f>
        <v>3.9233794400527114E-2</v>
      </c>
      <c r="K334" s="13">
        <f>((((VLOOKUP(B334,Database!$A:$AS,MATCH($K$1,Database!$A$1:$AS$1,),))))-(((VLOOKUP(EDATE(B334,-12),Database!$A:$AS,MATCH($K$1,Database!$A$1:$AS$1,),)))))/(((VLOOKUP(EDATE(B334,-12),Database!$A:$AS,MATCH($K$1,Database!$A$1:$AS$1,),))))</f>
        <v>7.643979057524744E-2</v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>-2.9790042890668069E-3</v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>2.3541453428863841E-2</v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>2.1394599919502496E-3</v>
      </c>
      <c r="O334" s="13">
        <f>((((VLOOKUP(B334,Database!$A:$AS,MATCH($O$1,Database!$A$1:$AS$1,),))))-(((VLOOKUP(EDATE(B334,-12),Database!$A:$AS,MATCH($O$1,Database!$A$1:$AS$1,),)))))/(((VLOOKUP(EDATE(B334,-12),Database!$A:$AS,MATCH($O$1,Database!$A$1:$AS$1,),))))</f>
        <v>-1.9798045717692475E-2</v>
      </c>
      <c r="P334" s="13">
        <f>((((VLOOKUP(B334,Database!$A:$AS,MATCH($P$1,Database!$A$1:$AS$1,),))))-(((VLOOKUP(EDATE(B334,-12),Database!$A:$AS,MATCH($P$1,Database!$A$1:$AS$1,),)))))/(((VLOOKUP(EDATE(B334,-12),Database!$A:$AS,MATCH($P$1,Database!$A$1:$AS$1,),))))</f>
        <v>2.0035320629030573E-2</v>
      </c>
      <c r="Q334" s="13">
        <f>((((VLOOKUP(B334,Database!$A:$AS,MATCH($Q$1,Database!$A$1:$AS$1,),))))-(((VLOOKUP(EDATE(B334,-12),Database!$A:$AS,MATCH($Q$1,Database!$A$1:$AS$1,),)))))/(((VLOOKUP(EDATE(B334,-12),Database!$A:$AS,MATCH($Q$1,Database!$A$1:$AS$1,),))))</f>
        <v>-0.12373225152021446</v>
      </c>
      <c r="R334" s="13">
        <f>((((VLOOKUP(B334,Database!$A:$AS,MATCH($R$1,Database!$A$1:$AS$1,),))))-(((VLOOKUP(EDATE(B334,-12),Database!$A:$AS,MATCH($R$1,Database!$A$1:$AS$1,),)))))/(((VLOOKUP(EDATE(B334,-12),Database!$A:$AS,MATCH($R$1,Database!$A$1:$AS$1,),))))</f>
        <v>3.521126760563386E-2</v>
      </c>
      <c r="S334" s="13">
        <f>((((VLOOKUP(B334,Database!$A:$AS,MATCH($S$1,Database!$A$1:$AS$1,),))))-(((VLOOKUP(EDATE(B334,-12),Database!$A:$AS,MATCH($S$1,Database!$A$1:$AS$1,),)))))/(((VLOOKUP(EDATE(B334,-12),Database!$A:$AS,MATCH($S$1,Database!$A$1:$AS$1,),))))</f>
        <v>0.25113996840773117</v>
      </c>
      <c r="T334" s="13">
        <f>((((VLOOKUP(B334,Database!$A:$AS,MATCH($T$1,Database!$A$1:$AS$1,),))))-(((VLOOKUP(EDATE(B334,-12),Database!$A:$AS,MATCH($T$1,Database!$A$1:$AS$1,),)))))/(((VLOOKUP(EDATE(B334,-12),Database!$A:$AS,MATCH($T$1,Database!$A$1:$AS$1,),))))</f>
        <v>7.1055381394093897E-2</v>
      </c>
      <c r="U334" s="13">
        <f>((((VLOOKUP(B334,Database!$A:$AS,MATCH($U$1,Database!$A$1:$AS$1,),))))-(((VLOOKUP(EDATE(B334,-12),Database!$A:$AS,MATCH($U$1,Database!$A$1:$AS$1,),)))))/(((VLOOKUP(EDATE(B334,-12),Database!$A:$AS,MATCH($U$1,Database!$A$1:$AS$1,),))))</f>
        <v>2.4590163937954036E-2</v>
      </c>
      <c r="V334" s="13">
        <f>((((VLOOKUP(B334,Database!$A:$AS,MATCH($V$1,Database!$A$1:$AS$1,),))))-(((VLOOKUP(EDATE(B334,-12),Database!$A:$AS,MATCH($V$1,Database!$A$1:$AS$1,),)))))/(((VLOOKUP(EDATE(B334,-12),Database!$A:$AS,MATCH($V$1,Database!$A$1:$AS$1,),))))</f>
        <v>5.4922279792746082E-2</v>
      </c>
    </row>
    <row r="335" spans="1:22" s="83" customFormat="1" x14ac:dyDescent="0.2">
      <c r="A335" s="43"/>
      <c r="B335" s="78">
        <v>42339</v>
      </c>
      <c r="C335" s="13">
        <f>((((VLOOKUP(B335,Database!$A:$AS,MATCH($C$1,Database!$A$1:$AS$1,),))))-(((VLOOKUP(EDATE(B335,-12),Database!$A:$AS,MATCH($C$1,Database!$A$1:$AS$1,),)))))/(((VLOOKUP(EDATE(B335,-12),Database!$A:$AS,MATCH($C$1,Database!$A$1:$AS$1,),))))</f>
        <v>-4.6142457720649399E-2</v>
      </c>
      <c r="D335" s="13">
        <f>((((VLOOKUP(B335,Database!$A:$AS,MATCH($D$1,Database!$A$1:$AS$1,),))))-(((VLOOKUP(EDATE(B335,-12),Database!$A:$AS,MATCH($D$1,Database!$A$1:$AS$1,),)))))/(((VLOOKUP(EDATE(B335,-12),Database!$A:$AS,MATCH($D$1,Database!$A$1:$AS$1,),))))</f>
        <v>1.9367991845056123E-2</v>
      </c>
      <c r="E335" s="13">
        <f>((((VLOOKUP(B335,Database!$A:$AS,MATCH($E$1,Database!$A$1:$AS$1,),))))-(((VLOOKUP(EDATE(B335,-12),Database!$A:$AS,MATCH($E$1,Database!$A$1:$AS$1,),)))))/(((VLOOKUP(EDATE(B335,-12),Database!$A:$AS,MATCH($E$1,Database!$A$1:$AS$1,),))))</f>
        <v>-2.0958083836459095E-2</v>
      </c>
      <c r="F335" s="13">
        <f>((((VLOOKUP(B335,Database!$A:$AS,MATCH($F$1,Database!$A$1:$AS$1,),))))-(((VLOOKUP(EDATE(B335,-12),Database!$A:$AS,MATCH($F$1,Database!$A$1:$AS$1,),)))))/(((VLOOKUP(EDATE(B335,-12),Database!$A:$AS,MATCH($F$1,Database!$A$1:$AS$1,),))))</f>
        <v>-1.0880316518582487E-2</v>
      </c>
      <c r="G335" s="13">
        <f>((((VLOOKUP(B335,Database!$A:$AS,MATCH($G$1,Database!$A$1:$AS$1,),))))-(((VLOOKUP(EDATE(B335,-12),Database!$A:$AS,MATCH($G$1,Database!$A$1:$AS$1,),)))))/(((VLOOKUP(EDATE(B335,-12),Database!$A:$AS,MATCH($G$1,Database!$A$1:$AS$1,),))))</f>
        <v>2.8149190710767178E-3</v>
      </c>
      <c r="H335" s="13">
        <f>((((VLOOKUP(B335,Database!$A:$AS,MATCH($H$1,Database!$A$1:$AS$1,),))))-(((VLOOKUP(EDATE(B335,-12),Database!$A:$AS,MATCH($H$1,Database!$A$1:$AS$1,),)))))/(((VLOOKUP(EDATE(B335,-12),Database!$A:$AS,MATCH($H$1,Database!$A$1:$AS$1,),))))</f>
        <v>2.4526198439715798E-2</v>
      </c>
      <c r="I335" s="13">
        <f>((((VLOOKUP(B335,Database!$A:$AS,MATCH($I$1,Database!$A$1:$AS$1,),))))-(((VLOOKUP(EDATE(B335,-12),Database!$A:$AS,MATCH($I$1,Database!$A$1:$AS$1,),)))))/(((VLOOKUP(EDATE(B335,-12),Database!$A:$AS,MATCH($I$1,Database!$A$1:$AS$1,),))))</f>
        <v>-1.0121457554526159E-3</v>
      </c>
      <c r="J335" s="13">
        <f>((((VLOOKUP(B335,Database!$A:$AS,MATCH($J$1,Database!$A$1:$AS$1,),))))-(((VLOOKUP(EDATE(B335,-12),Database!$A:$AS,MATCH($J$1,Database!$A$1:$AS$1,),)))))/(((VLOOKUP(EDATE(B335,-12),Database!$A:$AS,MATCH($J$1,Database!$A$1:$AS$1,),))))</f>
        <v>3.6324697899298146E-2</v>
      </c>
      <c r="K335" s="13">
        <f>((((VLOOKUP(B335,Database!$A:$AS,MATCH($K$1,Database!$A$1:$AS$1,),))))-(((VLOOKUP(EDATE(B335,-12),Database!$A:$AS,MATCH($K$1,Database!$A$1:$AS$1,),)))))/(((VLOOKUP(EDATE(B335,-12),Database!$A:$AS,MATCH($K$1,Database!$A$1:$AS$1,),))))</f>
        <v>1.2024048092819111E-2</v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>1.3385830441001209E-3</v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>-8.9910089910089069E-3</v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>3.5228100071797955E-2</v>
      </c>
      <c r="O335" s="13">
        <f>((((VLOOKUP(B335,Database!$A:$AS,MATCH($O$1,Database!$A$1:$AS$1,),))))-(((VLOOKUP(EDATE(B335,-12),Database!$A:$AS,MATCH($O$1,Database!$A$1:$AS$1,),)))))/(((VLOOKUP(EDATE(B335,-12),Database!$A:$AS,MATCH($O$1,Database!$A$1:$AS$1,),))))</f>
        <v>-1.9387982435237285E-2</v>
      </c>
      <c r="P335" s="13">
        <f>((((VLOOKUP(B335,Database!$A:$AS,MATCH($P$1,Database!$A$1:$AS$1,),))))-(((VLOOKUP(EDATE(B335,-12),Database!$A:$AS,MATCH($P$1,Database!$A$1:$AS$1,),)))))/(((VLOOKUP(EDATE(B335,-12),Database!$A:$AS,MATCH($P$1,Database!$A$1:$AS$1,),))))</f>
        <v>-1.3274860729206098E-2</v>
      </c>
      <c r="Q335" s="13">
        <f>((((VLOOKUP(B335,Database!$A:$AS,MATCH($Q$1,Database!$A$1:$AS$1,),))))-(((VLOOKUP(EDATE(B335,-12),Database!$A:$AS,MATCH($Q$1,Database!$A$1:$AS$1,),)))))/(((VLOOKUP(EDATE(B335,-12),Database!$A:$AS,MATCH($Q$1,Database!$A$1:$AS$1,),))))</f>
        <v>-0.11111111110370631</v>
      </c>
      <c r="R335" s="13">
        <f>((((VLOOKUP(B335,Database!$A:$AS,MATCH($R$1,Database!$A$1:$AS$1,),))))-(((VLOOKUP(EDATE(B335,-12),Database!$A:$AS,MATCH($R$1,Database!$A$1:$AS$1,),)))))/(((VLOOKUP(EDATE(B335,-12),Database!$A:$AS,MATCH($R$1,Database!$A$1:$AS$1,),))))</f>
        <v>9.5041322310673179E-2</v>
      </c>
      <c r="S335" s="13">
        <f>((((VLOOKUP(B335,Database!$A:$AS,MATCH($S$1,Database!$A$1:$AS$1,),))))-(((VLOOKUP(EDATE(B335,-12),Database!$A:$AS,MATCH($S$1,Database!$A$1:$AS$1,),)))))/(((VLOOKUP(EDATE(B335,-12),Database!$A:$AS,MATCH($S$1,Database!$A$1:$AS$1,),))))</f>
        <v>0.46413727408914895</v>
      </c>
      <c r="T335" s="13">
        <f>((((VLOOKUP(B335,Database!$A:$AS,MATCH($T$1,Database!$A$1:$AS$1,),))))-(((VLOOKUP(EDATE(B335,-12),Database!$A:$AS,MATCH($T$1,Database!$A$1:$AS$1,),)))))/(((VLOOKUP(EDATE(B335,-12),Database!$A:$AS,MATCH($T$1,Database!$A$1:$AS$1,),))))</f>
        <v>8.0543933056614697E-2</v>
      </c>
      <c r="U335" s="13">
        <f>((((VLOOKUP(B335,Database!$A:$AS,MATCH($U$1,Database!$A$1:$AS$1,),))))-(((VLOOKUP(EDATE(B335,-12),Database!$A:$AS,MATCH($U$1,Database!$A$1:$AS$1,),)))))/(((VLOOKUP(EDATE(B335,-12),Database!$A:$AS,MATCH($U$1,Database!$A$1:$AS$1,),))))</f>
        <v>3.0303030269354268E-3</v>
      </c>
      <c r="V335" s="13">
        <f>((((VLOOKUP(B335,Database!$A:$AS,MATCH($V$1,Database!$A$1:$AS$1,),))))-(((VLOOKUP(EDATE(B335,-12),Database!$A:$AS,MATCH($V$1,Database!$A$1:$AS$1,),)))))/(((VLOOKUP(EDATE(B335,-12),Database!$A:$AS,MATCH($V$1,Database!$A$1:$AS$1,),))))</f>
        <v>4.1836734693877491E-2</v>
      </c>
    </row>
    <row r="336" spans="1:22" s="83" customFormat="1" x14ac:dyDescent="0.2">
      <c r="A336" s="43"/>
      <c r="B336" s="78">
        <v>42370</v>
      </c>
      <c r="C336" s="13">
        <f>((((VLOOKUP(B336,Database!$A:$AS,MATCH($C$1,Database!$A$1:$AS$1,),))))-(((VLOOKUP(EDATE(B336,-12),Database!$A:$AS,MATCH($C$1,Database!$A$1:$AS$1,),)))))/(((VLOOKUP(EDATE(B336,-12),Database!$A:$AS,MATCH($C$1,Database!$A$1:$AS$1,),))))</f>
        <v>-3.2749331780370393E-2</v>
      </c>
      <c r="D336" s="13">
        <f>((((VLOOKUP(B336,Database!$A:$AS,MATCH($D$1,Database!$A$1:$AS$1,),))))-(((VLOOKUP(EDATE(B336,-12),Database!$A:$AS,MATCH($D$1,Database!$A$1:$AS$1,),)))))/(((VLOOKUP(EDATE(B336,-12),Database!$A:$AS,MATCH($D$1,Database!$A$1:$AS$1,),))))</f>
        <v>5.2147239263803769E-2</v>
      </c>
      <c r="E336" s="13">
        <f>((((VLOOKUP(B336,Database!$A:$AS,MATCH($E$1,Database!$A$1:$AS$1,),))))-(((VLOOKUP(EDATE(B336,-12),Database!$A:$AS,MATCH($E$1,Database!$A$1:$AS$1,),)))))/(((VLOOKUP(EDATE(B336,-12),Database!$A:$AS,MATCH($E$1,Database!$A$1:$AS$1,),))))</f>
        <v>-2.3369036030478279E-2</v>
      </c>
      <c r="F336" s="13">
        <f>((((VLOOKUP(B336,Database!$A:$AS,MATCH($F$1,Database!$A$1:$AS$1,),))))-(((VLOOKUP(EDATE(B336,-12),Database!$A:$AS,MATCH($F$1,Database!$A$1:$AS$1,),)))))/(((VLOOKUP(EDATE(B336,-12),Database!$A:$AS,MATCH($F$1,Database!$A$1:$AS$1,),))))</f>
        <v>3.137651821658477E-2</v>
      </c>
      <c r="G336" s="13">
        <f>((((VLOOKUP(B336,Database!$A:$AS,MATCH($G$1,Database!$A$1:$AS$1,),))))-(((VLOOKUP(EDATE(B336,-12),Database!$A:$AS,MATCH($G$1,Database!$A$1:$AS$1,),)))))/(((VLOOKUP(EDATE(B336,-12),Database!$A:$AS,MATCH($G$1,Database!$A$1:$AS$1,),))))</f>
        <v>2.0902421867149013E-2</v>
      </c>
      <c r="H336" s="13">
        <f>((((VLOOKUP(B336,Database!$A:$AS,MATCH($H$1,Database!$A$1:$AS$1,),))))-(((VLOOKUP(EDATE(B336,-12),Database!$A:$AS,MATCH($H$1,Database!$A$1:$AS$1,),)))))/(((VLOOKUP(EDATE(B336,-12),Database!$A:$AS,MATCH($H$1,Database!$A$1:$AS$1,),))))</f>
        <v>2.6086956517696332E-2</v>
      </c>
      <c r="I336" s="13">
        <f>((((VLOOKUP(B336,Database!$A:$AS,MATCH($I$1,Database!$A$1:$AS$1,),))))-(((VLOOKUP(EDATE(B336,-12),Database!$A:$AS,MATCH($I$1,Database!$A$1:$AS$1,),)))))/(((VLOOKUP(EDATE(B336,-12),Database!$A:$AS,MATCH($I$1,Database!$A$1:$AS$1,),))))</f>
        <v>3.4587995927988092E-2</v>
      </c>
      <c r="J336" s="13">
        <f>((((VLOOKUP(B336,Database!$A:$AS,MATCH($J$1,Database!$A$1:$AS$1,),))))-(((VLOOKUP(EDATE(B336,-12),Database!$A:$AS,MATCH($J$1,Database!$A$1:$AS$1,),)))))/(((VLOOKUP(EDATE(B336,-12),Database!$A:$AS,MATCH($J$1,Database!$A$1:$AS$1,),))))</f>
        <v>5.4391057753602208E-2</v>
      </c>
      <c r="K336" s="13">
        <f>((((VLOOKUP(B336,Database!$A:$AS,MATCH($K$1,Database!$A$1:$AS$1,),))))-(((VLOOKUP(EDATE(B336,-12),Database!$A:$AS,MATCH($K$1,Database!$A$1:$AS$1,),)))))/(((VLOOKUP(EDATE(B336,-12),Database!$A:$AS,MATCH($K$1,Database!$A$1:$AS$1,),))))</f>
        <v>7.0824524314572285E-2</v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>7.3801720609897002E-3</v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>-6.9169960474308578E-3</v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>4.5096709469087205E-2</v>
      </c>
      <c r="O336" s="13">
        <f>((((VLOOKUP(B336,Database!$A:$AS,MATCH($O$1,Database!$A$1:$AS$1,),))))-(((VLOOKUP(EDATE(B336,-12),Database!$A:$AS,MATCH($O$1,Database!$A$1:$AS$1,),)))))/(((VLOOKUP(EDATE(B336,-12),Database!$A:$AS,MATCH($O$1,Database!$A$1:$AS$1,),))))</f>
        <v>-6.7894377126225518E-3</v>
      </c>
      <c r="P336" s="13">
        <f>((((VLOOKUP(B336,Database!$A:$AS,MATCH($P$1,Database!$A$1:$AS$1,),))))-(((VLOOKUP(EDATE(B336,-12),Database!$A:$AS,MATCH($P$1,Database!$A$1:$AS$1,),)))))/(((VLOOKUP(EDATE(B336,-12),Database!$A:$AS,MATCH($P$1,Database!$A$1:$AS$1,),))))</f>
        <v>1.1293634497172949E-2</v>
      </c>
      <c r="Q336" s="13">
        <f>((((VLOOKUP(B336,Database!$A:$AS,MATCH($Q$1,Database!$A$1:$AS$1,),))))-(((VLOOKUP(EDATE(B336,-12),Database!$A:$AS,MATCH($Q$1,Database!$A$1:$AS$1,),)))))/(((VLOOKUP(EDATE(B336,-12),Database!$A:$AS,MATCH($Q$1,Database!$A$1:$AS$1,),))))</f>
        <v>-0.10416666667021456</v>
      </c>
      <c r="R336" s="13">
        <f>((((VLOOKUP(B336,Database!$A:$AS,MATCH($R$1,Database!$A$1:$AS$1,),))))-(((VLOOKUP(EDATE(B336,-12),Database!$A:$AS,MATCH($R$1,Database!$A$1:$AS$1,),)))))/(((VLOOKUP(EDATE(B336,-12),Database!$A:$AS,MATCH($R$1,Database!$A$1:$AS$1,),))))</f>
        <v>4.1836734696796427E-2</v>
      </c>
      <c r="S336" s="13">
        <f>((((VLOOKUP(B336,Database!$A:$AS,MATCH($S$1,Database!$A$1:$AS$1,),))))-(((VLOOKUP(EDATE(B336,-12),Database!$A:$AS,MATCH($S$1,Database!$A$1:$AS$1,),)))))/(((VLOOKUP(EDATE(B336,-12),Database!$A:$AS,MATCH($S$1,Database!$A$1:$AS$1,),))))</f>
        <v>0.51413881747672208</v>
      </c>
      <c r="T336" s="13">
        <f>((((VLOOKUP(B336,Database!$A:$AS,MATCH($T$1,Database!$A$1:$AS$1,),))))-(((VLOOKUP(EDATE(B336,-12),Database!$A:$AS,MATCH($T$1,Database!$A$1:$AS$1,),)))))/(((VLOOKUP(EDATE(B336,-12),Database!$A:$AS,MATCH($T$1,Database!$A$1:$AS$1,),))))</f>
        <v>7.7731092429206367E-2</v>
      </c>
      <c r="U336" s="13">
        <f>((((VLOOKUP(B336,Database!$A:$AS,MATCH($U$1,Database!$A$1:$AS$1,),))))-(((VLOOKUP(EDATE(B336,-12),Database!$A:$AS,MATCH($U$1,Database!$A$1:$AS$1,),)))))/(((VLOOKUP(EDATE(B336,-12),Database!$A:$AS,MATCH($U$1,Database!$A$1:$AS$1,),))))</f>
        <v>4.5965270684737075E-2</v>
      </c>
      <c r="V336" s="13">
        <f>((((VLOOKUP(B336,Database!$A:$AS,MATCH($V$1,Database!$A$1:$AS$1,),))))-(((VLOOKUP(EDATE(B336,-12),Database!$A:$AS,MATCH($V$1,Database!$A$1:$AS$1,),)))))/(((VLOOKUP(EDATE(B336,-12),Database!$A:$AS,MATCH($V$1,Database!$A$1:$AS$1,),))))</f>
        <v>3.4482758620689717E-2</v>
      </c>
    </row>
    <row r="337" spans="1:22" s="83" customFormat="1" x14ac:dyDescent="0.2">
      <c r="A337" s="43"/>
      <c r="B337" s="78">
        <v>42401</v>
      </c>
      <c r="C337" s="13">
        <f>((((VLOOKUP(B337,Database!$A:$AS,MATCH($C$1,Database!$A$1:$AS$1,),))))-(((VLOOKUP(EDATE(B337,-12),Database!$A:$AS,MATCH($C$1,Database!$A$1:$AS$1,),)))))/(((VLOOKUP(EDATE(B337,-12),Database!$A:$AS,MATCH($C$1,Database!$A$1:$AS$1,),))))</f>
        <v>-3.1995750728040111E-2</v>
      </c>
      <c r="D337" s="13">
        <f>((((VLOOKUP(B337,Database!$A:$AS,MATCH($D$1,Database!$A$1:$AS$1,),))))-(((VLOOKUP(EDATE(B337,-12),Database!$A:$AS,MATCH($D$1,Database!$A$1:$AS$1,),)))))/(((VLOOKUP(EDATE(B337,-12),Database!$A:$AS,MATCH($D$1,Database!$A$1:$AS$1,),))))</f>
        <v>5.9820538384846317E-3</v>
      </c>
      <c r="E337" s="13">
        <f>((((VLOOKUP(B337,Database!$A:$AS,MATCH($E$1,Database!$A$1:$AS$1,),))))-(((VLOOKUP(EDATE(B337,-12),Database!$A:$AS,MATCH($E$1,Database!$A$1:$AS$1,),)))))/(((VLOOKUP(EDATE(B337,-12),Database!$A:$AS,MATCH($E$1,Database!$A$1:$AS$1,),))))</f>
        <v>-3.0060120232247027E-3</v>
      </c>
      <c r="F337" s="13">
        <f>((((VLOOKUP(B337,Database!$A:$AS,MATCH($F$1,Database!$A$1:$AS$1,),))))-(((VLOOKUP(EDATE(B337,-12),Database!$A:$AS,MATCH($F$1,Database!$A$1:$AS$1,),)))))/(((VLOOKUP(EDATE(B337,-12),Database!$A:$AS,MATCH($F$1,Database!$A$1:$AS$1,),))))</f>
        <v>2.4144869218631883E-2</v>
      </c>
      <c r="G337" s="13">
        <f>((((VLOOKUP(B337,Database!$A:$AS,MATCH($G$1,Database!$A$1:$AS$1,),))))-(((VLOOKUP(EDATE(B337,-12),Database!$A:$AS,MATCH($G$1,Database!$A$1:$AS$1,),)))))/(((VLOOKUP(EDATE(B337,-12),Database!$A:$AS,MATCH($G$1,Database!$A$1:$AS$1,),))))</f>
        <v>5.4950544509940764E-3</v>
      </c>
      <c r="H337" s="13">
        <f>((((VLOOKUP(B337,Database!$A:$AS,MATCH($H$1,Database!$A$1:$AS$1,),))))-(((VLOOKUP(EDATE(B337,-12),Database!$A:$AS,MATCH($H$1,Database!$A$1:$AS$1,),)))))/(((VLOOKUP(EDATE(B337,-12),Database!$A:$AS,MATCH($H$1,Database!$A$1:$AS$1,),))))</f>
        <v>1.2820512813508095E-2</v>
      </c>
      <c r="I337" s="13">
        <f>((((VLOOKUP(B337,Database!$A:$AS,MATCH($I$1,Database!$A$1:$AS$1,),))))-(((VLOOKUP(EDATE(B337,-12),Database!$A:$AS,MATCH($I$1,Database!$A$1:$AS$1,),)))))/(((VLOOKUP(EDATE(B337,-12),Database!$A:$AS,MATCH($I$1,Database!$A$1:$AS$1,),))))</f>
        <v>1.3118062556041248E-2</v>
      </c>
      <c r="J337" s="13">
        <f>((((VLOOKUP(B337,Database!$A:$AS,MATCH($J$1,Database!$A$1:$AS$1,),))))-(((VLOOKUP(EDATE(B337,-12),Database!$A:$AS,MATCH($J$1,Database!$A$1:$AS$1,),)))))/(((VLOOKUP(EDATE(B337,-12),Database!$A:$AS,MATCH($J$1,Database!$A$1:$AS$1,),))))</f>
        <v>2.2875684041346732E-2</v>
      </c>
      <c r="K337" s="13">
        <f>((((VLOOKUP(B337,Database!$A:$AS,MATCH($K$1,Database!$A$1:$AS$1,),))))-(((VLOOKUP(EDATE(B337,-12),Database!$A:$AS,MATCH($K$1,Database!$A$1:$AS$1,),)))))/(((VLOOKUP(EDATE(B337,-12),Database!$A:$AS,MATCH($K$1,Database!$A$1:$AS$1,),))))</f>
        <v>6.1650992678531649E-2</v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>3.8019149148826076E-3</v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>-2.9970029970029688E-3</v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>3.3823192239231199E-2</v>
      </c>
      <c r="O337" s="13">
        <f>((((VLOOKUP(B337,Database!$A:$AS,MATCH($O$1,Database!$A$1:$AS$1,),))))-(((VLOOKUP(EDATE(B337,-12),Database!$A:$AS,MATCH($O$1,Database!$A$1:$AS$1,),)))))/(((VLOOKUP(EDATE(B337,-12),Database!$A:$AS,MATCH($O$1,Database!$A$1:$AS$1,),))))</f>
        <v>-9.6553702029824971E-3</v>
      </c>
      <c r="P337" s="13">
        <f>((((VLOOKUP(B337,Database!$A:$AS,MATCH($P$1,Database!$A$1:$AS$1,),))))-(((VLOOKUP(EDATE(B337,-12),Database!$A:$AS,MATCH($P$1,Database!$A$1:$AS$1,),)))))/(((VLOOKUP(EDATE(B337,-12),Database!$A:$AS,MATCH($P$1,Database!$A$1:$AS$1,),))))</f>
        <v>5.9582919546292013E-3</v>
      </c>
      <c r="Q337" s="13">
        <f>((((VLOOKUP(B337,Database!$A:$AS,MATCH($Q$1,Database!$A$1:$AS$1,),))))-(((VLOOKUP(EDATE(B337,-12),Database!$A:$AS,MATCH($Q$1,Database!$A$1:$AS$1,),)))))/(((VLOOKUP(EDATE(B337,-12),Database!$A:$AS,MATCH($Q$1,Database!$A$1:$AS$1,),))))</f>
        <v>-0.1100628930763122</v>
      </c>
      <c r="R337" s="13">
        <f>((((VLOOKUP(B337,Database!$A:$AS,MATCH($R$1,Database!$A$1:$AS$1,),))))-(((VLOOKUP(EDATE(B337,-12),Database!$A:$AS,MATCH($R$1,Database!$A$1:$AS$1,),)))))/(((VLOOKUP(EDATE(B337,-12),Database!$A:$AS,MATCH($R$1,Database!$A$1:$AS$1,),))))</f>
        <v>-3.2448377586609324E-2</v>
      </c>
      <c r="S337" s="13">
        <f>((((VLOOKUP(B337,Database!$A:$AS,MATCH($S$1,Database!$A$1:$AS$1,),))))-(((VLOOKUP(EDATE(B337,-12),Database!$A:$AS,MATCH($S$1,Database!$A$1:$AS$1,),)))))/(((VLOOKUP(EDATE(B337,-12),Database!$A:$AS,MATCH($S$1,Database!$A$1:$AS$1,),))))</f>
        <v>-0.13607305935998004</v>
      </c>
      <c r="T337" s="13">
        <f>((((VLOOKUP(B337,Database!$A:$AS,MATCH($T$1,Database!$A$1:$AS$1,),))))-(((VLOOKUP(EDATE(B337,-12),Database!$A:$AS,MATCH($T$1,Database!$A$1:$AS$1,),)))))/(((VLOOKUP(EDATE(B337,-12),Database!$A:$AS,MATCH($T$1,Database!$A$1:$AS$1,),))))</f>
        <v>8.9285714278210734E-2</v>
      </c>
      <c r="U337" s="13">
        <f>((((VLOOKUP(B337,Database!$A:$AS,MATCH($U$1,Database!$A$1:$AS$1,),))))-(((VLOOKUP(EDATE(B337,-12),Database!$A:$AS,MATCH($U$1,Database!$A$1:$AS$1,),)))))/(((VLOOKUP(EDATE(B337,-12),Database!$A:$AS,MATCH($U$1,Database!$A$1:$AS$1,),))))</f>
        <v>5.2631578950032482E-2</v>
      </c>
      <c r="V337" s="13">
        <f>((((VLOOKUP(B337,Database!$A:$AS,MATCH($V$1,Database!$A$1:$AS$1,),))))-(((VLOOKUP(EDATE(B337,-12),Database!$A:$AS,MATCH($V$1,Database!$A$1:$AS$1,),)))))/(((VLOOKUP(EDATE(B337,-12),Database!$A:$AS,MATCH($V$1,Database!$A$1:$AS$1,),))))</f>
        <v>2.3185483870967711E-2</v>
      </c>
    </row>
    <row r="338" spans="1:22" s="83" customFormat="1" x14ac:dyDescent="0.2">
      <c r="A338" s="43"/>
      <c r="B338" s="78">
        <v>42430</v>
      </c>
      <c r="C338" s="13">
        <f>((((VLOOKUP(B338,Database!$A:$AS,MATCH($C$1,Database!$A$1:$AS$1,),))))-(((VLOOKUP(EDATE(B338,-12),Database!$A:$AS,MATCH($C$1,Database!$A$1:$AS$1,),)))))/(((VLOOKUP(EDATE(B338,-12),Database!$A:$AS,MATCH($C$1,Database!$A$1:$AS$1,),))))</f>
        <v>-3.6303235212681792E-2</v>
      </c>
      <c r="D338" s="13">
        <f>((((VLOOKUP(B338,Database!$A:$AS,MATCH($D$1,Database!$A$1:$AS$1,),))))-(((VLOOKUP(EDATE(B338,-12),Database!$A:$AS,MATCH($D$1,Database!$A$1:$AS$1,),)))))/(((VLOOKUP(EDATE(B338,-12),Database!$A:$AS,MATCH($D$1,Database!$A$1:$AS$1,),))))</f>
        <v>-9.9601593625506485E-4</v>
      </c>
      <c r="E338" s="13">
        <f>((((VLOOKUP(B338,Database!$A:$AS,MATCH($E$1,Database!$A$1:$AS$1,),))))-(((VLOOKUP(EDATE(B338,-12),Database!$A:$AS,MATCH($E$1,Database!$A$1:$AS$1,),)))))/(((VLOOKUP(EDATE(B338,-12),Database!$A:$AS,MATCH($E$1,Database!$A$1:$AS$1,),))))</f>
        <v>6.0422960708035704E-3</v>
      </c>
      <c r="F338" s="13">
        <f>((((VLOOKUP(B338,Database!$A:$AS,MATCH($F$1,Database!$A$1:$AS$1,),))))-(((VLOOKUP(EDATE(B338,-12),Database!$A:$AS,MATCH($F$1,Database!$A$1:$AS$1,),)))))/(((VLOOKUP(EDATE(B338,-12),Database!$A:$AS,MATCH($F$1,Database!$A$1:$AS$1,),))))</f>
        <v>1.106639839061537E-2</v>
      </c>
      <c r="G338" s="13">
        <f>((((VLOOKUP(B338,Database!$A:$AS,MATCH($G$1,Database!$A$1:$AS$1,),))))-(((VLOOKUP(EDATE(B338,-12),Database!$A:$AS,MATCH($G$1,Database!$A$1:$AS$1,),)))))/(((VLOOKUP(EDATE(B338,-12),Database!$A:$AS,MATCH($G$1,Database!$A$1:$AS$1,),))))</f>
        <v>3.1034137551306665E-3</v>
      </c>
      <c r="H338" s="13">
        <f>((((VLOOKUP(B338,Database!$A:$AS,MATCH($H$1,Database!$A$1:$AS$1,),))))-(((VLOOKUP(EDATE(B338,-12),Database!$A:$AS,MATCH($H$1,Database!$A$1:$AS$1,),)))))/(((VLOOKUP(EDATE(B338,-12),Database!$A:$AS,MATCH($H$1,Database!$A$1:$AS$1,),))))</f>
        <v>0</v>
      </c>
      <c r="I338" s="13">
        <f>((((VLOOKUP(B338,Database!$A:$AS,MATCH($I$1,Database!$A$1:$AS$1,),))))-(((VLOOKUP(EDATE(B338,-12),Database!$A:$AS,MATCH($I$1,Database!$A$1:$AS$1,),)))))/(((VLOOKUP(EDATE(B338,-12),Database!$A:$AS,MATCH($I$1,Database!$A$1:$AS$1,),))))</f>
        <v>1.106639839061537E-2</v>
      </c>
      <c r="J338" s="13">
        <f>((((VLOOKUP(B338,Database!$A:$AS,MATCH($J$1,Database!$A$1:$AS$1,),))))-(((VLOOKUP(EDATE(B338,-12),Database!$A:$AS,MATCH($J$1,Database!$A$1:$AS$1,),)))))/(((VLOOKUP(EDATE(B338,-12),Database!$A:$AS,MATCH($J$1,Database!$A$1:$AS$1,),))))</f>
        <v>3.4071136641868345E-2</v>
      </c>
      <c r="K338" s="13">
        <f>((((VLOOKUP(B338,Database!$A:$AS,MATCH($K$1,Database!$A$1:$AS$1,),))))-(((VLOOKUP(EDATE(B338,-12),Database!$A:$AS,MATCH($K$1,Database!$A$1:$AS$1,),)))))/(((VLOOKUP(EDATE(B338,-12),Database!$A:$AS,MATCH($K$1,Database!$A$1:$AS$1,),))))</f>
        <v>5.3069719038159775E-2</v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>-8.9429507442073306E-4</v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>1.1044176706827396E-2</v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>4.9882067002916877E-2</v>
      </c>
      <c r="O338" s="13">
        <f>((((VLOOKUP(B338,Database!$A:$AS,MATCH($O$1,Database!$A$1:$AS$1,),))))-(((VLOOKUP(EDATE(B338,-12),Database!$A:$AS,MATCH($O$1,Database!$A$1:$AS$1,),)))))/(((VLOOKUP(EDATE(B338,-12),Database!$A:$AS,MATCH($O$1,Database!$A$1:$AS$1,),))))</f>
        <v>-1.3843622109000784E-2</v>
      </c>
      <c r="P338" s="13">
        <f>((((VLOOKUP(B338,Database!$A:$AS,MATCH($P$1,Database!$A$1:$AS$1,),))))-(((VLOOKUP(EDATE(B338,-12),Database!$A:$AS,MATCH($P$1,Database!$A$1:$AS$1,),)))))/(((VLOOKUP(EDATE(B338,-12),Database!$A:$AS,MATCH($P$1,Database!$A$1:$AS$1,),))))</f>
        <v>2.4316109425972621E-2</v>
      </c>
      <c r="Q338" s="13">
        <f>((((VLOOKUP(B338,Database!$A:$AS,MATCH($Q$1,Database!$A$1:$AS$1,),))))-(((VLOOKUP(EDATE(B338,-12),Database!$A:$AS,MATCH($Q$1,Database!$A$1:$AS$1,),)))))/(((VLOOKUP(EDATE(B338,-12),Database!$A:$AS,MATCH($Q$1,Database!$A$1:$AS$1,),))))</f>
        <v>-0.10000000000382414</v>
      </c>
      <c r="R338" s="13">
        <f>((((VLOOKUP(B338,Database!$A:$AS,MATCH($R$1,Database!$A$1:$AS$1,),))))-(((VLOOKUP(EDATE(B338,-12),Database!$A:$AS,MATCH($R$1,Database!$A$1:$AS$1,),)))))/(((VLOOKUP(EDATE(B338,-12),Database!$A:$AS,MATCH($R$1,Database!$A$1:$AS$1,),))))</f>
        <v>-1.8682399218919239E-2</v>
      </c>
      <c r="S338" s="13">
        <f>((((VLOOKUP(B338,Database!$A:$AS,MATCH($S$1,Database!$A$1:$AS$1,),))))-(((VLOOKUP(EDATE(B338,-12),Database!$A:$AS,MATCH($S$1,Database!$A$1:$AS$1,),)))))/(((VLOOKUP(EDATE(B338,-12),Database!$A:$AS,MATCH($S$1,Database!$A$1:$AS$1,),))))</f>
        <v>-0.17132551848231689</v>
      </c>
      <c r="T338" s="13">
        <f>((((VLOOKUP(B338,Database!$A:$AS,MATCH($T$1,Database!$A$1:$AS$1,),))))-(((VLOOKUP(EDATE(B338,-12),Database!$A:$AS,MATCH($T$1,Database!$A$1:$AS$1,),)))))/(((VLOOKUP(EDATE(B338,-12),Database!$A:$AS,MATCH($T$1,Database!$A$1:$AS$1,),))))</f>
        <v>3.5317860740223563E-2</v>
      </c>
      <c r="U338" s="13">
        <f>((((VLOOKUP(B338,Database!$A:$AS,MATCH($U$1,Database!$A$1:$AS$1,),))))-(((VLOOKUP(EDATE(B338,-12),Database!$A:$AS,MATCH($U$1,Database!$A$1:$AS$1,),)))))/(((VLOOKUP(EDATE(B338,-12),Database!$A:$AS,MATCH($U$1,Database!$A$1:$AS$1,),))))</f>
        <v>3.4170854273781456E-2</v>
      </c>
      <c r="V338" s="13">
        <f>((((VLOOKUP(B338,Database!$A:$AS,MATCH($V$1,Database!$A$1:$AS$1,),))))-(((VLOOKUP(EDATE(B338,-12),Database!$A:$AS,MATCH($V$1,Database!$A$1:$AS$1,),)))))/(((VLOOKUP(EDATE(B338,-12),Database!$A:$AS,MATCH($V$1,Database!$A$1:$AS$1,),))))</f>
        <v>3.9920159680637869E-3</v>
      </c>
    </row>
    <row r="339" spans="1:22" s="83" customFormat="1" x14ac:dyDescent="0.2">
      <c r="A339" s="43"/>
      <c r="B339" s="78">
        <v>42461</v>
      </c>
      <c r="C339" s="13">
        <f>((((VLOOKUP(B339,Database!$A:$AS,MATCH($C$1,Database!$A$1:$AS$1,),))))-(((VLOOKUP(EDATE(B339,-12),Database!$A:$AS,MATCH($C$1,Database!$A$1:$AS$1,),)))))/(((VLOOKUP(EDATE(B339,-12),Database!$A:$AS,MATCH($C$1,Database!$A$1:$AS$1,),))))</f>
        <v>-2.7828157723203177E-2</v>
      </c>
      <c r="D339" s="13">
        <f>((((VLOOKUP(B339,Database!$A:$AS,MATCH($D$1,Database!$A$1:$AS$1,),))))-(((VLOOKUP(EDATE(B339,-12),Database!$A:$AS,MATCH($D$1,Database!$A$1:$AS$1,),)))))/(((VLOOKUP(EDATE(B339,-12),Database!$A:$AS,MATCH($D$1,Database!$A$1:$AS$1,),))))</f>
        <v>1.7017017017016901E-2</v>
      </c>
      <c r="E339" s="13">
        <f>((((VLOOKUP(B339,Database!$A:$AS,MATCH($E$1,Database!$A$1:$AS$1,),))))-(((VLOOKUP(EDATE(B339,-12),Database!$A:$AS,MATCH($E$1,Database!$A$1:$AS$1,),)))))/(((VLOOKUP(EDATE(B339,-12),Database!$A:$AS,MATCH($E$1,Database!$A$1:$AS$1,),))))</f>
        <v>-5.015045137358027E-3</v>
      </c>
      <c r="F339" s="13">
        <f>((((VLOOKUP(B339,Database!$A:$AS,MATCH($F$1,Database!$A$1:$AS$1,),))))-(((VLOOKUP(EDATE(B339,-12),Database!$A:$AS,MATCH($F$1,Database!$A$1:$AS$1,),)))))/(((VLOOKUP(EDATE(B339,-12),Database!$A:$AS,MATCH($F$1,Database!$A$1:$AS$1,),))))</f>
        <v>1.3000000003070271E-2</v>
      </c>
      <c r="G339" s="13">
        <f>((((VLOOKUP(B339,Database!$A:$AS,MATCH($G$1,Database!$A$1:$AS$1,),))))-(((VLOOKUP(EDATE(B339,-12),Database!$A:$AS,MATCH($G$1,Database!$A$1:$AS$1,),)))))/(((VLOOKUP(EDATE(B339,-12),Database!$A:$AS,MATCH($G$1,Database!$A$1:$AS$1,),))))</f>
        <v>1.8209255533199076E-2</v>
      </c>
      <c r="H339" s="13">
        <f>((((VLOOKUP(B339,Database!$A:$AS,MATCH($H$1,Database!$A$1:$AS$1,),))))-(((VLOOKUP(EDATE(B339,-12),Database!$A:$AS,MATCH($H$1,Database!$A$1:$AS$1,),)))))/(((VLOOKUP(EDATE(B339,-12),Database!$A:$AS,MATCH($H$1,Database!$A$1:$AS$1,),))))</f>
        <v>2.7718550108110508E-2</v>
      </c>
      <c r="I339" s="13">
        <f>((((VLOOKUP(B339,Database!$A:$AS,MATCH($I$1,Database!$A$1:$AS$1,),))))-(((VLOOKUP(EDATE(B339,-12),Database!$A:$AS,MATCH($I$1,Database!$A$1:$AS$1,),)))))/(((VLOOKUP(EDATE(B339,-12),Database!$A:$AS,MATCH($I$1,Database!$A$1:$AS$1,),))))</f>
        <v>2.4072216653300237E-2</v>
      </c>
      <c r="J339" s="13">
        <f>((((VLOOKUP(B339,Database!$A:$AS,MATCH($J$1,Database!$A$1:$AS$1,),))))-(((VLOOKUP(EDATE(B339,-12),Database!$A:$AS,MATCH($J$1,Database!$A$1:$AS$1,),)))))/(((VLOOKUP(EDATE(B339,-12),Database!$A:$AS,MATCH($J$1,Database!$A$1:$AS$1,),))))</f>
        <v>3.1805875871626095E-2</v>
      </c>
      <c r="K339" s="13">
        <f>((((VLOOKUP(B339,Database!$A:$AS,MATCH($K$1,Database!$A$1:$AS$1,),))))-(((VLOOKUP(EDATE(B339,-12),Database!$A:$AS,MATCH($K$1,Database!$A$1:$AS$1,),)))))/(((VLOOKUP(EDATE(B339,-12),Database!$A:$AS,MATCH($K$1,Database!$A$1:$AS$1,),))))</f>
        <v>2.2571148188105704E-2</v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>-1.063283028307588E-2</v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>8.040201005025097E-3</v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>6.2347909674777081E-2</v>
      </c>
      <c r="O339" s="13">
        <f>((((VLOOKUP(B339,Database!$A:$AS,MATCH($O$1,Database!$A$1:$AS$1,),))))-(((VLOOKUP(EDATE(B339,-12),Database!$A:$AS,MATCH($O$1,Database!$A$1:$AS$1,),)))))/(((VLOOKUP(EDATE(B339,-12),Database!$A:$AS,MATCH($O$1,Database!$A$1:$AS$1,),))))</f>
        <v>-2.6597823105277605E-3</v>
      </c>
      <c r="P339" s="13">
        <f>((((VLOOKUP(B339,Database!$A:$AS,MATCH($P$1,Database!$A$1:$AS$1,),))))-(((VLOOKUP(EDATE(B339,-12),Database!$A:$AS,MATCH($P$1,Database!$A$1:$AS$1,),)))))/(((VLOOKUP(EDATE(B339,-12),Database!$A:$AS,MATCH($P$1,Database!$A$1:$AS$1,),))))</f>
        <v>2.0020019947668897E-3</v>
      </c>
      <c r="Q339" s="13">
        <f>((((VLOOKUP(B339,Database!$A:$AS,MATCH($Q$1,Database!$A$1:$AS$1,),))))-(((VLOOKUP(EDATE(B339,-12),Database!$A:$AS,MATCH($Q$1,Database!$A$1:$AS$1,),)))))/(((VLOOKUP(EDATE(B339,-12),Database!$A:$AS,MATCH($Q$1,Database!$A$1:$AS$1,),))))</f>
        <v>-8.1720430101583127E-2</v>
      </c>
      <c r="R339" s="13">
        <f>((((VLOOKUP(B339,Database!$A:$AS,MATCH($R$1,Database!$A$1:$AS$1,),))))-(((VLOOKUP(EDATE(B339,-12),Database!$A:$AS,MATCH($R$1,Database!$A$1:$AS$1,),)))))/(((VLOOKUP(EDATE(B339,-12),Database!$A:$AS,MATCH($R$1,Database!$A$1:$AS$1,),))))</f>
        <v>2.3833167826576119E-2</v>
      </c>
      <c r="S339" s="13">
        <f>((((VLOOKUP(B339,Database!$A:$AS,MATCH($S$1,Database!$A$1:$AS$1,),))))-(((VLOOKUP(EDATE(B339,-12),Database!$A:$AS,MATCH($S$1,Database!$A$1:$AS$1,),)))))/(((VLOOKUP(EDATE(B339,-12),Database!$A:$AS,MATCH($S$1,Database!$A$1:$AS$1,),))))</f>
        <v>-2.5150905435570903E-2</v>
      </c>
      <c r="T339" s="13">
        <f>((((VLOOKUP(B339,Database!$A:$AS,MATCH($T$1,Database!$A$1:$AS$1,),))))-(((VLOOKUP(EDATE(B339,-12),Database!$A:$AS,MATCH($T$1,Database!$A$1:$AS$1,),)))))/(((VLOOKUP(EDATE(B339,-12),Database!$A:$AS,MATCH($T$1,Database!$A$1:$AS$1,),))))</f>
        <v>3.420523138551599E-2</v>
      </c>
      <c r="U339" s="13">
        <f>((((VLOOKUP(B339,Database!$A:$AS,MATCH($U$1,Database!$A$1:$AS$1,),))))-(((VLOOKUP(EDATE(B339,-12),Database!$A:$AS,MATCH($U$1,Database!$A$1:$AS$1,),)))))/(((VLOOKUP(EDATE(B339,-12),Database!$A:$AS,MATCH($U$1,Database!$A$1:$AS$1,),))))</f>
        <v>2.3904382473572367E-2</v>
      </c>
      <c r="V339" s="13">
        <f>((((VLOOKUP(B339,Database!$A:$AS,MATCH($V$1,Database!$A$1:$AS$1,),))))-(((VLOOKUP(EDATE(B339,-12),Database!$A:$AS,MATCH($V$1,Database!$A$1:$AS$1,),)))))/(((VLOOKUP(EDATE(B339,-12),Database!$A:$AS,MATCH($V$1,Database!$A$1:$AS$1,),))))</f>
        <v>5.7201225740551524E-2</v>
      </c>
    </row>
    <row r="340" spans="1:22" s="83" customFormat="1" x14ac:dyDescent="0.2">
      <c r="A340" s="43"/>
      <c r="B340" s="78">
        <v>42491</v>
      </c>
      <c r="C340" s="13">
        <f>((((VLOOKUP(B340,Database!$A:$AS,MATCH($C$1,Database!$A$1:$AS$1,),))))-(((VLOOKUP(EDATE(B340,-12),Database!$A:$AS,MATCH($C$1,Database!$A$1:$AS$1,),)))))/(((VLOOKUP(EDATE(B340,-12),Database!$A:$AS,MATCH($C$1,Database!$A$1:$AS$1,),))))</f>
        <v>-2.5306225264191896E-2</v>
      </c>
      <c r="D340" s="13">
        <f>((((VLOOKUP(B340,Database!$A:$AS,MATCH($D$1,Database!$A$1:$AS$1,),))))-(((VLOOKUP(EDATE(B340,-12),Database!$A:$AS,MATCH($D$1,Database!$A$1:$AS$1,),)))))/(((VLOOKUP(EDATE(B340,-12),Database!$A:$AS,MATCH($D$1,Database!$A$1:$AS$1,),))))</f>
        <v>9.9800399201591138E-4</v>
      </c>
      <c r="E340" s="13">
        <f>((((VLOOKUP(B340,Database!$A:$AS,MATCH($E$1,Database!$A$1:$AS$1,),))))-(((VLOOKUP(EDATE(B340,-12),Database!$A:$AS,MATCH($E$1,Database!$A$1:$AS$1,),)))))/(((VLOOKUP(EDATE(B340,-12),Database!$A:$AS,MATCH($E$1,Database!$A$1:$AS$1,),))))</f>
        <v>-1.0030090274716198E-2</v>
      </c>
      <c r="F340" s="13">
        <f>((((VLOOKUP(B340,Database!$A:$AS,MATCH($F$1,Database!$A$1:$AS$1,),))))-(((VLOOKUP(EDATE(B340,-12),Database!$A:$AS,MATCH($F$1,Database!$A$1:$AS$1,),)))))/(((VLOOKUP(EDATE(B340,-12),Database!$A:$AS,MATCH($F$1,Database!$A$1:$AS$1,),))))</f>
        <v>-6.9930069877669468E-3</v>
      </c>
      <c r="G340" s="13">
        <f>((((VLOOKUP(B340,Database!$A:$AS,MATCH($G$1,Database!$A$1:$AS$1,),))))-(((VLOOKUP(EDATE(B340,-12),Database!$A:$AS,MATCH($G$1,Database!$A$1:$AS$1,),)))))/(((VLOOKUP(EDATE(B340,-12),Database!$A:$AS,MATCH($G$1,Database!$A$1:$AS$1,),))))</f>
        <v>-6.0872168446262798E-3</v>
      </c>
      <c r="H340" s="13">
        <f>((((VLOOKUP(B340,Database!$A:$AS,MATCH($H$1,Database!$A$1:$AS$1,),))))-(((VLOOKUP(EDATE(B340,-12),Database!$A:$AS,MATCH($H$1,Database!$A$1:$AS$1,),)))))/(((VLOOKUP(EDATE(B340,-12),Database!$A:$AS,MATCH($H$1,Database!$A$1:$AS$1,),))))</f>
        <v>1.072961373137935E-2</v>
      </c>
      <c r="I340" s="13">
        <f>((((VLOOKUP(B340,Database!$A:$AS,MATCH($I$1,Database!$A$1:$AS$1,),))))-(((VLOOKUP(EDATE(B340,-12),Database!$A:$AS,MATCH($I$1,Database!$A$1:$AS$1,),)))))/(((VLOOKUP(EDATE(B340,-12),Database!$A:$AS,MATCH($I$1,Database!$A$1:$AS$1,),))))</f>
        <v>0</v>
      </c>
      <c r="J340" s="13">
        <f>((((VLOOKUP(B340,Database!$A:$AS,MATCH($J$1,Database!$A$1:$AS$1,),))))-(((VLOOKUP(EDATE(B340,-12),Database!$A:$AS,MATCH($J$1,Database!$A$1:$AS$1,),)))))/(((VLOOKUP(EDATE(B340,-12),Database!$A:$AS,MATCH($J$1,Database!$A$1:$AS$1,),))))</f>
        <v>-4.9451965112908385E-3</v>
      </c>
      <c r="K340" s="13">
        <f>((((VLOOKUP(B340,Database!$A:$AS,MATCH($K$1,Database!$A$1:$AS$1,),))))-(((VLOOKUP(EDATE(B340,-12),Database!$A:$AS,MATCH($K$1,Database!$A$1:$AS$1,),)))))/(((VLOOKUP(EDATE(B340,-12),Database!$A:$AS,MATCH($K$1,Database!$A$1:$AS$1,),))))</f>
        <v>-4.9800796798861657E-3</v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>3.4350129673578061E-3</v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>2.9970029970031106E-3</v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>6.8203537178033971E-2</v>
      </c>
      <c r="O340" s="13">
        <f>((((VLOOKUP(B340,Database!$A:$AS,MATCH($O$1,Database!$A$1:$AS$1,),))))-(((VLOOKUP(EDATE(B340,-12),Database!$A:$AS,MATCH($O$1,Database!$A$1:$AS$1,),)))))/(((VLOOKUP(EDATE(B340,-12),Database!$A:$AS,MATCH($O$1,Database!$A$1:$AS$1,),))))</f>
        <v>-3.1881732134402242E-2</v>
      </c>
      <c r="P340" s="13">
        <f>((((VLOOKUP(B340,Database!$A:$AS,MATCH($P$1,Database!$A$1:$AS$1,),))))-(((VLOOKUP(EDATE(B340,-12),Database!$A:$AS,MATCH($P$1,Database!$A$1:$AS$1,),)))))/(((VLOOKUP(EDATE(B340,-12),Database!$A:$AS,MATCH($P$1,Database!$A$1:$AS$1,),))))</f>
        <v>5.3115423904497222E-2</v>
      </c>
      <c r="Q340" s="13">
        <f>((((VLOOKUP(B340,Database!$A:$AS,MATCH($Q$1,Database!$A$1:$AS$1,),))))-(((VLOOKUP(EDATE(B340,-12),Database!$A:$AS,MATCH($Q$1,Database!$A$1:$AS$1,),)))))/(((VLOOKUP(EDATE(B340,-12),Database!$A:$AS,MATCH($Q$1,Database!$A$1:$AS$1,),))))</f>
        <v>-6.9414316700960876E-2</v>
      </c>
      <c r="R340" s="13">
        <f>((((VLOOKUP(B340,Database!$A:$AS,MATCH($R$1,Database!$A$1:$AS$1,),))))-(((VLOOKUP(EDATE(B340,-12),Database!$A:$AS,MATCH($R$1,Database!$A$1:$AS$1,),)))))/(((VLOOKUP(EDATE(B340,-12),Database!$A:$AS,MATCH($R$1,Database!$A$1:$AS$1,),))))</f>
        <v>4.9896049898949218E-2</v>
      </c>
      <c r="S340" s="13">
        <f>((((VLOOKUP(B340,Database!$A:$AS,MATCH($S$1,Database!$A$1:$AS$1,),))))-(((VLOOKUP(EDATE(B340,-12),Database!$A:$AS,MATCH($S$1,Database!$A$1:$AS$1,),)))))/(((VLOOKUP(EDATE(B340,-12),Database!$A:$AS,MATCH($S$1,Database!$A$1:$AS$1,),))))</f>
        <v>9.9999999972011193E-4</v>
      </c>
      <c r="T340" s="13">
        <f>((((VLOOKUP(B340,Database!$A:$AS,MATCH($T$1,Database!$A$1:$AS$1,),))))-(((VLOOKUP(EDATE(B340,-12),Database!$A:$AS,MATCH($T$1,Database!$A$1:$AS$1,),)))))/(((VLOOKUP(EDATE(B340,-12),Database!$A:$AS,MATCH($T$1,Database!$A$1:$AS$1,),))))</f>
        <v>5.0251256281003E-2</v>
      </c>
      <c r="U340" s="13">
        <f>((((VLOOKUP(B340,Database!$A:$AS,MATCH($U$1,Database!$A$1:$AS$1,),))))-(((VLOOKUP(EDATE(B340,-12),Database!$A:$AS,MATCH($U$1,Database!$A$1:$AS$1,),)))))/(((VLOOKUP(EDATE(B340,-12),Database!$A:$AS,MATCH($U$1,Database!$A$1:$AS$1,),))))</f>
        <v>9.0270812438016899E-3</v>
      </c>
      <c r="V340" s="13">
        <f>((((VLOOKUP(B340,Database!$A:$AS,MATCH($V$1,Database!$A$1:$AS$1,),))))-(((VLOOKUP(EDATE(B340,-12),Database!$A:$AS,MATCH($V$1,Database!$A$1:$AS$1,),)))))/(((VLOOKUP(EDATE(B340,-12),Database!$A:$AS,MATCH($V$1,Database!$A$1:$AS$1,),))))</f>
        <v>3.1313131313131258E-2</v>
      </c>
    </row>
    <row r="341" spans="1:22" s="83" customFormat="1" x14ac:dyDescent="0.2">
      <c r="A341" s="43"/>
      <c r="B341" s="78">
        <v>42522</v>
      </c>
      <c r="C341" s="13">
        <f>((((VLOOKUP(B341,Database!$A:$AS,MATCH($C$1,Database!$A$1:$AS$1,),))))-(((VLOOKUP(EDATE(B341,-12),Database!$A:$AS,MATCH($C$1,Database!$A$1:$AS$1,),)))))/(((VLOOKUP(EDATE(B341,-12),Database!$A:$AS,MATCH($C$1,Database!$A$1:$AS$1,),))))</f>
        <v>-1.7772020265908621E-2</v>
      </c>
      <c r="D341" s="13">
        <f>((((VLOOKUP(B341,Database!$A:$AS,MATCH($D$1,Database!$A$1:$AS$1,),))))-(((VLOOKUP(EDATE(B341,-12),Database!$A:$AS,MATCH($D$1,Database!$A$1:$AS$1,),)))))/(((VLOOKUP(EDATE(B341,-12),Database!$A:$AS,MATCH($D$1,Database!$A$1:$AS$1,),))))</f>
        <v>5.970149253731287E-3</v>
      </c>
      <c r="E341" s="13">
        <f>((((VLOOKUP(B341,Database!$A:$AS,MATCH($E$1,Database!$A$1:$AS$1,),))))-(((VLOOKUP(EDATE(B341,-12),Database!$A:$AS,MATCH($E$1,Database!$A$1:$AS$1,),)))))/(((VLOOKUP(EDATE(B341,-12),Database!$A:$AS,MATCH($E$1,Database!$A$1:$AS$1,),))))</f>
        <v>-1.2935323386114471E-2</v>
      </c>
      <c r="F341" s="13">
        <f>((((VLOOKUP(B341,Database!$A:$AS,MATCH($F$1,Database!$A$1:$AS$1,),))))-(((VLOOKUP(EDATE(B341,-12),Database!$A:$AS,MATCH($F$1,Database!$A$1:$AS$1,),)))))/(((VLOOKUP(EDATE(B341,-12),Database!$A:$AS,MATCH($F$1,Database!$A$1:$AS$1,),))))</f>
        <v>1.5984015986311561E-2</v>
      </c>
      <c r="G341" s="13">
        <f>((((VLOOKUP(B341,Database!$A:$AS,MATCH($G$1,Database!$A$1:$AS$1,),))))-(((VLOOKUP(EDATE(B341,-12),Database!$A:$AS,MATCH($G$1,Database!$A$1:$AS$1,),)))))/(((VLOOKUP(EDATE(B341,-12),Database!$A:$AS,MATCH($G$1,Database!$A$1:$AS$1,),))))</f>
        <v>-9.0800239473158711E-3</v>
      </c>
      <c r="H341" s="13">
        <f>((((VLOOKUP(B341,Database!$A:$AS,MATCH($H$1,Database!$A$1:$AS$1,),))))-(((VLOOKUP(EDATE(B341,-12),Database!$A:$AS,MATCH($H$1,Database!$A$1:$AS$1,),)))))/(((VLOOKUP(EDATE(B341,-12),Database!$A:$AS,MATCH($H$1,Database!$A$1:$AS$1,),))))</f>
        <v>-7.5026795326330687E-3</v>
      </c>
      <c r="I341" s="13">
        <f>((((VLOOKUP(B341,Database!$A:$AS,MATCH($I$1,Database!$A$1:$AS$1,),))))-(((VLOOKUP(EDATE(B341,-12),Database!$A:$AS,MATCH($I$1,Database!$A$1:$AS$1,),)))))/(((VLOOKUP(EDATE(B341,-12),Database!$A:$AS,MATCH($I$1,Database!$A$1:$AS$1,),))))</f>
        <v>-6.999999994729467E-3</v>
      </c>
      <c r="J341" s="13">
        <f>((((VLOOKUP(B341,Database!$A:$AS,MATCH($J$1,Database!$A$1:$AS$1,),))))-(((VLOOKUP(EDATE(B341,-12),Database!$A:$AS,MATCH($J$1,Database!$A$1:$AS$1,),)))))/(((VLOOKUP(EDATE(B341,-12),Database!$A:$AS,MATCH($J$1,Database!$A$1:$AS$1,),))))</f>
        <v>-4.9365651314030963E-3</v>
      </c>
      <c r="K341" s="13">
        <f>((((VLOOKUP(B341,Database!$A:$AS,MATCH($K$1,Database!$A$1:$AS$1,),))))-(((VLOOKUP(EDATE(B341,-12),Database!$A:$AS,MATCH($K$1,Database!$A$1:$AS$1,),)))))/(((VLOOKUP(EDATE(B341,-12),Database!$A:$AS,MATCH($K$1,Database!$A$1:$AS$1,),))))</f>
        <v>-8.9820359256339161E-3</v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>9.4360270795835371E-4</v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>9.0180360721443462E-3</v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>8.1627107744880883E-2</v>
      </c>
      <c r="O341" s="13">
        <f>((((VLOOKUP(B341,Database!$A:$AS,MATCH($O$1,Database!$A$1:$AS$1,),))))-(((VLOOKUP(EDATE(B341,-12),Database!$A:$AS,MATCH($O$1,Database!$A$1:$AS$1,),)))))/(((VLOOKUP(EDATE(B341,-12),Database!$A:$AS,MATCH($O$1,Database!$A$1:$AS$1,),))))</f>
        <v>-1.4726038491873428E-2</v>
      </c>
      <c r="P341" s="13">
        <f>((((VLOOKUP(B341,Database!$A:$AS,MATCH($P$1,Database!$A$1:$AS$1,),))))-(((VLOOKUP(EDATE(B341,-12),Database!$A:$AS,MATCH($P$1,Database!$A$1:$AS$1,),)))))/(((VLOOKUP(EDATE(B341,-12),Database!$A:$AS,MATCH($P$1,Database!$A$1:$AS$1,),))))</f>
        <v>3.3999999997259826E-2</v>
      </c>
      <c r="Q341" s="13">
        <f>((((VLOOKUP(B341,Database!$A:$AS,MATCH($Q$1,Database!$A$1:$AS$1,),))))-(((VLOOKUP(EDATE(B341,-12),Database!$A:$AS,MATCH($Q$1,Database!$A$1:$AS$1,),)))))/(((VLOOKUP(EDATE(B341,-12),Database!$A:$AS,MATCH($Q$1,Database!$A$1:$AS$1,),))))</f>
        <v>-7.1193866370764761E-2</v>
      </c>
      <c r="R341" s="13">
        <f>((((VLOOKUP(B341,Database!$A:$AS,MATCH($R$1,Database!$A$1:$AS$1,),))))-(((VLOOKUP(EDATE(B341,-12),Database!$A:$AS,MATCH($R$1,Database!$A$1:$AS$1,),)))))/(((VLOOKUP(EDATE(B341,-12),Database!$A:$AS,MATCH($R$1,Database!$A$1:$AS$1,),))))</f>
        <v>7.0304302212783457E-2</v>
      </c>
      <c r="S341" s="13">
        <f>((((VLOOKUP(B341,Database!$A:$AS,MATCH($S$1,Database!$A$1:$AS$1,),))))-(((VLOOKUP(EDATE(B341,-12),Database!$A:$AS,MATCH($S$1,Database!$A$1:$AS$1,),)))))/(((VLOOKUP(EDATE(B341,-12),Database!$A:$AS,MATCH($S$1,Database!$A$1:$AS$1,),))))</f>
        <v>-1.449275362878895E-2</v>
      </c>
      <c r="T341" s="13">
        <f>((((VLOOKUP(B341,Database!$A:$AS,MATCH($T$1,Database!$A$1:$AS$1,),))))-(((VLOOKUP(EDATE(B341,-12),Database!$A:$AS,MATCH($T$1,Database!$A$1:$AS$1,),)))))/(((VLOOKUP(EDATE(B341,-12),Database!$A:$AS,MATCH($T$1,Database!$A$1:$AS$1,),))))</f>
        <v>3.5856573705377606E-2</v>
      </c>
      <c r="U341" s="13">
        <f>((((VLOOKUP(B341,Database!$A:$AS,MATCH($U$1,Database!$A$1:$AS$1,),))))-(((VLOOKUP(EDATE(B341,-12),Database!$A:$AS,MATCH($U$1,Database!$A$1:$AS$1,),)))))/(((VLOOKUP(EDATE(B341,-12),Database!$A:$AS,MATCH($U$1,Database!$A$1:$AS$1,),))))</f>
        <v>3.9880358918975178E-2</v>
      </c>
      <c r="V341" s="13">
        <f>((((VLOOKUP(B341,Database!$A:$AS,MATCH($V$1,Database!$A$1:$AS$1,),))))-(((VLOOKUP(EDATE(B341,-12),Database!$A:$AS,MATCH($V$1,Database!$A$1:$AS$1,),)))))/(((VLOOKUP(EDATE(B341,-12),Database!$A:$AS,MATCH($V$1,Database!$A$1:$AS$1,),))))</f>
        <v>3.7148594377510072E-2</v>
      </c>
    </row>
    <row r="342" spans="1:22" s="83" customFormat="1" x14ac:dyDescent="0.2">
      <c r="A342" s="43"/>
      <c r="B342" s="78">
        <v>42552</v>
      </c>
      <c r="C342" s="13">
        <f>((((VLOOKUP(B342,Database!$A:$AS,MATCH($C$1,Database!$A$1:$AS$1,),))))-(((VLOOKUP(EDATE(B342,-12),Database!$A:$AS,MATCH($C$1,Database!$A$1:$AS$1,),)))))/(((VLOOKUP(EDATE(B342,-12),Database!$A:$AS,MATCH($C$1,Database!$A$1:$AS$1,),))))</f>
        <v>-2.2571951244785882E-2</v>
      </c>
      <c r="D342" s="13">
        <f>((((VLOOKUP(B342,Database!$A:$AS,MATCH($D$1,Database!$A$1:$AS$1,),))))-(((VLOOKUP(EDATE(B342,-12),Database!$A:$AS,MATCH($D$1,Database!$A$1:$AS$1,),)))))/(((VLOOKUP(EDATE(B342,-12),Database!$A:$AS,MATCH($D$1,Database!$A$1:$AS$1,),))))</f>
        <v>9.9009900990093373E-4</v>
      </c>
      <c r="E342" s="13">
        <f>((((VLOOKUP(B342,Database!$A:$AS,MATCH($E$1,Database!$A$1:$AS$1,),))))-(((VLOOKUP(EDATE(B342,-12),Database!$A:$AS,MATCH($E$1,Database!$A$1:$AS$1,),)))))/(((VLOOKUP(EDATE(B342,-12),Database!$A:$AS,MATCH($E$1,Database!$A$1:$AS$1,),))))</f>
        <v>-6.9721115485663022E-3</v>
      </c>
      <c r="F342" s="13">
        <f>((((VLOOKUP(B342,Database!$A:$AS,MATCH($F$1,Database!$A$1:$AS$1,),))))-(((VLOOKUP(EDATE(B342,-12),Database!$A:$AS,MATCH($F$1,Database!$A$1:$AS$1,),)))))/(((VLOOKUP(EDATE(B342,-12),Database!$A:$AS,MATCH($F$1,Database!$A$1:$AS$1,),))))</f>
        <v>-1.4778325119124096E-2</v>
      </c>
      <c r="G342" s="13">
        <f>((((VLOOKUP(B342,Database!$A:$AS,MATCH($G$1,Database!$A$1:$AS$1,),))))-(((VLOOKUP(EDATE(B342,-12),Database!$A:$AS,MATCH($G$1,Database!$A$1:$AS$1,),)))))/(((VLOOKUP(EDATE(B342,-12),Database!$A:$AS,MATCH($G$1,Database!$A$1:$AS$1,),))))</f>
        <v>-1.1098779134295169E-3</v>
      </c>
      <c r="H342" s="13">
        <f>((((VLOOKUP(B342,Database!$A:$AS,MATCH($H$1,Database!$A$1:$AS$1,),))))-(((VLOOKUP(EDATE(B342,-12),Database!$A:$AS,MATCH($H$1,Database!$A$1:$AS$1,),)))))/(((VLOOKUP(EDATE(B342,-12),Database!$A:$AS,MATCH($H$1,Database!$A$1:$AS$1,),))))</f>
        <v>-4.3103448285796379E-3</v>
      </c>
      <c r="I342" s="13">
        <f>((((VLOOKUP(B342,Database!$A:$AS,MATCH($I$1,Database!$A$1:$AS$1,),))))-(((VLOOKUP(EDATE(B342,-12),Database!$A:$AS,MATCH($I$1,Database!$A$1:$AS$1,),)))))/(((VLOOKUP(EDATE(B342,-12),Database!$A:$AS,MATCH($I$1,Database!$A$1:$AS$1,),))))</f>
        <v>1.9801980126451756E-3</v>
      </c>
      <c r="J342" s="13">
        <f>((((VLOOKUP(B342,Database!$A:$AS,MATCH($J$1,Database!$A$1:$AS$1,),))))-(((VLOOKUP(EDATE(B342,-12),Database!$A:$AS,MATCH($J$1,Database!$A$1:$AS$1,),)))))/(((VLOOKUP(EDATE(B342,-12),Database!$A:$AS,MATCH($J$1,Database!$A$1:$AS$1,),))))</f>
        <v>-1.2158886546381038E-2</v>
      </c>
      <c r="K342" s="13">
        <f>((((VLOOKUP(B342,Database!$A:$AS,MATCH($K$1,Database!$A$1:$AS$1,),))))-(((VLOOKUP(EDATE(B342,-12),Database!$A:$AS,MATCH($K$1,Database!$A$1:$AS$1,),)))))/(((VLOOKUP(EDATE(B342,-12),Database!$A:$AS,MATCH($K$1,Database!$A$1:$AS$1,),))))</f>
        <v>3.6697247706515487E-2</v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>-5.7366086612682297E-4</v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>1.8981018981019039E-2</v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>5.1112299581704643E-2</v>
      </c>
      <c r="O342" s="13">
        <f>((((VLOOKUP(B342,Database!$A:$AS,MATCH($O$1,Database!$A$1:$AS$1,),))))-(((VLOOKUP(EDATE(B342,-12),Database!$A:$AS,MATCH($O$1,Database!$A$1:$AS$1,),)))))/(((VLOOKUP(EDATE(B342,-12),Database!$A:$AS,MATCH($O$1,Database!$A$1:$AS$1,),))))</f>
        <v>-3.5788639632028394E-3</v>
      </c>
      <c r="P342" s="13">
        <f>((((VLOOKUP(B342,Database!$A:$AS,MATCH($P$1,Database!$A$1:$AS$1,),))))-(((VLOOKUP(EDATE(B342,-12),Database!$A:$AS,MATCH($P$1,Database!$A$1:$AS$1,),)))))/(((VLOOKUP(EDATE(B342,-12),Database!$A:$AS,MATCH($P$1,Database!$A$1:$AS$1,),))))</f>
        <v>3.6437246963480836E-2</v>
      </c>
      <c r="Q342" s="13">
        <f>((((VLOOKUP(B342,Database!$A:$AS,MATCH($Q$1,Database!$A$1:$AS$1,),))))-(((VLOOKUP(EDATE(B342,-12),Database!$A:$AS,MATCH($Q$1,Database!$A$1:$AS$1,),)))))/(((VLOOKUP(EDATE(B342,-12),Database!$A:$AS,MATCH($Q$1,Database!$A$1:$AS$1,),))))</f>
        <v>-4.5758928567174791E-2</v>
      </c>
      <c r="R342" s="13">
        <f>((((VLOOKUP(B342,Database!$A:$AS,MATCH($R$1,Database!$A$1:$AS$1,),))))-(((VLOOKUP(EDATE(B342,-12),Database!$A:$AS,MATCH($R$1,Database!$A$1:$AS$1,),)))))/(((VLOOKUP(EDATE(B342,-12),Database!$A:$AS,MATCH($R$1,Database!$A$1:$AS$1,),))))</f>
        <v>5.8401639341245905E-2</v>
      </c>
      <c r="S342" s="13">
        <f>((((VLOOKUP(B342,Database!$A:$AS,MATCH($S$1,Database!$A$1:$AS$1,),))))-(((VLOOKUP(EDATE(B342,-12),Database!$A:$AS,MATCH($S$1,Database!$A$1:$AS$1,),)))))/(((VLOOKUP(EDATE(B342,-12),Database!$A:$AS,MATCH($S$1,Database!$A$1:$AS$1,),))))</f>
        <v>2.8712871289069585E-2</v>
      </c>
      <c r="T342" s="13">
        <f>((((VLOOKUP(B342,Database!$A:$AS,MATCH($T$1,Database!$A$1:$AS$1,),))))-(((VLOOKUP(EDATE(B342,-12),Database!$A:$AS,MATCH($T$1,Database!$A$1:$AS$1,),)))))/(((VLOOKUP(EDATE(B342,-12),Database!$A:$AS,MATCH($T$1,Database!$A$1:$AS$1,),))))</f>
        <v>-2.1042084162573204E-2</v>
      </c>
      <c r="U342" s="13">
        <f>((((VLOOKUP(B342,Database!$A:$AS,MATCH($U$1,Database!$A$1:$AS$1,),))))-(((VLOOKUP(EDATE(B342,-12),Database!$A:$AS,MATCH($U$1,Database!$A$1:$AS$1,),)))))/(((VLOOKUP(EDATE(B342,-12),Database!$A:$AS,MATCH($U$1,Database!$A$1:$AS$1,),))))</f>
        <v>-1.5488867369159092E-2</v>
      </c>
      <c r="V342" s="13">
        <f>((((VLOOKUP(B342,Database!$A:$AS,MATCH($V$1,Database!$A$1:$AS$1,),))))-(((VLOOKUP(EDATE(B342,-12),Database!$A:$AS,MATCH($V$1,Database!$A$1:$AS$1,),)))))/(((VLOOKUP(EDATE(B342,-12),Database!$A:$AS,MATCH($V$1,Database!$A$1:$AS$1,),))))</f>
        <v>1.4880952380952382E-2</v>
      </c>
    </row>
    <row r="343" spans="1:22" s="83" customFormat="1" x14ac:dyDescent="0.2">
      <c r="A343" s="43"/>
      <c r="B343" s="78">
        <v>42583</v>
      </c>
      <c r="C343" s="13">
        <f>((((VLOOKUP(B343,Database!$A:$AS,MATCH($C$1,Database!$A$1:$AS$1,),))))-(((VLOOKUP(EDATE(B343,-12),Database!$A:$AS,MATCH($C$1,Database!$A$1:$AS$1,),)))))/(((VLOOKUP(EDATE(B343,-12),Database!$A:$AS,MATCH($C$1,Database!$A$1:$AS$1,),))))</f>
        <v>-2.1668491691293184E-2</v>
      </c>
      <c r="D343" s="13">
        <f>((((VLOOKUP(B343,Database!$A:$AS,MATCH($D$1,Database!$A$1:$AS$1,),))))-(((VLOOKUP(EDATE(B343,-12),Database!$A:$AS,MATCH($D$1,Database!$A$1:$AS$1,),)))))/(((VLOOKUP(EDATE(B343,-12),Database!$A:$AS,MATCH($D$1,Database!$A$1:$AS$1,),))))</f>
        <v>1.4042126379137326E-2</v>
      </c>
      <c r="E343" s="13">
        <f>((((VLOOKUP(B343,Database!$A:$AS,MATCH($E$1,Database!$A$1:$AS$1,),))))-(((VLOOKUP(EDATE(B343,-12),Database!$A:$AS,MATCH($E$1,Database!$A$1:$AS$1,),)))))/(((VLOOKUP(EDATE(B343,-12),Database!$A:$AS,MATCH($E$1,Database!$A$1:$AS$1,),))))</f>
        <v>1.8218623476679321E-2</v>
      </c>
      <c r="F343" s="13">
        <f>((((VLOOKUP(B343,Database!$A:$AS,MATCH($F$1,Database!$A$1:$AS$1,),))))-(((VLOOKUP(EDATE(B343,-12),Database!$A:$AS,MATCH($F$1,Database!$A$1:$AS$1,),)))))/(((VLOOKUP(EDATE(B343,-12),Database!$A:$AS,MATCH($F$1,Database!$A$1:$AS$1,),))))</f>
        <v>2.9352226715801729E-2</v>
      </c>
      <c r="G343" s="13">
        <f>((((VLOOKUP(B343,Database!$A:$AS,MATCH($G$1,Database!$A$1:$AS$1,),))))-(((VLOOKUP(EDATE(B343,-12),Database!$A:$AS,MATCH($G$1,Database!$A$1:$AS$1,),)))))/(((VLOOKUP(EDATE(B343,-12),Database!$A:$AS,MATCH($G$1,Database!$A$1:$AS$1,),))))</f>
        <v>1.1321510870654198E-2</v>
      </c>
      <c r="H343" s="13">
        <f>((((VLOOKUP(B343,Database!$A:$AS,MATCH($H$1,Database!$A$1:$AS$1,),))))-(((VLOOKUP(EDATE(B343,-12),Database!$A:$AS,MATCH($H$1,Database!$A$1:$AS$1,),)))))/(((VLOOKUP(EDATE(B343,-12),Database!$A:$AS,MATCH($H$1,Database!$A$1:$AS$1,),))))</f>
        <v>-1.6077170414257248E-2</v>
      </c>
      <c r="I343" s="13">
        <f>((((VLOOKUP(B343,Database!$A:$AS,MATCH($I$1,Database!$A$1:$AS$1,),))))-(((VLOOKUP(EDATE(B343,-12),Database!$A:$AS,MATCH($I$1,Database!$A$1:$AS$1,),)))))/(((VLOOKUP(EDATE(B343,-12),Database!$A:$AS,MATCH($I$1,Database!$A$1:$AS$1,),))))</f>
        <v>3.3400809717367662E-2</v>
      </c>
      <c r="J343" s="13">
        <f>((((VLOOKUP(B343,Database!$A:$AS,MATCH($J$1,Database!$A$1:$AS$1,),))))-(((VLOOKUP(EDATE(B343,-12),Database!$A:$AS,MATCH($J$1,Database!$A$1:$AS$1,),)))))/(((VLOOKUP(EDATE(B343,-12),Database!$A:$AS,MATCH($J$1,Database!$A$1:$AS$1,),))))</f>
        <v>2.9279822974921169E-2</v>
      </c>
      <c r="K343" s="13">
        <f>((((VLOOKUP(B343,Database!$A:$AS,MATCH($K$1,Database!$A$1:$AS$1,),))))-(((VLOOKUP(EDATE(B343,-12),Database!$A:$AS,MATCH($K$1,Database!$A$1:$AS$1,),)))))/(((VLOOKUP(EDATE(B343,-12),Database!$A:$AS,MATCH($K$1,Database!$A$1:$AS$1,),))))</f>
        <v>-4.7342995175140117E-2</v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>-8.0714059503300545E-3</v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>6.937561942517231E-3</v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>3.2679749485833159E-2</v>
      </c>
      <c r="O343" s="13">
        <f>((((VLOOKUP(B343,Database!$A:$AS,MATCH($O$1,Database!$A$1:$AS$1,),))))-(((VLOOKUP(EDATE(B343,-12),Database!$A:$AS,MATCH($O$1,Database!$A$1:$AS$1,),)))))/(((VLOOKUP(EDATE(B343,-12),Database!$A:$AS,MATCH($O$1,Database!$A$1:$AS$1,),))))</f>
        <v>-1.0248100838726671E-2</v>
      </c>
      <c r="P343" s="13">
        <f>((((VLOOKUP(B343,Database!$A:$AS,MATCH($P$1,Database!$A$1:$AS$1,),))))-(((VLOOKUP(EDATE(B343,-12),Database!$A:$AS,MATCH($P$1,Database!$A$1:$AS$1,),)))))/(((VLOOKUP(EDATE(B343,-12),Database!$A:$AS,MATCH($P$1,Database!$A$1:$AS$1,),))))</f>
        <v>-4.9067713463624525E-3</v>
      </c>
      <c r="Q343" s="13">
        <f>((((VLOOKUP(B343,Database!$A:$AS,MATCH($Q$1,Database!$A$1:$AS$1,),))))-(((VLOOKUP(EDATE(B343,-12),Database!$A:$AS,MATCH($Q$1,Database!$A$1:$AS$1,),)))))/(((VLOOKUP(EDATE(B343,-12),Database!$A:$AS,MATCH($Q$1,Database!$A$1:$AS$1,),))))</f>
        <v>-7.5304540420752769E-2</v>
      </c>
      <c r="R343" s="13">
        <f>((((VLOOKUP(B343,Database!$A:$AS,MATCH($R$1,Database!$A$1:$AS$1,),))))-(((VLOOKUP(EDATE(B343,-12),Database!$A:$AS,MATCH($R$1,Database!$A$1:$AS$1,),)))))/(((VLOOKUP(EDATE(B343,-12),Database!$A:$AS,MATCH($R$1,Database!$A$1:$AS$1,),))))</f>
        <v>2.3762376238938836E-2</v>
      </c>
      <c r="S343" s="13">
        <f>((((VLOOKUP(B343,Database!$A:$AS,MATCH($S$1,Database!$A$1:$AS$1,),))))-(((VLOOKUP(EDATE(B343,-12),Database!$A:$AS,MATCH($S$1,Database!$A$1:$AS$1,),)))))/(((VLOOKUP(EDATE(B343,-12),Database!$A:$AS,MATCH($S$1,Database!$A$1:$AS$1,),))))</f>
        <v>-0.18989710009638039</v>
      </c>
      <c r="T343" s="13">
        <f>((((VLOOKUP(B343,Database!$A:$AS,MATCH($T$1,Database!$A$1:$AS$1,),))))-(((VLOOKUP(EDATE(B343,-12),Database!$A:$AS,MATCH($T$1,Database!$A$1:$AS$1,),)))))/(((VLOOKUP(EDATE(B343,-12),Database!$A:$AS,MATCH($T$1,Database!$A$1:$AS$1,),))))</f>
        <v>2.3391812868860253E-2</v>
      </c>
      <c r="U343" s="13">
        <f>((((VLOOKUP(B343,Database!$A:$AS,MATCH($U$1,Database!$A$1:$AS$1,),))))-(((VLOOKUP(EDATE(B343,-12),Database!$A:$AS,MATCH($U$1,Database!$A$1:$AS$1,),)))))/(((VLOOKUP(EDATE(B343,-12),Database!$A:$AS,MATCH($U$1,Database!$A$1:$AS$1,),))))</f>
        <v>3.4825870648103024E-2</v>
      </c>
      <c r="V343" s="13">
        <f>((((VLOOKUP(B343,Database!$A:$AS,MATCH($V$1,Database!$A$1:$AS$1,),))))-(((VLOOKUP(EDATE(B343,-12),Database!$A:$AS,MATCH($V$1,Database!$A$1:$AS$1,),)))))/(((VLOOKUP(EDATE(B343,-12),Database!$A:$AS,MATCH($V$1,Database!$A$1:$AS$1,),))))</f>
        <v>5.2738336713995977E-2</v>
      </c>
    </row>
    <row r="344" spans="1:22" s="83" customFormat="1" x14ac:dyDescent="0.2">
      <c r="A344" s="43"/>
      <c r="B344" s="78">
        <v>42614</v>
      </c>
      <c r="C344" s="13">
        <f>((((VLOOKUP(B344,Database!$A:$AS,MATCH($C$1,Database!$A$1:$AS$1,),))))-(((VLOOKUP(EDATE(B344,-12),Database!$A:$AS,MATCH($C$1,Database!$A$1:$AS$1,),)))))/(((VLOOKUP(EDATE(B344,-12),Database!$A:$AS,MATCH($C$1,Database!$A$1:$AS$1,),))))</f>
        <v>-1.9509187811032506E-2</v>
      </c>
      <c r="D344" s="13">
        <f>((((VLOOKUP(B344,Database!$A:$AS,MATCH($D$1,Database!$A$1:$AS$1,),))))-(((VLOOKUP(EDATE(B344,-12),Database!$A:$AS,MATCH($D$1,Database!$A$1:$AS$1,),)))))/(((VLOOKUP(EDATE(B344,-12),Database!$A:$AS,MATCH($D$1,Database!$A$1:$AS$1,),))))</f>
        <v>1.1976047904191645E-2</v>
      </c>
      <c r="E344" s="13">
        <f>((((VLOOKUP(B344,Database!$A:$AS,MATCH($E$1,Database!$A$1:$AS$1,),))))-(((VLOOKUP(EDATE(B344,-12),Database!$A:$AS,MATCH($E$1,Database!$A$1:$AS$1,),)))))/(((VLOOKUP(EDATE(B344,-12),Database!$A:$AS,MATCH($E$1,Database!$A$1:$AS$1,),))))</f>
        <v>4.9751243800402129E-3</v>
      </c>
      <c r="F344" s="13">
        <f>((((VLOOKUP(B344,Database!$A:$AS,MATCH($F$1,Database!$A$1:$AS$1,),))))-(((VLOOKUP(EDATE(B344,-12),Database!$A:$AS,MATCH($F$1,Database!$A$1:$AS$1,),)))))/(((VLOOKUP(EDATE(B344,-12),Database!$A:$AS,MATCH($F$1,Database!$A$1:$AS$1,),))))</f>
        <v>2.3185483867939113E-2</v>
      </c>
      <c r="G344" s="13">
        <f>((((VLOOKUP(B344,Database!$A:$AS,MATCH($G$1,Database!$A$1:$AS$1,),))))-(((VLOOKUP(EDATE(B344,-12),Database!$A:$AS,MATCH($G$1,Database!$A$1:$AS$1,),)))))/(((VLOOKUP(EDATE(B344,-12),Database!$A:$AS,MATCH($G$1,Database!$A$1:$AS$1,),))))</f>
        <v>-1.1561264822134404E-2</v>
      </c>
      <c r="H344" s="13">
        <f>((((VLOOKUP(B344,Database!$A:$AS,MATCH($H$1,Database!$A$1:$AS$1,),))))-(((VLOOKUP(EDATE(B344,-12),Database!$A:$AS,MATCH($H$1,Database!$A$1:$AS$1,),)))))/(((VLOOKUP(EDATE(B344,-12),Database!$A:$AS,MATCH($H$1,Database!$A$1:$AS$1,),))))</f>
        <v>-1.0787486523118759E-2</v>
      </c>
      <c r="I344" s="13">
        <f>((((VLOOKUP(B344,Database!$A:$AS,MATCH($I$1,Database!$A$1:$AS$1,),))))-(((VLOOKUP(EDATE(B344,-12),Database!$A:$AS,MATCH($I$1,Database!$A$1:$AS$1,),)))))/(((VLOOKUP(EDATE(B344,-12),Database!$A:$AS,MATCH($I$1,Database!$A$1:$AS$1,),))))</f>
        <v>2.204408817699538E-2</v>
      </c>
      <c r="J344" s="13">
        <f>((((VLOOKUP(B344,Database!$A:$AS,MATCH($J$1,Database!$A$1:$AS$1,),))))-(((VLOOKUP(EDATE(B344,-12),Database!$A:$AS,MATCH($J$1,Database!$A$1:$AS$1,),)))))/(((VLOOKUP(EDATE(B344,-12),Database!$A:$AS,MATCH($J$1,Database!$A$1:$AS$1,),))))</f>
        <v>4.9981232376512044E-3</v>
      </c>
      <c r="K344" s="13">
        <f>((((VLOOKUP(B344,Database!$A:$AS,MATCH($K$1,Database!$A$1:$AS$1,),))))-(((VLOOKUP(EDATE(B344,-12),Database!$A:$AS,MATCH($K$1,Database!$A$1:$AS$1,),)))))/(((VLOOKUP(EDATE(B344,-12),Database!$A:$AS,MATCH($K$1,Database!$A$1:$AS$1,),))))</f>
        <v>2.5218234716476575E-2</v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>-1.3102231444283505E-2</v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>2.4048096192384828E-2</v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>4.8585253197423572E-2</v>
      </c>
      <c r="O344" s="13">
        <f>((((VLOOKUP(B344,Database!$A:$AS,MATCH($O$1,Database!$A$1:$AS$1,),))))-(((VLOOKUP(EDATE(B344,-12),Database!$A:$AS,MATCH($O$1,Database!$A$1:$AS$1,),)))))/(((VLOOKUP(EDATE(B344,-12),Database!$A:$AS,MATCH($O$1,Database!$A$1:$AS$1,),))))</f>
        <v>2.3100882279327769E-2</v>
      </c>
      <c r="P344" s="13">
        <f>((((VLOOKUP(B344,Database!$A:$AS,MATCH($P$1,Database!$A$1:$AS$1,),))))-(((VLOOKUP(EDATE(B344,-12),Database!$A:$AS,MATCH($P$1,Database!$A$1:$AS$1,),)))))/(((VLOOKUP(EDATE(B344,-12),Database!$A:$AS,MATCH($P$1,Database!$A$1:$AS$1,),))))</f>
        <v>-1.0689990282053724E-2</v>
      </c>
      <c r="Q344" s="13">
        <f>((((VLOOKUP(B344,Database!$A:$AS,MATCH($Q$1,Database!$A$1:$AS$1,),))))-(((VLOOKUP(EDATE(B344,-12),Database!$A:$AS,MATCH($Q$1,Database!$A$1:$AS$1,),)))))/(((VLOOKUP(EDATE(B344,-12),Database!$A:$AS,MATCH($Q$1,Database!$A$1:$AS$1,),))))</f>
        <v>-4.1950113382444178E-2</v>
      </c>
      <c r="R344" s="13">
        <f>((((VLOOKUP(B344,Database!$A:$AS,MATCH($R$1,Database!$A$1:$AS$1,),))))-(((VLOOKUP(EDATE(B344,-12),Database!$A:$AS,MATCH($R$1,Database!$A$1:$AS$1,),)))))/(((VLOOKUP(EDATE(B344,-12),Database!$A:$AS,MATCH($R$1,Database!$A$1:$AS$1,),))))</f>
        <v>1.1928429419126311E-2</v>
      </c>
      <c r="S344" s="13">
        <f>((((VLOOKUP(B344,Database!$A:$AS,MATCH($S$1,Database!$A$1:$AS$1,),))))-(((VLOOKUP(EDATE(B344,-12),Database!$A:$AS,MATCH($S$1,Database!$A$1:$AS$1,),)))))/(((VLOOKUP(EDATE(B344,-12),Database!$A:$AS,MATCH($S$1,Database!$A$1:$AS$1,),))))</f>
        <v>-2.4217961658142013E-2</v>
      </c>
      <c r="T344" s="13">
        <f>((((VLOOKUP(B344,Database!$A:$AS,MATCH($T$1,Database!$A$1:$AS$1,),))))-(((VLOOKUP(EDATE(B344,-12),Database!$A:$AS,MATCH($T$1,Database!$A$1:$AS$1,),)))))/(((VLOOKUP(EDATE(B344,-12),Database!$A:$AS,MATCH($T$1,Database!$A$1:$AS$1,),))))</f>
        <v>-6.8159688458744802E-3</v>
      </c>
      <c r="U344" s="13">
        <f>((((VLOOKUP(B344,Database!$A:$AS,MATCH($U$1,Database!$A$1:$AS$1,),))))-(((VLOOKUP(EDATE(B344,-12),Database!$A:$AS,MATCH($U$1,Database!$A$1:$AS$1,),)))))/(((VLOOKUP(EDATE(B344,-12),Database!$A:$AS,MATCH($U$1,Database!$A$1:$AS$1,),))))</f>
        <v>2.8971028968872995E-2</v>
      </c>
      <c r="V344" s="13">
        <f>((((VLOOKUP(B344,Database!$A:$AS,MATCH($V$1,Database!$A$1:$AS$1,),))))-(((VLOOKUP(EDATE(B344,-12),Database!$A:$AS,MATCH($V$1,Database!$A$1:$AS$1,),)))))/(((VLOOKUP(EDATE(B344,-12),Database!$A:$AS,MATCH($V$1,Database!$A$1:$AS$1,),))))</f>
        <v>3.3763654419066445E-2</v>
      </c>
    </row>
    <row r="345" spans="1:22" s="83" customFormat="1" x14ac:dyDescent="0.2">
      <c r="A345" s="43"/>
      <c r="B345" s="78">
        <v>42644</v>
      </c>
      <c r="C345" s="13">
        <f>((((VLOOKUP(B345,Database!$A:$AS,MATCH($C$1,Database!$A$1:$AS$1,),))))-(((VLOOKUP(EDATE(B345,-12),Database!$A:$AS,MATCH($C$1,Database!$A$1:$AS$1,),)))))/(((VLOOKUP(EDATE(B345,-12),Database!$A:$AS,MATCH($C$1,Database!$A$1:$AS$1,),))))</f>
        <v>-1.4861400090404429E-2</v>
      </c>
      <c r="D345" s="13">
        <f>((((VLOOKUP(B345,Database!$A:$AS,MATCH($D$1,Database!$A$1:$AS$1,),))))-(((VLOOKUP(EDATE(B345,-12),Database!$A:$AS,MATCH($D$1,Database!$A$1:$AS$1,),)))))/(((VLOOKUP(EDATE(B345,-12),Database!$A:$AS,MATCH($D$1,Database!$A$1:$AS$1,),))))</f>
        <v>2.19341974077767E-2</v>
      </c>
      <c r="E345" s="13">
        <f>((((VLOOKUP(B345,Database!$A:$AS,MATCH($E$1,Database!$A$1:$AS$1,),))))-(((VLOOKUP(EDATE(B345,-12),Database!$A:$AS,MATCH($E$1,Database!$A$1:$AS$1,),)))))/(((VLOOKUP(EDATE(B345,-12),Database!$A:$AS,MATCH($E$1,Database!$A$1:$AS$1,),))))</f>
        <v>4.9701789283880388E-3</v>
      </c>
      <c r="F345" s="13">
        <f>((((VLOOKUP(B345,Database!$A:$AS,MATCH($F$1,Database!$A$1:$AS$1,),))))-(((VLOOKUP(EDATE(B345,-12),Database!$A:$AS,MATCH($F$1,Database!$A$1:$AS$1,),)))))/(((VLOOKUP(EDATE(B345,-12),Database!$A:$AS,MATCH($F$1,Database!$A$1:$AS$1,),))))</f>
        <v>1.8962075849658169E-2</v>
      </c>
      <c r="G345" s="13">
        <f>((((VLOOKUP(B345,Database!$A:$AS,MATCH($G$1,Database!$A$1:$AS$1,),))))-(((VLOOKUP(EDATE(B345,-12),Database!$A:$AS,MATCH($G$1,Database!$A$1:$AS$1,),)))))/(((VLOOKUP(EDATE(B345,-12),Database!$A:$AS,MATCH($G$1,Database!$A$1:$AS$1,),))))</f>
        <v>-1.9306540583136265E-2</v>
      </c>
      <c r="H345" s="13">
        <f>((((VLOOKUP(B345,Database!$A:$AS,MATCH($H$1,Database!$A$1:$AS$1,),))))-(((VLOOKUP(EDATE(B345,-12),Database!$A:$AS,MATCH($H$1,Database!$A$1:$AS$1,),)))))/(((VLOOKUP(EDATE(B345,-12),Database!$A:$AS,MATCH($H$1,Database!$A$1:$AS$1,),))))</f>
        <v>-2.4757804088674444E-2</v>
      </c>
      <c r="I345" s="13">
        <f>((((VLOOKUP(B345,Database!$A:$AS,MATCH($I$1,Database!$A$1:$AS$1,),))))-(((VLOOKUP(EDATE(B345,-12),Database!$A:$AS,MATCH($I$1,Database!$A$1:$AS$1,),)))))/(((VLOOKUP(EDATE(B345,-12),Database!$A:$AS,MATCH($I$1,Database!$A$1:$AS$1,),))))</f>
        <v>2.502502502468433E-2</v>
      </c>
      <c r="J345" s="13">
        <f>((((VLOOKUP(B345,Database!$A:$AS,MATCH($J$1,Database!$A$1:$AS$1,),))))-(((VLOOKUP(EDATE(B345,-12),Database!$A:$AS,MATCH($J$1,Database!$A$1:$AS$1,),)))))/(((VLOOKUP(EDATE(B345,-12),Database!$A:$AS,MATCH($J$1,Database!$A$1:$AS$1,),))))</f>
        <v>1.1594461634465333E-2</v>
      </c>
      <c r="K345" s="13">
        <f>((((VLOOKUP(B345,Database!$A:$AS,MATCH($K$1,Database!$A$1:$AS$1,),))))-(((VLOOKUP(EDATE(B345,-12),Database!$A:$AS,MATCH($K$1,Database!$A$1:$AS$1,),)))))/(((VLOOKUP(EDATE(B345,-12),Database!$A:$AS,MATCH($K$1,Database!$A$1:$AS$1,),))))</f>
        <v>-6.8292683005062747E-3</v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>-2.8139207402192406E-3</v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>3.6852589641434147E-2</v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>4.6793968163779814E-2</v>
      </c>
      <c r="O345" s="13">
        <f>((((VLOOKUP(B345,Database!$A:$AS,MATCH($O$1,Database!$A$1:$AS$1,),))))-(((VLOOKUP(EDATE(B345,-12),Database!$A:$AS,MATCH($O$1,Database!$A$1:$AS$1,),)))))/(((VLOOKUP(EDATE(B345,-12),Database!$A:$AS,MATCH($O$1,Database!$A$1:$AS$1,),))))</f>
        <v>1.9942252583795405E-2</v>
      </c>
      <c r="P345" s="13">
        <f>((((VLOOKUP(B345,Database!$A:$AS,MATCH($P$1,Database!$A$1:$AS$1,),))))-(((VLOOKUP(EDATE(B345,-12),Database!$A:$AS,MATCH($P$1,Database!$A$1:$AS$1,),)))))/(((VLOOKUP(EDATE(B345,-12),Database!$A:$AS,MATCH($P$1,Database!$A$1:$AS$1,),))))</f>
        <v>-8.875739642519212E-3</v>
      </c>
      <c r="Q345" s="13">
        <f>((((VLOOKUP(B345,Database!$A:$AS,MATCH($Q$1,Database!$A$1:$AS$1,),))))-(((VLOOKUP(EDATE(B345,-12),Database!$A:$AS,MATCH($Q$1,Database!$A$1:$AS$1,),)))))/(((VLOOKUP(EDATE(B345,-12),Database!$A:$AS,MATCH($Q$1,Database!$A$1:$AS$1,),))))</f>
        <v>-5.3409090902206323E-2</v>
      </c>
      <c r="R345" s="13">
        <f>((((VLOOKUP(B345,Database!$A:$AS,MATCH($R$1,Database!$A$1:$AS$1,),))))-(((VLOOKUP(EDATE(B345,-12),Database!$A:$AS,MATCH($R$1,Database!$A$1:$AS$1,),)))))/(((VLOOKUP(EDATE(B345,-12),Database!$A:$AS,MATCH($R$1,Database!$A$1:$AS$1,),))))</f>
        <v>5.9177532599143032E-2</v>
      </c>
      <c r="S345" s="13">
        <f>((((VLOOKUP(B345,Database!$A:$AS,MATCH($S$1,Database!$A$1:$AS$1,),))))-(((VLOOKUP(EDATE(B345,-12),Database!$A:$AS,MATCH($S$1,Database!$A$1:$AS$1,),)))))/(((VLOOKUP(EDATE(B345,-12),Database!$A:$AS,MATCH($S$1,Database!$A$1:$AS$1,),))))</f>
        <v>0.18776824034461398</v>
      </c>
      <c r="T345" s="13">
        <f>((((VLOOKUP(B345,Database!$A:$AS,MATCH($T$1,Database!$A$1:$AS$1,),))))-(((VLOOKUP(EDATE(B345,-12),Database!$A:$AS,MATCH($T$1,Database!$A$1:$AS$1,),)))))/(((VLOOKUP(EDATE(B345,-12),Database!$A:$AS,MATCH($T$1,Database!$A$1:$AS$1,),))))</f>
        <v>6.1814556337220238E-2</v>
      </c>
      <c r="U345" s="13">
        <f>((((VLOOKUP(B345,Database!$A:$AS,MATCH($U$1,Database!$A$1:$AS$1,),))))-(((VLOOKUP(EDATE(B345,-12),Database!$A:$AS,MATCH($U$1,Database!$A$1:$AS$1,),)))))/(((VLOOKUP(EDATE(B345,-12),Database!$A:$AS,MATCH($U$1,Database!$A$1:$AS$1,),))))</f>
        <v>1.5655577301672743E-2</v>
      </c>
      <c r="V345" s="13">
        <f>((((VLOOKUP(B345,Database!$A:$AS,MATCH($V$1,Database!$A$1:$AS$1,),))))-(((VLOOKUP(EDATE(B345,-12),Database!$A:$AS,MATCH($V$1,Database!$A$1:$AS$1,),)))))/(((VLOOKUP(EDATE(B345,-12),Database!$A:$AS,MATCH($V$1,Database!$A$1:$AS$1,),))))</f>
        <v>1.0837438423645264E-2</v>
      </c>
    </row>
    <row r="346" spans="1:22" s="83" customFormat="1" x14ac:dyDescent="0.2">
      <c r="A346" s="43"/>
      <c r="B346" s="78">
        <v>42675</v>
      </c>
      <c r="C346" s="13">
        <f>((((VLOOKUP(B346,Database!$A:$AS,MATCH($C$1,Database!$A$1:$AS$1,),))))-(((VLOOKUP(EDATE(B346,-12),Database!$A:$AS,MATCH($C$1,Database!$A$1:$AS$1,),)))))/(((VLOOKUP(EDATE(B346,-12),Database!$A:$AS,MATCH($C$1,Database!$A$1:$AS$1,),))))</f>
        <v>-1.1881110428568929E-2</v>
      </c>
      <c r="D346" s="13">
        <f>((((VLOOKUP(B346,Database!$A:$AS,MATCH($D$1,Database!$A$1:$AS$1,),))))-(((VLOOKUP(EDATE(B346,-12),Database!$A:$AS,MATCH($D$1,Database!$A$1:$AS$1,),)))))/(((VLOOKUP(EDATE(B346,-12),Database!$A:$AS,MATCH($D$1,Database!$A$1:$AS$1,),))))</f>
        <v>3.0060120240480964E-2</v>
      </c>
      <c r="E346" s="13">
        <f>((((VLOOKUP(B346,Database!$A:$AS,MATCH($E$1,Database!$A$1:$AS$1,),))))-(((VLOOKUP(EDATE(B346,-12),Database!$A:$AS,MATCH($E$1,Database!$A$1:$AS$1,),)))))/(((VLOOKUP(EDATE(B346,-12),Database!$A:$AS,MATCH($E$1,Database!$A$1:$AS$1,),))))</f>
        <v>2.1000000004190424E-2</v>
      </c>
      <c r="F346" s="13">
        <f>((((VLOOKUP(B346,Database!$A:$AS,MATCH($F$1,Database!$A$1:$AS$1,),))))-(((VLOOKUP(EDATE(B346,-12),Database!$A:$AS,MATCH($F$1,Database!$A$1:$AS$1,),)))))/(((VLOOKUP(EDATE(B346,-12),Database!$A:$AS,MATCH($F$1,Database!$A$1:$AS$1,),))))</f>
        <v>2.6209677425574347E-2</v>
      </c>
      <c r="G346" s="13">
        <f>((((VLOOKUP(B346,Database!$A:$AS,MATCH($G$1,Database!$A$1:$AS$1,),))))-(((VLOOKUP(EDATE(B346,-12),Database!$A:$AS,MATCH($G$1,Database!$A$1:$AS$1,),)))))/(((VLOOKUP(EDATE(B346,-12),Database!$A:$AS,MATCH($G$1,Database!$A$1:$AS$1,),))))</f>
        <v>2.9707955689828831E-2</v>
      </c>
      <c r="H346" s="13">
        <f>((((VLOOKUP(B346,Database!$A:$AS,MATCH($H$1,Database!$A$1:$AS$1,),))))-(((VLOOKUP(EDATE(B346,-12),Database!$A:$AS,MATCH($H$1,Database!$A$1:$AS$1,),)))))/(((VLOOKUP(EDATE(B346,-12),Database!$A:$AS,MATCH($H$1,Database!$A$1:$AS$1,),))))</f>
        <v>-4.3572984759385142E-3</v>
      </c>
      <c r="I346" s="13">
        <f>((((VLOOKUP(B346,Database!$A:$AS,MATCH($I$1,Database!$A$1:$AS$1,),))))-(((VLOOKUP(EDATE(B346,-12),Database!$A:$AS,MATCH($I$1,Database!$A$1:$AS$1,),)))))/(((VLOOKUP(EDATE(B346,-12),Database!$A:$AS,MATCH($I$1,Database!$A$1:$AS$1,),))))</f>
        <v>2.7833001987043835E-2</v>
      </c>
      <c r="J346" s="13">
        <f>((((VLOOKUP(B346,Database!$A:$AS,MATCH($J$1,Database!$A$1:$AS$1,),))))-(((VLOOKUP(EDATE(B346,-12),Database!$A:$AS,MATCH($J$1,Database!$A$1:$AS$1,),)))))/(((VLOOKUP(EDATE(B346,-12),Database!$A:$AS,MATCH($J$1,Database!$A$1:$AS$1,),))))</f>
        <v>3.0513619301994355E-2</v>
      </c>
      <c r="K346" s="13">
        <f>((((VLOOKUP(B346,Database!$A:$AS,MATCH($K$1,Database!$A$1:$AS$1,),))))-(((VLOOKUP(EDATE(B346,-12),Database!$A:$AS,MATCH($K$1,Database!$A$1:$AS$1,),)))))/(((VLOOKUP(EDATE(B346,-12),Database!$A:$AS,MATCH($K$1,Database!$A$1:$AS$1,),))))</f>
        <v>-6.8093385292069169E-3</v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>5.041925787058572E-3</v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>4.7000000000000028E-2</v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>4.4837259617931002E-2</v>
      </c>
      <c r="O346" s="13">
        <f>((((VLOOKUP(B346,Database!$A:$AS,MATCH($O$1,Database!$A$1:$AS$1,),))))-(((VLOOKUP(EDATE(B346,-12),Database!$A:$AS,MATCH($O$1,Database!$A$1:$AS$1,),)))))/(((VLOOKUP(EDATE(B346,-12),Database!$A:$AS,MATCH($O$1,Database!$A$1:$AS$1,),))))</f>
        <v>2.9444456378040825E-2</v>
      </c>
      <c r="P346" s="13">
        <f>((((VLOOKUP(B346,Database!$A:$AS,MATCH($P$1,Database!$A$1:$AS$1,),))))-(((VLOOKUP(EDATE(B346,-12),Database!$A:$AS,MATCH($P$1,Database!$A$1:$AS$1,),)))))/(((VLOOKUP(EDATE(B346,-12),Database!$A:$AS,MATCH($P$1,Database!$A$1:$AS$1,),))))</f>
        <v>4.2786069646453803E-2</v>
      </c>
      <c r="Q346" s="13">
        <f>((((VLOOKUP(B346,Database!$A:$AS,MATCH($Q$1,Database!$A$1:$AS$1,),))))-(((VLOOKUP(EDATE(B346,-12),Database!$A:$AS,MATCH($Q$1,Database!$A$1:$AS$1,),)))))/(((VLOOKUP(EDATE(B346,-12),Database!$A:$AS,MATCH($Q$1,Database!$A$1:$AS$1,),))))</f>
        <v>-2.7777777778361726E-2</v>
      </c>
      <c r="R346" s="13">
        <f>((((VLOOKUP(B346,Database!$A:$AS,MATCH($R$1,Database!$A$1:$AS$1,),))))-(((VLOOKUP(EDATE(B346,-12),Database!$A:$AS,MATCH($R$1,Database!$A$1:$AS$1,),)))))/(((VLOOKUP(EDATE(B346,-12),Database!$A:$AS,MATCH($R$1,Database!$A$1:$AS$1,),))))</f>
        <v>2.0408163265306156E-2</v>
      </c>
      <c r="S346" s="13">
        <f>((((VLOOKUP(B346,Database!$A:$AS,MATCH($S$1,Database!$A$1:$AS$1,),))))-(((VLOOKUP(EDATE(B346,-12),Database!$A:$AS,MATCH($S$1,Database!$A$1:$AS$1,),)))))/(((VLOOKUP(EDATE(B346,-12),Database!$A:$AS,MATCH($S$1,Database!$A$1:$AS$1,),))))</f>
        <v>7.8947368431024179E-2</v>
      </c>
      <c r="T346" s="13">
        <f>((((VLOOKUP(B346,Database!$A:$AS,MATCH($T$1,Database!$A$1:$AS$1,),))))-(((VLOOKUP(EDATE(B346,-12),Database!$A:$AS,MATCH($T$1,Database!$A$1:$AS$1,),)))))/(((VLOOKUP(EDATE(B346,-12),Database!$A:$AS,MATCH($T$1,Database!$A$1:$AS$1,),))))</f>
        <v>3.1219512199500622E-2</v>
      </c>
      <c r="U346" s="13">
        <f>((((VLOOKUP(B346,Database!$A:$AS,MATCH($U$1,Database!$A$1:$AS$1,),))))-(((VLOOKUP(EDATE(B346,-12),Database!$A:$AS,MATCH($U$1,Database!$A$1:$AS$1,),)))))/(((VLOOKUP(EDATE(B346,-12),Database!$A:$AS,MATCH($U$1,Database!$A$1:$AS$1,),))))</f>
        <v>4.6999999997829695E-2</v>
      </c>
      <c r="V346" s="13">
        <f>((((VLOOKUP(B346,Database!$A:$AS,MATCH($V$1,Database!$A$1:$AS$1,),))))-(((VLOOKUP(EDATE(B346,-12),Database!$A:$AS,MATCH($V$1,Database!$A$1:$AS$1,),)))))/(((VLOOKUP(EDATE(B346,-12),Database!$A:$AS,MATCH($V$1,Database!$A$1:$AS$1,),))))</f>
        <v>3.0451866404715214E-2</v>
      </c>
    </row>
    <row r="347" spans="1:22" s="83" customFormat="1" x14ac:dyDescent="0.2">
      <c r="A347" s="43"/>
      <c r="B347" s="78">
        <v>42705</v>
      </c>
      <c r="C347" s="13">
        <f>((((VLOOKUP(B347,Database!$A:$AS,MATCH($C$1,Database!$A$1:$AS$1,),))))-(((VLOOKUP(EDATE(B347,-12),Database!$A:$AS,MATCH($C$1,Database!$A$1:$AS$1,),)))))/(((VLOOKUP(EDATE(B347,-12),Database!$A:$AS,MATCH($C$1,Database!$A$1:$AS$1,),))))</f>
        <v>6.3642774552053968E-4</v>
      </c>
      <c r="D347" s="13">
        <f>((((VLOOKUP(B347,Database!$A:$AS,MATCH($D$1,Database!$A$1:$AS$1,),))))-(((VLOOKUP(EDATE(B347,-12),Database!$A:$AS,MATCH($D$1,Database!$A$1:$AS$1,),)))))/(((VLOOKUP(EDATE(B347,-12),Database!$A:$AS,MATCH($D$1,Database!$A$1:$AS$1,),))))</f>
        <v>2.5000000000000001E-2</v>
      </c>
      <c r="E347" s="13">
        <f>((((VLOOKUP(B347,Database!$A:$AS,MATCH($E$1,Database!$A$1:$AS$1,),))))-(((VLOOKUP(EDATE(B347,-12),Database!$A:$AS,MATCH($E$1,Database!$A$1:$AS$1,),)))))/(((VLOOKUP(EDATE(B347,-12),Database!$A:$AS,MATCH($E$1,Database!$A$1:$AS$1,),))))</f>
        <v>3.4658511719988336E-2</v>
      </c>
      <c r="F347" s="13">
        <f>((((VLOOKUP(B347,Database!$A:$AS,MATCH($F$1,Database!$A$1:$AS$1,),))))-(((VLOOKUP(EDATE(B347,-12),Database!$A:$AS,MATCH($F$1,Database!$A$1:$AS$1,),)))))/(((VLOOKUP(EDATE(B347,-12),Database!$A:$AS,MATCH($F$1,Database!$A$1:$AS$1,),))))</f>
        <v>0</v>
      </c>
      <c r="G347" s="13">
        <f>((((VLOOKUP(B347,Database!$A:$AS,MATCH($G$1,Database!$A$1:$AS$1,),))))-(((VLOOKUP(EDATE(B347,-12),Database!$A:$AS,MATCH($G$1,Database!$A$1:$AS$1,),)))))/(((VLOOKUP(EDATE(B347,-12),Database!$A:$AS,MATCH($G$1,Database!$A$1:$AS$1,),))))</f>
        <v>1.1228070175438642E-2</v>
      </c>
      <c r="H347" s="13">
        <f>((((VLOOKUP(B347,Database!$A:$AS,MATCH($H$1,Database!$A$1:$AS$1,),))))-(((VLOOKUP(EDATE(B347,-12),Database!$A:$AS,MATCH($H$1,Database!$A$1:$AS$1,),)))))/(((VLOOKUP(EDATE(B347,-12),Database!$A:$AS,MATCH($H$1,Database!$A$1:$AS$1,),))))</f>
        <v>1.6322089223589711E-2</v>
      </c>
      <c r="I347" s="13">
        <f>((((VLOOKUP(B347,Database!$A:$AS,MATCH($I$1,Database!$A$1:$AS$1,),))))-(((VLOOKUP(EDATE(B347,-12),Database!$A:$AS,MATCH($I$1,Database!$A$1:$AS$1,),)))))/(((VLOOKUP(EDATE(B347,-12),Database!$A:$AS,MATCH($I$1,Database!$A$1:$AS$1,),))))</f>
        <v>6.2816616014562773E-2</v>
      </c>
      <c r="J347" s="13">
        <f>((((VLOOKUP(B347,Database!$A:$AS,MATCH($J$1,Database!$A$1:$AS$1,),))))-(((VLOOKUP(EDATE(B347,-12),Database!$A:$AS,MATCH($J$1,Database!$A$1:$AS$1,),)))))/(((VLOOKUP(EDATE(B347,-12),Database!$A:$AS,MATCH($J$1,Database!$A$1:$AS$1,),))))</f>
        <v>2.8332684416882085E-2</v>
      </c>
      <c r="K347" s="13">
        <f>((((VLOOKUP(B347,Database!$A:$AS,MATCH($K$1,Database!$A$1:$AS$1,),))))-(((VLOOKUP(EDATE(B347,-12),Database!$A:$AS,MATCH($K$1,Database!$A$1:$AS$1,),)))))/(((VLOOKUP(EDATE(B347,-12),Database!$A:$AS,MATCH($K$1,Database!$A$1:$AS$1,),))))</f>
        <v>9.9009900962653344E-3</v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>-9.8508344674038957E-4</v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>4.7379032258064543E-2</v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>2.8173664061450367E-2</v>
      </c>
      <c r="O347" s="13">
        <f>((((VLOOKUP(B347,Database!$A:$AS,MATCH($O$1,Database!$A$1:$AS$1,),))))-(((VLOOKUP(EDATE(B347,-12),Database!$A:$AS,MATCH($O$1,Database!$A$1:$AS$1,),)))))/(((VLOOKUP(EDATE(B347,-12),Database!$A:$AS,MATCH($O$1,Database!$A$1:$AS$1,),))))</f>
        <v>2.7156481195640202E-2</v>
      </c>
      <c r="P347" s="13">
        <f>((((VLOOKUP(B347,Database!$A:$AS,MATCH($P$1,Database!$A$1:$AS$1,),))))-(((VLOOKUP(EDATE(B347,-12),Database!$A:$AS,MATCH($P$1,Database!$A$1:$AS$1,),)))))/(((VLOOKUP(EDATE(B347,-12),Database!$A:$AS,MATCH($P$1,Database!$A$1:$AS$1,),))))</f>
        <v>4.2042042040268318E-2</v>
      </c>
      <c r="Q347" s="13">
        <f>((((VLOOKUP(B347,Database!$A:$AS,MATCH($Q$1,Database!$A$1:$AS$1,),))))-(((VLOOKUP(EDATE(B347,-12),Database!$A:$AS,MATCH($Q$1,Database!$A$1:$AS$1,),)))))/(((VLOOKUP(EDATE(B347,-12),Database!$A:$AS,MATCH($Q$1,Database!$A$1:$AS$1,),))))</f>
        <v>8.2547169763704156E-3</v>
      </c>
      <c r="R347" s="13">
        <f>((((VLOOKUP(B347,Database!$A:$AS,MATCH($R$1,Database!$A$1:$AS$1,),))))-(((VLOOKUP(EDATE(B347,-12),Database!$A:$AS,MATCH($R$1,Database!$A$1:$AS$1,),)))))/(((VLOOKUP(EDATE(B347,-12),Database!$A:$AS,MATCH($R$1,Database!$A$1:$AS$1,),))))</f>
        <v>1.0377358489202728E-2</v>
      </c>
      <c r="S347" s="13">
        <f>((((VLOOKUP(B347,Database!$A:$AS,MATCH($S$1,Database!$A$1:$AS$1,),))))-(((VLOOKUP(EDATE(B347,-12),Database!$A:$AS,MATCH($S$1,Database!$A$1:$AS$1,),)))))/(((VLOOKUP(EDATE(B347,-12),Database!$A:$AS,MATCH($S$1,Database!$A$1:$AS$1,),))))</f>
        <v>-2.9239766171065321E-3</v>
      </c>
      <c r="T347" s="13">
        <f>((((VLOOKUP(B347,Database!$A:$AS,MATCH($T$1,Database!$A$1:$AS$1,),))))-(((VLOOKUP(EDATE(B347,-12),Database!$A:$AS,MATCH($T$1,Database!$A$1:$AS$1,),)))))/(((VLOOKUP(EDATE(B347,-12),Database!$A:$AS,MATCH($T$1,Database!$A$1:$AS$1,),))))</f>
        <v>1.6456921586268655E-2</v>
      </c>
      <c r="U347" s="13">
        <f>((((VLOOKUP(B347,Database!$A:$AS,MATCH($U$1,Database!$A$1:$AS$1,),))))-(((VLOOKUP(EDATE(B347,-12),Database!$A:$AS,MATCH($U$1,Database!$A$1:$AS$1,),)))))/(((VLOOKUP(EDATE(B347,-12),Database!$A:$AS,MATCH($U$1,Database!$A$1:$AS$1,),))))</f>
        <v>4.431017119965671E-2</v>
      </c>
      <c r="V347" s="13">
        <f>((((VLOOKUP(B347,Database!$A:$AS,MATCH($V$1,Database!$A$1:$AS$1,),))))-(((VLOOKUP(EDATE(B347,-12),Database!$A:$AS,MATCH($V$1,Database!$A$1:$AS$1,),)))))/(((VLOOKUP(EDATE(B347,-12),Database!$A:$AS,MATCH($V$1,Database!$A$1:$AS$1,),))))</f>
        <v>4.603330068560238E-2</v>
      </c>
    </row>
    <row r="348" spans="1:22" s="83" customFormat="1" x14ac:dyDescent="0.2">
      <c r="A348" s="43"/>
      <c r="B348" s="78">
        <v>42736</v>
      </c>
      <c r="C348" s="13">
        <f>((((VLOOKUP(B348,Database!$A:$AS,MATCH($C$1,Database!$A$1:$AS$1,),))))-(((VLOOKUP(EDATE(B348,-12),Database!$A:$AS,MATCH($C$1,Database!$A$1:$AS$1,),)))))/(((VLOOKUP(EDATE(B348,-12),Database!$A:$AS,MATCH($C$1,Database!$A$1:$AS$1,),))))</f>
        <v>-7.3894472913677098E-3</v>
      </c>
      <c r="D348" s="13">
        <f>((((VLOOKUP(B348,Database!$A:$AS,MATCH($D$1,Database!$A$1:$AS$1,),))))-(((VLOOKUP(EDATE(B348,-12),Database!$A:$AS,MATCH($D$1,Database!$A$1:$AS$1,),)))))/(((VLOOKUP(EDATE(B348,-12),Database!$A:$AS,MATCH($D$1,Database!$A$1:$AS$1,),))))</f>
        <v>-6.8027210884354017E-3</v>
      </c>
      <c r="E348" s="13">
        <f>((((VLOOKUP(B348,Database!$A:$AS,MATCH($E$1,Database!$A$1:$AS$1,),))))-(((VLOOKUP(EDATE(B348,-12),Database!$A:$AS,MATCH($E$1,Database!$A$1:$AS$1,),)))))/(((VLOOKUP(EDATE(B348,-12),Database!$A:$AS,MATCH($E$1,Database!$A$1:$AS$1,),))))</f>
        <v>3.9880358978702825E-3</v>
      </c>
      <c r="F348" s="13">
        <f>((((VLOOKUP(B348,Database!$A:$AS,MATCH($F$1,Database!$A$1:$AS$1,),))))-(((VLOOKUP(EDATE(B348,-12),Database!$A:$AS,MATCH($F$1,Database!$A$1:$AS$1,),)))))/(((VLOOKUP(EDATE(B348,-12),Database!$A:$AS,MATCH($F$1,Database!$A$1:$AS$1,),))))</f>
        <v>-2.9440628058546481E-3</v>
      </c>
      <c r="G348" s="13">
        <f>((((VLOOKUP(B348,Database!$A:$AS,MATCH($G$1,Database!$A$1:$AS$1,),))))-(((VLOOKUP(EDATE(B348,-12),Database!$A:$AS,MATCH($G$1,Database!$A$1:$AS$1,),)))))/(((VLOOKUP(EDATE(B348,-12),Database!$A:$AS,MATCH($G$1,Database!$A$1:$AS$1,),))))</f>
        <v>-2.4608721330839651E-3</v>
      </c>
      <c r="H348" s="13">
        <f>((((VLOOKUP(B348,Database!$A:$AS,MATCH($H$1,Database!$A$1:$AS$1,),))))-(((VLOOKUP(EDATE(B348,-12),Database!$A:$AS,MATCH($H$1,Database!$A$1:$AS$1,),)))))/(((VLOOKUP(EDATE(B348,-12),Database!$A:$AS,MATCH($H$1,Database!$A$1:$AS$1,),))))</f>
        <v>-1.9067796609752097E-2</v>
      </c>
      <c r="I348" s="13">
        <f>((((VLOOKUP(B348,Database!$A:$AS,MATCH($I$1,Database!$A$1:$AS$1,),))))-(((VLOOKUP(EDATE(B348,-12),Database!$A:$AS,MATCH($I$1,Database!$A$1:$AS$1,),)))))/(((VLOOKUP(EDATE(B348,-12),Database!$A:$AS,MATCH($I$1,Database!$A$1:$AS$1,),))))</f>
        <v>1.9665683409862901E-3</v>
      </c>
      <c r="J348" s="13">
        <f>((((VLOOKUP(B348,Database!$A:$AS,MATCH($J$1,Database!$A$1:$AS$1,),))))-(((VLOOKUP(EDATE(B348,-12),Database!$A:$AS,MATCH($J$1,Database!$A$1:$AS$1,),)))))/(((VLOOKUP(EDATE(B348,-12),Database!$A:$AS,MATCH($J$1,Database!$A$1:$AS$1,),))))</f>
        <v>1.9889481113222703E-2</v>
      </c>
      <c r="K348" s="13">
        <f>((((VLOOKUP(B348,Database!$A:$AS,MATCH($K$1,Database!$A$1:$AS$1,),))))-(((VLOOKUP(EDATE(B348,-12),Database!$A:$AS,MATCH($K$1,Database!$A$1:$AS$1,),)))))/(((VLOOKUP(EDATE(B348,-12),Database!$A:$AS,MATCH($K$1,Database!$A$1:$AS$1,),))))</f>
        <v>2.1717670290146814E-2</v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>-3.1125410472086943E-3</v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>5.0746268656716359E-2</v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>3.3240160093533457E-2</v>
      </c>
      <c r="O348" s="13">
        <f>((((VLOOKUP(B348,Database!$A:$AS,MATCH($O$1,Database!$A$1:$AS$1,),))))-(((VLOOKUP(EDATE(B348,-12),Database!$A:$AS,MATCH($O$1,Database!$A$1:$AS$1,),)))))/(((VLOOKUP(EDATE(B348,-12),Database!$A:$AS,MATCH($O$1,Database!$A$1:$AS$1,),))))</f>
        <v>2.8164336687919074E-2</v>
      </c>
      <c r="P348" s="13">
        <f>((((VLOOKUP(B348,Database!$A:$AS,MATCH($P$1,Database!$A$1:$AS$1,),))))-(((VLOOKUP(EDATE(B348,-12),Database!$A:$AS,MATCH($P$1,Database!$A$1:$AS$1,),)))))/(((VLOOKUP(EDATE(B348,-12),Database!$A:$AS,MATCH($P$1,Database!$A$1:$AS$1,),))))</f>
        <v>7.7157360401339525E-2</v>
      </c>
      <c r="Q348" s="13">
        <f>((((VLOOKUP(B348,Database!$A:$AS,MATCH($Q$1,Database!$A$1:$AS$1,),))))-(((VLOOKUP(EDATE(B348,-12),Database!$A:$AS,MATCH($Q$1,Database!$A$1:$AS$1,),)))))/(((VLOOKUP(EDATE(B348,-12),Database!$A:$AS,MATCH($Q$1,Database!$A$1:$AS$1,),))))</f>
        <v>4.6511627925642741E-3</v>
      </c>
      <c r="R348" s="13">
        <f>((((VLOOKUP(B348,Database!$A:$AS,MATCH($R$1,Database!$A$1:$AS$1,),))))-(((VLOOKUP(EDATE(B348,-12),Database!$A:$AS,MATCH($R$1,Database!$A$1:$AS$1,),)))))/(((VLOOKUP(EDATE(B348,-12),Database!$A:$AS,MATCH($R$1,Database!$A$1:$AS$1,),))))</f>
        <v>4.9951028397782773E-2</v>
      </c>
      <c r="S348" s="13">
        <f>((((VLOOKUP(B348,Database!$A:$AS,MATCH($S$1,Database!$A$1:$AS$1,),))))-(((VLOOKUP(EDATE(B348,-12),Database!$A:$AS,MATCH($S$1,Database!$A$1:$AS$1,),)))))/(((VLOOKUP(EDATE(B348,-12),Database!$A:$AS,MATCH($S$1,Database!$A$1:$AS$1,),))))</f>
        <v>-0.15959252970911258</v>
      </c>
      <c r="T348" s="13">
        <f>((((VLOOKUP(B348,Database!$A:$AS,MATCH($T$1,Database!$A$1:$AS$1,),))))-(((VLOOKUP(EDATE(B348,-12),Database!$A:$AS,MATCH($T$1,Database!$A$1:$AS$1,),)))))/(((VLOOKUP(EDATE(B348,-12),Database!$A:$AS,MATCH($T$1,Database!$A$1:$AS$1,),))))</f>
        <v>3.2163742691027598E-2</v>
      </c>
      <c r="U348" s="13">
        <f>((((VLOOKUP(B348,Database!$A:$AS,MATCH($U$1,Database!$A$1:$AS$1,),))))-(((VLOOKUP(EDATE(B348,-12),Database!$A:$AS,MATCH($U$1,Database!$A$1:$AS$1,),)))))/(((VLOOKUP(EDATE(B348,-12),Database!$A:$AS,MATCH($U$1,Database!$A$1:$AS$1,),))))</f>
        <v>4.6875000006867486E-2</v>
      </c>
      <c r="V348" s="13">
        <f>((((VLOOKUP(B348,Database!$A:$AS,MATCH($V$1,Database!$A$1:$AS$1,),))))-(((VLOOKUP(EDATE(B348,-12),Database!$A:$AS,MATCH($V$1,Database!$A$1:$AS$1,),)))))/(((VLOOKUP(EDATE(B348,-12),Database!$A:$AS,MATCH($V$1,Database!$A$1:$AS$1,),))))</f>
        <v>4.3137254901960839E-2</v>
      </c>
    </row>
    <row r="349" spans="1:22" s="83" customFormat="1" x14ac:dyDescent="0.2">
      <c r="A349" s="43"/>
      <c r="B349" s="78">
        <v>42767</v>
      </c>
      <c r="C349" s="13">
        <f>((((VLOOKUP(B349,Database!$A:$AS,MATCH($C$1,Database!$A$1:$AS$1,),))))-(((VLOOKUP(EDATE(B349,-12),Database!$A:$AS,MATCH($C$1,Database!$A$1:$AS$1,),)))))/(((VLOOKUP(EDATE(B349,-12),Database!$A:$AS,MATCH($C$1,Database!$A$1:$AS$1,),))))</f>
        <v>-5.9691809543325255E-3</v>
      </c>
      <c r="D349" s="13">
        <f>((((VLOOKUP(B349,Database!$A:$AS,MATCH($D$1,Database!$A$1:$AS$1,),))))-(((VLOOKUP(EDATE(B349,-12),Database!$A:$AS,MATCH($D$1,Database!$A$1:$AS$1,),)))))/(((VLOOKUP(EDATE(B349,-12),Database!$A:$AS,MATCH($D$1,Database!$A$1:$AS$1,),))))</f>
        <v>1.9821605550049554E-2</v>
      </c>
      <c r="E349" s="13">
        <f>((((VLOOKUP(B349,Database!$A:$AS,MATCH($E$1,Database!$A$1:$AS$1,),))))-(((VLOOKUP(EDATE(B349,-12),Database!$A:$AS,MATCH($E$1,Database!$A$1:$AS$1,),)))))/(((VLOOKUP(EDATE(B349,-12),Database!$A:$AS,MATCH($E$1,Database!$A$1:$AS$1,),))))</f>
        <v>1.9095477388389247E-2</v>
      </c>
      <c r="F349" s="13">
        <f>((((VLOOKUP(B349,Database!$A:$AS,MATCH($F$1,Database!$A$1:$AS$1,),))))-(((VLOOKUP(EDATE(B349,-12),Database!$A:$AS,MATCH($F$1,Database!$A$1:$AS$1,),)))))/(((VLOOKUP(EDATE(B349,-12),Database!$A:$AS,MATCH($F$1,Database!$A$1:$AS$1,),))))</f>
        <v>1.0805500982549903E-2</v>
      </c>
      <c r="G349" s="13">
        <f>((((VLOOKUP(B349,Database!$A:$AS,MATCH($G$1,Database!$A$1:$AS$1,),))))-(((VLOOKUP(EDATE(B349,-12),Database!$A:$AS,MATCH($G$1,Database!$A$1:$AS$1,),)))))/(((VLOOKUP(EDATE(B349,-12),Database!$A:$AS,MATCH($G$1,Database!$A$1:$AS$1,),))))</f>
        <v>-4.8688394276629066E-3</v>
      </c>
      <c r="H349" s="13">
        <f>((((VLOOKUP(B349,Database!$A:$AS,MATCH($H$1,Database!$A$1:$AS$1,),))))-(((VLOOKUP(EDATE(B349,-12),Database!$A:$AS,MATCH($H$1,Database!$A$1:$AS$1,),)))))/(((VLOOKUP(EDATE(B349,-12),Database!$A:$AS,MATCH($H$1,Database!$A$1:$AS$1,),))))</f>
        <v>-3.059071729451867E-2</v>
      </c>
      <c r="I349" s="13">
        <f>((((VLOOKUP(B349,Database!$A:$AS,MATCH($I$1,Database!$A$1:$AS$1,),))))-(((VLOOKUP(EDATE(B349,-12),Database!$A:$AS,MATCH($I$1,Database!$A$1:$AS$1,),)))))/(((VLOOKUP(EDATE(B349,-12),Database!$A:$AS,MATCH($I$1,Database!$A$1:$AS$1,),))))</f>
        <v>2.5896414348859947E-2</v>
      </c>
      <c r="J349" s="13">
        <f>((((VLOOKUP(B349,Database!$A:$AS,MATCH($J$1,Database!$A$1:$AS$1,),))))-(((VLOOKUP(EDATE(B349,-12),Database!$A:$AS,MATCH($J$1,Database!$A$1:$AS$1,),)))))/(((VLOOKUP(EDATE(B349,-12),Database!$A:$AS,MATCH($J$1,Database!$A$1:$AS$1,),))))</f>
        <v>2.9762437475199105E-2</v>
      </c>
      <c r="K349" s="13">
        <f>((((VLOOKUP(B349,Database!$A:$AS,MATCH($K$1,Database!$A$1:$AS$1,),))))-(((VLOOKUP(EDATE(B349,-12),Database!$A:$AS,MATCH($K$1,Database!$A$1:$AS$1,),)))))/(((VLOOKUP(EDATE(B349,-12),Database!$A:$AS,MATCH($K$1,Database!$A$1:$AS$1,),))))</f>
        <v>2.7559055120357511E-2</v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>-3.5321782972655962E-3</v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>4.6092184368737563E-2</v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>4.8518500406386944E-2</v>
      </c>
      <c r="O349" s="13">
        <f>((((VLOOKUP(B349,Database!$A:$AS,MATCH($O$1,Database!$A$1:$AS$1,),))))-(((VLOOKUP(EDATE(B349,-12),Database!$A:$AS,MATCH($O$1,Database!$A$1:$AS$1,),)))))/(((VLOOKUP(EDATE(B349,-12),Database!$A:$AS,MATCH($O$1,Database!$A$1:$AS$1,),))))</f>
        <v>3.363525696387034E-2</v>
      </c>
      <c r="P349" s="13">
        <f>((((VLOOKUP(B349,Database!$A:$AS,MATCH($P$1,Database!$A$1:$AS$1,),))))-(((VLOOKUP(EDATE(B349,-12),Database!$A:$AS,MATCH($P$1,Database!$A$1:$AS$1,),)))))/(((VLOOKUP(EDATE(B349,-12),Database!$A:$AS,MATCH($P$1,Database!$A$1:$AS$1,),))))</f>
        <v>3.3563672257805308E-2</v>
      </c>
      <c r="Q349" s="13">
        <f>((((VLOOKUP(B349,Database!$A:$AS,MATCH($Q$1,Database!$A$1:$AS$1,),))))-(((VLOOKUP(EDATE(B349,-12),Database!$A:$AS,MATCH($Q$1,Database!$A$1:$AS$1,),)))))/(((VLOOKUP(EDATE(B349,-12),Database!$A:$AS,MATCH($Q$1,Database!$A$1:$AS$1,),))))</f>
        <v>2.9446407536642183E-2</v>
      </c>
      <c r="R349" s="13">
        <f>((((VLOOKUP(B349,Database!$A:$AS,MATCH($R$1,Database!$A$1:$AS$1,),))))-(((VLOOKUP(EDATE(B349,-12),Database!$A:$AS,MATCH($R$1,Database!$A$1:$AS$1,),)))))/(((VLOOKUP(EDATE(B349,-12),Database!$A:$AS,MATCH($R$1,Database!$A$1:$AS$1,),))))</f>
        <v>0.10569105691362969</v>
      </c>
      <c r="S349" s="13">
        <f>((((VLOOKUP(B349,Database!$A:$AS,MATCH($S$1,Database!$A$1:$AS$1,),))))-(((VLOOKUP(EDATE(B349,-12),Database!$A:$AS,MATCH($S$1,Database!$A$1:$AS$1,),)))))/(((VLOOKUP(EDATE(B349,-12),Database!$A:$AS,MATCH($S$1,Database!$A$1:$AS$1,),))))</f>
        <v>6.765327695814996E-2</v>
      </c>
      <c r="T349" s="13">
        <f>((((VLOOKUP(B349,Database!$A:$AS,MATCH($T$1,Database!$A$1:$AS$1,),))))-(((VLOOKUP(EDATE(B349,-12),Database!$A:$AS,MATCH($T$1,Database!$A$1:$AS$1,),)))))/(((VLOOKUP(EDATE(B349,-12),Database!$A:$AS,MATCH($T$1,Database!$A$1:$AS$1,),))))</f>
        <v>3.6644165865912341E-2</v>
      </c>
      <c r="U349" s="13">
        <f>((((VLOOKUP(B349,Database!$A:$AS,MATCH($U$1,Database!$A$1:$AS$1,),))))-(((VLOOKUP(EDATE(B349,-12),Database!$A:$AS,MATCH($U$1,Database!$A$1:$AS$1,),)))))/(((VLOOKUP(EDATE(B349,-12),Database!$A:$AS,MATCH($U$1,Database!$A$1:$AS$1,),))))</f>
        <v>3.5576923076044653E-2</v>
      </c>
      <c r="V349" s="13">
        <f>((((VLOOKUP(B349,Database!$A:$AS,MATCH($V$1,Database!$A$1:$AS$1,),))))-(((VLOOKUP(EDATE(B349,-12),Database!$A:$AS,MATCH($V$1,Database!$A$1:$AS$1,),)))))/(((VLOOKUP(EDATE(B349,-12),Database!$A:$AS,MATCH($V$1,Database!$A$1:$AS$1,),))))</f>
        <v>4.8275862068965572E-2</v>
      </c>
    </row>
    <row r="350" spans="1:22" s="83" customFormat="1" x14ac:dyDescent="0.2">
      <c r="A350" s="43"/>
      <c r="B350" s="78">
        <v>42795</v>
      </c>
      <c r="C350" s="13">
        <f>((((VLOOKUP(B350,Database!$A:$AS,MATCH($C$1,Database!$A$1:$AS$1,),))))-(((VLOOKUP(EDATE(B350,-12),Database!$A:$AS,MATCH($C$1,Database!$A$1:$AS$1,),)))))/(((VLOOKUP(EDATE(B350,-12),Database!$A:$AS,MATCH($C$1,Database!$A$1:$AS$1,),))))</f>
        <v>9.2784387100136988E-3</v>
      </c>
      <c r="D350" s="13">
        <f>((((VLOOKUP(B350,Database!$A:$AS,MATCH($D$1,Database!$A$1:$AS$1,),))))-(((VLOOKUP(EDATE(B350,-12),Database!$A:$AS,MATCH($D$1,Database!$A$1:$AS$1,),)))))/(((VLOOKUP(EDATE(B350,-12),Database!$A:$AS,MATCH($D$1,Database!$A$1:$AS$1,),))))</f>
        <v>2.3928215353938243E-2</v>
      </c>
      <c r="E350" s="13">
        <f>((((VLOOKUP(B350,Database!$A:$AS,MATCH($E$1,Database!$A$1:$AS$1,),))))-(((VLOOKUP(EDATE(B350,-12),Database!$A:$AS,MATCH($E$1,Database!$A$1:$AS$1,),)))))/(((VLOOKUP(EDATE(B350,-12),Database!$A:$AS,MATCH($E$1,Database!$A$1:$AS$1,),))))</f>
        <v>1.6016016008189662E-2</v>
      </c>
      <c r="F350" s="13">
        <f>((((VLOOKUP(B350,Database!$A:$AS,MATCH($F$1,Database!$A$1:$AS$1,),))))-(((VLOOKUP(EDATE(B350,-12),Database!$A:$AS,MATCH($F$1,Database!$A$1:$AS$1,),)))))/(((VLOOKUP(EDATE(B350,-12),Database!$A:$AS,MATCH($F$1,Database!$A$1:$AS$1,),))))</f>
        <v>1.8905472638182281E-2</v>
      </c>
      <c r="G350" s="13">
        <f>((((VLOOKUP(B350,Database!$A:$AS,MATCH($G$1,Database!$A$1:$AS$1,),))))-(((VLOOKUP(EDATE(B350,-12),Database!$A:$AS,MATCH($G$1,Database!$A$1:$AS$1,),)))))/(((VLOOKUP(EDATE(B350,-12),Database!$A:$AS,MATCH($G$1,Database!$A$1:$AS$1,),))))</f>
        <v>1.1876247504989997E-2</v>
      </c>
      <c r="H350" s="13">
        <f>((((VLOOKUP(B350,Database!$A:$AS,MATCH($H$1,Database!$A$1:$AS$1,),))))-(((VLOOKUP(EDATE(B350,-12),Database!$A:$AS,MATCH($H$1,Database!$A$1:$AS$1,),)))))/(((VLOOKUP(EDATE(B350,-12),Database!$A:$AS,MATCH($H$1,Database!$A$1:$AS$1,),))))</f>
        <v>-3.2804232804357805E-2</v>
      </c>
      <c r="I350" s="13">
        <f>((((VLOOKUP(B350,Database!$A:$AS,MATCH($I$1,Database!$A$1:$AS$1,),))))-(((VLOOKUP(EDATE(B350,-12),Database!$A:$AS,MATCH($I$1,Database!$A$1:$AS$1,),)))))/(((VLOOKUP(EDATE(B350,-12),Database!$A:$AS,MATCH($I$1,Database!$A$1:$AS$1,),))))</f>
        <v>3.3830845768351943E-2</v>
      </c>
      <c r="J350" s="13">
        <f>((((VLOOKUP(B350,Database!$A:$AS,MATCH($J$1,Database!$A$1:$AS$1,),))))-(((VLOOKUP(EDATE(B350,-12),Database!$A:$AS,MATCH($J$1,Database!$A$1:$AS$1,),)))))/(((VLOOKUP(EDATE(B350,-12),Database!$A:$AS,MATCH($J$1,Database!$A$1:$AS$1,),))))</f>
        <v>8.286049698390056E-3</v>
      </c>
      <c r="K350" s="13">
        <f>((((VLOOKUP(B350,Database!$A:$AS,MATCH($K$1,Database!$A$1:$AS$1,),))))-(((VLOOKUP(EDATE(B350,-12),Database!$A:$AS,MATCH($K$1,Database!$A$1:$AS$1,),)))))/(((VLOOKUP(EDATE(B350,-12),Database!$A:$AS,MATCH($K$1,Database!$A$1:$AS$1,),))))</f>
        <v>3.7549407114116799E-2</v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>1.2842911333281232E-3</v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>3.4756703078450843E-2</v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>4.4097799371984076E-2</v>
      </c>
      <c r="O350" s="13">
        <f>((((VLOOKUP(B350,Database!$A:$AS,MATCH($O$1,Database!$A$1:$AS$1,),))))-(((VLOOKUP(EDATE(B350,-12),Database!$A:$AS,MATCH($O$1,Database!$A$1:$AS$1,),)))))/(((VLOOKUP(EDATE(B350,-12),Database!$A:$AS,MATCH($O$1,Database!$A$1:$AS$1,),))))</f>
        <v>4.6643297162543174E-2</v>
      </c>
      <c r="P350" s="13">
        <f>((((VLOOKUP(B350,Database!$A:$AS,MATCH($P$1,Database!$A$1:$AS$1,),))))-(((VLOOKUP(EDATE(B350,-12),Database!$A:$AS,MATCH($P$1,Database!$A$1:$AS$1,),)))))/(((VLOOKUP(EDATE(B350,-12),Database!$A:$AS,MATCH($P$1,Database!$A$1:$AS$1,),))))</f>
        <v>5.2423343223199491E-2</v>
      </c>
      <c r="Q350" s="13">
        <f>((((VLOOKUP(B350,Database!$A:$AS,MATCH($Q$1,Database!$A$1:$AS$1,),))))-(((VLOOKUP(EDATE(B350,-12),Database!$A:$AS,MATCH($Q$1,Database!$A$1:$AS$1,),)))))/(((VLOOKUP(EDATE(B350,-12),Database!$A:$AS,MATCH($Q$1,Database!$A$1:$AS$1,),))))</f>
        <v>1.1695906410881601E-3</v>
      </c>
      <c r="R350" s="13">
        <f>((((VLOOKUP(B350,Database!$A:$AS,MATCH($R$1,Database!$A$1:$AS$1,),))))-(((VLOOKUP(EDATE(B350,-12),Database!$A:$AS,MATCH($R$1,Database!$A$1:$AS$1,),)))))/(((VLOOKUP(EDATE(B350,-12),Database!$A:$AS,MATCH($R$1,Database!$A$1:$AS$1,),))))</f>
        <v>7.9158316637679416E-2</v>
      </c>
      <c r="S350" s="13">
        <f>((((VLOOKUP(B350,Database!$A:$AS,MATCH($S$1,Database!$A$1:$AS$1,),))))-(((VLOOKUP(EDATE(B350,-12),Database!$A:$AS,MATCH($S$1,Database!$A$1:$AS$1,),)))))/(((VLOOKUP(EDATE(B350,-12),Database!$A:$AS,MATCH($S$1,Database!$A$1:$AS$1,),))))</f>
        <v>4.2437431990170228E-2</v>
      </c>
      <c r="T350" s="13">
        <f>((((VLOOKUP(B350,Database!$A:$AS,MATCH($T$1,Database!$A$1:$AS$1,),))))-(((VLOOKUP(EDATE(B350,-12),Database!$A:$AS,MATCH($T$1,Database!$A$1:$AS$1,),)))))/(((VLOOKUP(EDATE(B350,-12),Database!$A:$AS,MATCH($T$1,Database!$A$1:$AS$1,),))))</f>
        <v>6.1403508774665987E-2</v>
      </c>
      <c r="U350" s="13">
        <f>((((VLOOKUP(B350,Database!$A:$AS,MATCH($U$1,Database!$A$1:$AS$1,),))))-(((VLOOKUP(EDATE(B350,-12),Database!$A:$AS,MATCH($U$1,Database!$A$1:$AS$1,),)))))/(((VLOOKUP(EDATE(B350,-12),Database!$A:$AS,MATCH($U$1,Database!$A$1:$AS$1,),))))</f>
        <v>4.9562682209424114E-2</v>
      </c>
      <c r="V350" s="13">
        <f>((((VLOOKUP(B350,Database!$A:$AS,MATCH($V$1,Database!$A$1:$AS$1,),))))-(((VLOOKUP(EDATE(B350,-12),Database!$A:$AS,MATCH($V$1,Database!$A$1:$AS$1,),)))))/(((VLOOKUP(EDATE(B350,-12),Database!$A:$AS,MATCH($V$1,Database!$A$1:$AS$1,),))))</f>
        <v>8.4493041749502992E-2</v>
      </c>
    </row>
    <row r="351" spans="1:22" s="83" customFormat="1" x14ac:dyDescent="0.2">
      <c r="A351" s="43"/>
      <c r="B351" s="78">
        <v>42826</v>
      </c>
      <c r="C351" s="13">
        <f>((((VLOOKUP(B351,Database!$A:$AS,MATCH($C$1,Database!$A$1:$AS$1,),))))-(((VLOOKUP(EDATE(B351,-12),Database!$A:$AS,MATCH($C$1,Database!$A$1:$AS$1,),)))))/(((VLOOKUP(EDATE(B351,-12),Database!$A:$AS,MATCH($C$1,Database!$A$1:$AS$1,),))))</f>
        <v>1.5934223853899615E-2</v>
      </c>
      <c r="D351" s="13">
        <f>((((VLOOKUP(B351,Database!$A:$AS,MATCH($D$1,Database!$A$1:$AS$1,),))))-(((VLOOKUP(EDATE(B351,-12),Database!$A:$AS,MATCH($D$1,Database!$A$1:$AS$1,),)))))/(((VLOOKUP(EDATE(B351,-12),Database!$A:$AS,MATCH($D$1,Database!$A$1:$AS$1,),))))</f>
        <v>1.870078740157486E-2</v>
      </c>
      <c r="E351" s="13">
        <f>((((VLOOKUP(B351,Database!$A:$AS,MATCH($E$1,Database!$A$1:$AS$1,),))))-(((VLOOKUP(EDATE(B351,-12),Database!$A:$AS,MATCH($E$1,Database!$A$1:$AS$1,),)))))/(((VLOOKUP(EDATE(B351,-12),Database!$A:$AS,MATCH($E$1,Database!$A$1:$AS$1,),))))</f>
        <v>4.6370967745959897E-2</v>
      </c>
      <c r="F351" s="13">
        <f>((((VLOOKUP(B351,Database!$A:$AS,MATCH($F$1,Database!$A$1:$AS$1,),))))-(((VLOOKUP(EDATE(B351,-12),Database!$A:$AS,MATCH($F$1,Database!$A$1:$AS$1,),)))))/(((VLOOKUP(EDATE(B351,-12),Database!$A:$AS,MATCH($F$1,Database!$A$1:$AS$1,),))))</f>
        <v>2.27048371144127E-2</v>
      </c>
      <c r="G351" s="13">
        <f>((((VLOOKUP(B351,Database!$A:$AS,MATCH($G$1,Database!$A$1:$AS$1,),))))-(((VLOOKUP(EDATE(B351,-12),Database!$A:$AS,MATCH($G$1,Database!$A$1:$AS$1,),)))))/(((VLOOKUP(EDATE(B351,-12),Database!$A:$AS,MATCH($G$1,Database!$A$1:$AS$1,),))))</f>
        <v>-1.3832625234660664E-3</v>
      </c>
      <c r="H351" s="13">
        <f>((((VLOOKUP(B351,Database!$A:$AS,MATCH($H$1,Database!$A$1:$AS$1,),))))-(((VLOOKUP(EDATE(B351,-12),Database!$A:$AS,MATCH($H$1,Database!$A$1:$AS$1,),)))))/(((VLOOKUP(EDATE(B351,-12),Database!$A:$AS,MATCH($H$1,Database!$A$1:$AS$1,),))))</f>
        <v>-4.7717842320229499E-2</v>
      </c>
      <c r="I351" s="13">
        <f>((((VLOOKUP(B351,Database!$A:$AS,MATCH($I$1,Database!$A$1:$AS$1,),))))-(((VLOOKUP(EDATE(B351,-12),Database!$A:$AS,MATCH($I$1,Database!$A$1:$AS$1,),)))))/(((VLOOKUP(EDATE(B351,-12),Database!$A:$AS,MATCH($I$1,Database!$A$1:$AS$1,),))))</f>
        <v>1.4691478938088205E-2</v>
      </c>
      <c r="J351" s="13">
        <f>((((VLOOKUP(B351,Database!$A:$AS,MATCH($J$1,Database!$A$1:$AS$1,),))))-(((VLOOKUP(EDATE(B351,-12),Database!$A:$AS,MATCH($J$1,Database!$A$1:$AS$1,),)))))/(((VLOOKUP(EDATE(B351,-12),Database!$A:$AS,MATCH($J$1,Database!$A$1:$AS$1,),))))</f>
        <v>2.3420341700440932E-3</v>
      </c>
      <c r="K351" s="13">
        <f>((((VLOOKUP(B351,Database!$A:$AS,MATCH($K$1,Database!$A$1:$AS$1,),))))-(((VLOOKUP(EDATE(B351,-12),Database!$A:$AS,MATCH($K$1,Database!$A$1:$AS$1,),)))))/(((VLOOKUP(EDATE(B351,-12),Database!$A:$AS,MATCH($K$1,Database!$A$1:$AS$1,),))))</f>
        <v>7.6775431840438542E-3</v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>1.9931312974680203E-3</v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>5.2841475573280131E-2</v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>3.4817851039610541E-2</v>
      </c>
      <c r="O351" s="13">
        <f>((((VLOOKUP(B351,Database!$A:$AS,MATCH($O$1,Database!$A$1:$AS$1,),))))-(((VLOOKUP(EDATE(B351,-12),Database!$A:$AS,MATCH($O$1,Database!$A$1:$AS$1,),)))))/(((VLOOKUP(EDATE(B351,-12),Database!$A:$AS,MATCH($O$1,Database!$A$1:$AS$1,),))))</f>
        <v>5.3640136611262747E-2</v>
      </c>
      <c r="P351" s="13">
        <f>((((VLOOKUP(B351,Database!$A:$AS,MATCH($P$1,Database!$A$1:$AS$1,),))))-(((VLOOKUP(EDATE(B351,-12),Database!$A:$AS,MATCH($P$1,Database!$A$1:$AS$1,),)))))/(((VLOOKUP(EDATE(B351,-12),Database!$A:$AS,MATCH($P$1,Database!$A$1:$AS$1,),))))</f>
        <v>4.3956043957361537E-2</v>
      </c>
      <c r="Q351" s="13">
        <f>((((VLOOKUP(B351,Database!$A:$AS,MATCH($Q$1,Database!$A$1:$AS$1,),))))-(((VLOOKUP(EDATE(B351,-12),Database!$A:$AS,MATCH($Q$1,Database!$A$1:$AS$1,),)))))/(((VLOOKUP(EDATE(B351,-12),Database!$A:$AS,MATCH($Q$1,Database!$A$1:$AS$1,),))))</f>
        <v>5.854800936444346E-3</v>
      </c>
      <c r="R351" s="13">
        <f>((((VLOOKUP(B351,Database!$A:$AS,MATCH($R$1,Database!$A$1:$AS$1,),))))-(((VLOOKUP(EDATE(B351,-12),Database!$A:$AS,MATCH($R$1,Database!$A$1:$AS$1,),)))))/(((VLOOKUP(EDATE(B351,-12),Database!$A:$AS,MATCH($R$1,Database!$A$1:$AS$1,),))))</f>
        <v>1.9398642039482894E-3</v>
      </c>
      <c r="S351" s="13">
        <f>((((VLOOKUP(B351,Database!$A:$AS,MATCH($S$1,Database!$A$1:$AS$1,),))))-(((VLOOKUP(EDATE(B351,-12),Database!$A:$AS,MATCH($S$1,Database!$A$1:$AS$1,),)))))/(((VLOOKUP(EDATE(B351,-12),Database!$A:$AS,MATCH($S$1,Database!$A$1:$AS$1,),))))</f>
        <v>7.7399380804027126E-2</v>
      </c>
      <c r="T351" s="13">
        <f>((((VLOOKUP(B351,Database!$A:$AS,MATCH($T$1,Database!$A$1:$AS$1,),))))-(((VLOOKUP(EDATE(B351,-12),Database!$A:$AS,MATCH($T$1,Database!$A$1:$AS$1,),)))))/(((VLOOKUP(EDATE(B351,-12),Database!$A:$AS,MATCH($T$1,Database!$A$1:$AS$1,),))))</f>
        <v>8.8521400779752693E-2</v>
      </c>
      <c r="U351" s="13">
        <f>((((VLOOKUP(B351,Database!$A:$AS,MATCH($U$1,Database!$A$1:$AS$1,),))))-(((VLOOKUP(EDATE(B351,-12),Database!$A:$AS,MATCH($U$1,Database!$A$1:$AS$1,),)))))/(((VLOOKUP(EDATE(B351,-12),Database!$A:$AS,MATCH($U$1,Database!$A$1:$AS$1,),))))</f>
        <v>7.4902723730165433E-2</v>
      </c>
      <c r="V351" s="13">
        <f>((((VLOOKUP(B351,Database!$A:$AS,MATCH($V$1,Database!$A$1:$AS$1,),))))-(((VLOOKUP(EDATE(B351,-12),Database!$A:$AS,MATCH($V$1,Database!$A$1:$AS$1,),)))))/(((VLOOKUP(EDATE(B351,-12),Database!$A:$AS,MATCH($V$1,Database!$A$1:$AS$1,),))))</f>
        <v>4.1545893719806735E-2</v>
      </c>
    </row>
    <row r="352" spans="1:22" s="83" customFormat="1" x14ac:dyDescent="0.2">
      <c r="A352" s="43"/>
      <c r="B352" s="78">
        <v>42856</v>
      </c>
      <c r="C352" s="13">
        <f>((((VLOOKUP(B352,Database!$A:$AS,MATCH($C$1,Database!$A$1:$AS$1,),))))-(((VLOOKUP(EDATE(B352,-12),Database!$A:$AS,MATCH($C$1,Database!$A$1:$AS$1,),)))))/(((VLOOKUP(EDATE(B352,-12),Database!$A:$AS,MATCH($C$1,Database!$A$1:$AS$1,),))))</f>
        <v>1.8904474465821063E-2</v>
      </c>
      <c r="D352" s="13">
        <f>((((VLOOKUP(B352,Database!$A:$AS,MATCH($D$1,Database!$A$1:$AS$1,),))))-(((VLOOKUP(EDATE(B352,-12),Database!$A:$AS,MATCH($D$1,Database!$A$1:$AS$1,),)))))/(((VLOOKUP(EDATE(B352,-12),Database!$A:$AS,MATCH($D$1,Database!$A$1:$AS$1,),))))</f>
        <v>3.5892323030907364E-2</v>
      </c>
      <c r="E352" s="13">
        <f>((((VLOOKUP(B352,Database!$A:$AS,MATCH($E$1,Database!$A$1:$AS$1,),))))-(((VLOOKUP(EDATE(B352,-12),Database!$A:$AS,MATCH($E$1,Database!$A$1:$AS$1,),)))))/(((VLOOKUP(EDATE(B352,-12),Database!$A:$AS,MATCH($E$1,Database!$A$1:$AS$1,),))))</f>
        <v>3.546099291161018E-2</v>
      </c>
      <c r="F352" s="13">
        <f>((((VLOOKUP(B352,Database!$A:$AS,MATCH($F$1,Database!$A$1:$AS$1,),))))-(((VLOOKUP(EDATE(B352,-12),Database!$A:$AS,MATCH($F$1,Database!$A$1:$AS$1,),)))))/(((VLOOKUP(EDATE(B352,-12),Database!$A:$AS,MATCH($F$1,Database!$A$1:$AS$1,),))))</f>
        <v>4.7283702213532647E-2</v>
      </c>
      <c r="G352" s="13">
        <f>((((VLOOKUP(B352,Database!$A:$AS,MATCH($G$1,Database!$A$1:$AS$1,),))))-(((VLOOKUP(EDATE(B352,-12),Database!$A:$AS,MATCH($G$1,Database!$A$1:$AS$1,),)))))/(((VLOOKUP(EDATE(B352,-12),Database!$A:$AS,MATCH($G$1,Database!$A$1:$AS$1,),))))</f>
        <v>3.6345381526104469E-2</v>
      </c>
      <c r="H352" s="13">
        <f>((((VLOOKUP(B352,Database!$A:$AS,MATCH($H$1,Database!$A$1:$AS$1,),))))-(((VLOOKUP(EDATE(B352,-12),Database!$A:$AS,MATCH($H$1,Database!$A$1:$AS$1,),)))))/(((VLOOKUP(EDATE(B352,-12),Database!$A:$AS,MATCH($H$1,Database!$A$1:$AS$1,),))))</f>
        <v>-2.0169851377318086E-2</v>
      </c>
      <c r="I352" s="13">
        <f>((((VLOOKUP(B352,Database!$A:$AS,MATCH($I$1,Database!$A$1:$AS$1,),))))-(((VLOOKUP(EDATE(B352,-12),Database!$A:$AS,MATCH($I$1,Database!$A$1:$AS$1,),)))))/(((VLOOKUP(EDATE(B352,-12),Database!$A:$AS,MATCH($I$1,Database!$A$1:$AS$1,),))))</f>
        <v>3.8805970148392155E-2</v>
      </c>
      <c r="J352" s="13">
        <f>((((VLOOKUP(B352,Database!$A:$AS,MATCH($J$1,Database!$A$1:$AS$1,),))))-(((VLOOKUP(EDATE(B352,-12),Database!$A:$AS,MATCH($J$1,Database!$A$1:$AS$1,),)))))/(((VLOOKUP(EDATE(B352,-12),Database!$A:$AS,MATCH($J$1,Database!$A$1:$AS$1,),))))</f>
        <v>4.8094256374648044E-2</v>
      </c>
      <c r="K352" s="13">
        <f>((((VLOOKUP(B352,Database!$A:$AS,MATCH($K$1,Database!$A$1:$AS$1,),))))-(((VLOOKUP(EDATE(B352,-12),Database!$A:$AS,MATCH($K$1,Database!$A$1:$AS$1,),)))))/(((VLOOKUP(EDATE(B352,-12),Database!$A:$AS,MATCH($K$1,Database!$A$1:$AS$1,),))))</f>
        <v>6.1061061063966707E-2</v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>4.1817941147440709E-4</v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>6.1752988047808648E-2</v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>2.4356332432612815E-2</v>
      </c>
      <c r="O352" s="13">
        <f>((((VLOOKUP(B352,Database!$A:$AS,MATCH($O$1,Database!$A$1:$AS$1,),))))-(((VLOOKUP(EDATE(B352,-12),Database!$A:$AS,MATCH($O$1,Database!$A$1:$AS$1,),)))))/(((VLOOKUP(EDATE(B352,-12),Database!$A:$AS,MATCH($O$1,Database!$A$1:$AS$1,),))))</f>
        <v>0.10769304251561169</v>
      </c>
      <c r="P352" s="13">
        <f>((((VLOOKUP(B352,Database!$A:$AS,MATCH($P$1,Database!$A$1:$AS$1,),))))-(((VLOOKUP(EDATE(B352,-12),Database!$A:$AS,MATCH($P$1,Database!$A$1:$AS$1,),)))))/(((VLOOKUP(EDATE(B352,-12),Database!$A:$AS,MATCH($P$1,Database!$A$1:$AS$1,),))))</f>
        <v>2.036857420390804E-2</v>
      </c>
      <c r="Q352" s="13">
        <f>((((VLOOKUP(B352,Database!$A:$AS,MATCH($Q$1,Database!$A$1:$AS$1,),))))-(((VLOOKUP(EDATE(B352,-12),Database!$A:$AS,MATCH($Q$1,Database!$A$1:$AS$1,),)))))/(((VLOOKUP(EDATE(B352,-12),Database!$A:$AS,MATCH($Q$1,Database!$A$1:$AS$1,),))))</f>
        <v>4.6620046532695964E-3</v>
      </c>
      <c r="R352" s="13">
        <f>((((VLOOKUP(B352,Database!$A:$AS,MATCH($R$1,Database!$A$1:$AS$1,),))))-(((VLOOKUP(EDATE(B352,-12),Database!$A:$AS,MATCH($R$1,Database!$A$1:$AS$1,),)))))/(((VLOOKUP(EDATE(B352,-12),Database!$A:$AS,MATCH($R$1,Database!$A$1:$AS$1,),))))</f>
        <v>6.3366336630562028E-2</v>
      </c>
      <c r="S352" s="13">
        <f>((((VLOOKUP(B352,Database!$A:$AS,MATCH($S$1,Database!$A$1:$AS$1,),))))-(((VLOOKUP(EDATE(B352,-12),Database!$A:$AS,MATCH($S$1,Database!$A$1:$AS$1,),)))))/(((VLOOKUP(EDATE(B352,-12),Database!$A:$AS,MATCH($S$1,Database!$A$1:$AS$1,),))))</f>
        <v>-4.9950049956057382E-2</v>
      </c>
      <c r="T352" s="13">
        <f>((((VLOOKUP(B352,Database!$A:$AS,MATCH($T$1,Database!$A$1:$AS$1,),))))-(((VLOOKUP(EDATE(B352,-12),Database!$A:$AS,MATCH($T$1,Database!$A$1:$AS$1,),)))))/(((VLOOKUP(EDATE(B352,-12),Database!$A:$AS,MATCH($T$1,Database!$A$1:$AS$1,),))))</f>
        <v>5.7416267945972155E-2</v>
      </c>
      <c r="U352" s="13">
        <f>((((VLOOKUP(B352,Database!$A:$AS,MATCH($U$1,Database!$A$1:$AS$1,),))))-(((VLOOKUP(EDATE(B352,-12),Database!$A:$AS,MATCH($U$1,Database!$A$1:$AS$1,),)))))/(((VLOOKUP(EDATE(B352,-12),Database!$A:$AS,MATCH($U$1,Database!$A$1:$AS$1,),))))</f>
        <v>0.1192842942421428</v>
      </c>
      <c r="V352" s="13">
        <f>((((VLOOKUP(B352,Database!$A:$AS,MATCH($V$1,Database!$A$1:$AS$1,),))))-(((VLOOKUP(EDATE(B352,-12),Database!$A:$AS,MATCH($V$1,Database!$A$1:$AS$1,),)))))/(((VLOOKUP(EDATE(B352,-12),Database!$A:$AS,MATCH($V$1,Database!$A$1:$AS$1,),))))</f>
        <v>6.5621939275220406E-2</v>
      </c>
    </row>
    <row r="353" spans="1:22" s="83" customFormat="1" x14ac:dyDescent="0.2">
      <c r="A353" s="43"/>
      <c r="B353" s="78">
        <v>42887</v>
      </c>
      <c r="C353" s="13">
        <f>((((VLOOKUP(B353,Database!$A:$AS,MATCH($C$1,Database!$A$1:$AS$1,),))))-(((VLOOKUP(EDATE(B353,-12),Database!$A:$AS,MATCH($C$1,Database!$A$1:$AS$1,),)))))/(((VLOOKUP(EDATE(B353,-12),Database!$A:$AS,MATCH($C$1,Database!$A$1:$AS$1,),))))</f>
        <v>1.6046377589550669E-2</v>
      </c>
      <c r="D353" s="13">
        <f>((((VLOOKUP(B353,Database!$A:$AS,MATCH($D$1,Database!$A$1:$AS$1,),))))-(((VLOOKUP(EDATE(B353,-12),Database!$A:$AS,MATCH($D$1,Database!$A$1:$AS$1,),)))))/(((VLOOKUP(EDATE(B353,-12),Database!$A:$AS,MATCH($D$1,Database!$A$1:$AS$1,),))))</f>
        <v>2.3738872403560887E-2</v>
      </c>
      <c r="E353" s="13">
        <f>((((VLOOKUP(B353,Database!$A:$AS,MATCH($E$1,Database!$A$1:$AS$1,),))))-(((VLOOKUP(EDATE(B353,-12),Database!$A:$AS,MATCH($E$1,Database!$A$1:$AS$1,),)))))/(((VLOOKUP(EDATE(B353,-12),Database!$A:$AS,MATCH($E$1,Database!$A$1:$AS$1,),))))</f>
        <v>3.8306451615789341E-2</v>
      </c>
      <c r="F353" s="13">
        <f>((((VLOOKUP(B353,Database!$A:$AS,MATCH($F$1,Database!$A$1:$AS$1,),))))-(((VLOOKUP(EDATE(B353,-12),Database!$A:$AS,MATCH($F$1,Database!$A$1:$AS$1,),)))))/(((VLOOKUP(EDATE(B353,-12),Database!$A:$AS,MATCH($F$1,Database!$A$1:$AS$1,),))))</f>
        <v>2.458210422790922E-2</v>
      </c>
      <c r="G353" s="13">
        <f>((((VLOOKUP(B353,Database!$A:$AS,MATCH($G$1,Database!$A$1:$AS$1,),))))-(((VLOOKUP(EDATE(B353,-12),Database!$A:$AS,MATCH($G$1,Database!$A$1:$AS$1,),)))))/(((VLOOKUP(EDATE(B353,-12),Database!$A:$AS,MATCH($G$1,Database!$A$1:$AS$1,),))))</f>
        <v>2.759037357768598E-2</v>
      </c>
      <c r="H353" s="13">
        <f>((((VLOOKUP(B353,Database!$A:$AS,MATCH($H$1,Database!$A$1:$AS$1,),))))-(((VLOOKUP(EDATE(B353,-12),Database!$A:$AS,MATCH($H$1,Database!$A$1:$AS$1,),)))))/(((VLOOKUP(EDATE(B353,-12),Database!$A:$AS,MATCH($H$1,Database!$A$1:$AS$1,),))))</f>
        <v>-2.1598272093118851E-3</v>
      </c>
      <c r="I353" s="13">
        <f>((((VLOOKUP(B353,Database!$A:$AS,MATCH($I$1,Database!$A$1:$AS$1,),))))-(((VLOOKUP(EDATE(B353,-12),Database!$A:$AS,MATCH($I$1,Database!$A$1:$AS$1,),)))))/(((VLOOKUP(EDATE(B353,-12),Database!$A:$AS,MATCH($I$1,Database!$A$1:$AS$1,),))))</f>
        <v>6.3444108753509434E-2</v>
      </c>
      <c r="J353" s="13">
        <f>((((VLOOKUP(B353,Database!$A:$AS,MATCH($J$1,Database!$A$1:$AS$1,),))))-(((VLOOKUP(EDATE(B353,-12),Database!$A:$AS,MATCH($J$1,Database!$A$1:$AS$1,),)))))/(((VLOOKUP(EDATE(B353,-12),Database!$A:$AS,MATCH($J$1,Database!$A$1:$AS$1,),))))</f>
        <v>4.2307883114010243E-2</v>
      </c>
      <c r="K353" s="13">
        <f>((((VLOOKUP(B353,Database!$A:$AS,MATCH($K$1,Database!$A$1:$AS$1,),))))-(((VLOOKUP(EDATE(B353,-12),Database!$A:$AS,MATCH($K$1,Database!$A$1:$AS$1,),)))))/(((VLOOKUP(EDATE(B353,-12),Database!$A:$AS,MATCH($K$1,Database!$A$1:$AS$1,),))))</f>
        <v>7.5528700905188415E-2</v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>-1.0530742585437782E-3</v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>6.0575968222442843E-2</v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>-2.9727820390928615E-3</v>
      </c>
      <c r="O353" s="13">
        <f>((((VLOOKUP(B353,Database!$A:$AS,MATCH($O$1,Database!$A$1:$AS$1,),))))-(((VLOOKUP(EDATE(B353,-12),Database!$A:$AS,MATCH($O$1,Database!$A$1:$AS$1,),)))))/(((VLOOKUP(EDATE(B353,-12),Database!$A:$AS,MATCH($O$1,Database!$A$1:$AS$1,),))))</f>
        <v>8.0555236079033254E-2</v>
      </c>
      <c r="P353" s="13">
        <f>((((VLOOKUP(B353,Database!$A:$AS,MATCH($P$1,Database!$A$1:$AS$1,),))))-(((VLOOKUP(EDATE(B353,-12),Database!$A:$AS,MATCH($P$1,Database!$A$1:$AS$1,),)))))/(((VLOOKUP(EDATE(B353,-12),Database!$A:$AS,MATCH($P$1,Database!$A$1:$AS$1,),))))</f>
        <v>7.7369439082603606E-3</v>
      </c>
      <c r="Q353" s="13">
        <f>((((VLOOKUP(B353,Database!$A:$AS,MATCH($Q$1,Database!$A$1:$AS$1,),))))-(((VLOOKUP(EDATE(B353,-12),Database!$A:$AS,MATCH($Q$1,Database!$A$1:$AS$1,),)))))/(((VLOOKUP(EDATE(B353,-12),Database!$A:$AS,MATCH($Q$1,Database!$A$1:$AS$1,),))))</f>
        <v>2.5943396220630337E-2</v>
      </c>
      <c r="R353" s="13">
        <f>((((VLOOKUP(B353,Database!$A:$AS,MATCH($R$1,Database!$A$1:$AS$1,),))))-(((VLOOKUP(EDATE(B353,-12),Database!$A:$AS,MATCH($R$1,Database!$A$1:$AS$1,),)))))/(((VLOOKUP(EDATE(B353,-12),Database!$A:$AS,MATCH($R$1,Database!$A$1:$AS$1,),))))</f>
        <v>5.0980392148163592E-2</v>
      </c>
      <c r="S353" s="13">
        <f>((((VLOOKUP(B353,Database!$A:$AS,MATCH($S$1,Database!$A$1:$AS$1,),))))-(((VLOOKUP(EDATE(B353,-12),Database!$A:$AS,MATCH($S$1,Database!$A$1:$AS$1,),)))))/(((VLOOKUP(EDATE(B353,-12),Database!$A:$AS,MATCH($S$1,Database!$A$1:$AS$1,),))))</f>
        <v>-0.16960784312991217</v>
      </c>
      <c r="T353" s="13">
        <f>((((VLOOKUP(B353,Database!$A:$AS,MATCH($T$1,Database!$A$1:$AS$1,),))))-(((VLOOKUP(EDATE(B353,-12),Database!$A:$AS,MATCH($T$1,Database!$A$1:$AS$1,),)))))/(((VLOOKUP(EDATE(B353,-12),Database!$A:$AS,MATCH($T$1,Database!$A$1:$AS$1,),))))</f>
        <v>6.9230769231139161E-2</v>
      </c>
      <c r="U353" s="13">
        <f>((((VLOOKUP(B353,Database!$A:$AS,MATCH($U$1,Database!$A$1:$AS$1,),))))-(((VLOOKUP(EDATE(B353,-12),Database!$A:$AS,MATCH($U$1,Database!$A$1:$AS$1,),)))))/(((VLOOKUP(EDATE(B353,-12),Database!$A:$AS,MATCH($U$1,Database!$A$1:$AS$1,),))))</f>
        <v>4.1227229149174621E-2</v>
      </c>
      <c r="V353" s="13">
        <f>((((VLOOKUP(B353,Database!$A:$AS,MATCH($V$1,Database!$A$1:$AS$1,),))))-(((VLOOKUP(EDATE(B353,-12),Database!$A:$AS,MATCH($V$1,Database!$A$1:$AS$1,),)))))/(((VLOOKUP(EDATE(B353,-12),Database!$A:$AS,MATCH($V$1,Database!$A$1:$AS$1,),))))</f>
        <v>6.8731848983543162E-2</v>
      </c>
    </row>
    <row r="354" spans="1:22" s="83" customFormat="1" x14ac:dyDescent="0.2">
      <c r="A354" s="43"/>
      <c r="B354" s="78">
        <v>42917</v>
      </c>
      <c r="C354" s="13">
        <f>((((VLOOKUP(B354,Database!$A:$AS,MATCH($C$1,Database!$A$1:$AS$1,),))))-(((VLOOKUP(EDATE(B354,-12),Database!$A:$AS,MATCH($C$1,Database!$A$1:$AS$1,),)))))/(((VLOOKUP(EDATE(B354,-12),Database!$A:$AS,MATCH($C$1,Database!$A$1:$AS$1,),))))</f>
        <v>1.3245809875034507E-2</v>
      </c>
      <c r="D354" s="13">
        <f>((((VLOOKUP(B354,Database!$A:$AS,MATCH($D$1,Database!$A$1:$AS$1,),))))-(((VLOOKUP(EDATE(B354,-12),Database!$A:$AS,MATCH($D$1,Database!$A$1:$AS$1,),)))))/(((VLOOKUP(EDATE(B354,-12),Database!$A:$AS,MATCH($D$1,Database!$A$1:$AS$1,),))))</f>
        <v>3.8575667655786405E-2</v>
      </c>
      <c r="E354" s="13">
        <f>((((VLOOKUP(B354,Database!$A:$AS,MATCH($E$1,Database!$A$1:$AS$1,),))))-(((VLOOKUP(EDATE(B354,-12),Database!$A:$AS,MATCH($E$1,Database!$A$1:$AS$1,),)))))/(((VLOOKUP(EDATE(B354,-12),Database!$A:$AS,MATCH($E$1,Database!$A$1:$AS$1,),))))</f>
        <v>2.8084252757168082E-2</v>
      </c>
      <c r="F354" s="13">
        <f>((((VLOOKUP(B354,Database!$A:$AS,MATCH($F$1,Database!$A$1:$AS$1,),))))-(((VLOOKUP(EDATE(B354,-12),Database!$A:$AS,MATCH($F$1,Database!$A$1:$AS$1,),)))))/(((VLOOKUP(EDATE(B354,-12),Database!$A:$AS,MATCH($F$1,Database!$A$1:$AS$1,),))))</f>
        <v>4.7000000000330097E-2</v>
      </c>
      <c r="G354" s="13">
        <f>((((VLOOKUP(B354,Database!$A:$AS,MATCH($G$1,Database!$A$1:$AS$1,),))))-(((VLOOKUP(EDATE(B354,-12),Database!$A:$AS,MATCH($G$1,Database!$A$1:$AS$1,),)))))/(((VLOOKUP(EDATE(B354,-12),Database!$A:$AS,MATCH($G$1,Database!$A$1:$AS$1,),))))</f>
        <v>3.6464646464646457E-2</v>
      </c>
      <c r="H354" s="13">
        <f>((((VLOOKUP(B354,Database!$A:$AS,MATCH($H$1,Database!$A$1:$AS$1,),))))-(((VLOOKUP(EDATE(B354,-12),Database!$A:$AS,MATCH($H$1,Database!$A$1:$AS$1,),)))))/(((VLOOKUP(EDATE(B354,-12),Database!$A:$AS,MATCH($H$1,Database!$A$1:$AS$1,),))))</f>
        <v>5.4112554099921117E-3</v>
      </c>
      <c r="I354" s="13">
        <f>((((VLOOKUP(B354,Database!$A:$AS,MATCH($I$1,Database!$A$1:$AS$1,),))))-(((VLOOKUP(EDATE(B354,-12),Database!$A:$AS,MATCH($I$1,Database!$A$1:$AS$1,),)))))/(((VLOOKUP(EDATE(B354,-12),Database!$A:$AS,MATCH($I$1,Database!$A$1:$AS$1,),))))</f>
        <v>5.1383399211907925E-2</v>
      </c>
      <c r="J354" s="13">
        <f>((((VLOOKUP(B354,Database!$A:$AS,MATCH($J$1,Database!$A$1:$AS$1,),))))-(((VLOOKUP(EDATE(B354,-12),Database!$A:$AS,MATCH($J$1,Database!$A$1:$AS$1,),)))))/(((VLOOKUP(EDATE(B354,-12),Database!$A:$AS,MATCH($J$1,Database!$A$1:$AS$1,),))))</f>
        <v>3.2196145172993101E-2</v>
      </c>
      <c r="K354" s="13">
        <f>((((VLOOKUP(B354,Database!$A:$AS,MATCH($K$1,Database!$A$1:$AS$1,),))))-(((VLOOKUP(EDATE(B354,-12),Database!$A:$AS,MATCH($K$1,Database!$A$1:$AS$1,),)))))/(((VLOOKUP(EDATE(B354,-12),Database!$A:$AS,MATCH($K$1,Database!$A$1:$AS$1,),))))</f>
        <v>5.2114060968935644E-2</v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>-1.2543226071951703E-2</v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>4.607843137254905E-2</v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>1.0999409868437246E-2</v>
      </c>
      <c r="O354" s="13">
        <f>((((VLOOKUP(B354,Database!$A:$AS,MATCH($O$1,Database!$A$1:$AS$1,),))))-(((VLOOKUP(EDATE(B354,-12),Database!$A:$AS,MATCH($O$1,Database!$A$1:$AS$1,),)))))/(((VLOOKUP(EDATE(B354,-12),Database!$A:$AS,MATCH($O$1,Database!$A$1:$AS$1,),))))</f>
        <v>5.8345408012152739E-2</v>
      </c>
      <c r="P354" s="13">
        <f>((((VLOOKUP(B354,Database!$A:$AS,MATCH($P$1,Database!$A$1:$AS$1,),))))-(((VLOOKUP(EDATE(B354,-12),Database!$A:$AS,MATCH($P$1,Database!$A$1:$AS$1,),)))))/(((VLOOKUP(EDATE(B354,-12),Database!$A:$AS,MATCH($P$1,Database!$A$1:$AS$1,),))))</f>
        <v>2.3437499993438176E-2</v>
      </c>
      <c r="Q354" s="13">
        <f>((((VLOOKUP(B354,Database!$A:$AS,MATCH($Q$1,Database!$A$1:$AS$1,),))))-(((VLOOKUP(EDATE(B354,-12),Database!$A:$AS,MATCH($Q$1,Database!$A$1:$AS$1,),)))))/(((VLOOKUP(EDATE(B354,-12),Database!$A:$AS,MATCH($Q$1,Database!$A$1:$AS$1,),))))</f>
        <v>2.2222222223166426E-2</v>
      </c>
      <c r="R354" s="13">
        <f>((((VLOOKUP(B354,Database!$A:$AS,MATCH($R$1,Database!$A$1:$AS$1,),))))-(((VLOOKUP(EDATE(B354,-12),Database!$A:$AS,MATCH($R$1,Database!$A$1:$AS$1,),)))))/(((VLOOKUP(EDATE(B354,-12),Database!$A:$AS,MATCH($R$1,Database!$A$1:$AS$1,),))))</f>
        <v>2.4201355274544405E-2</v>
      </c>
      <c r="S354" s="13">
        <f>((((VLOOKUP(B354,Database!$A:$AS,MATCH($S$1,Database!$A$1:$AS$1,),))))-(((VLOOKUP(EDATE(B354,-12),Database!$A:$AS,MATCH($S$1,Database!$A$1:$AS$1,),)))))/(((VLOOKUP(EDATE(B354,-12),Database!$A:$AS,MATCH($S$1,Database!$A$1:$AS$1,),))))</f>
        <v>-1.154956688801826E-2</v>
      </c>
      <c r="T354" s="13">
        <f>((((VLOOKUP(B354,Database!$A:$AS,MATCH($T$1,Database!$A$1:$AS$1,),))))-(((VLOOKUP(EDATE(B354,-12),Database!$A:$AS,MATCH($T$1,Database!$A$1:$AS$1,),)))))/(((VLOOKUP(EDATE(B354,-12),Database!$A:$AS,MATCH($T$1,Database!$A$1:$AS$1,),))))</f>
        <v>0.13510747184551694</v>
      </c>
      <c r="U354" s="13">
        <f>((((VLOOKUP(B354,Database!$A:$AS,MATCH($U$1,Database!$A$1:$AS$1,),))))-(((VLOOKUP(EDATE(B354,-12),Database!$A:$AS,MATCH($U$1,Database!$A$1:$AS$1,),)))))/(((VLOOKUP(EDATE(B354,-12),Database!$A:$AS,MATCH($U$1,Database!$A$1:$AS$1,),))))</f>
        <v>5.9980334308968417E-2</v>
      </c>
      <c r="V354" s="13">
        <f>((((VLOOKUP(B354,Database!$A:$AS,MATCH($V$1,Database!$A$1:$AS$1,),))))-(((VLOOKUP(EDATE(B354,-12),Database!$A:$AS,MATCH($V$1,Database!$A$1:$AS$1,),)))))/(((VLOOKUP(EDATE(B354,-12),Database!$A:$AS,MATCH($V$1,Database!$A$1:$AS$1,),))))</f>
        <v>6.5493646138807454E-2</v>
      </c>
    </row>
    <row r="355" spans="1:22" s="83" customFormat="1" x14ac:dyDescent="0.2">
      <c r="A355" s="43"/>
      <c r="B355" s="78">
        <v>42948</v>
      </c>
      <c r="C355" s="13">
        <f>((((VLOOKUP(B355,Database!$A:$AS,MATCH($C$1,Database!$A$1:$AS$1,),))))-(((VLOOKUP(EDATE(B355,-12),Database!$A:$AS,MATCH($C$1,Database!$A$1:$AS$1,),)))))/(((VLOOKUP(EDATE(B355,-12),Database!$A:$AS,MATCH($C$1,Database!$A$1:$AS$1,),))))</f>
        <v>9.9326512358430298E-3</v>
      </c>
      <c r="D355" s="13">
        <f>((((VLOOKUP(B355,Database!$A:$AS,MATCH($D$1,Database!$A$1:$AS$1,),))))-(((VLOOKUP(EDATE(B355,-12),Database!$A:$AS,MATCH($D$1,Database!$A$1:$AS$1,),)))))/(((VLOOKUP(EDATE(B355,-12),Database!$A:$AS,MATCH($D$1,Database!$A$1:$AS$1,),))))</f>
        <v>4.4510385756676561E-2</v>
      </c>
      <c r="E355" s="13">
        <f>((((VLOOKUP(B355,Database!$A:$AS,MATCH($E$1,Database!$A$1:$AS$1,),))))-(((VLOOKUP(EDATE(B355,-12),Database!$A:$AS,MATCH($E$1,Database!$A$1:$AS$1,),)))))/(((VLOOKUP(EDATE(B355,-12),Database!$A:$AS,MATCH($E$1,Database!$A$1:$AS$1,),))))</f>
        <v>3.1809145133730753E-2</v>
      </c>
      <c r="F355" s="13">
        <f>((((VLOOKUP(B355,Database!$A:$AS,MATCH($F$1,Database!$A$1:$AS$1,),))))-(((VLOOKUP(EDATE(B355,-12),Database!$A:$AS,MATCH($F$1,Database!$A$1:$AS$1,),)))))/(((VLOOKUP(EDATE(B355,-12),Database!$A:$AS,MATCH($F$1,Database!$A$1:$AS$1,),))))</f>
        <v>5.2114060962380956E-2</v>
      </c>
      <c r="G355" s="13">
        <f>((((VLOOKUP(B355,Database!$A:$AS,MATCH($G$1,Database!$A$1:$AS$1,),))))-(((VLOOKUP(EDATE(B355,-12),Database!$A:$AS,MATCH($G$1,Database!$A$1:$AS$1,),)))))/(((VLOOKUP(EDATE(B355,-12),Database!$A:$AS,MATCH($G$1,Database!$A$1:$AS$1,),))))</f>
        <v>1.8525856944719681E-2</v>
      </c>
      <c r="H355" s="13">
        <f>((((VLOOKUP(B355,Database!$A:$AS,MATCH($H$1,Database!$A$1:$AS$1,),))))-(((VLOOKUP(EDATE(B355,-12),Database!$A:$AS,MATCH($H$1,Database!$A$1:$AS$1,),)))))/(((VLOOKUP(EDATE(B355,-12),Database!$A:$AS,MATCH($H$1,Database!$A$1:$AS$1,),))))</f>
        <v>1.307189541768689E-2</v>
      </c>
      <c r="I355" s="13">
        <f>((((VLOOKUP(B355,Database!$A:$AS,MATCH($I$1,Database!$A$1:$AS$1,),))))-(((VLOOKUP(EDATE(B355,-12),Database!$A:$AS,MATCH($I$1,Database!$A$1:$AS$1,),)))))/(((VLOOKUP(EDATE(B355,-12),Database!$A:$AS,MATCH($I$1,Database!$A$1:$AS$1,),))))</f>
        <v>5.9745347697883977E-2</v>
      </c>
      <c r="J355" s="13">
        <f>((((VLOOKUP(B355,Database!$A:$AS,MATCH($J$1,Database!$A$1:$AS$1,),))))-(((VLOOKUP(EDATE(B355,-12),Database!$A:$AS,MATCH($J$1,Database!$A$1:$AS$1,),)))))/(((VLOOKUP(EDATE(B355,-12),Database!$A:$AS,MATCH($J$1,Database!$A$1:$AS$1,),))))</f>
        <v>2.4332802376561855E-2</v>
      </c>
      <c r="K355" s="13">
        <f>((((VLOOKUP(B355,Database!$A:$AS,MATCH($K$1,Database!$A$1:$AS$1,),))))-(((VLOOKUP(EDATE(B355,-12),Database!$A:$AS,MATCH($K$1,Database!$A$1:$AS$1,),)))))/(((VLOOKUP(EDATE(B355,-12),Database!$A:$AS,MATCH($K$1,Database!$A$1:$AS$1,),))))</f>
        <v>7.4036511156196902E-2</v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>-5.7423915323179557E-3</v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>5.1181102362204758E-2</v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>4.8106286693162879E-2</v>
      </c>
      <c r="O355" s="13">
        <f>((((VLOOKUP(B355,Database!$A:$AS,MATCH($O$1,Database!$A$1:$AS$1,),))))-(((VLOOKUP(EDATE(B355,-12),Database!$A:$AS,MATCH($O$1,Database!$A$1:$AS$1,),)))))/(((VLOOKUP(EDATE(B355,-12),Database!$A:$AS,MATCH($O$1,Database!$A$1:$AS$1,),))))</f>
        <v>4.1948377771172413E-2</v>
      </c>
      <c r="P355" s="13">
        <f>((((VLOOKUP(B355,Database!$A:$AS,MATCH($P$1,Database!$A$1:$AS$1,),))))-(((VLOOKUP(EDATE(B355,-12),Database!$A:$AS,MATCH($P$1,Database!$A$1:$AS$1,),)))))/(((VLOOKUP(EDATE(B355,-12),Database!$A:$AS,MATCH($P$1,Database!$A$1:$AS$1,),))))</f>
        <v>3.6489151870265711E-2</v>
      </c>
      <c r="Q355" s="13">
        <f>((((VLOOKUP(B355,Database!$A:$AS,MATCH($Q$1,Database!$A$1:$AS$1,),))))-(((VLOOKUP(EDATE(B355,-12),Database!$A:$AS,MATCH($Q$1,Database!$A$1:$AS$1,),)))))/(((VLOOKUP(EDATE(B355,-12),Database!$A:$AS,MATCH($Q$1,Database!$A$1:$AS$1,),))))</f>
        <v>4.1916167662391049E-2</v>
      </c>
      <c r="R355" s="13">
        <f>((((VLOOKUP(B355,Database!$A:$AS,MATCH($R$1,Database!$A$1:$AS$1,),))))-(((VLOOKUP(EDATE(B355,-12),Database!$A:$AS,MATCH($R$1,Database!$A$1:$AS$1,),)))))/(((VLOOKUP(EDATE(B355,-12),Database!$A:$AS,MATCH($R$1,Database!$A$1:$AS$1,),))))</f>
        <v>5.5125725335419887E-2</v>
      </c>
      <c r="S355" s="13">
        <f>((((VLOOKUP(B355,Database!$A:$AS,MATCH($S$1,Database!$A$1:$AS$1,),))))-(((VLOOKUP(EDATE(B355,-12),Database!$A:$AS,MATCH($S$1,Database!$A$1:$AS$1,),)))))/(((VLOOKUP(EDATE(B355,-12),Database!$A:$AS,MATCH($S$1,Database!$A$1:$AS$1,),))))</f>
        <v>4.8498845263695703E-2</v>
      </c>
      <c r="T355" s="13">
        <f>((((VLOOKUP(B355,Database!$A:$AS,MATCH($T$1,Database!$A$1:$AS$1,),))))-(((VLOOKUP(EDATE(B355,-12),Database!$A:$AS,MATCH($T$1,Database!$A$1:$AS$1,),)))))/(((VLOOKUP(EDATE(B355,-12),Database!$A:$AS,MATCH($T$1,Database!$A$1:$AS$1,),))))</f>
        <v>8.9523809524480774E-2</v>
      </c>
      <c r="U355" s="13">
        <f>((((VLOOKUP(B355,Database!$A:$AS,MATCH($U$1,Database!$A$1:$AS$1,),))))-(((VLOOKUP(EDATE(B355,-12),Database!$A:$AS,MATCH($U$1,Database!$A$1:$AS$1,),)))))/(((VLOOKUP(EDATE(B355,-12),Database!$A:$AS,MATCH($U$1,Database!$A$1:$AS$1,),))))</f>
        <v>6.6346153849713957E-2</v>
      </c>
      <c r="V355" s="13">
        <f>((((VLOOKUP(B355,Database!$A:$AS,MATCH($V$1,Database!$A$1:$AS$1,),))))-(((VLOOKUP(EDATE(B355,-12),Database!$A:$AS,MATCH($V$1,Database!$A$1:$AS$1,),)))))/(((VLOOKUP(EDATE(B355,-12),Database!$A:$AS,MATCH($V$1,Database!$A$1:$AS$1,),))))</f>
        <v>9.0558766859344955E-2</v>
      </c>
    </row>
    <row r="356" spans="1:22" s="83" customFormat="1" x14ac:dyDescent="0.2">
      <c r="A356" s="43"/>
      <c r="B356" s="78">
        <v>42979</v>
      </c>
      <c r="C356" s="13">
        <f>((((VLOOKUP(B356,Database!$A:$AS,MATCH($C$1,Database!$A$1:$AS$1,),))))-(((VLOOKUP(EDATE(B356,-12),Database!$A:$AS,MATCH($C$1,Database!$A$1:$AS$1,),)))))/(((VLOOKUP(EDATE(B356,-12),Database!$A:$AS,MATCH($C$1,Database!$A$1:$AS$1,),))))</f>
        <v>1.1586516025616089E-2</v>
      </c>
      <c r="D356" s="13">
        <f>((((VLOOKUP(B356,Database!$A:$AS,MATCH($D$1,Database!$A$1:$AS$1,),))))-(((VLOOKUP(EDATE(B356,-12),Database!$A:$AS,MATCH($D$1,Database!$A$1:$AS$1,),)))))/(((VLOOKUP(EDATE(B356,-12),Database!$A:$AS,MATCH($D$1,Database!$A$1:$AS$1,),))))</f>
        <v>3.7475345167652829E-2</v>
      </c>
      <c r="E356" s="13">
        <f>((((VLOOKUP(B356,Database!$A:$AS,MATCH($E$1,Database!$A$1:$AS$1,),))))-(((VLOOKUP(EDATE(B356,-12),Database!$A:$AS,MATCH($E$1,Database!$A$1:$AS$1,),)))))/(((VLOOKUP(EDATE(B356,-12),Database!$A:$AS,MATCH($E$1,Database!$A$1:$AS$1,),))))</f>
        <v>1.5841584150670801E-2</v>
      </c>
      <c r="F356" s="13">
        <f>((((VLOOKUP(B356,Database!$A:$AS,MATCH($F$1,Database!$A$1:$AS$1,),))))-(((VLOOKUP(EDATE(B356,-12),Database!$A:$AS,MATCH($F$1,Database!$A$1:$AS$1,),)))))/(((VLOOKUP(EDATE(B356,-12),Database!$A:$AS,MATCH($F$1,Database!$A$1:$AS$1,),))))</f>
        <v>4.4334975377078575E-2</v>
      </c>
      <c r="G356" s="13">
        <f>((((VLOOKUP(B356,Database!$A:$AS,MATCH($G$1,Database!$A$1:$AS$1,),))))-(((VLOOKUP(EDATE(B356,-12),Database!$A:$AS,MATCH($G$1,Database!$A$1:$AS$1,),)))))/(((VLOOKUP(EDATE(B356,-12),Database!$A:$AS,MATCH($G$1,Database!$A$1:$AS$1,),))))</f>
        <v>3.6888933320003973E-2</v>
      </c>
      <c r="H356" s="13">
        <f>((((VLOOKUP(B356,Database!$A:$AS,MATCH($H$1,Database!$A$1:$AS$1,),))))-(((VLOOKUP(EDATE(B356,-12),Database!$A:$AS,MATCH($H$1,Database!$A$1:$AS$1,),)))))/(((VLOOKUP(EDATE(B356,-12),Database!$A:$AS,MATCH($H$1,Database!$A$1:$AS$1,),))))</f>
        <v>3.489640130670206E-2</v>
      </c>
      <c r="I356" s="13">
        <f>((((VLOOKUP(B356,Database!$A:$AS,MATCH($I$1,Database!$A$1:$AS$1,),))))-(((VLOOKUP(EDATE(B356,-12),Database!$A:$AS,MATCH($I$1,Database!$A$1:$AS$1,),)))))/(((VLOOKUP(EDATE(B356,-12),Database!$A:$AS,MATCH($I$1,Database!$A$1:$AS$1,),))))</f>
        <v>3.1372549024067997E-2</v>
      </c>
      <c r="J356" s="13">
        <f>((((VLOOKUP(B356,Database!$A:$AS,MATCH($J$1,Database!$A$1:$AS$1,),))))-(((VLOOKUP(EDATE(B356,-12),Database!$A:$AS,MATCH($J$1,Database!$A$1:$AS$1,),)))))/(((VLOOKUP(EDATE(B356,-12),Database!$A:$AS,MATCH($J$1,Database!$A$1:$AS$1,),))))</f>
        <v>3.6218351943648676E-2</v>
      </c>
      <c r="K356" s="13">
        <f>((((VLOOKUP(B356,Database!$A:$AS,MATCH($K$1,Database!$A$1:$AS$1,),))))-(((VLOOKUP(EDATE(B356,-12),Database!$A:$AS,MATCH($K$1,Database!$A$1:$AS$1,),)))))/(((VLOOKUP(EDATE(B356,-12),Database!$A:$AS,MATCH($K$1,Database!$A$1:$AS$1,),))))</f>
        <v>1.7029328292394511E-2</v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>-1.0217196395660558E-2</v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>4.6966731898238717E-2</v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>4.4722663803449629E-2</v>
      </c>
      <c r="O356" s="13">
        <f>((((VLOOKUP(B356,Database!$A:$AS,MATCH($O$1,Database!$A$1:$AS$1,),))))-(((VLOOKUP(EDATE(B356,-12),Database!$A:$AS,MATCH($O$1,Database!$A$1:$AS$1,),)))))/(((VLOOKUP(EDATE(B356,-12),Database!$A:$AS,MATCH($O$1,Database!$A$1:$AS$1,),))))</f>
        <v>3.4197261381090159E-2</v>
      </c>
      <c r="P356" s="13">
        <f>((((VLOOKUP(B356,Database!$A:$AS,MATCH($P$1,Database!$A$1:$AS$1,),))))-(((VLOOKUP(EDATE(B356,-12),Database!$A:$AS,MATCH($P$1,Database!$A$1:$AS$1,),)))))/(((VLOOKUP(EDATE(B356,-12),Database!$A:$AS,MATCH($P$1,Database!$A$1:$AS$1,),))))</f>
        <v>3.339882121521822E-2</v>
      </c>
      <c r="Q356" s="13">
        <f>((((VLOOKUP(B356,Database!$A:$AS,MATCH($Q$1,Database!$A$1:$AS$1,),))))-(((VLOOKUP(EDATE(B356,-12),Database!$A:$AS,MATCH($Q$1,Database!$A$1:$AS$1,),)))))/(((VLOOKUP(EDATE(B356,-12),Database!$A:$AS,MATCH($Q$1,Database!$A$1:$AS$1,),))))</f>
        <v>3.431952662752414E-2</v>
      </c>
      <c r="R356" s="13">
        <f>((((VLOOKUP(B356,Database!$A:$AS,MATCH($R$1,Database!$A$1:$AS$1,),))))-(((VLOOKUP(EDATE(B356,-12),Database!$A:$AS,MATCH($R$1,Database!$A$1:$AS$1,),)))))/(((VLOOKUP(EDATE(B356,-12),Database!$A:$AS,MATCH($R$1,Database!$A$1:$AS$1,),))))</f>
        <v>2.5540275044865092E-2</v>
      </c>
      <c r="S356" s="13">
        <f>((((VLOOKUP(B356,Database!$A:$AS,MATCH($S$1,Database!$A$1:$AS$1,),))))-(((VLOOKUP(EDATE(B356,-12),Database!$A:$AS,MATCH($S$1,Database!$A$1:$AS$1,),)))))/(((VLOOKUP(EDATE(B356,-12),Database!$A:$AS,MATCH($S$1,Database!$A$1:$AS$1,),))))</f>
        <v>1.7580144772754748E-2</v>
      </c>
      <c r="T356" s="13">
        <f>((((VLOOKUP(B356,Database!$A:$AS,MATCH($T$1,Database!$A$1:$AS$1,),))))-(((VLOOKUP(EDATE(B356,-12),Database!$A:$AS,MATCH($T$1,Database!$A$1:$AS$1,),)))))/(((VLOOKUP(EDATE(B356,-12),Database!$A:$AS,MATCH($T$1,Database!$A$1:$AS$1,),))))</f>
        <v>0.13529411764913507</v>
      </c>
      <c r="U356" s="13">
        <f>((((VLOOKUP(B356,Database!$A:$AS,MATCH($U$1,Database!$A$1:$AS$1,),))))-(((VLOOKUP(EDATE(B356,-12),Database!$A:$AS,MATCH($U$1,Database!$A$1:$AS$1,),)))))/(((VLOOKUP(EDATE(B356,-12),Database!$A:$AS,MATCH($U$1,Database!$A$1:$AS$1,),))))</f>
        <v>8.2524271840700672E-2</v>
      </c>
      <c r="V356" s="13">
        <f>((((VLOOKUP(B356,Database!$A:$AS,MATCH($V$1,Database!$A$1:$AS$1,),))))-(((VLOOKUP(EDATE(B356,-12),Database!$A:$AS,MATCH($V$1,Database!$A$1:$AS$1,),)))))/(((VLOOKUP(EDATE(B356,-12),Database!$A:$AS,MATCH($V$1,Database!$A$1:$AS$1,),))))</f>
        <v>7.2046109510086456E-2</v>
      </c>
    </row>
    <row r="357" spans="1:22" s="83" customFormat="1" x14ac:dyDescent="0.2">
      <c r="A357" s="43"/>
      <c r="B357" s="78">
        <v>43009</v>
      </c>
      <c r="C357" s="13">
        <f>((((VLOOKUP(B357,Database!$A:$AS,MATCH($C$1,Database!$A$1:$AS$1,),))))-(((VLOOKUP(EDATE(B357,-12),Database!$A:$AS,MATCH($C$1,Database!$A$1:$AS$1,),)))))/(((VLOOKUP(EDATE(B357,-12),Database!$A:$AS,MATCH($C$1,Database!$A$1:$AS$1,),))))</f>
        <v>2.3489337719864039E-2</v>
      </c>
      <c r="D357" s="13">
        <f>((((VLOOKUP(B357,Database!$A:$AS,MATCH($D$1,Database!$A$1:$AS$1,),))))-(((VLOOKUP(EDATE(B357,-12),Database!$A:$AS,MATCH($D$1,Database!$A$1:$AS$1,),)))))/(((VLOOKUP(EDATE(B357,-12),Database!$A:$AS,MATCH($D$1,Database!$A$1:$AS$1,),))))</f>
        <v>2.4390243902439025E-2</v>
      </c>
      <c r="E357" s="13">
        <f>((((VLOOKUP(B357,Database!$A:$AS,MATCH($E$1,Database!$A$1:$AS$1,),))))-(((VLOOKUP(EDATE(B357,-12),Database!$A:$AS,MATCH($E$1,Database!$A$1:$AS$1,),)))))/(((VLOOKUP(EDATE(B357,-12),Database!$A:$AS,MATCH($E$1,Database!$A$1:$AS$1,),))))</f>
        <v>2.0771513357254461E-2</v>
      </c>
      <c r="F357" s="13">
        <f>((((VLOOKUP(B357,Database!$A:$AS,MATCH($F$1,Database!$A$1:$AS$1,),))))-(((VLOOKUP(EDATE(B357,-12),Database!$A:$AS,MATCH($F$1,Database!$A$1:$AS$1,),)))))/(((VLOOKUP(EDATE(B357,-12),Database!$A:$AS,MATCH($F$1,Database!$A$1:$AS$1,),))))</f>
        <v>2.1547502449059418E-2</v>
      </c>
      <c r="G357" s="13">
        <f>((((VLOOKUP(B357,Database!$A:$AS,MATCH($G$1,Database!$A$1:$AS$1,),))))-(((VLOOKUP(EDATE(B357,-12),Database!$A:$AS,MATCH($G$1,Database!$A$1:$AS$1,),)))))/(((VLOOKUP(EDATE(B357,-12),Database!$A:$AS,MATCH($G$1,Database!$A$1:$AS$1,),))))</f>
        <v>4.5701084773001173E-2</v>
      </c>
      <c r="H357" s="13">
        <f>((((VLOOKUP(B357,Database!$A:$AS,MATCH($H$1,Database!$A$1:$AS$1,),))))-(((VLOOKUP(EDATE(B357,-12),Database!$A:$AS,MATCH($H$1,Database!$A$1:$AS$1,),)))))/(((VLOOKUP(EDATE(B357,-12),Database!$A:$AS,MATCH($H$1,Database!$A$1:$AS$1,),))))</f>
        <v>5.9602649004991369E-2</v>
      </c>
      <c r="I357" s="13">
        <f>((((VLOOKUP(B357,Database!$A:$AS,MATCH($I$1,Database!$A$1:$AS$1,),))))-(((VLOOKUP(EDATE(B357,-12),Database!$A:$AS,MATCH($I$1,Database!$A$1:$AS$1,),)))))/(((VLOOKUP(EDATE(B357,-12),Database!$A:$AS,MATCH($I$1,Database!$A$1:$AS$1,),))))</f>
        <v>3.2226562500743863E-2</v>
      </c>
      <c r="J357" s="13">
        <f>((((VLOOKUP(B357,Database!$A:$AS,MATCH($J$1,Database!$A$1:$AS$1,),))))-(((VLOOKUP(EDATE(B357,-12),Database!$A:$AS,MATCH($J$1,Database!$A$1:$AS$1,),)))))/(((VLOOKUP(EDATE(B357,-12),Database!$A:$AS,MATCH($J$1,Database!$A$1:$AS$1,),))))</f>
        <v>3.5904424816794483E-2</v>
      </c>
      <c r="K357" s="13">
        <f>((((VLOOKUP(B357,Database!$A:$AS,MATCH($K$1,Database!$A$1:$AS$1,),))))-(((VLOOKUP(EDATE(B357,-12),Database!$A:$AS,MATCH($K$1,Database!$A$1:$AS$1,),)))))/(((VLOOKUP(EDATE(B357,-12),Database!$A:$AS,MATCH($K$1,Database!$A$1:$AS$1,),))))</f>
        <v>5.8939096270625491E-2</v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>-8.1539465657998762E-3</v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>1.6330451488952957E-2</v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>1.6077240502894569E-2</v>
      </c>
      <c r="O357" s="13">
        <f>((((VLOOKUP(B357,Database!$A:$AS,MATCH($O$1,Database!$A$1:$AS$1,),))))-(((VLOOKUP(EDATE(B357,-12),Database!$A:$AS,MATCH($O$1,Database!$A$1:$AS$1,),)))))/(((VLOOKUP(EDATE(B357,-12),Database!$A:$AS,MATCH($O$1,Database!$A$1:$AS$1,),))))</f>
        <v>3.2962215716414597E-2</v>
      </c>
      <c r="P357" s="13">
        <f>((((VLOOKUP(B357,Database!$A:$AS,MATCH($P$1,Database!$A$1:$AS$1,),))))-(((VLOOKUP(EDATE(B357,-12),Database!$A:$AS,MATCH($P$1,Database!$A$1:$AS$1,),)))))/(((VLOOKUP(EDATE(B357,-12),Database!$A:$AS,MATCH($P$1,Database!$A$1:$AS$1,),))))</f>
        <v>5.4726368160540675E-2</v>
      </c>
      <c r="Q357" s="13">
        <f>((((VLOOKUP(B357,Database!$A:$AS,MATCH($Q$1,Database!$A$1:$AS$1,),))))-(((VLOOKUP(EDATE(B357,-12),Database!$A:$AS,MATCH($Q$1,Database!$A$1:$AS$1,),)))))/(((VLOOKUP(EDATE(B357,-12),Database!$A:$AS,MATCH($Q$1,Database!$A$1:$AS$1,),))))</f>
        <v>5.5222088830102184E-2</v>
      </c>
      <c r="R357" s="13">
        <f>((((VLOOKUP(B357,Database!$A:$AS,MATCH($R$1,Database!$A$1:$AS$1,),))))-(((VLOOKUP(EDATE(B357,-12),Database!$A:$AS,MATCH($R$1,Database!$A$1:$AS$1,),)))))/(((VLOOKUP(EDATE(B357,-12),Database!$A:$AS,MATCH($R$1,Database!$A$1:$AS$1,),))))</f>
        <v>1.9886363636309801E-2</v>
      </c>
      <c r="S357" s="13">
        <f>((((VLOOKUP(B357,Database!$A:$AS,MATCH($S$1,Database!$A$1:$AS$1,),))))-(((VLOOKUP(EDATE(B357,-12),Database!$A:$AS,MATCH($S$1,Database!$A$1:$AS$1,),)))))/(((VLOOKUP(EDATE(B357,-12),Database!$A:$AS,MATCH($S$1,Database!$A$1:$AS$1,),))))</f>
        <v>-9.3044263777015523E-2</v>
      </c>
      <c r="T357" s="13">
        <f>((((VLOOKUP(B357,Database!$A:$AS,MATCH($T$1,Database!$A$1:$AS$1,),))))-(((VLOOKUP(EDATE(B357,-12),Database!$A:$AS,MATCH($T$1,Database!$A$1:$AS$1,),)))))/(((VLOOKUP(EDATE(B357,-12),Database!$A:$AS,MATCH($T$1,Database!$A$1:$AS$1,),))))</f>
        <v>9.2018779338711054E-2</v>
      </c>
      <c r="U357" s="13">
        <f>((((VLOOKUP(B357,Database!$A:$AS,MATCH($U$1,Database!$A$1:$AS$1,),))))-(((VLOOKUP(EDATE(B357,-12),Database!$A:$AS,MATCH($U$1,Database!$A$1:$AS$1,),)))))/(((VLOOKUP(EDATE(B357,-12),Database!$A:$AS,MATCH($U$1,Database!$A$1:$AS$1,),))))</f>
        <v>5.5876685930386416E-2</v>
      </c>
      <c r="V357" s="13">
        <f>((((VLOOKUP(B357,Database!$A:$AS,MATCH($V$1,Database!$A$1:$AS$1,),))))-(((VLOOKUP(EDATE(B357,-12),Database!$A:$AS,MATCH($V$1,Database!$A$1:$AS$1,),)))))/(((VLOOKUP(EDATE(B357,-12),Database!$A:$AS,MATCH($V$1,Database!$A$1:$AS$1,),))))</f>
        <v>9.9415204678362609E-2</v>
      </c>
    </row>
    <row r="358" spans="1:22" s="83" customFormat="1" x14ac:dyDescent="0.2">
      <c r="A358" s="43"/>
      <c r="B358" s="78">
        <v>43040</v>
      </c>
      <c r="C358" s="13">
        <f>((((VLOOKUP(B358,Database!$A:$AS,MATCH($C$1,Database!$A$1:$AS$1,),))))-(((VLOOKUP(EDATE(B358,-12),Database!$A:$AS,MATCH($C$1,Database!$A$1:$AS$1,),)))))/(((VLOOKUP(EDATE(B358,-12),Database!$A:$AS,MATCH($C$1,Database!$A$1:$AS$1,),))))</f>
        <v>3.0990911016832563E-2</v>
      </c>
      <c r="D358" s="13">
        <f>((((VLOOKUP(B358,Database!$A:$AS,MATCH($D$1,Database!$A$1:$AS$1,),))))-(((VLOOKUP(EDATE(B358,-12),Database!$A:$AS,MATCH($D$1,Database!$A$1:$AS$1,),)))))/(((VLOOKUP(EDATE(B358,-12),Database!$A:$AS,MATCH($D$1,Database!$A$1:$AS$1,),))))</f>
        <v>4.4747081712062341E-2</v>
      </c>
      <c r="E358" s="13">
        <f>((((VLOOKUP(B358,Database!$A:$AS,MATCH($E$1,Database!$A$1:$AS$1,),))))-(((VLOOKUP(EDATE(B358,-12),Database!$A:$AS,MATCH($E$1,Database!$A$1:$AS$1,),)))))/(((VLOOKUP(EDATE(B358,-12),Database!$A:$AS,MATCH($E$1,Database!$A$1:$AS$1,),))))</f>
        <v>1.8609206651646632E-2</v>
      </c>
      <c r="F358" s="13">
        <f>((((VLOOKUP(B358,Database!$A:$AS,MATCH($F$1,Database!$A$1:$AS$1,),))))-(((VLOOKUP(EDATE(B358,-12),Database!$A:$AS,MATCH($F$1,Database!$A$1:$AS$1,),)))))/(((VLOOKUP(EDATE(B358,-12),Database!$A:$AS,MATCH($F$1,Database!$A$1:$AS$1,),))))</f>
        <v>6.3850687617906743E-2</v>
      </c>
      <c r="G358" s="13">
        <f>((((VLOOKUP(B358,Database!$A:$AS,MATCH($G$1,Database!$A$1:$AS$1,),))))-(((VLOOKUP(EDATE(B358,-12),Database!$A:$AS,MATCH($G$1,Database!$A$1:$AS$1,),)))))/(((VLOOKUP(EDATE(B358,-12),Database!$A:$AS,MATCH($G$1,Database!$A$1:$AS$1,),))))</f>
        <v>2.3863080684596555E-2</v>
      </c>
      <c r="H358" s="13">
        <f>((((VLOOKUP(B358,Database!$A:$AS,MATCH($H$1,Database!$A$1:$AS$1,),))))-(((VLOOKUP(EDATE(B358,-12),Database!$A:$AS,MATCH($H$1,Database!$A$1:$AS$1,),)))))/(((VLOOKUP(EDATE(B358,-12),Database!$A:$AS,MATCH($H$1,Database!$A$1:$AS$1,),))))</f>
        <v>4.8140043764522057E-2</v>
      </c>
      <c r="I358" s="13">
        <f>((((VLOOKUP(B358,Database!$A:$AS,MATCH($I$1,Database!$A$1:$AS$1,),))))-(((VLOOKUP(EDATE(B358,-12),Database!$A:$AS,MATCH($I$1,Database!$A$1:$AS$1,),)))))/(((VLOOKUP(EDATE(B358,-12),Database!$A:$AS,MATCH($I$1,Database!$A$1:$AS$1,),))))</f>
        <v>3.8684719541302218E-2</v>
      </c>
      <c r="J358" s="13">
        <f>((((VLOOKUP(B358,Database!$A:$AS,MATCH($J$1,Database!$A$1:$AS$1,),))))-(((VLOOKUP(EDATE(B358,-12),Database!$A:$AS,MATCH($J$1,Database!$A$1:$AS$1,),)))))/(((VLOOKUP(EDATE(B358,-12),Database!$A:$AS,MATCH($J$1,Database!$A$1:$AS$1,),))))</f>
        <v>4.1624680257209855E-2</v>
      </c>
      <c r="K358" s="13">
        <f>((((VLOOKUP(B358,Database!$A:$AS,MATCH($K$1,Database!$A$1:$AS$1,),))))-(((VLOOKUP(EDATE(B358,-12),Database!$A:$AS,MATCH($K$1,Database!$A$1:$AS$1,),)))))/(((VLOOKUP(EDATE(B358,-12),Database!$A:$AS,MATCH($K$1,Database!$A$1:$AS$1,),))))</f>
        <v>6.8560235064449651E-2</v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>-1.4435152419877709E-2</v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>7.6408787010505937E-3</v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>8.2906464066223984E-2</v>
      </c>
      <c r="O358" s="13">
        <f>((((VLOOKUP(B358,Database!$A:$AS,MATCH($O$1,Database!$A$1:$AS$1,),))))-(((VLOOKUP(EDATE(B358,-12),Database!$A:$AS,MATCH($O$1,Database!$A$1:$AS$1,),)))))/(((VLOOKUP(EDATE(B358,-12),Database!$A:$AS,MATCH($O$1,Database!$A$1:$AS$1,),))))</f>
        <v>3.1340710577358502E-2</v>
      </c>
      <c r="P358" s="13">
        <f>((((VLOOKUP(B358,Database!$A:$AS,MATCH($P$1,Database!$A$1:$AS$1,),))))-(((VLOOKUP(EDATE(B358,-12),Database!$A:$AS,MATCH($P$1,Database!$A$1:$AS$1,),)))))/(((VLOOKUP(EDATE(B358,-12),Database!$A:$AS,MATCH($P$1,Database!$A$1:$AS$1,),))))</f>
        <v>5.7251908476712229E-3</v>
      </c>
      <c r="Q358" s="13">
        <f>((((VLOOKUP(B358,Database!$A:$AS,MATCH($Q$1,Database!$A$1:$AS$1,),))))-(((VLOOKUP(EDATE(B358,-12),Database!$A:$AS,MATCH($Q$1,Database!$A$1:$AS$1,),)))))/(((VLOOKUP(EDATE(B358,-12),Database!$A:$AS,MATCH($Q$1,Database!$A$1:$AS$1,),))))</f>
        <v>5.2380952380282911E-2</v>
      </c>
      <c r="R358" s="13">
        <f>((((VLOOKUP(B358,Database!$A:$AS,MATCH($R$1,Database!$A$1:$AS$1,),))))-(((VLOOKUP(EDATE(B358,-12),Database!$A:$AS,MATCH($R$1,Database!$A$1:$AS$1,),)))))/(((VLOOKUP(EDATE(B358,-12),Database!$A:$AS,MATCH($R$1,Database!$A$1:$AS$1,),))))</f>
        <v>1.5238095242181518E-2</v>
      </c>
      <c r="S358" s="13">
        <f>((((VLOOKUP(B358,Database!$A:$AS,MATCH($S$1,Database!$A$1:$AS$1,),))))-(((VLOOKUP(EDATE(B358,-12),Database!$A:$AS,MATCH($S$1,Database!$A$1:$AS$1,),)))))/(((VLOOKUP(EDATE(B358,-12),Database!$A:$AS,MATCH($S$1,Database!$A$1:$AS$1,),))))</f>
        <v>3.5121951219331322E-2</v>
      </c>
      <c r="T358" s="13">
        <f>((((VLOOKUP(B358,Database!$A:$AS,MATCH($T$1,Database!$A$1:$AS$1,),))))-(((VLOOKUP(EDATE(B358,-12),Database!$A:$AS,MATCH($T$1,Database!$A$1:$AS$1,),)))))/(((VLOOKUP(EDATE(B358,-12),Database!$A:$AS,MATCH($T$1,Database!$A$1:$AS$1,),))))</f>
        <v>0.10690633868648736</v>
      </c>
      <c r="U358" s="13">
        <f>((((VLOOKUP(B358,Database!$A:$AS,MATCH($U$1,Database!$A$1:$AS$1,),))))-(((VLOOKUP(EDATE(B358,-12),Database!$A:$AS,MATCH($U$1,Database!$A$1:$AS$1,),)))))/(((VLOOKUP(EDATE(B358,-12),Database!$A:$AS,MATCH($U$1,Database!$A$1:$AS$1,),))))</f>
        <v>8.1184336194675619E-2</v>
      </c>
      <c r="V358" s="13">
        <f>((((VLOOKUP(B358,Database!$A:$AS,MATCH($V$1,Database!$A$1:$AS$1,),))))-(((VLOOKUP(EDATE(B358,-12),Database!$A:$AS,MATCH($V$1,Database!$A$1:$AS$1,),)))))/(((VLOOKUP(EDATE(B358,-12),Database!$A:$AS,MATCH($V$1,Database!$A$1:$AS$1,),))))</f>
        <v>6.7683508102955134E-2</v>
      </c>
    </row>
    <row r="359" spans="1:22" s="83" customFormat="1" x14ac:dyDescent="0.2">
      <c r="A359" s="43"/>
      <c r="B359" s="78">
        <v>43070</v>
      </c>
      <c r="C359" s="13">
        <f>((((VLOOKUP(B359,Database!$A:$AS,MATCH($C$1,Database!$A$1:$AS$1,),))))-(((VLOOKUP(EDATE(B359,-12),Database!$A:$AS,MATCH($C$1,Database!$A$1:$AS$1,),)))))/(((VLOOKUP(EDATE(B359,-12),Database!$A:$AS,MATCH($C$1,Database!$A$1:$AS$1,),))))</f>
        <v>2.5014206871197892E-2</v>
      </c>
      <c r="D359" s="13">
        <f>((((VLOOKUP(B359,Database!$A:$AS,MATCH($D$1,Database!$A$1:$AS$1,),))))-(((VLOOKUP(EDATE(B359,-12),Database!$A:$AS,MATCH($D$1,Database!$A$1:$AS$1,),)))))/(((VLOOKUP(EDATE(B359,-12),Database!$A:$AS,MATCH($D$1,Database!$A$1:$AS$1,),))))</f>
        <v>5.3658536585365853E-2</v>
      </c>
      <c r="E359" s="13">
        <f>((((VLOOKUP(B359,Database!$A:$AS,MATCH($E$1,Database!$A$1:$AS$1,),))))-(((VLOOKUP(EDATE(B359,-12),Database!$A:$AS,MATCH($E$1,Database!$A$1:$AS$1,),)))))/(((VLOOKUP(EDATE(B359,-12),Database!$A:$AS,MATCH($E$1,Database!$A$1:$AS$1,),))))</f>
        <v>3.9408867000752759E-2</v>
      </c>
      <c r="F359" s="13">
        <f>((((VLOOKUP(B359,Database!$A:$AS,MATCH($F$1,Database!$A$1:$AS$1,),))))-(((VLOOKUP(EDATE(B359,-12),Database!$A:$AS,MATCH($F$1,Database!$A$1:$AS$1,),)))))/(((VLOOKUP(EDATE(B359,-12),Database!$A:$AS,MATCH($F$1,Database!$A$1:$AS$1,),))))</f>
        <v>7.7999999998419889E-2</v>
      </c>
      <c r="G359" s="13">
        <f>((((VLOOKUP(B359,Database!$A:$AS,MATCH($G$1,Database!$A$1:$AS$1,),))))-(((VLOOKUP(EDATE(B359,-12),Database!$A:$AS,MATCH($G$1,Database!$A$1:$AS$1,),)))))/(((VLOOKUP(EDATE(B359,-12),Database!$A:$AS,MATCH($G$1,Database!$A$1:$AS$1,),))))</f>
        <v>4.7883414295628014E-2</v>
      </c>
      <c r="H359" s="13">
        <f>((((VLOOKUP(B359,Database!$A:$AS,MATCH($H$1,Database!$A$1:$AS$1,),))))-(((VLOOKUP(EDATE(B359,-12),Database!$A:$AS,MATCH($H$1,Database!$A$1:$AS$1,),)))))/(((VLOOKUP(EDATE(B359,-12),Database!$A:$AS,MATCH($H$1,Database!$A$1:$AS$1,),))))</f>
        <v>1.0706638113158763E-2</v>
      </c>
      <c r="I359" s="13">
        <f>((((VLOOKUP(B359,Database!$A:$AS,MATCH($I$1,Database!$A$1:$AS$1,),))))-(((VLOOKUP(EDATE(B359,-12),Database!$A:$AS,MATCH($I$1,Database!$A$1:$AS$1,),)))))/(((VLOOKUP(EDATE(B359,-12),Database!$A:$AS,MATCH($I$1,Database!$A$1:$AS$1,),))))</f>
        <v>5.4337464246006148E-2</v>
      </c>
      <c r="J359" s="13">
        <f>((((VLOOKUP(B359,Database!$A:$AS,MATCH($J$1,Database!$A$1:$AS$1,),))))-(((VLOOKUP(EDATE(B359,-12),Database!$A:$AS,MATCH($J$1,Database!$A$1:$AS$1,),)))))/(((VLOOKUP(EDATE(B359,-12),Database!$A:$AS,MATCH($J$1,Database!$A$1:$AS$1,),))))</f>
        <v>6.5928838403964615E-2</v>
      </c>
      <c r="K359" s="13">
        <f>((((VLOOKUP(B359,Database!$A:$AS,MATCH($K$1,Database!$A$1:$AS$1,),))))-(((VLOOKUP(EDATE(B359,-12),Database!$A:$AS,MATCH($K$1,Database!$A$1:$AS$1,),)))))/(((VLOOKUP(EDATE(B359,-12),Database!$A:$AS,MATCH($K$1,Database!$A$1:$AS$1,),))))</f>
        <v>7.9411764713494218E-2</v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>8.0539397394044311E-4</v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>7.6997112608276908E-3</v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>7.7138298708177927E-2</v>
      </c>
      <c r="O359" s="13">
        <f>((((VLOOKUP(B359,Database!$A:$AS,MATCH($O$1,Database!$A$1:$AS$1,),))))-(((VLOOKUP(EDATE(B359,-12),Database!$A:$AS,MATCH($O$1,Database!$A$1:$AS$1,),)))))/(((VLOOKUP(EDATE(B359,-12),Database!$A:$AS,MATCH($O$1,Database!$A$1:$AS$1,),))))</f>
        <v>3.3212070120189695E-2</v>
      </c>
      <c r="P359" s="13">
        <f>((((VLOOKUP(B359,Database!$A:$AS,MATCH($P$1,Database!$A$1:$AS$1,),))))-(((VLOOKUP(EDATE(B359,-12),Database!$A:$AS,MATCH($P$1,Database!$A$1:$AS$1,),)))))/(((VLOOKUP(EDATE(B359,-12),Database!$A:$AS,MATCH($P$1,Database!$A$1:$AS$1,),))))</f>
        <v>-5.7636887592010765E-3</v>
      </c>
      <c r="Q359" s="13">
        <f>((((VLOOKUP(B359,Database!$A:$AS,MATCH($Q$1,Database!$A$1:$AS$1,),))))-(((VLOOKUP(EDATE(B359,-12),Database!$A:$AS,MATCH($Q$1,Database!$A$1:$AS$1,),)))))/(((VLOOKUP(EDATE(B359,-12),Database!$A:$AS,MATCH($Q$1,Database!$A$1:$AS$1,),))))</f>
        <v>6.783625731058758E-2</v>
      </c>
      <c r="R359" s="13">
        <f>((((VLOOKUP(B359,Database!$A:$AS,MATCH($R$1,Database!$A$1:$AS$1,),))))-(((VLOOKUP(EDATE(B359,-12),Database!$A:$AS,MATCH($R$1,Database!$A$1:$AS$1,),)))))/(((VLOOKUP(EDATE(B359,-12),Database!$A:$AS,MATCH($R$1,Database!$A$1:$AS$1,),))))</f>
        <v>1.1204481798058837E-2</v>
      </c>
      <c r="S359" s="13">
        <f>((((VLOOKUP(B359,Database!$A:$AS,MATCH($S$1,Database!$A$1:$AS$1,),))))-(((VLOOKUP(EDATE(B359,-12),Database!$A:$AS,MATCH($S$1,Database!$A$1:$AS$1,),)))))/(((VLOOKUP(EDATE(B359,-12),Database!$A:$AS,MATCH($S$1,Database!$A$1:$AS$1,),))))</f>
        <v>4.2033235589667699E-2</v>
      </c>
      <c r="T359" s="13">
        <f>((((VLOOKUP(B359,Database!$A:$AS,MATCH($T$1,Database!$A$1:$AS$1,),))))-(((VLOOKUP(EDATE(B359,-12),Database!$A:$AS,MATCH($T$1,Database!$A$1:$AS$1,),)))))/(((VLOOKUP(EDATE(B359,-12),Database!$A:$AS,MATCH($T$1,Database!$A$1:$AS$1,),))))</f>
        <v>0.1438095238142498</v>
      </c>
      <c r="U359" s="13">
        <f>((((VLOOKUP(B359,Database!$A:$AS,MATCH($U$1,Database!$A$1:$AS$1,),))))-(((VLOOKUP(EDATE(B359,-12),Database!$A:$AS,MATCH($U$1,Database!$A$1:$AS$1,),)))))/(((VLOOKUP(EDATE(B359,-12),Database!$A:$AS,MATCH($U$1,Database!$A$1:$AS$1,),))))</f>
        <v>9.5467695275035847E-2</v>
      </c>
      <c r="V359" s="13">
        <f>((((VLOOKUP(B359,Database!$A:$AS,MATCH($V$1,Database!$A$1:$AS$1,),))))-(((VLOOKUP(EDATE(B359,-12),Database!$A:$AS,MATCH($V$1,Database!$A$1:$AS$1,),)))))/(((VLOOKUP(EDATE(B359,-12),Database!$A:$AS,MATCH($V$1,Database!$A$1:$AS$1,),))))</f>
        <v>7.9588014981273408E-2</v>
      </c>
    </row>
    <row r="360" spans="1:22" s="83" customFormat="1" x14ac:dyDescent="0.2">
      <c r="A360" s="43"/>
      <c r="B360" s="78">
        <v>43101</v>
      </c>
      <c r="C360" s="13">
        <f>((((VLOOKUP(B360,Database!$A:$AS,MATCH($C$1,Database!$A$1:$AS$1,),))))-(((VLOOKUP(EDATE(B360,-12),Database!$A:$AS,MATCH($C$1,Database!$A$1:$AS$1,),)))))/(((VLOOKUP(EDATE(B360,-12),Database!$A:$AS,MATCH($C$1,Database!$A$1:$AS$1,),))))</f>
        <v>2.6447015836464426E-2</v>
      </c>
      <c r="D360" s="13">
        <f>((((VLOOKUP(B360,Database!$A:$AS,MATCH($D$1,Database!$A$1:$AS$1,),))))-(((VLOOKUP(EDATE(B360,-12),Database!$A:$AS,MATCH($D$1,Database!$A$1:$AS$1,),)))))/(((VLOOKUP(EDATE(B360,-12),Database!$A:$AS,MATCH($D$1,Database!$A$1:$AS$1,),))))</f>
        <v>3.6203522504892394E-2</v>
      </c>
      <c r="E360" s="13">
        <f>((((VLOOKUP(B360,Database!$A:$AS,MATCH($E$1,Database!$A$1:$AS$1,),))))-(((VLOOKUP(EDATE(B360,-12),Database!$A:$AS,MATCH($E$1,Database!$A$1:$AS$1,),)))))/(((VLOOKUP(EDATE(B360,-12),Database!$A:$AS,MATCH($E$1,Database!$A$1:$AS$1,),))))</f>
        <v>5.9582919546292013E-3</v>
      </c>
      <c r="F360" s="13">
        <f>((((VLOOKUP(B360,Database!$A:$AS,MATCH($F$1,Database!$A$1:$AS$1,),))))-(((VLOOKUP(EDATE(B360,-12),Database!$A:$AS,MATCH($F$1,Database!$A$1:$AS$1,),)))))/(((VLOOKUP(EDATE(B360,-12),Database!$A:$AS,MATCH($F$1,Database!$A$1:$AS$1,),))))</f>
        <v>5.4133858269024449E-2</v>
      </c>
      <c r="G360" s="13">
        <f>((((VLOOKUP(B360,Database!$A:$AS,MATCH($G$1,Database!$A$1:$AS$1,),))))-(((VLOOKUP(EDATE(B360,-12),Database!$A:$AS,MATCH($G$1,Database!$A$1:$AS$1,),)))))/(((VLOOKUP(EDATE(B360,-12),Database!$A:$AS,MATCH($G$1,Database!$A$1:$AS$1,),))))</f>
        <v>6.5127294256956438E-3</v>
      </c>
      <c r="H360" s="13">
        <f>((((VLOOKUP(B360,Database!$A:$AS,MATCH($H$1,Database!$A$1:$AS$1,),))))-(((VLOOKUP(EDATE(B360,-12),Database!$A:$AS,MATCH($H$1,Database!$A$1:$AS$1,),)))))/(((VLOOKUP(EDATE(B360,-12),Database!$A:$AS,MATCH($H$1,Database!$A$1:$AS$1,),))))</f>
        <v>2.1598272193533181E-3</v>
      </c>
      <c r="I360" s="13">
        <f>((((VLOOKUP(B360,Database!$A:$AS,MATCH($I$1,Database!$A$1:$AS$1,),))))-(((VLOOKUP(EDATE(B360,-12),Database!$A:$AS,MATCH($I$1,Database!$A$1:$AS$1,),)))))/(((VLOOKUP(EDATE(B360,-12),Database!$A:$AS,MATCH($I$1,Database!$A$1:$AS$1,),))))</f>
        <v>4.3179587832285739E-2</v>
      </c>
      <c r="J360" s="13">
        <f>((((VLOOKUP(B360,Database!$A:$AS,MATCH($J$1,Database!$A$1:$AS$1,),))))-(((VLOOKUP(EDATE(B360,-12),Database!$A:$AS,MATCH($J$1,Database!$A$1:$AS$1,),)))))/(((VLOOKUP(EDATE(B360,-12),Database!$A:$AS,MATCH($J$1,Database!$A$1:$AS$1,),))))</f>
        <v>-1.8252733266719596E-4</v>
      </c>
      <c r="K360" s="13">
        <f>((((VLOOKUP(B360,Database!$A:$AS,MATCH($K$1,Database!$A$1:$AS$1,),))))-(((VLOOKUP(EDATE(B360,-12),Database!$A:$AS,MATCH($K$1,Database!$A$1:$AS$1,),)))))/(((VLOOKUP(EDATE(B360,-12),Database!$A:$AS,MATCH($K$1,Database!$A$1:$AS$1,),))))</f>
        <v>5.4106280187738817E-2</v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>-4.7725351648816253E-3</v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>2.5568181818181848E-2</v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>7.2290465317157646E-2</v>
      </c>
      <c r="O360" s="13">
        <f>((((VLOOKUP(B360,Database!$A:$AS,MATCH($O$1,Database!$A$1:$AS$1,),))))-(((VLOOKUP(EDATE(B360,-12),Database!$A:$AS,MATCH($O$1,Database!$A$1:$AS$1,),)))))/(((VLOOKUP(EDATE(B360,-12),Database!$A:$AS,MATCH($O$1,Database!$A$1:$AS$1,),))))</f>
        <v>2.1162845383595596E-2</v>
      </c>
      <c r="P360" s="13">
        <f>((((VLOOKUP(B360,Database!$A:$AS,MATCH($P$1,Database!$A$1:$AS$1,),))))-(((VLOOKUP(EDATE(B360,-12),Database!$A:$AS,MATCH($P$1,Database!$A$1:$AS$1,),)))))/(((VLOOKUP(EDATE(B360,-12),Database!$A:$AS,MATCH($P$1,Database!$A$1:$AS$1,),))))</f>
        <v>-1.4137606028136277E-2</v>
      </c>
      <c r="Q360" s="13">
        <f>((((VLOOKUP(B360,Database!$A:$AS,MATCH($Q$1,Database!$A$1:$AS$1,),))))-(((VLOOKUP(EDATE(B360,-12),Database!$A:$AS,MATCH($Q$1,Database!$A$1:$AS$1,),)))))/(((VLOOKUP(EDATE(B360,-12),Database!$A:$AS,MATCH($Q$1,Database!$A$1:$AS$1,),))))</f>
        <v>2.8935185183603426E-2</v>
      </c>
      <c r="R360" s="13">
        <f>((((VLOOKUP(B360,Database!$A:$AS,MATCH($R$1,Database!$A$1:$AS$1,),))))-(((VLOOKUP(EDATE(B360,-12),Database!$A:$AS,MATCH($R$1,Database!$A$1:$AS$1,),)))))/(((VLOOKUP(EDATE(B360,-12),Database!$A:$AS,MATCH($R$1,Database!$A$1:$AS$1,),))))</f>
        <v>2.7985074640282594E-3</v>
      </c>
      <c r="S360" s="13">
        <f>((((VLOOKUP(B360,Database!$A:$AS,MATCH($S$1,Database!$A$1:$AS$1,),))))-(((VLOOKUP(EDATE(B360,-12),Database!$A:$AS,MATCH($S$1,Database!$A$1:$AS$1,),)))))/(((VLOOKUP(EDATE(B360,-12),Database!$A:$AS,MATCH($S$1,Database!$A$1:$AS$1,),))))</f>
        <v>1.9191919186491605E-2</v>
      </c>
      <c r="T360" s="13">
        <f>((((VLOOKUP(B360,Database!$A:$AS,MATCH($T$1,Database!$A$1:$AS$1,),))))-(((VLOOKUP(EDATE(B360,-12),Database!$A:$AS,MATCH($T$1,Database!$A$1:$AS$1,),)))))/(((VLOOKUP(EDATE(B360,-12),Database!$A:$AS,MATCH($T$1,Database!$A$1:$AS$1,),))))</f>
        <v>0.11331444759880965</v>
      </c>
      <c r="U360" s="13">
        <f>((((VLOOKUP(B360,Database!$A:$AS,MATCH($U$1,Database!$A$1:$AS$1,),))))-(((VLOOKUP(EDATE(B360,-12),Database!$A:$AS,MATCH($U$1,Database!$A$1:$AS$1,),)))))/(((VLOOKUP(EDATE(B360,-12),Database!$A:$AS,MATCH($U$1,Database!$A$1:$AS$1,),))))</f>
        <v>6.0634328356198537E-2</v>
      </c>
      <c r="V360" s="13">
        <f>((((VLOOKUP(B360,Database!$A:$AS,MATCH($V$1,Database!$A$1:$AS$1,),))))-(((VLOOKUP(EDATE(B360,-12),Database!$A:$AS,MATCH($V$1,Database!$A$1:$AS$1,),)))))/(((VLOOKUP(EDATE(B360,-12),Database!$A:$AS,MATCH($V$1,Database!$A$1:$AS$1,),))))</f>
        <v>6.2030075187969866E-2</v>
      </c>
    </row>
    <row r="361" spans="1:22" s="83" customFormat="1" x14ac:dyDescent="0.2">
      <c r="A361" s="43"/>
      <c r="B361" s="78">
        <v>43132</v>
      </c>
      <c r="C361" s="13">
        <f>((((VLOOKUP(B361,Database!$A:$AS,MATCH($C$1,Database!$A$1:$AS$1,),))))-(((VLOOKUP(EDATE(B361,-12),Database!$A:$AS,MATCH($C$1,Database!$A$1:$AS$1,),)))))/(((VLOOKUP(EDATE(B361,-12),Database!$A:$AS,MATCH($C$1,Database!$A$1:$AS$1,),))))</f>
        <v>3.3363627860530723E-2</v>
      </c>
      <c r="D361" s="13">
        <f>((((VLOOKUP(B361,Database!$A:$AS,MATCH($D$1,Database!$A$1:$AS$1,),))))-(((VLOOKUP(EDATE(B361,-12),Database!$A:$AS,MATCH($D$1,Database!$A$1:$AS$1,),)))))/(((VLOOKUP(EDATE(B361,-12),Database!$A:$AS,MATCH($D$1,Database!$A$1:$AS$1,),))))</f>
        <v>2.2351797862001914E-2</v>
      </c>
      <c r="E361" s="13">
        <f>((((VLOOKUP(B361,Database!$A:$AS,MATCH($E$1,Database!$A$1:$AS$1,),))))-(((VLOOKUP(EDATE(B361,-12),Database!$A:$AS,MATCH($E$1,Database!$A$1:$AS$1,),)))))/(((VLOOKUP(EDATE(B361,-12),Database!$A:$AS,MATCH($E$1,Database!$A$1:$AS$1,),))))</f>
        <v>2.3668639056580971E-2</v>
      </c>
      <c r="F361" s="13">
        <f>((((VLOOKUP(B361,Database!$A:$AS,MATCH($F$1,Database!$A$1:$AS$1,),))))-(((VLOOKUP(EDATE(B361,-12),Database!$A:$AS,MATCH($F$1,Database!$A$1:$AS$1,),)))))/(((VLOOKUP(EDATE(B361,-12),Database!$A:$AS,MATCH($F$1,Database!$A$1:$AS$1,),))))</f>
        <v>2.5267249753163742E-2</v>
      </c>
      <c r="G361" s="13">
        <f>((((VLOOKUP(B361,Database!$A:$AS,MATCH($G$1,Database!$A$1:$AS$1,),))))-(((VLOOKUP(EDATE(B361,-12),Database!$A:$AS,MATCH($G$1,Database!$A$1:$AS$1,),)))))/(((VLOOKUP(EDATE(B361,-12),Database!$A:$AS,MATCH($G$1,Database!$A$1:$AS$1,),))))</f>
        <v>3.1153270094857615E-2</v>
      </c>
      <c r="H361" s="13">
        <f>((((VLOOKUP(B361,Database!$A:$AS,MATCH($H$1,Database!$A$1:$AS$1,),))))-(((VLOOKUP(EDATE(B361,-12),Database!$A:$AS,MATCH($H$1,Database!$A$1:$AS$1,),)))))/(((VLOOKUP(EDATE(B361,-12),Database!$A:$AS,MATCH($H$1,Database!$A$1:$AS$1,),))))</f>
        <v>5.4406964078631418E-3</v>
      </c>
      <c r="I361" s="13">
        <f>((((VLOOKUP(B361,Database!$A:$AS,MATCH($I$1,Database!$A$1:$AS$1,),))))-(((VLOOKUP(EDATE(B361,-12),Database!$A:$AS,MATCH($I$1,Database!$A$1:$AS$1,),)))))/(((VLOOKUP(EDATE(B361,-12),Database!$A:$AS,MATCH($I$1,Database!$A$1:$AS$1,),))))</f>
        <v>2.9126213593835666E-2</v>
      </c>
      <c r="J361" s="13">
        <f>((((VLOOKUP(B361,Database!$A:$AS,MATCH($J$1,Database!$A$1:$AS$1,),))))-(((VLOOKUP(EDATE(B361,-12),Database!$A:$AS,MATCH($J$1,Database!$A$1:$AS$1,),)))))/(((VLOOKUP(EDATE(B361,-12),Database!$A:$AS,MATCH($J$1,Database!$A$1:$AS$1,),))))</f>
        <v>2.5242380930687355E-2</v>
      </c>
      <c r="K361" s="13">
        <f>((((VLOOKUP(B361,Database!$A:$AS,MATCH($K$1,Database!$A$1:$AS$1,),))))-(((VLOOKUP(EDATE(B361,-12),Database!$A:$AS,MATCH($K$1,Database!$A$1:$AS$1,),)))))/(((VLOOKUP(EDATE(B361,-12),Database!$A:$AS,MATCH($K$1,Database!$A$1:$AS$1,),))))</f>
        <v>4.1187739461739203E-2</v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>6.5659898365097013E-3</v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>2.7777777777777693E-2</v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>6.8947572306806357E-2</v>
      </c>
      <c r="O361" s="13">
        <f>((((VLOOKUP(B361,Database!$A:$AS,MATCH($O$1,Database!$A$1:$AS$1,),))))-(((VLOOKUP(EDATE(B361,-12),Database!$A:$AS,MATCH($O$1,Database!$A$1:$AS$1,),)))))/(((VLOOKUP(EDATE(B361,-12),Database!$A:$AS,MATCH($O$1,Database!$A$1:$AS$1,),))))</f>
        <v>3.8753677171310764E-2</v>
      </c>
      <c r="P361" s="13">
        <f>((((VLOOKUP(B361,Database!$A:$AS,MATCH($P$1,Database!$A$1:$AS$1,),))))-(((VLOOKUP(EDATE(B361,-12),Database!$A:$AS,MATCH($P$1,Database!$A$1:$AS$1,),)))))/(((VLOOKUP(EDATE(B361,-12),Database!$A:$AS,MATCH($P$1,Database!$A$1:$AS$1,),))))</f>
        <v>1.8147086916336267E-2</v>
      </c>
      <c r="Q361" s="13">
        <f>((((VLOOKUP(B361,Database!$A:$AS,MATCH($Q$1,Database!$A$1:$AS$1,),))))-(((VLOOKUP(EDATE(B361,-12),Database!$A:$AS,MATCH($Q$1,Database!$A$1:$AS$1,),)))))/(((VLOOKUP(EDATE(B361,-12),Database!$A:$AS,MATCH($Q$1,Database!$A$1:$AS$1,),))))</f>
        <v>1.3729977111806069E-2</v>
      </c>
      <c r="R361" s="13">
        <f>((((VLOOKUP(B361,Database!$A:$AS,MATCH($R$1,Database!$A$1:$AS$1,),))))-(((VLOOKUP(EDATE(B361,-12),Database!$A:$AS,MATCH($R$1,Database!$A$1:$AS$1,),)))))/(((VLOOKUP(EDATE(B361,-12),Database!$A:$AS,MATCH($R$1,Database!$A$1:$AS$1,),))))</f>
        <v>-7.3529411738318673E-3</v>
      </c>
      <c r="S361" s="13">
        <f>((((VLOOKUP(B361,Database!$A:$AS,MATCH($S$1,Database!$A$1:$AS$1,),))))-(((VLOOKUP(EDATE(B361,-12),Database!$A:$AS,MATCH($S$1,Database!$A$1:$AS$1,),)))))/(((VLOOKUP(EDATE(B361,-12),Database!$A:$AS,MATCH($S$1,Database!$A$1:$AS$1,),))))</f>
        <v>-5.5445544548985877E-2</v>
      </c>
      <c r="T361" s="13">
        <f>((((VLOOKUP(B361,Database!$A:$AS,MATCH($T$1,Database!$A$1:$AS$1,),))))-(((VLOOKUP(EDATE(B361,-12),Database!$A:$AS,MATCH($T$1,Database!$A$1:$AS$1,),)))))/(((VLOOKUP(EDATE(B361,-12),Database!$A:$AS,MATCH($T$1,Database!$A$1:$AS$1,),))))</f>
        <v>8.9302325584657907E-2</v>
      </c>
      <c r="U361" s="13">
        <f>((((VLOOKUP(B361,Database!$A:$AS,MATCH($U$1,Database!$A$1:$AS$1,),))))-(((VLOOKUP(EDATE(B361,-12),Database!$A:$AS,MATCH($U$1,Database!$A$1:$AS$1,),)))))/(((VLOOKUP(EDATE(B361,-12),Database!$A:$AS,MATCH($U$1,Database!$A$1:$AS$1,),))))</f>
        <v>2.9712163421210049E-2</v>
      </c>
      <c r="V361" s="13">
        <f>((((VLOOKUP(B361,Database!$A:$AS,MATCH($V$1,Database!$A$1:$AS$1,),))))-(((VLOOKUP(EDATE(B361,-12),Database!$A:$AS,MATCH($V$1,Database!$A$1:$AS$1,),)))))/(((VLOOKUP(EDATE(B361,-12),Database!$A:$AS,MATCH($V$1,Database!$A$1:$AS$1,),))))</f>
        <v>7.1428571428571369E-2</v>
      </c>
    </row>
    <row r="362" spans="1:22" s="83" customFormat="1" x14ac:dyDescent="0.2">
      <c r="A362" s="43"/>
      <c r="B362" s="78">
        <v>43160</v>
      </c>
      <c r="C362" s="13">
        <f>((((VLOOKUP(B362,Database!$A:$AS,MATCH($C$1,Database!$A$1:$AS$1,),))))-(((VLOOKUP(EDATE(B362,-12),Database!$A:$AS,MATCH($C$1,Database!$A$1:$AS$1,),)))))/(((VLOOKUP(EDATE(B362,-12),Database!$A:$AS,MATCH($C$1,Database!$A$1:$AS$1,),))))</f>
        <v>3.2202731401703079E-2</v>
      </c>
      <c r="D362" s="13">
        <f>((((VLOOKUP(B362,Database!$A:$AS,MATCH($D$1,Database!$A$1:$AS$1,),))))-(((VLOOKUP(EDATE(B362,-12),Database!$A:$AS,MATCH($D$1,Database!$A$1:$AS$1,),)))))/(((VLOOKUP(EDATE(B362,-12),Database!$A:$AS,MATCH($D$1,Database!$A$1:$AS$1,),))))</f>
        <v>2.6290165530671886E-2</v>
      </c>
      <c r="E362" s="13">
        <f>((((VLOOKUP(B362,Database!$A:$AS,MATCH($E$1,Database!$A$1:$AS$1,),))))-(((VLOOKUP(EDATE(B362,-12),Database!$A:$AS,MATCH($E$1,Database!$A$1:$AS$1,),)))))/(((VLOOKUP(EDATE(B362,-12),Database!$A:$AS,MATCH($E$1,Database!$A$1:$AS$1,),))))</f>
        <v>3.3497536953103174E-2</v>
      </c>
      <c r="F362" s="13">
        <f>((((VLOOKUP(B362,Database!$A:$AS,MATCH($F$1,Database!$A$1:$AS$1,),))))-(((VLOOKUP(EDATE(B362,-12),Database!$A:$AS,MATCH($F$1,Database!$A$1:$AS$1,),)))))/(((VLOOKUP(EDATE(B362,-12),Database!$A:$AS,MATCH($F$1,Database!$A$1:$AS$1,),))))</f>
        <v>4.19921874947543E-2</v>
      </c>
      <c r="G362" s="13">
        <f>((((VLOOKUP(B362,Database!$A:$AS,MATCH($G$1,Database!$A$1:$AS$1,),))))-(((VLOOKUP(EDATE(B362,-12),Database!$A:$AS,MATCH($G$1,Database!$A$1:$AS$1,),)))))/(((VLOOKUP(EDATE(B362,-12),Database!$A:$AS,MATCH($G$1,Database!$A$1:$AS$1,),))))</f>
        <v>2.8503797218660622E-2</v>
      </c>
      <c r="H362" s="13">
        <f>((((VLOOKUP(B362,Database!$A:$AS,MATCH($H$1,Database!$A$1:$AS$1,),))))-(((VLOOKUP(EDATE(B362,-12),Database!$A:$AS,MATCH($H$1,Database!$A$1:$AS$1,),)))))/(((VLOOKUP(EDATE(B362,-12),Database!$A:$AS,MATCH($H$1,Database!$A$1:$AS$1,),))))</f>
        <v>1.5317286650498274E-2</v>
      </c>
      <c r="I362" s="13">
        <f>((((VLOOKUP(B362,Database!$A:$AS,MATCH($I$1,Database!$A$1:$AS$1,),))))-(((VLOOKUP(EDATE(B362,-12),Database!$A:$AS,MATCH($I$1,Database!$A$1:$AS$1,),)))))/(((VLOOKUP(EDATE(B362,-12),Database!$A:$AS,MATCH($I$1,Database!$A$1:$AS$1,),))))</f>
        <v>3.5611164577919012E-2</v>
      </c>
      <c r="J362" s="13">
        <f>((((VLOOKUP(B362,Database!$A:$AS,MATCH($J$1,Database!$A$1:$AS$1,),))))-(((VLOOKUP(EDATE(B362,-12),Database!$A:$AS,MATCH($J$1,Database!$A$1:$AS$1,),)))))/(((VLOOKUP(EDATE(B362,-12),Database!$A:$AS,MATCH($J$1,Database!$A$1:$AS$1,),))))</f>
        <v>4.9006956638317792E-2</v>
      </c>
      <c r="K362" s="13">
        <f>((((VLOOKUP(B362,Database!$A:$AS,MATCH($K$1,Database!$A$1:$AS$1,),))))-(((VLOOKUP(EDATE(B362,-12),Database!$A:$AS,MATCH($K$1,Database!$A$1:$AS$1,),)))))/(((VLOOKUP(EDATE(B362,-12),Database!$A:$AS,MATCH($K$1,Database!$A$1:$AS$1,),))))</f>
        <v>4.6666666672824889E-2</v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>-1</v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>3.5508637236084481E-2</v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>5.5790796676693212E-2</v>
      </c>
      <c r="O362" s="13">
        <f>((((VLOOKUP(B362,Database!$A:$AS,MATCH($O$1,Database!$A$1:$AS$1,),))))-(((VLOOKUP(EDATE(B362,-12),Database!$A:$AS,MATCH($O$1,Database!$A$1:$AS$1,),)))))/(((VLOOKUP(EDATE(B362,-12),Database!$A:$AS,MATCH($O$1,Database!$A$1:$AS$1,),))))</f>
        <v>4.8434102909933115E-2</v>
      </c>
      <c r="P362" s="13">
        <f>((((VLOOKUP(B362,Database!$A:$AS,MATCH($P$1,Database!$A$1:$AS$1,),))))-(((VLOOKUP(EDATE(B362,-12),Database!$A:$AS,MATCH($P$1,Database!$A$1:$AS$1,),)))))/(((VLOOKUP(EDATE(B362,-12),Database!$A:$AS,MATCH($P$1,Database!$A$1:$AS$1,),))))</f>
        <v>-1.691729322841834E-2</v>
      </c>
      <c r="Q362" s="13">
        <f>((((VLOOKUP(B362,Database!$A:$AS,MATCH($Q$1,Database!$A$1:$AS$1,),))))-(((VLOOKUP(EDATE(B362,-12),Database!$A:$AS,MATCH($Q$1,Database!$A$1:$AS$1,),)))))/(((VLOOKUP(EDATE(B362,-12),Database!$A:$AS,MATCH($Q$1,Database!$A$1:$AS$1,),))))</f>
        <v>4.6728971960236954E-2</v>
      </c>
      <c r="R362" s="13">
        <f>((((VLOOKUP(B362,Database!$A:$AS,MATCH($R$1,Database!$A$1:$AS$1,),))))-(((VLOOKUP(EDATE(B362,-12),Database!$A:$AS,MATCH($R$1,Database!$A$1:$AS$1,),)))))/(((VLOOKUP(EDATE(B362,-12),Database!$A:$AS,MATCH($R$1,Database!$A$1:$AS$1,),))))</f>
        <v>9.2850510690841211E-3</v>
      </c>
      <c r="S362" s="13">
        <f>((((VLOOKUP(B362,Database!$A:$AS,MATCH($S$1,Database!$A$1:$AS$1,),))))-(((VLOOKUP(EDATE(B362,-12),Database!$A:$AS,MATCH($S$1,Database!$A$1:$AS$1,),)))))/(((VLOOKUP(EDATE(B362,-12),Database!$A:$AS,MATCH($S$1,Database!$A$1:$AS$1,),))))</f>
        <v>-0.16597077244800368</v>
      </c>
      <c r="T362" s="13">
        <f>((((VLOOKUP(B362,Database!$A:$AS,MATCH($T$1,Database!$A$1:$AS$1,),))))-(((VLOOKUP(EDATE(B362,-12),Database!$A:$AS,MATCH($T$1,Database!$A$1:$AS$1,),)))))/(((VLOOKUP(EDATE(B362,-12),Database!$A:$AS,MATCH($T$1,Database!$A$1:$AS$1,),))))</f>
        <v>7.5298438938546805E-2</v>
      </c>
      <c r="U362" s="13">
        <f>((((VLOOKUP(B362,Database!$A:$AS,MATCH($U$1,Database!$A$1:$AS$1,),))))-(((VLOOKUP(EDATE(B362,-12),Database!$A:$AS,MATCH($U$1,Database!$A$1:$AS$1,),)))))/(((VLOOKUP(EDATE(B362,-12),Database!$A:$AS,MATCH($U$1,Database!$A$1:$AS$1,),))))</f>
        <v>4.1666666667052564E-2</v>
      </c>
      <c r="V362" s="13">
        <f>((((VLOOKUP(B362,Database!$A:$AS,MATCH($V$1,Database!$A$1:$AS$1,),))))-(((VLOOKUP(EDATE(B362,-12),Database!$A:$AS,MATCH($V$1,Database!$A$1:$AS$1,),)))))/(((VLOOKUP(EDATE(B362,-12),Database!$A:$AS,MATCH($V$1,Database!$A$1:$AS$1,),))))</f>
        <v>3.9413382218148593E-2</v>
      </c>
    </row>
    <row r="363" spans="1:22" s="83" customFormat="1" x14ac:dyDescent="0.2">
      <c r="A363" s="43"/>
      <c r="B363" s="78">
        <v>43191</v>
      </c>
      <c r="C363" s="13">
        <f>((((VLOOKUP(B363,Database!$A:$AS,MATCH($C$1,Database!$A$1:$AS$1,),))))-(((VLOOKUP(EDATE(B363,-12),Database!$A:$AS,MATCH($C$1,Database!$A$1:$AS$1,),)))))/(((VLOOKUP(EDATE(B363,-12),Database!$A:$AS,MATCH($C$1,Database!$A$1:$AS$1,),))))</f>
        <v>3.3719759719053465E-2</v>
      </c>
      <c r="D363" s="13">
        <f>((((VLOOKUP(B363,Database!$A:$AS,MATCH($D$1,Database!$A$1:$AS$1,),))))-(((VLOOKUP(EDATE(B363,-12),Database!$A:$AS,MATCH($D$1,Database!$A$1:$AS$1,),)))))/(((VLOOKUP(EDATE(B363,-12),Database!$A:$AS,MATCH($D$1,Database!$A$1:$AS$1,),))))</f>
        <v>1.5458937198067579E-2</v>
      </c>
      <c r="E363" s="13">
        <f>((((VLOOKUP(B363,Database!$A:$AS,MATCH($E$1,Database!$A$1:$AS$1,),))))-(((VLOOKUP(EDATE(B363,-12),Database!$A:$AS,MATCH($E$1,Database!$A$1:$AS$1,),)))))/(((VLOOKUP(EDATE(B363,-12),Database!$A:$AS,MATCH($E$1,Database!$A$1:$AS$1,),))))</f>
        <v>4.8169556858733437E-3</v>
      </c>
      <c r="F363" s="13">
        <f>((((VLOOKUP(B363,Database!$A:$AS,MATCH($F$1,Database!$A$1:$AS$1,),))))-(((VLOOKUP(EDATE(B363,-12),Database!$A:$AS,MATCH($F$1,Database!$A$1:$AS$1,),)))))/(((VLOOKUP(EDATE(B363,-12),Database!$A:$AS,MATCH($F$1,Database!$A$1:$AS$1,),))))</f>
        <v>2.4131274131031881E-2</v>
      </c>
      <c r="G363" s="13">
        <f>((((VLOOKUP(B363,Database!$A:$AS,MATCH($G$1,Database!$A$1:$AS$1,),))))-(((VLOOKUP(EDATE(B363,-12),Database!$A:$AS,MATCH($G$1,Database!$A$1:$AS$1,),)))))/(((VLOOKUP(EDATE(B363,-12),Database!$A:$AS,MATCH($G$1,Database!$A$1:$AS$1,),))))</f>
        <v>1.8205204313841927E-2</v>
      </c>
      <c r="H363" s="13">
        <f>((((VLOOKUP(B363,Database!$A:$AS,MATCH($H$1,Database!$A$1:$AS$1,),))))-(((VLOOKUP(EDATE(B363,-12),Database!$A:$AS,MATCH($H$1,Database!$A$1:$AS$1,),)))))/(((VLOOKUP(EDATE(B363,-12),Database!$A:$AS,MATCH($H$1,Database!$A$1:$AS$1,),))))</f>
        <v>2.2875816986016418E-2</v>
      </c>
      <c r="I363" s="13">
        <f>((((VLOOKUP(B363,Database!$A:$AS,MATCH($I$1,Database!$A$1:$AS$1,),))))-(((VLOOKUP(EDATE(B363,-12),Database!$A:$AS,MATCH($I$1,Database!$A$1:$AS$1,),)))))/(((VLOOKUP(EDATE(B363,-12),Database!$A:$AS,MATCH($I$1,Database!$A$1:$AS$1,),))))</f>
        <v>2.3166023169265824E-2</v>
      </c>
      <c r="J363" s="13">
        <f>((((VLOOKUP(B363,Database!$A:$AS,MATCH($J$1,Database!$A$1:$AS$1,),))))-(((VLOOKUP(EDATE(B363,-12),Database!$A:$AS,MATCH($J$1,Database!$A$1:$AS$1,),)))))/(((VLOOKUP(EDATE(B363,-12),Database!$A:$AS,MATCH($J$1,Database!$A$1:$AS$1,),))))</f>
        <v>1.5745130543602489E-2</v>
      </c>
      <c r="K363" s="13">
        <f>((((VLOOKUP(B363,Database!$A:$AS,MATCH($K$1,Database!$A$1:$AS$1,),))))-(((VLOOKUP(EDATE(B363,-12),Database!$A:$AS,MATCH($K$1,Database!$A$1:$AS$1,),)))))/(((VLOOKUP(EDATE(B363,-12),Database!$A:$AS,MATCH($K$1,Database!$A$1:$AS$1,),))))</f>
        <v>1.1428571434938209E-2</v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>-1</v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>2.7462121212121268E-2</v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>4.2162526887577052E-2</v>
      </c>
      <c r="O363" s="13">
        <f>((((VLOOKUP(B363,Database!$A:$AS,MATCH($O$1,Database!$A$1:$AS$1,),))))-(((VLOOKUP(EDATE(B363,-12),Database!$A:$AS,MATCH($O$1,Database!$A$1:$AS$1,),)))))/(((VLOOKUP(EDATE(B363,-12),Database!$A:$AS,MATCH($O$1,Database!$A$1:$AS$1,),))))</f>
        <v>4.1184978512251509E-2</v>
      </c>
      <c r="P363" s="13">
        <f>((((VLOOKUP(B363,Database!$A:$AS,MATCH($P$1,Database!$A$1:$AS$1,),))))-(((VLOOKUP(EDATE(B363,-12),Database!$A:$AS,MATCH($P$1,Database!$A$1:$AS$1,),)))))/(((VLOOKUP(EDATE(B363,-12),Database!$A:$AS,MATCH($P$1,Database!$A$1:$AS$1,),))))</f>
        <v>2.4880382781053933E-2</v>
      </c>
      <c r="Q363" s="13">
        <f>((((VLOOKUP(B363,Database!$A:$AS,MATCH($Q$1,Database!$A$1:$AS$1,),))))-(((VLOOKUP(EDATE(B363,-12),Database!$A:$AS,MATCH($Q$1,Database!$A$1:$AS$1,),)))))/(((VLOOKUP(EDATE(B363,-12),Database!$A:$AS,MATCH($Q$1,Database!$A$1:$AS$1,),))))</f>
        <v>4.8894062867450752E-2</v>
      </c>
      <c r="R363" s="13">
        <f>((((VLOOKUP(B363,Database!$A:$AS,MATCH($R$1,Database!$A$1:$AS$1,),))))-(((VLOOKUP(EDATE(B363,-12),Database!$A:$AS,MATCH($R$1,Database!$A$1:$AS$1,),)))))/(((VLOOKUP(EDATE(B363,-12),Database!$A:$AS,MATCH($R$1,Database!$A$1:$AS$1,),))))</f>
        <v>3.0977734751804528E-2</v>
      </c>
      <c r="S363" s="13">
        <f>((((VLOOKUP(B363,Database!$A:$AS,MATCH($S$1,Database!$A$1:$AS$1,),))))-(((VLOOKUP(EDATE(B363,-12),Database!$A:$AS,MATCH($S$1,Database!$A$1:$AS$1,),)))))/(((VLOOKUP(EDATE(B363,-12),Database!$A:$AS,MATCH($S$1,Database!$A$1:$AS$1,),))))</f>
        <v>-0.11015325670311857</v>
      </c>
      <c r="T363" s="13">
        <f>((((VLOOKUP(B363,Database!$A:$AS,MATCH($T$1,Database!$A$1:$AS$1,),))))-(((VLOOKUP(EDATE(B363,-12),Database!$A:$AS,MATCH($T$1,Database!$A$1:$AS$1,),)))))/(((VLOOKUP(EDATE(B363,-12),Database!$A:$AS,MATCH($T$1,Database!$A$1:$AS$1,),))))</f>
        <v>5.8981233245501315E-2</v>
      </c>
      <c r="U363" s="13">
        <f>((((VLOOKUP(B363,Database!$A:$AS,MATCH($U$1,Database!$A$1:$AS$1,),))))-(((VLOOKUP(EDATE(B363,-12),Database!$A:$AS,MATCH($U$1,Database!$A$1:$AS$1,),)))))/(((VLOOKUP(EDATE(B363,-12),Database!$A:$AS,MATCH($U$1,Database!$A$1:$AS$1,),))))</f>
        <v>9.0497737456622933E-4</v>
      </c>
      <c r="V363" s="13">
        <f>((((VLOOKUP(B363,Database!$A:$AS,MATCH($V$1,Database!$A$1:$AS$1,),))))-(((VLOOKUP(EDATE(B363,-12),Database!$A:$AS,MATCH($V$1,Database!$A$1:$AS$1,),)))))/(((VLOOKUP(EDATE(B363,-12),Database!$A:$AS,MATCH($V$1,Database!$A$1:$AS$1,),))))</f>
        <v>6.6790352504638245E-2</v>
      </c>
    </row>
    <row r="364" spans="1:22" s="83" customFormat="1" x14ac:dyDescent="0.2">
      <c r="A364" s="43"/>
      <c r="B364" s="78">
        <v>43221</v>
      </c>
      <c r="C364" s="13">
        <f>((((VLOOKUP(B364,Database!$A:$AS,MATCH($C$1,Database!$A$1:$AS$1,),))))-(((VLOOKUP(EDATE(B364,-12),Database!$A:$AS,MATCH($C$1,Database!$A$1:$AS$1,),)))))/(((VLOOKUP(EDATE(B364,-12),Database!$A:$AS,MATCH($C$1,Database!$A$1:$AS$1,),))))</f>
        <v>2.3902862790593841E-2</v>
      </c>
      <c r="D364" s="13">
        <f>((((VLOOKUP(B364,Database!$A:$AS,MATCH($D$1,Database!$A$1:$AS$1,),))))-(((VLOOKUP(EDATE(B364,-12),Database!$A:$AS,MATCH($D$1,Database!$A$1:$AS$1,),)))))/(((VLOOKUP(EDATE(B364,-12),Database!$A:$AS,MATCH($D$1,Database!$A$1:$AS$1,),))))</f>
        <v>2.502406159769003E-2</v>
      </c>
      <c r="E364" s="13">
        <f>((((VLOOKUP(B364,Database!$A:$AS,MATCH($E$1,Database!$A$1:$AS$1,),))))-(((VLOOKUP(EDATE(B364,-12),Database!$A:$AS,MATCH($E$1,Database!$A$1:$AS$1,),)))))/(((VLOOKUP(EDATE(B364,-12),Database!$A:$AS,MATCH($E$1,Database!$A$1:$AS$1,),))))</f>
        <v>2.3483365952394031E-2</v>
      </c>
      <c r="F364" s="13">
        <f>((((VLOOKUP(B364,Database!$A:$AS,MATCH($F$1,Database!$A$1:$AS$1,),))))-(((VLOOKUP(EDATE(B364,-12),Database!$A:$AS,MATCH($F$1,Database!$A$1:$AS$1,),)))))/(((VLOOKUP(EDATE(B364,-12),Database!$A:$AS,MATCH($F$1,Database!$A$1:$AS$1,),))))</f>
        <v>3.746397694441439E-2</v>
      </c>
      <c r="G364" s="13">
        <f>((((VLOOKUP(B364,Database!$A:$AS,MATCH($G$1,Database!$A$1:$AS$1,),))))-(((VLOOKUP(EDATE(B364,-12),Database!$A:$AS,MATCH($G$1,Database!$A$1:$AS$1,),)))))/(((VLOOKUP(EDATE(B364,-12),Database!$A:$AS,MATCH($G$1,Database!$A$1:$AS$1,),))))</f>
        <v>-1.2885099786862995E-2</v>
      </c>
      <c r="H364" s="13">
        <f>((((VLOOKUP(B364,Database!$A:$AS,MATCH($H$1,Database!$A$1:$AS$1,),))))-(((VLOOKUP(EDATE(B364,-12),Database!$A:$AS,MATCH($H$1,Database!$A$1:$AS$1,),)))))/(((VLOOKUP(EDATE(B364,-12),Database!$A:$AS,MATCH($H$1,Database!$A$1:$AS$1,),))))</f>
        <v>2.7085590459487247E-2</v>
      </c>
      <c r="I364" s="13">
        <f>((((VLOOKUP(B364,Database!$A:$AS,MATCH($I$1,Database!$A$1:$AS$1,),))))-(((VLOOKUP(EDATE(B364,-12),Database!$A:$AS,MATCH($I$1,Database!$A$1:$AS$1,),)))))/(((VLOOKUP(EDATE(B364,-12),Database!$A:$AS,MATCH($I$1,Database!$A$1:$AS$1,),))))</f>
        <v>2.2988505750319591E-2</v>
      </c>
      <c r="J364" s="13">
        <f>((((VLOOKUP(B364,Database!$A:$AS,MATCH($J$1,Database!$A$1:$AS$1,),))))-(((VLOOKUP(EDATE(B364,-12),Database!$A:$AS,MATCH($J$1,Database!$A$1:$AS$1,),)))))/(((VLOOKUP(EDATE(B364,-12),Database!$A:$AS,MATCH($J$1,Database!$A$1:$AS$1,),))))</f>
        <v>1.602113345237997E-2</v>
      </c>
      <c r="K364" s="13">
        <f>((((VLOOKUP(B364,Database!$A:$AS,MATCH($K$1,Database!$A$1:$AS$1,),))))-(((VLOOKUP(EDATE(B364,-12),Database!$A:$AS,MATCH($K$1,Database!$A$1:$AS$1,),)))))/(((VLOOKUP(EDATE(B364,-12),Database!$A:$AS,MATCH($K$1,Database!$A$1:$AS$1,),))))</f>
        <v>4.2452830186098377E-2</v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>-1</v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>3.7523452157598502E-2</v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>3.7407354695265647E-2</v>
      </c>
      <c r="O364" s="13">
        <f>((((VLOOKUP(B364,Database!$A:$AS,MATCH($O$1,Database!$A$1:$AS$1,),))))-(((VLOOKUP(EDATE(B364,-12),Database!$A:$AS,MATCH($O$1,Database!$A$1:$AS$1,),)))))/(((VLOOKUP(EDATE(B364,-12),Database!$A:$AS,MATCH($O$1,Database!$A$1:$AS$1,),))))</f>
        <v>2.7543506770811285E-2</v>
      </c>
      <c r="P364" s="13">
        <f>((((VLOOKUP(B364,Database!$A:$AS,MATCH($P$1,Database!$A$1:$AS$1,),))))-(((VLOOKUP(EDATE(B364,-12),Database!$A:$AS,MATCH($P$1,Database!$A$1:$AS$1,),)))))/(((VLOOKUP(EDATE(B364,-12),Database!$A:$AS,MATCH($P$1,Database!$A$1:$AS$1,),))))</f>
        <v>2.2813688206565999E-2</v>
      </c>
      <c r="Q364" s="13">
        <f>((((VLOOKUP(B364,Database!$A:$AS,MATCH($Q$1,Database!$A$1:$AS$1,),))))-(((VLOOKUP(EDATE(B364,-12),Database!$A:$AS,MATCH($Q$1,Database!$A$1:$AS$1,),)))))/(((VLOOKUP(EDATE(B364,-12),Database!$A:$AS,MATCH($Q$1,Database!$A$1:$AS$1,),))))</f>
        <v>-6.9605568442101973E-2</v>
      </c>
      <c r="R364" s="13">
        <f>((((VLOOKUP(B364,Database!$A:$AS,MATCH($R$1,Database!$A$1:$AS$1,),))))-(((VLOOKUP(EDATE(B364,-12),Database!$A:$AS,MATCH($R$1,Database!$A$1:$AS$1,),)))))/(((VLOOKUP(EDATE(B364,-12),Database!$A:$AS,MATCH($R$1,Database!$A$1:$AS$1,),))))</f>
        <v>1.2104283056650964E-2</v>
      </c>
      <c r="S364" s="13">
        <f>((((VLOOKUP(B364,Database!$A:$AS,MATCH($S$1,Database!$A$1:$AS$1,),))))-(((VLOOKUP(EDATE(B364,-12),Database!$A:$AS,MATCH($S$1,Database!$A$1:$AS$1,),)))))/(((VLOOKUP(EDATE(B364,-12),Database!$A:$AS,MATCH($S$1,Database!$A$1:$AS$1,),))))</f>
        <v>5.2576235548190957E-2</v>
      </c>
      <c r="T364" s="13">
        <f>((((VLOOKUP(B364,Database!$A:$AS,MATCH($T$1,Database!$A$1:$AS$1,),))))-(((VLOOKUP(EDATE(B364,-12),Database!$A:$AS,MATCH($T$1,Database!$A$1:$AS$1,),)))))/(((VLOOKUP(EDATE(B364,-12),Database!$A:$AS,MATCH($T$1,Database!$A$1:$AS$1,),))))</f>
        <v>5.610859728156236E-2</v>
      </c>
      <c r="U364" s="13">
        <f>((((VLOOKUP(B364,Database!$A:$AS,MATCH($U$1,Database!$A$1:$AS$1,),))))-(((VLOOKUP(EDATE(B364,-12),Database!$A:$AS,MATCH($U$1,Database!$A$1:$AS$1,),)))))/(((VLOOKUP(EDATE(B364,-12),Database!$A:$AS,MATCH($U$1,Database!$A$1:$AS$1,),))))</f>
        <v>9.7690941365792244E-3</v>
      </c>
      <c r="V364" s="13">
        <f>((((VLOOKUP(B364,Database!$A:$AS,MATCH($V$1,Database!$A$1:$AS$1,),))))-(((VLOOKUP(EDATE(B364,-12),Database!$A:$AS,MATCH($V$1,Database!$A$1:$AS$1,),)))))/(((VLOOKUP(EDATE(B364,-12),Database!$A:$AS,MATCH($V$1,Database!$A$1:$AS$1,),))))</f>
        <v>7.4448529411764788E-2</v>
      </c>
    </row>
    <row r="365" spans="1:22" s="83" customFormat="1" x14ac:dyDescent="0.2">
      <c r="A365" s="43"/>
      <c r="B365" s="78">
        <v>43252</v>
      </c>
      <c r="C365" s="13">
        <f>((((VLOOKUP(B365,Database!$A:$AS,MATCH($C$1,Database!$A$1:$AS$1,),))))-(((VLOOKUP(EDATE(B365,-12),Database!$A:$AS,MATCH($C$1,Database!$A$1:$AS$1,),)))))/(((VLOOKUP(EDATE(B365,-12),Database!$A:$AS,MATCH($C$1,Database!$A$1:$AS$1,),))))</f>
        <v>2.9912007671479651E-2</v>
      </c>
      <c r="D365" s="13">
        <f>((((VLOOKUP(B365,Database!$A:$AS,MATCH($D$1,Database!$A$1:$AS$1,),))))-(((VLOOKUP(EDATE(B365,-12),Database!$A:$AS,MATCH($D$1,Database!$A$1:$AS$1,),)))))/(((VLOOKUP(EDATE(B365,-12),Database!$A:$AS,MATCH($D$1,Database!$A$1:$AS$1,),))))</f>
        <v>2.7053140096618331E-2</v>
      </c>
      <c r="E365" s="13">
        <f>((((VLOOKUP(B365,Database!$A:$AS,MATCH($E$1,Database!$A$1:$AS$1,),))))-(((VLOOKUP(EDATE(B365,-12),Database!$A:$AS,MATCH($E$1,Database!$A$1:$AS$1,),)))))/(((VLOOKUP(EDATE(B365,-12),Database!$A:$AS,MATCH($E$1,Database!$A$1:$AS$1,),))))</f>
        <v>5.8252427168252723E-3</v>
      </c>
      <c r="F365" s="13">
        <f>((((VLOOKUP(B365,Database!$A:$AS,MATCH($F$1,Database!$A$1:$AS$1,),))))-(((VLOOKUP(EDATE(B365,-12),Database!$A:$AS,MATCH($F$1,Database!$A$1:$AS$1,),)))))/(((VLOOKUP(EDATE(B365,-12),Database!$A:$AS,MATCH($F$1,Database!$A$1:$AS$1,),))))</f>
        <v>3.5508637242311056E-2</v>
      </c>
      <c r="G365" s="13">
        <f>((((VLOOKUP(B365,Database!$A:$AS,MATCH($G$1,Database!$A$1:$AS$1,),))))-(((VLOOKUP(EDATE(B365,-12),Database!$A:$AS,MATCH($G$1,Database!$A$1:$AS$1,),)))))/(((VLOOKUP(EDATE(B365,-12),Database!$A:$AS,MATCH($G$1,Database!$A$1:$AS$1,),))))</f>
        <v>1.71484566389025E-2</v>
      </c>
      <c r="H365" s="13">
        <f>((((VLOOKUP(B365,Database!$A:$AS,MATCH($H$1,Database!$A$1:$AS$1,),))))-(((VLOOKUP(EDATE(B365,-12),Database!$A:$AS,MATCH($H$1,Database!$A$1:$AS$1,),)))))/(((VLOOKUP(EDATE(B365,-12),Database!$A:$AS,MATCH($H$1,Database!$A$1:$AS$1,),))))</f>
        <v>5.3030303029998123E-2</v>
      </c>
      <c r="I365" s="13">
        <f>((((VLOOKUP(B365,Database!$A:$AS,MATCH($I$1,Database!$A$1:$AS$1,),))))-(((VLOOKUP(EDATE(B365,-12),Database!$A:$AS,MATCH($I$1,Database!$A$1:$AS$1,),)))))/(((VLOOKUP(EDATE(B365,-12),Database!$A:$AS,MATCH($I$1,Database!$A$1:$AS$1,),))))</f>
        <v>1.4204545460114749E-2</v>
      </c>
      <c r="J365" s="13">
        <f>((((VLOOKUP(B365,Database!$A:$AS,MATCH($J$1,Database!$A$1:$AS$1,),))))-(((VLOOKUP(EDATE(B365,-12),Database!$A:$AS,MATCH($J$1,Database!$A$1:$AS$1,),)))))/(((VLOOKUP(EDATE(B365,-12),Database!$A:$AS,MATCH($J$1,Database!$A$1:$AS$1,),))))</f>
        <v>6.8634637185077691E-3</v>
      </c>
      <c r="K365" s="13">
        <f>((((VLOOKUP(B365,Database!$A:$AS,MATCH($K$1,Database!$A$1:$AS$1,),))))-(((VLOOKUP(EDATE(B365,-12),Database!$A:$AS,MATCH($K$1,Database!$A$1:$AS$1,),)))))/(((VLOOKUP(EDATE(B365,-12),Database!$A:$AS,MATCH($K$1,Database!$A$1:$AS$1,),))))</f>
        <v>3.4644194756186027E-2</v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>-1</v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>3.183520599250942E-2</v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>7.397316887913867E-2</v>
      </c>
      <c r="O365" s="13">
        <f>((((VLOOKUP(B365,Database!$A:$AS,MATCH($O$1,Database!$A$1:$AS$1,),))))-(((VLOOKUP(EDATE(B365,-12),Database!$A:$AS,MATCH($O$1,Database!$A$1:$AS$1,),)))))/(((VLOOKUP(EDATE(B365,-12),Database!$A:$AS,MATCH($O$1,Database!$A$1:$AS$1,),))))</f>
        <v>3.4736882126420281E-2</v>
      </c>
      <c r="P365" s="13">
        <f>((((VLOOKUP(B365,Database!$A:$AS,MATCH($P$1,Database!$A$1:$AS$1,),))))-(((VLOOKUP(EDATE(B365,-12),Database!$A:$AS,MATCH($P$1,Database!$A$1:$AS$1,),)))))/(((VLOOKUP(EDATE(B365,-12),Database!$A:$AS,MATCH($P$1,Database!$A$1:$AS$1,),))))</f>
        <v>4.0307101725955169E-2</v>
      </c>
      <c r="Q365" s="13">
        <f>((((VLOOKUP(B365,Database!$A:$AS,MATCH($Q$1,Database!$A$1:$AS$1,),))))-(((VLOOKUP(EDATE(B365,-12),Database!$A:$AS,MATCH($Q$1,Database!$A$1:$AS$1,),)))))/(((VLOOKUP(EDATE(B365,-12),Database!$A:$AS,MATCH($Q$1,Database!$A$1:$AS$1,),))))</f>
        <v>3.9080459770163001E-2</v>
      </c>
      <c r="R365" s="13">
        <f>((((VLOOKUP(B365,Database!$A:$AS,MATCH($R$1,Database!$A$1:$AS$1,),))))-(((VLOOKUP(EDATE(B365,-12),Database!$A:$AS,MATCH($R$1,Database!$A$1:$AS$1,),)))))/(((VLOOKUP(EDATE(B365,-12),Database!$A:$AS,MATCH($R$1,Database!$A$1:$AS$1,),))))</f>
        <v>1.5858208956600311E-2</v>
      </c>
      <c r="S365" s="13">
        <f>((((VLOOKUP(B365,Database!$A:$AS,MATCH($S$1,Database!$A$1:$AS$1,),))))-(((VLOOKUP(EDATE(B365,-12),Database!$A:$AS,MATCH($S$1,Database!$A$1:$AS$1,),)))))/(((VLOOKUP(EDATE(B365,-12),Database!$A:$AS,MATCH($S$1,Database!$A$1:$AS$1,),))))</f>
        <v>0.13341204250056823</v>
      </c>
      <c r="T365" s="13">
        <f>((((VLOOKUP(B365,Database!$A:$AS,MATCH($T$1,Database!$A$1:$AS$1,),))))-(((VLOOKUP(EDATE(B365,-12),Database!$A:$AS,MATCH($T$1,Database!$A$1:$AS$1,),)))))/(((VLOOKUP(EDATE(B365,-12),Database!$A:$AS,MATCH($T$1,Database!$A$1:$AS$1,),))))</f>
        <v>1.9784172662468912E-2</v>
      </c>
      <c r="U365" s="13">
        <f>((((VLOOKUP(B365,Database!$A:$AS,MATCH($U$1,Database!$A$1:$AS$1,),))))-(((VLOOKUP(EDATE(B365,-12),Database!$A:$AS,MATCH($U$1,Database!$A$1:$AS$1,),)))))/(((VLOOKUP(EDATE(B365,-12),Database!$A:$AS,MATCH($U$1,Database!$A$1:$AS$1,),))))</f>
        <v>6.9060773478017159E-2</v>
      </c>
      <c r="V365" s="13">
        <f>((((VLOOKUP(B365,Database!$A:$AS,MATCH($V$1,Database!$A$1:$AS$1,),))))-(((VLOOKUP(EDATE(B365,-12),Database!$A:$AS,MATCH($V$1,Database!$A$1:$AS$1,),)))))/(((VLOOKUP(EDATE(B365,-12),Database!$A:$AS,MATCH($V$1,Database!$A$1:$AS$1,),))))</f>
        <v>6.7934782608695649E-2</v>
      </c>
    </row>
    <row r="366" spans="1:22" s="83" customFormat="1" x14ac:dyDescent="0.2">
      <c r="A366" s="43"/>
      <c r="B366" s="78">
        <v>43282</v>
      </c>
      <c r="C366" s="13">
        <f>((((VLOOKUP(B366,Database!$A:$AS,MATCH($C$1,Database!$A$1:$AS$1,),))))-(((VLOOKUP(EDATE(B366,-12),Database!$A:$AS,MATCH($C$1,Database!$A$1:$AS$1,),)))))/(((VLOOKUP(EDATE(B366,-12),Database!$A:$AS,MATCH($C$1,Database!$A$1:$AS$1,),))))</f>
        <v>3.3312310644985993E-2</v>
      </c>
      <c r="D366" s="13">
        <f>((((VLOOKUP(B366,Database!$A:$AS,MATCH($D$1,Database!$A$1:$AS$1,),))))-(((VLOOKUP(EDATE(B366,-12),Database!$A:$AS,MATCH($D$1,Database!$A$1:$AS$1,),)))))/(((VLOOKUP(EDATE(B366,-12),Database!$A:$AS,MATCH($D$1,Database!$A$1:$AS$1,),))))</f>
        <v>0</v>
      </c>
      <c r="E366" s="13">
        <f>((((VLOOKUP(B366,Database!$A:$AS,MATCH($E$1,Database!$A$1:$AS$1,),))))-(((VLOOKUP(EDATE(B366,-12),Database!$A:$AS,MATCH($E$1,Database!$A$1:$AS$1,),)))))/(((VLOOKUP(EDATE(B366,-12),Database!$A:$AS,MATCH($E$1,Database!$A$1:$AS$1,),))))</f>
        <v>1.2682926832266772E-2</v>
      </c>
      <c r="F366" s="13">
        <f>((((VLOOKUP(B366,Database!$A:$AS,MATCH($F$1,Database!$A$1:$AS$1,),))))-(((VLOOKUP(EDATE(B366,-12),Database!$A:$AS,MATCH($F$1,Database!$A$1:$AS$1,),)))))/(((VLOOKUP(EDATE(B366,-12),Database!$A:$AS,MATCH($F$1,Database!$A$1:$AS$1,),))))</f>
        <v>8.5959885363007162E-3</v>
      </c>
      <c r="G366" s="13">
        <f>((((VLOOKUP(B366,Database!$A:$AS,MATCH($G$1,Database!$A$1:$AS$1,),))))-(((VLOOKUP(EDATE(B366,-12),Database!$A:$AS,MATCH($G$1,Database!$A$1:$AS$1,),)))))/(((VLOOKUP(EDATE(B366,-12),Database!$A:$AS,MATCH($G$1,Database!$A$1:$AS$1,),))))</f>
        <v>9.648182438358785E-3</v>
      </c>
      <c r="H366" s="13">
        <f>((((VLOOKUP(B366,Database!$A:$AS,MATCH($H$1,Database!$A$1:$AS$1,),))))-(((VLOOKUP(EDATE(B366,-12),Database!$A:$AS,MATCH($H$1,Database!$A$1:$AS$1,),)))))/(((VLOOKUP(EDATE(B366,-12),Database!$A:$AS,MATCH($H$1,Database!$A$1:$AS$1,),))))</f>
        <v>4.7362755652250635E-2</v>
      </c>
      <c r="I366" s="13">
        <f>((((VLOOKUP(B366,Database!$A:$AS,MATCH($I$1,Database!$A$1:$AS$1,),))))-(((VLOOKUP(EDATE(B366,-12),Database!$A:$AS,MATCH($I$1,Database!$A$1:$AS$1,),)))))/(((VLOOKUP(EDATE(B366,-12),Database!$A:$AS,MATCH($I$1,Database!$A$1:$AS$1,),))))</f>
        <v>-3.759398492070941E-3</v>
      </c>
      <c r="J366" s="13">
        <f>((((VLOOKUP(B366,Database!$A:$AS,MATCH($J$1,Database!$A$1:$AS$1,),))))-(((VLOOKUP(EDATE(B366,-12),Database!$A:$AS,MATCH($J$1,Database!$A$1:$AS$1,),)))))/(((VLOOKUP(EDATE(B366,-12),Database!$A:$AS,MATCH($J$1,Database!$A$1:$AS$1,),))))</f>
        <v>8.1478499229947956E-3</v>
      </c>
      <c r="K366" s="13">
        <f>((((VLOOKUP(B366,Database!$A:$AS,MATCH($K$1,Database!$A$1:$AS$1,),))))-(((VLOOKUP(EDATE(B366,-12),Database!$A:$AS,MATCH($K$1,Database!$A$1:$AS$1,),)))))/(((VLOOKUP(EDATE(B366,-12),Database!$A:$AS,MATCH($K$1,Database!$A$1:$AS$1,),))))</f>
        <v>-7.4766355119226116E-3</v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>-1</v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>2.9990627928772284E-2</v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>6.3176386157952069E-2</v>
      </c>
      <c r="O366" s="13">
        <f>((((VLOOKUP(B366,Database!$A:$AS,MATCH($O$1,Database!$A$1:$AS$1,),))))-(((VLOOKUP(EDATE(B366,-12),Database!$A:$AS,MATCH($O$1,Database!$A$1:$AS$1,),)))))/(((VLOOKUP(EDATE(B366,-12),Database!$A:$AS,MATCH($O$1,Database!$A$1:$AS$1,),))))</f>
        <v>3.8629303917218333E-2</v>
      </c>
      <c r="P366" s="13">
        <f>((((VLOOKUP(B366,Database!$A:$AS,MATCH($P$1,Database!$A$1:$AS$1,),))))-(((VLOOKUP(EDATE(B366,-12),Database!$A:$AS,MATCH($P$1,Database!$A$1:$AS$1,),)))))/(((VLOOKUP(EDATE(B366,-12),Database!$A:$AS,MATCH($P$1,Database!$A$1:$AS$1,),))))</f>
        <v>3.2442748098632609E-2</v>
      </c>
      <c r="Q366" s="13">
        <f>((((VLOOKUP(B366,Database!$A:$AS,MATCH($Q$1,Database!$A$1:$AS$1,),))))-(((VLOOKUP(EDATE(B366,-12),Database!$A:$AS,MATCH($Q$1,Database!$A$1:$AS$1,),)))))/(((VLOOKUP(EDATE(B366,-12),Database!$A:$AS,MATCH($Q$1,Database!$A$1:$AS$1,),))))</f>
        <v>3.2036613274736864E-2</v>
      </c>
      <c r="R366" s="13">
        <f>((((VLOOKUP(B366,Database!$A:$AS,MATCH($R$1,Database!$A$1:$AS$1,),))))-(((VLOOKUP(EDATE(B366,-12),Database!$A:$AS,MATCH($R$1,Database!$A$1:$AS$1,),)))))/(((VLOOKUP(EDATE(B366,-12),Database!$A:$AS,MATCH($R$1,Database!$A$1:$AS$1,),))))</f>
        <v>3.591682419804626E-2</v>
      </c>
      <c r="S366" s="13">
        <f>((((VLOOKUP(B366,Database!$A:$AS,MATCH($S$1,Database!$A$1:$AS$1,),))))-(((VLOOKUP(EDATE(B366,-12),Database!$A:$AS,MATCH($S$1,Database!$A$1:$AS$1,),)))))/(((VLOOKUP(EDATE(B366,-12),Database!$A:$AS,MATCH($S$1,Database!$A$1:$AS$1,),))))</f>
        <v>-0.11295034080549533</v>
      </c>
      <c r="T366" s="13">
        <f>((((VLOOKUP(B366,Database!$A:$AS,MATCH($T$1,Database!$A$1:$AS$1,),))))-(((VLOOKUP(EDATE(B366,-12),Database!$A:$AS,MATCH($T$1,Database!$A$1:$AS$1,),)))))/(((VLOOKUP(EDATE(B366,-12),Database!$A:$AS,MATCH($T$1,Database!$A$1:$AS$1,),))))</f>
        <v>4.6889089271815933E-2</v>
      </c>
      <c r="U366" s="13">
        <f>((((VLOOKUP(B366,Database!$A:$AS,MATCH($U$1,Database!$A$1:$AS$1,),))))-(((VLOOKUP(EDATE(B366,-12),Database!$A:$AS,MATCH($U$1,Database!$A$1:$AS$1,),)))))/(((VLOOKUP(EDATE(B366,-12),Database!$A:$AS,MATCH($U$1,Database!$A$1:$AS$1,),))))</f>
        <v>7.2356215216972899E-2</v>
      </c>
      <c r="V366" s="13">
        <f>((((VLOOKUP(B366,Database!$A:$AS,MATCH($V$1,Database!$A$1:$AS$1,),))))-(((VLOOKUP(EDATE(B366,-12),Database!$A:$AS,MATCH($V$1,Database!$A$1:$AS$1,),)))))/(((VLOOKUP(EDATE(B366,-12),Database!$A:$AS,MATCH($V$1,Database!$A$1:$AS$1,),))))</f>
        <v>7.9816513761467922E-2</v>
      </c>
    </row>
    <row r="367" spans="1:22" s="83" customFormat="1" x14ac:dyDescent="0.2">
      <c r="A367" s="43"/>
      <c r="B367" s="78">
        <v>43313</v>
      </c>
      <c r="C367" s="13">
        <f>((((VLOOKUP(B367,Database!$A:$AS,MATCH($C$1,Database!$A$1:$AS$1,),))))-(((VLOOKUP(EDATE(B367,-12),Database!$A:$AS,MATCH($C$1,Database!$A$1:$AS$1,),)))))/(((VLOOKUP(EDATE(B367,-12),Database!$A:$AS,MATCH($C$1,Database!$A$1:$AS$1,),))))</f>
        <v>4.4735746771165111E-2</v>
      </c>
      <c r="D367" s="13">
        <f>((((VLOOKUP(B367,Database!$A:$AS,MATCH($D$1,Database!$A$1:$AS$1,),))))-(((VLOOKUP(EDATE(B367,-12),Database!$A:$AS,MATCH($D$1,Database!$A$1:$AS$1,),)))))/(((VLOOKUP(EDATE(B367,-12),Database!$A:$AS,MATCH($D$1,Database!$A$1:$AS$1,),))))</f>
        <v>5.6818181818182626E-3</v>
      </c>
      <c r="E367" s="13">
        <f>((((VLOOKUP(B367,Database!$A:$AS,MATCH($E$1,Database!$A$1:$AS$1,),))))-(((VLOOKUP(EDATE(B367,-12),Database!$A:$AS,MATCH($E$1,Database!$A$1:$AS$1,),)))))/(((VLOOKUP(EDATE(B367,-12),Database!$A:$AS,MATCH($E$1,Database!$A$1:$AS$1,),))))</f>
        <v>-1.9267822762762876E-3</v>
      </c>
      <c r="F367" s="13">
        <f>((((VLOOKUP(B367,Database!$A:$AS,MATCH($F$1,Database!$A$1:$AS$1,),))))-(((VLOOKUP(EDATE(B367,-12),Database!$A:$AS,MATCH($F$1,Database!$A$1:$AS$1,),)))))/(((VLOOKUP(EDATE(B367,-12),Database!$A:$AS,MATCH($F$1,Database!$A$1:$AS$1,),))))</f>
        <v>-1.0280373832072719E-2</v>
      </c>
      <c r="G367" s="13">
        <f>((((VLOOKUP(B367,Database!$A:$AS,MATCH($G$1,Database!$A$1:$AS$1,),))))-(((VLOOKUP(EDATE(B367,-12),Database!$A:$AS,MATCH($G$1,Database!$A$1:$AS$1,),)))))/(((VLOOKUP(EDATE(B367,-12),Database!$A:$AS,MATCH($G$1,Database!$A$1:$AS$1,),))))</f>
        <v>1.3422818791946263E-2</v>
      </c>
      <c r="H367" s="13">
        <f>((((VLOOKUP(B367,Database!$A:$AS,MATCH($H$1,Database!$A$1:$AS$1,),))))-(((VLOOKUP(EDATE(B367,-12),Database!$A:$AS,MATCH($H$1,Database!$A$1:$AS$1,),)))))/(((VLOOKUP(EDATE(B367,-12),Database!$A:$AS,MATCH($H$1,Database!$A$1:$AS$1,),))))</f>
        <v>5.9139784952633161E-2</v>
      </c>
      <c r="I367" s="13">
        <f>((((VLOOKUP(B367,Database!$A:$AS,MATCH($I$1,Database!$A$1:$AS$1,),))))-(((VLOOKUP(EDATE(B367,-12),Database!$A:$AS,MATCH($I$1,Database!$A$1:$AS$1,),)))))/(((VLOOKUP(EDATE(B367,-12),Database!$A:$AS,MATCH($I$1,Database!$A$1:$AS$1,),))))</f>
        <v>-1.1090573019072375E-2</v>
      </c>
      <c r="J367" s="13">
        <f>((((VLOOKUP(B367,Database!$A:$AS,MATCH($J$1,Database!$A$1:$AS$1,),))))-(((VLOOKUP(EDATE(B367,-12),Database!$A:$AS,MATCH($J$1,Database!$A$1:$AS$1,),)))))/(((VLOOKUP(EDATE(B367,-12),Database!$A:$AS,MATCH($J$1,Database!$A$1:$AS$1,),))))</f>
        <v>6.8402323913991968E-3</v>
      </c>
      <c r="K367" s="13">
        <f>((((VLOOKUP(B367,Database!$A:$AS,MATCH($K$1,Database!$A$1:$AS$1,),))))-(((VLOOKUP(EDATE(B367,-12),Database!$A:$AS,MATCH($K$1,Database!$A$1:$AS$1,),)))))/(((VLOOKUP(EDATE(B367,-12),Database!$A:$AS,MATCH($K$1,Database!$A$1:$AS$1,),))))</f>
        <v>2.4551463647667519E-2</v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>-1</v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>2.6217228464419449E-2</v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>4.8375881070359145E-2</v>
      </c>
      <c r="O367" s="13">
        <f>((((VLOOKUP(B367,Database!$A:$AS,MATCH($O$1,Database!$A$1:$AS$1,),))))-(((VLOOKUP(EDATE(B367,-12),Database!$A:$AS,MATCH($O$1,Database!$A$1:$AS$1,),)))))/(((VLOOKUP(EDATE(B367,-12),Database!$A:$AS,MATCH($O$1,Database!$A$1:$AS$1,),))))</f>
        <v>5.2691452245010609E-2</v>
      </c>
      <c r="P367" s="13">
        <f>((((VLOOKUP(B367,Database!$A:$AS,MATCH($P$1,Database!$A$1:$AS$1,),))))-(((VLOOKUP(EDATE(B367,-12),Database!$A:$AS,MATCH($P$1,Database!$A$1:$AS$1,),)))))/(((VLOOKUP(EDATE(B367,-12),Database!$A:$AS,MATCH($P$1,Database!$A$1:$AS$1,),))))</f>
        <v>3.9010466224691252E-2</v>
      </c>
      <c r="Q367" s="13">
        <f>((((VLOOKUP(B367,Database!$A:$AS,MATCH($Q$1,Database!$A$1:$AS$1,),))))-(((VLOOKUP(EDATE(B367,-12),Database!$A:$AS,MATCH($Q$1,Database!$A$1:$AS$1,),)))))/(((VLOOKUP(EDATE(B367,-12),Database!$A:$AS,MATCH($Q$1,Database!$A$1:$AS$1,),))))</f>
        <v>2.2988505745926421E-2</v>
      </c>
      <c r="R367" s="13">
        <f>((((VLOOKUP(B367,Database!$A:$AS,MATCH($R$1,Database!$A$1:$AS$1,),))))-(((VLOOKUP(EDATE(B367,-12),Database!$A:$AS,MATCH($R$1,Database!$A$1:$AS$1,),)))))/(((VLOOKUP(EDATE(B367,-12),Database!$A:$AS,MATCH($R$1,Database!$A$1:$AS$1,),))))</f>
        <v>3.6663611352514918E-3</v>
      </c>
      <c r="S367" s="13">
        <f>((((VLOOKUP(B367,Database!$A:$AS,MATCH($S$1,Database!$A$1:$AS$1,),))))-(((VLOOKUP(EDATE(B367,-12),Database!$A:$AS,MATCH($S$1,Database!$A$1:$AS$1,),)))))/(((VLOOKUP(EDATE(B367,-12),Database!$A:$AS,MATCH($S$1,Database!$A$1:$AS$1,),))))</f>
        <v>8.9207048466627192E-2</v>
      </c>
      <c r="T367" s="13">
        <f>((((VLOOKUP(B367,Database!$A:$AS,MATCH($T$1,Database!$A$1:$AS$1,),))))-(((VLOOKUP(EDATE(B367,-12),Database!$A:$AS,MATCH($T$1,Database!$A$1:$AS$1,),)))))/(((VLOOKUP(EDATE(B367,-12),Database!$A:$AS,MATCH($T$1,Database!$A$1:$AS$1,),))))</f>
        <v>1.223776223728845E-2</v>
      </c>
      <c r="U367" s="13">
        <f>((((VLOOKUP(B367,Database!$A:$AS,MATCH($U$1,Database!$A$1:$AS$1,),))))-(((VLOOKUP(EDATE(B367,-12),Database!$A:$AS,MATCH($U$1,Database!$A$1:$AS$1,),)))))/(((VLOOKUP(EDATE(B367,-12),Database!$A:$AS,MATCH($U$1,Database!$A$1:$AS$1,),))))</f>
        <v>2.0739404864282759E-2</v>
      </c>
      <c r="V367" s="13">
        <f>((((VLOOKUP(B367,Database!$A:$AS,MATCH($V$1,Database!$A$1:$AS$1,),))))-(((VLOOKUP(EDATE(B367,-12),Database!$A:$AS,MATCH($V$1,Database!$A$1:$AS$1,),)))))/(((VLOOKUP(EDATE(B367,-12),Database!$A:$AS,MATCH($V$1,Database!$A$1:$AS$1,),))))</f>
        <v>5.3003533568904596E-2</v>
      </c>
    </row>
    <row r="368" spans="1:22" s="83" customFormat="1" x14ac:dyDescent="0.2">
      <c r="A368" s="43"/>
      <c r="B368" s="78">
        <v>43344</v>
      </c>
      <c r="C368" s="13">
        <f>((((VLOOKUP(B368,Database!$A:$AS,MATCH($C$1,Database!$A$1:$AS$1,),))))-(((VLOOKUP(EDATE(B368,-12),Database!$A:$AS,MATCH($C$1,Database!$A$1:$AS$1,),)))))/(((VLOOKUP(EDATE(B368,-12),Database!$A:$AS,MATCH($C$1,Database!$A$1:$AS$1,),))))</f>
        <v>4.3940510389230483E-2</v>
      </c>
      <c r="D368" s="13">
        <f>((((VLOOKUP(B368,Database!$A:$AS,MATCH($D$1,Database!$A$1:$AS$1,),))))-(((VLOOKUP(EDATE(B368,-12),Database!$A:$AS,MATCH($D$1,Database!$A$1:$AS$1,),)))))/(((VLOOKUP(EDATE(B368,-12),Database!$A:$AS,MATCH($D$1,Database!$A$1:$AS$1,),))))</f>
        <v>2.8517110266159424E-3</v>
      </c>
      <c r="E368" s="13">
        <f>((((VLOOKUP(B368,Database!$A:$AS,MATCH($E$1,Database!$A$1:$AS$1,),))))-(((VLOOKUP(EDATE(B368,-12),Database!$A:$AS,MATCH($E$1,Database!$A$1:$AS$1,),)))))/(((VLOOKUP(EDATE(B368,-12),Database!$A:$AS,MATCH($E$1,Database!$A$1:$AS$1,),))))</f>
        <v>6.8226120904062541E-3</v>
      </c>
      <c r="F368" s="13">
        <f>((((VLOOKUP(B368,Database!$A:$AS,MATCH($F$1,Database!$A$1:$AS$1,),))))-(((VLOOKUP(EDATE(B368,-12),Database!$A:$AS,MATCH($F$1,Database!$A$1:$AS$1,),)))))/(((VLOOKUP(EDATE(B368,-12),Database!$A:$AS,MATCH($F$1,Database!$A$1:$AS$1,),))))</f>
        <v>-3.7735849108941053E-3</v>
      </c>
      <c r="G368" s="13">
        <f>((((VLOOKUP(B368,Database!$A:$AS,MATCH($G$1,Database!$A$1:$AS$1,),))))-(((VLOOKUP(EDATE(B368,-12),Database!$A:$AS,MATCH($G$1,Database!$A$1:$AS$1,),)))))/(((VLOOKUP(EDATE(B368,-12),Database!$A:$AS,MATCH($G$1,Database!$A$1:$AS$1,),))))</f>
        <v>-7.0381797146163126E-3</v>
      </c>
      <c r="H368" s="13">
        <f>((((VLOOKUP(B368,Database!$A:$AS,MATCH($H$1,Database!$A$1:$AS$1,),))))-(((VLOOKUP(EDATE(B368,-12),Database!$A:$AS,MATCH($H$1,Database!$A$1:$AS$1,),)))))/(((VLOOKUP(EDATE(B368,-12),Database!$A:$AS,MATCH($H$1,Database!$A$1:$AS$1,),))))</f>
        <v>4.2149631190943941E-2</v>
      </c>
      <c r="I368" s="13">
        <f>((((VLOOKUP(B368,Database!$A:$AS,MATCH($I$1,Database!$A$1:$AS$1,),))))-(((VLOOKUP(EDATE(B368,-12),Database!$A:$AS,MATCH($I$1,Database!$A$1:$AS$1,),)))))/(((VLOOKUP(EDATE(B368,-12),Database!$A:$AS,MATCH($I$1,Database!$A$1:$AS$1,),))))</f>
        <v>1.8060836503202359E-2</v>
      </c>
      <c r="J368" s="13">
        <f>((((VLOOKUP(B368,Database!$A:$AS,MATCH($J$1,Database!$A$1:$AS$1,),))))-(((VLOOKUP(EDATE(B368,-12),Database!$A:$AS,MATCH($J$1,Database!$A$1:$AS$1,),)))))/(((VLOOKUP(EDATE(B368,-12),Database!$A:$AS,MATCH($J$1,Database!$A$1:$AS$1,),))))</f>
        <v>-4.5528270210068601E-3</v>
      </c>
      <c r="K368" s="13">
        <f>((((VLOOKUP(B368,Database!$A:$AS,MATCH($K$1,Database!$A$1:$AS$1,),))))-(((VLOOKUP(EDATE(B368,-12),Database!$A:$AS,MATCH($K$1,Database!$A$1:$AS$1,),)))))/(((VLOOKUP(EDATE(B368,-12),Database!$A:$AS,MATCH($K$1,Database!$A$1:$AS$1,),))))</f>
        <v>1.2093023252439451E-2</v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>-1</v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>2.8037383177570093E-2</v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>4.919185237871905E-2</v>
      </c>
      <c r="O368" s="13">
        <f>((((VLOOKUP(B368,Database!$A:$AS,MATCH($O$1,Database!$A$1:$AS$1,),))))-(((VLOOKUP(EDATE(B368,-12),Database!$A:$AS,MATCH($O$1,Database!$A$1:$AS$1,),)))))/(((VLOOKUP(EDATE(B368,-12),Database!$A:$AS,MATCH($O$1,Database!$A$1:$AS$1,),))))</f>
        <v>4.6075657445912986E-2</v>
      </c>
      <c r="P368" s="13">
        <f>((((VLOOKUP(B368,Database!$A:$AS,MATCH($P$1,Database!$A$1:$AS$1,),))))-(((VLOOKUP(EDATE(B368,-12),Database!$A:$AS,MATCH($P$1,Database!$A$1:$AS$1,),)))))/(((VLOOKUP(EDATE(B368,-12),Database!$A:$AS,MATCH($P$1,Database!$A$1:$AS$1,),))))</f>
        <v>9.5057034162336785E-3</v>
      </c>
      <c r="Q368" s="13">
        <f>((((VLOOKUP(B368,Database!$A:$AS,MATCH($Q$1,Database!$A$1:$AS$1,),))))-(((VLOOKUP(EDATE(B368,-12),Database!$A:$AS,MATCH($Q$1,Database!$A$1:$AS$1,),)))))/(((VLOOKUP(EDATE(B368,-12),Database!$A:$AS,MATCH($Q$1,Database!$A$1:$AS$1,),))))</f>
        <v>-1.029748283905051E-2</v>
      </c>
      <c r="R368" s="13">
        <f>((((VLOOKUP(B368,Database!$A:$AS,MATCH($R$1,Database!$A$1:$AS$1,),))))-(((VLOOKUP(EDATE(B368,-12),Database!$A:$AS,MATCH($R$1,Database!$A$1:$AS$1,),)))))/(((VLOOKUP(EDATE(B368,-12),Database!$A:$AS,MATCH($R$1,Database!$A$1:$AS$1,),))))</f>
        <v>3.5440613031026962E-2</v>
      </c>
      <c r="S368" s="13">
        <f>((((VLOOKUP(B368,Database!$A:$AS,MATCH($S$1,Database!$A$1:$AS$1,),))))-(((VLOOKUP(EDATE(B368,-12),Database!$A:$AS,MATCH($S$1,Database!$A$1:$AS$1,),)))))/(((VLOOKUP(EDATE(B368,-12),Database!$A:$AS,MATCH($S$1,Database!$A$1:$AS$1,),))))</f>
        <v>-1.0162601623228008E-2</v>
      </c>
      <c r="T368" s="13">
        <f>((((VLOOKUP(B368,Database!$A:$AS,MATCH($T$1,Database!$A$1:$AS$1,),))))-(((VLOOKUP(EDATE(B368,-12),Database!$A:$AS,MATCH($T$1,Database!$A$1:$AS$1,),)))))/(((VLOOKUP(EDATE(B368,-12),Database!$A:$AS,MATCH($T$1,Database!$A$1:$AS$1,),))))</f>
        <v>-3.195164075685826E-2</v>
      </c>
      <c r="U368" s="13">
        <f>((((VLOOKUP(B368,Database!$A:$AS,MATCH($U$1,Database!$A$1:$AS$1,),))))-(((VLOOKUP(EDATE(B368,-12),Database!$A:$AS,MATCH($U$1,Database!$A$1:$AS$1,),)))))/(((VLOOKUP(EDATE(B368,-12),Database!$A:$AS,MATCH($U$1,Database!$A$1:$AS$1,),))))</f>
        <v>2.6008968617049565E-2</v>
      </c>
      <c r="V368" s="13">
        <f>((((VLOOKUP(B368,Database!$A:$AS,MATCH($V$1,Database!$A$1:$AS$1,),))))-(((VLOOKUP(EDATE(B368,-12),Database!$A:$AS,MATCH($V$1,Database!$A$1:$AS$1,),)))))/(((VLOOKUP(EDATE(B368,-12),Database!$A:$AS,MATCH($V$1,Database!$A$1:$AS$1,),))))</f>
        <v>5.2867383512544858E-2</v>
      </c>
    </row>
    <row r="369" spans="2:22" s="83" customFormat="1" x14ac:dyDescent="0.2">
      <c r="B369" s="78">
        <v>43374</v>
      </c>
      <c r="C369" s="13">
        <f>((((VLOOKUP(B369,Database!$A:$AS,MATCH($C$1,Database!$A$1:$AS$1,),))))-(((VLOOKUP(EDATE(B369,-12),Database!$A:$AS,MATCH($C$1,Database!$A$1:$AS$1,),)))))/(((VLOOKUP(EDATE(B369,-12),Database!$A:$AS,MATCH($C$1,Database!$A$1:$AS$1,),))))</f>
        <v>2.9700558480906022E-2</v>
      </c>
      <c r="D369" s="13">
        <f>((((VLOOKUP(B369,Database!$A:$AS,MATCH($D$1,Database!$A$1:$AS$1,),))))-(((VLOOKUP(EDATE(B369,-12),Database!$A:$AS,MATCH($D$1,Database!$A$1:$AS$1,),)))))/(((VLOOKUP(EDATE(B369,-12),Database!$A:$AS,MATCH($D$1,Database!$A$1:$AS$1,),))))</f>
        <v>5.7142857142856605E-3</v>
      </c>
      <c r="E369" s="13">
        <f>((((VLOOKUP(B369,Database!$A:$AS,MATCH($E$1,Database!$A$1:$AS$1,),))))-(((VLOOKUP(EDATE(B369,-12),Database!$A:$AS,MATCH($E$1,Database!$A$1:$AS$1,),)))))/(((VLOOKUP(EDATE(B369,-12),Database!$A:$AS,MATCH($E$1,Database!$A$1:$AS$1,),))))</f>
        <v>2.0348837203583707E-2</v>
      </c>
      <c r="F369" s="13">
        <f>((((VLOOKUP(B369,Database!$A:$AS,MATCH($F$1,Database!$A$1:$AS$1,),))))-(((VLOOKUP(EDATE(B369,-12),Database!$A:$AS,MATCH($F$1,Database!$A$1:$AS$1,),)))))/(((VLOOKUP(EDATE(B369,-12),Database!$A:$AS,MATCH($F$1,Database!$A$1:$AS$1,),))))</f>
        <v>1.0546500479616241E-2</v>
      </c>
      <c r="G369" s="13">
        <f>((((VLOOKUP(B369,Database!$A:$AS,MATCH($G$1,Database!$A$1:$AS$1,),))))-(((VLOOKUP(EDATE(B369,-12),Database!$A:$AS,MATCH($G$1,Database!$A$1:$AS$1,),)))))/(((VLOOKUP(EDATE(B369,-12),Database!$A:$AS,MATCH($G$1,Database!$A$1:$AS$1,),))))</f>
        <v>-2.881567572759554E-3</v>
      </c>
      <c r="H369" s="13">
        <f>((((VLOOKUP(B369,Database!$A:$AS,MATCH($H$1,Database!$A$1:$AS$1,),))))-(((VLOOKUP(EDATE(B369,-12),Database!$A:$AS,MATCH($H$1,Database!$A$1:$AS$1,),)))))/(((VLOOKUP(EDATE(B369,-12),Database!$A:$AS,MATCH($H$1,Database!$A$1:$AS$1,),))))</f>
        <v>3.7499999999031371E-2</v>
      </c>
      <c r="I369" s="13">
        <f>((((VLOOKUP(B369,Database!$A:$AS,MATCH($I$1,Database!$A$1:$AS$1,),))))-(((VLOOKUP(EDATE(B369,-12),Database!$A:$AS,MATCH($I$1,Database!$A$1:$AS$1,),)))))/(((VLOOKUP(EDATE(B369,-12),Database!$A:$AS,MATCH($I$1,Database!$A$1:$AS$1,),))))</f>
        <v>9.4607379317497471E-3</v>
      </c>
      <c r="J369" s="13">
        <f>((((VLOOKUP(B369,Database!$A:$AS,MATCH($J$1,Database!$A$1:$AS$1,),))))-(((VLOOKUP(EDATE(B369,-12),Database!$A:$AS,MATCH($J$1,Database!$A$1:$AS$1,),)))))/(((VLOOKUP(EDATE(B369,-12),Database!$A:$AS,MATCH($J$1,Database!$A$1:$AS$1,),))))</f>
        <v>5.3759878819343038E-3</v>
      </c>
      <c r="K369" s="13">
        <f>((((VLOOKUP(B369,Database!$A:$AS,MATCH($K$1,Database!$A$1:$AS$1,),))))-(((VLOOKUP(EDATE(B369,-12),Database!$A:$AS,MATCH($K$1,Database!$A$1:$AS$1,),)))))/(((VLOOKUP(EDATE(B369,-12),Database!$A:$AS,MATCH($K$1,Database!$A$1:$AS$1,),))))</f>
        <v>3.5250463821358907E-2</v>
      </c>
      <c r="L369" s="13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>4.3478260869565299E-2</v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>8.1588965629199525E-2</v>
      </c>
      <c r="O369" s="13">
        <f>((((VLOOKUP(B369,Database!$A:$AS,MATCH($O$1,Database!$A$1:$AS$1,),))))-(((VLOOKUP(EDATE(B369,-12),Database!$A:$AS,MATCH($O$1,Database!$A$1:$AS$1,),)))))/(((VLOOKUP(EDATE(B369,-12),Database!$A:$AS,MATCH($O$1,Database!$A$1:$AS$1,),))))</f>
        <v>5.7155931876647824E-2</v>
      </c>
      <c r="P369" s="13">
        <f>((((VLOOKUP(B369,Database!$A:$AS,MATCH($P$1,Database!$A$1:$AS$1,),))))-(((VLOOKUP(EDATE(B369,-12),Database!$A:$AS,MATCH($P$1,Database!$A$1:$AS$1,),)))))/(((VLOOKUP(EDATE(B369,-12),Database!$A:$AS,MATCH($P$1,Database!$A$1:$AS$1,),))))</f>
        <v>1.6037735847712554E-2</v>
      </c>
      <c r="Q369" s="13">
        <f>((((VLOOKUP(B369,Database!$A:$AS,MATCH($Q$1,Database!$A$1:$AS$1,),))))-(((VLOOKUP(EDATE(B369,-12),Database!$A:$AS,MATCH($Q$1,Database!$A$1:$AS$1,),)))))/(((VLOOKUP(EDATE(B369,-12),Database!$A:$AS,MATCH($Q$1,Database!$A$1:$AS$1,),))))</f>
        <v>-6.8259385641195637E-3</v>
      </c>
      <c r="R369" s="13">
        <f>((((VLOOKUP(B369,Database!$A:$AS,MATCH($R$1,Database!$A$1:$AS$1,),))))-(((VLOOKUP(EDATE(B369,-12),Database!$A:$AS,MATCH($R$1,Database!$A$1:$AS$1,),)))))/(((VLOOKUP(EDATE(B369,-12),Database!$A:$AS,MATCH($R$1,Database!$A$1:$AS$1,),))))</f>
        <v>3.7140204257744649E-3</v>
      </c>
      <c r="S369" s="13">
        <f>((((VLOOKUP(B369,Database!$A:$AS,MATCH($S$1,Database!$A$1:$AS$1,),))))-(((VLOOKUP(EDATE(B369,-12),Database!$A:$AS,MATCH($S$1,Database!$A$1:$AS$1,),)))))/(((VLOOKUP(EDATE(B369,-12),Database!$A:$AS,MATCH($S$1,Database!$A$1:$AS$1,),))))</f>
        <v>-2.191235060145838E-2</v>
      </c>
      <c r="T369" s="13">
        <f>((((VLOOKUP(B369,Database!$A:$AS,MATCH($T$1,Database!$A$1:$AS$1,),))))-(((VLOOKUP(EDATE(B369,-12),Database!$A:$AS,MATCH($T$1,Database!$A$1:$AS$1,),)))))/(((VLOOKUP(EDATE(B369,-12),Database!$A:$AS,MATCH($T$1,Database!$A$1:$AS$1,),))))</f>
        <v>-5.5889939815359058E-2</v>
      </c>
      <c r="U369" s="13">
        <f>((((VLOOKUP(B369,Database!$A:$AS,MATCH($U$1,Database!$A$1:$AS$1,),))))-(((VLOOKUP(EDATE(B369,-12),Database!$A:$AS,MATCH($U$1,Database!$A$1:$AS$1,),)))))/(((VLOOKUP(EDATE(B369,-12),Database!$A:$AS,MATCH($U$1,Database!$A$1:$AS$1,),))))</f>
        <v>2.9197080296233923E-2</v>
      </c>
      <c r="V369" s="13">
        <f>((((VLOOKUP(B369,Database!$A:$AS,MATCH($V$1,Database!$A$1:$AS$1,),))))-(((VLOOKUP(EDATE(B369,-12),Database!$A:$AS,MATCH($V$1,Database!$A$1:$AS$1,),)))))/(((VLOOKUP(EDATE(B369,-12),Database!$A:$AS,MATCH($V$1,Database!$A$1:$AS$1,),))))</f>
        <v>4.9645390070922064E-2</v>
      </c>
    </row>
    <row r="370" spans="2:22" s="83" customFormat="1" x14ac:dyDescent="0.2">
      <c r="B370" s="78">
        <v>43405</v>
      </c>
      <c r="C370" s="13">
        <f>((((VLOOKUP(B370,Database!$A:$AS,MATCH($C$1,Database!$A$1:$AS$1,),))))-(((VLOOKUP(EDATE(B370,-12),Database!$A:$AS,MATCH($C$1,Database!$A$1:$AS$1,),)))))/(((VLOOKUP(EDATE(B370,-12),Database!$A:$AS,MATCH($C$1,Database!$A$1:$AS$1,),))))</f>
        <v>2.6065190120278255E-2</v>
      </c>
      <c r="D370" s="13">
        <f>((((VLOOKUP(B370,Database!$A:$AS,MATCH($D$1,Database!$A$1:$AS$1,),))))-(((VLOOKUP(EDATE(B370,-12),Database!$A:$AS,MATCH($D$1,Database!$A$1:$AS$1,),)))))/(((VLOOKUP(EDATE(B370,-12),Database!$A:$AS,MATCH($D$1,Database!$A$1:$AS$1,),))))</f>
        <v>-2.9795158286778423E-2</v>
      </c>
      <c r="E370" s="13">
        <f>((((VLOOKUP(B370,Database!$A:$AS,MATCH($E$1,Database!$A$1:$AS$1,),))))-(((VLOOKUP(EDATE(B370,-12),Database!$A:$AS,MATCH($E$1,Database!$A$1:$AS$1,),)))))/(((VLOOKUP(EDATE(B370,-12),Database!$A:$AS,MATCH($E$1,Database!$A$1:$AS$1,),))))</f>
        <v>9.615384676872848E-4</v>
      </c>
      <c r="F370" s="13">
        <f>((((VLOOKUP(B370,Database!$A:$AS,MATCH($F$1,Database!$A$1:$AS$1,),))))-(((VLOOKUP(EDATE(B370,-12),Database!$A:$AS,MATCH($F$1,Database!$A$1:$AS$1,),)))))/(((VLOOKUP(EDATE(B370,-12),Database!$A:$AS,MATCH($F$1,Database!$A$1:$AS$1,),))))</f>
        <v>-4.432132963684509E-2</v>
      </c>
      <c r="G370" s="13">
        <f>((((VLOOKUP(B370,Database!$A:$AS,MATCH($G$1,Database!$A$1:$AS$1,),))))-(((VLOOKUP(EDATE(B370,-12),Database!$A:$AS,MATCH($G$1,Database!$A$1:$AS$1,),)))))/(((VLOOKUP(EDATE(B370,-12),Database!$A:$AS,MATCH($G$1,Database!$A$1:$AS$1,),))))</f>
        <v>-1.5283217117203117E-2</v>
      </c>
      <c r="H370" s="13">
        <f>((((VLOOKUP(B370,Database!$A:$AS,MATCH($H$1,Database!$A$1:$AS$1,),))))-(((VLOOKUP(EDATE(B370,-12),Database!$A:$AS,MATCH($H$1,Database!$A$1:$AS$1,),)))))/(((VLOOKUP(EDATE(B370,-12),Database!$A:$AS,MATCH($H$1,Database!$A$1:$AS$1,),))))</f>
        <v>4.4885177446279567E-2</v>
      </c>
      <c r="I370" s="13">
        <f>((((VLOOKUP(B370,Database!$A:$AS,MATCH($I$1,Database!$A$1:$AS$1,),))))-(((VLOOKUP(EDATE(B370,-12),Database!$A:$AS,MATCH($I$1,Database!$A$1:$AS$1,),)))))/(((VLOOKUP(EDATE(B370,-12),Database!$A:$AS,MATCH($I$1,Database!$A$1:$AS$1,),))))</f>
        <v>-2.2346368718153077E-2</v>
      </c>
      <c r="J370" s="13">
        <f>((((VLOOKUP(B370,Database!$A:$AS,MATCH($J$1,Database!$A$1:$AS$1,),))))-(((VLOOKUP(EDATE(B370,-12),Database!$A:$AS,MATCH($J$1,Database!$A$1:$AS$1,),)))))/(((VLOOKUP(EDATE(B370,-12),Database!$A:$AS,MATCH($J$1,Database!$A$1:$AS$1,),))))</f>
        <v>-3.2956913235684372E-2</v>
      </c>
      <c r="K370" s="13">
        <f>((((VLOOKUP(B370,Database!$A:$AS,MATCH($K$1,Database!$A$1:$AS$1,),))))-(((VLOOKUP(EDATE(B370,-12),Database!$A:$AS,MATCH($K$1,Database!$A$1:$AS$1,),)))))/(((VLOOKUP(EDATE(B370,-12),Database!$A:$AS,MATCH($K$1,Database!$A$1:$AS$1,),))))</f>
        <v>1.0082493131965799E-2</v>
      </c>
      <c r="L370" s="13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>4.4549763033175385E-2</v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>1.2557254198663416E-3</v>
      </c>
      <c r="O370" s="13">
        <f>((((VLOOKUP(B370,Database!$A:$AS,MATCH($O$1,Database!$A$1:$AS$1,),))))-(((VLOOKUP(EDATE(B370,-12),Database!$A:$AS,MATCH($O$1,Database!$A$1:$AS$1,),)))))/(((VLOOKUP(EDATE(B370,-12),Database!$A:$AS,MATCH($O$1,Database!$A$1:$AS$1,),))))</f>
        <v>3.6636928249106672E-2</v>
      </c>
      <c r="P370" s="13">
        <f>((((VLOOKUP(B370,Database!$A:$AS,MATCH($P$1,Database!$A$1:$AS$1,),))))-(((VLOOKUP(EDATE(B370,-12),Database!$A:$AS,MATCH($P$1,Database!$A$1:$AS$1,),)))))/(((VLOOKUP(EDATE(B370,-12),Database!$A:$AS,MATCH($P$1,Database!$A$1:$AS$1,),))))</f>
        <v>2.8462998094454387E-3</v>
      </c>
      <c r="Q370" s="13">
        <f>((((VLOOKUP(B370,Database!$A:$AS,MATCH($Q$1,Database!$A$1:$AS$1,),))))-(((VLOOKUP(EDATE(B370,-12),Database!$A:$AS,MATCH($Q$1,Database!$A$1:$AS$1,),)))))/(((VLOOKUP(EDATE(B370,-12),Database!$A:$AS,MATCH($Q$1,Database!$A$1:$AS$1,),))))</f>
        <v>-1.1312217193965737E-2</v>
      </c>
      <c r="R370" s="13">
        <f>((((VLOOKUP(B370,Database!$A:$AS,MATCH($R$1,Database!$A$1:$AS$1,),))))-(((VLOOKUP(EDATE(B370,-12),Database!$A:$AS,MATCH($R$1,Database!$A$1:$AS$1,),)))))/(((VLOOKUP(EDATE(B370,-12),Database!$A:$AS,MATCH($R$1,Database!$A$1:$AS$1,),))))</f>
        <v>5.7223264536082424E-2</v>
      </c>
      <c r="S370" s="13">
        <f>((((VLOOKUP(B370,Database!$A:$AS,MATCH($S$1,Database!$A$1:$AS$1,),))))-(((VLOOKUP(EDATE(B370,-12),Database!$A:$AS,MATCH($S$1,Database!$A$1:$AS$1,),)))))/(((VLOOKUP(EDATE(B370,-12),Database!$A:$AS,MATCH($S$1,Database!$A$1:$AS$1,),))))</f>
        <v>-0.13760603205345665</v>
      </c>
      <c r="T370" s="13">
        <f>((((VLOOKUP(B370,Database!$A:$AS,MATCH($T$1,Database!$A$1:$AS$1,),))))-(((VLOOKUP(EDATE(B370,-12),Database!$A:$AS,MATCH($T$1,Database!$A$1:$AS$1,),)))))/(((VLOOKUP(EDATE(B370,-12),Database!$A:$AS,MATCH($T$1,Database!$A$1:$AS$1,),))))</f>
        <v>-5.9829059826941124E-2</v>
      </c>
      <c r="U370" s="13">
        <f>((((VLOOKUP(B370,Database!$A:$AS,MATCH($U$1,Database!$A$1:$AS$1,),))))-(((VLOOKUP(EDATE(B370,-12),Database!$A:$AS,MATCH($U$1,Database!$A$1:$AS$1,),)))))/(((VLOOKUP(EDATE(B370,-12),Database!$A:$AS,MATCH($U$1,Database!$A$1:$AS$1,),))))</f>
        <v>1.4134275620435203E-2</v>
      </c>
      <c r="V370" s="13">
        <f>((((VLOOKUP(B370,Database!$A:$AS,MATCH($V$1,Database!$A$1:$AS$1,),))))-(((VLOOKUP(EDATE(B370,-12),Database!$A:$AS,MATCH($V$1,Database!$A$1:$AS$1,),)))))/(((VLOOKUP(EDATE(B370,-12),Database!$A:$AS,MATCH($V$1,Database!$A$1:$AS$1,),))))</f>
        <v>5.1785714285714261E-2</v>
      </c>
    </row>
    <row r="371" spans="2:22" s="83" customFormat="1" x14ac:dyDescent="0.2">
      <c r="B371" s="78">
        <v>43435</v>
      </c>
      <c r="C371" s="13">
        <f>((((VLOOKUP(B371,Database!$A:$AS,MATCH($C$1,Database!$A$1:$AS$1,),))))-(((VLOOKUP(EDATE(B371,-12),Database!$A:$AS,MATCH($C$1,Database!$A$1:$AS$1,),)))))/(((VLOOKUP(EDATE(B371,-12),Database!$A:$AS,MATCH($C$1,Database!$A$1:$AS$1,),))))</f>
        <v>2.4636577442400415E-2</v>
      </c>
      <c r="D371" s="13">
        <f>((((VLOOKUP(B371,Database!$A:$AS,MATCH($D$1,Database!$A$1:$AS$1,),))))-(((VLOOKUP(EDATE(B371,-12),Database!$A:$AS,MATCH($D$1,Database!$A$1:$AS$1,),)))))/(((VLOOKUP(EDATE(B371,-12),Database!$A:$AS,MATCH($D$1,Database!$A$1:$AS$1,),))))</f>
        <v>-3.1481481481481534E-2</v>
      </c>
      <c r="E371" s="13">
        <f>((((VLOOKUP(B371,Database!$A:$AS,MATCH($E$1,Database!$A$1:$AS$1,),))))-(((VLOOKUP(EDATE(B371,-12),Database!$A:$AS,MATCH($E$1,Database!$A$1:$AS$1,),)))))/(((VLOOKUP(EDATE(B371,-12),Database!$A:$AS,MATCH($E$1,Database!$A$1:$AS$1,),))))</f>
        <v>-1.0426540284620787E-2</v>
      </c>
      <c r="F371" s="13">
        <f>((((VLOOKUP(B371,Database!$A:$AS,MATCH($F$1,Database!$A$1:$AS$1,),))))-(((VLOOKUP(EDATE(B371,-12),Database!$A:$AS,MATCH($F$1,Database!$A$1:$AS$1,),)))))/(((VLOOKUP(EDATE(B371,-12),Database!$A:$AS,MATCH($F$1,Database!$A$1:$AS$1,),))))</f>
        <v>-2.8756957326656056E-2</v>
      </c>
      <c r="G371" s="13">
        <f>((((VLOOKUP(B371,Database!$A:$AS,MATCH($G$1,Database!$A$1:$AS$1,),))))-(((VLOOKUP(EDATE(B371,-12),Database!$A:$AS,MATCH($G$1,Database!$A$1:$AS$1,),)))))/(((VLOOKUP(EDATE(B371,-12),Database!$A:$AS,MATCH($G$1,Database!$A$1:$AS$1,),))))</f>
        <v>-1.4853358561967903E-2</v>
      </c>
      <c r="H371" s="13">
        <f>((((VLOOKUP(B371,Database!$A:$AS,MATCH($H$1,Database!$A$1:$AS$1,),))))-(((VLOOKUP(EDATE(B371,-12),Database!$A:$AS,MATCH($H$1,Database!$A$1:$AS$1,),)))))/(((VLOOKUP(EDATE(B371,-12),Database!$A:$AS,MATCH($H$1,Database!$A$1:$AS$1,),))))</f>
        <v>6.1440677965851294E-2</v>
      </c>
      <c r="I371" s="13">
        <f>((((VLOOKUP(B371,Database!$A:$AS,MATCH($I$1,Database!$A$1:$AS$1,),))))-(((VLOOKUP(EDATE(B371,-12),Database!$A:$AS,MATCH($I$1,Database!$A$1:$AS$1,),)))))/(((VLOOKUP(EDATE(B371,-12),Database!$A:$AS,MATCH($I$1,Database!$A$1:$AS$1,),))))</f>
        <v>-4.7016274857508512E-2</v>
      </c>
      <c r="J371" s="13">
        <f>((((VLOOKUP(B371,Database!$A:$AS,MATCH($J$1,Database!$A$1:$AS$1,),))))-(((VLOOKUP(EDATE(B371,-12),Database!$A:$AS,MATCH($J$1,Database!$A$1:$AS$1,),)))))/(((VLOOKUP(EDATE(B371,-12),Database!$A:$AS,MATCH($J$1,Database!$A$1:$AS$1,),))))</f>
        <v>-6.1122445266490903E-2</v>
      </c>
      <c r="K371" s="13">
        <f>((((VLOOKUP(B371,Database!$A:$AS,MATCH($K$1,Database!$A$1:$AS$1,),))))-(((VLOOKUP(EDATE(B371,-12),Database!$A:$AS,MATCH($K$1,Database!$A$1:$AS$1,),)))))/(((VLOOKUP(EDATE(B371,-12),Database!$A:$AS,MATCH($K$1,Database!$A$1:$AS$1,),))))</f>
        <v>1.271571298461255E-2</v>
      </c>
      <c r="L371" s="13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>6.2082139446036293E-2</v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>2.5914009058976548E-2</v>
      </c>
      <c r="O371" s="13">
        <f>((((VLOOKUP(B371,Database!$A:$AS,MATCH($O$1,Database!$A$1:$AS$1,),))))-(((VLOOKUP(EDATE(B371,-12),Database!$A:$AS,MATCH($O$1,Database!$A$1:$AS$1,),)))))/(((VLOOKUP(EDATE(B371,-12),Database!$A:$AS,MATCH($O$1,Database!$A$1:$AS$1,),))))</f>
        <v>2.2976897174254864E-2</v>
      </c>
      <c r="P371" s="13">
        <f>((((VLOOKUP(B371,Database!$A:$AS,MATCH($P$1,Database!$A$1:$AS$1,),))))-(((VLOOKUP(EDATE(B371,-12),Database!$A:$AS,MATCH($P$1,Database!$A$1:$AS$1,),)))))/(((VLOOKUP(EDATE(B371,-12),Database!$A:$AS,MATCH($P$1,Database!$A$1:$AS$1,),))))</f>
        <v>8.6956521714762758E-3</v>
      </c>
      <c r="Q371" s="13">
        <f>((((VLOOKUP(B371,Database!$A:$AS,MATCH($Q$1,Database!$A$1:$AS$1,),))))-(((VLOOKUP(EDATE(B371,-12),Database!$A:$AS,MATCH($Q$1,Database!$A$1:$AS$1,),)))))/(((VLOOKUP(EDATE(B371,-12),Database!$A:$AS,MATCH($Q$1,Database!$A$1:$AS$1,),))))</f>
        <v>-3.8335158815027248E-2</v>
      </c>
      <c r="R371" s="13">
        <f>((((VLOOKUP(B371,Database!$A:$AS,MATCH($R$1,Database!$A$1:$AS$1,),))))-(((VLOOKUP(EDATE(B371,-12),Database!$A:$AS,MATCH($R$1,Database!$A$1:$AS$1,),)))))/(((VLOOKUP(EDATE(B371,-12),Database!$A:$AS,MATCH($R$1,Database!$A$1:$AS$1,),))))</f>
        <v>2.2160664811903694E-2</v>
      </c>
      <c r="S371" s="13">
        <f>((((VLOOKUP(B371,Database!$A:$AS,MATCH($S$1,Database!$A$1:$AS$1,),))))-(((VLOOKUP(EDATE(B371,-12),Database!$A:$AS,MATCH($S$1,Database!$A$1:$AS$1,),)))))/(((VLOOKUP(EDATE(B371,-12),Database!$A:$AS,MATCH($S$1,Database!$A$1:$AS$1,),))))</f>
        <v>-0.17354596622695728</v>
      </c>
      <c r="T371" s="13">
        <f>((((VLOOKUP(B371,Database!$A:$AS,MATCH($T$1,Database!$A$1:$AS$1,),))))-(((VLOOKUP(EDATE(B371,-12),Database!$A:$AS,MATCH($T$1,Database!$A$1:$AS$1,),)))))/(((VLOOKUP(EDATE(B371,-12),Database!$A:$AS,MATCH($T$1,Database!$A$1:$AS$1,),))))</f>
        <v>-9.9084096586157397E-2</v>
      </c>
      <c r="U371" s="13">
        <f>((((VLOOKUP(B371,Database!$A:$AS,MATCH($U$1,Database!$A$1:$AS$1,),))))-(((VLOOKUP(EDATE(B371,-12),Database!$A:$AS,MATCH($U$1,Database!$A$1:$AS$1,),)))))/(((VLOOKUP(EDATE(B371,-12),Database!$A:$AS,MATCH($U$1,Database!$A$1:$AS$1,),))))</f>
        <v>5.2816901349858137E-3</v>
      </c>
      <c r="V371" s="13">
        <f>((((VLOOKUP(B371,Database!$A:$AS,MATCH($V$1,Database!$A$1:$AS$1,),))))-(((VLOOKUP(EDATE(B371,-12),Database!$A:$AS,MATCH($V$1,Database!$A$1:$AS$1,),)))))/(((VLOOKUP(EDATE(B371,-12),Database!$A:$AS,MATCH($V$1,Database!$A$1:$AS$1,),))))</f>
        <v>3.0355594102341718E-2</v>
      </c>
    </row>
    <row r="372" spans="2:22" s="83" customFormat="1" x14ac:dyDescent="0.2">
      <c r="B372" s="78">
        <v>43466</v>
      </c>
      <c r="C372" s="13">
        <f>((((VLOOKUP(B372,Database!$A:$AS,MATCH($C$1,Database!$A$1:$AS$1,),))))-(((VLOOKUP(EDATE(B372,-12),Database!$A:$AS,MATCH($C$1,Database!$A$1:$AS$1,),)))))/(((VLOOKUP(EDATE(B372,-12),Database!$A:$AS,MATCH($C$1,Database!$A$1:$AS$1,),))))</f>
        <v>1.9201607001651747E-2</v>
      </c>
      <c r="D372" s="13">
        <f>((((VLOOKUP(B372,Database!$A:$AS,MATCH($D$1,Database!$A$1:$AS$1,),))))-(((VLOOKUP(EDATE(B372,-12),Database!$A:$AS,MATCH($D$1,Database!$A$1:$AS$1,),)))))/(((VLOOKUP(EDATE(B372,-12),Database!$A:$AS,MATCH($D$1,Database!$A$1:$AS$1,),))))</f>
        <v>-5.6657223796034795E-3</v>
      </c>
      <c r="E372" s="13">
        <f>((((VLOOKUP(B372,Database!$A:$AS,MATCH($E$1,Database!$A$1:$AS$1,),))))-(((VLOOKUP(EDATE(B372,-12),Database!$A:$AS,MATCH($E$1,Database!$A$1:$AS$1,),)))))/(((VLOOKUP(EDATE(B372,-12),Database!$A:$AS,MATCH($E$1,Database!$A$1:$AS$1,),))))</f>
        <v>1.0858835143392606E-2</v>
      </c>
      <c r="F372" s="13">
        <f>((((VLOOKUP(B372,Database!$A:$AS,MATCH($F$1,Database!$A$1:$AS$1,),))))-(((VLOOKUP(EDATE(B372,-12),Database!$A:$AS,MATCH($F$1,Database!$A$1:$AS$1,),)))))/(((VLOOKUP(EDATE(B372,-12),Database!$A:$AS,MATCH($F$1,Database!$A$1:$AS$1,),))))</f>
        <v>-3.3613445378072697E-2</v>
      </c>
      <c r="G372" s="13">
        <f>((((VLOOKUP(B372,Database!$A:$AS,MATCH($G$1,Database!$A$1:$AS$1,),))))-(((VLOOKUP(EDATE(B372,-12),Database!$A:$AS,MATCH($G$1,Database!$A$1:$AS$1,),)))))/(((VLOOKUP(EDATE(B372,-12),Database!$A:$AS,MATCH($G$1,Database!$A$1:$AS$1,),))))</f>
        <v>2.6372549019607821E-2</v>
      </c>
      <c r="H372" s="13">
        <f>((((VLOOKUP(B372,Database!$A:$AS,MATCH($H$1,Database!$A$1:$AS$1,),))))-(((VLOOKUP(EDATE(B372,-12),Database!$A:$AS,MATCH($H$1,Database!$A$1:$AS$1,),)))))/(((VLOOKUP(EDATE(B372,-12),Database!$A:$AS,MATCH($H$1,Database!$A$1:$AS$1,),))))</f>
        <v>8.7284482756191356E-2</v>
      </c>
      <c r="I372" s="13">
        <f>((((VLOOKUP(B372,Database!$A:$AS,MATCH($I$1,Database!$A$1:$AS$1,),))))-(((VLOOKUP(EDATE(B372,-12),Database!$A:$AS,MATCH($I$1,Database!$A$1:$AS$1,),)))))/(((VLOOKUP(EDATE(B372,-12),Database!$A:$AS,MATCH($I$1,Database!$A$1:$AS$1,),))))</f>
        <v>-5.6444026324792345E-3</v>
      </c>
      <c r="J372" s="13">
        <f>((((VLOOKUP(B372,Database!$A:$AS,MATCH($J$1,Database!$A$1:$AS$1,),))))-(((VLOOKUP(EDATE(B372,-12),Database!$A:$AS,MATCH($J$1,Database!$A$1:$AS$1,),)))))/(((VLOOKUP(EDATE(B372,-12),Database!$A:$AS,MATCH($J$1,Database!$A$1:$AS$1,),))))</f>
        <v>2.805668989355118E-2</v>
      </c>
      <c r="K372" s="13">
        <f>((((VLOOKUP(B372,Database!$A:$AS,MATCH($K$1,Database!$A$1:$AS$1,),))))-(((VLOOKUP(EDATE(B372,-12),Database!$A:$AS,MATCH($K$1,Database!$A$1:$AS$1,),)))))/(((VLOOKUP(EDATE(B372,-12),Database!$A:$AS,MATCH($K$1,Database!$A$1:$AS$1,),))))</f>
        <v>3.2080659945349019E-2</v>
      </c>
      <c r="L372" s="13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>2.6777469990766443E-2</v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>-1</v>
      </c>
      <c r="O372" s="13">
        <f>((((VLOOKUP(B372,Database!$A:$AS,MATCH($O$1,Database!$A$1:$AS$1,),))))-(((VLOOKUP(EDATE(B372,-12),Database!$A:$AS,MATCH($O$1,Database!$A$1:$AS$1,),)))))/(((VLOOKUP(EDATE(B372,-12),Database!$A:$AS,MATCH($O$1,Database!$A$1:$AS$1,),))))</f>
        <v>1.5670982742160375E-2</v>
      </c>
      <c r="P372" s="13">
        <f>((((VLOOKUP(B372,Database!$A:$AS,MATCH($P$1,Database!$A$1:$AS$1,),))))-(((VLOOKUP(EDATE(B372,-12),Database!$A:$AS,MATCH($P$1,Database!$A$1:$AS$1,),)))))/(((VLOOKUP(EDATE(B372,-12),Database!$A:$AS,MATCH($P$1,Database!$A$1:$AS$1,),))))</f>
        <v>2.8680688328476048E-3</v>
      </c>
      <c r="Q372" s="13">
        <f>((((VLOOKUP(B372,Database!$A:$AS,MATCH($Q$1,Database!$A$1:$AS$1,),))))-(((VLOOKUP(EDATE(B372,-12),Database!$A:$AS,MATCH($Q$1,Database!$A$1:$AS$1,),)))))/(((VLOOKUP(EDATE(B372,-12),Database!$A:$AS,MATCH($Q$1,Database!$A$1:$AS$1,),))))</f>
        <v>-2.2497187850323321E-2</v>
      </c>
      <c r="R372" s="13">
        <f>((((VLOOKUP(B372,Database!$A:$AS,MATCH($R$1,Database!$A$1:$AS$1,),))))-(((VLOOKUP(EDATE(B372,-12),Database!$A:$AS,MATCH($R$1,Database!$A$1:$AS$1,),)))))/(((VLOOKUP(EDATE(B372,-12),Database!$A:$AS,MATCH($R$1,Database!$A$1:$AS$1,),))))</f>
        <v>3.2558139534926957E-2</v>
      </c>
      <c r="S372" s="13">
        <f>((((VLOOKUP(B372,Database!$A:$AS,MATCH($S$1,Database!$A$1:$AS$1,),))))-(((VLOOKUP(EDATE(B372,-12),Database!$A:$AS,MATCH($S$1,Database!$A$1:$AS$1,),)))))/(((VLOOKUP(EDATE(B372,-12),Database!$A:$AS,MATCH($S$1,Database!$A$1:$AS$1,),))))</f>
        <v>-7.0366699702970534E-2</v>
      </c>
      <c r="T372" s="13">
        <f>((((VLOOKUP(B372,Database!$A:$AS,MATCH($T$1,Database!$A$1:$AS$1,),))))-(((VLOOKUP(EDATE(B372,-12),Database!$A:$AS,MATCH($T$1,Database!$A$1:$AS$1,),)))))/(((VLOOKUP(EDATE(B372,-12),Database!$A:$AS,MATCH($T$1,Database!$A$1:$AS$1,),))))</f>
        <v>-6.9550466500182734E-2</v>
      </c>
      <c r="U372" s="13">
        <f>((((VLOOKUP(B372,Database!$A:$AS,MATCH($U$1,Database!$A$1:$AS$1,),))))-(((VLOOKUP(EDATE(B372,-12),Database!$A:$AS,MATCH($U$1,Database!$A$1:$AS$1,),)))))/(((VLOOKUP(EDATE(B372,-12),Database!$A:$AS,MATCH($U$1,Database!$A$1:$AS$1,),))))</f>
        <v>-4.3975373829902072E-3</v>
      </c>
      <c r="V372" s="13">
        <f>((((VLOOKUP(B372,Database!$A:$AS,MATCH($V$1,Database!$A$1:$AS$1,),))))-(((VLOOKUP(EDATE(B372,-12),Database!$A:$AS,MATCH($V$1,Database!$A$1:$AS$1,),)))))/(((VLOOKUP(EDATE(B372,-12),Database!$A:$AS,MATCH($V$1,Database!$A$1:$AS$1,),))))</f>
        <v>5.840707964601765E-2</v>
      </c>
    </row>
    <row r="373" spans="2:22" s="83" customFormat="1" x14ac:dyDescent="0.2">
      <c r="B373" s="78">
        <v>43497</v>
      </c>
      <c r="C373" s="13">
        <f>((((VLOOKUP(B373,Database!$A:$AS,MATCH($C$1,Database!$A$1:$AS$1,),))))-(((VLOOKUP(EDATE(B373,-12),Database!$A:$AS,MATCH($C$1,Database!$A$1:$AS$1,),)))))/(((VLOOKUP(EDATE(B373,-12),Database!$A:$AS,MATCH($C$1,Database!$A$1:$AS$1,),))))</f>
        <v>1.0609988244316006E-2</v>
      </c>
      <c r="D373" s="13">
        <f>((((VLOOKUP(B373,Database!$A:$AS,MATCH($D$1,Database!$A$1:$AS$1,),))))-(((VLOOKUP(EDATE(B373,-12),Database!$A:$AS,MATCH($D$1,Database!$A$1:$AS$1,),)))))/(((VLOOKUP(EDATE(B373,-12),Database!$A:$AS,MATCH($D$1,Database!$A$1:$AS$1,),))))</f>
        <v>0</v>
      </c>
      <c r="E373" s="13">
        <f>((((VLOOKUP(B373,Database!$A:$AS,MATCH($E$1,Database!$A$1:$AS$1,),))))-(((VLOOKUP(EDATE(B373,-12),Database!$A:$AS,MATCH($E$1,Database!$A$1:$AS$1,),)))))/(((VLOOKUP(EDATE(B373,-12),Database!$A:$AS,MATCH($E$1,Database!$A$1:$AS$1,),))))</f>
        <v>-8.6705202287913063E-3</v>
      </c>
      <c r="F373" s="13">
        <f>((((VLOOKUP(B373,Database!$A:$AS,MATCH($F$1,Database!$A$1:$AS$1,),))))-(((VLOOKUP(EDATE(B373,-12),Database!$A:$AS,MATCH($F$1,Database!$A$1:$AS$1,),)))))/(((VLOOKUP(EDATE(B373,-12),Database!$A:$AS,MATCH($F$1,Database!$A$1:$AS$1,),))))</f>
        <v>-1.516587677935372E-2</v>
      </c>
      <c r="G373" s="13">
        <f>((((VLOOKUP(B373,Database!$A:$AS,MATCH($G$1,Database!$A$1:$AS$1,),))))-(((VLOOKUP(EDATE(B373,-12),Database!$A:$AS,MATCH($G$1,Database!$A$1:$AS$1,),)))))/(((VLOOKUP(EDATE(B373,-12),Database!$A:$AS,MATCH($G$1,Database!$A$1:$AS$1,),))))</f>
        <v>1.2975694780672058E-2</v>
      </c>
      <c r="H373" s="13">
        <f>((((VLOOKUP(B373,Database!$A:$AS,MATCH($H$1,Database!$A$1:$AS$1,),))))-(((VLOOKUP(EDATE(B373,-12),Database!$A:$AS,MATCH($H$1,Database!$A$1:$AS$1,),)))))/(((VLOOKUP(EDATE(B373,-12),Database!$A:$AS,MATCH($H$1,Database!$A$1:$AS$1,),))))</f>
        <v>9.4155844149963114E-2</v>
      </c>
      <c r="I373" s="13">
        <f>((((VLOOKUP(B373,Database!$A:$AS,MATCH($I$1,Database!$A$1:$AS$1,),))))-(((VLOOKUP(EDATE(B373,-12),Database!$A:$AS,MATCH($I$1,Database!$A$1:$AS$1,),)))))/(((VLOOKUP(EDATE(B373,-12),Database!$A:$AS,MATCH($I$1,Database!$A$1:$AS$1,),))))</f>
        <v>5.6603773569061742E-3</v>
      </c>
      <c r="J373" s="13">
        <f>((((VLOOKUP(B373,Database!$A:$AS,MATCH($J$1,Database!$A$1:$AS$1,),))))-(((VLOOKUP(EDATE(B373,-12),Database!$A:$AS,MATCH($J$1,Database!$A$1:$AS$1,),)))))/(((VLOOKUP(EDATE(B373,-12),Database!$A:$AS,MATCH($J$1,Database!$A$1:$AS$1,),))))</f>
        <v>-1.9591221594298671E-3</v>
      </c>
      <c r="K373" s="13">
        <f>((((VLOOKUP(B373,Database!$A:$AS,MATCH($K$1,Database!$A$1:$AS$1,),))))-(((VLOOKUP(EDATE(B373,-12),Database!$A:$AS,MATCH($K$1,Database!$A$1:$AS$1,),)))))/(((VLOOKUP(EDATE(B373,-12),Database!$A:$AS,MATCH($K$1,Database!$A$1:$AS$1,),))))</f>
        <v>2.7598896045740735E-2</v>
      </c>
      <c r="L373" s="13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>3.3550792171481908E-2</v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>-1</v>
      </c>
      <c r="O373" s="13">
        <f>((((VLOOKUP(B373,Database!$A:$AS,MATCH($O$1,Database!$A$1:$AS$1,),))))-(((VLOOKUP(EDATE(B373,-12),Database!$A:$AS,MATCH($O$1,Database!$A$1:$AS$1,),)))))/(((VLOOKUP(EDATE(B373,-12),Database!$A:$AS,MATCH($O$1,Database!$A$1:$AS$1,),))))</f>
        <v>-2.8469750899380009E-3</v>
      </c>
      <c r="P373" s="13">
        <f>((((VLOOKUP(B373,Database!$A:$AS,MATCH($P$1,Database!$A$1:$AS$1,),))))-(((VLOOKUP(EDATE(B373,-12),Database!$A:$AS,MATCH($P$1,Database!$A$1:$AS$1,),)))))/(((VLOOKUP(EDATE(B373,-12),Database!$A:$AS,MATCH($P$1,Database!$A$1:$AS$1,),))))</f>
        <v>-3.7523452162790988E-2</v>
      </c>
      <c r="Q373" s="13">
        <f>((((VLOOKUP(B373,Database!$A:$AS,MATCH($Q$1,Database!$A$1:$AS$1,),))))-(((VLOOKUP(EDATE(B373,-12),Database!$A:$AS,MATCH($Q$1,Database!$A$1:$AS$1,),)))))/(((VLOOKUP(EDATE(B373,-12),Database!$A:$AS,MATCH($Q$1,Database!$A$1:$AS$1,),))))</f>
        <v>-1.3544018053923808E-2</v>
      </c>
      <c r="R373" s="13">
        <f>((((VLOOKUP(B373,Database!$A:$AS,MATCH($R$1,Database!$A$1:$AS$1,),))))-(((VLOOKUP(EDATE(B373,-12),Database!$A:$AS,MATCH($R$1,Database!$A$1:$AS$1,),)))))/(((VLOOKUP(EDATE(B373,-12),Database!$A:$AS,MATCH($R$1,Database!$A$1:$AS$1,),))))</f>
        <v>1.8518518511823557E-2</v>
      </c>
      <c r="S373" s="13">
        <f>((((VLOOKUP(B373,Database!$A:$AS,MATCH($S$1,Database!$A$1:$AS$1,),))))-(((VLOOKUP(EDATE(B373,-12),Database!$A:$AS,MATCH($S$1,Database!$A$1:$AS$1,),)))))/(((VLOOKUP(EDATE(B373,-12),Database!$A:$AS,MATCH($S$1,Database!$A$1:$AS$1,),))))</f>
        <v>-3.1446540976415691E-3</v>
      </c>
      <c r="T373" s="13">
        <f>((((VLOOKUP(B373,Database!$A:$AS,MATCH($T$1,Database!$A$1:$AS$1,),))))-(((VLOOKUP(EDATE(B373,-12),Database!$A:$AS,MATCH($T$1,Database!$A$1:$AS$1,),)))))/(((VLOOKUP(EDATE(B373,-12),Database!$A:$AS,MATCH($T$1,Database!$A$1:$AS$1,),))))</f>
        <v>-4.6114432113523805E-2</v>
      </c>
      <c r="U373" s="13">
        <f>((((VLOOKUP(B373,Database!$A:$AS,MATCH($U$1,Database!$A$1:$AS$1,),))))-(((VLOOKUP(EDATE(B373,-12),Database!$A:$AS,MATCH($U$1,Database!$A$1:$AS$1,),)))))/(((VLOOKUP(EDATE(B373,-12),Database!$A:$AS,MATCH($U$1,Database!$A$1:$AS$1,),))))</f>
        <v>1.8935978355913565E-2</v>
      </c>
      <c r="V373" s="13">
        <f>((((VLOOKUP(B373,Database!$A:$AS,MATCH($V$1,Database!$A$1:$AS$1,),))))-(((VLOOKUP(EDATE(B373,-12),Database!$A:$AS,MATCH($V$1,Database!$A$1:$AS$1,),)))))/(((VLOOKUP(EDATE(B373,-12),Database!$A:$AS,MATCH($V$1,Database!$A$1:$AS$1,),))))</f>
        <v>6.4035087719298223E-2</v>
      </c>
    </row>
    <row r="374" spans="2:22" s="83" customFormat="1" x14ac:dyDescent="0.2">
      <c r="B374" s="78">
        <v>43525</v>
      </c>
      <c r="C374" s="13">
        <f>((((VLOOKUP(B374,Database!$A:$AS,MATCH($C$1,Database!$A$1:$AS$1,),))))-(((VLOOKUP(EDATE(B374,-12),Database!$A:$AS,MATCH($C$1,Database!$A$1:$AS$1,),)))))/(((VLOOKUP(EDATE(B374,-12),Database!$A:$AS,MATCH($C$1,Database!$A$1:$AS$1,),))))</f>
        <v>5.5279673136763461E-3</v>
      </c>
      <c r="D374" s="13">
        <f>((((VLOOKUP(B374,Database!$A:$AS,MATCH($D$1,Database!$A$1:$AS$1,),))))-(((VLOOKUP(EDATE(B374,-12),Database!$A:$AS,MATCH($D$1,Database!$A$1:$AS$1,),)))))/(((VLOOKUP(EDATE(B374,-12),Database!$A:$AS,MATCH($D$1,Database!$A$1:$AS$1,),))))</f>
        <v>-9.4876660341564056E-4</v>
      </c>
      <c r="E374" s="13">
        <f>((((VLOOKUP(B374,Database!$A:$AS,MATCH($E$1,Database!$A$1:$AS$1,),))))-(((VLOOKUP(EDATE(B374,-12),Database!$A:$AS,MATCH($E$1,Database!$A$1:$AS$1,),)))))/(((VLOOKUP(EDATE(B374,-12),Database!$A:$AS,MATCH($E$1,Database!$A$1:$AS$1,),))))</f>
        <v>-2.2878932319627416E-2</v>
      </c>
      <c r="F374" s="13">
        <f>((((VLOOKUP(B374,Database!$A:$AS,MATCH($F$1,Database!$A$1:$AS$1,),))))-(((VLOOKUP(EDATE(B374,-12),Database!$A:$AS,MATCH($F$1,Database!$A$1:$AS$1,),)))))/(((VLOOKUP(EDATE(B374,-12),Database!$A:$AS,MATCH($F$1,Database!$A$1:$AS$1,),))))</f>
        <v>-1.8744142453453412E-2</v>
      </c>
      <c r="G374" s="13">
        <f>((((VLOOKUP(B374,Database!$A:$AS,MATCH($G$1,Database!$A$1:$AS$1,),))))-(((VLOOKUP(EDATE(B374,-12),Database!$A:$AS,MATCH($G$1,Database!$A$1:$AS$1,),)))))/(((VLOOKUP(EDATE(B374,-12),Database!$A:$AS,MATCH($G$1,Database!$A$1:$AS$1,),))))</f>
        <v>7.6716532412733304E-4</v>
      </c>
      <c r="H374" s="13">
        <f>((((VLOOKUP(B374,Database!$A:$AS,MATCH($H$1,Database!$A$1:$AS$1,),))))-(((VLOOKUP(EDATE(B374,-12),Database!$A:$AS,MATCH($H$1,Database!$A$1:$AS$1,),)))))/(((VLOOKUP(EDATE(B374,-12),Database!$A:$AS,MATCH($H$1,Database!$A$1:$AS$1,),))))</f>
        <v>0.10237068965120977</v>
      </c>
      <c r="I374" s="13">
        <f>((((VLOOKUP(B374,Database!$A:$AS,MATCH($I$1,Database!$A$1:$AS$1,),))))-(((VLOOKUP(EDATE(B374,-12),Database!$A:$AS,MATCH($I$1,Database!$A$1:$AS$1,),)))))/(((VLOOKUP(EDATE(B374,-12),Database!$A:$AS,MATCH($I$1,Database!$A$1:$AS$1,),))))</f>
        <v>-1.7657992557143429E-2</v>
      </c>
      <c r="J374" s="13">
        <f>((((VLOOKUP(B374,Database!$A:$AS,MATCH($J$1,Database!$A$1:$AS$1,),))))-(((VLOOKUP(EDATE(B374,-12),Database!$A:$AS,MATCH($J$1,Database!$A$1:$AS$1,),)))))/(((VLOOKUP(EDATE(B374,-12),Database!$A:$AS,MATCH($J$1,Database!$A$1:$AS$1,),))))</f>
        <v>-2.6508074508180889E-2</v>
      </c>
      <c r="K374" s="13">
        <f>((((VLOOKUP(B374,Database!$A:$AS,MATCH($K$1,Database!$A$1:$AS$1,),))))-(((VLOOKUP(EDATE(B374,-12),Database!$A:$AS,MATCH($K$1,Database!$A$1:$AS$1,),)))))/(((VLOOKUP(EDATE(B374,-12),Database!$A:$AS,MATCH($K$1,Database!$A$1:$AS$1,),))))</f>
        <v>0</v>
      </c>
      <c r="L374" s="13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>3.0583873957367905E-2</v>
      </c>
      <c r="N374" s="13"/>
      <c r="O374" s="13">
        <f>((((VLOOKUP(B374,Database!$A:$AS,MATCH($O$1,Database!$A$1:$AS$1,),))))-(((VLOOKUP(EDATE(B374,-12),Database!$A:$AS,MATCH($O$1,Database!$A$1:$AS$1,),)))))/(((VLOOKUP(EDATE(B374,-12),Database!$A:$AS,MATCH($O$1,Database!$A$1:$AS$1,),))))</f>
        <v>3.2537345132726786E-3</v>
      </c>
      <c r="P374" s="13">
        <f>((((VLOOKUP(B374,Database!$A:$AS,MATCH($P$1,Database!$A$1:$AS$1,),))))-(((VLOOKUP(EDATE(B374,-12),Database!$A:$AS,MATCH($P$1,Database!$A$1:$AS$1,),)))))/(((VLOOKUP(EDATE(B374,-12),Database!$A:$AS,MATCH($P$1,Database!$A$1:$AS$1,),))))</f>
        <v>-4.7801147245998309E-3</v>
      </c>
      <c r="Q374" s="13">
        <f>((((VLOOKUP(B374,Database!$A:$AS,MATCH($Q$1,Database!$A$1:$AS$1,),))))-(((VLOOKUP(EDATE(B374,-12),Database!$A:$AS,MATCH($Q$1,Database!$A$1:$AS$1,),)))))/(((VLOOKUP(EDATE(B374,-12),Database!$A:$AS,MATCH($Q$1,Database!$A$1:$AS$1,),))))</f>
        <v>-2.9017857139417964E-2</v>
      </c>
      <c r="R374" s="13">
        <f>((((VLOOKUP(B374,Database!$A:$AS,MATCH($R$1,Database!$A$1:$AS$1,),))))-(((VLOOKUP(EDATE(B374,-12),Database!$A:$AS,MATCH($R$1,Database!$A$1:$AS$1,),)))))/(((VLOOKUP(EDATE(B374,-12),Database!$A:$AS,MATCH($R$1,Database!$A$1:$AS$1,),))))</f>
        <v>-8.2796688171620971E-3</v>
      </c>
      <c r="S374" s="13">
        <f>((((VLOOKUP(B374,Database!$A:$AS,MATCH($S$1,Database!$A$1:$AS$1,),))))-(((VLOOKUP(EDATE(B374,-12),Database!$A:$AS,MATCH($S$1,Database!$A$1:$AS$1,),)))))/(((VLOOKUP(EDATE(B374,-12),Database!$A:$AS,MATCH($S$1,Database!$A$1:$AS$1,),))))</f>
        <v>0.20400500626422838</v>
      </c>
      <c r="T374" s="13">
        <f>((((VLOOKUP(B374,Database!$A:$AS,MATCH($T$1,Database!$A$1:$AS$1,),))))-(((VLOOKUP(EDATE(B374,-12),Database!$A:$AS,MATCH($T$1,Database!$A$1:$AS$1,),)))))/(((VLOOKUP(EDATE(B374,-12),Database!$A:$AS,MATCH($T$1,Database!$A$1:$AS$1,),))))</f>
        <v>-1.9641332200612985E-2</v>
      </c>
      <c r="U374" s="13">
        <f>((((VLOOKUP(B374,Database!$A:$AS,MATCH($U$1,Database!$A$1:$AS$1,),))))-(((VLOOKUP(EDATE(B374,-12),Database!$A:$AS,MATCH($U$1,Database!$A$1:$AS$1,),)))))/(((VLOOKUP(EDATE(B374,-12),Database!$A:$AS,MATCH($U$1,Database!$A$1:$AS$1,),))))</f>
        <v>1.0666666672688339E-2</v>
      </c>
      <c r="V374" s="13">
        <f>((((VLOOKUP(B374,Database!$A:$AS,MATCH($V$1,Database!$A$1:$AS$1,),))))-(((VLOOKUP(EDATE(B374,-12),Database!$A:$AS,MATCH($V$1,Database!$A$1:$AS$1,),)))))/(((VLOOKUP(EDATE(B374,-12),Database!$A:$AS,MATCH($V$1,Database!$A$1:$AS$1,),))))</f>
        <v>7.6719576719576618E-2</v>
      </c>
    </row>
    <row r="375" spans="2:22" s="83" customFormat="1" x14ac:dyDescent="0.2">
      <c r="B375" s="78">
        <v>43556</v>
      </c>
      <c r="C375" s="13">
        <f>((((VLOOKUP(B375,Database!$A:$AS,MATCH($C$1,Database!$A$1:$AS$1,),))))-(((VLOOKUP(EDATE(B375,-12),Database!$A:$AS,MATCH($C$1,Database!$A$1:$AS$1,),)))))/(((VLOOKUP(EDATE(B375,-12),Database!$A:$AS,MATCH($C$1,Database!$A$1:$AS$1,),))))</f>
        <v>-1.117112063831565E-2</v>
      </c>
      <c r="D375" s="13">
        <f>((((VLOOKUP(B375,Database!$A:$AS,MATCH($D$1,Database!$A$1:$AS$1,),))))-(((VLOOKUP(EDATE(B375,-12),Database!$A:$AS,MATCH($D$1,Database!$A$1:$AS$1,),)))))/(((VLOOKUP(EDATE(B375,-12),Database!$A:$AS,MATCH($D$1,Database!$A$1:$AS$1,),))))</f>
        <v>-8.5632730732634783E-3</v>
      </c>
      <c r="E375" s="13">
        <f>((((VLOOKUP(B375,Database!$A:$AS,MATCH($E$1,Database!$A$1:$AS$1,),))))-(((VLOOKUP(EDATE(B375,-12),Database!$A:$AS,MATCH($E$1,Database!$A$1:$AS$1,),)))))/(((VLOOKUP(EDATE(B375,-12),Database!$A:$AS,MATCH($E$1,Database!$A$1:$AS$1,),))))</f>
        <v>-1.5340364335730572E-2</v>
      </c>
      <c r="F375" s="13">
        <f>((((VLOOKUP(B375,Database!$A:$AS,MATCH($F$1,Database!$A$1:$AS$1,),))))-(((VLOOKUP(EDATE(B375,-12),Database!$A:$AS,MATCH($F$1,Database!$A$1:$AS$1,),)))))/(((VLOOKUP(EDATE(B375,-12),Database!$A:$AS,MATCH($F$1,Database!$A$1:$AS$1,),))))</f>
        <v>-3.9585296888207493E-2</v>
      </c>
      <c r="G375" s="13">
        <f>((((VLOOKUP(B375,Database!$A:$AS,MATCH($G$1,Database!$A$1:$AS$1,),))))-(((VLOOKUP(EDATE(B375,-12),Database!$A:$AS,MATCH($G$1,Database!$A$1:$AS$1,),)))))/(((VLOOKUP(EDATE(B375,-12),Database!$A:$AS,MATCH($G$1,Database!$A$1:$AS$1,),))))</f>
        <v>1.4284326110193363E-2</v>
      </c>
      <c r="H375" s="13">
        <f>((((VLOOKUP(B375,Database!$A:$AS,MATCH($H$1,Database!$A$1:$AS$1,),))))-(((VLOOKUP(EDATE(B375,-12),Database!$A:$AS,MATCH($H$1,Database!$A$1:$AS$1,),)))))/(((VLOOKUP(EDATE(B375,-12),Database!$A:$AS,MATCH($H$1,Database!$A$1:$AS$1,),))))</f>
        <v>5.6443024495039067E-2</v>
      </c>
      <c r="I375" s="13">
        <f>((((VLOOKUP(B375,Database!$A:$AS,MATCH($I$1,Database!$A$1:$AS$1,),))))-(((VLOOKUP(EDATE(B375,-12),Database!$A:$AS,MATCH($I$1,Database!$A$1:$AS$1,),)))))/(((VLOOKUP(EDATE(B375,-12),Database!$A:$AS,MATCH($I$1,Database!$A$1:$AS$1,),))))</f>
        <v>-1.3207547169259468E-2</v>
      </c>
      <c r="J375" s="13">
        <f>((((VLOOKUP(B375,Database!$A:$AS,MATCH($J$1,Database!$A$1:$AS$1,),))))-(((VLOOKUP(EDATE(B375,-12),Database!$A:$AS,MATCH($J$1,Database!$A$1:$AS$1,),)))))/(((VLOOKUP(EDATE(B375,-12),Database!$A:$AS,MATCH($J$1,Database!$A$1:$AS$1,),))))</f>
        <v>1.3935685858438471E-2</v>
      </c>
      <c r="K375" s="13">
        <f>((((VLOOKUP(B375,Database!$A:$AS,MATCH($K$1,Database!$A$1:$AS$1,),))))-(((VLOOKUP(EDATE(B375,-12),Database!$A:$AS,MATCH($K$1,Database!$A$1:$AS$1,),)))))/(((VLOOKUP(EDATE(B375,-12),Database!$A:$AS,MATCH($K$1,Database!$A$1:$AS$1,),))))</f>
        <v>5.2730696793014412E-2</v>
      </c>
      <c r="L375" s="13"/>
      <c r="M375" s="13"/>
      <c r="N375" s="13"/>
      <c r="O375" s="13">
        <f>((((VLOOKUP(B375,Database!$A:$AS,MATCH($O$1,Database!$A$1:$AS$1,),))))-(((VLOOKUP(EDATE(B375,-12),Database!$A:$AS,MATCH($O$1,Database!$A$1:$AS$1,),)))))/(((VLOOKUP(EDATE(B375,-12),Database!$A:$AS,MATCH($O$1,Database!$A$1:$AS$1,),))))</f>
        <v>2.4543851357539764E-2</v>
      </c>
      <c r="P375" s="13">
        <f>((((VLOOKUP(B375,Database!$A:$AS,MATCH($P$1,Database!$A$1:$AS$1,),))))-(((VLOOKUP(EDATE(B375,-12),Database!$A:$AS,MATCH($P$1,Database!$A$1:$AS$1,),)))))/(((VLOOKUP(EDATE(B375,-12),Database!$A:$AS,MATCH($P$1,Database!$A$1:$AS$1,),))))</f>
        <v>-9.3370681642070737E-3</v>
      </c>
      <c r="Q375" s="13">
        <f>((((VLOOKUP(B375,Database!$A:$AS,MATCH($Q$1,Database!$A$1:$AS$1,),))))-(((VLOOKUP(EDATE(B375,-12),Database!$A:$AS,MATCH($Q$1,Database!$A$1:$AS$1,),)))))/(((VLOOKUP(EDATE(B375,-12),Database!$A:$AS,MATCH($Q$1,Database!$A$1:$AS$1,),))))</f>
        <v>-2.8856825755544761E-2</v>
      </c>
      <c r="R375" s="13">
        <f>((((VLOOKUP(B375,Database!$A:$AS,MATCH($R$1,Database!$A$1:$AS$1,),))))-(((VLOOKUP(EDATE(B375,-12),Database!$A:$AS,MATCH($R$1,Database!$A$1:$AS$1,),)))))/(((VLOOKUP(EDATE(B375,-12),Database!$A:$AS,MATCH($R$1,Database!$A$1:$AS$1,),))))</f>
        <v>2.535211267881032E-2</v>
      </c>
      <c r="S375" s="13">
        <f>((((VLOOKUP(B375,Database!$A:$AS,MATCH($S$1,Database!$A$1:$AS$1,),))))-(((VLOOKUP(EDATE(B375,-12),Database!$A:$AS,MATCH($S$1,Database!$A$1:$AS$1,),)))))/(((VLOOKUP(EDATE(B375,-12),Database!$A:$AS,MATCH($S$1,Database!$A$1:$AS$1,),))))</f>
        <v>2.7987082887753711E-2</v>
      </c>
      <c r="T375" s="13">
        <f>((((VLOOKUP(B375,Database!$A:$AS,MATCH($T$1,Database!$A$1:$AS$1,),))))-(((VLOOKUP(EDATE(B375,-12),Database!$A:$AS,MATCH($T$1,Database!$A$1:$AS$1,),)))))/(((VLOOKUP(EDATE(B375,-12),Database!$A:$AS,MATCH($T$1,Database!$A$1:$AS$1,),))))</f>
        <v>-3.7130801688675288E-2</v>
      </c>
      <c r="U375" s="13">
        <f>((((VLOOKUP(B375,Database!$A:$AS,MATCH($U$1,Database!$A$1:$AS$1,),))))-(((VLOOKUP(EDATE(B375,-12),Database!$A:$AS,MATCH($U$1,Database!$A$1:$AS$1,),)))))/(((VLOOKUP(EDATE(B375,-12),Database!$A:$AS,MATCH($U$1,Database!$A$1:$AS$1,),))))</f>
        <v>3.9783001809642796E-2</v>
      </c>
      <c r="V375" s="13">
        <f>((((VLOOKUP(B375,Database!$A:$AS,MATCH($V$1,Database!$A$1:$AS$1,),))))-(((VLOOKUP(EDATE(B375,-12),Database!$A:$AS,MATCH($V$1,Database!$A$1:$AS$1,),)))))/(((VLOOKUP(EDATE(B375,-12),Database!$A:$AS,MATCH($V$1,Database!$A$1:$AS$1,),))))</f>
        <v>6.4347826086956578E-2</v>
      </c>
    </row>
    <row r="376" spans="2:22" s="83" customFormat="1" x14ac:dyDescent="0.2">
      <c r="B376" s="78">
        <v>43586</v>
      </c>
      <c r="C376" s="13">
        <f>((((VLOOKUP(B376,Database!$A:$AS,MATCH($C$1,Database!$A$1:$AS$1,),))))-(((VLOOKUP(EDATE(B376,-12),Database!$A:$AS,MATCH($C$1,Database!$A$1:$AS$1,),)))))/(((VLOOKUP(EDATE(B376,-12),Database!$A:$AS,MATCH($C$1,Database!$A$1:$AS$1,),))))</f>
        <v>-8.6697197509876282E-4</v>
      </c>
      <c r="D376" s="13">
        <f>((((VLOOKUP(B376,Database!$A:$AS,MATCH($D$1,Database!$A$1:$AS$1,),))))-(((VLOOKUP(EDATE(B376,-12),Database!$A:$AS,MATCH($D$1,Database!$A$1:$AS$1,),)))))/(((VLOOKUP(EDATE(B376,-12),Database!$A:$AS,MATCH($D$1,Database!$A$1:$AS$1,),))))</f>
        <v>-1.0328638497652528E-2</v>
      </c>
      <c r="E376" s="13">
        <f>((((VLOOKUP(B376,Database!$A:$AS,MATCH($E$1,Database!$A$1:$AS$1,),))))-(((VLOOKUP(EDATE(B376,-12),Database!$A:$AS,MATCH($E$1,Database!$A$1:$AS$1,),)))))/(((VLOOKUP(EDATE(B376,-12),Database!$A:$AS,MATCH($E$1,Database!$A$1:$AS$1,),))))</f>
        <v>-6.6921606163519208E-3</v>
      </c>
      <c r="F376" s="13">
        <f>((((VLOOKUP(B376,Database!$A:$AS,MATCH($F$1,Database!$A$1:$AS$1,),))))-(((VLOOKUP(EDATE(B376,-12),Database!$A:$AS,MATCH($F$1,Database!$A$1:$AS$1,),)))))/(((VLOOKUP(EDATE(B376,-12),Database!$A:$AS,MATCH($F$1,Database!$A$1:$AS$1,),))))</f>
        <v>-4.7222222218363884E-2</v>
      </c>
      <c r="G376" s="13">
        <f>((((VLOOKUP(B376,Database!$A:$AS,MATCH($G$1,Database!$A$1:$AS$1,),))))-(((VLOOKUP(EDATE(B376,-12),Database!$A:$AS,MATCH($G$1,Database!$A$1:$AS$1,),)))))/(((VLOOKUP(EDATE(B376,-12),Database!$A:$AS,MATCH($G$1,Database!$A$1:$AS$1,),))))</f>
        <v>3.8178427716164497E-2</v>
      </c>
      <c r="H376" s="13">
        <f>((((VLOOKUP(B376,Database!$A:$AS,MATCH($H$1,Database!$A$1:$AS$1,),))))-(((VLOOKUP(EDATE(B376,-12),Database!$A:$AS,MATCH($H$1,Database!$A$1:$AS$1,),)))))/(((VLOOKUP(EDATE(B376,-12),Database!$A:$AS,MATCH($H$1,Database!$A$1:$AS$1,),))))</f>
        <v>5.6962025315151973E-2</v>
      </c>
      <c r="I376" s="13">
        <f>((((VLOOKUP(B376,Database!$A:$AS,MATCH($I$1,Database!$A$1:$AS$1,),))))-(((VLOOKUP(EDATE(B376,-12),Database!$A:$AS,MATCH($I$1,Database!$A$1:$AS$1,),)))))/(((VLOOKUP(EDATE(B376,-12),Database!$A:$AS,MATCH($I$1,Database!$A$1:$AS$1,),))))</f>
        <v>-2.8089887632558037E-3</v>
      </c>
      <c r="J376" s="13">
        <f>((((VLOOKUP(B376,Database!$A:$AS,MATCH($J$1,Database!$A$1:$AS$1,),))))-(((VLOOKUP(EDATE(B376,-12),Database!$A:$AS,MATCH($J$1,Database!$A$1:$AS$1,),)))))/(((VLOOKUP(EDATE(B376,-12),Database!$A:$AS,MATCH($J$1,Database!$A$1:$AS$1,),))))</f>
        <v>2.5682273055667736E-2</v>
      </c>
      <c r="K376" s="13">
        <f>((((VLOOKUP(B376,Database!$A:$AS,MATCH($K$1,Database!$A$1:$AS$1,),))))-(((VLOOKUP(EDATE(B376,-12),Database!$A:$AS,MATCH($K$1,Database!$A$1:$AS$1,),)))))/(((VLOOKUP(EDATE(B376,-12),Database!$A:$AS,MATCH($K$1,Database!$A$1:$AS$1,),))))</f>
        <v>1.9909502256858527E-2</v>
      </c>
      <c r="L376" s="13"/>
      <c r="M376" s="13"/>
      <c r="N376" s="13"/>
      <c r="O376" s="13">
        <f>((((VLOOKUP(B376,Database!$A:$AS,MATCH($O$1,Database!$A$1:$AS$1,),))))-(((VLOOKUP(EDATE(B376,-12),Database!$A:$AS,MATCH($O$1,Database!$A$1:$AS$1,),)))))/(((VLOOKUP(EDATE(B376,-12),Database!$A:$AS,MATCH($O$1,Database!$A$1:$AS$1,),))))</f>
        <v>2.7669164765608097E-2</v>
      </c>
      <c r="P376" s="13">
        <f>((((VLOOKUP(B376,Database!$A:$AS,MATCH($P$1,Database!$A$1:$AS$1,),))))-(((VLOOKUP(EDATE(B376,-12),Database!$A:$AS,MATCH($P$1,Database!$A$1:$AS$1,),)))))/(((VLOOKUP(EDATE(B376,-12),Database!$A:$AS,MATCH($P$1,Database!$A$1:$AS$1,),))))</f>
        <v>-2.0446096645602586E-2</v>
      </c>
      <c r="Q376" s="13">
        <f>((((VLOOKUP(B376,Database!$A:$AS,MATCH($Q$1,Database!$A$1:$AS$1,),))))-(((VLOOKUP(EDATE(B376,-12),Database!$A:$AS,MATCH($Q$1,Database!$A$1:$AS$1,),)))))/(((VLOOKUP(EDATE(B376,-12),Database!$A:$AS,MATCH($Q$1,Database!$A$1:$AS$1,),))))</f>
        <v>9.1022443890062463E-2</v>
      </c>
      <c r="R376" s="13">
        <f>((((VLOOKUP(B376,Database!$A:$AS,MATCH($R$1,Database!$A$1:$AS$1,),))))-(((VLOOKUP(EDATE(B376,-12),Database!$A:$AS,MATCH($R$1,Database!$A$1:$AS$1,),)))))/(((VLOOKUP(EDATE(B376,-12),Database!$A:$AS,MATCH($R$1,Database!$A$1:$AS$1,),))))</f>
        <v>-2.7598896057207424E-3</v>
      </c>
      <c r="S376" s="13">
        <f>((((VLOOKUP(B376,Database!$A:$AS,MATCH($S$1,Database!$A$1:$AS$1,),))))-(((VLOOKUP(EDATE(B376,-12),Database!$A:$AS,MATCH($S$1,Database!$A$1:$AS$1,),)))))/(((VLOOKUP(EDATE(B376,-12),Database!$A:$AS,MATCH($S$1,Database!$A$1:$AS$1,),))))</f>
        <v>2.0979020973153222E-2</v>
      </c>
      <c r="T376" s="13">
        <f>((((VLOOKUP(B376,Database!$A:$AS,MATCH($T$1,Database!$A$1:$AS$1,),))))-(((VLOOKUP(EDATE(B376,-12),Database!$A:$AS,MATCH($T$1,Database!$A$1:$AS$1,),)))))/(((VLOOKUP(EDATE(B376,-12),Database!$A:$AS,MATCH($T$1,Database!$A$1:$AS$1,),))))</f>
        <v>-1.1996572407450196E-2</v>
      </c>
      <c r="U376" s="13">
        <f>((((VLOOKUP(B376,Database!$A:$AS,MATCH($U$1,Database!$A$1:$AS$1,),))))-(((VLOOKUP(EDATE(B376,-12),Database!$A:$AS,MATCH($U$1,Database!$A$1:$AS$1,),)))))/(((VLOOKUP(EDATE(B376,-12),Database!$A:$AS,MATCH($U$1,Database!$A$1:$AS$1,),))))</f>
        <v>3.1662269129380409E-2</v>
      </c>
      <c r="V376" s="13">
        <f>((((VLOOKUP(B376,Database!$A:$AS,MATCH($V$1,Database!$A$1:$AS$1,),))))-(((VLOOKUP(EDATE(B376,-12),Database!$A:$AS,MATCH($V$1,Database!$A$1:$AS$1,),)))))/(((VLOOKUP(EDATE(B376,-12),Database!$A:$AS,MATCH($V$1,Database!$A$1:$AS$1,),))))</f>
        <v>4.9615055603079529E-2</v>
      </c>
    </row>
    <row r="377" spans="2:22" s="83" customFormat="1" x14ac:dyDescent="0.2">
      <c r="B377" s="78">
        <v>43617</v>
      </c>
      <c r="C377" s="13">
        <f>((((VLOOKUP(B377,Database!$A:$AS,MATCH($C$1,Database!$A$1:$AS$1,),))))-(((VLOOKUP(EDATE(B377,-12),Database!$A:$AS,MATCH($C$1,Database!$A$1:$AS$1,),)))))/(((VLOOKUP(EDATE(B377,-12),Database!$A:$AS,MATCH($C$1,Database!$A$1:$AS$1,),))))</f>
        <v>-8.910550842674763E-3</v>
      </c>
      <c r="D377" s="13">
        <f>((((VLOOKUP(B377,Database!$A:$AS,MATCH($D$1,Database!$A$1:$AS$1,),))))-(((VLOOKUP(EDATE(B377,-12),Database!$A:$AS,MATCH($D$1,Database!$A$1:$AS$1,),)))))/(((VLOOKUP(EDATE(B377,-12),Database!$A:$AS,MATCH($D$1,Database!$A$1:$AS$1,),))))</f>
        <v>-2.1636876763875795E-2</v>
      </c>
      <c r="E377" s="13">
        <f>((((VLOOKUP(B377,Database!$A:$AS,MATCH($E$1,Database!$A$1:$AS$1,),))))-(((VLOOKUP(EDATE(B377,-12),Database!$A:$AS,MATCH($E$1,Database!$A$1:$AS$1,),)))))/(((VLOOKUP(EDATE(B377,-12),Database!$A:$AS,MATCH($E$1,Database!$A$1:$AS$1,),))))</f>
        <v>-2.1235521236080357E-2</v>
      </c>
      <c r="F377" s="13">
        <f>((((VLOOKUP(B377,Database!$A:$AS,MATCH($F$1,Database!$A$1:$AS$1,),))))-(((VLOOKUP(EDATE(B377,-12),Database!$A:$AS,MATCH($F$1,Database!$A$1:$AS$1,),)))))/(((VLOOKUP(EDATE(B377,-12),Database!$A:$AS,MATCH($F$1,Database!$A$1:$AS$1,),))))</f>
        <v>-5.5607043561754152E-2</v>
      </c>
      <c r="G377" s="13">
        <f>((((VLOOKUP(B377,Database!$A:$AS,MATCH($G$1,Database!$A$1:$AS$1,),))))-(((VLOOKUP(EDATE(B377,-12),Database!$A:$AS,MATCH($G$1,Database!$A$1:$AS$1,),)))))/(((VLOOKUP(EDATE(B377,-12),Database!$A:$AS,MATCH($G$1,Database!$A$1:$AS$1,),))))</f>
        <v>-3.3718689788053403E-3</v>
      </c>
      <c r="H377" s="13">
        <f>((((VLOOKUP(B377,Database!$A:$AS,MATCH($H$1,Database!$A$1:$AS$1,),))))-(((VLOOKUP(EDATE(B377,-12),Database!$A:$AS,MATCH($H$1,Database!$A$1:$AS$1,),)))))/(((VLOOKUP(EDATE(B377,-12),Database!$A:$AS,MATCH($H$1,Database!$A$1:$AS$1,),))))</f>
        <v>2.2610483042599397E-2</v>
      </c>
      <c r="I377" s="13">
        <f>((((VLOOKUP(B377,Database!$A:$AS,MATCH($I$1,Database!$A$1:$AS$1,),))))-(((VLOOKUP(EDATE(B377,-12),Database!$A:$AS,MATCH($I$1,Database!$A$1:$AS$1,),)))))/(((VLOOKUP(EDATE(B377,-12),Database!$A:$AS,MATCH($I$1,Database!$A$1:$AS$1,),))))</f>
        <v>-1.2138188611601619E-2</v>
      </c>
      <c r="J377" s="13">
        <f>((((VLOOKUP(B377,Database!$A:$AS,MATCH($J$1,Database!$A$1:$AS$1,),))))-(((VLOOKUP(EDATE(B377,-12),Database!$A:$AS,MATCH($J$1,Database!$A$1:$AS$1,),)))))/(((VLOOKUP(EDATE(B377,-12),Database!$A:$AS,MATCH($J$1,Database!$A$1:$AS$1,),))))</f>
        <v>2.413727899680395E-2</v>
      </c>
      <c r="K377" s="13">
        <f>((((VLOOKUP(B377,Database!$A:$AS,MATCH($K$1,Database!$A$1:$AS$1,),))))-(((VLOOKUP(EDATE(B377,-12),Database!$A:$AS,MATCH($K$1,Database!$A$1:$AS$1,),)))))/(((VLOOKUP(EDATE(B377,-12),Database!$A:$AS,MATCH($K$1,Database!$A$1:$AS$1,),))))</f>
        <v>1.5384615380299775E-2</v>
      </c>
      <c r="L377" s="13"/>
      <c r="M377" s="13"/>
      <c r="N377" s="13"/>
      <c r="O377" s="13">
        <f>((((VLOOKUP(B377,Database!$A:$AS,MATCH($O$1,Database!$A$1:$AS$1,),))))-(((VLOOKUP(EDATE(B377,-12),Database!$A:$AS,MATCH($O$1,Database!$A$1:$AS$1,),)))))/(((VLOOKUP(EDATE(B377,-12),Database!$A:$AS,MATCH($O$1,Database!$A$1:$AS$1,),))))</f>
        <v>1.2047455066636074E-2</v>
      </c>
      <c r="P377" s="13">
        <f>((((VLOOKUP(B377,Database!$A:$AS,MATCH($P$1,Database!$A$1:$AS$1,),))))-(((VLOOKUP(EDATE(B377,-12),Database!$A:$AS,MATCH($P$1,Database!$A$1:$AS$1,),)))))/(((VLOOKUP(EDATE(B377,-12),Database!$A:$AS,MATCH($P$1,Database!$A$1:$AS$1,),))))</f>
        <v>-1.9372693721634988E-2</v>
      </c>
      <c r="Q377" s="13">
        <f>((((VLOOKUP(B377,Database!$A:$AS,MATCH($Q$1,Database!$A$1:$AS$1,),))))-(((VLOOKUP(EDATE(B377,-12),Database!$A:$AS,MATCH($Q$1,Database!$A$1:$AS$1,),)))))/(((VLOOKUP(EDATE(B377,-12),Database!$A:$AS,MATCH($Q$1,Database!$A$1:$AS$1,),))))</f>
        <v>-4.0929203533665907E-2</v>
      </c>
      <c r="R377" s="13">
        <f>((((VLOOKUP(B377,Database!$A:$AS,MATCH($R$1,Database!$A$1:$AS$1,),))))-(((VLOOKUP(EDATE(B377,-12),Database!$A:$AS,MATCH($R$1,Database!$A$1:$AS$1,),)))))/(((VLOOKUP(EDATE(B377,-12),Database!$A:$AS,MATCH($R$1,Database!$A$1:$AS$1,),))))</f>
        <v>-3.6730945808769295E-3</v>
      </c>
      <c r="S377" s="13">
        <f>((((VLOOKUP(B377,Database!$A:$AS,MATCH($S$1,Database!$A$1:$AS$1,),))))-(((VLOOKUP(EDATE(B377,-12),Database!$A:$AS,MATCH($S$1,Database!$A$1:$AS$1,),)))))/(((VLOOKUP(EDATE(B377,-12),Database!$A:$AS,MATCH($S$1,Database!$A$1:$AS$1,),))))</f>
        <v>-1.7708333338769054E-2</v>
      </c>
      <c r="T377" s="13">
        <f>((((VLOOKUP(B377,Database!$A:$AS,MATCH($T$1,Database!$A$1:$AS$1,),))))-(((VLOOKUP(EDATE(B377,-12),Database!$A:$AS,MATCH($T$1,Database!$A$1:$AS$1,),)))))/(((VLOOKUP(EDATE(B377,-12),Database!$A:$AS,MATCH($T$1,Database!$A$1:$AS$1,),))))</f>
        <v>-3.2627865958158517E-2</v>
      </c>
      <c r="U377" s="13">
        <f>((((VLOOKUP(B377,Database!$A:$AS,MATCH($U$1,Database!$A$1:$AS$1,),))))-(((VLOOKUP(EDATE(B377,-12),Database!$A:$AS,MATCH($U$1,Database!$A$1:$AS$1,),)))))/(((VLOOKUP(EDATE(B377,-12),Database!$A:$AS,MATCH($U$1,Database!$A$1:$AS$1,),))))</f>
        <v>-2.928509904609292E-2</v>
      </c>
      <c r="V377" s="13">
        <f>((((VLOOKUP(B377,Database!$A:$AS,MATCH($V$1,Database!$A$1:$AS$1,),))))-(((VLOOKUP(EDATE(B377,-12),Database!$A:$AS,MATCH($V$1,Database!$A$1:$AS$1,),)))))/(((VLOOKUP(EDATE(B377,-12),Database!$A:$AS,MATCH($V$1,Database!$A$1:$AS$1,),))))</f>
        <v>2.0356234096692037E-2</v>
      </c>
    </row>
    <row r="378" spans="2:22" s="83" customFormat="1" x14ac:dyDescent="0.2">
      <c r="B378" s="78">
        <v>43647</v>
      </c>
      <c r="C378" s="13">
        <f>((((VLOOKUP(B378,Database!$A:$AS,MATCH($C$1,Database!$A$1:$AS$1,),))))-(((VLOOKUP(EDATE(B378,-12),Database!$A:$AS,MATCH($C$1,Database!$A$1:$AS$1,),)))))/(((VLOOKUP(EDATE(B378,-12),Database!$A:$AS,MATCH($C$1,Database!$A$1:$AS$1,),))))</f>
        <v>-1.4395339719488273E-2</v>
      </c>
      <c r="D378" s="13">
        <f>((((VLOOKUP(B378,Database!$A:$AS,MATCH($D$1,Database!$A$1:$AS$1,),))))-(((VLOOKUP(EDATE(B378,-12),Database!$A:$AS,MATCH($D$1,Database!$A$1:$AS$1,),)))))/(((VLOOKUP(EDATE(B378,-12),Database!$A:$AS,MATCH($D$1,Database!$A$1:$AS$1,),))))</f>
        <v>-1.2380952380952354E-2</v>
      </c>
      <c r="E378" s="13">
        <f>((((VLOOKUP(B378,Database!$A:$AS,MATCH($E$1,Database!$A$1:$AS$1,),))))-(((VLOOKUP(EDATE(B378,-12),Database!$A:$AS,MATCH($E$1,Database!$A$1:$AS$1,),)))))/(((VLOOKUP(EDATE(B378,-12),Database!$A:$AS,MATCH($E$1,Database!$A$1:$AS$1,),))))</f>
        <v>-1.9267822733858901E-2</v>
      </c>
      <c r="F378" s="13">
        <f>((((VLOOKUP(B378,Database!$A:$AS,MATCH($F$1,Database!$A$1:$AS$1,),))))-(((VLOOKUP(EDATE(B378,-12),Database!$A:$AS,MATCH($F$1,Database!$A$1:$AS$1,),)))))/(((VLOOKUP(EDATE(B378,-12),Database!$A:$AS,MATCH($F$1,Database!$A$1:$AS$1,),))))</f>
        <v>-3.9772727271274393E-2</v>
      </c>
      <c r="G378" s="13">
        <f>((((VLOOKUP(B378,Database!$A:$AS,MATCH($G$1,Database!$A$1:$AS$1,),))))-(((VLOOKUP(EDATE(B378,-12),Database!$A:$AS,MATCH($G$1,Database!$A$1:$AS$1,),)))))/(((VLOOKUP(EDATE(B378,-12),Database!$A:$AS,MATCH($G$1,Database!$A$1:$AS$1,),))))</f>
        <v>3.6679536679537616E-3</v>
      </c>
      <c r="H378" s="13">
        <f>((((VLOOKUP(B378,Database!$A:$AS,MATCH($H$1,Database!$A$1:$AS$1,),))))-(((VLOOKUP(EDATE(B378,-12),Database!$A:$AS,MATCH($H$1,Database!$A$1:$AS$1,),)))))/(((VLOOKUP(EDATE(B378,-12),Database!$A:$AS,MATCH($H$1,Database!$A$1:$AS$1,),))))</f>
        <v>2.6721479960304349E-2</v>
      </c>
      <c r="I378" s="13">
        <f>((((VLOOKUP(B378,Database!$A:$AS,MATCH($I$1,Database!$A$1:$AS$1,),))))-(((VLOOKUP(EDATE(B378,-12),Database!$A:$AS,MATCH($I$1,Database!$A$1:$AS$1,),)))))/(((VLOOKUP(EDATE(B378,-12),Database!$A:$AS,MATCH($I$1,Database!$A$1:$AS$1,),))))</f>
        <v>9.4339622300610142E-4</v>
      </c>
      <c r="J378" s="13">
        <f>((((VLOOKUP(B378,Database!$A:$AS,MATCH($J$1,Database!$A$1:$AS$1,),))))-(((VLOOKUP(EDATE(B378,-12),Database!$A:$AS,MATCH($J$1,Database!$A$1:$AS$1,),)))))/(((VLOOKUP(EDATE(B378,-12),Database!$A:$AS,MATCH($J$1,Database!$A$1:$AS$1,),))))</f>
        <v>1.1029551594882779E-2</v>
      </c>
      <c r="K378" s="13">
        <f>((((VLOOKUP(B378,Database!$A:$AS,MATCH($K$1,Database!$A$1:$AS$1,),))))-(((VLOOKUP(EDATE(B378,-12),Database!$A:$AS,MATCH($K$1,Database!$A$1:$AS$1,),)))))/(((VLOOKUP(EDATE(B378,-12),Database!$A:$AS,MATCH($K$1,Database!$A$1:$AS$1,),))))</f>
        <v>6.3088512232649899E-2</v>
      </c>
      <c r="L378" s="13"/>
      <c r="M378" s="13"/>
      <c r="N378" s="13"/>
      <c r="O378" s="13">
        <f>((((VLOOKUP(B378,Database!$A:$AS,MATCH($O$1,Database!$A$1:$AS$1,),))))-(((VLOOKUP(EDATE(B378,-12),Database!$A:$AS,MATCH($O$1,Database!$A$1:$AS$1,),)))))/(((VLOOKUP(EDATE(B378,-12),Database!$A:$AS,MATCH($O$1,Database!$A$1:$AS$1,),))))</f>
        <v>-1.5203781159347148E-2</v>
      </c>
      <c r="P378" s="13">
        <f>((((VLOOKUP(B378,Database!$A:$AS,MATCH($P$1,Database!$A$1:$AS$1,),))))-(((VLOOKUP(EDATE(B378,-12),Database!$A:$AS,MATCH($P$1,Database!$A$1:$AS$1,),)))))/(((VLOOKUP(EDATE(B378,-12),Database!$A:$AS,MATCH($P$1,Database!$A$1:$AS$1,),))))</f>
        <v>3.6968576668622907E-3</v>
      </c>
      <c r="Q378" s="13">
        <f>((((VLOOKUP(B378,Database!$A:$AS,MATCH($Q$1,Database!$A$1:$AS$1,),))))-(((VLOOKUP(EDATE(B378,-12),Database!$A:$AS,MATCH($Q$1,Database!$A$1:$AS$1,),)))))/(((VLOOKUP(EDATE(B378,-12),Database!$A:$AS,MATCH($Q$1,Database!$A$1:$AS$1,),))))</f>
        <v>-4.3237250553899563E-2</v>
      </c>
      <c r="R378" s="13">
        <f>((((VLOOKUP(B378,Database!$A:$AS,MATCH($R$1,Database!$A$1:$AS$1,),))))-(((VLOOKUP(EDATE(B378,-12),Database!$A:$AS,MATCH($R$1,Database!$A$1:$AS$1,),)))))/(((VLOOKUP(EDATE(B378,-12),Database!$A:$AS,MATCH($R$1,Database!$A$1:$AS$1,),))))</f>
        <v>-2.5547445255507704E-2</v>
      </c>
      <c r="S378" s="13">
        <f>((((VLOOKUP(B378,Database!$A:$AS,MATCH($S$1,Database!$A$1:$AS$1,),))))-(((VLOOKUP(EDATE(B378,-12),Database!$A:$AS,MATCH($S$1,Database!$A$1:$AS$1,),)))))/(((VLOOKUP(EDATE(B378,-12),Database!$A:$AS,MATCH($S$1,Database!$A$1:$AS$1,),))))</f>
        <v>4.1712403951231533E-2</v>
      </c>
      <c r="T378" s="13">
        <f>((((VLOOKUP(B378,Database!$A:$AS,MATCH($T$1,Database!$A$1:$AS$1,),))))-(((VLOOKUP(EDATE(B378,-12),Database!$A:$AS,MATCH($T$1,Database!$A$1:$AS$1,),)))))/(((VLOOKUP(EDATE(B378,-12),Database!$A:$AS,MATCH($T$1,Database!$A$1:$AS$1,),))))</f>
        <v>-1.2058570197652487E-2</v>
      </c>
      <c r="U378" s="13">
        <f>((((VLOOKUP(B378,Database!$A:$AS,MATCH($U$1,Database!$A$1:$AS$1,),))))-(((VLOOKUP(EDATE(B378,-12),Database!$A:$AS,MATCH($U$1,Database!$A$1:$AS$1,),)))))/(((VLOOKUP(EDATE(B378,-12),Database!$A:$AS,MATCH($U$1,Database!$A$1:$AS$1,),))))</f>
        <v>-2.5951557090641418E-2</v>
      </c>
      <c r="V378" s="13">
        <f>((((VLOOKUP(B378,Database!$A:$AS,MATCH($V$1,Database!$A$1:$AS$1,),))))-(((VLOOKUP(EDATE(B378,-12),Database!$A:$AS,MATCH($V$1,Database!$A$1:$AS$1,),)))))/(((VLOOKUP(EDATE(B378,-12),Database!$A:$AS,MATCH($V$1,Database!$A$1:$AS$1,),))))</f>
        <v>3.483432455395067E-2</v>
      </c>
    </row>
    <row r="379" spans="2:22" s="83" customFormat="1" x14ac:dyDescent="0.2">
      <c r="B379" s="78">
        <v>43678</v>
      </c>
      <c r="C379" s="13">
        <f>((((VLOOKUP(B379,Database!$A:$AS,MATCH($C$1,Database!$A$1:$AS$1,),))))-(((VLOOKUP(EDATE(B379,-12),Database!$A:$AS,MATCH($C$1,Database!$A$1:$AS$1,),)))))/(((VLOOKUP(EDATE(B379,-12),Database!$A:$AS,MATCH($C$1,Database!$A$1:$AS$1,),))))</f>
        <v>-1.4186024411164188E-2</v>
      </c>
      <c r="D379" s="13">
        <f>((((VLOOKUP(B379,Database!$A:$AS,MATCH($D$1,Database!$A$1:$AS$1,),))))-(((VLOOKUP(EDATE(B379,-12),Database!$A:$AS,MATCH($D$1,Database!$A$1:$AS$1,),)))))/(((VLOOKUP(EDATE(B379,-12),Database!$A:$AS,MATCH($D$1,Database!$A$1:$AS$1,),))))</f>
        <v>-2.0715630885122436E-2</v>
      </c>
      <c r="E379" s="13">
        <f>((((VLOOKUP(B379,Database!$A:$AS,MATCH($E$1,Database!$A$1:$AS$1,),))))-(((VLOOKUP(EDATE(B379,-12),Database!$A:$AS,MATCH($E$1,Database!$A$1:$AS$1,),)))))/(((VLOOKUP(EDATE(B379,-12),Database!$A:$AS,MATCH($E$1,Database!$A$1:$AS$1,),))))</f>
        <v>-2.9922779920934933E-2</v>
      </c>
      <c r="F379" s="13">
        <f>((((VLOOKUP(B379,Database!$A:$AS,MATCH($F$1,Database!$A$1:$AS$1,),))))-(((VLOOKUP(EDATE(B379,-12),Database!$A:$AS,MATCH($F$1,Database!$A$1:$AS$1,),)))))/(((VLOOKUP(EDATE(B379,-12),Database!$A:$AS,MATCH($F$1,Database!$A$1:$AS$1,),))))</f>
        <v>-3.9660056655806013E-2</v>
      </c>
      <c r="G379" s="13">
        <f>((((VLOOKUP(B379,Database!$A:$AS,MATCH($G$1,Database!$A$1:$AS$1,),))))-(((VLOOKUP(EDATE(B379,-12),Database!$A:$AS,MATCH($G$1,Database!$A$1:$AS$1,),)))))/(((VLOOKUP(EDATE(B379,-12),Database!$A:$AS,MATCH($G$1,Database!$A$1:$AS$1,),))))</f>
        <v>-1.2573183606872082E-2</v>
      </c>
      <c r="H379" s="13">
        <f>((((VLOOKUP(B379,Database!$A:$AS,MATCH($H$1,Database!$A$1:$AS$1,),))))-(((VLOOKUP(EDATE(B379,-12),Database!$A:$AS,MATCH($H$1,Database!$A$1:$AS$1,),)))))/(((VLOOKUP(EDATE(B379,-12),Database!$A:$AS,MATCH($H$1,Database!$A$1:$AS$1,),))))</f>
        <v>5.0761421307817687E-3</v>
      </c>
      <c r="I379" s="13">
        <f>((((VLOOKUP(B379,Database!$A:$AS,MATCH($I$1,Database!$A$1:$AS$1,),))))-(((VLOOKUP(EDATE(B379,-12),Database!$A:$AS,MATCH($I$1,Database!$A$1:$AS$1,),)))))/(((VLOOKUP(EDATE(B379,-12),Database!$A:$AS,MATCH($I$1,Database!$A$1:$AS$1,),))))</f>
        <v>-1.4018691584941697E-2</v>
      </c>
      <c r="J379" s="13">
        <f>((((VLOOKUP(B379,Database!$A:$AS,MATCH($J$1,Database!$A$1:$AS$1,),))))-(((VLOOKUP(EDATE(B379,-12),Database!$A:$AS,MATCH($J$1,Database!$A$1:$AS$1,),)))))/(((VLOOKUP(EDATE(B379,-12),Database!$A:$AS,MATCH($J$1,Database!$A$1:$AS$1,),))))</f>
        <v>1.1512441021279943E-2</v>
      </c>
      <c r="K379" s="13">
        <f>((((VLOOKUP(B379,Database!$A:$AS,MATCH($K$1,Database!$A$1:$AS$1,),))))-(((VLOOKUP(EDATE(B379,-12),Database!$A:$AS,MATCH($K$1,Database!$A$1:$AS$1,),)))))/(((VLOOKUP(EDATE(B379,-12),Database!$A:$AS,MATCH($K$1,Database!$A$1:$AS$1,),))))</f>
        <v>3.9631336403788721E-2</v>
      </c>
      <c r="L379" s="13"/>
      <c r="M379" s="13"/>
      <c r="N379" s="13"/>
      <c r="O379" s="13">
        <f>((((VLOOKUP(B379,Database!$A:$AS,MATCH($O$1,Database!$A$1:$AS$1,),))))-(((VLOOKUP(EDATE(B379,-12),Database!$A:$AS,MATCH($O$1,Database!$A$1:$AS$1,),)))))/(((VLOOKUP(EDATE(B379,-12),Database!$A:$AS,MATCH($O$1,Database!$A$1:$AS$1,),))))</f>
        <v>-1.6219464326296614E-2</v>
      </c>
      <c r="P379" s="13">
        <f>((((VLOOKUP(B379,Database!$A:$AS,MATCH($P$1,Database!$A$1:$AS$1,),))))-(((VLOOKUP(EDATE(B379,-12),Database!$A:$AS,MATCH($P$1,Database!$A$1:$AS$1,),)))))/(((VLOOKUP(EDATE(B379,-12),Database!$A:$AS,MATCH($P$1,Database!$A$1:$AS$1,),))))</f>
        <v>-2.197802197198356E-2</v>
      </c>
      <c r="Q379" s="13">
        <f>((((VLOOKUP(B379,Database!$A:$AS,MATCH($Q$1,Database!$A$1:$AS$1,),))))-(((VLOOKUP(EDATE(B379,-12),Database!$A:$AS,MATCH($Q$1,Database!$A$1:$AS$1,),)))))/(((VLOOKUP(EDATE(B379,-12),Database!$A:$AS,MATCH($Q$1,Database!$A$1:$AS$1,),))))</f>
        <v>-2.2471910111212863E-2</v>
      </c>
      <c r="R379" s="13">
        <f>((((VLOOKUP(B379,Database!$A:$AS,MATCH($R$1,Database!$A$1:$AS$1,),))))-(((VLOOKUP(EDATE(B379,-12),Database!$A:$AS,MATCH($R$1,Database!$A$1:$AS$1,),)))))/(((VLOOKUP(EDATE(B379,-12),Database!$A:$AS,MATCH($R$1,Database!$A$1:$AS$1,),))))</f>
        <v>-1.8264840221809138E-3</v>
      </c>
      <c r="S379" s="13">
        <f>((((VLOOKUP(B379,Database!$A:$AS,MATCH($S$1,Database!$A$1:$AS$1,),))))-(((VLOOKUP(EDATE(B379,-12),Database!$A:$AS,MATCH($S$1,Database!$A$1:$AS$1,),)))))/(((VLOOKUP(EDATE(B379,-12),Database!$A:$AS,MATCH($S$1,Database!$A$1:$AS$1,),))))</f>
        <v>-2.0222447011455152E-3</v>
      </c>
      <c r="T379" s="13">
        <f>((((VLOOKUP(B379,Database!$A:$AS,MATCH($T$1,Database!$A$1:$AS$1,),))))-(((VLOOKUP(EDATE(B379,-12),Database!$A:$AS,MATCH($T$1,Database!$A$1:$AS$1,),)))))/(((VLOOKUP(EDATE(B379,-12),Database!$A:$AS,MATCH($T$1,Database!$A$1:$AS$1,),))))</f>
        <v>-4.2314335063148877E-2</v>
      </c>
      <c r="U379" s="13">
        <f>((((VLOOKUP(B379,Database!$A:$AS,MATCH($U$1,Database!$A$1:$AS$1,),))))-(((VLOOKUP(EDATE(B379,-12),Database!$A:$AS,MATCH($U$1,Database!$A$1:$AS$1,),)))))/(((VLOOKUP(EDATE(B379,-12),Database!$A:$AS,MATCH($U$1,Database!$A$1:$AS$1,),))))</f>
        <v>-4.4169611258638355E-3</v>
      </c>
      <c r="V379" s="13">
        <f>((((VLOOKUP(B379,Database!$A:$AS,MATCH($V$1,Database!$A$1:$AS$1,),))))-(((VLOOKUP(EDATE(B379,-12),Database!$A:$AS,MATCH($V$1,Database!$A$1:$AS$1,),)))))/(((VLOOKUP(EDATE(B379,-12),Database!$A:$AS,MATCH($V$1,Database!$A$1:$AS$1,),))))</f>
        <v>1.0906040268456351E-2</v>
      </c>
    </row>
    <row r="380" spans="2:22" s="83" customFormat="1" x14ac:dyDescent="0.2">
      <c r="B380" s="78">
        <v>43709</v>
      </c>
      <c r="C380" s="13">
        <f>((((VLOOKUP(B380,Database!$A:$AS,MATCH($C$1,Database!$A$1:$AS$1,),))))-(((VLOOKUP(EDATE(B380,-12),Database!$A:$AS,MATCH($C$1,Database!$A$1:$AS$1,),)))))/(((VLOOKUP(EDATE(B380,-12),Database!$A:$AS,MATCH($C$1,Database!$A$1:$AS$1,),))))</f>
        <v>-1.7451011459594195E-2</v>
      </c>
      <c r="D380" s="13">
        <f>((((VLOOKUP(B380,Database!$A:$AS,MATCH($D$1,Database!$A$1:$AS$1,),))))-(((VLOOKUP(EDATE(B380,-12),Database!$A:$AS,MATCH($D$1,Database!$A$1:$AS$1,),)))))/(((VLOOKUP(EDATE(B380,-12),Database!$A:$AS,MATCH($D$1,Database!$A$1:$AS$1,),))))</f>
        <v>-1.7061611374407554E-2</v>
      </c>
      <c r="E380" s="13">
        <f>((((VLOOKUP(B380,Database!$A:$AS,MATCH($E$1,Database!$A$1:$AS$1,),))))-(((VLOOKUP(EDATE(B380,-12),Database!$A:$AS,MATCH($E$1,Database!$A$1:$AS$1,),)))))/(((VLOOKUP(EDATE(B380,-12),Database!$A:$AS,MATCH($E$1,Database!$A$1:$AS$1,),))))</f>
        <v>-7.7444336893643904E-3</v>
      </c>
      <c r="F380" s="13">
        <f>((((VLOOKUP(B380,Database!$A:$AS,MATCH($F$1,Database!$A$1:$AS$1,),))))-(((VLOOKUP(EDATE(B380,-12),Database!$A:$AS,MATCH($F$1,Database!$A$1:$AS$1,),)))))/(((VLOOKUP(EDATE(B380,-12),Database!$A:$AS,MATCH($F$1,Database!$A$1:$AS$1,),))))</f>
        <v>-4.734848484810808E-2</v>
      </c>
      <c r="G380" s="13">
        <f>((((VLOOKUP(B380,Database!$A:$AS,MATCH($G$1,Database!$A$1:$AS$1,),))))-(((VLOOKUP(EDATE(B380,-12),Database!$A:$AS,MATCH($G$1,Database!$A$1:$AS$1,),)))))/(((VLOOKUP(EDATE(B380,-12),Database!$A:$AS,MATCH($G$1,Database!$A$1:$AS$1,),))))</f>
        <v>9.5154869404796977E-3</v>
      </c>
      <c r="H380" s="13">
        <f>((((VLOOKUP(B380,Database!$A:$AS,MATCH($H$1,Database!$A$1:$AS$1,),))))-(((VLOOKUP(EDATE(B380,-12),Database!$A:$AS,MATCH($H$1,Database!$A$1:$AS$1,),)))))/(((VLOOKUP(EDATE(B380,-12),Database!$A:$AS,MATCH($H$1,Database!$A$1:$AS$1,),))))</f>
        <v>7.0778564246575379E-3</v>
      </c>
      <c r="I380" s="13">
        <f>((((VLOOKUP(B380,Database!$A:$AS,MATCH($I$1,Database!$A$1:$AS$1,),))))-(((VLOOKUP(EDATE(B380,-12),Database!$A:$AS,MATCH($I$1,Database!$A$1:$AS$1,),)))))/(((VLOOKUP(EDATE(B380,-12),Database!$A:$AS,MATCH($I$1,Database!$A$1:$AS$1,),))))</f>
        <v>-2.054154995378539E-2</v>
      </c>
      <c r="J380" s="13">
        <f>((((VLOOKUP(B380,Database!$A:$AS,MATCH($J$1,Database!$A$1:$AS$1,),))))-(((VLOOKUP(EDATE(B380,-12),Database!$A:$AS,MATCH($J$1,Database!$A$1:$AS$1,),)))))/(((VLOOKUP(EDATE(B380,-12),Database!$A:$AS,MATCH($J$1,Database!$A$1:$AS$1,),))))</f>
        <v>5.1453563159012524E-4</v>
      </c>
      <c r="K380" s="13">
        <f>((((VLOOKUP(B380,Database!$A:$AS,MATCH($K$1,Database!$A$1:$AS$1,),))))-(((VLOOKUP(EDATE(B380,-12),Database!$A:$AS,MATCH($K$1,Database!$A$1:$AS$1,),)))))/(((VLOOKUP(EDATE(B380,-12),Database!$A:$AS,MATCH($K$1,Database!$A$1:$AS$1,),))))</f>
        <v>3.3088235294185184E-2</v>
      </c>
      <c r="L380" s="13"/>
      <c r="M380" s="13"/>
      <c r="N380" s="13"/>
      <c r="O380" s="13">
        <f>((((VLOOKUP(B380,Database!$A:$AS,MATCH($O$1,Database!$A$1:$AS$1,),))))-(((VLOOKUP(EDATE(B380,-12),Database!$A:$AS,MATCH($O$1,Database!$A$1:$AS$1,),)))))/(((VLOOKUP(EDATE(B380,-12),Database!$A:$AS,MATCH($O$1,Database!$A$1:$AS$1,),))))</f>
        <v>-1.6906107130678607E-2</v>
      </c>
      <c r="P380" s="13">
        <f>((((VLOOKUP(B380,Database!$A:$AS,MATCH($P$1,Database!$A$1:$AS$1,),))))-(((VLOOKUP(EDATE(B380,-12),Database!$A:$AS,MATCH($P$1,Database!$A$1:$AS$1,),)))))/(((VLOOKUP(EDATE(B380,-12),Database!$A:$AS,MATCH($P$1,Database!$A$1:$AS$1,),))))</f>
        <v>1.7890772129452365E-2</v>
      </c>
      <c r="Q380" s="13">
        <f>((((VLOOKUP(B380,Database!$A:$AS,MATCH($Q$1,Database!$A$1:$AS$1,),))))-(((VLOOKUP(EDATE(B380,-12),Database!$A:$AS,MATCH($Q$1,Database!$A$1:$AS$1,),)))))/(((VLOOKUP(EDATE(B380,-12),Database!$A:$AS,MATCH($Q$1,Database!$A$1:$AS$1,),))))</f>
        <v>4.624277458504621E-3</v>
      </c>
      <c r="R380" s="13">
        <f>((((VLOOKUP(B380,Database!$A:$AS,MATCH($R$1,Database!$A$1:$AS$1,),))))-(((VLOOKUP(EDATE(B380,-12),Database!$A:$AS,MATCH($R$1,Database!$A$1:$AS$1,),)))))/(((VLOOKUP(EDATE(B380,-12),Database!$A:$AS,MATCH($R$1,Database!$A$1:$AS$1,),))))</f>
        <v>1.4801110087205889E-2</v>
      </c>
      <c r="S380" s="13">
        <f>((((VLOOKUP(B380,Database!$A:$AS,MATCH($S$1,Database!$A$1:$AS$1,),))))-(((VLOOKUP(EDATE(B380,-12),Database!$A:$AS,MATCH($S$1,Database!$A$1:$AS$1,),)))))/(((VLOOKUP(EDATE(B380,-12),Database!$A:$AS,MATCH($S$1,Database!$A$1:$AS$1,),))))</f>
        <v>2.2587268997845081E-2</v>
      </c>
      <c r="T380" s="13">
        <f>((((VLOOKUP(B380,Database!$A:$AS,MATCH($T$1,Database!$A$1:$AS$1,),))))-(((VLOOKUP(EDATE(B380,-12),Database!$A:$AS,MATCH($T$1,Database!$A$1:$AS$1,),)))))/(((VLOOKUP(EDATE(B380,-12),Database!$A:$AS,MATCH($T$1,Database!$A$1:$AS$1,),))))</f>
        <v>3.1222123098617213E-2</v>
      </c>
      <c r="U380" s="13">
        <f>((((VLOOKUP(B380,Database!$A:$AS,MATCH($U$1,Database!$A$1:$AS$1,),))))-(((VLOOKUP(EDATE(B380,-12),Database!$A:$AS,MATCH($U$1,Database!$A$1:$AS$1,),)))))/(((VLOOKUP(EDATE(B380,-12),Database!$A:$AS,MATCH($U$1,Database!$A$1:$AS$1,),))))</f>
        <v>-1.048951049534921E-2</v>
      </c>
      <c r="V380" s="13">
        <f>((((VLOOKUP(B380,Database!$A:$AS,MATCH($V$1,Database!$A$1:$AS$1,),))))-(((VLOOKUP(EDATE(B380,-12),Database!$A:$AS,MATCH($V$1,Database!$A$1:$AS$1,),)))))/(((VLOOKUP(EDATE(B380,-12),Database!$A:$AS,MATCH($V$1,Database!$A$1:$AS$1,),))))</f>
        <v>3.2340425531914872E-2</v>
      </c>
    </row>
    <row r="381" spans="2:22" s="83" customFormat="1" x14ac:dyDescent="0.2">
      <c r="B381" s="78">
        <v>43739</v>
      </c>
      <c r="C381" s="13">
        <f>((((VLOOKUP(B381,Database!$A:$AS,MATCH($C$1,Database!$A$1:$AS$1,),))))-(((VLOOKUP(EDATE(B381,-12),Database!$A:$AS,MATCH($C$1,Database!$A$1:$AS$1,),)))))/(((VLOOKUP(EDATE(B381,-12),Database!$A:$AS,MATCH($C$1,Database!$A$1:$AS$1,),))))</f>
        <v>-2.4261593229070025E-2</v>
      </c>
      <c r="D381" s="13">
        <f>((((VLOOKUP(B381,Database!$A:$AS,MATCH($D$1,Database!$A$1:$AS$1,),))))-(((VLOOKUP(EDATE(B381,-12),Database!$A:$AS,MATCH($D$1,Database!$A$1:$AS$1,),)))))/(((VLOOKUP(EDATE(B381,-12),Database!$A:$AS,MATCH($D$1,Database!$A$1:$AS$1,),))))</f>
        <v>-2.0833333333333228E-2</v>
      </c>
      <c r="E381" s="13">
        <f>((((VLOOKUP(B381,Database!$A:$AS,MATCH($E$1,Database!$A$1:$AS$1,),))))-(((VLOOKUP(EDATE(B381,-12),Database!$A:$AS,MATCH($E$1,Database!$A$1:$AS$1,),)))))/(((VLOOKUP(EDATE(B381,-12),Database!$A:$AS,MATCH($E$1,Database!$A$1:$AS$1,),))))</f>
        <v>-6.6476733140919425E-2</v>
      </c>
      <c r="F381" s="13">
        <f>((((VLOOKUP(B381,Database!$A:$AS,MATCH($F$1,Database!$A$1:$AS$1,),))))-(((VLOOKUP(EDATE(B381,-12),Database!$A:$AS,MATCH($F$1,Database!$A$1:$AS$1,),)))))/(((VLOOKUP(EDATE(B381,-12),Database!$A:$AS,MATCH($F$1,Database!$A$1:$AS$1,),))))</f>
        <v>-5.6925996207886298E-2</v>
      </c>
      <c r="G381" s="13">
        <f>((((VLOOKUP(B381,Database!$A:$AS,MATCH($G$1,Database!$A$1:$AS$1,),))))-(((VLOOKUP(EDATE(B381,-12),Database!$A:$AS,MATCH($G$1,Database!$A$1:$AS$1,),)))))/(((VLOOKUP(EDATE(B381,-12),Database!$A:$AS,MATCH($G$1,Database!$A$1:$AS$1,),))))</f>
        <v>-2.5045756670841451E-3</v>
      </c>
      <c r="H381" s="13">
        <f>((((VLOOKUP(B381,Database!$A:$AS,MATCH($H$1,Database!$A$1:$AS$1,),))))-(((VLOOKUP(EDATE(B381,-12),Database!$A:$AS,MATCH($H$1,Database!$A$1:$AS$1,),)))))/(((VLOOKUP(EDATE(B381,-12),Database!$A:$AS,MATCH($H$1,Database!$A$1:$AS$1,),))))</f>
        <v>5.0200803201229018E-3</v>
      </c>
      <c r="I381" s="13">
        <f>((((VLOOKUP(B381,Database!$A:$AS,MATCH($I$1,Database!$A$1:$AS$1,),))))-(((VLOOKUP(EDATE(B381,-12),Database!$A:$AS,MATCH($I$1,Database!$A$1:$AS$1,),)))))/(((VLOOKUP(EDATE(B381,-12),Database!$A:$AS,MATCH($I$1,Database!$A$1:$AS$1,),))))</f>
        <v>-2.5304592317317281E-2</v>
      </c>
      <c r="J381" s="13">
        <f>((((VLOOKUP(B381,Database!$A:$AS,MATCH($J$1,Database!$A$1:$AS$1,),))))-(((VLOOKUP(EDATE(B381,-12),Database!$A:$AS,MATCH($J$1,Database!$A$1:$AS$1,),)))))/(((VLOOKUP(EDATE(B381,-12),Database!$A:$AS,MATCH($J$1,Database!$A$1:$AS$1,),))))</f>
        <v>-2.1530177081896154E-2</v>
      </c>
      <c r="K381" s="13">
        <f>((((VLOOKUP(B381,Database!$A:$AS,MATCH($K$1,Database!$A$1:$AS$1,),))))-(((VLOOKUP(EDATE(B381,-12),Database!$A:$AS,MATCH($K$1,Database!$A$1:$AS$1,),)))))/(((VLOOKUP(EDATE(B381,-12),Database!$A:$AS,MATCH($K$1,Database!$A$1:$AS$1,),))))</f>
        <v>-8.9605734742135706E-3</v>
      </c>
      <c r="L381" s="13"/>
      <c r="M381" s="13"/>
      <c r="N381" s="13"/>
      <c r="O381" s="13">
        <f>((((VLOOKUP(B381,Database!$A:$AS,MATCH($O$1,Database!$A$1:$AS$1,),))))-(((VLOOKUP(EDATE(B381,-12),Database!$A:$AS,MATCH($O$1,Database!$A$1:$AS$1,),)))))/(((VLOOKUP(EDATE(B381,-12),Database!$A:$AS,MATCH($O$1,Database!$A$1:$AS$1,),))))</f>
        <v>-1.384230317964451E-2</v>
      </c>
      <c r="P381" s="13">
        <f>((((VLOOKUP(B381,Database!$A:$AS,MATCH($P$1,Database!$A$1:$AS$1,),))))-(((VLOOKUP(EDATE(B381,-12),Database!$A:$AS,MATCH($P$1,Database!$A$1:$AS$1,),)))))/(((VLOOKUP(EDATE(B381,-12),Database!$A:$AS,MATCH($P$1,Database!$A$1:$AS$1,),))))</f>
        <v>-7.4280408552507646E-3</v>
      </c>
      <c r="Q381" s="13">
        <f>((((VLOOKUP(B381,Database!$A:$AS,MATCH($Q$1,Database!$A$1:$AS$1,),))))-(((VLOOKUP(EDATE(B381,-12),Database!$A:$AS,MATCH($Q$1,Database!$A$1:$AS$1,),)))))/(((VLOOKUP(EDATE(B381,-12),Database!$A:$AS,MATCH($Q$1,Database!$A$1:$AS$1,),))))</f>
        <v>1.1454753722151399E-2</v>
      </c>
      <c r="R381" s="13">
        <f>((((VLOOKUP(B381,Database!$A:$AS,MATCH($R$1,Database!$A$1:$AS$1,),))))-(((VLOOKUP(EDATE(B381,-12),Database!$A:$AS,MATCH($R$1,Database!$A$1:$AS$1,),)))))/(((VLOOKUP(EDATE(B381,-12),Database!$A:$AS,MATCH($R$1,Database!$A$1:$AS$1,),))))</f>
        <v>-7.4005550389722513E-3</v>
      </c>
      <c r="S381" s="13">
        <f>((((VLOOKUP(B381,Database!$A:$AS,MATCH($S$1,Database!$A$1:$AS$1,),))))-(((VLOOKUP(EDATE(B381,-12),Database!$A:$AS,MATCH($S$1,Database!$A$1:$AS$1,),)))))/(((VLOOKUP(EDATE(B381,-12),Database!$A:$AS,MATCH($S$1,Database!$A$1:$AS$1,),))))</f>
        <v>0.10794297352429257</v>
      </c>
      <c r="T381" s="13">
        <f>((((VLOOKUP(B381,Database!$A:$AS,MATCH($T$1,Database!$A$1:$AS$1,),))))-(((VLOOKUP(EDATE(B381,-12),Database!$A:$AS,MATCH($T$1,Database!$A$1:$AS$1,),)))))/(((VLOOKUP(EDATE(B381,-12),Database!$A:$AS,MATCH($T$1,Database!$A$1:$AS$1,),))))</f>
        <v>3.9162112937084173E-2</v>
      </c>
      <c r="U381" s="13">
        <f>((((VLOOKUP(B381,Database!$A:$AS,MATCH($U$1,Database!$A$1:$AS$1,),))))-(((VLOOKUP(EDATE(B381,-12),Database!$A:$AS,MATCH($U$1,Database!$A$1:$AS$1,),)))))/(((VLOOKUP(EDATE(B381,-12),Database!$A:$AS,MATCH($U$1,Database!$A$1:$AS$1,),))))</f>
        <v>-3.5460992957166522E-3</v>
      </c>
      <c r="V381" s="13">
        <f>((((VLOOKUP(B381,Database!$A:$AS,MATCH($V$1,Database!$A$1:$AS$1,),))))-(((VLOOKUP(EDATE(B381,-12),Database!$A:$AS,MATCH($V$1,Database!$A$1:$AS$1,),)))))/(((VLOOKUP(EDATE(B381,-12),Database!$A:$AS,MATCH($V$1,Database!$A$1:$AS$1,),))))</f>
        <v>3.5472972972972874E-2</v>
      </c>
    </row>
    <row r="382" spans="2:22" s="83" customFormat="1" x14ac:dyDescent="0.2">
      <c r="B382" s="78">
        <v>43770</v>
      </c>
      <c r="C382" s="13">
        <f>((((VLOOKUP(B382,Database!$A:$AS,MATCH($C$1,Database!$A$1:$AS$1,),))))-(((VLOOKUP(EDATE(B382,-12),Database!$A:$AS,MATCH($C$1,Database!$A$1:$AS$1,),)))))/(((VLOOKUP(EDATE(B382,-12),Database!$A:$AS,MATCH($C$1,Database!$A$1:$AS$1,),))))</f>
        <v>-1.852612817514452E-2</v>
      </c>
      <c r="D382" s="13">
        <f>((((VLOOKUP(B382,Database!$A:$AS,MATCH($D$1,Database!$A$1:$AS$1,),))))-(((VLOOKUP(EDATE(B382,-12),Database!$A:$AS,MATCH($D$1,Database!$A$1:$AS$1,),)))))/(((VLOOKUP(EDATE(B382,-12),Database!$A:$AS,MATCH($D$1,Database!$A$1:$AS$1,),))))</f>
        <v>-1.3435700575815793E-2</v>
      </c>
      <c r="E382" s="13">
        <f>((((VLOOKUP(B382,Database!$A:$AS,MATCH($E$1,Database!$A$1:$AS$1,),))))-(((VLOOKUP(EDATE(B382,-12),Database!$A:$AS,MATCH($E$1,Database!$A$1:$AS$1,),)))))/(((VLOOKUP(EDATE(B382,-12),Database!$A:$AS,MATCH($E$1,Database!$A$1:$AS$1,),))))</f>
        <v>-6.1479346780823806E-2</v>
      </c>
      <c r="F382" s="13">
        <f>((((VLOOKUP(B382,Database!$A:$AS,MATCH($F$1,Database!$A$1:$AS$1,),))))-(((VLOOKUP(EDATE(B382,-12),Database!$A:$AS,MATCH($F$1,Database!$A$1:$AS$1,),)))))/(((VLOOKUP(EDATE(B382,-12),Database!$A:$AS,MATCH($F$1,Database!$A$1:$AS$1,),))))</f>
        <v>-3.4782608695568193E-2</v>
      </c>
      <c r="G382" s="13">
        <f>((((VLOOKUP(B382,Database!$A:$AS,MATCH($G$1,Database!$A$1:$AS$1,),))))-(((VLOOKUP(EDATE(B382,-12),Database!$A:$AS,MATCH($G$1,Database!$A$1:$AS$1,),)))))/(((VLOOKUP(EDATE(B382,-12),Database!$A:$AS,MATCH($G$1,Database!$A$1:$AS$1,),))))</f>
        <v>5.0441361916771362E-3</v>
      </c>
      <c r="H382" s="13">
        <f>((((VLOOKUP(B382,Database!$A:$AS,MATCH($H$1,Database!$A$1:$AS$1,),))))-(((VLOOKUP(EDATE(B382,-12),Database!$A:$AS,MATCH($H$1,Database!$A$1:$AS$1,),)))))/(((VLOOKUP(EDATE(B382,-12),Database!$A:$AS,MATCH($H$1,Database!$A$1:$AS$1,),))))</f>
        <v>-7.9920079938825446E-3</v>
      </c>
      <c r="I382" s="13">
        <f>((((VLOOKUP(B382,Database!$A:$AS,MATCH($I$1,Database!$A$1:$AS$1,),))))-(((VLOOKUP(EDATE(B382,-12),Database!$A:$AS,MATCH($I$1,Database!$A$1:$AS$1,),)))))/(((VLOOKUP(EDATE(B382,-12),Database!$A:$AS,MATCH($I$1,Database!$A$1:$AS$1,),))))</f>
        <v>-2.8571428563536425E-3</v>
      </c>
      <c r="J382" s="13">
        <f>((((VLOOKUP(B382,Database!$A:$AS,MATCH($J$1,Database!$A$1:$AS$1,),))))-(((VLOOKUP(EDATE(B382,-12),Database!$A:$AS,MATCH($J$1,Database!$A$1:$AS$1,),)))))/(((VLOOKUP(EDATE(B382,-12),Database!$A:$AS,MATCH($J$1,Database!$A$1:$AS$1,),))))</f>
        <v>1.4851723245599876E-2</v>
      </c>
      <c r="K382" s="13">
        <f>((((VLOOKUP(B382,Database!$A:$AS,MATCH($K$1,Database!$A$1:$AS$1,),))))-(((VLOOKUP(EDATE(B382,-12),Database!$A:$AS,MATCH($K$1,Database!$A$1:$AS$1,),)))))/(((VLOOKUP(EDATE(B382,-12),Database!$A:$AS,MATCH($K$1,Database!$A$1:$AS$1,),))))</f>
        <v>1.9963702353731152E-2</v>
      </c>
      <c r="L382" s="13"/>
      <c r="M382" s="13"/>
      <c r="N382" s="13"/>
      <c r="O382" s="13">
        <f>((((VLOOKUP(B382,Database!$A:$AS,MATCH($O$1,Database!$A$1:$AS$1,),))))-(((VLOOKUP(EDATE(B382,-12),Database!$A:$AS,MATCH($O$1,Database!$A$1:$AS$1,),)))))/(((VLOOKUP(EDATE(B382,-12),Database!$A:$AS,MATCH($O$1,Database!$A$1:$AS$1,),))))</f>
        <v>-1.371189649003046E-2</v>
      </c>
      <c r="P382" s="13">
        <f>((((VLOOKUP(B382,Database!$A:$AS,MATCH($P$1,Database!$A$1:$AS$1,),))))-(((VLOOKUP(EDATE(B382,-12),Database!$A:$AS,MATCH($P$1,Database!$A$1:$AS$1,),)))))/(((VLOOKUP(EDATE(B382,-12),Database!$A:$AS,MATCH($P$1,Database!$A$1:$AS$1,),))))</f>
        <v>1.7975402073163001E-2</v>
      </c>
      <c r="Q382" s="13">
        <f>((((VLOOKUP(B382,Database!$A:$AS,MATCH($Q$1,Database!$A$1:$AS$1,),))))-(((VLOOKUP(EDATE(B382,-12),Database!$A:$AS,MATCH($Q$1,Database!$A$1:$AS$1,),)))))/(((VLOOKUP(EDATE(B382,-12),Database!$A:$AS,MATCH($Q$1,Database!$A$1:$AS$1,),))))</f>
        <v>-9.1533180814653229E-3</v>
      </c>
      <c r="R382" s="13">
        <f>((((VLOOKUP(B382,Database!$A:$AS,MATCH($R$1,Database!$A$1:$AS$1,),))))-(((VLOOKUP(EDATE(B382,-12),Database!$A:$AS,MATCH($R$1,Database!$A$1:$AS$1,),)))))/(((VLOOKUP(EDATE(B382,-12),Database!$A:$AS,MATCH($R$1,Database!$A$1:$AS$1,),))))</f>
        <v>-9.5829636203576152E-2</v>
      </c>
      <c r="S382" s="13">
        <f>((((VLOOKUP(B382,Database!$A:$AS,MATCH($S$1,Database!$A$1:$AS$1,),))))-(((VLOOKUP(EDATE(B382,-12),Database!$A:$AS,MATCH($S$1,Database!$A$1:$AS$1,),)))))/(((VLOOKUP(EDATE(B382,-12),Database!$A:$AS,MATCH($S$1,Database!$A$1:$AS$1,),))))</f>
        <v>9.8360655820112965E-3</v>
      </c>
      <c r="T382" s="13">
        <f>((((VLOOKUP(B382,Database!$A:$AS,MATCH($T$1,Database!$A$1:$AS$1,),))))-(((VLOOKUP(EDATE(B382,-12),Database!$A:$AS,MATCH($T$1,Database!$A$1:$AS$1,),)))))/(((VLOOKUP(EDATE(B382,-12),Database!$A:$AS,MATCH($T$1,Database!$A$1:$AS$1,),))))</f>
        <v>4.9090909095554115E-2</v>
      </c>
      <c r="U382" s="13">
        <f>((((VLOOKUP(B382,Database!$A:$AS,MATCH($U$1,Database!$A$1:$AS$1,),))))-(((VLOOKUP(EDATE(B382,-12),Database!$A:$AS,MATCH($U$1,Database!$A$1:$AS$1,),)))))/(((VLOOKUP(EDATE(B382,-12),Database!$A:$AS,MATCH($U$1,Database!$A$1:$AS$1,),))))</f>
        <v>-3.0487804879164398E-2</v>
      </c>
      <c r="V382" s="13">
        <f>((((VLOOKUP(B382,Database!$A:$AS,MATCH($V$1,Database!$A$1:$AS$1,),))))-(((VLOOKUP(EDATE(B382,-12),Database!$A:$AS,MATCH($V$1,Database!$A$1:$AS$1,),)))))/(((VLOOKUP(EDATE(B382,-12),Database!$A:$AS,MATCH($V$1,Database!$A$1:$AS$1,),))))</f>
        <v>5.3480475382003373E-2</v>
      </c>
    </row>
    <row r="383" spans="2:22" s="83" customFormat="1" x14ac:dyDescent="0.2">
      <c r="B383" s="78">
        <v>43800</v>
      </c>
      <c r="C383" s="13">
        <f>((((VLOOKUP(B383,Database!$A:$AS,MATCH($C$1,Database!$A$1:$AS$1,),))))-(((VLOOKUP(EDATE(B383,-12),Database!$A:$AS,MATCH($C$1,Database!$A$1:$AS$1,),)))))/(((VLOOKUP(EDATE(B383,-12),Database!$A:$AS,MATCH($C$1,Database!$A$1:$AS$1,),))))</f>
        <v>-2.1653653230929795E-2</v>
      </c>
      <c r="D383" s="13">
        <f>((((VLOOKUP(B383,Database!$A:$AS,MATCH($D$1,Database!$A$1:$AS$1,),))))-(((VLOOKUP(EDATE(B383,-12),Database!$A:$AS,MATCH($D$1,Database!$A$1:$AS$1,),)))))/(((VLOOKUP(EDATE(B383,-12),Database!$A:$AS,MATCH($D$1,Database!$A$1:$AS$1,),))))</f>
        <v>-3.0592734225621306E-2</v>
      </c>
      <c r="E383" s="13">
        <f>((((VLOOKUP(B383,Database!$A:$AS,MATCH($E$1,Database!$A$1:$AS$1,),))))-(((VLOOKUP(EDATE(B383,-12),Database!$A:$AS,MATCH($E$1,Database!$A$1:$AS$1,),)))))/(((VLOOKUP(EDATE(B383,-12),Database!$A:$AS,MATCH($E$1,Database!$A$1:$AS$1,),))))</f>
        <v>-6.3218390806194139E-2</v>
      </c>
      <c r="F383" s="13">
        <f>((((VLOOKUP(B383,Database!$A:$AS,MATCH($F$1,Database!$A$1:$AS$1,),))))-(((VLOOKUP(EDATE(B383,-12),Database!$A:$AS,MATCH($F$1,Database!$A$1:$AS$1,),)))))/(((VLOOKUP(EDATE(B383,-12),Database!$A:$AS,MATCH($F$1,Database!$A$1:$AS$1,),))))</f>
        <v>-6.208213944157509E-2</v>
      </c>
      <c r="G383" s="13">
        <f>((((VLOOKUP(B383,Database!$A:$AS,MATCH($G$1,Database!$A$1:$AS$1,),))))-(((VLOOKUP(EDATE(B383,-12),Database!$A:$AS,MATCH($G$1,Database!$A$1:$AS$1,),)))))/(((VLOOKUP(EDATE(B383,-12),Database!$A:$AS,MATCH($G$1,Database!$A$1:$AS$1,),))))</f>
        <v>-2.8810141169691734E-2</v>
      </c>
      <c r="H383" s="13">
        <f>((((VLOOKUP(B383,Database!$A:$AS,MATCH($H$1,Database!$A$1:$AS$1,),))))-(((VLOOKUP(EDATE(B383,-12),Database!$A:$AS,MATCH($H$1,Database!$A$1:$AS$1,),)))))/(((VLOOKUP(EDATE(B383,-12),Database!$A:$AS,MATCH($H$1,Database!$A$1:$AS$1,),))))</f>
        <v>-1.2974051896957689E-2</v>
      </c>
      <c r="I383" s="13">
        <f>((((VLOOKUP(B383,Database!$A:$AS,MATCH($I$1,Database!$A$1:$AS$1,),))))-(((VLOOKUP(EDATE(B383,-12),Database!$A:$AS,MATCH($I$1,Database!$A$1:$AS$1,),)))))/(((VLOOKUP(EDATE(B383,-12),Database!$A:$AS,MATCH($I$1,Database!$A$1:$AS$1,),))))</f>
        <v>-3.3206831122848376E-2</v>
      </c>
      <c r="J383" s="13">
        <f>((((VLOOKUP(B383,Database!$A:$AS,MATCH($J$1,Database!$A$1:$AS$1,),))))-(((VLOOKUP(EDATE(B383,-12),Database!$A:$AS,MATCH($J$1,Database!$A$1:$AS$1,),)))))/(((VLOOKUP(EDATE(B383,-12),Database!$A:$AS,MATCH($J$1,Database!$A$1:$AS$1,),))))</f>
        <v>3.7153805096178582E-3</v>
      </c>
      <c r="K383" s="13">
        <f>((((VLOOKUP(B383,Database!$A:$AS,MATCH($K$1,Database!$A$1:$AS$1,),))))-(((VLOOKUP(EDATE(B383,-12),Database!$A:$AS,MATCH($K$1,Database!$A$1:$AS$1,),)))))/(((VLOOKUP(EDATE(B383,-12),Database!$A:$AS,MATCH($K$1,Database!$A$1:$AS$1,),))))</f>
        <v>-9.8654708492752815E-3</v>
      </c>
      <c r="L383" s="13"/>
      <c r="M383" s="13"/>
      <c r="N383" s="13"/>
      <c r="O383" s="13">
        <f>((((VLOOKUP(B383,Database!$A:$AS,MATCH($O$1,Database!$A$1:$AS$1,),))))-(((VLOOKUP(EDATE(B383,-12),Database!$A:$AS,MATCH($O$1,Database!$A$1:$AS$1,),)))))/(((VLOOKUP(EDATE(B383,-12),Database!$A:$AS,MATCH($O$1,Database!$A$1:$AS$1,),))))</f>
        <v>-1.2376469202684775E-2</v>
      </c>
      <c r="P383" s="13">
        <f>((((VLOOKUP(B383,Database!$A:$AS,MATCH($P$1,Database!$A$1:$AS$1,),))))-(((VLOOKUP(EDATE(B383,-12),Database!$A:$AS,MATCH($P$1,Database!$A$1:$AS$1,),)))))/(((VLOOKUP(EDATE(B383,-12),Database!$A:$AS,MATCH($P$1,Database!$A$1:$AS$1,),))))</f>
        <v>6.6091954023786897E-2</v>
      </c>
      <c r="Q383" s="13">
        <f>((((VLOOKUP(B383,Database!$A:$AS,MATCH($Q$1,Database!$A$1:$AS$1,),))))-(((VLOOKUP(EDATE(B383,-12),Database!$A:$AS,MATCH($Q$1,Database!$A$1:$AS$1,),)))))/(((VLOOKUP(EDATE(B383,-12),Database!$A:$AS,MATCH($Q$1,Database!$A$1:$AS$1,),))))</f>
        <v>-2.1640091117033158E-2</v>
      </c>
      <c r="R383" s="13">
        <f>((((VLOOKUP(B383,Database!$A:$AS,MATCH($R$1,Database!$A$1:$AS$1,),))))-(((VLOOKUP(EDATE(B383,-12),Database!$A:$AS,MATCH($R$1,Database!$A$1:$AS$1,),)))))/(((VLOOKUP(EDATE(B383,-12),Database!$A:$AS,MATCH($R$1,Database!$A$1:$AS$1,),))))</f>
        <v>-4.0650406496418066E-2</v>
      </c>
      <c r="S383" s="13">
        <f>((((VLOOKUP(B383,Database!$A:$AS,MATCH($S$1,Database!$A$1:$AS$1,),))))-(((VLOOKUP(EDATE(B383,-12),Database!$A:$AS,MATCH($S$1,Database!$A$1:$AS$1,),)))))/(((VLOOKUP(EDATE(B383,-12),Database!$A:$AS,MATCH($S$1,Database!$A$1:$AS$1,),))))</f>
        <v>3.7457434722629405E-2</v>
      </c>
      <c r="T383" s="13">
        <f>((((VLOOKUP(B383,Database!$A:$AS,MATCH($T$1,Database!$A$1:$AS$1,),))))-(((VLOOKUP(EDATE(B383,-12),Database!$A:$AS,MATCH($T$1,Database!$A$1:$AS$1,),)))))/(((VLOOKUP(EDATE(B383,-12),Database!$A:$AS,MATCH($T$1,Database!$A$1:$AS$1,),))))</f>
        <v>8.8724584097122361E-2</v>
      </c>
      <c r="U383" s="13">
        <f>((((VLOOKUP(B383,Database!$A:$AS,MATCH($U$1,Database!$A$1:$AS$1,),))))-(((VLOOKUP(EDATE(B383,-12),Database!$A:$AS,MATCH($U$1,Database!$A$1:$AS$1,),)))))/(((VLOOKUP(EDATE(B383,-12),Database!$A:$AS,MATCH($U$1,Database!$A$1:$AS$1,),))))</f>
        <v>-3.327495621547568E-2</v>
      </c>
      <c r="V383" s="13">
        <f>((((VLOOKUP(B383,Database!$A:$AS,MATCH($V$1,Database!$A$1:$AS$1,),))))-(((VLOOKUP(EDATE(B383,-12),Database!$A:$AS,MATCH($V$1,Database!$A$1:$AS$1,),)))))/(((VLOOKUP(EDATE(B383,-12),Database!$A:$AS,MATCH($V$1,Database!$A$1:$AS$1,),))))</f>
        <v>1.5151515151515128E-2</v>
      </c>
    </row>
    <row r="384" spans="2:22" s="83" customFormat="1" x14ac:dyDescent="0.2">
      <c r="B384" s="78">
        <v>43831</v>
      </c>
      <c r="C384" s="13">
        <f>((((VLOOKUP(B384,Database!$A:$AS,MATCH($C$1,Database!$A$1:$AS$1,),))))-(((VLOOKUP(EDATE(B384,-12),Database!$A:$AS,MATCH($C$1,Database!$A$1:$AS$1,),)))))/(((VLOOKUP(EDATE(B384,-12),Database!$A:$AS,MATCH($C$1,Database!$A$1:$AS$1,),))))</f>
        <v>-2.13983618930077E-2</v>
      </c>
      <c r="D384" s="13">
        <f>((((VLOOKUP(B384,Database!$A:$AS,MATCH($D$1,Database!$A$1:$AS$1,),))))-(((VLOOKUP(EDATE(B384,-12),Database!$A:$AS,MATCH($D$1,Database!$A$1:$AS$1,),)))))/(((VLOOKUP(EDATE(B384,-12),Database!$A:$AS,MATCH($D$1,Database!$A$1:$AS$1,),))))</f>
        <v>-2.0892687559354254E-2</v>
      </c>
      <c r="E384" s="13">
        <f>((((VLOOKUP(B384,Database!$A:$AS,MATCH($E$1,Database!$A$1:$AS$1,),))))-(((VLOOKUP(EDATE(B384,-12),Database!$A:$AS,MATCH($E$1,Database!$A$1:$AS$1,),)))))/(((VLOOKUP(EDATE(B384,-12),Database!$A:$AS,MATCH($E$1,Database!$A$1:$AS$1,),))))</f>
        <v>-4.199218750452078E-2</v>
      </c>
      <c r="F384" s="13">
        <f>((((VLOOKUP(B384,Database!$A:$AS,MATCH($F$1,Database!$A$1:$AS$1,),))))-(((VLOOKUP(EDATE(B384,-12),Database!$A:$AS,MATCH($F$1,Database!$A$1:$AS$1,),)))))/(((VLOOKUP(EDATE(B384,-12),Database!$A:$AS,MATCH($F$1,Database!$A$1:$AS$1,),))))</f>
        <v>-2.8019323676529619E-2</v>
      </c>
      <c r="G384" s="13">
        <f>((((VLOOKUP(B384,Database!$A:$AS,MATCH($G$1,Database!$A$1:$AS$1,),))))-(((VLOOKUP(EDATE(B384,-12),Database!$A:$AS,MATCH($G$1,Database!$A$1:$AS$1,),)))))/(((VLOOKUP(EDATE(B384,-12),Database!$A:$AS,MATCH($G$1,Database!$A$1:$AS$1,),))))</f>
        <v>-3.2285796160091654E-2</v>
      </c>
      <c r="H384" s="13">
        <f>((((VLOOKUP(B384,Database!$A:$AS,MATCH($H$1,Database!$A$1:$AS$1,),))))-(((VLOOKUP(EDATE(B384,-12),Database!$A:$AS,MATCH($H$1,Database!$A$1:$AS$1,),)))))/(((VLOOKUP(EDATE(B384,-12),Database!$A:$AS,MATCH($H$1,Database!$A$1:$AS$1,),))))</f>
        <v>-2.0812685830091174E-2</v>
      </c>
      <c r="I384" s="13">
        <f>((((VLOOKUP(B384,Database!$A:$AS,MATCH($I$1,Database!$A$1:$AS$1,),))))-(((VLOOKUP(EDATE(B384,-12),Database!$A:$AS,MATCH($I$1,Database!$A$1:$AS$1,),)))))/(((VLOOKUP(EDATE(B384,-12),Database!$A:$AS,MATCH($I$1,Database!$A$1:$AS$1,),))))</f>
        <v>-9.4607379412111735E-3</v>
      </c>
      <c r="J384" s="13">
        <f>((((VLOOKUP(B384,Database!$A:$AS,MATCH($J$1,Database!$A$1:$AS$1,),))))-(((VLOOKUP(EDATE(B384,-12),Database!$A:$AS,MATCH($J$1,Database!$A$1:$AS$1,),)))))/(((VLOOKUP(EDATE(B384,-12),Database!$A:$AS,MATCH($J$1,Database!$A$1:$AS$1,),))))</f>
        <v>-3.1412682837057414E-2</v>
      </c>
      <c r="K384" s="13">
        <f>((((VLOOKUP(B384,Database!$A:$AS,MATCH($K$1,Database!$A$1:$AS$1,),))))-(((VLOOKUP(EDATE(B384,-12),Database!$A:$AS,MATCH($K$1,Database!$A$1:$AS$1,),)))))/(((VLOOKUP(EDATE(B384,-12),Database!$A:$AS,MATCH($K$1,Database!$A$1:$AS$1,),))))</f>
        <v>-1.2433392536541679E-2</v>
      </c>
      <c r="L384" s="13"/>
      <c r="M384" s="13"/>
      <c r="N384" s="13"/>
      <c r="O384" s="13">
        <f>((((VLOOKUP(B384,Database!$A:$AS,MATCH($O$1,Database!$A$1:$AS$1,),))))-(((VLOOKUP(EDATE(B384,-12),Database!$A:$AS,MATCH($O$1,Database!$A$1:$AS$1,),)))))/(((VLOOKUP(EDATE(B384,-12),Database!$A:$AS,MATCH($O$1,Database!$A$1:$AS$1,),))))</f>
        <v>4.4097642684139118E-3</v>
      </c>
      <c r="P384" s="13">
        <f>((((VLOOKUP(B384,Database!$A:$AS,MATCH($P$1,Database!$A$1:$AS$1,),))))-(((VLOOKUP(EDATE(B384,-12),Database!$A:$AS,MATCH($P$1,Database!$A$1:$AS$1,),)))))/(((VLOOKUP(EDATE(B384,-12),Database!$A:$AS,MATCH($P$1,Database!$A$1:$AS$1,),))))</f>
        <v>3.3365109622064563E-2</v>
      </c>
      <c r="Q384" s="13">
        <f>((((VLOOKUP(B384,Database!$A:$AS,MATCH($Q$1,Database!$A$1:$AS$1,),))))-(((VLOOKUP(EDATE(B384,-12),Database!$A:$AS,MATCH($Q$1,Database!$A$1:$AS$1,),)))))/(((VLOOKUP(EDATE(B384,-12),Database!$A:$AS,MATCH($Q$1,Database!$A$1:$AS$1,),))))</f>
        <v>-3.4522439625661217E-3</v>
      </c>
      <c r="R384" s="13">
        <f>((((VLOOKUP(B384,Database!$A:$AS,MATCH($R$1,Database!$A$1:$AS$1,),))))-(((VLOOKUP(EDATE(B384,-12),Database!$A:$AS,MATCH($R$1,Database!$A$1:$AS$1,),)))))/(((VLOOKUP(EDATE(B384,-12),Database!$A:$AS,MATCH($R$1,Database!$A$1:$AS$1,),))))</f>
        <v>-9.0090089832510327E-4</v>
      </c>
      <c r="S384" s="13">
        <f>((((VLOOKUP(B384,Database!$A:$AS,MATCH($S$1,Database!$A$1:$AS$1,),))))-(((VLOOKUP(EDATE(B384,-12),Database!$A:$AS,MATCH($S$1,Database!$A$1:$AS$1,),)))))/(((VLOOKUP(EDATE(B384,-12),Database!$A:$AS,MATCH($S$1,Database!$A$1:$AS$1,),))))</f>
        <v>1.8123667383035589E-2</v>
      </c>
      <c r="T384" s="13">
        <f>((((VLOOKUP(B384,Database!$A:$AS,MATCH($T$1,Database!$A$1:$AS$1,),))))-(((VLOOKUP(EDATE(B384,-12),Database!$A:$AS,MATCH($T$1,Database!$A$1:$AS$1,),)))))/(((VLOOKUP(EDATE(B384,-12),Database!$A:$AS,MATCH($T$1,Database!$A$1:$AS$1,),))))</f>
        <v>7.0191431177795943E-2</v>
      </c>
      <c r="U384" s="13">
        <f>((((VLOOKUP(B384,Database!$A:$AS,MATCH($U$1,Database!$A$1:$AS$1,),))))-(((VLOOKUP(EDATE(B384,-12),Database!$A:$AS,MATCH($U$1,Database!$A$1:$AS$1,),)))))/(((VLOOKUP(EDATE(B384,-12),Database!$A:$AS,MATCH($U$1,Database!$A$1:$AS$1,),))))</f>
        <v>-5.300353351036553E-3</v>
      </c>
      <c r="V384" s="13">
        <f>((((VLOOKUP(B384,Database!$A:$AS,MATCH($V$1,Database!$A$1:$AS$1,),))))-(((VLOOKUP(EDATE(B384,-12),Database!$A:$AS,MATCH($V$1,Database!$A$1:$AS$1,),)))))/(((VLOOKUP(EDATE(B384,-12),Database!$A:$AS,MATCH($V$1,Database!$A$1:$AS$1,),))))</f>
        <v>3.0936454849498352E-2</v>
      </c>
    </row>
    <row r="385" spans="2:22" s="83" customFormat="1" x14ac:dyDescent="0.2">
      <c r="B385" s="78">
        <v>43862</v>
      </c>
      <c r="C385" s="13">
        <f>((((VLOOKUP(B385,Database!$A:$AS,MATCH($C$1,Database!$A$1:$AS$1,),))))-(((VLOOKUP(EDATE(B385,-12),Database!$A:$AS,MATCH($C$1,Database!$A$1:$AS$1,),)))))/(((VLOOKUP(EDATE(B385,-12),Database!$A:$AS,MATCH($C$1,Database!$A$1:$AS$1,),))))</f>
        <v>-1.3660345764993823E-2</v>
      </c>
      <c r="D385" s="13">
        <f>((((VLOOKUP(B385,Database!$A:$AS,MATCH($D$1,Database!$A$1:$AS$1,),))))-(((VLOOKUP(EDATE(B385,-12),Database!$A:$AS,MATCH($D$1,Database!$A$1:$AS$1,),)))))/(((VLOOKUP(EDATE(B385,-12),Database!$A:$AS,MATCH($D$1,Database!$A$1:$AS$1,),))))</f>
        <v>-1.8060836501901194E-2</v>
      </c>
      <c r="E385" s="13">
        <f>((((VLOOKUP(B385,Database!$A:$AS,MATCH($E$1,Database!$A$1:$AS$1,),))))-(((VLOOKUP(EDATE(B385,-12),Database!$A:$AS,MATCH($E$1,Database!$A$1:$AS$1,),)))))/(((VLOOKUP(EDATE(B385,-12),Database!$A:$AS,MATCH($E$1,Database!$A$1:$AS$1,),))))</f>
        <v>-4.3731778432768091E-2</v>
      </c>
      <c r="F385" s="13">
        <f>((((VLOOKUP(B385,Database!$A:$AS,MATCH($F$1,Database!$A$1:$AS$1,),))))-(((VLOOKUP(EDATE(B385,-12),Database!$A:$AS,MATCH($F$1,Database!$A$1:$AS$1,),)))))/(((VLOOKUP(EDATE(B385,-12),Database!$A:$AS,MATCH($F$1,Database!$A$1:$AS$1,),))))</f>
        <v>-1.7324350332082007E-2</v>
      </c>
      <c r="G385" s="13">
        <f>((((VLOOKUP(B385,Database!$A:$AS,MATCH($G$1,Database!$A$1:$AS$1,),))))-(((VLOOKUP(EDATE(B385,-12),Database!$A:$AS,MATCH($G$1,Database!$A$1:$AS$1,),)))))/(((VLOOKUP(EDATE(B385,-12),Database!$A:$AS,MATCH($G$1,Database!$A$1:$AS$1,),))))</f>
        <v>-1.3191855463148796E-2</v>
      </c>
      <c r="H385" s="13">
        <f>((((VLOOKUP(B385,Database!$A:$AS,MATCH($H$1,Database!$A$1:$AS$1,),))))-(((VLOOKUP(EDATE(B385,-12),Database!$A:$AS,MATCH($H$1,Database!$A$1:$AS$1,),)))))/(((VLOOKUP(EDATE(B385,-12),Database!$A:$AS,MATCH($H$1,Database!$A$1:$AS$1,),))))</f>
        <v>-2.2749752718569022E-2</v>
      </c>
      <c r="I385" s="13">
        <f>((((VLOOKUP(B385,Database!$A:$AS,MATCH($I$1,Database!$A$1:$AS$1,),))))-(((VLOOKUP(EDATE(B385,-12),Database!$A:$AS,MATCH($I$1,Database!$A$1:$AS$1,),)))))/(((VLOOKUP(EDATE(B385,-12),Database!$A:$AS,MATCH($I$1,Database!$A$1:$AS$1,),))))</f>
        <v>-3.095684803078437E-2</v>
      </c>
      <c r="J385" s="13">
        <f>((((VLOOKUP(B385,Database!$A:$AS,MATCH($J$1,Database!$A$1:$AS$1,),))))-(((VLOOKUP(EDATE(B385,-12),Database!$A:$AS,MATCH($J$1,Database!$A$1:$AS$1,),)))))/(((VLOOKUP(EDATE(B385,-12),Database!$A:$AS,MATCH($J$1,Database!$A$1:$AS$1,),))))</f>
        <v>-2.3989732174351866E-2</v>
      </c>
      <c r="K385" s="13">
        <f>((((VLOOKUP(B385,Database!$A:$AS,MATCH($K$1,Database!$A$1:$AS$1,),))))-(((VLOOKUP(EDATE(B385,-12),Database!$A:$AS,MATCH($K$1,Database!$A$1:$AS$1,),)))))/(((VLOOKUP(EDATE(B385,-12),Database!$A:$AS,MATCH($K$1,Database!$A$1:$AS$1,),))))</f>
        <v>-8.0572963272180238E-3</v>
      </c>
      <c r="L385" s="13"/>
      <c r="M385" s="13"/>
      <c r="N385" s="13"/>
      <c r="O385" s="13">
        <f>((((VLOOKUP(B385,Database!$A:$AS,MATCH($O$1,Database!$A$1:$AS$1,),))))-(((VLOOKUP(EDATE(B385,-12),Database!$A:$AS,MATCH($O$1,Database!$A$1:$AS$1,),)))))/(((VLOOKUP(EDATE(B385,-12),Database!$A:$AS,MATCH($O$1,Database!$A$1:$AS$1,),))))</f>
        <v>1.8806115932890093E-2</v>
      </c>
      <c r="P385" s="13">
        <f>((((VLOOKUP(B385,Database!$A:$AS,MATCH($P$1,Database!$A$1:$AS$1,),))))-(((VLOOKUP(EDATE(B385,-12),Database!$A:$AS,MATCH($P$1,Database!$A$1:$AS$1,),)))))/(((VLOOKUP(EDATE(B385,-12),Database!$A:$AS,MATCH($P$1,Database!$A$1:$AS$1,),))))</f>
        <v>2.8265107217757844E-2</v>
      </c>
      <c r="Q385" s="13">
        <f>((((VLOOKUP(B385,Database!$A:$AS,MATCH($Q$1,Database!$A$1:$AS$1,),))))-(((VLOOKUP(EDATE(B385,-12),Database!$A:$AS,MATCH($Q$1,Database!$A$1:$AS$1,),)))))/(((VLOOKUP(EDATE(B385,-12),Database!$A:$AS,MATCH($Q$1,Database!$A$1:$AS$1,),))))</f>
        <v>1.1441647575851867E-3</v>
      </c>
      <c r="R385" s="13">
        <f>((((VLOOKUP(B385,Database!$A:$AS,MATCH($R$1,Database!$A$1:$AS$1,),))))-(((VLOOKUP(EDATE(B385,-12),Database!$A:$AS,MATCH($R$1,Database!$A$1:$AS$1,),)))))/(((VLOOKUP(EDATE(B385,-12),Database!$A:$AS,MATCH($R$1,Database!$A$1:$AS$1,),))))</f>
        <v>-2.8181818174090222E-2</v>
      </c>
      <c r="S385" s="13">
        <f>((((VLOOKUP(B385,Database!$A:$AS,MATCH($S$1,Database!$A$1:$AS$1,),))))-(((VLOOKUP(EDATE(B385,-12),Database!$A:$AS,MATCH($S$1,Database!$A$1:$AS$1,),)))))/(((VLOOKUP(EDATE(B385,-12),Database!$A:$AS,MATCH($S$1,Database!$A$1:$AS$1,),))))</f>
        <v>-4.6267087274417265E-2</v>
      </c>
      <c r="T385" s="13">
        <f>((((VLOOKUP(B385,Database!$A:$AS,MATCH($T$1,Database!$A$1:$AS$1,),))))-(((VLOOKUP(EDATE(B385,-12),Database!$A:$AS,MATCH($T$1,Database!$A$1:$AS$1,),)))))/(((VLOOKUP(EDATE(B385,-12),Database!$A:$AS,MATCH($T$1,Database!$A$1:$AS$1,),))))</f>
        <v>7.788719785686217E-2</v>
      </c>
      <c r="U385" s="13">
        <f>((((VLOOKUP(B385,Database!$A:$AS,MATCH($U$1,Database!$A$1:$AS$1,),))))-(((VLOOKUP(EDATE(B385,-12),Database!$A:$AS,MATCH($U$1,Database!$A$1:$AS$1,),)))))/(((VLOOKUP(EDATE(B385,-12),Database!$A:$AS,MATCH($U$1,Database!$A$1:$AS$1,),))))</f>
        <v>4.4247787650175145E-3</v>
      </c>
      <c r="V385" s="13">
        <f>((((VLOOKUP(B385,Database!$A:$AS,MATCH($V$1,Database!$A$1:$AS$1,),))))-(((VLOOKUP(EDATE(B385,-12),Database!$A:$AS,MATCH($V$1,Database!$A$1:$AS$1,),)))))/(((VLOOKUP(EDATE(B385,-12),Database!$A:$AS,MATCH($V$1,Database!$A$1:$AS$1,),))))</f>
        <v>2.8854080791426217E-2</v>
      </c>
    </row>
    <row r="386" spans="2:22" s="83" customFormat="1" x14ac:dyDescent="0.2">
      <c r="B386" s="78">
        <v>43891</v>
      </c>
      <c r="C386" s="13">
        <f>((((VLOOKUP(B386,Database!$A:$AS,MATCH($C$1,Database!$A$1:$AS$1,),))))-(((VLOOKUP(EDATE(B386,-12),Database!$A:$AS,MATCH($C$1,Database!$A$1:$AS$1,),)))))/(((VLOOKUP(EDATE(B386,-12),Database!$A:$AS,MATCH($C$1,Database!$A$1:$AS$1,),))))</f>
        <v>-5.2650357029700286E-2</v>
      </c>
      <c r="D386" s="13">
        <f>((((VLOOKUP(B386,Database!$A:$AS,MATCH($D$1,Database!$A$1:$AS$1,),))))-(((VLOOKUP(EDATE(B386,-12),Database!$A:$AS,MATCH($D$1,Database!$A$1:$AS$1,),)))))/(((VLOOKUP(EDATE(B386,-12),Database!$A:$AS,MATCH($D$1,Database!$A$1:$AS$1,),))))</f>
        <v>-0.12915479582146244</v>
      </c>
      <c r="E386" s="13">
        <f>((((VLOOKUP(B386,Database!$A:$AS,MATCH($E$1,Database!$A$1:$AS$1,),))))-(((VLOOKUP(EDATE(B386,-12),Database!$A:$AS,MATCH($E$1,Database!$A$1:$AS$1,),)))))/(((VLOOKUP(EDATE(B386,-12),Database!$A:$AS,MATCH($E$1,Database!$A$1:$AS$1,),))))</f>
        <v>-6.0487804874336429E-2</v>
      </c>
      <c r="F386" s="13">
        <f>((((VLOOKUP(B386,Database!$A:$AS,MATCH($F$1,Database!$A$1:$AS$1,),))))-(((VLOOKUP(EDATE(B386,-12),Database!$A:$AS,MATCH($F$1,Database!$A$1:$AS$1,),)))))/(((VLOOKUP(EDATE(B386,-12),Database!$A:$AS,MATCH($F$1,Database!$A$1:$AS$1,),))))</f>
        <v>-0.1308500477510855</v>
      </c>
      <c r="G386" s="13">
        <f>((((VLOOKUP(B386,Database!$A:$AS,MATCH($G$1,Database!$A$1:$AS$1,),))))-(((VLOOKUP(EDATE(B386,-12),Database!$A:$AS,MATCH($G$1,Database!$A$1:$AS$1,),)))))/(((VLOOKUP(EDATE(B386,-12),Database!$A:$AS,MATCH($G$1,Database!$A$1:$AS$1,),))))</f>
        <v>-0.18100804906094289</v>
      </c>
      <c r="H386" s="13">
        <f>((((VLOOKUP(B386,Database!$A:$AS,MATCH($H$1,Database!$A$1:$AS$1,),))))-(((VLOOKUP(EDATE(B386,-12),Database!$A:$AS,MATCH($H$1,Database!$A$1:$AS$1,),)))))/(((VLOOKUP(EDATE(B386,-12),Database!$A:$AS,MATCH($H$1,Database!$A$1:$AS$1,),))))</f>
        <v>-8.6999022482804542E-2</v>
      </c>
      <c r="I386" s="13">
        <f>((((VLOOKUP(B386,Database!$A:$AS,MATCH($I$1,Database!$A$1:$AS$1,),))))-(((VLOOKUP(EDATE(B386,-12),Database!$A:$AS,MATCH($I$1,Database!$A$1:$AS$1,),)))))/(((VLOOKUP(EDATE(B386,-12),Database!$A:$AS,MATCH($I$1,Database!$A$1:$AS$1,),))))</f>
        <v>-0.29706717124427984</v>
      </c>
      <c r="J386" s="13">
        <f>((((VLOOKUP(B386,Database!$A:$AS,MATCH($J$1,Database!$A$1:$AS$1,),))))-(((VLOOKUP(EDATE(B386,-12),Database!$A:$AS,MATCH($J$1,Database!$A$1:$AS$1,),)))))/(((VLOOKUP(EDATE(B386,-12),Database!$A:$AS,MATCH($J$1,Database!$A$1:$AS$1,),))))</f>
        <v>-0.14180253106354268</v>
      </c>
      <c r="K386" s="13">
        <f>((((VLOOKUP(B386,Database!$A:$AS,MATCH($K$1,Database!$A$1:$AS$1,),))))-(((VLOOKUP(EDATE(B386,-12),Database!$A:$AS,MATCH($K$1,Database!$A$1:$AS$1,),)))))/(((VLOOKUP(EDATE(B386,-12),Database!$A:$AS,MATCH($K$1,Database!$A$1:$AS$1,),))))</f>
        <v>-3.6396724375531635E-3</v>
      </c>
      <c r="L386" s="13"/>
      <c r="M386" s="13"/>
      <c r="N386" s="13"/>
      <c r="O386" s="13">
        <f>((((VLOOKUP(B386,Database!$A:$AS,MATCH($O$1,Database!$A$1:$AS$1,),))))-(((VLOOKUP(EDATE(B386,-12),Database!$A:$AS,MATCH($O$1,Database!$A$1:$AS$1,),)))))/(((VLOOKUP(EDATE(B386,-12),Database!$A:$AS,MATCH($O$1,Database!$A$1:$AS$1,),))))</f>
        <v>-5.9137628541920166E-2</v>
      </c>
      <c r="P386" s="13">
        <f>((((VLOOKUP(B386,Database!$A:$AS,MATCH($P$1,Database!$A$1:$AS$1,),))))-(((VLOOKUP(EDATE(B386,-12),Database!$A:$AS,MATCH($P$1,Database!$A$1:$AS$1,),)))))/(((VLOOKUP(EDATE(B386,-12),Database!$A:$AS,MATCH($P$1,Database!$A$1:$AS$1,),))))</f>
        <v>5.5715658021622733E-2</v>
      </c>
      <c r="Q386" s="13">
        <f>((((VLOOKUP(B386,Database!$A:$AS,MATCH($Q$1,Database!$A$1:$AS$1,),))))-(((VLOOKUP(EDATE(B386,-12),Database!$A:$AS,MATCH($Q$1,Database!$A$1:$AS$1,),)))))/(((VLOOKUP(EDATE(B386,-12),Database!$A:$AS,MATCH($Q$1,Database!$A$1:$AS$1,),))))</f>
        <v>-7.4712643674261017E-2</v>
      </c>
      <c r="R386" s="13">
        <f>((((VLOOKUP(B386,Database!$A:$AS,MATCH($R$1,Database!$A$1:$AS$1,),))))-(((VLOOKUP(EDATE(B386,-12),Database!$A:$AS,MATCH($R$1,Database!$A$1:$AS$1,),)))))/(((VLOOKUP(EDATE(B386,-12),Database!$A:$AS,MATCH($R$1,Database!$A$1:$AS$1,),))))</f>
        <v>9.2764378213318745E-4</v>
      </c>
      <c r="S386" s="13">
        <f>((((VLOOKUP(B386,Database!$A:$AS,MATCH($S$1,Database!$A$1:$AS$1,),))))-(((VLOOKUP(EDATE(B386,-12),Database!$A:$AS,MATCH($S$1,Database!$A$1:$AS$1,),)))))/(((VLOOKUP(EDATE(B386,-12),Database!$A:$AS,MATCH($S$1,Database!$A$1:$AS$1,),))))</f>
        <v>0.25987525987508708</v>
      </c>
      <c r="T386" s="13">
        <f>((((VLOOKUP(B386,Database!$A:$AS,MATCH($T$1,Database!$A$1:$AS$1,),))))-(((VLOOKUP(EDATE(B386,-12),Database!$A:$AS,MATCH($T$1,Database!$A$1:$AS$1,),)))))/(((VLOOKUP(EDATE(B386,-12),Database!$A:$AS,MATCH($T$1,Database!$A$1:$AS$1,),))))</f>
        <v>-1.4808362368199676E-2</v>
      </c>
      <c r="U386" s="13">
        <f>((((VLOOKUP(B386,Database!$A:$AS,MATCH($U$1,Database!$A$1:$AS$1,),))))-(((VLOOKUP(EDATE(B386,-12),Database!$A:$AS,MATCH($U$1,Database!$A$1:$AS$1,),)))))/(((VLOOKUP(EDATE(B386,-12),Database!$A:$AS,MATCH($U$1,Database!$A$1:$AS$1,),))))</f>
        <v>-0.12137203165969276</v>
      </c>
      <c r="V386" s="13">
        <f>((((VLOOKUP(B386,Database!$A:$AS,MATCH($V$1,Database!$A$1:$AS$1,),))))-(((VLOOKUP(EDATE(B386,-12),Database!$A:$AS,MATCH($V$1,Database!$A$1:$AS$1,),)))))/(((VLOOKUP(EDATE(B386,-12),Database!$A:$AS,MATCH($V$1,Database!$A$1:$AS$1,),))))</f>
        <v>-4.9959049959049914E-2</v>
      </c>
    </row>
    <row r="387" spans="2:22" s="83" customFormat="1" x14ac:dyDescent="0.2">
      <c r="B387" s="78">
        <v>43922</v>
      </c>
      <c r="C387" s="13">
        <f>((((VLOOKUP(B387,Database!$A:$AS,MATCH($C$1,Database!$A$1:$AS$1,),))))-(((VLOOKUP(EDATE(B387,-12),Database!$A:$AS,MATCH($C$1,Database!$A$1:$AS$1,),)))))/(((VLOOKUP(EDATE(B387,-12),Database!$A:$AS,MATCH($C$1,Database!$A$1:$AS$1,),))))</f>
        <v>-0.17654514284192777</v>
      </c>
      <c r="D387" s="13">
        <f>((((VLOOKUP(B387,Database!$A:$AS,MATCH($D$1,Database!$A$1:$AS$1,),))))-(((VLOOKUP(EDATE(B387,-12),Database!$A:$AS,MATCH($D$1,Database!$A$1:$AS$1,),)))))/(((VLOOKUP(EDATE(B387,-12),Database!$A:$AS,MATCH($D$1,Database!$A$1:$AS$1,),))))</f>
        <v>-0.28982725527831094</v>
      </c>
      <c r="E387" s="13">
        <f>((((VLOOKUP(B387,Database!$A:$AS,MATCH($E$1,Database!$A$1:$AS$1,),))))-(((VLOOKUP(EDATE(B387,-12),Database!$A:$AS,MATCH($E$1,Database!$A$1:$AS$1,),)))))/(((VLOOKUP(EDATE(B387,-12),Database!$A:$AS,MATCH($E$1,Database!$A$1:$AS$1,),))))</f>
        <v>-0.15189873418350161</v>
      </c>
      <c r="F387" s="13">
        <f>((((VLOOKUP(B387,Database!$A:$AS,MATCH($F$1,Database!$A$1:$AS$1,),))))-(((VLOOKUP(EDATE(B387,-12),Database!$A:$AS,MATCH($F$1,Database!$A$1:$AS$1,),)))))/(((VLOOKUP(EDATE(B387,-12),Database!$A:$AS,MATCH($F$1,Database!$A$1:$AS$1,),))))</f>
        <v>-0.30421982335669401</v>
      </c>
      <c r="G387" s="13">
        <f>((((VLOOKUP(B387,Database!$A:$AS,MATCH($G$1,Database!$A$1:$AS$1,),))))-(((VLOOKUP(EDATE(B387,-12),Database!$A:$AS,MATCH($G$1,Database!$A$1:$AS$1,),)))))/(((VLOOKUP(EDATE(B387,-12),Database!$A:$AS,MATCH($G$1,Database!$A$1:$AS$1,),))))</f>
        <v>-0.3500670626556811</v>
      </c>
      <c r="H387" s="13">
        <f>((((VLOOKUP(B387,Database!$A:$AS,MATCH($H$1,Database!$A$1:$AS$1,),))))-(((VLOOKUP(EDATE(B387,-12),Database!$A:$AS,MATCH($H$1,Database!$A$1:$AS$1,),)))))/(((VLOOKUP(EDATE(B387,-12),Database!$A:$AS,MATCH($H$1,Database!$A$1:$AS$1,),))))</f>
        <v>-0.25302419354440908</v>
      </c>
      <c r="I387" s="13">
        <f>((((VLOOKUP(B387,Database!$A:$AS,MATCH($I$1,Database!$A$1:$AS$1,),))))-(((VLOOKUP(EDATE(B387,-12),Database!$A:$AS,MATCH($I$1,Database!$A$1:$AS$1,),)))))/(((VLOOKUP(EDATE(B387,-12),Database!$A:$AS,MATCH($I$1,Database!$A$1:$AS$1,),))))</f>
        <v>-0.43977055449107755</v>
      </c>
      <c r="J387" s="13">
        <f>((((VLOOKUP(B387,Database!$A:$AS,MATCH($J$1,Database!$A$1:$AS$1,),))))-(((VLOOKUP(EDATE(B387,-12),Database!$A:$AS,MATCH($J$1,Database!$A$1:$AS$1,),)))))/(((VLOOKUP(EDATE(B387,-12),Database!$A:$AS,MATCH($J$1,Database!$A$1:$AS$1,),))))</f>
        <v>-0.34377324032648432</v>
      </c>
      <c r="K387" s="13">
        <f>((((VLOOKUP(B387,Database!$A:$AS,MATCH($K$1,Database!$A$1:$AS$1,),))))-(((VLOOKUP(EDATE(B387,-12),Database!$A:$AS,MATCH($K$1,Database!$A$1:$AS$1,),)))))/(((VLOOKUP(EDATE(B387,-12),Database!$A:$AS,MATCH($K$1,Database!$A$1:$AS$1,),))))</f>
        <v>-0.17084078711720888</v>
      </c>
      <c r="L387" s="13"/>
      <c r="M387" s="13"/>
      <c r="N387" s="13"/>
      <c r="O387" s="13">
        <f>((((VLOOKUP(B387,Database!$A:$AS,MATCH($O$1,Database!$A$1:$AS$1,),))))-(((VLOOKUP(EDATE(B387,-12),Database!$A:$AS,MATCH($O$1,Database!$A$1:$AS$1,),)))))/(((VLOOKUP(EDATE(B387,-12),Database!$A:$AS,MATCH($O$1,Database!$A$1:$AS$1,),))))</f>
        <v>-0.19958026121787603</v>
      </c>
      <c r="P387" s="13">
        <f>((((VLOOKUP(B387,Database!$A:$AS,MATCH($P$1,Database!$A$1:$AS$1,),))))-(((VLOOKUP(EDATE(B387,-12),Database!$A:$AS,MATCH($P$1,Database!$A$1:$AS$1,),)))))/(((VLOOKUP(EDATE(B387,-12),Database!$A:$AS,MATCH($P$1,Database!$A$1:$AS$1,),))))</f>
        <v>-2.3562676719844432E-2</v>
      </c>
      <c r="Q387" s="13">
        <f>((((VLOOKUP(B387,Database!$A:$AS,MATCH($Q$1,Database!$A$1:$AS$1,),))))-(((VLOOKUP(EDATE(B387,-12),Database!$A:$AS,MATCH($Q$1,Database!$A$1:$AS$1,),)))))/(((VLOOKUP(EDATE(B387,-12),Database!$A:$AS,MATCH($Q$1,Database!$A$1:$AS$1,),))))</f>
        <v>-0.25828571428061325</v>
      </c>
      <c r="R387" s="13">
        <f>((((VLOOKUP(B387,Database!$A:$AS,MATCH($R$1,Database!$A$1:$AS$1,),))))-(((VLOOKUP(EDATE(B387,-12),Database!$A:$AS,MATCH($R$1,Database!$A$1:$AS$1,),)))))/(((VLOOKUP(EDATE(B387,-12),Database!$A:$AS,MATCH($R$1,Database!$A$1:$AS$1,),))))</f>
        <v>-0.10622710622579649</v>
      </c>
      <c r="S387" s="13">
        <f>((((VLOOKUP(B387,Database!$A:$AS,MATCH($S$1,Database!$A$1:$AS$1,),))))-(((VLOOKUP(EDATE(B387,-12),Database!$A:$AS,MATCH($S$1,Database!$A$1:$AS$1,),)))))/(((VLOOKUP(EDATE(B387,-12),Database!$A:$AS,MATCH($S$1,Database!$A$1:$AS$1,),))))</f>
        <v>1.3612565441177935E-2</v>
      </c>
      <c r="T387" s="13">
        <f>((((VLOOKUP(B387,Database!$A:$AS,MATCH($T$1,Database!$A$1:$AS$1,),))))-(((VLOOKUP(EDATE(B387,-12),Database!$A:$AS,MATCH($T$1,Database!$A$1:$AS$1,),)))))/(((VLOOKUP(EDATE(B387,-12),Database!$A:$AS,MATCH($T$1,Database!$A$1:$AS$1,),))))</f>
        <v>-0.30674846625433488</v>
      </c>
      <c r="U387" s="13">
        <f>((((VLOOKUP(B387,Database!$A:$AS,MATCH($U$1,Database!$A$1:$AS$1,),))))-(((VLOOKUP(EDATE(B387,-12),Database!$A:$AS,MATCH($U$1,Database!$A$1:$AS$1,),)))))/(((VLOOKUP(EDATE(B387,-12),Database!$A:$AS,MATCH($U$1,Database!$A$1:$AS$1,),))))</f>
        <v>-0.34260869564772695</v>
      </c>
      <c r="V387" s="13">
        <f>((((VLOOKUP(B387,Database!$A:$AS,MATCH($V$1,Database!$A$1:$AS$1,),))))-(((VLOOKUP(EDATE(B387,-12),Database!$A:$AS,MATCH($V$1,Database!$A$1:$AS$1,),)))))/(((VLOOKUP(EDATE(B387,-12),Database!$A:$AS,MATCH($V$1,Database!$A$1:$AS$1,),))))</f>
        <v>-0.25163398692810468</v>
      </c>
    </row>
    <row r="388" spans="2:22" s="83" customFormat="1" x14ac:dyDescent="0.2">
      <c r="B388" s="78">
        <v>43952</v>
      </c>
      <c r="C388" s="13">
        <f>((((VLOOKUP(B388,Database!$A:$AS,MATCH($C$1,Database!$A$1:$AS$1,),))))-(((VLOOKUP(EDATE(B388,-12),Database!$A:$AS,MATCH($C$1,Database!$A$1:$AS$1,),)))))/(((VLOOKUP(EDATE(B388,-12),Database!$A:$AS,MATCH($C$1,Database!$A$1:$AS$1,),))))</f>
        <v>-0.16211021952619811</v>
      </c>
      <c r="D388" s="13">
        <f>((((VLOOKUP(B388,Database!$A:$AS,MATCH($D$1,Database!$A$1:$AS$1,),))))-(((VLOOKUP(EDATE(B388,-12),Database!$A:$AS,MATCH($D$1,Database!$A$1:$AS$1,),)))))/(((VLOOKUP(EDATE(B388,-12),Database!$A:$AS,MATCH($D$1,Database!$A$1:$AS$1,),))))</f>
        <v>-0.19829222011385203</v>
      </c>
      <c r="E388" s="13">
        <f>((((VLOOKUP(B388,Database!$A:$AS,MATCH($E$1,Database!$A$1:$AS$1,),))))-(((VLOOKUP(EDATE(B388,-12),Database!$A:$AS,MATCH($E$1,Database!$A$1:$AS$1,),)))))/(((VLOOKUP(EDATE(B388,-12),Database!$A:$AS,MATCH($E$1,Database!$A$1:$AS$1,),))))</f>
        <v>-0.24639076034267013</v>
      </c>
      <c r="F388" s="13">
        <f>((((VLOOKUP(B388,Database!$A:$AS,MATCH($F$1,Database!$A$1:$AS$1,),))))-(((VLOOKUP(EDATE(B388,-12),Database!$A:$AS,MATCH($F$1,Database!$A$1:$AS$1,),)))))/(((VLOOKUP(EDATE(B388,-12),Database!$A:$AS,MATCH($F$1,Database!$A$1:$AS$1,),))))</f>
        <v>-0.2303206997115716</v>
      </c>
      <c r="G388" s="13">
        <f>((((VLOOKUP(B388,Database!$A:$AS,MATCH($G$1,Database!$A$1:$AS$1,),))))-(((VLOOKUP(EDATE(B388,-12),Database!$A:$AS,MATCH($G$1,Database!$A$1:$AS$1,),)))))/(((VLOOKUP(EDATE(B388,-12),Database!$A:$AS,MATCH($G$1,Database!$A$1:$AS$1,),))))</f>
        <v>-0.23596142938173575</v>
      </c>
      <c r="H388" s="13">
        <f>((((VLOOKUP(B388,Database!$A:$AS,MATCH($H$1,Database!$A$1:$AS$1,),))))-(((VLOOKUP(EDATE(B388,-12),Database!$A:$AS,MATCH($H$1,Database!$A$1:$AS$1,),)))))/(((VLOOKUP(EDATE(B388,-12),Database!$A:$AS,MATCH($H$1,Database!$A$1:$AS$1,),))))</f>
        <v>-0.21457085828084915</v>
      </c>
      <c r="I388" s="13">
        <f>((((VLOOKUP(B388,Database!$A:$AS,MATCH($I$1,Database!$A$1:$AS$1,),))))-(((VLOOKUP(EDATE(B388,-12),Database!$A:$AS,MATCH($I$1,Database!$A$1:$AS$1,),)))))/(((VLOOKUP(EDATE(B388,-12),Database!$A:$AS,MATCH($I$1,Database!$A$1:$AS$1,),))))</f>
        <v>-0.20375586854980315</v>
      </c>
      <c r="J388" s="13">
        <f>((((VLOOKUP(B388,Database!$A:$AS,MATCH($J$1,Database!$A$1:$AS$1,),))))-(((VLOOKUP(EDATE(B388,-12),Database!$A:$AS,MATCH($J$1,Database!$A$1:$AS$1,),)))))/(((VLOOKUP(EDATE(B388,-12),Database!$A:$AS,MATCH($J$1,Database!$A$1:$AS$1,),))))</f>
        <v>-0.23286646971161445</v>
      </c>
      <c r="K388" s="13">
        <f>((((VLOOKUP(B388,Database!$A:$AS,MATCH($K$1,Database!$A$1:$AS$1,),))))-(((VLOOKUP(EDATE(B388,-12),Database!$A:$AS,MATCH($K$1,Database!$A$1:$AS$1,),)))))/(((VLOOKUP(EDATE(B388,-12),Database!$A:$AS,MATCH($K$1,Database!$A$1:$AS$1,),))))</f>
        <v>-0.16681455190620026</v>
      </c>
      <c r="L388" s="13"/>
      <c r="M388" s="13"/>
      <c r="N388" s="13"/>
      <c r="O388" s="13">
        <f>((((VLOOKUP(B388,Database!$A:$AS,MATCH($O$1,Database!$A$1:$AS$1,),))))-(((VLOOKUP(EDATE(B388,-12),Database!$A:$AS,MATCH($O$1,Database!$A$1:$AS$1,),)))))/(((VLOOKUP(EDATE(B388,-12),Database!$A:$AS,MATCH($O$1,Database!$A$1:$AS$1,),))))</f>
        <v>-0.16477347790272373</v>
      </c>
      <c r="P388" s="13">
        <f>((((VLOOKUP(B388,Database!$A:$AS,MATCH($P$1,Database!$A$1:$AS$1,),))))-(((VLOOKUP(EDATE(B388,-12),Database!$A:$AS,MATCH($P$1,Database!$A$1:$AS$1,),)))))/(((VLOOKUP(EDATE(B388,-12),Database!$A:$AS,MATCH($P$1,Database!$A$1:$AS$1,),))))</f>
        <v>-9.2979127140180237E-2</v>
      </c>
      <c r="Q388" s="13">
        <f>((((VLOOKUP(B388,Database!$A:$AS,MATCH($Q$1,Database!$A$1:$AS$1,),))))-(((VLOOKUP(EDATE(B388,-12),Database!$A:$AS,MATCH($Q$1,Database!$A$1:$AS$1,),)))))/(((VLOOKUP(EDATE(B388,-12),Database!$A:$AS,MATCH($Q$1,Database!$A$1:$AS$1,),))))</f>
        <v>-0.2</v>
      </c>
      <c r="R388" s="13">
        <f>((((VLOOKUP(B388,Database!$A:$AS,MATCH($R$1,Database!$A$1:$AS$1,),))))-(((VLOOKUP(EDATE(B388,-12),Database!$A:$AS,MATCH($R$1,Database!$A$1:$AS$1,),)))))/(((VLOOKUP(EDATE(B388,-12),Database!$A:$AS,MATCH($R$1,Database!$A$1:$AS$1,),))))</f>
        <v>-7.933579336168245E-2</v>
      </c>
      <c r="S388" s="13">
        <f>((((VLOOKUP(B388,Database!$A:$AS,MATCH($S$1,Database!$A$1:$AS$1,),))))-(((VLOOKUP(EDATE(B388,-12),Database!$A:$AS,MATCH($S$1,Database!$A$1:$AS$1,),)))))/(((VLOOKUP(EDATE(B388,-12),Database!$A:$AS,MATCH($S$1,Database!$A$1:$AS$1,),))))</f>
        <v>-0.10763209393332981</v>
      </c>
      <c r="T388" s="13">
        <f>((((VLOOKUP(B388,Database!$A:$AS,MATCH($T$1,Database!$A$1:$AS$1,),))))-(((VLOOKUP(EDATE(B388,-12),Database!$A:$AS,MATCH($T$1,Database!$A$1:$AS$1,),)))))/(((VLOOKUP(EDATE(B388,-12),Database!$A:$AS,MATCH($T$1,Database!$A$1:$AS$1,),))))</f>
        <v>-0.18300086730157528</v>
      </c>
      <c r="U388" s="13">
        <f>((((VLOOKUP(B388,Database!$A:$AS,MATCH($U$1,Database!$A$1:$AS$1,),))))-(((VLOOKUP(EDATE(B388,-12),Database!$A:$AS,MATCH($U$1,Database!$A$1:$AS$1,),)))))/(((VLOOKUP(EDATE(B388,-12),Database!$A:$AS,MATCH($U$1,Database!$A$1:$AS$1,),))))</f>
        <v>-0.23614663256863583</v>
      </c>
      <c r="V388" s="13">
        <f>((((VLOOKUP(B388,Database!$A:$AS,MATCH($V$1,Database!$A$1:$AS$1,),))))-(((VLOOKUP(EDATE(B388,-12),Database!$A:$AS,MATCH($V$1,Database!$A$1:$AS$1,),)))))/(((VLOOKUP(EDATE(B388,-12),Database!$A:$AS,MATCH($V$1,Database!$A$1:$AS$1,),))))</f>
        <v>-0.15321923390383047</v>
      </c>
    </row>
    <row r="389" spans="2:22" s="83" customFormat="1" x14ac:dyDescent="0.2">
      <c r="B389" s="78">
        <v>43983</v>
      </c>
      <c r="C389" s="13">
        <f>((((VLOOKUP(B389,Database!$A:$AS,MATCH($C$1,Database!$A$1:$AS$1,),))))-(((VLOOKUP(EDATE(B389,-12),Database!$A:$AS,MATCH($C$1,Database!$A$1:$AS$1,),)))))/(((VLOOKUP(EDATE(B389,-12),Database!$A:$AS,MATCH($C$1,Database!$A$1:$AS$1,),))))</f>
        <v>-0.10960501641531285</v>
      </c>
      <c r="D389" s="13">
        <f>((((VLOOKUP(B389,Database!$A:$AS,MATCH($D$1,Database!$A$1:$AS$1,),))))-(((VLOOKUP(EDATE(B389,-12),Database!$A:$AS,MATCH($D$1,Database!$A$1:$AS$1,),)))))/(((VLOOKUP(EDATE(B389,-12),Database!$A:$AS,MATCH($D$1,Database!$A$1:$AS$1,),))))</f>
        <v>-0.11153846153846149</v>
      </c>
      <c r="E389" s="13">
        <f>((((VLOOKUP(B389,Database!$A:$AS,MATCH($E$1,Database!$A$1:$AS$1,),))))-(((VLOOKUP(EDATE(B389,-12),Database!$A:$AS,MATCH($E$1,Database!$A$1:$AS$1,),)))))/(((VLOOKUP(EDATE(B389,-12),Database!$A:$AS,MATCH($E$1,Database!$A$1:$AS$1,),))))</f>
        <v>-0.19033530572324756</v>
      </c>
      <c r="F389" s="13">
        <f>((((VLOOKUP(B389,Database!$A:$AS,MATCH($F$1,Database!$A$1:$AS$1,),))))-(((VLOOKUP(EDATE(B389,-12),Database!$A:$AS,MATCH($F$1,Database!$A$1:$AS$1,),)))))/(((VLOOKUP(EDATE(B389,-12),Database!$A:$AS,MATCH($F$1,Database!$A$1:$AS$1,),))))</f>
        <v>-0.1334641805680587</v>
      </c>
      <c r="G389" s="13">
        <f>((((VLOOKUP(B389,Database!$A:$AS,MATCH($G$1,Database!$A$1:$AS$1,),))))-(((VLOOKUP(EDATE(B389,-12),Database!$A:$AS,MATCH($G$1,Database!$A$1:$AS$1,),)))))/(((VLOOKUP(EDATE(B389,-12),Database!$A:$AS,MATCH($G$1,Database!$A$1:$AS$1,),))))</f>
        <v>-0.11677138714354759</v>
      </c>
      <c r="H389" s="13">
        <f>((((VLOOKUP(B389,Database!$A:$AS,MATCH($H$1,Database!$A$1:$AS$1,),))))-(((VLOOKUP(EDATE(B389,-12),Database!$A:$AS,MATCH($H$1,Database!$A$1:$AS$1,),)))))/(((VLOOKUP(EDATE(B389,-12),Database!$A:$AS,MATCH($H$1,Database!$A$1:$AS$1,),))))</f>
        <v>-0.12060301507523599</v>
      </c>
      <c r="I389" s="13">
        <f>((((VLOOKUP(B389,Database!$A:$AS,MATCH($I$1,Database!$A$1:$AS$1,),))))-(((VLOOKUP(EDATE(B389,-12),Database!$A:$AS,MATCH($I$1,Database!$A$1:$AS$1,),)))))/(((VLOOKUP(EDATE(B389,-12),Database!$A:$AS,MATCH($I$1,Database!$A$1:$AS$1,),))))</f>
        <v>-0.13705103969420107</v>
      </c>
      <c r="J389" s="13">
        <f>((((VLOOKUP(B389,Database!$A:$AS,MATCH($J$1,Database!$A$1:$AS$1,),))))-(((VLOOKUP(EDATE(B389,-12),Database!$A:$AS,MATCH($J$1,Database!$A$1:$AS$1,),)))))/(((VLOOKUP(EDATE(B389,-12),Database!$A:$AS,MATCH($J$1,Database!$A$1:$AS$1,),))))</f>
        <v>-0.13539137578682184</v>
      </c>
      <c r="K389" s="13">
        <f>((((VLOOKUP(B389,Database!$A:$AS,MATCH($K$1,Database!$A$1:$AS$1,),))))-(((VLOOKUP(EDATE(B389,-12),Database!$A:$AS,MATCH($K$1,Database!$A$1:$AS$1,),)))))/(((VLOOKUP(EDATE(B389,-12),Database!$A:$AS,MATCH($K$1,Database!$A$1:$AS$1,),))))</f>
        <v>-0.11051693404254911</v>
      </c>
      <c r="L389" s="13"/>
      <c r="M389" s="13"/>
      <c r="N389" s="13"/>
      <c r="O389" s="13">
        <f>((((VLOOKUP(B389,Database!$A:$AS,MATCH($O$1,Database!$A$1:$AS$1,),))))-(((VLOOKUP(EDATE(B389,-12),Database!$A:$AS,MATCH($O$1,Database!$A$1:$AS$1,),)))))/(((VLOOKUP(EDATE(B389,-12),Database!$A:$AS,MATCH($O$1,Database!$A$1:$AS$1,),))))</f>
        <v>-0.12365054051091029</v>
      </c>
      <c r="P389" s="13">
        <f>((((VLOOKUP(B389,Database!$A:$AS,MATCH($P$1,Database!$A$1:$AS$1,),))))-(((VLOOKUP(EDATE(B389,-12),Database!$A:$AS,MATCH($P$1,Database!$A$1:$AS$1,),)))))/(((VLOOKUP(EDATE(B389,-12),Database!$A:$AS,MATCH($P$1,Database!$A$1:$AS$1,),))))</f>
        <v>-2.7281279402860129E-2</v>
      </c>
      <c r="Q389" s="13">
        <f>((((VLOOKUP(B389,Database!$A:$AS,MATCH($Q$1,Database!$A$1:$AS$1,),))))-(((VLOOKUP(EDATE(B389,-12),Database!$A:$AS,MATCH($Q$1,Database!$A$1:$AS$1,),)))))/(((VLOOKUP(EDATE(B389,-12),Database!$A:$AS,MATCH($Q$1,Database!$A$1:$AS$1,),))))</f>
        <v>-0.11534025375226771</v>
      </c>
      <c r="R389" s="13">
        <f>((((VLOOKUP(B389,Database!$A:$AS,MATCH($R$1,Database!$A$1:$AS$1,),))))-(((VLOOKUP(EDATE(B389,-12),Database!$A:$AS,MATCH($R$1,Database!$A$1:$AS$1,),)))))/(((VLOOKUP(EDATE(B389,-12),Database!$A:$AS,MATCH($R$1,Database!$A$1:$AS$1,),))))</f>
        <v>-4.7004608289658148E-2</v>
      </c>
      <c r="S389" s="13">
        <f>((((VLOOKUP(B389,Database!$A:$AS,MATCH($S$1,Database!$A$1:$AS$1,),))))-(((VLOOKUP(EDATE(B389,-12),Database!$A:$AS,MATCH($S$1,Database!$A$1:$AS$1,),)))))/(((VLOOKUP(EDATE(B389,-12),Database!$A:$AS,MATCH($S$1,Database!$A$1:$AS$1,),))))</f>
        <v>6.8928950161270736E-2</v>
      </c>
      <c r="T389" s="13">
        <f>((((VLOOKUP(B389,Database!$A:$AS,MATCH($T$1,Database!$A$1:$AS$1,),))))-(((VLOOKUP(EDATE(B389,-12),Database!$A:$AS,MATCH($T$1,Database!$A$1:$AS$1,),)))))/(((VLOOKUP(EDATE(B389,-12),Database!$A:$AS,MATCH($T$1,Database!$A$1:$AS$1,),))))</f>
        <v>9.1157702496806972E-4</v>
      </c>
      <c r="U389" s="13">
        <f>((((VLOOKUP(B389,Database!$A:$AS,MATCH($U$1,Database!$A$1:$AS$1,),))))-(((VLOOKUP(EDATE(B389,-12),Database!$A:$AS,MATCH($U$1,Database!$A$1:$AS$1,),)))))/(((VLOOKUP(EDATE(B389,-12),Database!$A:$AS,MATCH($U$1,Database!$A$1:$AS$1,),))))</f>
        <v>-9.4055013311829347E-2</v>
      </c>
      <c r="V389" s="13">
        <f>((((VLOOKUP(B389,Database!$A:$AS,MATCH($V$1,Database!$A$1:$AS$1,),))))-(((VLOOKUP(EDATE(B389,-12),Database!$A:$AS,MATCH($V$1,Database!$A$1:$AS$1,),)))))/(((VLOOKUP(EDATE(B389,-12),Database!$A:$AS,MATCH($V$1,Database!$A$1:$AS$1,),))))</f>
        <v>-4.0731504571903505E-2</v>
      </c>
    </row>
    <row r="390" spans="2:22" s="83" customFormat="1" x14ac:dyDescent="0.2">
      <c r="B390" s="78">
        <v>44013</v>
      </c>
      <c r="C390" s="13">
        <f>((((VLOOKUP(B390,Database!$A:$AS,MATCH($C$1,Database!$A$1:$AS$1,),))))-(((VLOOKUP(EDATE(B390,-12),Database!$A:$AS,MATCH($C$1,Database!$A$1:$AS$1,),)))))/(((VLOOKUP(EDATE(B390,-12),Database!$A:$AS,MATCH($C$1,Database!$A$1:$AS$1,),))))</f>
        <v>-7.0236378172883154E-2</v>
      </c>
      <c r="D390" s="13">
        <f>((((VLOOKUP(B390,Database!$A:$AS,MATCH($D$1,Database!$A$1:$AS$1,),))))-(((VLOOKUP(EDATE(B390,-12),Database!$A:$AS,MATCH($D$1,Database!$A$1:$AS$1,),)))))/(((VLOOKUP(EDATE(B390,-12),Database!$A:$AS,MATCH($D$1,Database!$A$1:$AS$1,),))))</f>
        <v>-7.1359691417550677E-2</v>
      </c>
      <c r="E390" s="13">
        <f>((((VLOOKUP(B390,Database!$A:$AS,MATCH($E$1,Database!$A$1:$AS$1,),))))-(((VLOOKUP(EDATE(B390,-12),Database!$A:$AS,MATCH($E$1,Database!$A$1:$AS$1,),)))))/(((VLOOKUP(EDATE(B390,-12),Database!$A:$AS,MATCH($E$1,Database!$A$1:$AS$1,),))))</f>
        <v>-0.14145383104071685</v>
      </c>
      <c r="F390" s="13">
        <f>((((VLOOKUP(B390,Database!$A:$AS,MATCH($F$1,Database!$A$1:$AS$1,),))))-(((VLOOKUP(EDATE(B390,-12),Database!$A:$AS,MATCH($F$1,Database!$A$1:$AS$1,),)))))/(((VLOOKUP(EDATE(B390,-12),Database!$A:$AS,MATCH($F$1,Database!$A$1:$AS$1,),))))</f>
        <v>-0.11242603550149952</v>
      </c>
      <c r="G390" s="13">
        <f>((((VLOOKUP(B390,Database!$A:$AS,MATCH($G$1,Database!$A$1:$AS$1,),))))-(((VLOOKUP(EDATE(B390,-12),Database!$A:$AS,MATCH($G$1,Database!$A$1:$AS$1,),)))))/(((VLOOKUP(EDATE(B390,-12),Database!$A:$AS,MATCH($G$1,Database!$A$1:$AS$1,),))))</f>
        <v>-9.1844585497210973E-2</v>
      </c>
      <c r="H390" s="13">
        <f>((((VLOOKUP(B390,Database!$A:$AS,MATCH($H$1,Database!$A$1:$AS$1,),))))-(((VLOOKUP(EDATE(B390,-12),Database!$A:$AS,MATCH($H$1,Database!$A$1:$AS$1,),)))))/(((VLOOKUP(EDATE(B390,-12),Database!$A:$AS,MATCH($H$1,Database!$A$1:$AS$1,),))))</f>
        <v>-7.3073073078271961E-2</v>
      </c>
      <c r="I390" s="13">
        <f>((((VLOOKUP(B390,Database!$A:$AS,MATCH($I$1,Database!$A$1:$AS$1,),))))-(((VLOOKUP(EDATE(B390,-12),Database!$A:$AS,MATCH($I$1,Database!$A$1:$AS$1,),)))))/(((VLOOKUP(EDATE(B390,-12),Database!$A:$AS,MATCH($I$1,Database!$A$1:$AS$1,),))))</f>
        <v>-7.8228086711014541E-2</v>
      </c>
      <c r="J390" s="13">
        <f>((((VLOOKUP(B390,Database!$A:$AS,MATCH($J$1,Database!$A$1:$AS$1,),))))-(((VLOOKUP(EDATE(B390,-12),Database!$A:$AS,MATCH($J$1,Database!$A$1:$AS$1,),)))))/(((VLOOKUP(EDATE(B390,-12),Database!$A:$AS,MATCH($J$1,Database!$A$1:$AS$1,),))))</f>
        <v>-6.5417748188065075E-2</v>
      </c>
      <c r="K390" s="13">
        <f>((((VLOOKUP(B390,Database!$A:$AS,MATCH($K$1,Database!$A$1:$AS$1,),))))-(((VLOOKUP(EDATE(B390,-12),Database!$A:$AS,MATCH($K$1,Database!$A$1:$AS$1,),)))))/(((VLOOKUP(EDATE(B390,-12),Database!$A:$AS,MATCH($K$1,Database!$A$1:$AS$1,),))))</f>
        <v>-8.3259521695473918E-2</v>
      </c>
      <c r="L390" s="13"/>
      <c r="M390" s="13"/>
      <c r="N390" s="13"/>
      <c r="O390" s="13">
        <f>((((VLOOKUP(B390,Database!$A:$AS,MATCH($O$1,Database!$A$1:$AS$1,),))))-(((VLOOKUP(EDATE(B390,-12),Database!$A:$AS,MATCH($O$1,Database!$A$1:$AS$1,),)))))/(((VLOOKUP(EDATE(B390,-12),Database!$A:$AS,MATCH($O$1,Database!$A$1:$AS$1,),))))</f>
        <v>-7.9854760226839225E-2</v>
      </c>
      <c r="P390" s="13">
        <f>((((VLOOKUP(B390,Database!$A:$AS,MATCH($P$1,Database!$A$1:$AS$1,),))))-(((VLOOKUP(EDATE(B390,-12),Database!$A:$AS,MATCH($P$1,Database!$A$1:$AS$1,),)))))/(((VLOOKUP(EDATE(B390,-12),Database!$A:$AS,MATCH($P$1,Database!$A$1:$AS$1,),))))</f>
        <v>-2.9465930013345451E-2</v>
      </c>
      <c r="Q390" s="13">
        <f>((((VLOOKUP(B390,Database!$A:$AS,MATCH($Q$1,Database!$A$1:$AS$1,),))))-(((VLOOKUP(EDATE(B390,-12),Database!$A:$AS,MATCH($Q$1,Database!$A$1:$AS$1,),)))))/(((VLOOKUP(EDATE(B390,-12),Database!$A:$AS,MATCH($Q$1,Database!$A$1:$AS$1,),))))</f>
        <v>-2.3174971029969089E-2</v>
      </c>
      <c r="R390" s="13">
        <f>((((VLOOKUP(B390,Database!$A:$AS,MATCH($R$1,Database!$A$1:$AS$1,),))))-(((VLOOKUP(EDATE(B390,-12),Database!$A:$AS,MATCH($R$1,Database!$A$1:$AS$1,),)))))/(((VLOOKUP(EDATE(B390,-12),Database!$A:$AS,MATCH($R$1,Database!$A$1:$AS$1,),))))</f>
        <v>-9.3632958533793563E-4</v>
      </c>
      <c r="S390" s="13">
        <f>((((VLOOKUP(B390,Database!$A:$AS,MATCH($S$1,Database!$A$1:$AS$1,),))))-(((VLOOKUP(EDATE(B390,-12),Database!$A:$AS,MATCH($S$1,Database!$A$1:$AS$1,),)))))/(((VLOOKUP(EDATE(B390,-12),Database!$A:$AS,MATCH($S$1,Database!$A$1:$AS$1,),))))</f>
        <v>0.12539515280020724</v>
      </c>
      <c r="T390" s="13">
        <f>((((VLOOKUP(B390,Database!$A:$AS,MATCH($T$1,Database!$A$1:$AS$1,),))))-(((VLOOKUP(EDATE(B390,-12),Database!$A:$AS,MATCH($T$1,Database!$A$1:$AS$1,),)))))/(((VLOOKUP(EDATE(B390,-12),Database!$A:$AS,MATCH($T$1,Database!$A$1:$AS$1,),))))</f>
        <v>5.0566695728556259E-2</v>
      </c>
      <c r="U390" s="13">
        <f>((((VLOOKUP(B390,Database!$A:$AS,MATCH($U$1,Database!$A$1:$AS$1,),))))-(((VLOOKUP(EDATE(B390,-12),Database!$A:$AS,MATCH($U$1,Database!$A$1:$AS$1,),)))))/(((VLOOKUP(EDATE(B390,-12),Database!$A:$AS,MATCH($U$1,Database!$A$1:$AS$1,),))))</f>
        <v>-4.9733570166815587E-2</v>
      </c>
      <c r="V390" s="13">
        <f>((((VLOOKUP(B390,Database!$A:$AS,MATCH($V$1,Database!$A$1:$AS$1,),))))-(((VLOOKUP(EDATE(B390,-12),Database!$A:$AS,MATCH($V$1,Database!$A$1:$AS$1,),)))))/(((VLOOKUP(EDATE(B390,-12),Database!$A:$AS,MATCH($V$1,Database!$A$1:$AS$1,),))))</f>
        <v>1.1494252873563265E-2</v>
      </c>
    </row>
    <row r="391" spans="2:22" s="83" customFormat="1" x14ac:dyDescent="0.2">
      <c r="B391" s="78">
        <v>44044</v>
      </c>
      <c r="C391" s="13">
        <f>((((VLOOKUP(B391,Database!$A:$AS,MATCH($C$1,Database!$A$1:$AS$1,),))))-(((VLOOKUP(EDATE(B391,-12),Database!$A:$AS,MATCH($C$1,Database!$A$1:$AS$1,),)))))/(((VLOOKUP(EDATE(B391,-12),Database!$A:$AS,MATCH($C$1,Database!$A$1:$AS$1,),))))</f>
        <v>-6.6178976746601462E-2</v>
      </c>
      <c r="D391" s="13">
        <f>((((VLOOKUP(B391,Database!$A:$AS,MATCH($D$1,Database!$A$1:$AS$1,),))))-(((VLOOKUP(EDATE(B391,-12),Database!$A:$AS,MATCH($D$1,Database!$A$1:$AS$1,),)))))/(((VLOOKUP(EDATE(B391,-12),Database!$A:$AS,MATCH($D$1,Database!$A$1:$AS$1,),))))</f>
        <v>-6.538461538461536E-2</v>
      </c>
      <c r="E391" s="13">
        <f>((((VLOOKUP(B391,Database!$A:$AS,MATCH($E$1,Database!$A$1:$AS$1,),))))-(((VLOOKUP(EDATE(B391,-12),Database!$A:$AS,MATCH($E$1,Database!$A$1:$AS$1,),)))))/(((VLOOKUP(EDATE(B391,-12),Database!$A:$AS,MATCH($E$1,Database!$A$1:$AS$1,),))))</f>
        <v>-0.10547263681306887</v>
      </c>
      <c r="F391" s="13">
        <f>((((VLOOKUP(B391,Database!$A:$AS,MATCH($F$1,Database!$A$1:$AS$1,),))))-(((VLOOKUP(EDATE(B391,-12),Database!$A:$AS,MATCH($F$1,Database!$A$1:$AS$1,),)))))/(((VLOOKUP(EDATE(B391,-12),Database!$A:$AS,MATCH($F$1,Database!$A$1:$AS$1,),))))</f>
        <v>-0.11799410029199743</v>
      </c>
      <c r="G391" s="13">
        <f>((((VLOOKUP(B391,Database!$A:$AS,MATCH($G$1,Database!$A$1:$AS$1,),))))-(((VLOOKUP(EDATE(B391,-12),Database!$A:$AS,MATCH($G$1,Database!$A$1:$AS$1,),)))))/(((VLOOKUP(EDATE(B391,-12),Database!$A:$AS,MATCH($G$1,Database!$A$1:$AS$1,),))))</f>
        <v>-7.1539657853810265E-2</v>
      </c>
      <c r="H391" s="13">
        <f>((((VLOOKUP(B391,Database!$A:$AS,MATCH($H$1,Database!$A$1:$AS$1,),))))-(((VLOOKUP(EDATE(B391,-12),Database!$A:$AS,MATCH($H$1,Database!$A$1:$AS$1,),)))))/(((VLOOKUP(EDATE(B391,-12),Database!$A:$AS,MATCH($H$1,Database!$A$1:$AS$1,),))))</f>
        <v>-5.0505050511976117E-2</v>
      </c>
      <c r="I391" s="13">
        <f>((((VLOOKUP(B391,Database!$A:$AS,MATCH($I$1,Database!$A$1:$AS$1,),))))-(((VLOOKUP(EDATE(B391,-12),Database!$A:$AS,MATCH($I$1,Database!$A$1:$AS$1,),)))))/(((VLOOKUP(EDATE(B391,-12),Database!$A:$AS,MATCH($I$1,Database!$A$1:$AS$1,),))))</f>
        <v>-6.635071094522005E-3</v>
      </c>
      <c r="J391" s="13">
        <f>((((VLOOKUP(B391,Database!$A:$AS,MATCH($J$1,Database!$A$1:$AS$1,),))))-(((VLOOKUP(EDATE(B391,-12),Database!$A:$AS,MATCH($J$1,Database!$A$1:$AS$1,),)))))/(((VLOOKUP(EDATE(B391,-12),Database!$A:$AS,MATCH($J$1,Database!$A$1:$AS$1,),))))</f>
        <v>-5.7647091881793178E-2</v>
      </c>
      <c r="K391" s="13">
        <f>((((VLOOKUP(B391,Database!$A:$AS,MATCH($K$1,Database!$A$1:$AS$1,),))))-(((VLOOKUP(EDATE(B391,-12),Database!$A:$AS,MATCH($K$1,Database!$A$1:$AS$1,),)))))/(((VLOOKUP(EDATE(B391,-12),Database!$A:$AS,MATCH($K$1,Database!$A$1:$AS$1,),))))</f>
        <v>-1.5070921981674066E-2</v>
      </c>
      <c r="L391" s="13"/>
      <c r="M391" s="13"/>
      <c r="N391" s="13"/>
      <c r="O391" s="13">
        <f>((((VLOOKUP(B391,Database!$A:$AS,MATCH($O$1,Database!$A$1:$AS$1,),))))-(((VLOOKUP(EDATE(B391,-12),Database!$A:$AS,MATCH($O$1,Database!$A$1:$AS$1,),)))))/(((VLOOKUP(EDATE(B391,-12),Database!$A:$AS,MATCH($O$1,Database!$A$1:$AS$1,),))))</f>
        <v>-8.3188020300268159E-2</v>
      </c>
      <c r="P391" s="13">
        <f>((((VLOOKUP(B391,Database!$A:$AS,MATCH($P$1,Database!$A$1:$AS$1,),))))-(((VLOOKUP(EDATE(B391,-12),Database!$A:$AS,MATCH($P$1,Database!$A$1:$AS$1,),)))))/(((VLOOKUP(EDATE(B391,-12),Database!$A:$AS,MATCH($P$1,Database!$A$1:$AS$1,),))))</f>
        <v>-6.5543071205062817E-3</v>
      </c>
      <c r="Q391" s="13">
        <f>((((VLOOKUP(B391,Database!$A:$AS,MATCH($Q$1,Database!$A$1:$AS$1,),))))-(((VLOOKUP(EDATE(B391,-12),Database!$A:$AS,MATCH($Q$1,Database!$A$1:$AS$1,),)))))/(((VLOOKUP(EDATE(B391,-12),Database!$A:$AS,MATCH($Q$1,Database!$A$1:$AS$1,),))))</f>
        <v>-6.896551721689988E-3</v>
      </c>
      <c r="R391" s="13">
        <f>((((VLOOKUP(B391,Database!$A:$AS,MATCH($R$1,Database!$A$1:$AS$1,),))))-(((VLOOKUP(EDATE(B391,-12),Database!$A:$AS,MATCH($R$1,Database!$A$1:$AS$1,),)))))/(((VLOOKUP(EDATE(B391,-12),Database!$A:$AS,MATCH($R$1,Database!$A$1:$AS$1,),))))</f>
        <v>-3.4766697156009232E-2</v>
      </c>
      <c r="S391" s="13">
        <f>((((VLOOKUP(B391,Database!$A:$AS,MATCH($S$1,Database!$A$1:$AS$1,),))))-(((VLOOKUP(EDATE(B391,-12),Database!$A:$AS,MATCH($S$1,Database!$A$1:$AS$1,),)))))/(((VLOOKUP(EDATE(B391,-12),Database!$A:$AS,MATCH($S$1,Database!$A$1:$AS$1,),))))</f>
        <v>-4.6605876390493024E-2</v>
      </c>
      <c r="T391" s="13">
        <f>((((VLOOKUP(B391,Database!$A:$AS,MATCH($T$1,Database!$A$1:$AS$1,),))))-(((VLOOKUP(EDATE(B391,-12),Database!$A:$AS,MATCH($T$1,Database!$A$1:$AS$1,),)))))/(((VLOOKUP(EDATE(B391,-12),Database!$A:$AS,MATCH($T$1,Database!$A$1:$AS$1,),))))</f>
        <v>0.103697024350958</v>
      </c>
      <c r="U391" s="13">
        <f>((((VLOOKUP(B391,Database!$A:$AS,MATCH($U$1,Database!$A$1:$AS$1,),))))-(((VLOOKUP(EDATE(B391,-12),Database!$A:$AS,MATCH($U$1,Database!$A$1:$AS$1,),)))))/(((VLOOKUP(EDATE(B391,-12),Database!$A:$AS,MATCH($U$1,Database!$A$1:$AS$1,),))))</f>
        <v>-2.0408163269290638E-2</v>
      </c>
      <c r="V391" s="13">
        <f>((((VLOOKUP(B391,Database!$A:$AS,MATCH($V$1,Database!$A$1:$AS$1,),))))-(((VLOOKUP(EDATE(B391,-12),Database!$A:$AS,MATCH($V$1,Database!$A$1:$AS$1,),)))))/(((VLOOKUP(EDATE(B391,-12),Database!$A:$AS,MATCH($V$1,Database!$A$1:$AS$1,),))))</f>
        <v>1.7427385892116135E-2</v>
      </c>
    </row>
    <row r="392" spans="2:22" s="83" customFormat="1" x14ac:dyDescent="0.2">
      <c r="B392" s="78">
        <v>44075</v>
      </c>
      <c r="C392" s="13">
        <f>((((VLOOKUP(B392,Database!$A:$AS,MATCH($C$1,Database!$A$1:$AS$1,),))))-(((VLOOKUP(EDATE(B392,-12),Database!$A:$AS,MATCH($C$1,Database!$A$1:$AS$1,),)))))/(((VLOOKUP(EDATE(B392,-12),Database!$A:$AS,MATCH($C$1,Database!$A$1:$AS$1,),))))</f>
        <v>-6.5605687575692212E-2</v>
      </c>
      <c r="D392" s="13">
        <f>((((VLOOKUP(B392,Database!$A:$AS,MATCH($D$1,Database!$A$1:$AS$1,),))))-(((VLOOKUP(EDATE(B392,-12),Database!$A:$AS,MATCH($D$1,Database!$A$1:$AS$1,),)))))/(((VLOOKUP(EDATE(B392,-12),Database!$A:$AS,MATCH($D$1,Database!$A$1:$AS$1,),))))</f>
        <v>-6.3645130183220905E-2</v>
      </c>
      <c r="E392" s="13">
        <f>((((VLOOKUP(B392,Database!$A:$AS,MATCH($E$1,Database!$A$1:$AS$1,),))))-(((VLOOKUP(EDATE(B392,-12),Database!$A:$AS,MATCH($E$1,Database!$A$1:$AS$1,),)))))/(((VLOOKUP(EDATE(B392,-12),Database!$A:$AS,MATCH($E$1,Database!$A$1:$AS$1,),))))</f>
        <v>-0.10243902439119582</v>
      </c>
      <c r="F392" s="13">
        <f>((((VLOOKUP(B392,Database!$A:$AS,MATCH($F$1,Database!$A$1:$AS$1,),))))-(((VLOOKUP(EDATE(B392,-12),Database!$A:$AS,MATCH($F$1,Database!$A$1:$AS$1,),)))))/(((VLOOKUP(EDATE(B392,-12),Database!$A:$AS,MATCH($F$1,Database!$A$1:$AS$1,),))))</f>
        <v>-8.6481113316176222E-2</v>
      </c>
      <c r="G392" s="13">
        <f>((((VLOOKUP(B392,Database!$A:$AS,MATCH($G$1,Database!$A$1:$AS$1,),))))-(((VLOOKUP(EDATE(B392,-12),Database!$A:$AS,MATCH($G$1,Database!$A$1:$AS$1,),)))))/(((VLOOKUP(EDATE(B392,-12),Database!$A:$AS,MATCH($G$1,Database!$A$1:$AS$1,),))))</f>
        <v>-6.501875541021454E-2</v>
      </c>
      <c r="H392" s="13">
        <f>((((VLOOKUP(B392,Database!$A:$AS,MATCH($H$1,Database!$A$1:$AS$1,),))))-(((VLOOKUP(EDATE(B392,-12),Database!$A:$AS,MATCH($H$1,Database!$A$1:$AS$1,),)))))/(((VLOOKUP(EDATE(B392,-12),Database!$A:$AS,MATCH($H$1,Database!$A$1:$AS$1,),))))</f>
        <v>-4.9196787148406945E-2</v>
      </c>
      <c r="I392" s="13">
        <f>((((VLOOKUP(B392,Database!$A:$AS,MATCH($I$1,Database!$A$1:$AS$1,),))))-(((VLOOKUP(EDATE(B392,-12),Database!$A:$AS,MATCH($I$1,Database!$A$1:$AS$1,),)))))/(((VLOOKUP(EDATE(B392,-12),Database!$A:$AS,MATCH($I$1,Database!$A$1:$AS$1,),))))</f>
        <v>-4.5757864639254832E-2</v>
      </c>
      <c r="J392" s="13">
        <f>((((VLOOKUP(B392,Database!$A:$AS,MATCH($J$1,Database!$A$1:$AS$1,),))))-(((VLOOKUP(EDATE(B392,-12),Database!$A:$AS,MATCH($J$1,Database!$A$1:$AS$1,),)))))/(((VLOOKUP(EDATE(B392,-12),Database!$A:$AS,MATCH($J$1,Database!$A$1:$AS$1,),))))</f>
        <v>-3.3399045746152982E-2</v>
      </c>
      <c r="K392" s="13">
        <f>((((VLOOKUP(B392,Database!$A:$AS,MATCH($K$1,Database!$A$1:$AS$1,),))))-(((VLOOKUP(EDATE(B392,-12),Database!$A:$AS,MATCH($K$1,Database!$A$1:$AS$1,),)))))/(((VLOOKUP(EDATE(B392,-12),Database!$A:$AS,MATCH($K$1,Database!$A$1:$AS$1,),))))</f>
        <v>-2.0462633446314073E-2</v>
      </c>
      <c r="L392" s="13"/>
      <c r="M392" s="13"/>
      <c r="N392" s="13"/>
      <c r="O392" s="13">
        <f>((((VLOOKUP(B392,Database!$A:$AS,MATCH($O$1,Database!$A$1:$AS$1,),))))-(((VLOOKUP(EDATE(B392,-12),Database!$A:$AS,MATCH($O$1,Database!$A$1:$AS$1,),)))))/(((VLOOKUP(EDATE(B392,-12),Database!$A:$AS,MATCH($O$1,Database!$A$1:$AS$1,),))))</f>
        <v>-6.6092862436698249E-2</v>
      </c>
      <c r="P392" s="13">
        <f>((((VLOOKUP(B392,Database!$A:$AS,MATCH($P$1,Database!$A$1:$AS$1,),))))-(((VLOOKUP(EDATE(B392,-12),Database!$A:$AS,MATCH($P$1,Database!$A$1:$AS$1,),)))))/(((VLOOKUP(EDATE(B392,-12),Database!$A:$AS,MATCH($P$1,Database!$A$1:$AS$1,),))))</f>
        <v>1.2025901945512726E-2</v>
      </c>
      <c r="Q392" s="13">
        <f>((((VLOOKUP(B392,Database!$A:$AS,MATCH($Q$1,Database!$A$1:$AS$1,),))))-(((VLOOKUP(EDATE(B392,-12),Database!$A:$AS,MATCH($Q$1,Database!$A$1:$AS$1,),)))))/(((VLOOKUP(EDATE(B392,-12),Database!$A:$AS,MATCH($Q$1,Database!$A$1:$AS$1,),))))</f>
        <v>1.9562715760003475E-2</v>
      </c>
      <c r="R392" s="13">
        <f>((((VLOOKUP(B392,Database!$A:$AS,MATCH($R$1,Database!$A$1:$AS$1,),))))-(((VLOOKUP(EDATE(B392,-12),Database!$A:$AS,MATCH($R$1,Database!$A$1:$AS$1,),)))))/(((VLOOKUP(EDATE(B392,-12),Database!$A:$AS,MATCH($R$1,Database!$A$1:$AS$1,),))))</f>
        <v>-2.3701002739822646E-2</v>
      </c>
      <c r="S392" s="13">
        <f>((((VLOOKUP(B392,Database!$A:$AS,MATCH($S$1,Database!$A$1:$AS$1,),))))-(((VLOOKUP(EDATE(B392,-12),Database!$A:$AS,MATCH($S$1,Database!$A$1:$AS$1,),)))))/(((VLOOKUP(EDATE(B392,-12),Database!$A:$AS,MATCH($S$1,Database!$A$1:$AS$1,),))))</f>
        <v>-0.15261044177436595</v>
      </c>
      <c r="T392" s="13">
        <f>((((VLOOKUP(B392,Database!$A:$AS,MATCH($T$1,Database!$A$1:$AS$1,),))))-(((VLOOKUP(EDATE(B392,-12),Database!$A:$AS,MATCH($T$1,Database!$A$1:$AS$1,),)))))/(((VLOOKUP(EDATE(B392,-12),Database!$A:$AS,MATCH($T$1,Database!$A$1:$AS$1,),))))</f>
        <v>8.3044982702164982E-2</v>
      </c>
      <c r="U392" s="13">
        <f>((((VLOOKUP(B392,Database!$A:$AS,MATCH($U$1,Database!$A$1:$AS$1,),))))-(((VLOOKUP(EDATE(B392,-12),Database!$A:$AS,MATCH($U$1,Database!$A$1:$AS$1,),)))))/(((VLOOKUP(EDATE(B392,-12),Database!$A:$AS,MATCH($U$1,Database!$A$1:$AS$1,),))))</f>
        <v>-1.6784452295953354E-2</v>
      </c>
      <c r="V392" s="13">
        <f>((((VLOOKUP(B392,Database!$A:$AS,MATCH($V$1,Database!$A$1:$AS$1,),))))-(((VLOOKUP(EDATE(B392,-12),Database!$A:$AS,MATCH($V$1,Database!$A$1:$AS$1,),)))))/(((VLOOKUP(EDATE(B392,-12),Database!$A:$AS,MATCH($V$1,Database!$A$1:$AS$1,),))))</f>
        <v>3.380049464138507E-2</v>
      </c>
    </row>
    <row r="393" spans="2:22" s="83" customFormat="1" x14ac:dyDescent="0.2">
      <c r="B393" s="78">
        <v>44105</v>
      </c>
      <c r="C393" s="13">
        <f>((((VLOOKUP(B393,Database!$A:$AS,MATCH($C$1,Database!$A$1:$AS$1,),))))-(((VLOOKUP(EDATE(B393,-12),Database!$A:$AS,MATCH($C$1,Database!$A$1:$AS$1,),)))))/(((VLOOKUP(EDATE(B393,-12),Database!$A:$AS,MATCH($C$1,Database!$A$1:$AS$1,),))))</f>
        <v>-4.7495429438594777E-2</v>
      </c>
      <c r="D393" s="13">
        <f>((((VLOOKUP(B393,Database!$A:$AS,MATCH($D$1,Database!$A$1:$AS$1,),))))-(((VLOOKUP(EDATE(B393,-12),Database!$A:$AS,MATCH($D$1,Database!$A$1:$AS$1,),)))))/(((VLOOKUP(EDATE(B393,-12),Database!$A:$AS,MATCH($D$1,Database!$A$1:$AS$1,),))))</f>
        <v>-3.3849129593810444E-2</v>
      </c>
      <c r="E393" s="13">
        <f>((((VLOOKUP(B393,Database!$A:$AS,MATCH($E$1,Database!$A$1:$AS$1,),))))-(((VLOOKUP(EDATE(B393,-12),Database!$A:$AS,MATCH($E$1,Database!$A$1:$AS$1,),)))))/(((VLOOKUP(EDATE(B393,-12),Database!$A:$AS,MATCH($E$1,Database!$A$1:$AS$1,),))))</f>
        <v>-4.6795523910352146E-2</v>
      </c>
      <c r="F393" s="13">
        <f>((((VLOOKUP(B393,Database!$A:$AS,MATCH($F$1,Database!$A$1:$AS$1,),))))-(((VLOOKUP(EDATE(B393,-12),Database!$A:$AS,MATCH($F$1,Database!$A$1:$AS$1,),)))))/(((VLOOKUP(EDATE(B393,-12),Database!$A:$AS,MATCH($F$1,Database!$A$1:$AS$1,),))))</f>
        <v>-4.3259557348791312E-2</v>
      </c>
      <c r="G393" s="13">
        <f>((((VLOOKUP(B393,Database!$A:$AS,MATCH($G$1,Database!$A$1:$AS$1,),))))-(((VLOOKUP(EDATE(B393,-12),Database!$A:$AS,MATCH($G$1,Database!$A$1:$AS$1,),)))))/(((VLOOKUP(EDATE(B393,-12),Database!$A:$AS,MATCH($G$1,Database!$A$1:$AS$1,),))))</f>
        <v>-4.3167551907291157E-2</v>
      </c>
      <c r="H393" s="13">
        <f>((((VLOOKUP(B393,Database!$A:$AS,MATCH($H$1,Database!$A$1:$AS$1,),))))-(((VLOOKUP(EDATE(B393,-12),Database!$A:$AS,MATCH($H$1,Database!$A$1:$AS$1,),)))))/(((VLOOKUP(EDATE(B393,-12),Database!$A:$AS,MATCH($H$1,Database!$A$1:$AS$1,),))))</f>
        <v>-4.5954045950890851E-2</v>
      </c>
      <c r="I393" s="13">
        <f>((((VLOOKUP(B393,Database!$A:$AS,MATCH($I$1,Database!$A$1:$AS$1,),))))-(((VLOOKUP(EDATE(B393,-12),Database!$A:$AS,MATCH($I$1,Database!$A$1:$AS$1,),)))))/(((VLOOKUP(EDATE(B393,-12),Database!$A:$AS,MATCH($I$1,Database!$A$1:$AS$1,),))))</f>
        <v>-1.9230769228734963E-2</v>
      </c>
      <c r="J393" s="13">
        <f>((((VLOOKUP(B393,Database!$A:$AS,MATCH($J$1,Database!$A$1:$AS$1,),))))-(((VLOOKUP(EDATE(B393,-12),Database!$A:$AS,MATCH($J$1,Database!$A$1:$AS$1,),)))))/(((VLOOKUP(EDATE(B393,-12),Database!$A:$AS,MATCH($J$1,Database!$A$1:$AS$1,),))))</f>
        <v>-1.5769319573313602E-2</v>
      </c>
      <c r="K393" s="13">
        <f>((((VLOOKUP(B393,Database!$A:$AS,MATCH($K$1,Database!$A$1:$AS$1,),))))-(((VLOOKUP(EDATE(B393,-12),Database!$A:$AS,MATCH($K$1,Database!$A$1:$AS$1,),)))))/(((VLOOKUP(EDATE(B393,-12),Database!$A:$AS,MATCH($K$1,Database!$A$1:$AS$1,),))))</f>
        <v>-5.4249547905230646E-3</v>
      </c>
      <c r="L393" s="13"/>
      <c r="M393" s="13"/>
      <c r="N393" s="13"/>
      <c r="O393" s="13">
        <f>((((VLOOKUP(B393,Database!$A:$AS,MATCH($O$1,Database!$A$1:$AS$1,),))))-(((VLOOKUP(EDATE(B393,-12),Database!$A:$AS,MATCH($O$1,Database!$A$1:$AS$1,),)))))/(((VLOOKUP(EDATE(B393,-12),Database!$A:$AS,MATCH($O$1,Database!$A$1:$AS$1,),))))</f>
        <v>-7.3255662827435591E-2</v>
      </c>
      <c r="P393" s="13">
        <f>((((VLOOKUP(B393,Database!$A:$AS,MATCH($P$1,Database!$A$1:$AS$1,),))))-(((VLOOKUP(EDATE(B393,-12),Database!$A:$AS,MATCH($P$1,Database!$A$1:$AS$1,),)))))/(((VLOOKUP(EDATE(B393,-12),Database!$A:$AS,MATCH($P$1,Database!$A$1:$AS$1,),))))</f>
        <v>1.7773620207103862E-2</v>
      </c>
      <c r="Q393" s="13">
        <f>((((VLOOKUP(B393,Database!$A:$AS,MATCH($Q$1,Database!$A$1:$AS$1,),))))-(((VLOOKUP(EDATE(B393,-12),Database!$A:$AS,MATCH($Q$1,Database!$A$1:$AS$1,),)))))/(((VLOOKUP(EDATE(B393,-12),Database!$A:$AS,MATCH($Q$1,Database!$A$1:$AS$1,),))))</f>
        <v>1.0192525482804743E-2</v>
      </c>
      <c r="R393" s="13">
        <f>((((VLOOKUP(B393,Database!$A:$AS,MATCH($R$1,Database!$A$1:$AS$1,),))))-(((VLOOKUP(EDATE(B393,-12),Database!$A:$AS,MATCH($R$1,Database!$A$1:$AS$1,),)))))/(((VLOOKUP(EDATE(B393,-12),Database!$A:$AS,MATCH($R$1,Database!$A$1:$AS$1,),))))</f>
        <v>-3.3550792178012337E-2</v>
      </c>
      <c r="S393" s="13">
        <f>((((VLOOKUP(B393,Database!$A:$AS,MATCH($S$1,Database!$A$1:$AS$1,),))))-(((VLOOKUP(EDATE(B393,-12),Database!$A:$AS,MATCH($S$1,Database!$A$1:$AS$1,),)))))/(((VLOOKUP(EDATE(B393,-12),Database!$A:$AS,MATCH($S$1,Database!$A$1:$AS$1,),))))</f>
        <v>-0.15073529411284917</v>
      </c>
      <c r="T393" s="13">
        <f>((((VLOOKUP(B393,Database!$A:$AS,MATCH($T$1,Database!$A$1:$AS$1,),))))-(((VLOOKUP(EDATE(B393,-12),Database!$A:$AS,MATCH($T$1,Database!$A$1:$AS$1,),)))))/(((VLOOKUP(EDATE(B393,-12),Database!$A:$AS,MATCH($T$1,Database!$A$1:$AS$1,),))))</f>
        <v>0.10341805434173354</v>
      </c>
      <c r="U393" s="13">
        <f>((((VLOOKUP(B393,Database!$A:$AS,MATCH($U$1,Database!$A$1:$AS$1,),))))-(((VLOOKUP(EDATE(B393,-12),Database!$A:$AS,MATCH($U$1,Database!$A$1:$AS$1,),)))))/(((VLOOKUP(EDATE(B393,-12),Database!$A:$AS,MATCH($U$1,Database!$A$1:$AS$1,),))))</f>
        <v>1.3345195732609035E-2</v>
      </c>
      <c r="V393" s="13">
        <f>((((VLOOKUP(B393,Database!$A:$AS,MATCH($V$1,Database!$A$1:$AS$1,),))))-(((VLOOKUP(EDATE(B393,-12),Database!$A:$AS,MATCH($V$1,Database!$A$1:$AS$1,),)))))/(((VLOOKUP(EDATE(B393,-12),Database!$A:$AS,MATCH($V$1,Database!$A$1:$AS$1,),))))</f>
        <v>3.2626427406199025E-2</v>
      </c>
    </row>
    <row r="394" spans="2:22" s="83" customFormat="1" x14ac:dyDescent="0.2">
      <c r="B394" s="78">
        <v>44136</v>
      </c>
      <c r="C394" s="13">
        <f>((((VLOOKUP(B394,Database!$A:$AS,MATCH($C$1,Database!$A$1:$AS$1,),))))-(((VLOOKUP(EDATE(B394,-12),Database!$A:$AS,MATCH($C$1,Database!$A$1:$AS$1,),)))))/(((VLOOKUP(EDATE(B394,-12),Database!$A:$AS,MATCH($C$1,Database!$A$1:$AS$1,),))))</f>
        <v>-4.7326341636220459E-2</v>
      </c>
      <c r="D394" s="13">
        <f>((((VLOOKUP(B394,Database!$A:$AS,MATCH($D$1,Database!$A$1:$AS$1,),))))-(((VLOOKUP(EDATE(B394,-12),Database!$A:$AS,MATCH($D$1,Database!$A$1:$AS$1,),)))))/(((VLOOKUP(EDATE(B394,-12),Database!$A:$AS,MATCH($D$1,Database!$A$1:$AS$1,),))))</f>
        <v>-7.7821011673151474E-3</v>
      </c>
      <c r="E394" s="13">
        <f>((((VLOOKUP(B394,Database!$A:$AS,MATCH($E$1,Database!$A$1:$AS$1,),))))-(((VLOOKUP(EDATE(B394,-12),Database!$A:$AS,MATCH($E$1,Database!$A$1:$AS$1,),)))))/(((VLOOKUP(EDATE(B394,-12),Database!$A:$AS,MATCH($E$1,Database!$A$1:$AS$1,),))))</f>
        <v>-3.7871033783332335E-2</v>
      </c>
      <c r="F394" s="13">
        <f>((((VLOOKUP(B394,Database!$A:$AS,MATCH($F$1,Database!$A$1:$AS$1,),))))-(((VLOOKUP(EDATE(B394,-12),Database!$A:$AS,MATCH($F$1,Database!$A$1:$AS$1,),)))))/(((VLOOKUP(EDATE(B394,-12),Database!$A:$AS,MATCH($F$1,Database!$A$1:$AS$1,),))))</f>
        <v>-3.6036036035945893E-2</v>
      </c>
      <c r="G394" s="13">
        <f>((((VLOOKUP(B394,Database!$A:$AS,MATCH($G$1,Database!$A$1:$AS$1,),))))-(((VLOOKUP(EDATE(B394,-12),Database!$A:$AS,MATCH($G$1,Database!$A$1:$AS$1,),)))))/(((VLOOKUP(EDATE(B394,-12),Database!$A:$AS,MATCH($G$1,Database!$A$1:$AS$1,),))))</f>
        <v>-4.8450921725702117E-2</v>
      </c>
      <c r="H394" s="13">
        <f>((((VLOOKUP(B394,Database!$A:$AS,MATCH($H$1,Database!$A$1:$AS$1,),))))-(((VLOOKUP(EDATE(B394,-12),Database!$A:$AS,MATCH($H$1,Database!$A$1:$AS$1,),)))))/(((VLOOKUP(EDATE(B394,-12),Database!$A:$AS,MATCH($H$1,Database!$A$1:$AS$1,),))))</f>
        <v>-2.8197381669004876E-2</v>
      </c>
      <c r="I394" s="13">
        <f>((((VLOOKUP(B394,Database!$A:$AS,MATCH($I$1,Database!$A$1:$AS$1,),))))-(((VLOOKUP(EDATE(B394,-12),Database!$A:$AS,MATCH($I$1,Database!$A$1:$AS$1,),)))))/(((VLOOKUP(EDATE(B394,-12),Database!$A:$AS,MATCH($I$1,Database!$A$1:$AS$1,),))))</f>
        <v>-3.915950334477291E-2</v>
      </c>
      <c r="J394" s="13">
        <f>((((VLOOKUP(B394,Database!$A:$AS,MATCH($J$1,Database!$A$1:$AS$1,),))))-(((VLOOKUP(EDATE(B394,-12),Database!$A:$AS,MATCH($J$1,Database!$A$1:$AS$1,),)))))/(((VLOOKUP(EDATE(B394,-12),Database!$A:$AS,MATCH($J$1,Database!$A$1:$AS$1,),))))</f>
        <v>-3.9306194020758342E-2</v>
      </c>
      <c r="K394" s="13">
        <f>((((VLOOKUP(B394,Database!$A:$AS,MATCH($K$1,Database!$A$1:$AS$1,),))))-(((VLOOKUP(EDATE(B394,-12),Database!$A:$AS,MATCH($K$1,Database!$A$1:$AS$1,),)))))/(((VLOOKUP(EDATE(B394,-12),Database!$A:$AS,MATCH($K$1,Database!$A$1:$AS$1,),))))</f>
        <v>-1.779359430114268E-2</v>
      </c>
      <c r="L394" s="13"/>
      <c r="M394" s="13"/>
      <c r="N394" s="13"/>
      <c r="O394" s="13">
        <f>((((VLOOKUP(B394,Database!$A:$AS,MATCH($O$1,Database!$A$1:$AS$1,),))))-(((VLOOKUP(EDATE(B394,-12),Database!$A:$AS,MATCH($O$1,Database!$A$1:$AS$1,),)))))/(((VLOOKUP(EDATE(B394,-12),Database!$A:$AS,MATCH($O$1,Database!$A$1:$AS$1,),))))</f>
        <v>-4.3238563997207539E-2</v>
      </c>
      <c r="P394" s="13">
        <f>((((VLOOKUP(B394,Database!$A:$AS,MATCH($P$1,Database!$A$1:$AS$1,),))))-(((VLOOKUP(EDATE(B394,-12),Database!$A:$AS,MATCH($P$1,Database!$A$1:$AS$1,),)))))/(((VLOOKUP(EDATE(B394,-12),Database!$A:$AS,MATCH($P$1,Database!$A$1:$AS$1,),))))</f>
        <v>1.579925651366134E-2</v>
      </c>
      <c r="Q394" s="13">
        <f>((((VLOOKUP(B394,Database!$A:$AS,MATCH($Q$1,Database!$A$1:$AS$1,),))))-(((VLOOKUP(EDATE(B394,-12),Database!$A:$AS,MATCH($Q$1,Database!$A$1:$AS$1,),)))))/(((VLOOKUP(EDATE(B394,-12),Database!$A:$AS,MATCH($Q$1,Database!$A$1:$AS$1,),))))</f>
        <v>3.6951501159167011E-2</v>
      </c>
      <c r="R394" s="13">
        <f>((((VLOOKUP(B394,Database!$A:$AS,MATCH($R$1,Database!$A$1:$AS$1,),))))-(((VLOOKUP(EDATE(B394,-12),Database!$A:$AS,MATCH($R$1,Database!$A$1:$AS$1,),)))))/(((VLOOKUP(EDATE(B394,-12),Database!$A:$AS,MATCH($R$1,Database!$A$1:$AS$1,),))))</f>
        <v>8.9303238469212703E-2</v>
      </c>
      <c r="S394" s="13">
        <f>((((VLOOKUP(B394,Database!$A:$AS,MATCH($S$1,Database!$A$1:$AS$1,),))))-(((VLOOKUP(EDATE(B394,-12),Database!$A:$AS,MATCH($S$1,Database!$A$1:$AS$1,),)))))/(((VLOOKUP(EDATE(B394,-12),Database!$A:$AS,MATCH($S$1,Database!$A$1:$AS$1,),))))</f>
        <v>0.39069264069093074</v>
      </c>
      <c r="T394" s="13">
        <f>((((VLOOKUP(B394,Database!$A:$AS,MATCH($T$1,Database!$A$1:$AS$1,),))))-(((VLOOKUP(EDATE(B394,-12),Database!$A:$AS,MATCH($T$1,Database!$A$1:$AS$1,),)))))/(((VLOOKUP(EDATE(B394,-12),Database!$A:$AS,MATCH($T$1,Database!$A$1:$AS$1,),))))</f>
        <v>0.10745233968104245</v>
      </c>
      <c r="U394" s="13">
        <f>((((VLOOKUP(B394,Database!$A:$AS,MATCH($U$1,Database!$A$1:$AS$1,),))))-(((VLOOKUP(EDATE(B394,-12),Database!$A:$AS,MATCH($U$1,Database!$A$1:$AS$1,),)))))/(((VLOOKUP(EDATE(B394,-12),Database!$A:$AS,MATCH($U$1,Database!$A$1:$AS$1,),))))</f>
        <v>2.246181491677663E-2</v>
      </c>
      <c r="V394" s="13">
        <f>((((VLOOKUP(B394,Database!$A:$AS,MATCH($V$1,Database!$A$1:$AS$1,),))))-(((VLOOKUP(EDATE(B394,-12),Database!$A:$AS,MATCH($V$1,Database!$A$1:$AS$1,),)))))/(((VLOOKUP(EDATE(B394,-12),Database!$A:$AS,MATCH($V$1,Database!$A$1:$AS$1,),))))</f>
        <v>2.8203062046736505E-2</v>
      </c>
    </row>
    <row r="395" spans="2:22" s="83" customFormat="1" x14ac:dyDescent="0.2">
      <c r="B395" s="78">
        <v>44166</v>
      </c>
      <c r="C395" s="13">
        <f>((((VLOOKUP(B395,Database!$A:$AS,MATCH($C$1,Database!$A$1:$AS$1,),))))-(((VLOOKUP(EDATE(B395,-12),Database!$A:$AS,MATCH($C$1,Database!$A$1:$AS$1,),)))))/(((VLOOKUP(EDATE(B395,-12),Database!$A:$AS,MATCH($C$1,Database!$A$1:$AS$1,),))))</f>
        <v>-3.2794419094867786E-2</v>
      </c>
      <c r="D395" s="13">
        <f>((((VLOOKUP(B395,Database!$A:$AS,MATCH($D$1,Database!$A$1:$AS$1,),))))-(((VLOOKUP(EDATE(B395,-12),Database!$A:$AS,MATCH($D$1,Database!$A$1:$AS$1,),)))))/(((VLOOKUP(EDATE(B395,-12),Database!$A:$AS,MATCH($D$1,Database!$A$1:$AS$1,),))))</f>
        <v>5.917159763313553E-3</v>
      </c>
      <c r="E395" s="13">
        <f>((((VLOOKUP(B395,Database!$A:$AS,MATCH($E$1,Database!$A$1:$AS$1,),))))-(((VLOOKUP(EDATE(B395,-12),Database!$A:$AS,MATCH($E$1,Database!$A$1:$AS$1,),)))))/(((VLOOKUP(EDATE(B395,-12),Database!$A:$AS,MATCH($E$1,Database!$A$1:$AS$1,),))))</f>
        <v>-3.7832310834817653E-2</v>
      </c>
      <c r="F395" s="13">
        <f>((((VLOOKUP(B395,Database!$A:$AS,MATCH($F$1,Database!$A$1:$AS$1,),))))-(((VLOOKUP(EDATE(B395,-12),Database!$A:$AS,MATCH($F$1,Database!$A$1:$AS$1,),)))))/(((VLOOKUP(EDATE(B395,-12),Database!$A:$AS,MATCH($F$1,Database!$A$1:$AS$1,),))))</f>
        <v>-5.0916496964612014E-3</v>
      </c>
      <c r="G395" s="13">
        <f>((((VLOOKUP(B395,Database!$A:$AS,MATCH($G$1,Database!$A$1:$AS$1,),))))-(((VLOOKUP(EDATE(B395,-12),Database!$A:$AS,MATCH($G$1,Database!$A$1:$AS$1,),)))))/(((VLOOKUP(EDATE(B395,-12),Database!$A:$AS,MATCH($G$1,Database!$A$1:$AS$1,),))))</f>
        <v>-2.9862553149411612E-2</v>
      </c>
      <c r="H395" s="13">
        <f>((((VLOOKUP(B395,Database!$A:$AS,MATCH($H$1,Database!$A$1:$AS$1,),))))-(((VLOOKUP(EDATE(B395,-12),Database!$A:$AS,MATCH($H$1,Database!$A$1:$AS$1,),)))))/(((VLOOKUP(EDATE(B395,-12),Database!$A:$AS,MATCH($H$1,Database!$A$1:$AS$1,),))))</f>
        <v>-2.6289180983038153E-2</v>
      </c>
      <c r="I395" s="13">
        <f>((((VLOOKUP(B395,Database!$A:$AS,MATCH($I$1,Database!$A$1:$AS$1,),))))-(((VLOOKUP(EDATE(B395,-12),Database!$A:$AS,MATCH($I$1,Database!$A$1:$AS$1,),)))))/(((VLOOKUP(EDATE(B395,-12),Database!$A:$AS,MATCH($I$1,Database!$A$1:$AS$1,),))))</f>
        <v>-1.0794896958071469E-2</v>
      </c>
      <c r="J395" s="13">
        <f>((((VLOOKUP(B395,Database!$A:$AS,MATCH($J$1,Database!$A$1:$AS$1,),))))-(((VLOOKUP(EDATE(B395,-12),Database!$A:$AS,MATCH($J$1,Database!$A$1:$AS$1,),)))))/(((VLOOKUP(EDATE(B395,-12),Database!$A:$AS,MATCH($J$1,Database!$A$1:$AS$1,),))))</f>
        <v>-1.1945722348977257E-2</v>
      </c>
      <c r="K395" s="13">
        <f>((((VLOOKUP(B395,Database!$A:$AS,MATCH($K$1,Database!$A$1:$AS$1,),))))-(((VLOOKUP(EDATE(B395,-12),Database!$A:$AS,MATCH($K$1,Database!$A$1:$AS$1,),)))))/(((VLOOKUP(EDATE(B395,-12),Database!$A:$AS,MATCH($K$1,Database!$A$1:$AS$1,),))))</f>
        <v>1.1775362315534381E-2</v>
      </c>
      <c r="L395" s="13"/>
      <c r="M395" s="13"/>
      <c r="N395" s="13"/>
      <c r="O395" s="13">
        <f>((((VLOOKUP(B395,Database!$A:$AS,MATCH($O$1,Database!$A$1:$AS$1,),))))-(((VLOOKUP(EDATE(B395,-12),Database!$A:$AS,MATCH($O$1,Database!$A$1:$AS$1,),)))))/(((VLOOKUP(EDATE(B395,-12),Database!$A:$AS,MATCH($O$1,Database!$A$1:$AS$1,),))))</f>
        <v>-2.4714132223539353E-2</v>
      </c>
      <c r="P395" s="13">
        <f>((((VLOOKUP(B395,Database!$A:$AS,MATCH($P$1,Database!$A$1:$AS$1,),))))-(((VLOOKUP(EDATE(B395,-12),Database!$A:$AS,MATCH($P$1,Database!$A$1:$AS$1,),)))))/(((VLOOKUP(EDATE(B395,-12),Database!$A:$AS,MATCH($P$1,Database!$A$1:$AS$1,),))))</f>
        <v>8.9847259603602018E-3</v>
      </c>
      <c r="Q395" s="13">
        <f>((((VLOOKUP(B395,Database!$A:$AS,MATCH($Q$1,Database!$A$1:$AS$1,),))))-(((VLOOKUP(EDATE(B395,-12),Database!$A:$AS,MATCH($Q$1,Database!$A$1:$AS$1,),)))))/(((VLOOKUP(EDATE(B395,-12),Database!$A:$AS,MATCH($Q$1,Database!$A$1:$AS$1,),))))</f>
        <v>5.2386495922614504E-2</v>
      </c>
      <c r="R395" s="13">
        <f>((((VLOOKUP(B395,Database!$A:$AS,MATCH($R$1,Database!$A$1:$AS$1,),))))-(((VLOOKUP(EDATE(B395,-12),Database!$A:$AS,MATCH($R$1,Database!$A$1:$AS$1,),)))))/(((VLOOKUP(EDATE(B395,-12),Database!$A:$AS,MATCH($R$1,Database!$A$1:$AS$1,),))))</f>
        <v>4.425612052302829E-2</v>
      </c>
      <c r="S395" s="13">
        <f>((((VLOOKUP(B395,Database!$A:$AS,MATCH($S$1,Database!$A$1:$AS$1,),))))-(((VLOOKUP(EDATE(B395,-12),Database!$A:$AS,MATCH($S$1,Database!$A$1:$AS$1,),)))))/(((VLOOKUP(EDATE(B395,-12),Database!$A:$AS,MATCH($S$1,Database!$A$1:$AS$1,),))))</f>
        <v>0.34026258206229099</v>
      </c>
      <c r="T395" s="13">
        <f>((((VLOOKUP(B395,Database!$A:$AS,MATCH($T$1,Database!$A$1:$AS$1,),))))-(((VLOOKUP(EDATE(B395,-12),Database!$A:$AS,MATCH($T$1,Database!$A$1:$AS$1,),)))))/(((VLOOKUP(EDATE(B395,-12),Database!$A:$AS,MATCH($T$1,Database!$A$1:$AS$1,),))))</f>
        <v>9.7623089987353445E-2</v>
      </c>
      <c r="U395" s="13">
        <f>((((VLOOKUP(B395,Database!$A:$AS,MATCH($U$1,Database!$A$1:$AS$1,),))))-(((VLOOKUP(EDATE(B395,-12),Database!$A:$AS,MATCH($U$1,Database!$A$1:$AS$1,),)))))/(((VLOOKUP(EDATE(B395,-12),Database!$A:$AS,MATCH($U$1,Database!$A$1:$AS$1,),))))</f>
        <v>2.8079710150130159E-2</v>
      </c>
      <c r="V395" s="13">
        <f>((((VLOOKUP(B395,Database!$A:$AS,MATCH($V$1,Database!$A$1:$AS$1,),))))-(((VLOOKUP(EDATE(B395,-12),Database!$A:$AS,MATCH($V$1,Database!$A$1:$AS$1,),)))))/(((VLOOKUP(EDATE(B395,-12),Database!$A:$AS,MATCH($V$1,Database!$A$1:$AS$1,),))))</f>
        <v>6.1359867330016631E-2</v>
      </c>
    </row>
    <row r="396" spans="2:22" s="83" customFormat="1" x14ac:dyDescent="0.2">
      <c r="B396" s="78">
        <v>44197</v>
      </c>
      <c r="C396" s="13">
        <f>((((VLOOKUP(B396,Database!$A:$AS,MATCH($C$1,Database!$A$1:$AS$1,),))))-(((VLOOKUP(EDATE(B396,-12),Database!$A:$AS,MATCH($C$1,Database!$A$1:$AS$1,),)))))/(((VLOOKUP(EDATE(B396,-12),Database!$A:$AS,MATCH($C$1,Database!$A$1:$AS$1,),))))</f>
        <v>-1.6660104976215468E-2</v>
      </c>
      <c r="D396" s="13">
        <f>((((VLOOKUP(B396,Database!$A:$AS,MATCH($D$1,Database!$A$1:$AS$1,),))))-(((VLOOKUP(EDATE(B396,-12),Database!$A:$AS,MATCH($D$1,Database!$A$1:$AS$1,),)))))/(((VLOOKUP(EDATE(B396,-12),Database!$A:$AS,MATCH($D$1,Database!$A$1:$AS$1,),))))</f>
        <v>0</v>
      </c>
      <c r="E396" s="13">
        <f>((((VLOOKUP(B396,Database!$A:$AS,MATCH($E$1,Database!$A$1:$AS$1,),))))-(((VLOOKUP(EDATE(B396,-12),Database!$A:$AS,MATCH($E$1,Database!$A$1:$AS$1,),)))))/(((VLOOKUP(EDATE(B396,-12),Database!$A:$AS,MATCH($E$1,Database!$A$1:$AS$1,),))))</f>
        <v>-1.4271151885300783E-2</v>
      </c>
      <c r="F396" s="13">
        <f>((((VLOOKUP(B396,Database!$A:$AS,MATCH($F$1,Database!$A$1:$AS$1,),))))-(((VLOOKUP(EDATE(B396,-12),Database!$A:$AS,MATCH($F$1,Database!$A$1:$AS$1,),)))))/(((VLOOKUP(EDATE(B396,-12),Database!$A:$AS,MATCH($F$1,Database!$A$1:$AS$1,),))))</f>
        <v>-3.0815109342088552E-2</v>
      </c>
      <c r="G396" s="13">
        <f>((((VLOOKUP(B396,Database!$A:$AS,MATCH($G$1,Database!$A$1:$AS$1,),))))-(((VLOOKUP(EDATE(B396,-12),Database!$A:$AS,MATCH($G$1,Database!$A$1:$AS$1,),)))))/(((VLOOKUP(EDATE(B396,-12),Database!$A:$AS,MATCH($G$1,Database!$A$1:$AS$1,),))))</f>
        <v>1.5793110255650634E-3</v>
      </c>
      <c r="H396" s="13">
        <f>((((VLOOKUP(B396,Database!$A:$AS,MATCH($H$1,Database!$A$1:$AS$1,),))))-(((VLOOKUP(EDATE(B396,-12),Database!$A:$AS,MATCH($H$1,Database!$A$1:$AS$1,),)))))/(((VLOOKUP(EDATE(B396,-12),Database!$A:$AS,MATCH($H$1,Database!$A$1:$AS$1,),))))</f>
        <v>-3.947368421275526E-2</v>
      </c>
      <c r="I396" s="13">
        <f>((((VLOOKUP(B396,Database!$A:$AS,MATCH($I$1,Database!$A$1:$AS$1,),))))-(((VLOOKUP(EDATE(B396,-12),Database!$A:$AS,MATCH($I$1,Database!$A$1:$AS$1,),)))))/(((VLOOKUP(EDATE(B396,-12),Database!$A:$AS,MATCH($I$1,Database!$A$1:$AS$1,),))))</f>
        <v>-2.2922636106354109E-2</v>
      </c>
      <c r="J396" s="13">
        <f>((((VLOOKUP(B396,Database!$A:$AS,MATCH($J$1,Database!$A$1:$AS$1,),))))-(((VLOOKUP(EDATE(B396,-12),Database!$A:$AS,MATCH($J$1,Database!$A$1:$AS$1,),)))))/(((VLOOKUP(EDATE(B396,-12),Database!$A:$AS,MATCH($J$1,Database!$A$1:$AS$1,),))))</f>
        <v>-2.0485554932034883E-2</v>
      </c>
      <c r="K396" s="13">
        <f>((((VLOOKUP(B396,Database!$A:$AS,MATCH($K$1,Database!$A$1:$AS$1,),))))-(((VLOOKUP(EDATE(B396,-12),Database!$A:$AS,MATCH($K$1,Database!$A$1:$AS$1,),)))))/(((VLOOKUP(EDATE(B396,-12),Database!$A:$AS,MATCH($K$1,Database!$A$1:$AS$1,),))))</f>
        <v>3.5971223011554971E-3</v>
      </c>
      <c r="L396" s="13"/>
      <c r="M396" s="13"/>
      <c r="N396" s="13"/>
      <c r="O396" s="13">
        <f>((((VLOOKUP(B396,Database!$A:$AS,MATCH($O$1,Database!$A$1:$AS$1,),))))-(((VLOOKUP(EDATE(B396,-12),Database!$A:$AS,MATCH($O$1,Database!$A$1:$AS$1,),)))))/(((VLOOKUP(EDATE(B396,-12),Database!$A:$AS,MATCH($O$1,Database!$A$1:$AS$1,),))))</f>
        <v>-1.6978707787800182E-2</v>
      </c>
      <c r="P396" s="13">
        <f>((((VLOOKUP(B396,Database!$A:$AS,MATCH($P$1,Database!$A$1:$AS$1,),))))-(((VLOOKUP(EDATE(B396,-12),Database!$A:$AS,MATCH($P$1,Database!$A$1:$AS$1,),)))))/(((VLOOKUP(EDATE(B396,-12),Database!$A:$AS,MATCH($P$1,Database!$A$1:$AS$1,),))))</f>
        <v>2.3062730627144448E-2</v>
      </c>
      <c r="Q396" s="13">
        <f>((((VLOOKUP(B396,Database!$A:$AS,MATCH($Q$1,Database!$A$1:$AS$1,),))))-(((VLOOKUP(EDATE(B396,-12),Database!$A:$AS,MATCH($Q$1,Database!$A$1:$AS$1,),)))))/(((VLOOKUP(EDATE(B396,-12),Database!$A:$AS,MATCH($Q$1,Database!$A$1:$AS$1,),))))</f>
        <v>4.6189376451580708E-2</v>
      </c>
      <c r="R396" s="13">
        <f>((((VLOOKUP(B396,Database!$A:$AS,MATCH($R$1,Database!$A$1:$AS$1,),))))-(((VLOOKUP(EDATE(B396,-12),Database!$A:$AS,MATCH($R$1,Database!$A$1:$AS$1,),)))))/(((VLOOKUP(EDATE(B396,-12),Database!$A:$AS,MATCH($R$1,Database!$A$1:$AS$1,),))))</f>
        <v>3.3363390445665518E-2</v>
      </c>
      <c r="S396" s="13">
        <f>((((VLOOKUP(B396,Database!$A:$AS,MATCH($S$1,Database!$A$1:$AS$1,),))))-(((VLOOKUP(EDATE(B396,-12),Database!$A:$AS,MATCH($S$1,Database!$A$1:$AS$1,),)))))/(((VLOOKUP(EDATE(B396,-12),Database!$A:$AS,MATCH($S$1,Database!$A$1:$AS$1,),))))</f>
        <v>0.27434554973395503</v>
      </c>
      <c r="T396" s="13">
        <f>((((VLOOKUP(B396,Database!$A:$AS,MATCH($T$1,Database!$A$1:$AS$1,),))))-(((VLOOKUP(EDATE(B396,-12),Database!$A:$AS,MATCH($T$1,Database!$A$1:$AS$1,),)))))/(((VLOOKUP(EDATE(B396,-12),Database!$A:$AS,MATCH($T$1,Database!$A$1:$AS$1,),))))</f>
        <v>0.11328790459936916</v>
      </c>
      <c r="U396" s="13">
        <f>((((VLOOKUP(B396,Database!$A:$AS,MATCH($U$1,Database!$A$1:$AS$1,),))))-(((VLOOKUP(EDATE(B396,-12),Database!$A:$AS,MATCH($U$1,Database!$A$1:$AS$1,),)))))/(((VLOOKUP(EDATE(B396,-12),Database!$A:$AS,MATCH($U$1,Database!$A$1:$AS$1,),))))</f>
        <v>-2.6642984073452368E-3</v>
      </c>
      <c r="V396" s="13">
        <f>((((VLOOKUP(B396,Database!$A:$AS,MATCH($V$1,Database!$A$1:$AS$1,),))))-(((VLOOKUP(EDATE(B396,-12),Database!$A:$AS,MATCH($V$1,Database!$A$1:$AS$1,),)))))/(((VLOOKUP(EDATE(B396,-12),Database!$A:$AS,MATCH($V$1,Database!$A$1:$AS$1,),))))</f>
        <v>5.2716950527169619E-2</v>
      </c>
    </row>
    <row r="397" spans="2:22" s="83" customFormat="1" x14ac:dyDescent="0.2">
      <c r="B397" s="78">
        <v>44228</v>
      </c>
      <c r="C397" s="13">
        <f>((((VLOOKUP(B397,Database!$A:$AS,MATCH($C$1,Database!$A$1:$AS$1,),))))-(((VLOOKUP(EDATE(B397,-12),Database!$A:$AS,MATCH($C$1,Database!$A$1:$AS$1,),)))))/(((VLOOKUP(EDATE(B397,-12),Database!$A:$AS,MATCH($C$1,Database!$A$1:$AS$1,),))))</f>
        <v>-4.8636709510492475E-2</v>
      </c>
      <c r="D397" s="13">
        <f>((((VLOOKUP(B397,Database!$A:$AS,MATCH($D$1,Database!$A$1:$AS$1,),))))-(((VLOOKUP(EDATE(B397,-12),Database!$A:$AS,MATCH($D$1,Database!$A$1:$AS$1,),)))))/(((VLOOKUP(EDATE(B397,-12),Database!$A:$AS,MATCH($D$1,Database!$A$1:$AS$1,),))))</f>
        <v>-1.452081316553727E-2</v>
      </c>
      <c r="E397" s="13">
        <f>((((VLOOKUP(B397,Database!$A:$AS,MATCH($E$1,Database!$A$1:$AS$1,),))))-(((VLOOKUP(EDATE(B397,-12),Database!$A:$AS,MATCH($E$1,Database!$A$1:$AS$1,),)))))/(((VLOOKUP(EDATE(B397,-12),Database!$A:$AS,MATCH($E$1,Database!$A$1:$AS$1,),))))</f>
        <v>-3.0487804879845946E-2</v>
      </c>
      <c r="F397" s="13">
        <f>((((VLOOKUP(B397,Database!$A:$AS,MATCH($F$1,Database!$A$1:$AS$1,),))))-(((VLOOKUP(EDATE(B397,-12),Database!$A:$AS,MATCH($F$1,Database!$A$1:$AS$1,),)))))/(((VLOOKUP(EDATE(B397,-12),Database!$A:$AS,MATCH($F$1,Database!$A$1:$AS$1,),))))</f>
        <v>-6.4642507347178524E-2</v>
      </c>
      <c r="G397" s="13">
        <f>((((VLOOKUP(B397,Database!$A:$AS,MATCH($G$1,Database!$A$1:$AS$1,),))))-(((VLOOKUP(EDATE(B397,-12),Database!$A:$AS,MATCH($G$1,Database!$A$1:$AS$1,),)))))/(((VLOOKUP(EDATE(B397,-12),Database!$A:$AS,MATCH($G$1,Database!$A$1:$AS$1,),))))</f>
        <v>-6.1997481352320118E-2</v>
      </c>
      <c r="H397" s="13">
        <f>((((VLOOKUP(B397,Database!$A:$AS,MATCH($H$1,Database!$A$1:$AS$1,),))))-(((VLOOKUP(EDATE(B397,-12),Database!$A:$AS,MATCH($H$1,Database!$A$1:$AS$1,),)))))/(((VLOOKUP(EDATE(B397,-12),Database!$A:$AS,MATCH($H$1,Database!$A$1:$AS$1,),))))</f>
        <v>-3.3400809712693651E-2</v>
      </c>
      <c r="I397" s="13">
        <f>((((VLOOKUP(B397,Database!$A:$AS,MATCH($I$1,Database!$A$1:$AS$1,),))))-(((VLOOKUP(EDATE(B397,-12),Database!$A:$AS,MATCH($I$1,Database!$A$1:$AS$1,),)))))/(((VLOOKUP(EDATE(B397,-12),Database!$A:$AS,MATCH($I$1,Database!$A$1:$AS$1,),))))</f>
        <v>-8.7124878969044028E-3</v>
      </c>
      <c r="J397" s="13">
        <f>((((VLOOKUP(B397,Database!$A:$AS,MATCH($J$1,Database!$A$1:$AS$1,),))))-(((VLOOKUP(EDATE(B397,-12),Database!$A:$AS,MATCH($J$1,Database!$A$1:$AS$1,),)))))/(((VLOOKUP(EDATE(B397,-12),Database!$A:$AS,MATCH($J$1,Database!$A$1:$AS$1,),))))</f>
        <v>-1.8623090311411756E-2</v>
      </c>
      <c r="K397" s="13">
        <f>((((VLOOKUP(B397,Database!$A:$AS,MATCH($K$1,Database!$A$1:$AS$1,),))))-(((VLOOKUP(EDATE(B397,-12),Database!$A:$AS,MATCH($K$1,Database!$A$1:$AS$1,),)))))/(((VLOOKUP(EDATE(B397,-12),Database!$A:$AS,MATCH($K$1,Database!$A$1:$AS$1,),))))</f>
        <v>1.5342960284516394E-2</v>
      </c>
      <c r="L397" s="13"/>
      <c r="M397" s="13"/>
      <c r="N397" s="13"/>
      <c r="O397" s="13">
        <f>((((VLOOKUP(B397,Database!$A:$AS,MATCH($O$1,Database!$A$1:$AS$1,),))))-(((VLOOKUP(EDATE(B397,-12),Database!$A:$AS,MATCH($O$1,Database!$A$1:$AS$1,),)))))/(((VLOOKUP(EDATE(B397,-12),Database!$A:$AS,MATCH($O$1,Database!$A$1:$AS$1,),))))</f>
        <v>-4.4587678285328634E-2</v>
      </c>
      <c r="P397" s="13">
        <f>((((VLOOKUP(B397,Database!$A:$AS,MATCH($P$1,Database!$A$1:$AS$1,),))))-(((VLOOKUP(EDATE(B397,-12),Database!$A:$AS,MATCH($P$1,Database!$A$1:$AS$1,),)))))/(((VLOOKUP(EDATE(B397,-12),Database!$A:$AS,MATCH($P$1,Database!$A$1:$AS$1,),))))</f>
        <v>9.5734597151896528E-2</v>
      </c>
      <c r="Q397" s="13">
        <f>((((VLOOKUP(B397,Database!$A:$AS,MATCH($Q$1,Database!$A$1:$AS$1,),))))-(((VLOOKUP(EDATE(B397,-12),Database!$A:$AS,MATCH($Q$1,Database!$A$1:$AS$1,),)))))/(((VLOOKUP(EDATE(B397,-12),Database!$A:$AS,MATCH($Q$1,Database!$A$1:$AS$1,),))))</f>
        <v>2.5142857147780192E-2</v>
      </c>
      <c r="R397" s="13">
        <f>((((VLOOKUP(B397,Database!$A:$AS,MATCH($R$1,Database!$A$1:$AS$1,),))))-(((VLOOKUP(EDATE(B397,-12),Database!$A:$AS,MATCH($R$1,Database!$A$1:$AS$1,),)))))/(((VLOOKUP(EDATE(B397,-12),Database!$A:$AS,MATCH($R$1,Database!$A$1:$AS$1,),))))</f>
        <v>4.4901777355090669E-2</v>
      </c>
      <c r="S397" s="13">
        <f>((((VLOOKUP(B397,Database!$A:$AS,MATCH($S$1,Database!$A$1:$AS$1,),))))-(((VLOOKUP(EDATE(B397,-12),Database!$A:$AS,MATCH($S$1,Database!$A$1:$AS$1,),)))))/(((VLOOKUP(EDATE(B397,-12),Database!$A:$AS,MATCH($S$1,Database!$A$1:$AS$1,),))))</f>
        <v>0.39470782800586884</v>
      </c>
      <c r="T397" s="13">
        <f>((((VLOOKUP(B397,Database!$A:$AS,MATCH($T$1,Database!$A$1:$AS$1,),))))-(((VLOOKUP(EDATE(B397,-12),Database!$A:$AS,MATCH($T$1,Database!$A$1:$AS$1,),)))))/(((VLOOKUP(EDATE(B397,-12),Database!$A:$AS,MATCH($T$1,Database!$A$1:$AS$1,),))))</f>
        <v>8.7209302326112639E-2</v>
      </c>
      <c r="U397" s="13">
        <f>((((VLOOKUP(B397,Database!$A:$AS,MATCH($U$1,Database!$A$1:$AS$1,),))))-(((VLOOKUP(EDATE(B397,-12),Database!$A:$AS,MATCH($U$1,Database!$A$1:$AS$1,),)))))/(((VLOOKUP(EDATE(B397,-12),Database!$A:$AS,MATCH($U$1,Database!$A$1:$AS$1,),))))</f>
        <v>-2.6431718067574498E-2</v>
      </c>
      <c r="V397" s="13">
        <f>((((VLOOKUP(B397,Database!$A:$AS,MATCH($V$1,Database!$A$1:$AS$1,),))))-(((VLOOKUP(EDATE(B397,-12),Database!$A:$AS,MATCH($V$1,Database!$A$1:$AS$1,),)))))/(((VLOOKUP(EDATE(B397,-12),Database!$A:$AS,MATCH($V$1,Database!$A$1:$AS$1,),))))</f>
        <v>4.3269230769230699E-2</v>
      </c>
    </row>
    <row r="398" spans="2:22" s="83" customFormat="1" x14ac:dyDescent="0.2">
      <c r="B398" s="78">
        <v>44256</v>
      </c>
      <c r="C398" s="13">
        <f>((((VLOOKUP(B398,Database!$A:$AS,MATCH($C$1,Database!$A$1:$AS$1,),))))-(((VLOOKUP(EDATE(B398,-12),Database!$A:$AS,MATCH($C$1,Database!$A$1:$AS$1,),)))))/(((VLOOKUP(EDATE(B398,-12),Database!$A:$AS,MATCH($C$1,Database!$A$1:$AS$1,),))))</f>
        <v>1.7589948250575655E-2</v>
      </c>
      <c r="D398" s="13">
        <f>((((VLOOKUP(B398,Database!$A:$AS,MATCH($D$1,Database!$A$1:$AS$1,),))))-(((VLOOKUP(EDATE(B398,-12),Database!$A:$AS,MATCH($D$1,Database!$A$1:$AS$1,),)))))/(((VLOOKUP(EDATE(B398,-12),Database!$A:$AS,MATCH($D$1,Database!$A$1:$AS$1,),))))</f>
        <v>0.11668484187568159</v>
      </c>
      <c r="E398" s="13">
        <f>((((VLOOKUP(B398,Database!$A:$AS,MATCH($E$1,Database!$A$1:$AS$1,),))))-(((VLOOKUP(EDATE(B398,-12),Database!$A:$AS,MATCH($E$1,Database!$A$1:$AS$1,),)))))/(((VLOOKUP(EDATE(B398,-12),Database!$A:$AS,MATCH($E$1,Database!$A$1:$AS$1,),))))</f>
        <v>8.3073727944864943E-3</v>
      </c>
      <c r="F398" s="13">
        <f>((((VLOOKUP(B398,Database!$A:$AS,MATCH($F$1,Database!$A$1:$AS$1,),))))-(((VLOOKUP(EDATE(B398,-12),Database!$A:$AS,MATCH($F$1,Database!$A$1:$AS$1,),)))))/(((VLOOKUP(EDATE(B398,-12),Database!$A:$AS,MATCH($F$1,Database!$A$1:$AS$1,),))))</f>
        <v>5.8241758239982948E-2</v>
      </c>
      <c r="G398" s="13">
        <f>((((VLOOKUP(B398,Database!$A:$AS,MATCH($G$1,Database!$A$1:$AS$1,),))))-(((VLOOKUP(EDATE(B398,-12),Database!$A:$AS,MATCH($G$1,Database!$A$1:$AS$1,),)))))/(((VLOOKUP(EDATE(B398,-12),Database!$A:$AS,MATCH($G$1,Database!$A$1:$AS$1,),))))</f>
        <v>0.14402714402714406</v>
      </c>
      <c r="H398" s="13">
        <f>((((VLOOKUP(B398,Database!$A:$AS,MATCH($H$1,Database!$A$1:$AS$1,),))))-(((VLOOKUP(EDATE(B398,-12),Database!$A:$AS,MATCH($H$1,Database!$A$1:$AS$1,),)))))/(((VLOOKUP(EDATE(B398,-12),Database!$A:$AS,MATCH($H$1,Database!$A$1:$AS$1,),))))</f>
        <v>3.4261241968081495E-2</v>
      </c>
      <c r="I398" s="13">
        <f>((((VLOOKUP(B398,Database!$A:$AS,MATCH($I$1,Database!$A$1:$AS$1,),))))-(((VLOOKUP(EDATE(B398,-12),Database!$A:$AS,MATCH($I$1,Database!$A$1:$AS$1,),)))))/(((VLOOKUP(EDATE(B398,-12),Database!$A:$AS,MATCH($I$1,Database!$A$1:$AS$1,),))))</f>
        <v>0.38358008075640038</v>
      </c>
      <c r="J398" s="13">
        <f>((((VLOOKUP(B398,Database!$A:$AS,MATCH($J$1,Database!$A$1:$AS$1,),))))-(((VLOOKUP(EDATE(B398,-12),Database!$A:$AS,MATCH($J$1,Database!$A$1:$AS$1,),)))))/(((VLOOKUP(EDATE(B398,-12),Database!$A:$AS,MATCH($J$1,Database!$A$1:$AS$1,),))))</f>
        <v>0.1302711260099586</v>
      </c>
      <c r="K398" s="13">
        <f>((((VLOOKUP(B398,Database!$A:$AS,MATCH($K$1,Database!$A$1:$AS$1,),))))-(((VLOOKUP(EDATE(B398,-12),Database!$A:$AS,MATCH($K$1,Database!$A$1:$AS$1,),)))))/(((VLOOKUP(EDATE(B398,-12),Database!$A:$AS,MATCH($K$1,Database!$A$1:$AS$1,),))))</f>
        <v>4.6575342471257344E-2</v>
      </c>
      <c r="L398" s="13"/>
      <c r="M398" s="13"/>
      <c r="N398" s="13"/>
      <c r="O398" s="13">
        <f>((((VLOOKUP(B398,Database!$A:$AS,MATCH($O$1,Database!$A$1:$AS$1,),))))-(((VLOOKUP(EDATE(B398,-12),Database!$A:$AS,MATCH($O$1,Database!$A$1:$AS$1,),)))))/(((VLOOKUP(EDATE(B398,-12),Database!$A:$AS,MATCH($O$1,Database!$A$1:$AS$1,),))))</f>
        <v>2.363753341129907E-2</v>
      </c>
      <c r="P398" s="13">
        <f>((((VLOOKUP(B398,Database!$A:$AS,MATCH($P$1,Database!$A$1:$AS$1,),))))-(((VLOOKUP(EDATE(B398,-12),Database!$A:$AS,MATCH($P$1,Database!$A$1:$AS$1,),)))))/(((VLOOKUP(EDATE(B398,-12),Database!$A:$AS,MATCH($P$1,Database!$A$1:$AS$1,),))))</f>
        <v>4.4585987254770629E-2</v>
      </c>
      <c r="Q398" s="13">
        <f>((((VLOOKUP(B398,Database!$A:$AS,MATCH($Q$1,Database!$A$1:$AS$1,),))))-(((VLOOKUP(EDATE(B398,-12),Database!$A:$AS,MATCH($Q$1,Database!$A$1:$AS$1,),)))))/(((VLOOKUP(EDATE(B398,-12),Database!$A:$AS,MATCH($Q$1,Database!$A$1:$AS$1,),))))</f>
        <v>8.4472049689188686E-2</v>
      </c>
      <c r="R398" s="13">
        <f>((((VLOOKUP(B398,Database!$A:$AS,MATCH($R$1,Database!$A$1:$AS$1,),))))-(((VLOOKUP(EDATE(B398,-12),Database!$A:$AS,MATCH($R$1,Database!$A$1:$AS$1,),)))))/(((VLOOKUP(EDATE(B398,-12),Database!$A:$AS,MATCH($R$1,Database!$A$1:$AS$1,),))))</f>
        <v>5.8387395736948081E-2</v>
      </c>
      <c r="S398" s="13">
        <f>((((VLOOKUP(B398,Database!$A:$AS,MATCH($S$1,Database!$A$1:$AS$1,),))))-(((VLOOKUP(EDATE(B398,-12),Database!$A:$AS,MATCH($S$1,Database!$A$1:$AS$1,),)))))/(((VLOOKUP(EDATE(B398,-12),Database!$A:$AS,MATCH($S$1,Database!$A$1:$AS$1,),))))</f>
        <v>1.4851485144348966E-2</v>
      </c>
      <c r="T398" s="13">
        <f>((((VLOOKUP(B398,Database!$A:$AS,MATCH($T$1,Database!$A$1:$AS$1,),))))-(((VLOOKUP(EDATE(B398,-12),Database!$A:$AS,MATCH($T$1,Database!$A$1:$AS$1,),)))))/(((VLOOKUP(EDATE(B398,-12),Database!$A:$AS,MATCH($T$1,Database!$A$1:$AS$1,),))))</f>
        <v>0.1671087533228974</v>
      </c>
      <c r="U398" s="13">
        <f>((((VLOOKUP(B398,Database!$A:$AS,MATCH($U$1,Database!$A$1:$AS$1,),))))-(((VLOOKUP(EDATE(B398,-12),Database!$A:$AS,MATCH($U$1,Database!$A$1:$AS$1,),)))))/(((VLOOKUP(EDATE(B398,-12),Database!$A:$AS,MATCH($U$1,Database!$A$1:$AS$1,),))))</f>
        <v>0.13413413412523484</v>
      </c>
      <c r="V398" s="13">
        <f>((((VLOOKUP(B398,Database!$A:$AS,MATCH($V$1,Database!$A$1:$AS$1,),))))-(((VLOOKUP(EDATE(B398,-12),Database!$A:$AS,MATCH($V$1,Database!$A$1:$AS$1,),)))))/(((VLOOKUP(EDATE(B398,-12),Database!$A:$AS,MATCH($V$1,Database!$A$1:$AS$1,),))))</f>
        <v>0.15258620689655161</v>
      </c>
    </row>
    <row r="399" spans="2:22" s="83" customFormat="1" x14ac:dyDescent="0.2">
      <c r="B399" s="78">
        <v>44287</v>
      </c>
      <c r="C399" s="13">
        <f>((((VLOOKUP(B399,Database!$A:$AS,MATCH($C$1,Database!$A$1:$AS$1,),))))-(((VLOOKUP(EDATE(B399,-12),Database!$A:$AS,MATCH($C$1,Database!$A$1:$AS$1,),)))))/(((VLOOKUP(EDATE(B399,-12),Database!$A:$AS,MATCH($C$1,Database!$A$1:$AS$1,),))))</f>
        <v>0.17861613409724744</v>
      </c>
      <c r="D399" s="13">
        <f>((((VLOOKUP(B399,Database!$A:$AS,MATCH($D$1,Database!$A$1:$AS$1,),))))-(((VLOOKUP(EDATE(B399,-12),Database!$A:$AS,MATCH($D$1,Database!$A$1:$AS$1,),)))))/(((VLOOKUP(EDATE(B399,-12),Database!$A:$AS,MATCH($D$1,Database!$A$1:$AS$1,),))))</f>
        <v>0.39324324324324317</v>
      </c>
      <c r="E399" s="13">
        <f>((((VLOOKUP(B399,Database!$A:$AS,MATCH($E$1,Database!$A$1:$AS$1,),))))-(((VLOOKUP(EDATE(B399,-12),Database!$A:$AS,MATCH($E$1,Database!$A$1:$AS$1,),)))))/(((VLOOKUP(EDATE(B399,-12),Database!$A:$AS,MATCH($E$1,Database!$A$1:$AS$1,),))))</f>
        <v>0.14580941446860912</v>
      </c>
      <c r="F399" s="13">
        <f>((((VLOOKUP(B399,Database!$A:$AS,MATCH($F$1,Database!$A$1:$AS$1,),))))-(((VLOOKUP(EDATE(B399,-12),Database!$A:$AS,MATCH($F$1,Database!$A$1:$AS$1,),)))))/(((VLOOKUP(EDATE(B399,-12),Database!$A:$AS,MATCH($F$1,Database!$A$1:$AS$1,),))))</f>
        <v>0.35401974612653003</v>
      </c>
      <c r="G399" s="13">
        <f>((((VLOOKUP(B399,Database!$A:$AS,MATCH($G$1,Database!$A$1:$AS$1,),))))-(((VLOOKUP(EDATE(B399,-12),Database!$A:$AS,MATCH($G$1,Database!$A$1:$AS$1,),)))))/(((VLOOKUP(EDATE(B399,-12),Database!$A:$AS,MATCH($G$1,Database!$A$1:$AS$1,),))))</f>
        <v>0.43794221698113195</v>
      </c>
      <c r="H399" s="13">
        <f>((((VLOOKUP(B399,Database!$A:$AS,MATCH($H$1,Database!$A$1:$AS$1,),))))-(((VLOOKUP(EDATE(B399,-12),Database!$A:$AS,MATCH($H$1,Database!$A$1:$AS$1,),)))))/(((VLOOKUP(EDATE(B399,-12),Database!$A:$AS,MATCH($H$1,Database!$A$1:$AS$1,),))))</f>
        <v>0.29824561402496097</v>
      </c>
      <c r="I399" s="13">
        <f>((((VLOOKUP(B399,Database!$A:$AS,MATCH($I$1,Database!$A$1:$AS$1,),))))-(((VLOOKUP(EDATE(B399,-12),Database!$A:$AS,MATCH($I$1,Database!$A$1:$AS$1,),)))))/(((VLOOKUP(EDATE(B399,-12),Database!$A:$AS,MATCH($I$1,Database!$A$1:$AS$1,),))))</f>
        <v>0.78327645049394723</v>
      </c>
      <c r="J399" s="13">
        <f>((((VLOOKUP(B399,Database!$A:$AS,MATCH($J$1,Database!$A$1:$AS$1,),))))-(((VLOOKUP(EDATE(B399,-12),Database!$A:$AS,MATCH($J$1,Database!$A$1:$AS$1,),)))))/(((VLOOKUP(EDATE(B399,-12),Database!$A:$AS,MATCH($J$1,Database!$A$1:$AS$1,),))))</f>
        <v>0.48428466911617268</v>
      </c>
      <c r="K399" s="13">
        <f>((((VLOOKUP(B399,Database!$A:$AS,MATCH($K$1,Database!$A$1:$AS$1,),))))-(((VLOOKUP(EDATE(B399,-12),Database!$A:$AS,MATCH($K$1,Database!$A$1:$AS$1,),)))))/(((VLOOKUP(EDATE(B399,-12),Database!$A:$AS,MATCH($K$1,Database!$A$1:$AS$1,),))))</f>
        <v>0.23300970873723559</v>
      </c>
      <c r="L399" s="13"/>
      <c r="M399" s="13"/>
      <c r="N399" s="13"/>
      <c r="O399" s="13">
        <f>((((VLOOKUP(B399,Database!$A:$AS,MATCH($O$1,Database!$A$1:$AS$1,),))))-(((VLOOKUP(EDATE(B399,-12),Database!$A:$AS,MATCH($O$1,Database!$A$1:$AS$1,),)))))/(((VLOOKUP(EDATE(B399,-12),Database!$A:$AS,MATCH($O$1,Database!$A$1:$AS$1,),))))</f>
        <v>0.1648520962309489</v>
      </c>
      <c r="P399" s="13">
        <f>((((VLOOKUP(B399,Database!$A:$AS,MATCH($P$1,Database!$A$1:$AS$1,),))))-(((VLOOKUP(EDATE(B399,-12),Database!$A:$AS,MATCH($P$1,Database!$A$1:$AS$1,),)))))/(((VLOOKUP(EDATE(B399,-12),Database!$A:$AS,MATCH($P$1,Database!$A$1:$AS$1,),))))</f>
        <v>8.6872586877506763E-2</v>
      </c>
      <c r="Q399" s="13">
        <f>((((VLOOKUP(B399,Database!$A:$AS,MATCH($Q$1,Database!$A$1:$AS$1,),))))-(((VLOOKUP(EDATE(B399,-12),Database!$A:$AS,MATCH($Q$1,Database!$A$1:$AS$1,),)))))/(((VLOOKUP(EDATE(B399,-12),Database!$A:$AS,MATCH($Q$1,Database!$A$1:$AS$1,),))))</f>
        <v>0.32511556239578432</v>
      </c>
      <c r="R399" s="13">
        <f>((((VLOOKUP(B399,Database!$A:$AS,MATCH($R$1,Database!$A$1:$AS$1,),))))-(((VLOOKUP(EDATE(B399,-12),Database!$A:$AS,MATCH($R$1,Database!$A$1:$AS$1,),)))))/(((VLOOKUP(EDATE(B399,-12),Database!$A:$AS,MATCH($R$1,Database!$A$1:$AS$1,),))))</f>
        <v>0.22028688524118256</v>
      </c>
      <c r="S399" s="13">
        <f>((((VLOOKUP(B399,Database!$A:$AS,MATCH($S$1,Database!$A$1:$AS$1,),))))-(((VLOOKUP(EDATE(B399,-12),Database!$A:$AS,MATCH($S$1,Database!$A$1:$AS$1,),)))))/(((VLOOKUP(EDATE(B399,-12),Database!$A:$AS,MATCH($S$1,Database!$A$1:$AS$1,),))))</f>
        <v>0.27582644627637098</v>
      </c>
      <c r="T399" s="13">
        <f>((((VLOOKUP(B399,Database!$A:$AS,MATCH($T$1,Database!$A$1:$AS$1,),))))-(((VLOOKUP(EDATE(B399,-12),Database!$A:$AS,MATCH($T$1,Database!$A$1:$AS$1,),)))))/(((VLOOKUP(EDATE(B399,-12),Database!$A:$AS,MATCH($T$1,Database!$A$1:$AS$1,),))))</f>
        <v>0.65486725663347589</v>
      </c>
      <c r="U399" s="13">
        <f>((((VLOOKUP(B399,Database!$A:$AS,MATCH($U$1,Database!$A$1:$AS$1,),))))-(((VLOOKUP(EDATE(B399,-12),Database!$A:$AS,MATCH($U$1,Database!$A$1:$AS$1,),)))))/(((VLOOKUP(EDATE(B399,-12),Database!$A:$AS,MATCH($U$1,Database!$A$1:$AS$1,),))))</f>
        <v>0.51984126983244994</v>
      </c>
      <c r="V399" s="13">
        <f>((((VLOOKUP(B399,Database!$A:$AS,MATCH($V$1,Database!$A$1:$AS$1,),))))-(((VLOOKUP(EDATE(B399,-12),Database!$A:$AS,MATCH($V$1,Database!$A$1:$AS$1,),)))))/(((VLOOKUP(EDATE(B399,-12),Database!$A:$AS,MATCH($V$1,Database!$A$1:$AS$1,),))))</f>
        <v>0.44868995633187769</v>
      </c>
    </row>
    <row r="400" spans="2:22" s="83" customFormat="1" x14ac:dyDescent="0.2">
      <c r="B400" s="78">
        <v>44317</v>
      </c>
      <c r="C400" s="13">
        <f>((((VLOOKUP(B400,Database!$A:$AS,MATCH($C$1,Database!$A$1:$AS$1,),))))-(((VLOOKUP(EDATE(B400,-12),Database!$A:$AS,MATCH($C$1,Database!$A$1:$AS$1,),)))))/(((VLOOKUP(EDATE(B400,-12),Database!$A:$AS,MATCH($C$1,Database!$A$1:$AS$1,),))))</f>
        <v>0.16401027918042041</v>
      </c>
      <c r="D400" s="13">
        <f>((((VLOOKUP(B400,Database!$A:$AS,MATCH($D$1,Database!$A$1:$AS$1,),))))-(((VLOOKUP(EDATE(B400,-12),Database!$A:$AS,MATCH($D$1,Database!$A$1:$AS$1,),)))))/(((VLOOKUP(EDATE(B400,-12),Database!$A:$AS,MATCH($D$1,Database!$A$1:$AS$1,),))))</f>
        <v>0.20710059171597633</v>
      </c>
      <c r="E400" s="13">
        <f>((((VLOOKUP(B400,Database!$A:$AS,MATCH($E$1,Database!$A$1:$AS$1,),))))-(((VLOOKUP(EDATE(B400,-12),Database!$A:$AS,MATCH($E$1,Database!$A$1:$AS$1,),)))))/(((VLOOKUP(EDATE(B400,-12),Database!$A:$AS,MATCH($E$1,Database!$A$1:$AS$1,),))))</f>
        <v>0.19795657726664467</v>
      </c>
      <c r="F400" s="13">
        <f>((((VLOOKUP(B400,Database!$A:$AS,MATCH($F$1,Database!$A$1:$AS$1,),))))-(((VLOOKUP(EDATE(B400,-12),Database!$A:$AS,MATCH($F$1,Database!$A$1:$AS$1,),)))))/(((VLOOKUP(EDATE(B400,-12),Database!$A:$AS,MATCH($F$1,Database!$A$1:$AS$1,),))))</f>
        <v>0.20202020202300791</v>
      </c>
      <c r="G400" s="13">
        <f>((((VLOOKUP(B400,Database!$A:$AS,MATCH($G$1,Database!$A$1:$AS$1,),))))-(((VLOOKUP(EDATE(B400,-12),Database!$A:$AS,MATCH($G$1,Database!$A$1:$AS$1,),)))))/(((VLOOKUP(EDATE(B400,-12),Database!$A:$AS,MATCH($G$1,Database!$A$1:$AS$1,),))))</f>
        <v>0.20267260579064603</v>
      </c>
      <c r="H400" s="13">
        <f>((((VLOOKUP(B400,Database!$A:$AS,MATCH($H$1,Database!$A$1:$AS$1,),))))-(((VLOOKUP(EDATE(B400,-12),Database!$A:$AS,MATCH($H$1,Database!$A$1:$AS$1,),)))))/(((VLOOKUP(EDATE(B400,-12),Database!$A:$AS,MATCH($H$1,Database!$A$1:$AS$1,),))))</f>
        <v>0.23379923760666288</v>
      </c>
      <c r="I400" s="13">
        <f>((((VLOOKUP(B400,Database!$A:$AS,MATCH($I$1,Database!$A$1:$AS$1,),))))-(((VLOOKUP(EDATE(B400,-12),Database!$A:$AS,MATCH($I$1,Database!$A$1:$AS$1,),)))))/(((VLOOKUP(EDATE(B400,-12),Database!$A:$AS,MATCH($I$1,Database!$A$1:$AS$1,),))))</f>
        <v>0.21226415094395243</v>
      </c>
      <c r="J400" s="13">
        <f>((((VLOOKUP(B400,Database!$A:$AS,MATCH($J$1,Database!$A$1:$AS$1,),))))-(((VLOOKUP(EDATE(B400,-12),Database!$A:$AS,MATCH($J$1,Database!$A$1:$AS$1,),)))))/(((VLOOKUP(EDATE(B400,-12),Database!$A:$AS,MATCH($J$1,Database!$A$1:$AS$1,),))))</f>
        <v>0.24736716986309829</v>
      </c>
      <c r="K400" s="13">
        <f>((((VLOOKUP(B400,Database!$A:$AS,MATCH($K$1,Database!$A$1:$AS$1,),))))-(((VLOOKUP(EDATE(B400,-12),Database!$A:$AS,MATCH($K$1,Database!$A$1:$AS$1,),)))))/(((VLOOKUP(EDATE(B400,-12),Database!$A:$AS,MATCH($K$1,Database!$A$1:$AS$1,),))))</f>
        <v>0.21192758253982785</v>
      </c>
      <c r="L400" s="13"/>
      <c r="M400" s="13"/>
      <c r="N400" s="13"/>
      <c r="O400" s="13">
        <f>((((VLOOKUP(B400,Database!$A:$AS,MATCH($O$1,Database!$A$1:$AS$1,),))))-(((VLOOKUP(EDATE(B400,-12),Database!$A:$AS,MATCH($O$1,Database!$A$1:$AS$1,),)))))/(((VLOOKUP(EDATE(B400,-12),Database!$A:$AS,MATCH($O$1,Database!$A$1:$AS$1,),))))</f>
        <v>0.10975816679322681</v>
      </c>
      <c r="P400" s="13">
        <f>((((VLOOKUP(B400,Database!$A:$AS,MATCH($P$1,Database!$A$1:$AS$1,),))))-(((VLOOKUP(EDATE(B400,-12),Database!$A:$AS,MATCH($P$1,Database!$A$1:$AS$1,),)))))/(((VLOOKUP(EDATE(B400,-12),Database!$A:$AS,MATCH($P$1,Database!$A$1:$AS$1,),))))</f>
        <v>0.16213389121405666</v>
      </c>
      <c r="Q400" s="13">
        <f>((((VLOOKUP(B400,Database!$A:$AS,MATCH($Q$1,Database!$A$1:$AS$1,),))))-(((VLOOKUP(EDATE(B400,-12),Database!$A:$AS,MATCH($Q$1,Database!$A$1:$AS$1,),)))))/(((VLOOKUP(EDATE(B400,-12),Database!$A:$AS,MATCH($Q$1,Database!$A$1:$AS$1,),))))</f>
        <v>0.24285714285751359</v>
      </c>
      <c r="R400" s="13">
        <f>((((VLOOKUP(B400,Database!$A:$AS,MATCH($R$1,Database!$A$1:$AS$1,),))))-(((VLOOKUP(EDATE(B400,-12),Database!$A:$AS,MATCH($R$1,Database!$A$1:$AS$1,),)))))/(((VLOOKUP(EDATE(B400,-12),Database!$A:$AS,MATCH($R$1,Database!$A$1:$AS$1,),))))</f>
        <v>0.14028056112244564</v>
      </c>
      <c r="S400" s="13">
        <f>((((VLOOKUP(B400,Database!$A:$AS,MATCH($S$1,Database!$A$1:$AS$1,),))))-(((VLOOKUP(EDATE(B400,-12),Database!$A:$AS,MATCH($S$1,Database!$A$1:$AS$1,),)))))/(((VLOOKUP(EDATE(B400,-12),Database!$A:$AS,MATCH($S$1,Database!$A$1:$AS$1,),))))</f>
        <v>0.29385964912997209</v>
      </c>
      <c r="T400" s="13">
        <f>((((VLOOKUP(B400,Database!$A:$AS,MATCH($T$1,Database!$A$1:$AS$1,),))))-(((VLOOKUP(EDATE(B400,-12),Database!$A:$AS,MATCH($T$1,Database!$A$1:$AS$1,),)))))/(((VLOOKUP(EDATE(B400,-12),Database!$A:$AS,MATCH($T$1,Database!$A$1:$AS$1,),))))</f>
        <v>0.41295116773457163</v>
      </c>
      <c r="U400" s="13">
        <f>((((VLOOKUP(B400,Database!$A:$AS,MATCH($U$1,Database!$A$1:$AS$1,),))))-(((VLOOKUP(EDATE(B400,-12),Database!$A:$AS,MATCH($U$1,Database!$A$1:$AS$1,),)))))/(((VLOOKUP(EDATE(B400,-12),Database!$A:$AS,MATCH($U$1,Database!$A$1:$AS$1,),))))</f>
        <v>0.23995535714558552</v>
      </c>
      <c r="V400" s="13">
        <f>((((VLOOKUP(B400,Database!$A:$AS,MATCH($V$1,Database!$A$1:$AS$1,),))))-(((VLOOKUP(EDATE(B400,-12),Database!$A:$AS,MATCH($V$1,Database!$A$1:$AS$1,),)))))/(((VLOOKUP(EDATE(B400,-12),Database!$A:$AS,MATCH($V$1,Database!$A$1:$AS$1,),))))</f>
        <v>0.29740134744947067</v>
      </c>
    </row>
    <row r="401" spans="2:22" s="83" customFormat="1" x14ac:dyDescent="0.2">
      <c r="B401" s="78">
        <v>44348</v>
      </c>
      <c r="C401" s="13">
        <f>((((VLOOKUP(B401,Database!$A:$AS,MATCH($C$1,Database!$A$1:$AS$1,),))))-(((VLOOKUP(EDATE(B401,-12),Database!$A:$AS,MATCH($C$1,Database!$A$1:$AS$1,),)))))/(((VLOOKUP(EDATE(B401,-12),Database!$A:$AS,MATCH($C$1,Database!$A$1:$AS$1,),))))</f>
        <v>0.10210591670933368</v>
      </c>
      <c r="D401" s="13">
        <f>((((VLOOKUP(B401,Database!$A:$AS,MATCH($D$1,Database!$A$1:$AS$1,),))))-(((VLOOKUP(EDATE(B401,-12),Database!$A:$AS,MATCH($D$1,Database!$A$1:$AS$1,),)))))/(((VLOOKUP(EDATE(B401,-12),Database!$A:$AS,MATCH($D$1,Database!$A$1:$AS$1,),))))</f>
        <v>0.10714285714285704</v>
      </c>
      <c r="E401" s="13">
        <f>((((VLOOKUP(B401,Database!$A:$AS,MATCH($E$1,Database!$A$1:$AS$1,),))))-(((VLOOKUP(EDATE(B401,-12),Database!$A:$AS,MATCH($E$1,Database!$A$1:$AS$1,),)))))/(((VLOOKUP(EDATE(B401,-12),Database!$A:$AS,MATCH($E$1,Database!$A$1:$AS$1,),))))</f>
        <v>0.21559074299860112</v>
      </c>
      <c r="F401" s="13">
        <f>((((VLOOKUP(B401,Database!$A:$AS,MATCH($F$1,Database!$A$1:$AS$1,),))))-(((VLOOKUP(EDATE(B401,-12),Database!$A:$AS,MATCH($F$1,Database!$A$1:$AS$1,),)))))/(((VLOOKUP(EDATE(B401,-12),Database!$A:$AS,MATCH($F$1,Database!$A$1:$AS$1,),))))</f>
        <v>7.3612684026245906E-2</v>
      </c>
      <c r="G401" s="13">
        <f>((((VLOOKUP(B401,Database!$A:$AS,MATCH($G$1,Database!$A$1:$AS$1,),))))-(((VLOOKUP(EDATE(B401,-12),Database!$A:$AS,MATCH($G$1,Database!$A$1:$AS$1,),)))))/(((VLOOKUP(EDATE(B401,-12),Database!$A:$AS,MATCH($G$1,Database!$A$1:$AS$1,),))))</f>
        <v>7.0044872496442936E-2</v>
      </c>
      <c r="H401" s="13">
        <f>((((VLOOKUP(B401,Database!$A:$AS,MATCH($H$1,Database!$A$1:$AS$1,),))))-(((VLOOKUP(EDATE(B401,-12),Database!$A:$AS,MATCH($H$1,Database!$A$1:$AS$1,),)))))/(((VLOOKUP(EDATE(B401,-12),Database!$A:$AS,MATCH($H$1,Database!$A$1:$AS$1,),))))</f>
        <v>0.10285714285434958</v>
      </c>
      <c r="I401" s="13">
        <f>((((VLOOKUP(B401,Database!$A:$AS,MATCH($I$1,Database!$A$1:$AS$1,),))))-(((VLOOKUP(EDATE(B401,-12),Database!$A:$AS,MATCH($I$1,Database!$A$1:$AS$1,),)))))/(((VLOOKUP(EDATE(B401,-12),Database!$A:$AS,MATCH($I$1,Database!$A$1:$AS$1,),))))</f>
        <v>0.13800657173557257</v>
      </c>
      <c r="J401" s="13">
        <f>((((VLOOKUP(B401,Database!$A:$AS,MATCH($J$1,Database!$A$1:$AS$1,),))))-(((VLOOKUP(EDATE(B401,-12),Database!$A:$AS,MATCH($J$1,Database!$A$1:$AS$1,),)))))/(((VLOOKUP(EDATE(B401,-12),Database!$A:$AS,MATCH($J$1,Database!$A$1:$AS$1,),))))</f>
        <v>0.10750931589857572</v>
      </c>
      <c r="K401" s="13">
        <f>((((VLOOKUP(B401,Database!$A:$AS,MATCH($K$1,Database!$A$1:$AS$1,),))))-(((VLOOKUP(EDATE(B401,-12),Database!$A:$AS,MATCH($K$1,Database!$A$1:$AS$1,),)))))/(((VLOOKUP(EDATE(B401,-12),Database!$A:$AS,MATCH($K$1,Database!$A$1:$AS$1,),))))</f>
        <v>0.15230460921578645</v>
      </c>
      <c r="L401" s="13"/>
      <c r="M401" s="13"/>
      <c r="N401" s="13"/>
      <c r="O401" s="13">
        <f>((((VLOOKUP(B401,Database!$A:$AS,MATCH($O$1,Database!$A$1:$AS$1,),))))-(((VLOOKUP(EDATE(B401,-12),Database!$A:$AS,MATCH($O$1,Database!$A$1:$AS$1,),)))))/(((VLOOKUP(EDATE(B401,-12),Database!$A:$AS,MATCH($O$1,Database!$A$1:$AS$1,),))))</f>
        <v>9.0446419201467912E-2</v>
      </c>
      <c r="P401" s="13">
        <f>((((VLOOKUP(B401,Database!$A:$AS,MATCH($P$1,Database!$A$1:$AS$1,),))))-(((VLOOKUP(EDATE(B401,-12),Database!$A:$AS,MATCH($P$1,Database!$A$1:$AS$1,),)))))/(((VLOOKUP(EDATE(B401,-12),Database!$A:$AS,MATCH($P$1,Database!$A$1:$AS$1,),))))</f>
        <v>9.8646034818230532E-2</v>
      </c>
      <c r="Q401" s="13">
        <f>((((VLOOKUP(B401,Database!$A:$AS,MATCH($Q$1,Database!$A$1:$AS$1,),))))-(((VLOOKUP(EDATE(B401,-12),Database!$A:$AS,MATCH($Q$1,Database!$A$1:$AS$1,),)))))/(((VLOOKUP(EDATE(B401,-12),Database!$A:$AS,MATCH($Q$1,Database!$A$1:$AS$1,),))))</f>
        <v>0.12907431551033099</v>
      </c>
      <c r="R401" s="13">
        <f>((((VLOOKUP(B401,Database!$A:$AS,MATCH($R$1,Database!$A$1:$AS$1,),))))-(((VLOOKUP(EDATE(B401,-12),Database!$A:$AS,MATCH($R$1,Database!$A$1:$AS$1,),)))))/(((VLOOKUP(EDATE(B401,-12),Database!$A:$AS,MATCH($R$1,Database!$A$1:$AS$1,),))))</f>
        <v>9.2843326881216798E-2</v>
      </c>
      <c r="S401" s="13">
        <f>((((VLOOKUP(B401,Database!$A:$AS,MATCH($S$1,Database!$A$1:$AS$1,),))))-(((VLOOKUP(EDATE(B401,-12),Database!$A:$AS,MATCH($S$1,Database!$A$1:$AS$1,),)))))/(((VLOOKUP(EDATE(B401,-12),Database!$A:$AS,MATCH($S$1,Database!$A$1:$AS$1,),))))</f>
        <v>0.12202380951967619</v>
      </c>
      <c r="T401" s="13">
        <f>((((VLOOKUP(B401,Database!$A:$AS,MATCH($T$1,Database!$A$1:$AS$1,),))))-(((VLOOKUP(EDATE(B401,-12),Database!$A:$AS,MATCH($T$1,Database!$A$1:$AS$1,),)))))/(((VLOOKUP(EDATE(B401,-12),Database!$A:$AS,MATCH($T$1,Database!$A$1:$AS$1,),))))</f>
        <v>0.23861566484980185</v>
      </c>
      <c r="U401" s="13">
        <f>((((VLOOKUP(B401,Database!$A:$AS,MATCH($U$1,Database!$A$1:$AS$1,),))))-(((VLOOKUP(EDATE(B401,-12),Database!$A:$AS,MATCH($U$1,Database!$A$1:$AS$1,),)))))/(((VLOOKUP(EDATE(B401,-12),Database!$A:$AS,MATCH($U$1,Database!$A$1:$AS$1,),))))</f>
        <v>9.9902056804221637E-2</v>
      </c>
      <c r="V401" s="13">
        <f>((((VLOOKUP(B401,Database!$A:$AS,MATCH($V$1,Database!$A$1:$AS$1,),))))-(((VLOOKUP(EDATE(B401,-12),Database!$A:$AS,MATCH($V$1,Database!$A$1:$AS$1,),)))))/(((VLOOKUP(EDATE(B401,-12),Database!$A:$AS,MATCH($V$1,Database!$A$1:$AS$1,),))))</f>
        <v>0.18024263431542445</v>
      </c>
    </row>
    <row r="402" spans="2:22" s="83" customFormat="1" x14ac:dyDescent="0.2">
      <c r="B402" s="78">
        <v>44378</v>
      </c>
      <c r="C402" s="13">
        <f>((((VLOOKUP(B402,Database!$A:$AS,MATCH($C$1,Database!$A$1:$AS$1,),))))-(((VLOOKUP(EDATE(B402,-12),Database!$A:$AS,MATCH($C$1,Database!$A$1:$AS$1,),)))))/(((VLOOKUP(EDATE(B402,-12),Database!$A:$AS,MATCH($C$1,Database!$A$1:$AS$1,),))))</f>
        <v>6.6978470563886019E-2</v>
      </c>
      <c r="D402" s="13">
        <f>((((VLOOKUP(B402,Database!$A:$AS,MATCH($D$1,Database!$A$1:$AS$1,),))))-(((VLOOKUP(EDATE(B402,-12),Database!$A:$AS,MATCH($D$1,Database!$A$1:$AS$1,),)))))/(((VLOOKUP(EDATE(B402,-12),Database!$A:$AS,MATCH($D$1,Database!$A$1:$AS$1,),))))</f>
        <v>7.4766355140186952E-2</v>
      </c>
      <c r="E402" s="13">
        <f>((((VLOOKUP(B402,Database!$A:$AS,MATCH($E$1,Database!$A$1:$AS$1,),))))-(((VLOOKUP(EDATE(B402,-12),Database!$A:$AS,MATCH($E$1,Database!$A$1:$AS$1,),)))))/(((VLOOKUP(EDATE(B402,-12),Database!$A:$AS,MATCH($E$1,Database!$A$1:$AS$1,),))))</f>
        <v>0.13043478260620803</v>
      </c>
      <c r="F402" s="13">
        <f>((((VLOOKUP(B402,Database!$A:$AS,MATCH($F$1,Database!$A$1:$AS$1,),))))-(((VLOOKUP(EDATE(B402,-12),Database!$A:$AS,MATCH($F$1,Database!$A$1:$AS$1,),)))))/(((VLOOKUP(EDATE(B402,-12),Database!$A:$AS,MATCH($F$1,Database!$A$1:$AS$1,),))))</f>
        <v>6.8888888884567415E-2</v>
      </c>
      <c r="G402" s="13">
        <f>((((VLOOKUP(B402,Database!$A:$AS,MATCH($G$1,Database!$A$1:$AS$1,),))))-(((VLOOKUP(EDATE(B402,-12),Database!$A:$AS,MATCH($G$1,Database!$A$1:$AS$1,),)))))/(((VLOOKUP(EDATE(B402,-12),Database!$A:$AS,MATCH($G$1,Database!$A$1:$AS$1,),))))</f>
        <v>3.9606057397013603E-2</v>
      </c>
      <c r="H402" s="13">
        <f>((((VLOOKUP(B402,Database!$A:$AS,MATCH($H$1,Database!$A$1:$AS$1,),))))-(((VLOOKUP(EDATE(B402,-12),Database!$A:$AS,MATCH($H$1,Database!$A$1:$AS$1,),)))))/(((VLOOKUP(EDATE(B402,-12),Database!$A:$AS,MATCH($H$1,Database!$A$1:$AS$1,),))))</f>
        <v>4.5356371495963062E-2</v>
      </c>
      <c r="I402" s="13">
        <f>((((VLOOKUP(B402,Database!$A:$AS,MATCH($I$1,Database!$A$1:$AS$1,),))))-(((VLOOKUP(EDATE(B402,-12),Database!$A:$AS,MATCH($I$1,Database!$A$1:$AS$1,),)))))/(((VLOOKUP(EDATE(B402,-12),Database!$A:$AS,MATCH($I$1,Database!$A$1:$AS$1,),))))</f>
        <v>7.1574642124070803E-2</v>
      </c>
      <c r="J402" s="13">
        <f>((((VLOOKUP(B402,Database!$A:$AS,MATCH($J$1,Database!$A$1:$AS$1,),))))-(((VLOOKUP(EDATE(B402,-12),Database!$A:$AS,MATCH($J$1,Database!$A$1:$AS$1,),)))))/(((VLOOKUP(EDATE(B402,-12),Database!$A:$AS,MATCH($J$1,Database!$A$1:$AS$1,),))))</f>
        <v>3.2683947837951068E-2</v>
      </c>
      <c r="K402" s="13">
        <f>((((VLOOKUP(B402,Database!$A:$AS,MATCH($K$1,Database!$A$1:$AS$1,),))))-(((VLOOKUP(EDATE(B402,-12),Database!$A:$AS,MATCH($K$1,Database!$A$1:$AS$1,),)))))/(((VLOOKUP(EDATE(B402,-12),Database!$A:$AS,MATCH($K$1,Database!$A$1:$AS$1,),))))</f>
        <v>0.11207729468357276</v>
      </c>
      <c r="L402" s="13"/>
      <c r="M402" s="13"/>
      <c r="N402" s="13"/>
      <c r="O402" s="13">
        <f>((((VLOOKUP(B402,Database!$A:$AS,MATCH($O$1,Database!$A$1:$AS$1,),))))-(((VLOOKUP(EDATE(B402,-12),Database!$A:$AS,MATCH($O$1,Database!$A$1:$AS$1,),)))))/(((VLOOKUP(EDATE(B402,-12),Database!$A:$AS,MATCH($O$1,Database!$A$1:$AS$1,),))))</f>
        <v>6.0662399969772594E-2</v>
      </c>
      <c r="P402" s="13">
        <f>((((VLOOKUP(B402,Database!$A:$AS,MATCH($P$1,Database!$A$1:$AS$1,),))))-(((VLOOKUP(EDATE(B402,-12),Database!$A:$AS,MATCH($P$1,Database!$A$1:$AS$1,),)))))/(((VLOOKUP(EDATE(B402,-12),Database!$A:$AS,MATCH($P$1,Database!$A$1:$AS$1,),))))</f>
        <v>7.9696394683450203E-2</v>
      </c>
      <c r="Q402" s="13">
        <f>((((VLOOKUP(B402,Database!$A:$AS,MATCH($Q$1,Database!$A$1:$AS$1,),))))-(((VLOOKUP(EDATE(B402,-12),Database!$A:$AS,MATCH($Q$1,Database!$A$1:$AS$1,),)))))/(((VLOOKUP(EDATE(B402,-12),Database!$A:$AS,MATCH($Q$1,Database!$A$1:$AS$1,),))))</f>
        <v>1.5421115057881508E-2</v>
      </c>
      <c r="R402" s="13">
        <f>((((VLOOKUP(B402,Database!$A:$AS,MATCH($R$1,Database!$A$1:$AS$1,),))))-(((VLOOKUP(EDATE(B402,-12),Database!$A:$AS,MATCH($R$1,Database!$A$1:$AS$1,),)))))/(((VLOOKUP(EDATE(B402,-12),Database!$A:$AS,MATCH($R$1,Database!$A$1:$AS$1,),))))</f>
        <v>8.5285848172331799E-2</v>
      </c>
      <c r="S402" s="13">
        <f>((((VLOOKUP(B402,Database!$A:$AS,MATCH($S$1,Database!$A$1:$AS$1,),))))-(((VLOOKUP(EDATE(B402,-12),Database!$A:$AS,MATCH($S$1,Database!$A$1:$AS$1,),)))))/(((VLOOKUP(EDATE(B402,-12),Database!$A:$AS,MATCH($S$1,Database!$A$1:$AS$1,),))))</f>
        <v>0.15262172284102427</v>
      </c>
      <c r="T402" s="13">
        <f>((((VLOOKUP(B402,Database!$A:$AS,MATCH($T$1,Database!$A$1:$AS$1,),))))-(((VLOOKUP(EDATE(B402,-12),Database!$A:$AS,MATCH($T$1,Database!$A$1:$AS$1,),)))))/(((VLOOKUP(EDATE(B402,-12),Database!$A:$AS,MATCH($T$1,Database!$A$1:$AS$1,),))))</f>
        <v>9.0456431532376799E-2</v>
      </c>
      <c r="U402" s="13">
        <f>((((VLOOKUP(B402,Database!$A:$AS,MATCH($U$1,Database!$A$1:$AS$1,),))))-(((VLOOKUP(EDATE(B402,-12),Database!$A:$AS,MATCH($U$1,Database!$A$1:$AS$1,),)))))/(((VLOOKUP(EDATE(B402,-12),Database!$A:$AS,MATCH($U$1,Database!$A$1:$AS$1,),))))</f>
        <v>5.514018692050035E-2</v>
      </c>
      <c r="V402" s="13">
        <f>((((VLOOKUP(B402,Database!$A:$AS,MATCH($V$1,Database!$A$1:$AS$1,),))))-(((VLOOKUP(EDATE(B402,-12),Database!$A:$AS,MATCH($V$1,Database!$A$1:$AS$1,),)))))/(((VLOOKUP(EDATE(B402,-12),Database!$A:$AS,MATCH($V$1,Database!$A$1:$AS$1,),))))</f>
        <v>0.11525974025974028</v>
      </c>
    </row>
    <row r="403" spans="2:22" s="83" customFormat="1" x14ac:dyDescent="0.2">
      <c r="B403" s="78">
        <v>44409</v>
      </c>
      <c r="C403" s="13">
        <f>((((VLOOKUP(B403,Database!$A:$AS,MATCH($C$1,Database!$A$1:$AS$1,),))))-(((VLOOKUP(EDATE(B403,-12),Database!$A:$AS,MATCH($C$1,Database!$A$1:$AS$1,),)))))/(((VLOOKUP(EDATE(B403,-12),Database!$A:$AS,MATCH($C$1,Database!$A$1:$AS$1,),))))</f>
        <v>5.43703150630543E-2</v>
      </c>
      <c r="D403" s="13">
        <f>((((VLOOKUP(B403,Database!$A:$AS,MATCH($D$1,Database!$A$1:$AS$1,),))))-(((VLOOKUP(EDATE(B403,-12),Database!$A:$AS,MATCH($D$1,Database!$A$1:$AS$1,),)))))/(((VLOOKUP(EDATE(B403,-12),Database!$A:$AS,MATCH($D$1,Database!$A$1:$AS$1,),))))</f>
        <v>4.6296296296296294E-2</v>
      </c>
      <c r="E403" s="13">
        <f>((((VLOOKUP(B403,Database!$A:$AS,MATCH($E$1,Database!$A$1:$AS$1,),))))-(((VLOOKUP(EDATE(B403,-12),Database!$A:$AS,MATCH($E$1,Database!$A$1:$AS$1,),)))))/(((VLOOKUP(EDATE(B403,-12),Database!$A:$AS,MATCH($E$1,Database!$A$1:$AS$1,),))))</f>
        <v>6.0066740817333458E-2</v>
      </c>
      <c r="F403" s="13">
        <f>((((VLOOKUP(B403,Database!$A:$AS,MATCH($F$1,Database!$A$1:$AS$1,),))))-(((VLOOKUP(EDATE(B403,-12),Database!$A:$AS,MATCH($F$1,Database!$A$1:$AS$1,),)))))/(((VLOOKUP(EDATE(B403,-12),Database!$A:$AS,MATCH($F$1,Database!$A$1:$AS$1,),))))</f>
        <v>2.6755852846500953E-2</v>
      </c>
      <c r="G403" s="13">
        <f>((((VLOOKUP(B403,Database!$A:$AS,MATCH($G$1,Database!$A$1:$AS$1,),))))-(((VLOOKUP(EDATE(B403,-12),Database!$A:$AS,MATCH($G$1,Database!$A$1:$AS$1,),)))))/(((VLOOKUP(EDATE(B403,-12),Database!$A:$AS,MATCH($G$1,Database!$A$1:$AS$1,),))))</f>
        <v>3.8211892797319992E-2</v>
      </c>
      <c r="H403" s="13">
        <f>((((VLOOKUP(B403,Database!$A:$AS,MATCH($H$1,Database!$A$1:$AS$1,),))))-(((VLOOKUP(EDATE(B403,-12),Database!$A:$AS,MATCH($H$1,Database!$A$1:$AS$1,),)))))/(((VLOOKUP(EDATE(B403,-12),Database!$A:$AS,MATCH($H$1,Database!$A$1:$AS$1,),))))</f>
        <v>4.0425531919544906E-2</v>
      </c>
      <c r="I403" s="13">
        <f>((((VLOOKUP(B403,Database!$A:$AS,MATCH($I$1,Database!$A$1:$AS$1,),))))-(((VLOOKUP(EDATE(B403,-12),Database!$A:$AS,MATCH($I$1,Database!$A$1:$AS$1,),)))))/(((VLOOKUP(EDATE(B403,-12),Database!$A:$AS,MATCH($I$1,Database!$A$1:$AS$1,),))))</f>
        <v>-2.8625954190642038E-3</v>
      </c>
      <c r="J403" s="13">
        <f>((((VLOOKUP(B403,Database!$A:$AS,MATCH($J$1,Database!$A$1:$AS$1,),))))-(((VLOOKUP(EDATE(B403,-12),Database!$A:$AS,MATCH($J$1,Database!$A$1:$AS$1,),)))))/(((VLOOKUP(EDATE(B403,-12),Database!$A:$AS,MATCH($J$1,Database!$A$1:$AS$1,),))))</f>
        <v>1.7763596057857999E-2</v>
      </c>
      <c r="K403" s="13">
        <f>((((VLOOKUP(B403,Database!$A:$AS,MATCH($K$1,Database!$A$1:$AS$1,),))))-(((VLOOKUP(EDATE(B403,-12),Database!$A:$AS,MATCH($K$1,Database!$A$1:$AS$1,),)))))/(((VLOOKUP(EDATE(B403,-12),Database!$A:$AS,MATCH($K$1,Database!$A$1:$AS$1,),))))</f>
        <v>2.0702070210244825E-2</v>
      </c>
      <c r="L403" s="13"/>
      <c r="M403" s="13"/>
      <c r="N403" s="13"/>
      <c r="O403" s="13">
        <f>((((VLOOKUP(B403,Database!$A:$AS,MATCH($O$1,Database!$A$1:$AS$1,),))))-(((VLOOKUP(EDATE(B403,-12),Database!$A:$AS,MATCH($O$1,Database!$A$1:$AS$1,),)))))/(((VLOOKUP(EDATE(B403,-12),Database!$A:$AS,MATCH($O$1,Database!$A$1:$AS$1,),))))</f>
        <v>6.9236844650593321E-2</v>
      </c>
      <c r="P403" s="13">
        <f>((((VLOOKUP(B403,Database!$A:$AS,MATCH($P$1,Database!$A$1:$AS$1,),))))-(((VLOOKUP(EDATE(B403,-12),Database!$A:$AS,MATCH($P$1,Database!$A$1:$AS$1,),)))))/(((VLOOKUP(EDATE(B403,-12),Database!$A:$AS,MATCH($P$1,Database!$A$1:$AS$1,),))))</f>
        <v>6.6918001888505496E-2</v>
      </c>
      <c r="Q403" s="13">
        <f>((((VLOOKUP(B403,Database!$A:$AS,MATCH($Q$1,Database!$A$1:$AS$1,),))))-(((VLOOKUP(EDATE(B403,-12),Database!$A:$AS,MATCH($Q$1,Database!$A$1:$AS$1,),)))))/(((VLOOKUP(EDATE(B403,-12),Database!$A:$AS,MATCH($Q$1,Database!$A$1:$AS$1,),))))</f>
        <v>-1.6203703704920355E-2</v>
      </c>
      <c r="R403" s="13">
        <f>((((VLOOKUP(B403,Database!$A:$AS,MATCH($R$1,Database!$A$1:$AS$1,),))))-(((VLOOKUP(EDATE(B403,-12),Database!$A:$AS,MATCH($R$1,Database!$A$1:$AS$1,),)))))/(((VLOOKUP(EDATE(B403,-12),Database!$A:$AS,MATCH($R$1,Database!$A$1:$AS$1,),))))</f>
        <v>0.10426540283896951</v>
      </c>
      <c r="S403" s="13">
        <f>((((VLOOKUP(B403,Database!$A:$AS,MATCH($S$1,Database!$A$1:$AS$1,),))))-(((VLOOKUP(EDATE(B403,-12),Database!$A:$AS,MATCH($S$1,Database!$A$1:$AS$1,),)))))/(((VLOOKUP(EDATE(B403,-12),Database!$A:$AS,MATCH($S$1,Database!$A$1:$AS$1,),))))</f>
        <v>0.25292242295880962</v>
      </c>
      <c r="T403" s="13">
        <f>((((VLOOKUP(B403,Database!$A:$AS,MATCH($T$1,Database!$A$1:$AS$1,),))))-(((VLOOKUP(EDATE(B403,-12),Database!$A:$AS,MATCH($T$1,Database!$A$1:$AS$1,),)))))/(((VLOOKUP(EDATE(B403,-12),Database!$A:$AS,MATCH($T$1,Database!$A$1:$AS$1,),))))</f>
        <v>0.13398692810275956</v>
      </c>
      <c r="U403" s="13">
        <f>((((VLOOKUP(B403,Database!$A:$AS,MATCH($U$1,Database!$A$1:$AS$1,),))))-(((VLOOKUP(EDATE(B403,-12),Database!$A:$AS,MATCH($U$1,Database!$A$1:$AS$1,),)))))/(((VLOOKUP(EDATE(B403,-12),Database!$A:$AS,MATCH($U$1,Database!$A$1:$AS$1,),))))</f>
        <v>9.0579710044821134E-4</v>
      </c>
      <c r="V403" s="13">
        <f>((((VLOOKUP(B403,Database!$A:$AS,MATCH($V$1,Database!$A$1:$AS$1,),))))-(((VLOOKUP(EDATE(B403,-12),Database!$A:$AS,MATCH($V$1,Database!$A$1:$AS$1,),)))))/(((VLOOKUP(EDATE(B403,-12),Database!$A:$AS,MATCH($V$1,Database!$A$1:$AS$1,),))))</f>
        <v>0.10685154975530176</v>
      </c>
    </row>
    <row r="404" spans="2:22" s="83" customFormat="1" x14ac:dyDescent="0.2">
      <c r="B404" s="78">
        <v>44440</v>
      </c>
      <c r="C404" s="13">
        <f>((((VLOOKUP(B404,Database!$A:$AS,MATCH($C$1,Database!$A$1:$AS$1,),))))-(((VLOOKUP(EDATE(B404,-12),Database!$A:$AS,MATCH($C$1,Database!$A$1:$AS$1,),)))))/(((VLOOKUP(EDATE(B404,-12),Database!$A:$AS,MATCH($C$1,Database!$A$1:$AS$1,),))))</f>
        <v>4.6852625311574012E-2</v>
      </c>
      <c r="D404" s="13">
        <f>((((VLOOKUP(B404,Database!$A:$AS,MATCH($D$1,Database!$A$1:$AS$1,),))))-(((VLOOKUP(EDATE(B404,-12),Database!$A:$AS,MATCH($D$1,Database!$A$1:$AS$1,),)))))/(((VLOOKUP(EDATE(B404,-12),Database!$A:$AS,MATCH($D$1,Database!$A$1:$AS$1,),))))</f>
        <v>4.5314109165808504E-2</v>
      </c>
      <c r="E404" s="13">
        <f>((((VLOOKUP(B404,Database!$A:$AS,MATCH($E$1,Database!$A$1:$AS$1,),))))-(((VLOOKUP(EDATE(B404,-12),Database!$A:$AS,MATCH($E$1,Database!$A$1:$AS$1,),)))))/(((VLOOKUP(EDATE(B404,-12),Database!$A:$AS,MATCH($E$1,Database!$A$1:$AS$1,),))))</f>
        <v>-2.3913043478922452E-2</v>
      </c>
      <c r="F404" s="13">
        <f>((((VLOOKUP(B404,Database!$A:$AS,MATCH($F$1,Database!$A$1:$AS$1,),))))-(((VLOOKUP(EDATE(B404,-12),Database!$A:$AS,MATCH($F$1,Database!$A$1:$AS$1,),)))))/(((VLOOKUP(EDATE(B404,-12),Database!$A:$AS,MATCH($F$1,Database!$A$1:$AS$1,),))))</f>
        <v>-1.0881392822496352E-2</v>
      </c>
      <c r="G404" s="13">
        <f>((((VLOOKUP(B404,Database!$A:$AS,MATCH($G$1,Database!$A$1:$AS$1,),))))-(((VLOOKUP(EDATE(B404,-12),Database!$A:$AS,MATCH($G$1,Database!$A$1:$AS$1,),)))))/(((VLOOKUP(EDATE(B404,-12),Database!$A:$AS,MATCH($G$1,Database!$A$1:$AS$1,),))))</f>
        <v>5.0406336796626804E-3</v>
      </c>
      <c r="H404" s="13">
        <f>((((VLOOKUP(B404,Database!$A:$AS,MATCH($H$1,Database!$A$1:$AS$1,),))))-(((VLOOKUP(EDATE(B404,-12),Database!$A:$AS,MATCH($H$1,Database!$A$1:$AS$1,),)))))/(((VLOOKUP(EDATE(B404,-12),Database!$A:$AS,MATCH($H$1,Database!$A$1:$AS$1,),))))</f>
        <v>2.851108764448005E-2</v>
      </c>
      <c r="I404" s="13">
        <f>((((VLOOKUP(B404,Database!$A:$AS,MATCH($I$1,Database!$A$1:$AS$1,),))))-(((VLOOKUP(EDATE(B404,-12),Database!$A:$AS,MATCH($I$1,Database!$A$1:$AS$1,),)))))/(((VLOOKUP(EDATE(B404,-12),Database!$A:$AS,MATCH($I$1,Database!$A$1:$AS$1,),))))</f>
        <v>4.4955044962750296E-2</v>
      </c>
      <c r="J404" s="13">
        <f>((((VLOOKUP(B404,Database!$A:$AS,MATCH($J$1,Database!$A$1:$AS$1,),))))-(((VLOOKUP(EDATE(B404,-12),Database!$A:$AS,MATCH($J$1,Database!$A$1:$AS$1,),)))))/(((VLOOKUP(EDATE(B404,-12),Database!$A:$AS,MATCH($J$1,Database!$A$1:$AS$1,),))))</f>
        <v>1.2177819815559205E-2</v>
      </c>
      <c r="K404" s="13">
        <f>((((VLOOKUP(B404,Database!$A:$AS,MATCH($K$1,Database!$A$1:$AS$1,),))))-(((VLOOKUP(EDATE(B404,-12),Database!$A:$AS,MATCH($K$1,Database!$A$1:$AS$1,),)))))/(((VLOOKUP(EDATE(B404,-12),Database!$A:$AS,MATCH($K$1,Database!$A$1:$AS$1,),))))</f>
        <v>2.997275204424011E-2</v>
      </c>
      <c r="L404" s="13"/>
      <c r="M404" s="13"/>
      <c r="N404" s="13"/>
      <c r="O404" s="13">
        <f>((((VLOOKUP(B404,Database!$A:$AS,MATCH($O$1,Database!$A$1:$AS$1,),))))-(((VLOOKUP(EDATE(B404,-12),Database!$A:$AS,MATCH($O$1,Database!$A$1:$AS$1,),)))))/(((VLOOKUP(EDATE(B404,-12),Database!$A:$AS,MATCH($O$1,Database!$A$1:$AS$1,),))))</f>
        <v>4.8357878985848611E-2</v>
      </c>
      <c r="P404" s="13">
        <f>((((VLOOKUP(B404,Database!$A:$AS,MATCH($P$1,Database!$A$1:$AS$1,),))))-(((VLOOKUP(EDATE(B404,-12),Database!$A:$AS,MATCH($P$1,Database!$A$1:$AS$1,),)))))/(((VLOOKUP(EDATE(B404,-12),Database!$A:$AS,MATCH($P$1,Database!$A$1:$AS$1,),))))</f>
        <v>2.3765996340149895E-2</v>
      </c>
      <c r="Q404" s="13">
        <f>((((VLOOKUP(B404,Database!$A:$AS,MATCH($Q$1,Database!$A$1:$AS$1,),))))-(((VLOOKUP(EDATE(B404,-12),Database!$A:$AS,MATCH($Q$1,Database!$A$1:$AS$1,),)))))/(((VLOOKUP(EDATE(B404,-12),Database!$A:$AS,MATCH($Q$1,Database!$A$1:$AS$1,),))))</f>
        <v>-4.4018058690629122E-2</v>
      </c>
      <c r="R404" s="13">
        <f>((((VLOOKUP(B404,Database!$A:$AS,MATCH($R$1,Database!$A$1:$AS$1,),))))-(((VLOOKUP(EDATE(B404,-12),Database!$A:$AS,MATCH($R$1,Database!$A$1:$AS$1,),)))))/(((VLOOKUP(EDATE(B404,-12),Database!$A:$AS,MATCH($R$1,Database!$A$1:$AS$1,),))))</f>
        <v>0.1036414565853039</v>
      </c>
      <c r="S404" s="13">
        <f>((((VLOOKUP(B404,Database!$A:$AS,MATCH($S$1,Database!$A$1:$AS$1,),))))-(((VLOOKUP(EDATE(B404,-12),Database!$A:$AS,MATCH($S$1,Database!$A$1:$AS$1,),)))))/(((VLOOKUP(EDATE(B404,-12),Database!$A:$AS,MATCH($S$1,Database!$A$1:$AS$1,),))))</f>
        <v>0.44549763034068124</v>
      </c>
      <c r="T404" s="13">
        <f>((((VLOOKUP(B404,Database!$A:$AS,MATCH($T$1,Database!$A$1:$AS$1,),))))-(((VLOOKUP(EDATE(B404,-12),Database!$A:$AS,MATCH($T$1,Database!$A$1:$AS$1,),)))))/(((VLOOKUP(EDATE(B404,-12),Database!$A:$AS,MATCH($T$1,Database!$A$1:$AS$1,),))))</f>
        <v>9.1853035147623607E-2</v>
      </c>
      <c r="U404" s="13">
        <f>((((VLOOKUP(B404,Database!$A:$AS,MATCH($U$1,Database!$A$1:$AS$1,),))))-(((VLOOKUP(EDATE(B404,-12),Database!$A:$AS,MATCH($U$1,Database!$A$1:$AS$1,),)))))/(((VLOOKUP(EDATE(B404,-12),Database!$A:$AS,MATCH($U$1,Database!$A$1:$AS$1,),))))</f>
        <v>-3.6837376455246394E-2</v>
      </c>
      <c r="V404" s="13">
        <f>((((VLOOKUP(B404,Database!$A:$AS,MATCH($V$1,Database!$A$1:$AS$1,),))))-(((VLOOKUP(EDATE(B404,-12),Database!$A:$AS,MATCH($V$1,Database!$A$1:$AS$1,),)))))/(((VLOOKUP(EDATE(B404,-12),Database!$A:$AS,MATCH($V$1,Database!$A$1:$AS$1,),))))</f>
        <v>8.9314194577352374E-2</v>
      </c>
    </row>
    <row r="405" spans="2:22" s="83" customFormat="1" x14ac:dyDescent="0.2">
      <c r="B405" s="78">
        <v>44470</v>
      </c>
      <c r="C405" s="13">
        <f>((((VLOOKUP(B405,Database!$A:$AS,MATCH($C$1,Database!$A$1:$AS$1,),))))-(((VLOOKUP(EDATE(B405,-12),Database!$A:$AS,MATCH($C$1,Database!$A$1:$AS$1,),)))))/(((VLOOKUP(EDATE(B405,-12),Database!$A:$AS,MATCH($C$1,Database!$A$1:$AS$1,),))))</f>
        <v>5.2931644968930248E-2</v>
      </c>
      <c r="D405" s="13">
        <f>((((VLOOKUP(B405,Database!$A:$AS,MATCH($D$1,Database!$A$1:$AS$1,),))))-(((VLOOKUP(EDATE(B405,-12),Database!$A:$AS,MATCH($D$1,Database!$A$1:$AS$1,),)))))/(((VLOOKUP(EDATE(B405,-12),Database!$A:$AS,MATCH($D$1,Database!$A$1:$AS$1,),))))</f>
        <v>2.7027027027026911E-2</v>
      </c>
      <c r="E405" s="13">
        <f>((((VLOOKUP(B405,Database!$A:$AS,MATCH($E$1,Database!$A$1:$AS$1,),))))-(((VLOOKUP(EDATE(B405,-12),Database!$A:$AS,MATCH($E$1,Database!$A$1:$AS$1,),)))))/(((VLOOKUP(EDATE(B405,-12),Database!$A:$AS,MATCH($E$1,Database!$A$1:$AS$1,),))))</f>
        <v>-3.0949839909700377E-2</v>
      </c>
      <c r="F405" s="13">
        <f>((((VLOOKUP(B405,Database!$A:$AS,MATCH($F$1,Database!$A$1:$AS$1,),))))-(((VLOOKUP(EDATE(B405,-12),Database!$A:$AS,MATCH($F$1,Database!$A$1:$AS$1,),)))))/(((VLOOKUP(EDATE(B405,-12),Database!$A:$AS,MATCH($F$1,Database!$A$1:$AS$1,),))))</f>
        <v>-1.3669821233556319E-2</v>
      </c>
      <c r="G405" s="13">
        <f>((((VLOOKUP(B405,Database!$A:$AS,MATCH($G$1,Database!$A$1:$AS$1,),))))-(((VLOOKUP(EDATE(B405,-12),Database!$A:$AS,MATCH($G$1,Database!$A$1:$AS$1,),)))))/(((VLOOKUP(EDATE(B405,-12),Database!$A:$AS,MATCH($G$1,Database!$A$1:$AS$1,),))))</f>
        <v>-5.450141299959548E-3</v>
      </c>
      <c r="H405" s="13">
        <f>((((VLOOKUP(B405,Database!$A:$AS,MATCH($H$1,Database!$A$1:$AS$1,),))))-(((VLOOKUP(EDATE(B405,-12),Database!$A:$AS,MATCH($H$1,Database!$A$1:$AS$1,),)))))/(((VLOOKUP(EDATE(B405,-12),Database!$A:$AS,MATCH($H$1,Database!$A$1:$AS$1,),))))</f>
        <v>1.3612565445739924E-2</v>
      </c>
      <c r="I405" s="13">
        <f>((((VLOOKUP(B405,Database!$A:$AS,MATCH($I$1,Database!$A$1:$AS$1,),))))-(((VLOOKUP(EDATE(B405,-12),Database!$A:$AS,MATCH($I$1,Database!$A$1:$AS$1,),)))))/(((VLOOKUP(EDATE(B405,-12),Database!$A:$AS,MATCH($I$1,Database!$A$1:$AS$1,),))))</f>
        <v>1.9607843135140076E-2</v>
      </c>
      <c r="J405" s="13">
        <f>((((VLOOKUP(B405,Database!$A:$AS,MATCH($J$1,Database!$A$1:$AS$1,),))))-(((VLOOKUP(EDATE(B405,-12),Database!$A:$AS,MATCH($J$1,Database!$A$1:$AS$1,),)))))/(((VLOOKUP(EDATE(B405,-12),Database!$A:$AS,MATCH($J$1,Database!$A$1:$AS$1,),))))</f>
        <v>-5.3862772205503272E-3</v>
      </c>
      <c r="K405" s="13">
        <f>((((VLOOKUP(B405,Database!$A:$AS,MATCH($K$1,Database!$A$1:$AS$1,),))))-(((VLOOKUP(EDATE(B405,-12),Database!$A:$AS,MATCH($K$1,Database!$A$1:$AS$1,),)))))/(((VLOOKUP(EDATE(B405,-12),Database!$A:$AS,MATCH($K$1,Database!$A$1:$AS$1,),))))</f>
        <v>4.5454545450826812E-2</v>
      </c>
      <c r="L405" s="13"/>
      <c r="M405" s="13"/>
      <c r="N405" s="13"/>
      <c r="O405" s="13">
        <f>((((VLOOKUP(B405,Database!$A:$AS,MATCH($O$1,Database!$A$1:$AS$1,),))))-(((VLOOKUP(EDATE(B405,-12),Database!$A:$AS,MATCH($O$1,Database!$A$1:$AS$1,),)))))/(((VLOOKUP(EDATE(B405,-12),Database!$A:$AS,MATCH($O$1,Database!$A$1:$AS$1,),))))</f>
        <v>7.1777475534121421E-2</v>
      </c>
      <c r="P405" s="13">
        <f>((((VLOOKUP(B405,Database!$A:$AS,MATCH($P$1,Database!$A$1:$AS$1,),))))-(((VLOOKUP(EDATE(B405,-12),Database!$A:$AS,MATCH($P$1,Database!$A$1:$AS$1,),)))))/(((VLOOKUP(EDATE(B405,-12),Database!$A:$AS,MATCH($P$1,Database!$A$1:$AS$1,),))))</f>
        <v>-1.8382352966690766E-3</v>
      </c>
      <c r="Q405" s="13">
        <f>((((VLOOKUP(B405,Database!$A:$AS,MATCH($Q$1,Database!$A$1:$AS$1,),))))-(((VLOOKUP(EDATE(B405,-12),Database!$A:$AS,MATCH($Q$1,Database!$A$1:$AS$1,),)))))/(((VLOOKUP(EDATE(B405,-12),Database!$A:$AS,MATCH($Q$1,Database!$A$1:$AS$1,),))))</f>
        <v>-5.941704035942931E-2</v>
      </c>
      <c r="R405" s="13">
        <f>((((VLOOKUP(B405,Database!$A:$AS,MATCH($R$1,Database!$A$1:$AS$1,),))))-(((VLOOKUP(EDATE(B405,-12),Database!$A:$AS,MATCH($R$1,Database!$A$1:$AS$1,),)))))/(((VLOOKUP(EDATE(B405,-12),Database!$A:$AS,MATCH($R$1,Database!$A$1:$AS$1,),))))</f>
        <v>0.16779170684989445</v>
      </c>
      <c r="S405" s="13">
        <f>((((VLOOKUP(B405,Database!$A:$AS,MATCH($S$1,Database!$A$1:$AS$1,),))))-(((VLOOKUP(EDATE(B405,-12),Database!$A:$AS,MATCH($S$1,Database!$A$1:$AS$1,),)))))/(((VLOOKUP(EDATE(B405,-12),Database!$A:$AS,MATCH($S$1,Database!$A$1:$AS$1,),))))</f>
        <v>-2.5135511324954469E-2</v>
      </c>
      <c r="T405" s="13">
        <f>((((VLOOKUP(B405,Database!$A:$AS,MATCH($T$1,Database!$A$1:$AS$1,),))))-(((VLOOKUP(EDATE(B405,-12),Database!$A:$AS,MATCH($T$1,Database!$A$1:$AS$1,),)))))/(((VLOOKUP(EDATE(B405,-12),Database!$A:$AS,MATCH($T$1,Database!$A$1:$AS$1,),))))</f>
        <v>9.2930897535475815E-2</v>
      </c>
      <c r="U405" s="13">
        <f>((((VLOOKUP(B405,Database!$A:$AS,MATCH($U$1,Database!$A$1:$AS$1,),))))-(((VLOOKUP(EDATE(B405,-12),Database!$A:$AS,MATCH($U$1,Database!$A$1:$AS$1,),)))))/(((VLOOKUP(EDATE(B405,-12),Database!$A:$AS,MATCH($U$1,Database!$A$1:$AS$1,),))))</f>
        <v>-5.0043898153594592E-2</v>
      </c>
      <c r="V405" s="13">
        <f>((((VLOOKUP(B405,Database!$A:$AS,MATCH($V$1,Database!$A$1:$AS$1,),))))-(((VLOOKUP(EDATE(B405,-12),Database!$A:$AS,MATCH($V$1,Database!$A$1:$AS$1,),)))))/(((VLOOKUP(EDATE(B405,-12),Database!$A:$AS,MATCH($V$1,Database!$A$1:$AS$1,),))))</f>
        <v>0.10031595576619287</v>
      </c>
    </row>
    <row r="406" spans="2:22" s="83" customFormat="1" x14ac:dyDescent="0.2">
      <c r="B406" s="78">
        <v>44501</v>
      </c>
      <c r="C406" s="13">
        <f>((((VLOOKUP(B406,Database!$A:$AS,MATCH($C$1,Database!$A$1:$AS$1,),))))-(((VLOOKUP(EDATE(B406,-12),Database!$A:$AS,MATCH($C$1,Database!$A$1:$AS$1,),)))))/(((VLOOKUP(EDATE(B406,-12),Database!$A:$AS,MATCH($C$1,Database!$A$1:$AS$1,),))))</f>
        <v>5.2740351315401057E-2</v>
      </c>
      <c r="D406" s="13">
        <f>((((VLOOKUP(B406,Database!$A:$AS,MATCH($D$1,Database!$A$1:$AS$1,),))))-(((VLOOKUP(EDATE(B406,-12),Database!$A:$AS,MATCH($D$1,Database!$A$1:$AS$1,),)))))/(((VLOOKUP(EDATE(B406,-12),Database!$A:$AS,MATCH($D$1,Database!$A$1:$AS$1,),))))</f>
        <v>1.1933361441176446E-2</v>
      </c>
      <c r="E406" s="13">
        <f>((((VLOOKUP(B406,Database!$A:$AS,MATCH($E$1,Database!$A$1:$AS$1,),))))-(((VLOOKUP(EDATE(B406,-12),Database!$A:$AS,MATCH($E$1,Database!$A$1:$AS$1,),)))))/(((VLOOKUP(EDATE(B406,-12),Database!$A:$AS,MATCH($E$1,Database!$A$1:$AS$1,),))))</f>
        <v>3.5106382979775932E-2</v>
      </c>
      <c r="F406" s="13">
        <f>((((VLOOKUP(B406,Database!$A:$AS,MATCH($F$1,Database!$A$1:$AS$1,),))))-(((VLOOKUP(EDATE(B406,-12),Database!$A:$AS,MATCH($F$1,Database!$A$1:$AS$1,),)))))/(((VLOOKUP(EDATE(B406,-12),Database!$A:$AS,MATCH($F$1,Database!$A$1:$AS$1,),))))</f>
        <v>-2.4922118383459188E-2</v>
      </c>
      <c r="G406" s="13">
        <f>((((VLOOKUP(B406,Database!$A:$AS,MATCH($G$1,Database!$A$1:$AS$1,),))))-(((VLOOKUP(EDATE(B406,-12),Database!$A:$AS,MATCH($G$1,Database!$A$1:$AS$1,),)))))/(((VLOOKUP(EDATE(B406,-12),Database!$A:$AS,MATCH($G$1,Database!$A$1:$AS$1,),))))</f>
        <v>-4.9700781012273973E-3</v>
      </c>
      <c r="H406" s="13">
        <f>((((VLOOKUP(B406,Database!$A:$AS,MATCH($H$1,Database!$A$1:$AS$1,),))))-(((VLOOKUP(EDATE(B406,-12),Database!$A:$AS,MATCH($H$1,Database!$A$1:$AS$1,),)))))/(((VLOOKUP(EDATE(B406,-12),Database!$A:$AS,MATCH($H$1,Database!$A$1:$AS$1,),))))</f>
        <v>-1</v>
      </c>
      <c r="I406" s="13">
        <f>((((VLOOKUP(B406,Database!$A:$AS,MATCH($I$1,Database!$A$1:$AS$1,),))))-(((VLOOKUP(EDATE(B406,-12),Database!$A:$AS,MATCH($I$1,Database!$A$1:$AS$1,),)))))/(((VLOOKUP(EDATE(B406,-12),Database!$A:$AS,MATCH($I$1,Database!$A$1:$AS$1,),))))</f>
        <v>5.6660039765730009E-2</v>
      </c>
      <c r="J406" s="13">
        <f>((((VLOOKUP(B406,Database!$A:$AS,MATCH($J$1,Database!$A$1:$AS$1,),))))-(((VLOOKUP(EDATE(B406,-12),Database!$A:$AS,MATCH($J$1,Database!$A$1:$AS$1,),)))))/(((VLOOKUP(EDATE(B406,-12),Database!$A:$AS,MATCH($J$1,Database!$A$1:$AS$1,),))))</f>
        <v>4.871840407269281E-2</v>
      </c>
      <c r="K406" s="13">
        <f>((((VLOOKUP(B406,Database!$A:$AS,MATCH($K$1,Database!$A$1:$AS$1,),))))-(((VLOOKUP(EDATE(B406,-12),Database!$A:$AS,MATCH($K$1,Database!$A$1:$AS$1,),)))))/(((VLOOKUP(EDATE(B406,-12),Database!$A:$AS,MATCH($K$1,Database!$A$1:$AS$1,),))))</f>
        <v>4.8650858911076213E-2</v>
      </c>
      <c r="L406" s="13"/>
      <c r="M406" s="13"/>
      <c r="N406" s="13"/>
      <c r="O406" s="13">
        <f>((((VLOOKUP(B406,Database!$A:$AS,MATCH($O$1,Database!$A$1:$AS$1,),))))-(((VLOOKUP(EDATE(B406,-12),Database!$A:$AS,MATCH($O$1,Database!$A$1:$AS$1,),)))))/(((VLOOKUP(EDATE(B406,-12),Database!$A:$AS,MATCH($O$1,Database!$A$1:$AS$1,),))))</f>
        <v>-1</v>
      </c>
      <c r="P406" s="13">
        <f>((((VLOOKUP(B406,Database!$A:$AS,MATCH($P$1,Database!$A$1:$AS$1,),))))-(((VLOOKUP(EDATE(B406,-12),Database!$A:$AS,MATCH($P$1,Database!$A$1:$AS$1,),)))))/(((VLOOKUP(EDATE(B406,-12),Database!$A:$AS,MATCH($P$1,Database!$A$1:$AS$1,),))))</f>
        <v>4.3915827993167643E-2</v>
      </c>
      <c r="Q406" s="13">
        <f>((((VLOOKUP(B406,Database!$A:$AS,MATCH($Q$1,Database!$A$1:$AS$1,),))))-(((VLOOKUP(EDATE(B406,-12),Database!$A:$AS,MATCH($Q$1,Database!$A$1:$AS$1,),)))))/(((VLOOKUP(EDATE(B406,-12),Database!$A:$AS,MATCH($Q$1,Database!$A$1:$AS$1,),))))</f>
        <v>-6.7928730516630745E-2</v>
      </c>
      <c r="R406" s="13">
        <f>((((VLOOKUP(B406,Database!$A:$AS,MATCH($R$1,Database!$A$1:$AS$1,),))))-(((VLOOKUP(EDATE(B406,-12),Database!$A:$AS,MATCH($R$1,Database!$A$1:$AS$1,),)))))/(((VLOOKUP(EDATE(B406,-12),Database!$A:$AS,MATCH($R$1,Database!$A$1:$AS$1,),))))</f>
        <v>7.8378378379767924E-2</v>
      </c>
      <c r="S406" s="13">
        <f>((((VLOOKUP(B406,Database!$A:$AS,MATCH($S$1,Database!$A$1:$AS$1,),))))-(((VLOOKUP(EDATE(B406,-12),Database!$A:$AS,MATCH($S$1,Database!$A$1:$AS$1,),)))))/(((VLOOKUP(EDATE(B406,-12),Database!$A:$AS,MATCH($S$1,Database!$A$1:$AS$1,),))))</f>
        <v>-3.7594706978883612E-2</v>
      </c>
      <c r="T406" s="13">
        <f>((((VLOOKUP(B406,Database!$A:$AS,MATCH($T$1,Database!$A$1:$AS$1,),))))-(((VLOOKUP(EDATE(B406,-12),Database!$A:$AS,MATCH($T$1,Database!$A$1:$AS$1,),)))))/(((VLOOKUP(EDATE(B406,-12),Database!$A:$AS,MATCH($T$1,Database!$A$1:$AS$1,),))))</f>
        <v>-1</v>
      </c>
      <c r="U406" s="13">
        <f>((((VLOOKUP(B406,Database!$A:$AS,MATCH($U$1,Database!$A$1:$AS$1,),))))-(((VLOOKUP(EDATE(B406,-12),Database!$A:$AS,MATCH($U$1,Database!$A$1:$AS$1,),)))))/(((VLOOKUP(EDATE(B406,-12),Database!$A:$AS,MATCH($U$1,Database!$A$1:$AS$1,),))))</f>
        <v>-8.7873462117108239E-4</v>
      </c>
      <c r="V406" s="13">
        <f>((((VLOOKUP(B406,Database!$A:$AS,MATCH($V$1,Database!$A$1:$AS$1,),))))-(((VLOOKUP(EDATE(B406,-12),Database!$A:$AS,MATCH($V$1,Database!$A$1:$AS$1,),)))))/(((VLOOKUP(EDATE(B406,-12),Database!$A:$AS,MATCH($V$1,Database!$A$1:$AS$1,),))))</f>
        <v>0.15438871473354246</v>
      </c>
    </row>
    <row r="407" spans="2:22" s="83" customFormat="1" x14ac:dyDescent="0.2"/>
    <row r="408" spans="2:22" s="83" customFormat="1" x14ac:dyDescent="0.2"/>
    <row r="409" spans="2:22" s="83" customFormat="1" x14ac:dyDescent="0.2"/>
    <row r="410" spans="2:22" s="83" customFormat="1" x14ac:dyDescent="0.2"/>
    <row r="411" spans="2:22" s="83" customFormat="1" x14ac:dyDescent="0.2"/>
    <row r="412" spans="2:22" s="83" customFormat="1" x14ac:dyDescent="0.2"/>
    <row r="413" spans="2:22" s="83" customFormat="1" x14ac:dyDescent="0.2"/>
    <row r="414" spans="2:22" s="83" customFormat="1" x14ac:dyDescent="0.2"/>
    <row r="415" spans="2:22" s="83" customFormat="1" x14ac:dyDescent="0.2"/>
    <row r="416" spans="2:22" s="83" customFormat="1" x14ac:dyDescent="0.2"/>
    <row r="417" s="83" customFormat="1" x14ac:dyDescent="0.2"/>
    <row r="418" s="83" customFormat="1" x14ac:dyDescent="0.2"/>
    <row r="419" s="83" customFormat="1" x14ac:dyDescent="0.2"/>
    <row r="420" s="83" customFormat="1" x14ac:dyDescent="0.2"/>
    <row r="421" s="83" customFormat="1" x14ac:dyDescent="0.2"/>
    <row r="422" s="83" customFormat="1" x14ac:dyDescent="0.2"/>
    <row r="423" s="83" customFormat="1" x14ac:dyDescent="0.2"/>
    <row r="424" s="83" customFormat="1" x14ac:dyDescent="0.2"/>
    <row r="425" s="83" customFormat="1" x14ac:dyDescent="0.2"/>
    <row r="426" s="83" customFormat="1" x14ac:dyDescent="0.2"/>
    <row r="427" s="83" customFormat="1" x14ac:dyDescent="0.2"/>
    <row r="428" s="83" customFormat="1" x14ac:dyDescent="0.2"/>
    <row r="429" s="83" customFormat="1" x14ac:dyDescent="0.2"/>
    <row r="430" s="83" customFormat="1" x14ac:dyDescent="0.2"/>
    <row r="431" s="83" customFormat="1" x14ac:dyDescent="0.2"/>
    <row r="432" s="83" customFormat="1" x14ac:dyDescent="0.2"/>
    <row r="433" s="83" customFormat="1" x14ac:dyDescent="0.2"/>
    <row r="434" s="83" customFormat="1" x14ac:dyDescent="0.2"/>
    <row r="435" s="83" customFormat="1" x14ac:dyDescent="0.2"/>
    <row r="436" s="83" customFormat="1" x14ac:dyDescent="0.2"/>
    <row r="437" s="83" customFormat="1" x14ac:dyDescent="0.2"/>
    <row r="438" s="83" customFormat="1" x14ac:dyDescent="0.2"/>
    <row r="439" s="83" customFormat="1" x14ac:dyDescent="0.2"/>
    <row r="440" s="83" customFormat="1" x14ac:dyDescent="0.2"/>
    <row r="441" s="83" customFormat="1" x14ac:dyDescent="0.2"/>
    <row r="442" s="83" customFormat="1" x14ac:dyDescent="0.2"/>
    <row r="443" s="83" customFormat="1" x14ac:dyDescent="0.2"/>
    <row r="444" s="83" customFormat="1" x14ac:dyDescent="0.2"/>
    <row r="445" s="83" customFormat="1" x14ac:dyDescent="0.2"/>
    <row r="446" s="83" customFormat="1" x14ac:dyDescent="0.2"/>
    <row r="447" s="83" customFormat="1" x14ac:dyDescent="0.2"/>
    <row r="448" s="83" customFormat="1" x14ac:dyDescent="0.2"/>
    <row r="449" s="83" customFormat="1" x14ac:dyDescent="0.2"/>
    <row r="450" s="83" customFormat="1" x14ac:dyDescent="0.2"/>
    <row r="451" s="83" customFormat="1" x14ac:dyDescent="0.2"/>
    <row r="452" s="83" customFormat="1" x14ac:dyDescent="0.2"/>
    <row r="453" s="83" customFormat="1" x14ac:dyDescent="0.2"/>
    <row r="454" s="83" customFormat="1" x14ac:dyDescent="0.2"/>
    <row r="455" s="83" customFormat="1" x14ac:dyDescent="0.2"/>
    <row r="456" s="83" customFormat="1" x14ac:dyDescent="0.2"/>
    <row r="457" s="83" customFormat="1" x14ac:dyDescent="0.2"/>
    <row r="458" s="83" customFormat="1" x14ac:dyDescent="0.2"/>
    <row r="459" s="83" customFormat="1" x14ac:dyDescent="0.2"/>
    <row r="460" s="83" customFormat="1" x14ac:dyDescent="0.2"/>
    <row r="461" s="83" customFormat="1" x14ac:dyDescent="0.2"/>
    <row r="462" s="83" customFormat="1" x14ac:dyDescent="0.2"/>
    <row r="463" s="83" customFormat="1" x14ac:dyDescent="0.2"/>
    <row r="464" s="83" customFormat="1" x14ac:dyDescent="0.2"/>
    <row r="465" s="83" customFormat="1" x14ac:dyDescent="0.2"/>
    <row r="466" s="83" customFormat="1" x14ac:dyDescent="0.2"/>
    <row r="467" s="83" customFormat="1" x14ac:dyDescent="0.2"/>
    <row r="468" s="83" customFormat="1" x14ac:dyDescent="0.2"/>
    <row r="469" s="83" customFormat="1" x14ac:dyDescent="0.2"/>
    <row r="470" s="83" customFormat="1" x14ac:dyDescent="0.2"/>
    <row r="471" s="83" customFormat="1" x14ac:dyDescent="0.2"/>
    <row r="472" s="83" customFormat="1" x14ac:dyDescent="0.2"/>
    <row r="473" s="83" customFormat="1" x14ac:dyDescent="0.2"/>
    <row r="474" s="83" customFormat="1" x14ac:dyDescent="0.2"/>
    <row r="475" s="83" customFormat="1" x14ac:dyDescent="0.2"/>
    <row r="476" s="83" customFormat="1" x14ac:dyDescent="0.2"/>
    <row r="477" s="83" customFormat="1" x14ac:dyDescent="0.2"/>
    <row r="478" s="83" customFormat="1" x14ac:dyDescent="0.2"/>
    <row r="479" s="83" customFormat="1" x14ac:dyDescent="0.2"/>
    <row r="480" s="83" customFormat="1" x14ac:dyDescent="0.2"/>
    <row r="481" s="83" customFormat="1" x14ac:dyDescent="0.2"/>
    <row r="482" s="83" customFormat="1" x14ac:dyDescent="0.2"/>
    <row r="483" s="83" customFormat="1" x14ac:dyDescent="0.2"/>
    <row r="484" s="83" customFormat="1" x14ac:dyDescent="0.2"/>
    <row r="485" s="83" customFormat="1" x14ac:dyDescent="0.2"/>
    <row r="486" s="83" customFormat="1" x14ac:dyDescent="0.2"/>
    <row r="487" s="83" customFormat="1" x14ac:dyDescent="0.2"/>
    <row r="488" s="83" customFormat="1" x14ac:dyDescent="0.2"/>
    <row r="489" s="83" customFormat="1" x14ac:dyDescent="0.2"/>
    <row r="490" s="83" customFormat="1" x14ac:dyDescent="0.2"/>
    <row r="491" s="83" customFormat="1" x14ac:dyDescent="0.2"/>
    <row r="492" s="83" customFormat="1" x14ac:dyDescent="0.2"/>
    <row r="493" s="83" customFormat="1" x14ac:dyDescent="0.2"/>
    <row r="494" s="83" customFormat="1" x14ac:dyDescent="0.2"/>
    <row r="495" s="83" customFormat="1" x14ac:dyDescent="0.2"/>
    <row r="496" s="83" customFormat="1" x14ac:dyDescent="0.2"/>
    <row r="497" s="83" customFormat="1" x14ac:dyDescent="0.2"/>
    <row r="498" s="83" customFormat="1" x14ac:dyDescent="0.2"/>
    <row r="499" s="83" customFormat="1" x14ac:dyDescent="0.2"/>
    <row r="500" s="83" customFormat="1" x14ac:dyDescent="0.2"/>
    <row r="501" s="83" customFormat="1" x14ac:dyDescent="0.2"/>
    <row r="502" s="83" customFormat="1" x14ac:dyDescent="0.2"/>
    <row r="503" s="83" customFormat="1" x14ac:dyDescent="0.2"/>
    <row r="504" s="83" customFormat="1" x14ac:dyDescent="0.2"/>
    <row r="505" s="83" customFormat="1" x14ac:dyDescent="0.2"/>
    <row r="506" s="83" customFormat="1" x14ac:dyDescent="0.2"/>
    <row r="507" s="83" customFormat="1" x14ac:dyDescent="0.2"/>
    <row r="508" s="83" customFormat="1" x14ac:dyDescent="0.2"/>
    <row r="509" s="83" customFormat="1" x14ac:dyDescent="0.2"/>
    <row r="510" s="83" customFormat="1" x14ac:dyDescent="0.2"/>
    <row r="511" s="83" customFormat="1" x14ac:dyDescent="0.2"/>
    <row r="512" s="83" customFormat="1" x14ac:dyDescent="0.2"/>
    <row r="513" s="83" customFormat="1" x14ac:dyDescent="0.2"/>
    <row r="514" s="83" customFormat="1" x14ac:dyDescent="0.2"/>
    <row r="515" s="83" customFormat="1" x14ac:dyDescent="0.2"/>
    <row r="516" s="83" customFormat="1" x14ac:dyDescent="0.2"/>
    <row r="517" s="83" customFormat="1" x14ac:dyDescent="0.2"/>
    <row r="518" s="83" customFormat="1" x14ac:dyDescent="0.2"/>
    <row r="519" s="83" customFormat="1" x14ac:dyDescent="0.2"/>
    <row r="520" s="83" customFormat="1" x14ac:dyDescent="0.2"/>
    <row r="521" s="83" customFormat="1" x14ac:dyDescent="0.2"/>
    <row r="522" s="83" customFormat="1" x14ac:dyDescent="0.2"/>
    <row r="523" s="83" customFormat="1" x14ac:dyDescent="0.2"/>
    <row r="524" s="83" customFormat="1" x14ac:dyDescent="0.2"/>
    <row r="525" s="83" customFormat="1" x14ac:dyDescent="0.2"/>
    <row r="526" s="83" customFormat="1" x14ac:dyDescent="0.2"/>
    <row r="527" s="83" customFormat="1" x14ac:dyDescent="0.2"/>
    <row r="528" s="83" customFormat="1" x14ac:dyDescent="0.2"/>
    <row r="529" s="83" customFormat="1" x14ac:dyDescent="0.2"/>
    <row r="530" s="83" customFormat="1" x14ac:dyDescent="0.2"/>
    <row r="531" s="83" customFormat="1" x14ac:dyDescent="0.2"/>
    <row r="532" s="83" customFormat="1" x14ac:dyDescent="0.2"/>
    <row r="533" s="83" customFormat="1" x14ac:dyDescent="0.2"/>
    <row r="534" s="83" customFormat="1" x14ac:dyDescent="0.2"/>
    <row r="535" s="83" customFormat="1" x14ac:dyDescent="0.2"/>
    <row r="536" s="83" customFormat="1" x14ac:dyDescent="0.2"/>
    <row r="537" s="83" customFormat="1" x14ac:dyDescent="0.2"/>
    <row r="538" s="83" customFormat="1" x14ac:dyDescent="0.2"/>
    <row r="539" s="83" customFormat="1" x14ac:dyDescent="0.2"/>
    <row r="540" s="83" customFormat="1" x14ac:dyDescent="0.2"/>
    <row r="541" s="83" customFormat="1" x14ac:dyDescent="0.2"/>
    <row r="542" s="83" customFormat="1" x14ac:dyDescent="0.2"/>
    <row r="543" s="83" customFormat="1" x14ac:dyDescent="0.2"/>
    <row r="544" s="83" customFormat="1" x14ac:dyDescent="0.2"/>
    <row r="545" s="83" customFormat="1" x14ac:dyDescent="0.2"/>
    <row r="546" s="83" customFormat="1" x14ac:dyDescent="0.2"/>
    <row r="547" s="83" customFormat="1" x14ac:dyDescent="0.2"/>
    <row r="548" s="83" customFormat="1" x14ac:dyDescent="0.2"/>
    <row r="549" s="83" customFormat="1" x14ac:dyDescent="0.2"/>
    <row r="550" s="83" customFormat="1" x14ac:dyDescent="0.2"/>
    <row r="551" s="83" customFormat="1" x14ac:dyDescent="0.2"/>
    <row r="552" s="83" customFormat="1" x14ac:dyDescent="0.2"/>
    <row r="553" s="83" customFormat="1" x14ac:dyDescent="0.2"/>
    <row r="554" s="83" customFormat="1" x14ac:dyDescent="0.2"/>
    <row r="555" s="83" customFormat="1" x14ac:dyDescent="0.2"/>
    <row r="556" s="83" customFormat="1" x14ac:dyDescent="0.2"/>
    <row r="557" s="83" customFormat="1" x14ac:dyDescent="0.2"/>
    <row r="558" s="83" customFormat="1" x14ac:dyDescent="0.2"/>
    <row r="559" s="83" customFormat="1" x14ac:dyDescent="0.2"/>
    <row r="560" s="83" customFormat="1" x14ac:dyDescent="0.2"/>
    <row r="561" s="83" customFormat="1" x14ac:dyDescent="0.2"/>
    <row r="562" s="83" customFormat="1" x14ac:dyDescent="0.2"/>
    <row r="563" s="83" customFormat="1" x14ac:dyDescent="0.2"/>
    <row r="564" s="83" customFormat="1" x14ac:dyDescent="0.2"/>
    <row r="565" s="83" customFormat="1" x14ac:dyDescent="0.2"/>
    <row r="566" s="83" customFormat="1" x14ac:dyDescent="0.2"/>
    <row r="567" s="83" customFormat="1" x14ac:dyDescent="0.2"/>
    <row r="568" s="83" customFormat="1" x14ac:dyDescent="0.2"/>
    <row r="569" s="83" customFormat="1" x14ac:dyDescent="0.2"/>
    <row r="570" s="83" customFormat="1" x14ac:dyDescent="0.2"/>
    <row r="571" s="83" customFormat="1" x14ac:dyDescent="0.2"/>
    <row r="572" s="83" customFormat="1" x14ac:dyDescent="0.2"/>
    <row r="573" s="83" customFormat="1" x14ac:dyDescent="0.2"/>
    <row r="574" s="83" customFormat="1" x14ac:dyDescent="0.2"/>
    <row r="575" s="83" customFormat="1" x14ac:dyDescent="0.2"/>
    <row r="576" s="83" customFormat="1" x14ac:dyDescent="0.2"/>
    <row r="577" s="83" customFormat="1" x14ac:dyDescent="0.2"/>
    <row r="578" s="83" customFormat="1" x14ac:dyDescent="0.2"/>
    <row r="579" s="83" customFormat="1" x14ac:dyDescent="0.2"/>
    <row r="580" s="83" customFormat="1" x14ac:dyDescent="0.2"/>
    <row r="581" s="83" customFormat="1" x14ac:dyDescent="0.2"/>
    <row r="582" s="83" customFormat="1" x14ac:dyDescent="0.2"/>
    <row r="583" s="83" customFormat="1" x14ac:dyDescent="0.2"/>
    <row r="584" s="83" customFormat="1" x14ac:dyDescent="0.2"/>
    <row r="585" s="83" customFormat="1" x14ac:dyDescent="0.2"/>
    <row r="586" s="83" customFormat="1" x14ac:dyDescent="0.2"/>
    <row r="587" s="83" customFormat="1" x14ac:dyDescent="0.2"/>
    <row r="588" s="83" customFormat="1" x14ac:dyDescent="0.2"/>
    <row r="589" s="83" customFormat="1" x14ac:dyDescent="0.2"/>
    <row r="590" s="83" customFormat="1" x14ac:dyDescent="0.2"/>
    <row r="591" s="83" customFormat="1" x14ac:dyDescent="0.2"/>
    <row r="592" s="83" customFormat="1" x14ac:dyDescent="0.2"/>
    <row r="593" s="83" customFormat="1" x14ac:dyDescent="0.2"/>
    <row r="594" s="83" customFormat="1" x14ac:dyDescent="0.2"/>
    <row r="595" s="83" customFormat="1" x14ac:dyDescent="0.2"/>
    <row r="596" s="83" customFormat="1" x14ac:dyDescent="0.2"/>
    <row r="597" s="83" customFormat="1" x14ac:dyDescent="0.2"/>
    <row r="598" s="83" customFormat="1" x14ac:dyDescent="0.2"/>
    <row r="599" s="83" customFormat="1" x14ac:dyDescent="0.2"/>
    <row r="600" s="83" customFormat="1" x14ac:dyDescent="0.2"/>
    <row r="601" s="83" customFormat="1" x14ac:dyDescent="0.2"/>
    <row r="602" s="83" customFormat="1" x14ac:dyDescent="0.2"/>
    <row r="603" s="83" customFormat="1" x14ac:dyDescent="0.2"/>
    <row r="604" s="83" customFormat="1" x14ac:dyDescent="0.2"/>
    <row r="605" s="83" customFormat="1" x14ac:dyDescent="0.2"/>
    <row r="606" s="83" customFormat="1" x14ac:dyDescent="0.2"/>
    <row r="607" s="83" customFormat="1" x14ac:dyDescent="0.2"/>
    <row r="608" s="83" customFormat="1" x14ac:dyDescent="0.2"/>
    <row r="609" s="83" customFormat="1" x14ac:dyDescent="0.2"/>
    <row r="610" s="83" customFormat="1" x14ac:dyDescent="0.2"/>
    <row r="611" s="83" customFormat="1" x14ac:dyDescent="0.2"/>
    <row r="612" s="83" customFormat="1" x14ac:dyDescent="0.2"/>
    <row r="613" s="83" customFormat="1" x14ac:dyDescent="0.2"/>
    <row r="614" s="83" customFormat="1" x14ac:dyDescent="0.2"/>
    <row r="615" s="83" customFormat="1" x14ac:dyDescent="0.2"/>
    <row r="616" s="83" customFormat="1" x14ac:dyDescent="0.2"/>
    <row r="617" s="83" customFormat="1" x14ac:dyDescent="0.2"/>
    <row r="618" s="83" customFormat="1" x14ac:dyDescent="0.2"/>
    <row r="619" s="83" customFormat="1" x14ac:dyDescent="0.2"/>
    <row r="620" s="83" customFormat="1" x14ac:dyDescent="0.2"/>
    <row r="621" s="83" customFormat="1" x14ac:dyDescent="0.2"/>
    <row r="622" s="83" customFormat="1" x14ac:dyDescent="0.2"/>
    <row r="623" s="83" customFormat="1" x14ac:dyDescent="0.2"/>
    <row r="624" s="83" customFormat="1" x14ac:dyDescent="0.2"/>
    <row r="625" s="83" customFormat="1" x14ac:dyDescent="0.2"/>
    <row r="626" s="83" customFormat="1" x14ac:dyDescent="0.2"/>
    <row r="627" s="83" customFormat="1" x14ac:dyDescent="0.2"/>
    <row r="628" s="83" customFormat="1" x14ac:dyDescent="0.2"/>
    <row r="629" s="83" customFormat="1" x14ac:dyDescent="0.2"/>
    <row r="630" s="83" customFormat="1" x14ac:dyDescent="0.2"/>
    <row r="631" s="83" customFormat="1" x14ac:dyDescent="0.2"/>
    <row r="632" s="83" customFormat="1" x14ac:dyDescent="0.2"/>
    <row r="633" s="83" customFormat="1" x14ac:dyDescent="0.2"/>
    <row r="634" s="83" customFormat="1" x14ac:dyDescent="0.2"/>
    <row r="635" s="83" customFormat="1" x14ac:dyDescent="0.2"/>
    <row r="636" s="83" customFormat="1" x14ac:dyDescent="0.2"/>
    <row r="637" s="83" customFormat="1" x14ac:dyDescent="0.2"/>
    <row r="638" s="83" customFormat="1" x14ac:dyDescent="0.2"/>
    <row r="639" s="83" customFormat="1" x14ac:dyDescent="0.2"/>
    <row r="640" s="83" customFormat="1" x14ac:dyDescent="0.2"/>
    <row r="641" s="83" customFormat="1" x14ac:dyDescent="0.2"/>
    <row r="642" s="83" customFormat="1" x14ac:dyDescent="0.2"/>
    <row r="643" s="83" customFormat="1" x14ac:dyDescent="0.2"/>
    <row r="644" s="83" customFormat="1" x14ac:dyDescent="0.2"/>
    <row r="645" s="83" customFormat="1" x14ac:dyDescent="0.2"/>
    <row r="646" s="83" customFormat="1" x14ac:dyDescent="0.2"/>
    <row r="647" s="83" customFormat="1" x14ac:dyDescent="0.2"/>
    <row r="648" s="83" customFormat="1" x14ac:dyDescent="0.2"/>
    <row r="649" s="83" customFormat="1" x14ac:dyDescent="0.2"/>
    <row r="650" s="83" customFormat="1" x14ac:dyDescent="0.2"/>
    <row r="651" s="83" customFormat="1" x14ac:dyDescent="0.2"/>
    <row r="652" s="83" customFormat="1" x14ac:dyDescent="0.2"/>
    <row r="653" s="83" customFormat="1" x14ac:dyDescent="0.2"/>
    <row r="654" s="83" customFormat="1" x14ac:dyDescent="0.2"/>
    <row r="655" s="83" customFormat="1" x14ac:dyDescent="0.2"/>
    <row r="656" s="83" customFormat="1" x14ac:dyDescent="0.2"/>
    <row r="657" s="83" customFormat="1" x14ac:dyDescent="0.2"/>
    <row r="658" s="83" customFormat="1" x14ac:dyDescent="0.2"/>
    <row r="659" s="83" customFormat="1" x14ac:dyDescent="0.2"/>
    <row r="660" s="83" customFormat="1" x14ac:dyDescent="0.2"/>
    <row r="661" s="83" customFormat="1" x14ac:dyDescent="0.2"/>
    <row r="662" s="83" customFormat="1" x14ac:dyDescent="0.2"/>
    <row r="663" s="83" customFormat="1" x14ac:dyDescent="0.2"/>
    <row r="664" s="83" customFormat="1" x14ac:dyDescent="0.2"/>
    <row r="665" s="83" customFormat="1" x14ac:dyDescent="0.2"/>
    <row r="666" s="83" customFormat="1" x14ac:dyDescent="0.2"/>
    <row r="667" s="83" customFormat="1" x14ac:dyDescent="0.2"/>
    <row r="668" s="83" customFormat="1" x14ac:dyDescent="0.2"/>
    <row r="669" s="83" customFormat="1" x14ac:dyDescent="0.2"/>
    <row r="670" s="83" customFormat="1" x14ac:dyDescent="0.2"/>
    <row r="671" s="83" customFormat="1" x14ac:dyDescent="0.2"/>
    <row r="672" s="83" customFormat="1" x14ac:dyDescent="0.2"/>
    <row r="673" s="83" customFormat="1" x14ac:dyDescent="0.2"/>
    <row r="674" s="83" customFormat="1" x14ac:dyDescent="0.2"/>
    <row r="675" s="83" customFormat="1" x14ac:dyDescent="0.2"/>
    <row r="676" s="83" customFormat="1" x14ac:dyDescent="0.2"/>
    <row r="677" s="83" customFormat="1" x14ac:dyDescent="0.2"/>
    <row r="678" s="83" customFormat="1" x14ac:dyDescent="0.2"/>
    <row r="679" s="83" customFormat="1" x14ac:dyDescent="0.2"/>
    <row r="680" s="83" customFormat="1" x14ac:dyDescent="0.2"/>
    <row r="681" s="83" customFormat="1" x14ac:dyDescent="0.2"/>
    <row r="682" s="83" customFormat="1" x14ac:dyDescent="0.2"/>
    <row r="683" s="83" customFormat="1" x14ac:dyDescent="0.2"/>
    <row r="684" s="83" customFormat="1" x14ac:dyDescent="0.2"/>
    <row r="685" s="83" customFormat="1" x14ac:dyDescent="0.2"/>
    <row r="686" s="83" customFormat="1" x14ac:dyDescent="0.2"/>
    <row r="687" s="83" customFormat="1" x14ac:dyDescent="0.2"/>
    <row r="688" s="83" customFormat="1" x14ac:dyDescent="0.2"/>
    <row r="689" s="83" customFormat="1" x14ac:dyDescent="0.2"/>
    <row r="690" s="83" customFormat="1" x14ac:dyDescent="0.2"/>
    <row r="691" s="83" customFormat="1" x14ac:dyDescent="0.2"/>
    <row r="692" s="83" customFormat="1" x14ac:dyDescent="0.2"/>
    <row r="693" s="83" customFormat="1" x14ac:dyDescent="0.2"/>
    <row r="694" s="83" customFormat="1" x14ac:dyDescent="0.2"/>
    <row r="695" s="83" customFormat="1" x14ac:dyDescent="0.2"/>
    <row r="696" s="83" customFormat="1" x14ac:dyDescent="0.2"/>
    <row r="697" s="83" customFormat="1" x14ac:dyDescent="0.2"/>
    <row r="698" s="83" customFormat="1" x14ac:dyDescent="0.2"/>
    <row r="699" s="83" customFormat="1" x14ac:dyDescent="0.2"/>
    <row r="700" s="83" customFormat="1" x14ac:dyDescent="0.2"/>
    <row r="701" s="83" customFormat="1" x14ac:dyDescent="0.2"/>
    <row r="702" s="83" customFormat="1" x14ac:dyDescent="0.2"/>
    <row r="703" s="83" customFormat="1" x14ac:dyDescent="0.2"/>
    <row r="704" s="83" customFormat="1" x14ac:dyDescent="0.2"/>
    <row r="705" s="83" customFormat="1" x14ac:dyDescent="0.2"/>
    <row r="706" s="83" customFormat="1" x14ac:dyDescent="0.2"/>
    <row r="707" s="83" customFormat="1" x14ac:dyDescent="0.2"/>
    <row r="708" s="83" customFormat="1" x14ac:dyDescent="0.2"/>
    <row r="709" s="83" customFormat="1" x14ac:dyDescent="0.2"/>
    <row r="710" s="83" customFormat="1" x14ac:dyDescent="0.2"/>
    <row r="711" s="83" customFormat="1" x14ac:dyDescent="0.2"/>
    <row r="712" s="83" customFormat="1" x14ac:dyDescent="0.2"/>
    <row r="713" s="83" customFormat="1" x14ac:dyDescent="0.2"/>
    <row r="714" s="83" customFormat="1" x14ac:dyDescent="0.2"/>
    <row r="715" s="83" customFormat="1" x14ac:dyDescent="0.2"/>
    <row r="716" s="83" customFormat="1" x14ac:dyDescent="0.2"/>
    <row r="717" s="83" customFormat="1" x14ac:dyDescent="0.2"/>
    <row r="718" s="83" customFormat="1" x14ac:dyDescent="0.2"/>
    <row r="719" s="83" customFormat="1" x14ac:dyDescent="0.2"/>
    <row r="720" s="83" customFormat="1" x14ac:dyDescent="0.2"/>
    <row r="721" s="83" customFormat="1" x14ac:dyDescent="0.2"/>
    <row r="722" s="83" customFormat="1" x14ac:dyDescent="0.2"/>
    <row r="723" s="83" customFormat="1" x14ac:dyDescent="0.2"/>
    <row r="724" s="83" customFormat="1" x14ac:dyDescent="0.2"/>
    <row r="725" s="83" customFormat="1" x14ac:dyDescent="0.2"/>
    <row r="726" s="83" customFormat="1" x14ac:dyDescent="0.2"/>
    <row r="727" s="83" customFormat="1" x14ac:dyDescent="0.2"/>
    <row r="728" s="83" customFormat="1" x14ac:dyDescent="0.2"/>
    <row r="729" s="83" customFormat="1" x14ac:dyDescent="0.2"/>
    <row r="730" s="83" customFormat="1" x14ac:dyDescent="0.2"/>
    <row r="731" s="83" customFormat="1" x14ac:dyDescent="0.2"/>
    <row r="732" s="83" customFormat="1" x14ac:dyDescent="0.2"/>
    <row r="733" s="83" customFormat="1" x14ac:dyDescent="0.2"/>
    <row r="734" s="83" customFormat="1" x14ac:dyDescent="0.2"/>
    <row r="735" s="83" customFormat="1" x14ac:dyDescent="0.2"/>
    <row r="736" s="83" customFormat="1" x14ac:dyDescent="0.2"/>
    <row r="737" s="83" customFormat="1" x14ac:dyDescent="0.2"/>
    <row r="738" s="83" customFormat="1" x14ac:dyDescent="0.2"/>
    <row r="739" s="83" customFormat="1" x14ac:dyDescent="0.2"/>
    <row r="740" s="83" customFormat="1" x14ac:dyDescent="0.2"/>
    <row r="741" s="83" customFormat="1" x14ac:dyDescent="0.2"/>
    <row r="742" s="83" customFormat="1" x14ac:dyDescent="0.2"/>
    <row r="743" s="83" customFormat="1" x14ac:dyDescent="0.2"/>
    <row r="744" s="83" customFormat="1" x14ac:dyDescent="0.2"/>
    <row r="745" s="83" customFormat="1" x14ac:dyDescent="0.2"/>
    <row r="746" s="83" customFormat="1" x14ac:dyDescent="0.2"/>
    <row r="747" s="83" customFormat="1" x14ac:dyDescent="0.2"/>
    <row r="748" s="83" customFormat="1" x14ac:dyDescent="0.2"/>
    <row r="749" s="83" customFormat="1" x14ac:dyDescent="0.2"/>
    <row r="750" s="83" customFormat="1" x14ac:dyDescent="0.2"/>
    <row r="751" s="83" customFormat="1" x14ac:dyDescent="0.2"/>
    <row r="752" s="83" customFormat="1" x14ac:dyDescent="0.2"/>
    <row r="753" s="83" customFormat="1" x14ac:dyDescent="0.2"/>
    <row r="754" s="83" customFormat="1" x14ac:dyDescent="0.2"/>
    <row r="755" s="83" customFormat="1" x14ac:dyDescent="0.2"/>
    <row r="756" s="83" customFormat="1" x14ac:dyDescent="0.2"/>
    <row r="757" s="83" customFormat="1" x14ac:dyDescent="0.2"/>
    <row r="758" s="83" customFormat="1" x14ac:dyDescent="0.2"/>
    <row r="759" s="83" customFormat="1" x14ac:dyDescent="0.2"/>
    <row r="760" s="83" customFormat="1" x14ac:dyDescent="0.2"/>
    <row r="761" s="83" customFormat="1" x14ac:dyDescent="0.2"/>
    <row r="762" s="83" customFormat="1" x14ac:dyDescent="0.2"/>
    <row r="763" s="83" customFormat="1" x14ac:dyDescent="0.2"/>
    <row r="764" s="83" customFormat="1" x14ac:dyDescent="0.2"/>
    <row r="765" s="83" customFormat="1" x14ac:dyDescent="0.2"/>
    <row r="766" s="83" customFormat="1" x14ac:dyDescent="0.2"/>
    <row r="767" s="83" customFormat="1" x14ac:dyDescent="0.2"/>
    <row r="768" s="83" customFormat="1" x14ac:dyDescent="0.2"/>
    <row r="769" s="83" customFormat="1" x14ac:dyDescent="0.2"/>
    <row r="770" s="83" customFormat="1" x14ac:dyDescent="0.2"/>
    <row r="771" s="83" customFormat="1" x14ac:dyDescent="0.2"/>
    <row r="772" s="83" customFormat="1" x14ac:dyDescent="0.2"/>
    <row r="773" s="83" customFormat="1" x14ac:dyDescent="0.2"/>
    <row r="774" s="83" customFormat="1" x14ac:dyDescent="0.2"/>
    <row r="775" s="83" customFormat="1" x14ac:dyDescent="0.2"/>
    <row r="776" s="83" customFormat="1" x14ac:dyDescent="0.2"/>
    <row r="777" s="83" customFormat="1" x14ac:dyDescent="0.2"/>
    <row r="778" s="83" customFormat="1" x14ac:dyDescent="0.2"/>
    <row r="779" s="83" customFormat="1" x14ac:dyDescent="0.2"/>
    <row r="780" s="83" customFormat="1" x14ac:dyDescent="0.2"/>
    <row r="781" s="83" customFormat="1" x14ac:dyDescent="0.2"/>
    <row r="782" s="83" customFormat="1" x14ac:dyDescent="0.2"/>
    <row r="783" s="83" customFormat="1" x14ac:dyDescent="0.2"/>
    <row r="784" s="83" customFormat="1" x14ac:dyDescent="0.2"/>
    <row r="785" s="83" customFormat="1" x14ac:dyDescent="0.2"/>
    <row r="786" s="83" customFormat="1" x14ac:dyDescent="0.2"/>
    <row r="787" s="83" customFormat="1" x14ac:dyDescent="0.2"/>
    <row r="788" s="83" customFormat="1" x14ac:dyDescent="0.2"/>
    <row r="789" s="83" customFormat="1" x14ac:dyDescent="0.2"/>
    <row r="790" s="83" customFormat="1" x14ac:dyDescent="0.2"/>
    <row r="791" s="83" customFormat="1" x14ac:dyDescent="0.2"/>
    <row r="792" s="83" customFormat="1" x14ac:dyDescent="0.2"/>
    <row r="793" s="83" customFormat="1" x14ac:dyDescent="0.2"/>
    <row r="794" s="83" customFormat="1" x14ac:dyDescent="0.2"/>
    <row r="795" s="83" customFormat="1" x14ac:dyDescent="0.2"/>
    <row r="796" s="83" customFormat="1" x14ac:dyDescent="0.2"/>
    <row r="797" s="83" customFormat="1" x14ac:dyDescent="0.2"/>
    <row r="798" s="83" customFormat="1" x14ac:dyDescent="0.2"/>
    <row r="799" s="83" customFormat="1" x14ac:dyDescent="0.2"/>
    <row r="800" s="83" customFormat="1" x14ac:dyDescent="0.2"/>
    <row r="801" s="83" customFormat="1" x14ac:dyDescent="0.2"/>
    <row r="802" s="83" customFormat="1" x14ac:dyDescent="0.2"/>
    <row r="803" s="83" customFormat="1" x14ac:dyDescent="0.2"/>
    <row r="804" s="83" customFormat="1" x14ac:dyDescent="0.2"/>
    <row r="805" s="83" customFormat="1" x14ac:dyDescent="0.2"/>
    <row r="806" s="83" customFormat="1" x14ac:dyDescent="0.2"/>
    <row r="807" s="83" customFormat="1" x14ac:dyDescent="0.2"/>
    <row r="808" s="83" customFormat="1" x14ac:dyDescent="0.2"/>
    <row r="809" s="83" customFormat="1" x14ac:dyDescent="0.2"/>
    <row r="810" s="83" customFormat="1" x14ac:dyDescent="0.2"/>
    <row r="811" s="83" customFormat="1" x14ac:dyDescent="0.2"/>
    <row r="812" s="83" customFormat="1" x14ac:dyDescent="0.2"/>
    <row r="813" s="83" customFormat="1" x14ac:dyDescent="0.2"/>
    <row r="814" s="83" customFormat="1" x14ac:dyDescent="0.2"/>
    <row r="815" s="83" customFormat="1" x14ac:dyDescent="0.2"/>
    <row r="816" s="83" customFormat="1" x14ac:dyDescent="0.2"/>
    <row r="817" s="83" customFormat="1" x14ac:dyDescent="0.2"/>
    <row r="818" s="83" customFormat="1" x14ac:dyDescent="0.2"/>
    <row r="819" s="83" customFormat="1" x14ac:dyDescent="0.2"/>
    <row r="820" s="83" customFormat="1" x14ac:dyDescent="0.2"/>
    <row r="821" s="83" customFormat="1" x14ac:dyDescent="0.2"/>
    <row r="822" s="83" customFormat="1" x14ac:dyDescent="0.2"/>
    <row r="823" s="83" customFormat="1" x14ac:dyDescent="0.2"/>
    <row r="824" s="83" customFormat="1" x14ac:dyDescent="0.2"/>
    <row r="825" s="83" customFormat="1" x14ac:dyDescent="0.2"/>
  </sheetData>
  <conditionalFormatting sqref="C264:C40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6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6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6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6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6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6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6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6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6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6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6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4" tint="0.59999389629810485"/>
  </sheetPr>
  <dimension ref="A1:W861"/>
  <sheetViews>
    <sheetView zoomScale="120" zoomScaleNormal="120" workbookViewId="0">
      <pane ySplit="1" topLeftCell="A331" activePane="bottomLeft" state="frozen"/>
      <selection pane="bottomLeft" activeCell="T389" sqref="T389"/>
    </sheetView>
  </sheetViews>
  <sheetFormatPr baseColWidth="10" defaultColWidth="8.83203125" defaultRowHeight="15" x14ac:dyDescent="0.2"/>
  <cols>
    <col min="1" max="1" width="9.1640625" style="1" customWidth="1"/>
    <col min="2" max="2" width="12.6640625" style="75" bestFit="1" customWidth="1"/>
    <col min="3" max="3" width="11.6640625" style="7" customWidth="1"/>
    <col min="4" max="4" width="11.6640625" style="6" customWidth="1"/>
    <col min="18" max="18" width="12.83203125" style="75" customWidth="1"/>
    <col min="19" max="19" width="10.6640625" style="75" bestFit="1" customWidth="1"/>
    <col min="20" max="20" width="14.6640625" style="75" customWidth="1"/>
    <col min="21" max="21" width="31.33203125" style="75" customWidth="1"/>
  </cols>
  <sheetData>
    <row r="1" spans="1:23" x14ac:dyDescent="0.2">
      <c r="A1" s="37" t="s">
        <v>571</v>
      </c>
      <c r="B1" s="38" t="s">
        <v>224</v>
      </c>
      <c r="C1" s="39" t="s">
        <v>158</v>
      </c>
      <c r="D1" s="40" t="s">
        <v>126</v>
      </c>
      <c r="E1" s="38" t="s">
        <v>146</v>
      </c>
      <c r="F1" s="38" t="s">
        <v>530</v>
      </c>
      <c r="G1" s="38" t="s">
        <v>176</v>
      </c>
      <c r="H1" s="38" t="s">
        <v>225</v>
      </c>
      <c r="I1" s="38" t="s">
        <v>159</v>
      </c>
      <c r="J1" s="38" t="s">
        <v>127</v>
      </c>
      <c r="K1" s="38" t="s">
        <v>147</v>
      </c>
      <c r="L1" s="38" t="s">
        <v>559</v>
      </c>
      <c r="M1" s="38" t="s">
        <v>177</v>
      </c>
      <c r="N1" s="38" t="s">
        <v>431</v>
      </c>
      <c r="O1" s="38" t="s">
        <v>572</v>
      </c>
      <c r="P1" s="38" t="s">
        <v>230</v>
      </c>
      <c r="Q1" s="41" t="s">
        <v>573</v>
      </c>
      <c r="T1" s="8" t="s">
        <v>574</v>
      </c>
      <c r="U1" s="2">
        <v>36161</v>
      </c>
      <c r="W1" t="s">
        <v>48</v>
      </c>
    </row>
    <row r="2" spans="1:23" s="83" customFormat="1" x14ac:dyDescent="0.2">
      <c r="A2" s="21">
        <v>32874</v>
      </c>
      <c r="B2" s="79">
        <f>VLOOKUP(A2,Database!$A:$AS,MATCH($B$1,Database!$A$1:$AS$1,0),FALSE)</f>
        <v>110.190817432</v>
      </c>
      <c r="C2" s="79">
        <f>VLOOKUP(A2,Database!$A:$AS,MATCH($C$1,Database!$A$1:$AS$1,0),FALSE)</f>
        <v>91.11</v>
      </c>
      <c r="D2" s="79">
        <f>VLOOKUP(A2,Database!$A:$AS,MATCH($D$1,Database!$A$1:$AS$1,0),FALSE)</f>
        <v>70.975174503999995</v>
      </c>
      <c r="E2" s="79">
        <f>VLOOKUP(A2,Database!$A:$AS,MATCH($E$1,Database!$A$1:$AS$1,0),FALSE)</f>
        <v>100.901404994</v>
      </c>
      <c r="F2" s="79">
        <f>VLOOKUP(A2,Database!$A:$AS,MATCH($F$1,Database!$A$1:$AS$1,0),FALSE)</f>
        <v>78.892727020999999</v>
      </c>
      <c r="G2" s="79">
        <f>VLOOKUP(A2,Database!$A:$AS,MATCH($G$1,Database!$A$1:$AS$1,0),FALSE)</f>
        <v>80.874708729000005</v>
      </c>
      <c r="H2" s="79">
        <f>(((Table134567891011121314151617343[[#This Row],[ITA]]-VLOOKUP($U$1,A:B,2,))/VLOOKUP($U$1,A:B,2,))*100)+100</f>
        <v>90.625000000128509</v>
      </c>
      <c r="I2" s="79">
        <f>(((Table134567891011121314151617343[[#This Row],[FRA]]-VLOOKUP($U$1,A:C,3,))/VLOOKUP($U$1,A:C,3,))*100)+100</f>
        <v>88.896477705141962</v>
      </c>
      <c r="J2" s="79">
        <f>(((Table134567891011121314151617343[[#This Row],[DEU]]-VLOOKUP($U$1,A:D,4,))/VLOOKUP($U$1,A:D,4,))*100)+100</f>
        <v>94.389746145498293</v>
      </c>
      <c r="K2" s="79">
        <f>(((Table134567891011121314151617343[[#This Row],[ESP]]-VLOOKUP($U$1,A:E,5,))/VLOOKUP($U$1,A:E,5,))*100)+100</f>
        <v>84.812407253327066</v>
      </c>
      <c r="L2" s="79">
        <f>(((Table134567891011121314151617343[[#This Row],[EA19]]-VLOOKUP($U$1,A:F,6,))/VLOOKUP($U$1,A:F,6,))*100)+100</f>
        <v>88.246898233780755</v>
      </c>
      <c r="M2" s="79">
        <f>(((Table134567891011121314151617343[[#This Row],[GBR]]-VLOOKUP($U$1,A:G,7,))/VLOOKUP($U$1,A:G,7,))*100)+100</f>
        <v>87.747957992615241</v>
      </c>
      <c r="N2" s="79">
        <f>VLOOKUP(A2,Database!$A:$AS,MATCH($N$1,Database!$A$1:$AS$1,0),FALSE)</f>
        <v>61.356603999000001</v>
      </c>
      <c r="O2" s="79">
        <f>(((Table134567891011121314151617343[[#This Row],[USA]]-VLOOKUP($U$1,A:N,14,))/VLOOKUP($U$1,A:N,14,))*100)+100</f>
        <v>70.63571124515957</v>
      </c>
      <c r="P2" s="79">
        <f>VLOOKUP(A2,Database!$A:$AS,MATCH($P$1,Database!$A$1:$AS$1,0),FALSE)</f>
        <v>100.90315133599999</v>
      </c>
      <c r="Q2" s="79">
        <f>(((Table134567891011121314151617343[[#This Row],[JPN]]-VLOOKUP($U$1,A:Q,16,))/VLOOKUP($U$1,A:Q,16,))*100)+100</f>
        <v>101.30469359386611</v>
      </c>
      <c r="W2" s="83" t="s">
        <v>50</v>
      </c>
    </row>
    <row r="3" spans="1:23" s="83" customFormat="1" x14ac:dyDescent="0.2">
      <c r="A3" s="21">
        <v>32905</v>
      </c>
      <c r="B3" s="79">
        <f>VLOOKUP(A3,Database!$A:$AS,MATCH($B$1,Database!$A$1:$AS$1,0),FALSE)</f>
        <v>110.790767436</v>
      </c>
      <c r="C3" s="79">
        <f>VLOOKUP(A3,Database!$A:$AS,MATCH($C$1,Database!$A$1:$AS$1,0),FALSE)</f>
        <v>92.58</v>
      </c>
      <c r="D3" s="79">
        <f>VLOOKUP(A3,Database!$A:$AS,MATCH($D$1,Database!$A$1:$AS$1,0),FALSE)</f>
        <v>70.666586788999993</v>
      </c>
      <c r="E3" s="79">
        <f>VLOOKUP(A3,Database!$A:$AS,MATCH($E$1,Database!$A$1:$AS$1,0),FALSE)</f>
        <v>98.377458700000005</v>
      </c>
      <c r="F3" s="79">
        <f>VLOOKUP(A3,Database!$A:$AS,MATCH($F$1,Database!$A$1:$AS$1,0),FALSE)</f>
        <v>79.816841804000006</v>
      </c>
      <c r="G3" s="79">
        <f>VLOOKUP(A3,Database!$A:$AS,MATCH($G$1,Database!$A$1:$AS$1,0),FALSE)</f>
        <v>80.336977953000002</v>
      </c>
      <c r="H3" s="79">
        <f>(((Table134567891011121314151617343[[#This Row],[ITA]]-VLOOKUP($U$1,A:B,2,))/VLOOKUP($U$1,A:B,2,))*100)+100</f>
        <v>91.118421052623461</v>
      </c>
      <c r="I3" s="79">
        <f>(((Table134567891011121314151617343[[#This Row],[FRA]]-VLOOKUP($U$1,A:C,3,))/VLOOKUP($U$1,A:C,3,))*100)+100</f>
        <v>90.330763976973373</v>
      </c>
      <c r="J3" s="79">
        <f>(((Table134567891011121314151617343[[#This Row],[DEU]]-VLOOKUP($U$1,A:D,4,))/VLOOKUP($U$1,A:D,4,))*100)+100</f>
        <v>93.979355945177915</v>
      </c>
      <c r="K3" s="79">
        <f>(((Table134567891011121314151617343[[#This Row],[ESP]]-VLOOKUP($U$1,A:E,5,))/VLOOKUP($U$1,A:E,5,))*100)+100</f>
        <v>82.690910917522999</v>
      </c>
      <c r="L3" s="79">
        <f>(((Table134567891011121314151617343[[#This Row],[EA19]]-VLOOKUP($U$1,A:F,6,))/VLOOKUP($U$1,A:F,6,))*100)+100</f>
        <v>89.280583673378075</v>
      </c>
      <c r="M3" s="79">
        <f>(((Table134567891011121314151617343[[#This Row],[GBR]]-VLOOKUP($U$1,A:G,7,))/VLOOKUP($U$1,A:G,7,))*100)+100</f>
        <v>87.164527420990012</v>
      </c>
      <c r="N3" s="79">
        <f>VLOOKUP(A3,Database!$A:$AS,MATCH($N$1,Database!$A$1:$AS$1,0),FALSE)</f>
        <v>61.913552402999997</v>
      </c>
      <c r="O3" s="79">
        <f>(((Table134567891011121314151617343[[#This Row],[USA]]-VLOOKUP($U$1,A:N,14,))/VLOOKUP($U$1,A:N,14,))*100)+100</f>
        <v>71.276888299939813</v>
      </c>
      <c r="P3" s="79">
        <f>VLOOKUP(A3,Database!$A:$AS,MATCH($P$1,Database!$A$1:$AS$1,0),FALSE)</f>
        <v>101.410202348</v>
      </c>
      <c r="Q3" s="79">
        <f>(((Table134567891011121314151617343[[#This Row],[JPN]]-VLOOKUP($U$1,A:Q,16,))/VLOOKUP($U$1,A:Q,16,))*100)+100</f>
        <v>101.81376240615793</v>
      </c>
      <c r="W3" s="83" t="s">
        <v>54</v>
      </c>
    </row>
    <row r="4" spans="1:23" s="83" customFormat="1" x14ac:dyDescent="0.2">
      <c r="A4" s="21">
        <v>32933</v>
      </c>
      <c r="B4" s="79">
        <f>VLOOKUP(A4,Database!$A:$AS,MATCH($B$1,Database!$A$1:$AS$1,0),FALSE)</f>
        <v>111.190734105</v>
      </c>
      <c r="C4" s="79">
        <f>VLOOKUP(A4,Database!$A:$AS,MATCH($C$1,Database!$A$1:$AS$1,0),FALSE)</f>
        <v>92.16</v>
      </c>
      <c r="D4" s="79">
        <f>VLOOKUP(A4,Database!$A:$AS,MATCH($D$1,Database!$A$1:$AS$1,0),FALSE)</f>
        <v>71.345479761999997</v>
      </c>
      <c r="E4" s="79">
        <f>VLOOKUP(A4,Database!$A:$AS,MATCH($E$1,Database!$A$1:$AS$1,0),FALSE)</f>
        <v>99.402897977999999</v>
      </c>
      <c r="F4" s="79">
        <f>VLOOKUP(A4,Database!$A:$AS,MATCH($F$1,Database!$A$1:$AS$1,0),FALSE)</f>
        <v>79.588194846999997</v>
      </c>
      <c r="G4" s="79">
        <f>VLOOKUP(A4,Database!$A:$AS,MATCH($G$1,Database!$A$1:$AS$1,0),FALSE)</f>
        <v>81.519985661000007</v>
      </c>
      <c r="H4" s="79">
        <f>(((Table134567891011121314151617343[[#This Row],[ITA]]-VLOOKUP($U$1,A:B,2,))/VLOOKUP($U$1,A:B,2,))*100)+100</f>
        <v>91.447368420679297</v>
      </c>
      <c r="I4" s="79">
        <f>(((Table134567891011121314151617343[[#This Row],[FRA]]-VLOOKUP($U$1,A:C,3,))/VLOOKUP($U$1,A:C,3,))*100)+100</f>
        <v>89.920967899307257</v>
      </c>
      <c r="J4" s="79">
        <f>(((Table134567891011121314151617343[[#This Row],[DEU]]-VLOOKUP($U$1,A:D,4,))/VLOOKUP($U$1,A:D,4,))*100)+100</f>
        <v>94.882214385882719</v>
      </c>
      <c r="K4" s="79">
        <f>(((Table134567891011121314151617343[[#This Row],[ESP]]-VLOOKUP($U$1,A:E,5,))/VLOOKUP($U$1,A:E,5,))*100)+100</f>
        <v>83.552841171759439</v>
      </c>
      <c r="L4" s="79">
        <f>(((Table134567891011121314151617343[[#This Row],[EA19]]-VLOOKUP($U$1,A:F,6,))/VLOOKUP($U$1,A:F,6,))*100)+100</f>
        <v>89.024826450782996</v>
      </c>
      <c r="M4" s="79">
        <f>(((Table134567891011121314151617343[[#This Row],[GBR]]-VLOOKUP($U$1,A:G,7,))/VLOOKUP($U$1,A:G,7,))*100)+100</f>
        <v>88.448074679433503</v>
      </c>
      <c r="N4" s="79">
        <f>VLOOKUP(A4,Database!$A:$AS,MATCH($N$1,Database!$A$1:$AS$1,0),FALSE)</f>
        <v>62.211404326</v>
      </c>
      <c r="O4" s="79">
        <f>(((Table134567891011121314151617343[[#This Row],[USA]]-VLOOKUP($U$1,A:N,14,))/VLOOKUP($U$1,A:N,14,))*100)+100</f>
        <v>71.619785087825704</v>
      </c>
      <c r="P4" s="79">
        <f>VLOOKUP(A4,Database!$A:$AS,MATCH($P$1,Database!$A$1:$AS$1,0),FALSE)</f>
        <v>103.23558599</v>
      </c>
      <c r="Q4" s="79">
        <f>(((Table134567891011121314151617343[[#This Row],[JPN]]-VLOOKUP($U$1,A:Q,16,))/VLOOKUP($U$1,A:Q,16,))*100)+100</f>
        <v>103.64641012920373</v>
      </c>
      <c r="W4" s="83" t="s">
        <v>86</v>
      </c>
    </row>
    <row r="5" spans="1:23" s="83" customFormat="1" x14ac:dyDescent="0.2">
      <c r="A5" s="21">
        <v>32964</v>
      </c>
      <c r="B5" s="79">
        <f>VLOOKUP(A5,Database!$A:$AS,MATCH($B$1,Database!$A$1:$AS$1,0),FALSE)</f>
        <v>112.090659112</v>
      </c>
      <c r="C5" s="79">
        <f>VLOOKUP(A5,Database!$A:$AS,MATCH($C$1,Database!$A$1:$AS$1,0),FALSE)</f>
        <v>92.62</v>
      </c>
      <c r="D5" s="79">
        <f>VLOOKUP(A5,Database!$A:$AS,MATCH($D$1,Database!$A$1:$AS$1,0),FALSE)</f>
        <v>70.111128902000004</v>
      </c>
      <c r="E5" s="79">
        <f>VLOOKUP(A5,Database!$A:$AS,MATCH($E$1,Database!$A$1:$AS$1,0),FALSE)</f>
        <v>100.75469126</v>
      </c>
      <c r="F5" s="79">
        <f>VLOOKUP(A5,Database!$A:$AS,MATCH($F$1,Database!$A$1:$AS$1,0),FALSE)</f>
        <v>79.912111369000002</v>
      </c>
      <c r="G5" s="79">
        <f>VLOOKUP(A5,Database!$A:$AS,MATCH($G$1,Database!$A$1:$AS$1,0),FALSE)</f>
        <v>81.950170280999998</v>
      </c>
      <c r="H5" s="79">
        <f>(((Table134567891011121314151617343[[#This Row],[ITA]]-VLOOKUP($U$1,A:B,2,))/VLOOKUP($U$1,A:B,2,))*100)+100</f>
        <v>92.187500000244157</v>
      </c>
      <c r="I5" s="79">
        <f>(((Table134567891011121314151617343[[#This Row],[FRA]]-VLOOKUP($U$1,A:C,3,))/VLOOKUP($U$1,A:C,3,))*100)+100</f>
        <v>90.369792174846339</v>
      </c>
      <c r="J5" s="79">
        <f>(((Table134567891011121314151617343[[#This Row],[DEU]]-VLOOKUP($U$1,A:D,4,))/VLOOKUP($U$1,A:D,4,))*100)+100</f>
        <v>93.240653584601276</v>
      </c>
      <c r="K5" s="79">
        <f>(((Table134567891011121314151617343[[#This Row],[ESP]]-VLOOKUP($U$1,A:E,5,))/VLOOKUP($U$1,A:E,5,))*100)+100</f>
        <v>84.689087414932303</v>
      </c>
      <c r="L5" s="79">
        <f>(((Table134567891011121314151617343[[#This Row],[EA19]]-VLOOKUP($U$1,A:F,6,))/VLOOKUP($U$1,A:F,6,))*100)+100</f>
        <v>89.387149182326624</v>
      </c>
      <c r="M5" s="79">
        <f>(((Table134567891011121314151617343[[#This Row],[GBR]]-VLOOKUP($U$1,A:G,7,))/VLOOKUP($U$1,A:G,7,))*100)+100</f>
        <v>88.914819135865685</v>
      </c>
      <c r="N5" s="79">
        <f>VLOOKUP(A5,Database!$A:$AS,MATCH($N$1,Database!$A$1:$AS$1,0),FALSE)</f>
        <v>62.097814208000003</v>
      </c>
      <c r="O5" s="79">
        <f>(((Table134567891011121314151617343[[#This Row],[USA]]-VLOOKUP($U$1,A:N,14,))/VLOOKUP($U$1,A:N,14,))*100)+100</f>
        <v>71.489016462243328</v>
      </c>
      <c r="P5" s="79">
        <f>VLOOKUP(A5,Database!$A:$AS,MATCH($P$1,Database!$A$1:$AS$1,0),FALSE)</f>
        <v>103.438406395</v>
      </c>
      <c r="Q5" s="79">
        <f>(((Table134567891011121314151617343[[#This Row],[JPN]]-VLOOKUP($U$1,A:Q,16,))/VLOOKUP($U$1,A:Q,16,))*100)+100</f>
        <v>103.85003765432126</v>
      </c>
      <c r="W5" s="83" t="s">
        <v>92</v>
      </c>
    </row>
    <row r="6" spans="1:23" s="83" customFormat="1" x14ac:dyDescent="0.2">
      <c r="A6" s="21">
        <v>32994</v>
      </c>
      <c r="B6" s="79">
        <f>VLOOKUP(A6,Database!$A:$AS,MATCH($B$1,Database!$A$1:$AS$1,0),FALSE)</f>
        <v>110.790767436</v>
      </c>
      <c r="C6" s="79">
        <f>VLOOKUP(A6,Database!$A:$AS,MATCH($C$1,Database!$A$1:$AS$1,0),FALSE)</f>
        <v>92.86</v>
      </c>
      <c r="D6" s="79">
        <f>VLOOKUP(A6,Database!$A:$AS,MATCH($D$1,Database!$A$1:$AS$1,0),FALSE)</f>
        <v>71.900937650000003</v>
      </c>
      <c r="E6" s="79">
        <f>VLOOKUP(A6,Database!$A:$AS,MATCH($E$1,Database!$A$1:$AS$1,0),FALSE)</f>
        <v>99.691884281</v>
      </c>
      <c r="F6" s="79">
        <f>VLOOKUP(A6,Database!$A:$AS,MATCH($F$1,Database!$A$1:$AS$1,0),FALSE)</f>
        <v>79.893057455999994</v>
      </c>
      <c r="G6" s="79">
        <f>VLOOKUP(A6,Database!$A:$AS,MATCH($G$1,Database!$A$1:$AS$1,0),FALSE)</f>
        <v>81.519985661000007</v>
      </c>
      <c r="H6" s="79">
        <f>(((Table134567891011121314151617343[[#This Row],[ITA]]-VLOOKUP($U$1,A:B,2,))/VLOOKUP($U$1,A:B,2,))*100)+100</f>
        <v>91.118421052623461</v>
      </c>
      <c r="I6" s="79">
        <f>(((Table134567891011121314151617343[[#This Row],[FRA]]-VLOOKUP($U$1,A:C,3,))/VLOOKUP($U$1,A:C,3,))*100)+100</f>
        <v>90.603961362084107</v>
      </c>
      <c r="J6" s="79">
        <f>(((Table134567891011121314151617343[[#This Row],[DEU]]-VLOOKUP($U$1,A:D,4,))/VLOOKUP($U$1,A:D,4,))*100)+100</f>
        <v>95.620916747789295</v>
      </c>
      <c r="K6" s="79">
        <f>(((Table134567891011121314151617343[[#This Row],[ESP]]-VLOOKUP($U$1,A:E,5,))/VLOOKUP($U$1,A:E,5,))*100)+100</f>
        <v>83.795747839135643</v>
      </c>
      <c r="L6" s="79">
        <f>(((Table134567891011121314151617343[[#This Row],[EA19]]-VLOOKUP($U$1,A:F,6,))/VLOOKUP($U$1,A:F,6,))*100)+100</f>
        <v>89.365836080536894</v>
      </c>
      <c r="M6" s="79">
        <f>(((Table134567891011121314151617343[[#This Row],[GBR]]-VLOOKUP($U$1,A:G,7,))/VLOOKUP($U$1,A:G,7,))*100)+100</f>
        <v>88.448074679433503</v>
      </c>
      <c r="N6" s="79">
        <f>VLOOKUP(A6,Database!$A:$AS,MATCH($N$1,Database!$A$1:$AS$1,0),FALSE)</f>
        <v>62.259080457000003</v>
      </c>
      <c r="O6" s="79">
        <f>(((Table134567891011121314151617343[[#This Row],[USA]]-VLOOKUP($U$1,A:N,14,))/VLOOKUP($U$1,A:N,14,))*100)+100</f>
        <v>71.67467139513596</v>
      </c>
      <c r="P6" s="79">
        <f>VLOOKUP(A6,Database!$A:$AS,MATCH($P$1,Database!$A$1:$AS$1,0),FALSE)</f>
        <v>104.148277811</v>
      </c>
      <c r="Q6" s="79">
        <f>(((Table134567891011121314151617343[[#This Row],[JPN]]-VLOOKUP($U$1,A:Q,16,))/VLOOKUP($U$1,A:Q,16,))*100)+100</f>
        <v>104.56273399072663</v>
      </c>
      <c r="W6" s="83" t="s">
        <v>529</v>
      </c>
    </row>
    <row r="7" spans="1:23" s="83" customFormat="1" x14ac:dyDescent="0.2">
      <c r="A7" s="21">
        <v>33025</v>
      </c>
      <c r="B7" s="79">
        <f>VLOOKUP(A7,Database!$A:$AS,MATCH($B$1,Database!$A$1:$AS$1,0),FALSE)</f>
        <v>109.69085909499999</v>
      </c>
      <c r="C7" s="79">
        <f>VLOOKUP(A7,Database!$A:$AS,MATCH($C$1,Database!$A$1:$AS$1,0),FALSE)</f>
        <v>91.51</v>
      </c>
      <c r="D7" s="79">
        <f>VLOOKUP(A7,Database!$A:$AS,MATCH($D$1,Database!$A$1:$AS$1,0),FALSE)</f>
        <v>71.900937650000003</v>
      </c>
      <c r="E7" s="79">
        <f>VLOOKUP(A7,Database!$A:$AS,MATCH($E$1,Database!$A$1:$AS$1,0),FALSE)</f>
        <v>102.297053905</v>
      </c>
      <c r="F7" s="79">
        <f>VLOOKUP(A7,Database!$A:$AS,MATCH($F$1,Database!$A$1:$AS$1,0),FALSE)</f>
        <v>79.378601803999999</v>
      </c>
      <c r="G7" s="79">
        <f>VLOOKUP(A7,Database!$A:$AS,MATCH($G$1,Database!$A$1:$AS$1,0),FALSE)</f>
        <v>82.810539523000003</v>
      </c>
      <c r="H7" s="79">
        <f>(((Table134567891011121314151617343[[#This Row],[ITA]]-VLOOKUP($U$1,A:B,2,))/VLOOKUP($U$1,A:B,2,))*100)+100</f>
        <v>90.213815789441895</v>
      </c>
      <c r="I7" s="79">
        <f>(((Table134567891011121314151617343[[#This Row],[FRA]]-VLOOKUP($U$1,A:C,3,))/VLOOKUP($U$1,A:C,3,))*100)+100</f>
        <v>89.286759683871608</v>
      </c>
      <c r="J7" s="79">
        <f>(((Table134567891011121314151617343[[#This Row],[DEU]]-VLOOKUP($U$1,A:D,4,))/VLOOKUP($U$1,A:D,4,))*100)+100</f>
        <v>95.620916747789295</v>
      </c>
      <c r="K7" s="79">
        <f>(((Table134567891011121314151617343[[#This Row],[ESP]]-VLOOKUP($U$1,A:E,5,))/VLOOKUP($U$1,A:E,5,))*100)+100</f>
        <v>85.985516228662277</v>
      </c>
      <c r="L7" s="79">
        <f>(((Table134567891011121314151617343[[#This Row],[EA19]]-VLOOKUP($U$1,A:F,6,))/VLOOKUP($U$1,A:F,6,))*100)+100</f>
        <v>88.790382331096197</v>
      </c>
      <c r="M7" s="79">
        <f>(((Table134567891011121314151617343[[#This Row],[GBR]]-VLOOKUP($U$1,A:G,7,))/VLOOKUP($U$1,A:G,7,))*100)+100</f>
        <v>89.848308050900059</v>
      </c>
      <c r="N7" s="79">
        <f>VLOOKUP(A7,Database!$A:$AS,MATCH($N$1,Database!$A$1:$AS$1,0),FALSE)</f>
        <v>62.47020345</v>
      </c>
      <c r="O7" s="79">
        <f>(((Table134567891011121314151617343[[#This Row],[USA]]-VLOOKUP($U$1,A:N,14,))/VLOOKUP($U$1,A:N,14,))*100)+100</f>
        <v>71.917723027703573</v>
      </c>
      <c r="P7" s="79">
        <f>VLOOKUP(A7,Database!$A:$AS,MATCH($P$1,Database!$A$1:$AS$1,0),FALSE)</f>
        <v>104.45250841799999</v>
      </c>
      <c r="Q7" s="79">
        <f>(((Table134567891011121314151617343[[#This Row],[JPN]]-VLOOKUP($U$1,A:Q,16,))/VLOOKUP($U$1,A:Q,16,))*100)+100</f>
        <v>104.86817527790092</v>
      </c>
      <c r="W7" s="83" t="s">
        <v>126</v>
      </c>
    </row>
    <row r="8" spans="1:23" s="83" customFormat="1" x14ac:dyDescent="0.2">
      <c r="A8" s="21">
        <v>33055</v>
      </c>
      <c r="B8" s="79">
        <f>VLOOKUP(A8,Database!$A:$AS,MATCH($B$1,Database!$A$1:$AS$1,0),FALSE)</f>
        <v>109.990834097</v>
      </c>
      <c r="C8" s="79">
        <f>VLOOKUP(A8,Database!$A:$AS,MATCH($C$1,Database!$A$1:$AS$1,0),FALSE)</f>
        <v>91.51</v>
      </c>
      <c r="D8" s="79">
        <f>VLOOKUP(A8,Database!$A:$AS,MATCH($D$1,Database!$A$1:$AS$1,0),FALSE)</f>
        <v>72.579830623000007</v>
      </c>
      <c r="E8" s="79">
        <f>VLOOKUP(A8,Database!$A:$AS,MATCH($E$1,Database!$A$1:$AS$1,0),FALSE)</f>
        <v>99.248418967000006</v>
      </c>
      <c r="F8" s="79">
        <f>VLOOKUP(A8,Database!$A:$AS,MATCH($F$1,Database!$A$1:$AS$1,0),FALSE)</f>
        <v>79.683464412999996</v>
      </c>
      <c r="G8" s="79">
        <f>VLOOKUP(A8,Database!$A:$AS,MATCH($G$1,Database!$A$1:$AS$1,0),FALSE)</f>
        <v>80.767162573999997</v>
      </c>
      <c r="H8" s="79">
        <f>(((Table134567891011121314151617343[[#This Row],[ITA]]-VLOOKUP($U$1,A:B,2,))/VLOOKUP($U$1,A:B,2,))*100)+100</f>
        <v>90.460526315689378</v>
      </c>
      <c r="I8" s="79">
        <f>(((Table134567891011121314151617343[[#This Row],[FRA]]-VLOOKUP($U$1,A:C,3,))/VLOOKUP($U$1,A:C,3,))*100)+100</f>
        <v>89.286759683871608</v>
      </c>
      <c r="J8" s="79">
        <f>(((Table134567891011121314151617343[[#This Row],[DEU]]-VLOOKUP($U$1,A:D,4,))/VLOOKUP($U$1,A:D,4,))*100)+100</f>
        <v>96.523775188494099</v>
      </c>
      <c r="K8" s="79">
        <f>(((Table134567891011121314151617343[[#This Row],[ESP]]-VLOOKUP($U$1,A:E,5,))/VLOOKUP($U$1,A:E,5,))*100)+100</f>
        <v>83.422994250462338</v>
      </c>
      <c r="L8" s="79">
        <f>(((Table134567891011121314151617343[[#This Row],[EA19]]-VLOOKUP($U$1,A:F,6,))/VLOOKUP($U$1,A:F,6,))*100)+100</f>
        <v>89.131391960850095</v>
      </c>
      <c r="M8" s="79">
        <f>(((Table134567891011121314151617343[[#This Row],[GBR]]-VLOOKUP($U$1,A:G,7,))/VLOOKUP($U$1,A:G,7,))*100)+100</f>
        <v>87.631271878507178</v>
      </c>
      <c r="N8" s="79">
        <f>VLOOKUP(A8,Database!$A:$AS,MATCH($N$1,Database!$A$1:$AS$1,0),FALSE)</f>
        <v>62.380699194999998</v>
      </c>
      <c r="O8" s="79">
        <f>(((Table134567891011121314151617343[[#This Row],[USA]]-VLOOKUP($U$1,A:N,14,))/VLOOKUP($U$1,A:N,14,))*100)+100</f>
        <v>71.81468282829006</v>
      </c>
      <c r="P8" s="79">
        <f>VLOOKUP(A8,Database!$A:$AS,MATCH($P$1,Database!$A$1:$AS$1,0),FALSE)</f>
        <v>105.365200239</v>
      </c>
      <c r="Q8" s="79">
        <f>(((Table134567891011121314151617343[[#This Row],[JPN]]-VLOOKUP($U$1,A:Q,16,))/VLOOKUP($U$1,A:Q,16,))*100)+100</f>
        <v>105.78449913942381</v>
      </c>
      <c r="W8" s="83" t="s">
        <v>132</v>
      </c>
    </row>
    <row r="9" spans="1:23" s="83" customFormat="1" x14ac:dyDescent="0.2">
      <c r="A9" s="21">
        <v>33086</v>
      </c>
      <c r="B9" s="79">
        <f>VLOOKUP(A9,Database!$A:$AS,MATCH($B$1,Database!$A$1:$AS$1,0),FALSE)</f>
        <v>111.190734105</v>
      </c>
      <c r="C9" s="79">
        <f>VLOOKUP(A9,Database!$A:$AS,MATCH($C$1,Database!$A$1:$AS$1,0),FALSE)</f>
        <v>90.95</v>
      </c>
      <c r="D9" s="79">
        <f>VLOOKUP(A9,Database!$A:$AS,MATCH($D$1,Database!$A$1:$AS$1,0),FALSE)</f>
        <v>73.011853424999998</v>
      </c>
      <c r="E9" s="79">
        <f>VLOOKUP(A9,Database!$A:$AS,MATCH($E$1,Database!$A$1:$AS$1,0),FALSE)</f>
        <v>97.957129921999993</v>
      </c>
      <c r="F9" s="79">
        <f>VLOOKUP(A9,Database!$A:$AS,MATCH($F$1,Database!$A$1:$AS$1,0),FALSE)</f>
        <v>80.216973977999999</v>
      </c>
      <c r="G9" s="79">
        <f>VLOOKUP(A9,Database!$A:$AS,MATCH($G$1,Database!$A$1:$AS$1,0),FALSE)</f>
        <v>80.874708729000005</v>
      </c>
      <c r="H9" s="79">
        <f>(((Table134567891011121314151617343[[#This Row],[ITA]]-VLOOKUP($U$1,A:B,2,))/VLOOKUP($U$1,A:B,2,))*100)+100</f>
        <v>91.447368420679297</v>
      </c>
      <c r="I9" s="79">
        <f>(((Table134567891011121314151617343[[#This Row],[FRA]]-VLOOKUP($U$1,A:C,3,))/VLOOKUP($U$1,A:C,3,))*100)+100</f>
        <v>88.740364913650126</v>
      </c>
      <c r="J9" s="79">
        <f>(((Table134567891011121314151617343[[#This Row],[DEU]]-VLOOKUP($U$1,A:D,4,))/VLOOKUP($U$1,A:D,4,))*100)+100</f>
        <v>97.098321470272495</v>
      </c>
      <c r="K9" s="79">
        <f>(((Table134567891011121314151617343[[#This Row],[ESP]]-VLOOKUP($U$1,A:E,5,))/VLOOKUP($U$1,A:E,5,))*100)+100</f>
        <v>82.337604682568681</v>
      </c>
      <c r="L9" s="79">
        <f>(((Table134567891011121314151617343[[#This Row],[EA19]]-VLOOKUP($U$1,A:F,6,))/VLOOKUP($U$1,A:F,6,))*100)+100</f>
        <v>89.728158812080522</v>
      </c>
      <c r="M9" s="79">
        <f>(((Table134567891011121314151617343[[#This Row],[GBR]]-VLOOKUP($U$1,A:G,7,))/VLOOKUP($U$1,A:G,7,))*100)+100</f>
        <v>87.747957992615241</v>
      </c>
      <c r="N9" s="79">
        <f>VLOOKUP(A9,Database!$A:$AS,MATCH($N$1,Database!$A$1:$AS$1,0),FALSE)</f>
        <v>62.615313338999997</v>
      </c>
      <c r="O9" s="79">
        <f>(((Table134567891011121314151617343[[#This Row],[USA]]-VLOOKUP($U$1,A:N,14,))/VLOOKUP($U$1,A:N,14,))*100)+100</f>
        <v>72.084778235296028</v>
      </c>
      <c r="P9" s="79">
        <f>VLOOKUP(A9,Database!$A:$AS,MATCH($P$1,Database!$A$1:$AS$1,0),FALSE)</f>
        <v>106.277892061</v>
      </c>
      <c r="Q9" s="79">
        <f>(((Table134567891011121314151617343[[#This Row],[JPN]]-VLOOKUP($U$1,A:Q,16,))/VLOOKUP($U$1,A:Q,16,))*100)+100</f>
        <v>106.7008230019507</v>
      </c>
      <c r="W9" s="83" t="s">
        <v>146</v>
      </c>
    </row>
    <row r="10" spans="1:23" s="83" customFormat="1" x14ac:dyDescent="0.2">
      <c r="A10" s="21">
        <v>33117</v>
      </c>
      <c r="B10" s="79">
        <f>VLOOKUP(A10,Database!$A:$AS,MATCH($B$1,Database!$A$1:$AS$1,0),FALSE)</f>
        <v>110.89075910299999</v>
      </c>
      <c r="C10" s="79">
        <f>VLOOKUP(A10,Database!$A:$AS,MATCH($C$1,Database!$A$1:$AS$1,0),FALSE)</f>
        <v>91.78</v>
      </c>
      <c r="D10" s="79">
        <f>VLOOKUP(A10,Database!$A:$AS,MATCH($D$1,Database!$A$1:$AS$1,0),FALSE)</f>
        <v>73.690746398000002</v>
      </c>
      <c r="E10" s="79">
        <f>VLOOKUP(A10,Database!$A:$AS,MATCH($E$1,Database!$A$1:$AS$1,0),FALSE)</f>
        <v>101.362601908</v>
      </c>
      <c r="F10" s="79">
        <f>VLOOKUP(A10,Database!$A:$AS,MATCH($F$1,Database!$A$1:$AS$1,0),FALSE)</f>
        <v>80.617106152999995</v>
      </c>
      <c r="G10" s="79">
        <f>VLOOKUP(A10,Database!$A:$AS,MATCH($G$1,Database!$A$1:$AS$1,0),FALSE)</f>
        <v>80.444524107999996</v>
      </c>
      <c r="H10" s="79">
        <f>(((Table134567891011121314151617343[[#This Row],[ITA]]-VLOOKUP($U$1,A:B,2,))/VLOOKUP($U$1,A:B,2,))*100)+100</f>
        <v>91.200657894431814</v>
      </c>
      <c r="I10" s="79">
        <f>(((Table134567891011121314151617343[[#This Row],[FRA]]-VLOOKUP($U$1,A:C,3,))/VLOOKUP($U$1,A:C,3,))*100)+100</f>
        <v>89.550200019514108</v>
      </c>
      <c r="J10" s="79">
        <f>(((Table134567891011121314151617343[[#This Row],[DEU]]-VLOOKUP($U$1,A:D,4,))/VLOOKUP($U$1,A:D,4,))*100)+100</f>
        <v>98.001179910977299</v>
      </c>
      <c r="K10" s="79">
        <f>(((Table134567891011121314151617343[[#This Row],[ESP]]-VLOOKUP($U$1,A:E,5,))/VLOOKUP($U$1,A:E,5,))*100)+100</f>
        <v>85.200065091158677</v>
      </c>
      <c r="L10" s="79">
        <f>(((Table134567891011121314151617343[[#This Row],[EA19]]-VLOOKUP($U$1,A:F,6,))/VLOOKUP($U$1,A:F,6,))*100)+100</f>
        <v>90.175733951901549</v>
      </c>
      <c r="M10" s="79">
        <f>(((Table134567891011121314151617343[[#This Row],[GBR]]-VLOOKUP($U$1,A:G,7,))/VLOOKUP($U$1,A:G,7,))*100)+100</f>
        <v>87.281213535098047</v>
      </c>
      <c r="N10" s="79">
        <f>VLOOKUP(A10,Database!$A:$AS,MATCH($N$1,Database!$A$1:$AS$1,0),FALSE)</f>
        <v>62.626414642</v>
      </c>
      <c r="O10" s="79">
        <f>(((Table134567891011121314151617343[[#This Row],[USA]]-VLOOKUP($U$1,A:N,14,))/VLOOKUP($U$1,A:N,14,))*100)+100</f>
        <v>72.09755841513072</v>
      </c>
      <c r="P10" s="79">
        <f>VLOOKUP(A10,Database!$A:$AS,MATCH($P$1,Database!$A$1:$AS$1,0),FALSE)</f>
        <v>105.365200239</v>
      </c>
      <c r="Q10" s="79">
        <f>(((Table134567891011121314151617343[[#This Row],[JPN]]-VLOOKUP($U$1,A:Q,16,))/VLOOKUP($U$1,A:Q,16,))*100)+100</f>
        <v>105.78449913942381</v>
      </c>
      <c r="W10" s="83" t="s">
        <v>531</v>
      </c>
    </row>
    <row r="11" spans="1:23" s="83" customFormat="1" x14ac:dyDescent="0.2">
      <c r="A11" s="21">
        <v>33147</v>
      </c>
      <c r="B11" s="79">
        <f>VLOOKUP(A11,Database!$A:$AS,MATCH($B$1,Database!$A$1:$AS$1,0),FALSE)</f>
        <v>110.290809099</v>
      </c>
      <c r="C11" s="79">
        <f>VLOOKUP(A11,Database!$A:$AS,MATCH($C$1,Database!$A$1:$AS$1,0),FALSE)</f>
        <v>91.51</v>
      </c>
      <c r="D11" s="79">
        <f>VLOOKUP(A11,Database!$A:$AS,MATCH($D$1,Database!$A$1:$AS$1,0),FALSE)</f>
        <v>73.814181484000002</v>
      </c>
      <c r="E11" s="79">
        <f>VLOOKUP(A11,Database!$A:$AS,MATCH($E$1,Database!$A$1:$AS$1,0),FALSE)</f>
        <v>97.309146600000005</v>
      </c>
      <c r="F11" s="79">
        <f>VLOOKUP(A11,Database!$A:$AS,MATCH($F$1,Database!$A$1:$AS$1,0),FALSE)</f>
        <v>80.779064414000004</v>
      </c>
      <c r="G11" s="79">
        <f>VLOOKUP(A11,Database!$A:$AS,MATCH($G$1,Database!$A$1:$AS$1,0),FALSE)</f>
        <v>80.336977953000002</v>
      </c>
      <c r="H11" s="79">
        <f>(((Table134567891011121314151617343[[#This Row],[ITA]]-VLOOKUP($U$1,A:B,2,))/VLOOKUP($U$1,A:B,2,))*100)+100</f>
        <v>90.707236841936862</v>
      </c>
      <c r="I11" s="79">
        <f>(((Table134567891011121314151617343[[#This Row],[FRA]]-VLOOKUP($U$1,A:C,3,))/VLOOKUP($U$1,A:C,3,))*100)+100</f>
        <v>89.286759683871608</v>
      </c>
      <c r="J11" s="79">
        <f>(((Table134567891011121314151617343[[#This Row],[DEU]]-VLOOKUP($U$1,A:D,4,))/VLOOKUP($U$1,A:D,4,))*100)+100</f>
        <v>98.165335991105451</v>
      </c>
      <c r="K11" s="79">
        <f>(((Table134567891011121314151617343[[#This Row],[ESP]]-VLOOKUP($U$1,A:E,5,))/VLOOKUP($U$1,A:E,5,))*100)+100</f>
        <v>81.792944026930684</v>
      </c>
      <c r="L11" s="79">
        <f>(((Table134567891011121314151617343[[#This Row],[EA19]]-VLOOKUP($U$1,A:F,6,))/VLOOKUP($U$1,A:F,6,))*100)+100</f>
        <v>90.356895317673377</v>
      </c>
      <c r="M11" s="79">
        <f>(((Table134567891011121314151617343[[#This Row],[GBR]]-VLOOKUP($U$1,A:G,7,))/VLOOKUP($U$1,A:G,7,))*100)+100</f>
        <v>87.164527420990012</v>
      </c>
      <c r="N11" s="79">
        <f>VLOOKUP(A11,Database!$A:$AS,MATCH($N$1,Database!$A$1:$AS$1,0),FALSE)</f>
        <v>62.235291951000001</v>
      </c>
      <c r="O11" s="79">
        <f>(((Table134567891011121314151617343[[#This Row],[USA]]-VLOOKUP($U$1,A:N,14,))/VLOOKUP($U$1,A:N,14,))*100)+100</f>
        <v>71.647285295983579</v>
      </c>
      <c r="P11" s="79">
        <f>VLOOKUP(A11,Database!$A:$AS,MATCH($P$1,Database!$A$1:$AS$1,0),FALSE)</f>
        <v>107.49481448900001</v>
      </c>
      <c r="Q11" s="79">
        <f>(((Table134567891011121314151617343[[#This Row],[JPN]]-VLOOKUP($U$1,A:Q,16,))/VLOOKUP($U$1,A:Q,16,))*100)+100</f>
        <v>107.9225881506479</v>
      </c>
      <c r="W11" s="83" t="s">
        <v>152</v>
      </c>
    </row>
    <row r="12" spans="1:23" s="83" customFormat="1" x14ac:dyDescent="0.2">
      <c r="A12" s="21">
        <v>33178</v>
      </c>
      <c r="B12" s="79">
        <f>VLOOKUP(A12,Database!$A:$AS,MATCH($B$1,Database!$A$1:$AS$1,0),FALSE)</f>
        <v>108.690942421</v>
      </c>
      <c r="C12" s="79">
        <f>VLOOKUP(A12,Database!$A:$AS,MATCH($C$1,Database!$A$1:$AS$1,0),FALSE)</f>
        <v>90.45</v>
      </c>
      <c r="D12" s="79">
        <f>VLOOKUP(A12,Database!$A:$AS,MATCH($D$1,Database!$A$1:$AS$1,0),FALSE)</f>
        <v>73.814181484000002</v>
      </c>
      <c r="E12" s="79">
        <f>VLOOKUP(A12,Database!$A:$AS,MATCH($E$1,Database!$A$1:$AS$1,0),FALSE)</f>
        <v>100.46351292600001</v>
      </c>
      <c r="F12" s="79">
        <f>VLOOKUP(A12,Database!$A:$AS,MATCH($F$1,Database!$A$1:$AS$1,0),FALSE)</f>
        <v>80.016907891000002</v>
      </c>
      <c r="G12" s="79">
        <f>VLOOKUP(A12,Database!$A:$AS,MATCH($G$1,Database!$A$1:$AS$1,0),FALSE)</f>
        <v>79.906793332000007</v>
      </c>
      <c r="H12" s="79">
        <f>(((Table134567891011121314151617343[[#This Row],[ITA]]-VLOOKUP($U$1,A:B,2,))/VLOOKUP($U$1,A:B,2,))*100)+100</f>
        <v>89.391447368068683</v>
      </c>
      <c r="I12" s="79">
        <f>(((Table134567891011121314151617343[[#This Row],[FRA]]-VLOOKUP($U$1,A:C,3,))/VLOOKUP($U$1,A:C,3,))*100)+100</f>
        <v>88.252512440238078</v>
      </c>
      <c r="J12" s="79">
        <f>(((Table134567891011121314151617343[[#This Row],[DEU]]-VLOOKUP($U$1,A:D,4,))/VLOOKUP($U$1,A:D,4,))*100)+100</f>
        <v>98.165335991105451</v>
      </c>
      <c r="K12" s="79">
        <f>(((Table134567891011121314151617343[[#This Row],[ESP]]-VLOOKUP($U$1,A:E,5,))/VLOOKUP($U$1,A:E,5,))*100)+100</f>
        <v>84.44433824173673</v>
      </c>
      <c r="L12" s="79">
        <f>(((Table134567891011121314151617343[[#This Row],[EA19]]-VLOOKUP($U$1,A:F,6,))/VLOOKUP($U$1,A:F,6,))*100)+100</f>
        <v>89.504371242729306</v>
      </c>
      <c r="M12" s="79">
        <f>(((Table134567891011121314151617343[[#This Row],[GBR]]-VLOOKUP($U$1,A:G,7,))/VLOOKUP($U$1,A:G,7,))*100)+100</f>
        <v>86.697782963472832</v>
      </c>
      <c r="N12" s="79">
        <f>VLOOKUP(A12,Database!$A:$AS,MATCH($N$1,Database!$A$1:$AS$1,0),FALSE)</f>
        <v>61.468905573000001</v>
      </c>
      <c r="O12" s="79">
        <f>(((Table134567891011121314151617343[[#This Row],[USA]]-VLOOKUP($U$1,A:N,14,))/VLOOKUP($U$1,A:N,14,))*100)+100</f>
        <v>70.764996457124212</v>
      </c>
      <c r="P12" s="79">
        <f>VLOOKUP(A12,Database!$A:$AS,MATCH($P$1,Database!$A$1:$AS$1,0),FALSE)</f>
        <v>106.784943072</v>
      </c>
      <c r="Q12" s="79">
        <f>(((Table134567891011121314151617343[[#This Row],[JPN]]-VLOOKUP($U$1,A:Q,16,))/VLOOKUP($U$1,A:Q,16,))*100)+100</f>
        <v>107.20989181323854</v>
      </c>
      <c r="W12" s="83" t="s">
        <v>158</v>
      </c>
    </row>
    <row r="13" spans="1:23" s="83" customFormat="1" x14ac:dyDescent="0.2">
      <c r="A13" s="21">
        <v>33208</v>
      </c>
      <c r="B13" s="79">
        <f>VLOOKUP(A13,Database!$A:$AS,MATCH($B$1,Database!$A$1:$AS$1,0),FALSE)</f>
        <v>110.490792434</v>
      </c>
      <c r="C13" s="79">
        <f>VLOOKUP(A13,Database!$A:$AS,MATCH($C$1,Database!$A$1:$AS$1,0),FALSE)</f>
        <v>91.59</v>
      </c>
      <c r="D13" s="79">
        <f>VLOOKUP(A13,Database!$A:$AS,MATCH($D$1,Database!$A$1:$AS$1,0),FALSE)</f>
        <v>74.122769199999993</v>
      </c>
      <c r="E13" s="79">
        <f>VLOOKUP(A13,Database!$A:$AS,MATCH($E$1,Database!$A$1:$AS$1,0),FALSE)</f>
        <v>99.973275620999999</v>
      </c>
      <c r="F13" s="79">
        <f>VLOOKUP(A13,Database!$A:$AS,MATCH($F$1,Database!$A$1:$AS$1,0),FALSE)</f>
        <v>80.855280066000006</v>
      </c>
      <c r="G13" s="79">
        <f>VLOOKUP(A13,Database!$A:$AS,MATCH($G$1,Database!$A$1:$AS$1,0),FALSE)</f>
        <v>79.476608710999997</v>
      </c>
      <c r="H13" s="79">
        <f>(((Table134567891011121314151617343[[#This Row],[ITA]]-VLOOKUP($U$1,A:B,2,))/VLOOKUP($U$1,A:B,2,))*100)+100</f>
        <v>90.871710526375992</v>
      </c>
      <c r="I13" s="79">
        <f>(((Table134567891011121314151617343[[#This Row],[FRA]]-VLOOKUP($U$1,A:C,3,))/VLOOKUP($U$1,A:C,3,))*100)+100</f>
        <v>89.364816079617526</v>
      </c>
      <c r="J13" s="79">
        <f>(((Table134567891011121314151617343[[#This Row],[DEU]]-VLOOKUP($U$1,A:D,4,))/VLOOKUP($U$1,A:D,4,))*100)+100</f>
        <v>98.575726192755695</v>
      </c>
      <c r="K13" s="79">
        <f>(((Table134567891011121314151617343[[#This Row],[ESP]]-VLOOKUP($U$1,A:E,5,))/VLOOKUP($U$1,A:E,5,))*100)+100</f>
        <v>84.032270580588644</v>
      </c>
      <c r="L13" s="79">
        <f>(((Table134567891011121314151617343[[#This Row],[EA19]]-VLOOKUP($U$1,A:F,6,))/VLOOKUP($U$1,A:F,6,))*100)+100</f>
        <v>90.442147724832211</v>
      </c>
      <c r="M13" s="79">
        <f>(((Table134567891011121314151617343[[#This Row],[GBR]]-VLOOKUP($U$1,A:G,7,))/VLOOKUP($U$1,A:G,7,))*100)+100</f>
        <v>86.231038505955638</v>
      </c>
      <c r="N13" s="79">
        <f>VLOOKUP(A13,Database!$A:$AS,MATCH($N$1,Database!$A$1:$AS$1,0),FALSE)</f>
        <v>61.048741079999999</v>
      </c>
      <c r="O13" s="79">
        <f>(((Table134567891011121314151617343[[#This Row],[USA]]-VLOOKUP($U$1,A:N,14,))/VLOOKUP($U$1,A:N,14,))*100)+100</f>
        <v>70.281289474196981</v>
      </c>
      <c r="P13" s="79">
        <f>VLOOKUP(A13,Database!$A:$AS,MATCH($P$1,Database!$A$1:$AS$1,0),FALSE)</f>
        <v>106.886353275</v>
      </c>
      <c r="Q13" s="79">
        <f>(((Table134567891011121314151617343[[#This Row],[JPN]]-VLOOKUP($U$1,A:Q,16,))/VLOOKUP($U$1,A:Q,16,))*100)+100</f>
        <v>107.31170557629929</v>
      </c>
      <c r="W13" s="83" t="s">
        <v>176</v>
      </c>
    </row>
    <row r="14" spans="1:23" s="83" customFormat="1" x14ac:dyDescent="0.2">
      <c r="A14" s="21">
        <v>33239</v>
      </c>
      <c r="B14" s="79">
        <f>VLOOKUP(A14,Database!$A:$AS,MATCH($B$1,Database!$A$1:$AS$1,0),FALSE)</f>
        <v>111.09074243800001</v>
      </c>
      <c r="C14" s="79">
        <f>VLOOKUP(A14,Database!$A:$AS,MATCH($C$1,Database!$A$1:$AS$1,0),FALSE)</f>
        <v>92.76</v>
      </c>
      <c r="D14" s="79">
        <f>VLOOKUP(A14,Database!$A:$AS,MATCH($D$1,Database!$A$1:$AS$1,0),FALSE)</f>
        <v>76.393633863999995</v>
      </c>
      <c r="E14" s="79">
        <f>VLOOKUP(A14,Database!$A:$AS,MATCH($E$1,Database!$A$1:$AS$1,0),FALSE)</f>
        <v>100.076157771</v>
      </c>
      <c r="F14" s="79">
        <f>VLOOKUP(A14,Database!$A:$AS,MATCH($F$1,Database!$A$1:$AS$1,0),FALSE)</f>
        <v>82.5</v>
      </c>
      <c r="G14" s="79">
        <f>VLOOKUP(A14,Database!$A:$AS,MATCH($G$1,Database!$A$1:$AS$1,0),FALSE)</f>
        <v>79.261516400999994</v>
      </c>
      <c r="H14" s="79">
        <f>(((Table134567891011121314151617343[[#This Row],[ITA]]-VLOOKUP($U$1,A:B,2,))/VLOOKUP($U$1,A:B,2,))*100)+100</f>
        <v>91.365131578870944</v>
      </c>
      <c r="I14" s="79">
        <f>(((Table134567891011121314151617343[[#This Row],[FRA]]-VLOOKUP($U$1,A:C,3,))/VLOOKUP($U$1,A:C,3,))*100)+100</f>
        <v>90.506390867401706</v>
      </c>
      <c r="J14" s="79">
        <f>(((Table134567891011121314151617343[[#This Row],[DEU]]-VLOOKUP($U$1,A:D,4,))/VLOOKUP($U$1,A:D,4,))*100)+100</f>
        <v>101.59574468039833</v>
      </c>
      <c r="K14" s="79">
        <f>(((Table134567891011121314151617343[[#This Row],[ESP]]-VLOOKUP($U$1,A:E,5,))/VLOOKUP($U$1,A:E,5,))*100)+100</f>
        <v>84.118747897781759</v>
      </c>
      <c r="L14" s="79">
        <f>(((Table134567891011121314151617343[[#This Row],[EA19]]-VLOOKUP($U$1,A:F,6,))/VLOOKUP($U$1,A:F,6,))*100)+100</f>
        <v>92.281879194630861</v>
      </c>
      <c r="M14" s="79">
        <f>(((Table134567891011121314151617343[[#This Row],[GBR]]-VLOOKUP($U$1,A:G,7,))/VLOOKUP($U$1,A:G,7,))*100)+100</f>
        <v>85.99766627773954</v>
      </c>
      <c r="N14" s="79">
        <f>VLOOKUP(A14,Database!$A:$AS,MATCH($N$1,Database!$A$1:$AS$1,0),FALSE)</f>
        <v>60.821659963999998</v>
      </c>
      <c r="O14" s="79">
        <f>(((Table134567891011121314151617343[[#This Row],[USA]]-VLOOKUP($U$1,A:N,14,))/VLOOKUP($U$1,A:N,14,))*100)+100</f>
        <v>70.019866333188958</v>
      </c>
      <c r="P14" s="79">
        <f>VLOOKUP(A14,Database!$A:$AS,MATCH($P$1,Database!$A$1:$AS$1,0),FALSE)</f>
        <v>107.596224691</v>
      </c>
      <c r="Q14" s="79">
        <f>(((Table134567891011121314151617343[[#This Row],[JPN]]-VLOOKUP($U$1,A:Q,16,))/VLOOKUP($U$1,A:Q,16,))*100)+100</f>
        <v>108.02440191270466</v>
      </c>
      <c r="W14" s="83" t="s">
        <v>190</v>
      </c>
    </row>
    <row r="15" spans="1:23" s="83" customFormat="1" x14ac:dyDescent="0.2">
      <c r="A15" s="21">
        <v>33270</v>
      </c>
      <c r="B15" s="79">
        <f>VLOOKUP(A15,Database!$A:$AS,MATCH($B$1,Database!$A$1:$AS$1,0),FALSE)</f>
        <v>108.990917424</v>
      </c>
      <c r="C15" s="79">
        <f>VLOOKUP(A15,Database!$A:$AS,MATCH($C$1,Database!$A$1:$AS$1,0),FALSE)</f>
        <v>92.38</v>
      </c>
      <c r="D15" s="79">
        <f>VLOOKUP(A15,Database!$A:$AS,MATCH($D$1,Database!$A$1:$AS$1,0),FALSE)</f>
        <v>75.493708858000005</v>
      </c>
      <c r="E15" s="79">
        <f>VLOOKUP(A15,Database!$A:$AS,MATCH($E$1,Database!$A$1:$AS$1,0),FALSE)</f>
        <v>98.486489152999994</v>
      </c>
      <c r="F15" s="79">
        <f>VLOOKUP(A15,Database!$A:$AS,MATCH($F$1,Database!$A$1:$AS$1,0),FALSE)</f>
        <v>81.5</v>
      </c>
      <c r="G15" s="79">
        <f>VLOOKUP(A15,Database!$A:$AS,MATCH($G$1,Database!$A$1:$AS$1,0),FALSE)</f>
        <v>79.261516400999994</v>
      </c>
      <c r="H15" s="79">
        <f>(((Table134567891011121314151617343[[#This Row],[ITA]]-VLOOKUP($U$1,A:B,2,))/VLOOKUP($U$1,A:B,2,))*100)+100</f>
        <v>89.63815789513859</v>
      </c>
      <c r="I15" s="79">
        <f>(((Table134567891011121314151617343[[#This Row],[FRA]]-VLOOKUP($U$1,A:C,3,))/VLOOKUP($U$1,A:C,3,))*100)+100</f>
        <v>90.135622987608542</v>
      </c>
      <c r="J15" s="79">
        <f>(((Table134567891011121314151617343[[#This Row],[DEU]]-VLOOKUP($U$1,A:D,4,))/VLOOKUP($U$1,A:D,4,))*100)+100</f>
        <v>100.3989361700996</v>
      </c>
      <c r="K15" s="79">
        <f>(((Table134567891011121314151617343[[#This Row],[ESP]]-VLOOKUP($U$1,A:E,5,))/VLOOKUP($U$1,A:E,5,))*100)+100</f>
        <v>82.782556174428976</v>
      </c>
      <c r="L15" s="79">
        <f>(((Table134567891011121314151617343[[#This Row],[EA19]]-VLOOKUP($U$1,A:F,6,))/VLOOKUP($U$1,A:F,6,))*100)+100</f>
        <v>91.163310961968676</v>
      </c>
      <c r="M15" s="79">
        <f>(((Table134567891011121314151617343[[#This Row],[GBR]]-VLOOKUP($U$1,A:G,7,))/VLOOKUP($U$1,A:G,7,))*100)+100</f>
        <v>85.99766627773954</v>
      </c>
      <c r="N15" s="79">
        <f>VLOOKUP(A15,Database!$A:$AS,MATCH($N$1,Database!$A$1:$AS$1,0),FALSE)</f>
        <v>60.388610030000002</v>
      </c>
      <c r="O15" s="79">
        <f>(((Table134567891011121314151617343[[#This Row],[USA]]-VLOOKUP($U$1,A:N,14,))/VLOOKUP($U$1,A:N,14,))*100)+100</f>
        <v>69.52132521293305</v>
      </c>
      <c r="P15" s="79">
        <f>VLOOKUP(A15,Database!$A:$AS,MATCH($P$1,Database!$A$1:$AS$1,0),FALSE)</f>
        <v>108.00186549999999</v>
      </c>
      <c r="Q15" s="79">
        <f>(((Table134567891011121314151617343[[#This Row],[JPN]]-VLOOKUP($U$1,A:Q,16,))/VLOOKUP($U$1,A:Q,16,))*100)+100</f>
        <v>108.43165696193573</v>
      </c>
      <c r="W15" s="83" t="s">
        <v>206</v>
      </c>
    </row>
    <row r="16" spans="1:23" s="83" customFormat="1" x14ac:dyDescent="0.2">
      <c r="A16" s="21">
        <v>33298</v>
      </c>
      <c r="B16" s="79">
        <f>VLOOKUP(A16,Database!$A:$AS,MATCH($B$1,Database!$A$1:$AS$1,0),FALSE)</f>
        <v>108.39096741900001</v>
      </c>
      <c r="C16" s="79">
        <f>VLOOKUP(A16,Database!$A:$AS,MATCH($C$1,Database!$A$1:$AS$1,0),FALSE)</f>
        <v>91.22</v>
      </c>
      <c r="D16" s="79">
        <f>VLOOKUP(A16,Database!$A:$AS,MATCH($D$1,Database!$A$1:$AS$1,0),FALSE)</f>
        <v>74.993750520999996</v>
      </c>
      <c r="E16" s="79">
        <f>VLOOKUP(A16,Database!$A:$AS,MATCH($E$1,Database!$A$1:$AS$1,0),FALSE)</f>
        <v>95.058398582999999</v>
      </c>
      <c r="F16" s="79">
        <f>VLOOKUP(A16,Database!$A:$AS,MATCH($F$1,Database!$A$1:$AS$1,0),FALSE)</f>
        <v>80.7</v>
      </c>
      <c r="G16" s="79">
        <f>VLOOKUP(A16,Database!$A:$AS,MATCH($G$1,Database!$A$1:$AS$1,0),FALSE)</f>
        <v>78.401147159000004</v>
      </c>
      <c r="H16" s="79">
        <f>(((Table134567891011121314151617343[[#This Row],[ITA]]-VLOOKUP($U$1,A:B,2,))/VLOOKUP($U$1,A:B,2,))*100)+100</f>
        <v>89.144736841821214</v>
      </c>
      <c r="I16" s="79">
        <f>(((Table134567891011121314151617343[[#This Row],[FRA]]-VLOOKUP($U$1,A:C,3,))/VLOOKUP($U$1,A:C,3,))*100)+100</f>
        <v>89.003805249292611</v>
      </c>
      <c r="J16" s="79">
        <f>(((Table134567891011121314151617343[[#This Row],[DEU]]-VLOOKUP($U$1,A:D,4,))/VLOOKUP($U$1,A:D,4,))*100)+100</f>
        <v>99.734042552823652</v>
      </c>
      <c r="K16" s="79">
        <f>(((Table134567891011121314151617343[[#This Row],[ESP]]-VLOOKUP($U$1,A:E,5,))/VLOOKUP($U$1,A:E,5,))*100)+100</f>
        <v>79.901083775294211</v>
      </c>
      <c r="L16" s="79">
        <f>(((Table134567891011121314151617343[[#This Row],[EA19]]-VLOOKUP($U$1,A:F,6,))/VLOOKUP($U$1,A:F,6,))*100)+100</f>
        <v>90.268456375838923</v>
      </c>
      <c r="M16" s="79">
        <f>(((Table134567891011121314151617343[[#This Row],[GBR]]-VLOOKUP($U$1,A:G,7,))/VLOOKUP($U$1,A:G,7,))*100)+100</f>
        <v>85.06417736270518</v>
      </c>
      <c r="N16" s="79">
        <f>VLOOKUP(A16,Database!$A:$AS,MATCH($N$1,Database!$A$1:$AS$1,0),FALSE)</f>
        <v>60.051407953000002</v>
      </c>
      <c r="O16" s="79">
        <f>(((Table134567891011121314151617343[[#This Row],[USA]]-VLOOKUP($U$1,A:N,14,))/VLOOKUP($U$1,A:N,14,))*100)+100</f>
        <v>69.133127252325124</v>
      </c>
      <c r="P16" s="79">
        <f>VLOOKUP(A16,Database!$A:$AS,MATCH($P$1,Database!$A$1:$AS$1,0),FALSE)</f>
        <v>106.987763477</v>
      </c>
      <c r="Q16" s="79">
        <f>(((Table134567891011121314151617343[[#This Row],[JPN]]-VLOOKUP($U$1,A:Q,16,))/VLOOKUP($U$1,A:Q,16,))*100)+100</f>
        <v>107.41351933835607</v>
      </c>
      <c r="W16" s="83" t="s">
        <v>214</v>
      </c>
    </row>
    <row r="17" spans="1:23" s="83" customFormat="1" x14ac:dyDescent="0.2">
      <c r="A17" s="21">
        <v>33329</v>
      </c>
      <c r="B17" s="79">
        <f>VLOOKUP(A17,Database!$A:$AS,MATCH($B$1,Database!$A$1:$AS$1,0),FALSE)</f>
        <v>107.391050746</v>
      </c>
      <c r="C17" s="79">
        <f>VLOOKUP(A17,Database!$A:$AS,MATCH($C$1,Database!$A$1:$AS$1,0),FALSE)</f>
        <v>91.19</v>
      </c>
      <c r="D17" s="79">
        <f>VLOOKUP(A17,Database!$A:$AS,MATCH($D$1,Database!$A$1:$AS$1,0),FALSE)</f>
        <v>74.393800517000003</v>
      </c>
      <c r="E17" s="79">
        <f>VLOOKUP(A17,Database!$A:$AS,MATCH($E$1,Database!$A$1:$AS$1,0),FALSE)</f>
        <v>102.14978314699999</v>
      </c>
      <c r="F17" s="79">
        <f>VLOOKUP(A17,Database!$A:$AS,MATCH($F$1,Database!$A$1:$AS$1,0),FALSE)</f>
        <v>80.2</v>
      </c>
      <c r="G17" s="79">
        <f>VLOOKUP(A17,Database!$A:$AS,MATCH($G$1,Database!$A$1:$AS$1,0),FALSE)</f>
        <v>77.433231762000005</v>
      </c>
      <c r="H17" s="79">
        <f>(((Table134567891011121314151617343[[#This Row],[ITA]]-VLOOKUP($U$1,A:B,2,))/VLOOKUP($U$1,A:B,2,))*100)+100</f>
        <v>88.322368421270426</v>
      </c>
      <c r="I17" s="79">
        <f>(((Table134567891011121314151617343[[#This Row],[FRA]]-VLOOKUP($U$1,A:C,3,))/VLOOKUP($U$1,A:C,3,))*100)+100</f>
        <v>88.974534100887894</v>
      </c>
      <c r="J17" s="79">
        <f>(((Table134567891011121314151617343[[#This Row],[DEU]]-VLOOKUP($U$1,A:D,4,))/VLOOKUP($U$1,A:D,4,))*100)+100</f>
        <v>98.936170212624489</v>
      </c>
      <c r="K17" s="79">
        <f>(((Table134567891011121314151617343[[#This Row],[ESP]]-VLOOKUP($U$1,A:E,5,))/VLOOKUP($U$1,A:E,5,))*100)+100</f>
        <v>85.861728185227747</v>
      </c>
      <c r="L17" s="79">
        <f>(((Table134567891011121314151617343[[#This Row],[EA19]]-VLOOKUP($U$1,A:F,6,))/VLOOKUP($U$1,A:F,6,))*100)+100</f>
        <v>89.709172259507824</v>
      </c>
      <c r="M17" s="79">
        <f>(((Table134567891011121314151617343[[#This Row],[GBR]]-VLOOKUP($U$1,A:G,7,))/VLOOKUP($U$1,A:G,7,))*100)+100</f>
        <v>84.014002333562786</v>
      </c>
      <c r="N17" s="79">
        <f>VLOOKUP(A17,Database!$A:$AS,MATCH($N$1,Database!$A$1:$AS$1,0),FALSE)</f>
        <v>60.224964931000002</v>
      </c>
      <c r="O17" s="79">
        <f>(((Table134567891011121314151617343[[#This Row],[USA]]-VLOOKUP($U$1,A:N,14,))/VLOOKUP($U$1,A:N,14,))*100)+100</f>
        <v>69.332931670815924</v>
      </c>
      <c r="P17" s="79">
        <f>VLOOKUP(A17,Database!$A:$AS,MATCH($P$1,Database!$A$1:$AS$1,0),FALSE)</f>
        <v>107.39340428600001</v>
      </c>
      <c r="Q17" s="79">
        <f>(((Table134567891011121314151617343[[#This Row],[JPN]]-VLOOKUP($U$1,A:Q,16,))/VLOOKUP($U$1,A:Q,16,))*100)+100</f>
        <v>107.82077438758714</v>
      </c>
      <c r="W17" s="83" t="s">
        <v>220</v>
      </c>
    </row>
    <row r="18" spans="1:23" s="83" customFormat="1" x14ac:dyDescent="0.2">
      <c r="A18" s="21">
        <v>33359</v>
      </c>
      <c r="B18" s="79">
        <f>VLOOKUP(A18,Database!$A:$AS,MATCH($B$1,Database!$A$1:$AS$1,0),FALSE)</f>
        <v>108.690942421</v>
      </c>
      <c r="C18" s="79">
        <f>VLOOKUP(A18,Database!$A:$AS,MATCH($C$1,Database!$A$1:$AS$1,0),FALSE)</f>
        <v>91.33</v>
      </c>
      <c r="D18" s="79">
        <f>VLOOKUP(A18,Database!$A:$AS,MATCH($D$1,Database!$A$1:$AS$1,0),FALSE)</f>
        <v>73.193900507999999</v>
      </c>
      <c r="E18" s="79">
        <f>VLOOKUP(A18,Database!$A:$AS,MATCH($E$1,Database!$A$1:$AS$1,0),FALSE)</f>
        <v>97.120714164999995</v>
      </c>
      <c r="F18" s="79">
        <f>VLOOKUP(A18,Database!$A:$AS,MATCH($F$1,Database!$A$1:$AS$1,0),FALSE)</f>
        <v>80.2</v>
      </c>
      <c r="G18" s="79">
        <f>VLOOKUP(A18,Database!$A:$AS,MATCH($G$1,Database!$A$1:$AS$1,0),FALSE)</f>
        <v>78.293601003999996</v>
      </c>
      <c r="H18" s="79">
        <f>(((Table134567891011121314151617343[[#This Row],[ITA]]-VLOOKUP($U$1,A:B,2,))/VLOOKUP($U$1,A:B,2,))*100)+100</f>
        <v>89.391447368068683</v>
      </c>
      <c r="I18" s="79">
        <f>(((Table134567891011121314151617343[[#This Row],[FRA]]-VLOOKUP($U$1,A:C,3,))/VLOOKUP($U$1,A:C,3,))*100)+100</f>
        <v>89.111132793443261</v>
      </c>
      <c r="J18" s="79">
        <f>(((Table134567891011121314151617343[[#This Row],[DEU]]-VLOOKUP($U$1,A:D,4,))/VLOOKUP($U$1,A:D,4,))*100)+100</f>
        <v>97.340425530896255</v>
      </c>
      <c r="K18" s="79">
        <f>(((Table134567891011121314151617343[[#This Row],[ESP]]-VLOOKUP($U$1,A:E,5,))/VLOOKUP($U$1,A:E,5,))*100)+100</f>
        <v>81.634557645513041</v>
      </c>
      <c r="L18" s="79">
        <f>(((Table134567891011121314151617343[[#This Row],[EA19]]-VLOOKUP($U$1,A:F,6,))/VLOOKUP($U$1,A:F,6,))*100)+100</f>
        <v>89.709172259507824</v>
      </c>
      <c r="M18" s="79">
        <f>(((Table134567891011121314151617343[[#This Row],[GBR]]-VLOOKUP($U$1,A:G,7,))/VLOOKUP($U$1,A:G,7,))*100)+100</f>
        <v>84.947491248597132</v>
      </c>
      <c r="N18" s="79">
        <f>VLOOKUP(A18,Database!$A:$AS,MATCH($N$1,Database!$A$1:$AS$1,0),FALSE)</f>
        <v>60.816505786999997</v>
      </c>
      <c r="O18" s="79">
        <f>(((Table134567891011121314151617343[[#This Row],[USA]]-VLOOKUP($U$1,A:N,14,))/VLOOKUP($U$1,A:N,14,))*100)+100</f>
        <v>70.013932677566743</v>
      </c>
      <c r="P18" s="79">
        <f>VLOOKUP(A18,Database!$A:$AS,MATCH($P$1,Database!$A$1:$AS$1,0),FALSE)</f>
        <v>108.508916512</v>
      </c>
      <c r="Q18" s="79">
        <f>(((Table134567891011121314151617343[[#This Row],[JPN]]-VLOOKUP($U$1,A:Q,16,))/VLOOKUP($U$1,A:Q,16,))*100)+100</f>
        <v>108.94072577422756</v>
      </c>
      <c r="W18" s="83" t="s">
        <v>222</v>
      </c>
    </row>
    <row r="19" spans="1:23" s="83" customFormat="1" x14ac:dyDescent="0.2">
      <c r="A19" s="21">
        <v>33390</v>
      </c>
      <c r="B19" s="79">
        <f>VLOOKUP(A19,Database!$A:$AS,MATCH($B$1,Database!$A$1:$AS$1,0),FALSE)</f>
        <v>109.090909091</v>
      </c>
      <c r="C19" s="79">
        <f>VLOOKUP(A19,Database!$A:$AS,MATCH($C$1,Database!$A$1:$AS$1,0),FALSE)</f>
        <v>91.69</v>
      </c>
      <c r="D19" s="79">
        <f>VLOOKUP(A19,Database!$A:$AS,MATCH($D$1,Database!$A$1:$AS$1,0),FALSE)</f>
        <v>76.393633863999995</v>
      </c>
      <c r="E19" s="79">
        <f>VLOOKUP(A19,Database!$A:$AS,MATCH($E$1,Database!$A$1:$AS$1,0),FALSE)</f>
        <v>100.165092278</v>
      </c>
      <c r="F19" s="79">
        <f>VLOOKUP(A19,Database!$A:$AS,MATCH($F$1,Database!$A$1:$AS$1,0),FALSE)</f>
        <v>81.7</v>
      </c>
      <c r="G19" s="79">
        <f>VLOOKUP(A19,Database!$A:$AS,MATCH($G$1,Database!$A$1:$AS$1,0),FALSE)</f>
        <v>78.616239469000007</v>
      </c>
      <c r="H19" s="79">
        <f>(((Table134567891011121314151617343[[#This Row],[ITA]]-VLOOKUP($U$1,A:B,2,))/VLOOKUP($U$1,A:B,2,))*100)+100</f>
        <v>89.720394736946943</v>
      </c>
      <c r="I19" s="79">
        <f>(((Table134567891011121314151617343[[#This Row],[FRA]]-VLOOKUP($U$1,A:C,3,))/VLOOKUP($U$1,A:C,3,))*100)+100</f>
        <v>89.462386574299927</v>
      </c>
      <c r="J19" s="79">
        <f>(((Table134567891011121314151617343[[#This Row],[DEU]]-VLOOKUP($U$1,A:D,4,))/VLOOKUP($U$1,A:D,4,))*100)+100</f>
        <v>101.59574468039833</v>
      </c>
      <c r="K19" s="79">
        <f>(((Table134567891011121314151617343[[#This Row],[ESP]]-VLOOKUP($U$1,A:E,5,))/VLOOKUP($U$1,A:E,5,))*100)+100</f>
        <v>84.193501560795738</v>
      </c>
      <c r="L19" s="79">
        <f>(((Table134567891011121314151617343[[#This Row],[EA19]]-VLOOKUP($U$1,A:F,6,))/VLOOKUP($U$1,A:F,6,))*100)+100</f>
        <v>91.387024608501122</v>
      </c>
      <c r="M19" s="79">
        <f>(((Table134567891011121314151617343[[#This Row],[GBR]]-VLOOKUP($U$1,A:G,7,))/VLOOKUP($U$1,A:G,7,))*100)+100</f>
        <v>85.297549590921292</v>
      </c>
      <c r="N19" s="79">
        <f>VLOOKUP(A19,Database!$A:$AS,MATCH($N$1,Database!$A$1:$AS$1,0),FALSE)</f>
        <v>61.294654764000001</v>
      </c>
      <c r="O19" s="79">
        <f>(((Table134567891011121314151617343[[#This Row],[USA]]-VLOOKUP($U$1,A:N,14,))/VLOOKUP($U$1,A:N,14,))*100)+100</f>
        <v>70.564393277897409</v>
      </c>
      <c r="P19" s="79">
        <f>VLOOKUP(A19,Database!$A:$AS,MATCH($P$1,Database!$A$1:$AS$1,0),FALSE)</f>
        <v>105.365200239</v>
      </c>
      <c r="Q19" s="79">
        <f>(((Table134567891011121314151617343[[#This Row],[JPN]]-VLOOKUP($U$1,A:Q,16,))/VLOOKUP($U$1,A:Q,16,))*100)+100</f>
        <v>105.78449913942381</v>
      </c>
      <c r="W19" s="83" t="s">
        <v>224</v>
      </c>
    </row>
    <row r="20" spans="1:23" s="83" customFormat="1" x14ac:dyDescent="0.2">
      <c r="A20" s="21">
        <v>33420</v>
      </c>
      <c r="B20" s="79">
        <f>VLOOKUP(A20,Database!$A:$AS,MATCH($B$1,Database!$A$1:$AS$1,0),FALSE)</f>
        <v>109.090909091</v>
      </c>
      <c r="C20" s="79">
        <f>VLOOKUP(A20,Database!$A:$AS,MATCH($C$1,Database!$A$1:$AS$1,0),FALSE)</f>
        <v>90.15</v>
      </c>
      <c r="D20" s="79">
        <f>VLOOKUP(A20,Database!$A:$AS,MATCH($D$1,Database!$A$1:$AS$1,0),FALSE)</f>
        <v>74.193817182000004</v>
      </c>
      <c r="E20" s="79">
        <f>VLOOKUP(A20,Database!$A:$AS,MATCH($E$1,Database!$A$1:$AS$1,0),FALSE)</f>
        <v>97.713067210999995</v>
      </c>
      <c r="F20" s="79">
        <f>VLOOKUP(A20,Database!$A:$AS,MATCH($F$1,Database!$A$1:$AS$1,0),FALSE)</f>
        <v>80.2</v>
      </c>
      <c r="G20" s="79">
        <f>VLOOKUP(A20,Database!$A:$AS,MATCH($G$1,Database!$A$1:$AS$1,0),FALSE)</f>
        <v>77.863416383000001</v>
      </c>
      <c r="H20" s="79">
        <f>(((Table134567891011121314151617343[[#This Row],[ITA]]-VLOOKUP($U$1,A:B,2,))/VLOOKUP($U$1,A:B,2,))*100)+100</f>
        <v>89.720394736946943</v>
      </c>
      <c r="I20" s="79">
        <f>(((Table134567891011121314151617343[[#This Row],[FRA]]-VLOOKUP($U$1,A:C,3,))/VLOOKUP($U$1,A:C,3,))*100)+100</f>
        <v>87.959800956190861</v>
      </c>
      <c r="J20" s="79">
        <f>(((Table134567891011121314151617343[[#This Row],[DEU]]-VLOOKUP($U$1,A:D,4,))/VLOOKUP($U$1,A:D,4,))*100)+100</f>
        <v>98.670212765448142</v>
      </c>
      <c r="K20" s="79">
        <f>(((Table134567891011121314151617343[[#This Row],[ESP]]-VLOOKUP($U$1,A:E,5,))/VLOOKUP($U$1,A:E,5,))*100)+100</f>
        <v>82.132458420810352</v>
      </c>
      <c r="L20" s="79">
        <f>(((Table134567891011121314151617343[[#This Row],[EA19]]-VLOOKUP($U$1,A:F,6,))/VLOOKUP($U$1,A:F,6,))*100)+100</f>
        <v>89.709172259507824</v>
      </c>
      <c r="M20" s="79">
        <f>(((Table134567891011121314151617343[[#This Row],[GBR]]-VLOOKUP($U$1,A:G,7,))/VLOOKUP($U$1,A:G,7,))*100)+100</f>
        <v>84.480746791079952</v>
      </c>
      <c r="N20" s="79">
        <f>VLOOKUP(A20,Database!$A:$AS,MATCH($N$1,Database!$A$1:$AS$1,0),FALSE)</f>
        <v>61.460084002000002</v>
      </c>
      <c r="O20" s="79">
        <f>(((Table134567891011121314151617343[[#This Row],[USA]]-VLOOKUP($U$1,A:N,14,))/VLOOKUP($U$1,A:N,14,))*100)+100</f>
        <v>70.754840778659769</v>
      </c>
      <c r="P20" s="79">
        <f>VLOOKUP(A20,Database!$A:$AS,MATCH($P$1,Database!$A$1:$AS$1,0),FALSE)</f>
        <v>107.697634893</v>
      </c>
      <c r="Q20" s="79">
        <f>(((Table134567891011121314151617343[[#This Row],[JPN]]-VLOOKUP($U$1,A:Q,16,))/VLOOKUP($U$1,A:Q,16,))*100)+100</f>
        <v>108.12621567476144</v>
      </c>
      <c r="W20" s="83" t="s">
        <v>230</v>
      </c>
    </row>
    <row r="21" spans="1:23" s="83" customFormat="1" x14ac:dyDescent="0.2">
      <c r="A21" s="21">
        <v>33451</v>
      </c>
      <c r="B21" s="79">
        <f>VLOOKUP(A21,Database!$A:$AS,MATCH($B$1,Database!$A$1:$AS$1,0),FALSE)</f>
        <v>109.69085909499999</v>
      </c>
      <c r="C21" s="79">
        <f>VLOOKUP(A21,Database!$A:$AS,MATCH($C$1,Database!$A$1:$AS$1,0),FALSE)</f>
        <v>91.06</v>
      </c>
      <c r="D21" s="79">
        <f>VLOOKUP(A21,Database!$A:$AS,MATCH($D$1,Database!$A$1:$AS$1,0),FALSE)</f>
        <v>72.993917174000003</v>
      </c>
      <c r="E21" s="79">
        <f>VLOOKUP(A21,Database!$A:$AS,MATCH($E$1,Database!$A$1:$AS$1,0),FALSE)</f>
        <v>97.486349388999997</v>
      </c>
      <c r="F21" s="79">
        <f>VLOOKUP(A21,Database!$A:$AS,MATCH($F$1,Database!$A$1:$AS$1,0),FALSE)</f>
        <v>80.099999999999994</v>
      </c>
      <c r="G21" s="79">
        <f>VLOOKUP(A21,Database!$A:$AS,MATCH($G$1,Database!$A$1:$AS$1,0),FALSE)</f>
        <v>77.110593296000005</v>
      </c>
      <c r="H21" s="79">
        <f>(((Table134567891011121314151617343[[#This Row],[ITA]]-VLOOKUP($U$1,A:B,2,))/VLOOKUP($U$1,A:B,2,))*100)+100</f>
        <v>90.213815789441895</v>
      </c>
      <c r="I21" s="79">
        <f>(((Table134567891011121314151617343[[#This Row],[FRA]]-VLOOKUP($U$1,A:C,3,))/VLOOKUP($U$1,A:C,3,))*100)+100</f>
        <v>88.847692457800761</v>
      </c>
      <c r="J21" s="79">
        <f>(((Table134567891011121314151617343[[#This Row],[DEU]]-VLOOKUP($U$1,A:D,4,))/VLOOKUP($U$1,A:D,4,))*100)+100</f>
        <v>97.074468085049801</v>
      </c>
      <c r="K21" s="79">
        <f>(((Table134567891011121314151617343[[#This Row],[ESP]]-VLOOKUP($U$1,A:E,5,))/VLOOKUP($U$1,A:E,5,))*100)+100</f>
        <v>81.941891359309125</v>
      </c>
      <c r="L21" s="79">
        <f>(((Table134567891011121314151617343[[#This Row],[EA19]]-VLOOKUP($U$1,A:F,6,))/VLOOKUP($U$1,A:F,6,))*100)+100</f>
        <v>89.597315436241601</v>
      </c>
      <c r="M21" s="79">
        <f>(((Table134567891011121314151617343[[#This Row],[GBR]]-VLOOKUP($U$1,A:G,7,))/VLOOKUP($U$1,A:G,7,))*100)+100</f>
        <v>83.663943990153655</v>
      </c>
      <c r="N21" s="79">
        <f>VLOOKUP(A21,Database!$A:$AS,MATCH($N$1,Database!$A$1:$AS$1,0),FALSE)</f>
        <v>61.467617029000003</v>
      </c>
      <c r="O21" s="79">
        <f>(((Table134567891011121314151617343[[#This Row],[USA]]-VLOOKUP($U$1,A:N,14,))/VLOOKUP($U$1,A:N,14,))*100)+100</f>
        <v>70.763513043506464</v>
      </c>
      <c r="P21" s="79">
        <f>VLOOKUP(A21,Database!$A:$AS,MATCH($P$1,Database!$A$1:$AS$1,0),FALSE)</f>
        <v>105.97366145300001</v>
      </c>
      <c r="Q21" s="79">
        <f>(((Table134567891011121314151617343[[#This Row],[JPN]]-VLOOKUP($U$1,A:Q,16,))/VLOOKUP($U$1,A:Q,16,))*100)+100</f>
        <v>106.39538171377242</v>
      </c>
      <c r="W21" s="83" t="s">
        <v>534</v>
      </c>
    </row>
    <row r="22" spans="1:23" s="83" customFormat="1" x14ac:dyDescent="0.2">
      <c r="A22" s="21">
        <v>33482</v>
      </c>
      <c r="B22" s="79">
        <f>VLOOKUP(A22,Database!$A:$AS,MATCH($B$1,Database!$A$1:$AS$1,0),FALSE)</f>
        <v>110.89075910299999</v>
      </c>
      <c r="C22" s="79">
        <f>VLOOKUP(A22,Database!$A:$AS,MATCH($C$1,Database!$A$1:$AS$1,0),FALSE)</f>
        <v>91.38</v>
      </c>
      <c r="D22" s="79">
        <f>VLOOKUP(A22,Database!$A:$AS,MATCH($D$1,Database!$A$1:$AS$1,0),FALSE)</f>
        <v>72.793933839000005</v>
      </c>
      <c r="E22" s="79">
        <f>VLOOKUP(A22,Database!$A:$AS,MATCH($E$1,Database!$A$1:$AS$1,0),FALSE)</f>
        <v>99.924769441999999</v>
      </c>
      <c r="F22" s="79">
        <f>VLOOKUP(A22,Database!$A:$AS,MATCH($F$1,Database!$A$1:$AS$1,0),FALSE)</f>
        <v>80.3</v>
      </c>
      <c r="G22" s="79">
        <f>VLOOKUP(A22,Database!$A:$AS,MATCH($G$1,Database!$A$1:$AS$1,0),FALSE)</f>
        <v>77.218139452000003</v>
      </c>
      <c r="H22" s="79">
        <f>(((Table134567891011121314151617343[[#This Row],[ITA]]-VLOOKUP($U$1,A:B,2,))/VLOOKUP($U$1,A:B,2,))*100)+100</f>
        <v>91.200657894431814</v>
      </c>
      <c r="I22" s="79">
        <f>(((Table134567891011121314151617343[[#This Row],[FRA]]-VLOOKUP($U$1,A:C,3,))/VLOOKUP($U$1,A:C,3,))*100)+100</f>
        <v>89.159918040784461</v>
      </c>
      <c r="J22" s="79">
        <f>(((Table134567891011121314151617343[[#This Row],[DEU]]-VLOOKUP($U$1,A:D,4,))/VLOOKUP($U$1,A:D,4,))*100)+100</f>
        <v>96.808510637873454</v>
      </c>
      <c r="K22" s="79">
        <f>(((Table134567891011121314151617343[[#This Row],[ESP]]-VLOOKUP($U$1,A:E,5,))/VLOOKUP($U$1,A:E,5,))*100)+100</f>
        <v>83.991498841008848</v>
      </c>
      <c r="L22" s="79">
        <f>(((Table134567891011121314151617343[[#This Row],[EA19]]-VLOOKUP($U$1,A:F,6,))/VLOOKUP($U$1,A:F,6,))*100)+100</f>
        <v>89.821029082774032</v>
      </c>
      <c r="M22" s="79">
        <f>(((Table134567891011121314151617343[[#This Row],[GBR]]-VLOOKUP($U$1,A:G,7,))/VLOOKUP($U$1,A:G,7,))*100)+100</f>
        <v>83.780630105346674</v>
      </c>
      <c r="N22" s="79">
        <f>VLOOKUP(A22,Database!$A:$AS,MATCH($N$1,Database!$A$1:$AS$1,0),FALSE)</f>
        <v>61.994532442999997</v>
      </c>
      <c r="O22" s="79">
        <f>(((Table134567891011121314151617343[[#This Row],[USA]]-VLOOKUP($U$1,A:N,14,))/VLOOKUP($U$1,A:N,14,))*100)+100</f>
        <v>71.370115146754131</v>
      </c>
      <c r="P22" s="79">
        <f>VLOOKUP(A22,Database!$A:$AS,MATCH($P$1,Database!$A$1:$AS$1,0),FALSE)</f>
        <v>106.07507165600001</v>
      </c>
      <c r="Q22" s="79">
        <f>(((Table134567891011121314151617343[[#This Row],[JPN]]-VLOOKUP($U$1,A:Q,16,))/VLOOKUP($U$1,A:Q,16,))*100)+100</f>
        <v>106.49719547683317</v>
      </c>
      <c r="W22" s="83" t="s">
        <v>264</v>
      </c>
    </row>
    <row r="23" spans="1:23" s="83" customFormat="1" x14ac:dyDescent="0.2">
      <c r="A23" s="21">
        <v>33512</v>
      </c>
      <c r="B23" s="79">
        <f>VLOOKUP(A23,Database!$A:$AS,MATCH($B$1,Database!$A$1:$AS$1,0),FALSE)</f>
        <v>110.190817432</v>
      </c>
      <c r="C23" s="79">
        <f>VLOOKUP(A23,Database!$A:$AS,MATCH($C$1,Database!$A$1:$AS$1,0),FALSE)</f>
        <v>90.97</v>
      </c>
      <c r="D23" s="79">
        <f>VLOOKUP(A23,Database!$A:$AS,MATCH($D$1,Database!$A$1:$AS$1,0),FALSE)</f>
        <v>73.893842179999993</v>
      </c>
      <c r="E23" s="79">
        <f>VLOOKUP(A23,Database!$A:$AS,MATCH($E$1,Database!$A$1:$AS$1,0),FALSE)</f>
        <v>100.52448302000001</v>
      </c>
      <c r="F23" s="79">
        <f>VLOOKUP(A23,Database!$A:$AS,MATCH($F$1,Database!$A$1:$AS$1,0),FALSE)</f>
        <v>80.599999999999994</v>
      </c>
      <c r="G23" s="79">
        <f>VLOOKUP(A23,Database!$A:$AS,MATCH($G$1,Database!$A$1:$AS$1,0),FALSE)</f>
        <v>78.186054849000001</v>
      </c>
      <c r="H23" s="79">
        <f>(((Table134567891011121314151617343[[#This Row],[ITA]]-VLOOKUP($U$1,A:B,2,))/VLOOKUP($U$1,A:B,2,))*100)+100</f>
        <v>90.625000000128509</v>
      </c>
      <c r="I23" s="79">
        <f>(((Table134567891011121314151617343[[#This Row],[FRA]]-VLOOKUP($U$1,A:C,3,))/VLOOKUP($U$1,A:C,3,))*100)+100</f>
        <v>88.759879012586595</v>
      </c>
      <c r="J23" s="79">
        <f>(((Table134567891011121314151617343[[#This Row],[DEU]]-VLOOKUP($U$1,A:D,4,))/VLOOKUP($U$1,A:D,4,))*100)+100</f>
        <v>98.271276595348539</v>
      </c>
      <c r="K23" s="79">
        <f>(((Table134567891011121314151617343[[#This Row],[ESP]]-VLOOKUP($U$1,A:E,5,))/VLOOKUP($U$1,A:E,5,))*100)+100</f>
        <v>84.495586491876651</v>
      </c>
      <c r="L23" s="79">
        <f>(((Table134567891011121314151617343[[#This Row],[EA19]]-VLOOKUP($U$1,A:F,6,))/VLOOKUP($U$1,A:F,6,))*100)+100</f>
        <v>90.1565995525727</v>
      </c>
      <c r="M23" s="79">
        <f>(((Table134567891011121314151617343[[#This Row],[GBR]]-VLOOKUP($U$1,A:G,7,))/VLOOKUP($U$1,A:G,7,))*100)+100</f>
        <v>84.830805134489083</v>
      </c>
      <c r="N23" s="79">
        <f>VLOOKUP(A23,Database!$A:$AS,MATCH($N$1,Database!$A$1:$AS$1,0),FALSE)</f>
        <v>61.906812326000001</v>
      </c>
      <c r="O23" s="79">
        <f>(((Table134567891011121314151617343[[#This Row],[USA]]-VLOOKUP($U$1,A:N,14,))/VLOOKUP($U$1,A:N,14,))*100)+100</f>
        <v>71.269128904834616</v>
      </c>
      <c r="P23" s="79">
        <f>VLOOKUP(A23,Database!$A:$AS,MATCH($P$1,Database!$A$1:$AS$1,0),FALSE)</f>
        <v>105.365200239</v>
      </c>
      <c r="Q23" s="79">
        <f>(((Table134567891011121314151617343[[#This Row],[JPN]]-VLOOKUP($U$1,A:Q,16,))/VLOOKUP($U$1,A:Q,16,))*100)+100</f>
        <v>105.78449913942381</v>
      </c>
      <c r="W23" s="83" t="s">
        <v>535</v>
      </c>
    </row>
    <row r="24" spans="1:23" s="83" customFormat="1" x14ac:dyDescent="0.2">
      <c r="A24" s="21">
        <v>33543</v>
      </c>
      <c r="B24" s="79">
        <f>VLOOKUP(A24,Database!$A:$AS,MATCH($B$1,Database!$A$1:$AS$1,0),FALSE)</f>
        <v>110.790767436</v>
      </c>
      <c r="C24" s="79">
        <f>VLOOKUP(A24,Database!$A:$AS,MATCH($C$1,Database!$A$1:$AS$1,0),FALSE)</f>
        <v>92.41</v>
      </c>
      <c r="D24" s="79">
        <f>VLOOKUP(A24,Database!$A:$AS,MATCH($D$1,Database!$A$1:$AS$1,0),FALSE)</f>
        <v>74.693775518999999</v>
      </c>
      <c r="E24" s="79">
        <f>VLOOKUP(A24,Database!$A:$AS,MATCH($E$1,Database!$A$1:$AS$1,0),FALSE)</f>
        <v>100.23098241700001</v>
      </c>
      <c r="F24" s="79">
        <f>VLOOKUP(A24,Database!$A:$AS,MATCH($F$1,Database!$A$1:$AS$1,0),FALSE)</f>
        <v>81.5</v>
      </c>
      <c r="G24" s="79">
        <f>VLOOKUP(A24,Database!$A:$AS,MATCH($G$1,Database!$A$1:$AS$1,0),FALSE)</f>
        <v>78.401147159000004</v>
      </c>
      <c r="H24" s="79">
        <f>(((Table134567891011121314151617343[[#This Row],[ITA]]-VLOOKUP($U$1,A:B,2,))/VLOOKUP($U$1,A:B,2,))*100)+100</f>
        <v>91.118421052623461</v>
      </c>
      <c r="I24" s="79">
        <f>(((Table134567891011121314151617343[[#This Row],[FRA]]-VLOOKUP($U$1,A:C,3,))/VLOOKUP($U$1,A:C,3,))*100)+100</f>
        <v>90.164894136013274</v>
      </c>
      <c r="J24" s="79">
        <f>(((Table134567891011121314151617343[[#This Row],[DEU]]-VLOOKUP($U$1,A:D,4,))/VLOOKUP($U$1,A:D,4,))*100)+100</f>
        <v>99.335106382724064</v>
      </c>
      <c r="K24" s="79">
        <f>(((Table134567891011121314151617343[[#This Row],[ESP]]-VLOOKUP($U$1,A:E,5,))/VLOOKUP($U$1,A:E,5,))*100)+100</f>
        <v>84.248885341657655</v>
      </c>
      <c r="L24" s="79">
        <f>(((Table134567891011121314151617343[[#This Row],[EA19]]-VLOOKUP($U$1,A:F,6,))/VLOOKUP($U$1,A:F,6,))*100)+100</f>
        <v>91.163310961968676</v>
      </c>
      <c r="M24" s="79">
        <f>(((Table134567891011121314151617343[[#This Row],[GBR]]-VLOOKUP($U$1,A:G,7,))/VLOOKUP($U$1,A:G,7,))*100)+100</f>
        <v>85.06417736270518</v>
      </c>
      <c r="N24" s="79">
        <f>VLOOKUP(A24,Database!$A:$AS,MATCH($N$1,Database!$A$1:$AS$1,0),FALSE)</f>
        <v>61.821371941000002</v>
      </c>
      <c r="O24" s="79">
        <f>(((Table134567891011121314151617343[[#This Row],[USA]]-VLOOKUP($U$1,A:N,14,))/VLOOKUP($U$1,A:N,14,))*100)+100</f>
        <v>71.170767164285323</v>
      </c>
      <c r="P24" s="79">
        <f>VLOOKUP(A24,Database!$A:$AS,MATCH($P$1,Database!$A$1:$AS$1,0),FALSE)</f>
        <v>106.07507165600001</v>
      </c>
      <c r="Q24" s="79">
        <f>(((Table134567891011121314151617343[[#This Row],[JPN]]-VLOOKUP($U$1,A:Q,16,))/VLOOKUP($U$1,A:Q,16,))*100)+100</f>
        <v>106.49719547683317</v>
      </c>
      <c r="W24" s="83" t="s">
        <v>276</v>
      </c>
    </row>
    <row r="25" spans="1:23" s="83" customFormat="1" x14ac:dyDescent="0.2">
      <c r="A25" s="21">
        <v>33573</v>
      </c>
      <c r="B25" s="79">
        <f>VLOOKUP(A25,Database!$A:$AS,MATCH($B$1,Database!$A$1:$AS$1,0),FALSE)</f>
        <v>109.290892426</v>
      </c>
      <c r="C25" s="79">
        <f>VLOOKUP(A25,Database!$A:$AS,MATCH($C$1,Database!$A$1:$AS$1,0),FALSE)</f>
        <v>91.58</v>
      </c>
      <c r="D25" s="79">
        <f>VLOOKUP(A25,Database!$A:$AS,MATCH($D$1,Database!$A$1:$AS$1,0),FALSE)</f>
        <v>74.793767185999997</v>
      </c>
      <c r="E25" s="79">
        <f>VLOOKUP(A25,Database!$A:$AS,MATCH($E$1,Database!$A$1:$AS$1,0),FALSE)</f>
        <v>101.237651185</v>
      </c>
      <c r="F25" s="79">
        <f>VLOOKUP(A25,Database!$A:$AS,MATCH($F$1,Database!$A$1:$AS$1,0),FALSE)</f>
        <v>80.900000000000006</v>
      </c>
      <c r="G25" s="79">
        <f>VLOOKUP(A25,Database!$A:$AS,MATCH($G$1,Database!$A$1:$AS$1,0),FALSE)</f>
        <v>78.078508693000003</v>
      </c>
      <c r="H25" s="79">
        <f>(((Table134567891011121314151617343[[#This Row],[ITA]]-VLOOKUP($U$1,A:B,2,))/VLOOKUP($U$1,A:B,2,))*100)+100</f>
        <v>89.884868421386074</v>
      </c>
      <c r="I25" s="79">
        <f>(((Table134567891011121314151617343[[#This Row],[FRA]]-VLOOKUP($U$1,A:C,3,))/VLOOKUP($U$1,A:C,3,))*100)+100</f>
        <v>89.355059030149278</v>
      </c>
      <c r="J25" s="79">
        <f>(((Table134567891011121314151617343[[#This Row],[DEU]]-VLOOKUP($U$1,A:D,4,))/VLOOKUP($U$1,A:D,4,))*100)+100</f>
        <v>99.46808510564729</v>
      </c>
      <c r="K25" s="79">
        <f>(((Table134567891011121314151617343[[#This Row],[ESP]]-VLOOKUP($U$1,A:E,5,))/VLOOKUP($U$1,A:E,5,))*100)+100</f>
        <v>85.095038093702058</v>
      </c>
      <c r="L25" s="79">
        <f>(((Table134567891011121314151617343[[#This Row],[EA19]]-VLOOKUP($U$1,A:F,6,))/VLOOKUP($U$1,A:F,6,))*100)+100</f>
        <v>90.492170022371369</v>
      </c>
      <c r="M25" s="79">
        <f>(((Table134567891011121314151617343[[#This Row],[GBR]]-VLOOKUP($U$1,A:G,7,))/VLOOKUP($U$1,A:G,7,))*100)+100</f>
        <v>84.714119019296049</v>
      </c>
      <c r="N25" s="79">
        <f>VLOOKUP(A25,Database!$A:$AS,MATCH($N$1,Database!$A$1:$AS$1,0),FALSE)</f>
        <v>61.552660938999999</v>
      </c>
      <c r="O25" s="79">
        <f>(((Table134567891011121314151617343[[#This Row],[USA]]-VLOOKUP($U$1,A:N,14,))/VLOOKUP($U$1,A:N,14,))*100)+100</f>
        <v>70.861418349185016</v>
      </c>
      <c r="P25" s="79">
        <f>VLOOKUP(A25,Database!$A:$AS,MATCH($P$1,Database!$A$1:$AS$1,0),FALSE)</f>
        <v>104.655328823</v>
      </c>
      <c r="Q25" s="79">
        <f>(((Table134567891011121314151617343[[#This Row],[JPN]]-VLOOKUP($U$1,A:Q,16,))/VLOOKUP($U$1,A:Q,16,))*100)+100</f>
        <v>105.07180280301846</v>
      </c>
      <c r="W25" s="83" t="s">
        <v>314</v>
      </c>
    </row>
    <row r="26" spans="1:23" s="83" customFormat="1" x14ac:dyDescent="0.2">
      <c r="A26" s="21">
        <v>33604</v>
      </c>
      <c r="B26" s="79">
        <f>VLOOKUP(A26,Database!$A:$AS,MATCH($B$1,Database!$A$1:$AS$1,0),FALSE)</f>
        <v>110.190817432</v>
      </c>
      <c r="C26" s="79">
        <f>VLOOKUP(A26,Database!$A:$AS,MATCH($C$1,Database!$A$1:$AS$1,0),FALSE)</f>
        <v>91.83</v>
      </c>
      <c r="D26" s="79">
        <f>VLOOKUP(A26,Database!$A:$AS,MATCH($D$1,Database!$A$1:$AS$1,0),FALSE)</f>
        <v>75.693692192</v>
      </c>
      <c r="E26" s="79">
        <f>VLOOKUP(A26,Database!$A:$AS,MATCH($E$1,Database!$A$1:$AS$1,0),FALSE)</f>
        <v>99.656083046999996</v>
      </c>
      <c r="F26" s="79">
        <f>VLOOKUP(A26,Database!$A:$AS,MATCH($F$1,Database!$A$1:$AS$1,0),FALSE)</f>
        <v>81.900000000000006</v>
      </c>
      <c r="G26" s="79">
        <f>VLOOKUP(A26,Database!$A:$AS,MATCH($G$1,Database!$A$1:$AS$1,0),FALSE)</f>
        <v>77.970962537999995</v>
      </c>
      <c r="H26" s="79">
        <f>(((Table134567891011121314151617343[[#This Row],[ITA]]-VLOOKUP($U$1,A:B,2,))/VLOOKUP($U$1,A:B,2,))*100)+100</f>
        <v>90.625000000128509</v>
      </c>
      <c r="I26" s="79">
        <f>(((Table134567891011121314151617343[[#This Row],[FRA]]-VLOOKUP($U$1,A:C,3,))/VLOOKUP($U$1,A:C,3,))*100)+100</f>
        <v>89.598985266855308</v>
      </c>
      <c r="J26" s="79">
        <f>(((Table134567891011121314151617343[[#This Row],[DEU]]-VLOOKUP($U$1,A:D,4,))/VLOOKUP($U$1,A:D,4,))*100)+100</f>
        <v>100.66489361594604</v>
      </c>
      <c r="K26" s="79">
        <f>(((Table134567891011121314151617343[[#This Row],[ESP]]-VLOOKUP($U$1,A:E,5,))/VLOOKUP($U$1,A:E,5,))*100)+100</f>
        <v>83.76565520724057</v>
      </c>
      <c r="L26" s="79">
        <f>(((Table134567891011121314151617343[[#This Row],[EA19]]-VLOOKUP($U$1,A:F,6,))/VLOOKUP($U$1,A:F,6,))*100)+100</f>
        <v>91.610738255033553</v>
      </c>
      <c r="M26" s="79">
        <f>(((Table134567891011121314151617343[[#This Row],[GBR]]-VLOOKUP($U$1,A:G,7,))/VLOOKUP($U$1,A:G,7,))*100)+100</f>
        <v>84.597432905188001</v>
      </c>
      <c r="N26" s="79">
        <f>VLOOKUP(A26,Database!$A:$AS,MATCH($N$1,Database!$A$1:$AS$1,0),FALSE)</f>
        <v>61.230029322</v>
      </c>
      <c r="O26" s="79">
        <f>(((Table134567891011121314151617343[[#This Row],[USA]]-VLOOKUP($U$1,A:N,14,))/VLOOKUP($U$1,A:N,14,))*100)+100</f>
        <v>70.489994374394257</v>
      </c>
      <c r="P26" s="79">
        <f>VLOOKUP(A26,Database!$A:$AS,MATCH($P$1,Database!$A$1:$AS$1,0),FALSE)</f>
        <v>103.94545740700001</v>
      </c>
      <c r="Q26" s="79">
        <f>(((Table134567891011121314151617343[[#This Row],[JPN]]-VLOOKUP($U$1,A:Q,16,))/VLOOKUP($U$1,A:Q,16,))*100)+100</f>
        <v>104.35910646661308</v>
      </c>
      <c r="W26" s="83" t="s">
        <v>318</v>
      </c>
    </row>
    <row r="27" spans="1:23" s="83" customFormat="1" x14ac:dyDescent="0.2">
      <c r="A27" s="21">
        <v>33635</v>
      </c>
      <c r="B27" s="79">
        <f>VLOOKUP(A27,Database!$A:$AS,MATCH($B$1,Database!$A$1:$AS$1,0),FALSE)</f>
        <v>110.190817432</v>
      </c>
      <c r="C27" s="79">
        <f>VLOOKUP(A27,Database!$A:$AS,MATCH($C$1,Database!$A$1:$AS$1,0),FALSE)</f>
        <v>91.12</v>
      </c>
      <c r="D27" s="79">
        <f>VLOOKUP(A27,Database!$A:$AS,MATCH($D$1,Database!$A$1:$AS$1,0),FALSE)</f>
        <v>76.993583868000002</v>
      </c>
      <c r="E27" s="79">
        <f>VLOOKUP(A27,Database!$A:$AS,MATCH($E$1,Database!$A$1:$AS$1,0),FALSE)</f>
        <v>99.816083180000007</v>
      </c>
      <c r="F27" s="79">
        <f>VLOOKUP(A27,Database!$A:$AS,MATCH($F$1,Database!$A$1:$AS$1,0),FALSE)</f>
        <v>82.2</v>
      </c>
      <c r="G27" s="79">
        <f>VLOOKUP(A27,Database!$A:$AS,MATCH($G$1,Database!$A$1:$AS$1,0),FALSE)</f>
        <v>78.508693313999999</v>
      </c>
      <c r="H27" s="79">
        <f>(((Table134567891011121314151617343[[#This Row],[ITA]]-VLOOKUP($U$1,A:B,2,))/VLOOKUP($U$1,A:B,2,))*100)+100</f>
        <v>90.625000000128509</v>
      </c>
      <c r="I27" s="79">
        <f>(((Table134567891011121314151617343[[#This Row],[FRA]]-VLOOKUP($U$1,A:C,3,))/VLOOKUP($U$1,A:C,3,))*100)+100</f>
        <v>88.90623475461021</v>
      </c>
      <c r="J27" s="79">
        <f>(((Table134567891011121314151617343[[#This Row],[DEU]]-VLOOKUP($U$1,A:D,4,))/VLOOKUP($U$1,A:D,4,))*100)+100</f>
        <v>102.3936170205975</v>
      </c>
      <c r="K27" s="79">
        <f>(((Table134567891011121314151617343[[#This Row],[ESP]]-VLOOKUP($U$1,A:E,5,))/VLOOKUP($U$1,A:E,5,))*100)+100</f>
        <v>83.900142892931285</v>
      </c>
      <c r="L27" s="79">
        <f>(((Table134567891011121314151617343[[#This Row],[EA19]]-VLOOKUP($U$1,A:F,6,))/VLOOKUP($U$1,A:F,6,))*100)+100</f>
        <v>91.946308724832207</v>
      </c>
      <c r="M27" s="79">
        <f>(((Table134567891011121314151617343[[#This Row],[GBR]]-VLOOKUP($U$1,A:G,7,))/VLOOKUP($U$1,A:G,7,))*100)+100</f>
        <v>85.180863476813229</v>
      </c>
      <c r="N27" s="79">
        <f>VLOOKUP(A27,Database!$A:$AS,MATCH($N$1,Database!$A$1:$AS$1,0),FALSE)</f>
        <v>61.668431669</v>
      </c>
      <c r="O27" s="79">
        <f>(((Table134567891011121314151617343[[#This Row],[USA]]-VLOOKUP($U$1,A:N,14,))/VLOOKUP($U$1,A:N,14,))*100)+100</f>
        <v>70.994697365980898</v>
      </c>
      <c r="P27" s="79">
        <f>VLOOKUP(A27,Database!$A:$AS,MATCH($P$1,Database!$A$1:$AS$1,0),FALSE)</f>
        <v>103.64122679899999</v>
      </c>
      <c r="Q27" s="79">
        <f>(((Table134567891011121314151617343[[#This Row],[JPN]]-VLOOKUP($U$1,A:Q,16,))/VLOOKUP($U$1,A:Q,16,))*100)+100</f>
        <v>104.0536651784348</v>
      </c>
      <c r="W27" s="83" t="s">
        <v>536</v>
      </c>
    </row>
    <row r="28" spans="1:23" s="83" customFormat="1" x14ac:dyDescent="0.2">
      <c r="A28" s="21">
        <v>33664</v>
      </c>
      <c r="B28" s="79">
        <f>VLOOKUP(A28,Database!$A:$AS,MATCH($B$1,Database!$A$1:$AS$1,0),FALSE)</f>
        <v>109.990834097</v>
      </c>
      <c r="C28" s="79">
        <f>VLOOKUP(A28,Database!$A:$AS,MATCH($C$1,Database!$A$1:$AS$1,0),FALSE)</f>
        <v>92.01</v>
      </c>
      <c r="D28" s="79">
        <f>VLOOKUP(A28,Database!$A:$AS,MATCH($D$1,Database!$A$1:$AS$1,0),FALSE)</f>
        <v>74.793767185999997</v>
      </c>
      <c r="E28" s="79">
        <f>VLOOKUP(A28,Database!$A:$AS,MATCH($E$1,Database!$A$1:$AS$1,0),FALSE)</f>
        <v>98.563082136000006</v>
      </c>
      <c r="F28" s="79">
        <f>VLOOKUP(A28,Database!$A:$AS,MATCH($F$1,Database!$A$1:$AS$1,0),FALSE)</f>
        <v>81.400000000000006</v>
      </c>
      <c r="G28" s="79">
        <f>VLOOKUP(A28,Database!$A:$AS,MATCH($G$1,Database!$A$1:$AS$1,0),FALSE)</f>
        <v>78.186054849000001</v>
      </c>
      <c r="H28" s="79">
        <f>(((Table134567891011121314151617343[[#This Row],[ITA]]-VLOOKUP($U$1,A:B,2,))/VLOOKUP($U$1,A:B,2,))*100)+100</f>
        <v>90.460526315689378</v>
      </c>
      <c r="I28" s="79">
        <f>(((Table134567891011121314151617343[[#This Row],[FRA]]-VLOOKUP($U$1,A:C,3,))/VLOOKUP($U$1,A:C,3,))*100)+100</f>
        <v>89.774612157283642</v>
      </c>
      <c r="J28" s="79">
        <f>(((Table134567891011121314151617343[[#This Row],[DEU]]-VLOOKUP($U$1,A:D,4,))/VLOOKUP($U$1,A:D,4,))*100)+100</f>
        <v>99.46808510564729</v>
      </c>
      <c r="K28" s="79">
        <f>(((Table134567891011121314151617343[[#This Row],[ESP]]-VLOOKUP($U$1,A:E,5,))/VLOOKUP($U$1,A:E,5,))*100)+100</f>
        <v>82.846936202311952</v>
      </c>
      <c r="L28" s="79">
        <f>(((Table134567891011121314151617343[[#This Row],[EA19]]-VLOOKUP($U$1,A:F,6,))/VLOOKUP($U$1,A:F,6,))*100)+100</f>
        <v>91.051454138702468</v>
      </c>
      <c r="M28" s="79">
        <f>(((Table134567891011121314151617343[[#This Row],[GBR]]-VLOOKUP($U$1,A:G,7,))/VLOOKUP($U$1,A:G,7,))*100)+100</f>
        <v>84.830805134489083</v>
      </c>
      <c r="N28" s="79">
        <f>VLOOKUP(A28,Database!$A:$AS,MATCH($N$1,Database!$A$1:$AS$1,0),FALSE)</f>
        <v>62.169576202000002</v>
      </c>
      <c r="O28" s="79">
        <f>(((Table134567891011121314151617343[[#This Row],[USA]]-VLOOKUP($U$1,A:N,14,))/VLOOKUP($U$1,A:N,14,))*100)+100</f>
        <v>71.571631195722432</v>
      </c>
      <c r="P28" s="79">
        <f>VLOOKUP(A28,Database!$A:$AS,MATCH($P$1,Database!$A$1:$AS$1,0),FALSE)</f>
        <v>102.120073764</v>
      </c>
      <c r="Q28" s="79">
        <f>(((Table134567891011121314151617343[[#This Row],[JPN]]-VLOOKUP($U$1,A:Q,16,))/VLOOKUP($U$1,A:Q,16,))*100)+100</f>
        <v>102.52645874256331</v>
      </c>
      <c r="W28" s="83" t="s">
        <v>346</v>
      </c>
    </row>
    <row r="29" spans="1:23" s="83" customFormat="1" x14ac:dyDescent="0.2">
      <c r="A29" s="21">
        <v>33695</v>
      </c>
      <c r="B29" s="79">
        <f>VLOOKUP(A29,Database!$A:$AS,MATCH($B$1,Database!$A$1:$AS$1,0),FALSE)</f>
        <v>110.290809099</v>
      </c>
      <c r="C29" s="79">
        <f>VLOOKUP(A29,Database!$A:$AS,MATCH($C$1,Database!$A$1:$AS$1,0),FALSE)</f>
        <v>91.34</v>
      </c>
      <c r="D29" s="79">
        <f>VLOOKUP(A29,Database!$A:$AS,MATCH($D$1,Database!$A$1:$AS$1,0),FALSE)</f>
        <v>74.693775518999999</v>
      </c>
      <c r="E29" s="79">
        <f>VLOOKUP(A29,Database!$A:$AS,MATCH($E$1,Database!$A$1:$AS$1,0),FALSE)</f>
        <v>98.687082239000006</v>
      </c>
      <c r="F29" s="79">
        <f>VLOOKUP(A29,Database!$A:$AS,MATCH($F$1,Database!$A$1:$AS$1,0),FALSE)</f>
        <v>81.3</v>
      </c>
      <c r="G29" s="79">
        <f>VLOOKUP(A29,Database!$A:$AS,MATCH($G$1,Database!$A$1:$AS$1,0),FALSE)</f>
        <v>78.723785625000005</v>
      </c>
      <c r="H29" s="79">
        <f>(((Table134567891011121314151617343[[#This Row],[ITA]]-VLOOKUP($U$1,A:B,2,))/VLOOKUP($U$1,A:B,2,))*100)+100</f>
        <v>90.707236841936862</v>
      </c>
      <c r="I29" s="79">
        <f>(((Table134567891011121314151617343[[#This Row],[FRA]]-VLOOKUP($U$1,A:C,3,))/VLOOKUP($U$1,A:C,3,))*100)+100</f>
        <v>89.12088984291151</v>
      </c>
      <c r="J29" s="79">
        <f>(((Table134567891011121314151617343[[#This Row],[DEU]]-VLOOKUP($U$1,A:D,4,))/VLOOKUP($U$1,A:D,4,))*100)+100</f>
        <v>99.335106382724064</v>
      </c>
      <c r="K29" s="79">
        <f>(((Table134567891011121314151617343[[#This Row],[ESP]]-VLOOKUP($U$1,A:E,5,))/VLOOKUP($U$1,A:E,5,))*100)+100</f>
        <v>82.951164158659196</v>
      </c>
      <c r="L29" s="79">
        <f>(((Table134567891011121314151617343[[#This Row],[EA19]]-VLOOKUP($U$1,A:F,6,))/VLOOKUP($U$1,A:F,6,))*100)+100</f>
        <v>90.939597315436231</v>
      </c>
      <c r="M29" s="79">
        <f>(((Table134567891011121314151617343[[#This Row],[GBR]]-VLOOKUP($U$1,A:G,7,))/VLOOKUP($U$1,A:G,7,))*100)+100</f>
        <v>85.414235706114326</v>
      </c>
      <c r="N29" s="79">
        <f>VLOOKUP(A29,Database!$A:$AS,MATCH($N$1,Database!$A$1:$AS$1,0),FALSE)</f>
        <v>62.641183339000001</v>
      </c>
      <c r="O29" s="79">
        <f>(((Table134567891011121314151617343[[#This Row],[USA]]-VLOOKUP($U$1,A:N,14,))/VLOOKUP($U$1,A:N,14,))*100)+100</f>
        <v>72.114560617807655</v>
      </c>
      <c r="P29" s="79">
        <f>VLOOKUP(A29,Database!$A:$AS,MATCH($P$1,Database!$A$1:$AS$1,0),FALSE)</f>
        <v>101.613022753</v>
      </c>
      <c r="Q29" s="79">
        <f>(((Table134567891011121314151617343[[#This Row],[JPN]]-VLOOKUP($U$1,A:Q,16,))/VLOOKUP($U$1,A:Q,16,))*100)+100</f>
        <v>102.01738993127546</v>
      </c>
      <c r="W29" s="83" t="s">
        <v>350</v>
      </c>
    </row>
    <row r="30" spans="1:23" s="83" customFormat="1" x14ac:dyDescent="0.2">
      <c r="A30" s="21">
        <v>33725</v>
      </c>
      <c r="B30" s="79">
        <f>VLOOKUP(A30,Database!$A:$AS,MATCH($B$1,Database!$A$1:$AS$1,0),FALSE)</f>
        <v>109.990834097</v>
      </c>
      <c r="C30" s="79">
        <f>VLOOKUP(A30,Database!$A:$AS,MATCH($C$1,Database!$A$1:$AS$1,0),FALSE)</f>
        <v>91.36</v>
      </c>
      <c r="D30" s="79">
        <f>VLOOKUP(A30,Database!$A:$AS,MATCH($D$1,Database!$A$1:$AS$1,0),FALSE)</f>
        <v>74.193817182000004</v>
      </c>
      <c r="E30" s="79">
        <f>VLOOKUP(A30,Database!$A:$AS,MATCH($E$1,Database!$A$1:$AS$1,0),FALSE)</f>
        <v>97.875081562999995</v>
      </c>
      <c r="F30" s="79">
        <f>VLOOKUP(A30,Database!$A:$AS,MATCH($F$1,Database!$A$1:$AS$1,0),FALSE)</f>
        <v>80.8</v>
      </c>
      <c r="G30" s="79">
        <f>VLOOKUP(A30,Database!$A:$AS,MATCH($G$1,Database!$A$1:$AS$1,0),FALSE)</f>
        <v>77.110593296000005</v>
      </c>
      <c r="H30" s="79">
        <f>(((Table134567891011121314151617343[[#This Row],[ITA]]-VLOOKUP($U$1,A:B,2,))/VLOOKUP($U$1,A:B,2,))*100)+100</f>
        <v>90.460526315689378</v>
      </c>
      <c r="I30" s="79">
        <f>(((Table134567891011121314151617343[[#This Row],[FRA]]-VLOOKUP($U$1,A:C,3,))/VLOOKUP($U$1,A:C,3,))*100)+100</f>
        <v>89.140403941847993</v>
      </c>
      <c r="J30" s="79">
        <f>(((Table134567891011121314151617343[[#This Row],[DEU]]-VLOOKUP($U$1,A:D,4,))/VLOOKUP($U$1,A:D,4,))*100)+100</f>
        <v>98.670212765448142</v>
      </c>
      <c r="K30" s="79">
        <f>(((Table134567891011121314151617343[[#This Row],[ESP]]-VLOOKUP($U$1,A:E,5,))/VLOOKUP($U$1,A:E,5,))*100)+100</f>
        <v>82.268639152917345</v>
      </c>
      <c r="L30" s="79">
        <f>(((Table134567891011121314151617343[[#This Row],[EA19]]-VLOOKUP($U$1,A:F,6,))/VLOOKUP($U$1,A:F,6,))*100)+100</f>
        <v>90.380313199105132</v>
      </c>
      <c r="M30" s="79">
        <f>(((Table134567891011121314151617343[[#This Row],[GBR]]-VLOOKUP($U$1,A:G,7,))/VLOOKUP($U$1,A:G,7,))*100)+100</f>
        <v>83.663943990153655</v>
      </c>
      <c r="N30" s="79">
        <f>VLOOKUP(A30,Database!$A:$AS,MATCH($N$1,Database!$A$1:$AS$1,0),FALSE)</f>
        <v>62.842097099</v>
      </c>
      <c r="O30" s="79">
        <f>(((Table134567891011121314151617343[[#This Row],[USA]]-VLOOKUP($U$1,A:N,14,))/VLOOKUP($U$1,A:N,14,))*100)+100</f>
        <v>72.345859050438804</v>
      </c>
      <c r="P30" s="79">
        <f>VLOOKUP(A30,Database!$A:$AS,MATCH($P$1,Database!$A$1:$AS$1,0),FALSE)</f>
        <v>99.280588098999999</v>
      </c>
      <c r="Q30" s="79">
        <f>(((Table134567891011121314151617343[[#This Row],[JPN]]-VLOOKUP($U$1,A:Q,16,))/VLOOKUP($U$1,A:Q,16,))*100)+100</f>
        <v>99.675673395937849</v>
      </c>
      <c r="W30" s="83" t="s">
        <v>538</v>
      </c>
    </row>
    <row r="31" spans="1:23" s="83" customFormat="1" x14ac:dyDescent="0.2">
      <c r="A31" s="21">
        <v>33756</v>
      </c>
      <c r="B31" s="79">
        <f>VLOOKUP(A31,Database!$A:$AS,MATCH($B$1,Database!$A$1:$AS$1,0),FALSE)</f>
        <v>109.79085076200001</v>
      </c>
      <c r="C31" s="79">
        <f>VLOOKUP(A31,Database!$A:$AS,MATCH($C$1,Database!$A$1:$AS$1,0),FALSE)</f>
        <v>90.27</v>
      </c>
      <c r="D31" s="79">
        <f>VLOOKUP(A31,Database!$A:$AS,MATCH($D$1,Database!$A$1:$AS$1,0),FALSE)</f>
        <v>72.993917174000003</v>
      </c>
      <c r="E31" s="79">
        <f>VLOOKUP(A31,Database!$A:$AS,MATCH($E$1,Database!$A$1:$AS$1,0),FALSE)</f>
        <v>96.495080412999997</v>
      </c>
      <c r="F31" s="79">
        <f>VLOOKUP(A31,Database!$A:$AS,MATCH($F$1,Database!$A$1:$AS$1,0),FALSE)</f>
        <v>80</v>
      </c>
      <c r="G31" s="79">
        <f>VLOOKUP(A31,Database!$A:$AS,MATCH($G$1,Database!$A$1:$AS$1,0),FALSE)</f>
        <v>77.970962537999995</v>
      </c>
      <c r="H31" s="79">
        <f>(((Table134567891011121314151617343[[#This Row],[ITA]]-VLOOKUP($U$1,A:B,2,))/VLOOKUP($U$1,A:B,2,))*100)+100</f>
        <v>90.296052631250248</v>
      </c>
      <c r="I31" s="79">
        <f>(((Table134567891011121314151617343[[#This Row],[FRA]]-VLOOKUP($U$1,A:C,3,))/VLOOKUP($U$1,A:C,3,))*100)+100</f>
        <v>88.076885549809731</v>
      </c>
      <c r="J31" s="79">
        <f>(((Table134567891011121314151617343[[#This Row],[DEU]]-VLOOKUP($U$1,A:D,4,))/VLOOKUP($U$1,A:D,4,))*100)+100</f>
        <v>97.074468085049801</v>
      </c>
      <c r="K31" s="79">
        <f>(((Table134567891011121314151617343[[#This Row],[ESP]]-VLOOKUP($U$1,A:E,5,))/VLOOKUP($U$1,A:E,5,))*100)+100</f>
        <v>81.108682861418544</v>
      </c>
      <c r="L31" s="79">
        <f>(((Table134567891011121314151617343[[#This Row],[EA19]]-VLOOKUP($U$1,A:F,6,))/VLOOKUP($U$1,A:F,6,))*100)+100</f>
        <v>89.485458612975378</v>
      </c>
      <c r="M31" s="79">
        <f>(((Table134567891011121314151617343[[#This Row],[GBR]]-VLOOKUP($U$1,A:G,7,))/VLOOKUP($U$1,A:G,7,))*100)+100</f>
        <v>84.597432905188001</v>
      </c>
      <c r="N31" s="79">
        <f>VLOOKUP(A31,Database!$A:$AS,MATCH($N$1,Database!$A$1:$AS$1,0),FALSE)</f>
        <v>62.876788671</v>
      </c>
      <c r="O31" s="79">
        <f>(((Table134567891011121314151617343[[#This Row],[USA]]-VLOOKUP($U$1,A:N,14,))/VLOOKUP($U$1,A:N,14,))*100)+100</f>
        <v>72.385797112566124</v>
      </c>
      <c r="P31" s="79">
        <f>VLOOKUP(A31,Database!$A:$AS,MATCH($P$1,Database!$A$1:$AS$1,0),FALSE)</f>
        <v>101.308792145</v>
      </c>
      <c r="Q31" s="79">
        <f>(((Table134567891011121314151617343[[#This Row],[JPN]]-VLOOKUP($U$1,A:Q,16,))/VLOOKUP($U$1,A:Q,16,))*100)+100</f>
        <v>101.71194864309719</v>
      </c>
      <c r="W31" s="83" t="s">
        <v>539</v>
      </c>
    </row>
    <row r="32" spans="1:23" s="83" customFormat="1" x14ac:dyDescent="0.2">
      <c r="A32" s="21">
        <v>33786</v>
      </c>
      <c r="B32" s="79">
        <f>VLOOKUP(A32,Database!$A:$AS,MATCH($B$1,Database!$A$1:$AS$1,0),FALSE)</f>
        <v>108.39096741900001</v>
      </c>
      <c r="C32" s="79">
        <f>VLOOKUP(A32,Database!$A:$AS,MATCH($C$1,Database!$A$1:$AS$1,0),FALSE)</f>
        <v>89.96</v>
      </c>
      <c r="D32" s="79">
        <f>VLOOKUP(A32,Database!$A:$AS,MATCH($D$1,Database!$A$1:$AS$1,0),FALSE)</f>
        <v>71.694025498000002</v>
      </c>
      <c r="E32" s="79">
        <f>VLOOKUP(A32,Database!$A:$AS,MATCH($E$1,Database!$A$1:$AS$1,0),FALSE)</f>
        <v>95.550079624999995</v>
      </c>
      <c r="F32" s="79">
        <f>VLOOKUP(A32,Database!$A:$AS,MATCH($F$1,Database!$A$1:$AS$1,0),FALSE)</f>
        <v>79</v>
      </c>
      <c r="G32" s="79">
        <f>VLOOKUP(A32,Database!$A:$AS,MATCH($G$1,Database!$A$1:$AS$1,0),FALSE)</f>
        <v>78.508693313999999</v>
      </c>
      <c r="H32" s="79">
        <f>(((Table134567891011121314151617343[[#This Row],[ITA]]-VLOOKUP($U$1,A:B,2,))/VLOOKUP($U$1,A:B,2,))*100)+100</f>
        <v>89.144736841821214</v>
      </c>
      <c r="I32" s="79">
        <f>(((Table134567891011121314151617343[[#This Row],[FRA]]-VLOOKUP($U$1,A:C,3,))/VLOOKUP($U$1,A:C,3,))*100)+100</f>
        <v>87.774417016294265</v>
      </c>
      <c r="J32" s="79">
        <f>(((Table134567891011121314151617343[[#This Row],[DEU]]-VLOOKUP($U$1,A:D,4,))/VLOOKUP($U$1,A:D,4,))*100)+100</f>
        <v>95.34574468039834</v>
      </c>
      <c r="K32" s="79">
        <f>(((Table134567891011121314151617343[[#This Row],[ESP]]-VLOOKUP($U$1,A:E,5,))/VLOOKUP($U$1,A:E,5,))*100)+100</f>
        <v>80.314364965732779</v>
      </c>
      <c r="L32" s="79">
        <f>(((Table134567891011121314151617343[[#This Row],[EA19]]-VLOOKUP($U$1,A:F,6,))/VLOOKUP($U$1,A:F,6,))*100)+100</f>
        <v>88.366890380313194</v>
      </c>
      <c r="M32" s="79">
        <f>(((Table134567891011121314151617343[[#This Row],[GBR]]-VLOOKUP($U$1,A:G,7,))/VLOOKUP($U$1,A:G,7,))*100)+100</f>
        <v>85.180863476813229</v>
      </c>
      <c r="N32" s="79">
        <f>VLOOKUP(A32,Database!$A:$AS,MATCH($N$1,Database!$A$1:$AS$1,0),FALSE)</f>
        <v>63.448902246999999</v>
      </c>
      <c r="O32" s="79">
        <f>(((Table134567891011121314151617343[[#This Row],[USA]]-VLOOKUP($U$1,A:N,14,))/VLOOKUP($U$1,A:N,14,))*100)+100</f>
        <v>73.044432804894043</v>
      </c>
      <c r="P32" s="79">
        <f>VLOOKUP(A32,Database!$A:$AS,MATCH($P$1,Database!$A$1:$AS$1,0),FALSE)</f>
        <v>101.105971741</v>
      </c>
      <c r="Q32" s="79">
        <f>(((Table134567891011121314151617343[[#This Row],[JPN]]-VLOOKUP($U$1,A:Q,16,))/VLOOKUP($U$1,A:Q,16,))*100)+100</f>
        <v>101.50832111898364</v>
      </c>
      <c r="W32" s="83" t="s">
        <v>390</v>
      </c>
    </row>
    <row r="33" spans="1:23" s="83" customFormat="1" x14ac:dyDescent="0.2">
      <c r="A33" s="21">
        <v>33817</v>
      </c>
      <c r="B33" s="79">
        <f>VLOOKUP(A33,Database!$A:$AS,MATCH($B$1,Database!$A$1:$AS$1,0),FALSE)</f>
        <v>106.49112574</v>
      </c>
      <c r="C33" s="79">
        <f>VLOOKUP(A33,Database!$A:$AS,MATCH($C$1,Database!$A$1:$AS$1,0),FALSE)</f>
        <v>90.23</v>
      </c>
      <c r="D33" s="79">
        <f>VLOOKUP(A33,Database!$A:$AS,MATCH($D$1,Database!$A$1:$AS$1,0),FALSE)</f>
        <v>71.894008833000001</v>
      </c>
      <c r="E33" s="79">
        <f>VLOOKUP(A33,Database!$A:$AS,MATCH($E$1,Database!$A$1:$AS$1,0),FALSE)</f>
        <v>95.064079219999996</v>
      </c>
      <c r="F33" s="79">
        <f>VLOOKUP(A33,Database!$A:$AS,MATCH($F$1,Database!$A$1:$AS$1,0),FALSE)</f>
        <v>78.900000000000006</v>
      </c>
      <c r="G33" s="79">
        <f>VLOOKUP(A33,Database!$A:$AS,MATCH($G$1,Database!$A$1:$AS$1,0),FALSE)</f>
        <v>78.401147159000004</v>
      </c>
      <c r="H33" s="79">
        <f>(((Table134567891011121314151617343[[#This Row],[ITA]]-VLOOKUP($U$1,A:B,2,))/VLOOKUP($U$1,A:B,2,))*100)+100</f>
        <v>87.58223684252799</v>
      </c>
      <c r="I33" s="79">
        <f>(((Table134567891011121314151617343[[#This Row],[FRA]]-VLOOKUP($U$1,A:C,3,))/VLOOKUP($U$1,A:C,3,))*100)+100</f>
        <v>88.037857351936779</v>
      </c>
      <c r="J33" s="79">
        <f>(((Table134567891011121314151617343[[#This Row],[DEU]]-VLOOKUP($U$1,A:D,4,))/VLOOKUP($U$1,A:D,4,))*100)+100</f>
        <v>95.611702127574702</v>
      </c>
      <c r="K33" s="79">
        <f>(((Table134567891011121314151617343[[#This Row],[ESP]]-VLOOKUP($U$1,A:E,5,))/VLOOKUP($U$1,A:E,5,))*100)+100</f>
        <v>79.905858619596245</v>
      </c>
      <c r="L33" s="79">
        <f>(((Table134567891011121314151617343[[#This Row],[EA19]]-VLOOKUP($U$1,A:F,6,))/VLOOKUP($U$1,A:F,6,))*100)+100</f>
        <v>88.255033557046985</v>
      </c>
      <c r="M33" s="79">
        <f>(((Table134567891011121314151617343[[#This Row],[GBR]]-VLOOKUP($U$1,A:G,7,))/VLOOKUP($U$1,A:G,7,))*100)+100</f>
        <v>85.06417736270518</v>
      </c>
      <c r="N33" s="79">
        <f>VLOOKUP(A33,Database!$A:$AS,MATCH($N$1,Database!$A$1:$AS$1,0),FALSE)</f>
        <v>63.104167142999998</v>
      </c>
      <c r="O33" s="79">
        <f>(((Table134567891011121314151617343[[#This Row],[USA]]-VLOOKUP($U$1,A:N,14,))/VLOOKUP($U$1,A:N,14,))*100)+100</f>
        <v>72.647562579439409</v>
      </c>
      <c r="P33" s="79">
        <f>VLOOKUP(A33,Database!$A:$AS,MATCH($P$1,Database!$A$1:$AS$1,0),FALSE)</f>
        <v>98.165075873000006</v>
      </c>
      <c r="Q33" s="79">
        <f>(((Table134567891011121314151617343[[#This Row],[JPN]]-VLOOKUP($U$1,A:Q,16,))/VLOOKUP($U$1,A:Q,16,))*100)+100</f>
        <v>98.555722009297426</v>
      </c>
      <c r="W33" s="83" t="s">
        <v>418</v>
      </c>
    </row>
    <row r="34" spans="1:23" s="83" customFormat="1" x14ac:dyDescent="0.2">
      <c r="A34" s="21">
        <v>33848</v>
      </c>
      <c r="B34" s="79">
        <f>VLOOKUP(A34,Database!$A:$AS,MATCH($B$1,Database!$A$1:$AS$1,0),FALSE)</f>
        <v>105.691192401</v>
      </c>
      <c r="C34" s="79">
        <f>VLOOKUP(A34,Database!$A:$AS,MATCH($C$1,Database!$A$1:$AS$1,0),FALSE)</f>
        <v>88.96</v>
      </c>
      <c r="D34" s="79">
        <f>VLOOKUP(A34,Database!$A:$AS,MATCH($D$1,Database!$A$1:$AS$1,0),FALSE)</f>
        <v>71.294058828000004</v>
      </c>
      <c r="E34" s="79">
        <f>VLOOKUP(A34,Database!$A:$AS,MATCH($E$1,Database!$A$1:$AS$1,0),FALSE)</f>
        <v>94.545078787999998</v>
      </c>
      <c r="F34" s="79">
        <f>VLOOKUP(A34,Database!$A:$AS,MATCH($F$1,Database!$A$1:$AS$1,0),FALSE)</f>
        <v>78.2</v>
      </c>
      <c r="G34" s="79">
        <f>VLOOKUP(A34,Database!$A:$AS,MATCH($G$1,Database!$A$1:$AS$1,0),FALSE)</f>
        <v>78.938877934999994</v>
      </c>
      <c r="H34" s="79">
        <f>(((Table134567891011121314151617343[[#This Row],[ITA]]-VLOOKUP($U$1,A:B,2,))/VLOOKUP($U$1,A:B,2,))*100)+100</f>
        <v>86.924342105593894</v>
      </c>
      <c r="I34" s="79">
        <f>(((Table134567891011121314151617343[[#This Row],[FRA]]-VLOOKUP($U$1,A:C,3,))/VLOOKUP($U$1,A:C,3,))*100)+100</f>
        <v>86.798712069470184</v>
      </c>
      <c r="J34" s="79">
        <f>(((Table134567891011121314151617343[[#This Row],[DEU]]-VLOOKUP($U$1,A:D,4,))/VLOOKUP($U$1,A:D,4,))*100)+100</f>
        <v>94.81382978604563</v>
      </c>
      <c r="K34" s="79">
        <f>(((Table134567891011121314151617343[[#This Row],[ESP]]-VLOOKUP($U$1,A:E,5,))/VLOOKUP($U$1,A:E,5,))*100)+100</f>
        <v>79.469614188648478</v>
      </c>
      <c r="L34" s="79">
        <f>(((Table134567891011121314151617343[[#This Row],[EA19]]-VLOOKUP($U$1,A:F,6,))/VLOOKUP($U$1,A:F,6,))*100)+100</f>
        <v>87.472035794183441</v>
      </c>
      <c r="M34" s="79">
        <f>(((Table134567891011121314151617343[[#This Row],[GBR]]-VLOOKUP($U$1,A:G,7,))/VLOOKUP($U$1,A:G,7,))*100)+100</f>
        <v>85.647607934330409</v>
      </c>
      <c r="N34" s="79">
        <f>VLOOKUP(A34,Database!$A:$AS,MATCH($N$1,Database!$A$1:$AS$1,0),FALSE)</f>
        <v>63.293583124999998</v>
      </c>
      <c r="O34" s="79">
        <f>(((Table134567891011121314151617343[[#This Row],[USA]]-VLOOKUP($U$1,A:N,14,))/VLOOKUP($U$1,A:N,14,))*100)+100</f>
        <v>72.865624397365124</v>
      </c>
      <c r="P34" s="79">
        <f>VLOOKUP(A34,Database!$A:$AS,MATCH($P$1,Database!$A$1:$AS$1,0),FALSE)</f>
        <v>101.91725336</v>
      </c>
      <c r="Q34" s="79">
        <f>(((Table134567891011121314151617343[[#This Row],[JPN]]-VLOOKUP($U$1,A:Q,16,))/VLOOKUP($U$1,A:Q,16,))*100)+100</f>
        <v>102.32283121844976</v>
      </c>
      <c r="W34" s="83" t="s">
        <v>431</v>
      </c>
    </row>
    <row r="35" spans="1:23" s="83" customFormat="1" x14ac:dyDescent="0.2">
      <c r="A35" s="21">
        <v>33878</v>
      </c>
      <c r="B35" s="79">
        <f>VLOOKUP(A35,Database!$A:$AS,MATCH($B$1,Database!$A$1:$AS$1,0),FALSE)</f>
        <v>106.391134072</v>
      </c>
      <c r="C35" s="79">
        <f>VLOOKUP(A35,Database!$A:$AS,MATCH($C$1,Database!$A$1:$AS$1,0),FALSE)</f>
        <v>89.9</v>
      </c>
      <c r="D35" s="79">
        <f>VLOOKUP(A35,Database!$A:$AS,MATCH($D$1,Database!$A$1:$AS$1,0),FALSE)</f>
        <v>71.194067161000007</v>
      </c>
      <c r="E35" s="79">
        <f>VLOOKUP(A35,Database!$A:$AS,MATCH($E$1,Database!$A$1:$AS$1,0),FALSE)</f>
        <v>94.193078494000005</v>
      </c>
      <c r="F35" s="79">
        <f>VLOOKUP(A35,Database!$A:$AS,MATCH($F$1,Database!$A$1:$AS$1,0),FALSE)</f>
        <v>78.400000000000006</v>
      </c>
      <c r="G35" s="79">
        <f>VLOOKUP(A35,Database!$A:$AS,MATCH($G$1,Database!$A$1:$AS$1,0),FALSE)</f>
        <v>79.799247176999998</v>
      </c>
      <c r="H35" s="79">
        <f>(((Table134567891011121314151617343[[#This Row],[ITA]]-VLOOKUP($U$1,A:B,2,))/VLOOKUP($U$1,A:B,2,))*100)+100</f>
        <v>87.499999999897199</v>
      </c>
      <c r="I35" s="79">
        <f>(((Table134567891011121314151617343[[#This Row],[FRA]]-VLOOKUP($U$1,A:C,3,))/VLOOKUP($U$1,A:C,3,))*100)+100</f>
        <v>87.715874719484844</v>
      </c>
      <c r="J35" s="79">
        <f>(((Table134567891011121314151617343[[#This Row],[DEU]]-VLOOKUP($U$1,A:D,4,))/VLOOKUP($U$1,A:D,4,))*100)+100</f>
        <v>94.680851063122418</v>
      </c>
      <c r="K35" s="79">
        <f>(((Table134567891011121314151617343[[#This Row],[ESP]]-VLOOKUP($U$1,A:E,5,))/VLOOKUP($U$1,A:E,5,))*100)+100</f>
        <v>79.173741278952193</v>
      </c>
      <c r="L35" s="79">
        <f>(((Table134567891011121314151617343[[#This Row],[EA19]]-VLOOKUP($U$1,A:F,6,))/VLOOKUP($U$1,A:F,6,))*100)+100</f>
        <v>87.695749440715886</v>
      </c>
      <c r="M35" s="79">
        <f>(((Table134567891011121314151617343[[#This Row],[GBR]]-VLOOKUP($U$1,A:G,7,))/VLOOKUP($U$1,A:G,7,))*100)+100</f>
        <v>86.581096849364769</v>
      </c>
      <c r="N35" s="79">
        <f>VLOOKUP(A35,Database!$A:$AS,MATCH($N$1,Database!$A$1:$AS$1,0),FALSE)</f>
        <v>63.742194705999999</v>
      </c>
      <c r="O35" s="79">
        <f>(((Table134567891011121314151617343[[#This Row],[USA]]-VLOOKUP($U$1,A:N,14,))/VLOOKUP($U$1,A:N,14,))*100)+100</f>
        <v>73.382080590039465</v>
      </c>
      <c r="P35" s="79">
        <f>VLOOKUP(A35,Database!$A:$AS,MATCH($P$1,Database!$A$1:$AS$1,0),FALSE)</f>
        <v>98.773537086999994</v>
      </c>
      <c r="Q35" s="79">
        <f>(((Table134567891011121314151617343[[#This Row],[JPN]]-VLOOKUP($U$1,A:Q,16,))/VLOOKUP($U$1,A:Q,16,))*100)+100</f>
        <v>99.16660458364602</v>
      </c>
      <c r="W35" s="83" t="s">
        <v>530</v>
      </c>
    </row>
    <row r="36" spans="1:23" s="83" customFormat="1" x14ac:dyDescent="0.2">
      <c r="A36" s="21">
        <v>33909</v>
      </c>
      <c r="B36" s="79">
        <f>VLOOKUP(A36,Database!$A:$AS,MATCH($B$1,Database!$A$1:$AS$1,0),FALSE)</f>
        <v>107.09107574399999</v>
      </c>
      <c r="C36" s="79">
        <f>VLOOKUP(A36,Database!$A:$AS,MATCH($C$1,Database!$A$1:$AS$1,0),FALSE)</f>
        <v>88.72</v>
      </c>
      <c r="D36" s="79">
        <f>VLOOKUP(A36,Database!$A:$AS,MATCH($D$1,Database!$A$1:$AS$1,0),FALSE)</f>
        <v>70.094158820000004</v>
      </c>
      <c r="E36" s="79">
        <f>VLOOKUP(A36,Database!$A:$AS,MATCH($E$1,Database!$A$1:$AS$1,0),FALSE)</f>
        <v>92.168076807000006</v>
      </c>
      <c r="F36" s="79">
        <f>VLOOKUP(A36,Database!$A:$AS,MATCH($F$1,Database!$A$1:$AS$1,0),FALSE)</f>
        <v>77.7</v>
      </c>
      <c r="G36" s="79">
        <f>VLOOKUP(A36,Database!$A:$AS,MATCH($G$1,Database!$A$1:$AS$1,0),FALSE)</f>
        <v>78.723785625000005</v>
      </c>
      <c r="H36" s="79">
        <f>(((Table134567891011121314151617343[[#This Row],[ITA]]-VLOOKUP($U$1,A:B,2,))/VLOOKUP($U$1,A:B,2,))*100)+100</f>
        <v>88.075657895022943</v>
      </c>
      <c r="I36" s="79">
        <f>(((Table134567891011121314151617343[[#This Row],[FRA]]-VLOOKUP($U$1,A:C,3,))/VLOOKUP($U$1,A:C,3,))*100)+100</f>
        <v>86.564542882232416</v>
      </c>
      <c r="J36" s="79">
        <f>(((Table134567891011121314151617343[[#This Row],[DEU]]-VLOOKUP($U$1,A:D,4,))/VLOOKUP($U$1,A:D,4,))*100)+100</f>
        <v>93.218085105647305</v>
      </c>
      <c r="K36" s="79">
        <f>(((Table134567891011121314151617343[[#This Row],[ESP]]-VLOOKUP($U$1,A:E,5,))/VLOOKUP($U$1,A:E,5,))*100)+100</f>
        <v>77.471631503803565</v>
      </c>
      <c r="L36" s="79">
        <f>(((Table134567891011121314151617343[[#This Row],[EA19]]-VLOOKUP($U$1,A:F,6,))/VLOOKUP($U$1,A:F,6,))*100)+100</f>
        <v>86.912751677852341</v>
      </c>
      <c r="M36" s="79">
        <f>(((Table134567891011121314151617343[[#This Row],[GBR]]-VLOOKUP($U$1,A:G,7,))/VLOOKUP($U$1,A:G,7,))*100)+100</f>
        <v>85.414235706114326</v>
      </c>
      <c r="N36" s="79">
        <f>VLOOKUP(A36,Database!$A:$AS,MATCH($N$1,Database!$A$1:$AS$1,0),FALSE)</f>
        <v>63.994055517</v>
      </c>
      <c r="O36" s="79">
        <f>(((Table134567891011121314151617343[[#This Row],[USA]]-VLOOKUP($U$1,A:N,14,))/VLOOKUP($U$1,A:N,14,))*100)+100</f>
        <v>73.672030919103591</v>
      </c>
      <c r="P36" s="79">
        <f>VLOOKUP(A36,Database!$A:$AS,MATCH($P$1,Database!$A$1:$AS$1,0),FALSE)</f>
        <v>97.556614659000005</v>
      </c>
      <c r="Q36" s="79">
        <f>(((Table134567891011121314151617343[[#This Row],[JPN]]-VLOOKUP($U$1,A:Q,16,))/VLOOKUP($U$1,A:Q,16,))*100)+100</f>
        <v>97.944839434948832</v>
      </c>
      <c r="W36" s="83" t="s">
        <v>575</v>
      </c>
    </row>
    <row r="37" spans="1:23" s="83" customFormat="1" x14ac:dyDescent="0.2">
      <c r="A37" s="21">
        <v>33939</v>
      </c>
      <c r="B37" s="79">
        <f>VLOOKUP(A37,Database!$A:$AS,MATCH($B$1,Database!$A$1:$AS$1,0),FALSE)</f>
        <v>105.291225731</v>
      </c>
      <c r="C37" s="79">
        <f>VLOOKUP(A37,Database!$A:$AS,MATCH($C$1,Database!$A$1:$AS$1,0),FALSE)</f>
        <v>87.54</v>
      </c>
      <c r="D37" s="79">
        <f>VLOOKUP(A37,Database!$A:$AS,MATCH($D$1,Database!$A$1:$AS$1,0),FALSE)</f>
        <v>68.894258812000004</v>
      </c>
      <c r="E37" s="79">
        <f>VLOOKUP(A37,Database!$A:$AS,MATCH($E$1,Database!$A$1:$AS$1,0),FALSE)</f>
        <v>90.511075426000005</v>
      </c>
      <c r="F37" s="79">
        <f>VLOOKUP(A37,Database!$A:$AS,MATCH($F$1,Database!$A$1:$AS$1,0),FALSE)</f>
        <v>76.3</v>
      </c>
      <c r="G37" s="79">
        <f>VLOOKUP(A37,Database!$A:$AS,MATCH($G$1,Database!$A$1:$AS$1,0),FALSE)</f>
        <v>78.616239469000007</v>
      </c>
      <c r="H37" s="79">
        <f>(((Table134567891011121314151617343[[#This Row],[ITA]]-VLOOKUP($U$1,A:B,2,))/VLOOKUP($U$1,A:B,2,))*100)+100</f>
        <v>86.595394736715633</v>
      </c>
      <c r="I37" s="79">
        <f>(((Table134567891011121314151617343[[#This Row],[FRA]]-VLOOKUP($U$1,A:C,3,))/VLOOKUP($U$1,A:C,3,))*100)+100</f>
        <v>85.413211044980017</v>
      </c>
      <c r="J37" s="79">
        <f>(((Table134567891011121314151617343[[#This Row],[DEU]]-VLOOKUP($U$1,A:D,4,))/VLOOKUP($U$1,A:D,4,))*100)+100</f>
        <v>91.622340425248964</v>
      </c>
      <c r="K37" s="79">
        <f>(((Table134567891011121314151617343[[#This Row],[ESP]]-VLOOKUP($U$1,A:E,5,))/VLOOKUP($U$1,A:E,5,))*100)+100</f>
        <v>76.078843405827584</v>
      </c>
      <c r="L37" s="79">
        <f>(((Table134567891011121314151617343[[#This Row],[EA19]]-VLOOKUP($U$1,A:F,6,))/VLOOKUP($U$1,A:F,6,))*100)+100</f>
        <v>85.346756152125266</v>
      </c>
      <c r="M37" s="79">
        <f>(((Table134567891011121314151617343[[#This Row],[GBR]]-VLOOKUP($U$1,A:G,7,))/VLOOKUP($U$1,A:G,7,))*100)+100</f>
        <v>85.297549590921292</v>
      </c>
      <c r="N37" s="79">
        <f>VLOOKUP(A37,Database!$A:$AS,MATCH($N$1,Database!$A$1:$AS$1,0),FALSE)</f>
        <v>64.078009120000004</v>
      </c>
      <c r="O37" s="79">
        <f>(((Table134567891011121314151617343[[#This Row],[USA]]-VLOOKUP($U$1,A:N,14,))/VLOOKUP($U$1,A:N,14,))*100)+100</f>
        <v>73.768681028024147</v>
      </c>
      <c r="P37" s="79">
        <f>VLOOKUP(A37,Database!$A:$AS,MATCH($P$1,Database!$A$1:$AS$1,0),FALSE)</f>
        <v>97.150973848999996</v>
      </c>
      <c r="Q37" s="79">
        <f>(((Table134567891011121314151617343[[#This Row],[JPN]]-VLOOKUP($U$1,A:Q,16,))/VLOOKUP($U$1,A:Q,16,))*100)+100</f>
        <v>97.537584384713767</v>
      </c>
      <c r="W37" s="83" t="s">
        <v>576</v>
      </c>
    </row>
    <row r="38" spans="1:23" s="83" customFormat="1" x14ac:dyDescent="0.2">
      <c r="A38" s="21">
        <v>33970</v>
      </c>
      <c r="B38" s="79">
        <f>VLOOKUP(A38,Database!$A:$AS,MATCH($B$1,Database!$A$1:$AS$1,0),FALSE)</f>
        <v>107.09107574399999</v>
      </c>
      <c r="C38" s="79">
        <f>VLOOKUP(A38,Database!$A:$AS,MATCH($C$1,Database!$A$1:$AS$1,0),FALSE)</f>
        <v>87.43</v>
      </c>
      <c r="D38" s="79">
        <f>VLOOKUP(A38,Database!$A:$AS,MATCH($D$1,Database!$A$1:$AS$1,0),FALSE)</f>
        <v>68.094325472999998</v>
      </c>
      <c r="E38" s="79">
        <f>VLOOKUP(A38,Database!$A:$AS,MATCH($E$1,Database!$A$1:$AS$1,0),FALSE)</f>
        <v>92.471077058999995</v>
      </c>
      <c r="F38" s="79">
        <f>VLOOKUP(A38,Database!$A:$AS,MATCH($F$1,Database!$A$1:$AS$1,0),FALSE)</f>
        <v>76.7</v>
      </c>
      <c r="G38" s="79">
        <f>VLOOKUP(A38,Database!$A:$AS,MATCH($G$1,Database!$A$1:$AS$1,0),FALSE)</f>
        <v>78.723785625000005</v>
      </c>
      <c r="H38" s="79">
        <f>(((Table134567891011121314151617343[[#This Row],[ITA]]-VLOOKUP($U$1,A:B,2,))/VLOOKUP($U$1,A:B,2,))*100)+100</f>
        <v>88.075657895022943</v>
      </c>
      <c r="I38" s="79">
        <f>(((Table134567891011121314151617343[[#This Row],[FRA]]-VLOOKUP($U$1,A:C,3,))/VLOOKUP($U$1,A:C,3,))*100)+100</f>
        <v>85.305883500829367</v>
      </c>
      <c r="J38" s="79">
        <f>(((Table134567891011121314151617343[[#This Row],[DEU]]-VLOOKUP($U$1,A:D,4,))/VLOOKUP($U$1,A:D,4,))*100)+100</f>
        <v>90.558510637873439</v>
      </c>
      <c r="K38" s="79">
        <f>(((Table134567891011121314151617343[[#This Row],[ESP]]-VLOOKUP($U$1,A:E,5,))/VLOOKUP($U$1,A:E,5,))*100)+100</f>
        <v>77.726317558690624</v>
      </c>
      <c r="L38" s="79">
        <f>(((Table134567891011121314151617343[[#This Row],[EA19]]-VLOOKUP($U$1,A:F,6,))/VLOOKUP($U$1,A:F,6,))*100)+100</f>
        <v>85.794183445190157</v>
      </c>
      <c r="M38" s="79">
        <f>(((Table134567891011121314151617343[[#This Row],[GBR]]-VLOOKUP($U$1,A:G,7,))/VLOOKUP($U$1,A:G,7,))*100)+100</f>
        <v>85.414235706114326</v>
      </c>
      <c r="N38" s="79">
        <f>VLOOKUP(A38,Database!$A:$AS,MATCH($N$1,Database!$A$1:$AS$1,0),FALSE)</f>
        <v>64.347810429000006</v>
      </c>
      <c r="O38" s="79">
        <f>(((Table134567891011121314151617343[[#This Row],[USA]]-VLOOKUP($U$1,A:N,14,))/VLOOKUP($U$1,A:N,14,))*100)+100</f>
        <v>74.07928503988245</v>
      </c>
      <c r="P38" s="79">
        <f>VLOOKUP(A38,Database!$A:$AS,MATCH($P$1,Database!$A$1:$AS$1,0),FALSE)</f>
        <v>99.179177895999999</v>
      </c>
      <c r="Q38" s="79">
        <f>(((Table134567891011121314151617343[[#This Row],[JPN]]-VLOOKUP($U$1,A:Q,16,))/VLOOKUP($U$1,A:Q,16,))*100)+100</f>
        <v>99.573859632877088</v>
      </c>
      <c r="W38" s="83" t="s">
        <v>90</v>
      </c>
    </row>
    <row r="39" spans="1:23" s="83" customFormat="1" x14ac:dyDescent="0.2">
      <c r="A39" s="21">
        <v>34001</v>
      </c>
      <c r="B39" s="79">
        <f>VLOOKUP(A39,Database!$A:$AS,MATCH($B$1,Database!$A$1:$AS$1,0),FALSE)</f>
        <v>106.791100742</v>
      </c>
      <c r="C39" s="79">
        <f>VLOOKUP(A39,Database!$A:$AS,MATCH($C$1,Database!$A$1:$AS$1,0),FALSE)</f>
        <v>87.57</v>
      </c>
      <c r="D39" s="79">
        <f>VLOOKUP(A39,Database!$A:$AS,MATCH($D$1,Database!$A$1:$AS$1,0),FALSE)</f>
        <v>67.094408799000007</v>
      </c>
      <c r="E39" s="79">
        <f>VLOOKUP(A39,Database!$A:$AS,MATCH($E$1,Database!$A$1:$AS$1,0),FALSE)</f>
        <v>90.937075781000004</v>
      </c>
      <c r="F39" s="79">
        <f>VLOOKUP(A39,Database!$A:$AS,MATCH($F$1,Database!$A$1:$AS$1,0),FALSE)</f>
        <v>76.099999999999994</v>
      </c>
      <c r="G39" s="79">
        <f>VLOOKUP(A39,Database!$A:$AS,MATCH($G$1,Database!$A$1:$AS$1,0),FALSE)</f>
        <v>79.906793332000007</v>
      </c>
      <c r="H39" s="79">
        <f>(((Table134567891011121314151617343[[#This Row],[ITA]]-VLOOKUP($U$1,A:B,2,))/VLOOKUP($U$1,A:B,2,))*100)+100</f>
        <v>87.828947368775459</v>
      </c>
      <c r="I39" s="79">
        <f>(((Table134567891011121314151617343[[#This Row],[FRA]]-VLOOKUP($U$1,A:C,3,))/VLOOKUP($U$1,A:C,3,))*100)+100</f>
        <v>85.44248219338472</v>
      </c>
      <c r="J39" s="79">
        <f>(((Table134567891011121314151617343[[#This Row],[DEU]]-VLOOKUP($U$1,A:D,4,))/VLOOKUP($U$1,A:D,4,))*100)+100</f>
        <v>89.228723403321581</v>
      </c>
      <c r="K39" s="79">
        <f>(((Table134567891011121314151617343[[#This Row],[ESP]]-VLOOKUP($U$1,A:E,5,))/VLOOKUP($U$1,A:E,5,))*100)+100</f>
        <v>76.436916869725039</v>
      </c>
      <c r="L39" s="79">
        <f>(((Table134567891011121314151617343[[#This Row],[EA19]]-VLOOKUP($U$1,A:F,6,))/VLOOKUP($U$1,A:F,6,))*100)+100</f>
        <v>85.123042505592835</v>
      </c>
      <c r="M39" s="79">
        <f>(((Table134567891011121314151617343[[#This Row],[GBR]]-VLOOKUP($U$1,A:G,7,))/VLOOKUP($U$1,A:G,7,))*100)+100</f>
        <v>86.697782963472832</v>
      </c>
      <c r="N39" s="79">
        <f>VLOOKUP(A39,Database!$A:$AS,MATCH($N$1,Database!$A$1:$AS$1,0),FALSE)</f>
        <v>64.640904649999996</v>
      </c>
      <c r="O39" s="79">
        <f>(((Table134567891011121314151617343[[#This Row],[USA]]-VLOOKUP($U$1,A:N,14,))/VLOOKUP($U$1,A:N,14,))*100)+100</f>
        <v>74.416704607016868</v>
      </c>
      <c r="P39" s="79">
        <f>VLOOKUP(A39,Database!$A:$AS,MATCH($P$1,Database!$A$1:$AS$1,0),FALSE)</f>
        <v>99.381998300999996</v>
      </c>
      <c r="Q39" s="79">
        <f>(((Table134567891011121314151617343[[#This Row],[JPN]]-VLOOKUP($U$1,A:Q,16,))/VLOOKUP($U$1,A:Q,16,))*100)+100</f>
        <v>99.777487157994614</v>
      </c>
      <c r="W39" s="83" t="s">
        <v>210</v>
      </c>
    </row>
    <row r="40" spans="1:23" s="83" customFormat="1" x14ac:dyDescent="0.2">
      <c r="A40" s="21">
        <v>34029</v>
      </c>
      <c r="B40" s="79">
        <f>VLOOKUP(A40,Database!$A:$AS,MATCH($B$1,Database!$A$1:$AS$1,0),FALSE)</f>
        <v>106.291142405</v>
      </c>
      <c r="C40" s="79">
        <f>VLOOKUP(A40,Database!$A:$AS,MATCH($C$1,Database!$A$1:$AS$1,0),FALSE)</f>
        <v>87.16</v>
      </c>
      <c r="D40" s="79">
        <f>VLOOKUP(A40,Database!$A:$AS,MATCH($D$1,Database!$A$1:$AS$1,0),FALSE)</f>
        <v>67.194400466999994</v>
      </c>
      <c r="E40" s="79">
        <f>VLOOKUP(A40,Database!$A:$AS,MATCH($E$1,Database!$A$1:$AS$1,0),FALSE)</f>
        <v>90.773075644000002</v>
      </c>
      <c r="F40" s="79">
        <f>VLOOKUP(A40,Database!$A:$AS,MATCH($F$1,Database!$A$1:$AS$1,0),FALSE)</f>
        <v>75.900000000000006</v>
      </c>
      <c r="G40" s="79">
        <f>VLOOKUP(A40,Database!$A:$AS,MATCH($G$1,Database!$A$1:$AS$1,0),FALSE)</f>
        <v>79.261516400999994</v>
      </c>
      <c r="H40" s="79">
        <f>(((Table134567891011121314151617343[[#This Row],[ITA]]-VLOOKUP($U$1,A:B,2,))/VLOOKUP($U$1,A:B,2,))*100)+100</f>
        <v>87.41776315808886</v>
      </c>
      <c r="I40" s="79">
        <f>(((Table134567891011121314151617343[[#This Row],[FRA]]-VLOOKUP($U$1,A:C,3,))/VLOOKUP($U$1,A:C,3,))*100)+100</f>
        <v>85.042443165186853</v>
      </c>
      <c r="J40" s="79">
        <f>(((Table134567891011121314151617343[[#This Row],[DEU]]-VLOOKUP($U$1,A:D,4,))/VLOOKUP($U$1,A:D,4,))*100)+100</f>
        <v>89.361702127574688</v>
      </c>
      <c r="K40" s="79">
        <f>(((Table134567891011121314151617343[[#This Row],[ESP]]-VLOOKUP($U$1,A:E,5,))/VLOOKUP($U$1,A:E,5,))*100)+100</f>
        <v>76.299066991324707</v>
      </c>
      <c r="L40" s="79">
        <f>(((Table134567891011121314151617343[[#This Row],[EA19]]-VLOOKUP($U$1,A:F,6,))/VLOOKUP($U$1,A:F,6,))*100)+100</f>
        <v>84.899328859060404</v>
      </c>
      <c r="M40" s="79">
        <f>(((Table134567891011121314151617343[[#This Row],[GBR]]-VLOOKUP($U$1,A:G,7,))/VLOOKUP($U$1,A:G,7,))*100)+100</f>
        <v>85.99766627773954</v>
      </c>
      <c r="N40" s="79">
        <f>VLOOKUP(A40,Database!$A:$AS,MATCH($N$1,Database!$A$1:$AS$1,0),FALSE)</f>
        <v>64.586290204999997</v>
      </c>
      <c r="O40" s="79">
        <f>(((Table134567891011121314151617343[[#This Row],[USA]]-VLOOKUP($U$1,A:N,14,))/VLOOKUP($U$1,A:N,14,))*100)+100</f>
        <v>74.353830687741649</v>
      </c>
      <c r="P40" s="79">
        <f>VLOOKUP(A40,Database!$A:$AS,MATCH($P$1,Database!$A$1:$AS$1,0),FALSE)</f>
        <v>96.035461623000003</v>
      </c>
      <c r="Q40" s="79">
        <f>(((Table134567891011121314151617343[[#This Row],[JPN]]-VLOOKUP($U$1,A:Q,16,))/VLOOKUP($U$1,A:Q,16,))*100)+100</f>
        <v>96.417632998073358</v>
      </c>
      <c r="W40" s="83" t="s">
        <v>483</v>
      </c>
    </row>
    <row r="41" spans="1:23" s="83" customFormat="1" x14ac:dyDescent="0.2">
      <c r="A41" s="21">
        <v>34060</v>
      </c>
      <c r="B41" s="79">
        <f>VLOOKUP(A41,Database!$A:$AS,MATCH($B$1,Database!$A$1:$AS$1,0),FALSE)</f>
        <v>106.09115907</v>
      </c>
      <c r="C41" s="79">
        <f>VLOOKUP(A41,Database!$A:$AS,MATCH($C$1,Database!$A$1:$AS$1,0),FALSE)</f>
        <v>86.58</v>
      </c>
      <c r="D41" s="79">
        <f>VLOOKUP(A41,Database!$A:$AS,MATCH($D$1,Database!$A$1:$AS$1,0),FALSE)</f>
        <v>66.694442129999999</v>
      </c>
      <c r="E41" s="79">
        <f>VLOOKUP(A41,Database!$A:$AS,MATCH($E$1,Database!$A$1:$AS$1,0),FALSE)</f>
        <v>90.591075493000005</v>
      </c>
      <c r="F41" s="79">
        <f>VLOOKUP(A41,Database!$A:$AS,MATCH($F$1,Database!$A$1:$AS$1,0),FALSE)</f>
        <v>75.400000000000006</v>
      </c>
      <c r="G41" s="79">
        <f>VLOOKUP(A41,Database!$A:$AS,MATCH($G$1,Database!$A$1:$AS$1,0),FALSE)</f>
        <v>79.369062556000003</v>
      </c>
      <c r="H41" s="79">
        <f>(((Table134567891011121314151617343[[#This Row],[ITA]]-VLOOKUP($U$1,A:B,2,))/VLOOKUP($U$1,A:B,2,))*100)+100</f>
        <v>87.253289473649716</v>
      </c>
      <c r="I41" s="79">
        <f>(((Table134567891011121314151617343[[#This Row],[FRA]]-VLOOKUP($U$1,A:C,3,))/VLOOKUP($U$1,A:C,3,))*100)+100</f>
        <v>84.476534296028888</v>
      </c>
      <c r="J41" s="79">
        <f>(((Table134567891011121314151617343[[#This Row],[DEU]]-VLOOKUP($U$1,A:D,4,))/VLOOKUP($U$1,A:D,4,))*100)+100</f>
        <v>88.696808510298752</v>
      </c>
      <c r="K41" s="79">
        <f>(((Table134567891011121314151617343[[#This Row],[ESP]]-VLOOKUP($U$1,A:E,5,))/VLOOKUP($U$1,A:E,5,))*100)+100</f>
        <v>76.146087249093213</v>
      </c>
      <c r="L41" s="79">
        <f>(((Table134567891011121314151617343[[#This Row],[EA19]]-VLOOKUP($U$1,A:F,6,))/VLOOKUP($U$1,A:F,6,))*100)+100</f>
        <v>84.340044742729305</v>
      </c>
      <c r="M41" s="79">
        <f>(((Table134567891011121314151617343[[#This Row],[GBR]]-VLOOKUP($U$1,A:G,7,))/VLOOKUP($U$1,A:G,7,))*100)+100</f>
        <v>86.114352391847603</v>
      </c>
      <c r="N41" s="79">
        <f>VLOOKUP(A41,Database!$A:$AS,MATCH($N$1,Database!$A$1:$AS$1,0),FALSE)</f>
        <v>64.774417642000003</v>
      </c>
      <c r="O41" s="79">
        <f>(((Table134567891011121314151617343[[#This Row],[USA]]-VLOOKUP($U$1,A:N,14,))/VLOOKUP($U$1,A:N,14,))*100)+100</f>
        <v>74.570409090898394</v>
      </c>
      <c r="P41" s="79">
        <f>VLOOKUP(A41,Database!$A:$AS,MATCH($P$1,Database!$A$1:$AS$1,0),FALSE)</f>
        <v>97.860845265999998</v>
      </c>
      <c r="Q41" s="79">
        <f>(((Table134567891011121314151617343[[#This Row],[JPN]]-VLOOKUP($U$1,A:Q,16,))/VLOOKUP($U$1,A:Q,16,))*100)+100</f>
        <v>98.250280722123122</v>
      </c>
      <c r="W41" s="83" t="s">
        <v>537</v>
      </c>
    </row>
    <row r="42" spans="1:23" s="83" customFormat="1" x14ac:dyDescent="0.2">
      <c r="A42" s="21">
        <v>34090</v>
      </c>
      <c r="B42" s="79">
        <f>VLOOKUP(A42,Database!$A:$AS,MATCH($B$1,Database!$A$1:$AS$1,0),FALSE)</f>
        <v>105.491209066</v>
      </c>
      <c r="C42" s="79">
        <f>VLOOKUP(A42,Database!$A:$AS,MATCH($C$1,Database!$A$1:$AS$1,0),FALSE)</f>
        <v>86.48</v>
      </c>
      <c r="D42" s="79">
        <f>VLOOKUP(A42,Database!$A:$AS,MATCH($D$1,Database!$A$1:$AS$1,0),FALSE)</f>
        <v>66.694442129999999</v>
      </c>
      <c r="E42" s="79">
        <f>VLOOKUP(A42,Database!$A:$AS,MATCH($E$1,Database!$A$1:$AS$1,0),FALSE)</f>
        <v>91.130075942000005</v>
      </c>
      <c r="F42" s="79">
        <f>VLOOKUP(A42,Database!$A:$AS,MATCH($F$1,Database!$A$1:$AS$1,0),FALSE)</f>
        <v>75.3</v>
      </c>
      <c r="G42" s="79">
        <f>VLOOKUP(A42,Database!$A:$AS,MATCH($G$1,Database!$A$1:$AS$1,0),FALSE)</f>
        <v>80.014339487000001</v>
      </c>
      <c r="H42" s="79">
        <f>(((Table134567891011121314151617343[[#This Row],[ITA]]-VLOOKUP($U$1,A:B,2,))/VLOOKUP($U$1,A:B,2,))*100)+100</f>
        <v>86.759868421154763</v>
      </c>
      <c r="I42" s="79">
        <f>(((Table134567891011121314151617343[[#This Row],[FRA]]-VLOOKUP($U$1,A:C,3,))/VLOOKUP($U$1,A:C,3,))*100)+100</f>
        <v>84.378963801346487</v>
      </c>
      <c r="J42" s="79">
        <f>(((Table134567891011121314151617343[[#This Row],[DEU]]-VLOOKUP($U$1,A:D,4,))/VLOOKUP($U$1,A:D,4,))*100)+100</f>
        <v>88.696808510298752</v>
      </c>
      <c r="K42" s="79">
        <f>(((Table134567891011121314151617343[[#This Row],[ESP]]-VLOOKUP($U$1,A:E,5,))/VLOOKUP($U$1,A:E,5,))*100)+100</f>
        <v>76.599142641067502</v>
      </c>
      <c r="L42" s="79">
        <f>(((Table134567891011121314151617343[[#This Row],[EA19]]-VLOOKUP($U$1,A:F,6,))/VLOOKUP($U$1,A:F,6,))*100)+100</f>
        <v>84.228187919463082</v>
      </c>
      <c r="M42" s="79">
        <f>(((Table134567891011121314151617343[[#This Row],[GBR]]-VLOOKUP($U$1,A:G,7,))/VLOOKUP($U$1,A:G,7,))*100)+100</f>
        <v>86.814469077580867</v>
      </c>
      <c r="N42" s="79">
        <f>VLOOKUP(A42,Database!$A:$AS,MATCH($N$1,Database!$A$1:$AS$1,0),FALSE)</f>
        <v>64.525629514000002</v>
      </c>
      <c r="O42" s="79">
        <f>(((Table134567891011121314151617343[[#This Row],[USA]]-VLOOKUP($U$1,A:N,14,))/VLOOKUP($U$1,A:N,14,))*100)+100</f>
        <v>74.283996134097237</v>
      </c>
      <c r="P42" s="79">
        <f>VLOOKUP(A42,Database!$A:$AS,MATCH($P$1,Database!$A$1:$AS$1,0),FALSE)</f>
        <v>99.179177895999999</v>
      </c>
      <c r="Q42" s="79">
        <f>(((Table134567891011121314151617343[[#This Row],[JPN]]-VLOOKUP($U$1,A:Q,16,))/VLOOKUP($U$1,A:Q,16,))*100)+100</f>
        <v>99.573859632877088</v>
      </c>
    </row>
    <row r="43" spans="1:23" s="83" customFormat="1" x14ac:dyDescent="0.2">
      <c r="A43" s="21">
        <v>34121</v>
      </c>
      <c r="B43" s="79">
        <f>VLOOKUP(A43,Database!$A:$AS,MATCH($B$1,Database!$A$1:$AS$1,0),FALSE)</f>
        <v>105.091242396</v>
      </c>
      <c r="C43" s="79">
        <f>VLOOKUP(A43,Database!$A:$AS,MATCH($C$1,Database!$A$1:$AS$1,0),FALSE)</f>
        <v>85.8</v>
      </c>
      <c r="D43" s="79">
        <f>VLOOKUP(A43,Database!$A:$AS,MATCH($D$1,Database!$A$1:$AS$1,0),FALSE)</f>
        <v>66.194483793000003</v>
      </c>
      <c r="E43" s="79">
        <f>VLOOKUP(A43,Database!$A:$AS,MATCH($E$1,Database!$A$1:$AS$1,0),FALSE)</f>
        <v>90.592075492999996</v>
      </c>
      <c r="F43" s="79">
        <f>VLOOKUP(A43,Database!$A:$AS,MATCH($F$1,Database!$A$1:$AS$1,0),FALSE)</f>
        <v>74.900000000000006</v>
      </c>
      <c r="G43" s="79">
        <f>VLOOKUP(A43,Database!$A:$AS,MATCH($G$1,Database!$A$1:$AS$1,0),FALSE)</f>
        <v>79.584154866000006</v>
      </c>
      <c r="H43" s="79">
        <f>(((Table134567891011121314151617343[[#This Row],[ITA]]-VLOOKUP($U$1,A:B,2,))/VLOOKUP($U$1,A:B,2,))*100)+100</f>
        <v>86.430921052276503</v>
      </c>
      <c r="I43" s="79">
        <f>(((Table134567891011121314151617343[[#This Row],[FRA]]-VLOOKUP($U$1,A:C,3,))/VLOOKUP($U$1,A:C,3,))*100)+100</f>
        <v>83.715484437506092</v>
      </c>
      <c r="J43" s="79">
        <f>(((Table134567891011121314151617343[[#This Row],[DEU]]-VLOOKUP($U$1,A:D,4,))/VLOOKUP($U$1,A:D,4,))*100)+100</f>
        <v>88.031914893022815</v>
      </c>
      <c r="K43" s="79">
        <f>(((Table134567891011121314151617343[[#This Row],[ESP]]-VLOOKUP($U$1,A:E,5,))/VLOOKUP($U$1,A:E,5,))*100)+100</f>
        <v>76.146927796430063</v>
      </c>
      <c r="L43" s="79">
        <f>(((Table134567891011121314151617343[[#This Row],[EA19]]-VLOOKUP($U$1,A:F,6,))/VLOOKUP($U$1,A:F,6,))*100)+100</f>
        <v>83.780760626398205</v>
      </c>
      <c r="M43" s="79">
        <f>(((Table134567891011121314151617343[[#This Row],[GBR]]-VLOOKUP($U$1,A:G,7,))/VLOOKUP($U$1,A:G,7,))*100)+100</f>
        <v>86.347724620063701</v>
      </c>
      <c r="N43" s="79">
        <f>VLOOKUP(A43,Database!$A:$AS,MATCH($N$1,Database!$A$1:$AS$1,0),FALSE)</f>
        <v>64.667864957999996</v>
      </c>
      <c r="O43" s="79">
        <f>(((Table134567891011121314151617343[[#This Row],[USA]]-VLOOKUP($U$1,A:N,14,))/VLOOKUP($U$1,A:N,14,))*100)+100</f>
        <v>74.447742187437711</v>
      </c>
      <c r="P43" s="79">
        <f>VLOOKUP(A43,Database!$A:$AS,MATCH($P$1,Database!$A$1:$AS$1,0),FALSE)</f>
        <v>97.353794253999993</v>
      </c>
      <c r="Q43" s="79">
        <f>(((Table134567891011121314151617343[[#This Row],[JPN]]-VLOOKUP($U$1,A:Q,16,))/VLOOKUP($U$1,A:Q,16,))*100)+100</f>
        <v>97.741211909831293</v>
      </c>
    </row>
    <row r="44" spans="1:23" s="83" customFormat="1" x14ac:dyDescent="0.2">
      <c r="A44" s="21">
        <v>34151</v>
      </c>
      <c r="B44" s="79">
        <f>VLOOKUP(A44,Database!$A:$AS,MATCH($B$1,Database!$A$1:$AS$1,0),FALSE)</f>
        <v>104.49129239200001</v>
      </c>
      <c r="C44" s="79">
        <f>VLOOKUP(A44,Database!$A:$AS,MATCH($C$1,Database!$A$1:$AS$1,0),FALSE)</f>
        <v>86.98</v>
      </c>
      <c r="D44" s="79">
        <f>VLOOKUP(A44,Database!$A:$AS,MATCH($D$1,Database!$A$1:$AS$1,0),FALSE)</f>
        <v>64.694608783000007</v>
      </c>
      <c r="E44" s="79">
        <f>VLOOKUP(A44,Database!$A:$AS,MATCH($E$1,Database!$A$1:$AS$1,0),FALSE)</f>
        <v>91.560076300000006</v>
      </c>
      <c r="F44" s="79">
        <f>VLOOKUP(A44,Database!$A:$AS,MATCH($F$1,Database!$A$1:$AS$1,0),FALSE)</f>
        <v>74.5</v>
      </c>
      <c r="G44" s="79">
        <f>VLOOKUP(A44,Database!$A:$AS,MATCH($G$1,Database!$A$1:$AS$1,0),FALSE)</f>
        <v>80.229431797999993</v>
      </c>
      <c r="H44" s="79">
        <f>(((Table134567891011121314151617343[[#This Row],[ITA]]-VLOOKUP($U$1,A:B,2,))/VLOOKUP($U$1,A:B,2,))*100)+100</f>
        <v>85.937499999781551</v>
      </c>
      <c r="I44" s="79">
        <f>(((Table134567891011121314151617343[[#This Row],[FRA]]-VLOOKUP($U$1,A:C,3,))/VLOOKUP($U$1,A:C,3,))*100)+100</f>
        <v>84.86681627475852</v>
      </c>
      <c r="J44" s="79">
        <f>(((Table134567891011121314151617343[[#This Row],[DEU]]-VLOOKUP($U$1,A:D,4,))/VLOOKUP($U$1,A:D,4,))*100)+100</f>
        <v>86.037234042524915</v>
      </c>
      <c r="K44" s="79">
        <f>(((Table134567891011121314151617343[[#This Row],[ESP]]-VLOOKUP($U$1,A:E,5,))/VLOOKUP($U$1,A:E,5,))*100)+100</f>
        <v>76.960578296834058</v>
      </c>
      <c r="L44" s="79">
        <f>(((Table134567891011121314151617343[[#This Row],[EA19]]-VLOOKUP($U$1,A:F,6,))/VLOOKUP($U$1,A:F,6,))*100)+100</f>
        <v>83.333333333333329</v>
      </c>
      <c r="M44" s="79">
        <f>(((Table134567891011121314151617343[[#This Row],[GBR]]-VLOOKUP($U$1,A:G,7,))/VLOOKUP($U$1,A:G,7,))*100)+100</f>
        <v>87.047841306881949</v>
      </c>
      <c r="N44" s="79">
        <f>VLOOKUP(A44,Database!$A:$AS,MATCH($N$1,Database!$A$1:$AS$1,0),FALSE)</f>
        <v>64.822490248999998</v>
      </c>
      <c r="O44" s="79">
        <f>(((Table134567891011121314151617343[[#This Row],[USA]]-VLOOKUP($U$1,A:N,14,))/VLOOKUP($U$1,A:N,14,))*100)+100</f>
        <v>74.625751834230613</v>
      </c>
      <c r="P44" s="79">
        <f>VLOOKUP(A44,Database!$A:$AS,MATCH($P$1,Database!$A$1:$AS$1,0),FALSE)</f>
        <v>97.252384051999996</v>
      </c>
      <c r="Q44" s="79">
        <f>(((Table134567891011121314151617343[[#This Row],[JPN]]-VLOOKUP($U$1,A:Q,16,))/VLOOKUP($U$1,A:Q,16,))*100)+100</f>
        <v>97.639398147774529</v>
      </c>
    </row>
    <row r="45" spans="1:23" s="83" customFormat="1" x14ac:dyDescent="0.2">
      <c r="A45" s="21">
        <v>34182</v>
      </c>
      <c r="B45" s="79">
        <f>VLOOKUP(A45,Database!$A:$AS,MATCH($B$1,Database!$A$1:$AS$1,0),FALSE)</f>
        <v>104.59128406000001</v>
      </c>
      <c r="C45" s="79">
        <f>VLOOKUP(A45,Database!$A:$AS,MATCH($C$1,Database!$A$1:$AS$1,0),FALSE)</f>
        <v>86.36</v>
      </c>
      <c r="D45" s="79">
        <f>VLOOKUP(A45,Database!$A:$AS,MATCH($D$1,Database!$A$1:$AS$1,0),FALSE)</f>
        <v>67.494375469000005</v>
      </c>
      <c r="E45" s="79">
        <f>VLOOKUP(A45,Database!$A:$AS,MATCH($E$1,Database!$A$1:$AS$1,0),FALSE)</f>
        <v>89.635074696000004</v>
      </c>
      <c r="F45" s="79">
        <f>VLOOKUP(A45,Database!$A:$AS,MATCH($F$1,Database!$A$1:$AS$1,0),FALSE)</f>
        <v>75.5</v>
      </c>
      <c r="G45" s="79">
        <f>VLOOKUP(A45,Database!$A:$AS,MATCH($G$1,Database!$A$1:$AS$1,0),FALSE)</f>
        <v>80.444524107999996</v>
      </c>
      <c r="H45" s="79">
        <f>(((Table134567891011121314151617343[[#This Row],[ITA]]-VLOOKUP($U$1,A:B,2,))/VLOOKUP($U$1,A:B,2,))*100)+100</f>
        <v>86.019736842412328</v>
      </c>
      <c r="I45" s="79">
        <f>(((Table134567891011121314151617343[[#This Row],[FRA]]-VLOOKUP($U$1,A:C,3,))/VLOOKUP($U$1,A:C,3,))*100)+100</f>
        <v>84.261879207727588</v>
      </c>
      <c r="J45" s="79">
        <f>(((Table134567891011121314151617343[[#This Row],[DEU]]-VLOOKUP($U$1,A:D,4,))/VLOOKUP($U$1,A:D,4,))*100)+100</f>
        <v>89.760638297674291</v>
      </c>
      <c r="K45" s="79">
        <f>(((Table134567891011121314151617343[[#This Row],[ESP]]-VLOOKUP($U$1,A:E,5,))/VLOOKUP($U$1,A:E,5,))*100)+100</f>
        <v>75.342523325137037</v>
      </c>
      <c r="L45" s="79">
        <f>(((Table134567891011121314151617343[[#This Row],[EA19]]-VLOOKUP($U$1,A:F,6,))/VLOOKUP($U$1,A:F,6,))*100)+100</f>
        <v>84.451901565995527</v>
      </c>
      <c r="M45" s="79">
        <f>(((Table134567891011121314151617343[[#This Row],[GBR]]-VLOOKUP($U$1,A:G,7,))/VLOOKUP($U$1,A:G,7,))*100)+100</f>
        <v>87.281213535098047</v>
      </c>
      <c r="N45" s="79">
        <f>VLOOKUP(A45,Database!$A:$AS,MATCH($N$1,Database!$A$1:$AS$1,0),FALSE)</f>
        <v>64.750827373000007</v>
      </c>
      <c r="O45" s="79">
        <f>(((Table134567891011121314151617343[[#This Row],[USA]]-VLOOKUP($U$1,A:N,14,))/VLOOKUP($U$1,A:N,14,))*100)+100</f>
        <v>74.543251208605781</v>
      </c>
      <c r="P45" s="79">
        <f>VLOOKUP(A45,Database!$A:$AS,MATCH($P$1,Database!$A$1:$AS$1,0),FALSE)</f>
        <v>96.339692229999997</v>
      </c>
      <c r="Q45" s="79">
        <f>(((Table134567891011121314151617343[[#This Row],[JPN]]-VLOOKUP($U$1,A:Q,16,))/VLOOKUP($U$1,A:Q,16,))*100)+100</f>
        <v>96.723074285247648</v>
      </c>
    </row>
    <row r="46" spans="1:23" s="83" customFormat="1" x14ac:dyDescent="0.2">
      <c r="A46" s="21">
        <v>34213</v>
      </c>
      <c r="B46" s="79">
        <f>VLOOKUP(A46,Database!$A:$AS,MATCH($B$1,Database!$A$1:$AS$1,0),FALSE)</f>
        <v>105.191234064</v>
      </c>
      <c r="C46" s="79">
        <f>VLOOKUP(A46,Database!$A:$AS,MATCH($C$1,Database!$A$1:$AS$1,0),FALSE)</f>
        <v>86.93</v>
      </c>
      <c r="D46" s="79">
        <f>VLOOKUP(A46,Database!$A:$AS,MATCH($D$1,Database!$A$1:$AS$1,0),FALSE)</f>
        <v>67.194400466999994</v>
      </c>
      <c r="E46" s="79">
        <f>VLOOKUP(A46,Database!$A:$AS,MATCH($E$1,Database!$A$1:$AS$1,0),FALSE)</f>
        <v>92.628077189999999</v>
      </c>
      <c r="F46" s="79">
        <f>VLOOKUP(A46,Database!$A:$AS,MATCH($F$1,Database!$A$1:$AS$1,0),FALSE)</f>
        <v>75.8</v>
      </c>
      <c r="G46" s="79">
        <f>VLOOKUP(A46,Database!$A:$AS,MATCH($G$1,Database!$A$1:$AS$1,0),FALSE)</f>
        <v>80.767162573999997</v>
      </c>
      <c r="H46" s="79">
        <f>(((Table134567891011121314151617343[[#This Row],[ITA]]-VLOOKUP($U$1,A:B,2,))/VLOOKUP($U$1,A:B,2,))*100)+100</f>
        <v>86.51315789490728</v>
      </c>
      <c r="I46" s="79">
        <f>(((Table134567891011121314151617343[[#This Row],[FRA]]-VLOOKUP($U$1,A:C,3,))/VLOOKUP($U$1,A:C,3,))*100)+100</f>
        <v>84.818031027417319</v>
      </c>
      <c r="J46" s="79">
        <f>(((Table134567891011121314151617343[[#This Row],[DEU]]-VLOOKUP($U$1,A:D,4,))/VLOOKUP($U$1,A:D,4,))*100)+100</f>
        <v>89.361702127574688</v>
      </c>
      <c r="K46" s="79">
        <f>(((Table134567891011121314151617343[[#This Row],[ESP]]-VLOOKUP($U$1,A:E,5,))/VLOOKUP($U$1,A:E,5,))*100)+100</f>
        <v>77.858283600689646</v>
      </c>
      <c r="L46" s="79">
        <f>(((Table134567891011121314151617343[[#This Row],[EA19]]-VLOOKUP($U$1,A:F,6,))/VLOOKUP($U$1,A:F,6,))*100)+100</f>
        <v>84.787472035794181</v>
      </c>
      <c r="M46" s="79">
        <f>(((Table134567891011121314151617343[[#This Row],[GBR]]-VLOOKUP($U$1,A:G,7,))/VLOOKUP($U$1,A:G,7,))*100)+100</f>
        <v>87.631271878507178</v>
      </c>
      <c r="N46" s="79">
        <f>VLOOKUP(A46,Database!$A:$AS,MATCH($N$1,Database!$A$1:$AS$1,0),FALSE)</f>
        <v>65.077621979</v>
      </c>
      <c r="O46" s="79">
        <f>(((Table134567891011121314151617343[[#This Row],[USA]]-VLOOKUP($U$1,A:N,14,))/VLOOKUP($U$1,A:N,14,))*100)+100</f>
        <v>74.919467751266254</v>
      </c>
      <c r="P46" s="79">
        <f>VLOOKUP(A46,Database!$A:$AS,MATCH($P$1,Database!$A$1:$AS$1,0),FALSE)</f>
        <v>96.643922837000005</v>
      </c>
      <c r="Q46" s="79">
        <f>(((Table134567891011121314151617343[[#This Row],[JPN]]-VLOOKUP($U$1,A:Q,16,))/VLOOKUP($U$1,A:Q,16,))*100)+100</f>
        <v>97.028515572421952</v>
      </c>
    </row>
    <row r="47" spans="1:23" s="83" customFormat="1" x14ac:dyDescent="0.2">
      <c r="A47" s="21">
        <v>34243</v>
      </c>
      <c r="B47" s="79">
        <f>VLOOKUP(A47,Database!$A:$AS,MATCH($B$1,Database!$A$1:$AS$1,0),FALSE)</f>
        <v>105.091242396</v>
      </c>
      <c r="C47" s="79">
        <f>VLOOKUP(A47,Database!$A:$AS,MATCH($C$1,Database!$A$1:$AS$1,0),FALSE)</f>
        <v>87.3</v>
      </c>
      <c r="D47" s="79">
        <f>VLOOKUP(A47,Database!$A:$AS,MATCH($D$1,Database!$A$1:$AS$1,0),FALSE)</f>
        <v>67.194400466999994</v>
      </c>
      <c r="E47" s="79">
        <f>VLOOKUP(A47,Database!$A:$AS,MATCH($E$1,Database!$A$1:$AS$1,0),FALSE)</f>
        <v>93.377077814000003</v>
      </c>
      <c r="F47" s="79">
        <f>VLOOKUP(A47,Database!$A:$AS,MATCH($F$1,Database!$A$1:$AS$1,0),FALSE)</f>
        <v>76</v>
      </c>
      <c r="G47" s="79">
        <f>VLOOKUP(A47,Database!$A:$AS,MATCH($G$1,Database!$A$1:$AS$1,0),FALSE)</f>
        <v>80.874708729000005</v>
      </c>
      <c r="H47" s="79">
        <f>(((Table134567891011121314151617343[[#This Row],[ITA]]-VLOOKUP($U$1,A:B,2,))/VLOOKUP($U$1,A:B,2,))*100)+100</f>
        <v>86.430921052276503</v>
      </c>
      <c r="I47" s="79">
        <f>(((Table134567891011121314151617343[[#This Row],[FRA]]-VLOOKUP($U$1,A:C,3,))/VLOOKUP($U$1,A:C,3,))*100)+100</f>
        <v>85.17904185774222</v>
      </c>
      <c r="J47" s="79">
        <f>(((Table134567891011121314151617343[[#This Row],[DEU]]-VLOOKUP($U$1,A:D,4,))/VLOOKUP($U$1,A:D,4,))*100)+100</f>
        <v>89.361702127574688</v>
      </c>
      <c r="K47" s="79">
        <f>(((Table134567891011121314151617343[[#This Row],[ESP]]-VLOOKUP($U$1,A:E,5,))/VLOOKUP($U$1,A:E,5,))*100)+100</f>
        <v>78.487854080500725</v>
      </c>
      <c r="L47" s="79">
        <f>(((Table134567891011121314151617343[[#This Row],[EA19]]-VLOOKUP($U$1,A:F,6,))/VLOOKUP($U$1,A:F,6,))*100)+100</f>
        <v>85.011185682326612</v>
      </c>
      <c r="M47" s="79">
        <f>(((Table134567891011121314151617343[[#This Row],[GBR]]-VLOOKUP($U$1,A:G,7,))/VLOOKUP($U$1,A:G,7,))*100)+100</f>
        <v>87.747957992615241</v>
      </c>
      <c r="N47" s="79">
        <f>VLOOKUP(A47,Database!$A:$AS,MATCH($N$1,Database!$A$1:$AS$1,0),FALSE)</f>
        <v>65.580154174</v>
      </c>
      <c r="O47" s="79">
        <f>(((Table134567891011121314151617343[[#This Row],[USA]]-VLOOKUP($U$1,A:N,14,))/VLOOKUP($U$1,A:N,14,))*100)+100</f>
        <v>75.497999102479795</v>
      </c>
      <c r="P47" s="79">
        <f>VLOOKUP(A47,Database!$A:$AS,MATCH($P$1,Database!$A$1:$AS$1,0),FALSE)</f>
        <v>95.832641218999996</v>
      </c>
      <c r="Q47" s="79">
        <f>(((Table134567891011121314151617343[[#This Row],[JPN]]-VLOOKUP($U$1,A:Q,16,))/VLOOKUP($U$1,A:Q,16,))*100)+100</f>
        <v>96.214005473959801</v>
      </c>
    </row>
    <row r="48" spans="1:23" s="83" customFormat="1" x14ac:dyDescent="0.2">
      <c r="A48" s="21">
        <v>34274</v>
      </c>
      <c r="B48" s="79">
        <f>VLOOKUP(A48,Database!$A:$AS,MATCH($B$1,Database!$A$1:$AS$1,0),FALSE)</f>
        <v>105.891175735</v>
      </c>
      <c r="C48" s="79">
        <f>VLOOKUP(A48,Database!$A:$AS,MATCH($C$1,Database!$A$1:$AS$1,0),FALSE)</f>
        <v>86.71</v>
      </c>
      <c r="D48" s="79">
        <f>VLOOKUP(A48,Database!$A:$AS,MATCH($D$1,Database!$A$1:$AS$1,0),FALSE)</f>
        <v>66.594450461999998</v>
      </c>
      <c r="E48" s="79">
        <f>VLOOKUP(A48,Database!$A:$AS,MATCH($E$1,Database!$A$1:$AS$1,0),FALSE)</f>
        <v>93.641078034000003</v>
      </c>
      <c r="F48" s="79">
        <f>VLOOKUP(A48,Database!$A:$AS,MATCH($F$1,Database!$A$1:$AS$1,0),FALSE)</f>
        <v>75.900000000000006</v>
      </c>
      <c r="G48" s="79">
        <f>VLOOKUP(A48,Database!$A:$AS,MATCH($G$1,Database!$A$1:$AS$1,0),FALSE)</f>
        <v>81.627531816000001</v>
      </c>
      <c r="H48" s="79">
        <f>(((Table134567891011121314151617343[[#This Row],[ITA]]-VLOOKUP($U$1,A:B,2,))/VLOOKUP($U$1,A:B,2,))*100)+100</f>
        <v>87.088815789210599</v>
      </c>
      <c r="I48" s="79">
        <f>(((Table134567891011121314151617343[[#This Row],[FRA]]-VLOOKUP($U$1,A:C,3,))/VLOOKUP($U$1,A:C,3,))*100)+100</f>
        <v>84.603375939116006</v>
      </c>
      <c r="J48" s="79">
        <f>(((Table134567891011121314151617343[[#This Row],[DEU]]-VLOOKUP($U$1,A:D,4,))/VLOOKUP($U$1,A:D,4,))*100)+100</f>
        <v>88.56382978604563</v>
      </c>
      <c r="K48" s="79">
        <f>(((Table134567891011121314151617343[[#This Row],[ESP]]-VLOOKUP($U$1,A:E,5,))/VLOOKUP($U$1,A:E,5,))*100)+100</f>
        <v>78.709758762352664</v>
      </c>
      <c r="L48" s="79">
        <f>(((Table134567891011121314151617343[[#This Row],[EA19]]-VLOOKUP($U$1,A:F,6,))/VLOOKUP($U$1,A:F,6,))*100)+100</f>
        <v>84.899328859060404</v>
      </c>
      <c r="M48" s="79">
        <f>(((Table134567891011121314151617343[[#This Row],[GBR]]-VLOOKUP($U$1,A:G,7,))/VLOOKUP($U$1,A:G,7,))*100)+100</f>
        <v>88.564760793541552</v>
      </c>
      <c r="N48" s="79">
        <f>VLOOKUP(A48,Database!$A:$AS,MATCH($N$1,Database!$A$1:$AS$1,0),FALSE)</f>
        <v>65.897235140000006</v>
      </c>
      <c r="O48" s="79">
        <f>(((Table134567891011121314151617343[[#This Row],[USA]]-VLOOKUP($U$1,A:N,14,))/VLOOKUP($U$1,A:N,14,))*100)+100</f>
        <v>75.863032987928833</v>
      </c>
      <c r="P48" s="79">
        <f>VLOOKUP(A48,Database!$A:$AS,MATCH($P$1,Database!$A$1:$AS$1,0),FALSE)</f>
        <v>95.629820813999999</v>
      </c>
      <c r="Q48" s="79">
        <f>(((Table134567891011121314151617343[[#This Row],[JPN]]-VLOOKUP($U$1,A:Q,16,))/VLOOKUP($U$1,A:Q,16,))*100)+100</f>
        <v>96.010377948842276</v>
      </c>
    </row>
    <row r="49" spans="1:17" s="83" customFormat="1" x14ac:dyDescent="0.2">
      <c r="A49" s="21">
        <v>34304</v>
      </c>
      <c r="B49" s="79">
        <f>VLOOKUP(A49,Database!$A:$AS,MATCH($B$1,Database!$A$1:$AS$1,0),FALSE)</f>
        <v>105.79118406800001</v>
      </c>
      <c r="C49" s="79">
        <f>VLOOKUP(A49,Database!$A:$AS,MATCH($C$1,Database!$A$1:$AS$1,0),FALSE)</f>
        <v>85.91</v>
      </c>
      <c r="D49" s="79">
        <f>VLOOKUP(A49,Database!$A:$AS,MATCH($D$1,Database!$A$1:$AS$1,0),FALSE)</f>
        <v>67.394383801000004</v>
      </c>
      <c r="E49" s="79">
        <f>VLOOKUP(A49,Database!$A:$AS,MATCH($E$1,Database!$A$1:$AS$1,0),FALSE)</f>
        <v>93.864078219999996</v>
      </c>
      <c r="F49" s="79">
        <f>VLOOKUP(A49,Database!$A:$AS,MATCH($F$1,Database!$A$1:$AS$1,0),FALSE)</f>
        <v>76</v>
      </c>
      <c r="G49" s="79">
        <f>VLOOKUP(A49,Database!$A:$AS,MATCH($G$1,Database!$A$1:$AS$1,0),FALSE)</f>
        <v>81.842624126000004</v>
      </c>
      <c r="H49" s="79">
        <f>(((Table134567891011121314151617343[[#This Row],[ITA]]-VLOOKUP($U$1,A:B,2,))/VLOOKUP($U$1,A:B,2,))*100)+100</f>
        <v>87.006578947402247</v>
      </c>
      <c r="I49" s="79">
        <f>(((Table134567891011121314151617343[[#This Row],[FRA]]-VLOOKUP($U$1,A:C,3,))/VLOOKUP($U$1,A:C,3,))*100)+100</f>
        <v>83.822811981656741</v>
      </c>
      <c r="J49" s="79">
        <f>(((Table134567891011121314151617343[[#This Row],[DEU]]-VLOOKUP($U$1,A:D,4,))/VLOOKUP($U$1,A:D,4,))*100)+100</f>
        <v>89.627659573421155</v>
      </c>
      <c r="K49" s="79">
        <f>(((Table134567891011121314151617343[[#This Row],[ESP]]-VLOOKUP($U$1,A:E,5,))/VLOOKUP($U$1,A:E,5,))*100)+100</f>
        <v>78.897200974814666</v>
      </c>
      <c r="L49" s="79">
        <f>(((Table134567891011121314151617343[[#This Row],[EA19]]-VLOOKUP($U$1,A:F,6,))/VLOOKUP($U$1,A:F,6,))*100)+100</f>
        <v>85.011185682326612</v>
      </c>
      <c r="M49" s="79">
        <f>(((Table134567891011121314151617343[[#This Row],[GBR]]-VLOOKUP($U$1,A:G,7,))/VLOOKUP($U$1,A:G,7,))*100)+100</f>
        <v>88.79813302175765</v>
      </c>
      <c r="N49" s="79">
        <f>VLOOKUP(A49,Database!$A:$AS,MATCH($N$1,Database!$A$1:$AS$1,0),FALSE)</f>
        <v>66.250890932999994</v>
      </c>
      <c r="O49" s="79">
        <f>(((Table134567891011121314151617343[[#This Row],[USA]]-VLOOKUP($U$1,A:N,14,))/VLOOKUP($U$1,A:N,14,))*100)+100</f>
        <v>76.270172999702169</v>
      </c>
      <c r="P49" s="79">
        <f>VLOOKUP(A49,Database!$A:$AS,MATCH($P$1,Database!$A$1:$AS$1,0),FALSE)</f>
        <v>94.919949398</v>
      </c>
      <c r="Q49" s="79">
        <f>(((Table134567891011121314151617343[[#This Row],[JPN]]-VLOOKUP($U$1,A:Q,16,))/VLOOKUP($U$1,A:Q,16,))*100)+100</f>
        <v>95.297681612436904</v>
      </c>
    </row>
    <row r="50" spans="1:17" s="83" customFormat="1" x14ac:dyDescent="0.2">
      <c r="A50" s="21">
        <v>34335</v>
      </c>
      <c r="B50" s="79">
        <f>VLOOKUP(A50,Database!$A:$AS,MATCH($B$1,Database!$A$1:$AS$1,0),FALSE)</f>
        <v>106.09115907</v>
      </c>
      <c r="C50" s="79">
        <f>VLOOKUP(A50,Database!$A:$AS,MATCH($C$1,Database!$A$1:$AS$1,0),FALSE)</f>
        <v>87.51</v>
      </c>
      <c r="D50" s="79">
        <f>VLOOKUP(A50,Database!$A:$AS,MATCH($D$1,Database!$A$1:$AS$1,0),FALSE)</f>
        <v>67.094408799000007</v>
      </c>
      <c r="E50" s="79">
        <f>VLOOKUP(A50,Database!$A:$AS,MATCH($E$1,Database!$A$1:$AS$1,0),FALSE)</f>
        <v>93.462077884999999</v>
      </c>
      <c r="F50" s="79">
        <f>VLOOKUP(A50,Database!$A:$AS,MATCH($F$1,Database!$A$1:$AS$1,0),FALSE)</f>
        <v>76.099999999999994</v>
      </c>
      <c r="G50" s="79">
        <f>VLOOKUP(A50,Database!$A:$AS,MATCH($G$1,Database!$A$1:$AS$1,0),FALSE)</f>
        <v>82.272808746999999</v>
      </c>
      <c r="H50" s="79">
        <f>(((Table134567891011121314151617343[[#This Row],[ITA]]-VLOOKUP($U$1,A:B,2,))/VLOOKUP($U$1,A:B,2,))*100)+100</f>
        <v>87.253289473649716</v>
      </c>
      <c r="I50" s="79">
        <f>(((Table134567891011121314151617343[[#This Row],[FRA]]-VLOOKUP($U$1,A:C,3,))/VLOOKUP($U$1,A:C,3,))*100)+100</f>
        <v>85.383939896575285</v>
      </c>
      <c r="J50" s="79">
        <f>(((Table134567891011121314151617343[[#This Row],[DEU]]-VLOOKUP($U$1,A:D,4,))/VLOOKUP($U$1,A:D,4,))*100)+100</f>
        <v>89.228723403321581</v>
      </c>
      <c r="K50" s="79">
        <f>(((Table134567891011121314151617343[[#This Row],[ESP]]-VLOOKUP($U$1,A:E,5,))/VLOOKUP($U$1,A:E,5,))*100)+100</f>
        <v>78.559300663812849</v>
      </c>
      <c r="L50" s="79">
        <f>(((Table134567891011121314151617343[[#This Row],[EA19]]-VLOOKUP($U$1,A:F,6,))/VLOOKUP($U$1,A:F,6,))*100)+100</f>
        <v>85.123042505592835</v>
      </c>
      <c r="M50" s="79">
        <f>(((Table134567891011121314151617343[[#This Row],[GBR]]-VLOOKUP($U$1,A:G,7,))/VLOOKUP($U$1,A:G,7,))*100)+100</f>
        <v>89.264877479274816</v>
      </c>
      <c r="N50" s="79">
        <f>VLOOKUP(A50,Database!$A:$AS,MATCH($N$1,Database!$A$1:$AS$1,0),FALSE)</f>
        <v>66.468654885000007</v>
      </c>
      <c r="O50" s="79">
        <f>(((Table134567891011121314151617343[[#This Row],[USA]]-VLOOKUP($U$1,A:N,14,))/VLOOKUP($U$1,A:N,14,))*100)+100</f>
        <v>76.520869919520749</v>
      </c>
      <c r="P50" s="79">
        <f>VLOOKUP(A50,Database!$A:$AS,MATCH($P$1,Database!$A$1:$AS$1,0),FALSE)</f>
        <v>94.514308588000006</v>
      </c>
      <c r="Q50" s="79">
        <f>(((Table134567891011121314151617343[[#This Row],[JPN]]-VLOOKUP($U$1,A:Q,16,))/VLOOKUP($U$1,A:Q,16,))*100)+100</f>
        <v>94.890426562201867</v>
      </c>
    </row>
    <row r="51" spans="1:17" s="83" customFormat="1" x14ac:dyDescent="0.2">
      <c r="A51" s="21">
        <v>34366</v>
      </c>
      <c r="B51" s="79">
        <f>VLOOKUP(A51,Database!$A:$AS,MATCH($B$1,Database!$A$1:$AS$1,0),FALSE)</f>
        <v>107.791017415</v>
      </c>
      <c r="C51" s="79">
        <f>VLOOKUP(A51,Database!$A:$AS,MATCH($C$1,Database!$A$1:$AS$1,0),FALSE)</f>
        <v>87.26</v>
      </c>
      <c r="D51" s="79">
        <f>VLOOKUP(A51,Database!$A:$AS,MATCH($D$1,Database!$A$1:$AS$1,0),FALSE)</f>
        <v>68.094325472999998</v>
      </c>
      <c r="E51" s="79">
        <f>VLOOKUP(A51,Database!$A:$AS,MATCH($E$1,Database!$A$1:$AS$1,0),FALSE)</f>
        <v>96.489080408000007</v>
      </c>
      <c r="F51" s="79">
        <f>VLOOKUP(A51,Database!$A:$AS,MATCH($F$1,Database!$A$1:$AS$1,0),FALSE)</f>
        <v>77.3</v>
      </c>
      <c r="G51" s="79">
        <f>VLOOKUP(A51,Database!$A:$AS,MATCH($G$1,Database!$A$1:$AS$1,0),FALSE)</f>
        <v>82.595447213</v>
      </c>
      <c r="H51" s="79">
        <f>(((Table134567891011121314151617343[[#This Row],[ITA]]-VLOOKUP($U$1,A:B,2,))/VLOOKUP($U$1,A:B,2,))*100)+100</f>
        <v>88.651315789326247</v>
      </c>
      <c r="I51" s="79">
        <f>(((Table134567891011121314151617343[[#This Row],[FRA]]-VLOOKUP($U$1,A:C,3,))/VLOOKUP($U$1,A:C,3,))*100)+100</f>
        <v>85.140013659869268</v>
      </c>
      <c r="J51" s="79">
        <f>(((Table134567891011121314151617343[[#This Row],[DEU]]-VLOOKUP($U$1,A:D,4,))/VLOOKUP($U$1,A:D,4,))*100)+100</f>
        <v>90.558510637873439</v>
      </c>
      <c r="K51" s="79">
        <f>(((Table134567891011121314151617343[[#This Row],[ESP]]-VLOOKUP($U$1,A:E,5,))/VLOOKUP($U$1,A:E,5,))*100)+100</f>
        <v>81.103639573194641</v>
      </c>
      <c r="L51" s="79">
        <f>(((Table134567891011121314151617343[[#This Row],[EA19]]-VLOOKUP($U$1,A:F,6,))/VLOOKUP($U$1,A:F,6,))*100)+100</f>
        <v>86.465324384787465</v>
      </c>
      <c r="M51" s="79">
        <f>(((Table134567891011121314151617343[[#This Row],[GBR]]-VLOOKUP($U$1,A:G,7,))/VLOOKUP($U$1,A:G,7,))*100)+100</f>
        <v>89.614935822683961</v>
      </c>
      <c r="N51" s="79">
        <f>VLOOKUP(A51,Database!$A:$AS,MATCH($N$1,Database!$A$1:$AS$1,0),FALSE)</f>
        <v>66.514645997000002</v>
      </c>
      <c r="O51" s="79">
        <f>(((Table134567891011121314151617343[[#This Row],[USA]]-VLOOKUP($U$1,A:N,14,))/VLOOKUP($U$1,A:N,14,))*100)+100</f>
        <v>76.573816378342499</v>
      </c>
      <c r="P51" s="79">
        <f>VLOOKUP(A51,Database!$A:$AS,MATCH($P$1,Database!$A$1:$AS$1,0),FALSE)</f>
        <v>95.325590207000005</v>
      </c>
      <c r="Q51" s="79">
        <f>(((Table134567891011121314151617343[[#This Row],[JPN]]-VLOOKUP($U$1,A:Q,16,))/VLOOKUP($U$1,A:Q,16,))*100)+100</f>
        <v>95.704936661667986</v>
      </c>
    </row>
    <row r="52" spans="1:17" s="83" customFormat="1" x14ac:dyDescent="0.2">
      <c r="A52" s="21">
        <v>34394</v>
      </c>
      <c r="B52" s="79">
        <f>VLOOKUP(A52,Database!$A:$AS,MATCH($B$1,Database!$A$1:$AS$1,0),FALSE)</f>
        <v>109.290892426</v>
      </c>
      <c r="C52" s="79">
        <f>VLOOKUP(A52,Database!$A:$AS,MATCH($C$1,Database!$A$1:$AS$1,0),FALSE)</f>
        <v>87.24</v>
      </c>
      <c r="D52" s="79">
        <f>VLOOKUP(A52,Database!$A:$AS,MATCH($D$1,Database!$A$1:$AS$1,0),FALSE)</f>
        <v>67.794350471000001</v>
      </c>
      <c r="E52" s="79">
        <f>VLOOKUP(A52,Database!$A:$AS,MATCH($E$1,Database!$A$1:$AS$1,0),FALSE)</f>
        <v>96.209080173999993</v>
      </c>
      <c r="F52" s="79">
        <f>VLOOKUP(A52,Database!$A:$AS,MATCH($F$1,Database!$A$1:$AS$1,0),FALSE)</f>
        <v>77.3</v>
      </c>
      <c r="G52" s="79">
        <f>VLOOKUP(A52,Database!$A:$AS,MATCH($G$1,Database!$A$1:$AS$1,0),FALSE)</f>
        <v>82.918085677999997</v>
      </c>
      <c r="H52" s="79">
        <f>(((Table134567891011121314151617343[[#This Row],[ITA]]-VLOOKUP($U$1,A:B,2,))/VLOOKUP($U$1,A:B,2,))*100)+100</f>
        <v>89.884868421386074</v>
      </c>
      <c r="I52" s="79">
        <f>(((Table134567891011121314151617343[[#This Row],[FRA]]-VLOOKUP($U$1,A:C,3,))/VLOOKUP($U$1,A:C,3,))*100)+100</f>
        <v>85.120499560932771</v>
      </c>
      <c r="J52" s="79">
        <f>(((Table134567891011121314151617343[[#This Row],[DEU]]-VLOOKUP($U$1,A:D,4,))/VLOOKUP($U$1,A:D,4,))*100)+100</f>
        <v>90.159574467773865</v>
      </c>
      <c r="K52" s="79">
        <f>(((Table134567891011121314151617343[[#This Row],[ESP]]-VLOOKUP($U$1,A:E,5,))/VLOOKUP($U$1,A:E,5,))*100)+100</f>
        <v>80.868286122185225</v>
      </c>
      <c r="L52" s="79">
        <f>(((Table134567891011121314151617343[[#This Row],[EA19]]-VLOOKUP($U$1,A:F,6,))/VLOOKUP($U$1,A:F,6,))*100)+100</f>
        <v>86.465324384787465</v>
      </c>
      <c r="M52" s="79">
        <f>(((Table134567891011121314151617343[[#This Row],[GBR]]-VLOOKUP($U$1,A:G,7,))/VLOOKUP($U$1,A:G,7,))*100)+100</f>
        <v>89.964994165008093</v>
      </c>
      <c r="N52" s="79">
        <f>VLOOKUP(A52,Database!$A:$AS,MATCH($N$1,Database!$A$1:$AS$1,0),FALSE)</f>
        <v>67.181913598999998</v>
      </c>
      <c r="O52" s="79">
        <f>(((Table134567891011121314151617343[[#This Row],[USA]]-VLOOKUP($U$1,A:N,14,))/VLOOKUP($U$1,A:N,14,))*100)+100</f>
        <v>77.341996469582398</v>
      </c>
      <c r="P52" s="79">
        <f>VLOOKUP(A52,Database!$A:$AS,MATCH($P$1,Database!$A$1:$AS$1,0),FALSE)</f>
        <v>96.339692229999997</v>
      </c>
      <c r="Q52" s="79">
        <f>(((Table134567891011121314151617343[[#This Row],[JPN]]-VLOOKUP($U$1,A:Q,16,))/VLOOKUP($U$1,A:Q,16,))*100)+100</f>
        <v>96.723074285247648</v>
      </c>
    </row>
    <row r="53" spans="1:17" s="83" customFormat="1" x14ac:dyDescent="0.2">
      <c r="A53" s="21">
        <v>34425</v>
      </c>
      <c r="B53" s="79">
        <f>VLOOKUP(A53,Database!$A:$AS,MATCH($B$1,Database!$A$1:$AS$1,0),FALSE)</f>
        <v>111.09074243800001</v>
      </c>
      <c r="C53" s="79">
        <f>VLOOKUP(A53,Database!$A:$AS,MATCH($C$1,Database!$A$1:$AS$1,0),FALSE)</f>
        <v>89.64</v>
      </c>
      <c r="D53" s="79">
        <f>VLOOKUP(A53,Database!$A:$AS,MATCH($D$1,Database!$A$1:$AS$1,0),FALSE)</f>
        <v>68.594283809999993</v>
      </c>
      <c r="E53" s="79">
        <f>VLOOKUP(A53,Database!$A:$AS,MATCH($E$1,Database!$A$1:$AS$1,0),FALSE)</f>
        <v>97.807081506000003</v>
      </c>
      <c r="F53" s="79">
        <f>VLOOKUP(A53,Database!$A:$AS,MATCH($F$1,Database!$A$1:$AS$1,0),FALSE)</f>
        <v>78.7</v>
      </c>
      <c r="G53" s="79">
        <f>VLOOKUP(A53,Database!$A:$AS,MATCH($G$1,Database!$A$1:$AS$1,0),FALSE)</f>
        <v>83.993547230999994</v>
      </c>
      <c r="H53" s="79">
        <f>(((Table134567891011121314151617343[[#This Row],[ITA]]-VLOOKUP($U$1,A:B,2,))/VLOOKUP($U$1,A:B,2,))*100)+100</f>
        <v>91.365131578870944</v>
      </c>
      <c r="I53" s="79">
        <f>(((Table134567891011121314151617343[[#This Row],[FRA]]-VLOOKUP($U$1,A:C,3,))/VLOOKUP($U$1,A:C,3,))*100)+100</f>
        <v>87.462191433310565</v>
      </c>
      <c r="J53" s="79">
        <f>(((Table134567891011121314151617343[[#This Row],[DEU]]-VLOOKUP($U$1,A:D,4,))/VLOOKUP($U$1,A:D,4,))*100)+100</f>
        <v>91.223404255149376</v>
      </c>
      <c r="K53" s="79">
        <f>(((Table134567891011121314151617343[[#This Row],[ESP]]-VLOOKUP($U$1,A:E,5,))/VLOOKUP($U$1,A:E,5,))*100)+100</f>
        <v>82.211481886099548</v>
      </c>
      <c r="L53" s="79">
        <f>(((Table134567891011121314151617343[[#This Row],[EA19]]-VLOOKUP($U$1,A:F,6,))/VLOOKUP($U$1,A:F,6,))*100)+100</f>
        <v>88.03131991051454</v>
      </c>
      <c r="M53" s="79">
        <f>(((Table134567891011121314151617343[[#This Row],[GBR]]-VLOOKUP($U$1,A:G,7,))/VLOOKUP($U$1,A:G,7,))*100)+100</f>
        <v>91.131855309343536</v>
      </c>
      <c r="N53" s="79">
        <f>VLOOKUP(A53,Database!$A:$AS,MATCH($N$1,Database!$A$1:$AS$1,0),FALSE)</f>
        <v>67.589688244000001</v>
      </c>
      <c r="O53" s="79">
        <f>(((Table134567891011121314151617343[[#This Row],[USA]]-VLOOKUP($U$1,A:N,14,))/VLOOKUP($U$1,A:N,14,))*100)+100</f>
        <v>77.811439857905967</v>
      </c>
      <c r="P53" s="79">
        <f>VLOOKUP(A53,Database!$A:$AS,MATCH($P$1,Database!$A$1:$AS$1,0),FALSE)</f>
        <v>97.252384051999996</v>
      </c>
      <c r="Q53" s="79">
        <f>(((Table134567891011121314151617343[[#This Row],[JPN]]-VLOOKUP($U$1,A:Q,16,))/VLOOKUP($U$1,A:Q,16,))*100)+100</f>
        <v>97.639398147774529</v>
      </c>
    </row>
    <row r="54" spans="1:17" s="83" customFormat="1" x14ac:dyDescent="0.2">
      <c r="A54" s="21">
        <v>34455</v>
      </c>
      <c r="B54" s="79">
        <f>VLOOKUP(A54,Database!$A:$AS,MATCH($B$1,Database!$A$1:$AS$1,0),FALSE)</f>
        <v>111.490709108</v>
      </c>
      <c r="C54" s="79">
        <f>VLOOKUP(A54,Database!$A:$AS,MATCH($C$1,Database!$A$1:$AS$1,0),FALSE)</f>
        <v>89.58</v>
      </c>
      <c r="D54" s="79">
        <f>VLOOKUP(A54,Database!$A:$AS,MATCH($D$1,Database!$A$1:$AS$1,0),FALSE)</f>
        <v>68.294308807999997</v>
      </c>
      <c r="E54" s="79">
        <f>VLOOKUP(A54,Database!$A:$AS,MATCH($E$1,Database!$A$1:$AS$1,0),FALSE)</f>
        <v>96.831080693000004</v>
      </c>
      <c r="F54" s="79">
        <f>VLOOKUP(A54,Database!$A:$AS,MATCH($F$1,Database!$A$1:$AS$1,0),FALSE)</f>
        <v>78.5</v>
      </c>
      <c r="G54" s="79">
        <f>VLOOKUP(A54,Database!$A:$AS,MATCH($G$1,Database!$A$1:$AS$1,0),FALSE)</f>
        <v>85.069008783000001</v>
      </c>
      <c r="H54" s="79">
        <f>(((Table134567891011121314151617343[[#This Row],[ITA]]-VLOOKUP($U$1,A:B,2,))/VLOOKUP($U$1,A:B,2,))*100)+100</f>
        <v>91.694078947749205</v>
      </c>
      <c r="I54" s="79">
        <f>(((Table134567891011121314151617343[[#This Row],[FRA]]-VLOOKUP($U$1,A:C,3,))/VLOOKUP($U$1,A:C,3,))*100)+100</f>
        <v>87.40364913650113</v>
      </c>
      <c r="J54" s="79">
        <f>(((Table134567891011121314151617343[[#This Row],[DEU]]-VLOOKUP($U$1,A:D,4,))/VLOOKUP($U$1,A:D,4,))*100)+100</f>
        <v>90.824468085049801</v>
      </c>
      <c r="K54" s="79">
        <f>(((Table134567891011121314151617343[[#This Row],[ESP]]-VLOOKUP($U$1,A:E,5,))/VLOOKUP($U$1,A:E,5,))*100)+100</f>
        <v>81.39110700195738</v>
      </c>
      <c r="L54" s="79">
        <f>(((Table134567891011121314151617343[[#This Row],[EA19]]-VLOOKUP($U$1,A:F,6,))/VLOOKUP($U$1,A:F,6,))*100)+100</f>
        <v>87.807606263982095</v>
      </c>
      <c r="M54" s="79">
        <f>(((Table134567891011121314151617343[[#This Row],[GBR]]-VLOOKUP($U$1,A:G,7,))/VLOOKUP($U$1,A:G,7,))*100)+100</f>
        <v>92.298716452594007</v>
      </c>
      <c r="N54" s="79">
        <f>VLOOKUP(A54,Database!$A:$AS,MATCH($N$1,Database!$A$1:$AS$1,0),FALSE)</f>
        <v>67.909841892000003</v>
      </c>
      <c r="O54" s="79">
        <f>(((Table134567891011121314151617343[[#This Row],[USA]]-VLOOKUP($U$1,A:N,14,))/VLOOKUP($U$1,A:N,14,))*100)+100</f>
        <v>78.180011114466723</v>
      </c>
      <c r="P54" s="79">
        <f>VLOOKUP(A54,Database!$A:$AS,MATCH($P$1,Database!$A$1:$AS$1,0),FALSE)</f>
        <v>97.150973848999996</v>
      </c>
      <c r="Q54" s="79">
        <f>(((Table134567891011121314151617343[[#This Row],[JPN]]-VLOOKUP($U$1,A:Q,16,))/VLOOKUP($U$1,A:Q,16,))*100)+100</f>
        <v>97.537584384713767</v>
      </c>
    </row>
    <row r="55" spans="1:17" s="83" customFormat="1" x14ac:dyDescent="0.2">
      <c r="A55" s="21">
        <v>34486</v>
      </c>
      <c r="B55" s="79">
        <f>VLOOKUP(A55,Database!$A:$AS,MATCH($B$1,Database!$A$1:$AS$1,0),FALSE)</f>
        <v>112.59061744900001</v>
      </c>
      <c r="C55" s="79">
        <f>VLOOKUP(A55,Database!$A:$AS,MATCH($C$1,Database!$A$1:$AS$1,0),FALSE)</f>
        <v>90.05</v>
      </c>
      <c r="D55" s="79">
        <f>VLOOKUP(A55,Database!$A:$AS,MATCH($D$1,Database!$A$1:$AS$1,0),FALSE)</f>
        <v>68.794267144000003</v>
      </c>
      <c r="E55" s="79">
        <f>VLOOKUP(A55,Database!$A:$AS,MATCH($E$1,Database!$A$1:$AS$1,0),FALSE)</f>
        <v>98.482082067999997</v>
      </c>
      <c r="F55" s="79">
        <f>VLOOKUP(A55,Database!$A:$AS,MATCH($F$1,Database!$A$1:$AS$1,0),FALSE)</f>
        <v>79.099999999999994</v>
      </c>
      <c r="G55" s="79">
        <f>VLOOKUP(A55,Database!$A:$AS,MATCH($G$1,Database!$A$1:$AS$1,0),FALSE)</f>
        <v>84.101093386000002</v>
      </c>
      <c r="H55" s="79">
        <f>(((Table134567891011121314151617343[[#This Row],[ITA]]-VLOOKUP($U$1,A:B,2,))/VLOOKUP($U$1,A:B,2,))*100)+100</f>
        <v>92.598684210930784</v>
      </c>
      <c r="I55" s="79">
        <f>(((Table134567891011121314151617343[[#This Row],[FRA]]-VLOOKUP($U$1,A:C,3,))/VLOOKUP($U$1,A:C,3,))*100)+100</f>
        <v>87.862230461508446</v>
      </c>
      <c r="J55" s="79">
        <f>(((Table134567891011121314151617343[[#This Row],[DEU]]-VLOOKUP($U$1,A:D,4,))/VLOOKUP($U$1,A:D,4,))*100)+100</f>
        <v>91.489361700995843</v>
      </c>
      <c r="K55" s="79">
        <f>(((Table134567891011121314151617343[[#This Row],[ESP]]-VLOOKUP($U$1,A:E,5,))/VLOOKUP($U$1,A:E,5,))*100)+100</f>
        <v>82.7788518108689</v>
      </c>
      <c r="L55" s="79">
        <f>(((Table134567891011121314151617343[[#This Row],[EA19]]-VLOOKUP($U$1,A:F,6,))/VLOOKUP($U$1,A:F,6,))*100)+100</f>
        <v>88.478747203579402</v>
      </c>
      <c r="M55" s="79">
        <f>(((Table134567891011121314151617343[[#This Row],[GBR]]-VLOOKUP($U$1,A:G,7,))/VLOOKUP($U$1,A:G,7,))*100)+100</f>
        <v>91.248541423451599</v>
      </c>
      <c r="N55" s="79">
        <f>VLOOKUP(A55,Database!$A:$AS,MATCH($N$1,Database!$A$1:$AS$1,0),FALSE)</f>
        <v>68.353101058999997</v>
      </c>
      <c r="O55" s="79">
        <f>(((Table134567891011121314151617343[[#This Row],[USA]]-VLOOKUP($U$1,A:N,14,))/VLOOKUP($U$1,A:N,14,))*100)+100</f>
        <v>78.690305434659081</v>
      </c>
      <c r="P55" s="79">
        <f>VLOOKUP(A55,Database!$A:$AS,MATCH($P$1,Database!$A$1:$AS$1,0),FALSE)</f>
        <v>98.367896277</v>
      </c>
      <c r="Q55" s="79">
        <f>(((Table134567891011121314151617343[[#This Row],[JPN]]-VLOOKUP($U$1,A:Q,16,))/VLOOKUP($U$1,A:Q,16,))*100)+100</f>
        <v>98.759349533410969</v>
      </c>
    </row>
    <row r="56" spans="1:17" s="83" customFormat="1" x14ac:dyDescent="0.2">
      <c r="A56" s="21">
        <v>34516</v>
      </c>
      <c r="B56" s="79">
        <f>VLOOKUP(A56,Database!$A:$AS,MATCH($B$1,Database!$A$1:$AS$1,0),FALSE)</f>
        <v>112.790600783</v>
      </c>
      <c r="C56" s="79">
        <f>VLOOKUP(A56,Database!$A:$AS,MATCH($C$1,Database!$A$1:$AS$1,0),FALSE)</f>
        <v>90.85</v>
      </c>
      <c r="D56" s="79">
        <f>VLOOKUP(A56,Database!$A:$AS,MATCH($D$1,Database!$A$1:$AS$1,0),FALSE)</f>
        <v>68.494292142000006</v>
      </c>
      <c r="E56" s="79">
        <f>VLOOKUP(A56,Database!$A:$AS,MATCH($E$1,Database!$A$1:$AS$1,0),FALSE)</f>
        <v>100.127083439</v>
      </c>
      <c r="F56" s="79">
        <f>VLOOKUP(A56,Database!$A:$AS,MATCH($F$1,Database!$A$1:$AS$1,0),FALSE)</f>
        <v>79.3</v>
      </c>
      <c r="G56" s="79">
        <f>VLOOKUP(A56,Database!$A:$AS,MATCH($G$1,Database!$A$1:$AS$1,0),FALSE)</f>
        <v>84.531278006999997</v>
      </c>
      <c r="H56" s="79">
        <f>(((Table134567891011121314151617343[[#This Row],[ITA]]-VLOOKUP($U$1,A:B,2,))/VLOOKUP($U$1,A:B,2,))*100)+100</f>
        <v>92.763157894547476</v>
      </c>
      <c r="I56" s="79">
        <f>(((Table134567891011121314151617343[[#This Row],[FRA]]-VLOOKUP($U$1,A:C,3,))/VLOOKUP($U$1,A:C,3,))*100)+100</f>
        <v>88.642794418967696</v>
      </c>
      <c r="J56" s="79">
        <f>(((Table134567891011121314151617343[[#This Row],[DEU]]-VLOOKUP($U$1,A:D,4,))/VLOOKUP($U$1,A:D,4,))*100)+100</f>
        <v>91.090425530896269</v>
      </c>
      <c r="K56" s="79">
        <f>(((Table134567891011121314151617343[[#This Row],[ESP]]-VLOOKUP($U$1,A:E,5,))/VLOOKUP($U$1,A:E,5,))*100)+100</f>
        <v>84.161553332397077</v>
      </c>
      <c r="L56" s="79">
        <f>(((Table134567891011121314151617343[[#This Row],[EA19]]-VLOOKUP($U$1,A:F,6,))/VLOOKUP($U$1,A:F,6,))*100)+100</f>
        <v>88.702460850111848</v>
      </c>
      <c r="M56" s="79">
        <f>(((Table134567891011121314151617343[[#This Row],[GBR]]-VLOOKUP($U$1,A:G,7,))/VLOOKUP($U$1,A:G,7,))*100)+100</f>
        <v>91.715285880968779</v>
      </c>
      <c r="N56" s="79">
        <f>VLOOKUP(A56,Database!$A:$AS,MATCH($N$1,Database!$A$1:$AS$1,0),FALSE)</f>
        <v>68.445083283000002</v>
      </c>
      <c r="O56" s="79">
        <f>(((Table134567891011121314151617343[[#This Row],[USA]]-VLOOKUP($U$1,A:N,14,))/VLOOKUP($U$1,A:N,14,))*100)+100</f>
        <v>78.796198352302596</v>
      </c>
      <c r="P56" s="79">
        <f>VLOOKUP(A56,Database!$A:$AS,MATCH($P$1,Database!$A$1:$AS$1,0),FALSE)</f>
        <v>99.381998300999996</v>
      </c>
      <c r="Q56" s="79">
        <f>(((Table134567891011121314151617343[[#This Row],[JPN]]-VLOOKUP($U$1,A:Q,16,))/VLOOKUP($U$1,A:Q,16,))*100)+100</f>
        <v>99.777487157994614</v>
      </c>
    </row>
    <row r="57" spans="1:17" s="83" customFormat="1" x14ac:dyDescent="0.2">
      <c r="A57" s="21">
        <v>34547</v>
      </c>
      <c r="B57" s="79">
        <f>VLOOKUP(A57,Database!$A:$AS,MATCH($B$1,Database!$A$1:$AS$1,0),FALSE)</f>
        <v>113.190567453</v>
      </c>
      <c r="C57" s="79">
        <f>VLOOKUP(A57,Database!$A:$AS,MATCH($C$1,Database!$A$1:$AS$1,0),FALSE)</f>
        <v>91.36</v>
      </c>
      <c r="D57" s="79">
        <f>VLOOKUP(A57,Database!$A:$AS,MATCH($D$1,Database!$A$1:$AS$1,0),FALSE)</f>
        <v>68.494292142000006</v>
      </c>
      <c r="E57" s="79">
        <f>VLOOKUP(A57,Database!$A:$AS,MATCH($E$1,Database!$A$1:$AS$1,0),FALSE)</f>
        <v>99.860083216999996</v>
      </c>
      <c r="F57" s="79">
        <f>VLOOKUP(A57,Database!$A:$AS,MATCH($F$1,Database!$A$1:$AS$1,0),FALSE)</f>
        <v>79.599999999999994</v>
      </c>
      <c r="G57" s="79">
        <f>VLOOKUP(A57,Database!$A:$AS,MATCH($G$1,Database!$A$1:$AS$1,0),FALSE)</f>
        <v>84.853916471999995</v>
      </c>
      <c r="H57" s="79">
        <f>(((Table134567891011121314151617343[[#This Row],[ITA]]-VLOOKUP($U$1,A:B,2,))/VLOOKUP($U$1,A:B,2,))*100)+100</f>
        <v>93.092105263425736</v>
      </c>
      <c r="I57" s="79">
        <f>(((Table134567891011121314151617343[[#This Row],[FRA]]-VLOOKUP($U$1,A:C,3,))/VLOOKUP($U$1,A:C,3,))*100)+100</f>
        <v>89.140403941847993</v>
      </c>
      <c r="J57" s="79">
        <f>(((Table134567891011121314151617343[[#This Row],[DEU]]-VLOOKUP($U$1,A:D,4,))/VLOOKUP($U$1,A:D,4,))*100)+100</f>
        <v>91.090425530896269</v>
      </c>
      <c r="K57" s="79">
        <f>(((Table134567891011121314151617343[[#This Row],[ESP]]-VLOOKUP($U$1,A:E,5,))/VLOOKUP($U$1,A:E,5,))*100)+100</f>
        <v>83.937127006853444</v>
      </c>
      <c r="L57" s="79">
        <f>(((Table134567891011121314151617343[[#This Row],[EA19]]-VLOOKUP($U$1,A:F,6,))/VLOOKUP($U$1,A:F,6,))*100)+100</f>
        <v>89.038031319910502</v>
      </c>
      <c r="M57" s="79">
        <f>(((Table134567891011121314151617343[[#This Row],[GBR]]-VLOOKUP($U$1,A:G,7,))/VLOOKUP($U$1,A:G,7,))*100)+100</f>
        <v>92.065344223292911</v>
      </c>
      <c r="N57" s="79">
        <f>VLOOKUP(A57,Database!$A:$AS,MATCH($N$1,Database!$A$1:$AS$1,0),FALSE)</f>
        <v>68.894884289999993</v>
      </c>
      <c r="O57" s="79">
        <f>(((Table134567891011121314151617343[[#This Row],[USA]]-VLOOKUP($U$1,A:N,14,))/VLOOKUP($U$1,A:N,14,))*100)+100</f>
        <v>79.314023850740412</v>
      </c>
      <c r="P57" s="79">
        <f>VLOOKUP(A57,Database!$A:$AS,MATCH($P$1,Database!$A$1:$AS$1,0),FALSE)</f>
        <v>100.19327991999999</v>
      </c>
      <c r="Q57" s="79">
        <f>(((Table134567891011121314151617343[[#This Row],[JPN]]-VLOOKUP($U$1,A:Q,16,))/VLOOKUP($U$1,A:Q,16,))*100)+100</f>
        <v>100.59199725746073</v>
      </c>
    </row>
    <row r="58" spans="1:17" s="83" customFormat="1" x14ac:dyDescent="0.2">
      <c r="A58" s="21">
        <v>34578</v>
      </c>
      <c r="B58" s="79">
        <f>VLOOKUP(A58,Database!$A:$AS,MATCH($B$1,Database!$A$1:$AS$1,0),FALSE)</f>
        <v>113.79051745700001</v>
      </c>
      <c r="C58" s="79">
        <f>VLOOKUP(A58,Database!$A:$AS,MATCH($C$1,Database!$A$1:$AS$1,0),FALSE)</f>
        <v>91.07</v>
      </c>
      <c r="D58" s="79">
        <f>VLOOKUP(A58,Database!$A:$AS,MATCH($D$1,Database!$A$1:$AS$1,0),FALSE)</f>
        <v>69.494208815999997</v>
      </c>
      <c r="E58" s="79">
        <f>VLOOKUP(A58,Database!$A:$AS,MATCH($E$1,Database!$A$1:$AS$1,0),FALSE)</f>
        <v>100.04708337300001</v>
      </c>
      <c r="F58" s="79">
        <f>VLOOKUP(A58,Database!$A:$AS,MATCH($F$1,Database!$A$1:$AS$1,0),FALSE)</f>
        <v>80</v>
      </c>
      <c r="G58" s="79">
        <f>VLOOKUP(A58,Database!$A:$AS,MATCH($G$1,Database!$A$1:$AS$1,0),FALSE)</f>
        <v>85.714285713999999</v>
      </c>
      <c r="H58" s="79">
        <f>(((Table134567891011121314151617343[[#This Row],[ITA]]-VLOOKUP($U$1,A:B,2,))/VLOOKUP($U$1,A:B,2,))*100)+100</f>
        <v>93.585526315920688</v>
      </c>
      <c r="I58" s="79">
        <f>(((Table134567891011121314151617343[[#This Row],[FRA]]-VLOOKUP($U$1,A:C,3,))/VLOOKUP($U$1,A:C,3,))*100)+100</f>
        <v>88.857449507268996</v>
      </c>
      <c r="J58" s="79">
        <f>(((Table134567891011121314151617343[[#This Row],[DEU]]-VLOOKUP($U$1,A:D,4,))/VLOOKUP($U$1,A:D,4,))*100)+100</f>
        <v>92.420212765448127</v>
      </c>
      <c r="K58" s="79">
        <f>(((Table134567891011121314151617343[[#This Row],[ESP]]-VLOOKUP($U$1,A:E,5,))/VLOOKUP($U$1,A:E,5,))*100)+100</f>
        <v>84.094309489972005</v>
      </c>
      <c r="L58" s="79">
        <f>(((Table134567891011121314151617343[[#This Row],[EA19]]-VLOOKUP($U$1,A:F,6,))/VLOOKUP($U$1,A:F,6,))*100)+100</f>
        <v>89.485458612975378</v>
      </c>
      <c r="M58" s="79">
        <f>(((Table134567891011121314151617343[[#This Row],[GBR]]-VLOOKUP($U$1,A:G,7,))/VLOOKUP($U$1,A:G,7,))*100)+100</f>
        <v>92.998833138327285</v>
      </c>
      <c r="N58" s="79">
        <f>VLOOKUP(A58,Database!$A:$AS,MATCH($N$1,Database!$A$1:$AS$1,0),FALSE)</f>
        <v>69.115919160999994</v>
      </c>
      <c r="O58" s="79">
        <f>(((Table134567891011121314151617343[[#This Row],[USA]]-VLOOKUP($U$1,A:N,14,))/VLOOKUP($U$1,A:N,14,))*100)+100</f>
        <v>79.568486358530464</v>
      </c>
      <c r="P58" s="79">
        <f>VLOOKUP(A58,Database!$A:$AS,MATCH($P$1,Database!$A$1:$AS$1,0),FALSE)</f>
        <v>99.179177895999999</v>
      </c>
      <c r="Q58" s="79">
        <f>(((Table134567891011121314151617343[[#This Row],[JPN]]-VLOOKUP($U$1,A:Q,16,))/VLOOKUP($U$1,A:Q,16,))*100)+100</f>
        <v>99.573859632877088</v>
      </c>
    </row>
    <row r="59" spans="1:17" s="83" customFormat="1" x14ac:dyDescent="0.2">
      <c r="A59" s="21">
        <v>34608</v>
      </c>
      <c r="B59" s="79">
        <f>VLOOKUP(A59,Database!$A:$AS,MATCH($B$1,Database!$A$1:$AS$1,0),FALSE)</f>
        <v>113.490542455</v>
      </c>
      <c r="C59" s="79">
        <f>VLOOKUP(A59,Database!$A:$AS,MATCH($C$1,Database!$A$1:$AS$1,0),FALSE)</f>
        <v>91.95</v>
      </c>
      <c r="D59" s="79">
        <f>VLOOKUP(A59,Database!$A:$AS,MATCH($D$1,Database!$A$1:$AS$1,0),FALSE)</f>
        <v>70.794100491999998</v>
      </c>
      <c r="E59" s="79">
        <f>VLOOKUP(A59,Database!$A:$AS,MATCH($E$1,Database!$A$1:$AS$1,0),FALSE)</f>
        <v>100.94308411900001</v>
      </c>
      <c r="F59" s="79">
        <f>VLOOKUP(A59,Database!$A:$AS,MATCH($F$1,Database!$A$1:$AS$1,0),FALSE)</f>
        <v>80.900000000000006</v>
      </c>
      <c r="G59" s="79">
        <f>VLOOKUP(A59,Database!$A:$AS,MATCH($G$1,Database!$A$1:$AS$1,0),FALSE)</f>
        <v>85.821831869999997</v>
      </c>
      <c r="H59" s="79">
        <f>(((Table134567891011121314151617343[[#This Row],[ITA]]-VLOOKUP($U$1,A:B,2,))/VLOOKUP($U$1,A:B,2,))*100)+100</f>
        <v>93.338815789673205</v>
      </c>
      <c r="I59" s="79">
        <f>(((Table134567891011121314151617343[[#This Row],[FRA]]-VLOOKUP($U$1,A:C,3,))/VLOOKUP($U$1,A:C,3,))*100)+100</f>
        <v>89.716069860474192</v>
      </c>
      <c r="J59" s="79">
        <f>(((Table134567891011121314151617343[[#This Row],[DEU]]-VLOOKUP($U$1,A:D,4,))/VLOOKUP($U$1,A:D,4,))*100)+100</f>
        <v>94.148936170099589</v>
      </c>
      <c r="K59" s="79">
        <f>(((Table134567891011121314151617343[[#This Row],[ESP]]-VLOOKUP($U$1,A:E,5,))/VLOOKUP($U$1,A:E,5,))*100)+100</f>
        <v>84.847440530848544</v>
      </c>
      <c r="L59" s="79">
        <f>(((Table134567891011121314151617343[[#This Row],[EA19]]-VLOOKUP($U$1,A:F,6,))/VLOOKUP($U$1,A:F,6,))*100)+100</f>
        <v>90.492170022371369</v>
      </c>
      <c r="M59" s="79">
        <f>(((Table134567891011121314151617343[[#This Row],[GBR]]-VLOOKUP($U$1,A:G,7,))/VLOOKUP($U$1,A:G,7,))*100)+100</f>
        <v>93.115519253520318</v>
      </c>
      <c r="N59" s="79">
        <f>VLOOKUP(A59,Database!$A:$AS,MATCH($N$1,Database!$A$1:$AS$1,0),FALSE)</f>
        <v>69.654134115999994</v>
      </c>
      <c r="O59" s="79">
        <f>(((Table134567891011121314151617343[[#This Row],[USA]]-VLOOKUP($U$1,A:N,14,))/VLOOKUP($U$1,A:N,14,))*100)+100</f>
        <v>80.188096859623812</v>
      </c>
      <c r="P59" s="79">
        <f>VLOOKUP(A59,Database!$A:$AS,MATCH($P$1,Database!$A$1:$AS$1,0),FALSE)</f>
        <v>100.19327991999999</v>
      </c>
      <c r="Q59" s="79">
        <f>(((Table134567891011121314151617343[[#This Row],[JPN]]-VLOOKUP($U$1,A:Q,16,))/VLOOKUP($U$1,A:Q,16,))*100)+100</f>
        <v>100.59199725746073</v>
      </c>
    </row>
    <row r="60" spans="1:17" s="83" customFormat="1" x14ac:dyDescent="0.2">
      <c r="A60" s="21">
        <v>34639</v>
      </c>
      <c r="B60" s="79">
        <f>VLOOKUP(A60,Database!$A:$AS,MATCH($B$1,Database!$A$1:$AS$1,0),FALSE)</f>
        <v>115.39038413500001</v>
      </c>
      <c r="C60" s="79">
        <f>VLOOKUP(A60,Database!$A:$AS,MATCH($C$1,Database!$A$1:$AS$1,0),FALSE)</f>
        <v>92.77</v>
      </c>
      <c r="D60" s="79">
        <f>VLOOKUP(A60,Database!$A:$AS,MATCH($D$1,Database!$A$1:$AS$1,0),FALSE)</f>
        <v>71.194067161000007</v>
      </c>
      <c r="E60" s="79">
        <f>VLOOKUP(A60,Database!$A:$AS,MATCH($E$1,Database!$A$1:$AS$1,0),FALSE)</f>
        <v>102.43108535899999</v>
      </c>
      <c r="F60" s="79">
        <f>VLOOKUP(A60,Database!$A:$AS,MATCH($F$1,Database!$A$1:$AS$1,0),FALSE)</f>
        <v>81.400000000000006</v>
      </c>
      <c r="G60" s="79">
        <f>VLOOKUP(A60,Database!$A:$AS,MATCH($G$1,Database!$A$1:$AS$1,0),FALSE)</f>
        <v>85.714285713999999</v>
      </c>
      <c r="H60" s="79">
        <f>(((Table134567891011121314151617343[[#This Row],[ITA]]-VLOOKUP($U$1,A:B,2,))/VLOOKUP($U$1,A:B,2,))*100)+100</f>
        <v>94.901315789788868</v>
      </c>
      <c r="I60" s="79">
        <f>(((Table134567891011121314151617343[[#This Row],[FRA]]-VLOOKUP($U$1,A:C,3,))/VLOOKUP($U$1,A:C,3,))*100)+100</f>
        <v>90.51614791686994</v>
      </c>
      <c r="J60" s="79">
        <f>(((Table134567891011121314151617343[[#This Row],[DEU]]-VLOOKUP($U$1,A:D,4,))/VLOOKUP($U$1,A:D,4,))*100)+100</f>
        <v>94.680851063122418</v>
      </c>
      <c r="K60" s="79">
        <f>(((Table134567891011121314151617343[[#This Row],[ESP]]-VLOOKUP($U$1,A:E,5,))/VLOOKUP($U$1,A:E,5,))*100)+100</f>
        <v>86.098176010377685</v>
      </c>
      <c r="L60" s="79">
        <f>(((Table134567891011121314151617343[[#This Row],[EA19]]-VLOOKUP($U$1,A:F,6,))/VLOOKUP($U$1,A:F,6,))*100)+100</f>
        <v>91.051454138702468</v>
      </c>
      <c r="M60" s="79">
        <f>(((Table134567891011121314151617343[[#This Row],[GBR]]-VLOOKUP($U$1,A:G,7,))/VLOOKUP($U$1,A:G,7,))*100)+100</f>
        <v>92.998833138327285</v>
      </c>
      <c r="N60" s="79">
        <f>VLOOKUP(A60,Database!$A:$AS,MATCH($N$1,Database!$A$1:$AS$1,0),FALSE)</f>
        <v>70.123659759000006</v>
      </c>
      <c r="O60" s="79">
        <f>(((Table134567891011121314151617343[[#This Row],[USA]]-VLOOKUP($U$1,A:N,14,))/VLOOKUP($U$1,A:N,14,))*100)+100</f>
        <v>80.728629998349803</v>
      </c>
      <c r="P60" s="79">
        <f>VLOOKUP(A60,Database!$A:$AS,MATCH($P$1,Database!$A$1:$AS$1,0),FALSE)</f>
        <v>100.801741134</v>
      </c>
      <c r="Q60" s="79">
        <f>(((Table134567891011121314151617343[[#This Row],[JPN]]-VLOOKUP($U$1,A:Q,16,))/VLOOKUP($U$1,A:Q,16,))*100)+100</f>
        <v>101.20287983180934</v>
      </c>
    </row>
    <row r="61" spans="1:17" s="83" customFormat="1" x14ac:dyDescent="0.2">
      <c r="A61" s="21">
        <v>34669</v>
      </c>
      <c r="B61" s="79">
        <f>VLOOKUP(A61,Database!$A:$AS,MATCH($B$1,Database!$A$1:$AS$1,0),FALSE)</f>
        <v>118.190150821</v>
      </c>
      <c r="C61" s="79">
        <f>VLOOKUP(A61,Database!$A:$AS,MATCH($C$1,Database!$A$1:$AS$1,0),FALSE)</f>
        <v>92.65</v>
      </c>
      <c r="D61" s="79">
        <f>VLOOKUP(A61,Database!$A:$AS,MATCH($D$1,Database!$A$1:$AS$1,0),FALSE)</f>
        <v>71.194067161000007</v>
      </c>
      <c r="E61" s="79">
        <f>VLOOKUP(A61,Database!$A:$AS,MATCH($E$1,Database!$A$1:$AS$1,0),FALSE)</f>
        <v>105.616088013</v>
      </c>
      <c r="F61" s="79">
        <f>VLOOKUP(A61,Database!$A:$AS,MATCH($F$1,Database!$A$1:$AS$1,0),FALSE)</f>
        <v>82.3</v>
      </c>
      <c r="G61" s="79">
        <f>VLOOKUP(A61,Database!$A:$AS,MATCH($G$1,Database!$A$1:$AS$1,0),FALSE)</f>
        <v>86.682201110999998</v>
      </c>
      <c r="H61" s="79">
        <f>(((Table134567891011121314151617343[[#This Row],[ITA]]-VLOOKUP($U$1,A:B,2,))/VLOOKUP($U$1,A:B,2,))*100)+100</f>
        <v>97.203947368646965</v>
      </c>
      <c r="I61" s="79">
        <f>(((Table134567891011121314151617343[[#This Row],[FRA]]-VLOOKUP($U$1,A:C,3,))/VLOOKUP($U$1,A:C,3,))*100)+100</f>
        <v>90.399063323251056</v>
      </c>
      <c r="J61" s="79">
        <f>(((Table134567891011121314151617343[[#This Row],[DEU]]-VLOOKUP($U$1,A:D,4,))/VLOOKUP($U$1,A:D,4,))*100)+100</f>
        <v>94.680851063122418</v>
      </c>
      <c r="K61" s="79">
        <f>(((Table134567891011121314151617343[[#This Row],[ESP]]-VLOOKUP($U$1,A:E,5,))/VLOOKUP($U$1,A:E,5,))*100)+100</f>
        <v>88.775321509095363</v>
      </c>
      <c r="L61" s="79">
        <f>(((Table134567891011121314151617343[[#This Row],[EA19]]-VLOOKUP($U$1,A:F,6,))/VLOOKUP($U$1,A:F,6,))*100)+100</f>
        <v>92.05816554809843</v>
      </c>
      <c r="M61" s="79">
        <f>(((Table134567891011121314151617343[[#This Row],[GBR]]-VLOOKUP($U$1,A:G,7,))/VLOOKUP($U$1,A:G,7,))*100)+100</f>
        <v>94.049008167469694</v>
      </c>
      <c r="N61" s="79">
        <f>VLOOKUP(A61,Database!$A:$AS,MATCH($N$1,Database!$A$1:$AS$1,0),FALSE)</f>
        <v>70.835530809999995</v>
      </c>
      <c r="O61" s="79">
        <f>(((Table134567891011121314151617343[[#This Row],[USA]]-VLOOKUP($U$1,A:N,14,))/VLOOKUP($U$1,A:N,14,))*100)+100</f>
        <v>81.548159025788195</v>
      </c>
      <c r="P61" s="79">
        <f>VLOOKUP(A61,Database!$A:$AS,MATCH($P$1,Database!$A$1:$AS$1,0),FALSE)</f>
        <v>101.51161255</v>
      </c>
      <c r="Q61" s="79">
        <f>(((Table134567891011121314151617343[[#This Row],[JPN]]-VLOOKUP($U$1,A:Q,16,))/VLOOKUP($U$1,A:Q,16,))*100)+100</f>
        <v>101.9155761682147</v>
      </c>
    </row>
    <row r="62" spans="1:17" s="83" customFormat="1" x14ac:dyDescent="0.2">
      <c r="A62" s="21">
        <v>34700</v>
      </c>
      <c r="B62" s="79">
        <f>VLOOKUP(A62,Database!$A:$AS,MATCH($B$1,Database!$A$1:$AS$1,0),FALSE)</f>
        <v>117.79018415100001</v>
      </c>
      <c r="C62" s="79">
        <f>VLOOKUP(A62,Database!$A:$AS,MATCH($C$1,Database!$A$1:$AS$1,0),FALSE)</f>
        <v>93.32</v>
      </c>
      <c r="D62" s="79">
        <f>VLOOKUP(A62,Database!$A:$AS,MATCH($D$1,Database!$A$1:$AS$1,0),FALSE)</f>
        <v>69.794183817999993</v>
      </c>
      <c r="E62" s="79">
        <f>VLOOKUP(A62,Database!$A:$AS,MATCH($E$1,Database!$A$1:$AS$1,0),FALSE)</f>
        <v>104.80508733800001</v>
      </c>
      <c r="F62" s="79">
        <f>VLOOKUP(A62,Database!$A:$AS,MATCH($F$1,Database!$A$1:$AS$1,0),FALSE)</f>
        <v>81.7</v>
      </c>
      <c r="G62" s="79">
        <f>VLOOKUP(A62,Database!$A:$AS,MATCH($G$1,Database!$A$1:$AS$1,0),FALSE)</f>
        <v>84.961462628000007</v>
      </c>
      <c r="H62" s="79">
        <f>(((Table134567891011121314151617343[[#This Row],[ITA]]-VLOOKUP($U$1,A:B,2,))/VLOOKUP($U$1,A:B,2,))*100)+100</f>
        <v>96.874999999768704</v>
      </c>
      <c r="I62" s="79">
        <f>(((Table134567891011121314151617343[[#This Row],[FRA]]-VLOOKUP($U$1,A:C,3,))/VLOOKUP($U$1,A:C,3,))*100)+100</f>
        <v>91.052785637623174</v>
      </c>
      <c r="J62" s="79">
        <f>(((Table134567891011121314151617343[[#This Row],[DEU]]-VLOOKUP($U$1,A:D,4,))/VLOOKUP($U$1,A:D,4,))*100)+100</f>
        <v>92.819148935547702</v>
      </c>
      <c r="K62" s="79">
        <f>(((Table134567891011121314151617343[[#This Row],[ESP]]-VLOOKUP($U$1,A:E,5,))/VLOOKUP($U$1,A:E,5,))*100)+100</f>
        <v>88.093637051530948</v>
      </c>
      <c r="L62" s="79">
        <f>(((Table134567891011121314151617343[[#This Row],[EA19]]-VLOOKUP($U$1,A:F,6,))/VLOOKUP($U$1,A:F,6,))*100)+100</f>
        <v>91.387024608501122</v>
      </c>
      <c r="M62" s="79">
        <f>(((Table134567891011121314151617343[[#This Row],[GBR]]-VLOOKUP($U$1,A:G,7,))/VLOOKUP($U$1,A:G,7,))*100)+100</f>
        <v>92.182030338485959</v>
      </c>
      <c r="N62" s="79">
        <f>VLOOKUP(A62,Database!$A:$AS,MATCH($N$1,Database!$A$1:$AS$1,0),FALSE)</f>
        <v>70.956455716999997</v>
      </c>
      <c r="O62" s="79">
        <f>(((Table134567891011121314151617343[[#This Row],[USA]]-VLOOKUP($U$1,A:N,14,))/VLOOKUP($U$1,A:N,14,))*100)+100</f>
        <v>81.687371698206306</v>
      </c>
      <c r="P62" s="79">
        <f>VLOOKUP(A62,Database!$A:$AS,MATCH($P$1,Database!$A$1:$AS$1,0),FALSE)</f>
        <v>99.483408503000007</v>
      </c>
      <c r="Q62" s="79">
        <f>(((Table134567891011121314151617343[[#This Row],[JPN]]-VLOOKUP($U$1,A:Q,16,))/VLOOKUP($U$1,A:Q,16,))*100)+100</f>
        <v>99.879300920051392</v>
      </c>
    </row>
    <row r="63" spans="1:17" s="83" customFormat="1" x14ac:dyDescent="0.2">
      <c r="A63" s="21">
        <v>34731</v>
      </c>
      <c r="B63" s="79">
        <f>VLOOKUP(A63,Database!$A:$AS,MATCH($B$1,Database!$A$1:$AS$1,0),FALSE)</f>
        <v>117.09024248</v>
      </c>
      <c r="C63" s="79">
        <f>VLOOKUP(A63,Database!$A:$AS,MATCH($C$1,Database!$A$1:$AS$1,0),FALSE)</f>
        <v>92.7</v>
      </c>
      <c r="D63" s="79">
        <f>VLOOKUP(A63,Database!$A:$AS,MATCH($D$1,Database!$A$1:$AS$1,0),FALSE)</f>
        <v>70.794100491999998</v>
      </c>
      <c r="E63" s="79">
        <f>VLOOKUP(A63,Database!$A:$AS,MATCH($E$1,Database!$A$1:$AS$1,0),FALSE)</f>
        <v>103.69208641</v>
      </c>
      <c r="F63" s="79">
        <f>VLOOKUP(A63,Database!$A:$AS,MATCH($F$1,Database!$A$1:$AS$1,0),FALSE)</f>
        <v>81.900000000000006</v>
      </c>
      <c r="G63" s="79">
        <f>VLOOKUP(A63,Database!$A:$AS,MATCH($G$1,Database!$A$1:$AS$1,0),FALSE)</f>
        <v>85.069008783000001</v>
      </c>
      <c r="H63" s="79">
        <f>(((Table134567891011121314151617343[[#This Row],[ITA]]-VLOOKUP($U$1,A:B,2,))/VLOOKUP($U$1,A:B,2,))*100)+100</f>
        <v>96.299342105465385</v>
      </c>
      <c r="I63" s="79">
        <f>(((Table134567891011121314151617343[[#This Row],[FRA]]-VLOOKUP($U$1,A:C,3,))/VLOOKUP($U$1,A:C,3,))*100)+100</f>
        <v>90.447848570592257</v>
      </c>
      <c r="J63" s="79">
        <f>(((Table134567891011121314151617343[[#This Row],[DEU]]-VLOOKUP($U$1,A:D,4,))/VLOOKUP($U$1,A:D,4,))*100)+100</f>
        <v>94.148936170099589</v>
      </c>
      <c r="K63" s="79">
        <f>(((Table134567891011121314151617343[[#This Row],[ESP]]-VLOOKUP($U$1,A:E,5,))/VLOOKUP($U$1,A:E,5,))*100)+100</f>
        <v>87.158107085575764</v>
      </c>
      <c r="L63" s="79">
        <f>(((Table134567891011121314151617343[[#This Row],[EA19]]-VLOOKUP($U$1,A:F,6,))/VLOOKUP($U$1,A:F,6,))*100)+100</f>
        <v>91.610738255033553</v>
      </c>
      <c r="M63" s="79">
        <f>(((Table134567891011121314151617343[[#This Row],[GBR]]-VLOOKUP($U$1,A:G,7,))/VLOOKUP($U$1,A:G,7,))*100)+100</f>
        <v>92.298716452594007</v>
      </c>
      <c r="N63" s="79">
        <f>VLOOKUP(A63,Database!$A:$AS,MATCH($N$1,Database!$A$1:$AS$1,0),FALSE)</f>
        <v>70.852777477000004</v>
      </c>
      <c r="O63" s="79">
        <f>(((Table134567891011121314151617343[[#This Row],[USA]]-VLOOKUP($U$1,A:N,14,))/VLOOKUP($U$1,A:N,14,))*100)+100</f>
        <v>81.568013947846367</v>
      </c>
      <c r="P63" s="79">
        <f>VLOOKUP(A63,Database!$A:$AS,MATCH($P$1,Database!$A$1:$AS$1,0),FALSE)</f>
        <v>100.90315133599999</v>
      </c>
      <c r="Q63" s="79">
        <f>(((Table134567891011121314151617343[[#This Row],[JPN]]-VLOOKUP($U$1,A:Q,16,))/VLOOKUP($U$1,A:Q,16,))*100)+100</f>
        <v>101.30469359386611</v>
      </c>
    </row>
    <row r="64" spans="1:17" s="83" customFormat="1" x14ac:dyDescent="0.2">
      <c r="A64" s="21">
        <v>34759</v>
      </c>
      <c r="B64" s="79">
        <f>VLOOKUP(A64,Database!$A:$AS,MATCH($B$1,Database!$A$1:$AS$1,0),FALSE)</f>
        <v>117.390217482</v>
      </c>
      <c r="C64" s="79">
        <f>VLOOKUP(A64,Database!$A:$AS,MATCH($C$1,Database!$A$1:$AS$1,0),FALSE)</f>
        <v>93.48</v>
      </c>
      <c r="D64" s="79">
        <f>VLOOKUP(A64,Database!$A:$AS,MATCH($D$1,Database!$A$1:$AS$1,0),FALSE)</f>
        <v>69.994167153000006</v>
      </c>
      <c r="E64" s="79">
        <f>VLOOKUP(A64,Database!$A:$AS,MATCH($E$1,Database!$A$1:$AS$1,0),FALSE)</f>
        <v>103.546086288</v>
      </c>
      <c r="F64" s="79">
        <f>VLOOKUP(A64,Database!$A:$AS,MATCH($F$1,Database!$A$1:$AS$1,0),FALSE)</f>
        <v>81.8</v>
      </c>
      <c r="G64" s="79">
        <f>VLOOKUP(A64,Database!$A:$AS,MATCH($G$1,Database!$A$1:$AS$1,0),FALSE)</f>
        <v>85.284101093000004</v>
      </c>
      <c r="H64" s="79">
        <f>(((Table134567891011121314151617343[[#This Row],[ITA]]-VLOOKUP($U$1,A:B,2,))/VLOOKUP($U$1,A:B,2,))*100)+100</f>
        <v>96.546052631712868</v>
      </c>
      <c r="I64" s="79">
        <f>(((Table134567891011121314151617343[[#This Row],[FRA]]-VLOOKUP($U$1,A:C,3,))/VLOOKUP($U$1,A:C,3,))*100)+100</f>
        <v>91.208898429115038</v>
      </c>
      <c r="J64" s="79">
        <f>(((Table134567891011121314151617343[[#This Row],[DEU]]-VLOOKUP($U$1,A:D,4,))/VLOOKUP($U$1,A:D,4,))*100)+100</f>
        <v>93.085106382724078</v>
      </c>
      <c r="K64" s="79">
        <f>(((Table134567891011121314151617343[[#This Row],[ESP]]-VLOOKUP($U$1,A:E,5,))/VLOOKUP($U$1,A:E,5,))*100)+100</f>
        <v>87.03538707184714</v>
      </c>
      <c r="L64" s="79">
        <f>(((Table134567891011121314151617343[[#This Row],[EA19]]-VLOOKUP($U$1,A:F,6,))/VLOOKUP($U$1,A:F,6,))*100)+100</f>
        <v>91.49888143176733</v>
      </c>
      <c r="M64" s="79">
        <f>(((Table134567891011121314151617343[[#This Row],[GBR]]-VLOOKUP($U$1,A:G,7,))/VLOOKUP($U$1,A:G,7,))*100)+100</f>
        <v>92.532088680810105</v>
      </c>
      <c r="N64" s="79">
        <f>VLOOKUP(A64,Database!$A:$AS,MATCH($N$1,Database!$A$1:$AS$1,0),FALSE)</f>
        <v>70.965277287999996</v>
      </c>
      <c r="O64" s="79">
        <f>(((Table134567891011121314151617343[[#This Row],[USA]]-VLOOKUP($U$1,A:N,14,))/VLOOKUP($U$1,A:N,14,))*100)+100</f>
        <v>81.697527376670749</v>
      </c>
      <c r="P64" s="79">
        <f>VLOOKUP(A64,Database!$A:$AS,MATCH($P$1,Database!$A$1:$AS$1,0),FALSE)</f>
        <v>101.91725336</v>
      </c>
      <c r="Q64" s="79">
        <f>(((Table134567891011121314151617343[[#This Row],[JPN]]-VLOOKUP($U$1,A:Q,16,))/VLOOKUP($U$1,A:Q,16,))*100)+100</f>
        <v>102.32283121844976</v>
      </c>
    </row>
    <row r="65" spans="1:17" s="83" customFormat="1" x14ac:dyDescent="0.2">
      <c r="A65" s="21">
        <v>34790</v>
      </c>
      <c r="B65" s="79">
        <f>VLOOKUP(A65,Database!$A:$AS,MATCH($B$1,Database!$A$1:$AS$1,0),FALSE)</f>
        <v>117.49020914899999</v>
      </c>
      <c r="C65" s="79">
        <f>VLOOKUP(A65,Database!$A:$AS,MATCH($C$1,Database!$A$1:$AS$1,0),FALSE)</f>
        <v>93.47</v>
      </c>
      <c r="D65" s="79">
        <f>VLOOKUP(A65,Database!$A:$AS,MATCH($D$1,Database!$A$1:$AS$1,0),FALSE)</f>
        <v>70.394133822000001</v>
      </c>
      <c r="E65" s="79">
        <f>VLOOKUP(A65,Database!$A:$AS,MATCH($E$1,Database!$A$1:$AS$1,0),FALSE)</f>
        <v>104.094086745</v>
      </c>
      <c r="F65" s="79">
        <f>VLOOKUP(A65,Database!$A:$AS,MATCH($F$1,Database!$A$1:$AS$1,0),FALSE)</f>
        <v>82.1</v>
      </c>
      <c r="G65" s="79">
        <f>VLOOKUP(A65,Database!$A:$AS,MATCH($G$1,Database!$A$1:$AS$1,0),FALSE)</f>
        <v>86.144470334999994</v>
      </c>
      <c r="H65" s="79">
        <f>(((Table134567891011121314151617343[[#This Row],[ITA]]-VLOOKUP($U$1,A:B,2,))/VLOOKUP($U$1,A:B,2,))*100)+100</f>
        <v>96.628289473521207</v>
      </c>
      <c r="I65" s="79">
        <f>(((Table134567891011121314151617343[[#This Row],[FRA]]-VLOOKUP($U$1,A:C,3,))/VLOOKUP($U$1,A:C,3,))*100)+100</f>
        <v>91.19914137964679</v>
      </c>
      <c r="J65" s="79">
        <f>(((Table134567891011121314151617343[[#This Row],[DEU]]-VLOOKUP($U$1,A:D,4,))/VLOOKUP($U$1,A:D,4,))*100)+100</f>
        <v>93.617021275746879</v>
      </c>
      <c r="K65" s="79">
        <f>(((Table134567891011121314151617343[[#This Row],[ESP]]-VLOOKUP($U$1,A:E,5,))/VLOOKUP($U$1,A:E,5,))*100)+100</f>
        <v>87.496007396577582</v>
      </c>
      <c r="L65" s="79">
        <f>(((Table134567891011121314151617343[[#This Row],[EA19]]-VLOOKUP($U$1,A:F,6,))/VLOOKUP($U$1,A:F,6,))*100)+100</f>
        <v>91.834451901565984</v>
      </c>
      <c r="M65" s="79">
        <f>(((Table134567891011121314151617343[[#This Row],[GBR]]-VLOOKUP($U$1,A:G,7,))/VLOOKUP($U$1,A:G,7,))*100)+100</f>
        <v>93.465577595844451</v>
      </c>
      <c r="N65" s="79">
        <f>VLOOKUP(A65,Database!$A:$AS,MATCH($N$1,Database!$A$1:$AS$1,0),FALSE)</f>
        <v>70.863878779999993</v>
      </c>
      <c r="O65" s="79">
        <f>(((Table134567891011121314151617343[[#This Row],[USA]]-VLOOKUP($U$1,A:N,14,))/VLOOKUP($U$1,A:N,14,))*100)+100</f>
        <v>81.580794127681045</v>
      </c>
      <c r="P65" s="79">
        <f>VLOOKUP(A65,Database!$A:$AS,MATCH($P$1,Database!$A$1:$AS$1,0),FALSE)</f>
        <v>103.13417578799999</v>
      </c>
      <c r="Q65" s="79">
        <f>(((Table134567891011121314151617343[[#This Row],[JPN]]-VLOOKUP($U$1,A:Q,16,))/VLOOKUP($U$1,A:Q,16,))*100)+100</f>
        <v>103.54459636714695</v>
      </c>
    </row>
    <row r="66" spans="1:17" s="83" customFormat="1" x14ac:dyDescent="0.2">
      <c r="A66" s="21">
        <v>34820</v>
      </c>
      <c r="B66" s="79">
        <f>VLOOKUP(A66,Database!$A:$AS,MATCH($B$1,Database!$A$1:$AS$1,0),FALSE)</f>
        <v>118.190150821</v>
      </c>
      <c r="C66" s="79">
        <f>VLOOKUP(A66,Database!$A:$AS,MATCH($C$1,Database!$A$1:$AS$1,0),FALSE)</f>
        <v>93.02</v>
      </c>
      <c r="D66" s="79">
        <f>VLOOKUP(A66,Database!$A:$AS,MATCH($D$1,Database!$A$1:$AS$1,0),FALSE)</f>
        <v>70.794100491999998</v>
      </c>
      <c r="E66" s="79">
        <f>VLOOKUP(A66,Database!$A:$AS,MATCH($E$1,Database!$A$1:$AS$1,0),FALSE)</f>
        <v>104.996087497</v>
      </c>
      <c r="F66" s="79">
        <f>VLOOKUP(A66,Database!$A:$AS,MATCH($F$1,Database!$A$1:$AS$1,0),FALSE)</f>
        <v>82.4</v>
      </c>
      <c r="G66" s="79">
        <f>VLOOKUP(A66,Database!$A:$AS,MATCH($G$1,Database!$A$1:$AS$1,0),FALSE)</f>
        <v>86.03692418</v>
      </c>
      <c r="H66" s="79">
        <f>(((Table134567891011121314151617343[[#This Row],[ITA]]-VLOOKUP($U$1,A:B,2,))/VLOOKUP($U$1,A:B,2,))*100)+100</f>
        <v>97.203947368646965</v>
      </c>
      <c r="I66" s="79">
        <f>(((Table134567891011121314151617343[[#This Row],[FRA]]-VLOOKUP($U$1,A:C,3,))/VLOOKUP($U$1,A:C,3,))*100)+100</f>
        <v>90.760074153575957</v>
      </c>
      <c r="J66" s="79">
        <f>(((Table134567891011121314151617343[[#This Row],[DEU]]-VLOOKUP($U$1,A:D,4,))/VLOOKUP($U$1,A:D,4,))*100)+100</f>
        <v>94.148936170099589</v>
      </c>
      <c r="K66" s="79">
        <f>(((Table134567891011121314151617343[[#This Row],[ESP]]-VLOOKUP($U$1,A:E,5,))/VLOOKUP($U$1,A:E,5,))*100)+100</f>
        <v>88.254181726518581</v>
      </c>
      <c r="L66" s="79">
        <f>(((Table134567891011121314151617343[[#This Row],[EA19]]-VLOOKUP($U$1,A:F,6,))/VLOOKUP($U$1,A:F,6,))*100)+100</f>
        <v>92.170022371364652</v>
      </c>
      <c r="M66" s="79">
        <f>(((Table134567891011121314151617343[[#This Row],[GBR]]-VLOOKUP($U$1,A:G,7,))/VLOOKUP($U$1,A:G,7,))*100)+100</f>
        <v>93.348891481736416</v>
      </c>
      <c r="N66" s="79">
        <f>VLOOKUP(A66,Database!$A:$AS,MATCH($N$1,Database!$A$1:$AS$1,0),FALSE)</f>
        <v>71.191565455000003</v>
      </c>
      <c r="O66" s="79">
        <f>(((Table134567891011121314151617343[[#This Row],[USA]]-VLOOKUP($U$1,A:N,14,))/VLOOKUP($U$1,A:N,14,))*100)+100</f>
        <v>81.958037649088524</v>
      </c>
      <c r="P66" s="79">
        <f>VLOOKUP(A66,Database!$A:$AS,MATCH($P$1,Database!$A$1:$AS$1,0),FALSE)</f>
        <v>101.410202348</v>
      </c>
      <c r="Q66" s="79">
        <f>(((Table134567891011121314151617343[[#This Row],[JPN]]-VLOOKUP($U$1,A:Q,16,))/VLOOKUP($U$1,A:Q,16,))*100)+100</f>
        <v>101.81376240615793</v>
      </c>
    </row>
    <row r="67" spans="1:17" s="83" customFormat="1" x14ac:dyDescent="0.2">
      <c r="A67" s="21">
        <v>34851</v>
      </c>
      <c r="B67" s="79">
        <f>VLOOKUP(A67,Database!$A:$AS,MATCH($B$1,Database!$A$1:$AS$1,0),FALSE)</f>
        <v>117.990167486</v>
      </c>
      <c r="C67" s="79">
        <f>VLOOKUP(A67,Database!$A:$AS,MATCH($C$1,Database!$A$1:$AS$1,0),FALSE)</f>
        <v>93.66</v>
      </c>
      <c r="D67" s="79">
        <f>VLOOKUP(A67,Database!$A:$AS,MATCH($D$1,Database!$A$1:$AS$1,0),FALSE)</f>
        <v>69.994167153000006</v>
      </c>
      <c r="E67" s="79">
        <f>VLOOKUP(A67,Database!$A:$AS,MATCH($E$1,Database!$A$1:$AS$1,0),FALSE)</f>
        <v>104.189086824</v>
      </c>
      <c r="F67" s="79">
        <f>VLOOKUP(A67,Database!$A:$AS,MATCH($F$1,Database!$A$1:$AS$1,0),FALSE)</f>
        <v>82.1</v>
      </c>
      <c r="G67" s="79">
        <f>VLOOKUP(A67,Database!$A:$AS,MATCH($G$1,Database!$A$1:$AS$1,0),FALSE)</f>
        <v>85.499193403999996</v>
      </c>
      <c r="H67" s="79">
        <f>(((Table134567891011121314151617343[[#This Row],[ITA]]-VLOOKUP($U$1,A:B,2,))/VLOOKUP($U$1,A:B,2,))*100)+100</f>
        <v>97.039473684207834</v>
      </c>
      <c r="I67" s="79">
        <f>(((Table134567891011121314151617343[[#This Row],[FRA]]-VLOOKUP($U$1,A:C,3,))/VLOOKUP($U$1,A:C,3,))*100)+100</f>
        <v>91.384525319543371</v>
      </c>
      <c r="J67" s="79">
        <f>(((Table134567891011121314151617343[[#This Row],[DEU]]-VLOOKUP($U$1,A:D,4,))/VLOOKUP($U$1,A:D,4,))*100)+100</f>
        <v>93.085106382724078</v>
      </c>
      <c r="K67" s="79">
        <f>(((Table134567891011121314151617343[[#This Row],[ESP]]-VLOOKUP($U$1,A:E,5,))/VLOOKUP($U$1,A:E,5,))*100)+100</f>
        <v>87.575859459982695</v>
      </c>
      <c r="L67" s="79">
        <f>(((Table134567891011121314151617343[[#This Row],[EA19]]-VLOOKUP($U$1,A:F,6,))/VLOOKUP($U$1,A:F,6,))*100)+100</f>
        <v>91.834451901565984</v>
      </c>
      <c r="M67" s="79">
        <f>(((Table134567891011121314151617343[[#This Row],[GBR]]-VLOOKUP($U$1,A:G,7,))/VLOOKUP($U$1,A:G,7,))*100)+100</f>
        <v>92.765460910111187</v>
      </c>
      <c r="N67" s="79">
        <f>VLOOKUP(A67,Database!$A:$AS,MATCH($N$1,Database!$A$1:$AS$1,0),FALSE)</f>
        <v>71.422710441000007</v>
      </c>
      <c r="O67" s="79">
        <f>(((Table134567891011121314151617343[[#This Row],[USA]]-VLOOKUP($U$1,A:N,14,))/VLOOKUP($U$1,A:N,14,))*100)+100</f>
        <v>82.224139248960796</v>
      </c>
      <c r="P67" s="79">
        <f>VLOOKUP(A67,Database!$A:$AS,MATCH($P$1,Database!$A$1:$AS$1,0),FALSE)</f>
        <v>101.308792145</v>
      </c>
      <c r="Q67" s="79">
        <f>(((Table134567891011121314151617343[[#This Row],[JPN]]-VLOOKUP($U$1,A:Q,16,))/VLOOKUP($U$1,A:Q,16,))*100)+100</f>
        <v>101.71194864309719</v>
      </c>
    </row>
    <row r="68" spans="1:17" s="83" customFormat="1" x14ac:dyDescent="0.2">
      <c r="A68" s="21">
        <v>34881</v>
      </c>
      <c r="B68" s="79">
        <f>VLOOKUP(A68,Database!$A:$AS,MATCH($B$1,Database!$A$1:$AS$1,0),FALSE)</f>
        <v>117.89017581900001</v>
      </c>
      <c r="C68" s="79">
        <f>VLOOKUP(A68,Database!$A:$AS,MATCH($C$1,Database!$A$1:$AS$1,0),FALSE)</f>
        <v>94.07</v>
      </c>
      <c r="D68" s="79">
        <f>VLOOKUP(A68,Database!$A:$AS,MATCH($D$1,Database!$A$1:$AS$1,0),FALSE)</f>
        <v>69.794183817999993</v>
      </c>
      <c r="E68" s="79">
        <f>VLOOKUP(A68,Database!$A:$AS,MATCH($E$1,Database!$A$1:$AS$1,0),FALSE)</f>
        <v>103.513086261</v>
      </c>
      <c r="F68" s="79">
        <f>VLOOKUP(A68,Database!$A:$AS,MATCH($F$1,Database!$A$1:$AS$1,0),FALSE)</f>
        <v>82.1</v>
      </c>
      <c r="G68" s="79">
        <f>VLOOKUP(A68,Database!$A:$AS,MATCH($G$1,Database!$A$1:$AS$1,0),FALSE)</f>
        <v>86.144470334999994</v>
      </c>
      <c r="H68" s="79">
        <f>(((Table134567891011121314151617343[[#This Row],[ITA]]-VLOOKUP($U$1,A:B,2,))/VLOOKUP($U$1,A:B,2,))*100)+100</f>
        <v>96.957236842399482</v>
      </c>
      <c r="I68" s="79">
        <f>(((Table134567891011121314151617343[[#This Row],[FRA]]-VLOOKUP($U$1,A:C,3,))/VLOOKUP($U$1,A:C,3,))*100)+100</f>
        <v>91.784564347741238</v>
      </c>
      <c r="J68" s="79">
        <f>(((Table134567891011121314151617343[[#This Row],[DEU]]-VLOOKUP($U$1,A:D,4,))/VLOOKUP($U$1,A:D,4,))*100)+100</f>
        <v>92.819148935547702</v>
      </c>
      <c r="K68" s="79">
        <f>(((Table134567891011121314151617343[[#This Row],[ESP]]-VLOOKUP($U$1,A:E,5,))/VLOOKUP($U$1,A:E,5,))*100)+100</f>
        <v>87.007648987035935</v>
      </c>
      <c r="L68" s="79">
        <f>(((Table134567891011121314151617343[[#This Row],[EA19]]-VLOOKUP($U$1,A:F,6,))/VLOOKUP($U$1,A:F,6,))*100)+100</f>
        <v>91.834451901565984</v>
      </c>
      <c r="M68" s="79">
        <f>(((Table134567891011121314151617343[[#This Row],[GBR]]-VLOOKUP($U$1,A:G,7,))/VLOOKUP($U$1,A:G,7,))*100)+100</f>
        <v>93.465577595844451</v>
      </c>
      <c r="N68" s="79">
        <f>VLOOKUP(A68,Database!$A:$AS,MATCH($N$1,Database!$A$1:$AS$1,0),FALSE)</f>
        <v>71.109891583000007</v>
      </c>
      <c r="O68" s="79">
        <f>(((Table134567891011121314151617343[[#This Row],[USA]]-VLOOKUP($U$1,A:N,14,))/VLOOKUP($U$1,A:N,14,))*100)+100</f>
        <v>81.864012040386982</v>
      </c>
      <c r="P68" s="79">
        <f>VLOOKUP(A68,Database!$A:$AS,MATCH($P$1,Database!$A$1:$AS$1,0),FALSE)</f>
        <v>99.889049313000001</v>
      </c>
      <c r="Q68" s="79">
        <f>(((Table134567891011121314151617343[[#This Row],[JPN]]-VLOOKUP($U$1,A:Q,16,))/VLOOKUP($U$1,A:Q,16,))*100)+100</f>
        <v>100.28655597028644</v>
      </c>
    </row>
    <row r="69" spans="1:17" s="83" customFormat="1" x14ac:dyDescent="0.2">
      <c r="A69" s="21">
        <v>34912</v>
      </c>
      <c r="B69" s="79">
        <f>VLOOKUP(A69,Database!$A:$AS,MATCH($B$1,Database!$A$1:$AS$1,0),FALSE)</f>
        <v>119.990000833</v>
      </c>
      <c r="C69" s="79">
        <f>VLOOKUP(A69,Database!$A:$AS,MATCH($C$1,Database!$A$1:$AS$1,0),FALSE)</f>
        <v>93.5</v>
      </c>
      <c r="D69" s="79">
        <f>VLOOKUP(A69,Database!$A:$AS,MATCH($D$1,Database!$A$1:$AS$1,0),FALSE)</f>
        <v>68.994250479000002</v>
      </c>
      <c r="E69" s="79">
        <f>VLOOKUP(A69,Database!$A:$AS,MATCH($E$1,Database!$A$1:$AS$1,0),FALSE)</f>
        <v>103.23908603300001</v>
      </c>
      <c r="F69" s="79">
        <f>VLOOKUP(A69,Database!$A:$AS,MATCH($F$1,Database!$A$1:$AS$1,0),FALSE)</f>
        <v>82</v>
      </c>
      <c r="G69" s="79">
        <f>VLOOKUP(A69,Database!$A:$AS,MATCH($G$1,Database!$A$1:$AS$1,0),FALSE)</f>
        <v>86.252016490000003</v>
      </c>
      <c r="H69" s="79">
        <f>(((Table134567891011121314151617343[[#This Row],[ITA]]-VLOOKUP($U$1,A:B,2,))/VLOOKUP($U$1,A:B,2,))*100)+100</f>
        <v>98.684210526131821</v>
      </c>
      <c r="I69" s="79">
        <f>(((Table134567891011121314151617343[[#This Row],[FRA]]-VLOOKUP($U$1,A:C,3,))/VLOOKUP($U$1,A:C,3,))*100)+100</f>
        <v>91.228412528051521</v>
      </c>
      <c r="J69" s="79">
        <f>(((Table134567891011121314151617343[[#This Row],[DEU]]-VLOOKUP($U$1,A:D,4,))/VLOOKUP($U$1,A:D,4,))*100)+100</f>
        <v>91.755319148172191</v>
      </c>
      <c r="K69" s="79">
        <f>(((Table134567891011121314151617343[[#This Row],[ESP]]-VLOOKUP($U$1,A:E,5,))/VLOOKUP($U$1,A:E,5,))*100)+100</f>
        <v>86.777338825090993</v>
      </c>
      <c r="L69" s="79">
        <f>(((Table134567891011121314151617343[[#This Row],[EA19]]-VLOOKUP($U$1,A:F,6,))/VLOOKUP($U$1,A:F,6,))*100)+100</f>
        <v>91.722595078299776</v>
      </c>
      <c r="M69" s="79">
        <f>(((Table134567891011121314151617343[[#This Row],[GBR]]-VLOOKUP($U$1,A:G,7,))/VLOOKUP($U$1,A:G,7,))*100)+100</f>
        <v>93.582263709952514</v>
      </c>
      <c r="N69" s="79">
        <f>VLOOKUP(A69,Database!$A:$AS,MATCH($N$1,Database!$A$1:$AS$1,0),FALSE)</f>
        <v>72.045771068999997</v>
      </c>
      <c r="O69" s="79">
        <f>(((Table134567891011121314151617343[[#This Row],[USA]]-VLOOKUP($U$1,A:N,14,))/VLOOKUP($U$1,A:N,14,))*100)+100</f>
        <v>82.9414268388729</v>
      </c>
      <c r="P69" s="79">
        <f>VLOOKUP(A69,Database!$A:$AS,MATCH($P$1,Database!$A$1:$AS$1,0),FALSE)</f>
        <v>101.410202348</v>
      </c>
      <c r="Q69" s="79">
        <f>(((Table134567891011121314151617343[[#This Row],[JPN]]-VLOOKUP($U$1,A:Q,16,))/VLOOKUP($U$1,A:Q,16,))*100)+100</f>
        <v>101.81376240615793</v>
      </c>
    </row>
    <row r="70" spans="1:17" s="83" customFormat="1" x14ac:dyDescent="0.2">
      <c r="A70" s="21">
        <v>34943</v>
      </c>
      <c r="B70" s="79">
        <f>VLOOKUP(A70,Database!$A:$AS,MATCH($B$1,Database!$A$1:$AS$1,0),FALSE)</f>
        <v>119.190067494</v>
      </c>
      <c r="C70" s="79">
        <f>VLOOKUP(A70,Database!$A:$AS,MATCH($C$1,Database!$A$1:$AS$1,0),FALSE)</f>
        <v>93.64</v>
      </c>
      <c r="D70" s="79">
        <f>VLOOKUP(A70,Database!$A:$AS,MATCH($D$1,Database!$A$1:$AS$1,0),FALSE)</f>
        <v>70.394133822000001</v>
      </c>
      <c r="E70" s="79">
        <f>VLOOKUP(A70,Database!$A:$AS,MATCH($E$1,Database!$A$1:$AS$1,0),FALSE)</f>
        <v>104.06408672000001</v>
      </c>
      <c r="F70" s="79">
        <f>VLOOKUP(A70,Database!$A:$AS,MATCH($F$1,Database!$A$1:$AS$1,0),FALSE)</f>
        <v>82.4</v>
      </c>
      <c r="G70" s="79">
        <f>VLOOKUP(A70,Database!$A:$AS,MATCH($G$1,Database!$A$1:$AS$1,0),FALSE)</f>
        <v>86.574654956000003</v>
      </c>
      <c r="H70" s="79">
        <f>(((Table134567891011121314151617343[[#This Row],[ITA]]-VLOOKUP($U$1,A:B,2,))/VLOOKUP($U$1,A:B,2,))*100)+100</f>
        <v>98.026315789197739</v>
      </c>
      <c r="I70" s="79">
        <f>(((Table134567891011121314151617343[[#This Row],[FRA]]-VLOOKUP($U$1,A:C,3,))/VLOOKUP($U$1,A:C,3,))*100)+100</f>
        <v>91.365011220606888</v>
      </c>
      <c r="J70" s="79">
        <f>(((Table134567891011121314151617343[[#This Row],[DEU]]-VLOOKUP($U$1,A:D,4,))/VLOOKUP($U$1,A:D,4,))*100)+100</f>
        <v>93.617021275746879</v>
      </c>
      <c r="K70" s="79">
        <f>(((Table134567891011121314151617343[[#This Row],[ESP]]-VLOOKUP($U$1,A:E,5,))/VLOOKUP($U$1,A:E,5,))*100)+100</f>
        <v>87.470790955458057</v>
      </c>
      <c r="L70" s="79">
        <f>(((Table134567891011121314151617343[[#This Row],[EA19]]-VLOOKUP($U$1,A:F,6,))/VLOOKUP($U$1,A:F,6,))*100)+100</f>
        <v>92.170022371364652</v>
      </c>
      <c r="M70" s="79">
        <f>(((Table134567891011121314151617343[[#This Row],[GBR]]-VLOOKUP($U$1,A:G,7,))/VLOOKUP($U$1,A:G,7,))*100)+100</f>
        <v>93.932322053361645</v>
      </c>
      <c r="N70" s="79">
        <f>VLOOKUP(A70,Database!$A:$AS,MATCH($N$1,Database!$A$1:$AS$1,0),FALSE)</f>
        <v>72.345803603999997</v>
      </c>
      <c r="O70" s="79">
        <f>(((Table134567891011121314151617343[[#This Row],[USA]]-VLOOKUP($U$1,A:N,14,))/VLOOKUP($U$1,A:N,14,))*100)+100</f>
        <v>83.286834017972311</v>
      </c>
      <c r="P70" s="79">
        <f>VLOOKUP(A70,Database!$A:$AS,MATCH($P$1,Database!$A$1:$AS$1,0),FALSE)</f>
        <v>99.787639110000001</v>
      </c>
      <c r="Q70" s="79">
        <f>(((Table134567891011121314151617343[[#This Row],[JPN]]-VLOOKUP($U$1,A:Q,16,))/VLOOKUP($U$1,A:Q,16,))*100)+100</f>
        <v>100.1847422072257</v>
      </c>
    </row>
    <row r="71" spans="1:17" s="83" customFormat="1" x14ac:dyDescent="0.2">
      <c r="A71" s="21">
        <v>34973</v>
      </c>
      <c r="B71" s="79">
        <f>VLOOKUP(A71,Database!$A:$AS,MATCH($B$1,Database!$A$1:$AS$1,0),FALSE)</f>
        <v>119.990000833</v>
      </c>
      <c r="C71" s="79">
        <f>VLOOKUP(A71,Database!$A:$AS,MATCH($C$1,Database!$A$1:$AS$1,0),FALSE)</f>
        <v>91.84</v>
      </c>
      <c r="D71" s="79">
        <f>VLOOKUP(A71,Database!$A:$AS,MATCH($D$1,Database!$A$1:$AS$1,0),FALSE)</f>
        <v>68.594283809999993</v>
      </c>
      <c r="E71" s="79">
        <f>VLOOKUP(A71,Database!$A:$AS,MATCH($E$1,Database!$A$1:$AS$1,0),FALSE)</f>
        <v>102.525085438</v>
      </c>
      <c r="F71" s="79">
        <f>VLOOKUP(A71,Database!$A:$AS,MATCH($F$1,Database!$A$1:$AS$1,0),FALSE)</f>
        <v>81.5</v>
      </c>
      <c r="G71" s="79">
        <f>VLOOKUP(A71,Database!$A:$AS,MATCH($G$1,Database!$A$1:$AS$1,0),FALSE)</f>
        <v>86.252016490000003</v>
      </c>
      <c r="H71" s="79">
        <f>(((Table134567891011121314151617343[[#This Row],[ITA]]-VLOOKUP($U$1,A:B,2,))/VLOOKUP($U$1,A:B,2,))*100)+100</f>
        <v>98.684210526131821</v>
      </c>
      <c r="I71" s="79">
        <f>(((Table134567891011121314151617343[[#This Row],[FRA]]-VLOOKUP($U$1,A:C,3,))/VLOOKUP($U$1,A:C,3,))*100)+100</f>
        <v>89.608742316323557</v>
      </c>
      <c r="J71" s="79">
        <f>(((Table134567891011121314151617343[[#This Row],[DEU]]-VLOOKUP($U$1,A:D,4,))/VLOOKUP($U$1,A:D,4,))*100)+100</f>
        <v>91.223404255149376</v>
      </c>
      <c r="K71" s="79">
        <f>(((Table134567891011121314151617343[[#This Row],[ESP]]-VLOOKUP($U$1,A:E,5,))/VLOOKUP($U$1,A:E,5,))*100)+100</f>
        <v>86.177187526445948</v>
      </c>
      <c r="L71" s="79">
        <f>(((Table134567891011121314151617343[[#This Row],[EA19]]-VLOOKUP($U$1,A:F,6,))/VLOOKUP($U$1,A:F,6,))*100)+100</f>
        <v>91.163310961968676</v>
      </c>
      <c r="M71" s="79">
        <f>(((Table134567891011121314151617343[[#This Row],[GBR]]-VLOOKUP($U$1,A:G,7,))/VLOOKUP($U$1,A:G,7,))*100)+100</f>
        <v>93.582263709952514</v>
      </c>
      <c r="N71" s="79">
        <f>VLOOKUP(A71,Database!$A:$AS,MATCH($N$1,Database!$A$1:$AS$1,0),FALSE)</f>
        <v>72.232114367999998</v>
      </c>
      <c r="O71" s="79">
        <f>(((Table134567891011121314151617343[[#This Row],[USA]]-VLOOKUP($U$1,A:N,14,))/VLOOKUP($U$1,A:N,14,))*100)+100</f>
        <v>83.155951284535661</v>
      </c>
      <c r="P71" s="79">
        <f>VLOOKUP(A71,Database!$A:$AS,MATCH($P$1,Database!$A$1:$AS$1,0),FALSE)</f>
        <v>101.308792145</v>
      </c>
      <c r="Q71" s="79">
        <f>(((Table134567891011121314151617343[[#This Row],[JPN]]-VLOOKUP($U$1,A:Q,16,))/VLOOKUP($U$1,A:Q,16,))*100)+100</f>
        <v>101.71194864309719</v>
      </c>
    </row>
    <row r="72" spans="1:17" s="83" customFormat="1" x14ac:dyDescent="0.2">
      <c r="A72" s="21">
        <v>35004</v>
      </c>
      <c r="B72" s="79">
        <f>VLOOKUP(A72,Database!$A:$AS,MATCH($B$1,Database!$A$1:$AS$1,0),FALSE)</f>
        <v>119.990000833</v>
      </c>
      <c r="C72" s="79">
        <f>VLOOKUP(A72,Database!$A:$AS,MATCH($C$1,Database!$A$1:$AS$1,0),FALSE)</f>
        <v>91.81</v>
      </c>
      <c r="D72" s="79">
        <f>VLOOKUP(A72,Database!$A:$AS,MATCH($D$1,Database!$A$1:$AS$1,0),FALSE)</f>
        <v>68.994250479000002</v>
      </c>
      <c r="E72" s="79">
        <f>VLOOKUP(A72,Database!$A:$AS,MATCH($E$1,Database!$A$1:$AS$1,0),FALSE)</f>
        <v>103.51608626300001</v>
      </c>
      <c r="F72" s="79">
        <f>VLOOKUP(A72,Database!$A:$AS,MATCH($F$1,Database!$A$1:$AS$1,0),FALSE)</f>
        <v>81.8</v>
      </c>
      <c r="G72" s="79">
        <f>VLOOKUP(A72,Database!$A:$AS,MATCH($G$1,Database!$A$1:$AS$1,0),FALSE)</f>
        <v>86.682201110999998</v>
      </c>
      <c r="H72" s="79">
        <f>(((Table134567891011121314151617343[[#This Row],[ITA]]-VLOOKUP($U$1,A:B,2,))/VLOOKUP($U$1,A:B,2,))*100)+100</f>
        <v>98.684210526131821</v>
      </c>
      <c r="I72" s="79">
        <f>(((Table134567891011121314151617343[[#This Row],[FRA]]-VLOOKUP($U$1,A:C,3,))/VLOOKUP($U$1,A:C,3,))*100)+100</f>
        <v>89.579471167918825</v>
      </c>
      <c r="J72" s="79">
        <f>(((Table134567891011121314151617343[[#This Row],[DEU]]-VLOOKUP($U$1,A:D,4,))/VLOOKUP($U$1,A:D,4,))*100)+100</f>
        <v>91.755319148172191</v>
      </c>
      <c r="K72" s="79">
        <f>(((Table134567891011121314151617343[[#This Row],[ESP]]-VLOOKUP($U$1,A:E,5,))/VLOOKUP($U$1,A:E,5,))*100)+100</f>
        <v>87.010170630727615</v>
      </c>
      <c r="L72" s="79">
        <f>(((Table134567891011121314151617343[[#This Row],[EA19]]-VLOOKUP($U$1,A:F,6,))/VLOOKUP($U$1,A:F,6,))*100)+100</f>
        <v>91.49888143176733</v>
      </c>
      <c r="M72" s="79">
        <f>(((Table134567891011121314151617343[[#This Row],[GBR]]-VLOOKUP($U$1,A:G,7,))/VLOOKUP($U$1,A:G,7,))*100)+100</f>
        <v>94.049008167469694</v>
      </c>
      <c r="N72" s="79">
        <f>VLOOKUP(A72,Database!$A:$AS,MATCH($N$1,Database!$A$1:$AS$1,0),FALSE)</f>
        <v>72.399525980999996</v>
      </c>
      <c r="O72" s="79">
        <f>(((Table134567891011121314151617343[[#This Row],[USA]]-VLOOKUP($U$1,A:N,14,))/VLOOKUP($U$1,A:N,14,))*100)+100</f>
        <v>83.348680959651759</v>
      </c>
      <c r="P72" s="79">
        <f>VLOOKUP(A72,Database!$A:$AS,MATCH($P$1,Database!$A$1:$AS$1,0),FALSE)</f>
        <v>102.120073764</v>
      </c>
      <c r="Q72" s="79">
        <f>(((Table134567891011121314151617343[[#This Row],[JPN]]-VLOOKUP($U$1,A:Q,16,))/VLOOKUP($U$1,A:Q,16,))*100)+100</f>
        <v>102.52645874256331</v>
      </c>
    </row>
    <row r="73" spans="1:17" s="83" customFormat="1" x14ac:dyDescent="0.2">
      <c r="A73" s="21">
        <v>35034</v>
      </c>
      <c r="B73" s="79">
        <f>VLOOKUP(A73,Database!$A:$AS,MATCH($B$1,Database!$A$1:$AS$1,0),FALSE)</f>
        <v>121.98983418</v>
      </c>
      <c r="C73" s="79">
        <f>VLOOKUP(A73,Database!$A:$AS,MATCH($C$1,Database!$A$1:$AS$1,0),FALSE)</f>
        <v>93.77</v>
      </c>
      <c r="D73" s="79">
        <f>VLOOKUP(A73,Database!$A:$AS,MATCH($D$1,Database!$A$1:$AS$1,0),FALSE)</f>
        <v>68.994250479000002</v>
      </c>
      <c r="E73" s="79">
        <f>VLOOKUP(A73,Database!$A:$AS,MATCH($E$1,Database!$A$1:$AS$1,0),FALSE)</f>
        <v>105.089087574</v>
      </c>
      <c r="F73" s="79">
        <f>VLOOKUP(A73,Database!$A:$AS,MATCH($F$1,Database!$A$1:$AS$1,0),FALSE)</f>
        <v>82.7</v>
      </c>
      <c r="G73" s="79">
        <f>VLOOKUP(A73,Database!$A:$AS,MATCH($G$1,Database!$A$1:$AS$1,0),FALSE)</f>
        <v>87.004839576999998</v>
      </c>
      <c r="H73" s="79">
        <f>(((Table134567891011121314151617343[[#This Row],[ITA]]-VLOOKUP($U$1,A:B,2,))/VLOOKUP($U$1,A:B,2,))*100)+100</f>
        <v>100.32894736805584</v>
      </c>
      <c r="I73" s="79">
        <f>(((Table134567891011121314151617343[[#This Row],[FRA]]-VLOOKUP($U$1,A:C,3,))/VLOOKUP($U$1,A:C,3,))*100)+100</f>
        <v>91.491852863694021</v>
      </c>
      <c r="J73" s="79">
        <f>(((Table134567891011121314151617343[[#This Row],[DEU]]-VLOOKUP($U$1,A:D,4,))/VLOOKUP($U$1,A:D,4,))*100)+100</f>
        <v>91.755319148172191</v>
      </c>
      <c r="K73" s="79">
        <f>(((Table134567891011121314151617343[[#This Row],[ESP]]-VLOOKUP($U$1,A:E,5,))/VLOOKUP($U$1,A:E,5,))*100)+100</f>
        <v>88.332352693568879</v>
      </c>
      <c r="L73" s="79">
        <f>(((Table134567891011121314151617343[[#This Row],[EA19]]-VLOOKUP($U$1,A:F,6,))/VLOOKUP($U$1,A:F,6,))*100)+100</f>
        <v>92.505592841163306</v>
      </c>
      <c r="M73" s="79">
        <f>(((Table134567891011121314151617343[[#This Row],[GBR]]-VLOOKUP($U$1,A:G,7,))/VLOOKUP($U$1,A:G,7,))*100)+100</f>
        <v>94.399066510878825</v>
      </c>
      <c r="N73" s="79">
        <f>VLOOKUP(A73,Database!$A:$AS,MATCH($N$1,Database!$A$1:$AS$1,0),FALSE)</f>
        <v>72.668732577</v>
      </c>
      <c r="O73" s="79">
        <f>(((Table134567891011121314151617343[[#This Row],[USA]]-VLOOKUP($U$1,A:N,14,))/VLOOKUP($U$1,A:N,14,))*100)+100</f>
        <v>83.658600318628316</v>
      </c>
      <c r="P73" s="79">
        <f>VLOOKUP(A73,Database!$A:$AS,MATCH($P$1,Database!$A$1:$AS$1,0),FALSE)</f>
        <v>103.438406395</v>
      </c>
      <c r="Q73" s="79">
        <f>(((Table134567891011121314151617343[[#This Row],[JPN]]-VLOOKUP($U$1,A:Q,16,))/VLOOKUP($U$1,A:Q,16,))*100)+100</f>
        <v>103.85003765432126</v>
      </c>
    </row>
    <row r="74" spans="1:17" s="83" customFormat="1" x14ac:dyDescent="0.2">
      <c r="A74" s="21">
        <v>35065</v>
      </c>
      <c r="B74" s="79">
        <f>VLOOKUP(A74,Database!$A:$AS,MATCH($B$1,Database!$A$1:$AS$1,0),FALSE)</f>
        <v>120.189984168</v>
      </c>
      <c r="C74" s="79">
        <f>VLOOKUP(A74,Database!$A:$AS,MATCH($C$1,Database!$A$1:$AS$1,0),FALSE)</f>
        <v>92.93</v>
      </c>
      <c r="D74" s="79">
        <f>VLOOKUP(A74,Database!$A:$AS,MATCH($D$1,Database!$A$1:$AS$1,0),FALSE)</f>
        <v>69.294225480999998</v>
      </c>
      <c r="E74" s="79">
        <f>VLOOKUP(A74,Database!$A:$AS,MATCH($E$1,Database!$A$1:$AS$1,0),FALSE)</f>
        <v>100.486083738</v>
      </c>
      <c r="F74" s="79">
        <f>VLOOKUP(A74,Database!$A:$AS,MATCH($F$1,Database!$A$1:$AS$1,0),FALSE)</f>
        <v>81.900000000000006</v>
      </c>
      <c r="G74" s="79">
        <f>VLOOKUP(A74,Database!$A:$AS,MATCH($G$1,Database!$A$1:$AS$1,0),FALSE)</f>
        <v>86.682201110999998</v>
      </c>
      <c r="H74" s="79">
        <f>(((Table134567891011121314151617343[[#This Row],[ITA]]-VLOOKUP($U$1,A:B,2,))/VLOOKUP($U$1,A:B,2,))*100)+100</f>
        <v>98.848684210570951</v>
      </c>
      <c r="I74" s="79">
        <f>(((Table134567891011121314151617343[[#This Row],[FRA]]-VLOOKUP($U$1,A:C,3,))/VLOOKUP($U$1,A:C,3,))*100)+100</f>
        <v>90.672260708361804</v>
      </c>
      <c r="J74" s="79">
        <f>(((Table134567891011121314151617343[[#This Row],[DEU]]-VLOOKUP($U$1,A:D,4,))/VLOOKUP($U$1,A:D,4,))*100)+100</f>
        <v>92.15425531827178</v>
      </c>
      <c r="K74" s="79">
        <f>(((Table134567891011121314151617343[[#This Row],[ESP]]-VLOOKUP($U$1,A:E,5,))/VLOOKUP($U$1,A:E,5,))*100)+100</f>
        <v>84.463310077654143</v>
      </c>
      <c r="L74" s="79">
        <f>(((Table134567891011121314151617343[[#This Row],[EA19]]-VLOOKUP($U$1,A:F,6,))/VLOOKUP($U$1,A:F,6,))*100)+100</f>
        <v>91.610738255033553</v>
      </c>
      <c r="M74" s="79">
        <f>(((Table134567891011121314151617343[[#This Row],[GBR]]-VLOOKUP($U$1,A:G,7,))/VLOOKUP($U$1,A:G,7,))*100)+100</f>
        <v>94.049008167469694</v>
      </c>
      <c r="N74" s="79">
        <f>VLOOKUP(A74,Database!$A:$AS,MATCH($N$1,Database!$A$1:$AS$1,0),FALSE)</f>
        <v>72.259272913000004</v>
      </c>
      <c r="O74" s="79">
        <f>(((Table134567891011121314151617343[[#This Row],[USA]]-VLOOKUP($U$1,A:N,14,))/VLOOKUP($U$1,A:N,14,))*100)+100</f>
        <v>83.187217081816272</v>
      </c>
      <c r="P74" s="79">
        <f>VLOOKUP(A74,Database!$A:$AS,MATCH($P$1,Database!$A$1:$AS$1,0),FALSE)</f>
        <v>101.91725336</v>
      </c>
      <c r="Q74" s="79">
        <f>(((Table134567891011121314151617343[[#This Row],[JPN]]-VLOOKUP($U$1,A:Q,16,))/VLOOKUP($U$1,A:Q,16,))*100)+100</f>
        <v>102.32283121844976</v>
      </c>
    </row>
    <row r="75" spans="1:17" s="83" customFormat="1" x14ac:dyDescent="0.2">
      <c r="A75" s="21">
        <v>35096</v>
      </c>
      <c r="B75" s="79">
        <f>VLOOKUP(A75,Database!$A:$AS,MATCH($B$1,Database!$A$1:$AS$1,0),FALSE)</f>
        <v>118.89009249199999</v>
      </c>
      <c r="C75" s="79">
        <f>VLOOKUP(A75,Database!$A:$AS,MATCH($C$1,Database!$A$1:$AS$1,0),FALSE)</f>
        <v>93.22</v>
      </c>
      <c r="D75" s="79">
        <f>VLOOKUP(A75,Database!$A:$AS,MATCH($D$1,Database!$A$1:$AS$1,0),FALSE)</f>
        <v>68.694275477000005</v>
      </c>
      <c r="E75" s="79">
        <f>VLOOKUP(A75,Database!$A:$AS,MATCH($E$1,Database!$A$1:$AS$1,0),FALSE)</f>
        <v>100.627083856</v>
      </c>
      <c r="F75" s="79">
        <f>VLOOKUP(A75,Database!$A:$AS,MATCH($F$1,Database!$A$1:$AS$1,0),FALSE)</f>
        <v>81.599999999999994</v>
      </c>
      <c r="G75" s="79">
        <f>VLOOKUP(A75,Database!$A:$AS,MATCH($G$1,Database!$A$1:$AS$1,0),FALSE)</f>
        <v>87.327478042999999</v>
      </c>
      <c r="H75" s="79">
        <f>(((Table134567891011121314151617343[[#This Row],[ITA]]-VLOOKUP($U$1,A:B,2,))/VLOOKUP($U$1,A:B,2,))*100)+100</f>
        <v>97.779605262950255</v>
      </c>
      <c r="I75" s="79">
        <f>(((Table134567891011121314151617343[[#This Row],[FRA]]-VLOOKUP($U$1,A:C,3,))/VLOOKUP($U$1,A:C,3,))*100)+100</f>
        <v>90.955215142940773</v>
      </c>
      <c r="J75" s="79">
        <f>(((Table134567891011121314151617343[[#This Row],[DEU]]-VLOOKUP($U$1,A:D,4,))/VLOOKUP($U$1,A:D,4,))*100)+100</f>
        <v>91.356382978072617</v>
      </c>
      <c r="K75" s="79">
        <f>(((Table134567891011121314151617343[[#This Row],[ESP]]-VLOOKUP($U$1,A:E,5,))/VLOOKUP($U$1,A:E,5,))*100)+100</f>
        <v>84.581827351336244</v>
      </c>
      <c r="L75" s="79">
        <f>(((Table134567891011121314151617343[[#This Row],[EA19]]-VLOOKUP($U$1,A:F,6,))/VLOOKUP($U$1,A:F,6,))*100)+100</f>
        <v>91.275167785234885</v>
      </c>
      <c r="M75" s="79">
        <f>(((Table134567891011121314151617343[[#This Row],[GBR]]-VLOOKUP($U$1,A:G,7,))/VLOOKUP($U$1,A:G,7,))*100)+100</f>
        <v>94.749124854287956</v>
      </c>
      <c r="N75" s="79">
        <f>VLOOKUP(A75,Database!$A:$AS,MATCH($N$1,Database!$A$1:$AS$1,0),FALSE)</f>
        <v>73.303290982999997</v>
      </c>
      <c r="O75" s="79">
        <f>(((Table134567891011121314151617343[[#This Row],[USA]]-VLOOKUP($U$1,A:N,14,))/VLOOKUP($U$1,A:N,14,))*100)+100</f>
        <v>84.389124523245883</v>
      </c>
      <c r="P75" s="79">
        <f>VLOOKUP(A75,Database!$A:$AS,MATCH($P$1,Database!$A$1:$AS$1,0),FALSE)</f>
        <v>101.815843157</v>
      </c>
      <c r="Q75" s="79">
        <f>(((Table134567891011121314151617343[[#This Row],[JPN]]-VLOOKUP($U$1,A:Q,16,))/VLOOKUP($U$1,A:Q,16,))*100)+100</f>
        <v>102.22101745538902</v>
      </c>
    </row>
    <row r="76" spans="1:17" s="83" customFormat="1" x14ac:dyDescent="0.2">
      <c r="A76" s="21">
        <v>35125</v>
      </c>
      <c r="B76" s="79">
        <f>VLOOKUP(A76,Database!$A:$AS,MATCH($B$1,Database!$A$1:$AS$1,0),FALSE)</f>
        <v>117.69019248399999</v>
      </c>
      <c r="C76" s="79">
        <f>VLOOKUP(A76,Database!$A:$AS,MATCH($C$1,Database!$A$1:$AS$1,0),FALSE)</f>
        <v>93.87</v>
      </c>
      <c r="D76" s="79">
        <f>VLOOKUP(A76,Database!$A:$AS,MATCH($D$1,Database!$A$1:$AS$1,0),FALSE)</f>
        <v>68.794267144000003</v>
      </c>
      <c r="E76" s="79">
        <f>VLOOKUP(A76,Database!$A:$AS,MATCH($E$1,Database!$A$1:$AS$1,0),FALSE)</f>
        <v>102.04308503599999</v>
      </c>
      <c r="F76" s="79">
        <f>VLOOKUP(A76,Database!$A:$AS,MATCH($F$1,Database!$A$1:$AS$1,0),FALSE)</f>
        <v>81.599999999999994</v>
      </c>
      <c r="G76" s="79">
        <f>VLOOKUP(A76,Database!$A:$AS,MATCH($G$1,Database!$A$1:$AS$1,0),FALSE)</f>
        <v>87.435024197999994</v>
      </c>
      <c r="H76" s="79">
        <f>(((Table134567891011121314151617343[[#This Row],[ITA]]-VLOOKUP($U$1,A:B,2,))/VLOOKUP($U$1,A:B,2,))*100)+100</f>
        <v>96.792763157960337</v>
      </c>
      <c r="I76" s="79">
        <f>(((Table134567891011121314151617343[[#This Row],[FRA]]-VLOOKUP($U$1,A:C,3,))/VLOOKUP($U$1,A:C,3,))*100)+100</f>
        <v>91.589423358376436</v>
      </c>
      <c r="J76" s="79">
        <f>(((Table134567891011121314151617343[[#This Row],[DEU]]-VLOOKUP($U$1,A:D,4,))/VLOOKUP($U$1,A:D,4,))*100)+100</f>
        <v>91.489361700995843</v>
      </c>
      <c r="K76" s="79">
        <f>(((Table134567891011121314151617343[[#This Row],[ESP]]-VLOOKUP($U$1,A:E,5,))/VLOOKUP($U$1,A:E,5,))*100)+100</f>
        <v>85.772043372178501</v>
      </c>
      <c r="L76" s="79">
        <f>(((Table134567891011121314151617343[[#This Row],[EA19]]-VLOOKUP($U$1,A:F,6,))/VLOOKUP($U$1,A:F,6,))*100)+100</f>
        <v>91.275167785234885</v>
      </c>
      <c r="M76" s="79">
        <f>(((Table134567891011121314151617343[[#This Row],[GBR]]-VLOOKUP($U$1,A:G,7,))/VLOOKUP($U$1,A:G,7,))*100)+100</f>
        <v>94.865810968396005</v>
      </c>
      <c r="N76" s="79">
        <f>VLOOKUP(A76,Database!$A:$AS,MATCH($N$1,Database!$A$1:$AS$1,0),FALSE)</f>
        <v>73.203775731999997</v>
      </c>
      <c r="O76" s="79">
        <f>(((Table134567891011121314151617343[[#This Row],[USA]]-VLOOKUP($U$1,A:N,14,))/VLOOKUP($U$1,A:N,14,))*100)+100</f>
        <v>84.274559340755658</v>
      </c>
      <c r="P76" s="79">
        <f>VLOOKUP(A76,Database!$A:$AS,MATCH($P$1,Database!$A$1:$AS$1,0),FALSE)</f>
        <v>101.71443295500001</v>
      </c>
      <c r="Q76" s="79">
        <f>(((Table134567891011121314151617343[[#This Row],[JPN]]-VLOOKUP($U$1,A:Q,16,))/VLOOKUP($U$1,A:Q,16,))*100)+100</f>
        <v>102.11920369333224</v>
      </c>
    </row>
    <row r="77" spans="1:17" s="83" customFormat="1" x14ac:dyDescent="0.2">
      <c r="A77" s="21">
        <v>35156</v>
      </c>
      <c r="B77" s="79">
        <f>VLOOKUP(A77,Database!$A:$AS,MATCH($B$1,Database!$A$1:$AS$1,0),FALSE)</f>
        <v>116.39030080800001</v>
      </c>
      <c r="C77" s="79">
        <f>VLOOKUP(A77,Database!$A:$AS,MATCH($C$1,Database!$A$1:$AS$1,0),FALSE)</f>
        <v>92.92</v>
      </c>
      <c r="D77" s="79">
        <f>VLOOKUP(A77,Database!$A:$AS,MATCH($D$1,Database!$A$1:$AS$1,0),FALSE)</f>
        <v>68.794267144000003</v>
      </c>
      <c r="E77" s="79">
        <f>VLOOKUP(A77,Database!$A:$AS,MATCH($E$1,Database!$A$1:$AS$1,0),FALSE)</f>
        <v>100.24408353699999</v>
      </c>
      <c r="F77" s="79">
        <f>VLOOKUP(A77,Database!$A:$AS,MATCH($F$1,Database!$A$1:$AS$1,0),FALSE)</f>
        <v>81</v>
      </c>
      <c r="G77" s="79">
        <f>VLOOKUP(A77,Database!$A:$AS,MATCH($G$1,Database!$A$1:$AS$1,0),FALSE)</f>
        <v>86.467108800999995</v>
      </c>
      <c r="H77" s="79">
        <f>(((Table134567891011121314151617343[[#This Row],[ITA]]-VLOOKUP($U$1,A:B,2,))/VLOOKUP($U$1,A:B,2,))*100)+100</f>
        <v>95.723684210339655</v>
      </c>
      <c r="I77" s="79">
        <f>(((Table134567891011121314151617343[[#This Row],[FRA]]-VLOOKUP($U$1,A:C,3,))/VLOOKUP($U$1,A:C,3,))*100)+100</f>
        <v>90.662503658893556</v>
      </c>
      <c r="J77" s="79">
        <f>(((Table134567891011121314151617343[[#This Row],[DEU]]-VLOOKUP($U$1,A:D,4,))/VLOOKUP($U$1,A:D,4,))*100)+100</f>
        <v>91.489361700995843</v>
      </c>
      <c r="K77" s="79">
        <f>(((Table134567891011121314151617343[[#This Row],[ESP]]-VLOOKUP($U$1,A:E,5,))/VLOOKUP($U$1,A:E,5,))*100)+100</f>
        <v>84.259897453183541</v>
      </c>
      <c r="L77" s="79">
        <f>(((Table134567891011121314151617343[[#This Row],[EA19]]-VLOOKUP($U$1,A:F,6,))/VLOOKUP($U$1,A:F,6,))*100)+100</f>
        <v>90.604026845637577</v>
      </c>
      <c r="M77" s="79">
        <f>(((Table134567891011121314151617343[[#This Row],[GBR]]-VLOOKUP($U$1,A:G,7,))/VLOOKUP($U$1,A:G,7,))*100)+100</f>
        <v>93.815635939253596</v>
      </c>
      <c r="N77" s="79">
        <f>VLOOKUP(A77,Database!$A:$AS,MATCH($N$1,Database!$A$1:$AS$1,0),FALSE)</f>
        <v>73.957673143999997</v>
      </c>
      <c r="O77" s="79">
        <f>(((Table134567891011121314151617343[[#This Row],[USA]]-VLOOKUP($U$1,A:N,14,))/VLOOKUP($U$1,A:N,14,))*100)+100</f>
        <v>85.142470477157104</v>
      </c>
      <c r="P77" s="79">
        <f>VLOOKUP(A77,Database!$A:$AS,MATCH($P$1,Database!$A$1:$AS$1,0),FALSE)</f>
        <v>102.018663562</v>
      </c>
      <c r="Q77" s="79">
        <f>(((Table134567891011121314151617343[[#This Row],[JPN]]-VLOOKUP($U$1,A:Q,16,))/VLOOKUP($U$1,A:Q,16,))*100)+100</f>
        <v>102.42464498050653</v>
      </c>
    </row>
    <row r="78" spans="1:17" s="83" customFormat="1" x14ac:dyDescent="0.2">
      <c r="A78" s="21">
        <v>35186</v>
      </c>
      <c r="B78" s="79">
        <f>VLOOKUP(A78,Database!$A:$AS,MATCH($B$1,Database!$A$1:$AS$1,0),FALSE)</f>
        <v>116.29030914099999</v>
      </c>
      <c r="C78" s="79">
        <f>VLOOKUP(A78,Database!$A:$AS,MATCH($C$1,Database!$A$1:$AS$1,0),FALSE)</f>
        <v>94.78</v>
      </c>
      <c r="D78" s="79">
        <f>VLOOKUP(A78,Database!$A:$AS,MATCH($D$1,Database!$A$1:$AS$1,0),FALSE)</f>
        <v>69.394217148999999</v>
      </c>
      <c r="E78" s="79">
        <f>VLOOKUP(A78,Database!$A:$AS,MATCH($E$1,Database!$A$1:$AS$1,0),FALSE)</f>
        <v>101.955084963</v>
      </c>
      <c r="F78" s="79">
        <f>VLOOKUP(A78,Database!$A:$AS,MATCH($F$1,Database!$A$1:$AS$1,0),FALSE)</f>
        <v>81.900000000000006</v>
      </c>
      <c r="G78" s="79">
        <f>VLOOKUP(A78,Database!$A:$AS,MATCH($G$1,Database!$A$1:$AS$1,0),FALSE)</f>
        <v>86.897293422000004</v>
      </c>
      <c r="H78" s="79">
        <f>(((Table134567891011121314151617343[[#This Row],[ITA]]-VLOOKUP($U$1,A:B,2,))/VLOOKUP($U$1,A:B,2,))*100)+100</f>
        <v>95.641447368531303</v>
      </c>
      <c r="I78" s="79">
        <f>(((Table134567891011121314151617343[[#This Row],[FRA]]-VLOOKUP($U$1,A:C,3,))/VLOOKUP($U$1,A:C,3,))*100)+100</f>
        <v>92.47731485998635</v>
      </c>
      <c r="J78" s="79">
        <f>(((Table134567891011121314151617343[[#This Row],[DEU]]-VLOOKUP($U$1,A:D,4,))/VLOOKUP($U$1,A:D,4,))*100)+100</f>
        <v>92.287234042524901</v>
      </c>
      <c r="K78" s="79">
        <f>(((Table134567891011121314151617343[[#This Row],[ESP]]-VLOOKUP($U$1,A:E,5,))/VLOOKUP($U$1,A:E,5,))*100)+100</f>
        <v>85.698075145174712</v>
      </c>
      <c r="L78" s="79">
        <f>(((Table134567891011121314151617343[[#This Row],[EA19]]-VLOOKUP($U$1,A:F,6,))/VLOOKUP($U$1,A:F,6,))*100)+100</f>
        <v>91.610738255033553</v>
      </c>
      <c r="M78" s="79">
        <f>(((Table134567891011121314151617343[[#This Row],[GBR]]-VLOOKUP($U$1,A:G,7,))/VLOOKUP($U$1,A:G,7,))*100)+100</f>
        <v>94.282380396770776</v>
      </c>
      <c r="N78" s="79">
        <f>VLOOKUP(A78,Database!$A:$AS,MATCH($N$1,Database!$A$1:$AS$1,0),FALSE)</f>
        <v>74.487760359000006</v>
      </c>
      <c r="O78" s="79">
        <f>(((Table134567891011121314151617343[[#This Row],[USA]]-VLOOKUP($U$1,A:N,14,))/VLOOKUP($U$1,A:N,14,))*100)+100</f>
        <v>85.752724060522013</v>
      </c>
      <c r="P78" s="79">
        <f>VLOOKUP(A78,Database!$A:$AS,MATCH($P$1,Database!$A$1:$AS$1,0),FALSE)</f>
        <v>102.627124776</v>
      </c>
      <c r="Q78" s="79">
        <f>(((Table134567891011121314151617343[[#This Row],[JPN]]-VLOOKUP($U$1,A:Q,16,))/VLOOKUP($U$1,A:Q,16,))*100)+100</f>
        <v>103.03552755485514</v>
      </c>
    </row>
    <row r="79" spans="1:17" s="83" customFormat="1" x14ac:dyDescent="0.2">
      <c r="A79" s="21">
        <v>35217</v>
      </c>
      <c r="B79" s="79">
        <f>VLOOKUP(A79,Database!$A:$AS,MATCH($B$1,Database!$A$1:$AS$1,0),FALSE)</f>
        <v>116.49029247599999</v>
      </c>
      <c r="C79" s="79">
        <f>VLOOKUP(A79,Database!$A:$AS,MATCH($C$1,Database!$A$1:$AS$1,0),FALSE)</f>
        <v>94.04</v>
      </c>
      <c r="D79" s="79">
        <f>VLOOKUP(A79,Database!$A:$AS,MATCH($D$1,Database!$A$1:$AS$1,0),FALSE)</f>
        <v>69.794183817999993</v>
      </c>
      <c r="E79" s="79">
        <f>VLOOKUP(A79,Database!$A:$AS,MATCH($E$1,Database!$A$1:$AS$1,0),FALSE)</f>
        <v>103.730086442</v>
      </c>
      <c r="F79" s="79">
        <f>VLOOKUP(A79,Database!$A:$AS,MATCH($F$1,Database!$A$1:$AS$1,0),FALSE)</f>
        <v>81.900000000000006</v>
      </c>
      <c r="G79" s="79">
        <f>VLOOKUP(A79,Database!$A:$AS,MATCH($G$1,Database!$A$1:$AS$1,0),FALSE)</f>
        <v>86.574654956000003</v>
      </c>
      <c r="H79" s="79">
        <f>(((Table134567891011121314151617343[[#This Row],[ITA]]-VLOOKUP($U$1,A:B,2,))/VLOOKUP($U$1,A:B,2,))*100)+100</f>
        <v>95.805921052970433</v>
      </c>
      <c r="I79" s="79">
        <f>(((Table134567891011121314151617343[[#This Row],[FRA]]-VLOOKUP($U$1,A:C,3,))/VLOOKUP($U$1,A:C,3,))*100)+100</f>
        <v>91.755293199336535</v>
      </c>
      <c r="J79" s="79">
        <f>(((Table134567891011121314151617343[[#This Row],[DEU]]-VLOOKUP($U$1,A:D,4,))/VLOOKUP($U$1,A:D,4,))*100)+100</f>
        <v>92.819148935547702</v>
      </c>
      <c r="K79" s="79">
        <f>(((Table134567891011121314151617343[[#This Row],[ESP]]-VLOOKUP($U$1,A:E,5,))/VLOOKUP($U$1,A:E,5,))*100)+100</f>
        <v>87.190047911274021</v>
      </c>
      <c r="L79" s="79">
        <f>(((Table134567891011121314151617343[[#This Row],[EA19]]-VLOOKUP($U$1,A:F,6,))/VLOOKUP($U$1,A:F,6,))*100)+100</f>
        <v>91.610738255033553</v>
      </c>
      <c r="M79" s="79">
        <f>(((Table134567891011121314151617343[[#This Row],[GBR]]-VLOOKUP($U$1,A:G,7,))/VLOOKUP($U$1,A:G,7,))*100)+100</f>
        <v>93.932322053361645</v>
      </c>
      <c r="N79" s="79">
        <f>VLOOKUP(A79,Database!$A:$AS,MATCH($N$1,Database!$A$1:$AS$1,0),FALSE)</f>
        <v>75.051746195999996</v>
      </c>
      <c r="O79" s="79">
        <f>(((Table134567891011121314151617343[[#This Row],[USA]]-VLOOKUP($U$1,A:N,14,))/VLOOKUP($U$1,A:N,14,))*100)+100</f>
        <v>86.402002836272715</v>
      </c>
      <c r="P79" s="79">
        <f>VLOOKUP(A79,Database!$A:$AS,MATCH($P$1,Database!$A$1:$AS$1,0),FALSE)</f>
        <v>102.829945181</v>
      </c>
      <c r="Q79" s="79">
        <f>(((Table134567891011121314151617343[[#This Row],[JPN]]-VLOOKUP($U$1,A:Q,16,))/VLOOKUP($U$1,A:Q,16,))*100)+100</f>
        <v>103.23915507997265</v>
      </c>
    </row>
    <row r="80" spans="1:17" s="83" customFormat="1" x14ac:dyDescent="0.2">
      <c r="A80" s="21">
        <v>35247</v>
      </c>
      <c r="B80" s="79">
        <f>VLOOKUP(A80,Database!$A:$AS,MATCH($B$1,Database!$A$1:$AS$1,0),FALSE)</f>
        <v>116.39030080800001</v>
      </c>
      <c r="C80" s="79">
        <f>VLOOKUP(A80,Database!$A:$AS,MATCH($C$1,Database!$A$1:$AS$1,0),FALSE)</f>
        <v>92.37</v>
      </c>
      <c r="D80" s="79">
        <f>VLOOKUP(A80,Database!$A:$AS,MATCH($D$1,Database!$A$1:$AS$1,0),FALSE)</f>
        <v>68.994250479000002</v>
      </c>
      <c r="E80" s="79">
        <f>VLOOKUP(A80,Database!$A:$AS,MATCH($E$1,Database!$A$1:$AS$1,0),FALSE)</f>
        <v>101.75908479899999</v>
      </c>
      <c r="F80" s="79">
        <f>VLOOKUP(A80,Database!$A:$AS,MATCH($F$1,Database!$A$1:$AS$1,0),FALSE)</f>
        <v>81.2</v>
      </c>
      <c r="G80" s="79">
        <f>VLOOKUP(A80,Database!$A:$AS,MATCH($G$1,Database!$A$1:$AS$1,0),FALSE)</f>
        <v>86.467108800999995</v>
      </c>
      <c r="H80" s="79">
        <f>(((Table134567891011121314151617343[[#This Row],[ITA]]-VLOOKUP($U$1,A:B,2,))/VLOOKUP($U$1,A:B,2,))*100)+100</f>
        <v>95.723684210339655</v>
      </c>
      <c r="I80" s="79">
        <f>(((Table134567891011121314151617343[[#This Row],[FRA]]-VLOOKUP($U$1,A:C,3,))/VLOOKUP($U$1,A:C,3,))*100)+100</f>
        <v>90.125865938140322</v>
      </c>
      <c r="J80" s="79">
        <f>(((Table134567891011121314151617343[[#This Row],[DEU]]-VLOOKUP($U$1,A:D,4,))/VLOOKUP($U$1,A:D,4,))*100)+100</f>
        <v>91.755319148172191</v>
      </c>
      <c r="K80" s="79">
        <f>(((Table134567891011121314151617343[[#This Row],[ESP]]-VLOOKUP($U$1,A:E,5,))/VLOOKUP($U$1,A:E,5,))*100)+100</f>
        <v>85.533327729300012</v>
      </c>
      <c r="L80" s="79">
        <f>(((Table134567891011121314151617343[[#This Row],[EA19]]-VLOOKUP($U$1,A:F,6,))/VLOOKUP($U$1,A:F,6,))*100)+100</f>
        <v>90.827740492170022</v>
      </c>
      <c r="M80" s="79">
        <f>(((Table134567891011121314151617343[[#This Row],[GBR]]-VLOOKUP($U$1,A:G,7,))/VLOOKUP($U$1,A:G,7,))*100)+100</f>
        <v>93.815635939253596</v>
      </c>
      <c r="N80" s="79">
        <f>VLOOKUP(A80,Database!$A:$AS,MATCH($N$1,Database!$A$1:$AS$1,0),FALSE)</f>
        <v>75.051647076999998</v>
      </c>
      <c r="O80" s="79">
        <f>(((Table134567891011121314151617343[[#This Row],[USA]]-VLOOKUP($U$1,A:N,14,))/VLOOKUP($U$1,A:N,14,))*100)+100</f>
        <v>86.40188872726722</v>
      </c>
      <c r="P80" s="79">
        <f>VLOOKUP(A80,Database!$A:$AS,MATCH($P$1,Database!$A$1:$AS$1,0),FALSE)</f>
        <v>103.438406395</v>
      </c>
      <c r="Q80" s="79">
        <f>(((Table134567891011121314151617343[[#This Row],[JPN]]-VLOOKUP($U$1,A:Q,16,))/VLOOKUP($U$1,A:Q,16,))*100)+100</f>
        <v>103.85003765432126</v>
      </c>
    </row>
    <row r="81" spans="1:17" s="83" customFormat="1" x14ac:dyDescent="0.2">
      <c r="A81" s="21">
        <v>35278</v>
      </c>
      <c r="B81" s="79">
        <f>VLOOKUP(A81,Database!$A:$AS,MATCH($B$1,Database!$A$1:$AS$1,0),FALSE)</f>
        <v>116.990250812</v>
      </c>
      <c r="C81" s="79">
        <f>VLOOKUP(A81,Database!$A:$AS,MATCH($C$1,Database!$A$1:$AS$1,0),FALSE)</f>
        <v>94.38</v>
      </c>
      <c r="D81" s="79">
        <f>VLOOKUP(A81,Database!$A:$AS,MATCH($D$1,Database!$A$1:$AS$1,0),FALSE)</f>
        <v>69.894175485000005</v>
      </c>
      <c r="E81" s="79">
        <f>VLOOKUP(A81,Database!$A:$AS,MATCH($E$1,Database!$A$1:$AS$1,0),FALSE)</f>
        <v>102.781085651</v>
      </c>
      <c r="F81" s="79">
        <f>VLOOKUP(A81,Database!$A:$AS,MATCH($F$1,Database!$A$1:$AS$1,0),FALSE)</f>
        <v>82.2</v>
      </c>
      <c r="G81" s="79">
        <f>VLOOKUP(A81,Database!$A:$AS,MATCH($G$1,Database!$A$1:$AS$1,0),FALSE)</f>
        <v>87.112385732000007</v>
      </c>
      <c r="H81" s="79">
        <f>(((Table134567891011121314151617343[[#This Row],[ITA]]-VLOOKUP($U$1,A:B,2,))/VLOOKUP($U$1,A:B,2,))*100)+100</f>
        <v>96.217105262834608</v>
      </c>
      <c r="I81" s="79">
        <f>(((Table134567891011121314151617343[[#This Row],[FRA]]-VLOOKUP($U$1,A:C,3,))/VLOOKUP($U$1,A:C,3,))*100)+100</f>
        <v>92.087032881256704</v>
      </c>
      <c r="J81" s="79">
        <f>(((Table134567891011121314151617343[[#This Row],[DEU]]-VLOOKUP($U$1,A:D,4,))/VLOOKUP($U$1,A:D,4,))*100)+100</f>
        <v>92.952127658470943</v>
      </c>
      <c r="K81" s="79">
        <f>(((Table134567891011121314151617343[[#This Row],[ESP]]-VLOOKUP($U$1,A:E,5,))/VLOOKUP($U$1,A:E,5,))*100)+100</f>
        <v>86.392367823719169</v>
      </c>
      <c r="L81" s="79">
        <f>(((Table134567891011121314151617343[[#This Row],[EA19]]-VLOOKUP($U$1,A:F,6,))/VLOOKUP($U$1,A:F,6,))*100)+100</f>
        <v>91.946308724832207</v>
      </c>
      <c r="M81" s="79">
        <f>(((Table134567891011121314151617343[[#This Row],[GBR]]-VLOOKUP($U$1,A:G,7,))/VLOOKUP($U$1,A:G,7,))*100)+100</f>
        <v>94.515752624986888</v>
      </c>
      <c r="N81" s="79">
        <f>VLOOKUP(A81,Database!$A:$AS,MATCH($N$1,Database!$A$1:$AS$1,0),FALSE)</f>
        <v>75.416998887000005</v>
      </c>
      <c r="O81" s="79">
        <f>(((Table134567891011121314151617343[[#This Row],[USA]]-VLOOKUP($U$1,A:N,14,))/VLOOKUP($U$1,A:N,14,))*100)+100</f>
        <v>86.822493572908243</v>
      </c>
      <c r="P81" s="79">
        <f>VLOOKUP(A81,Database!$A:$AS,MATCH($P$1,Database!$A$1:$AS$1,0),FALSE)</f>
        <v>103.539816597</v>
      </c>
      <c r="Q81" s="79">
        <f>(((Table134567891011121314151617343[[#This Row],[JPN]]-VLOOKUP($U$1,A:Q,16,))/VLOOKUP($U$1,A:Q,16,))*100)+100</f>
        <v>103.95185141637802</v>
      </c>
    </row>
    <row r="82" spans="1:17" s="83" customFormat="1" x14ac:dyDescent="0.2">
      <c r="A82" s="21">
        <v>35309</v>
      </c>
      <c r="B82" s="79">
        <f>VLOOKUP(A82,Database!$A:$AS,MATCH($B$1,Database!$A$1:$AS$1,0),FALSE)</f>
        <v>115.39038413500001</v>
      </c>
      <c r="C82" s="79">
        <f>VLOOKUP(A82,Database!$A:$AS,MATCH($C$1,Database!$A$1:$AS$1,0),FALSE)</f>
        <v>94.52</v>
      </c>
      <c r="D82" s="79">
        <f>VLOOKUP(A82,Database!$A:$AS,MATCH($D$1,Database!$A$1:$AS$1,0),FALSE)</f>
        <v>70.494125490000002</v>
      </c>
      <c r="E82" s="79">
        <f>VLOOKUP(A82,Database!$A:$AS,MATCH($E$1,Database!$A$1:$AS$1,0),FALSE)</f>
        <v>103.23208602699999</v>
      </c>
      <c r="F82" s="79">
        <f>VLOOKUP(A82,Database!$A:$AS,MATCH($F$1,Database!$A$1:$AS$1,0),FALSE)</f>
        <v>82.2</v>
      </c>
      <c r="G82" s="79">
        <f>VLOOKUP(A82,Database!$A:$AS,MATCH($G$1,Database!$A$1:$AS$1,0),FALSE)</f>
        <v>87.650116507999996</v>
      </c>
      <c r="H82" s="79">
        <f>(((Table134567891011121314151617343[[#This Row],[ITA]]-VLOOKUP($U$1,A:B,2,))/VLOOKUP($U$1,A:B,2,))*100)+100</f>
        <v>94.901315789788868</v>
      </c>
      <c r="I82" s="79">
        <f>(((Table134567891011121314151617343[[#This Row],[FRA]]-VLOOKUP($U$1,A:C,3,))/VLOOKUP($U$1,A:C,3,))*100)+100</f>
        <v>92.223631573812085</v>
      </c>
      <c r="J82" s="79">
        <f>(((Table134567891011121314151617343[[#This Row],[DEU]]-VLOOKUP($U$1,A:D,4,))/VLOOKUP($U$1,A:D,4,))*100)+100</f>
        <v>93.750000000000014</v>
      </c>
      <c r="K82" s="79">
        <f>(((Table134567891011121314151617343[[#This Row],[ESP]]-VLOOKUP($U$1,A:E,5,))/VLOOKUP($U$1,A:E,5,))*100)+100</f>
        <v>86.771454988689669</v>
      </c>
      <c r="L82" s="79">
        <f>(((Table134567891011121314151617343[[#This Row],[EA19]]-VLOOKUP($U$1,A:F,6,))/VLOOKUP($U$1,A:F,6,))*100)+100</f>
        <v>91.946308724832207</v>
      </c>
      <c r="M82" s="79">
        <f>(((Table134567891011121314151617343[[#This Row],[GBR]]-VLOOKUP($U$1,A:G,7,))/VLOOKUP($U$1,A:G,7,))*100)+100</f>
        <v>95.099183196612103</v>
      </c>
      <c r="N82" s="79">
        <f>VLOOKUP(A82,Database!$A:$AS,MATCH($N$1,Database!$A$1:$AS$1,0),FALSE)</f>
        <v>75.920918744999994</v>
      </c>
      <c r="O82" s="79">
        <f>(((Table134567891011121314151617343[[#This Row],[USA]]-VLOOKUP($U$1,A:N,14,))/VLOOKUP($U$1,A:N,14,))*100)+100</f>
        <v>87.402622446745013</v>
      </c>
      <c r="P82" s="79">
        <f>VLOOKUP(A82,Database!$A:$AS,MATCH($P$1,Database!$A$1:$AS$1,0),FALSE)</f>
        <v>104.655328823</v>
      </c>
      <c r="Q82" s="79">
        <f>(((Table134567891011121314151617343[[#This Row],[JPN]]-VLOOKUP($U$1,A:Q,16,))/VLOOKUP($U$1,A:Q,16,))*100)+100</f>
        <v>105.07180280301846</v>
      </c>
    </row>
    <row r="83" spans="1:17" s="83" customFormat="1" x14ac:dyDescent="0.2">
      <c r="A83" s="21">
        <v>35339</v>
      </c>
      <c r="B83" s="79">
        <f>VLOOKUP(A83,Database!$A:$AS,MATCH($B$1,Database!$A$1:$AS$1,0),FALSE)</f>
        <v>115.890342471</v>
      </c>
      <c r="C83" s="79">
        <f>VLOOKUP(A83,Database!$A:$AS,MATCH($C$1,Database!$A$1:$AS$1,0),FALSE)</f>
        <v>93.55</v>
      </c>
      <c r="D83" s="79">
        <f>VLOOKUP(A83,Database!$A:$AS,MATCH($D$1,Database!$A$1:$AS$1,0),FALSE)</f>
        <v>69.494208815999997</v>
      </c>
      <c r="E83" s="79">
        <f>VLOOKUP(A83,Database!$A:$AS,MATCH($E$1,Database!$A$1:$AS$1,0),FALSE)</f>
        <v>103.269086058</v>
      </c>
      <c r="F83" s="79">
        <f>VLOOKUP(A83,Database!$A:$AS,MATCH($F$1,Database!$A$1:$AS$1,0),FALSE)</f>
        <v>81.8</v>
      </c>
      <c r="G83" s="79">
        <f>VLOOKUP(A83,Database!$A:$AS,MATCH($G$1,Database!$A$1:$AS$1,0),FALSE)</f>
        <v>87.435024197999994</v>
      </c>
      <c r="H83" s="79">
        <f>(((Table134567891011121314151617343[[#This Row],[ITA]]-VLOOKUP($U$1,A:B,2,))/VLOOKUP($U$1,A:B,2,))*100)+100</f>
        <v>95.312499999653042</v>
      </c>
      <c r="I83" s="79">
        <f>(((Table134567891011121314151617343[[#This Row],[FRA]]-VLOOKUP($U$1,A:C,3,))/VLOOKUP($U$1,A:C,3,))*100)+100</f>
        <v>91.277197775392722</v>
      </c>
      <c r="J83" s="79">
        <f>(((Table134567891011121314151617343[[#This Row],[DEU]]-VLOOKUP($U$1,A:D,4,))/VLOOKUP($U$1,A:D,4,))*100)+100</f>
        <v>92.420212765448127</v>
      </c>
      <c r="K83" s="79">
        <f>(((Table134567891011121314151617343[[#This Row],[ESP]]-VLOOKUP($U$1,A:E,5,))/VLOOKUP($U$1,A:E,5,))*100)+100</f>
        <v>86.802555266210518</v>
      </c>
      <c r="L83" s="79">
        <f>(((Table134567891011121314151617343[[#This Row],[EA19]]-VLOOKUP($U$1,A:F,6,))/VLOOKUP($U$1,A:F,6,))*100)+100</f>
        <v>91.49888143176733</v>
      </c>
      <c r="M83" s="79">
        <f>(((Table134567891011121314151617343[[#This Row],[GBR]]-VLOOKUP($U$1,A:G,7,))/VLOOKUP($U$1,A:G,7,))*100)+100</f>
        <v>94.865810968396005</v>
      </c>
      <c r="N83" s="79">
        <f>VLOOKUP(A83,Database!$A:$AS,MATCH($N$1,Database!$A$1:$AS$1,0),FALSE)</f>
        <v>75.891480469000001</v>
      </c>
      <c r="O83" s="79">
        <f>(((Table134567891011121314151617343[[#This Row],[USA]]-VLOOKUP($U$1,A:N,14,))/VLOOKUP($U$1,A:N,14,))*100)+100</f>
        <v>87.368732149245417</v>
      </c>
      <c r="P83" s="79">
        <f>VLOOKUP(A83,Database!$A:$AS,MATCH($P$1,Database!$A$1:$AS$1,0),FALSE)</f>
        <v>105.26379003700001</v>
      </c>
      <c r="Q83" s="79">
        <f>(((Table134567891011121314151617343[[#This Row],[JPN]]-VLOOKUP($U$1,A:Q,16,))/VLOOKUP($U$1,A:Q,16,))*100)+100</f>
        <v>105.68268537736705</v>
      </c>
    </row>
    <row r="84" spans="1:17" s="83" customFormat="1" x14ac:dyDescent="0.2">
      <c r="A84" s="21">
        <v>35370</v>
      </c>
      <c r="B84" s="79">
        <f>VLOOKUP(A84,Database!$A:$AS,MATCH($B$1,Database!$A$1:$AS$1,0),FALSE)</f>
        <v>115.39038413500001</v>
      </c>
      <c r="C84" s="79">
        <f>VLOOKUP(A84,Database!$A:$AS,MATCH($C$1,Database!$A$1:$AS$1,0),FALSE)</f>
        <v>94.69</v>
      </c>
      <c r="D84" s="79">
        <f>VLOOKUP(A84,Database!$A:$AS,MATCH($D$1,Database!$A$1:$AS$1,0),FALSE)</f>
        <v>70.494125490000002</v>
      </c>
      <c r="E84" s="79">
        <f>VLOOKUP(A84,Database!$A:$AS,MATCH($E$1,Database!$A$1:$AS$1,0),FALSE)</f>
        <v>104.810087342</v>
      </c>
      <c r="F84" s="79">
        <f>VLOOKUP(A84,Database!$A:$AS,MATCH($F$1,Database!$A$1:$AS$1,0),FALSE)</f>
        <v>82.5</v>
      </c>
      <c r="G84" s="79">
        <f>VLOOKUP(A84,Database!$A:$AS,MATCH($G$1,Database!$A$1:$AS$1,0),FALSE)</f>
        <v>87.865208819000003</v>
      </c>
      <c r="H84" s="79">
        <f>(((Table134567891011121314151617343[[#This Row],[ITA]]-VLOOKUP($U$1,A:B,2,))/VLOOKUP($U$1,A:B,2,))*100)+100</f>
        <v>94.901315789788868</v>
      </c>
      <c r="I84" s="79">
        <f>(((Table134567891011121314151617343[[#This Row],[FRA]]-VLOOKUP($U$1,A:C,3,))/VLOOKUP($U$1,A:C,3,))*100)+100</f>
        <v>92.38950141477217</v>
      </c>
      <c r="J84" s="79">
        <f>(((Table134567891011121314151617343[[#This Row],[DEU]]-VLOOKUP($U$1,A:D,4,))/VLOOKUP($U$1,A:D,4,))*100)+100</f>
        <v>93.750000000000014</v>
      </c>
      <c r="K84" s="79">
        <f>(((Table134567891011121314151617343[[#This Row],[ESP]]-VLOOKUP($U$1,A:E,5,))/VLOOKUP($U$1,A:E,5,))*100)+100</f>
        <v>88.097839791577442</v>
      </c>
      <c r="L84" s="79">
        <f>(((Table134567891011121314151617343[[#This Row],[EA19]]-VLOOKUP($U$1,A:F,6,))/VLOOKUP($U$1,A:F,6,))*100)+100</f>
        <v>92.281879194630861</v>
      </c>
      <c r="M84" s="79">
        <f>(((Table134567891011121314151617343[[#This Row],[GBR]]-VLOOKUP($U$1,A:G,7,))/VLOOKUP($U$1,A:G,7,))*100)+100</f>
        <v>95.332555425913185</v>
      </c>
      <c r="N84" s="79">
        <f>VLOOKUP(A84,Database!$A:$AS,MATCH($N$1,Database!$A$1:$AS$1,0),FALSE)</f>
        <v>76.568560829000006</v>
      </c>
      <c r="O84" s="79">
        <f>(((Table134567891011121314151617343[[#This Row],[USA]]-VLOOKUP($U$1,A:N,14,))/VLOOKUP($U$1,A:N,14,))*100)+100</f>
        <v>88.148209005551038</v>
      </c>
      <c r="P84" s="79">
        <f>VLOOKUP(A84,Database!$A:$AS,MATCH($P$1,Database!$A$1:$AS$1,0),FALSE)</f>
        <v>105.770841049</v>
      </c>
      <c r="Q84" s="79">
        <f>(((Table134567891011121314151617343[[#This Row],[JPN]]-VLOOKUP($U$1,A:Q,16,))/VLOOKUP($U$1,A:Q,16,))*100)+100</f>
        <v>106.19175418965887</v>
      </c>
    </row>
    <row r="85" spans="1:17" s="83" customFormat="1" x14ac:dyDescent="0.2">
      <c r="A85" s="21">
        <v>35400</v>
      </c>
      <c r="B85" s="79">
        <f>VLOOKUP(A85,Database!$A:$AS,MATCH($B$1,Database!$A$1:$AS$1,0),FALSE)</f>
        <v>115.09040913299999</v>
      </c>
      <c r="C85" s="79">
        <f>VLOOKUP(A85,Database!$A:$AS,MATCH($C$1,Database!$A$1:$AS$1,0),FALSE)</f>
        <v>94.85</v>
      </c>
      <c r="D85" s="79">
        <f>VLOOKUP(A85,Database!$A:$AS,MATCH($D$1,Database!$A$1:$AS$1,0),FALSE)</f>
        <v>70.494125490000002</v>
      </c>
      <c r="E85" s="79">
        <f>VLOOKUP(A85,Database!$A:$AS,MATCH($E$1,Database!$A$1:$AS$1,0),FALSE)</f>
        <v>103.193085994</v>
      </c>
      <c r="F85" s="79">
        <f>VLOOKUP(A85,Database!$A:$AS,MATCH($F$1,Database!$A$1:$AS$1,0),FALSE)</f>
        <v>82.4</v>
      </c>
      <c r="G85" s="79">
        <f>VLOOKUP(A85,Database!$A:$AS,MATCH($G$1,Database!$A$1:$AS$1,0),FALSE)</f>
        <v>88.295393439999998</v>
      </c>
      <c r="H85" s="79">
        <f>(((Table134567891011121314151617343[[#This Row],[ITA]]-VLOOKUP($U$1,A:B,2,))/VLOOKUP($U$1,A:B,2,))*100)+100</f>
        <v>94.654605263541384</v>
      </c>
      <c r="I85" s="79">
        <f>(((Table134567891011121314151617343[[#This Row],[FRA]]-VLOOKUP($U$1,A:C,3,))/VLOOKUP($U$1,A:C,3,))*100)+100</f>
        <v>92.54561420626402</v>
      </c>
      <c r="J85" s="79">
        <f>(((Table134567891011121314151617343[[#This Row],[DEU]]-VLOOKUP($U$1,A:D,4,))/VLOOKUP($U$1,A:D,4,))*100)+100</f>
        <v>93.750000000000014</v>
      </c>
      <c r="K85" s="79">
        <f>(((Table134567891011121314151617343[[#This Row],[ESP]]-VLOOKUP($U$1,A:E,5,))/VLOOKUP($U$1,A:E,5,))*100)+100</f>
        <v>86.73867361481399</v>
      </c>
      <c r="L85" s="79">
        <f>(((Table134567891011121314151617343[[#This Row],[EA19]]-VLOOKUP($U$1,A:F,6,))/VLOOKUP($U$1,A:F,6,))*100)+100</f>
        <v>92.170022371364652</v>
      </c>
      <c r="M85" s="79">
        <f>(((Table134567891011121314151617343[[#This Row],[GBR]]-VLOOKUP($U$1,A:G,7,))/VLOOKUP($U$1,A:G,7,))*100)+100</f>
        <v>95.799299883430365</v>
      </c>
      <c r="N85" s="79">
        <f>VLOOKUP(A85,Database!$A:$AS,MATCH($N$1,Database!$A$1:$AS$1,0),FALSE)</f>
        <v>77.049187774999993</v>
      </c>
      <c r="O85" s="79">
        <f>(((Table134567891011121314151617343[[#This Row],[USA]]-VLOOKUP($U$1,A:N,14,))/VLOOKUP($U$1,A:N,14,))*100)+100</f>
        <v>88.701522324111679</v>
      </c>
      <c r="P85" s="79">
        <f>VLOOKUP(A85,Database!$A:$AS,MATCH($P$1,Database!$A$1:$AS$1,0),FALSE)</f>
        <v>106.784943072</v>
      </c>
      <c r="Q85" s="79">
        <f>(((Table134567891011121314151617343[[#This Row],[JPN]]-VLOOKUP($U$1,A:Q,16,))/VLOOKUP($U$1,A:Q,16,))*100)+100</f>
        <v>107.20989181323854</v>
      </c>
    </row>
    <row r="86" spans="1:17" s="83" customFormat="1" x14ac:dyDescent="0.2">
      <c r="A86" s="21">
        <v>35431</v>
      </c>
      <c r="B86" s="79">
        <f>VLOOKUP(A86,Database!$A:$AS,MATCH($B$1,Database!$A$1:$AS$1,0),FALSE)</f>
        <v>115.990334139</v>
      </c>
      <c r="C86" s="79">
        <f>VLOOKUP(A86,Database!$A:$AS,MATCH($C$1,Database!$A$1:$AS$1,0),FALSE)</f>
        <v>94.03</v>
      </c>
      <c r="D86" s="79">
        <f>VLOOKUP(A86,Database!$A:$AS,MATCH($D$1,Database!$A$1:$AS$1,0),FALSE)</f>
        <v>69.594200482999995</v>
      </c>
      <c r="E86" s="79">
        <f>VLOOKUP(A86,Database!$A:$AS,MATCH($E$1,Database!$A$1:$AS$1,0),FALSE)</f>
        <v>106.057088381</v>
      </c>
      <c r="F86" s="79">
        <f>VLOOKUP(A86,Database!$A:$AS,MATCH($F$1,Database!$A$1:$AS$1,0),FALSE)</f>
        <v>82.6</v>
      </c>
      <c r="G86" s="79">
        <f>VLOOKUP(A86,Database!$A:$AS,MATCH($G$1,Database!$A$1:$AS$1,0),FALSE)</f>
        <v>88.187847284</v>
      </c>
      <c r="H86" s="79">
        <f>(((Table134567891011121314151617343[[#This Row],[ITA]]-VLOOKUP($U$1,A:B,2,))/VLOOKUP($U$1,A:B,2,))*100)+100</f>
        <v>95.39473684228382</v>
      </c>
      <c r="I86" s="79">
        <f>(((Table134567891011121314151617343[[#This Row],[FRA]]-VLOOKUP($U$1,A:C,3,))/VLOOKUP($U$1,A:C,3,))*100)+100</f>
        <v>91.745536149868286</v>
      </c>
      <c r="J86" s="79">
        <f>(((Table134567891011121314151617343[[#This Row],[DEU]]-VLOOKUP($U$1,A:D,4,))/VLOOKUP($U$1,A:D,4,))*100)+100</f>
        <v>92.553191488371354</v>
      </c>
      <c r="K86" s="79">
        <f>(((Table134567891011121314151617343[[#This Row],[ESP]]-VLOOKUP($U$1,A:E,5,))/VLOOKUP($U$1,A:E,5,))*100)+100</f>
        <v>89.146003193972859</v>
      </c>
      <c r="L86" s="79">
        <f>(((Table134567891011121314151617343[[#This Row],[EA19]]-VLOOKUP($U$1,A:F,6,))/VLOOKUP($U$1,A:F,6,))*100)+100</f>
        <v>92.393736017897083</v>
      </c>
      <c r="M86" s="79">
        <f>(((Table134567891011121314151617343[[#This Row],[GBR]]-VLOOKUP($U$1,A:G,7,))/VLOOKUP($U$1,A:G,7,))*100)+100</f>
        <v>95.682613768237331</v>
      </c>
      <c r="N86" s="79">
        <f>VLOOKUP(A86,Database!$A:$AS,MATCH($N$1,Database!$A$1:$AS$1,0),FALSE)</f>
        <v>77.184881379999993</v>
      </c>
      <c r="O86" s="79">
        <f>(((Table134567891011121314151617343[[#This Row],[USA]]-VLOOKUP($U$1,A:N,14,))/VLOOKUP($U$1,A:N,14,))*100)+100</f>
        <v>88.857737200357946</v>
      </c>
      <c r="P86" s="79">
        <f>VLOOKUP(A86,Database!$A:$AS,MATCH($P$1,Database!$A$1:$AS$1,0),FALSE)</f>
        <v>108.40750631</v>
      </c>
      <c r="Q86" s="79">
        <f>(((Table134567891011121314151617343[[#This Row],[JPN]]-VLOOKUP($U$1,A:Q,16,))/VLOOKUP($U$1,A:Q,16,))*100)+100</f>
        <v>108.83891201217079</v>
      </c>
    </row>
    <row r="87" spans="1:17" s="83" customFormat="1" x14ac:dyDescent="0.2">
      <c r="A87" s="21">
        <v>35462</v>
      </c>
      <c r="B87" s="79">
        <f>VLOOKUP(A87,Database!$A:$AS,MATCH($B$1,Database!$A$1:$AS$1,0),FALSE)</f>
        <v>117.990167486</v>
      </c>
      <c r="C87" s="79">
        <f>VLOOKUP(A87,Database!$A:$AS,MATCH($C$1,Database!$A$1:$AS$1,0),FALSE)</f>
        <v>94.79</v>
      </c>
      <c r="D87" s="79">
        <f>VLOOKUP(A87,Database!$A:$AS,MATCH($D$1,Database!$A$1:$AS$1,0),FALSE)</f>
        <v>70.594117156999999</v>
      </c>
      <c r="E87" s="79">
        <f>VLOOKUP(A87,Database!$A:$AS,MATCH($E$1,Database!$A$1:$AS$1,0),FALSE)</f>
        <v>104.855087379</v>
      </c>
      <c r="F87" s="79">
        <f>VLOOKUP(A87,Database!$A:$AS,MATCH($F$1,Database!$A$1:$AS$1,0),FALSE)</f>
        <v>83.1</v>
      </c>
      <c r="G87" s="79">
        <f>VLOOKUP(A87,Database!$A:$AS,MATCH($G$1,Database!$A$1:$AS$1,0),FALSE)</f>
        <v>88.402939595000007</v>
      </c>
      <c r="H87" s="79">
        <f>(((Table134567891011121314151617343[[#This Row],[ITA]]-VLOOKUP($U$1,A:B,2,))/VLOOKUP($U$1,A:B,2,))*100)+100</f>
        <v>97.039473684207834</v>
      </c>
      <c r="I87" s="79">
        <f>(((Table134567891011121314151617343[[#This Row],[FRA]]-VLOOKUP($U$1,A:C,3,))/VLOOKUP($U$1,A:C,3,))*100)+100</f>
        <v>92.487071909454585</v>
      </c>
      <c r="J87" s="79">
        <f>(((Table134567891011121314151617343[[#This Row],[DEU]]-VLOOKUP($U$1,A:D,4,))/VLOOKUP($U$1,A:D,4,))*100)+100</f>
        <v>93.882978722923241</v>
      </c>
      <c r="K87" s="79">
        <f>(((Table134567891011121314151617343[[#This Row],[ESP]]-VLOOKUP($U$1,A:E,5,))/VLOOKUP($U$1,A:E,5,))*100)+100</f>
        <v>88.135664452836465</v>
      </c>
      <c r="L87" s="79">
        <f>(((Table134567891011121314151617343[[#This Row],[EA19]]-VLOOKUP($U$1,A:F,6,))/VLOOKUP($U$1,A:F,6,))*100)+100</f>
        <v>92.953020134228183</v>
      </c>
      <c r="M87" s="79">
        <f>(((Table134567891011121314151617343[[#This Row],[GBR]]-VLOOKUP($U$1,A:G,7,))/VLOOKUP($U$1,A:G,7,))*100)+100</f>
        <v>95.915985997538428</v>
      </c>
      <c r="N87" s="79">
        <f>VLOOKUP(A87,Database!$A:$AS,MATCH($N$1,Database!$A$1:$AS$1,0),FALSE)</f>
        <v>78.104901861000002</v>
      </c>
      <c r="O87" s="79">
        <f>(((Table134567891011121314151617343[[#This Row],[USA]]-VLOOKUP($U$1,A:N,14,))/VLOOKUP($U$1,A:N,14,))*100)+100</f>
        <v>89.916894598257755</v>
      </c>
      <c r="P87" s="79">
        <f>VLOOKUP(A87,Database!$A:$AS,MATCH($P$1,Database!$A$1:$AS$1,0),FALSE)</f>
        <v>108.40750631</v>
      </c>
      <c r="Q87" s="79">
        <f>(((Table134567891011121314151617343[[#This Row],[JPN]]-VLOOKUP($U$1,A:Q,16,))/VLOOKUP($U$1,A:Q,16,))*100)+100</f>
        <v>108.83891201217079</v>
      </c>
    </row>
    <row r="88" spans="1:17" s="83" customFormat="1" x14ac:dyDescent="0.2">
      <c r="A88" s="21">
        <v>35490</v>
      </c>
      <c r="B88" s="79">
        <f>VLOOKUP(A88,Database!$A:$AS,MATCH($B$1,Database!$A$1:$AS$1,0),FALSE)</f>
        <v>118.59011749</v>
      </c>
      <c r="C88" s="79">
        <f>VLOOKUP(A88,Database!$A:$AS,MATCH($C$1,Database!$A$1:$AS$1,0),FALSE)</f>
        <v>95.1</v>
      </c>
      <c r="D88" s="79">
        <f>VLOOKUP(A88,Database!$A:$AS,MATCH($D$1,Database!$A$1:$AS$1,0),FALSE)</f>
        <v>71.394050496000006</v>
      </c>
      <c r="E88" s="79">
        <f>VLOOKUP(A88,Database!$A:$AS,MATCH($E$1,Database!$A$1:$AS$1,0),FALSE)</f>
        <v>109.613091344</v>
      </c>
      <c r="F88" s="79">
        <f>VLOOKUP(A88,Database!$A:$AS,MATCH($F$1,Database!$A$1:$AS$1,0),FALSE)</f>
        <v>84.1</v>
      </c>
      <c r="G88" s="79">
        <f>VLOOKUP(A88,Database!$A:$AS,MATCH($G$1,Database!$A$1:$AS$1,0),FALSE)</f>
        <v>87.757662663999994</v>
      </c>
      <c r="H88" s="79">
        <f>(((Table134567891011121314151617343[[#This Row],[ITA]]-VLOOKUP($U$1,A:B,2,))/VLOOKUP($U$1,A:B,2,))*100)+100</f>
        <v>97.532894736702787</v>
      </c>
      <c r="I88" s="79">
        <f>(((Table134567891011121314151617343[[#This Row],[FRA]]-VLOOKUP($U$1,A:C,3,))/VLOOKUP($U$1,A:C,3,))*100)+100</f>
        <v>92.789540442970051</v>
      </c>
      <c r="J88" s="79">
        <f>(((Table134567891011121314151617343[[#This Row],[DEU]]-VLOOKUP($U$1,A:D,4,))/VLOOKUP($U$1,A:D,4,))*100)+100</f>
        <v>94.946808510298766</v>
      </c>
      <c r="K88" s="79">
        <f>(((Table134567891011121314151617343[[#This Row],[ESP]]-VLOOKUP($U$1,A:E,5,))/VLOOKUP($U$1,A:E,5,))*100)+100</f>
        <v>92.134992014395408</v>
      </c>
      <c r="L88" s="79">
        <f>(((Table134567891011121314151617343[[#This Row],[EA19]]-VLOOKUP($U$1,A:F,6,))/VLOOKUP($U$1,A:F,6,))*100)+100</f>
        <v>94.071588366890367</v>
      </c>
      <c r="M88" s="79">
        <f>(((Table134567891011121314151617343[[#This Row],[GBR]]-VLOOKUP($U$1,A:G,7,))/VLOOKUP($U$1,A:G,7,))*100)+100</f>
        <v>95.215869311805136</v>
      </c>
      <c r="N88" s="79">
        <f>VLOOKUP(A88,Database!$A:$AS,MATCH($N$1,Database!$A$1:$AS$1,0),FALSE)</f>
        <v>78.576013404999998</v>
      </c>
      <c r="O88" s="79">
        <f>(((Table134567891011121314151617343[[#This Row],[USA]]-VLOOKUP($U$1,A:N,14,))/VLOOKUP($U$1,A:N,14,))*100)+100</f>
        <v>90.459253477617949</v>
      </c>
      <c r="P88" s="79">
        <f>VLOOKUP(A88,Database!$A:$AS,MATCH($P$1,Database!$A$1:$AS$1,0),FALSE)</f>
        <v>108.81314711900001</v>
      </c>
      <c r="Q88" s="79">
        <f>(((Table134567891011121314151617343[[#This Row],[JPN]]-VLOOKUP($U$1,A:Q,16,))/VLOOKUP($U$1,A:Q,16,))*100)+100</f>
        <v>109.24616706140186</v>
      </c>
    </row>
    <row r="89" spans="1:17" s="83" customFormat="1" x14ac:dyDescent="0.2">
      <c r="A89" s="21">
        <v>35521</v>
      </c>
      <c r="B89" s="79">
        <f>VLOOKUP(A89,Database!$A:$AS,MATCH($B$1,Database!$A$1:$AS$1,0),FALSE)</f>
        <v>120.689942505</v>
      </c>
      <c r="C89" s="79">
        <f>VLOOKUP(A89,Database!$A:$AS,MATCH($C$1,Database!$A$1:$AS$1,0),FALSE)</f>
        <v>98.49</v>
      </c>
      <c r="D89" s="79">
        <f>VLOOKUP(A89,Database!$A:$AS,MATCH($D$1,Database!$A$1:$AS$1,0),FALSE)</f>
        <v>71.094075493999995</v>
      </c>
      <c r="E89" s="79">
        <f>VLOOKUP(A89,Database!$A:$AS,MATCH($E$1,Database!$A$1:$AS$1,0),FALSE)</f>
        <v>108.979090816</v>
      </c>
      <c r="F89" s="79">
        <f>VLOOKUP(A89,Database!$A:$AS,MATCH($F$1,Database!$A$1:$AS$1,0),FALSE)</f>
        <v>85</v>
      </c>
      <c r="G89" s="79">
        <f>VLOOKUP(A89,Database!$A:$AS,MATCH($G$1,Database!$A$1:$AS$1,0),FALSE)</f>
        <v>88.187847284</v>
      </c>
      <c r="H89" s="79">
        <f>(((Table134567891011121314151617343[[#This Row],[ITA]]-VLOOKUP($U$1,A:B,2,))/VLOOKUP($U$1,A:B,2,))*100)+100</f>
        <v>99.259868421257579</v>
      </c>
      <c r="I89" s="79">
        <f>(((Table134567891011121314151617343[[#This Row],[FRA]]-VLOOKUP($U$1,A:C,3,))/VLOOKUP($U$1,A:C,3,))*100)+100</f>
        <v>96.097180212703677</v>
      </c>
      <c r="J89" s="79">
        <f>(((Table134567891011121314151617343[[#This Row],[DEU]]-VLOOKUP($U$1,A:D,4,))/VLOOKUP($U$1,A:D,4,))*100)+100</f>
        <v>94.547872340199163</v>
      </c>
      <c r="K89" s="79">
        <f>(((Table134567891011121314151617343[[#This Row],[ESP]]-VLOOKUP($U$1,A:E,5,))/VLOOKUP($U$1,A:E,5,))*100)+100</f>
        <v>91.602084559015992</v>
      </c>
      <c r="L89" s="79">
        <f>(((Table134567891011121314151617343[[#This Row],[EA19]]-VLOOKUP($U$1,A:F,6,))/VLOOKUP($U$1,A:F,6,))*100)+100</f>
        <v>95.078299776286343</v>
      </c>
      <c r="M89" s="79">
        <f>(((Table134567891011121314151617343[[#This Row],[GBR]]-VLOOKUP($U$1,A:G,7,))/VLOOKUP($U$1,A:G,7,))*100)+100</f>
        <v>95.682613768237331</v>
      </c>
      <c r="N89" s="79">
        <f>VLOOKUP(A89,Database!$A:$AS,MATCH($N$1,Database!$A$1:$AS$1,0),FALSE)</f>
        <v>78.647180685999999</v>
      </c>
      <c r="O89" s="79">
        <f>(((Table134567891011121314151617343[[#This Row],[USA]]-VLOOKUP($U$1,A:N,14,))/VLOOKUP($U$1,A:N,14,))*100)+100</f>
        <v>90.541183558215323</v>
      </c>
      <c r="P89" s="79">
        <f>VLOOKUP(A89,Database!$A:$AS,MATCH($P$1,Database!$A$1:$AS$1,0),FALSE)</f>
        <v>106.07507165600001</v>
      </c>
      <c r="Q89" s="79">
        <f>(((Table134567891011121314151617343[[#This Row],[JPN]]-VLOOKUP($U$1,A:Q,16,))/VLOOKUP($U$1,A:Q,16,))*100)+100</f>
        <v>106.49719547683317</v>
      </c>
    </row>
    <row r="90" spans="1:17" s="83" customFormat="1" x14ac:dyDescent="0.2">
      <c r="A90" s="21">
        <v>35551</v>
      </c>
      <c r="B90" s="79">
        <f>VLOOKUP(A90,Database!$A:$AS,MATCH($B$1,Database!$A$1:$AS$1,0),FALSE)</f>
        <v>120.38996750299999</v>
      </c>
      <c r="C90" s="79">
        <f>VLOOKUP(A90,Database!$A:$AS,MATCH($C$1,Database!$A$1:$AS$1,0),FALSE)</f>
        <v>96.66</v>
      </c>
      <c r="D90" s="79">
        <f>VLOOKUP(A90,Database!$A:$AS,MATCH($D$1,Database!$A$1:$AS$1,0),FALSE)</f>
        <v>70.194150487000002</v>
      </c>
      <c r="E90" s="79">
        <f>VLOOKUP(A90,Database!$A:$AS,MATCH($E$1,Database!$A$1:$AS$1,0),FALSE)</f>
        <v>107.610089675</v>
      </c>
      <c r="F90" s="79">
        <f>VLOOKUP(A90,Database!$A:$AS,MATCH($F$1,Database!$A$1:$AS$1,0),FALSE)</f>
        <v>84.2</v>
      </c>
      <c r="G90" s="79">
        <f>VLOOKUP(A90,Database!$A:$AS,MATCH($G$1,Database!$A$1:$AS$1,0),FALSE)</f>
        <v>88.187847284</v>
      </c>
      <c r="H90" s="79">
        <f>(((Table134567891011121314151617343[[#This Row],[ITA]]-VLOOKUP($U$1,A:B,2,))/VLOOKUP($U$1,A:B,2,))*100)+100</f>
        <v>99.013157895010082</v>
      </c>
      <c r="I90" s="79">
        <f>(((Table134567891011121314151617343[[#This Row],[FRA]]-VLOOKUP($U$1,A:C,3,))/VLOOKUP($U$1,A:C,3,))*100)+100</f>
        <v>94.311640160015614</v>
      </c>
      <c r="J90" s="79">
        <f>(((Table134567891011121314151617343[[#This Row],[DEU]]-VLOOKUP($U$1,A:D,4,))/VLOOKUP($U$1,A:D,4,))*100)+100</f>
        <v>93.351063828570531</v>
      </c>
      <c r="K90" s="79">
        <f>(((Table134567891011121314151617343[[#This Row],[ESP]]-VLOOKUP($U$1,A:E,5,))/VLOOKUP($U$1,A:E,5,))*100)+100</f>
        <v>90.451374295787588</v>
      </c>
      <c r="L90" s="79">
        <f>(((Table134567891011121314151617343[[#This Row],[EA19]]-VLOOKUP($U$1,A:F,6,))/VLOOKUP($U$1,A:F,6,))*100)+100</f>
        <v>94.18344519015659</v>
      </c>
      <c r="M90" s="79">
        <f>(((Table134567891011121314151617343[[#This Row],[GBR]]-VLOOKUP($U$1,A:G,7,))/VLOOKUP($U$1,A:G,7,))*100)+100</f>
        <v>95.682613768237331</v>
      </c>
      <c r="N90" s="79">
        <f>VLOOKUP(A90,Database!$A:$AS,MATCH($N$1,Database!$A$1:$AS$1,0),FALSE)</f>
        <v>79.070021385999993</v>
      </c>
      <c r="O90" s="79">
        <f>(((Table134567891011121314151617343[[#This Row],[USA]]-VLOOKUP($U$1,A:N,14,))/VLOOKUP($U$1,A:N,14,))*100)+100</f>
        <v>91.027971477383517</v>
      </c>
      <c r="P90" s="79">
        <f>VLOOKUP(A90,Database!$A:$AS,MATCH($P$1,Database!$A$1:$AS$1,0),FALSE)</f>
        <v>109.218787929</v>
      </c>
      <c r="Q90" s="79">
        <f>(((Table134567891011121314151617343[[#This Row],[JPN]]-VLOOKUP($U$1,A:Q,16,))/VLOOKUP($U$1,A:Q,16,))*100)+100</f>
        <v>109.65342211163691</v>
      </c>
    </row>
    <row r="91" spans="1:17" s="83" customFormat="1" x14ac:dyDescent="0.2">
      <c r="A91" s="21">
        <v>35582</v>
      </c>
      <c r="B91" s="79">
        <f>VLOOKUP(A91,Database!$A:$AS,MATCH($B$1,Database!$A$1:$AS$1,0),FALSE)</f>
        <v>121.389884176</v>
      </c>
      <c r="C91" s="79">
        <f>VLOOKUP(A91,Database!$A:$AS,MATCH($C$1,Database!$A$1:$AS$1,0),FALSE)</f>
        <v>97.37</v>
      </c>
      <c r="D91" s="79">
        <f>VLOOKUP(A91,Database!$A:$AS,MATCH($D$1,Database!$A$1:$AS$1,0),FALSE)</f>
        <v>72.993917174000003</v>
      </c>
      <c r="E91" s="79">
        <f>VLOOKUP(A91,Database!$A:$AS,MATCH($E$1,Database!$A$1:$AS$1,0),FALSE)</f>
        <v>109.12109093399999</v>
      </c>
      <c r="F91" s="79">
        <f>VLOOKUP(A91,Database!$A:$AS,MATCH($F$1,Database!$A$1:$AS$1,0),FALSE)</f>
        <v>85.6</v>
      </c>
      <c r="G91" s="79">
        <f>VLOOKUP(A91,Database!$A:$AS,MATCH($G$1,Database!$A$1:$AS$1,0),FALSE)</f>
        <v>88.510485750000001</v>
      </c>
      <c r="H91" s="79">
        <f>(((Table134567891011121314151617343[[#This Row],[ITA]]-VLOOKUP($U$1,A:B,2,))/VLOOKUP($U$1,A:B,2,))*100)+100</f>
        <v>99.83552631556087</v>
      </c>
      <c r="I91" s="79">
        <f>(((Table134567891011121314151617343[[#This Row],[FRA]]-VLOOKUP($U$1,A:C,3,))/VLOOKUP($U$1,A:C,3,))*100)+100</f>
        <v>95.004390672260712</v>
      </c>
      <c r="J91" s="79">
        <f>(((Table134567891011121314151617343[[#This Row],[DEU]]-VLOOKUP($U$1,A:D,4,))/VLOOKUP($U$1,A:D,4,))*100)+100</f>
        <v>97.074468085049801</v>
      </c>
      <c r="K91" s="79">
        <f>(((Table134567891011121314151617343[[#This Row],[ESP]]-VLOOKUP($U$1,A:E,5,))/VLOOKUP($U$1,A:E,5,))*100)+100</f>
        <v>91.721442380034958</v>
      </c>
      <c r="L91" s="79">
        <f>(((Table134567891011121314151617343[[#This Row],[EA19]]-VLOOKUP($U$1,A:F,6,))/VLOOKUP($U$1,A:F,6,))*100)+100</f>
        <v>95.749440715883651</v>
      </c>
      <c r="M91" s="79">
        <f>(((Table134567891011121314151617343[[#This Row],[GBR]]-VLOOKUP($U$1,A:G,7,))/VLOOKUP($U$1,A:G,7,))*100)+100</f>
        <v>96.032672111646463</v>
      </c>
      <c r="N91" s="79">
        <f>VLOOKUP(A91,Database!$A:$AS,MATCH($N$1,Database!$A$1:$AS$1,0),FALSE)</f>
        <v>79.430318137</v>
      </c>
      <c r="O91" s="79">
        <f>(((Table134567891011121314151617343[[#This Row],[USA]]-VLOOKUP($U$1,A:N,14,))/VLOOKUP($U$1,A:N,14,))*100)+100</f>
        <v>91.442756775256598</v>
      </c>
      <c r="P91" s="79">
        <f>VLOOKUP(A91,Database!$A:$AS,MATCH($P$1,Database!$A$1:$AS$1,0),FALSE)</f>
        <v>108.610326715</v>
      </c>
      <c r="Q91" s="79">
        <f>(((Table134567891011121314151617343[[#This Row],[JPN]]-VLOOKUP($U$1,A:Q,16,))/VLOOKUP($U$1,A:Q,16,))*100)+100</f>
        <v>109.04253953728831</v>
      </c>
    </row>
    <row r="92" spans="1:17" s="83" customFormat="1" x14ac:dyDescent="0.2">
      <c r="A92" s="21">
        <v>35612</v>
      </c>
      <c r="B92" s="79">
        <f>VLOOKUP(A92,Database!$A:$AS,MATCH($B$1,Database!$A$1:$AS$1,0),FALSE)</f>
        <v>122.189817515</v>
      </c>
      <c r="C92" s="79">
        <f>VLOOKUP(A92,Database!$A:$AS,MATCH($C$1,Database!$A$1:$AS$1,0),FALSE)</f>
        <v>97.56</v>
      </c>
      <c r="D92" s="79">
        <f>VLOOKUP(A92,Database!$A:$AS,MATCH($D$1,Database!$A$1:$AS$1,0),FALSE)</f>
        <v>73.793850512000006</v>
      </c>
      <c r="E92" s="79">
        <f>VLOOKUP(A92,Database!$A:$AS,MATCH($E$1,Database!$A$1:$AS$1,0),FALSE)</f>
        <v>110.362091968</v>
      </c>
      <c r="F92" s="79">
        <f>VLOOKUP(A92,Database!$A:$AS,MATCH($F$1,Database!$A$1:$AS$1,0),FALSE)</f>
        <v>86.3</v>
      </c>
      <c r="G92" s="79">
        <f>VLOOKUP(A92,Database!$A:$AS,MATCH($G$1,Database!$A$1:$AS$1,0),FALSE)</f>
        <v>89.693493458000006</v>
      </c>
      <c r="H92" s="79">
        <f>(((Table134567891011121314151617343[[#This Row],[ITA]]-VLOOKUP($U$1,A:B,2,))/VLOOKUP($U$1,A:B,2,))*100)+100</f>
        <v>100.49342105249497</v>
      </c>
      <c r="I92" s="79">
        <f>(((Table134567891011121314151617343[[#This Row],[FRA]]-VLOOKUP($U$1,A:C,3,))/VLOOKUP($U$1,A:C,3,))*100)+100</f>
        <v>95.189774612157294</v>
      </c>
      <c r="J92" s="79">
        <f>(((Table134567891011121314151617343[[#This Row],[DEU]]-VLOOKUP($U$1,A:D,4,))/VLOOKUP($U$1,A:D,4,))*100)+100</f>
        <v>98.138297871095432</v>
      </c>
      <c r="K92" s="79">
        <f>(((Table134567891011121314151617343[[#This Row],[ESP]]-VLOOKUP($U$1,A:E,5,))/VLOOKUP($U$1,A:E,5,))*100)+100</f>
        <v>92.764562494206487</v>
      </c>
      <c r="L92" s="79">
        <f>(((Table134567891011121314151617343[[#This Row],[EA19]]-VLOOKUP($U$1,A:F,6,))/VLOOKUP($U$1,A:F,6,))*100)+100</f>
        <v>96.532438478747196</v>
      </c>
      <c r="M92" s="79">
        <f>(((Table134567891011121314151617343[[#This Row],[GBR]]-VLOOKUP($U$1,A:G,7,))/VLOOKUP($U$1,A:G,7,))*100)+100</f>
        <v>97.316219370089968</v>
      </c>
      <c r="N92" s="79">
        <f>VLOOKUP(A92,Database!$A:$AS,MATCH($N$1,Database!$A$1:$AS$1,0),FALSE)</f>
        <v>80.067949225000007</v>
      </c>
      <c r="O92" s="79">
        <f>(((Table134567891011121314151617343[[#This Row],[USA]]-VLOOKUP($U$1,A:N,14,))/VLOOKUP($U$1,A:N,14,))*100)+100</f>
        <v>92.176818350985911</v>
      </c>
      <c r="P92" s="79">
        <f>VLOOKUP(A92,Database!$A:$AS,MATCH($P$1,Database!$A$1:$AS$1,0),FALSE)</f>
        <v>108.91455732199999</v>
      </c>
      <c r="Q92" s="79">
        <f>(((Table134567891011121314151617343[[#This Row],[JPN]]-VLOOKUP($U$1,A:Q,16,))/VLOOKUP($U$1,A:Q,16,))*100)+100</f>
        <v>109.34798082446261</v>
      </c>
    </row>
    <row r="93" spans="1:17" s="83" customFormat="1" x14ac:dyDescent="0.2">
      <c r="A93" s="21">
        <v>35643</v>
      </c>
      <c r="B93" s="79">
        <f>VLOOKUP(A93,Database!$A:$AS,MATCH($B$1,Database!$A$1:$AS$1,0),FALSE)</f>
        <v>122.889759187</v>
      </c>
      <c r="C93" s="79">
        <f>VLOOKUP(A93,Database!$A:$AS,MATCH($C$1,Database!$A$1:$AS$1,0),FALSE)</f>
        <v>101.34</v>
      </c>
      <c r="D93" s="79">
        <f>VLOOKUP(A93,Database!$A:$AS,MATCH($D$1,Database!$A$1:$AS$1,0),FALSE)</f>
        <v>71.394050496000006</v>
      </c>
      <c r="E93" s="79">
        <f>VLOOKUP(A93,Database!$A:$AS,MATCH($E$1,Database!$A$1:$AS$1,0),FALSE)</f>
        <v>112.179093483</v>
      </c>
      <c r="F93" s="79">
        <f>VLOOKUP(A93,Database!$A:$AS,MATCH($F$1,Database!$A$1:$AS$1,0),FALSE)</f>
        <v>86.4</v>
      </c>
      <c r="G93" s="79">
        <f>VLOOKUP(A93,Database!$A:$AS,MATCH($G$1,Database!$A$1:$AS$1,0),FALSE)</f>
        <v>88.940670370999996</v>
      </c>
      <c r="H93" s="79">
        <f>(((Table134567891011121314151617343[[#This Row],[ITA]]-VLOOKUP($U$1,A:B,2,))/VLOOKUP($U$1,A:B,2,))*100)+100</f>
        <v>101.0690789476207</v>
      </c>
      <c r="I93" s="79">
        <f>(((Table134567891011121314151617343[[#This Row],[FRA]]-VLOOKUP($U$1,A:C,3,))/VLOOKUP($U$1,A:C,3,))*100)+100</f>
        <v>98.877939311152318</v>
      </c>
      <c r="J93" s="79">
        <f>(((Table134567891011121314151617343[[#This Row],[DEU]]-VLOOKUP($U$1,A:D,4,))/VLOOKUP($U$1,A:D,4,))*100)+100</f>
        <v>94.946808510298766</v>
      </c>
      <c r="K93" s="79">
        <f>(((Table134567891011121314151617343[[#This Row],[ESP]]-VLOOKUP($U$1,A:E,5,))/VLOOKUP($U$1,A:E,5,))*100)+100</f>
        <v>94.291838278713712</v>
      </c>
      <c r="L93" s="79">
        <f>(((Table134567891011121314151617343[[#This Row],[EA19]]-VLOOKUP($U$1,A:F,6,))/VLOOKUP($U$1,A:F,6,))*100)+100</f>
        <v>96.644295302013418</v>
      </c>
      <c r="M93" s="79">
        <f>(((Table134567891011121314151617343[[#This Row],[GBR]]-VLOOKUP($U$1,A:G,7,))/VLOOKUP($U$1,A:G,7,))*100)+100</f>
        <v>96.499416569163643</v>
      </c>
      <c r="N93" s="79">
        <f>VLOOKUP(A93,Database!$A:$AS,MATCH($N$1,Database!$A$1:$AS$1,0),FALSE)</f>
        <v>80.892716562000004</v>
      </c>
      <c r="O93" s="79">
        <f>(((Table134567891011121314151617343[[#This Row],[USA]]-VLOOKUP($U$1,A:N,14,))/VLOOKUP($U$1,A:N,14,))*100)+100</f>
        <v>93.12631724211947</v>
      </c>
      <c r="P93" s="79">
        <f>VLOOKUP(A93,Database!$A:$AS,MATCH($P$1,Database!$A$1:$AS$1,0),FALSE)</f>
        <v>108.40750631</v>
      </c>
      <c r="Q93" s="79">
        <f>(((Table134567891011121314151617343[[#This Row],[JPN]]-VLOOKUP($U$1,A:Q,16,))/VLOOKUP($U$1,A:Q,16,))*100)+100</f>
        <v>108.83891201217079</v>
      </c>
    </row>
    <row r="94" spans="1:17" s="83" customFormat="1" x14ac:dyDescent="0.2">
      <c r="A94" s="21">
        <v>35674</v>
      </c>
      <c r="B94" s="79">
        <f>VLOOKUP(A94,Database!$A:$AS,MATCH($B$1,Database!$A$1:$AS$1,0),FALSE)</f>
        <v>122.78976751899999</v>
      </c>
      <c r="C94" s="79">
        <f>VLOOKUP(A94,Database!$A:$AS,MATCH($C$1,Database!$A$1:$AS$1,0),FALSE)</f>
        <v>98.94</v>
      </c>
      <c r="D94" s="79">
        <f>VLOOKUP(A94,Database!$A:$AS,MATCH($D$1,Database!$A$1:$AS$1,0),FALSE)</f>
        <v>71.994000499999999</v>
      </c>
      <c r="E94" s="79">
        <f>VLOOKUP(A94,Database!$A:$AS,MATCH($E$1,Database!$A$1:$AS$1,0),FALSE)</f>
        <v>111.50809292300001</v>
      </c>
      <c r="F94" s="79">
        <f>VLOOKUP(A94,Database!$A:$AS,MATCH($F$1,Database!$A$1:$AS$1,0),FALSE)</f>
        <v>86.2</v>
      </c>
      <c r="G94" s="79">
        <f>VLOOKUP(A94,Database!$A:$AS,MATCH($G$1,Database!$A$1:$AS$1,0),FALSE)</f>
        <v>90.016131923000003</v>
      </c>
      <c r="H94" s="79">
        <f>(((Table134567891011121314151617343[[#This Row],[ITA]]-VLOOKUP($U$1,A:B,2,))/VLOOKUP($U$1,A:B,2,))*100)+100</f>
        <v>100.98684210498992</v>
      </c>
      <c r="I94" s="79">
        <f>(((Table134567891011121314151617343[[#This Row],[FRA]]-VLOOKUP($U$1,A:C,3,))/VLOOKUP($U$1,A:C,3,))*100)+100</f>
        <v>96.536247438774524</v>
      </c>
      <c r="J94" s="79">
        <f>(((Table134567891011121314151617343[[#This Row],[DEU]]-VLOOKUP($U$1,A:D,4,))/VLOOKUP($U$1,A:D,4,))*100)+100</f>
        <v>95.744680850497915</v>
      </c>
      <c r="K94" s="79">
        <f>(((Table134567891011121314151617343[[#This Row],[ESP]]-VLOOKUP($U$1,A:E,5,))/VLOOKUP($U$1,A:E,5,))*100)+100</f>
        <v>93.727830544972889</v>
      </c>
      <c r="L94" s="79">
        <f>(((Table134567891011121314151617343[[#This Row],[EA19]]-VLOOKUP($U$1,A:F,6,))/VLOOKUP($U$1,A:F,6,))*100)+100</f>
        <v>96.420581655480987</v>
      </c>
      <c r="M94" s="79">
        <f>(((Table134567891011121314151617343[[#This Row],[GBR]]-VLOOKUP($U$1,A:G,7,))/VLOOKUP($U$1,A:G,7,))*100)+100</f>
        <v>97.666277712414114</v>
      </c>
      <c r="N94" s="79">
        <f>VLOOKUP(A94,Database!$A:$AS,MATCH($N$1,Database!$A$1:$AS$1,0),FALSE)</f>
        <v>81.676052251000002</v>
      </c>
      <c r="O94" s="79">
        <f>(((Table134567891011121314151617343[[#This Row],[USA]]-VLOOKUP($U$1,A:N,14,))/VLOOKUP($U$1,A:N,14,))*100)+100</f>
        <v>94.028118677171733</v>
      </c>
      <c r="P94" s="79">
        <f>VLOOKUP(A94,Database!$A:$AS,MATCH($P$1,Database!$A$1:$AS$1,0),FALSE)</f>
        <v>107.697634893</v>
      </c>
      <c r="Q94" s="79">
        <f>(((Table134567891011121314151617343[[#This Row],[JPN]]-VLOOKUP($U$1,A:Q,16,))/VLOOKUP($U$1,A:Q,16,))*100)+100</f>
        <v>108.12621567476144</v>
      </c>
    </row>
    <row r="95" spans="1:17" s="83" customFormat="1" x14ac:dyDescent="0.2">
      <c r="A95" s="21">
        <v>35704</v>
      </c>
      <c r="B95" s="79">
        <f>VLOOKUP(A95,Database!$A:$AS,MATCH($B$1,Database!$A$1:$AS$1,0),FALSE)</f>
        <v>124.28964252999999</v>
      </c>
      <c r="C95" s="79">
        <f>VLOOKUP(A95,Database!$A:$AS,MATCH($C$1,Database!$A$1:$AS$1,0),FALSE)</f>
        <v>101.42</v>
      </c>
      <c r="D95" s="79">
        <f>VLOOKUP(A95,Database!$A:$AS,MATCH($D$1,Database!$A$1:$AS$1,0),FALSE)</f>
        <v>72.993917174000003</v>
      </c>
      <c r="E95" s="79">
        <f>VLOOKUP(A95,Database!$A:$AS,MATCH($E$1,Database!$A$1:$AS$1,0),FALSE)</f>
        <v>112.86109405099999</v>
      </c>
      <c r="F95" s="79">
        <f>VLOOKUP(A95,Database!$A:$AS,MATCH($F$1,Database!$A$1:$AS$1,0),FALSE)</f>
        <v>87.4</v>
      </c>
      <c r="G95" s="79">
        <f>VLOOKUP(A95,Database!$A:$AS,MATCH($G$1,Database!$A$1:$AS$1,0),FALSE)</f>
        <v>91.091593476</v>
      </c>
      <c r="H95" s="79">
        <f>(((Table134567891011121314151617343[[#This Row],[ITA]]-VLOOKUP($U$1,A:B,2,))/VLOOKUP($U$1,A:B,2,))*100)+100</f>
        <v>102.22039473704974</v>
      </c>
      <c r="I95" s="79">
        <f>(((Table134567891011121314151617343[[#This Row],[FRA]]-VLOOKUP($U$1,A:C,3,))/VLOOKUP($U$1,A:C,3,))*100)+100</f>
        <v>98.955995706898236</v>
      </c>
      <c r="J95" s="79">
        <f>(((Table134567891011121314151617343[[#This Row],[DEU]]-VLOOKUP($U$1,A:D,4,))/VLOOKUP($U$1,A:D,4,))*100)+100</f>
        <v>97.074468085049801</v>
      </c>
      <c r="K95" s="79">
        <f>(((Table134567891011121314151617343[[#This Row],[ESP]]-VLOOKUP($U$1,A:E,5,))/VLOOKUP($U$1,A:E,5,))*100)+100</f>
        <v>94.865092039884388</v>
      </c>
      <c r="L95" s="79">
        <f>(((Table134567891011121314151617343[[#This Row],[EA19]]-VLOOKUP($U$1,A:F,6,))/VLOOKUP($U$1,A:F,6,))*100)+100</f>
        <v>97.762863534675617</v>
      </c>
      <c r="M95" s="79">
        <f>(((Table134567891011121314151617343[[#This Row],[GBR]]-VLOOKUP($U$1,A:G,7,))/VLOOKUP($U$1,A:G,7,))*100)+100</f>
        <v>98.833138856749542</v>
      </c>
      <c r="N95" s="79">
        <f>VLOOKUP(A95,Database!$A:$AS,MATCH($N$1,Database!$A$1:$AS$1,0),FALSE)</f>
        <v>82.374046673999999</v>
      </c>
      <c r="O95" s="79">
        <f>(((Table134567891011121314151617343[[#This Row],[USA]]-VLOOKUP($U$1,A:N,14,))/VLOOKUP($U$1,A:N,14,))*100)+100</f>
        <v>94.831672480680211</v>
      </c>
      <c r="P95" s="79">
        <f>VLOOKUP(A95,Database!$A:$AS,MATCH($P$1,Database!$A$1:$AS$1,0),FALSE)</f>
        <v>106.987763477</v>
      </c>
      <c r="Q95" s="79">
        <f>(((Table134567891011121314151617343[[#This Row],[JPN]]-VLOOKUP($U$1,A:Q,16,))/VLOOKUP($U$1,A:Q,16,))*100)+100</f>
        <v>107.41351933835607</v>
      </c>
    </row>
    <row r="96" spans="1:17" s="83" customFormat="1" x14ac:dyDescent="0.2">
      <c r="A96" s="21">
        <v>35735</v>
      </c>
      <c r="B96" s="79">
        <f>VLOOKUP(A96,Database!$A:$AS,MATCH($B$1,Database!$A$1:$AS$1,0),FALSE)</f>
        <v>123.589700858</v>
      </c>
      <c r="C96" s="79">
        <f>VLOOKUP(A96,Database!$A:$AS,MATCH($C$1,Database!$A$1:$AS$1,0),FALSE)</f>
        <v>99.09</v>
      </c>
      <c r="D96" s="79">
        <f>VLOOKUP(A96,Database!$A:$AS,MATCH($D$1,Database!$A$1:$AS$1,0),FALSE)</f>
        <v>73.393883842999998</v>
      </c>
      <c r="E96" s="79">
        <f>VLOOKUP(A96,Database!$A:$AS,MATCH($E$1,Database!$A$1:$AS$1,0),FALSE)</f>
        <v>111.789093158</v>
      </c>
      <c r="F96" s="79">
        <f>VLOOKUP(A96,Database!$A:$AS,MATCH($F$1,Database!$A$1:$AS$1,0),FALSE)</f>
        <v>87.1</v>
      </c>
      <c r="G96" s="79">
        <f>VLOOKUP(A96,Database!$A:$AS,MATCH($G$1,Database!$A$1:$AS$1,0),FALSE)</f>
        <v>91.736870406999998</v>
      </c>
      <c r="H96" s="79">
        <f>(((Table134567891011121314151617343[[#This Row],[ITA]]-VLOOKUP($U$1,A:B,2,))/VLOOKUP($U$1,A:B,2,))*100)+100</f>
        <v>101.64473684192401</v>
      </c>
      <c r="I96" s="79">
        <f>(((Table134567891011121314151617343[[#This Row],[FRA]]-VLOOKUP($U$1,A:C,3,))/VLOOKUP($U$1,A:C,3,))*100)+100</f>
        <v>96.682603180798139</v>
      </c>
      <c r="J96" s="79">
        <f>(((Table134567891011121314151617343[[#This Row],[DEU]]-VLOOKUP($U$1,A:D,4,))/VLOOKUP($U$1,A:D,4,))*100)+100</f>
        <v>97.606382978072602</v>
      </c>
      <c r="K96" s="79">
        <f>(((Table134567891011121314151617343[[#This Row],[ESP]]-VLOOKUP($U$1,A:E,5,))/VLOOKUP($U$1,A:E,5,))*100)+100</f>
        <v>93.964024544159699</v>
      </c>
      <c r="L96" s="79">
        <f>(((Table134567891011121314151617343[[#This Row],[EA19]]-VLOOKUP($U$1,A:F,6,))/VLOOKUP($U$1,A:F,6,))*100)+100</f>
        <v>97.427293064876949</v>
      </c>
      <c r="M96" s="79">
        <f>(((Table134567891011121314151617343[[#This Row],[GBR]]-VLOOKUP($U$1,A:G,7,))/VLOOKUP($U$1,A:G,7,))*100)+100</f>
        <v>99.53325554248282</v>
      </c>
      <c r="N96" s="79">
        <f>VLOOKUP(A96,Database!$A:$AS,MATCH($N$1,Database!$A$1:$AS$1,0),FALSE)</f>
        <v>83.015345155999995</v>
      </c>
      <c r="O96" s="79">
        <f>(((Table134567891011121314151617343[[#This Row],[USA]]-VLOOKUP($U$1,A:N,14,))/VLOOKUP($U$1,A:N,14,))*100)+100</f>
        <v>95.569956079251753</v>
      </c>
      <c r="P96" s="79">
        <f>VLOOKUP(A96,Database!$A:$AS,MATCH($P$1,Database!$A$1:$AS$1,0),FALSE)</f>
        <v>105.669430846</v>
      </c>
      <c r="Q96" s="79">
        <f>(((Table134567891011121314151617343[[#This Row],[JPN]]-VLOOKUP($U$1,A:Q,16,))/VLOOKUP($U$1,A:Q,16,))*100)+100</f>
        <v>106.08994042659812</v>
      </c>
    </row>
    <row r="97" spans="1:17" s="83" customFormat="1" x14ac:dyDescent="0.2">
      <c r="A97" s="21">
        <v>35765</v>
      </c>
      <c r="B97" s="79">
        <f>VLOOKUP(A97,Database!$A:$AS,MATCH($B$1,Database!$A$1:$AS$1,0),FALSE)</f>
        <v>124.48962586499999</v>
      </c>
      <c r="C97" s="79">
        <f>VLOOKUP(A97,Database!$A:$AS,MATCH($C$1,Database!$A$1:$AS$1,0),FALSE)</f>
        <v>101.07</v>
      </c>
      <c r="D97" s="79">
        <f>VLOOKUP(A97,Database!$A:$AS,MATCH($D$1,Database!$A$1:$AS$1,0),FALSE)</f>
        <v>74.093825515000006</v>
      </c>
      <c r="E97" s="79">
        <f>VLOOKUP(A97,Database!$A:$AS,MATCH($E$1,Database!$A$1:$AS$1,0),FALSE)</f>
        <v>111.369092808</v>
      </c>
      <c r="F97" s="79">
        <f>VLOOKUP(A97,Database!$A:$AS,MATCH($F$1,Database!$A$1:$AS$1,0),FALSE)</f>
        <v>88</v>
      </c>
      <c r="G97" s="79">
        <f>VLOOKUP(A97,Database!$A:$AS,MATCH($G$1,Database!$A$1:$AS$1,0),FALSE)</f>
        <v>92.167055027999993</v>
      </c>
      <c r="H97" s="79">
        <f>(((Table134567891011121314151617343[[#This Row],[ITA]]-VLOOKUP($U$1,A:B,2,))/VLOOKUP($U$1,A:B,2,))*100)+100</f>
        <v>102.38486842148887</v>
      </c>
      <c r="I97" s="79">
        <f>(((Table134567891011121314151617343[[#This Row],[FRA]]-VLOOKUP($U$1,A:C,3,))/VLOOKUP($U$1,A:C,3,))*100)+100</f>
        <v>98.614498975509804</v>
      </c>
      <c r="J97" s="79">
        <f>(((Table134567891011121314151617343[[#This Row],[DEU]]-VLOOKUP($U$1,A:D,4,))/VLOOKUP($U$1,A:D,4,))*100)+100</f>
        <v>98.537234042524915</v>
      </c>
      <c r="K97" s="79">
        <f>(((Table134567891011121314151617343[[#This Row],[ESP]]-VLOOKUP($U$1,A:E,5,))/VLOOKUP($U$1,A:E,5,))*100)+100</f>
        <v>93.610994368486146</v>
      </c>
      <c r="L97" s="79">
        <f>(((Table134567891011121314151617343[[#This Row],[EA19]]-VLOOKUP($U$1,A:F,6,))/VLOOKUP($U$1,A:F,6,))*100)+100</f>
        <v>98.434004474272925</v>
      </c>
      <c r="M97" s="79">
        <f>(((Table134567891011121314151617343[[#This Row],[GBR]]-VLOOKUP($U$1,A:G,7,))/VLOOKUP($U$1,A:G,7,))*100)+100</f>
        <v>100</v>
      </c>
      <c r="N97" s="79">
        <f>VLOOKUP(A97,Database!$A:$AS,MATCH($N$1,Database!$A$1:$AS$1,0),FALSE)</f>
        <v>83.391699149000004</v>
      </c>
      <c r="O97" s="79">
        <f>(((Table134567891011121314151617343[[#This Row],[USA]]-VLOOKUP($U$1,A:N,14,))/VLOOKUP($U$1,A:N,14,))*100)+100</f>
        <v>96.003226994570738</v>
      </c>
      <c r="P97" s="79">
        <f>VLOOKUP(A97,Database!$A:$AS,MATCH($P$1,Database!$A$1:$AS$1,0),FALSE)</f>
        <v>104.655328823</v>
      </c>
      <c r="Q97" s="79">
        <f>(((Table134567891011121314151617343[[#This Row],[JPN]]-VLOOKUP($U$1,A:Q,16,))/VLOOKUP($U$1,A:Q,16,))*100)+100</f>
        <v>105.07180280301846</v>
      </c>
    </row>
    <row r="98" spans="1:17" s="83" customFormat="1" x14ac:dyDescent="0.2">
      <c r="A98" s="21">
        <v>35796</v>
      </c>
      <c r="B98" s="79">
        <f>VLOOKUP(A98,Database!$A:$AS,MATCH($B$1,Database!$A$1:$AS$1,0),FALSE)</f>
        <v>123.589700858</v>
      </c>
      <c r="C98" s="79">
        <f>VLOOKUP(A98,Database!$A:$AS,MATCH($C$1,Database!$A$1:$AS$1,0),FALSE)</f>
        <v>101.07</v>
      </c>
      <c r="D98" s="79">
        <f>VLOOKUP(A98,Database!$A:$AS,MATCH($D$1,Database!$A$1:$AS$1,0),FALSE)</f>
        <v>74.893758852999994</v>
      </c>
      <c r="E98" s="79">
        <f>VLOOKUP(A98,Database!$A:$AS,MATCH($E$1,Database!$A$1:$AS$1,0),FALSE)</f>
        <v>113.52709460600001</v>
      </c>
      <c r="F98" s="79">
        <f>VLOOKUP(A98,Database!$A:$AS,MATCH($F$1,Database!$A$1:$AS$1,0),FALSE)</f>
        <v>88.3</v>
      </c>
      <c r="G98" s="79">
        <f>VLOOKUP(A98,Database!$A:$AS,MATCH($G$1,Database!$A$1:$AS$1,0),FALSE)</f>
        <v>93.134970425000006</v>
      </c>
      <c r="H98" s="79">
        <f>(((Table134567891011121314151617343[[#This Row],[ITA]]-VLOOKUP($U$1,A:B,2,))/VLOOKUP($U$1,A:B,2,))*100)+100</f>
        <v>101.64473684192401</v>
      </c>
      <c r="I98" s="79">
        <f>(((Table134567891011121314151617343[[#This Row],[FRA]]-VLOOKUP($U$1,A:C,3,))/VLOOKUP($U$1,A:C,3,))*100)+100</f>
        <v>98.614498975509804</v>
      </c>
      <c r="J98" s="79">
        <f>(((Table134567891011121314151617343[[#This Row],[DEU]]-VLOOKUP($U$1,A:D,4,))/VLOOKUP($U$1,A:D,4,))*100)+100</f>
        <v>99.601063828570517</v>
      </c>
      <c r="K98" s="79">
        <f>(((Table134567891011121314151617343[[#This Row],[ESP]]-VLOOKUP($U$1,A:E,5,))/VLOOKUP($U$1,A:E,5,))*100)+100</f>
        <v>95.424897032738158</v>
      </c>
      <c r="L98" s="79">
        <f>(((Table134567891011121314151617343[[#This Row],[EA19]]-VLOOKUP($U$1,A:F,6,))/VLOOKUP($U$1,A:F,6,))*100)+100</f>
        <v>98.769574944071579</v>
      </c>
      <c r="M98" s="79">
        <f>(((Table134567891011121314151617343[[#This Row],[GBR]]-VLOOKUP($U$1,A:G,7,))/VLOOKUP($U$1,A:G,7,))*100)+100</f>
        <v>101.05017502914242</v>
      </c>
      <c r="N98" s="79">
        <f>VLOOKUP(A98,Database!$A:$AS,MATCH($N$1,Database!$A$1:$AS$1,0),FALSE)</f>
        <v>83.766566361000002</v>
      </c>
      <c r="O98" s="79">
        <f>(((Table134567891011121314151617343[[#This Row],[USA]]-VLOOKUP($U$1,A:N,14,))/VLOOKUP($U$1,A:N,14,))*100)+100</f>
        <v>96.434786279412208</v>
      </c>
      <c r="P98" s="79">
        <f>VLOOKUP(A98,Database!$A:$AS,MATCH($P$1,Database!$A$1:$AS$1,0),FALSE)</f>
        <v>106.19426418099999</v>
      </c>
      <c r="Q98" s="79">
        <f>(((Table134567891011121314151617343[[#This Row],[JPN]]-VLOOKUP($U$1,A:Q,16,))/VLOOKUP($U$1,A:Q,16,))*100)+100</f>
        <v>106.6168623263213</v>
      </c>
    </row>
    <row r="99" spans="1:17" s="83" customFormat="1" x14ac:dyDescent="0.2">
      <c r="A99" s="21">
        <v>35827</v>
      </c>
      <c r="B99" s="79">
        <f>VLOOKUP(A99,Database!$A:$AS,MATCH($B$1,Database!$A$1:$AS$1,0),FALSE)</f>
        <v>123.489709191</v>
      </c>
      <c r="C99" s="79">
        <f>VLOOKUP(A99,Database!$A:$AS,MATCH($C$1,Database!$A$1:$AS$1,0),FALSE)</f>
        <v>101.77</v>
      </c>
      <c r="D99" s="79">
        <f>VLOOKUP(A99,Database!$A:$AS,MATCH($D$1,Database!$A$1:$AS$1,0),FALSE)</f>
        <v>74.693775518999999</v>
      </c>
      <c r="E99" s="79">
        <f>VLOOKUP(A99,Database!$A:$AS,MATCH($E$1,Database!$A$1:$AS$1,0),FALSE)</f>
        <v>116.421097018</v>
      </c>
      <c r="F99" s="79">
        <f>VLOOKUP(A99,Database!$A:$AS,MATCH($F$1,Database!$A$1:$AS$1,0),FALSE)</f>
        <v>88.7</v>
      </c>
      <c r="G99" s="79">
        <f>VLOOKUP(A99,Database!$A:$AS,MATCH($G$1,Database!$A$1:$AS$1,0),FALSE)</f>
        <v>93.887793510999998</v>
      </c>
      <c r="H99" s="79">
        <f>(((Table134567891011121314151617343[[#This Row],[ITA]]-VLOOKUP($U$1,A:B,2,))/VLOOKUP($U$1,A:B,2,))*100)+100</f>
        <v>101.56250000011566</v>
      </c>
      <c r="I99" s="79">
        <f>(((Table134567891011121314151617343[[#This Row],[FRA]]-VLOOKUP($U$1,A:C,3,))/VLOOKUP($U$1,A:C,3,))*100)+100</f>
        <v>99.297492438286667</v>
      </c>
      <c r="J99" s="79">
        <f>(((Table134567891011121314151617343[[#This Row],[DEU]]-VLOOKUP($U$1,A:D,4,))/VLOOKUP($U$1,A:D,4,))*100)+100</f>
        <v>99.335106382724064</v>
      </c>
      <c r="K99" s="79">
        <f>(((Table134567891011121314151617343[[#This Row],[ESP]]-VLOOKUP($U$1,A:E,5,))/VLOOKUP($U$1,A:E,5,))*100)+100</f>
        <v>97.857443053016567</v>
      </c>
      <c r="L99" s="79">
        <f>(((Table134567891011121314151617343[[#This Row],[EA19]]-VLOOKUP($U$1,A:F,6,))/VLOOKUP($U$1,A:F,6,))*100)+100</f>
        <v>99.217002237136455</v>
      </c>
      <c r="M99" s="79">
        <f>(((Table134567891011121314151617343[[#This Row],[GBR]]-VLOOKUP($U$1,A:G,7,))/VLOOKUP($U$1,A:G,7,))*100)+100</f>
        <v>101.86697782898374</v>
      </c>
      <c r="N99" s="79">
        <f>VLOOKUP(A99,Database!$A:$AS,MATCH($N$1,Database!$A$1:$AS$1,0),FALSE)</f>
        <v>83.895024294999999</v>
      </c>
      <c r="O99" s="79">
        <f>(((Table134567891011121314151617343[[#This Row],[USA]]-VLOOKUP($U$1,A:N,14,))/VLOOKUP($U$1,A:N,14,))*100)+100</f>
        <v>96.582671216677014</v>
      </c>
      <c r="P99" s="79">
        <f>VLOOKUP(A99,Database!$A:$AS,MATCH($P$1,Database!$A$1:$AS$1,0),FALSE)</f>
        <v>103.430449498</v>
      </c>
      <c r="Q99" s="79">
        <f>(((Table134567891011121314151617343[[#This Row],[JPN]]-VLOOKUP($U$1,A:Q,16,))/VLOOKUP($U$1,A:Q,16,))*100)+100</f>
        <v>103.84204909299417</v>
      </c>
    </row>
    <row r="100" spans="1:17" s="83" customFormat="1" x14ac:dyDescent="0.2">
      <c r="A100" s="21">
        <v>35855</v>
      </c>
      <c r="B100" s="79">
        <f>VLOOKUP(A100,Database!$A:$AS,MATCH($B$1,Database!$A$1:$AS$1,0),FALSE)</f>
        <v>122.889759187</v>
      </c>
      <c r="C100" s="79">
        <f>VLOOKUP(A100,Database!$A:$AS,MATCH($C$1,Database!$A$1:$AS$1,0),FALSE)</f>
        <v>100.57</v>
      </c>
      <c r="D100" s="79">
        <f>VLOOKUP(A100,Database!$A:$AS,MATCH($D$1,Database!$A$1:$AS$1,0),FALSE)</f>
        <v>75.693692192</v>
      </c>
      <c r="E100" s="79">
        <f>VLOOKUP(A100,Database!$A:$AS,MATCH($E$1,Database!$A$1:$AS$1,0),FALSE)</f>
        <v>114.311095259</v>
      </c>
      <c r="F100" s="79">
        <f>VLOOKUP(A100,Database!$A:$AS,MATCH($F$1,Database!$A$1:$AS$1,0),FALSE)</f>
        <v>88.7</v>
      </c>
      <c r="G100" s="79">
        <f>VLOOKUP(A100,Database!$A:$AS,MATCH($G$1,Database!$A$1:$AS$1,0),FALSE)</f>
        <v>94.425524288000005</v>
      </c>
      <c r="H100" s="79">
        <f>(((Table134567891011121314151617343[[#This Row],[ITA]]-VLOOKUP($U$1,A:B,2,))/VLOOKUP($U$1,A:B,2,))*100)+100</f>
        <v>101.0690789476207</v>
      </c>
      <c r="I100" s="79">
        <f>(((Table134567891011121314151617343[[#This Row],[FRA]]-VLOOKUP($U$1,A:C,3,))/VLOOKUP($U$1,A:C,3,))*100)+100</f>
        <v>98.126646502097771</v>
      </c>
      <c r="J100" s="79">
        <f>(((Table134567891011121314151617343[[#This Row],[DEU]]-VLOOKUP($U$1,A:D,4,))/VLOOKUP($U$1,A:D,4,))*100)+100</f>
        <v>100.66489361594604</v>
      </c>
      <c r="K100" s="79">
        <f>(((Table134567891011121314151617343[[#This Row],[ESP]]-VLOOKUP($U$1,A:E,5,))/VLOOKUP($U$1,A:E,5,))*100)+100</f>
        <v>96.083886693715272</v>
      </c>
      <c r="L100" s="79">
        <f>(((Table134567891011121314151617343[[#This Row],[EA19]]-VLOOKUP($U$1,A:F,6,))/VLOOKUP($U$1,A:F,6,))*100)+100</f>
        <v>99.217002237136455</v>
      </c>
      <c r="M100" s="79">
        <f>(((Table134567891011121314151617343[[#This Row],[GBR]]-VLOOKUP($U$1,A:G,7,))/VLOOKUP($U$1,A:G,7,))*100)+100</f>
        <v>102.45040840169396</v>
      </c>
      <c r="N100" s="79">
        <f>VLOOKUP(A100,Database!$A:$AS,MATCH($N$1,Database!$A$1:$AS$1,0),FALSE)</f>
        <v>83.922281959000003</v>
      </c>
      <c r="O100" s="79">
        <f>(((Table134567891011121314151617343[[#This Row],[USA]]-VLOOKUP($U$1,A:N,14,))/VLOOKUP($U$1,A:N,14,))*100)+100</f>
        <v>96.614051122963119</v>
      </c>
      <c r="P100" s="79">
        <f>VLOOKUP(A100,Database!$A:$AS,MATCH($P$1,Database!$A$1:$AS$1,0),FALSE)</f>
        <v>101.19813763800001</v>
      </c>
      <c r="Q100" s="79">
        <f>(((Table134567891011121314151617343[[#This Row],[JPN]]-VLOOKUP($U$1,A:Q,16,))/VLOOKUP($U$1,A:Q,16,))*100)+100</f>
        <v>101.60085378849659</v>
      </c>
    </row>
    <row r="101" spans="1:17" s="83" customFormat="1" x14ac:dyDescent="0.2">
      <c r="A101" s="21">
        <v>35886</v>
      </c>
      <c r="B101" s="79">
        <f>VLOOKUP(A101,Database!$A:$AS,MATCH($B$1,Database!$A$1:$AS$1,0),FALSE)</f>
        <v>123.88967586</v>
      </c>
      <c r="C101" s="79">
        <f>VLOOKUP(A101,Database!$A:$AS,MATCH($C$1,Database!$A$1:$AS$1,0),FALSE)</f>
        <v>101.87</v>
      </c>
      <c r="D101" s="79">
        <f>VLOOKUP(A101,Database!$A:$AS,MATCH($D$1,Database!$A$1:$AS$1,0),FALSE)</f>
        <v>74.993750520999996</v>
      </c>
      <c r="E101" s="79">
        <f>VLOOKUP(A101,Database!$A:$AS,MATCH($E$1,Database!$A$1:$AS$1,0),FALSE)</f>
        <v>115.154095962</v>
      </c>
      <c r="F101" s="79">
        <f>VLOOKUP(A101,Database!$A:$AS,MATCH($F$1,Database!$A$1:$AS$1,0),FALSE)</f>
        <v>89</v>
      </c>
      <c r="G101" s="79">
        <f>VLOOKUP(A101,Database!$A:$AS,MATCH($G$1,Database!$A$1:$AS$1,0),FALSE)</f>
        <v>94.102885822000005</v>
      </c>
      <c r="H101" s="79">
        <f>(((Table134567891011121314151617343[[#This Row],[ITA]]-VLOOKUP($U$1,A:B,2,))/VLOOKUP($U$1,A:B,2,))*100)+100</f>
        <v>101.89144736817148</v>
      </c>
      <c r="I101" s="79">
        <f>(((Table134567891011121314151617343[[#This Row],[FRA]]-VLOOKUP($U$1,A:C,3,))/VLOOKUP($U$1,A:C,3,))*100)+100</f>
        <v>99.395062932969083</v>
      </c>
      <c r="J101" s="79">
        <f>(((Table134567891011121314151617343[[#This Row],[DEU]]-VLOOKUP($U$1,A:D,4,))/VLOOKUP($U$1,A:D,4,))*100)+100</f>
        <v>99.734042552823652</v>
      </c>
      <c r="K101" s="79">
        <f>(((Table134567891011121314151617343[[#This Row],[ESP]]-VLOOKUP($U$1,A:E,5,))/VLOOKUP($U$1,A:E,5,))*100)+100</f>
        <v>96.7924686895946</v>
      </c>
      <c r="L101" s="79">
        <f>(((Table134567891011121314151617343[[#This Row],[EA19]]-VLOOKUP($U$1,A:F,6,))/VLOOKUP($U$1,A:F,6,))*100)+100</f>
        <v>99.552572706935123</v>
      </c>
      <c r="M101" s="79">
        <f>(((Table134567891011121314151617343[[#This Row],[GBR]]-VLOOKUP($U$1,A:G,7,))/VLOOKUP($U$1,A:G,7,))*100)+100</f>
        <v>102.10035005828483</v>
      </c>
      <c r="N101" s="79">
        <f>VLOOKUP(A101,Database!$A:$AS,MATCH($N$1,Database!$A$1:$AS$1,0),FALSE)</f>
        <v>84.233812272999998</v>
      </c>
      <c r="O101" s="79">
        <f>(((Table134567891011121314151617343[[#This Row],[USA]]-VLOOKUP($U$1,A:N,14,))/VLOOKUP($U$1,A:N,14,))*100)+100</f>
        <v>96.972694917919171</v>
      </c>
      <c r="P101" s="79">
        <f>VLOOKUP(A101,Database!$A:$AS,MATCH($P$1,Database!$A$1:$AS$1,0),FALSE)</f>
        <v>100.985536509</v>
      </c>
      <c r="Q101" s="79">
        <f>(((Table134567891011121314151617343[[#This Row],[JPN]]-VLOOKUP($U$1,A:Q,16,))/VLOOKUP($U$1,A:Q,16,))*100)+100</f>
        <v>101.38740661716557</v>
      </c>
    </row>
    <row r="102" spans="1:17" s="83" customFormat="1" x14ac:dyDescent="0.2">
      <c r="A102" s="21">
        <v>35916</v>
      </c>
      <c r="B102" s="79">
        <f>VLOOKUP(A102,Database!$A:$AS,MATCH($B$1,Database!$A$1:$AS$1,0),FALSE)</f>
        <v>123.689692526</v>
      </c>
      <c r="C102" s="79">
        <f>VLOOKUP(A102,Database!$A:$AS,MATCH($C$1,Database!$A$1:$AS$1,0),FALSE)</f>
        <v>103.15</v>
      </c>
      <c r="D102" s="79">
        <f>VLOOKUP(A102,Database!$A:$AS,MATCH($D$1,Database!$A$1:$AS$1,0),FALSE)</f>
        <v>75.393717190000004</v>
      </c>
      <c r="E102" s="79">
        <f>VLOOKUP(A102,Database!$A:$AS,MATCH($E$1,Database!$A$1:$AS$1,0),FALSE)</f>
        <v>116.034096695</v>
      </c>
      <c r="F102" s="79">
        <f>VLOOKUP(A102,Database!$A:$AS,MATCH($F$1,Database!$A$1:$AS$1,0),FALSE)</f>
        <v>89.3</v>
      </c>
      <c r="G102" s="79">
        <f>VLOOKUP(A102,Database!$A:$AS,MATCH($G$1,Database!$A$1:$AS$1,0),FALSE)</f>
        <v>92.704785803999997</v>
      </c>
      <c r="H102" s="79">
        <f>(((Table134567891011121314151617343[[#This Row],[ITA]]-VLOOKUP($U$1,A:B,2,))/VLOOKUP($U$1,A:B,2,))*100)+100</f>
        <v>101.72697368455479</v>
      </c>
      <c r="I102" s="79">
        <f>(((Table134567891011121314151617343[[#This Row],[FRA]]-VLOOKUP($U$1,A:C,3,))/VLOOKUP($U$1,A:C,3,))*100)+100</f>
        <v>100.6439652649039</v>
      </c>
      <c r="J102" s="79">
        <f>(((Table134567891011121314151617343[[#This Row],[DEU]]-VLOOKUP($U$1,A:D,4,))/VLOOKUP($U$1,A:D,4,))*100)+100</f>
        <v>100.26595744584647</v>
      </c>
      <c r="K102" s="79">
        <f>(((Table134567891011121314151617343[[#This Row],[ESP]]-VLOOKUP($U$1,A:E,5,))/VLOOKUP($U$1,A:E,5,))*100)+100</f>
        <v>97.532150962154248</v>
      </c>
      <c r="L102" s="79">
        <f>(((Table134567891011121314151617343[[#This Row],[EA19]]-VLOOKUP($U$1,A:F,6,))/VLOOKUP($U$1,A:F,6,))*100)+100</f>
        <v>99.888143176733777</v>
      </c>
      <c r="M102" s="79">
        <f>(((Table134567891011121314151617343[[#This Row],[GBR]]-VLOOKUP($U$1,A:G,7,))/VLOOKUP($U$1,A:G,7,))*100)+100</f>
        <v>100.58343057162523</v>
      </c>
      <c r="N102" s="79">
        <f>VLOOKUP(A102,Database!$A:$AS,MATCH($N$1,Database!$A$1:$AS$1,0),FALSE)</f>
        <v>84.759340023999997</v>
      </c>
      <c r="O102" s="79">
        <f>(((Table134567891011121314151617343[[#This Row],[USA]]-VLOOKUP($U$1,A:N,14,))/VLOOKUP($U$1,A:N,14,))*100)+100</f>
        <v>97.577699498543595</v>
      </c>
      <c r="P102" s="79">
        <f>VLOOKUP(A102,Database!$A:$AS,MATCH($P$1,Database!$A$1:$AS$1,0),FALSE)</f>
        <v>100.24143255600001</v>
      </c>
      <c r="Q102" s="79">
        <f>(((Table134567891011121314151617343[[#This Row],[JPN]]-VLOOKUP($U$1,A:Q,16,))/VLOOKUP($U$1,A:Q,16,))*100)+100</f>
        <v>100.64034151600103</v>
      </c>
    </row>
    <row r="103" spans="1:17" s="83" customFormat="1" x14ac:dyDescent="0.2">
      <c r="A103" s="21">
        <v>35947</v>
      </c>
      <c r="B103" s="79">
        <f>VLOOKUP(A103,Database!$A:$AS,MATCH($B$1,Database!$A$1:$AS$1,0),FALSE)</f>
        <v>123.489709191</v>
      </c>
      <c r="C103" s="79">
        <f>VLOOKUP(A103,Database!$A:$AS,MATCH($C$1,Database!$A$1:$AS$1,0),FALSE)</f>
        <v>102.48</v>
      </c>
      <c r="D103" s="79">
        <f>VLOOKUP(A103,Database!$A:$AS,MATCH($D$1,Database!$A$1:$AS$1,0),FALSE)</f>
        <v>74.793767185999997</v>
      </c>
      <c r="E103" s="79">
        <f>VLOOKUP(A103,Database!$A:$AS,MATCH($E$1,Database!$A$1:$AS$1,0),FALSE)</f>
        <v>115.53909628300001</v>
      </c>
      <c r="F103" s="79">
        <f>VLOOKUP(A103,Database!$A:$AS,MATCH($F$1,Database!$A$1:$AS$1,0),FALSE)</f>
        <v>88.9</v>
      </c>
      <c r="G103" s="79">
        <f>VLOOKUP(A103,Database!$A:$AS,MATCH($G$1,Database!$A$1:$AS$1,0),FALSE)</f>
        <v>91.951962717000001</v>
      </c>
      <c r="H103" s="79">
        <f>(((Table134567891011121314151617343[[#This Row],[ITA]]-VLOOKUP($U$1,A:B,2,))/VLOOKUP($U$1,A:B,2,))*100)+100</f>
        <v>101.56250000011566</v>
      </c>
      <c r="I103" s="79">
        <f>(((Table134567891011121314151617343[[#This Row],[FRA]]-VLOOKUP($U$1,A:C,3,))/VLOOKUP($U$1,A:C,3,))*100)+100</f>
        <v>99.990242950531766</v>
      </c>
      <c r="J103" s="79">
        <f>(((Table134567891011121314151617343[[#This Row],[DEU]]-VLOOKUP($U$1,A:D,4,))/VLOOKUP($U$1,A:D,4,))*100)+100</f>
        <v>99.46808510564729</v>
      </c>
      <c r="K103" s="79">
        <f>(((Table134567891011121314151617343[[#This Row],[ESP]]-VLOOKUP($U$1,A:E,5,))/VLOOKUP($U$1,A:E,5,))*100)+100</f>
        <v>97.116079684102118</v>
      </c>
      <c r="L103" s="79">
        <f>(((Table134567891011121314151617343[[#This Row],[EA19]]-VLOOKUP($U$1,A:F,6,))/VLOOKUP($U$1,A:F,6,))*100)+100</f>
        <v>99.440715883668901</v>
      </c>
      <c r="M103" s="79">
        <f>(((Table134567891011121314151617343[[#This Row],[GBR]]-VLOOKUP($U$1,A:G,7,))/VLOOKUP($U$1,A:G,7,))*100)+100</f>
        <v>99.766627770698932</v>
      </c>
      <c r="N103" s="79">
        <f>VLOOKUP(A103,Database!$A:$AS,MATCH($N$1,Database!$A$1:$AS$1,0),FALSE)</f>
        <v>84.248977444999994</v>
      </c>
      <c r="O103" s="79">
        <f>(((Table134567891011121314151617343[[#This Row],[USA]]-VLOOKUP($U$1,A:N,14,))/VLOOKUP($U$1,A:N,14,))*100)+100</f>
        <v>96.990153555466847</v>
      </c>
      <c r="P103" s="79">
        <f>VLOOKUP(A103,Database!$A:$AS,MATCH($P$1,Database!$A$1:$AS$1,0),FALSE)</f>
        <v>100.24143255600001</v>
      </c>
      <c r="Q103" s="79">
        <f>(((Table134567891011121314151617343[[#This Row],[JPN]]-VLOOKUP($U$1,A:Q,16,))/VLOOKUP($U$1,A:Q,16,))*100)+100</f>
        <v>100.64034151600103</v>
      </c>
    </row>
    <row r="104" spans="1:17" s="83" customFormat="1" x14ac:dyDescent="0.2">
      <c r="A104" s="21">
        <v>35977</v>
      </c>
      <c r="B104" s="79">
        <f>VLOOKUP(A104,Database!$A:$AS,MATCH($B$1,Database!$A$1:$AS$1,0),FALSE)</f>
        <v>123.289725856</v>
      </c>
      <c r="C104" s="79">
        <f>VLOOKUP(A104,Database!$A:$AS,MATCH($C$1,Database!$A$1:$AS$1,0),FALSE)</f>
        <v>103.1</v>
      </c>
      <c r="D104" s="79">
        <f>VLOOKUP(A104,Database!$A:$AS,MATCH($D$1,Database!$A$1:$AS$1,0),FALSE)</f>
        <v>76.393633863999995</v>
      </c>
      <c r="E104" s="79">
        <f>VLOOKUP(A104,Database!$A:$AS,MATCH($E$1,Database!$A$1:$AS$1,0),FALSE)</f>
        <v>115.458096215</v>
      </c>
      <c r="F104" s="79">
        <f>VLOOKUP(A104,Database!$A:$AS,MATCH($F$1,Database!$A$1:$AS$1,0),FALSE)</f>
        <v>89.9</v>
      </c>
      <c r="G104" s="79">
        <f>VLOOKUP(A104,Database!$A:$AS,MATCH($G$1,Database!$A$1:$AS$1,0),FALSE)</f>
        <v>91.414231940999997</v>
      </c>
      <c r="H104" s="79">
        <f>(((Table134567891011121314151617343[[#This Row],[ITA]]-VLOOKUP($U$1,A:B,2,))/VLOOKUP($U$1,A:B,2,))*100)+100</f>
        <v>101.39802631567653</v>
      </c>
      <c r="I104" s="79">
        <f>(((Table134567891011121314151617343[[#This Row],[FRA]]-VLOOKUP($U$1,A:C,3,))/VLOOKUP($U$1,A:C,3,))*100)+100</f>
        <v>100.59518001756268</v>
      </c>
      <c r="J104" s="79">
        <f>(((Table134567891011121314151617343[[#This Row],[DEU]]-VLOOKUP($U$1,A:D,4,))/VLOOKUP($U$1,A:D,4,))*100)+100</f>
        <v>101.59574468039833</v>
      </c>
      <c r="K104" s="79">
        <f>(((Table134567891011121314151617343[[#This Row],[ESP]]-VLOOKUP($U$1,A:E,5,))/VLOOKUP($U$1,A:E,5,))*100)+100</f>
        <v>97.047995292659081</v>
      </c>
      <c r="L104" s="79">
        <f>(((Table134567891011121314151617343[[#This Row],[EA19]]-VLOOKUP($U$1,A:F,6,))/VLOOKUP($U$1,A:F,6,))*100)+100</f>
        <v>100.5592841163311</v>
      </c>
      <c r="M104" s="79">
        <f>(((Table134567891011121314151617343[[#This Row],[GBR]]-VLOOKUP($U$1,A:G,7,))/VLOOKUP($U$1,A:G,7,))*100)+100</f>
        <v>99.183197199073689</v>
      </c>
      <c r="N104" s="79">
        <f>VLOOKUP(A104,Database!$A:$AS,MATCH($N$1,Database!$A$1:$AS$1,0),FALSE)</f>
        <v>83.920299583000002</v>
      </c>
      <c r="O104" s="79">
        <f>(((Table134567891011121314151617343[[#This Row],[USA]]-VLOOKUP($U$1,A:N,14,))/VLOOKUP($U$1,A:N,14,))*100)+100</f>
        <v>96.611768947458131</v>
      </c>
      <c r="P104" s="79">
        <f>VLOOKUP(A104,Database!$A:$AS,MATCH($P$1,Database!$A$1:$AS$1,0),FALSE)</f>
        <v>100.028831426</v>
      </c>
      <c r="Q104" s="79">
        <f>(((Table134567891011121314151617343[[#This Row],[JPN]]-VLOOKUP($U$1,A:Q,16,))/VLOOKUP($U$1,A:Q,16,))*100)+100</f>
        <v>100.42689434366602</v>
      </c>
    </row>
    <row r="105" spans="1:17" s="83" customFormat="1" x14ac:dyDescent="0.2">
      <c r="A105" s="21">
        <v>36008</v>
      </c>
      <c r="B105" s="79">
        <f>VLOOKUP(A105,Database!$A:$AS,MATCH($B$1,Database!$A$1:$AS$1,0),FALSE)</f>
        <v>121.58986751099999</v>
      </c>
      <c r="C105" s="79">
        <f>VLOOKUP(A105,Database!$A:$AS,MATCH($C$1,Database!$A$1:$AS$1,0),FALSE)</f>
        <v>100.48</v>
      </c>
      <c r="D105" s="79">
        <f>VLOOKUP(A105,Database!$A:$AS,MATCH($D$1,Database!$A$1:$AS$1,0),FALSE)</f>
        <v>74.693775518999999</v>
      </c>
      <c r="E105" s="79">
        <f>VLOOKUP(A105,Database!$A:$AS,MATCH($E$1,Database!$A$1:$AS$1,0),FALSE)</f>
        <v>115.39209615999999</v>
      </c>
      <c r="F105" s="79">
        <f>VLOOKUP(A105,Database!$A:$AS,MATCH($F$1,Database!$A$1:$AS$1,0),FALSE)</f>
        <v>88.6</v>
      </c>
      <c r="G105" s="79">
        <f>VLOOKUP(A105,Database!$A:$AS,MATCH($G$1,Database!$A$1:$AS$1,0),FALSE)</f>
        <v>91.629324252000004</v>
      </c>
      <c r="H105" s="79">
        <f>(((Table134567891011121314151617343[[#This Row],[ITA]]-VLOOKUP($U$1,A:B,2,))/VLOOKUP($U$1,A:B,2,))*100)+100</f>
        <v>100</v>
      </c>
      <c r="I105" s="79">
        <f>(((Table134567891011121314151617343[[#This Row],[FRA]]-VLOOKUP($U$1,A:C,3,))/VLOOKUP($U$1,A:C,3,))*100)+100</f>
        <v>98.038833056883604</v>
      </c>
      <c r="J105" s="79">
        <f>(((Table134567891011121314151617343[[#This Row],[DEU]]-VLOOKUP($U$1,A:D,4,))/VLOOKUP($U$1,A:D,4,))*100)+100</f>
        <v>99.335106382724064</v>
      </c>
      <c r="K105" s="79">
        <f>(((Table134567891011121314151617343[[#This Row],[ESP]]-VLOOKUP($U$1,A:E,5,))/VLOOKUP($U$1,A:E,5,))*100)+100</f>
        <v>96.992519122196086</v>
      </c>
      <c r="L105" s="79">
        <f>(((Table134567891011121314151617343[[#This Row],[EA19]]-VLOOKUP($U$1,A:F,6,))/VLOOKUP($U$1,A:F,6,))*100)+100</f>
        <v>99.105145413870233</v>
      </c>
      <c r="M105" s="79">
        <f>(((Table134567891011121314151617343[[#This Row],[GBR]]-VLOOKUP($U$1,A:G,7,))/VLOOKUP($U$1,A:G,7,))*100)+100</f>
        <v>99.416569428374785</v>
      </c>
      <c r="N105" s="79">
        <f>VLOOKUP(A105,Database!$A:$AS,MATCH($N$1,Database!$A$1:$AS$1,0),FALSE)</f>
        <v>85.656761423999995</v>
      </c>
      <c r="O105" s="79">
        <f>(((Table134567891011121314151617343[[#This Row],[USA]]-VLOOKUP($U$1,A:N,14,))/VLOOKUP($U$1,A:N,14,))*100)+100</f>
        <v>98.610840101903264</v>
      </c>
      <c r="P105" s="79">
        <f>VLOOKUP(A105,Database!$A:$AS,MATCH($P$1,Database!$A$1:$AS$1,0),FALSE)</f>
        <v>98.221721825000003</v>
      </c>
      <c r="Q105" s="79">
        <f>(((Table134567891011121314151617343[[#This Row],[JPN]]-VLOOKUP($U$1,A:Q,16,))/VLOOKUP($U$1,A:Q,16,))*100)+100</f>
        <v>98.612593382834447</v>
      </c>
    </row>
    <row r="106" spans="1:17" s="83" customFormat="1" x14ac:dyDescent="0.2">
      <c r="A106" s="21">
        <v>36039</v>
      </c>
      <c r="B106" s="79">
        <f>VLOOKUP(A106,Database!$A:$AS,MATCH($B$1,Database!$A$1:$AS$1,0),FALSE)</f>
        <v>123.38971752400001</v>
      </c>
      <c r="C106" s="79">
        <f>VLOOKUP(A106,Database!$A:$AS,MATCH($C$1,Database!$A$1:$AS$1,0),FALSE)</f>
        <v>102.33</v>
      </c>
      <c r="D106" s="79">
        <f>VLOOKUP(A106,Database!$A:$AS,MATCH($D$1,Database!$A$1:$AS$1,0),FALSE)</f>
        <v>74.193817182000004</v>
      </c>
      <c r="E106" s="79">
        <f>VLOOKUP(A106,Database!$A:$AS,MATCH($E$1,Database!$A$1:$AS$1,0),FALSE)</f>
        <v>115.675096396</v>
      </c>
      <c r="F106" s="79">
        <f>VLOOKUP(A106,Database!$A:$AS,MATCH($F$1,Database!$A$1:$AS$1,0),FALSE)</f>
        <v>88.9</v>
      </c>
      <c r="G106" s="79">
        <f>VLOOKUP(A106,Database!$A:$AS,MATCH($G$1,Database!$A$1:$AS$1,0),FALSE)</f>
        <v>90.768955009999999</v>
      </c>
      <c r="H106" s="79">
        <f>(((Table134567891011121314151617343[[#This Row],[ITA]]-VLOOKUP($U$1,A:B,2,))/VLOOKUP($U$1,A:B,2,))*100)+100</f>
        <v>101.48026315830732</v>
      </c>
      <c r="I106" s="79">
        <f>(((Table134567891011121314151617343[[#This Row],[FRA]]-VLOOKUP($U$1,A:C,3,))/VLOOKUP($U$1,A:C,3,))*100)+100</f>
        <v>99.84388720850815</v>
      </c>
      <c r="J106" s="79">
        <f>(((Table134567891011121314151617343[[#This Row],[DEU]]-VLOOKUP($U$1,A:D,4,))/VLOOKUP($U$1,A:D,4,))*100)+100</f>
        <v>98.670212765448142</v>
      </c>
      <c r="K106" s="79">
        <f>(((Table134567891011121314151617343[[#This Row],[ESP]]-VLOOKUP($U$1,A:E,5,))/VLOOKUP($U$1,A:E,5,))*100)+100</f>
        <v>97.230394216897182</v>
      </c>
      <c r="L106" s="79">
        <f>(((Table134567891011121314151617343[[#This Row],[EA19]]-VLOOKUP($U$1,A:F,6,))/VLOOKUP($U$1,A:F,6,))*100)+100</f>
        <v>99.440715883668901</v>
      </c>
      <c r="M106" s="79">
        <f>(((Table134567891011121314151617343[[#This Row],[GBR]]-VLOOKUP($U$1,A:G,7,))/VLOOKUP($U$1,A:G,7,))*100)+100</f>
        <v>98.483080513340411</v>
      </c>
      <c r="N106" s="79">
        <f>VLOOKUP(A106,Database!$A:$AS,MATCH($N$1,Database!$A$1:$AS$1,0),FALSE)</f>
        <v>85.567951000999997</v>
      </c>
      <c r="O106" s="79">
        <f>(((Table134567891011121314151617343[[#This Row],[USA]]-VLOOKUP($U$1,A:N,14,))/VLOOKUP($U$1,A:N,14,))*100)+100</f>
        <v>98.50859866437699</v>
      </c>
      <c r="P106" s="79">
        <f>VLOOKUP(A106,Database!$A:$AS,MATCH($P$1,Database!$A$1:$AS$1,0),FALSE)</f>
        <v>99.497328601999996</v>
      </c>
      <c r="Q106" s="79">
        <f>(((Table134567891011121314151617343[[#This Row],[JPN]]-VLOOKUP($U$1,A:Q,16,))/VLOOKUP($U$1,A:Q,16,))*100)+100</f>
        <v>99.893276413832496</v>
      </c>
    </row>
    <row r="107" spans="1:17" s="83" customFormat="1" x14ac:dyDescent="0.2">
      <c r="A107" s="21">
        <v>36069</v>
      </c>
      <c r="B107" s="79">
        <f>VLOOKUP(A107,Database!$A:$AS,MATCH($B$1,Database!$A$1:$AS$1,0),FALSE)</f>
        <v>122.589784185</v>
      </c>
      <c r="C107" s="79">
        <f>VLOOKUP(A107,Database!$A:$AS,MATCH($C$1,Database!$A$1:$AS$1,0),FALSE)</f>
        <v>102.39</v>
      </c>
      <c r="D107" s="79">
        <f>VLOOKUP(A107,Database!$A:$AS,MATCH($D$1,Database!$A$1:$AS$1,0),FALSE)</f>
        <v>74.693775518999999</v>
      </c>
      <c r="E107" s="79">
        <f>VLOOKUP(A107,Database!$A:$AS,MATCH($E$1,Database!$A$1:$AS$1,0),FALSE)</f>
        <v>117.363097803</v>
      </c>
      <c r="F107" s="79">
        <f>VLOOKUP(A107,Database!$A:$AS,MATCH($F$1,Database!$A$1:$AS$1,0),FALSE)</f>
        <v>89.1</v>
      </c>
      <c r="G107" s="79">
        <f>VLOOKUP(A107,Database!$A:$AS,MATCH($G$1,Database!$A$1:$AS$1,0),FALSE)</f>
        <v>90.876501164999993</v>
      </c>
      <c r="H107" s="79">
        <f>(((Table134567891011121314151617343[[#This Row],[ITA]]-VLOOKUP($U$1,A:B,2,))/VLOOKUP($U$1,A:B,2,))*100)+100</f>
        <v>100.82236842137323</v>
      </c>
      <c r="I107" s="79">
        <f>(((Table134567891011121314151617343[[#This Row],[FRA]]-VLOOKUP($U$1,A:C,3,))/VLOOKUP($U$1,A:C,3,))*100)+100</f>
        <v>99.902429505317599</v>
      </c>
      <c r="J107" s="79">
        <f>(((Table134567891011121314151617343[[#This Row],[DEU]]-VLOOKUP($U$1,A:D,4,))/VLOOKUP($U$1,A:D,4,))*100)+100</f>
        <v>99.335106382724064</v>
      </c>
      <c r="K107" s="79">
        <f>(((Table134567891011121314151617343[[#This Row],[ESP]]-VLOOKUP($U$1,A:E,5,))/VLOOKUP($U$1,A:E,5,))*100)+100</f>
        <v>98.649239304170109</v>
      </c>
      <c r="L107" s="79">
        <f>(((Table134567891011121314151617343[[#This Row],[EA19]]-VLOOKUP($U$1,A:F,6,))/VLOOKUP($U$1,A:F,6,))*100)+100</f>
        <v>99.664429530201332</v>
      </c>
      <c r="M107" s="79">
        <f>(((Table134567891011121314151617343[[#This Row],[GBR]]-VLOOKUP($U$1,A:G,7,))/VLOOKUP($U$1,A:G,7,))*100)+100</f>
        <v>98.59976662744846</v>
      </c>
      <c r="N107" s="79">
        <f>VLOOKUP(A107,Database!$A:$AS,MATCH($N$1,Database!$A$1:$AS$1,0),FALSE)</f>
        <v>86.210240670999994</v>
      </c>
      <c r="O107" s="79">
        <f>(((Table134567891011121314151617343[[#This Row],[USA]]-VLOOKUP($U$1,A:N,14,))/VLOOKUP($U$1,A:N,14,))*100)+100</f>
        <v>99.248023350701018</v>
      </c>
      <c r="P107" s="79">
        <f>VLOOKUP(A107,Database!$A:$AS,MATCH($P$1,Database!$A$1:$AS$1,0),FALSE)</f>
        <v>98.965825778999999</v>
      </c>
      <c r="Q107" s="79">
        <f>(((Table134567891011121314151617343[[#This Row],[JPN]]-VLOOKUP($U$1,A:Q,16,))/VLOOKUP($U$1,A:Q,16,))*100)+100</f>
        <v>99.359658485002967</v>
      </c>
    </row>
    <row r="108" spans="1:17" s="83" customFormat="1" x14ac:dyDescent="0.2">
      <c r="A108" s="21">
        <v>36100</v>
      </c>
      <c r="B108" s="79">
        <f>VLOOKUP(A108,Database!$A:$AS,MATCH($B$1,Database!$A$1:$AS$1,0),FALSE)</f>
        <v>122.189817515</v>
      </c>
      <c r="C108" s="79">
        <f>VLOOKUP(A108,Database!$A:$AS,MATCH($C$1,Database!$A$1:$AS$1,0),FALSE)</f>
        <v>102.99</v>
      </c>
      <c r="D108" s="79">
        <f>VLOOKUP(A108,Database!$A:$AS,MATCH($D$1,Database!$A$1:$AS$1,0),FALSE)</f>
        <v>73.693858844999994</v>
      </c>
      <c r="E108" s="79">
        <f>VLOOKUP(A108,Database!$A:$AS,MATCH($E$1,Database!$A$1:$AS$1,0),FALSE)</f>
        <v>116.13109677600001</v>
      </c>
      <c r="F108" s="79">
        <f>VLOOKUP(A108,Database!$A:$AS,MATCH($F$1,Database!$A$1:$AS$1,0),FALSE)</f>
        <v>88.6</v>
      </c>
      <c r="G108" s="79">
        <f>VLOOKUP(A108,Database!$A:$AS,MATCH($G$1,Database!$A$1:$AS$1,0),FALSE)</f>
        <v>90.984047320000002</v>
      </c>
      <c r="H108" s="79">
        <f>(((Table134567891011121314151617343[[#This Row],[ITA]]-VLOOKUP($U$1,A:B,2,))/VLOOKUP($U$1,A:B,2,))*100)+100</f>
        <v>100.49342105249497</v>
      </c>
      <c r="I108" s="79">
        <f>(((Table134567891011121314151617343[[#This Row],[FRA]]-VLOOKUP($U$1,A:C,3,))/VLOOKUP($U$1,A:C,3,))*100)+100</f>
        <v>100.48785247341203</v>
      </c>
      <c r="J108" s="79">
        <f>(((Table134567891011121314151617343[[#This Row],[DEU]]-VLOOKUP($U$1,A:D,4,))/VLOOKUP($U$1,A:D,4,))*100)+100</f>
        <v>98.005319148172191</v>
      </c>
      <c r="K108" s="79">
        <f>(((Table134567891011121314151617343[[#This Row],[ESP]]-VLOOKUP($U$1,A:E,5,))/VLOOKUP($U$1,A:E,5,))*100)+100</f>
        <v>97.613684121914176</v>
      </c>
      <c r="L108" s="79">
        <f>(((Table134567891011121314151617343[[#This Row],[EA19]]-VLOOKUP($U$1,A:F,6,))/VLOOKUP($U$1,A:F,6,))*100)+100</f>
        <v>99.105145413870233</v>
      </c>
      <c r="M108" s="79">
        <f>(((Table134567891011121314151617343[[#This Row],[GBR]]-VLOOKUP($U$1,A:G,7,))/VLOOKUP($U$1,A:G,7,))*100)+100</f>
        <v>98.716452741556523</v>
      </c>
      <c r="N108" s="79">
        <f>VLOOKUP(A108,Database!$A:$AS,MATCH($N$1,Database!$A$1:$AS$1,0),FALSE)</f>
        <v>86.134712164000007</v>
      </c>
      <c r="O108" s="79">
        <f>(((Table134567891011121314151617343[[#This Row],[USA]]-VLOOKUP($U$1,A:N,14,))/VLOOKUP($U$1,A:N,14,))*100)+100</f>
        <v>99.161072485374191</v>
      </c>
      <c r="P108" s="79">
        <f>VLOOKUP(A108,Database!$A:$AS,MATCH($P$1,Database!$A$1:$AS$1,0),FALSE)</f>
        <v>98.434322954999999</v>
      </c>
      <c r="Q108" s="79">
        <f>(((Table134567891011121314151617343[[#This Row],[JPN]]-VLOOKUP($U$1,A:Q,16,))/VLOOKUP($U$1,A:Q,16,))*100)+100</f>
        <v>98.826040555169442</v>
      </c>
    </row>
    <row r="109" spans="1:17" s="83" customFormat="1" x14ac:dyDescent="0.2">
      <c r="A109" s="21">
        <v>36130</v>
      </c>
      <c r="B109" s="79">
        <f>VLOOKUP(A109,Database!$A:$AS,MATCH($B$1,Database!$A$1:$AS$1,0),FALSE)</f>
        <v>119.29005916200001</v>
      </c>
      <c r="C109" s="79">
        <f>VLOOKUP(A109,Database!$A:$AS,MATCH($C$1,Database!$A$1:$AS$1,0),FALSE)</f>
        <v>102.21</v>
      </c>
      <c r="D109" s="79">
        <f>VLOOKUP(A109,Database!$A:$AS,MATCH($D$1,Database!$A$1:$AS$1,0),FALSE)</f>
        <v>73.993833847000005</v>
      </c>
      <c r="E109" s="79">
        <f>VLOOKUP(A109,Database!$A:$AS,MATCH($E$1,Database!$A$1:$AS$1,0),FALSE)</f>
        <v>117.09809758199999</v>
      </c>
      <c r="F109" s="79">
        <f>VLOOKUP(A109,Database!$A:$AS,MATCH($F$1,Database!$A$1:$AS$1,0),FALSE)</f>
        <v>88.1</v>
      </c>
      <c r="G109" s="79">
        <f>VLOOKUP(A109,Database!$A:$AS,MATCH($G$1,Database!$A$1:$AS$1,0),FALSE)</f>
        <v>91.414231940999997</v>
      </c>
      <c r="H109" s="79">
        <f>(((Table134567891011121314151617343[[#This Row],[ITA]]-VLOOKUP($U$1,A:B,2,))/VLOOKUP($U$1,A:B,2,))*100)+100</f>
        <v>98.10855263182853</v>
      </c>
      <c r="I109" s="79">
        <f>(((Table134567891011121314151617343[[#This Row],[FRA]]-VLOOKUP($U$1,A:C,3,))/VLOOKUP($U$1,A:C,3,))*100)+100</f>
        <v>99.726802614889252</v>
      </c>
      <c r="J109" s="79">
        <f>(((Table134567891011121314151617343[[#This Row],[DEU]]-VLOOKUP($U$1,A:D,4,))/VLOOKUP($U$1,A:D,4,))*100)+100</f>
        <v>98.40425531827178</v>
      </c>
      <c r="K109" s="79">
        <f>(((Table134567891011121314151617343[[#This Row],[ESP]]-VLOOKUP($U$1,A:E,5,))/VLOOKUP($U$1,A:E,5,))*100)+100</f>
        <v>98.426494074140749</v>
      </c>
      <c r="L109" s="79">
        <f>(((Table134567891011121314151617343[[#This Row],[EA19]]-VLOOKUP($U$1,A:F,6,))/VLOOKUP($U$1,A:F,6,))*100)+100</f>
        <v>98.545861297539133</v>
      </c>
      <c r="M109" s="79">
        <f>(((Table134567891011121314151617343[[#This Row],[GBR]]-VLOOKUP($U$1,A:G,7,))/VLOOKUP($U$1,A:G,7,))*100)+100</f>
        <v>99.183197199073689</v>
      </c>
      <c r="N109" s="79">
        <f>VLOOKUP(A109,Database!$A:$AS,MATCH($N$1,Database!$A$1:$AS$1,0),FALSE)</f>
        <v>86.482519949999997</v>
      </c>
      <c r="O109" s="79">
        <f>(((Table134567891011121314151617343[[#This Row],[USA]]-VLOOKUP($U$1,A:N,14,))/VLOOKUP($U$1,A:N,14,))*100)+100</f>
        <v>99.561480081940545</v>
      </c>
      <c r="P109" s="79">
        <f>VLOOKUP(A109,Database!$A:$AS,MATCH($P$1,Database!$A$1:$AS$1,0),FALSE)</f>
        <v>98.328022390000001</v>
      </c>
      <c r="Q109" s="79">
        <f>(((Table134567891011121314151617343[[#This Row],[JPN]]-VLOOKUP($U$1,A:Q,16,))/VLOOKUP($U$1,A:Q,16,))*100)+100</f>
        <v>98.719316969001952</v>
      </c>
    </row>
    <row r="110" spans="1:17" s="83" customFormat="1" x14ac:dyDescent="0.2">
      <c r="A110" s="21">
        <v>36161</v>
      </c>
      <c r="B110" s="79">
        <f>VLOOKUP(A110,Database!$A:$AS,MATCH($B$1,Database!$A$1:$AS$1,0),FALSE)</f>
        <v>121.58986751099999</v>
      </c>
      <c r="C110" s="79">
        <f>VLOOKUP(A110,Database!$A:$AS,MATCH($C$1,Database!$A$1:$AS$1,0),FALSE)</f>
        <v>102.49</v>
      </c>
      <c r="D110" s="79">
        <f>VLOOKUP(A110,Database!$A:$AS,MATCH($D$1,Database!$A$1:$AS$1,0),FALSE)</f>
        <v>75.193733855999994</v>
      </c>
      <c r="E110" s="79">
        <f>VLOOKUP(A110,Database!$A:$AS,MATCH($E$1,Database!$A$1:$AS$1,0),FALSE)</f>
        <v>118.970099142</v>
      </c>
      <c r="F110" s="79">
        <f>VLOOKUP(A110,Database!$A:$AS,MATCH($F$1,Database!$A$1:$AS$1,0),FALSE)</f>
        <v>89.4</v>
      </c>
      <c r="G110" s="79">
        <f>VLOOKUP(A110,Database!$A:$AS,MATCH($G$1,Database!$A$1:$AS$1,0),FALSE)</f>
        <v>92.167055027999993</v>
      </c>
      <c r="H110" s="79">
        <f>(((Table134567891011121314151617343[[#This Row],[ITA]]-VLOOKUP($U$1,A:B,2,))/VLOOKUP($U$1,A:B,2,))*100)+100</f>
        <v>100</v>
      </c>
      <c r="I110" s="79">
        <f>(((Table134567891011121314151617343[[#This Row],[FRA]]-VLOOKUP($U$1,A:C,3,))/VLOOKUP($U$1,A:C,3,))*100)+100</f>
        <v>100</v>
      </c>
      <c r="J110" s="79">
        <f>(((Table134567891011121314151617343[[#This Row],[DEU]]-VLOOKUP($U$1,A:D,4,))/VLOOKUP($U$1,A:D,4,))*100)+100</f>
        <v>100</v>
      </c>
      <c r="K110" s="79">
        <f>(((Table134567891011121314151617343[[#This Row],[ESP]]-VLOOKUP($U$1,A:E,5,))/VLOOKUP($U$1,A:E,5,))*100)+100</f>
        <v>100</v>
      </c>
      <c r="L110" s="79">
        <f>(((Table134567891011121314151617343[[#This Row],[EA19]]-VLOOKUP($U$1,A:F,6,))/VLOOKUP($U$1,A:F,6,))*100)+100</f>
        <v>100</v>
      </c>
      <c r="M110" s="79">
        <f>(((Table134567891011121314151617343[[#This Row],[GBR]]-VLOOKUP($U$1,A:G,7,))/VLOOKUP($U$1,A:G,7,))*100)+100</f>
        <v>100</v>
      </c>
      <c r="N110" s="79">
        <f>VLOOKUP(A110,Database!$A:$AS,MATCH($N$1,Database!$A$1:$AS$1,0),FALSE)</f>
        <v>86.863433407000002</v>
      </c>
      <c r="O110" s="79">
        <f>(((Table134567891011121314151617343[[#This Row],[USA]]-VLOOKUP($U$1,A:N,14,))/VLOOKUP($U$1,A:N,14,))*100)+100</f>
        <v>100</v>
      </c>
      <c r="P110" s="79">
        <f>VLOOKUP(A110,Database!$A:$AS,MATCH($P$1,Database!$A$1:$AS$1,0),FALSE)</f>
        <v>99.603629166999994</v>
      </c>
      <c r="Q110" s="79">
        <f>(((Table134567891011121314151617343[[#This Row],[JPN]]-VLOOKUP($U$1,A:Q,16,))/VLOOKUP($U$1,A:Q,16,))*100)+100</f>
        <v>100</v>
      </c>
    </row>
    <row r="111" spans="1:17" s="83" customFormat="1" x14ac:dyDescent="0.2">
      <c r="A111" s="21">
        <v>36192</v>
      </c>
      <c r="B111" s="79">
        <f>VLOOKUP(A111,Database!$A:$AS,MATCH($B$1,Database!$A$1:$AS$1,0),FALSE)</f>
        <v>120.989917507</v>
      </c>
      <c r="C111" s="79">
        <f>VLOOKUP(A111,Database!$A:$AS,MATCH($C$1,Database!$A$1:$AS$1,0),FALSE)</f>
        <v>102.18</v>
      </c>
      <c r="D111" s="79">
        <f>VLOOKUP(A111,Database!$A:$AS,MATCH($D$1,Database!$A$1:$AS$1,0),FALSE)</f>
        <v>73.793850512000006</v>
      </c>
      <c r="E111" s="79">
        <f>VLOOKUP(A111,Database!$A:$AS,MATCH($E$1,Database!$A$1:$AS$1,0),FALSE)</f>
        <v>116.38409698700001</v>
      </c>
      <c r="F111" s="79">
        <f>VLOOKUP(A111,Database!$A:$AS,MATCH($F$1,Database!$A$1:$AS$1,0),FALSE)</f>
        <v>88.4</v>
      </c>
      <c r="G111" s="79">
        <f>VLOOKUP(A111,Database!$A:$AS,MATCH($G$1,Database!$A$1:$AS$1,0),FALSE)</f>
        <v>92.167055027999993</v>
      </c>
      <c r="H111" s="42">
        <f>(((Table134567891011121314151617343[[#This Row],[ITA]]-VLOOKUP($U$1,A:B,2,))/VLOOKUP($U$1,A:B,2,))*100)+100</f>
        <v>99.506578947505048</v>
      </c>
      <c r="I111" s="79">
        <f>(((Table134567891011121314151617343[[#This Row],[FRA]]-VLOOKUP($U$1,A:C,3,))/VLOOKUP($U$1,A:C,3,))*100)+100</f>
        <v>99.697531466484548</v>
      </c>
      <c r="J111" s="79">
        <f>(((Table134567891011121314151617343[[#This Row],[DEU]]-VLOOKUP($U$1,A:D,4,))/VLOOKUP($U$1,A:D,4,))*100)+100</f>
        <v>98.138297871095432</v>
      </c>
      <c r="K111" s="79">
        <f>(((Table134567891011121314151617343[[#This Row],[ESP]]-VLOOKUP($U$1,A:E,5,))/VLOOKUP($U$1,A:E,5,))*100)+100</f>
        <v>97.826342775495718</v>
      </c>
      <c r="L111" s="79">
        <f>(((Table134567891011121314151617343[[#This Row],[EA19]]-VLOOKUP($U$1,A:F,6,))/VLOOKUP($U$1,A:F,6,))*100)+100</f>
        <v>98.881431767337801</v>
      </c>
      <c r="M111" s="79">
        <f>(((Table134567891011121314151617343[[#This Row],[GBR]]-VLOOKUP($U$1,A:G,7,))/VLOOKUP($U$1,A:G,7,))*100)+100</f>
        <v>100</v>
      </c>
      <c r="N111" s="79">
        <f>VLOOKUP(A111,Database!$A:$AS,MATCH($N$1,Database!$A$1:$AS$1,0),FALSE)</f>
        <v>87.353179280000006</v>
      </c>
      <c r="O111" s="79">
        <f>(((Table134567891011121314151617343[[#This Row],[USA]]-VLOOKUP($U$1,A:N,14,))/VLOOKUP($U$1,A:N,14,))*100)+100</f>
        <v>100.56381132289037</v>
      </c>
      <c r="P111" s="79">
        <f>VLOOKUP(A111,Database!$A:$AS,MATCH($P$1,Database!$A$1:$AS$1,0),FALSE)</f>
        <v>99.603629166999994</v>
      </c>
      <c r="Q111" s="79">
        <f>(((Table134567891011121314151617343[[#This Row],[JPN]]-VLOOKUP($U$1,A:Q,16,))/VLOOKUP($U$1,A:Q,16,))*100)+100</f>
        <v>100</v>
      </c>
    </row>
    <row r="112" spans="1:17" s="83" customFormat="1" x14ac:dyDescent="0.2">
      <c r="A112" s="21">
        <v>36220</v>
      </c>
      <c r="B112" s="79">
        <f>VLOOKUP(A112,Database!$A:$AS,MATCH($B$1,Database!$A$1:$AS$1,0),FALSE)</f>
        <v>121.389884176</v>
      </c>
      <c r="C112" s="79">
        <f>VLOOKUP(A112,Database!$A:$AS,MATCH($C$1,Database!$A$1:$AS$1,0),FALSE)</f>
        <v>102.13</v>
      </c>
      <c r="D112" s="79">
        <f>VLOOKUP(A112,Database!$A:$AS,MATCH($D$1,Database!$A$1:$AS$1,0),FALSE)</f>
        <v>74.293808849000001</v>
      </c>
      <c r="E112" s="79">
        <f>VLOOKUP(A112,Database!$A:$AS,MATCH($E$1,Database!$A$1:$AS$1,0),FALSE)</f>
        <v>114.753095628</v>
      </c>
      <c r="F112" s="79">
        <f>VLOOKUP(A112,Database!$A:$AS,MATCH($F$1,Database!$A$1:$AS$1,0),FALSE)</f>
        <v>88.6</v>
      </c>
      <c r="G112" s="79">
        <f>VLOOKUP(A112,Database!$A:$AS,MATCH($G$1,Database!$A$1:$AS$1,0),FALSE)</f>
        <v>93.995339666999996</v>
      </c>
      <c r="H112" s="79">
        <f>(((Table134567891011121314151617343[[#This Row],[ITA]]-VLOOKUP($U$1,A:B,2,))/VLOOKUP($U$1,A:B,2,))*100)+100</f>
        <v>99.83552631556087</v>
      </c>
      <c r="I112" s="79">
        <f>(((Table134567891011121314151617343[[#This Row],[FRA]]-VLOOKUP($U$1,A:C,3,))/VLOOKUP($U$1,A:C,3,))*100)+100</f>
        <v>99.648746219143334</v>
      </c>
      <c r="J112" s="79">
        <f>(((Table134567891011121314151617343[[#This Row],[DEU]]-VLOOKUP($U$1,A:D,4,))/VLOOKUP($U$1,A:D,4,))*100)+100</f>
        <v>98.803191488371368</v>
      </c>
      <c r="K112" s="79">
        <f>(((Table134567891011121314151617343[[#This Row],[ESP]]-VLOOKUP($U$1,A:E,5,))/VLOOKUP($U$1,A:E,5,))*100)+100</f>
        <v>96.455408926770176</v>
      </c>
      <c r="L112" s="79">
        <f>(((Table134567891011121314151617343[[#This Row],[EA19]]-VLOOKUP($U$1,A:F,6,))/VLOOKUP($U$1,A:F,6,))*100)+100</f>
        <v>99.105145413870233</v>
      </c>
      <c r="M112" s="79">
        <f>(((Table134567891011121314151617343[[#This Row],[GBR]]-VLOOKUP($U$1,A:G,7,))/VLOOKUP($U$1,A:G,7,))*100)+100</f>
        <v>101.98366394417677</v>
      </c>
      <c r="N112" s="79">
        <f>VLOOKUP(A112,Database!$A:$AS,MATCH($N$1,Database!$A$1:$AS$1,0),FALSE)</f>
        <v>87.520590893000005</v>
      </c>
      <c r="O112" s="79">
        <f>(((Table134567891011121314151617343[[#This Row],[USA]]-VLOOKUP($U$1,A:N,14,))/VLOOKUP($U$1,A:N,14,))*100)+100</f>
        <v>100.75654099800647</v>
      </c>
      <c r="P112" s="79">
        <f>VLOOKUP(A112,Database!$A:$AS,MATCH($P$1,Database!$A$1:$AS$1,0),FALSE)</f>
        <v>100.879235944</v>
      </c>
      <c r="Q112" s="79">
        <f>(((Table134567891011121314151617343[[#This Row],[JPN]]-VLOOKUP($U$1,A:Q,16,))/VLOOKUP($U$1,A:Q,16,))*100)+100</f>
        <v>101.28068303099806</v>
      </c>
    </row>
    <row r="113" spans="1:17" s="83" customFormat="1" x14ac:dyDescent="0.2">
      <c r="A113" s="21">
        <v>36251</v>
      </c>
      <c r="B113" s="79">
        <f>VLOOKUP(A113,Database!$A:$AS,MATCH($B$1,Database!$A$1:$AS$1,0),FALSE)</f>
        <v>120.48995917000001</v>
      </c>
      <c r="C113" s="79">
        <f>VLOOKUP(A113,Database!$A:$AS,MATCH($C$1,Database!$A$1:$AS$1,0),FALSE)</f>
        <v>102.92</v>
      </c>
      <c r="D113" s="79">
        <f>VLOOKUP(A113,Database!$A:$AS,MATCH($D$1,Database!$A$1:$AS$1,0),FALSE)</f>
        <v>74.793767185999997</v>
      </c>
      <c r="E113" s="79">
        <f>VLOOKUP(A113,Database!$A:$AS,MATCH($E$1,Database!$A$1:$AS$1,0),FALSE)</f>
        <v>117.61309801100001</v>
      </c>
      <c r="F113" s="79">
        <f>VLOOKUP(A113,Database!$A:$AS,MATCH($F$1,Database!$A$1:$AS$1,0),FALSE)</f>
        <v>89.1</v>
      </c>
      <c r="G113" s="79">
        <f>VLOOKUP(A113,Database!$A:$AS,MATCH($G$1,Database!$A$1:$AS$1,0),FALSE)</f>
        <v>95.285893529000006</v>
      </c>
      <c r="H113" s="79">
        <f>(((Table134567891011121314151617343[[#This Row],[ITA]]-VLOOKUP($U$1,A:B,2,))/VLOOKUP($U$1,A:B,2,))*100)+100</f>
        <v>99.095394736818449</v>
      </c>
      <c r="I113" s="79">
        <f>(((Table134567891011121314151617343[[#This Row],[FRA]]-VLOOKUP($U$1,A:C,3,))/VLOOKUP($U$1,A:C,3,))*100)+100</f>
        <v>100.41955312713436</v>
      </c>
      <c r="J113" s="79">
        <f>(((Table134567891011121314151617343[[#This Row],[DEU]]-VLOOKUP($U$1,A:D,4,))/VLOOKUP($U$1,A:D,4,))*100)+100</f>
        <v>99.46808510564729</v>
      </c>
      <c r="K113" s="79">
        <f>(((Table134567891011121314151617343[[#This Row],[ESP]]-VLOOKUP($U$1,A:E,5,))/VLOOKUP($U$1,A:E,5,))*100)+100</f>
        <v>98.859376313219428</v>
      </c>
      <c r="L113" s="79">
        <f>(((Table134567891011121314151617343[[#This Row],[EA19]]-VLOOKUP($U$1,A:F,6,))/VLOOKUP($U$1,A:F,6,))*100)+100</f>
        <v>99.664429530201332</v>
      </c>
      <c r="M113" s="79">
        <f>(((Table134567891011121314151617343[[#This Row],[GBR]]-VLOOKUP($U$1,A:G,7,))/VLOOKUP($U$1,A:G,7,))*100)+100</f>
        <v>103.38389731564334</v>
      </c>
      <c r="N113" s="79">
        <f>VLOOKUP(A113,Database!$A:$AS,MATCH($N$1,Database!$A$1:$AS$1,0),FALSE)</f>
        <v>87.714863695000005</v>
      </c>
      <c r="O113" s="79">
        <f>(((Table134567891011121314151617343[[#This Row],[USA]]-VLOOKUP($U$1,A:N,14,))/VLOOKUP($U$1,A:N,14,))*100)+100</f>
        <v>100.98019414453792</v>
      </c>
      <c r="P113" s="79">
        <f>VLOOKUP(A113,Database!$A:$AS,MATCH($P$1,Database!$A$1:$AS$1,0),FALSE)</f>
        <v>99.178426908000006</v>
      </c>
      <c r="Q113" s="79">
        <f>(((Table134567891011121314151617343[[#This Row],[JPN]]-VLOOKUP($U$1,A:Q,16,))/VLOOKUP($U$1,A:Q,16,))*100)+100</f>
        <v>99.573105656333993</v>
      </c>
    </row>
    <row r="114" spans="1:17" s="83" customFormat="1" x14ac:dyDescent="0.2">
      <c r="A114" s="21">
        <v>36281</v>
      </c>
      <c r="B114" s="79">
        <f>VLOOKUP(A114,Database!$A:$AS,MATCH($B$1,Database!$A$1:$AS$1,0),FALSE)</f>
        <v>119.590034164</v>
      </c>
      <c r="C114" s="79">
        <f>VLOOKUP(A114,Database!$A:$AS,MATCH($C$1,Database!$A$1:$AS$1,0),FALSE)</f>
        <v>103.35</v>
      </c>
      <c r="D114" s="79">
        <f>VLOOKUP(A114,Database!$A:$AS,MATCH($D$1,Database!$A$1:$AS$1,0),FALSE)</f>
        <v>75.293725523000006</v>
      </c>
      <c r="E114" s="79">
        <f>VLOOKUP(A114,Database!$A:$AS,MATCH($E$1,Database!$A$1:$AS$1,0),FALSE)</f>
        <v>116.84509737099999</v>
      </c>
      <c r="F114" s="79">
        <f>VLOOKUP(A114,Database!$A:$AS,MATCH($F$1,Database!$A$1:$AS$1,0),FALSE)</f>
        <v>89.2</v>
      </c>
      <c r="G114" s="79">
        <f>VLOOKUP(A114,Database!$A:$AS,MATCH($G$1,Database!$A$1:$AS$1,0),FALSE)</f>
        <v>97.221724323000004</v>
      </c>
      <c r="H114" s="79">
        <f>(((Table134567891011121314151617343[[#This Row],[ITA]]-VLOOKUP($U$1,A:B,2,))/VLOOKUP($U$1,A:B,2,))*100)+100</f>
        <v>98.355263158075999</v>
      </c>
      <c r="I114" s="79">
        <f>(((Table134567891011121314151617343[[#This Row],[FRA]]-VLOOKUP($U$1,A:C,3,))/VLOOKUP($U$1,A:C,3,))*100)+100</f>
        <v>100.83910625426871</v>
      </c>
      <c r="J114" s="79">
        <f>(((Table134567891011121314151617343[[#This Row],[DEU]]-VLOOKUP($U$1,A:D,4,))/VLOOKUP($U$1,A:D,4,))*100)+100</f>
        <v>100.13297872292324</v>
      </c>
      <c r="K114" s="79">
        <f>(((Table134567891011121314151617343[[#This Row],[ESP]]-VLOOKUP($U$1,A:E,5,))/VLOOKUP($U$1,A:E,5,))*100)+100</f>
        <v>98.213835420559207</v>
      </c>
      <c r="L114" s="79">
        <f>(((Table134567891011121314151617343[[#This Row],[EA19]]-VLOOKUP($U$1,A:F,6,))/VLOOKUP($U$1,A:F,6,))*100)+100</f>
        <v>99.776286353467555</v>
      </c>
      <c r="M114" s="79">
        <f>(((Table134567891011121314151617343[[#This Row],[GBR]]-VLOOKUP($U$1,A:G,7,))/VLOOKUP($U$1,A:G,7,))*100)+100</f>
        <v>105.48424737392816</v>
      </c>
      <c r="N114" s="79">
        <f>VLOOKUP(A114,Database!$A:$AS,MATCH($N$1,Database!$A$1:$AS$1,0),FALSE)</f>
        <v>88.260016964000002</v>
      </c>
      <c r="O114" s="79">
        <f>(((Table134567891011121314151617343[[#This Row],[USA]]-VLOOKUP($U$1,A:N,14,))/VLOOKUP($U$1,A:N,14,))*100)+100</f>
        <v>101.60779225759623</v>
      </c>
      <c r="P114" s="79">
        <f>VLOOKUP(A114,Database!$A:$AS,MATCH($P$1,Database!$A$1:$AS$1,0),FALSE)</f>
        <v>100.772935379</v>
      </c>
      <c r="Q114" s="79">
        <f>(((Table134567891011121314151617343[[#This Row],[JPN]]-VLOOKUP($U$1,A:Q,16,))/VLOOKUP($U$1,A:Q,16,))*100)+100</f>
        <v>101.17395944483057</v>
      </c>
    </row>
    <row r="115" spans="1:17" s="83" customFormat="1" x14ac:dyDescent="0.2">
      <c r="A115" s="21">
        <v>36312</v>
      </c>
      <c r="B115" s="79">
        <f>VLOOKUP(A115,Database!$A:$AS,MATCH($B$1,Database!$A$1:$AS$1,0),FALSE)</f>
        <v>121.489875844</v>
      </c>
      <c r="C115" s="79">
        <f>VLOOKUP(A115,Database!$A:$AS,MATCH($C$1,Database!$A$1:$AS$1,0),FALSE)</f>
        <v>104.77</v>
      </c>
      <c r="D115" s="79">
        <f>VLOOKUP(A115,Database!$A:$AS,MATCH($D$1,Database!$A$1:$AS$1,0),FALSE)</f>
        <v>75.293725523000006</v>
      </c>
      <c r="E115" s="79">
        <f>VLOOKUP(A115,Database!$A:$AS,MATCH($E$1,Database!$A$1:$AS$1,0),FALSE)</f>
        <v>117.988098323</v>
      </c>
      <c r="F115" s="79">
        <f>VLOOKUP(A115,Database!$A:$AS,MATCH($F$1,Database!$A$1:$AS$1,0),FALSE)</f>
        <v>90</v>
      </c>
      <c r="G115" s="79">
        <f>VLOOKUP(A115,Database!$A:$AS,MATCH($G$1,Database!$A$1:$AS$1,0),FALSE)</f>
        <v>97.114178167999995</v>
      </c>
      <c r="H115" s="79">
        <f>(((Table134567891011121314151617343[[#This Row],[ITA]]-VLOOKUP($U$1,A:B,2,))/VLOOKUP($U$1,A:B,2,))*100)+100</f>
        <v>99.917763158191661</v>
      </c>
      <c r="I115" s="79">
        <f>(((Table134567891011121314151617343[[#This Row],[FRA]]-VLOOKUP($U$1,A:C,3,))/VLOOKUP($U$1,A:C,3,))*100)+100</f>
        <v>102.22460727875891</v>
      </c>
      <c r="J115" s="79">
        <f>(((Table134567891011121314151617343[[#This Row],[DEU]]-VLOOKUP($U$1,A:D,4,))/VLOOKUP($U$1,A:D,4,))*100)+100</f>
        <v>100.13297872292324</v>
      </c>
      <c r="K115" s="79">
        <f>(((Table134567891011121314151617343[[#This Row],[ESP]]-VLOOKUP($U$1,A:E,5,))/VLOOKUP($U$1,A:E,5,))*100)+100</f>
        <v>99.174581826793386</v>
      </c>
      <c r="L115" s="79">
        <f>(((Table134567891011121314151617343[[#This Row],[EA19]]-VLOOKUP($U$1,A:F,6,))/VLOOKUP($U$1,A:F,6,))*100)+100</f>
        <v>100.67114093959731</v>
      </c>
      <c r="M115" s="79">
        <f>(((Table134567891011121314151617343[[#This Row],[GBR]]-VLOOKUP($U$1,A:G,7,))/VLOOKUP($U$1,A:G,7,))*100)+100</f>
        <v>105.36756125982011</v>
      </c>
      <c r="N115" s="79">
        <f>VLOOKUP(A115,Database!$A:$AS,MATCH($N$1,Database!$A$1:$AS$1,0),FALSE)</f>
        <v>88.196085353000001</v>
      </c>
      <c r="O115" s="79">
        <f>(((Table134567891011121314151617343[[#This Row],[USA]]-VLOOKUP($U$1,A:N,14,))/VLOOKUP($U$1,A:N,14,))*100)+100</f>
        <v>101.53419211482907</v>
      </c>
      <c r="P115" s="79">
        <f>VLOOKUP(A115,Database!$A:$AS,MATCH($P$1,Database!$A$1:$AS$1,0),FALSE)</f>
        <v>100.028831426</v>
      </c>
      <c r="Q115" s="79">
        <f>(((Table134567891011121314151617343[[#This Row],[JPN]]-VLOOKUP($U$1,A:Q,16,))/VLOOKUP($U$1,A:Q,16,))*100)+100</f>
        <v>100.42689434366602</v>
      </c>
    </row>
    <row r="116" spans="1:17" s="83" customFormat="1" x14ac:dyDescent="0.2">
      <c r="A116" s="21">
        <v>36342</v>
      </c>
      <c r="B116" s="79">
        <f>VLOOKUP(A116,Database!$A:$AS,MATCH($B$1,Database!$A$1:$AS$1,0),FALSE)</f>
        <v>122.38980085</v>
      </c>
      <c r="C116" s="79">
        <f>VLOOKUP(A116,Database!$A:$AS,MATCH($C$1,Database!$A$1:$AS$1,0),FALSE)</f>
        <v>105.02</v>
      </c>
      <c r="D116" s="79">
        <f>VLOOKUP(A116,Database!$A:$AS,MATCH($D$1,Database!$A$1:$AS$1,0),FALSE)</f>
        <v>75.893675526999999</v>
      </c>
      <c r="E116" s="79">
        <f>VLOOKUP(A116,Database!$A:$AS,MATCH($E$1,Database!$A$1:$AS$1,0),FALSE)</f>
        <v>120.17510014600001</v>
      </c>
      <c r="F116" s="79">
        <f>VLOOKUP(A116,Database!$A:$AS,MATCH($F$1,Database!$A$1:$AS$1,0),FALSE)</f>
        <v>90.6</v>
      </c>
      <c r="G116" s="79">
        <f>VLOOKUP(A116,Database!$A:$AS,MATCH($G$1,Database!$A$1:$AS$1,0),FALSE)</f>
        <v>98.619824340999998</v>
      </c>
      <c r="H116" s="79">
        <f>(((Table134567891011121314151617343[[#This Row],[ITA]]-VLOOKUP($U$1,A:B,2,))/VLOOKUP($U$1,A:B,2,))*100)+100</f>
        <v>100.6578947369341</v>
      </c>
      <c r="I116" s="79">
        <f>(((Table134567891011121314151617343[[#This Row],[FRA]]-VLOOKUP($U$1,A:C,3,))/VLOOKUP($U$1,A:C,3,))*100)+100</f>
        <v>102.46853351546493</v>
      </c>
      <c r="J116" s="79">
        <f>(((Table134567891011121314151617343[[#This Row],[DEU]]-VLOOKUP($U$1,A:D,4,))/VLOOKUP($U$1,A:D,4,))*100)+100</f>
        <v>100.9308510631224</v>
      </c>
      <c r="K116" s="79">
        <f>(((Table134567891011121314151617343[[#This Row],[ESP]]-VLOOKUP($U$1,A:E,5,))/VLOOKUP($U$1,A:E,5,))*100)+100</f>
        <v>101.01286038482809</v>
      </c>
      <c r="L116" s="79">
        <f>(((Table134567891011121314151617343[[#This Row],[EA19]]-VLOOKUP($U$1,A:F,6,))/VLOOKUP($U$1,A:F,6,))*100)+100</f>
        <v>101.34228187919462</v>
      </c>
      <c r="M116" s="79">
        <f>(((Table134567891011121314151617343[[#This Row],[GBR]]-VLOOKUP($U$1,A:G,7,))/VLOOKUP($U$1,A:G,7,))*100)+100</f>
        <v>107.00116686058774</v>
      </c>
      <c r="N116" s="79">
        <f>VLOOKUP(A116,Database!$A:$AS,MATCH($N$1,Database!$A$1:$AS$1,0),FALSE)</f>
        <v>88.726668162999999</v>
      </c>
      <c r="O116" s="79">
        <f>(((Table134567891011121314151617343[[#This Row],[USA]]-VLOOKUP($U$1,A:N,14,))/VLOOKUP($U$1,A:N,14,))*100)+100</f>
        <v>102.14501624322145</v>
      </c>
      <c r="P116" s="79">
        <f>VLOOKUP(A116,Database!$A:$AS,MATCH($P$1,Database!$A$1:$AS$1,0),FALSE)</f>
        <v>100.56033425</v>
      </c>
      <c r="Q116" s="79">
        <f>(((Table134567891011121314151617343[[#This Row],[JPN]]-VLOOKUP($U$1,A:Q,16,))/VLOOKUP($U$1,A:Q,16,))*100)+100</f>
        <v>100.96051227349955</v>
      </c>
    </row>
    <row r="117" spans="1:17" s="83" customFormat="1" x14ac:dyDescent="0.2">
      <c r="A117" s="21">
        <v>36373</v>
      </c>
      <c r="B117" s="79">
        <f>VLOOKUP(A117,Database!$A:$AS,MATCH($B$1,Database!$A$1:$AS$1,0),FALSE)</f>
        <v>123.18973418900001</v>
      </c>
      <c r="C117" s="79">
        <f>VLOOKUP(A117,Database!$A:$AS,MATCH($C$1,Database!$A$1:$AS$1,0),FALSE)</f>
        <v>103.04</v>
      </c>
      <c r="D117" s="79">
        <f>VLOOKUP(A117,Database!$A:$AS,MATCH($D$1,Database!$A$1:$AS$1,0),FALSE)</f>
        <v>76.593617198999993</v>
      </c>
      <c r="E117" s="79">
        <f>VLOOKUP(A117,Database!$A:$AS,MATCH($E$1,Database!$A$1:$AS$1,0),FALSE)</f>
        <v>118.26509855400001</v>
      </c>
      <c r="F117" s="79">
        <f>VLOOKUP(A117,Database!$A:$AS,MATCH($F$1,Database!$A$1:$AS$1,0),FALSE)</f>
        <v>90.6</v>
      </c>
      <c r="G117" s="79">
        <f>VLOOKUP(A117,Database!$A:$AS,MATCH($G$1,Database!$A$1:$AS$1,0),FALSE)</f>
        <v>99.372647427999993</v>
      </c>
      <c r="H117" s="79">
        <f>(((Table134567891011121314151617343[[#This Row],[ITA]]-VLOOKUP($U$1,A:B,2,))/VLOOKUP($U$1,A:B,2,))*100)+100</f>
        <v>101.31578947386819</v>
      </c>
      <c r="I117" s="79">
        <f>(((Table134567891011121314151617343[[#This Row],[FRA]]-VLOOKUP($U$1,A:C,3,))/VLOOKUP($U$1,A:C,3,))*100)+100</f>
        <v>100.53663772075326</v>
      </c>
      <c r="J117" s="79">
        <f>(((Table134567891011121314151617343[[#This Row],[DEU]]-VLOOKUP($U$1,A:D,4,))/VLOOKUP($U$1,A:D,4,))*100)+100</f>
        <v>101.86170212757469</v>
      </c>
      <c r="K117" s="79">
        <f>(((Table134567891011121314151617343[[#This Row],[ESP]]-VLOOKUP($U$1,A:E,5,))/VLOOKUP($U$1,A:E,5,))*100)+100</f>
        <v>99.407413633270565</v>
      </c>
      <c r="L117" s="79">
        <f>(((Table134567891011121314151617343[[#This Row],[EA19]]-VLOOKUP($U$1,A:F,6,))/VLOOKUP($U$1,A:F,6,))*100)+100</f>
        <v>101.34228187919462</v>
      </c>
      <c r="M117" s="79">
        <f>(((Table134567891011121314151617343[[#This Row],[GBR]]-VLOOKUP($U$1,A:G,7,))/VLOOKUP($U$1,A:G,7,))*100)+100</f>
        <v>107.81796966151406</v>
      </c>
      <c r="N117" s="79">
        <f>VLOOKUP(A117,Database!$A:$AS,MATCH($N$1,Database!$A$1:$AS$1,0),FALSE)</f>
        <v>89.106193957000002</v>
      </c>
      <c r="O117" s="79">
        <f>(((Table134567891011121314151617343[[#This Row],[USA]]-VLOOKUP($U$1,A:N,14,))/VLOOKUP($U$1,A:N,14,))*100)+100</f>
        <v>102.58193863865766</v>
      </c>
      <c r="P117" s="79">
        <f>VLOOKUP(A117,Database!$A:$AS,MATCH($P$1,Database!$A$1:$AS$1,0),FALSE)</f>
        <v>101.517039333</v>
      </c>
      <c r="Q117" s="79">
        <f>(((Table134567891011121314151617343[[#This Row],[JPN]]-VLOOKUP($U$1,A:Q,16,))/VLOOKUP($U$1,A:Q,16,))*100)+100</f>
        <v>101.92102454699908</v>
      </c>
    </row>
    <row r="118" spans="1:17" s="83" customFormat="1" x14ac:dyDescent="0.2">
      <c r="A118" s="21">
        <v>36404</v>
      </c>
      <c r="B118" s="79">
        <f>VLOOKUP(A118,Database!$A:$AS,MATCH($B$1,Database!$A$1:$AS$1,0),FALSE)</f>
        <v>123.689692526</v>
      </c>
      <c r="C118" s="79">
        <f>VLOOKUP(A118,Database!$A:$AS,MATCH($C$1,Database!$A$1:$AS$1,0),FALSE)</f>
        <v>105.87</v>
      </c>
      <c r="D118" s="79">
        <f>VLOOKUP(A118,Database!$A:$AS,MATCH($D$1,Database!$A$1:$AS$1,0),FALSE)</f>
        <v>76.293642195999993</v>
      </c>
      <c r="E118" s="79">
        <f>VLOOKUP(A118,Database!$A:$AS,MATCH($E$1,Database!$A$1:$AS$1,0),FALSE)</f>
        <v>119.847099873</v>
      </c>
      <c r="F118" s="79">
        <f>VLOOKUP(A118,Database!$A:$AS,MATCH($F$1,Database!$A$1:$AS$1,0),FALSE)</f>
        <v>91.4</v>
      </c>
      <c r="G118" s="79">
        <f>VLOOKUP(A118,Database!$A:$AS,MATCH($G$1,Database!$A$1:$AS$1,0),FALSE)</f>
        <v>99.372647427999993</v>
      </c>
      <c r="H118" s="79">
        <f>(((Table134567891011121314151617343[[#This Row],[ITA]]-VLOOKUP($U$1,A:B,2,))/VLOOKUP($U$1,A:B,2,))*100)+100</f>
        <v>101.72697368455479</v>
      </c>
      <c r="I118" s="79">
        <f>(((Table134567891011121314151617343[[#This Row],[FRA]]-VLOOKUP($U$1,A:C,3,))/VLOOKUP($U$1,A:C,3,))*100)+100</f>
        <v>103.29788272026541</v>
      </c>
      <c r="J118" s="79">
        <f>(((Table134567891011121314151617343[[#This Row],[DEU]]-VLOOKUP($U$1,A:D,4,))/VLOOKUP($U$1,A:D,4,))*100)+100</f>
        <v>101.4627659561452</v>
      </c>
      <c r="K118" s="79">
        <f>(((Table134567891011121314151617343[[#This Row],[ESP]]-VLOOKUP($U$1,A:E,5,))/VLOOKUP($U$1,A:E,5,))*100)+100</f>
        <v>100.73716062886797</v>
      </c>
      <c r="L118" s="79">
        <f>(((Table134567891011121314151617343[[#This Row],[EA19]]-VLOOKUP($U$1,A:F,6,))/VLOOKUP($U$1,A:F,6,))*100)+100</f>
        <v>102.23713646532438</v>
      </c>
      <c r="M118" s="79">
        <f>(((Table134567891011121314151617343[[#This Row],[GBR]]-VLOOKUP($U$1,A:G,7,))/VLOOKUP($U$1,A:G,7,))*100)+100</f>
        <v>107.81796966151406</v>
      </c>
      <c r="N118" s="79">
        <f>VLOOKUP(A118,Database!$A:$AS,MATCH($N$1,Database!$A$1:$AS$1,0),FALSE)</f>
        <v>88.707340001000006</v>
      </c>
      <c r="O118" s="79">
        <f>(((Table134567891011121314151617343[[#This Row],[USA]]-VLOOKUP($U$1,A:N,14,))/VLOOKUP($U$1,A:N,14,))*100)+100</f>
        <v>102.12276503665282</v>
      </c>
      <c r="P118" s="79">
        <f>VLOOKUP(A118,Database!$A:$AS,MATCH($P$1,Database!$A$1:$AS$1,0),FALSE)</f>
        <v>102.26114328600001</v>
      </c>
      <c r="Q118" s="79">
        <f>(((Table134567891011121314151617343[[#This Row],[JPN]]-VLOOKUP($U$1,A:Q,16,))/VLOOKUP($U$1,A:Q,16,))*100)+100</f>
        <v>102.66808964816363</v>
      </c>
    </row>
    <row r="119" spans="1:17" s="83" customFormat="1" x14ac:dyDescent="0.2">
      <c r="A119" s="21">
        <v>36434</v>
      </c>
      <c r="B119" s="79">
        <f>VLOOKUP(A119,Database!$A:$AS,MATCH($B$1,Database!$A$1:$AS$1,0),FALSE)</f>
        <v>124.889592534</v>
      </c>
      <c r="C119" s="79">
        <f>VLOOKUP(A119,Database!$A:$AS,MATCH($C$1,Database!$A$1:$AS$1,0),FALSE)</f>
        <v>107.21</v>
      </c>
      <c r="D119" s="79">
        <f>VLOOKUP(A119,Database!$A:$AS,MATCH($D$1,Database!$A$1:$AS$1,0),FALSE)</f>
        <v>77.093575534999999</v>
      </c>
      <c r="E119" s="79">
        <f>VLOOKUP(A119,Database!$A:$AS,MATCH($E$1,Database!$A$1:$AS$1,0),FALSE)</f>
        <v>120.593100494</v>
      </c>
      <c r="F119" s="79">
        <f>VLOOKUP(A119,Database!$A:$AS,MATCH($F$1,Database!$A$1:$AS$1,0),FALSE)</f>
        <v>92.3</v>
      </c>
      <c r="G119" s="79">
        <f>VLOOKUP(A119,Database!$A:$AS,MATCH($G$1,Database!$A$1:$AS$1,0),FALSE)</f>
        <v>98.404732030999995</v>
      </c>
      <c r="H119" s="79">
        <f>(((Table134567891011121314151617343[[#This Row],[ITA]]-VLOOKUP($U$1,A:B,2,))/VLOOKUP($U$1,A:B,2,))*100)+100</f>
        <v>102.71381578954471</v>
      </c>
      <c r="I119" s="79">
        <f>(((Table134567891011121314151617343[[#This Row],[FRA]]-VLOOKUP($U$1,A:C,3,))/VLOOKUP($U$1,A:C,3,))*100)+100</f>
        <v>104.60532734900966</v>
      </c>
      <c r="J119" s="79">
        <f>(((Table134567891011121314151617343[[#This Row],[DEU]]-VLOOKUP($U$1,A:D,4,))/VLOOKUP($U$1,A:D,4,))*100)+100</f>
        <v>102.52659574352073</v>
      </c>
      <c r="K119" s="79">
        <f>(((Table134567891011121314151617343[[#This Row],[ESP]]-VLOOKUP($U$1,A:E,5,))/VLOOKUP($U$1,A:E,5,))*100)+100</f>
        <v>101.36420946414681</v>
      </c>
      <c r="L119" s="79">
        <f>(((Table134567891011121314151617343[[#This Row],[EA19]]-VLOOKUP($U$1,A:F,6,))/VLOOKUP($U$1,A:F,6,))*100)+100</f>
        <v>103.24384787472034</v>
      </c>
      <c r="M119" s="79">
        <f>(((Table134567891011121314151617343[[#This Row],[GBR]]-VLOOKUP($U$1,A:G,7,))/VLOOKUP($U$1,A:G,7,))*100)+100</f>
        <v>106.76779463237165</v>
      </c>
      <c r="N119" s="79">
        <f>VLOOKUP(A119,Database!$A:$AS,MATCH($N$1,Database!$A$1:$AS$1,0),FALSE)</f>
        <v>89.873472403999997</v>
      </c>
      <c r="O119" s="79">
        <f>(((Table134567891011121314151617343[[#This Row],[USA]]-VLOOKUP($U$1,A:N,14,))/VLOOKUP($U$1,A:N,14,))*100)+100</f>
        <v>103.46525445626402</v>
      </c>
      <c r="P119" s="79">
        <f>VLOOKUP(A119,Database!$A:$AS,MATCH($P$1,Database!$A$1:$AS$1,0),FALSE)</f>
        <v>102.15484272099999</v>
      </c>
      <c r="Q119" s="79">
        <f>(((Table134567891011121314151617343[[#This Row],[JPN]]-VLOOKUP($U$1,A:Q,16,))/VLOOKUP($U$1,A:Q,16,))*100)+100</f>
        <v>102.56136606199611</v>
      </c>
    </row>
    <row r="120" spans="1:17" s="83" customFormat="1" x14ac:dyDescent="0.2">
      <c r="A120" s="21">
        <v>36465</v>
      </c>
      <c r="B120" s="79">
        <f>VLOOKUP(A120,Database!$A:$AS,MATCH($B$1,Database!$A$1:$AS$1,0),FALSE)</f>
        <v>125.68952587299999</v>
      </c>
      <c r="C120" s="79">
        <f>VLOOKUP(A120,Database!$A:$AS,MATCH($C$1,Database!$A$1:$AS$1,0),FALSE)</f>
        <v>107.26</v>
      </c>
      <c r="D120" s="79">
        <f>VLOOKUP(A120,Database!$A:$AS,MATCH($D$1,Database!$A$1:$AS$1,0),FALSE)</f>
        <v>76.993583868000002</v>
      </c>
      <c r="E120" s="79">
        <f>VLOOKUP(A120,Database!$A:$AS,MATCH($E$1,Database!$A$1:$AS$1,0),FALSE)</f>
        <v>121.059100883</v>
      </c>
      <c r="F120" s="79">
        <f>VLOOKUP(A120,Database!$A:$AS,MATCH($F$1,Database!$A$1:$AS$1,0),FALSE)</f>
        <v>92.7</v>
      </c>
      <c r="G120" s="79">
        <f>VLOOKUP(A120,Database!$A:$AS,MATCH($G$1,Database!$A$1:$AS$1,0),FALSE)</f>
        <v>98.512278186000003</v>
      </c>
      <c r="H120" s="79">
        <f>(((Table134567891011121314151617343[[#This Row],[ITA]]-VLOOKUP($U$1,A:B,2,))/VLOOKUP($U$1,A:B,2,))*100)+100</f>
        <v>103.37171052647879</v>
      </c>
      <c r="I120" s="79">
        <f>(((Table134567891011121314151617343[[#This Row],[FRA]]-VLOOKUP($U$1,A:C,3,))/VLOOKUP($U$1,A:C,3,))*100)+100</f>
        <v>104.65411259635087</v>
      </c>
      <c r="J120" s="79">
        <f>(((Table134567891011121314151617343[[#This Row],[DEU]]-VLOOKUP($U$1,A:D,4,))/VLOOKUP($U$1,A:D,4,))*100)+100</f>
        <v>102.3936170205975</v>
      </c>
      <c r="K120" s="79">
        <f>(((Table134567891011121314151617343[[#This Row],[ESP]]-VLOOKUP($U$1,A:E,5,))/VLOOKUP($U$1,A:E,5,))*100)+100</f>
        <v>101.75590485009735</v>
      </c>
      <c r="L120" s="79">
        <f>(((Table134567891011121314151617343[[#This Row],[EA19]]-VLOOKUP($U$1,A:F,6,))/VLOOKUP($U$1,A:F,6,))*100)+100</f>
        <v>103.69127516778524</v>
      </c>
      <c r="M120" s="79">
        <f>(((Table134567891011121314151617343[[#This Row],[GBR]]-VLOOKUP($U$1,A:G,7,))/VLOOKUP($U$1,A:G,7,))*100)+100</f>
        <v>106.8844807464797</v>
      </c>
      <c r="N120" s="79">
        <f>VLOOKUP(A120,Database!$A:$AS,MATCH($N$1,Database!$A$1:$AS$1,0),FALSE)</f>
        <v>90.340619196999995</v>
      </c>
      <c r="O120" s="79">
        <f>(((Table134567891011121314151617343[[#This Row],[USA]]-VLOOKUP($U$1,A:N,14,))/VLOOKUP($U$1,A:N,14,))*100)+100</f>
        <v>104.00304898576549</v>
      </c>
      <c r="P120" s="79">
        <f>VLOOKUP(A120,Database!$A:$AS,MATCH($P$1,Database!$A$1:$AS$1,0),FALSE)</f>
        <v>103.217848369</v>
      </c>
      <c r="Q120" s="79">
        <f>(((Table134567891011121314151617343[[#This Row],[JPN]]-VLOOKUP($U$1,A:Q,16,))/VLOOKUP($U$1,A:Q,16,))*100)+100</f>
        <v>103.62860192166315</v>
      </c>
    </row>
    <row r="121" spans="1:17" s="83" customFormat="1" x14ac:dyDescent="0.2">
      <c r="A121" s="21">
        <v>36495</v>
      </c>
      <c r="B121" s="79">
        <f>VLOOKUP(A121,Database!$A:$AS,MATCH($B$1,Database!$A$1:$AS$1,0),FALSE)</f>
        <v>124.28964252999999</v>
      </c>
      <c r="C121" s="79">
        <f>VLOOKUP(A121,Database!$A:$AS,MATCH($C$1,Database!$A$1:$AS$1,0),FALSE)</f>
        <v>106.36</v>
      </c>
      <c r="D121" s="79">
        <f>VLOOKUP(A121,Database!$A:$AS,MATCH($D$1,Database!$A$1:$AS$1,0),FALSE)</f>
        <v>77.093575534999999</v>
      </c>
      <c r="E121" s="79">
        <f>VLOOKUP(A121,Database!$A:$AS,MATCH($E$1,Database!$A$1:$AS$1,0),FALSE)</f>
        <v>122.077101731</v>
      </c>
      <c r="F121" s="79">
        <f>VLOOKUP(A121,Database!$A:$AS,MATCH($F$1,Database!$A$1:$AS$1,0),FALSE)</f>
        <v>92.4</v>
      </c>
      <c r="G121" s="79">
        <f>VLOOKUP(A121,Database!$A:$AS,MATCH($G$1,Database!$A$1:$AS$1,0),FALSE)</f>
        <v>96.038716616000002</v>
      </c>
      <c r="H121" s="79">
        <f>(((Table134567891011121314151617343[[#This Row],[ITA]]-VLOOKUP($U$1,A:B,2,))/VLOOKUP($U$1,A:B,2,))*100)+100</f>
        <v>102.22039473704974</v>
      </c>
      <c r="I121" s="79">
        <f>(((Table134567891011121314151617343[[#This Row],[FRA]]-VLOOKUP($U$1,A:C,3,))/VLOOKUP($U$1,A:C,3,))*100)+100</f>
        <v>103.77597814420919</v>
      </c>
      <c r="J121" s="79">
        <f>(((Table134567891011121314151617343[[#This Row],[DEU]]-VLOOKUP($U$1,A:D,4,))/VLOOKUP($U$1,A:D,4,))*100)+100</f>
        <v>102.52659574352073</v>
      </c>
      <c r="K121" s="79">
        <f>(((Table134567891011121314151617343[[#This Row],[ESP]]-VLOOKUP($U$1,A:E,5,))/VLOOKUP($U$1,A:E,5,))*100)+100</f>
        <v>102.61158275180686</v>
      </c>
      <c r="L121" s="79">
        <f>(((Table134567891011121314151617343[[#This Row],[EA19]]-VLOOKUP($U$1,A:F,6,))/VLOOKUP($U$1,A:F,6,))*100)+100</f>
        <v>103.35570469798658</v>
      </c>
      <c r="M121" s="79">
        <f>(((Table134567891011121314151617343[[#This Row],[GBR]]-VLOOKUP($U$1,A:G,7,))/VLOOKUP($U$1,A:G,7,))*100)+100</f>
        <v>104.20070011656965</v>
      </c>
      <c r="N121" s="79">
        <f>VLOOKUP(A121,Database!$A:$AS,MATCH($N$1,Database!$A$1:$AS$1,0),FALSE)</f>
        <v>91.035045342999993</v>
      </c>
      <c r="O121" s="79">
        <f>(((Table134567891011121314151617343[[#This Row],[USA]]-VLOOKUP($U$1,A:N,14,))/VLOOKUP($U$1,A:N,14,))*100)+100</f>
        <v>104.80249487313475</v>
      </c>
      <c r="P121" s="79">
        <f>VLOOKUP(A121,Database!$A:$AS,MATCH($P$1,Database!$A$1:$AS$1,0),FALSE)</f>
        <v>103.111547804</v>
      </c>
      <c r="Q121" s="79">
        <f>(((Table134567891011121314151617343[[#This Row],[JPN]]-VLOOKUP($U$1,A:Q,16,))/VLOOKUP($U$1,A:Q,16,))*100)+100</f>
        <v>103.52187833549566</v>
      </c>
    </row>
    <row r="122" spans="1:17" s="83" customFormat="1" x14ac:dyDescent="0.2">
      <c r="A122" s="21">
        <v>36526</v>
      </c>
      <c r="B122" s="79">
        <f>VLOOKUP(A122,Database!$A:$AS,MATCH($B$1,Database!$A$1:$AS$1,0),FALSE)</f>
        <v>124.58961753200001</v>
      </c>
      <c r="C122" s="79">
        <f>VLOOKUP(A122,Database!$A:$AS,MATCH($C$1,Database!$A$1:$AS$1,0),FALSE)</f>
        <v>107.12</v>
      </c>
      <c r="D122" s="79">
        <f>VLOOKUP(A122,Database!$A:$AS,MATCH($D$1,Database!$A$1:$AS$1,0),FALSE)</f>
        <v>76.493625531000006</v>
      </c>
      <c r="E122" s="79">
        <f>VLOOKUP(A122,Database!$A:$AS,MATCH($E$1,Database!$A$1:$AS$1,0),FALSE)</f>
        <v>122.447102039</v>
      </c>
      <c r="F122" s="79">
        <f>VLOOKUP(A122,Database!$A:$AS,MATCH($F$1,Database!$A$1:$AS$1,0),FALSE)</f>
        <v>92.1</v>
      </c>
      <c r="G122" s="79">
        <f>VLOOKUP(A122,Database!$A:$AS,MATCH($G$1,Database!$A$1:$AS$1,0),FALSE)</f>
        <v>95.823624304999996</v>
      </c>
      <c r="H122" s="79">
        <f>(((Table134567891011121314151617343[[#This Row],[ITA]]-VLOOKUP($U$1,A:B,2,))/VLOOKUP($U$1,A:B,2,))*100)+100</f>
        <v>102.46710526329723</v>
      </c>
      <c r="I122" s="79">
        <f>(((Table134567891011121314151617343[[#This Row],[FRA]]-VLOOKUP($U$1,A:C,3,))/VLOOKUP($U$1,A:C,3,))*100)+100</f>
        <v>104.5175139037955</v>
      </c>
      <c r="J122" s="79">
        <f>(((Table134567891011121314151617343[[#This Row],[DEU]]-VLOOKUP($U$1,A:D,4,))/VLOOKUP($U$1,A:D,4,))*100)+100</f>
        <v>101.72872340332158</v>
      </c>
      <c r="K122" s="79">
        <f>(((Table134567891011121314151617343[[#This Row],[ESP]]-VLOOKUP($U$1,A:E,5,))/VLOOKUP($U$1,A:E,5,))*100)+100</f>
        <v>102.92258552533434</v>
      </c>
      <c r="L122" s="79">
        <f>(((Table134567891011121314151617343[[#This Row],[EA19]]-VLOOKUP($U$1,A:F,6,))/VLOOKUP($U$1,A:F,6,))*100)+100</f>
        <v>103.02013422818791</v>
      </c>
      <c r="M122" s="79">
        <f>(((Table134567891011121314151617343[[#This Row],[GBR]]-VLOOKUP($U$1,A:G,7,))/VLOOKUP($U$1,A:G,7,))*100)+100</f>
        <v>103.96732788726855</v>
      </c>
      <c r="N122" s="79">
        <f>VLOOKUP(A122,Database!$A:$AS,MATCH($N$1,Database!$A$1:$AS$1,0),FALSE)</f>
        <v>90.985287717000006</v>
      </c>
      <c r="O122" s="79">
        <f>(((Table134567891011121314151617343[[#This Row],[USA]]-VLOOKUP($U$1,A:N,14,))/VLOOKUP($U$1,A:N,14,))*100)+100</f>
        <v>104.74521228131404</v>
      </c>
      <c r="P122" s="79">
        <f>VLOOKUP(A122,Database!$A:$AS,MATCH($P$1,Database!$A$1:$AS$1,0),FALSE)</f>
        <v>103.005247239</v>
      </c>
      <c r="Q122" s="79">
        <f>(((Table134567891011121314151617343[[#This Row],[JPN]]-VLOOKUP($U$1,A:Q,16,))/VLOOKUP($U$1,A:Q,16,))*100)+100</f>
        <v>103.41515474932815</v>
      </c>
    </row>
    <row r="123" spans="1:17" s="83" customFormat="1" x14ac:dyDescent="0.2">
      <c r="A123" s="21">
        <v>36557</v>
      </c>
      <c r="B123" s="79">
        <f>VLOOKUP(A123,Database!$A:$AS,MATCH($B$1,Database!$A$1:$AS$1,0),FALSE)</f>
        <v>125.189567536</v>
      </c>
      <c r="C123" s="79">
        <f>VLOOKUP(A123,Database!$A:$AS,MATCH($C$1,Database!$A$1:$AS$1,0),FALSE)</f>
        <v>107.45</v>
      </c>
      <c r="D123" s="79">
        <f>VLOOKUP(A123,Database!$A:$AS,MATCH($D$1,Database!$A$1:$AS$1,0),FALSE)</f>
        <v>78.393467211000001</v>
      </c>
      <c r="E123" s="79">
        <f>VLOOKUP(A123,Database!$A:$AS,MATCH($E$1,Database!$A$1:$AS$1,0),FALSE)</f>
        <v>122.39310199400001</v>
      </c>
      <c r="F123" s="79">
        <f>VLOOKUP(A123,Database!$A:$AS,MATCH($F$1,Database!$A$1:$AS$1,0),FALSE)</f>
        <v>93.2</v>
      </c>
      <c r="G123" s="79">
        <f>VLOOKUP(A123,Database!$A:$AS,MATCH($G$1,Database!$A$1:$AS$1,0),FALSE)</f>
        <v>96.038716616000002</v>
      </c>
      <c r="H123" s="79">
        <f>(((Table134567891011121314151617343[[#This Row],[ITA]]-VLOOKUP($U$1,A:B,2,))/VLOOKUP($U$1,A:B,2,))*100)+100</f>
        <v>102.96052631579218</v>
      </c>
      <c r="I123" s="79">
        <f>(((Table134567891011121314151617343[[#This Row],[FRA]]-VLOOKUP($U$1,A:C,3,))/VLOOKUP($U$1,A:C,3,))*100)+100</f>
        <v>104.83949653624745</v>
      </c>
      <c r="J123" s="79">
        <f>(((Table134567891011121314151617343[[#This Row],[DEU]]-VLOOKUP($U$1,A:D,4,))/VLOOKUP($U$1,A:D,4,))*100)+100</f>
        <v>104.25531914817219</v>
      </c>
      <c r="K123" s="79">
        <f>(((Table134567891011121314151617343[[#This Row],[ESP]]-VLOOKUP($U$1,A:E,5,))/VLOOKUP($U$1,A:E,5,))*100)+100</f>
        <v>102.87719593131918</v>
      </c>
      <c r="L123" s="79">
        <f>(((Table134567891011121314151617343[[#This Row],[EA19]]-VLOOKUP($U$1,A:F,6,))/VLOOKUP($U$1,A:F,6,))*100)+100</f>
        <v>104.25055928411632</v>
      </c>
      <c r="M123" s="79">
        <f>(((Table134567891011121314151617343[[#This Row],[GBR]]-VLOOKUP($U$1,A:G,7,))/VLOOKUP($U$1,A:G,7,))*100)+100</f>
        <v>104.20070011656965</v>
      </c>
      <c r="N123" s="79">
        <f>VLOOKUP(A123,Database!$A:$AS,MATCH($N$1,Database!$A$1:$AS$1,0),FALSE)</f>
        <v>91.315353242</v>
      </c>
      <c r="O123" s="79">
        <f>(((Table134567891011121314151617343[[#This Row],[USA]]-VLOOKUP($U$1,A:N,14,))/VLOOKUP($U$1,A:N,14,))*100)+100</f>
        <v>105.125194411946</v>
      </c>
      <c r="P123" s="79">
        <f>VLOOKUP(A123,Database!$A:$AS,MATCH($P$1,Database!$A$1:$AS$1,0),FALSE)</f>
        <v>102.898946674</v>
      </c>
      <c r="Q123" s="79">
        <f>(((Table134567891011121314151617343[[#This Row],[JPN]]-VLOOKUP($U$1,A:Q,16,))/VLOOKUP($U$1,A:Q,16,))*100)+100</f>
        <v>103.30843116316066</v>
      </c>
    </row>
    <row r="124" spans="1:17" s="83" customFormat="1" x14ac:dyDescent="0.2">
      <c r="A124" s="21">
        <v>36586</v>
      </c>
      <c r="B124" s="79">
        <f>VLOOKUP(A124,Database!$A:$AS,MATCH($B$1,Database!$A$1:$AS$1,0),FALSE)</f>
        <v>126.289475877</v>
      </c>
      <c r="C124" s="79">
        <f>VLOOKUP(A124,Database!$A:$AS,MATCH($C$1,Database!$A$1:$AS$1,0),FALSE)</f>
        <v>108.14</v>
      </c>
      <c r="D124" s="79">
        <f>VLOOKUP(A124,Database!$A:$AS,MATCH($D$1,Database!$A$1:$AS$1,0),FALSE)</f>
        <v>78.493458877999998</v>
      </c>
      <c r="E124" s="79">
        <f>VLOOKUP(A124,Database!$A:$AS,MATCH($E$1,Database!$A$1:$AS$1,0),FALSE)</f>
        <v>124.065103388</v>
      </c>
      <c r="F124" s="79">
        <f>VLOOKUP(A124,Database!$A:$AS,MATCH($F$1,Database!$A$1:$AS$1,0),FALSE)</f>
        <v>93.6</v>
      </c>
      <c r="G124" s="79">
        <f>VLOOKUP(A124,Database!$A:$AS,MATCH($G$1,Database!$A$1:$AS$1,0),FALSE)</f>
        <v>95.823624304999996</v>
      </c>
      <c r="H124" s="79">
        <f>(((Table134567891011121314151617343[[#This Row],[ITA]]-VLOOKUP($U$1,A:B,2,))/VLOOKUP($U$1,A:B,2,))*100)+100</f>
        <v>103.86513157897375</v>
      </c>
      <c r="I124" s="79">
        <f>(((Table134567891011121314151617343[[#This Row],[FRA]]-VLOOKUP($U$1,A:C,3,))/VLOOKUP($U$1,A:C,3,))*100)+100</f>
        <v>105.51273294955607</v>
      </c>
      <c r="J124" s="79">
        <f>(((Table134567891011121314151617343[[#This Row],[DEU]]-VLOOKUP($U$1,A:D,4,))/VLOOKUP($U$1,A:D,4,))*100)+100</f>
        <v>104.38829787109542</v>
      </c>
      <c r="K124" s="79">
        <f>(((Table134567891011121314151617343[[#This Row],[ESP]]-VLOOKUP($U$1,A:E,5,))/VLOOKUP($U$1,A:E,5,))*100)+100</f>
        <v>104.28259225027519</v>
      </c>
      <c r="L124" s="79">
        <f>(((Table134567891011121314151617343[[#This Row],[EA19]]-VLOOKUP($U$1,A:F,6,))/VLOOKUP($U$1,A:F,6,))*100)+100</f>
        <v>104.6979865771812</v>
      </c>
      <c r="M124" s="79">
        <f>(((Table134567891011121314151617343[[#This Row],[GBR]]-VLOOKUP($U$1,A:G,7,))/VLOOKUP($U$1,A:G,7,))*100)+100</f>
        <v>103.96732788726855</v>
      </c>
      <c r="N124" s="79">
        <f>VLOOKUP(A124,Database!$A:$AS,MATCH($N$1,Database!$A$1:$AS$1,0),FALSE)</f>
        <v>91.658403327000002</v>
      </c>
      <c r="O124" s="79">
        <f>(((Table134567891011121314151617343[[#This Row],[USA]]-VLOOKUP($U$1,A:N,14,))/VLOOKUP($U$1,A:N,14,))*100)+100</f>
        <v>105.52012478891214</v>
      </c>
      <c r="P124" s="79">
        <f>VLOOKUP(A124,Database!$A:$AS,MATCH($P$1,Database!$A$1:$AS$1,0),FALSE)</f>
        <v>104.387154581</v>
      </c>
      <c r="Q124" s="79">
        <f>(((Table134567891011121314151617343[[#This Row],[JPN]]-VLOOKUP($U$1,A:Q,16,))/VLOOKUP($U$1,A:Q,16,))*100)+100</f>
        <v>104.80256136649372</v>
      </c>
    </row>
    <row r="125" spans="1:17" s="83" customFormat="1" x14ac:dyDescent="0.2">
      <c r="A125" s="21">
        <v>36617</v>
      </c>
      <c r="B125" s="79">
        <f>VLOOKUP(A125,Database!$A:$AS,MATCH($B$1,Database!$A$1:$AS$1,0),FALSE)</f>
        <v>127.28939255100001</v>
      </c>
      <c r="C125" s="79">
        <f>VLOOKUP(A125,Database!$A:$AS,MATCH($C$1,Database!$A$1:$AS$1,0),FALSE)</f>
        <v>108.76</v>
      </c>
      <c r="D125" s="79">
        <f>VLOOKUP(A125,Database!$A:$AS,MATCH($D$1,Database!$A$1:$AS$1,0),FALSE)</f>
        <v>79.493375552000003</v>
      </c>
      <c r="E125" s="79">
        <f>VLOOKUP(A125,Database!$A:$AS,MATCH($E$1,Database!$A$1:$AS$1,0),FALSE)</f>
        <v>123.60410300300001</v>
      </c>
      <c r="F125" s="79">
        <f>VLOOKUP(A125,Database!$A:$AS,MATCH($F$1,Database!$A$1:$AS$1,0),FALSE)</f>
        <v>94.7</v>
      </c>
      <c r="G125" s="79">
        <f>VLOOKUP(A125,Database!$A:$AS,MATCH($G$1,Database!$A$1:$AS$1,0),FALSE)</f>
        <v>97.329270479000002</v>
      </c>
      <c r="H125" s="79">
        <f>(((Table134567891011121314151617343[[#This Row],[ITA]]-VLOOKUP($U$1,A:B,2,))/VLOOKUP($U$1,A:B,2,))*100)+100</f>
        <v>104.68750000034697</v>
      </c>
      <c r="I125" s="79">
        <f>(((Table134567891011121314151617343[[#This Row],[FRA]]-VLOOKUP($U$1,A:C,3,))/VLOOKUP($U$1,A:C,3,))*100)+100</f>
        <v>106.117670016587</v>
      </c>
      <c r="J125" s="79">
        <f>(((Table134567891011121314151617343[[#This Row],[DEU]]-VLOOKUP($U$1,A:D,4,))/VLOOKUP($U$1,A:D,4,))*100)+100</f>
        <v>105.7180851056473</v>
      </c>
      <c r="K125" s="79">
        <f>(((Table134567891011121314151617343[[#This Row],[ESP]]-VLOOKUP($U$1,A:E,5,))/VLOOKUP($U$1,A:E,5,))*100)+100</f>
        <v>103.89509960437115</v>
      </c>
      <c r="L125" s="79">
        <f>(((Table134567891011121314151617343[[#This Row],[EA19]]-VLOOKUP($U$1,A:F,6,))/VLOOKUP($U$1,A:F,6,))*100)+100</f>
        <v>105.92841163310962</v>
      </c>
      <c r="M125" s="79">
        <f>(((Table134567891011121314151617343[[#This Row],[GBR]]-VLOOKUP($U$1,A:G,7,))/VLOOKUP($U$1,A:G,7,))*100)+100</f>
        <v>105.60093348912119</v>
      </c>
      <c r="N125" s="79">
        <f>VLOOKUP(A125,Database!$A:$AS,MATCH($N$1,Database!$A$1:$AS$1,0),FALSE)</f>
        <v>92.241816443999994</v>
      </c>
      <c r="O125" s="79">
        <f>(((Table134567891011121314151617343[[#This Row],[USA]]-VLOOKUP($U$1,A:N,14,))/VLOOKUP($U$1,A:N,14,))*100)+100</f>
        <v>106.19176887908574</v>
      </c>
      <c r="P125" s="79">
        <f>VLOOKUP(A125,Database!$A:$AS,MATCH($P$1,Database!$A$1:$AS$1,0),FALSE)</f>
        <v>105.981663052</v>
      </c>
      <c r="Q125" s="79">
        <f>(((Table134567891011121314151617343[[#This Row],[JPN]]-VLOOKUP($U$1,A:Q,16,))/VLOOKUP($U$1,A:Q,16,))*100)+100</f>
        <v>106.40341515499028</v>
      </c>
    </row>
    <row r="126" spans="1:17" s="83" customFormat="1" x14ac:dyDescent="0.2">
      <c r="A126" s="21">
        <v>36647</v>
      </c>
      <c r="B126" s="79">
        <f>VLOOKUP(A126,Database!$A:$AS,MATCH($B$1,Database!$A$1:$AS$1,0),FALSE)</f>
        <v>127.989334222</v>
      </c>
      <c r="C126" s="79">
        <f>VLOOKUP(A126,Database!$A:$AS,MATCH($C$1,Database!$A$1:$AS$1,0),FALSE)</f>
        <v>110.11</v>
      </c>
      <c r="D126" s="79">
        <f>VLOOKUP(A126,Database!$A:$AS,MATCH($D$1,Database!$A$1:$AS$1,0),FALSE)</f>
        <v>81.393217231999998</v>
      </c>
      <c r="E126" s="79">
        <f>VLOOKUP(A126,Database!$A:$AS,MATCH($E$1,Database!$A$1:$AS$1,0),FALSE)</f>
        <v>124.840104033</v>
      </c>
      <c r="F126" s="79">
        <f>VLOOKUP(A126,Database!$A:$AS,MATCH($F$1,Database!$A$1:$AS$1,0),FALSE)</f>
        <v>96</v>
      </c>
      <c r="G126" s="79">
        <f>VLOOKUP(A126,Database!$A:$AS,MATCH($G$1,Database!$A$1:$AS$1,0),FALSE)</f>
        <v>98.082093564999994</v>
      </c>
      <c r="H126" s="79">
        <f>(((Table134567891011121314151617343[[#This Row],[ITA]]-VLOOKUP($U$1,A:B,2,))/VLOOKUP($U$1,A:B,2,))*100)+100</f>
        <v>105.26315789465028</v>
      </c>
      <c r="I126" s="79">
        <f>(((Table134567891011121314151617343[[#This Row],[FRA]]-VLOOKUP($U$1,A:C,3,))/VLOOKUP($U$1,A:C,3,))*100)+100</f>
        <v>107.4348716947995</v>
      </c>
      <c r="J126" s="79">
        <f>(((Table134567891011121314151617343[[#This Row],[DEU]]-VLOOKUP($U$1,A:D,4,))/VLOOKUP($U$1,A:D,4,))*100)+100</f>
        <v>108.24468085049793</v>
      </c>
      <c r="K126" s="79">
        <f>(((Table134567891011121314151617343[[#This Row],[ESP]]-VLOOKUP($U$1,A:E,5,))/VLOOKUP($U$1,A:E,5,))*100)+100</f>
        <v>104.93401697849617</v>
      </c>
      <c r="L126" s="79">
        <f>(((Table134567891011121314151617343[[#This Row],[EA19]]-VLOOKUP($U$1,A:F,6,))/VLOOKUP($U$1,A:F,6,))*100)+100</f>
        <v>107.38255033557046</v>
      </c>
      <c r="M126" s="79">
        <f>(((Table134567891011121314151617343[[#This Row],[GBR]]-VLOOKUP($U$1,A:G,7,))/VLOOKUP($U$1,A:G,7,))*100)+100</f>
        <v>106.41773628896252</v>
      </c>
      <c r="N126" s="79">
        <f>VLOOKUP(A126,Database!$A:$AS,MATCH($N$1,Database!$A$1:$AS$1,0),FALSE)</f>
        <v>92.520141968000004</v>
      </c>
      <c r="O126" s="79">
        <f>(((Table134567891011121314151617343[[#This Row],[USA]]-VLOOKUP($U$1,A:N,14,))/VLOOKUP($U$1,A:N,14,))*100)+100</f>
        <v>106.51218624354324</v>
      </c>
      <c r="P126" s="79">
        <f>VLOOKUP(A126,Database!$A:$AS,MATCH($P$1,Database!$A$1:$AS$1,0),FALSE)</f>
        <v>105.343859663</v>
      </c>
      <c r="Q126" s="79">
        <f>(((Table134567891011121314151617343[[#This Row],[JPN]]-VLOOKUP($U$1,A:Q,16,))/VLOOKUP($U$1,A:Q,16,))*100)+100</f>
        <v>105.76307363898927</v>
      </c>
    </row>
    <row r="127" spans="1:17" s="83" customFormat="1" x14ac:dyDescent="0.2">
      <c r="A127" s="21">
        <v>36678</v>
      </c>
      <c r="B127" s="79">
        <f>VLOOKUP(A127,Database!$A:$AS,MATCH($B$1,Database!$A$1:$AS$1,0),FALSE)</f>
        <v>127.789350887</v>
      </c>
      <c r="C127" s="79">
        <f>VLOOKUP(A127,Database!$A:$AS,MATCH($C$1,Database!$A$1:$AS$1,0),FALSE)</f>
        <v>108.69</v>
      </c>
      <c r="D127" s="79">
        <f>VLOOKUP(A127,Database!$A:$AS,MATCH($D$1,Database!$A$1:$AS$1,0),FALSE)</f>
        <v>79.593367219000001</v>
      </c>
      <c r="E127" s="79">
        <f>VLOOKUP(A127,Database!$A:$AS,MATCH($E$1,Database!$A$1:$AS$1,0),FALSE)</f>
        <v>123.52810294</v>
      </c>
      <c r="F127" s="79">
        <f>VLOOKUP(A127,Database!$A:$AS,MATCH($F$1,Database!$A$1:$AS$1,0),FALSE)</f>
        <v>94.7</v>
      </c>
      <c r="G127" s="79">
        <f>VLOOKUP(A127,Database!$A:$AS,MATCH($G$1,Database!$A$1:$AS$1,0),FALSE)</f>
        <v>99.157555117000001</v>
      </c>
      <c r="H127" s="79">
        <f>(((Table134567891011121314151617343[[#This Row],[ITA]]-VLOOKUP($U$1,A:B,2,))/VLOOKUP($U$1,A:B,2,))*100)+100</f>
        <v>105.09868421021115</v>
      </c>
      <c r="I127" s="79">
        <f>(((Table134567891011121314151617343[[#This Row],[FRA]]-VLOOKUP($U$1,A:C,3,))/VLOOKUP($U$1,A:C,3,))*100)+100</f>
        <v>106.0493706703093</v>
      </c>
      <c r="J127" s="79">
        <f>(((Table134567891011121314151617343[[#This Row],[DEU]]-VLOOKUP($U$1,A:D,4,))/VLOOKUP($U$1,A:D,4,))*100)+100</f>
        <v>105.85106382857053</v>
      </c>
      <c r="K127" s="79">
        <f>(((Table134567891011121314151617343[[#This Row],[ESP]]-VLOOKUP($U$1,A:E,5,))/VLOOKUP($U$1,A:E,5,))*100)+100</f>
        <v>103.83121795381516</v>
      </c>
      <c r="L127" s="79">
        <f>(((Table134567891011121314151617343[[#This Row],[EA19]]-VLOOKUP($U$1,A:F,6,))/VLOOKUP($U$1,A:F,6,))*100)+100</f>
        <v>105.92841163310962</v>
      </c>
      <c r="M127" s="79">
        <f>(((Table134567891011121314151617343[[#This Row],[GBR]]-VLOOKUP($U$1,A:G,7,))/VLOOKUP($U$1,A:G,7,))*100)+100</f>
        <v>107.58459743221297</v>
      </c>
      <c r="N127" s="79">
        <f>VLOOKUP(A127,Database!$A:$AS,MATCH($N$1,Database!$A$1:$AS$1,0),FALSE)</f>
        <v>92.567818098999993</v>
      </c>
      <c r="O127" s="79">
        <f>(((Table134567891011121314151617343[[#This Row],[USA]]-VLOOKUP($U$1,A:N,14,))/VLOOKUP($U$1,A:N,14,))*100)+100</f>
        <v>106.56707255085348</v>
      </c>
      <c r="P127" s="79">
        <f>VLOOKUP(A127,Database!$A:$AS,MATCH($P$1,Database!$A$1:$AS$1,0),FALSE)</f>
        <v>106.72576700499999</v>
      </c>
      <c r="Q127" s="79">
        <f>(((Table134567891011121314151617343[[#This Row],[JPN]]-VLOOKUP($U$1,A:Q,16,))/VLOOKUP($U$1,A:Q,16,))*100)+100</f>
        <v>107.15048025615482</v>
      </c>
    </row>
    <row r="128" spans="1:17" s="83" customFormat="1" x14ac:dyDescent="0.2">
      <c r="A128" s="21">
        <v>36708</v>
      </c>
      <c r="B128" s="79">
        <f>VLOOKUP(A128,Database!$A:$AS,MATCH($B$1,Database!$A$1:$AS$1,0),FALSE)</f>
        <v>126.789434214</v>
      </c>
      <c r="C128" s="79">
        <f>VLOOKUP(A128,Database!$A:$AS,MATCH($C$1,Database!$A$1:$AS$1,0),FALSE)</f>
        <v>109.96</v>
      </c>
      <c r="D128" s="79">
        <f>VLOOKUP(A128,Database!$A:$AS,MATCH($D$1,Database!$A$1:$AS$1,0),FALSE)</f>
        <v>80.893258895000002</v>
      </c>
      <c r="E128" s="79">
        <f>VLOOKUP(A128,Database!$A:$AS,MATCH($E$1,Database!$A$1:$AS$1,0),FALSE)</f>
        <v>124.550103792</v>
      </c>
      <c r="F128" s="79">
        <f>VLOOKUP(A128,Database!$A:$AS,MATCH($F$1,Database!$A$1:$AS$1,0),FALSE)</f>
        <v>95.9</v>
      </c>
      <c r="G128" s="79">
        <f>VLOOKUP(A128,Database!$A:$AS,MATCH($G$1,Database!$A$1:$AS$1,0),FALSE)</f>
        <v>98.834916652000004</v>
      </c>
      <c r="H128" s="79">
        <f>(((Table134567891011121314151617343[[#This Row],[ITA]]-VLOOKUP($U$1,A:B,2,))/VLOOKUP($U$1,A:B,2,))*100)+100</f>
        <v>104.27631578966036</v>
      </c>
      <c r="I128" s="79">
        <f>(((Table134567891011121314151617343[[#This Row],[FRA]]-VLOOKUP($U$1,A:C,3,))/VLOOKUP($U$1,A:C,3,))*100)+100</f>
        <v>107.28851595277588</v>
      </c>
      <c r="J128" s="79">
        <f>(((Table134567891011121314151617343[[#This Row],[DEU]]-VLOOKUP($U$1,A:D,4,))/VLOOKUP($U$1,A:D,4,))*100)+100</f>
        <v>107.57978723322199</v>
      </c>
      <c r="K128" s="79">
        <f>(((Table134567891011121314151617343[[#This Row],[ESP]]-VLOOKUP($U$1,A:E,5,))/VLOOKUP($U$1,A:E,5,))*100)+100</f>
        <v>104.69025804823433</v>
      </c>
      <c r="L128" s="79">
        <f>(((Table134567891011121314151617343[[#This Row],[EA19]]-VLOOKUP($U$1,A:F,6,))/VLOOKUP($U$1,A:F,6,))*100)+100</f>
        <v>107.27069351230425</v>
      </c>
      <c r="M128" s="79">
        <f>(((Table134567891011121314151617343[[#This Row],[GBR]]-VLOOKUP($U$1,A:G,7,))/VLOOKUP($U$1,A:G,7,))*100)+100</f>
        <v>107.23453908988883</v>
      </c>
      <c r="N128" s="79">
        <f>VLOOKUP(A128,Database!$A:$AS,MATCH($N$1,Database!$A$1:$AS$1,0),FALSE)</f>
        <v>92.382664224999999</v>
      </c>
      <c r="O128" s="79">
        <f>(((Table134567891011121314151617343[[#This Row],[USA]]-VLOOKUP($U$1,A:N,14,))/VLOOKUP($U$1,A:N,14,))*100)+100</f>
        <v>106.35391740980299</v>
      </c>
      <c r="P128" s="79">
        <f>VLOOKUP(A128,Database!$A:$AS,MATCH($P$1,Database!$A$1:$AS$1,0),FALSE)</f>
        <v>106.513165876</v>
      </c>
      <c r="Q128" s="79">
        <f>(((Table134567891011121314151617343[[#This Row],[JPN]]-VLOOKUP($U$1,A:Q,16,))/VLOOKUP($U$1,A:Q,16,))*100)+100</f>
        <v>106.93703308482381</v>
      </c>
    </row>
    <row r="129" spans="1:17" s="83" customFormat="1" x14ac:dyDescent="0.2">
      <c r="A129" s="21">
        <v>36739</v>
      </c>
      <c r="B129" s="79">
        <f>VLOOKUP(A129,Database!$A:$AS,MATCH($B$1,Database!$A$1:$AS$1,0),FALSE)</f>
        <v>127.989334222</v>
      </c>
      <c r="C129" s="79">
        <f>VLOOKUP(A129,Database!$A:$AS,MATCH($C$1,Database!$A$1:$AS$1,0),FALSE)</f>
        <v>108.97</v>
      </c>
      <c r="D129" s="79">
        <f>VLOOKUP(A129,Database!$A:$AS,MATCH($D$1,Database!$A$1:$AS$1,0),FALSE)</f>
        <v>81.693192233999994</v>
      </c>
      <c r="E129" s="79">
        <f>VLOOKUP(A129,Database!$A:$AS,MATCH($E$1,Database!$A$1:$AS$1,0),FALSE)</f>
        <v>123.858103215</v>
      </c>
      <c r="F129" s="79">
        <f>VLOOKUP(A129,Database!$A:$AS,MATCH($F$1,Database!$A$1:$AS$1,0),FALSE)</f>
        <v>95.9</v>
      </c>
      <c r="G129" s="79">
        <f>VLOOKUP(A129,Database!$A:$AS,MATCH($G$1,Database!$A$1:$AS$1,0),FALSE)</f>
        <v>100.23301667</v>
      </c>
      <c r="H129" s="79">
        <f>(((Table134567891011121314151617343[[#This Row],[ITA]]-VLOOKUP($U$1,A:B,2,))/VLOOKUP($U$1,A:B,2,))*100)+100</f>
        <v>105.26315789465028</v>
      </c>
      <c r="I129" s="79">
        <f>(((Table134567891011121314151617343[[#This Row],[FRA]]-VLOOKUP($U$1,A:C,3,))/VLOOKUP($U$1,A:C,3,))*100)+100</f>
        <v>106.32256805542005</v>
      </c>
      <c r="J129" s="79">
        <f>(((Table134567891011121314151617343[[#This Row],[DEU]]-VLOOKUP($U$1,A:D,4,))/VLOOKUP($U$1,A:D,4,))*100)+100</f>
        <v>108.6436170205975</v>
      </c>
      <c r="K129" s="79">
        <f>(((Table134567891011121314151617343[[#This Row],[ESP]]-VLOOKUP($U$1,A:E,5,))/VLOOKUP($U$1,A:E,5,))*100)+100</f>
        <v>104.10859880613009</v>
      </c>
      <c r="L129" s="79">
        <f>(((Table134567891011121314151617343[[#This Row],[EA19]]-VLOOKUP($U$1,A:F,6,))/VLOOKUP($U$1,A:F,6,))*100)+100</f>
        <v>107.27069351230425</v>
      </c>
      <c r="M129" s="79">
        <f>(((Table134567891011121314151617343[[#This Row],[GBR]]-VLOOKUP($U$1,A:G,7,))/VLOOKUP($U$1,A:G,7,))*100)+100</f>
        <v>108.75145857654842</v>
      </c>
      <c r="N129" s="79">
        <f>VLOOKUP(A129,Database!$A:$AS,MATCH($N$1,Database!$A$1:$AS$1,0),FALSE)</f>
        <v>92.144481806000002</v>
      </c>
      <c r="O129" s="79">
        <f>(((Table134567891011121314151617343[[#This Row],[USA]]-VLOOKUP($U$1,A:N,14,))/VLOOKUP($U$1,A:N,14,))*100)+100</f>
        <v>106.07971408896027</v>
      </c>
      <c r="P129" s="79">
        <f>VLOOKUP(A129,Database!$A:$AS,MATCH($P$1,Database!$A$1:$AS$1,0),FALSE)</f>
        <v>108.001373782</v>
      </c>
      <c r="Q129" s="79">
        <f>(((Table134567891011121314151617343[[#This Row],[JPN]]-VLOOKUP($U$1,A:Q,16,))/VLOOKUP($U$1,A:Q,16,))*100)+100</f>
        <v>108.43116328715288</v>
      </c>
    </row>
    <row r="130" spans="1:17" s="83" customFormat="1" x14ac:dyDescent="0.2">
      <c r="A130" s="21">
        <v>36770</v>
      </c>
      <c r="B130" s="79">
        <f>VLOOKUP(A130,Database!$A:$AS,MATCH($B$1,Database!$A$1:$AS$1,0),FALSE)</f>
        <v>127.889342555</v>
      </c>
      <c r="C130" s="79">
        <f>VLOOKUP(A130,Database!$A:$AS,MATCH($C$1,Database!$A$1:$AS$1,0),FALSE)</f>
        <v>109.26</v>
      </c>
      <c r="D130" s="79">
        <f>VLOOKUP(A130,Database!$A:$AS,MATCH($D$1,Database!$A$1:$AS$1,0),FALSE)</f>
        <v>81.793183901000006</v>
      </c>
      <c r="E130" s="79">
        <f>VLOOKUP(A130,Database!$A:$AS,MATCH($E$1,Database!$A$1:$AS$1,0),FALSE)</f>
        <v>123.834103195</v>
      </c>
      <c r="F130" s="79">
        <f>VLOOKUP(A130,Database!$A:$AS,MATCH($F$1,Database!$A$1:$AS$1,0),FALSE)</f>
        <v>96</v>
      </c>
      <c r="G130" s="79">
        <f>VLOOKUP(A130,Database!$A:$AS,MATCH($G$1,Database!$A$1:$AS$1,0),FALSE)</f>
        <v>100.44810898</v>
      </c>
      <c r="H130" s="79">
        <f>(((Table134567891011121314151617343[[#This Row],[ITA]]-VLOOKUP($U$1,A:B,2,))/VLOOKUP($U$1,A:B,2,))*100)+100</f>
        <v>105.18092105284192</v>
      </c>
      <c r="I130" s="79">
        <f>(((Table134567891011121314151617343[[#This Row],[FRA]]-VLOOKUP($U$1,A:C,3,))/VLOOKUP($U$1,A:C,3,))*100)+100</f>
        <v>106.60552248999903</v>
      </c>
      <c r="J130" s="79">
        <f>(((Table134567891011121314151617343[[#This Row],[DEU]]-VLOOKUP($U$1,A:D,4,))/VLOOKUP($U$1,A:D,4,))*100)+100</f>
        <v>108.77659574352074</v>
      </c>
      <c r="K130" s="79">
        <f>(((Table134567891011121314151617343[[#This Row],[ESP]]-VLOOKUP($U$1,A:E,5,))/VLOOKUP($U$1,A:E,5,))*100)+100</f>
        <v>104.08842565323447</v>
      </c>
      <c r="L130" s="79">
        <f>(((Table134567891011121314151617343[[#This Row],[EA19]]-VLOOKUP($U$1,A:F,6,))/VLOOKUP($U$1,A:F,6,))*100)+100</f>
        <v>107.38255033557046</v>
      </c>
      <c r="M130" s="79">
        <f>(((Table134567891011121314151617343[[#This Row],[GBR]]-VLOOKUP($U$1,A:G,7,))/VLOOKUP($U$1,A:G,7,))*100)+100</f>
        <v>108.98483080476451</v>
      </c>
      <c r="N130" s="79">
        <f>VLOOKUP(A130,Database!$A:$AS,MATCH($N$1,Database!$A$1:$AS$1,0),FALSE)</f>
        <v>92.530648557999996</v>
      </c>
      <c r="O130" s="79">
        <f>(((Table134567891011121314151617343[[#This Row],[USA]]-VLOOKUP($U$1,A:N,14,))/VLOOKUP($U$1,A:N,14,))*100)+100</f>
        <v>106.52428177049619</v>
      </c>
      <c r="P130" s="79">
        <f>VLOOKUP(A130,Database!$A:$AS,MATCH($P$1,Database!$A$1:$AS$1,0),FALSE)</f>
        <v>105.76906192200001</v>
      </c>
      <c r="Q130" s="79">
        <f>(((Table134567891011121314151617343[[#This Row],[JPN]]-VLOOKUP($U$1,A:Q,16,))/VLOOKUP($U$1,A:Q,16,))*100)+100</f>
        <v>106.18996798265529</v>
      </c>
    </row>
    <row r="131" spans="1:17" s="83" customFormat="1" x14ac:dyDescent="0.2">
      <c r="A131" s="21">
        <v>36800</v>
      </c>
      <c r="B131" s="79">
        <f>VLOOKUP(A131,Database!$A:$AS,MATCH($B$1,Database!$A$1:$AS$1,0),FALSE)</f>
        <v>128.38930089199999</v>
      </c>
      <c r="C131" s="79">
        <f>VLOOKUP(A131,Database!$A:$AS,MATCH($C$1,Database!$A$1:$AS$1,0),FALSE)</f>
        <v>110.46</v>
      </c>
      <c r="D131" s="79">
        <f>VLOOKUP(A131,Database!$A:$AS,MATCH($D$1,Database!$A$1:$AS$1,0),FALSE)</f>
        <v>81.493208898999995</v>
      </c>
      <c r="E131" s="79">
        <f>VLOOKUP(A131,Database!$A:$AS,MATCH($E$1,Database!$A$1:$AS$1,0),FALSE)</f>
        <v>121.640101367</v>
      </c>
      <c r="F131" s="79">
        <f>VLOOKUP(A131,Database!$A:$AS,MATCH($F$1,Database!$A$1:$AS$1,0),FALSE)</f>
        <v>96.2</v>
      </c>
      <c r="G131" s="79">
        <f>VLOOKUP(A131,Database!$A:$AS,MATCH($G$1,Database!$A$1:$AS$1,0),FALSE)</f>
        <v>101.953755153</v>
      </c>
      <c r="H131" s="79">
        <f>(((Table134567891011121314151617343[[#This Row],[ITA]]-VLOOKUP($U$1,A:B,2,))/VLOOKUP($U$1,A:B,2,))*100)+100</f>
        <v>105.59210526352854</v>
      </c>
      <c r="I131" s="79">
        <f>(((Table134567891011121314151617343[[#This Row],[FRA]]-VLOOKUP($U$1,A:C,3,))/VLOOKUP($U$1,A:C,3,))*100)+100</f>
        <v>107.77636842618791</v>
      </c>
      <c r="J131" s="79">
        <f>(((Table134567891011121314151617343[[#This Row],[DEU]]-VLOOKUP($U$1,A:D,4,))/VLOOKUP($U$1,A:D,4,))*100)+100</f>
        <v>108.37765957342114</v>
      </c>
      <c r="K131" s="79">
        <f>(((Table134567891011121314151617343[[#This Row],[ESP]]-VLOOKUP($U$1,A:E,5,))/VLOOKUP($U$1,A:E,5,))*100)+100</f>
        <v>102.244263259639</v>
      </c>
      <c r="L131" s="79">
        <f>(((Table134567891011121314151617343[[#This Row],[EA19]]-VLOOKUP($U$1,A:F,6,))/VLOOKUP($U$1,A:F,6,))*100)+100</f>
        <v>107.6062639821029</v>
      </c>
      <c r="M131" s="79">
        <f>(((Table134567891011121314151617343[[#This Row],[GBR]]-VLOOKUP($U$1,A:G,7,))/VLOOKUP($U$1,A:G,7,))*100)+100</f>
        <v>110.61843640553217</v>
      </c>
      <c r="N131" s="79">
        <f>VLOOKUP(A131,Database!$A:$AS,MATCH($N$1,Database!$A$1:$AS$1,0),FALSE)</f>
        <v>92.182345178000006</v>
      </c>
      <c r="O131" s="79">
        <f>(((Table134567891011121314151617343[[#This Row],[USA]]-VLOOKUP($U$1,A:N,14,))/VLOOKUP($U$1,A:N,14,))*100)+100</f>
        <v>106.12330363005358</v>
      </c>
      <c r="P131" s="79">
        <f>VLOOKUP(A131,Database!$A:$AS,MATCH($P$1,Database!$A$1:$AS$1,0),FALSE)</f>
        <v>107.36357039400001</v>
      </c>
      <c r="Q131" s="79">
        <f>(((Table134567891011121314151617343[[#This Row],[JPN]]-VLOOKUP($U$1,A:Q,16,))/VLOOKUP($U$1,A:Q,16,))*100)+100</f>
        <v>107.79082177215585</v>
      </c>
    </row>
    <row r="132" spans="1:17" s="83" customFormat="1" x14ac:dyDescent="0.2">
      <c r="A132" s="21">
        <v>36831</v>
      </c>
      <c r="B132" s="79">
        <f>VLOOKUP(A132,Database!$A:$AS,MATCH($B$1,Database!$A$1:$AS$1,0),FALSE)</f>
        <v>129.98916756899999</v>
      </c>
      <c r="C132" s="79">
        <f>VLOOKUP(A132,Database!$A:$AS,MATCH($C$1,Database!$A$1:$AS$1,0),FALSE)</f>
        <v>110.25</v>
      </c>
      <c r="D132" s="79">
        <f>VLOOKUP(A132,Database!$A:$AS,MATCH($D$1,Database!$A$1:$AS$1,0),FALSE)</f>
        <v>82.193150571000004</v>
      </c>
      <c r="E132" s="79">
        <f>VLOOKUP(A132,Database!$A:$AS,MATCH($E$1,Database!$A$1:$AS$1,0),FALSE)</f>
        <v>125.60910467399999</v>
      </c>
      <c r="F132" s="79">
        <f>VLOOKUP(A132,Database!$A:$AS,MATCH($F$1,Database!$A$1:$AS$1,0),FALSE)</f>
        <v>97.2</v>
      </c>
      <c r="G132" s="79">
        <f>VLOOKUP(A132,Database!$A:$AS,MATCH($G$1,Database!$A$1:$AS$1,0),FALSE)</f>
        <v>102.383939774</v>
      </c>
      <c r="H132" s="79">
        <f>(((Table134567891011121314151617343[[#This Row],[ITA]]-VLOOKUP($U$1,A:B,2,))/VLOOKUP($U$1,A:B,2,))*100)+100</f>
        <v>106.90789473657426</v>
      </c>
      <c r="I132" s="79">
        <f>(((Table134567891011121314151617343[[#This Row],[FRA]]-VLOOKUP($U$1,A:C,3,))/VLOOKUP($U$1,A:C,3,))*100)+100</f>
        <v>107.57147038735486</v>
      </c>
      <c r="J132" s="79">
        <f>(((Table134567891011121314151617343[[#This Row],[DEU]]-VLOOKUP($U$1,A:D,4,))/VLOOKUP($U$1,A:D,4,))*100)+100</f>
        <v>109.30851063787345</v>
      </c>
      <c r="K132" s="79">
        <f>(((Table134567891011121314151617343[[#This Row],[ESP]]-VLOOKUP($U$1,A:E,5,))/VLOOKUP($U$1,A:E,5,))*100)+100</f>
        <v>105.58039841933378</v>
      </c>
      <c r="L132" s="79">
        <f>(((Table134567891011121314151617343[[#This Row],[EA19]]-VLOOKUP($U$1,A:F,6,))/VLOOKUP($U$1,A:F,6,))*100)+100</f>
        <v>108.7248322147651</v>
      </c>
      <c r="M132" s="79">
        <f>(((Table134567891011121314151617343[[#This Row],[GBR]]-VLOOKUP($U$1,A:G,7,))/VLOOKUP($U$1,A:G,7,))*100)+100</f>
        <v>111.08518086304933</v>
      </c>
      <c r="N132" s="79">
        <f>VLOOKUP(A132,Database!$A:$AS,MATCH($N$1,Database!$A$1:$AS$1,0),FALSE)</f>
        <v>92.194041193999993</v>
      </c>
      <c r="O132" s="79">
        <f>(((Table134567891011121314151617343[[#This Row],[USA]]-VLOOKUP($U$1,A:N,14,))/VLOOKUP($U$1,A:N,14,))*100)+100</f>
        <v>106.13676846276999</v>
      </c>
      <c r="P132" s="79">
        <f>VLOOKUP(A132,Database!$A:$AS,MATCH($P$1,Database!$A$1:$AS$1,0),FALSE)</f>
        <v>107.788772653</v>
      </c>
      <c r="Q132" s="79">
        <f>(((Table134567891011121314151617343[[#This Row],[JPN]]-VLOOKUP($U$1,A:Q,16,))/VLOOKUP($U$1,A:Q,16,))*100)+100</f>
        <v>108.21771611582186</v>
      </c>
    </row>
    <row r="133" spans="1:17" s="83" customFormat="1" x14ac:dyDescent="0.2">
      <c r="A133" s="21">
        <v>36861</v>
      </c>
      <c r="B133" s="79">
        <f>VLOOKUP(A133,Database!$A:$AS,MATCH($B$1,Database!$A$1:$AS$1,0),FALSE)</f>
        <v>131.78901758200001</v>
      </c>
      <c r="C133" s="79">
        <f>VLOOKUP(A133,Database!$A:$AS,MATCH($C$1,Database!$A$1:$AS$1,0),FALSE)</f>
        <v>111.22</v>
      </c>
      <c r="D133" s="79">
        <f>VLOOKUP(A133,Database!$A:$AS,MATCH($D$1,Database!$A$1:$AS$1,0),FALSE)</f>
        <v>82.693108907999999</v>
      </c>
      <c r="E133" s="79">
        <f>VLOOKUP(A133,Database!$A:$AS,MATCH($E$1,Database!$A$1:$AS$1,0),FALSE)</f>
        <v>127.035105863</v>
      </c>
      <c r="F133" s="79">
        <f>VLOOKUP(A133,Database!$A:$AS,MATCH($F$1,Database!$A$1:$AS$1,0),FALSE)</f>
        <v>97.8</v>
      </c>
      <c r="G133" s="79">
        <f>VLOOKUP(A133,Database!$A:$AS,MATCH($G$1,Database!$A$1:$AS$1,0),FALSE)</f>
        <v>102.061301308</v>
      </c>
      <c r="H133" s="79">
        <f>(((Table134567891011121314151617343[[#This Row],[ITA]]-VLOOKUP($U$1,A:B,2,))/VLOOKUP($U$1,A:B,2,))*100)+100</f>
        <v>108.3881578948816</v>
      </c>
      <c r="I133" s="79">
        <f>(((Table134567891011121314151617343[[#This Row],[FRA]]-VLOOKUP($U$1,A:C,3,))/VLOOKUP($U$1,A:C,3,))*100)+100</f>
        <v>108.51790418577423</v>
      </c>
      <c r="J133" s="79">
        <f>(((Table134567891011121314151617343[[#This Row],[DEU]]-VLOOKUP($U$1,A:D,4,))/VLOOKUP($U$1,A:D,4,))*100)+100</f>
        <v>109.97340425514938</v>
      </c>
      <c r="K133" s="79">
        <f>(((Table134567891011121314151617343[[#This Row],[ESP]]-VLOOKUP($U$1,A:E,5,))/VLOOKUP($U$1,A:E,5,))*100)+100</f>
        <v>106.77901992110958</v>
      </c>
      <c r="L133" s="79">
        <f>(((Table134567891011121314151617343[[#This Row],[EA19]]-VLOOKUP($U$1,A:F,6,))/VLOOKUP($U$1,A:F,6,))*100)+100</f>
        <v>109.39597315436241</v>
      </c>
      <c r="M133" s="79">
        <f>(((Table134567891011121314151617343[[#This Row],[GBR]]-VLOOKUP($U$1,A:G,7,))/VLOOKUP($U$1,A:G,7,))*100)+100</f>
        <v>110.7351225196402</v>
      </c>
      <c r="N133" s="79">
        <f>VLOOKUP(A133,Database!$A:$AS,MATCH($N$1,Database!$A$1:$AS$1,0),FALSE)</f>
        <v>91.921563677999998</v>
      </c>
      <c r="O133" s="79">
        <f>(((Table134567891011121314151617343[[#This Row],[USA]]-VLOOKUP($U$1,A:N,14,))/VLOOKUP($U$1,A:N,14,))*100)+100</f>
        <v>105.82308351467071</v>
      </c>
      <c r="P133" s="79">
        <f>VLOOKUP(A133,Database!$A:$AS,MATCH($P$1,Database!$A$1:$AS$1,0),FALSE)</f>
        <v>108.85177830000001</v>
      </c>
      <c r="Q133" s="79">
        <f>(((Table134567891011121314151617343[[#This Row],[JPN]]-VLOOKUP($U$1,A:Q,16,))/VLOOKUP($U$1,A:Q,16,))*100)+100</f>
        <v>109.28495197448493</v>
      </c>
    </row>
    <row r="134" spans="1:17" s="83" customFormat="1" x14ac:dyDescent="0.2">
      <c r="A134" s="21">
        <v>36892</v>
      </c>
      <c r="B134" s="79">
        <f>VLOOKUP(A134,Database!$A:$AS,MATCH($B$1,Database!$A$1:$AS$1,0),FALSE)</f>
        <v>128.18931755700001</v>
      </c>
      <c r="C134" s="79">
        <f>VLOOKUP(A134,Database!$A:$AS,MATCH($C$1,Database!$A$1:$AS$1,0),FALSE)</f>
        <v>110.79</v>
      </c>
      <c r="D134" s="79">
        <f>VLOOKUP(A134,Database!$A:$AS,MATCH($D$1,Database!$A$1:$AS$1,0),FALSE)</f>
        <v>82.493125573</v>
      </c>
      <c r="E134" s="79">
        <f>VLOOKUP(A134,Database!$A:$AS,MATCH($E$1,Database!$A$1:$AS$1,0),FALSE)</f>
        <v>122.687102239</v>
      </c>
      <c r="F134" s="79">
        <f>VLOOKUP(A134,Database!$A:$AS,MATCH($F$1,Database!$A$1:$AS$1,0),FALSE)</f>
        <v>97</v>
      </c>
      <c r="G134" s="79">
        <f>VLOOKUP(A134,Database!$A:$AS,MATCH($G$1,Database!$A$1:$AS$1,0),FALSE)</f>
        <v>98.297185876</v>
      </c>
      <c r="H134" s="79">
        <f>(((Table134567891011121314151617343[[#This Row],[ITA]]-VLOOKUP($U$1,A:B,2,))/VLOOKUP($U$1,A:B,2,))*100)+100</f>
        <v>105.42763157908941</v>
      </c>
      <c r="I134" s="79">
        <f>(((Table134567891011121314151617343[[#This Row],[FRA]]-VLOOKUP($U$1,A:C,3,))/VLOOKUP($U$1,A:C,3,))*100)+100</f>
        <v>108.09835105863988</v>
      </c>
      <c r="J134" s="79">
        <f>(((Table134567891011121314151617343[[#This Row],[DEU]]-VLOOKUP($U$1,A:D,4,))/VLOOKUP($U$1,A:D,4,))*100)+100</f>
        <v>109.70744680797303</v>
      </c>
      <c r="K134" s="79">
        <f>(((Table134567891011121314151617343[[#This Row],[ESP]]-VLOOKUP($U$1,A:E,5,))/VLOOKUP($U$1,A:E,5,))*100)+100</f>
        <v>103.12431705429066</v>
      </c>
      <c r="L134" s="79">
        <f>(((Table134567891011121314151617343[[#This Row],[EA19]]-VLOOKUP($U$1,A:F,6,))/VLOOKUP($U$1,A:F,6,))*100)+100</f>
        <v>108.50111856823266</v>
      </c>
      <c r="M134" s="79">
        <f>(((Table134567891011121314151617343[[#This Row],[GBR]]-VLOOKUP($U$1,A:G,7,))/VLOOKUP($U$1,A:G,7,))*100)+100</f>
        <v>106.6511085182636</v>
      </c>
      <c r="N134" s="79">
        <f>VLOOKUP(A134,Database!$A:$AS,MATCH($N$1,Database!$A$1:$AS$1,0),FALSE)</f>
        <v>91.392864125000003</v>
      </c>
      <c r="O134" s="79">
        <f>(((Table134567891011121314151617343[[#This Row],[USA]]-VLOOKUP($U$1,A:N,14,))/VLOOKUP($U$1,A:N,14,))*100)+100</f>
        <v>105.21442745277784</v>
      </c>
      <c r="P134" s="79">
        <f>VLOOKUP(A134,Database!$A:$AS,MATCH($P$1,Database!$A$1:$AS$1,0),FALSE)</f>
        <v>104.81235684000001</v>
      </c>
      <c r="Q134" s="79">
        <f>(((Table134567891011121314151617343[[#This Row],[JPN]]-VLOOKUP($U$1,A:Q,16,))/VLOOKUP($U$1,A:Q,16,))*100)+100</f>
        <v>105.22945571015974</v>
      </c>
    </row>
    <row r="135" spans="1:17" s="83" customFormat="1" x14ac:dyDescent="0.2">
      <c r="A135" s="21">
        <v>36923</v>
      </c>
      <c r="B135" s="79">
        <f>VLOOKUP(A135,Database!$A:$AS,MATCH($B$1,Database!$A$1:$AS$1,0),FALSE)</f>
        <v>127.389384218</v>
      </c>
      <c r="C135" s="79">
        <f>VLOOKUP(A135,Database!$A:$AS,MATCH($C$1,Database!$A$1:$AS$1,0),FALSE)</f>
        <v>111.52</v>
      </c>
      <c r="D135" s="79">
        <f>VLOOKUP(A135,Database!$A:$AS,MATCH($D$1,Database!$A$1:$AS$1,0),FALSE)</f>
        <v>83.393050579000004</v>
      </c>
      <c r="E135" s="79">
        <f>VLOOKUP(A135,Database!$A:$AS,MATCH($E$1,Database!$A$1:$AS$1,0),FALSE)</f>
        <v>123.57510297899999</v>
      </c>
      <c r="F135" s="79">
        <f>VLOOKUP(A135,Database!$A:$AS,MATCH($F$1,Database!$A$1:$AS$1,0),FALSE)</f>
        <v>97.3</v>
      </c>
      <c r="G135" s="79">
        <f>VLOOKUP(A135,Database!$A:$AS,MATCH($G$1,Database!$A$1:$AS$1,0),FALSE)</f>
        <v>96.576447392000006</v>
      </c>
      <c r="H135" s="79">
        <f>(((Table134567891011121314151617343[[#This Row],[ITA]]-VLOOKUP($U$1,A:B,2,))/VLOOKUP($U$1,A:B,2,))*100)+100</f>
        <v>104.76973684215533</v>
      </c>
      <c r="I135" s="79">
        <f>(((Table134567891011121314151617343[[#This Row],[FRA]]-VLOOKUP($U$1,A:C,3,))/VLOOKUP($U$1,A:C,3,))*100)+100</f>
        <v>108.81061566982144</v>
      </c>
      <c r="J135" s="79">
        <f>(((Table134567891011121314151617343[[#This Row],[DEU]]-VLOOKUP($U$1,A:D,4,))/VLOOKUP($U$1,A:D,4,))*100)+100</f>
        <v>110.90425531827178</v>
      </c>
      <c r="K135" s="79">
        <f>(((Table134567891011121314151617343[[#This Row],[ESP]]-VLOOKUP($U$1,A:E,5,))/VLOOKUP($U$1,A:E,5,))*100)+100</f>
        <v>103.87072371142901</v>
      </c>
      <c r="L135" s="79">
        <f>(((Table134567891011121314151617343[[#This Row],[EA19]]-VLOOKUP($U$1,A:F,6,))/VLOOKUP($U$1,A:F,6,))*100)+100</f>
        <v>108.83668903803131</v>
      </c>
      <c r="M135" s="79">
        <f>(((Table134567891011121314151617343[[#This Row],[GBR]]-VLOOKUP($U$1,A:G,7,))/VLOOKUP($U$1,A:G,7,))*100)+100</f>
        <v>104.78413068819488</v>
      </c>
      <c r="N135" s="79">
        <f>VLOOKUP(A135,Database!$A:$AS,MATCH($N$1,Database!$A$1:$AS$1,0),FALSE)</f>
        <v>90.774263843</v>
      </c>
      <c r="O135" s="79">
        <f>(((Table134567891011121314151617343[[#This Row],[USA]]-VLOOKUP($U$1,A:N,14,))/VLOOKUP($U$1,A:N,14,))*100)+100</f>
        <v>104.50227475775191</v>
      </c>
      <c r="P135" s="79">
        <f>VLOOKUP(A135,Database!$A:$AS,MATCH($P$1,Database!$A$1:$AS$1,0),FALSE)</f>
        <v>105.76906192200001</v>
      </c>
      <c r="Q135" s="79">
        <f>(((Table134567891011121314151617343[[#This Row],[JPN]]-VLOOKUP($U$1,A:Q,16,))/VLOOKUP($U$1,A:Q,16,))*100)+100</f>
        <v>106.18996798265529</v>
      </c>
    </row>
    <row r="136" spans="1:17" s="83" customFormat="1" x14ac:dyDescent="0.2">
      <c r="A136" s="21">
        <v>36951</v>
      </c>
      <c r="B136" s="79">
        <f>VLOOKUP(A136,Database!$A:$AS,MATCH($B$1,Database!$A$1:$AS$1,0),FALSE)</f>
        <v>127.489375885</v>
      </c>
      <c r="C136" s="79">
        <f>VLOOKUP(A136,Database!$A:$AS,MATCH($C$1,Database!$A$1:$AS$1,0),FALSE)</f>
        <v>111.99</v>
      </c>
      <c r="D136" s="79">
        <f>VLOOKUP(A136,Database!$A:$AS,MATCH($D$1,Database!$A$1:$AS$1,0),FALSE)</f>
        <v>81.993167236000005</v>
      </c>
      <c r="E136" s="79">
        <f>VLOOKUP(A136,Database!$A:$AS,MATCH($E$1,Database!$A$1:$AS$1,0),FALSE)</f>
        <v>122.950102458</v>
      </c>
      <c r="F136" s="79">
        <f>VLOOKUP(A136,Database!$A:$AS,MATCH($F$1,Database!$A$1:$AS$1,0),FALSE)</f>
        <v>96.7</v>
      </c>
      <c r="G136" s="79">
        <f>VLOOKUP(A136,Database!$A:$AS,MATCH($G$1,Database!$A$1:$AS$1,0),FALSE)</f>
        <v>97.221724323000004</v>
      </c>
      <c r="H136" s="79">
        <f>(((Table134567891011121314151617343[[#This Row],[ITA]]-VLOOKUP($U$1,A:B,2,))/VLOOKUP($U$1,A:B,2,))*100)+100</f>
        <v>104.85197368396366</v>
      </c>
      <c r="I136" s="79">
        <f>(((Table134567891011121314151617343[[#This Row],[FRA]]-VLOOKUP($U$1,A:C,3,))/VLOOKUP($U$1,A:C,3,))*100)+100</f>
        <v>109.26919699482876</v>
      </c>
      <c r="J136" s="79">
        <f>(((Table134567891011121314151617343[[#This Row],[DEU]]-VLOOKUP($U$1,A:D,4,))/VLOOKUP($U$1,A:D,4,))*100)+100</f>
        <v>109.04255319069709</v>
      </c>
      <c r="K136" s="79">
        <f>(((Table134567891011121314151617343[[#This Row],[ESP]]-VLOOKUP($U$1,A:E,5,))/VLOOKUP($U$1,A:E,5,))*100)+100</f>
        <v>103.34538118796519</v>
      </c>
      <c r="L136" s="79">
        <f>(((Table134567891011121314151617343[[#This Row],[EA19]]-VLOOKUP($U$1,A:F,6,))/VLOOKUP($U$1,A:F,6,))*100)+100</f>
        <v>108.165548098434</v>
      </c>
      <c r="M136" s="79">
        <f>(((Table134567891011121314151617343[[#This Row],[GBR]]-VLOOKUP($U$1,A:G,7,))/VLOOKUP($U$1,A:G,7,))*100)+100</f>
        <v>105.48424737392816</v>
      </c>
      <c r="N136" s="79">
        <f>VLOOKUP(A136,Database!$A:$AS,MATCH($N$1,Database!$A$1:$AS$1,0),FALSE)</f>
        <v>90.551643071000001</v>
      </c>
      <c r="O136" s="79">
        <f>(((Table134567891011121314151617343[[#This Row],[USA]]-VLOOKUP($U$1,A:N,14,))/VLOOKUP($U$1,A:N,14,))*100)+100</f>
        <v>104.24598650932762</v>
      </c>
      <c r="P136" s="79">
        <f>VLOOKUP(A136,Database!$A:$AS,MATCH($P$1,Database!$A$1:$AS$1,0),FALSE)</f>
        <v>103.961952322</v>
      </c>
      <c r="Q136" s="79">
        <f>(((Table134567891011121314151617343[[#This Row],[JPN]]-VLOOKUP($U$1,A:Q,16,))/VLOOKUP($U$1,A:Q,16,))*100)+100</f>
        <v>104.3756670228277</v>
      </c>
    </row>
    <row r="137" spans="1:17" s="83" customFormat="1" x14ac:dyDescent="0.2">
      <c r="A137" s="21">
        <v>36982</v>
      </c>
      <c r="B137" s="79">
        <f>VLOOKUP(A137,Database!$A:$AS,MATCH($B$1,Database!$A$1:$AS$1,0),FALSE)</f>
        <v>126.18948421</v>
      </c>
      <c r="C137" s="79">
        <f>VLOOKUP(A137,Database!$A:$AS,MATCH($C$1,Database!$A$1:$AS$1,0),FALSE)</f>
        <v>110.16</v>
      </c>
      <c r="D137" s="79">
        <f>VLOOKUP(A137,Database!$A:$AS,MATCH($D$1,Database!$A$1:$AS$1,0),FALSE)</f>
        <v>80.593283893000006</v>
      </c>
      <c r="E137" s="79">
        <f>VLOOKUP(A137,Database!$A:$AS,MATCH($E$1,Database!$A$1:$AS$1,0),FALSE)</f>
        <v>120.85810071500001</v>
      </c>
      <c r="F137" s="79">
        <f>VLOOKUP(A137,Database!$A:$AS,MATCH($F$1,Database!$A$1:$AS$1,0),FALSE)</f>
        <v>95.9</v>
      </c>
      <c r="G137" s="79">
        <f>VLOOKUP(A137,Database!$A:$AS,MATCH($G$1,Database!$A$1:$AS$1,0),FALSE)</f>
        <v>99.372647427999993</v>
      </c>
      <c r="H137" s="79">
        <f>(((Table134567891011121314151617343[[#This Row],[ITA]]-VLOOKUP($U$1,A:B,2,))/VLOOKUP($U$1,A:B,2,))*100)+100</f>
        <v>103.78289473716541</v>
      </c>
      <c r="I137" s="79">
        <f>(((Table134567891011121314151617343[[#This Row],[FRA]]-VLOOKUP($U$1,A:C,3,))/VLOOKUP($U$1,A:C,3,))*100)+100</f>
        <v>107.4836569421407</v>
      </c>
      <c r="J137" s="79">
        <f>(((Table134567891011121314151617343[[#This Row],[DEU]]-VLOOKUP($U$1,A:D,4,))/VLOOKUP($U$1,A:D,4,))*100)+100</f>
        <v>107.18085106312242</v>
      </c>
      <c r="K137" s="79">
        <f>(((Table134567891011121314151617343[[#This Row],[ESP]]-VLOOKUP($U$1,A:E,5,))/VLOOKUP($U$1,A:E,5,))*100)+100</f>
        <v>101.58695469417617</v>
      </c>
      <c r="L137" s="79">
        <f>(((Table134567891011121314151617343[[#This Row],[EA19]]-VLOOKUP($U$1,A:F,6,))/VLOOKUP($U$1,A:F,6,))*100)+100</f>
        <v>107.27069351230425</v>
      </c>
      <c r="M137" s="79">
        <f>(((Table134567891011121314151617343[[#This Row],[GBR]]-VLOOKUP($U$1,A:G,7,))/VLOOKUP($U$1,A:G,7,))*100)+100</f>
        <v>107.81796966151406</v>
      </c>
      <c r="N137" s="79">
        <f>VLOOKUP(A137,Database!$A:$AS,MATCH($N$1,Database!$A$1:$AS$1,0),FALSE)</f>
        <v>90.269451915000005</v>
      </c>
      <c r="O137" s="79">
        <f>(((Table134567891011121314151617343[[#This Row],[USA]]-VLOOKUP($U$1,A:N,14,))/VLOOKUP($U$1,A:N,14,))*100)+100</f>
        <v>103.92111890401689</v>
      </c>
      <c r="P137" s="79">
        <f>VLOOKUP(A137,Database!$A:$AS,MATCH($P$1,Database!$A$1:$AS$1,0),FALSE)</f>
        <v>103.217848369</v>
      </c>
      <c r="Q137" s="79">
        <f>(((Table134567891011121314151617343[[#This Row],[JPN]]-VLOOKUP($U$1,A:Q,16,))/VLOOKUP($U$1,A:Q,16,))*100)+100</f>
        <v>103.62860192166315</v>
      </c>
    </row>
    <row r="138" spans="1:17" s="83" customFormat="1" x14ac:dyDescent="0.2">
      <c r="A138" s="21">
        <v>37012</v>
      </c>
      <c r="B138" s="79">
        <f>VLOOKUP(A138,Database!$A:$AS,MATCH($B$1,Database!$A$1:$AS$1,0),FALSE)</f>
        <v>126.089492542</v>
      </c>
      <c r="C138" s="79">
        <f>VLOOKUP(A138,Database!$A:$AS,MATCH($C$1,Database!$A$1:$AS$1,0),FALSE)</f>
        <v>110.99</v>
      </c>
      <c r="D138" s="79">
        <f>VLOOKUP(A138,Database!$A:$AS,MATCH($D$1,Database!$A$1:$AS$1,0),FALSE)</f>
        <v>81.493208898999995</v>
      </c>
      <c r="E138" s="79">
        <f>VLOOKUP(A138,Database!$A:$AS,MATCH($E$1,Database!$A$1:$AS$1,0),FALSE)</f>
        <v>123.645103038</v>
      </c>
      <c r="F138" s="79">
        <f>VLOOKUP(A138,Database!$A:$AS,MATCH($F$1,Database!$A$1:$AS$1,0),FALSE)</f>
        <v>96.2</v>
      </c>
      <c r="G138" s="79">
        <f>VLOOKUP(A138,Database!$A:$AS,MATCH($G$1,Database!$A$1:$AS$1,0),FALSE)</f>
        <v>99.802832049000003</v>
      </c>
      <c r="H138" s="79">
        <f>(((Table134567891011121314151617343[[#This Row],[ITA]]-VLOOKUP($U$1,A:B,2,))/VLOOKUP($U$1,A:B,2,))*100)+100</f>
        <v>103.70065789453461</v>
      </c>
      <c r="I138" s="79">
        <f>(((Table134567891011121314151617343[[#This Row],[FRA]]-VLOOKUP($U$1,A:C,3,))/VLOOKUP($U$1,A:C,3,))*100)+100</f>
        <v>108.29349204800468</v>
      </c>
      <c r="J138" s="79">
        <f>(((Table134567891011121314151617343[[#This Row],[DEU]]-VLOOKUP($U$1,A:D,4,))/VLOOKUP($U$1,A:D,4,))*100)+100</f>
        <v>108.37765957342114</v>
      </c>
      <c r="K138" s="79">
        <f>(((Table134567891011121314151617343[[#This Row],[ESP]]-VLOOKUP($U$1,A:E,5,))/VLOOKUP($U$1,A:E,5,))*100)+100</f>
        <v>103.92956207460165</v>
      </c>
      <c r="L138" s="79">
        <f>(((Table134567891011121314151617343[[#This Row],[EA19]]-VLOOKUP($U$1,A:F,6,))/VLOOKUP($U$1,A:F,6,))*100)+100</f>
        <v>107.6062639821029</v>
      </c>
      <c r="M138" s="79">
        <f>(((Table134567891011121314151617343[[#This Row],[GBR]]-VLOOKUP($U$1,A:G,7,))/VLOOKUP($U$1,A:G,7,))*100)+100</f>
        <v>108.28471411903124</v>
      </c>
      <c r="N138" s="79">
        <f>VLOOKUP(A138,Database!$A:$AS,MATCH($N$1,Database!$A$1:$AS$1,0),FALSE)</f>
        <v>89.735697305000002</v>
      </c>
      <c r="O138" s="79">
        <f>(((Table134567891011121314151617343[[#This Row],[USA]]-VLOOKUP($U$1,A:N,14,))/VLOOKUP($U$1,A:N,14,))*100)+100</f>
        <v>103.30664329665852</v>
      </c>
      <c r="P138" s="79">
        <f>VLOOKUP(A138,Database!$A:$AS,MATCH($P$1,Database!$A$1:$AS$1,0),FALSE)</f>
        <v>101.19813763800001</v>
      </c>
      <c r="Q138" s="79">
        <f>(((Table134567891011121314151617343[[#This Row],[JPN]]-VLOOKUP($U$1,A:Q,16,))/VLOOKUP($U$1,A:Q,16,))*100)+100</f>
        <v>101.60085378849659</v>
      </c>
    </row>
    <row r="139" spans="1:17" s="83" customFormat="1" x14ac:dyDescent="0.2">
      <c r="A139" s="21">
        <v>37043</v>
      </c>
      <c r="B139" s="79">
        <f>VLOOKUP(A139,Database!$A:$AS,MATCH($B$1,Database!$A$1:$AS$1,0),FALSE)</f>
        <v>126.289475877</v>
      </c>
      <c r="C139" s="79">
        <f>VLOOKUP(A139,Database!$A:$AS,MATCH($C$1,Database!$A$1:$AS$1,0),FALSE)</f>
        <v>111.02</v>
      </c>
      <c r="D139" s="79">
        <f>VLOOKUP(A139,Database!$A:$AS,MATCH($D$1,Database!$A$1:$AS$1,0),FALSE)</f>
        <v>81.893175568999993</v>
      </c>
      <c r="E139" s="79">
        <f>VLOOKUP(A139,Database!$A:$AS,MATCH($E$1,Database!$A$1:$AS$1,0),FALSE)</f>
        <v>123.615103013</v>
      </c>
      <c r="F139" s="79">
        <f>VLOOKUP(A139,Database!$A:$AS,MATCH($F$1,Database!$A$1:$AS$1,0),FALSE)</f>
        <v>96.2</v>
      </c>
      <c r="G139" s="79">
        <f>VLOOKUP(A139,Database!$A:$AS,MATCH($G$1,Database!$A$1:$AS$1,0),FALSE)</f>
        <v>101.416024377</v>
      </c>
      <c r="H139" s="79">
        <f>(((Table134567891011121314151617343[[#This Row],[ITA]]-VLOOKUP($U$1,A:B,2,))/VLOOKUP($U$1,A:B,2,))*100)+100</f>
        <v>103.86513157897375</v>
      </c>
      <c r="I139" s="79">
        <f>(((Table134567891011121314151617343[[#This Row],[FRA]]-VLOOKUP($U$1,A:C,3,))/VLOOKUP($U$1,A:C,3,))*100)+100</f>
        <v>108.32276319640941</v>
      </c>
      <c r="J139" s="79">
        <f>(((Table134567891011121314151617343[[#This Row],[DEU]]-VLOOKUP($U$1,A:D,4,))/VLOOKUP($U$1,A:D,4,))*100)+100</f>
        <v>108.90957446777385</v>
      </c>
      <c r="K139" s="79">
        <f>(((Table134567891011121314151617343[[#This Row],[ESP]]-VLOOKUP($U$1,A:E,5,))/VLOOKUP($U$1,A:E,5,))*100)+100</f>
        <v>103.90434563348209</v>
      </c>
      <c r="L139" s="79">
        <f>(((Table134567891011121314151617343[[#This Row],[EA19]]-VLOOKUP($U$1,A:F,6,))/VLOOKUP($U$1,A:F,6,))*100)+100</f>
        <v>107.6062639821029</v>
      </c>
      <c r="M139" s="79">
        <f>(((Table134567891011121314151617343[[#This Row],[GBR]]-VLOOKUP($U$1,A:G,7,))/VLOOKUP($U$1,A:G,7,))*100)+100</f>
        <v>110.03500583390692</v>
      </c>
      <c r="N139" s="79">
        <f>VLOOKUP(A139,Database!$A:$AS,MATCH($N$1,Database!$A$1:$AS$1,0),FALSE)</f>
        <v>89.238814880000007</v>
      </c>
      <c r="O139" s="79">
        <f>(((Table134567891011121314151617343[[#This Row],[USA]]-VLOOKUP($U$1,A:N,14,))/VLOOKUP($U$1,A:N,14,))*100)+100</f>
        <v>102.73461614379219</v>
      </c>
      <c r="P139" s="79">
        <f>VLOOKUP(A139,Database!$A:$AS,MATCH($P$1,Database!$A$1:$AS$1,0),FALSE)</f>
        <v>100.13513199099999</v>
      </c>
      <c r="Q139" s="79">
        <f>(((Table134567891011121314151617343[[#This Row],[JPN]]-VLOOKUP($U$1,A:Q,16,))/VLOOKUP($U$1,A:Q,16,))*100)+100</f>
        <v>100.53361792983353</v>
      </c>
    </row>
    <row r="140" spans="1:17" s="83" customFormat="1" x14ac:dyDescent="0.2">
      <c r="A140" s="21">
        <v>37073</v>
      </c>
      <c r="B140" s="79">
        <f>VLOOKUP(A140,Database!$A:$AS,MATCH($B$1,Database!$A$1:$AS$1,0),FALSE)</f>
        <v>123.88967586</v>
      </c>
      <c r="C140" s="79">
        <f>VLOOKUP(A140,Database!$A:$AS,MATCH($C$1,Database!$A$1:$AS$1,0),FALSE)</f>
        <v>109.48</v>
      </c>
      <c r="D140" s="79">
        <f>VLOOKUP(A140,Database!$A:$AS,MATCH($D$1,Database!$A$1:$AS$1,0),FALSE)</f>
        <v>79.393383885000006</v>
      </c>
      <c r="E140" s="79">
        <f>VLOOKUP(A140,Database!$A:$AS,MATCH($E$1,Database!$A$1:$AS$1,0),FALSE)</f>
        <v>120.848100707</v>
      </c>
      <c r="F140" s="79">
        <f>VLOOKUP(A140,Database!$A:$AS,MATCH($F$1,Database!$A$1:$AS$1,0),FALSE)</f>
        <v>94.5</v>
      </c>
      <c r="G140" s="79">
        <f>VLOOKUP(A140,Database!$A:$AS,MATCH($G$1,Database!$A$1:$AS$1,0),FALSE)</f>
        <v>101.416024377</v>
      </c>
      <c r="H140" s="79">
        <f>(((Table134567891011121314151617343[[#This Row],[ITA]]-VLOOKUP($U$1,A:B,2,))/VLOOKUP($U$1,A:B,2,))*100)+100</f>
        <v>101.89144736817148</v>
      </c>
      <c r="I140" s="79">
        <f>(((Table134567891011121314151617343[[#This Row],[FRA]]-VLOOKUP($U$1,A:C,3,))/VLOOKUP($U$1,A:C,3,))*100)+100</f>
        <v>106.82017757830033</v>
      </c>
      <c r="J140" s="79">
        <f>(((Table134567891011121314151617343[[#This Row],[DEU]]-VLOOKUP($U$1,A:D,4,))/VLOOKUP($U$1,A:D,4,))*100)+100</f>
        <v>105.58510638272408</v>
      </c>
      <c r="K140" s="79">
        <f>(((Table134567891011121314151617343[[#This Row],[ESP]]-VLOOKUP($U$1,A:E,5,))/VLOOKUP($U$1,A:E,5,))*100)+100</f>
        <v>101.57854921408317</v>
      </c>
      <c r="L140" s="79">
        <f>(((Table134567891011121314151617343[[#This Row],[EA19]]-VLOOKUP($U$1,A:F,6,))/VLOOKUP($U$1,A:F,6,))*100)+100</f>
        <v>105.70469798657717</v>
      </c>
      <c r="M140" s="79">
        <f>(((Table134567891011121314151617343[[#This Row],[GBR]]-VLOOKUP($U$1,A:G,7,))/VLOOKUP($U$1,A:G,7,))*100)+100</f>
        <v>110.03500583390692</v>
      </c>
      <c r="N140" s="79">
        <f>VLOOKUP(A140,Database!$A:$AS,MATCH($N$1,Database!$A$1:$AS$1,0),FALSE)</f>
        <v>88.689300384000006</v>
      </c>
      <c r="O140" s="79">
        <f>(((Table134567891011121314151617343[[#This Row],[USA]]-VLOOKUP($U$1,A:N,14,))/VLOOKUP($U$1,A:N,14,))*100)+100</f>
        <v>102.10199724485317</v>
      </c>
      <c r="P140" s="79">
        <f>VLOOKUP(A140,Database!$A:$AS,MATCH($P$1,Database!$A$1:$AS$1,0),FALSE)</f>
        <v>98.753224649000003</v>
      </c>
      <c r="Q140" s="79">
        <f>(((Table134567891011121314151617343[[#This Row],[JPN]]-VLOOKUP($U$1,A:Q,16,))/VLOOKUP($U$1,A:Q,16,))*100)+100</f>
        <v>99.146211312667972</v>
      </c>
    </row>
    <row r="141" spans="1:17" s="83" customFormat="1" x14ac:dyDescent="0.2">
      <c r="A141" s="21">
        <v>37104</v>
      </c>
      <c r="B141" s="79">
        <f>VLOOKUP(A141,Database!$A:$AS,MATCH($B$1,Database!$A$1:$AS$1,0),FALSE)</f>
        <v>126.089492542</v>
      </c>
      <c r="C141" s="79">
        <f>VLOOKUP(A141,Database!$A:$AS,MATCH($C$1,Database!$A$1:$AS$1,0),FALSE)</f>
        <v>112.19</v>
      </c>
      <c r="D141" s="79">
        <f>VLOOKUP(A141,Database!$A:$AS,MATCH($D$1,Database!$A$1:$AS$1,0),FALSE)</f>
        <v>81.593200566999997</v>
      </c>
      <c r="E141" s="79">
        <f>VLOOKUP(A141,Database!$A:$AS,MATCH($E$1,Database!$A$1:$AS$1,0),FALSE)</f>
        <v>125.783104819</v>
      </c>
      <c r="F141" s="79">
        <f>VLOOKUP(A141,Database!$A:$AS,MATCH($F$1,Database!$A$1:$AS$1,0),FALSE)</f>
        <v>96.8</v>
      </c>
      <c r="G141" s="79">
        <f>VLOOKUP(A141,Database!$A:$AS,MATCH($G$1,Database!$A$1:$AS$1,0),FALSE)</f>
        <v>103.997132103</v>
      </c>
      <c r="H141" s="79">
        <f>(((Table134567891011121314151617343[[#This Row],[ITA]]-VLOOKUP($U$1,A:B,2,))/VLOOKUP($U$1,A:B,2,))*100)+100</f>
        <v>103.70065789453461</v>
      </c>
      <c r="I141" s="79">
        <f>(((Table134567891011121314151617343[[#This Row],[FRA]]-VLOOKUP($U$1,A:C,3,))/VLOOKUP($U$1,A:C,3,))*100)+100</f>
        <v>109.46433798419358</v>
      </c>
      <c r="J141" s="79">
        <f>(((Table134567891011121314151617343[[#This Row],[DEU]]-VLOOKUP($U$1,A:D,4,))/VLOOKUP($U$1,A:D,4,))*100)+100</f>
        <v>108.51063829767428</v>
      </c>
      <c r="K141" s="79">
        <f>(((Table134567891011121314151617343[[#This Row],[ESP]]-VLOOKUP($U$1,A:E,5,))/VLOOKUP($U$1,A:E,5,))*100)+100</f>
        <v>105.72665377782711</v>
      </c>
      <c r="L141" s="79">
        <f>(((Table134567891011121314151617343[[#This Row],[EA19]]-VLOOKUP($U$1,A:F,6,))/VLOOKUP($U$1,A:F,6,))*100)+100</f>
        <v>108.27740492170021</v>
      </c>
      <c r="M141" s="79">
        <f>(((Table134567891011121314151617343[[#This Row],[GBR]]-VLOOKUP($U$1,A:G,7,))/VLOOKUP($U$1,A:G,7,))*100)+100</f>
        <v>112.83547257901</v>
      </c>
      <c r="N141" s="79">
        <f>VLOOKUP(A141,Database!$A:$AS,MATCH($N$1,Database!$A$1:$AS$1,0),FALSE)</f>
        <v>88.596128734000004</v>
      </c>
      <c r="O141" s="79">
        <f>(((Table134567891011121314151617343[[#This Row],[USA]]-VLOOKUP($U$1,A:N,14,))/VLOOKUP($U$1,A:N,14,))*100)+100</f>
        <v>101.99473502144617</v>
      </c>
      <c r="P141" s="79">
        <f>VLOOKUP(A141,Database!$A:$AS,MATCH($P$1,Database!$A$1:$AS$1,0),FALSE)</f>
        <v>97.371317306999998</v>
      </c>
      <c r="Q141" s="79">
        <f>(((Table134567891011121314151617343[[#This Row],[JPN]]-VLOOKUP($U$1,A:Q,16,))/VLOOKUP($U$1,A:Q,16,))*100)+100</f>
        <v>97.758804695502405</v>
      </c>
    </row>
    <row r="142" spans="1:17" s="83" customFormat="1" x14ac:dyDescent="0.2">
      <c r="A142" s="21">
        <v>37135</v>
      </c>
      <c r="B142" s="79">
        <f>VLOOKUP(A142,Database!$A:$AS,MATCH($B$1,Database!$A$1:$AS$1,0),FALSE)</f>
        <v>124.18965086199999</v>
      </c>
      <c r="C142" s="79">
        <f>VLOOKUP(A142,Database!$A:$AS,MATCH($C$1,Database!$A$1:$AS$1,0),FALSE)</f>
        <v>110.49</v>
      </c>
      <c r="D142" s="79">
        <f>VLOOKUP(A142,Database!$A:$AS,MATCH($D$1,Database!$A$1:$AS$1,0),FALSE)</f>
        <v>80.493292225999994</v>
      </c>
      <c r="E142" s="79">
        <f>VLOOKUP(A142,Database!$A:$AS,MATCH($E$1,Database!$A$1:$AS$1,0),FALSE)</f>
        <v>123.029102524</v>
      </c>
      <c r="F142" s="79">
        <f>VLOOKUP(A142,Database!$A:$AS,MATCH($F$1,Database!$A$1:$AS$1,0),FALSE)</f>
        <v>95.4</v>
      </c>
      <c r="G142" s="79">
        <f>VLOOKUP(A142,Database!$A:$AS,MATCH($G$1,Database!$A$1:$AS$1,0),FALSE)</f>
        <v>103.674493637</v>
      </c>
      <c r="H142" s="79">
        <f>(((Table134567891011121314151617343[[#This Row],[ITA]]-VLOOKUP($U$1,A:B,2,))/VLOOKUP($U$1,A:B,2,))*100)+100</f>
        <v>102.13815789441895</v>
      </c>
      <c r="I142" s="79">
        <f>(((Table134567891011121314151617343[[#This Row],[FRA]]-VLOOKUP($U$1,A:C,3,))/VLOOKUP($U$1,A:C,3,))*100)+100</f>
        <v>107.80563957459265</v>
      </c>
      <c r="J142" s="79">
        <f>(((Table134567891011121314151617343[[#This Row],[DEU]]-VLOOKUP($U$1,A:D,4,))/VLOOKUP($U$1,A:D,4,))*100)+100</f>
        <v>107.04787234019916</v>
      </c>
      <c r="K142" s="79">
        <f>(((Table134567891011121314151617343[[#This Row],[ESP]]-VLOOKUP($U$1,A:E,5,))/VLOOKUP($U$1,A:E,5,))*100)+100</f>
        <v>103.4117844830534</v>
      </c>
      <c r="L142" s="79">
        <f>(((Table134567891011121314151617343[[#This Row],[EA19]]-VLOOKUP($U$1,A:F,6,))/VLOOKUP($U$1,A:F,6,))*100)+100</f>
        <v>106.71140939597315</v>
      </c>
      <c r="M142" s="79">
        <f>(((Table134567891011121314151617343[[#This Row],[GBR]]-VLOOKUP($U$1,A:G,7,))/VLOOKUP($U$1,A:G,7,))*100)+100</f>
        <v>112.48541423560087</v>
      </c>
      <c r="N142" s="79">
        <f>VLOOKUP(A142,Database!$A:$AS,MATCH($N$1,Database!$A$1:$AS$1,0),FALSE)</f>
        <v>88.142561213999997</v>
      </c>
      <c r="O142" s="79">
        <f>(((Table134567891011121314151617343[[#This Row],[USA]]-VLOOKUP($U$1,A:N,14,))/VLOOKUP($U$1,A:N,14,))*100)+100</f>
        <v>101.47257339116061</v>
      </c>
      <c r="P142" s="79">
        <f>VLOOKUP(A142,Database!$A:$AS,MATCH($P$1,Database!$A$1:$AS$1,0),FALSE)</f>
        <v>95.564207706999994</v>
      </c>
      <c r="Q142" s="79">
        <f>(((Table134567891011121314151617343[[#This Row],[JPN]]-VLOOKUP($U$1,A:Q,16,))/VLOOKUP($U$1,A:Q,16,))*100)+100</f>
        <v>95.944503735674814</v>
      </c>
    </row>
    <row r="143" spans="1:17" s="83" customFormat="1" x14ac:dyDescent="0.2">
      <c r="A143" s="21">
        <v>37165</v>
      </c>
      <c r="B143" s="79">
        <f>VLOOKUP(A143,Database!$A:$AS,MATCH($B$1,Database!$A$1:$AS$1,0),FALSE)</f>
        <v>123.489709191</v>
      </c>
      <c r="C143" s="79">
        <f>VLOOKUP(A143,Database!$A:$AS,MATCH($C$1,Database!$A$1:$AS$1,0),FALSE)</f>
        <v>109.73</v>
      </c>
      <c r="D143" s="79">
        <f>VLOOKUP(A143,Database!$A:$AS,MATCH($D$1,Database!$A$1:$AS$1,0),FALSE)</f>
        <v>79.093408882999995</v>
      </c>
      <c r="E143" s="79">
        <f>VLOOKUP(A143,Database!$A:$AS,MATCH($E$1,Database!$A$1:$AS$1,0),FALSE)</f>
        <v>121.710101425</v>
      </c>
      <c r="F143" s="79">
        <f>VLOOKUP(A143,Database!$A:$AS,MATCH($F$1,Database!$A$1:$AS$1,0),FALSE)</f>
        <v>94.2</v>
      </c>
      <c r="G143" s="79">
        <f>VLOOKUP(A143,Database!$A:$AS,MATCH($G$1,Database!$A$1:$AS$1,0),FALSE)</f>
        <v>103.674493637</v>
      </c>
      <c r="H143" s="79">
        <f>(((Table134567891011121314151617343[[#This Row],[ITA]]-VLOOKUP($U$1,A:B,2,))/VLOOKUP($U$1,A:B,2,))*100)+100</f>
        <v>101.56250000011566</v>
      </c>
      <c r="I143" s="79">
        <f>(((Table134567891011121314151617343[[#This Row],[FRA]]-VLOOKUP($U$1,A:C,3,))/VLOOKUP($U$1,A:C,3,))*100)+100</f>
        <v>107.06410381500635</v>
      </c>
      <c r="J143" s="79">
        <f>(((Table134567891011121314151617343[[#This Row],[DEU]]-VLOOKUP($U$1,A:D,4,))/VLOOKUP($U$1,A:D,4,))*100)+100</f>
        <v>105.18617021262448</v>
      </c>
      <c r="K143" s="79">
        <f>(((Table134567891011121314151617343[[#This Row],[ESP]]-VLOOKUP($U$1,A:E,5,))/VLOOKUP($U$1,A:E,5,))*100)+100</f>
        <v>102.30310162197108</v>
      </c>
      <c r="L143" s="79">
        <f>(((Table134567891011121314151617343[[#This Row],[EA19]]-VLOOKUP($U$1,A:F,6,))/VLOOKUP($U$1,A:F,6,))*100)+100</f>
        <v>105.36912751677852</v>
      </c>
      <c r="M143" s="79">
        <f>(((Table134567891011121314151617343[[#This Row],[GBR]]-VLOOKUP($U$1,A:G,7,))/VLOOKUP($U$1,A:G,7,))*100)+100</f>
        <v>112.48541423560087</v>
      </c>
      <c r="N143" s="79">
        <f>VLOOKUP(A143,Database!$A:$AS,MATCH($N$1,Database!$A$1:$AS$1,0),FALSE)</f>
        <v>87.855414119000002</v>
      </c>
      <c r="O143" s="79">
        <f>(((Table134567891011121314151617343[[#This Row],[USA]]-VLOOKUP($U$1,A:N,14,))/VLOOKUP($U$1,A:N,14,))*100)+100</f>
        <v>101.14200034823867</v>
      </c>
      <c r="P143" s="79">
        <f>VLOOKUP(A143,Database!$A:$AS,MATCH($P$1,Database!$A$1:$AS$1,0),FALSE)</f>
        <v>95.564207706999994</v>
      </c>
      <c r="Q143" s="79">
        <f>(((Table134567891011121314151617343[[#This Row],[JPN]]-VLOOKUP($U$1,A:Q,16,))/VLOOKUP($U$1,A:Q,16,))*100)+100</f>
        <v>95.944503735674814</v>
      </c>
    </row>
    <row r="144" spans="1:17" s="83" customFormat="1" x14ac:dyDescent="0.2">
      <c r="A144" s="21">
        <v>37196</v>
      </c>
      <c r="B144" s="79">
        <f>VLOOKUP(A144,Database!$A:$AS,MATCH($B$1,Database!$A$1:$AS$1,0),FALSE)</f>
        <v>121.68985917800001</v>
      </c>
      <c r="C144" s="79">
        <f>VLOOKUP(A144,Database!$A:$AS,MATCH($C$1,Database!$A$1:$AS$1,0),FALSE)</f>
        <v>108.49</v>
      </c>
      <c r="D144" s="79">
        <f>VLOOKUP(A144,Database!$A:$AS,MATCH($D$1,Database!$A$1:$AS$1,0),FALSE)</f>
        <v>78.093492209000004</v>
      </c>
      <c r="E144" s="79">
        <f>VLOOKUP(A144,Database!$A:$AS,MATCH($E$1,Database!$A$1:$AS$1,0),FALSE)</f>
        <v>119.88909990800001</v>
      </c>
      <c r="F144" s="79">
        <f>VLOOKUP(A144,Database!$A:$AS,MATCH($F$1,Database!$A$1:$AS$1,0),FALSE)</f>
        <v>93.5</v>
      </c>
      <c r="G144" s="79">
        <f>VLOOKUP(A144,Database!$A:$AS,MATCH($G$1,Database!$A$1:$AS$1,0),FALSE)</f>
        <v>104.534862879</v>
      </c>
      <c r="H144" s="79">
        <f>(((Table134567891011121314151617343[[#This Row],[ITA]]-VLOOKUP($U$1,A:B,2,))/VLOOKUP($U$1,A:B,2,))*100)+100</f>
        <v>100.08223684180835</v>
      </c>
      <c r="I144" s="79">
        <f>(((Table134567891011121314151617343[[#This Row],[FRA]]-VLOOKUP($U$1,A:C,3,))/VLOOKUP($U$1,A:C,3,))*100)+100</f>
        <v>105.85422968094448</v>
      </c>
      <c r="J144" s="79">
        <f>(((Table134567891011121314151617343[[#This Row],[DEU]]-VLOOKUP($U$1,A:D,4,))/VLOOKUP($U$1,A:D,4,))*100)+100</f>
        <v>103.85638297807262</v>
      </c>
      <c r="K144" s="79">
        <f>(((Table134567891011121314151617343[[#This Row],[ESP]]-VLOOKUP($U$1,A:E,5,))/VLOOKUP($U$1,A:E,5,))*100)+100</f>
        <v>100.77246364643533</v>
      </c>
      <c r="L144" s="79">
        <f>(((Table134567891011121314151617343[[#This Row],[EA19]]-VLOOKUP($U$1,A:F,6,))/VLOOKUP($U$1,A:F,6,))*100)+100</f>
        <v>104.58612975391499</v>
      </c>
      <c r="M144" s="79">
        <f>(((Table134567891011121314151617343[[#This Row],[GBR]]-VLOOKUP($U$1,A:G,7,))/VLOOKUP($U$1,A:G,7,))*100)+100</f>
        <v>113.41890315063524</v>
      </c>
      <c r="N144" s="79">
        <f>VLOOKUP(A144,Database!$A:$AS,MATCH($N$1,Database!$A$1:$AS$1,0),FALSE)</f>
        <v>87.329390774000004</v>
      </c>
      <c r="O144" s="79">
        <f>(((Table134567891011121314151617343[[#This Row],[USA]]-VLOOKUP($U$1,A:N,14,))/VLOOKUP($U$1,A:N,14,))*100)+100</f>
        <v>100.53642522373799</v>
      </c>
      <c r="P144" s="79">
        <f>VLOOKUP(A144,Database!$A:$AS,MATCH($P$1,Database!$A$1:$AS$1,0),FALSE)</f>
        <v>94.075999800000005</v>
      </c>
      <c r="Q144" s="79">
        <f>(((Table134567891011121314151617343[[#This Row],[JPN]]-VLOOKUP($U$1,A:Q,16,))/VLOOKUP($U$1,A:Q,16,))*100)+100</f>
        <v>94.450373532341771</v>
      </c>
    </row>
    <row r="145" spans="1:17" s="83" customFormat="1" x14ac:dyDescent="0.2">
      <c r="A145" s="21">
        <v>37226</v>
      </c>
      <c r="B145" s="79">
        <f>VLOOKUP(A145,Database!$A:$AS,MATCH($B$1,Database!$A$1:$AS$1,0),FALSE)</f>
        <v>123.38971752400001</v>
      </c>
      <c r="C145" s="79">
        <f>VLOOKUP(A145,Database!$A:$AS,MATCH($C$1,Database!$A$1:$AS$1,0),FALSE)</f>
        <v>109.19</v>
      </c>
      <c r="D145" s="79">
        <f>VLOOKUP(A145,Database!$A:$AS,MATCH($D$1,Database!$A$1:$AS$1,0),FALSE)</f>
        <v>78.593450546</v>
      </c>
      <c r="E145" s="79">
        <f>VLOOKUP(A145,Database!$A:$AS,MATCH($E$1,Database!$A$1:$AS$1,0),FALSE)</f>
        <v>119.76409980299999</v>
      </c>
      <c r="F145" s="79">
        <f>VLOOKUP(A145,Database!$A:$AS,MATCH($F$1,Database!$A$1:$AS$1,0),FALSE)</f>
        <v>94.2</v>
      </c>
      <c r="G145" s="79">
        <f>VLOOKUP(A145,Database!$A:$AS,MATCH($G$1,Database!$A$1:$AS$1,0),FALSE)</f>
        <v>105.502778276</v>
      </c>
      <c r="H145" s="79">
        <f>(((Table134567891011121314151617343[[#This Row],[ITA]]-VLOOKUP($U$1,A:B,2,))/VLOOKUP($U$1,A:B,2,))*100)+100</f>
        <v>101.48026315830732</v>
      </c>
      <c r="I145" s="79">
        <f>(((Table134567891011121314151617343[[#This Row],[FRA]]-VLOOKUP($U$1,A:C,3,))/VLOOKUP($U$1,A:C,3,))*100)+100</f>
        <v>106.53722314372135</v>
      </c>
      <c r="J145" s="79">
        <f>(((Table134567891011121314151617343[[#This Row],[DEU]]-VLOOKUP($U$1,A:D,4,))/VLOOKUP($U$1,A:D,4,))*100)+100</f>
        <v>104.52127659534855</v>
      </c>
      <c r="K145" s="79">
        <f>(((Table134567891011121314151617343[[#This Row],[ESP]]-VLOOKUP($U$1,A:E,5,))/VLOOKUP($U$1,A:E,5,))*100)+100</f>
        <v>100.6673951410701</v>
      </c>
      <c r="L145" s="79">
        <f>(((Table134567891011121314151617343[[#This Row],[EA19]]-VLOOKUP($U$1,A:F,6,))/VLOOKUP($U$1,A:F,6,))*100)+100</f>
        <v>105.36912751677852</v>
      </c>
      <c r="M145" s="79">
        <f>(((Table134567891011121314151617343[[#This Row],[GBR]]-VLOOKUP($U$1,A:G,7,))/VLOOKUP($U$1,A:G,7,))*100)+100</f>
        <v>114.46907817977765</v>
      </c>
      <c r="N145" s="79">
        <f>VLOOKUP(A145,Database!$A:$AS,MATCH($N$1,Database!$A$1:$AS$1,0),FALSE)</f>
        <v>87.313432650999999</v>
      </c>
      <c r="O145" s="79">
        <f>(((Table134567891011121314151617343[[#This Row],[USA]]-VLOOKUP($U$1,A:N,14,))/VLOOKUP($U$1,A:N,14,))*100)+100</f>
        <v>100.51805371529757</v>
      </c>
      <c r="P145" s="79">
        <f>VLOOKUP(A145,Database!$A:$AS,MATCH($P$1,Database!$A$1:$AS$1,0),FALSE)</f>
        <v>95.032704882999994</v>
      </c>
      <c r="Q145" s="79">
        <f>(((Table134567891011121314151617343[[#This Row],[JPN]]-VLOOKUP($U$1,A:Q,16,))/VLOOKUP($U$1,A:Q,16,))*100)+100</f>
        <v>95.410885805841289</v>
      </c>
    </row>
    <row r="146" spans="1:17" s="83" customFormat="1" x14ac:dyDescent="0.2">
      <c r="A146" s="21">
        <v>37257</v>
      </c>
      <c r="B146" s="79">
        <f>VLOOKUP(A146,Database!$A:$AS,MATCH($B$1,Database!$A$1:$AS$1,0),FALSE)</f>
        <v>122.289809183</v>
      </c>
      <c r="C146" s="79">
        <f>VLOOKUP(A146,Database!$A:$AS,MATCH($C$1,Database!$A$1:$AS$1,0),FALSE)</f>
        <v>109.15</v>
      </c>
      <c r="D146" s="79">
        <f>VLOOKUP(A146,Database!$A:$AS,MATCH($D$1,Database!$A$1:$AS$1,0),FALSE)</f>
        <v>78.993417214999994</v>
      </c>
      <c r="E146" s="79">
        <f>VLOOKUP(A146,Database!$A:$AS,MATCH($E$1,Database!$A$1:$AS$1,0),FALSE)</f>
        <v>121.36110113399999</v>
      </c>
      <c r="F146" s="79">
        <f>VLOOKUP(A146,Database!$A:$AS,MATCH($F$1,Database!$A$1:$AS$1,0),FALSE)</f>
        <v>94.2</v>
      </c>
      <c r="G146" s="79">
        <f>VLOOKUP(A146,Database!$A:$AS,MATCH($G$1,Database!$A$1:$AS$1,0),FALSE)</f>
        <v>106.793332138</v>
      </c>
      <c r="H146" s="79">
        <f>(((Table134567891011121314151617343[[#This Row],[ITA]]-VLOOKUP($U$1,A:B,2,))/VLOOKUP($U$1,A:B,2,))*100)+100</f>
        <v>100.57565789512574</v>
      </c>
      <c r="I146" s="79">
        <f>(((Table134567891011121314151617343[[#This Row],[FRA]]-VLOOKUP($U$1,A:C,3,))/VLOOKUP($U$1,A:C,3,))*100)+100</f>
        <v>106.49819494584838</v>
      </c>
      <c r="J146" s="79">
        <f>(((Table134567891011121314151617343[[#This Row],[DEU]]-VLOOKUP($U$1,A:D,4,))/VLOOKUP($U$1,A:D,4,))*100)+100</f>
        <v>105.05319148837135</v>
      </c>
      <c r="K146" s="79">
        <f>(((Table134567891011121314151617343[[#This Row],[ESP]]-VLOOKUP($U$1,A:E,5,))/VLOOKUP($U$1,A:E,5,))*100)+100</f>
        <v>102.00975035680702</v>
      </c>
      <c r="L146" s="79">
        <f>(((Table134567891011121314151617343[[#This Row],[EA19]]-VLOOKUP($U$1,A:F,6,))/VLOOKUP($U$1,A:F,6,))*100)+100</f>
        <v>105.36912751677852</v>
      </c>
      <c r="M146" s="79">
        <f>(((Table134567891011121314151617343[[#This Row],[GBR]]-VLOOKUP($U$1,A:G,7,))/VLOOKUP($U$1,A:G,7,))*100)+100</f>
        <v>115.86931155124421</v>
      </c>
      <c r="N146" s="79">
        <f>VLOOKUP(A146,Database!$A:$AS,MATCH($N$1,Database!$A$1:$AS$1,0),FALSE)</f>
        <v>87.889213622</v>
      </c>
      <c r="O146" s="79">
        <f>(((Table134567891011121314151617343[[#This Row],[USA]]-VLOOKUP($U$1,A:N,14,))/VLOOKUP($U$1,A:N,14,))*100)+100</f>
        <v>101.18091143161898</v>
      </c>
      <c r="P146" s="79">
        <f>VLOOKUP(A146,Database!$A:$AS,MATCH($P$1,Database!$A$1:$AS$1,0),FALSE)</f>
        <v>94.501202058999993</v>
      </c>
      <c r="Q146" s="79">
        <f>(((Table134567891011121314151617343[[#This Row],[JPN]]-VLOOKUP($U$1,A:Q,16,))/VLOOKUP($U$1,A:Q,16,))*100)+100</f>
        <v>94.877267876007778</v>
      </c>
    </row>
    <row r="147" spans="1:17" s="83" customFormat="1" x14ac:dyDescent="0.2">
      <c r="A147" s="21">
        <v>37288</v>
      </c>
      <c r="B147" s="79">
        <f>VLOOKUP(A147,Database!$A:$AS,MATCH($B$1,Database!$A$1:$AS$1,0),FALSE)</f>
        <v>123.789684193</v>
      </c>
      <c r="C147" s="79">
        <f>VLOOKUP(A147,Database!$A:$AS,MATCH($C$1,Database!$A$1:$AS$1,0),FALSE)</f>
        <v>109.53</v>
      </c>
      <c r="D147" s="79">
        <f>VLOOKUP(A147,Database!$A:$AS,MATCH($D$1,Database!$A$1:$AS$1,0),FALSE)</f>
        <v>79.193400550000007</v>
      </c>
      <c r="E147" s="79">
        <f>VLOOKUP(A147,Database!$A:$AS,MATCH($E$1,Database!$A$1:$AS$1,0),FALSE)</f>
        <v>121.901101584</v>
      </c>
      <c r="F147" s="79">
        <f>VLOOKUP(A147,Database!$A:$AS,MATCH($F$1,Database!$A$1:$AS$1,0),FALSE)</f>
        <v>94.5</v>
      </c>
      <c r="G147" s="79">
        <f>VLOOKUP(A147,Database!$A:$AS,MATCH($G$1,Database!$A$1:$AS$1,0),FALSE)</f>
        <v>107.54615522500001</v>
      </c>
      <c r="H147" s="79">
        <f>(((Table134567891011121314151617343[[#This Row],[ITA]]-VLOOKUP($U$1,A:B,2,))/VLOOKUP($U$1,A:B,2,))*100)+100</f>
        <v>101.80921052636313</v>
      </c>
      <c r="I147" s="79">
        <f>(((Table134567891011121314151617343[[#This Row],[FRA]]-VLOOKUP($U$1,A:C,3,))/VLOOKUP($U$1,A:C,3,))*100)+100</f>
        <v>106.86896282564153</v>
      </c>
      <c r="J147" s="79">
        <f>(((Table134567891011121314151617343[[#This Row],[DEU]]-VLOOKUP($U$1,A:D,4,))/VLOOKUP($U$1,A:D,4,))*100)+100</f>
        <v>105.31914893554773</v>
      </c>
      <c r="K147" s="79">
        <f>(((Table134567891011121314151617343[[#This Row],[ESP]]-VLOOKUP($U$1,A:E,5,))/VLOOKUP($U$1,A:E,5,))*100)+100</f>
        <v>102.46364629695873</v>
      </c>
      <c r="L147" s="79">
        <f>(((Table134567891011121314151617343[[#This Row],[EA19]]-VLOOKUP($U$1,A:F,6,))/VLOOKUP($U$1,A:F,6,))*100)+100</f>
        <v>105.70469798657717</v>
      </c>
      <c r="M147" s="79">
        <f>(((Table134567891011121314151617343[[#This Row],[GBR]]-VLOOKUP($U$1,A:G,7,))/VLOOKUP($U$1,A:G,7,))*100)+100</f>
        <v>116.68611435217053</v>
      </c>
      <c r="N147" s="79">
        <f>VLOOKUP(A147,Database!$A:$AS,MATCH($N$1,Database!$A$1:$AS$1,0),FALSE)</f>
        <v>87.890898641000007</v>
      </c>
      <c r="O147" s="79">
        <f>(((Table134567891011121314151617343[[#This Row],[USA]]-VLOOKUP($U$1,A:N,14,))/VLOOKUP($U$1,A:N,14,))*100)+100</f>
        <v>101.18285128010747</v>
      </c>
      <c r="P147" s="79">
        <f>VLOOKUP(A147,Database!$A:$AS,MATCH($P$1,Database!$A$1:$AS$1,0),FALSE)</f>
        <v>95.670508272000006</v>
      </c>
      <c r="Q147" s="79">
        <f>(((Table134567891011121314151617343[[#This Row],[JPN]]-VLOOKUP($U$1,A:Q,16,))/VLOOKUP($U$1,A:Q,16,))*100)+100</f>
        <v>96.051227321842319</v>
      </c>
    </row>
    <row r="148" spans="1:17" s="83" customFormat="1" x14ac:dyDescent="0.2">
      <c r="A148" s="21">
        <v>37316</v>
      </c>
      <c r="B148" s="79">
        <f>VLOOKUP(A148,Database!$A:$AS,MATCH($B$1,Database!$A$1:$AS$1,0),FALSE)</f>
        <v>124.58961753200001</v>
      </c>
      <c r="C148" s="79">
        <f>VLOOKUP(A148,Database!$A:$AS,MATCH($C$1,Database!$A$1:$AS$1,0),FALSE)</f>
        <v>110.07</v>
      </c>
      <c r="D148" s="79">
        <f>VLOOKUP(A148,Database!$A:$AS,MATCH($D$1,Database!$A$1:$AS$1,0),FALSE)</f>
        <v>79.393383885000006</v>
      </c>
      <c r="E148" s="79">
        <f>VLOOKUP(A148,Database!$A:$AS,MATCH($E$1,Database!$A$1:$AS$1,0),FALSE)</f>
        <v>121.159100966</v>
      </c>
      <c r="F148" s="79">
        <f>VLOOKUP(A148,Database!$A:$AS,MATCH($F$1,Database!$A$1:$AS$1,0),FALSE)</f>
        <v>95.3</v>
      </c>
      <c r="G148" s="79">
        <f>VLOOKUP(A148,Database!$A:$AS,MATCH($G$1,Database!$A$1:$AS$1,0),FALSE)</f>
        <v>109.80462448500001</v>
      </c>
      <c r="H148" s="79">
        <f>(((Table134567891011121314151617343[[#This Row],[ITA]]-VLOOKUP($U$1,A:B,2,))/VLOOKUP($U$1,A:B,2,))*100)+100</f>
        <v>102.46710526329723</v>
      </c>
      <c r="I148" s="79">
        <f>(((Table134567891011121314151617343[[#This Row],[FRA]]-VLOOKUP($U$1,A:C,3,))/VLOOKUP($U$1,A:C,3,))*100)+100</f>
        <v>107.39584349692653</v>
      </c>
      <c r="J148" s="79">
        <f>(((Table134567891011121314151617343[[#This Row],[DEU]]-VLOOKUP($U$1,A:D,4,))/VLOOKUP($U$1,A:D,4,))*100)+100</f>
        <v>105.58510638272408</v>
      </c>
      <c r="K148" s="79">
        <f>(((Table134567891011121314151617343[[#This Row],[ESP]]-VLOOKUP($U$1,A:E,5,))/VLOOKUP($U$1,A:E,5,))*100)+100</f>
        <v>101.83995965354896</v>
      </c>
      <c r="L148" s="79">
        <f>(((Table134567891011121314151617343[[#This Row],[EA19]]-VLOOKUP($U$1,A:F,6,))/VLOOKUP($U$1,A:F,6,))*100)+100</f>
        <v>106.59955257270693</v>
      </c>
      <c r="M148" s="79">
        <f>(((Table134567891011121314151617343[[#This Row],[GBR]]-VLOOKUP($U$1,A:G,7,))/VLOOKUP($U$1,A:G,7,))*100)+100</f>
        <v>119.13652275386448</v>
      </c>
      <c r="N148" s="79">
        <f>VLOOKUP(A148,Database!$A:$AS,MATCH($N$1,Database!$A$1:$AS$1,0),FALSE)</f>
        <v>88.574917315999997</v>
      </c>
      <c r="O148" s="79">
        <f>(((Table134567891011121314151617343[[#This Row],[USA]]-VLOOKUP($U$1,A:N,14,))/VLOOKUP($U$1,A:N,14,))*100)+100</f>
        <v>101.97031574952928</v>
      </c>
      <c r="P148" s="79">
        <f>VLOOKUP(A148,Database!$A:$AS,MATCH($P$1,Database!$A$1:$AS$1,0),FALSE)</f>
        <v>96.095710530999995</v>
      </c>
      <c r="Q148" s="79">
        <f>(((Table134567891011121314151617343[[#This Row],[JPN]]-VLOOKUP($U$1,A:Q,16,))/VLOOKUP($U$1,A:Q,16,))*100)+100</f>
        <v>96.478121665508326</v>
      </c>
    </row>
    <row r="149" spans="1:17" s="83" customFormat="1" x14ac:dyDescent="0.2">
      <c r="A149" s="21">
        <v>37347</v>
      </c>
      <c r="B149" s="79">
        <f>VLOOKUP(A149,Database!$A:$AS,MATCH($B$1,Database!$A$1:$AS$1,0),FALSE)</f>
        <v>120.88992584</v>
      </c>
      <c r="C149" s="79">
        <f>VLOOKUP(A149,Database!$A:$AS,MATCH($C$1,Database!$A$1:$AS$1,0),FALSE)</f>
        <v>110.76</v>
      </c>
      <c r="D149" s="79">
        <f>VLOOKUP(A149,Database!$A:$AS,MATCH($D$1,Database!$A$1:$AS$1,0),FALSE)</f>
        <v>79.493375552000003</v>
      </c>
      <c r="E149" s="79">
        <f>VLOOKUP(A149,Database!$A:$AS,MATCH($E$1,Database!$A$1:$AS$1,0),FALSE)</f>
        <v>122.742102285</v>
      </c>
      <c r="F149" s="79">
        <f>VLOOKUP(A149,Database!$A:$AS,MATCH($F$1,Database!$A$1:$AS$1,0),FALSE)</f>
        <v>95.1</v>
      </c>
      <c r="G149" s="79">
        <f>VLOOKUP(A149,Database!$A:$AS,MATCH($G$1,Database!$A$1:$AS$1,0),FALSE)</f>
        <v>104.642409034</v>
      </c>
      <c r="H149" s="79">
        <f>(((Table134567891011121314151617343[[#This Row],[ITA]]-VLOOKUP($U$1,A:B,2,))/VLOOKUP($U$1,A:B,2,))*100)+100</f>
        <v>99.424342105696709</v>
      </c>
      <c r="I149" s="79">
        <f>(((Table134567891011121314151617343[[#This Row],[FRA]]-VLOOKUP($U$1,A:C,3,))/VLOOKUP($U$1,A:C,3,))*100)+100</f>
        <v>108.06907991023516</v>
      </c>
      <c r="J149" s="79">
        <f>(((Table134567891011121314151617343[[#This Row],[DEU]]-VLOOKUP($U$1,A:D,4,))/VLOOKUP($U$1,A:D,4,))*100)+100</f>
        <v>105.7180851056473</v>
      </c>
      <c r="K149" s="79">
        <f>(((Table134567891011121314151617343[[#This Row],[ESP]]-VLOOKUP($U$1,A:E,5,))/VLOOKUP($U$1,A:E,5,))*100)+100</f>
        <v>103.17054719648324</v>
      </c>
      <c r="L149" s="79">
        <f>(((Table134567891011121314151617343[[#This Row],[EA19]]-VLOOKUP($U$1,A:F,6,))/VLOOKUP($U$1,A:F,6,))*100)+100</f>
        <v>106.37583892617448</v>
      </c>
      <c r="M149" s="79">
        <f>(((Table134567891011121314151617343[[#This Row],[GBR]]-VLOOKUP($U$1,A:G,7,))/VLOOKUP($U$1,A:G,7,))*100)+100</f>
        <v>113.53558926474329</v>
      </c>
      <c r="N149" s="79">
        <f>VLOOKUP(A149,Database!$A:$AS,MATCH($N$1,Database!$A$1:$AS$1,0),FALSE)</f>
        <v>89.002020122999994</v>
      </c>
      <c r="O149" s="79">
        <f>(((Table134567891011121314151617343[[#This Row],[USA]]-VLOOKUP($U$1,A:N,14,))/VLOOKUP($U$1,A:N,14,))*100)+100</f>
        <v>102.46201034442147</v>
      </c>
      <c r="P149" s="79">
        <f>VLOOKUP(A149,Database!$A:$AS,MATCH($P$1,Database!$A$1:$AS$1,0),FALSE)</f>
        <v>95.989409965999997</v>
      </c>
      <c r="Q149" s="79">
        <f>(((Table134567891011121314151617343[[#This Row],[JPN]]-VLOOKUP($U$1,A:Q,16,))/VLOOKUP($U$1,A:Q,16,))*100)+100</f>
        <v>96.371398079340835</v>
      </c>
    </row>
    <row r="150" spans="1:17" s="83" customFormat="1" x14ac:dyDescent="0.2">
      <c r="A150" s="21">
        <v>37377</v>
      </c>
      <c r="B150" s="79">
        <f>VLOOKUP(A150,Database!$A:$AS,MATCH($B$1,Database!$A$1:$AS$1,0),FALSE)</f>
        <v>125.189567536</v>
      </c>
      <c r="C150" s="79">
        <f>VLOOKUP(A150,Database!$A:$AS,MATCH($C$1,Database!$A$1:$AS$1,0),FALSE)</f>
        <v>109.81</v>
      </c>
      <c r="D150" s="79">
        <f>VLOOKUP(A150,Database!$A:$AS,MATCH($D$1,Database!$A$1:$AS$1,0),FALSE)</f>
        <v>78.693442212999997</v>
      </c>
      <c r="E150" s="79">
        <f>VLOOKUP(A150,Database!$A:$AS,MATCH($E$1,Database!$A$1:$AS$1,0),FALSE)</f>
        <v>121.43210119299999</v>
      </c>
      <c r="F150" s="79">
        <f>VLOOKUP(A150,Database!$A:$AS,MATCH($F$1,Database!$A$1:$AS$1,0),FALSE)</f>
        <v>95.5</v>
      </c>
      <c r="G150" s="79">
        <f>VLOOKUP(A150,Database!$A:$AS,MATCH($G$1,Database!$A$1:$AS$1,0),FALSE)</f>
        <v>106.148055207</v>
      </c>
      <c r="H150" s="79">
        <f>(((Table134567891011121314151617343[[#This Row],[ITA]]-VLOOKUP($U$1,A:B,2,))/VLOOKUP($U$1,A:B,2,))*100)+100</f>
        <v>102.96052631579218</v>
      </c>
      <c r="I150" s="79">
        <f>(((Table134567891011121314151617343[[#This Row],[FRA]]-VLOOKUP($U$1,A:C,3,))/VLOOKUP($U$1,A:C,3,))*100)+100</f>
        <v>107.14216021075228</v>
      </c>
      <c r="J150" s="79">
        <f>(((Table134567891011121314151617343[[#This Row],[DEU]]-VLOOKUP($U$1,A:D,4,))/VLOOKUP($U$1,A:D,4,))*100)+100</f>
        <v>104.65425531827178</v>
      </c>
      <c r="K150" s="79">
        <f>(((Table134567891011121314151617343[[#This Row],[ESP]]-VLOOKUP($U$1,A:E,5,))/VLOOKUP($U$1,A:E,5,))*100)+100</f>
        <v>102.06942926731649</v>
      </c>
      <c r="L150" s="79">
        <f>(((Table134567891011121314151617343[[#This Row],[EA19]]-VLOOKUP($U$1,A:F,6,))/VLOOKUP($U$1,A:F,6,))*100)+100</f>
        <v>106.82326621923937</v>
      </c>
      <c r="M150" s="79">
        <f>(((Table134567891011121314151617343[[#This Row],[GBR]]-VLOOKUP($U$1,A:G,7,))/VLOOKUP($U$1,A:G,7,))*100)+100</f>
        <v>115.16919486551093</v>
      </c>
      <c r="N150" s="79">
        <f>VLOOKUP(A150,Database!$A:$AS,MATCH($N$1,Database!$A$1:$AS$1,0),FALSE)</f>
        <v>89.368363119999998</v>
      </c>
      <c r="O150" s="79">
        <f>(((Table134567891011121314151617343[[#This Row],[USA]]-VLOOKUP($U$1,A:N,14,))/VLOOKUP($U$1,A:N,14,))*100)+100</f>
        <v>102.88375627666375</v>
      </c>
      <c r="P150" s="79">
        <f>VLOOKUP(A150,Database!$A:$AS,MATCH($P$1,Database!$A$1:$AS$1,0),FALSE)</f>
        <v>99.816230297000004</v>
      </c>
      <c r="Q150" s="79">
        <f>(((Table134567891011121314151617343[[#This Row],[JPN]]-VLOOKUP($U$1,A:Q,16,))/VLOOKUP($U$1,A:Q,16,))*100)+100</f>
        <v>100.21344717233501</v>
      </c>
    </row>
    <row r="151" spans="1:17" s="83" customFormat="1" x14ac:dyDescent="0.2">
      <c r="A151" s="21">
        <v>37408</v>
      </c>
      <c r="B151" s="79">
        <f>VLOOKUP(A151,Database!$A:$AS,MATCH($B$1,Database!$A$1:$AS$1,0),FALSE)</f>
        <v>123.88967586</v>
      </c>
      <c r="C151" s="79">
        <f>VLOOKUP(A151,Database!$A:$AS,MATCH($C$1,Database!$A$1:$AS$1,0),FALSE)</f>
        <v>109.61</v>
      </c>
      <c r="D151" s="79">
        <f>VLOOKUP(A151,Database!$A:$AS,MATCH($D$1,Database!$A$1:$AS$1,0),FALSE)</f>
        <v>80.893258895000002</v>
      </c>
      <c r="E151" s="79">
        <f>VLOOKUP(A151,Database!$A:$AS,MATCH($E$1,Database!$A$1:$AS$1,0),FALSE)</f>
        <v>121.263101053</v>
      </c>
      <c r="F151" s="79">
        <f>VLOOKUP(A151,Database!$A:$AS,MATCH($F$1,Database!$A$1:$AS$1,0),FALSE)</f>
        <v>95.9</v>
      </c>
      <c r="G151" s="79">
        <f>VLOOKUP(A151,Database!$A:$AS,MATCH($G$1,Database!$A$1:$AS$1,0),FALSE)</f>
        <v>100.34056282500001</v>
      </c>
      <c r="H151" s="79">
        <f>(((Table134567891011121314151617343[[#This Row],[ITA]]-VLOOKUP($U$1,A:B,2,))/VLOOKUP($U$1,A:B,2,))*100)+100</f>
        <v>101.89144736817148</v>
      </c>
      <c r="I151" s="79">
        <f>(((Table134567891011121314151617343[[#This Row],[FRA]]-VLOOKUP($U$1,A:C,3,))/VLOOKUP($U$1,A:C,3,))*100)+100</f>
        <v>106.94701922138745</v>
      </c>
      <c r="J151" s="79">
        <f>(((Table134567891011121314151617343[[#This Row],[DEU]]-VLOOKUP($U$1,A:D,4,))/VLOOKUP($U$1,A:D,4,))*100)+100</f>
        <v>107.57978723322199</v>
      </c>
      <c r="K151" s="79">
        <f>(((Table134567891011121314151617343[[#This Row],[ESP]]-VLOOKUP($U$1,A:E,5,))/VLOOKUP($U$1,A:E,5,))*100)+100</f>
        <v>101.92737664971021</v>
      </c>
      <c r="L151" s="79">
        <f>(((Table134567891011121314151617343[[#This Row],[EA19]]-VLOOKUP($U$1,A:F,6,))/VLOOKUP($U$1,A:F,6,))*100)+100</f>
        <v>107.27069351230425</v>
      </c>
      <c r="M151" s="79">
        <f>(((Table134567891011121314151617343[[#This Row],[GBR]]-VLOOKUP($U$1,A:G,7,))/VLOOKUP($U$1,A:G,7,))*100)+100</f>
        <v>108.86814469065648</v>
      </c>
      <c r="N151" s="79">
        <f>VLOOKUP(A151,Database!$A:$AS,MATCH($N$1,Database!$A$1:$AS$1,0),FALSE)</f>
        <v>90.106698885</v>
      </c>
      <c r="O151" s="79">
        <f>(((Table134567891011121314151617343[[#This Row],[USA]]-VLOOKUP($U$1,A:N,14,))/VLOOKUP($U$1,A:N,14,))*100)+100</f>
        <v>103.73375234064676</v>
      </c>
      <c r="P151" s="79">
        <f>VLOOKUP(A151,Database!$A:$AS,MATCH($P$1,Database!$A$1:$AS$1,0),FALSE)</f>
        <v>98.646924084000005</v>
      </c>
      <c r="Q151" s="79">
        <f>(((Table134567891011121314151617343[[#This Row],[JPN]]-VLOOKUP($U$1,A:Q,16,))/VLOOKUP($U$1,A:Q,16,))*100)+100</f>
        <v>99.039487726500468</v>
      </c>
    </row>
    <row r="152" spans="1:17" s="83" customFormat="1" x14ac:dyDescent="0.2">
      <c r="A152" s="21">
        <v>37438</v>
      </c>
      <c r="B152" s="79">
        <f>VLOOKUP(A152,Database!$A:$AS,MATCH($B$1,Database!$A$1:$AS$1,0),FALSE)</f>
        <v>123.489709191</v>
      </c>
      <c r="C152" s="79">
        <f>VLOOKUP(A152,Database!$A:$AS,MATCH($C$1,Database!$A$1:$AS$1,0),FALSE)</f>
        <v>108.49</v>
      </c>
      <c r="D152" s="79">
        <f>VLOOKUP(A152,Database!$A:$AS,MATCH($D$1,Database!$A$1:$AS$1,0),FALSE)</f>
        <v>79.393383885000006</v>
      </c>
      <c r="E152" s="79">
        <f>VLOOKUP(A152,Database!$A:$AS,MATCH($E$1,Database!$A$1:$AS$1,0),FALSE)</f>
        <v>122.14910179100001</v>
      </c>
      <c r="F152" s="79">
        <f>VLOOKUP(A152,Database!$A:$AS,MATCH($F$1,Database!$A$1:$AS$1,0),FALSE)</f>
        <v>95.2</v>
      </c>
      <c r="G152" s="79">
        <f>VLOOKUP(A152,Database!$A:$AS,MATCH($G$1,Database!$A$1:$AS$1,0),FALSE)</f>
        <v>102.168847464</v>
      </c>
      <c r="H152" s="79">
        <f>(((Table134567891011121314151617343[[#This Row],[ITA]]-VLOOKUP($U$1,A:B,2,))/VLOOKUP($U$1,A:B,2,))*100)+100</f>
        <v>101.56250000011566</v>
      </c>
      <c r="I152" s="79">
        <f>(((Table134567891011121314151617343[[#This Row],[FRA]]-VLOOKUP($U$1,A:C,3,))/VLOOKUP($U$1,A:C,3,))*100)+100</f>
        <v>105.85422968094448</v>
      </c>
      <c r="J152" s="79">
        <f>(((Table134567891011121314151617343[[#This Row],[DEU]]-VLOOKUP($U$1,A:D,4,))/VLOOKUP($U$1,A:D,4,))*100)+100</f>
        <v>105.58510638272408</v>
      </c>
      <c r="K152" s="79">
        <f>(((Table134567891011121314151617343[[#This Row],[ESP]]-VLOOKUP($U$1,A:E,5,))/VLOOKUP($U$1,A:E,5,))*100)+100</f>
        <v>102.67210221049378</v>
      </c>
      <c r="L152" s="79">
        <f>(((Table134567891011121314151617343[[#This Row],[EA19]]-VLOOKUP($U$1,A:F,6,))/VLOOKUP($U$1,A:F,6,))*100)+100</f>
        <v>106.48769574944072</v>
      </c>
      <c r="M152" s="79">
        <f>(((Table134567891011121314151617343[[#This Row],[GBR]]-VLOOKUP($U$1,A:G,7,))/VLOOKUP($U$1,A:G,7,))*100)+100</f>
        <v>110.85180863483323</v>
      </c>
      <c r="N152" s="79">
        <f>VLOOKUP(A152,Database!$A:$AS,MATCH($N$1,Database!$A$1:$AS$1,0),FALSE)</f>
        <v>90.075278233000006</v>
      </c>
      <c r="O152" s="79">
        <f>(((Table134567891011121314151617343[[#This Row],[USA]]-VLOOKUP($U$1,A:N,14,))/VLOOKUP($U$1,A:N,14,))*100)+100</f>
        <v>103.69757986764218</v>
      </c>
      <c r="P152" s="79">
        <f>VLOOKUP(A152,Database!$A:$AS,MATCH($P$1,Database!$A$1:$AS$1,0),FALSE)</f>
        <v>99.391028038000002</v>
      </c>
      <c r="Q152" s="79">
        <f>(((Table134567891011121314151617343[[#This Row],[JPN]]-VLOOKUP($U$1,A:Q,16,))/VLOOKUP($U$1,A:Q,16,))*100)+100</f>
        <v>99.786552828668988</v>
      </c>
    </row>
    <row r="153" spans="1:17" s="83" customFormat="1" x14ac:dyDescent="0.2">
      <c r="A153" s="21">
        <v>37469</v>
      </c>
      <c r="B153" s="79">
        <f>VLOOKUP(A153,Database!$A:$AS,MATCH($B$1,Database!$A$1:$AS$1,0),FALSE)</f>
        <v>121.889842513</v>
      </c>
      <c r="C153" s="79">
        <f>VLOOKUP(A153,Database!$A:$AS,MATCH($C$1,Database!$A$1:$AS$1,0),FALSE)</f>
        <v>110.52</v>
      </c>
      <c r="D153" s="79">
        <f>VLOOKUP(A153,Database!$A:$AS,MATCH($D$1,Database!$A$1:$AS$1,0),FALSE)</f>
        <v>81.293225565</v>
      </c>
      <c r="E153" s="79">
        <f>VLOOKUP(A153,Database!$A:$AS,MATCH($E$1,Database!$A$1:$AS$1,0),FALSE)</f>
        <v>122.92810244</v>
      </c>
      <c r="F153" s="79">
        <f>VLOOKUP(A153,Database!$A:$AS,MATCH($F$1,Database!$A$1:$AS$1,0),FALSE)</f>
        <v>95.6</v>
      </c>
      <c r="G153" s="79">
        <f>VLOOKUP(A153,Database!$A:$AS,MATCH($G$1,Database!$A$1:$AS$1,0),FALSE)</f>
        <v>100.985839756</v>
      </c>
      <c r="H153" s="79">
        <f>(((Table134567891011121314151617343[[#This Row],[ITA]]-VLOOKUP($U$1,A:B,2,))/VLOOKUP($U$1,A:B,2,))*100)+100</f>
        <v>100.24671052624748</v>
      </c>
      <c r="I153" s="79">
        <f>(((Table134567891011121314151617343[[#This Row],[FRA]]-VLOOKUP($U$1,A:C,3,))/VLOOKUP($U$1,A:C,3,))*100)+100</f>
        <v>107.83491072299736</v>
      </c>
      <c r="J153" s="79">
        <f>(((Table134567891011121314151617343[[#This Row],[DEU]]-VLOOKUP($U$1,A:D,4,))/VLOOKUP($U$1,A:D,4,))*100)+100</f>
        <v>108.11170212757469</v>
      </c>
      <c r="K153" s="79">
        <f>(((Table134567891011121314151617343[[#This Row],[ESP]]-VLOOKUP($U$1,A:E,5,))/VLOOKUP($U$1,A:E,5,))*100)+100</f>
        <v>103.32688913142438</v>
      </c>
      <c r="L153" s="79">
        <f>(((Table134567891011121314151617343[[#This Row],[EA19]]-VLOOKUP($U$1,A:F,6,))/VLOOKUP($U$1,A:F,6,))*100)+100</f>
        <v>106.93512304250558</v>
      </c>
      <c r="M153" s="79">
        <f>(((Table134567891011121314151617343[[#This Row],[GBR]]-VLOOKUP($U$1,A:G,7,))/VLOOKUP($U$1,A:G,7,))*100)+100</f>
        <v>109.56826137638976</v>
      </c>
      <c r="N153" s="79">
        <f>VLOOKUP(A153,Database!$A:$AS,MATCH($N$1,Database!$A$1:$AS$1,0),FALSE)</f>
        <v>89.984981027000003</v>
      </c>
      <c r="O153" s="79">
        <f>(((Table134567891011121314151617343[[#This Row],[USA]]-VLOOKUP($U$1,A:N,14,))/VLOOKUP($U$1,A:N,14,))*100)+100</f>
        <v>103.59362679733593</v>
      </c>
      <c r="P153" s="79">
        <f>VLOOKUP(A153,Database!$A:$AS,MATCH($P$1,Database!$A$1:$AS$1,0),FALSE)</f>
        <v>99.816230297000004</v>
      </c>
      <c r="Q153" s="79">
        <f>(((Table134567891011121314151617343[[#This Row],[JPN]]-VLOOKUP($U$1,A:Q,16,))/VLOOKUP($U$1,A:Q,16,))*100)+100</f>
        <v>100.21344717233501</v>
      </c>
    </row>
    <row r="154" spans="1:17" s="83" customFormat="1" x14ac:dyDescent="0.2">
      <c r="A154" s="21">
        <v>37500</v>
      </c>
      <c r="B154" s="79">
        <f>VLOOKUP(A154,Database!$A:$AS,MATCH($B$1,Database!$A$1:$AS$1,0),FALSE)</f>
        <v>124.28964252999999</v>
      </c>
      <c r="C154" s="79">
        <f>VLOOKUP(A154,Database!$A:$AS,MATCH($C$1,Database!$A$1:$AS$1,0),FALSE)</f>
        <v>109.15</v>
      </c>
      <c r="D154" s="79">
        <f>VLOOKUP(A154,Database!$A:$AS,MATCH($D$1,Database!$A$1:$AS$1,0),FALSE)</f>
        <v>80.193317223999998</v>
      </c>
      <c r="E154" s="79">
        <f>VLOOKUP(A154,Database!$A:$AS,MATCH($E$1,Database!$A$1:$AS$1,0),FALSE)</f>
        <v>122.949102458</v>
      </c>
      <c r="F154" s="79">
        <f>VLOOKUP(A154,Database!$A:$AS,MATCH($F$1,Database!$A$1:$AS$1,0),FALSE)</f>
        <v>95.9</v>
      </c>
      <c r="G154" s="79">
        <f>VLOOKUP(A154,Database!$A:$AS,MATCH($G$1,Database!$A$1:$AS$1,0),FALSE)</f>
        <v>101.52357053199999</v>
      </c>
      <c r="H154" s="79">
        <f>(((Table134567891011121314151617343[[#This Row],[ITA]]-VLOOKUP($U$1,A:B,2,))/VLOOKUP($U$1,A:B,2,))*100)+100</f>
        <v>102.22039473704974</v>
      </c>
      <c r="I154" s="79">
        <f>(((Table134567891011121314151617343[[#This Row],[FRA]]-VLOOKUP($U$1,A:C,3,))/VLOOKUP($U$1,A:C,3,))*100)+100</f>
        <v>106.49819494584838</v>
      </c>
      <c r="J154" s="79">
        <f>(((Table134567891011121314151617343[[#This Row],[DEU]]-VLOOKUP($U$1,A:D,4,))/VLOOKUP($U$1,A:D,4,))*100)+100</f>
        <v>106.64893617009959</v>
      </c>
      <c r="K154" s="79">
        <f>(((Table134567891011121314151617343[[#This Row],[ESP]]-VLOOKUP($U$1,A:E,5,))/VLOOKUP($U$1,A:E,5,))*100)+100</f>
        <v>103.34454064062832</v>
      </c>
      <c r="L154" s="79">
        <f>(((Table134567891011121314151617343[[#This Row],[EA19]]-VLOOKUP($U$1,A:F,6,))/VLOOKUP($U$1,A:F,6,))*100)+100</f>
        <v>107.27069351230425</v>
      </c>
      <c r="M154" s="79">
        <f>(((Table134567891011121314151617343[[#This Row],[GBR]]-VLOOKUP($U$1,A:G,7,))/VLOOKUP($U$1,A:G,7,))*100)+100</f>
        <v>110.15169194801497</v>
      </c>
      <c r="N154" s="79">
        <f>VLOOKUP(A154,Database!$A:$AS,MATCH($N$1,Database!$A$1:$AS$1,0),FALSE)</f>
        <v>90.092128424999999</v>
      </c>
      <c r="O154" s="79">
        <f>(((Table134567891011121314151617343[[#This Row],[USA]]-VLOOKUP($U$1,A:N,14,))/VLOOKUP($U$1,A:N,14,))*100)+100</f>
        <v>103.71697835482958</v>
      </c>
      <c r="P154" s="79">
        <f>VLOOKUP(A154,Database!$A:$AS,MATCH($P$1,Database!$A$1:$AS$1,0),FALSE)</f>
        <v>100.454033685</v>
      </c>
      <c r="Q154" s="79">
        <f>(((Table134567891011121314151617343[[#This Row],[JPN]]-VLOOKUP($U$1,A:Q,16,))/VLOOKUP($U$1,A:Q,16,))*100)+100</f>
        <v>100.85378868733204</v>
      </c>
    </row>
    <row r="155" spans="1:17" s="83" customFormat="1" x14ac:dyDescent="0.2">
      <c r="A155" s="21">
        <v>37530</v>
      </c>
      <c r="B155" s="79">
        <f>VLOOKUP(A155,Database!$A:$AS,MATCH($B$1,Database!$A$1:$AS$1,0),FALSE)</f>
        <v>122.78976751899999</v>
      </c>
      <c r="C155" s="79">
        <f>VLOOKUP(A155,Database!$A:$AS,MATCH($C$1,Database!$A$1:$AS$1,0),FALSE)</f>
        <v>108.29</v>
      </c>
      <c r="D155" s="79">
        <f>VLOOKUP(A155,Database!$A:$AS,MATCH($D$1,Database!$A$1:$AS$1,0),FALSE)</f>
        <v>79.593367219000001</v>
      </c>
      <c r="E155" s="79">
        <f>VLOOKUP(A155,Database!$A:$AS,MATCH($E$1,Database!$A$1:$AS$1,0),FALSE)</f>
        <v>124.03910336600001</v>
      </c>
      <c r="F155" s="79">
        <f>VLOOKUP(A155,Database!$A:$AS,MATCH($F$1,Database!$A$1:$AS$1,0),FALSE)</f>
        <v>95.3</v>
      </c>
      <c r="G155" s="79">
        <f>VLOOKUP(A155,Database!$A:$AS,MATCH($G$1,Database!$A$1:$AS$1,0),FALSE)</f>
        <v>98.297185876</v>
      </c>
      <c r="H155" s="79">
        <f>(((Table134567891011121314151617343[[#This Row],[ITA]]-VLOOKUP($U$1,A:B,2,))/VLOOKUP($U$1,A:B,2,))*100)+100</f>
        <v>100.98684210498992</v>
      </c>
      <c r="I155" s="79">
        <f>(((Table134567891011121314151617343[[#This Row],[FRA]]-VLOOKUP($U$1,A:C,3,))/VLOOKUP($U$1,A:C,3,))*100)+100</f>
        <v>105.65908869157968</v>
      </c>
      <c r="J155" s="79">
        <f>(((Table134567891011121314151617343[[#This Row],[DEU]]-VLOOKUP($U$1,A:D,4,))/VLOOKUP($U$1,A:D,4,))*100)+100</f>
        <v>105.85106382857053</v>
      </c>
      <c r="K155" s="79">
        <f>(((Table134567891011121314151617343[[#This Row],[ESP]]-VLOOKUP($U$1,A:E,5,))/VLOOKUP($U$1,A:E,5,))*100)+100</f>
        <v>104.26073800102475</v>
      </c>
      <c r="L155" s="79">
        <f>(((Table134567891011121314151617343[[#This Row],[EA19]]-VLOOKUP($U$1,A:F,6,))/VLOOKUP($U$1,A:F,6,))*100)+100</f>
        <v>106.59955257270693</v>
      </c>
      <c r="M155" s="79">
        <f>(((Table134567891011121314151617343[[#This Row],[GBR]]-VLOOKUP($U$1,A:G,7,))/VLOOKUP($U$1,A:G,7,))*100)+100</f>
        <v>106.6511085182636</v>
      </c>
      <c r="N155" s="79">
        <f>VLOOKUP(A155,Database!$A:$AS,MATCH($N$1,Database!$A$1:$AS$1,0),FALSE)</f>
        <v>89.830256618000007</v>
      </c>
      <c r="O155" s="79">
        <f>(((Table134567891011121314151617343[[#This Row],[USA]]-VLOOKUP($U$1,A:N,14,))/VLOOKUP($U$1,A:N,14,))*100)+100</f>
        <v>103.41550304268875</v>
      </c>
      <c r="P155" s="79">
        <f>VLOOKUP(A155,Database!$A:$AS,MATCH($P$1,Database!$A$1:$AS$1,0),FALSE)</f>
        <v>100.454033685</v>
      </c>
      <c r="Q155" s="79">
        <f>(((Table134567891011121314151617343[[#This Row],[JPN]]-VLOOKUP($U$1,A:Q,16,))/VLOOKUP($U$1,A:Q,16,))*100)+100</f>
        <v>100.85378868733204</v>
      </c>
    </row>
    <row r="156" spans="1:17" s="83" customFormat="1" x14ac:dyDescent="0.2">
      <c r="A156" s="21">
        <v>37561</v>
      </c>
      <c r="B156" s="79">
        <f>VLOOKUP(A156,Database!$A:$AS,MATCH($B$1,Database!$A$1:$AS$1,0),FALSE)</f>
        <v>124.989584201</v>
      </c>
      <c r="C156" s="79">
        <f>VLOOKUP(A156,Database!$A:$AS,MATCH($C$1,Database!$A$1:$AS$1,0),FALSE)</f>
        <v>109.34</v>
      </c>
      <c r="D156" s="79">
        <f>VLOOKUP(A156,Database!$A:$AS,MATCH($D$1,Database!$A$1:$AS$1,0),FALSE)</f>
        <v>80.993250562</v>
      </c>
      <c r="E156" s="79">
        <f>VLOOKUP(A156,Database!$A:$AS,MATCH($E$1,Database!$A$1:$AS$1,0),FALSE)</f>
        <v>123.50410291999999</v>
      </c>
      <c r="F156" s="79">
        <f>VLOOKUP(A156,Database!$A:$AS,MATCH($F$1,Database!$A$1:$AS$1,0),FALSE)</f>
        <v>95.9</v>
      </c>
      <c r="G156" s="79">
        <f>VLOOKUP(A156,Database!$A:$AS,MATCH($G$1,Database!$A$1:$AS$1,0),FALSE)</f>
        <v>98.512278186000003</v>
      </c>
      <c r="H156" s="79">
        <f>(((Table134567891011121314151617343[[#This Row],[ITA]]-VLOOKUP($U$1,A:B,2,))/VLOOKUP($U$1,A:B,2,))*100)+100</f>
        <v>102.79605263135305</v>
      </c>
      <c r="I156" s="79">
        <f>(((Table134567891011121314151617343[[#This Row],[FRA]]-VLOOKUP($U$1,A:C,3,))/VLOOKUP($U$1,A:C,3,))*100)+100</f>
        <v>106.68357888574496</v>
      </c>
      <c r="J156" s="79">
        <f>(((Table134567891011121314151617343[[#This Row],[DEU]]-VLOOKUP($U$1,A:D,4,))/VLOOKUP($U$1,A:D,4,))*100)+100</f>
        <v>107.71276595614522</v>
      </c>
      <c r="K156" s="79">
        <f>(((Table134567891011121314151617343[[#This Row],[ESP]]-VLOOKUP($U$1,A:E,5,))/VLOOKUP($U$1,A:E,5,))*100)+100</f>
        <v>103.81104480091953</v>
      </c>
      <c r="L156" s="79">
        <f>(((Table134567891011121314151617343[[#This Row],[EA19]]-VLOOKUP($U$1,A:F,6,))/VLOOKUP($U$1,A:F,6,))*100)+100</f>
        <v>107.27069351230425</v>
      </c>
      <c r="M156" s="79">
        <f>(((Table134567891011121314151617343[[#This Row],[GBR]]-VLOOKUP($U$1,A:G,7,))/VLOOKUP($U$1,A:G,7,))*100)+100</f>
        <v>106.8844807464797</v>
      </c>
      <c r="N156" s="79">
        <f>VLOOKUP(A156,Database!$A:$AS,MATCH($N$1,Database!$A$1:$AS$1,0),FALSE)</f>
        <v>90.333482645000004</v>
      </c>
      <c r="O156" s="79">
        <f>(((Table134567891011121314151617343[[#This Row],[USA]]-VLOOKUP($U$1,A:N,14,))/VLOOKUP($U$1,A:N,14,))*100)+100</f>
        <v>103.99483315578954</v>
      </c>
      <c r="P156" s="79">
        <f>VLOOKUP(A156,Database!$A:$AS,MATCH($P$1,Database!$A$1:$AS$1,0),FALSE)</f>
        <v>100.34773312</v>
      </c>
      <c r="Q156" s="79">
        <f>(((Table134567891011121314151617343[[#This Row],[JPN]]-VLOOKUP($U$1,A:Q,16,))/VLOOKUP($U$1,A:Q,16,))*100)+100</f>
        <v>100.74706510116455</v>
      </c>
    </row>
    <row r="157" spans="1:17" s="83" customFormat="1" x14ac:dyDescent="0.2">
      <c r="A157" s="21">
        <v>37591</v>
      </c>
      <c r="B157" s="79">
        <f>VLOOKUP(A157,Database!$A:$AS,MATCH($B$1,Database!$A$1:$AS$1,0),FALSE)</f>
        <v>123.689692526</v>
      </c>
      <c r="C157" s="79">
        <f>VLOOKUP(A157,Database!$A:$AS,MATCH($C$1,Database!$A$1:$AS$1,0),FALSE)</f>
        <v>106.75</v>
      </c>
      <c r="D157" s="79">
        <f>VLOOKUP(A157,Database!$A:$AS,MATCH($D$1,Database!$A$1:$AS$1,0),FALSE)</f>
        <v>79.593367219000001</v>
      </c>
      <c r="E157" s="79">
        <f>VLOOKUP(A157,Database!$A:$AS,MATCH($E$1,Database!$A$1:$AS$1,0),FALSE)</f>
        <v>122.358101965</v>
      </c>
      <c r="F157" s="79">
        <f>VLOOKUP(A157,Database!$A:$AS,MATCH($F$1,Database!$A$1:$AS$1,0),FALSE)</f>
        <v>94.4</v>
      </c>
      <c r="G157" s="79">
        <f>VLOOKUP(A157,Database!$A:$AS,MATCH($G$1,Database!$A$1:$AS$1,0),FALSE)</f>
        <v>98.942462806999998</v>
      </c>
      <c r="H157" s="79">
        <f>(((Table134567891011121314151617343[[#This Row],[ITA]]-VLOOKUP($U$1,A:B,2,))/VLOOKUP($U$1,A:B,2,))*100)+100</f>
        <v>101.72697368455479</v>
      </c>
      <c r="I157" s="79">
        <f>(((Table134567891011121314151617343[[#This Row],[FRA]]-VLOOKUP($U$1,A:C,3,))/VLOOKUP($U$1,A:C,3,))*100)+100</f>
        <v>104.15650307347059</v>
      </c>
      <c r="J157" s="79">
        <f>(((Table134567891011121314151617343[[#This Row],[DEU]]-VLOOKUP($U$1,A:D,4,))/VLOOKUP($U$1,A:D,4,))*100)+100</f>
        <v>105.85106382857053</v>
      </c>
      <c r="K157" s="79">
        <f>(((Table134567891011121314151617343[[#This Row],[ESP]]-VLOOKUP($U$1,A:E,5,))/VLOOKUP($U$1,A:E,5,))*100)+100</f>
        <v>102.84777675015313</v>
      </c>
      <c r="L157" s="79">
        <f>(((Table134567891011121314151617343[[#This Row],[EA19]]-VLOOKUP($U$1,A:F,6,))/VLOOKUP($U$1,A:F,6,))*100)+100</f>
        <v>105.59284116331096</v>
      </c>
      <c r="M157" s="79">
        <f>(((Table134567891011121314151617343[[#This Row],[GBR]]-VLOOKUP($U$1,A:G,7,))/VLOOKUP($U$1,A:G,7,))*100)+100</f>
        <v>107.35122520399688</v>
      </c>
      <c r="N157" s="79">
        <f>VLOOKUP(A157,Database!$A:$AS,MATCH($N$1,Database!$A$1:$AS$1,0),FALSE)</f>
        <v>89.838681714000003</v>
      </c>
      <c r="O157" s="79">
        <f>(((Table134567891011121314151617343[[#This Row],[USA]]-VLOOKUP($U$1,A:N,14,))/VLOOKUP($U$1,A:N,14,))*100)+100</f>
        <v>103.42520228628246</v>
      </c>
      <c r="P157" s="79">
        <f>VLOOKUP(A157,Database!$A:$AS,MATCH($P$1,Database!$A$1:$AS$1,0),FALSE)</f>
        <v>100.24143255600001</v>
      </c>
      <c r="Q157" s="79">
        <f>(((Table134567891011121314151617343[[#This Row],[JPN]]-VLOOKUP($U$1,A:Q,16,))/VLOOKUP($U$1,A:Q,16,))*100)+100</f>
        <v>100.64034151600103</v>
      </c>
    </row>
    <row r="158" spans="1:17" s="83" customFormat="1" x14ac:dyDescent="0.2">
      <c r="A158" s="21">
        <v>37622</v>
      </c>
      <c r="B158" s="79">
        <f>VLOOKUP(A158,Database!$A:$AS,MATCH($B$1,Database!$A$1:$AS$1,0),FALSE)</f>
        <v>124.989584201</v>
      </c>
      <c r="C158" s="79">
        <f>VLOOKUP(A158,Database!$A:$AS,MATCH($C$1,Database!$A$1:$AS$1,0),FALSE)</f>
        <v>108.95</v>
      </c>
      <c r="D158" s="79">
        <f>VLOOKUP(A158,Database!$A:$AS,MATCH($D$1,Database!$A$1:$AS$1,0),FALSE)</f>
        <v>80.193317223999998</v>
      </c>
      <c r="E158" s="79">
        <f>VLOOKUP(A158,Database!$A:$AS,MATCH($E$1,Database!$A$1:$AS$1,0),FALSE)</f>
        <v>123.762103135</v>
      </c>
      <c r="F158" s="79">
        <f>VLOOKUP(A158,Database!$A:$AS,MATCH($F$1,Database!$A$1:$AS$1,0),FALSE)</f>
        <v>96</v>
      </c>
      <c r="G158" s="79">
        <f>VLOOKUP(A158,Database!$A:$AS,MATCH($G$1,Database!$A$1:$AS$1,0),FALSE)</f>
        <v>99.480193583000002</v>
      </c>
      <c r="H158" s="79">
        <f>(((Table134567891011121314151617343[[#This Row],[ITA]]-VLOOKUP($U$1,A:B,2,))/VLOOKUP($U$1,A:B,2,))*100)+100</f>
        <v>102.79605263135305</v>
      </c>
      <c r="I158" s="79">
        <f>(((Table134567891011121314151617343[[#This Row],[FRA]]-VLOOKUP($U$1,A:C,3,))/VLOOKUP($U$1,A:C,3,))*100)+100</f>
        <v>106.30305395648357</v>
      </c>
      <c r="J158" s="79">
        <f>(((Table134567891011121314151617343[[#This Row],[DEU]]-VLOOKUP($U$1,A:D,4,))/VLOOKUP($U$1,A:D,4,))*100)+100</f>
        <v>106.64893617009959</v>
      </c>
      <c r="K158" s="79">
        <f>(((Table134567891011121314151617343[[#This Row],[ESP]]-VLOOKUP($U$1,A:E,5,))/VLOOKUP($U$1,A:E,5,))*100)+100</f>
        <v>104.02790619454757</v>
      </c>
      <c r="L158" s="79">
        <f>(((Table134567891011121314151617343[[#This Row],[EA19]]-VLOOKUP($U$1,A:F,6,))/VLOOKUP($U$1,A:F,6,))*100)+100</f>
        <v>107.38255033557046</v>
      </c>
      <c r="M158" s="79">
        <f>(((Table134567891011121314151617343[[#This Row],[GBR]]-VLOOKUP($U$1,A:G,7,))/VLOOKUP($U$1,A:G,7,))*100)+100</f>
        <v>107.9346557756221</v>
      </c>
      <c r="N158" s="79">
        <f>VLOOKUP(A158,Database!$A:$AS,MATCH($N$1,Database!$A$1:$AS$1,0),FALSE)</f>
        <v>90.579891923000005</v>
      </c>
      <c r="O158" s="79">
        <f>(((Table134567891011121314151617343[[#This Row],[USA]]-VLOOKUP($U$1,A:N,14,))/VLOOKUP($U$1,A:N,14,))*100)+100</f>
        <v>104.2785075033662</v>
      </c>
      <c r="P158" s="79">
        <f>VLOOKUP(A158,Database!$A:$AS,MATCH($P$1,Database!$A$1:$AS$1,0),FALSE)</f>
        <v>101.62333989699999</v>
      </c>
      <c r="Q158" s="79">
        <f>(((Table134567891011121314151617343[[#This Row],[JPN]]-VLOOKUP($U$1,A:Q,16,))/VLOOKUP($U$1,A:Q,16,))*100)+100</f>
        <v>102.0277481321626</v>
      </c>
    </row>
    <row r="159" spans="1:17" s="83" customFormat="1" x14ac:dyDescent="0.2">
      <c r="A159" s="21">
        <v>37653</v>
      </c>
      <c r="B159" s="79">
        <f>VLOOKUP(A159,Database!$A:$AS,MATCH($B$1,Database!$A$1:$AS$1,0),FALSE)</f>
        <v>122.489792517</v>
      </c>
      <c r="C159" s="79">
        <f>VLOOKUP(A159,Database!$A:$AS,MATCH($C$1,Database!$A$1:$AS$1,0),FALSE)</f>
        <v>109.95</v>
      </c>
      <c r="D159" s="79">
        <f>VLOOKUP(A159,Database!$A:$AS,MATCH($D$1,Database!$A$1:$AS$1,0),FALSE)</f>
        <v>80.193317223999998</v>
      </c>
      <c r="E159" s="79">
        <f>VLOOKUP(A159,Database!$A:$AS,MATCH($E$1,Database!$A$1:$AS$1,0),FALSE)</f>
        <v>124.302103585</v>
      </c>
      <c r="F159" s="79">
        <f>VLOOKUP(A159,Database!$A:$AS,MATCH($F$1,Database!$A$1:$AS$1,0),FALSE)</f>
        <v>96.2</v>
      </c>
      <c r="G159" s="79">
        <f>VLOOKUP(A159,Database!$A:$AS,MATCH($G$1,Database!$A$1:$AS$1,0),FALSE)</f>
        <v>101.84620899799999</v>
      </c>
      <c r="H159" s="79">
        <f>(((Table134567891011121314151617343[[#This Row],[ITA]]-VLOOKUP($U$1,A:B,2,))/VLOOKUP($U$1,A:B,2,))*100)+100</f>
        <v>100.74013157874244</v>
      </c>
      <c r="I159" s="79">
        <f>(((Table134567891011121314151617343[[#This Row],[FRA]]-VLOOKUP($U$1,A:C,3,))/VLOOKUP($U$1,A:C,3,))*100)+100</f>
        <v>107.27875890330765</v>
      </c>
      <c r="J159" s="79">
        <f>(((Table134567891011121314151617343[[#This Row],[DEU]]-VLOOKUP($U$1,A:D,4,))/VLOOKUP($U$1,A:D,4,))*100)+100</f>
        <v>106.64893617009959</v>
      </c>
      <c r="K159" s="79">
        <f>(((Table134567891011121314151617343[[#This Row],[ESP]]-VLOOKUP($U$1,A:E,5,))/VLOOKUP($U$1,A:E,5,))*100)+100</f>
        <v>104.48180213469928</v>
      </c>
      <c r="L159" s="79">
        <f>(((Table134567891011121314151617343[[#This Row],[EA19]]-VLOOKUP($U$1,A:F,6,))/VLOOKUP($U$1,A:F,6,))*100)+100</f>
        <v>107.6062639821029</v>
      </c>
      <c r="M159" s="79">
        <f>(((Table134567891011121314151617343[[#This Row],[GBR]]-VLOOKUP($U$1,A:G,7,))/VLOOKUP($U$1,A:G,7,))*100)+100</f>
        <v>110.5017502914241</v>
      </c>
      <c r="N159" s="79">
        <f>VLOOKUP(A159,Database!$A:$AS,MATCH($N$1,Database!$A$1:$AS$1,0),FALSE)</f>
        <v>90.687733151000003</v>
      </c>
      <c r="O159" s="79">
        <f>(((Table134567891011121314151617343[[#This Row],[USA]]-VLOOKUP($U$1,A:N,14,))/VLOOKUP($U$1,A:N,14,))*100)+100</f>
        <v>104.40265782044463</v>
      </c>
      <c r="P159" s="79">
        <f>VLOOKUP(A159,Database!$A:$AS,MATCH($P$1,Database!$A$1:$AS$1,0),FALSE)</f>
        <v>101.188587641</v>
      </c>
      <c r="Q159" s="79">
        <f>(((Table134567891011121314151617343[[#This Row],[JPN]]-VLOOKUP($U$1,A:Q,16,))/VLOOKUP($U$1,A:Q,16,))*100)+100</f>
        <v>101.59126578745699</v>
      </c>
    </row>
    <row r="160" spans="1:17" s="83" customFormat="1" x14ac:dyDescent="0.2">
      <c r="A160" s="21">
        <v>37681</v>
      </c>
      <c r="B160" s="79">
        <f>VLOOKUP(A160,Database!$A:$AS,MATCH($B$1,Database!$A$1:$AS$1,0),FALSE)</f>
        <v>122.589784185</v>
      </c>
      <c r="C160" s="79">
        <f>VLOOKUP(A160,Database!$A:$AS,MATCH($C$1,Database!$A$1:$AS$1,0),FALSE)</f>
        <v>109.08</v>
      </c>
      <c r="D160" s="79">
        <f>VLOOKUP(A160,Database!$A:$AS,MATCH($D$1,Database!$A$1:$AS$1,0),FALSE)</f>
        <v>79.993333888999999</v>
      </c>
      <c r="E160" s="79">
        <f>VLOOKUP(A160,Database!$A:$AS,MATCH($E$1,Database!$A$1:$AS$1,0),FALSE)</f>
        <v>123.55210296</v>
      </c>
      <c r="F160" s="79">
        <f>VLOOKUP(A160,Database!$A:$AS,MATCH($F$1,Database!$A$1:$AS$1,0),FALSE)</f>
        <v>95.4</v>
      </c>
      <c r="G160" s="79">
        <f>VLOOKUP(A160,Database!$A:$AS,MATCH($G$1,Database!$A$1:$AS$1,0),FALSE)</f>
        <v>104.10467825800001</v>
      </c>
      <c r="H160" s="79">
        <f>(((Table134567891011121314151617343[[#This Row],[ITA]]-VLOOKUP($U$1,A:B,2,))/VLOOKUP($U$1,A:B,2,))*100)+100</f>
        <v>100.82236842137323</v>
      </c>
      <c r="I160" s="79">
        <f>(((Table134567891011121314151617343[[#This Row],[FRA]]-VLOOKUP($U$1,A:C,3,))/VLOOKUP($U$1,A:C,3,))*100)+100</f>
        <v>106.4298955995707</v>
      </c>
      <c r="J160" s="79">
        <f>(((Table134567891011121314151617343[[#This Row],[DEU]]-VLOOKUP($U$1,A:D,4,))/VLOOKUP($U$1,A:D,4,))*100)+100</f>
        <v>106.38297872292324</v>
      </c>
      <c r="K160" s="79">
        <f>(((Table134567891011121314151617343[[#This Row],[ESP]]-VLOOKUP($U$1,A:E,5,))/VLOOKUP($U$1,A:E,5,))*100)+100</f>
        <v>103.85139110671079</v>
      </c>
      <c r="L160" s="79">
        <f>(((Table134567891011121314151617343[[#This Row],[EA19]]-VLOOKUP($U$1,A:F,6,))/VLOOKUP($U$1,A:F,6,))*100)+100</f>
        <v>106.71140939597315</v>
      </c>
      <c r="M160" s="79">
        <f>(((Table134567891011121314151617343[[#This Row],[GBR]]-VLOOKUP($U$1,A:G,7,))/VLOOKUP($U$1,A:G,7,))*100)+100</f>
        <v>112.95215869311807</v>
      </c>
      <c r="N160" s="79">
        <f>VLOOKUP(A160,Database!$A:$AS,MATCH($N$1,Database!$A$1:$AS$1,0),FALSE)</f>
        <v>90.417138891999997</v>
      </c>
      <c r="O160" s="79">
        <f>(((Table134567891011121314151617343[[#This Row],[USA]]-VLOOKUP($U$1,A:N,14,))/VLOOKUP($U$1,A:N,14,))*100)+100</f>
        <v>104.09114093884483</v>
      </c>
      <c r="P160" s="79">
        <f>VLOOKUP(A160,Database!$A:$AS,MATCH($P$1,Database!$A$1:$AS$1,0),FALSE)</f>
        <v>101.94940409</v>
      </c>
      <c r="Q160" s="79">
        <f>(((Table134567891011121314151617343[[#This Row],[JPN]]-VLOOKUP($U$1,A:Q,16,))/VLOOKUP($U$1,A:Q,16,))*100)+100</f>
        <v>102.35510989169579</v>
      </c>
    </row>
    <row r="161" spans="1:17" s="83" customFormat="1" x14ac:dyDescent="0.2">
      <c r="A161" s="21">
        <v>37712</v>
      </c>
      <c r="B161" s="79">
        <f>VLOOKUP(A161,Database!$A:$AS,MATCH($B$1,Database!$A$1:$AS$1,0),FALSE)</f>
        <v>124.28964252999999</v>
      </c>
      <c r="C161" s="79">
        <f>VLOOKUP(A161,Database!$A:$AS,MATCH($C$1,Database!$A$1:$AS$1,0),FALSE)</f>
        <v>109.11</v>
      </c>
      <c r="D161" s="79">
        <f>VLOOKUP(A161,Database!$A:$AS,MATCH($D$1,Database!$A$1:$AS$1,0),FALSE)</f>
        <v>79.793350554</v>
      </c>
      <c r="E161" s="79">
        <f>VLOOKUP(A161,Database!$A:$AS,MATCH($E$1,Database!$A$1:$AS$1,0),FALSE)</f>
        <v>124.131103443</v>
      </c>
      <c r="F161" s="79">
        <f>VLOOKUP(A161,Database!$A:$AS,MATCH($F$1,Database!$A$1:$AS$1,0),FALSE)</f>
        <v>95.8</v>
      </c>
      <c r="G161" s="79">
        <f>VLOOKUP(A161,Database!$A:$AS,MATCH($G$1,Database!$A$1:$AS$1,0),FALSE)</f>
        <v>104.534862879</v>
      </c>
      <c r="H161" s="79">
        <f>(((Table134567891011121314151617343[[#This Row],[ITA]]-VLOOKUP($U$1,A:B,2,))/VLOOKUP($U$1,A:B,2,))*100)+100</f>
        <v>102.22039473704974</v>
      </c>
      <c r="I161" s="79">
        <f>(((Table134567891011121314151617343[[#This Row],[FRA]]-VLOOKUP($U$1,A:C,3,))/VLOOKUP($U$1,A:C,3,))*100)+100</f>
        <v>106.45916674797542</v>
      </c>
      <c r="J161" s="79">
        <f>(((Table134567891011121314151617343[[#This Row],[DEU]]-VLOOKUP($U$1,A:D,4,))/VLOOKUP($U$1,A:D,4,))*100)+100</f>
        <v>106.11702127574688</v>
      </c>
      <c r="K161" s="79">
        <f>(((Table134567891011121314151617343[[#This Row],[ESP]]-VLOOKUP($U$1,A:E,5,))/VLOOKUP($U$1,A:E,5,))*100)+100</f>
        <v>104.33806842073818</v>
      </c>
      <c r="L161" s="79">
        <f>(((Table134567891011121314151617343[[#This Row],[EA19]]-VLOOKUP($U$1,A:F,6,))/VLOOKUP($U$1,A:F,6,))*100)+100</f>
        <v>107.15883668903803</v>
      </c>
      <c r="M161" s="79">
        <f>(((Table134567891011121314151617343[[#This Row],[GBR]]-VLOOKUP($U$1,A:G,7,))/VLOOKUP($U$1,A:G,7,))*100)+100</f>
        <v>113.41890315063524</v>
      </c>
      <c r="N161" s="79">
        <f>VLOOKUP(A161,Database!$A:$AS,MATCH($N$1,Database!$A$1:$AS$1,0),FALSE)</f>
        <v>89.846016503000001</v>
      </c>
      <c r="O161" s="79">
        <f>(((Table134567891011121314151617343[[#This Row],[USA]]-VLOOKUP($U$1,A:N,14,))/VLOOKUP($U$1,A:N,14,))*100)+100</f>
        <v>103.43364633311818</v>
      </c>
      <c r="P161" s="79">
        <f>VLOOKUP(A161,Database!$A:$AS,MATCH($P$1,Database!$A$1:$AS$1,0),FALSE)</f>
        <v>100.536459257</v>
      </c>
      <c r="Q161" s="79">
        <f>(((Table134567891011121314151617343[[#This Row],[JPN]]-VLOOKUP($U$1,A:Q,16,))/VLOOKUP($U$1,A:Q,16,))*100)+100</f>
        <v>100.93654227039859</v>
      </c>
    </row>
    <row r="162" spans="1:17" s="83" customFormat="1" x14ac:dyDescent="0.2">
      <c r="A162" s="21">
        <v>37742</v>
      </c>
      <c r="B162" s="79">
        <f>VLOOKUP(A162,Database!$A:$AS,MATCH($B$1,Database!$A$1:$AS$1,0),FALSE)</f>
        <v>120.189984168</v>
      </c>
      <c r="C162" s="79">
        <f>VLOOKUP(A162,Database!$A:$AS,MATCH($C$1,Database!$A$1:$AS$1,0),FALSE)</f>
        <v>106.52</v>
      </c>
      <c r="D162" s="79">
        <f>VLOOKUP(A162,Database!$A:$AS,MATCH($D$1,Database!$A$1:$AS$1,0),FALSE)</f>
        <v>79.093408882999995</v>
      </c>
      <c r="E162" s="79">
        <f>VLOOKUP(A162,Database!$A:$AS,MATCH($E$1,Database!$A$1:$AS$1,0),FALSE)</f>
        <v>122.826102355</v>
      </c>
      <c r="F162" s="79">
        <f>VLOOKUP(A162,Database!$A:$AS,MATCH($F$1,Database!$A$1:$AS$1,0),FALSE)</f>
        <v>94.2</v>
      </c>
      <c r="G162" s="79">
        <f>VLOOKUP(A162,Database!$A:$AS,MATCH($G$1,Database!$A$1:$AS$1,0),FALSE)</f>
        <v>105.610324431</v>
      </c>
      <c r="H162" s="79">
        <f>(((Table134567891011121314151617343[[#This Row],[ITA]]-VLOOKUP($U$1,A:B,2,))/VLOOKUP($U$1,A:B,2,))*100)+100</f>
        <v>98.848684210570951</v>
      </c>
      <c r="I162" s="79">
        <f>(((Table134567891011121314151617343[[#This Row],[FRA]]-VLOOKUP($U$1,A:C,3,))/VLOOKUP($U$1,A:C,3,))*100)+100</f>
        <v>103.93209093570104</v>
      </c>
      <c r="J162" s="79">
        <f>(((Table134567891011121314151617343[[#This Row],[DEU]]-VLOOKUP($U$1,A:D,4,))/VLOOKUP($U$1,A:D,4,))*100)+100</f>
        <v>105.18617021262448</v>
      </c>
      <c r="K162" s="79">
        <f>(((Table134567891011121314151617343[[#This Row],[ESP]]-VLOOKUP($U$1,A:E,5,))/VLOOKUP($U$1,A:E,5,))*100)+100</f>
        <v>103.24115323161794</v>
      </c>
      <c r="L162" s="79">
        <f>(((Table134567891011121314151617343[[#This Row],[EA19]]-VLOOKUP($U$1,A:F,6,))/VLOOKUP($U$1,A:F,6,))*100)+100</f>
        <v>105.36912751677852</v>
      </c>
      <c r="M162" s="79">
        <f>(((Table134567891011121314151617343[[#This Row],[GBR]]-VLOOKUP($U$1,A:G,7,))/VLOOKUP($U$1,A:G,7,))*100)+100</f>
        <v>114.58576429388569</v>
      </c>
      <c r="N162" s="79">
        <f>VLOOKUP(A162,Database!$A:$AS,MATCH($N$1,Database!$A$1:$AS$1,0),FALSE)</f>
        <v>89.817767652000001</v>
      </c>
      <c r="O162" s="79">
        <f>(((Table134567891011121314151617343[[#This Row],[USA]]-VLOOKUP($U$1,A:N,14,))/VLOOKUP($U$1,A:N,14,))*100)+100</f>
        <v>103.40112534023082</v>
      </c>
      <c r="P162" s="79">
        <f>VLOOKUP(A162,Database!$A:$AS,MATCH($P$1,Database!$A$1:$AS$1,0),FALSE)</f>
        <v>101.84071602500001</v>
      </c>
      <c r="Q162" s="79">
        <f>(((Table134567891011121314151617343[[#This Row],[JPN]]-VLOOKUP($U$1,A:Q,16,))/VLOOKUP($U$1,A:Q,16,))*100)+100</f>
        <v>102.2459893045154</v>
      </c>
    </row>
    <row r="163" spans="1:17" s="83" customFormat="1" x14ac:dyDescent="0.2">
      <c r="A163" s="21">
        <v>37773</v>
      </c>
      <c r="B163" s="79">
        <f>VLOOKUP(A163,Database!$A:$AS,MATCH($B$1,Database!$A$1:$AS$1,0),FALSE)</f>
        <v>121.68985917800001</v>
      </c>
      <c r="C163" s="79">
        <f>VLOOKUP(A163,Database!$A:$AS,MATCH($C$1,Database!$A$1:$AS$1,0),FALSE)</f>
        <v>106.26</v>
      </c>
      <c r="D163" s="79">
        <f>VLOOKUP(A163,Database!$A:$AS,MATCH($D$1,Database!$A$1:$AS$1,0),FALSE)</f>
        <v>78.693442212999997</v>
      </c>
      <c r="E163" s="79">
        <f>VLOOKUP(A163,Database!$A:$AS,MATCH($E$1,Database!$A$1:$AS$1,0),FALSE)</f>
        <v>123.190102658</v>
      </c>
      <c r="F163" s="79">
        <f>VLOOKUP(A163,Database!$A:$AS,MATCH($F$1,Database!$A$1:$AS$1,0),FALSE)</f>
        <v>94.2</v>
      </c>
      <c r="G163" s="79">
        <f>VLOOKUP(A163,Database!$A:$AS,MATCH($G$1,Database!$A$1:$AS$1,0),FALSE)</f>
        <v>107.008424449</v>
      </c>
      <c r="H163" s="79">
        <f>(((Table134567891011121314151617343[[#This Row],[ITA]]-VLOOKUP($U$1,A:B,2,))/VLOOKUP($U$1,A:B,2,))*100)+100</f>
        <v>100.08223684180835</v>
      </c>
      <c r="I163" s="79">
        <f>(((Table134567891011121314151617343[[#This Row],[FRA]]-VLOOKUP($U$1,A:C,3,))/VLOOKUP($U$1,A:C,3,))*100)+100</f>
        <v>103.67840764952679</v>
      </c>
      <c r="J163" s="79">
        <f>(((Table134567891011121314151617343[[#This Row],[DEU]]-VLOOKUP($U$1,A:D,4,))/VLOOKUP($U$1,A:D,4,))*100)+100</f>
        <v>104.65425531827178</v>
      </c>
      <c r="K163" s="79">
        <f>(((Table134567891011121314151617343[[#This Row],[ESP]]-VLOOKUP($U$1,A:E,5,))/VLOOKUP($U$1,A:E,5,))*100)+100</f>
        <v>103.5471127169215</v>
      </c>
      <c r="L163" s="79">
        <f>(((Table134567891011121314151617343[[#This Row],[EA19]]-VLOOKUP($U$1,A:F,6,))/VLOOKUP($U$1,A:F,6,))*100)+100</f>
        <v>105.36912751677852</v>
      </c>
      <c r="M163" s="79">
        <f>(((Table134567891011121314151617343[[#This Row],[GBR]]-VLOOKUP($U$1,A:G,7,))/VLOOKUP($U$1,A:G,7,))*100)+100</f>
        <v>116.10268378054529</v>
      </c>
      <c r="N163" s="79">
        <f>VLOOKUP(A163,Database!$A:$AS,MATCH($N$1,Database!$A$1:$AS$1,0),FALSE)</f>
        <v>89.937602252000005</v>
      </c>
      <c r="O163" s="79">
        <f>(((Table134567891011121314151617343[[#This Row],[USA]]-VLOOKUP($U$1,A:N,14,))/VLOOKUP($U$1,A:N,14,))*100)+100</f>
        <v>103.53908281589094</v>
      </c>
      <c r="P163" s="79">
        <f>VLOOKUP(A163,Database!$A:$AS,MATCH($P$1,Database!$A$1:$AS$1,0),FALSE)</f>
        <v>100.971211513</v>
      </c>
      <c r="Q163" s="79">
        <f>(((Table134567891011121314151617343[[#This Row],[JPN]]-VLOOKUP($U$1,A:Q,16,))/VLOOKUP($U$1,A:Q,16,))*100)+100</f>
        <v>101.37302461510419</v>
      </c>
    </row>
    <row r="164" spans="1:17" s="83" customFormat="1" x14ac:dyDescent="0.2">
      <c r="A164" s="21">
        <v>37803</v>
      </c>
      <c r="B164" s="79">
        <f>VLOOKUP(A164,Database!$A:$AS,MATCH($B$1,Database!$A$1:$AS$1,0),FALSE)</f>
        <v>123.38971752400001</v>
      </c>
      <c r="C164" s="79">
        <f>VLOOKUP(A164,Database!$A:$AS,MATCH($C$1,Database!$A$1:$AS$1,0),FALSE)</f>
        <v>108.12</v>
      </c>
      <c r="D164" s="79">
        <f>VLOOKUP(A164,Database!$A:$AS,MATCH($D$1,Database!$A$1:$AS$1,0),FALSE)</f>
        <v>80.593283893000006</v>
      </c>
      <c r="E164" s="79">
        <f>VLOOKUP(A164,Database!$A:$AS,MATCH($E$1,Database!$A$1:$AS$1,0),FALSE)</f>
        <v>124.037103364</v>
      </c>
      <c r="F164" s="79">
        <f>VLOOKUP(A164,Database!$A:$AS,MATCH($F$1,Database!$A$1:$AS$1,0),FALSE)</f>
        <v>95.8</v>
      </c>
      <c r="G164" s="79">
        <f>VLOOKUP(A164,Database!$A:$AS,MATCH($G$1,Database!$A$1:$AS$1,0),FALSE)</f>
        <v>108.621616777</v>
      </c>
      <c r="H164" s="79">
        <f>(((Table134567891011121314151617343[[#This Row],[ITA]]-VLOOKUP($U$1,A:B,2,))/VLOOKUP($U$1,A:B,2,))*100)+100</f>
        <v>101.48026315830732</v>
      </c>
      <c r="I164" s="79">
        <f>(((Table134567891011121314151617343[[#This Row],[FRA]]-VLOOKUP($U$1,A:C,3,))/VLOOKUP($U$1,A:C,3,))*100)+100</f>
        <v>105.49321885061958</v>
      </c>
      <c r="J164" s="79">
        <f>(((Table134567891011121314151617343[[#This Row],[DEU]]-VLOOKUP($U$1,A:D,4,))/VLOOKUP($U$1,A:D,4,))*100)+100</f>
        <v>107.18085106312242</v>
      </c>
      <c r="K164" s="79">
        <f>(((Table134567891011121314151617343[[#This Row],[ESP]]-VLOOKUP($U$1,A:E,5,))/VLOOKUP($U$1,A:E,5,))*100)+100</f>
        <v>104.25905690466993</v>
      </c>
      <c r="L164" s="79">
        <f>(((Table134567891011121314151617343[[#This Row],[EA19]]-VLOOKUP($U$1,A:F,6,))/VLOOKUP($U$1,A:F,6,))*100)+100</f>
        <v>107.15883668903803</v>
      </c>
      <c r="M164" s="79">
        <f>(((Table134567891011121314151617343[[#This Row],[GBR]]-VLOOKUP($U$1,A:G,7,))/VLOOKUP($U$1,A:G,7,))*100)+100</f>
        <v>117.85297549542098</v>
      </c>
      <c r="N164" s="79">
        <f>VLOOKUP(A164,Database!$A:$AS,MATCH($N$1,Database!$A$1:$AS$1,0),FALSE)</f>
        <v>90.399099274999998</v>
      </c>
      <c r="O164" s="79">
        <f>(((Table134567891011121314151617343[[#This Row],[USA]]-VLOOKUP($U$1,A:N,14,))/VLOOKUP($U$1,A:N,14,))*100)+100</f>
        <v>104.07037314704517</v>
      </c>
      <c r="P164" s="79">
        <f>VLOOKUP(A164,Database!$A:$AS,MATCH($P$1,Database!$A$1:$AS$1,0),FALSE)</f>
        <v>101.405963769</v>
      </c>
      <c r="Q164" s="79">
        <f>(((Table134567891011121314151617343[[#This Row],[JPN]]-VLOOKUP($U$1,A:Q,16,))/VLOOKUP($U$1,A:Q,16,))*100)+100</f>
        <v>101.8095069598098</v>
      </c>
    </row>
    <row r="165" spans="1:17" s="83" customFormat="1" x14ac:dyDescent="0.2">
      <c r="A165" s="21">
        <v>37834</v>
      </c>
      <c r="B165" s="79">
        <f>VLOOKUP(A165,Database!$A:$AS,MATCH($B$1,Database!$A$1:$AS$1,0),FALSE)</f>
        <v>120.789934172</v>
      </c>
      <c r="C165" s="79">
        <f>VLOOKUP(A165,Database!$A:$AS,MATCH($C$1,Database!$A$1:$AS$1,0),FALSE)</f>
        <v>107.69</v>
      </c>
      <c r="D165" s="79">
        <f>VLOOKUP(A165,Database!$A:$AS,MATCH($D$1,Database!$A$1:$AS$1,0),FALSE)</f>
        <v>78.593450546</v>
      </c>
      <c r="E165" s="79">
        <f>VLOOKUP(A165,Database!$A:$AS,MATCH($E$1,Database!$A$1:$AS$1,0),FALSE)</f>
        <v>123.88810324000001</v>
      </c>
      <c r="F165" s="79">
        <f>VLOOKUP(A165,Database!$A:$AS,MATCH($F$1,Database!$A$1:$AS$1,0),FALSE)</f>
        <v>94.7</v>
      </c>
      <c r="G165" s="79">
        <f>VLOOKUP(A165,Database!$A:$AS,MATCH($G$1,Database!$A$1:$AS$1,0),FALSE)</f>
        <v>108.83670908800001</v>
      </c>
      <c r="H165" s="79">
        <f>(((Table134567891011121314151617343[[#This Row],[ITA]]-VLOOKUP($U$1,A:B,2,))/VLOOKUP($U$1,A:B,2,))*100)+100</f>
        <v>99.342105263065918</v>
      </c>
      <c r="I165" s="79">
        <f>(((Table134567891011121314151617343[[#This Row],[FRA]]-VLOOKUP($U$1,A:C,3,))/VLOOKUP($U$1,A:C,3,))*100)+100</f>
        <v>105.07366572348522</v>
      </c>
      <c r="J165" s="79">
        <f>(((Table134567891011121314151617343[[#This Row],[DEU]]-VLOOKUP($U$1,A:D,4,))/VLOOKUP($U$1,A:D,4,))*100)+100</f>
        <v>104.52127659534855</v>
      </c>
      <c r="K165" s="79">
        <f>(((Table134567891011121314151617343[[#This Row],[ESP]]-VLOOKUP($U$1,A:E,5,))/VLOOKUP($U$1,A:E,5,))*100)+100</f>
        <v>104.13381524724964</v>
      </c>
      <c r="L165" s="79">
        <f>(((Table134567891011121314151617343[[#This Row],[EA19]]-VLOOKUP($U$1,A:F,6,))/VLOOKUP($U$1,A:F,6,))*100)+100</f>
        <v>105.92841163310962</v>
      </c>
      <c r="M165" s="79">
        <f>(((Table134567891011121314151617343[[#This Row],[GBR]]-VLOOKUP($U$1,A:G,7,))/VLOOKUP($U$1,A:G,7,))*100)+100</f>
        <v>118.08634772472206</v>
      </c>
      <c r="N165" s="79">
        <f>VLOOKUP(A165,Database!$A:$AS,MATCH($N$1,Database!$A$1:$AS$1,0),FALSE)</f>
        <v>90.209881530999994</v>
      </c>
      <c r="O165" s="79">
        <f>(((Table134567891011121314151617343[[#This Row],[USA]]-VLOOKUP($U$1,A:N,14,))/VLOOKUP($U$1,A:N,14,))*100)+100</f>
        <v>103.85253954713045</v>
      </c>
      <c r="P165" s="79">
        <f>VLOOKUP(A165,Database!$A:$AS,MATCH($P$1,Database!$A$1:$AS$1,0),FALSE)</f>
        <v>100.427771193</v>
      </c>
      <c r="Q165" s="79">
        <f>(((Table134567891011121314151617343[[#This Row],[JPN]]-VLOOKUP($U$1,A:Q,16,))/VLOOKUP($U$1,A:Q,16,))*100)+100</f>
        <v>100.82742168422217</v>
      </c>
    </row>
    <row r="166" spans="1:17" s="83" customFormat="1" x14ac:dyDescent="0.2">
      <c r="A166" s="21">
        <v>37865</v>
      </c>
      <c r="B166" s="79">
        <f>VLOOKUP(A166,Database!$A:$AS,MATCH($B$1,Database!$A$1:$AS$1,0),FALSE)</f>
        <v>121.289892509</v>
      </c>
      <c r="C166" s="79">
        <f>VLOOKUP(A166,Database!$A:$AS,MATCH($C$1,Database!$A$1:$AS$1,0),FALSE)</f>
        <v>107.28</v>
      </c>
      <c r="D166" s="79">
        <f>VLOOKUP(A166,Database!$A:$AS,MATCH($D$1,Database!$A$1:$AS$1,0),FALSE)</f>
        <v>78.393467211000001</v>
      </c>
      <c r="E166" s="79">
        <f>VLOOKUP(A166,Database!$A:$AS,MATCH($E$1,Database!$A$1:$AS$1,0),FALSE)</f>
        <v>122.785102321</v>
      </c>
      <c r="F166" s="79">
        <f>VLOOKUP(A166,Database!$A:$AS,MATCH($F$1,Database!$A$1:$AS$1,0),FALSE)</f>
        <v>94.4</v>
      </c>
      <c r="G166" s="79">
        <f>VLOOKUP(A166,Database!$A:$AS,MATCH($G$1,Database!$A$1:$AS$1,0),FALSE)</f>
        <v>108.406524467</v>
      </c>
      <c r="H166" s="79">
        <f>(((Table134567891011121314151617343[[#This Row],[ITA]]-VLOOKUP($U$1,A:B,2,))/VLOOKUP($U$1,A:B,2,))*100)+100</f>
        <v>99.753289473752531</v>
      </c>
      <c r="I166" s="79">
        <f>(((Table134567891011121314151617343[[#This Row],[FRA]]-VLOOKUP($U$1,A:C,3,))/VLOOKUP($U$1,A:C,3,))*100)+100</f>
        <v>104.67362669528735</v>
      </c>
      <c r="J166" s="79">
        <f>(((Table134567891011121314151617343[[#This Row],[DEU]]-VLOOKUP($U$1,A:D,4,))/VLOOKUP($U$1,A:D,4,))*100)+100</f>
        <v>104.25531914817219</v>
      </c>
      <c r="K166" s="79">
        <f>(((Table134567891011121314151617343[[#This Row],[ESP]]-VLOOKUP($U$1,A:E,5,))/VLOOKUP($U$1,A:E,5,))*100)+100</f>
        <v>103.20669076222799</v>
      </c>
      <c r="L166" s="79">
        <f>(((Table134567891011121314151617343[[#This Row],[EA19]]-VLOOKUP($U$1,A:F,6,))/VLOOKUP($U$1,A:F,6,))*100)+100</f>
        <v>105.59284116331096</v>
      </c>
      <c r="M166" s="79">
        <f>(((Table134567891011121314151617343[[#This Row],[GBR]]-VLOOKUP($U$1,A:G,7,))/VLOOKUP($U$1,A:G,7,))*100)+100</f>
        <v>117.61960326720488</v>
      </c>
      <c r="N166" s="79">
        <f>VLOOKUP(A166,Database!$A:$AS,MATCH($N$1,Database!$A$1:$AS$1,0),FALSE)</f>
        <v>90.82798622</v>
      </c>
      <c r="O166" s="79">
        <f>(((Table134567891011121314151617343[[#This Row],[USA]]-VLOOKUP($U$1,A:N,14,))/VLOOKUP($U$1,A:N,14,))*100)+100</f>
        <v>104.56412169943137</v>
      </c>
      <c r="P166" s="79">
        <f>VLOOKUP(A166,Database!$A:$AS,MATCH($P$1,Database!$A$1:$AS$1,0),FALSE)</f>
        <v>103.471036986</v>
      </c>
      <c r="Q166" s="79">
        <f>(((Table134567891011121314151617343[[#This Row],[JPN]]-VLOOKUP($U$1,A:Q,16,))/VLOOKUP($U$1,A:Q,16,))*100)+100</f>
        <v>103.88279809816541</v>
      </c>
    </row>
    <row r="167" spans="1:17" s="83" customFormat="1" x14ac:dyDescent="0.2">
      <c r="A167" s="21">
        <v>37895</v>
      </c>
      <c r="B167" s="79">
        <f>VLOOKUP(A167,Database!$A:$AS,MATCH($B$1,Database!$A$1:$AS$1,0),FALSE)</f>
        <v>122.589784185</v>
      </c>
      <c r="C167" s="79">
        <f>VLOOKUP(A167,Database!$A:$AS,MATCH($C$1,Database!$A$1:$AS$1,0),FALSE)</f>
        <v>109.88</v>
      </c>
      <c r="D167" s="79">
        <f>VLOOKUP(A167,Database!$A:$AS,MATCH($D$1,Database!$A$1:$AS$1,0),FALSE)</f>
        <v>80.793267228000005</v>
      </c>
      <c r="E167" s="79">
        <f>VLOOKUP(A167,Database!$A:$AS,MATCH($E$1,Database!$A$1:$AS$1,0),FALSE)</f>
        <v>125.50310458600001</v>
      </c>
      <c r="F167" s="79">
        <f>VLOOKUP(A167,Database!$A:$AS,MATCH($F$1,Database!$A$1:$AS$1,0),FALSE)</f>
        <v>96.8</v>
      </c>
      <c r="G167" s="79">
        <f>VLOOKUP(A167,Database!$A:$AS,MATCH($G$1,Database!$A$1:$AS$1,0),FALSE)</f>
        <v>110.880086037</v>
      </c>
      <c r="H167" s="79">
        <f>(((Table134567891011121314151617343[[#This Row],[ITA]]-VLOOKUP($U$1,A:B,2,))/VLOOKUP($U$1,A:B,2,))*100)+100</f>
        <v>100.82236842137323</v>
      </c>
      <c r="I167" s="79">
        <f>(((Table134567891011121314151617343[[#This Row],[FRA]]-VLOOKUP($U$1,A:C,3,))/VLOOKUP($U$1,A:C,3,))*100)+100</f>
        <v>107.21045955702995</v>
      </c>
      <c r="J167" s="79">
        <f>(((Table134567891011121314151617343[[#This Row],[DEU]]-VLOOKUP($U$1,A:D,4,))/VLOOKUP($U$1,A:D,4,))*100)+100</f>
        <v>107.44680851029877</v>
      </c>
      <c r="K167" s="79">
        <f>(((Table134567891011121314151617343[[#This Row],[ESP]]-VLOOKUP($U$1,A:E,5,))/VLOOKUP($U$1,A:E,5,))*100)+100</f>
        <v>105.49130032765827</v>
      </c>
      <c r="L167" s="79">
        <f>(((Table134567891011121314151617343[[#This Row],[EA19]]-VLOOKUP($U$1,A:F,6,))/VLOOKUP($U$1,A:F,6,))*100)+100</f>
        <v>108.27740492170021</v>
      </c>
      <c r="M167" s="79">
        <f>(((Table134567891011121314151617343[[#This Row],[GBR]]-VLOOKUP($U$1,A:G,7,))/VLOOKUP($U$1,A:G,7,))*100)+100</f>
        <v>120.30338389711493</v>
      </c>
      <c r="N167" s="79">
        <f>VLOOKUP(A167,Database!$A:$AS,MATCH($N$1,Database!$A$1:$AS$1,0),FALSE)</f>
        <v>90.928790015000004</v>
      </c>
      <c r="O167" s="79">
        <f>(((Table134567891011121314151617343[[#This Row],[USA]]-VLOOKUP($U$1,A:N,14,))/VLOOKUP($U$1,A:N,14,))*100)+100</f>
        <v>104.68017029553933</v>
      </c>
      <c r="P167" s="79">
        <f>VLOOKUP(A167,Database!$A:$AS,MATCH($P$1,Database!$A$1:$AS$1,0),FALSE)</f>
        <v>104.666605691</v>
      </c>
      <c r="Q167" s="79">
        <f>(((Table134567891011121314151617343[[#This Row],[JPN]]-VLOOKUP($U$1,A:Q,16,))/VLOOKUP($U$1,A:Q,16,))*100)+100</f>
        <v>105.08312454710982</v>
      </c>
    </row>
    <row r="168" spans="1:17" s="83" customFormat="1" x14ac:dyDescent="0.2">
      <c r="A168" s="21">
        <v>37926</v>
      </c>
      <c r="B168" s="79">
        <f>VLOOKUP(A168,Database!$A:$AS,MATCH($B$1,Database!$A$1:$AS$1,0),FALSE)</f>
        <v>123.989667528</v>
      </c>
      <c r="C168" s="79">
        <f>VLOOKUP(A168,Database!$A:$AS,MATCH($C$1,Database!$A$1:$AS$1,0),FALSE)</f>
        <v>107.75</v>
      </c>
      <c r="D168" s="79">
        <f>VLOOKUP(A168,Database!$A:$AS,MATCH($D$1,Database!$A$1:$AS$1,0),FALSE)</f>
        <v>81.593200566999997</v>
      </c>
      <c r="E168" s="79">
        <f>VLOOKUP(A168,Database!$A:$AS,MATCH($E$1,Database!$A$1:$AS$1,0),FALSE)</f>
        <v>124.46510372100001</v>
      </c>
      <c r="F168" s="79">
        <f>VLOOKUP(A168,Database!$A:$AS,MATCH($F$1,Database!$A$1:$AS$1,0),FALSE)</f>
        <v>96.5</v>
      </c>
      <c r="G168" s="79">
        <f>VLOOKUP(A168,Database!$A:$AS,MATCH($G$1,Database!$A$1:$AS$1,0),FALSE)</f>
        <v>107.43860907</v>
      </c>
      <c r="H168" s="79">
        <f>(((Table134567891011121314151617343[[#This Row],[ITA]]-VLOOKUP($U$1,A:B,2,))/VLOOKUP($U$1,A:B,2,))*100)+100</f>
        <v>101.97368421080228</v>
      </c>
      <c r="I168" s="79">
        <f>(((Table134567891011121314151617343[[#This Row],[FRA]]-VLOOKUP($U$1,A:C,3,))/VLOOKUP($U$1,A:C,3,))*100)+100</f>
        <v>105.13220802029467</v>
      </c>
      <c r="J168" s="79">
        <f>(((Table134567891011121314151617343[[#This Row],[DEU]]-VLOOKUP($U$1,A:D,4,))/VLOOKUP($U$1,A:D,4,))*100)+100</f>
        <v>108.51063829767428</v>
      </c>
      <c r="K168" s="79">
        <f>(((Table134567891011121314151617343[[#This Row],[ESP]]-VLOOKUP($U$1,A:E,5,))/VLOOKUP($U$1,A:E,5,))*100)+100</f>
        <v>104.6188114649222</v>
      </c>
      <c r="L168" s="79">
        <f>(((Table134567891011121314151617343[[#This Row],[EA19]]-VLOOKUP($U$1,A:F,6,))/VLOOKUP($U$1,A:F,6,))*100)+100</f>
        <v>107.94183445190156</v>
      </c>
      <c r="M168" s="79">
        <f>(((Table134567891011121314151617343[[#This Row],[GBR]]-VLOOKUP($U$1,A:G,7,))/VLOOKUP($U$1,A:G,7,))*100)+100</f>
        <v>116.56942823806247</v>
      </c>
      <c r="N168" s="79">
        <f>VLOOKUP(A168,Database!$A:$AS,MATCH($N$1,Database!$A$1:$AS$1,0),FALSE)</f>
        <v>91.536685469999995</v>
      </c>
      <c r="O168" s="79">
        <f>(((Table134567891011121314151617343[[#This Row],[USA]]-VLOOKUP($U$1,A:N,14,))/VLOOKUP($U$1,A:N,14,))*100)+100</f>
        <v>105.37999924675253</v>
      </c>
      <c r="P168" s="79">
        <f>VLOOKUP(A168,Database!$A:$AS,MATCH($P$1,Database!$A$1:$AS$1,0),FALSE)</f>
        <v>104.883981819</v>
      </c>
      <c r="Q168" s="79">
        <f>(((Table134567891011121314151617343[[#This Row],[JPN]]-VLOOKUP($U$1,A:Q,16,))/VLOOKUP($U$1,A:Q,16,))*100)+100</f>
        <v>105.30136571946261</v>
      </c>
    </row>
    <row r="169" spans="1:17" s="83" customFormat="1" x14ac:dyDescent="0.2">
      <c r="A169" s="21">
        <v>37956</v>
      </c>
      <c r="B169" s="79">
        <f>VLOOKUP(A169,Database!$A:$AS,MATCH($B$1,Database!$A$1:$AS$1,0),FALSE)</f>
        <v>124.089659195</v>
      </c>
      <c r="C169" s="79">
        <f>VLOOKUP(A169,Database!$A:$AS,MATCH($C$1,Database!$A$1:$AS$1,0),FALSE)</f>
        <v>108.4</v>
      </c>
      <c r="D169" s="79">
        <f>VLOOKUP(A169,Database!$A:$AS,MATCH($D$1,Database!$A$1:$AS$1,0),FALSE)</f>
        <v>81.993167236000005</v>
      </c>
      <c r="E169" s="79">
        <f>VLOOKUP(A169,Database!$A:$AS,MATCH($E$1,Database!$A$1:$AS$1,0),FALSE)</f>
        <v>123.445102871</v>
      </c>
      <c r="F169" s="79">
        <f>VLOOKUP(A169,Database!$A:$AS,MATCH($F$1,Database!$A$1:$AS$1,0),FALSE)</f>
        <v>96.8</v>
      </c>
      <c r="G169" s="79">
        <f>VLOOKUP(A169,Database!$A:$AS,MATCH($G$1,Database!$A$1:$AS$1,0),FALSE)</f>
        <v>103.244309016</v>
      </c>
      <c r="H169" s="79">
        <f>(((Table134567891011121314151617343[[#This Row],[ITA]]-VLOOKUP($U$1,A:B,2,))/VLOOKUP($U$1,A:B,2,))*100)+100</f>
        <v>102.05592105261061</v>
      </c>
      <c r="I169" s="79">
        <f>(((Table134567891011121314151617343[[#This Row],[FRA]]-VLOOKUP($U$1,A:C,3,))/VLOOKUP($U$1,A:C,3,))*100)+100</f>
        <v>105.76641623573033</v>
      </c>
      <c r="J169" s="79">
        <f>(((Table134567891011121314151617343[[#This Row],[DEU]]-VLOOKUP($U$1,A:D,4,))/VLOOKUP($U$1,A:D,4,))*100)+100</f>
        <v>109.04255319069709</v>
      </c>
      <c r="K169" s="79">
        <f>(((Table134567891011121314151617343[[#This Row],[ESP]]-VLOOKUP($U$1,A:E,5,))/VLOOKUP($U$1,A:E,5,))*100)+100</f>
        <v>103.76145246685786</v>
      </c>
      <c r="L169" s="79">
        <f>(((Table134567891011121314151617343[[#This Row],[EA19]]-VLOOKUP($U$1,A:F,6,))/VLOOKUP($U$1,A:F,6,))*100)+100</f>
        <v>108.27740492170021</v>
      </c>
      <c r="M169" s="79">
        <f>(((Table134567891011121314151617343[[#This Row],[GBR]]-VLOOKUP($U$1,A:G,7,))/VLOOKUP($U$1,A:G,7,))*100)+100</f>
        <v>112.01866977808371</v>
      </c>
      <c r="N169" s="79">
        <f>VLOOKUP(A169,Database!$A:$AS,MATCH($N$1,Database!$A$1:$AS$1,0),FALSE)</f>
        <v>91.587632521000003</v>
      </c>
      <c r="O169" s="79">
        <f>(((Table134567891011121314151617343[[#This Row],[USA]]-VLOOKUP($U$1,A:N,14,))/VLOOKUP($U$1,A:N,14,))*100)+100</f>
        <v>105.43865114318552</v>
      </c>
      <c r="P169" s="79">
        <f>VLOOKUP(A169,Database!$A:$AS,MATCH($P$1,Database!$A$1:$AS$1,0),FALSE)</f>
        <v>104.55791762699999</v>
      </c>
      <c r="Q169" s="79">
        <f>(((Table134567891011121314151617343[[#This Row],[JPN]]-VLOOKUP($U$1,A:Q,16,))/VLOOKUP($U$1,A:Q,16,))*100)+100</f>
        <v>104.9740039609334</v>
      </c>
    </row>
    <row r="170" spans="1:17" s="83" customFormat="1" x14ac:dyDescent="0.2">
      <c r="A170" s="21">
        <v>37987</v>
      </c>
      <c r="B170" s="79">
        <f>VLOOKUP(A170,Database!$A:$AS,MATCH($B$1,Database!$A$1:$AS$1,0),FALSE)</f>
        <v>124.089659195</v>
      </c>
      <c r="C170" s="79">
        <f>VLOOKUP(A170,Database!$A:$AS,MATCH($C$1,Database!$A$1:$AS$1,0),FALSE)</f>
        <v>109.1</v>
      </c>
      <c r="D170" s="79">
        <f>VLOOKUP(A170,Database!$A:$AS,MATCH($D$1,Database!$A$1:$AS$1,0),FALSE)</f>
        <v>81.293225565</v>
      </c>
      <c r="E170" s="79">
        <f>VLOOKUP(A170,Database!$A:$AS,MATCH($E$1,Database!$A$1:$AS$1,0),FALSE)</f>
        <v>123.71910309899999</v>
      </c>
      <c r="F170" s="79">
        <f>VLOOKUP(A170,Database!$A:$AS,MATCH($F$1,Database!$A$1:$AS$1,0),FALSE)</f>
        <v>96.7</v>
      </c>
      <c r="G170" s="79">
        <f>VLOOKUP(A170,Database!$A:$AS,MATCH($G$1,Database!$A$1:$AS$1,0),FALSE)</f>
        <v>100.01792435900001</v>
      </c>
      <c r="H170" s="79">
        <f>(((Table134567891011121314151617343[[#This Row],[ITA]]-VLOOKUP($U$1,A:B,2,))/VLOOKUP($U$1,A:B,2,))*100)+100</f>
        <v>102.05592105261061</v>
      </c>
      <c r="I170" s="79">
        <f>(((Table134567891011121314151617343[[#This Row],[FRA]]-VLOOKUP($U$1,A:C,3,))/VLOOKUP($U$1,A:C,3,))*100)+100</f>
        <v>106.44940969850717</v>
      </c>
      <c r="J170" s="79">
        <f>(((Table134567891011121314151617343[[#This Row],[DEU]]-VLOOKUP($U$1,A:D,4,))/VLOOKUP($U$1,A:D,4,))*100)+100</f>
        <v>108.11170212757469</v>
      </c>
      <c r="K170" s="79">
        <f>(((Table134567891011121314151617343[[#This Row],[ESP]]-VLOOKUP($U$1,A:E,5,))/VLOOKUP($U$1,A:E,5,))*100)+100</f>
        <v>103.9917626288028</v>
      </c>
      <c r="L170" s="79">
        <f>(((Table134567891011121314151617343[[#This Row],[EA19]]-VLOOKUP($U$1,A:F,6,))/VLOOKUP($U$1,A:F,6,))*100)+100</f>
        <v>108.165548098434</v>
      </c>
      <c r="M170" s="79">
        <f>(((Table134567891011121314151617343[[#This Row],[GBR]]-VLOOKUP($U$1,A:G,7,))/VLOOKUP($U$1,A:G,7,))*100)+100</f>
        <v>108.51808634724735</v>
      </c>
      <c r="N170" s="79">
        <f>VLOOKUP(A170,Database!$A:$AS,MATCH($N$1,Database!$A$1:$AS$1,0),FALSE)</f>
        <v>91.748601413000003</v>
      </c>
      <c r="O170" s="79">
        <f>(((Table134567891011121314151617343[[#This Row],[USA]]-VLOOKUP($U$1,A:N,14,))/VLOOKUP($U$1,A:N,14,))*100)+100</f>
        <v>105.62396374906166</v>
      </c>
      <c r="P170" s="79">
        <f>VLOOKUP(A170,Database!$A:$AS,MATCH($P$1,Database!$A$1:$AS$1,0),FALSE)</f>
        <v>106.405614716</v>
      </c>
      <c r="Q170" s="79">
        <f>(((Table134567891011121314151617343[[#This Row],[JPN]]-VLOOKUP($U$1,A:Q,16,))/VLOOKUP($U$1,A:Q,16,))*100)+100</f>
        <v>106.82905392693623</v>
      </c>
    </row>
    <row r="171" spans="1:17" s="83" customFormat="1" x14ac:dyDescent="0.2">
      <c r="A171" s="21">
        <v>38018</v>
      </c>
      <c r="B171" s="79">
        <f>VLOOKUP(A171,Database!$A:$AS,MATCH($B$1,Database!$A$1:$AS$1,0),FALSE)</f>
        <v>123.689692526</v>
      </c>
      <c r="C171" s="79">
        <f>VLOOKUP(A171,Database!$A:$AS,MATCH($C$1,Database!$A$1:$AS$1,0),FALSE)</f>
        <v>110.19</v>
      </c>
      <c r="D171" s="79">
        <f>VLOOKUP(A171,Database!$A:$AS,MATCH($D$1,Database!$A$1:$AS$1,0),FALSE)</f>
        <v>81.693192233999994</v>
      </c>
      <c r="E171" s="79">
        <f>VLOOKUP(A171,Database!$A:$AS,MATCH($E$1,Database!$A$1:$AS$1,0),FALSE)</f>
        <v>124.14110345100001</v>
      </c>
      <c r="F171" s="79">
        <f>VLOOKUP(A171,Database!$A:$AS,MATCH($F$1,Database!$A$1:$AS$1,0),FALSE)</f>
        <v>97.1</v>
      </c>
      <c r="G171" s="79">
        <f>VLOOKUP(A171,Database!$A:$AS,MATCH($G$1,Database!$A$1:$AS$1,0),FALSE)</f>
        <v>100.44810898</v>
      </c>
      <c r="H171" s="79">
        <f>(((Table134567891011121314151617343[[#This Row],[ITA]]-VLOOKUP($U$1,A:B,2,))/VLOOKUP($U$1,A:B,2,))*100)+100</f>
        <v>101.72697368455479</v>
      </c>
      <c r="I171" s="79">
        <f>(((Table134567891011121314151617343[[#This Row],[FRA]]-VLOOKUP($U$1,A:C,3,))/VLOOKUP($U$1,A:C,3,))*100)+100</f>
        <v>107.51292809054542</v>
      </c>
      <c r="J171" s="79">
        <f>(((Table134567891011121314151617343[[#This Row],[DEU]]-VLOOKUP($U$1,A:D,4,))/VLOOKUP($U$1,A:D,4,))*100)+100</f>
        <v>108.6436170205975</v>
      </c>
      <c r="K171" s="79">
        <f>(((Table134567891011121314151617343[[#This Row],[ESP]]-VLOOKUP($U$1,A:E,5,))/VLOOKUP($U$1,A:E,5,))*100)+100</f>
        <v>104.34647390083119</v>
      </c>
      <c r="L171" s="79">
        <f>(((Table134567891011121314151617343[[#This Row],[EA19]]-VLOOKUP($U$1,A:F,6,))/VLOOKUP($U$1,A:F,6,))*100)+100</f>
        <v>108.61297539149886</v>
      </c>
      <c r="M171" s="79">
        <f>(((Table134567891011121314151617343[[#This Row],[GBR]]-VLOOKUP($U$1,A:G,7,))/VLOOKUP($U$1,A:G,7,))*100)+100</f>
        <v>108.98483080476451</v>
      </c>
      <c r="N171" s="79">
        <f>VLOOKUP(A171,Database!$A:$AS,MATCH($N$1,Database!$A$1:$AS$1,0),FALSE)</f>
        <v>92.288699625000007</v>
      </c>
      <c r="O171" s="79">
        <f>(((Table134567891011121314151617343[[#This Row],[USA]]-VLOOKUP($U$1,A:N,14,))/VLOOKUP($U$1,A:N,14,))*100)+100</f>
        <v>106.2457423166545</v>
      </c>
      <c r="P171" s="79">
        <f>VLOOKUP(A171,Database!$A:$AS,MATCH($P$1,Database!$A$1:$AS$1,0),FALSE)</f>
        <v>106.079550524</v>
      </c>
      <c r="Q171" s="79">
        <f>(((Table134567891011121314151617343[[#This Row],[JPN]]-VLOOKUP($U$1,A:Q,16,))/VLOOKUP($U$1,A:Q,16,))*100)+100</f>
        <v>106.50169216840702</v>
      </c>
    </row>
    <row r="172" spans="1:17" s="83" customFormat="1" x14ac:dyDescent="0.2">
      <c r="A172" s="21">
        <v>38047</v>
      </c>
      <c r="B172" s="79">
        <f>VLOOKUP(A172,Database!$A:$AS,MATCH($B$1,Database!$A$1:$AS$1,0),FALSE)</f>
        <v>121.489875844</v>
      </c>
      <c r="C172" s="79">
        <f>VLOOKUP(A172,Database!$A:$AS,MATCH($C$1,Database!$A$1:$AS$1,0),FALSE)</f>
        <v>109.83</v>
      </c>
      <c r="D172" s="79">
        <f>VLOOKUP(A172,Database!$A:$AS,MATCH($D$1,Database!$A$1:$AS$1,0),FALSE)</f>
        <v>81.193233896999999</v>
      </c>
      <c r="E172" s="79">
        <f>VLOOKUP(A172,Database!$A:$AS,MATCH($E$1,Database!$A$1:$AS$1,0),FALSE)</f>
        <v>126.238105198</v>
      </c>
      <c r="F172" s="79">
        <f>VLOOKUP(A172,Database!$A:$AS,MATCH($F$1,Database!$A$1:$AS$1,0),FALSE)</f>
        <v>96.9</v>
      </c>
      <c r="G172" s="79">
        <f>VLOOKUP(A172,Database!$A:$AS,MATCH($G$1,Database!$A$1:$AS$1,0),FALSE)</f>
        <v>101.30847822200001</v>
      </c>
      <c r="H172" s="79">
        <f>(((Table134567891011121314151617343[[#This Row],[ITA]]-VLOOKUP($U$1,A:B,2,))/VLOOKUP($U$1,A:B,2,))*100)+100</f>
        <v>99.917763158191661</v>
      </c>
      <c r="I172" s="79">
        <f>(((Table134567891011121314151617343[[#This Row],[FRA]]-VLOOKUP($U$1,A:C,3,))/VLOOKUP($U$1,A:C,3,))*100)+100</f>
        <v>107.16167430968875</v>
      </c>
      <c r="J172" s="79">
        <f>(((Table134567891011121314151617343[[#This Row],[DEU]]-VLOOKUP($U$1,A:D,4,))/VLOOKUP($U$1,A:D,4,))*100)+100</f>
        <v>107.97872340332157</v>
      </c>
      <c r="K172" s="79">
        <f>(((Table134567891011121314151617343[[#This Row],[ESP]]-VLOOKUP($U$1,A:E,5,))/VLOOKUP($U$1,A:E,5,))*100)+100</f>
        <v>106.1091031346667</v>
      </c>
      <c r="L172" s="79">
        <f>(((Table134567891011121314151617343[[#This Row],[EA19]]-VLOOKUP($U$1,A:F,6,))/VLOOKUP($U$1,A:F,6,))*100)+100</f>
        <v>108.38926174496645</v>
      </c>
      <c r="M172" s="79">
        <f>(((Table134567891011121314151617343[[#This Row],[GBR]]-VLOOKUP($U$1,A:G,7,))/VLOOKUP($U$1,A:G,7,))*100)+100</f>
        <v>109.91831971979889</v>
      </c>
      <c r="N172" s="79">
        <f>VLOOKUP(A172,Database!$A:$AS,MATCH($N$1,Database!$A$1:$AS$1,0),FALSE)</f>
        <v>91.923050459999999</v>
      </c>
      <c r="O172" s="79">
        <f>(((Table134567891011121314151617343[[#This Row],[USA]]-VLOOKUP($U$1,A:N,14,))/VLOOKUP($U$1,A:N,14,))*100)+100</f>
        <v>105.82479514629945</v>
      </c>
      <c r="P172" s="79">
        <f>VLOOKUP(A172,Database!$A:$AS,MATCH($P$1,Database!$A$1:$AS$1,0),FALSE)</f>
        <v>105.536110204</v>
      </c>
      <c r="Q172" s="79">
        <f>(((Table134567891011121314151617343[[#This Row],[JPN]]-VLOOKUP($U$1,A:Q,16,))/VLOOKUP($U$1,A:Q,16,))*100)+100</f>
        <v>105.95608923752501</v>
      </c>
    </row>
    <row r="173" spans="1:17" s="83" customFormat="1" x14ac:dyDescent="0.2">
      <c r="A173" s="21">
        <v>38078</v>
      </c>
      <c r="B173" s="79">
        <f>VLOOKUP(A173,Database!$A:$AS,MATCH($B$1,Database!$A$1:$AS$1,0),FALSE)</f>
        <v>123.789684193</v>
      </c>
      <c r="C173" s="79">
        <f>VLOOKUP(A173,Database!$A:$AS,MATCH($C$1,Database!$A$1:$AS$1,0),FALSE)</f>
        <v>109.86</v>
      </c>
      <c r="D173" s="79">
        <f>VLOOKUP(A173,Database!$A:$AS,MATCH($D$1,Database!$A$1:$AS$1,0),FALSE)</f>
        <v>82.393133906000003</v>
      </c>
      <c r="E173" s="79">
        <f>VLOOKUP(A173,Database!$A:$AS,MATCH($E$1,Database!$A$1:$AS$1,0),FALSE)</f>
        <v>125.442104535</v>
      </c>
      <c r="F173" s="79">
        <f>VLOOKUP(A173,Database!$A:$AS,MATCH($F$1,Database!$A$1:$AS$1,0),FALSE)</f>
        <v>97.8</v>
      </c>
      <c r="G173" s="79">
        <f>VLOOKUP(A173,Database!$A:$AS,MATCH($G$1,Database!$A$1:$AS$1,0),FALSE)</f>
        <v>102.061301308</v>
      </c>
      <c r="H173" s="79">
        <f>(((Table134567891011121314151617343[[#This Row],[ITA]]-VLOOKUP($U$1,A:B,2,))/VLOOKUP($U$1,A:B,2,))*100)+100</f>
        <v>101.80921052636313</v>
      </c>
      <c r="I173" s="79">
        <f>(((Table134567891011121314151617343[[#This Row],[FRA]]-VLOOKUP($U$1,A:C,3,))/VLOOKUP($U$1,A:C,3,))*100)+100</f>
        <v>107.19094545809348</v>
      </c>
      <c r="J173" s="79">
        <f>(((Table134567891011121314151617343[[#This Row],[DEU]]-VLOOKUP($U$1,A:D,4,))/VLOOKUP($U$1,A:D,4,))*100)+100</f>
        <v>109.5744680850498</v>
      </c>
      <c r="K173" s="79">
        <f>(((Table134567891011121314151617343[[#This Row],[ESP]]-VLOOKUP($U$1,A:E,5,))/VLOOKUP($U$1,A:E,5,))*100)+100</f>
        <v>105.44002689724178</v>
      </c>
      <c r="L173" s="79">
        <f>(((Table134567891011121314151617343[[#This Row],[EA19]]-VLOOKUP($U$1,A:F,6,))/VLOOKUP($U$1,A:F,6,))*100)+100</f>
        <v>109.39597315436241</v>
      </c>
      <c r="M173" s="79">
        <f>(((Table134567891011121314151617343[[#This Row],[GBR]]-VLOOKUP($U$1,A:G,7,))/VLOOKUP($U$1,A:G,7,))*100)+100</f>
        <v>110.7351225196402</v>
      </c>
      <c r="N173" s="79">
        <f>VLOOKUP(A173,Database!$A:$AS,MATCH($N$1,Database!$A$1:$AS$1,0),FALSE)</f>
        <v>92.304855986000007</v>
      </c>
      <c r="O173" s="79">
        <f>(((Table134567891011121314151617343[[#This Row],[USA]]-VLOOKUP($U$1,A:N,14,))/VLOOKUP($U$1,A:N,14,))*100)+100</f>
        <v>106.26434204310591</v>
      </c>
      <c r="P173" s="79">
        <f>VLOOKUP(A173,Database!$A:$AS,MATCH($P$1,Database!$A$1:$AS$1,0),FALSE)</f>
        <v>107.383807293</v>
      </c>
      <c r="Q173" s="79">
        <f>(((Table134567891011121314151617343[[#This Row],[JPN]]-VLOOKUP($U$1,A:Q,16,))/VLOOKUP($U$1,A:Q,16,))*100)+100</f>
        <v>107.81113920352783</v>
      </c>
    </row>
    <row r="174" spans="1:17" s="83" customFormat="1" x14ac:dyDescent="0.2">
      <c r="A174" s="21">
        <v>38108</v>
      </c>
      <c r="B174" s="79">
        <f>VLOOKUP(A174,Database!$A:$AS,MATCH($B$1,Database!$A$1:$AS$1,0),FALSE)</f>
        <v>123.489709191</v>
      </c>
      <c r="C174" s="79">
        <f>VLOOKUP(A174,Database!$A:$AS,MATCH($C$1,Database!$A$1:$AS$1,0),FALSE)</f>
        <v>109.26</v>
      </c>
      <c r="D174" s="79">
        <f>VLOOKUP(A174,Database!$A:$AS,MATCH($D$1,Database!$A$1:$AS$1,0),FALSE)</f>
        <v>83.293058912000006</v>
      </c>
      <c r="E174" s="79">
        <f>VLOOKUP(A174,Database!$A:$AS,MATCH($E$1,Database!$A$1:$AS$1,0),FALSE)</f>
        <v>126.12610510499999</v>
      </c>
      <c r="F174" s="79">
        <f>VLOOKUP(A174,Database!$A:$AS,MATCH($F$1,Database!$A$1:$AS$1,0),FALSE)</f>
        <v>97.9</v>
      </c>
      <c r="G174" s="79">
        <f>VLOOKUP(A174,Database!$A:$AS,MATCH($G$1,Database!$A$1:$AS$1,0),FALSE)</f>
        <v>103.78203979200001</v>
      </c>
      <c r="H174" s="79">
        <f>(((Table134567891011121314151617343[[#This Row],[ITA]]-VLOOKUP($U$1,A:B,2,))/VLOOKUP($U$1,A:B,2,))*100)+100</f>
        <v>101.56250000011566</v>
      </c>
      <c r="I174" s="79">
        <f>(((Table134567891011121314151617343[[#This Row],[FRA]]-VLOOKUP($U$1,A:C,3,))/VLOOKUP($U$1,A:C,3,))*100)+100</f>
        <v>106.60552248999903</v>
      </c>
      <c r="J174" s="79">
        <f>(((Table134567891011121314151617343[[#This Row],[DEU]]-VLOOKUP($U$1,A:D,4,))/VLOOKUP($U$1,A:D,4,))*100)+100</f>
        <v>110.77127659534855</v>
      </c>
      <c r="K174" s="79">
        <f>(((Table134567891011121314151617343[[#This Row],[ESP]]-VLOOKUP($U$1,A:E,5,))/VLOOKUP($U$1,A:E,5,))*100)+100</f>
        <v>106.01496175476727</v>
      </c>
      <c r="L174" s="79">
        <f>(((Table134567891011121314151617343[[#This Row],[EA19]]-VLOOKUP($U$1,A:F,6,))/VLOOKUP($U$1,A:F,6,))*100)+100</f>
        <v>109.50782997762863</v>
      </c>
      <c r="M174" s="79">
        <f>(((Table134567891011121314151617343[[#This Row],[GBR]]-VLOOKUP($U$1,A:G,7,))/VLOOKUP($U$1,A:G,7,))*100)+100</f>
        <v>112.60210034970893</v>
      </c>
      <c r="N174" s="79">
        <f>VLOOKUP(A174,Database!$A:$AS,MATCH($N$1,Database!$A$1:$AS$1,0),FALSE)</f>
        <v>92.970438568000006</v>
      </c>
      <c r="O174" s="79">
        <f>(((Table134567891011121314151617343[[#This Row],[USA]]-VLOOKUP($U$1,A:N,14,))/VLOOKUP($U$1,A:N,14,))*100)+100</f>
        <v>107.03058228470609</v>
      </c>
      <c r="P174" s="79">
        <f>VLOOKUP(A174,Database!$A:$AS,MATCH($P$1,Database!$A$1:$AS$1,0),FALSE)</f>
        <v>107.492495357</v>
      </c>
      <c r="Q174" s="79">
        <f>(((Table134567891011121314151617343[[#This Row],[JPN]]-VLOOKUP($U$1,A:Q,16,))/VLOOKUP($U$1,A:Q,16,))*100)+100</f>
        <v>107.92025978970422</v>
      </c>
    </row>
    <row r="175" spans="1:17" s="83" customFormat="1" x14ac:dyDescent="0.2">
      <c r="A175" s="21">
        <v>38139</v>
      </c>
      <c r="B175" s="79">
        <f>VLOOKUP(A175,Database!$A:$AS,MATCH($B$1,Database!$A$1:$AS$1,0),FALSE)</f>
        <v>122.78976751899999</v>
      </c>
      <c r="C175" s="79">
        <f>VLOOKUP(A175,Database!$A:$AS,MATCH($C$1,Database!$A$1:$AS$1,0),FALSE)</f>
        <v>110.32</v>
      </c>
      <c r="D175" s="79">
        <f>VLOOKUP(A175,Database!$A:$AS,MATCH($D$1,Database!$A$1:$AS$1,0),FALSE)</f>
        <v>82.693108907999999</v>
      </c>
      <c r="E175" s="79">
        <f>VLOOKUP(A175,Database!$A:$AS,MATCH($E$1,Database!$A$1:$AS$1,0),FALSE)</f>
        <v>126.784105653</v>
      </c>
      <c r="F175" s="79">
        <f>VLOOKUP(A175,Database!$A:$AS,MATCH($F$1,Database!$A$1:$AS$1,0),FALSE)</f>
        <v>97.8</v>
      </c>
      <c r="G175" s="79">
        <f>VLOOKUP(A175,Database!$A:$AS,MATCH($G$1,Database!$A$1:$AS$1,0),FALSE)</f>
        <v>105.610324431</v>
      </c>
      <c r="H175" s="79">
        <f>(((Table134567891011121314151617343[[#This Row],[ITA]]-VLOOKUP($U$1,A:B,2,))/VLOOKUP($U$1,A:B,2,))*100)+100</f>
        <v>100.98684210498992</v>
      </c>
      <c r="I175" s="79">
        <f>(((Table134567891011121314151617343[[#This Row],[FRA]]-VLOOKUP($U$1,A:C,3,))/VLOOKUP($U$1,A:C,3,))*100)+100</f>
        <v>107.63976973363255</v>
      </c>
      <c r="J175" s="79">
        <f>(((Table134567891011121314151617343[[#This Row],[DEU]]-VLOOKUP($U$1,A:D,4,))/VLOOKUP($U$1,A:D,4,))*100)+100</f>
        <v>109.97340425514938</v>
      </c>
      <c r="K175" s="79">
        <f>(((Table134567891011121314151617343[[#This Row],[ESP]]-VLOOKUP($U$1,A:E,5,))/VLOOKUP($U$1,A:E,5,))*100)+100</f>
        <v>106.56804236304231</v>
      </c>
      <c r="L175" s="79">
        <f>(((Table134567891011121314151617343[[#This Row],[EA19]]-VLOOKUP($U$1,A:F,6,))/VLOOKUP($U$1,A:F,6,))*100)+100</f>
        <v>109.39597315436241</v>
      </c>
      <c r="M175" s="79">
        <f>(((Table134567891011121314151617343[[#This Row],[GBR]]-VLOOKUP($U$1,A:G,7,))/VLOOKUP($U$1,A:G,7,))*100)+100</f>
        <v>114.58576429388569</v>
      </c>
      <c r="N175" s="79">
        <f>VLOOKUP(A175,Database!$A:$AS,MATCH($N$1,Database!$A$1:$AS$1,0),FALSE)</f>
        <v>92.247565332999997</v>
      </c>
      <c r="O175" s="79">
        <f>(((Table134567891011121314151617343[[#This Row],[USA]]-VLOOKUP($U$1,A:N,14,))/VLOOKUP($U$1,A:N,14,))*100)+100</f>
        <v>106.19838718643847</v>
      </c>
      <c r="P175" s="79">
        <f>VLOOKUP(A175,Database!$A:$AS,MATCH($P$1,Database!$A$1:$AS$1,0),FALSE)</f>
        <v>107.818559549</v>
      </c>
      <c r="Q175" s="79">
        <f>(((Table134567891011121314151617343[[#This Row],[JPN]]-VLOOKUP($U$1,A:Q,16,))/VLOOKUP($U$1,A:Q,16,))*100)+100</f>
        <v>108.24762154823343</v>
      </c>
    </row>
    <row r="176" spans="1:17" s="83" customFormat="1" x14ac:dyDescent="0.2">
      <c r="A176" s="21">
        <v>38169</v>
      </c>
      <c r="B176" s="79">
        <f>VLOOKUP(A176,Database!$A:$AS,MATCH($B$1,Database!$A$1:$AS$1,0),FALSE)</f>
        <v>123.08974252100001</v>
      </c>
      <c r="C176" s="79">
        <f>VLOOKUP(A176,Database!$A:$AS,MATCH($C$1,Database!$A$1:$AS$1,0),FALSE)</f>
        <v>110.78</v>
      </c>
      <c r="D176" s="79">
        <f>VLOOKUP(A176,Database!$A:$AS,MATCH($D$1,Database!$A$1:$AS$1,0),FALSE)</f>
        <v>83.693025581000001</v>
      </c>
      <c r="E176" s="79">
        <f>VLOOKUP(A176,Database!$A:$AS,MATCH($E$1,Database!$A$1:$AS$1,0),FALSE)</f>
        <v>126.762105635</v>
      </c>
      <c r="F176" s="79">
        <f>VLOOKUP(A176,Database!$A:$AS,MATCH($F$1,Database!$A$1:$AS$1,0),FALSE)</f>
        <v>98.7</v>
      </c>
      <c r="G176" s="79">
        <f>VLOOKUP(A176,Database!$A:$AS,MATCH($G$1,Database!$A$1:$AS$1,0),FALSE)</f>
        <v>104.857501344</v>
      </c>
      <c r="H176" s="79">
        <f>(((Table134567891011121314151617343[[#This Row],[ITA]]-VLOOKUP($U$1,A:B,2,))/VLOOKUP($U$1,A:B,2,))*100)+100</f>
        <v>101.2335526312374</v>
      </c>
      <c r="I176" s="79">
        <f>(((Table134567891011121314151617343[[#This Row],[FRA]]-VLOOKUP($U$1,A:C,3,))/VLOOKUP($U$1,A:C,3,))*100)+100</f>
        <v>108.08859400917163</v>
      </c>
      <c r="J176" s="79">
        <f>(((Table134567891011121314151617343[[#This Row],[DEU]]-VLOOKUP($U$1,A:D,4,))/VLOOKUP($U$1,A:D,4,))*100)+100</f>
        <v>111.30319148837137</v>
      </c>
      <c r="K176" s="79">
        <f>(((Table134567891011121314151617343[[#This Row],[ESP]]-VLOOKUP($U$1,A:E,5,))/VLOOKUP($U$1,A:E,5,))*100)+100</f>
        <v>106.5495503065015</v>
      </c>
      <c r="L176" s="79">
        <f>(((Table134567891011121314151617343[[#This Row],[EA19]]-VLOOKUP($U$1,A:F,6,))/VLOOKUP($U$1,A:F,6,))*100)+100</f>
        <v>110.40268456375838</v>
      </c>
      <c r="M176" s="79">
        <f>(((Table134567891011121314151617343[[#This Row],[GBR]]-VLOOKUP($U$1,A:G,7,))/VLOOKUP($U$1,A:G,7,))*100)+100</f>
        <v>113.76896149295939</v>
      </c>
      <c r="N176" s="79">
        <f>VLOOKUP(A176,Database!$A:$AS,MATCH($N$1,Database!$A$1:$AS$1,0),FALSE)</f>
        <v>92.938324085000005</v>
      </c>
      <c r="O176" s="79">
        <f>(((Table134567891011121314151617343[[#This Row],[USA]]-VLOOKUP($U$1,A:N,14,))/VLOOKUP($U$1,A:N,14,))*100)+100</f>
        <v>106.99361105096548</v>
      </c>
      <c r="P176" s="79">
        <f>VLOOKUP(A176,Database!$A:$AS,MATCH($P$1,Database!$A$1:$AS$1,0),FALSE)</f>
        <v>109.340192446</v>
      </c>
      <c r="Q176" s="79">
        <f>(((Table134567891011121314151617343[[#This Row],[JPN]]-VLOOKUP($U$1,A:Q,16,))/VLOOKUP($U$1,A:Q,16,))*100)+100</f>
        <v>109.77530975570704</v>
      </c>
    </row>
    <row r="177" spans="1:17" s="83" customFormat="1" x14ac:dyDescent="0.2">
      <c r="A177" s="21">
        <v>38200</v>
      </c>
      <c r="B177" s="79">
        <f>VLOOKUP(A177,Database!$A:$AS,MATCH($B$1,Database!$A$1:$AS$1,0),FALSE)</f>
        <v>120.48995917000001</v>
      </c>
      <c r="C177" s="79">
        <f>VLOOKUP(A177,Database!$A:$AS,MATCH($C$1,Database!$A$1:$AS$1,0),FALSE)</f>
        <v>106.87</v>
      </c>
      <c r="D177" s="79">
        <f>VLOOKUP(A177,Database!$A:$AS,MATCH($D$1,Database!$A$1:$AS$1,0),FALSE)</f>
        <v>82.893092241999994</v>
      </c>
      <c r="E177" s="79">
        <f>VLOOKUP(A177,Database!$A:$AS,MATCH($E$1,Database!$A$1:$AS$1,0),FALSE)</f>
        <v>124.779103983</v>
      </c>
      <c r="F177" s="79">
        <f>VLOOKUP(A177,Database!$A:$AS,MATCH($F$1,Database!$A$1:$AS$1,0),FALSE)</f>
        <v>96.6</v>
      </c>
      <c r="G177" s="79">
        <f>VLOOKUP(A177,Database!$A:$AS,MATCH($G$1,Database!$A$1:$AS$1,0),FALSE)</f>
        <v>105.28768596499999</v>
      </c>
      <c r="H177" s="79">
        <f>(((Table134567891011121314151617343[[#This Row],[ITA]]-VLOOKUP($U$1,A:B,2,))/VLOOKUP($U$1,A:B,2,))*100)+100</f>
        <v>99.095394736818449</v>
      </c>
      <c r="I177" s="79">
        <f>(((Table134567891011121314151617343[[#This Row],[FRA]]-VLOOKUP($U$1,A:C,3,))/VLOOKUP($U$1,A:C,3,))*100)+100</f>
        <v>104.27358766708949</v>
      </c>
      <c r="J177" s="79">
        <f>(((Table134567891011121314151617343[[#This Row],[DEU]]-VLOOKUP($U$1,A:D,4,))/VLOOKUP($U$1,A:D,4,))*100)+100</f>
        <v>110.23936170099583</v>
      </c>
      <c r="K177" s="79">
        <f>(((Table134567891011121314151617343[[#This Row],[ESP]]-VLOOKUP($U$1,A:E,5,))/VLOOKUP($U$1,A:E,5,))*100)+100</f>
        <v>104.88274354892023</v>
      </c>
      <c r="L177" s="79">
        <f>(((Table134567891011121314151617343[[#This Row],[EA19]]-VLOOKUP($U$1,A:F,6,))/VLOOKUP($U$1,A:F,6,))*100)+100</f>
        <v>108.05369127516778</v>
      </c>
      <c r="M177" s="79">
        <f>(((Table134567891011121314151617343[[#This Row],[GBR]]-VLOOKUP($U$1,A:G,7,))/VLOOKUP($U$1,A:G,7,))*100)+100</f>
        <v>114.23570595047656</v>
      </c>
      <c r="N177" s="79">
        <f>VLOOKUP(A177,Database!$A:$AS,MATCH($N$1,Database!$A$1:$AS$1,0),FALSE)</f>
        <v>93.024557419999994</v>
      </c>
      <c r="O177" s="79">
        <f>(((Table134567891011121314151617343[[#This Row],[USA]]-VLOOKUP($U$1,A:N,14,))/VLOOKUP($U$1,A:N,14,))*100)+100</f>
        <v>107.09288566125628</v>
      </c>
      <c r="P177" s="79">
        <f>VLOOKUP(A177,Database!$A:$AS,MATCH($P$1,Database!$A$1:$AS$1,0),FALSE)</f>
        <v>107.818559549</v>
      </c>
      <c r="Q177" s="79">
        <f>(((Table134567891011121314151617343[[#This Row],[JPN]]-VLOOKUP($U$1,A:Q,16,))/VLOOKUP($U$1,A:Q,16,))*100)+100</f>
        <v>108.24762154823343</v>
      </c>
    </row>
    <row r="178" spans="1:17" s="83" customFormat="1" x14ac:dyDescent="0.2">
      <c r="A178" s="21">
        <v>38231</v>
      </c>
      <c r="B178" s="79">
        <f>VLOOKUP(A178,Database!$A:$AS,MATCH($B$1,Database!$A$1:$AS$1,0),FALSE)</f>
        <v>122.189817515</v>
      </c>
      <c r="C178" s="79">
        <f>VLOOKUP(A178,Database!$A:$AS,MATCH($C$1,Database!$A$1:$AS$1,0),FALSE)</f>
        <v>110.61</v>
      </c>
      <c r="D178" s="79">
        <f>VLOOKUP(A178,Database!$A:$AS,MATCH($D$1,Database!$A$1:$AS$1,0),FALSE)</f>
        <v>82.693108907999999</v>
      </c>
      <c r="E178" s="79">
        <f>VLOOKUP(A178,Database!$A:$AS,MATCH($E$1,Database!$A$1:$AS$1,0),FALSE)</f>
        <v>127.05810588200001</v>
      </c>
      <c r="F178" s="79">
        <f>VLOOKUP(A178,Database!$A:$AS,MATCH($F$1,Database!$A$1:$AS$1,0),FALSE)</f>
        <v>98.1</v>
      </c>
      <c r="G178" s="79">
        <f>VLOOKUP(A178,Database!$A:$AS,MATCH($G$1,Database!$A$1:$AS$1,0),FALSE)</f>
        <v>106.148055207</v>
      </c>
      <c r="H178" s="79">
        <f>(((Table134567891011121314151617343[[#This Row],[ITA]]-VLOOKUP($U$1,A:B,2,))/VLOOKUP($U$1,A:B,2,))*100)+100</f>
        <v>100.49342105249497</v>
      </c>
      <c r="I178" s="79">
        <f>(((Table134567891011121314151617343[[#This Row],[FRA]]-VLOOKUP($U$1,A:C,3,))/VLOOKUP($U$1,A:C,3,))*100)+100</f>
        <v>107.92272416821154</v>
      </c>
      <c r="J178" s="79">
        <f>(((Table134567891011121314151617343[[#This Row],[DEU]]-VLOOKUP($U$1,A:D,4,))/VLOOKUP($U$1,A:D,4,))*100)+100</f>
        <v>109.97340425514938</v>
      </c>
      <c r="K178" s="79">
        <f>(((Table134567891011121314151617343[[#This Row],[ESP]]-VLOOKUP($U$1,A:E,5,))/VLOOKUP($U$1,A:E,5,))*100)+100</f>
        <v>106.79835252582781</v>
      </c>
      <c r="L178" s="79">
        <f>(((Table134567891011121314151617343[[#This Row],[EA19]]-VLOOKUP($U$1,A:F,6,))/VLOOKUP($U$1,A:F,6,))*100)+100</f>
        <v>109.73154362416106</v>
      </c>
      <c r="M178" s="79">
        <f>(((Table134567891011121314151617343[[#This Row],[GBR]]-VLOOKUP($U$1,A:G,7,))/VLOOKUP($U$1,A:G,7,))*100)+100</f>
        <v>115.16919486551093</v>
      </c>
      <c r="N178" s="79">
        <f>VLOOKUP(A178,Database!$A:$AS,MATCH($N$1,Database!$A$1:$AS$1,0),FALSE)</f>
        <v>93.111484587000007</v>
      </c>
      <c r="O178" s="79">
        <f>(((Table134567891011121314151617343[[#This Row],[USA]]-VLOOKUP($U$1,A:N,14,))/VLOOKUP($U$1,A:N,14,))*100)+100</f>
        <v>107.19295903343431</v>
      </c>
      <c r="P178" s="79">
        <f>VLOOKUP(A178,Database!$A:$AS,MATCH($P$1,Database!$A$1:$AS$1,0),FALSE)</f>
        <v>108.144623741</v>
      </c>
      <c r="Q178" s="79">
        <f>(((Table134567891011121314151617343[[#This Row],[JPN]]-VLOOKUP($U$1,A:Q,16,))/VLOOKUP($U$1,A:Q,16,))*100)+100</f>
        <v>108.57498330676263</v>
      </c>
    </row>
    <row r="179" spans="1:17" s="83" customFormat="1" x14ac:dyDescent="0.2">
      <c r="A179" s="21">
        <v>38261</v>
      </c>
      <c r="B179" s="79">
        <f>VLOOKUP(A179,Database!$A:$AS,MATCH($B$1,Database!$A$1:$AS$1,0),FALSE)</f>
        <v>123.18973418900001</v>
      </c>
      <c r="C179" s="79">
        <f>VLOOKUP(A179,Database!$A:$AS,MATCH($C$1,Database!$A$1:$AS$1,0),FALSE)</f>
        <v>111.44</v>
      </c>
      <c r="D179" s="79">
        <f>VLOOKUP(A179,Database!$A:$AS,MATCH($D$1,Database!$A$1:$AS$1,0),FALSE)</f>
        <v>83.693025581000001</v>
      </c>
      <c r="E179" s="79">
        <f>VLOOKUP(A179,Database!$A:$AS,MATCH($E$1,Database!$A$1:$AS$1,0),FALSE)</f>
        <v>125.972104977</v>
      </c>
      <c r="F179" s="79">
        <f>VLOOKUP(A179,Database!$A:$AS,MATCH($F$1,Database!$A$1:$AS$1,0),FALSE)</f>
        <v>98.6</v>
      </c>
      <c r="G179" s="79">
        <f>VLOOKUP(A179,Database!$A:$AS,MATCH($G$1,Database!$A$1:$AS$1,0),FALSE)</f>
        <v>108.406524467</v>
      </c>
      <c r="H179" s="79">
        <f>(((Table134567891011121314151617343[[#This Row],[ITA]]-VLOOKUP($U$1,A:B,2,))/VLOOKUP($U$1,A:B,2,))*100)+100</f>
        <v>101.31578947386819</v>
      </c>
      <c r="I179" s="79">
        <f>(((Table134567891011121314151617343[[#This Row],[FRA]]-VLOOKUP($U$1,A:C,3,))/VLOOKUP($U$1,A:C,3,))*100)+100</f>
        <v>108.73255927407553</v>
      </c>
      <c r="J179" s="79">
        <f>(((Table134567891011121314151617343[[#This Row],[DEU]]-VLOOKUP($U$1,A:D,4,))/VLOOKUP($U$1,A:D,4,))*100)+100</f>
        <v>111.30319148837137</v>
      </c>
      <c r="K179" s="79">
        <f>(((Table134567891011121314151617343[[#This Row],[ESP]]-VLOOKUP($U$1,A:E,5,))/VLOOKUP($U$1,A:E,5,))*100)+100</f>
        <v>105.88551735730049</v>
      </c>
      <c r="L179" s="79">
        <f>(((Table134567891011121314151617343[[#This Row],[EA19]]-VLOOKUP($U$1,A:F,6,))/VLOOKUP($U$1,A:F,6,))*100)+100</f>
        <v>110.29082774049216</v>
      </c>
      <c r="M179" s="79">
        <f>(((Table134567891011121314151617343[[#This Row],[GBR]]-VLOOKUP($U$1,A:G,7,))/VLOOKUP($U$1,A:G,7,))*100)+100</f>
        <v>117.61960326720488</v>
      </c>
      <c r="N179" s="79">
        <f>VLOOKUP(A179,Database!$A:$AS,MATCH($N$1,Database!$A$1:$AS$1,0),FALSE)</f>
        <v>93.965789319999999</v>
      </c>
      <c r="O179" s="79">
        <f>(((Table134567891011121314151617343[[#This Row],[USA]]-VLOOKUP($U$1,A:N,14,))/VLOOKUP($U$1,A:N,14,))*100)+100</f>
        <v>108.17646233222419</v>
      </c>
      <c r="P179" s="79">
        <f>VLOOKUP(A179,Database!$A:$AS,MATCH($P$1,Database!$A$1:$AS$1,0),FALSE)</f>
        <v>106.079550524</v>
      </c>
      <c r="Q179" s="79">
        <f>(((Table134567891011121314151617343[[#This Row],[JPN]]-VLOOKUP($U$1,A:Q,16,))/VLOOKUP($U$1,A:Q,16,))*100)+100</f>
        <v>106.50169216840702</v>
      </c>
    </row>
    <row r="180" spans="1:17" s="83" customFormat="1" x14ac:dyDescent="0.2">
      <c r="A180" s="21">
        <v>38292</v>
      </c>
      <c r="B180" s="79">
        <f>VLOOKUP(A180,Database!$A:$AS,MATCH($B$1,Database!$A$1:$AS$1,0),FALSE)</f>
        <v>121.189900842</v>
      </c>
      <c r="C180" s="79">
        <f>VLOOKUP(A180,Database!$A:$AS,MATCH($C$1,Database!$A$1:$AS$1,0),FALSE)</f>
        <v>109.59</v>
      </c>
      <c r="D180" s="79">
        <f>VLOOKUP(A180,Database!$A:$AS,MATCH($D$1,Database!$A$1:$AS$1,0),FALSE)</f>
        <v>82.293142238000001</v>
      </c>
      <c r="E180" s="79">
        <f>VLOOKUP(A180,Database!$A:$AS,MATCH($E$1,Database!$A$1:$AS$1,0),FALSE)</f>
        <v>126.963105803</v>
      </c>
      <c r="F180" s="79">
        <f>VLOOKUP(A180,Database!$A:$AS,MATCH($F$1,Database!$A$1:$AS$1,0),FALSE)</f>
        <v>97.4</v>
      </c>
      <c r="G180" s="79">
        <f>VLOOKUP(A180,Database!$A:$AS,MATCH($G$1,Database!$A$1:$AS$1,0),FALSE)</f>
        <v>109.374439864</v>
      </c>
      <c r="H180" s="79">
        <f>(((Table134567891011121314151617343[[#This Row],[ITA]]-VLOOKUP($U$1,A:B,2,))/VLOOKUP($U$1,A:B,2,))*100)+100</f>
        <v>99.671052631944178</v>
      </c>
      <c r="I180" s="79">
        <f>(((Table134567891011121314151617343[[#This Row],[FRA]]-VLOOKUP($U$1,A:C,3,))/VLOOKUP($U$1,A:C,3,))*100)+100</f>
        <v>106.92750512245098</v>
      </c>
      <c r="J180" s="79">
        <f>(((Table134567891011121314151617343[[#This Row],[DEU]]-VLOOKUP($U$1,A:D,4,))/VLOOKUP($U$1,A:D,4,))*100)+100</f>
        <v>109.44148936079668</v>
      </c>
      <c r="K180" s="79">
        <f>(((Table134567891011121314151617343[[#This Row],[ESP]]-VLOOKUP($U$1,A:E,5,))/VLOOKUP($U$1,A:E,5,))*100)+100</f>
        <v>106.7185004624227</v>
      </c>
      <c r="L180" s="79">
        <f>(((Table134567891011121314151617343[[#This Row],[EA19]]-VLOOKUP($U$1,A:F,6,))/VLOOKUP($U$1,A:F,6,))*100)+100</f>
        <v>108.94854586129753</v>
      </c>
      <c r="M180" s="79">
        <f>(((Table134567891011121314151617343[[#This Row],[GBR]]-VLOOKUP($U$1,A:G,7,))/VLOOKUP($U$1,A:G,7,))*100)+100</f>
        <v>118.66977829634729</v>
      </c>
      <c r="N180" s="79">
        <f>VLOOKUP(A180,Database!$A:$AS,MATCH($N$1,Database!$A$1:$AS$1,0),FALSE)</f>
        <v>94.200403463000001</v>
      </c>
      <c r="O180" s="79">
        <f>(((Table134567891011121314151617343[[#This Row],[USA]]-VLOOKUP($U$1,A:N,14,))/VLOOKUP($U$1,A:N,14,))*100)+100</f>
        <v>108.44655773807894</v>
      </c>
      <c r="P180" s="79">
        <f>VLOOKUP(A180,Database!$A:$AS,MATCH($P$1,Database!$A$1:$AS$1,0),FALSE)</f>
        <v>107.383807293</v>
      </c>
      <c r="Q180" s="79">
        <f>(((Table134567891011121314151617343[[#This Row],[JPN]]-VLOOKUP($U$1,A:Q,16,))/VLOOKUP($U$1,A:Q,16,))*100)+100</f>
        <v>107.81113920352783</v>
      </c>
    </row>
    <row r="181" spans="1:17" s="83" customFormat="1" x14ac:dyDescent="0.2">
      <c r="A181" s="21">
        <v>38322</v>
      </c>
      <c r="B181" s="79">
        <f>VLOOKUP(A181,Database!$A:$AS,MATCH($B$1,Database!$A$1:$AS$1,0),FALSE)</f>
        <v>120.28997583500001</v>
      </c>
      <c r="C181" s="79">
        <f>VLOOKUP(A181,Database!$A:$AS,MATCH($C$1,Database!$A$1:$AS$1,0),FALSE)</f>
        <v>109.82</v>
      </c>
      <c r="D181" s="79">
        <f>VLOOKUP(A181,Database!$A:$AS,MATCH($D$1,Database!$A$1:$AS$1,0),FALSE)</f>
        <v>81.893175568999993</v>
      </c>
      <c r="E181" s="79">
        <f>VLOOKUP(A181,Database!$A:$AS,MATCH($E$1,Database!$A$1:$AS$1,0),FALSE)</f>
        <v>124.150103458</v>
      </c>
      <c r="F181" s="79">
        <f>VLOOKUP(A181,Database!$A:$AS,MATCH($F$1,Database!$A$1:$AS$1,0),FALSE)</f>
        <v>97.5</v>
      </c>
      <c r="G181" s="79">
        <f>VLOOKUP(A181,Database!$A:$AS,MATCH($G$1,Database!$A$1:$AS$1,0),FALSE)</f>
        <v>106.793332138</v>
      </c>
      <c r="H181" s="79">
        <f>(((Table134567891011121314151617343[[#This Row],[ITA]]-VLOOKUP($U$1,A:B,2,))/VLOOKUP($U$1,A:B,2,))*100)+100</f>
        <v>98.930921052379318</v>
      </c>
      <c r="I181" s="79">
        <f>(((Table134567891011121314151617343[[#This Row],[FRA]]-VLOOKUP($U$1,A:C,3,))/VLOOKUP($U$1,A:C,3,))*100)+100</f>
        <v>107.15191726022051</v>
      </c>
      <c r="J181" s="79">
        <f>(((Table134567891011121314151617343[[#This Row],[DEU]]-VLOOKUP($U$1,A:D,4,))/VLOOKUP($U$1,A:D,4,))*100)+100</f>
        <v>108.90957446777385</v>
      </c>
      <c r="K181" s="79">
        <f>(((Table134567891011121314151617343[[#This Row],[ESP]]-VLOOKUP($U$1,A:E,5,))/VLOOKUP($U$1,A:E,5,))*100)+100</f>
        <v>104.35403883274677</v>
      </c>
      <c r="L181" s="79">
        <f>(((Table134567891011121314151617343[[#This Row],[EA19]]-VLOOKUP($U$1,A:F,6,))/VLOOKUP($U$1,A:F,6,))*100)+100</f>
        <v>109.06040268456375</v>
      </c>
      <c r="M181" s="79">
        <f>(((Table134567891011121314151617343[[#This Row],[GBR]]-VLOOKUP($U$1,A:G,7,))/VLOOKUP($U$1,A:G,7,))*100)+100</f>
        <v>115.86931155124421</v>
      </c>
      <c r="N181" s="79">
        <f>VLOOKUP(A181,Database!$A:$AS,MATCH($N$1,Database!$A$1:$AS$1,0),FALSE)</f>
        <v>94.899587311000005</v>
      </c>
      <c r="O181" s="79">
        <f>(((Table134567891011121314151617343[[#This Row],[USA]]-VLOOKUP($U$1,A:N,14,))/VLOOKUP($U$1,A:N,14,))*100)+100</f>
        <v>109.25148084619966</v>
      </c>
      <c r="P181" s="79">
        <f>VLOOKUP(A181,Database!$A:$AS,MATCH($P$1,Database!$A$1:$AS$1,0),FALSE)</f>
        <v>105.97086246000001</v>
      </c>
      <c r="Q181" s="79">
        <f>(((Table134567891011121314151617343[[#This Row],[JPN]]-VLOOKUP($U$1,A:Q,16,))/VLOOKUP($U$1,A:Q,16,))*100)+100</f>
        <v>106.39257158223062</v>
      </c>
    </row>
    <row r="182" spans="1:17" s="83" customFormat="1" x14ac:dyDescent="0.2">
      <c r="A182" s="21">
        <v>38353</v>
      </c>
      <c r="B182" s="79">
        <f>VLOOKUP(A182,Database!$A:$AS,MATCH($B$1,Database!$A$1:$AS$1,0),FALSE)</f>
        <v>120.38996750299999</v>
      </c>
      <c r="C182" s="79">
        <f>VLOOKUP(A182,Database!$A:$AS,MATCH($C$1,Database!$A$1:$AS$1,0),FALSE)</f>
        <v>111.62</v>
      </c>
      <c r="D182" s="79">
        <f>VLOOKUP(A182,Database!$A:$AS,MATCH($D$1,Database!$A$1:$AS$1,0),FALSE)</f>
        <v>84.392967252999995</v>
      </c>
      <c r="E182" s="79">
        <f>VLOOKUP(A182,Database!$A:$AS,MATCH($E$1,Database!$A$1:$AS$1,0),FALSE)</f>
        <v>124.796103997</v>
      </c>
      <c r="F182" s="79">
        <f>VLOOKUP(A182,Database!$A:$AS,MATCH($F$1,Database!$A$1:$AS$1,0),FALSE)</f>
        <v>98.3</v>
      </c>
      <c r="G182" s="79">
        <f>VLOOKUP(A182,Database!$A:$AS,MATCH($G$1,Database!$A$1:$AS$1,0),FALSE)</f>
        <v>104.10467825800001</v>
      </c>
      <c r="H182" s="79">
        <f>(((Table134567891011121314151617343[[#This Row],[ITA]]-VLOOKUP($U$1,A:B,2,))/VLOOKUP($U$1,A:B,2,))*100)+100</f>
        <v>99.013157895010082</v>
      </c>
      <c r="I182" s="79">
        <f>(((Table134567891011121314151617343[[#This Row],[FRA]]-VLOOKUP($U$1,A:C,3,))/VLOOKUP($U$1,A:C,3,))*100)+100</f>
        <v>108.90818616450386</v>
      </c>
      <c r="J182" s="79">
        <f>(((Table134567891011121314151617343[[#This Row],[DEU]]-VLOOKUP($U$1,A:D,4,))/VLOOKUP($U$1,A:D,4,))*100)+100</f>
        <v>112.23404255282365</v>
      </c>
      <c r="K182" s="79">
        <f>(((Table134567891011121314151617343[[#This Row],[ESP]]-VLOOKUP($U$1,A:E,5,))/VLOOKUP($U$1,A:E,5,))*100)+100</f>
        <v>104.89703286541454</v>
      </c>
      <c r="L182" s="79">
        <f>(((Table134567891011121314151617343[[#This Row],[EA19]]-VLOOKUP($U$1,A:F,6,))/VLOOKUP($U$1,A:F,6,))*100)+100</f>
        <v>109.95525727069349</v>
      </c>
      <c r="M182" s="79">
        <f>(((Table134567891011121314151617343[[#This Row],[GBR]]-VLOOKUP($U$1,A:G,7,))/VLOOKUP($U$1,A:G,7,))*100)+100</f>
        <v>112.95215869311807</v>
      </c>
      <c r="N182" s="79">
        <f>VLOOKUP(A182,Database!$A:$AS,MATCH($N$1,Database!$A$1:$AS$1,0),FALSE)</f>
        <v>95.269399465000006</v>
      </c>
      <c r="O182" s="79">
        <f>(((Table134567891011121314151617343[[#This Row],[USA]]-VLOOKUP($U$1,A:N,14,))/VLOOKUP($U$1,A:N,14,))*100)+100</f>
        <v>109.67722058442442</v>
      </c>
      <c r="P182" s="79">
        <f>VLOOKUP(A182,Database!$A:$AS,MATCH($P$1,Database!$A$1:$AS$1,0),FALSE)</f>
        <v>108.47068793299999</v>
      </c>
      <c r="Q182" s="79">
        <f>(((Table134567891011121314151617343[[#This Row],[JPN]]-VLOOKUP($U$1,A:Q,16,))/VLOOKUP($U$1,A:Q,16,))*100)+100</f>
        <v>108.90234506529183</v>
      </c>
    </row>
    <row r="183" spans="1:17" s="83" customFormat="1" x14ac:dyDescent="0.2">
      <c r="A183" s="21">
        <v>38384</v>
      </c>
      <c r="B183" s="79">
        <f>VLOOKUP(A183,Database!$A:$AS,MATCH($B$1,Database!$A$1:$AS$1,0),FALSE)</f>
        <v>120.88992584</v>
      </c>
      <c r="C183" s="79">
        <f>VLOOKUP(A183,Database!$A:$AS,MATCH($C$1,Database!$A$1:$AS$1,0),FALSE)</f>
        <v>110.35</v>
      </c>
      <c r="D183" s="79">
        <f>VLOOKUP(A183,Database!$A:$AS,MATCH($D$1,Database!$A$1:$AS$1,0),FALSE)</f>
        <v>83.093075576999993</v>
      </c>
      <c r="E183" s="79">
        <f>VLOOKUP(A183,Database!$A:$AS,MATCH($E$1,Database!$A$1:$AS$1,0),FALSE)</f>
        <v>125.642104702</v>
      </c>
      <c r="F183" s="79">
        <f>VLOOKUP(A183,Database!$A:$AS,MATCH($F$1,Database!$A$1:$AS$1,0),FALSE)</f>
        <v>98.1</v>
      </c>
      <c r="G183" s="79">
        <f>VLOOKUP(A183,Database!$A:$AS,MATCH($G$1,Database!$A$1:$AS$1,0),FALSE)</f>
        <v>101.52357053199999</v>
      </c>
      <c r="H183" s="79">
        <f>(((Table134567891011121314151617343[[#This Row],[ITA]]-VLOOKUP($U$1,A:B,2,))/VLOOKUP($U$1,A:B,2,))*100)+100</f>
        <v>99.424342105696709</v>
      </c>
      <c r="I183" s="79">
        <f>(((Table134567891011121314151617343[[#This Row],[FRA]]-VLOOKUP($U$1,A:C,3,))/VLOOKUP($U$1,A:C,3,))*100)+100</f>
        <v>107.66904088203727</v>
      </c>
      <c r="J183" s="79">
        <f>(((Table134567891011121314151617343[[#This Row],[DEU]]-VLOOKUP($U$1,A:D,4,))/VLOOKUP($U$1,A:D,4,))*100)+100</f>
        <v>110.50531914817219</v>
      </c>
      <c r="K183" s="79">
        <f>(((Table134567891011121314151617343[[#This Row],[ESP]]-VLOOKUP($U$1,A:E,5,))/VLOOKUP($U$1,A:E,5,))*100)+100</f>
        <v>105.60813650498555</v>
      </c>
      <c r="L183" s="79">
        <f>(((Table134567891011121314151617343[[#This Row],[EA19]]-VLOOKUP($U$1,A:F,6,))/VLOOKUP($U$1,A:F,6,))*100)+100</f>
        <v>109.73154362416106</v>
      </c>
      <c r="M183" s="79">
        <f>(((Table134567891011121314151617343[[#This Row],[GBR]]-VLOOKUP($U$1,A:G,7,))/VLOOKUP($U$1,A:G,7,))*100)+100</f>
        <v>110.15169194801497</v>
      </c>
      <c r="N183" s="79">
        <f>VLOOKUP(A183,Database!$A:$AS,MATCH($N$1,Database!$A$1:$AS$1,0),FALSE)</f>
        <v>95.966799175000006</v>
      </c>
      <c r="O183" s="79">
        <f>(((Table134567891011121314151617343[[#This Row],[USA]]-VLOOKUP($U$1,A:N,14,))/VLOOKUP($U$1,A:N,14,))*100)+100</f>
        <v>110.48008973505115</v>
      </c>
      <c r="P183" s="79">
        <f>VLOOKUP(A183,Database!$A:$AS,MATCH($P$1,Database!$A$1:$AS$1,0),FALSE)</f>
        <v>108.47068793299999</v>
      </c>
      <c r="Q183" s="79">
        <f>(((Table134567891011121314151617343[[#This Row],[JPN]]-VLOOKUP($U$1,A:Q,16,))/VLOOKUP($U$1,A:Q,16,))*100)+100</f>
        <v>108.90234506529183</v>
      </c>
    </row>
    <row r="184" spans="1:17" s="83" customFormat="1" x14ac:dyDescent="0.2">
      <c r="A184" s="21">
        <v>38412</v>
      </c>
      <c r="B184" s="79">
        <f>VLOOKUP(A184,Database!$A:$AS,MATCH($B$1,Database!$A$1:$AS$1,0),FALSE)</f>
        <v>120.989917507</v>
      </c>
      <c r="C184" s="79">
        <f>VLOOKUP(A184,Database!$A:$AS,MATCH($C$1,Database!$A$1:$AS$1,0),FALSE)</f>
        <v>107.96</v>
      </c>
      <c r="D184" s="79">
        <f>VLOOKUP(A184,Database!$A:$AS,MATCH($D$1,Database!$A$1:$AS$1,0),FALSE)</f>
        <v>84.192983917999996</v>
      </c>
      <c r="E184" s="79">
        <f>VLOOKUP(A184,Database!$A:$AS,MATCH($E$1,Database!$A$1:$AS$1,0),FALSE)</f>
        <v>126.178105148</v>
      </c>
      <c r="F184" s="79">
        <f>VLOOKUP(A184,Database!$A:$AS,MATCH($F$1,Database!$A$1:$AS$1,0),FALSE)</f>
        <v>98</v>
      </c>
      <c r="G184" s="79">
        <f>VLOOKUP(A184,Database!$A:$AS,MATCH($G$1,Database!$A$1:$AS$1,0),FALSE)</f>
        <v>98.189639720000002</v>
      </c>
      <c r="H184" s="79">
        <f>(((Table134567891011121314151617343[[#This Row],[ITA]]-VLOOKUP($U$1,A:B,2,))/VLOOKUP($U$1,A:B,2,))*100)+100</f>
        <v>99.506578947505048</v>
      </c>
      <c r="I184" s="79">
        <f>(((Table134567891011121314151617343[[#This Row],[FRA]]-VLOOKUP($U$1,A:C,3,))/VLOOKUP($U$1,A:C,3,))*100)+100</f>
        <v>105.33710605912772</v>
      </c>
      <c r="J184" s="79">
        <f>(((Table134567891011121314151617343[[#This Row],[DEU]]-VLOOKUP($U$1,A:D,4,))/VLOOKUP($U$1,A:D,4,))*100)+100</f>
        <v>111.96808510564729</v>
      </c>
      <c r="K184" s="79">
        <f>(((Table134567891011121314151617343[[#This Row],[ESP]]-VLOOKUP($U$1,A:E,5,))/VLOOKUP($U$1,A:E,5,))*100)+100</f>
        <v>106.05867025242762</v>
      </c>
      <c r="L184" s="79">
        <f>(((Table134567891011121314151617343[[#This Row],[EA19]]-VLOOKUP($U$1,A:F,6,))/VLOOKUP($U$1,A:F,6,))*100)+100</f>
        <v>109.61968680089484</v>
      </c>
      <c r="M184" s="79">
        <f>(((Table134567891011121314151617343[[#This Row],[GBR]]-VLOOKUP($U$1,A:G,7,))/VLOOKUP($U$1,A:G,7,))*100)+100</f>
        <v>106.53442240307056</v>
      </c>
      <c r="N184" s="79">
        <f>VLOOKUP(A184,Database!$A:$AS,MATCH($N$1,Database!$A$1:$AS$1,0),FALSE)</f>
        <v>95.82059898</v>
      </c>
      <c r="O184" s="79">
        <f>(((Table134567891011121314151617343[[#This Row],[USA]]-VLOOKUP($U$1,A:N,14,))/VLOOKUP($U$1,A:N,14,))*100)+100</f>
        <v>110.31177933185194</v>
      </c>
      <c r="P184" s="79">
        <f>VLOOKUP(A184,Database!$A:$AS,MATCH($P$1,Database!$A$1:$AS$1,0),FALSE)</f>
        <v>108.796752125</v>
      </c>
      <c r="Q184" s="79">
        <f>(((Table134567891011121314151617343[[#This Row],[JPN]]-VLOOKUP($U$1,A:Q,16,))/VLOOKUP($U$1,A:Q,16,))*100)+100</f>
        <v>109.22970682382105</v>
      </c>
    </row>
    <row r="185" spans="1:17" s="83" customFormat="1" x14ac:dyDescent="0.2">
      <c r="A185" s="21">
        <v>38443</v>
      </c>
      <c r="B185" s="79">
        <f>VLOOKUP(A185,Database!$A:$AS,MATCH($B$1,Database!$A$1:$AS$1,0),FALSE)</f>
        <v>123.489709191</v>
      </c>
      <c r="C185" s="79">
        <f>VLOOKUP(A185,Database!$A:$AS,MATCH($C$1,Database!$A$1:$AS$1,0),FALSE)</f>
        <v>110.73</v>
      </c>
      <c r="D185" s="79">
        <f>VLOOKUP(A185,Database!$A:$AS,MATCH($D$1,Database!$A$1:$AS$1,0),FALSE)</f>
        <v>84.792933922000003</v>
      </c>
      <c r="E185" s="79">
        <f>VLOOKUP(A185,Database!$A:$AS,MATCH($E$1,Database!$A$1:$AS$1,0),FALSE)</f>
        <v>127.66810639000001</v>
      </c>
      <c r="F185" s="79">
        <f>VLOOKUP(A185,Database!$A:$AS,MATCH($F$1,Database!$A$1:$AS$1,0),FALSE)</f>
        <v>99.4</v>
      </c>
      <c r="G185" s="79">
        <f>VLOOKUP(A185,Database!$A:$AS,MATCH($G$1,Database!$A$1:$AS$1,0),FALSE)</f>
        <v>103.351855171</v>
      </c>
      <c r="H185" s="79">
        <f>(((Table134567891011121314151617343[[#This Row],[ITA]]-VLOOKUP($U$1,A:B,2,))/VLOOKUP($U$1,A:B,2,))*100)+100</f>
        <v>101.56250000011566</v>
      </c>
      <c r="I185" s="79">
        <f>(((Table134567891011121314151617343[[#This Row],[FRA]]-VLOOKUP($U$1,A:C,3,))/VLOOKUP($U$1,A:C,3,))*100)+100</f>
        <v>108.03980876183043</v>
      </c>
      <c r="J185" s="79">
        <f>(((Table134567891011121314151617343[[#This Row],[DEU]]-VLOOKUP($U$1,A:D,4,))/VLOOKUP($U$1,A:D,4,))*100)+100</f>
        <v>112.76595744584647</v>
      </c>
      <c r="K185" s="79">
        <f>(((Table134567891011121314151617343[[#This Row],[ESP]]-VLOOKUP($U$1,A:E,5,))/VLOOKUP($U$1,A:E,5,))*100)+100</f>
        <v>107.3110868283116</v>
      </c>
      <c r="L185" s="79">
        <f>(((Table134567891011121314151617343[[#This Row],[EA19]]-VLOOKUP($U$1,A:F,6,))/VLOOKUP($U$1,A:F,6,))*100)+100</f>
        <v>111.18568232662193</v>
      </c>
      <c r="M185" s="79">
        <f>(((Table134567891011121314151617343[[#This Row],[GBR]]-VLOOKUP($U$1,A:G,7,))/VLOOKUP($U$1,A:G,7,))*100)+100</f>
        <v>112.13535589219174</v>
      </c>
      <c r="N185" s="79">
        <f>VLOOKUP(A185,Database!$A:$AS,MATCH($N$1,Database!$A$1:$AS$1,0),FALSE)</f>
        <v>96.010213199000006</v>
      </c>
      <c r="O185" s="79">
        <f>(((Table134567891011121314151617343[[#This Row],[USA]]-VLOOKUP($U$1,A:N,14,))/VLOOKUP($U$1,A:N,14,))*100)+100</f>
        <v>110.53006936663742</v>
      </c>
      <c r="P185" s="79">
        <f>VLOOKUP(A185,Database!$A:$AS,MATCH($P$1,Database!$A$1:$AS$1,0),FALSE)</f>
        <v>109.231504382</v>
      </c>
      <c r="Q185" s="79">
        <f>(((Table134567891011121314151617343[[#This Row],[JPN]]-VLOOKUP($U$1,A:Q,16,))/VLOOKUP($U$1,A:Q,16,))*100)+100</f>
        <v>109.66618916953063</v>
      </c>
    </row>
    <row r="186" spans="1:17" s="83" customFormat="1" x14ac:dyDescent="0.2">
      <c r="A186" s="21">
        <v>38473</v>
      </c>
      <c r="B186" s="79">
        <f>VLOOKUP(A186,Database!$A:$AS,MATCH($B$1,Database!$A$1:$AS$1,0),FALSE)</f>
        <v>120.689942505</v>
      </c>
      <c r="C186" s="79">
        <f>VLOOKUP(A186,Database!$A:$AS,MATCH($C$1,Database!$A$1:$AS$1,0),FALSE)</f>
        <v>109.54</v>
      </c>
      <c r="D186" s="79">
        <f>VLOOKUP(A186,Database!$A:$AS,MATCH($D$1,Database!$A$1:$AS$1,0),FALSE)</f>
        <v>83.693025581000001</v>
      </c>
      <c r="E186" s="79">
        <f>VLOOKUP(A186,Database!$A:$AS,MATCH($E$1,Database!$A$1:$AS$1,0),FALSE)</f>
        <v>126.356105297</v>
      </c>
      <c r="F186" s="79">
        <f>VLOOKUP(A186,Database!$A:$AS,MATCH($F$1,Database!$A$1:$AS$1,0),FALSE)</f>
        <v>98.1</v>
      </c>
      <c r="G186" s="79">
        <f>VLOOKUP(A186,Database!$A:$AS,MATCH($G$1,Database!$A$1:$AS$1,0),FALSE)</f>
        <v>103.566947482</v>
      </c>
      <c r="H186" s="79">
        <f>(((Table134567891011121314151617343[[#This Row],[ITA]]-VLOOKUP($U$1,A:B,2,))/VLOOKUP($U$1,A:B,2,))*100)+100</f>
        <v>99.259868421257579</v>
      </c>
      <c r="I186" s="79">
        <f>(((Table134567891011121314151617343[[#This Row],[FRA]]-VLOOKUP($U$1,A:C,3,))/VLOOKUP($U$1,A:C,3,))*100)+100</f>
        <v>106.87871987510978</v>
      </c>
      <c r="J186" s="79">
        <f>(((Table134567891011121314151617343[[#This Row],[DEU]]-VLOOKUP($U$1,A:D,4,))/VLOOKUP($U$1,A:D,4,))*100)+100</f>
        <v>111.30319148837137</v>
      </c>
      <c r="K186" s="79">
        <f>(((Table134567891011121314151617343[[#This Row],[ESP]]-VLOOKUP($U$1,A:E,5,))/VLOOKUP($U$1,A:E,5,))*100)+100</f>
        <v>106.20828780363058</v>
      </c>
      <c r="L186" s="79">
        <f>(((Table134567891011121314151617343[[#This Row],[EA19]]-VLOOKUP($U$1,A:F,6,))/VLOOKUP($U$1,A:F,6,))*100)+100</f>
        <v>109.73154362416106</v>
      </c>
      <c r="M186" s="79">
        <f>(((Table134567891011121314151617343[[#This Row],[GBR]]-VLOOKUP($U$1,A:G,7,))/VLOOKUP($U$1,A:G,7,))*100)+100</f>
        <v>112.36872812149284</v>
      </c>
      <c r="N186" s="79">
        <f>VLOOKUP(A186,Database!$A:$AS,MATCH($N$1,Database!$A$1:$AS$1,0),FALSE)</f>
        <v>96.107746074999994</v>
      </c>
      <c r="O186" s="79">
        <f>(((Table134567891011121314151617343[[#This Row],[USA]]-VLOOKUP($U$1,A:N,14,))/VLOOKUP($U$1,A:N,14,))*100)+100</f>
        <v>110.64235237477388</v>
      </c>
      <c r="P186" s="79">
        <f>VLOOKUP(A186,Database!$A:$AS,MATCH($P$1,Database!$A$1:$AS$1,0),FALSE)</f>
        <v>108.361999869</v>
      </c>
      <c r="Q186" s="79">
        <f>(((Table134567891011121314151617343[[#This Row],[JPN]]-VLOOKUP($U$1,A:Q,16,))/VLOOKUP($U$1,A:Q,16,))*100)+100</f>
        <v>108.79322447911544</v>
      </c>
    </row>
    <row r="187" spans="1:17" s="83" customFormat="1" x14ac:dyDescent="0.2">
      <c r="A187" s="21">
        <v>38504</v>
      </c>
      <c r="B187" s="79">
        <f>VLOOKUP(A187,Database!$A:$AS,MATCH($B$1,Database!$A$1:$AS$1,0),FALSE)</f>
        <v>120.689942505</v>
      </c>
      <c r="C187" s="79">
        <f>VLOOKUP(A187,Database!$A:$AS,MATCH($C$1,Database!$A$1:$AS$1,0),FALSE)</f>
        <v>109.45</v>
      </c>
      <c r="D187" s="79">
        <f>VLOOKUP(A187,Database!$A:$AS,MATCH($D$1,Database!$A$1:$AS$1,0),FALSE)</f>
        <v>85.492875593999997</v>
      </c>
      <c r="E187" s="79">
        <f>VLOOKUP(A187,Database!$A:$AS,MATCH($E$1,Database!$A$1:$AS$1,0),FALSE)</f>
        <v>126.926105772</v>
      </c>
      <c r="F187" s="79">
        <f>VLOOKUP(A187,Database!$A:$AS,MATCH($F$1,Database!$A$1:$AS$1,0),FALSE)</f>
        <v>99</v>
      </c>
      <c r="G187" s="79">
        <f>VLOOKUP(A187,Database!$A:$AS,MATCH($G$1,Database!$A$1:$AS$1,0),FALSE)</f>
        <v>104.642409034</v>
      </c>
      <c r="H187" s="79">
        <f>(((Table134567891011121314151617343[[#This Row],[ITA]]-VLOOKUP($U$1,A:B,2,))/VLOOKUP($U$1,A:B,2,))*100)+100</f>
        <v>99.259868421257579</v>
      </c>
      <c r="I187" s="79">
        <f>(((Table134567891011121314151617343[[#This Row],[FRA]]-VLOOKUP($U$1,A:C,3,))/VLOOKUP($U$1,A:C,3,))*100)+100</f>
        <v>106.79090642989561</v>
      </c>
      <c r="J187" s="79">
        <f>(((Table134567891011121314151617343[[#This Row],[DEU]]-VLOOKUP($U$1,A:D,4,))/VLOOKUP($U$1,A:D,4,))*100)+100</f>
        <v>113.69680851029875</v>
      </c>
      <c r="K187" s="79">
        <f>(((Table134567891011121314151617343[[#This Row],[ESP]]-VLOOKUP($U$1,A:E,5,))/VLOOKUP($U$1,A:E,5,))*100)+100</f>
        <v>106.68740018490183</v>
      </c>
      <c r="L187" s="79">
        <f>(((Table134567891011121314151617343[[#This Row],[EA19]]-VLOOKUP($U$1,A:F,6,))/VLOOKUP($U$1,A:F,6,))*100)+100</f>
        <v>110.73825503355704</v>
      </c>
      <c r="M187" s="79">
        <f>(((Table134567891011121314151617343[[#This Row],[GBR]]-VLOOKUP($U$1,A:G,7,))/VLOOKUP($U$1,A:G,7,))*100)+100</f>
        <v>113.53558926474329</v>
      </c>
      <c r="N187" s="79">
        <f>VLOOKUP(A187,Database!$A:$AS,MATCH($N$1,Database!$A$1:$AS$1,0),FALSE)</f>
        <v>96.495102251999995</v>
      </c>
      <c r="O187" s="79">
        <f>(((Table134567891011121314151617343[[#This Row],[USA]]-VLOOKUP($U$1,A:N,14,))/VLOOKUP($U$1,A:N,14,))*100)+100</f>
        <v>111.08828936092205</v>
      </c>
      <c r="P187" s="79">
        <f>VLOOKUP(A187,Database!$A:$AS,MATCH($P$1,Database!$A$1:$AS$1,0),FALSE)</f>
        <v>108.796752125</v>
      </c>
      <c r="Q187" s="79">
        <f>(((Table134567891011121314151617343[[#This Row],[JPN]]-VLOOKUP($U$1,A:Q,16,))/VLOOKUP($U$1,A:Q,16,))*100)+100</f>
        <v>109.22970682382105</v>
      </c>
    </row>
    <row r="188" spans="1:17" s="83" customFormat="1" x14ac:dyDescent="0.2">
      <c r="A188" s="21">
        <v>38534</v>
      </c>
      <c r="B188" s="79">
        <f>VLOOKUP(A188,Database!$A:$AS,MATCH($B$1,Database!$A$1:$AS$1,0),FALSE)</f>
        <v>122.38980085</v>
      </c>
      <c r="C188" s="79">
        <f>VLOOKUP(A188,Database!$A:$AS,MATCH($C$1,Database!$A$1:$AS$1,0),FALSE)</f>
        <v>109.1</v>
      </c>
      <c r="D188" s="79">
        <f>VLOOKUP(A188,Database!$A:$AS,MATCH($D$1,Database!$A$1:$AS$1,0),FALSE)</f>
        <v>86.792767268999995</v>
      </c>
      <c r="E188" s="79">
        <f>VLOOKUP(A188,Database!$A:$AS,MATCH($E$1,Database!$A$1:$AS$1,0),FALSE)</f>
        <v>127.159105966</v>
      </c>
      <c r="F188" s="79">
        <f>VLOOKUP(A188,Database!$A:$AS,MATCH($F$1,Database!$A$1:$AS$1,0),FALSE)</f>
        <v>99.5</v>
      </c>
      <c r="G188" s="79">
        <f>VLOOKUP(A188,Database!$A:$AS,MATCH($G$1,Database!$A$1:$AS$1,0),FALSE)</f>
        <v>103.78203979200001</v>
      </c>
      <c r="H188" s="79">
        <f>(((Table134567891011121314151617343[[#This Row],[ITA]]-VLOOKUP($U$1,A:B,2,))/VLOOKUP($U$1,A:B,2,))*100)+100</f>
        <v>100.6578947369341</v>
      </c>
      <c r="I188" s="79">
        <f>(((Table134567891011121314151617343[[#This Row],[FRA]]-VLOOKUP($U$1,A:C,3,))/VLOOKUP($U$1,A:C,3,))*100)+100</f>
        <v>106.44940969850717</v>
      </c>
      <c r="J188" s="79">
        <f>(((Table134567891011121314151617343[[#This Row],[DEU]]-VLOOKUP($U$1,A:D,4,))/VLOOKUP($U$1,A:D,4,))*100)+100</f>
        <v>115.42553191362032</v>
      </c>
      <c r="K188" s="79">
        <f>(((Table134567891011121314151617343[[#This Row],[ESP]]-VLOOKUP($U$1,A:E,5,))/VLOOKUP($U$1,A:E,5,))*100)+100</f>
        <v>106.88324787745682</v>
      </c>
      <c r="L188" s="79">
        <f>(((Table134567891011121314151617343[[#This Row],[EA19]]-VLOOKUP($U$1,A:F,6,))/VLOOKUP($U$1,A:F,6,))*100)+100</f>
        <v>111.29753914988814</v>
      </c>
      <c r="M188" s="79">
        <f>(((Table134567891011121314151617343[[#This Row],[GBR]]-VLOOKUP($U$1,A:G,7,))/VLOOKUP($U$1,A:G,7,))*100)+100</f>
        <v>112.60210034970893</v>
      </c>
      <c r="N188" s="79">
        <f>VLOOKUP(A188,Database!$A:$AS,MATCH($N$1,Database!$A$1:$AS$1,0),FALSE)</f>
        <v>96.187338452000006</v>
      </c>
      <c r="O188" s="79">
        <f>(((Table134567891011121314151617343[[#This Row],[USA]]-VLOOKUP($U$1,A:N,14,))/VLOOKUP($U$1,A:N,14,))*100)+100</f>
        <v>110.73398169896497</v>
      </c>
      <c r="P188" s="79">
        <f>VLOOKUP(A188,Database!$A:$AS,MATCH($P$1,Database!$A$1:$AS$1,0),FALSE)</f>
        <v>108.144623741</v>
      </c>
      <c r="Q188" s="79">
        <f>(((Table134567891011121314151617343[[#This Row],[JPN]]-VLOOKUP($U$1,A:Q,16,))/VLOOKUP($U$1,A:Q,16,))*100)+100</f>
        <v>108.57498330676263</v>
      </c>
    </row>
    <row r="189" spans="1:17" s="83" customFormat="1" x14ac:dyDescent="0.2">
      <c r="A189" s="21">
        <v>38565</v>
      </c>
      <c r="B189" s="79">
        <f>VLOOKUP(A189,Database!$A:$AS,MATCH($B$1,Database!$A$1:$AS$1,0),FALSE)</f>
        <v>121.489875844</v>
      </c>
      <c r="C189" s="79">
        <f>VLOOKUP(A189,Database!$A:$AS,MATCH($C$1,Database!$A$1:$AS$1,0),FALSE)</f>
        <v>108.51</v>
      </c>
      <c r="D189" s="79">
        <f>VLOOKUP(A189,Database!$A:$AS,MATCH($D$1,Database!$A$1:$AS$1,0),FALSE)</f>
        <v>84.292975584999994</v>
      </c>
      <c r="E189" s="79">
        <f>VLOOKUP(A189,Database!$A:$AS,MATCH($E$1,Database!$A$1:$AS$1,0),FALSE)</f>
        <v>128.283106903</v>
      </c>
      <c r="F189" s="79">
        <f>VLOOKUP(A189,Database!$A:$AS,MATCH($F$1,Database!$A$1:$AS$1,0),FALSE)</f>
        <v>98.4</v>
      </c>
      <c r="G189" s="79">
        <f>VLOOKUP(A189,Database!$A:$AS,MATCH($G$1,Database!$A$1:$AS$1,0),FALSE)</f>
        <v>103.889585947</v>
      </c>
      <c r="H189" s="79">
        <f>(((Table134567891011121314151617343[[#This Row],[ITA]]-VLOOKUP($U$1,A:B,2,))/VLOOKUP($U$1,A:B,2,))*100)+100</f>
        <v>99.917763158191661</v>
      </c>
      <c r="I189" s="79">
        <f>(((Table134567891011121314151617343[[#This Row],[FRA]]-VLOOKUP($U$1,A:C,3,))/VLOOKUP($U$1,A:C,3,))*100)+100</f>
        <v>105.87374377988097</v>
      </c>
      <c r="J189" s="79">
        <f>(((Table134567891011121314151617343[[#This Row],[DEU]]-VLOOKUP($U$1,A:D,4,))/VLOOKUP($U$1,A:D,4,))*100)+100</f>
        <v>112.10106382857052</v>
      </c>
      <c r="K189" s="79">
        <f>(((Table134567891011121314151617343[[#This Row],[ESP]]-VLOOKUP($U$1,A:E,5,))/VLOOKUP($U$1,A:E,5,))*100)+100</f>
        <v>107.82802387168243</v>
      </c>
      <c r="L189" s="79">
        <f>(((Table134567891011121314151617343[[#This Row],[EA19]]-VLOOKUP($U$1,A:F,6,))/VLOOKUP($U$1,A:F,6,))*100)+100</f>
        <v>110.06711409395973</v>
      </c>
      <c r="M189" s="79">
        <f>(((Table134567891011121314151617343[[#This Row],[GBR]]-VLOOKUP($U$1,A:G,7,))/VLOOKUP($U$1,A:G,7,))*100)+100</f>
        <v>112.71878646381698</v>
      </c>
      <c r="N189" s="79">
        <f>VLOOKUP(A189,Database!$A:$AS,MATCH($N$1,Database!$A$1:$AS$1,0),FALSE)</f>
        <v>96.527414973000006</v>
      </c>
      <c r="O189" s="79">
        <f>(((Table134567891011121314151617343[[#This Row],[USA]]-VLOOKUP($U$1,A:N,14,))/VLOOKUP($U$1,A:N,14,))*100)+100</f>
        <v>111.12548881267364</v>
      </c>
      <c r="P189" s="79">
        <f>VLOOKUP(A189,Database!$A:$AS,MATCH($P$1,Database!$A$1:$AS$1,0),FALSE)</f>
        <v>108.144623741</v>
      </c>
      <c r="Q189" s="79">
        <f>(((Table134567891011121314151617343[[#This Row],[JPN]]-VLOOKUP($U$1,A:Q,16,))/VLOOKUP($U$1,A:Q,16,))*100)+100</f>
        <v>108.57498330676263</v>
      </c>
    </row>
    <row r="190" spans="1:17" s="83" customFormat="1" x14ac:dyDescent="0.2">
      <c r="A190" s="21">
        <v>38596</v>
      </c>
      <c r="B190" s="79">
        <f>VLOOKUP(A190,Database!$A:$AS,MATCH($B$1,Database!$A$1:$AS$1,0),FALSE)</f>
        <v>122.089825848</v>
      </c>
      <c r="C190" s="79">
        <f>VLOOKUP(A190,Database!$A:$AS,MATCH($C$1,Database!$A$1:$AS$1,0),FALSE)</f>
        <v>111.25</v>
      </c>
      <c r="D190" s="79">
        <f>VLOOKUP(A190,Database!$A:$AS,MATCH($D$1,Database!$A$1:$AS$1,0),FALSE)</f>
        <v>86.692775601999998</v>
      </c>
      <c r="E190" s="79">
        <f>VLOOKUP(A190,Database!$A:$AS,MATCH($E$1,Database!$A$1:$AS$1,0),FALSE)</f>
        <v>127.626106355</v>
      </c>
      <c r="F190" s="79">
        <f>VLOOKUP(A190,Database!$A:$AS,MATCH($F$1,Database!$A$1:$AS$1,0),FALSE)</f>
        <v>99.7</v>
      </c>
      <c r="G190" s="79">
        <f>VLOOKUP(A190,Database!$A:$AS,MATCH($G$1,Database!$A$1:$AS$1,0),FALSE)</f>
        <v>104.427316723</v>
      </c>
      <c r="H190" s="79">
        <f>(((Table134567891011121314151617343[[#This Row],[ITA]]-VLOOKUP($U$1,A:B,2,))/VLOOKUP($U$1,A:B,2,))*100)+100</f>
        <v>100.41118421068661</v>
      </c>
      <c r="I190" s="79">
        <f>(((Table134567891011121314151617343[[#This Row],[FRA]]-VLOOKUP($U$1,A:C,3,))/VLOOKUP($U$1,A:C,3,))*100)+100</f>
        <v>108.54717533417895</v>
      </c>
      <c r="J190" s="79">
        <f>(((Table134567891011121314151617343[[#This Row],[DEU]]-VLOOKUP($U$1,A:D,4,))/VLOOKUP($U$1,A:D,4,))*100)+100</f>
        <v>115.29255319069709</v>
      </c>
      <c r="K190" s="79">
        <f>(((Table134567891011121314151617343[[#This Row],[ESP]]-VLOOKUP($U$1,A:E,5,))/VLOOKUP($U$1,A:E,5,))*100)+100</f>
        <v>107.27578381074424</v>
      </c>
      <c r="L190" s="79">
        <f>(((Table134567891011121314151617343[[#This Row],[EA19]]-VLOOKUP($U$1,A:F,6,))/VLOOKUP($U$1,A:F,6,))*100)+100</f>
        <v>111.52125279642058</v>
      </c>
      <c r="M190" s="79">
        <f>(((Table134567891011121314151617343[[#This Row],[GBR]]-VLOOKUP($U$1,A:G,7,))/VLOOKUP($U$1,A:G,7,))*100)+100</f>
        <v>113.30221703544221</v>
      </c>
      <c r="N190" s="79">
        <f>VLOOKUP(A190,Database!$A:$AS,MATCH($N$1,Database!$A$1:$AS$1,0),FALSE)</f>
        <v>94.667352018000003</v>
      </c>
      <c r="O190" s="79">
        <f>(((Table134567891011121314151617343[[#This Row],[USA]]-VLOOKUP($U$1,A:N,14,))/VLOOKUP($U$1,A:N,14,))*100)+100</f>
        <v>108.98412404956942</v>
      </c>
      <c r="P190" s="79">
        <f>VLOOKUP(A190,Database!$A:$AS,MATCH($P$1,Database!$A$1:$AS$1,0),FALSE)</f>
        <v>109.014128254</v>
      </c>
      <c r="Q190" s="79">
        <f>(((Table134567891011121314151617343[[#This Row],[JPN]]-VLOOKUP($U$1,A:Q,16,))/VLOOKUP($U$1,A:Q,16,))*100)+100</f>
        <v>109.44794799717782</v>
      </c>
    </row>
    <row r="191" spans="1:17" s="83" customFormat="1" x14ac:dyDescent="0.2">
      <c r="A191" s="21">
        <v>38626</v>
      </c>
      <c r="B191" s="79">
        <f>VLOOKUP(A191,Database!$A:$AS,MATCH($B$1,Database!$A$1:$AS$1,0),FALSE)</f>
        <v>122.189817515</v>
      </c>
      <c r="C191" s="79">
        <f>VLOOKUP(A191,Database!$A:$AS,MATCH($C$1,Database!$A$1:$AS$1,0),FALSE)</f>
        <v>107.98</v>
      </c>
      <c r="D191" s="79">
        <f>VLOOKUP(A191,Database!$A:$AS,MATCH($D$1,Database!$A$1:$AS$1,0),FALSE)</f>
        <v>88.392633946999993</v>
      </c>
      <c r="E191" s="79">
        <f>VLOOKUP(A191,Database!$A:$AS,MATCH($E$1,Database!$A$1:$AS$1,0),FALSE)</f>
        <v>126.604105503</v>
      </c>
      <c r="F191" s="79">
        <f>VLOOKUP(A191,Database!$A:$AS,MATCH($F$1,Database!$A$1:$AS$1,0),FALSE)</f>
        <v>99.9</v>
      </c>
      <c r="G191" s="79">
        <f>VLOOKUP(A191,Database!$A:$AS,MATCH($G$1,Database!$A$1:$AS$1,0),FALSE)</f>
        <v>104.9650475</v>
      </c>
      <c r="H191" s="79">
        <f>(((Table134567891011121314151617343[[#This Row],[ITA]]-VLOOKUP($U$1,A:B,2,))/VLOOKUP($U$1,A:B,2,))*100)+100</f>
        <v>100.49342105249497</v>
      </c>
      <c r="I191" s="79">
        <f>(((Table134567891011121314151617343[[#This Row],[FRA]]-VLOOKUP($U$1,A:C,3,))/VLOOKUP($U$1,A:C,3,))*100)+100</f>
        <v>105.3566201580642</v>
      </c>
      <c r="J191" s="79">
        <f>(((Table134567891011121314151617343[[#This Row],[DEU]]-VLOOKUP($U$1,A:D,4,))/VLOOKUP($U$1,A:D,4,))*100)+100</f>
        <v>117.55319148837135</v>
      </c>
      <c r="K191" s="79">
        <f>(((Table134567891011121314151617343[[#This Row],[ESP]]-VLOOKUP($U$1,A:E,5,))/VLOOKUP($U$1,A:E,5,))*100)+100</f>
        <v>106.41674371632509</v>
      </c>
      <c r="L191" s="79">
        <f>(((Table134567891011121314151617343[[#This Row],[EA19]]-VLOOKUP($U$1,A:F,6,))/VLOOKUP($U$1,A:F,6,))*100)+100</f>
        <v>111.74496644295301</v>
      </c>
      <c r="M191" s="79">
        <f>(((Table134567891011121314151617343[[#This Row],[GBR]]-VLOOKUP($U$1,A:G,7,))/VLOOKUP($U$1,A:G,7,))*100)+100</f>
        <v>113.88564760815242</v>
      </c>
      <c r="N191" s="79">
        <f>VLOOKUP(A191,Database!$A:$AS,MATCH($N$1,Database!$A$1:$AS$1,0),FALSE)</f>
        <v>95.792845721999996</v>
      </c>
      <c r="O191" s="79">
        <f>(((Table134567891011121314151617343[[#This Row],[USA]]-VLOOKUP($U$1,A:N,14,))/VLOOKUP($U$1,A:N,14,))*100)+100</f>
        <v>110.2798288816896</v>
      </c>
      <c r="P191" s="79">
        <f>VLOOKUP(A191,Database!$A:$AS,MATCH($P$1,Database!$A$1:$AS$1,0),FALSE)</f>
        <v>108.035935677</v>
      </c>
      <c r="Q191" s="79">
        <f>(((Table134567891011121314151617343[[#This Row],[JPN]]-VLOOKUP($U$1,A:Q,16,))/VLOOKUP($U$1,A:Q,16,))*100)+100</f>
        <v>108.46586272058623</v>
      </c>
    </row>
    <row r="192" spans="1:17" s="83" customFormat="1" x14ac:dyDescent="0.2">
      <c r="A192" s="21">
        <v>38657</v>
      </c>
      <c r="B192" s="79">
        <f>VLOOKUP(A192,Database!$A:$AS,MATCH($B$1,Database!$A$1:$AS$1,0),FALSE)</f>
        <v>123.489709191</v>
      </c>
      <c r="C192" s="79">
        <f>VLOOKUP(A192,Database!$A:$AS,MATCH($C$1,Database!$A$1:$AS$1,0),FALSE)</f>
        <v>112.32</v>
      </c>
      <c r="D192" s="79">
        <f>VLOOKUP(A192,Database!$A:$AS,MATCH($D$1,Database!$A$1:$AS$1,0),FALSE)</f>
        <v>87.392717274000006</v>
      </c>
      <c r="E192" s="79">
        <f>VLOOKUP(A192,Database!$A:$AS,MATCH($E$1,Database!$A$1:$AS$1,0),FALSE)</f>
        <v>128.57810714799999</v>
      </c>
      <c r="F192" s="79">
        <f>VLOOKUP(A192,Database!$A:$AS,MATCH($F$1,Database!$A$1:$AS$1,0),FALSE)</f>
        <v>101.6</v>
      </c>
      <c r="G192" s="79">
        <f>VLOOKUP(A192,Database!$A:$AS,MATCH($G$1,Database!$A$1:$AS$1,0),FALSE)</f>
        <v>105.610324431</v>
      </c>
      <c r="H192" s="79">
        <f>(((Table134567891011121314151617343[[#This Row],[ITA]]-VLOOKUP($U$1,A:B,2,))/VLOOKUP($U$1,A:B,2,))*100)+100</f>
        <v>101.56250000011566</v>
      </c>
      <c r="I192" s="79">
        <f>(((Table134567891011121314151617343[[#This Row],[FRA]]-VLOOKUP($U$1,A:C,3,))/VLOOKUP($U$1,A:C,3,))*100)+100</f>
        <v>109.59117962728071</v>
      </c>
      <c r="J192" s="79">
        <f>(((Table134567891011121314151617343[[#This Row],[DEU]]-VLOOKUP($U$1,A:D,4,))/VLOOKUP($U$1,A:D,4,))*100)+100</f>
        <v>116.22340425514939</v>
      </c>
      <c r="K192" s="79">
        <f>(((Table134567891011121314151617343[[#This Row],[ESP]]-VLOOKUP($U$1,A:E,5,))/VLOOKUP($U$1,A:E,5,))*100)+100</f>
        <v>108.07598554199076</v>
      </c>
      <c r="L192" s="79">
        <f>(((Table134567891011121314151617343[[#This Row],[EA19]]-VLOOKUP($U$1,A:F,6,))/VLOOKUP($U$1,A:F,6,))*100)+100</f>
        <v>113.64653243847873</v>
      </c>
      <c r="M192" s="79">
        <f>(((Table134567891011121314151617343[[#This Row],[GBR]]-VLOOKUP($U$1,A:G,7,))/VLOOKUP($U$1,A:G,7,))*100)+100</f>
        <v>114.58576429388569</v>
      </c>
      <c r="N192" s="79">
        <f>VLOOKUP(A192,Database!$A:$AS,MATCH($N$1,Database!$A$1:$AS$1,0),FALSE)</f>
        <v>96.812877048999994</v>
      </c>
      <c r="O192" s="79">
        <f>(((Table134567891011121314151617343[[#This Row],[USA]]-VLOOKUP($U$1,A:N,14,))/VLOOKUP($U$1,A:N,14,))*100)+100</f>
        <v>111.45412200710709</v>
      </c>
      <c r="P192" s="79">
        <f>VLOOKUP(A192,Database!$A:$AS,MATCH($P$1,Database!$A$1:$AS$1,0),FALSE)</f>
        <v>110.20969695799999</v>
      </c>
      <c r="Q192" s="79">
        <f>(((Table134567891011121314151617343[[#This Row],[JPN]]-VLOOKUP($U$1,A:Q,16,))/VLOOKUP($U$1,A:Q,16,))*100)+100</f>
        <v>110.64827444511825</v>
      </c>
    </row>
    <row r="193" spans="1:17" s="83" customFormat="1" x14ac:dyDescent="0.2">
      <c r="A193" s="21">
        <v>38687</v>
      </c>
      <c r="B193" s="79">
        <f>VLOOKUP(A193,Database!$A:$AS,MATCH($B$1,Database!$A$1:$AS$1,0),FALSE)</f>
        <v>121.68985917800001</v>
      </c>
      <c r="C193" s="79">
        <f>VLOOKUP(A193,Database!$A:$AS,MATCH($C$1,Database!$A$1:$AS$1,0),FALSE)</f>
        <v>110.97</v>
      </c>
      <c r="D193" s="79">
        <f>VLOOKUP(A193,Database!$A:$AS,MATCH($D$1,Database!$A$1:$AS$1,0),FALSE)</f>
        <v>87.192733938999993</v>
      </c>
      <c r="E193" s="79">
        <f>VLOOKUP(A193,Database!$A:$AS,MATCH($E$1,Database!$A$1:$AS$1,0),FALSE)</f>
        <v>129.97510831299999</v>
      </c>
      <c r="F193" s="79">
        <f>VLOOKUP(A193,Database!$A:$AS,MATCH($F$1,Database!$A$1:$AS$1,0),FALSE)</f>
        <v>100.5</v>
      </c>
      <c r="G193" s="79">
        <f>VLOOKUP(A193,Database!$A:$AS,MATCH($G$1,Database!$A$1:$AS$1,0),FALSE)</f>
        <v>105.825416741</v>
      </c>
      <c r="H193" s="79">
        <f>(((Table134567891011121314151617343[[#This Row],[ITA]]-VLOOKUP($U$1,A:B,2,))/VLOOKUP($U$1,A:B,2,))*100)+100</f>
        <v>100.08223684180835</v>
      </c>
      <c r="I193" s="79">
        <f>(((Table134567891011121314151617343[[#This Row],[FRA]]-VLOOKUP($U$1,A:C,3,))/VLOOKUP($U$1,A:C,3,))*100)+100</f>
        <v>108.27397794906821</v>
      </c>
      <c r="J193" s="79">
        <f>(((Table134567891011121314151617343[[#This Row],[DEU]]-VLOOKUP($U$1,A:D,4,))/VLOOKUP($U$1,A:D,4,))*100)+100</f>
        <v>115.95744680797301</v>
      </c>
      <c r="K193" s="79">
        <f>(((Table134567891011121314151617343[[#This Row],[ESP]]-VLOOKUP($U$1,A:E,5,))/VLOOKUP($U$1,A:E,5,))*100)+100</f>
        <v>109.25023115082443</v>
      </c>
      <c r="L193" s="79">
        <f>(((Table134567891011121314151617343[[#This Row],[EA19]]-VLOOKUP($U$1,A:F,6,))/VLOOKUP($U$1,A:F,6,))*100)+100</f>
        <v>112.41610738255034</v>
      </c>
      <c r="M193" s="79">
        <f>(((Table134567891011121314151617343[[#This Row],[GBR]]-VLOOKUP($U$1,A:G,7,))/VLOOKUP($U$1,A:G,7,))*100)+100</f>
        <v>114.8191365221018</v>
      </c>
      <c r="N193" s="79">
        <f>VLOOKUP(A193,Database!$A:$AS,MATCH($N$1,Database!$A$1:$AS$1,0),FALSE)</f>
        <v>97.345343115000006</v>
      </c>
      <c r="O193" s="79">
        <f>(((Table134567891011121314151617343[[#This Row],[USA]]-VLOOKUP($U$1,A:N,14,))/VLOOKUP($U$1,A:N,14,))*100)+100</f>
        <v>112.06711420084773</v>
      </c>
      <c r="P193" s="79">
        <f>VLOOKUP(A193,Database!$A:$AS,MATCH($P$1,Database!$A$1:$AS$1,0),FALSE)</f>
        <v>110.64444921400001</v>
      </c>
      <c r="Q193" s="79">
        <f>(((Table134567891011121314151617343[[#This Row],[JPN]]-VLOOKUP($U$1,A:Q,16,))/VLOOKUP($U$1,A:Q,16,))*100)+100</f>
        <v>111.08475678982386</v>
      </c>
    </row>
    <row r="194" spans="1:17" s="83" customFormat="1" x14ac:dyDescent="0.2">
      <c r="A194" s="21">
        <v>38718</v>
      </c>
      <c r="B194" s="79">
        <f>VLOOKUP(A194,Database!$A:$AS,MATCH($B$1,Database!$A$1:$AS$1,0),FALSE)</f>
        <v>122.189817515</v>
      </c>
      <c r="C194" s="79">
        <f>VLOOKUP(A194,Database!$A:$AS,MATCH($C$1,Database!$A$1:$AS$1,0),FALSE)</f>
        <v>110.24</v>
      </c>
      <c r="D194" s="79">
        <f>VLOOKUP(A194,Database!$A:$AS,MATCH($D$1,Database!$A$1:$AS$1,0),FALSE)</f>
        <v>87.692692276000002</v>
      </c>
      <c r="E194" s="79">
        <f>VLOOKUP(A194,Database!$A:$AS,MATCH($E$1,Database!$A$1:$AS$1,0),FALSE)</f>
        <v>130.468108723</v>
      </c>
      <c r="F194" s="79">
        <f>VLOOKUP(A194,Database!$A:$AS,MATCH($F$1,Database!$A$1:$AS$1,0),FALSE)</f>
        <v>101.3</v>
      </c>
      <c r="G194" s="79">
        <f>VLOOKUP(A194,Database!$A:$AS,MATCH($G$1,Database!$A$1:$AS$1,0),FALSE)</f>
        <v>106.57823982799999</v>
      </c>
      <c r="H194" s="79">
        <f>(((Table134567891011121314151617343[[#This Row],[ITA]]-VLOOKUP($U$1,A:B,2,))/VLOOKUP($U$1,A:B,2,))*100)+100</f>
        <v>100.49342105249497</v>
      </c>
      <c r="I194" s="79">
        <f>(((Table134567891011121314151617343[[#This Row],[FRA]]-VLOOKUP($U$1,A:C,3,))/VLOOKUP($U$1,A:C,3,))*100)+100</f>
        <v>107.56171333788663</v>
      </c>
      <c r="J194" s="79">
        <f>(((Table134567891011121314151617343[[#This Row],[DEU]]-VLOOKUP($U$1,A:D,4,))/VLOOKUP($U$1,A:D,4,))*100)+100</f>
        <v>116.62234042524896</v>
      </c>
      <c r="K194" s="79">
        <f>(((Table134567891011121314151617343[[#This Row],[ESP]]-VLOOKUP($U$1,A:E,5,))/VLOOKUP($U$1,A:E,5,))*100)+100</f>
        <v>109.66462133252175</v>
      </c>
      <c r="L194" s="79">
        <f>(((Table134567891011121314151617343[[#This Row],[EA19]]-VLOOKUP($U$1,A:F,6,))/VLOOKUP($U$1,A:F,6,))*100)+100</f>
        <v>113.31096196868008</v>
      </c>
      <c r="M194" s="79">
        <f>(((Table134567891011121314151617343[[#This Row],[GBR]]-VLOOKUP($U$1,A:G,7,))/VLOOKUP($U$1,A:G,7,))*100)+100</f>
        <v>115.6359393230281</v>
      </c>
      <c r="N194" s="79">
        <f>VLOOKUP(A194,Database!$A:$AS,MATCH($N$1,Database!$A$1:$AS$1,0),FALSE)</f>
        <v>97.468745991000006</v>
      </c>
      <c r="O194" s="79">
        <f>(((Table134567891011121314151617343[[#This Row],[USA]]-VLOOKUP($U$1,A:N,14,))/VLOOKUP($U$1,A:N,14,))*100)+100</f>
        <v>112.20917959149581</v>
      </c>
      <c r="P194" s="79">
        <f>VLOOKUP(A194,Database!$A:$AS,MATCH($P$1,Database!$A$1:$AS$1,0),FALSE)</f>
        <v>110.970513407</v>
      </c>
      <c r="Q194" s="79">
        <f>(((Table134567891011121314151617343[[#This Row],[JPN]]-VLOOKUP($U$1,A:Q,16,))/VLOOKUP($U$1,A:Q,16,))*100)+100</f>
        <v>111.41211854935705</v>
      </c>
    </row>
    <row r="195" spans="1:17" s="83" customFormat="1" x14ac:dyDescent="0.2">
      <c r="A195" s="21">
        <v>38749</v>
      </c>
      <c r="B195" s="79">
        <f>VLOOKUP(A195,Database!$A:$AS,MATCH($B$1,Database!$A$1:$AS$1,0),FALSE)</f>
        <v>124.48962586499999</v>
      </c>
      <c r="C195" s="79">
        <f>VLOOKUP(A195,Database!$A:$AS,MATCH($C$1,Database!$A$1:$AS$1,0),FALSE)</f>
        <v>109.51</v>
      </c>
      <c r="D195" s="79">
        <f>VLOOKUP(A195,Database!$A:$AS,MATCH($D$1,Database!$A$1:$AS$1,0),FALSE)</f>
        <v>88.192650611999994</v>
      </c>
      <c r="E195" s="79">
        <f>VLOOKUP(A195,Database!$A:$AS,MATCH($E$1,Database!$A$1:$AS$1,0),FALSE)</f>
        <v>130.57510881300001</v>
      </c>
      <c r="F195" s="79">
        <f>VLOOKUP(A195,Database!$A:$AS,MATCH($F$1,Database!$A$1:$AS$1,0),FALSE)</f>
        <v>101.2</v>
      </c>
      <c r="G195" s="79">
        <f>VLOOKUP(A195,Database!$A:$AS,MATCH($G$1,Database!$A$1:$AS$1,0),FALSE)</f>
        <v>104.857501344</v>
      </c>
      <c r="H195" s="79">
        <f>(((Table134567891011121314151617343[[#This Row],[ITA]]-VLOOKUP($U$1,A:B,2,))/VLOOKUP($U$1,A:B,2,))*100)+100</f>
        <v>102.38486842148887</v>
      </c>
      <c r="I195" s="79">
        <f>(((Table134567891011121314151617343[[#This Row],[FRA]]-VLOOKUP($U$1,A:C,3,))/VLOOKUP($U$1,A:C,3,))*100)+100</f>
        <v>106.84944872670505</v>
      </c>
      <c r="J195" s="79">
        <f>(((Table134567891011121314151617343[[#This Row],[DEU]]-VLOOKUP($U$1,A:D,4,))/VLOOKUP($U$1,A:D,4,))*100)+100</f>
        <v>117.28723404119501</v>
      </c>
      <c r="K195" s="79">
        <f>(((Table134567891011121314151617343[[#This Row],[ESP]]-VLOOKUP($U$1,A:E,5,))/VLOOKUP($U$1,A:E,5,))*100)+100</f>
        <v>109.75455997321524</v>
      </c>
      <c r="L195" s="79">
        <f>(((Table134567891011121314151617343[[#This Row],[EA19]]-VLOOKUP($U$1,A:F,6,))/VLOOKUP($U$1,A:F,6,))*100)+100</f>
        <v>113.19910514541387</v>
      </c>
      <c r="M195" s="79">
        <f>(((Table134567891011121314151617343[[#This Row],[GBR]]-VLOOKUP($U$1,A:G,7,))/VLOOKUP($U$1,A:G,7,))*100)+100</f>
        <v>113.76896149295939</v>
      </c>
      <c r="N195" s="79">
        <f>VLOOKUP(A195,Database!$A:$AS,MATCH($N$1,Database!$A$1:$AS$1,0),FALSE)</f>
        <v>97.474593999000007</v>
      </c>
      <c r="O195" s="79">
        <f>(((Table134567891011121314151617343[[#This Row],[USA]]-VLOOKUP($U$1,A:N,14,))/VLOOKUP($U$1,A:N,14,))*100)+100</f>
        <v>112.21591200785403</v>
      </c>
      <c r="P195" s="79">
        <f>VLOOKUP(A195,Database!$A:$AS,MATCH($P$1,Database!$A$1:$AS$1,0),FALSE)</f>
        <v>110.753137278</v>
      </c>
      <c r="Q195" s="79">
        <f>(((Table134567891011121314151617343[[#This Row],[JPN]]-VLOOKUP($U$1,A:Q,16,))/VLOOKUP($U$1,A:Q,16,))*100)+100</f>
        <v>111.19387737600026</v>
      </c>
    </row>
    <row r="196" spans="1:17" s="83" customFormat="1" x14ac:dyDescent="0.2">
      <c r="A196" s="21">
        <v>38777</v>
      </c>
      <c r="B196" s="79">
        <f>VLOOKUP(A196,Database!$A:$AS,MATCH($B$1,Database!$A$1:$AS$1,0),FALSE)</f>
        <v>125.089575869</v>
      </c>
      <c r="C196" s="79">
        <f>VLOOKUP(A196,Database!$A:$AS,MATCH($C$1,Database!$A$1:$AS$1,0),FALSE)</f>
        <v>111.53</v>
      </c>
      <c r="D196" s="79">
        <f>VLOOKUP(A196,Database!$A:$AS,MATCH($D$1,Database!$A$1:$AS$1,0),FALSE)</f>
        <v>87.392717274000006</v>
      </c>
      <c r="E196" s="79">
        <f>VLOOKUP(A196,Database!$A:$AS,MATCH($E$1,Database!$A$1:$AS$1,0),FALSE)</f>
        <v>131.25610938</v>
      </c>
      <c r="F196" s="79">
        <f>VLOOKUP(A196,Database!$A:$AS,MATCH($F$1,Database!$A$1:$AS$1,0),FALSE)</f>
        <v>101.9</v>
      </c>
      <c r="G196" s="79">
        <f>VLOOKUP(A196,Database!$A:$AS,MATCH($G$1,Database!$A$1:$AS$1,0),FALSE)</f>
        <v>106.363147517</v>
      </c>
      <c r="H196" s="79">
        <f>(((Table134567891011121314151617343[[#This Row],[ITA]]-VLOOKUP($U$1,A:B,2,))/VLOOKUP($U$1,A:B,2,))*100)+100</f>
        <v>102.87828947398384</v>
      </c>
      <c r="I196" s="79">
        <f>(((Table134567891011121314151617343[[#This Row],[FRA]]-VLOOKUP($U$1,A:C,3,))/VLOOKUP($U$1,A:C,3,))*100)+100</f>
        <v>108.82037271928969</v>
      </c>
      <c r="J196" s="79">
        <f>(((Table134567891011121314151617343[[#This Row],[DEU]]-VLOOKUP($U$1,A:D,4,))/VLOOKUP($U$1,A:D,4,))*100)+100</f>
        <v>116.22340425514939</v>
      </c>
      <c r="K196" s="79">
        <f>(((Table134567891011121314151617343[[#This Row],[ESP]]-VLOOKUP($U$1,A:E,5,))/VLOOKUP($U$1,A:E,5,))*100)+100</f>
        <v>110.32697318620849</v>
      </c>
      <c r="L196" s="79">
        <f>(((Table134567891011121314151617343[[#This Row],[EA19]]-VLOOKUP($U$1,A:F,6,))/VLOOKUP($U$1,A:F,6,))*100)+100</f>
        <v>113.9821029082774</v>
      </c>
      <c r="M196" s="79">
        <f>(((Table134567891011121314151617343[[#This Row],[GBR]]-VLOOKUP($U$1,A:G,7,))/VLOOKUP($U$1,A:G,7,))*100)+100</f>
        <v>115.40256709372703</v>
      </c>
      <c r="N196" s="79">
        <f>VLOOKUP(A196,Database!$A:$AS,MATCH($N$1,Database!$A$1:$AS$1,0),FALSE)</f>
        <v>97.722688296000001</v>
      </c>
      <c r="O196" s="79">
        <f>(((Table134567891011121314151617343[[#This Row],[USA]]-VLOOKUP($U$1,A:N,14,))/VLOOKUP($U$1,A:N,14,))*100)+100</f>
        <v>112.50152620391918</v>
      </c>
      <c r="P196" s="79">
        <f>VLOOKUP(A196,Database!$A:$AS,MATCH($P$1,Database!$A$1:$AS$1,0),FALSE)</f>
        <v>111.513953727</v>
      </c>
      <c r="Q196" s="79">
        <f>(((Table134567891011121314151617343[[#This Row],[JPN]]-VLOOKUP($U$1,A:Q,16,))/VLOOKUP($U$1,A:Q,16,))*100)+100</f>
        <v>111.95772148023904</v>
      </c>
    </row>
    <row r="197" spans="1:17" s="83" customFormat="1" x14ac:dyDescent="0.2">
      <c r="A197" s="21">
        <v>38808</v>
      </c>
      <c r="B197" s="79">
        <f>VLOOKUP(A197,Database!$A:$AS,MATCH($B$1,Database!$A$1:$AS$1,0),FALSE)</f>
        <v>124.089659195</v>
      </c>
      <c r="C197" s="79">
        <f>VLOOKUP(A197,Database!$A:$AS,MATCH($C$1,Database!$A$1:$AS$1,0),FALSE)</f>
        <v>110.97</v>
      </c>
      <c r="D197" s="79">
        <f>VLOOKUP(A197,Database!$A:$AS,MATCH($D$1,Database!$A$1:$AS$1,0),FALSE)</f>
        <v>89.392550620999998</v>
      </c>
      <c r="E197" s="79">
        <f>VLOOKUP(A197,Database!$A:$AS,MATCH($E$1,Database!$A$1:$AS$1,0),FALSE)</f>
        <v>129.93310827799999</v>
      </c>
      <c r="F197" s="79">
        <f>VLOOKUP(A197,Database!$A:$AS,MATCH($F$1,Database!$A$1:$AS$1,0),FALSE)</f>
        <v>102.3</v>
      </c>
      <c r="G197" s="79">
        <f>VLOOKUP(A197,Database!$A:$AS,MATCH($G$1,Database!$A$1:$AS$1,0),FALSE)</f>
        <v>104.534862879</v>
      </c>
      <c r="H197" s="79">
        <f>(((Table134567891011121314151617343[[#This Row],[ITA]]-VLOOKUP($U$1,A:B,2,))/VLOOKUP($U$1,A:B,2,))*100)+100</f>
        <v>102.05592105261061</v>
      </c>
      <c r="I197" s="79">
        <f>(((Table134567891011121314151617343[[#This Row],[FRA]]-VLOOKUP($U$1,A:C,3,))/VLOOKUP($U$1,A:C,3,))*100)+100</f>
        <v>108.27397794906821</v>
      </c>
      <c r="J197" s="79">
        <f>(((Table134567891011121314151617343[[#This Row],[DEU]]-VLOOKUP($U$1,A:D,4,))/VLOOKUP($U$1,A:D,4,))*100)+100</f>
        <v>118.88297872292324</v>
      </c>
      <c r="K197" s="79">
        <f>(((Table134567891011121314151617343[[#This Row],[ESP]]-VLOOKUP($U$1,A:E,5,))/VLOOKUP($U$1,A:E,5,))*100)+100</f>
        <v>109.21492813325708</v>
      </c>
      <c r="L197" s="79">
        <f>(((Table134567891011121314151617343[[#This Row],[EA19]]-VLOOKUP($U$1,A:F,6,))/VLOOKUP($U$1,A:F,6,))*100)+100</f>
        <v>114.42953020134227</v>
      </c>
      <c r="M197" s="79">
        <f>(((Table134567891011121314151617343[[#This Row],[GBR]]-VLOOKUP($U$1,A:G,7,))/VLOOKUP($U$1,A:G,7,))*100)+100</f>
        <v>113.41890315063524</v>
      </c>
      <c r="N197" s="79">
        <f>VLOOKUP(A197,Database!$A:$AS,MATCH($N$1,Database!$A$1:$AS$1,0),FALSE)</f>
        <v>98.032632710000001</v>
      </c>
      <c r="O197" s="79">
        <f>(((Table134567891011121314151617343[[#This Row],[USA]]-VLOOKUP($U$1,A:N,14,))/VLOOKUP($U$1,A:N,14,))*100)+100</f>
        <v>112.85834425939225</v>
      </c>
      <c r="P197" s="79">
        <f>VLOOKUP(A197,Database!$A:$AS,MATCH($P$1,Database!$A$1:$AS$1,0),FALSE)</f>
        <v>113.57902694400001</v>
      </c>
      <c r="Q197" s="79">
        <f>(((Table134567891011121314151617343[[#This Row],[JPN]]-VLOOKUP($U$1,A:Q,16,))/VLOOKUP($U$1,A:Q,16,))*100)+100</f>
        <v>114.03101261859467</v>
      </c>
    </row>
    <row r="198" spans="1:17" s="83" customFormat="1" x14ac:dyDescent="0.2">
      <c r="A198" s="21">
        <v>38838</v>
      </c>
      <c r="B198" s="79">
        <f>VLOOKUP(A198,Database!$A:$AS,MATCH($B$1,Database!$A$1:$AS$1,0),FALSE)</f>
        <v>126.989417549</v>
      </c>
      <c r="C198" s="79">
        <f>VLOOKUP(A198,Database!$A:$AS,MATCH($C$1,Database!$A$1:$AS$1,0),FALSE)</f>
        <v>112.74</v>
      </c>
      <c r="D198" s="79">
        <f>VLOOKUP(A198,Database!$A:$AS,MATCH($D$1,Database!$A$1:$AS$1,0),FALSE)</f>
        <v>90.692442295999996</v>
      </c>
      <c r="E198" s="79">
        <f>VLOOKUP(A198,Database!$A:$AS,MATCH($E$1,Database!$A$1:$AS$1,0),FALSE)</f>
        <v>131.85110987600001</v>
      </c>
      <c r="F198" s="79">
        <f>VLOOKUP(A198,Database!$A:$AS,MATCH($F$1,Database!$A$1:$AS$1,0),FALSE)</f>
        <v>103.8</v>
      </c>
      <c r="G198" s="79">
        <f>VLOOKUP(A198,Database!$A:$AS,MATCH($G$1,Database!$A$1:$AS$1,0),FALSE)</f>
        <v>106.040509052</v>
      </c>
      <c r="H198" s="79">
        <f>(((Table134567891011121314151617343[[#This Row],[ITA]]-VLOOKUP($U$1,A:B,2,))/VLOOKUP($U$1,A:B,2,))*100)+100</f>
        <v>104.44078947409949</v>
      </c>
      <c r="I198" s="79">
        <f>(((Table134567891011121314151617343[[#This Row],[FRA]]-VLOOKUP($U$1,A:C,3,))/VLOOKUP($U$1,A:C,3,))*100)+100</f>
        <v>110.00097570494682</v>
      </c>
      <c r="J198" s="79">
        <f>(((Table134567891011121314151617343[[#This Row],[DEU]]-VLOOKUP($U$1,A:D,4,))/VLOOKUP($U$1,A:D,4,))*100)+100</f>
        <v>120.61170212624479</v>
      </c>
      <c r="K198" s="79">
        <f>(((Table134567891011121314151617343[[#This Row],[ESP]]-VLOOKUP($U$1,A:E,5,))/VLOOKUP($U$1,A:E,5,))*100)+100</f>
        <v>110.82709926855279</v>
      </c>
      <c r="L198" s="79">
        <f>(((Table134567891011121314151617343[[#This Row],[EA19]]-VLOOKUP($U$1,A:F,6,))/VLOOKUP($U$1,A:F,6,))*100)+100</f>
        <v>116.10738255033556</v>
      </c>
      <c r="M198" s="79">
        <f>(((Table134567891011121314151617343[[#This Row],[GBR]]-VLOOKUP($U$1,A:G,7,))/VLOOKUP($U$1,A:G,7,))*100)+100</f>
        <v>115.05250875140288</v>
      </c>
      <c r="N198" s="79">
        <f>VLOOKUP(A198,Database!$A:$AS,MATCH($N$1,Database!$A$1:$AS$1,0),FALSE)</f>
        <v>98.028370601999995</v>
      </c>
      <c r="O198" s="79">
        <f>(((Table134567891011121314151617343[[#This Row],[USA]]-VLOOKUP($U$1,A:N,14,))/VLOOKUP($U$1,A:N,14,))*100)+100</f>
        <v>112.85343758251703</v>
      </c>
      <c r="P198" s="79">
        <f>VLOOKUP(A198,Database!$A:$AS,MATCH($P$1,Database!$A$1:$AS$1,0),FALSE)</f>
        <v>111.840017919</v>
      </c>
      <c r="Q198" s="79">
        <f>(((Table134567891011121314151617343[[#This Row],[JPN]]-VLOOKUP($U$1,A:Q,16,))/VLOOKUP($U$1,A:Q,16,))*100)+100</f>
        <v>112.28508323876827</v>
      </c>
    </row>
    <row r="199" spans="1:17" s="83" customFormat="1" x14ac:dyDescent="0.2">
      <c r="A199" s="21">
        <v>38869</v>
      </c>
      <c r="B199" s="79">
        <f>VLOOKUP(A199,Database!$A:$AS,MATCH($B$1,Database!$A$1:$AS$1,0),FALSE)</f>
        <v>127.389384218</v>
      </c>
      <c r="C199" s="79">
        <f>VLOOKUP(A199,Database!$A:$AS,MATCH($C$1,Database!$A$1:$AS$1,0),FALSE)</f>
        <v>112.55</v>
      </c>
      <c r="D199" s="79">
        <f>VLOOKUP(A199,Database!$A:$AS,MATCH($D$1,Database!$A$1:$AS$1,0),FALSE)</f>
        <v>90.192483960000004</v>
      </c>
      <c r="E199" s="79">
        <f>VLOOKUP(A199,Database!$A:$AS,MATCH($E$1,Database!$A$1:$AS$1,0),FALSE)</f>
        <v>132.52511043800001</v>
      </c>
      <c r="F199" s="79">
        <f>VLOOKUP(A199,Database!$A:$AS,MATCH($F$1,Database!$A$1:$AS$1,0),FALSE)</f>
        <v>103.7</v>
      </c>
      <c r="G199" s="79">
        <f>VLOOKUP(A199,Database!$A:$AS,MATCH($G$1,Database!$A$1:$AS$1,0),FALSE)</f>
        <v>107.331062915</v>
      </c>
      <c r="H199" s="79">
        <f>(((Table134567891011121314151617343[[#This Row],[ITA]]-VLOOKUP($U$1,A:B,2,))/VLOOKUP($U$1,A:B,2,))*100)+100</f>
        <v>104.76973684215533</v>
      </c>
      <c r="I199" s="79">
        <f>(((Table134567891011121314151617343[[#This Row],[FRA]]-VLOOKUP($U$1,A:C,3,))/VLOOKUP($U$1,A:C,3,))*100)+100</f>
        <v>109.81559176505024</v>
      </c>
      <c r="J199" s="79">
        <f>(((Table134567891011121314151617343[[#This Row],[DEU]]-VLOOKUP($U$1,A:D,4,))/VLOOKUP($U$1,A:D,4,))*100)+100</f>
        <v>119.94680851029877</v>
      </c>
      <c r="K199" s="79">
        <f>(((Table134567891011121314151617343[[#This Row],[ESP]]-VLOOKUP($U$1,A:E,5,))/VLOOKUP($U$1,A:E,5,))*100)+100</f>
        <v>111.3936286459853</v>
      </c>
      <c r="L199" s="79">
        <f>(((Table134567891011121314151617343[[#This Row],[EA19]]-VLOOKUP($U$1,A:F,6,))/VLOOKUP($U$1,A:F,6,))*100)+100</f>
        <v>115.99552572706935</v>
      </c>
      <c r="M199" s="79">
        <f>(((Table134567891011121314151617343[[#This Row],[GBR]]-VLOOKUP($U$1,A:G,7,))/VLOOKUP($U$1,A:G,7,))*100)+100</f>
        <v>116.45274212395442</v>
      </c>
      <c r="N199" s="79">
        <f>VLOOKUP(A199,Database!$A:$AS,MATCH($N$1,Database!$A$1:$AS$1,0),FALSE)</f>
        <v>98.33474674</v>
      </c>
      <c r="O199" s="79">
        <f>(((Table134567891011121314151617343[[#This Row],[USA]]-VLOOKUP($U$1,A:N,14,))/VLOOKUP($U$1,A:N,14,))*100)+100</f>
        <v>113.20614772300212</v>
      </c>
      <c r="P199" s="79">
        <f>VLOOKUP(A199,Database!$A:$AS,MATCH($P$1,Database!$A$1:$AS$1,0),FALSE)</f>
        <v>113.36165081599999</v>
      </c>
      <c r="Q199" s="79">
        <f>(((Table134567891011121314151617343[[#This Row],[JPN]]-VLOOKUP($U$1,A:Q,16,))/VLOOKUP($U$1,A:Q,16,))*100)+100</f>
        <v>113.81277144624185</v>
      </c>
    </row>
    <row r="200" spans="1:17" s="83" customFormat="1" x14ac:dyDescent="0.2">
      <c r="A200" s="21">
        <v>38899</v>
      </c>
      <c r="B200" s="79">
        <f>VLOOKUP(A200,Database!$A:$AS,MATCH($B$1,Database!$A$1:$AS$1,0),FALSE)</f>
        <v>125.48954253799999</v>
      </c>
      <c r="C200" s="79">
        <f>VLOOKUP(A200,Database!$A:$AS,MATCH($C$1,Database!$A$1:$AS$1,0),FALSE)</f>
        <v>111</v>
      </c>
      <c r="D200" s="79">
        <f>VLOOKUP(A200,Database!$A:$AS,MATCH($D$1,Database!$A$1:$AS$1,0),FALSE)</f>
        <v>91.792350636999998</v>
      </c>
      <c r="E200" s="79">
        <f>VLOOKUP(A200,Database!$A:$AS,MATCH($E$1,Database!$A$1:$AS$1,0),FALSE)</f>
        <v>131.63710969799999</v>
      </c>
      <c r="F200" s="79">
        <f>VLOOKUP(A200,Database!$A:$AS,MATCH($F$1,Database!$A$1:$AS$1,0),FALSE)</f>
        <v>103.5</v>
      </c>
      <c r="G200" s="79">
        <f>VLOOKUP(A200,Database!$A:$AS,MATCH($G$1,Database!$A$1:$AS$1,0),FALSE)</f>
        <v>106.25560136199999</v>
      </c>
      <c r="H200" s="79">
        <f>(((Table134567891011121314151617343[[#This Row],[ITA]]-VLOOKUP($U$1,A:B,2,))/VLOOKUP($U$1,A:B,2,))*100)+100</f>
        <v>103.20723684203966</v>
      </c>
      <c r="I200" s="79">
        <f>(((Table134567891011121314151617343[[#This Row],[FRA]]-VLOOKUP($U$1,A:C,3,))/VLOOKUP($U$1,A:C,3,))*100)+100</f>
        <v>108.30324909747293</v>
      </c>
      <c r="J200" s="79">
        <f>(((Table134567891011121314151617343[[#This Row],[DEU]]-VLOOKUP($U$1,A:D,4,))/VLOOKUP($U$1,A:D,4,))*100)+100</f>
        <v>122.07446808371989</v>
      </c>
      <c r="K200" s="79">
        <f>(((Table134567891011121314151617343[[#This Row],[ESP]]-VLOOKUP($U$1,A:E,5,))/VLOOKUP($U$1,A:E,5,))*100)+100</f>
        <v>110.64722198884691</v>
      </c>
      <c r="L200" s="79">
        <f>(((Table134567891011121314151617343[[#This Row],[EA19]]-VLOOKUP($U$1,A:F,6,))/VLOOKUP($U$1,A:F,6,))*100)+100</f>
        <v>115.7718120805369</v>
      </c>
      <c r="M200" s="79">
        <f>(((Table134567891011121314151617343[[#This Row],[GBR]]-VLOOKUP($U$1,A:G,7,))/VLOOKUP($U$1,A:G,7,))*100)+100</f>
        <v>115.28588097961897</v>
      </c>
      <c r="N200" s="79">
        <f>VLOOKUP(A200,Database!$A:$AS,MATCH($N$1,Database!$A$1:$AS$1,0),FALSE)</f>
        <v>98.273590455000004</v>
      </c>
      <c r="O200" s="79">
        <f>(((Table134567891011121314151617343[[#This Row],[USA]]-VLOOKUP($U$1,A:N,14,))/VLOOKUP($U$1,A:N,14,))*100)+100</f>
        <v>113.13574262548146</v>
      </c>
      <c r="P200" s="79">
        <f>VLOOKUP(A200,Database!$A:$AS,MATCH($P$1,Database!$A$1:$AS$1,0),FALSE)</f>
        <v>113.796403072</v>
      </c>
      <c r="Q200" s="79">
        <f>(((Table134567891011121314151617343[[#This Row],[JPN]]-VLOOKUP($U$1,A:Q,16,))/VLOOKUP($U$1,A:Q,16,))*100)+100</f>
        <v>114.24925379094748</v>
      </c>
    </row>
    <row r="201" spans="1:17" s="83" customFormat="1" x14ac:dyDescent="0.2">
      <c r="A201" s="21">
        <v>38930</v>
      </c>
      <c r="B201" s="79">
        <f>VLOOKUP(A201,Database!$A:$AS,MATCH($B$1,Database!$A$1:$AS$1,0),FALSE)</f>
        <v>127.189400883</v>
      </c>
      <c r="C201" s="79">
        <f>VLOOKUP(A201,Database!$A:$AS,MATCH($C$1,Database!$A$1:$AS$1,0),FALSE)</f>
        <v>110.26</v>
      </c>
      <c r="D201" s="79">
        <f>VLOOKUP(A201,Database!$A:$AS,MATCH($D$1,Database!$A$1:$AS$1,0),FALSE)</f>
        <v>92.392300641999995</v>
      </c>
      <c r="E201" s="79">
        <f>VLOOKUP(A201,Database!$A:$AS,MATCH($E$1,Database!$A$1:$AS$1,0),FALSE)</f>
        <v>131.45410954499999</v>
      </c>
      <c r="F201" s="79">
        <f>VLOOKUP(A201,Database!$A:$AS,MATCH($F$1,Database!$A$1:$AS$1,0),FALSE)</f>
        <v>103.8</v>
      </c>
      <c r="G201" s="79">
        <f>VLOOKUP(A201,Database!$A:$AS,MATCH($G$1,Database!$A$1:$AS$1,0),FALSE)</f>
        <v>107.65370138</v>
      </c>
      <c r="H201" s="79">
        <f>(((Table134567891011121314151617343[[#This Row],[ITA]]-VLOOKUP($U$1,A:B,2,))/VLOOKUP($U$1,A:B,2,))*100)+100</f>
        <v>104.60526315771619</v>
      </c>
      <c r="I201" s="79">
        <f>(((Table134567891011121314151617343[[#This Row],[FRA]]-VLOOKUP($U$1,A:C,3,))/VLOOKUP($U$1,A:C,3,))*100)+100</f>
        <v>107.58122743682311</v>
      </c>
      <c r="J201" s="79">
        <f>(((Table134567891011121314151617343[[#This Row],[DEU]]-VLOOKUP($U$1,A:D,4,))/VLOOKUP($U$1,A:D,4,))*100)+100</f>
        <v>122.87234042524896</v>
      </c>
      <c r="K201" s="79">
        <f>(((Table134567891011121314151617343[[#This Row],[ESP]]-VLOOKUP($U$1,A:E,5,))/VLOOKUP($U$1,A:E,5,))*100)+100</f>
        <v>110.49340169759745</v>
      </c>
      <c r="L201" s="79">
        <f>(((Table134567891011121314151617343[[#This Row],[EA19]]-VLOOKUP($U$1,A:F,6,))/VLOOKUP($U$1,A:F,6,))*100)+100</f>
        <v>116.10738255033556</v>
      </c>
      <c r="M201" s="79">
        <f>(((Table134567891011121314151617343[[#This Row],[GBR]]-VLOOKUP($U$1,A:G,7,))/VLOOKUP($U$1,A:G,7,))*100)+100</f>
        <v>116.80280046627857</v>
      </c>
      <c r="N201" s="79">
        <f>VLOOKUP(A201,Database!$A:$AS,MATCH($N$1,Database!$A$1:$AS$1,0),FALSE)</f>
        <v>98.703964181000003</v>
      </c>
      <c r="O201" s="79">
        <f>(((Table134567891011121314151617343[[#This Row],[USA]]-VLOOKUP($U$1,A:N,14,))/VLOOKUP($U$1,A:N,14,))*100)+100</f>
        <v>113.63120280834515</v>
      </c>
      <c r="P201" s="79">
        <f>VLOOKUP(A201,Database!$A:$AS,MATCH($P$1,Database!$A$1:$AS$1,0),FALSE)</f>
        <v>114.12246726399999</v>
      </c>
      <c r="Q201" s="79">
        <f>(((Table134567891011121314151617343[[#This Row],[JPN]]-VLOOKUP($U$1,A:Q,16,))/VLOOKUP($U$1,A:Q,16,))*100)+100</f>
        <v>114.57661554947667</v>
      </c>
    </row>
    <row r="202" spans="1:17" s="83" customFormat="1" x14ac:dyDescent="0.2">
      <c r="A202" s="21">
        <v>38961</v>
      </c>
      <c r="B202" s="79">
        <f>VLOOKUP(A202,Database!$A:$AS,MATCH($B$1,Database!$A$1:$AS$1,0),FALSE)</f>
        <v>126.88942588099999</v>
      </c>
      <c r="C202" s="79">
        <f>VLOOKUP(A202,Database!$A:$AS,MATCH($C$1,Database!$A$1:$AS$1,0),FALSE)</f>
        <v>111.95</v>
      </c>
      <c r="D202" s="79">
        <f>VLOOKUP(A202,Database!$A:$AS,MATCH($D$1,Database!$A$1:$AS$1,0),FALSE)</f>
        <v>92.292308973999994</v>
      </c>
      <c r="E202" s="79">
        <f>VLOOKUP(A202,Database!$A:$AS,MATCH($E$1,Database!$A$1:$AS$1,0),FALSE)</f>
        <v>132.820110683</v>
      </c>
      <c r="F202" s="79">
        <f>VLOOKUP(A202,Database!$A:$AS,MATCH($F$1,Database!$A$1:$AS$1,0),FALSE)</f>
        <v>103.9</v>
      </c>
      <c r="G202" s="79">
        <f>VLOOKUP(A202,Database!$A:$AS,MATCH($G$1,Database!$A$1:$AS$1,0),FALSE)</f>
        <v>108.944255243</v>
      </c>
      <c r="H202" s="79">
        <f>(((Table134567891011121314151617343[[#This Row],[ITA]]-VLOOKUP($U$1,A:B,2,))/VLOOKUP($U$1,A:B,2,))*100)+100</f>
        <v>104.3585526314687</v>
      </c>
      <c r="I202" s="79">
        <f>(((Table134567891011121314151617343[[#This Row],[FRA]]-VLOOKUP($U$1,A:C,3,))/VLOOKUP($U$1,A:C,3,))*100)+100</f>
        <v>109.23016879695581</v>
      </c>
      <c r="J202" s="79">
        <f>(((Table134567891011121314151617343[[#This Row],[DEU]]-VLOOKUP($U$1,A:D,4,))/VLOOKUP($U$1,A:D,4,))*100)+100</f>
        <v>122.73936170099583</v>
      </c>
      <c r="K202" s="79">
        <f>(((Table134567891011121314151617343[[#This Row],[ESP]]-VLOOKUP($U$1,A:E,5,))/VLOOKUP($U$1,A:E,5,))*100)+100</f>
        <v>111.64159031629363</v>
      </c>
      <c r="L202" s="79">
        <f>(((Table134567891011121314151617343[[#This Row],[EA19]]-VLOOKUP($U$1,A:F,6,))/VLOOKUP($U$1,A:F,6,))*100)+100</f>
        <v>116.21923937360179</v>
      </c>
      <c r="M202" s="79">
        <f>(((Table134567891011121314151617343[[#This Row],[GBR]]-VLOOKUP($U$1,A:G,7,))/VLOOKUP($U$1,A:G,7,))*100)+100</f>
        <v>118.20303383883011</v>
      </c>
      <c r="N202" s="79">
        <f>VLOOKUP(A202,Database!$A:$AS,MATCH($N$1,Database!$A$1:$AS$1,0),FALSE)</f>
        <v>98.537246398999997</v>
      </c>
      <c r="O202" s="79">
        <f>(((Table134567891011121314151617343[[#This Row],[USA]]-VLOOKUP($U$1,A:N,14,))/VLOOKUP($U$1,A:N,14,))*100)+100</f>
        <v>113.43927189396504</v>
      </c>
      <c r="P202" s="79">
        <f>VLOOKUP(A202,Database!$A:$AS,MATCH($P$1,Database!$A$1:$AS$1,0),FALSE)</f>
        <v>114.0137792</v>
      </c>
      <c r="Q202" s="79">
        <f>(((Table134567891011121314151617343[[#This Row],[JPN]]-VLOOKUP($U$1,A:Q,16,))/VLOOKUP($U$1,A:Q,16,))*100)+100</f>
        <v>114.46749496330028</v>
      </c>
    </row>
    <row r="203" spans="1:17" s="83" customFormat="1" x14ac:dyDescent="0.2">
      <c r="A203" s="21">
        <v>38991</v>
      </c>
      <c r="B203" s="79">
        <f>VLOOKUP(A203,Database!$A:$AS,MATCH($B$1,Database!$A$1:$AS$1,0),FALSE)</f>
        <v>127.08940921600001</v>
      </c>
      <c r="C203" s="79">
        <f>VLOOKUP(A203,Database!$A:$AS,MATCH($C$1,Database!$A$1:$AS$1,0),FALSE)</f>
        <v>111.03</v>
      </c>
      <c r="D203" s="79">
        <f>VLOOKUP(A203,Database!$A:$AS,MATCH($D$1,Database!$A$1:$AS$1,0),FALSE)</f>
        <v>92.092325639999999</v>
      </c>
      <c r="E203" s="79">
        <f>VLOOKUP(A203,Database!$A:$AS,MATCH($E$1,Database!$A$1:$AS$1,0),FALSE)</f>
        <v>131.71210976</v>
      </c>
      <c r="F203" s="79">
        <f>VLOOKUP(A203,Database!$A:$AS,MATCH($F$1,Database!$A$1:$AS$1,0),FALSE)</f>
        <v>103.6</v>
      </c>
      <c r="G203" s="79">
        <f>VLOOKUP(A203,Database!$A:$AS,MATCH($G$1,Database!$A$1:$AS$1,0),FALSE)</f>
        <v>108.406524467</v>
      </c>
      <c r="H203" s="79">
        <f>(((Table134567891011121314151617343[[#This Row],[ITA]]-VLOOKUP($U$1,A:B,2,))/VLOOKUP($U$1,A:B,2,))*100)+100</f>
        <v>104.52302631590784</v>
      </c>
      <c r="I203" s="79">
        <f>(((Table134567891011121314151617343[[#This Row],[FRA]]-VLOOKUP($U$1,A:C,3,))/VLOOKUP($U$1,A:C,3,))*100)+100</f>
        <v>108.33252024587765</v>
      </c>
      <c r="J203" s="79">
        <f>(((Table134567891011121314151617343[[#This Row],[DEU]]-VLOOKUP($U$1,A:D,4,))/VLOOKUP($U$1,A:D,4,))*100)+100</f>
        <v>122.47340425514938</v>
      </c>
      <c r="K203" s="79">
        <f>(((Table134567891011121314151617343[[#This Row],[ESP]]-VLOOKUP($U$1,A:E,5,))/VLOOKUP($U$1,A:E,5,))*100)+100</f>
        <v>110.7102630912255</v>
      </c>
      <c r="L203" s="79">
        <f>(((Table134567891011121314151617343[[#This Row],[EA19]]-VLOOKUP($U$1,A:F,6,))/VLOOKUP($U$1,A:F,6,))*100)+100</f>
        <v>115.88366890380311</v>
      </c>
      <c r="M203" s="79">
        <f>(((Table134567891011121314151617343[[#This Row],[GBR]]-VLOOKUP($U$1,A:G,7,))/VLOOKUP($U$1,A:G,7,))*100)+100</f>
        <v>117.61960326720488</v>
      </c>
      <c r="N203" s="79">
        <f>VLOOKUP(A203,Database!$A:$AS,MATCH($N$1,Database!$A$1:$AS$1,0),FALSE)</f>
        <v>98.418105629999999</v>
      </c>
      <c r="O203" s="79">
        <f>(((Table134567891011121314151617343[[#This Row],[USA]]-VLOOKUP($U$1,A:N,14,))/VLOOKUP($U$1,A:N,14,))*100)+100</f>
        <v>113.30211317904094</v>
      </c>
      <c r="P203" s="79">
        <f>VLOOKUP(A203,Database!$A:$AS,MATCH($P$1,Database!$A$1:$AS$1,0),FALSE)</f>
        <v>114.448531457</v>
      </c>
      <c r="Q203" s="79">
        <f>(((Table134567891011121314151617343[[#This Row],[JPN]]-VLOOKUP($U$1,A:Q,16,))/VLOOKUP($U$1,A:Q,16,))*100)+100</f>
        <v>114.90397730900986</v>
      </c>
    </row>
    <row r="204" spans="1:17" s="83" customFormat="1" x14ac:dyDescent="0.2">
      <c r="A204" s="21">
        <v>39022</v>
      </c>
      <c r="B204" s="79">
        <f>VLOOKUP(A204,Database!$A:$AS,MATCH($B$1,Database!$A$1:$AS$1,0),FALSE)</f>
        <v>127.28939255100001</v>
      </c>
      <c r="C204" s="79">
        <f>VLOOKUP(A204,Database!$A:$AS,MATCH($C$1,Database!$A$1:$AS$1,0),FALSE)</f>
        <v>110.4</v>
      </c>
      <c r="D204" s="79">
        <f>VLOOKUP(A204,Database!$A:$AS,MATCH($D$1,Database!$A$1:$AS$1,0),FALSE)</f>
        <v>93.692192317000007</v>
      </c>
      <c r="E204" s="79">
        <f>VLOOKUP(A204,Database!$A:$AS,MATCH($E$1,Database!$A$1:$AS$1,0),FALSE)</f>
        <v>133.58811132299999</v>
      </c>
      <c r="F204" s="79">
        <f>VLOOKUP(A204,Database!$A:$AS,MATCH($F$1,Database!$A$1:$AS$1,0),FALSE)</f>
        <v>104.6</v>
      </c>
      <c r="G204" s="79">
        <f>VLOOKUP(A204,Database!$A:$AS,MATCH($G$1,Database!$A$1:$AS$1,0),FALSE)</f>
        <v>109.266893709</v>
      </c>
      <c r="H204" s="79">
        <f>(((Table134567891011121314151617343[[#This Row],[ITA]]-VLOOKUP($U$1,A:B,2,))/VLOOKUP($U$1,A:B,2,))*100)+100</f>
        <v>104.68750000034697</v>
      </c>
      <c r="I204" s="79">
        <f>(((Table134567891011121314151617343[[#This Row],[FRA]]-VLOOKUP($U$1,A:C,3,))/VLOOKUP($U$1,A:C,3,))*100)+100</f>
        <v>107.71782612937849</v>
      </c>
      <c r="J204" s="79">
        <f>(((Table134567891011121314151617343[[#This Row],[DEU]]-VLOOKUP($U$1,A:D,4,))/VLOOKUP($U$1,A:D,4,))*100)+100</f>
        <v>124.60106382857055</v>
      </c>
      <c r="K204" s="79">
        <f>(((Table134567891011121314151617343[[#This Row],[ESP]]-VLOOKUP($U$1,A:E,5,))/VLOOKUP($U$1,A:E,5,))*100)+100</f>
        <v>112.28713120895384</v>
      </c>
      <c r="L204" s="79">
        <f>(((Table134567891011121314151617343[[#This Row],[EA19]]-VLOOKUP($U$1,A:F,6,))/VLOOKUP($U$1,A:F,6,))*100)+100</f>
        <v>117.00223713646531</v>
      </c>
      <c r="M204" s="79">
        <f>(((Table134567891011121314151617343[[#This Row],[GBR]]-VLOOKUP($U$1,A:G,7,))/VLOOKUP($U$1,A:G,7,))*100)+100</f>
        <v>118.55309218223924</v>
      </c>
      <c r="N204" s="79">
        <f>VLOOKUP(A204,Database!$A:$AS,MATCH($N$1,Database!$A$1:$AS$1,0),FALSE)</f>
        <v>98.363094709999999</v>
      </c>
      <c r="O204" s="79">
        <f>(((Table134567891011121314151617343[[#This Row],[USA]]-VLOOKUP($U$1,A:N,14,))/VLOOKUP($U$1,A:N,14,))*100)+100</f>
        <v>113.23878282489497</v>
      </c>
      <c r="P204" s="79">
        <f>VLOOKUP(A204,Database!$A:$AS,MATCH($P$1,Database!$A$1:$AS$1,0),FALSE)</f>
        <v>115.53541209700001</v>
      </c>
      <c r="Q204" s="79">
        <f>(((Table134567891011121314151617343[[#This Row],[JPN]]-VLOOKUP($U$1,A:Q,16,))/VLOOKUP($U$1,A:Q,16,))*100)+100</f>
        <v>115.99518317077388</v>
      </c>
    </row>
    <row r="205" spans="1:17" s="83" customFormat="1" x14ac:dyDescent="0.2">
      <c r="A205" s="21">
        <v>39052</v>
      </c>
      <c r="B205" s="79">
        <f>VLOOKUP(A205,Database!$A:$AS,MATCH($B$1,Database!$A$1:$AS$1,0),FALSE)</f>
        <v>129.389217565</v>
      </c>
      <c r="C205" s="79">
        <f>VLOOKUP(A205,Database!$A:$AS,MATCH($C$1,Database!$A$1:$AS$1,0),FALSE)</f>
        <v>112.27</v>
      </c>
      <c r="D205" s="79">
        <f>VLOOKUP(A205,Database!$A:$AS,MATCH($D$1,Database!$A$1:$AS$1,0),FALSE)</f>
        <v>94.592117324</v>
      </c>
      <c r="E205" s="79">
        <f>VLOOKUP(A205,Database!$A:$AS,MATCH($E$1,Database!$A$1:$AS$1,0),FALSE)</f>
        <v>136.647113873</v>
      </c>
      <c r="F205" s="79">
        <f>VLOOKUP(A205,Database!$A:$AS,MATCH($F$1,Database!$A$1:$AS$1,0),FALSE)</f>
        <v>106.1</v>
      </c>
      <c r="G205" s="79">
        <f>VLOOKUP(A205,Database!$A:$AS,MATCH($G$1,Database!$A$1:$AS$1,0),FALSE)</f>
        <v>108.406524467</v>
      </c>
      <c r="H205" s="79">
        <f>(((Table134567891011121314151617343[[#This Row],[ITA]]-VLOOKUP($U$1,A:B,2,))/VLOOKUP($U$1,A:B,2,))*100)+100</f>
        <v>106.41447368407931</v>
      </c>
      <c r="I205" s="79">
        <f>(((Table134567891011121314151617343[[#This Row],[FRA]]-VLOOKUP($U$1,A:C,3,))/VLOOKUP($U$1,A:C,3,))*100)+100</f>
        <v>109.54239437993951</v>
      </c>
      <c r="J205" s="79">
        <f>(((Table134567891011121314151617343[[#This Row],[DEU]]-VLOOKUP($U$1,A:D,4,))/VLOOKUP($U$1,A:D,4,))*100)+100</f>
        <v>125.79787234019918</v>
      </c>
      <c r="K205" s="79">
        <f>(((Table134567891011121314151617343[[#This Row],[ESP]]-VLOOKUP($U$1,A:E,5,))/VLOOKUP($U$1,A:E,5,))*100)+100</f>
        <v>114.85836765580999</v>
      </c>
      <c r="L205" s="79">
        <f>(((Table134567891011121314151617343[[#This Row],[EA19]]-VLOOKUP($U$1,A:F,6,))/VLOOKUP($U$1,A:F,6,))*100)+100</f>
        <v>118.68008948545859</v>
      </c>
      <c r="M205" s="79">
        <f>(((Table134567891011121314151617343[[#This Row],[GBR]]-VLOOKUP($U$1,A:G,7,))/VLOOKUP($U$1,A:G,7,))*100)+100</f>
        <v>117.61960326720488</v>
      </c>
      <c r="N205" s="79">
        <f>VLOOKUP(A205,Database!$A:$AS,MATCH($N$1,Database!$A$1:$AS$1,0),FALSE)</f>
        <v>99.369150289000004</v>
      </c>
      <c r="O205" s="79">
        <f>(((Table134567891011121314151617343[[#This Row],[USA]]-VLOOKUP($U$1,A:N,14,))/VLOOKUP($U$1,A:N,14,))*100)+100</f>
        <v>114.3969866162258</v>
      </c>
      <c r="P205" s="79">
        <f>VLOOKUP(A205,Database!$A:$AS,MATCH($P$1,Database!$A$1:$AS$1,0),FALSE)</f>
        <v>115.644100161</v>
      </c>
      <c r="Q205" s="79">
        <f>(((Table134567891011121314151617343[[#This Row],[JPN]]-VLOOKUP($U$1,A:Q,16,))/VLOOKUP($U$1,A:Q,16,))*100)+100</f>
        <v>116.10430375695027</v>
      </c>
    </row>
    <row r="206" spans="1:17" s="83" customFormat="1" x14ac:dyDescent="0.2">
      <c r="A206" s="21">
        <v>39083</v>
      </c>
      <c r="B206" s="79">
        <f>VLOOKUP(A206,Database!$A:$AS,MATCH($B$1,Database!$A$1:$AS$1,0),FALSE)</f>
        <v>128.08932589</v>
      </c>
      <c r="C206" s="79">
        <f>VLOOKUP(A206,Database!$A:$AS,MATCH($C$1,Database!$A$1:$AS$1,0),FALSE)</f>
        <v>111</v>
      </c>
      <c r="D206" s="79">
        <f>VLOOKUP(A206,Database!$A:$AS,MATCH($D$1,Database!$A$1:$AS$1,0),FALSE)</f>
        <v>95.092075660000006</v>
      </c>
      <c r="E206" s="79">
        <f>VLOOKUP(A206,Database!$A:$AS,MATCH($E$1,Database!$A$1:$AS$1,0),FALSE)</f>
        <v>134.55311212800001</v>
      </c>
      <c r="F206" s="79">
        <f>VLOOKUP(A206,Database!$A:$AS,MATCH($F$1,Database!$A$1:$AS$1,0),FALSE)</f>
        <v>105.7</v>
      </c>
      <c r="G206" s="79">
        <f>VLOOKUP(A206,Database!$A:$AS,MATCH($G$1,Database!$A$1:$AS$1,0),FALSE)</f>
        <v>109.69707832899999</v>
      </c>
      <c r="H206" s="79">
        <f>(((Table134567891011121314151617343[[#This Row],[ITA]]-VLOOKUP($U$1,A:B,2,))/VLOOKUP($U$1,A:B,2,))*100)+100</f>
        <v>105.34539473728105</v>
      </c>
      <c r="I206" s="79">
        <f>(((Table134567891011121314151617343[[#This Row],[FRA]]-VLOOKUP($U$1,A:C,3,))/VLOOKUP($U$1,A:C,3,))*100)+100</f>
        <v>108.30324909747293</v>
      </c>
      <c r="J206" s="79">
        <f>(((Table134567891011121314151617343[[#This Row],[DEU]]-VLOOKUP($U$1,A:D,4,))/VLOOKUP($U$1,A:D,4,))*100)+100</f>
        <v>126.46276595614522</v>
      </c>
      <c r="K206" s="79">
        <f>(((Table134567891011121314151617343[[#This Row],[ESP]]-VLOOKUP($U$1,A:E,5,))/VLOOKUP($U$1,A:E,5,))*100)+100</f>
        <v>113.09826006566615</v>
      </c>
      <c r="L206" s="79">
        <f>(((Table134567891011121314151617343[[#This Row],[EA19]]-VLOOKUP($U$1,A:F,6,))/VLOOKUP($U$1,A:F,6,))*100)+100</f>
        <v>118.23266219239373</v>
      </c>
      <c r="M206" s="79">
        <f>(((Table134567891011121314151617343[[#This Row],[GBR]]-VLOOKUP($U$1,A:G,7,))/VLOOKUP($U$1,A:G,7,))*100)+100</f>
        <v>119.01983663867142</v>
      </c>
      <c r="N206" s="79">
        <f>VLOOKUP(A206,Database!$A:$AS,MATCH($N$1,Database!$A$1:$AS$1,0),FALSE)</f>
        <v>98.980009972999994</v>
      </c>
      <c r="O206" s="79">
        <f>(((Table134567891011121314151617343[[#This Row],[USA]]-VLOOKUP($U$1,A:N,14,))/VLOOKUP($U$1,A:N,14,))*100)+100</f>
        <v>113.9489956714324</v>
      </c>
      <c r="P206" s="79">
        <f>VLOOKUP(A206,Database!$A:$AS,MATCH($P$1,Database!$A$1:$AS$1,0),FALSE)</f>
        <v>114.448531457</v>
      </c>
      <c r="Q206" s="79">
        <f>(((Table134567891011121314151617343[[#This Row],[JPN]]-VLOOKUP($U$1,A:Q,16,))/VLOOKUP($U$1,A:Q,16,))*100)+100</f>
        <v>114.90397730900986</v>
      </c>
    </row>
    <row r="207" spans="1:17" s="83" customFormat="1" x14ac:dyDescent="0.2">
      <c r="A207" s="21">
        <v>39114</v>
      </c>
      <c r="B207" s="79">
        <f>VLOOKUP(A207,Database!$A:$AS,MATCH($B$1,Database!$A$1:$AS$1,0),FALSE)</f>
        <v>128.88925922799999</v>
      </c>
      <c r="C207" s="79">
        <f>VLOOKUP(A207,Database!$A:$AS,MATCH($C$1,Database!$A$1:$AS$1,0),FALSE)</f>
        <v>112.02</v>
      </c>
      <c r="D207" s="79">
        <f>VLOOKUP(A207,Database!$A:$AS,MATCH($D$1,Database!$A$1:$AS$1,0),FALSE)</f>
        <v>95.492042330000004</v>
      </c>
      <c r="E207" s="79">
        <f>VLOOKUP(A207,Database!$A:$AS,MATCH($E$1,Database!$A$1:$AS$1,0),FALSE)</f>
        <v>134.48111206799999</v>
      </c>
      <c r="F207" s="79">
        <f>VLOOKUP(A207,Database!$A:$AS,MATCH($F$1,Database!$A$1:$AS$1,0),FALSE)</f>
        <v>106.3</v>
      </c>
      <c r="G207" s="79">
        <f>VLOOKUP(A207,Database!$A:$AS,MATCH($G$1,Database!$A$1:$AS$1,0),FALSE)</f>
        <v>108.191432156</v>
      </c>
      <c r="H207" s="79">
        <f>(((Table134567891011121314151617343[[#This Row],[ITA]]-VLOOKUP($U$1,A:B,2,))/VLOOKUP($U$1,A:B,2,))*100)+100</f>
        <v>106.0032894733927</v>
      </c>
      <c r="I207" s="79">
        <f>(((Table134567891011121314151617343[[#This Row],[FRA]]-VLOOKUP($U$1,A:C,3,))/VLOOKUP($U$1,A:C,3,))*100)+100</f>
        <v>109.29846814323349</v>
      </c>
      <c r="J207" s="79">
        <f>(((Table134567891011121314151617343[[#This Row],[DEU]]-VLOOKUP($U$1,A:D,4,))/VLOOKUP($U$1,A:D,4,))*100)+100</f>
        <v>126.99468085049793</v>
      </c>
      <c r="K207" s="79">
        <f>(((Table134567891011121314151617343[[#This Row],[ESP]]-VLOOKUP($U$1,A:E,5,))/VLOOKUP($U$1,A:E,5,))*100)+100</f>
        <v>113.03774060697924</v>
      </c>
      <c r="L207" s="79">
        <f>(((Table134567891011121314151617343[[#This Row],[EA19]]-VLOOKUP($U$1,A:F,6,))/VLOOKUP($U$1,A:F,6,))*100)+100</f>
        <v>118.90380313199104</v>
      </c>
      <c r="M207" s="79">
        <f>(((Table134567891011121314151617343[[#This Row],[GBR]]-VLOOKUP($U$1,A:G,7,))/VLOOKUP($U$1,A:G,7,))*100)+100</f>
        <v>117.3862310379038</v>
      </c>
      <c r="N207" s="79">
        <f>VLOOKUP(A207,Database!$A:$AS,MATCH($N$1,Database!$A$1:$AS$1,0),FALSE)</f>
        <v>99.921241871999996</v>
      </c>
      <c r="O207" s="79">
        <f>(((Table134567891011121314151617343[[#This Row],[USA]]-VLOOKUP($U$1,A:N,14,))/VLOOKUP($U$1,A:N,14,))*100)+100</f>
        <v>115.03257234124908</v>
      </c>
      <c r="P207" s="79">
        <f>VLOOKUP(A207,Database!$A:$AS,MATCH($P$1,Database!$A$1:$AS$1,0),FALSE)</f>
        <v>115.100659841</v>
      </c>
      <c r="Q207" s="79">
        <f>(((Table134567891011121314151617343[[#This Row],[JPN]]-VLOOKUP($U$1,A:Q,16,))/VLOOKUP($U$1,A:Q,16,))*100)+100</f>
        <v>115.55870082606826</v>
      </c>
    </row>
    <row r="208" spans="1:17" s="83" customFormat="1" x14ac:dyDescent="0.2">
      <c r="A208" s="21">
        <v>39142</v>
      </c>
      <c r="B208" s="79">
        <f>VLOOKUP(A208,Database!$A:$AS,MATCH($B$1,Database!$A$1:$AS$1,0),FALSE)</f>
        <v>129.78918423499999</v>
      </c>
      <c r="C208" s="79">
        <f>VLOOKUP(A208,Database!$A:$AS,MATCH($C$1,Database!$A$1:$AS$1,0),FALSE)</f>
        <v>112.87</v>
      </c>
      <c r="D208" s="79">
        <f>VLOOKUP(A208,Database!$A:$AS,MATCH($D$1,Database!$A$1:$AS$1,0),FALSE)</f>
        <v>95.992000666999999</v>
      </c>
      <c r="E208" s="79">
        <f>VLOOKUP(A208,Database!$A:$AS,MATCH($E$1,Database!$A$1:$AS$1,0),FALSE)</f>
        <v>136.48111373399999</v>
      </c>
      <c r="F208" s="79">
        <f>VLOOKUP(A208,Database!$A:$AS,MATCH($F$1,Database!$A$1:$AS$1,0),FALSE)</f>
        <v>106.8</v>
      </c>
      <c r="G208" s="79">
        <f>VLOOKUP(A208,Database!$A:$AS,MATCH($G$1,Database!$A$1:$AS$1,0),FALSE)</f>
        <v>107.976339846</v>
      </c>
      <c r="H208" s="79">
        <f>(((Table134567891011121314151617343[[#This Row],[ITA]]-VLOOKUP($U$1,A:B,2,))/VLOOKUP($U$1,A:B,2,))*100)+100</f>
        <v>106.74342105295757</v>
      </c>
      <c r="I208" s="79">
        <f>(((Table134567891011121314151617343[[#This Row],[FRA]]-VLOOKUP($U$1,A:C,3,))/VLOOKUP($U$1,A:C,3,))*100)+100</f>
        <v>110.12781734803397</v>
      </c>
      <c r="J208" s="79">
        <f>(((Table134567891011121314151617343[[#This Row],[DEU]]-VLOOKUP($U$1,A:D,4,))/VLOOKUP($U$1,A:D,4,))*100)+100</f>
        <v>127.65957446777387</v>
      </c>
      <c r="K208" s="79">
        <f>(((Table134567891011121314151617343[[#This Row],[ESP]]-VLOOKUP($U$1,A:E,5,))/VLOOKUP($U$1,A:E,5,))*100)+100</f>
        <v>114.71883668105482</v>
      </c>
      <c r="L208" s="79">
        <f>(((Table134567891011121314151617343[[#This Row],[EA19]]-VLOOKUP($U$1,A:F,6,))/VLOOKUP($U$1,A:F,6,))*100)+100</f>
        <v>119.46308724832214</v>
      </c>
      <c r="M208" s="79">
        <f>(((Table134567891011121314151617343[[#This Row],[GBR]]-VLOOKUP($U$1,A:G,7,))/VLOOKUP($U$1,A:G,7,))*100)+100</f>
        <v>117.1528588096877</v>
      </c>
      <c r="N208" s="79">
        <f>VLOOKUP(A208,Database!$A:$AS,MATCH($N$1,Database!$A$1:$AS$1,0),FALSE)</f>
        <v>100.135437548</v>
      </c>
      <c r="O208" s="79">
        <f>(((Table134567891011121314151617343[[#This Row],[USA]]-VLOOKUP($U$1,A:N,14,))/VLOOKUP($U$1,A:N,14,))*100)+100</f>
        <v>115.27916134607966</v>
      </c>
      <c r="P208" s="79">
        <f>VLOOKUP(A208,Database!$A:$AS,MATCH($P$1,Database!$A$1:$AS$1,0),FALSE)</f>
        <v>115.100659841</v>
      </c>
      <c r="Q208" s="79">
        <f>(((Table134567891011121314151617343[[#This Row],[JPN]]-VLOOKUP($U$1,A:Q,16,))/VLOOKUP($U$1,A:Q,16,))*100)+100</f>
        <v>115.55870082606826</v>
      </c>
    </row>
    <row r="209" spans="1:17" s="83" customFormat="1" x14ac:dyDescent="0.2">
      <c r="A209" s="21">
        <v>39173</v>
      </c>
      <c r="B209" s="79">
        <f>VLOOKUP(A209,Database!$A:$AS,MATCH($B$1,Database!$A$1:$AS$1,0),FALSE)</f>
        <v>127.389384218</v>
      </c>
      <c r="C209" s="79">
        <f>VLOOKUP(A209,Database!$A:$AS,MATCH($C$1,Database!$A$1:$AS$1,0),FALSE)</f>
        <v>111.02</v>
      </c>
      <c r="D209" s="79">
        <f>VLOOKUP(A209,Database!$A:$AS,MATCH($D$1,Database!$A$1:$AS$1,0),FALSE)</f>
        <v>95.092075660000006</v>
      </c>
      <c r="E209" s="79">
        <f>VLOOKUP(A209,Database!$A:$AS,MATCH($E$1,Database!$A$1:$AS$1,0),FALSE)</f>
        <v>132.51111042599999</v>
      </c>
      <c r="F209" s="79">
        <f>VLOOKUP(A209,Database!$A:$AS,MATCH($F$1,Database!$A$1:$AS$1,0),FALSE)</f>
        <v>105.5</v>
      </c>
      <c r="G209" s="79">
        <f>VLOOKUP(A209,Database!$A:$AS,MATCH($G$1,Database!$A$1:$AS$1,0),FALSE)</f>
        <v>107.115970604</v>
      </c>
      <c r="H209" s="79">
        <f>(((Table134567891011121314151617343[[#This Row],[ITA]]-VLOOKUP($U$1,A:B,2,))/VLOOKUP($U$1,A:B,2,))*100)+100</f>
        <v>104.76973684215533</v>
      </c>
      <c r="I209" s="79">
        <f>(((Table134567891011121314151617343[[#This Row],[FRA]]-VLOOKUP($U$1,A:C,3,))/VLOOKUP($U$1,A:C,3,))*100)+100</f>
        <v>108.32276319640941</v>
      </c>
      <c r="J209" s="79">
        <f>(((Table134567891011121314151617343[[#This Row],[DEU]]-VLOOKUP($U$1,A:D,4,))/VLOOKUP($U$1,A:D,4,))*100)+100</f>
        <v>126.46276595614522</v>
      </c>
      <c r="K209" s="79">
        <f>(((Table134567891011121314151617343[[#This Row],[ESP]]-VLOOKUP($U$1,A:E,5,))/VLOOKUP($U$1,A:E,5,))*100)+100</f>
        <v>111.38186097318264</v>
      </c>
      <c r="L209" s="79">
        <f>(((Table134567891011121314151617343[[#This Row],[EA19]]-VLOOKUP($U$1,A:F,6,))/VLOOKUP($U$1,A:F,6,))*100)+100</f>
        <v>118.00894854586129</v>
      </c>
      <c r="M209" s="79">
        <f>(((Table134567891011121314151617343[[#This Row],[GBR]]-VLOOKUP($U$1,A:G,7,))/VLOOKUP($U$1,A:G,7,))*100)+100</f>
        <v>116.21936989465334</v>
      </c>
      <c r="N209" s="79">
        <f>VLOOKUP(A209,Database!$A:$AS,MATCH($N$1,Database!$A$1:$AS$1,0),FALSE)</f>
        <v>100.853057488</v>
      </c>
      <c r="O209" s="79">
        <f>(((Table134567891011121314151617343[[#This Row],[USA]]-VLOOKUP($U$1,A:N,14,))/VLOOKUP($U$1,A:N,14,))*100)+100</f>
        <v>116.10530868087081</v>
      </c>
      <c r="P209" s="79">
        <f>VLOOKUP(A209,Database!$A:$AS,MATCH($P$1,Database!$A$1:$AS$1,0),FALSE)</f>
        <v>114.77459564900001</v>
      </c>
      <c r="Q209" s="79">
        <f>(((Table134567891011121314151617343[[#This Row],[JPN]]-VLOOKUP($U$1,A:Q,16,))/VLOOKUP($U$1,A:Q,16,))*100)+100</f>
        <v>115.23133906753907</v>
      </c>
    </row>
    <row r="210" spans="1:17" s="83" customFormat="1" x14ac:dyDescent="0.2">
      <c r="A210" s="21">
        <v>39203</v>
      </c>
      <c r="B210" s="79">
        <f>VLOOKUP(A210,Database!$A:$AS,MATCH($B$1,Database!$A$1:$AS$1,0),FALSE)</f>
        <v>130.08915923699999</v>
      </c>
      <c r="C210" s="79">
        <f>VLOOKUP(A210,Database!$A:$AS,MATCH($C$1,Database!$A$1:$AS$1,0),FALSE)</f>
        <v>113.68</v>
      </c>
      <c r="D210" s="79">
        <f>VLOOKUP(A210,Database!$A:$AS,MATCH($D$1,Database!$A$1:$AS$1,0),FALSE)</f>
        <v>96.791934005000002</v>
      </c>
      <c r="E210" s="79">
        <f>VLOOKUP(A210,Database!$A:$AS,MATCH($E$1,Database!$A$1:$AS$1,0),FALSE)</f>
        <v>136.492113743</v>
      </c>
      <c r="F210" s="79">
        <f>VLOOKUP(A210,Database!$A:$AS,MATCH($F$1,Database!$A$1:$AS$1,0),FALSE)</f>
        <v>107.3</v>
      </c>
      <c r="G210" s="79">
        <f>VLOOKUP(A210,Database!$A:$AS,MATCH($G$1,Database!$A$1:$AS$1,0),FALSE)</f>
        <v>107.976339846</v>
      </c>
      <c r="H210" s="79">
        <f>(((Table134567891011121314151617343[[#This Row],[ITA]]-VLOOKUP($U$1,A:B,2,))/VLOOKUP($U$1,A:B,2,))*100)+100</f>
        <v>106.99013157920506</v>
      </c>
      <c r="I210" s="79">
        <f>(((Table134567891011121314151617343[[#This Row],[FRA]]-VLOOKUP($U$1,A:C,3,))/VLOOKUP($U$1,A:C,3,))*100)+100</f>
        <v>110.91813835496147</v>
      </c>
      <c r="J210" s="79">
        <f>(((Table134567891011121314151617343[[#This Row],[DEU]]-VLOOKUP($U$1,A:D,4,))/VLOOKUP($U$1,A:D,4,))*100)+100</f>
        <v>128.7234042538195</v>
      </c>
      <c r="K210" s="79">
        <f>(((Table134567891011121314151617343[[#This Row],[ESP]]-VLOOKUP($U$1,A:E,5,))/VLOOKUP($U$1,A:E,5,))*100)+100</f>
        <v>114.72808270932525</v>
      </c>
      <c r="L210" s="79">
        <f>(((Table134567891011121314151617343[[#This Row],[EA19]]-VLOOKUP($U$1,A:F,6,))/VLOOKUP($U$1,A:F,6,))*100)+100</f>
        <v>120.02237136465322</v>
      </c>
      <c r="M210" s="79">
        <f>(((Table134567891011121314151617343[[#This Row],[GBR]]-VLOOKUP($U$1,A:G,7,))/VLOOKUP($U$1,A:G,7,))*100)+100</f>
        <v>117.1528588096877</v>
      </c>
      <c r="N210" s="79">
        <f>VLOOKUP(A210,Database!$A:$AS,MATCH($N$1,Database!$A$1:$AS$1,0),FALSE)</f>
        <v>100.917583811</v>
      </c>
      <c r="O210" s="79">
        <f>(((Table134567891011121314151617343[[#This Row],[USA]]-VLOOKUP($U$1,A:N,14,))/VLOOKUP($U$1,A:N,14,))*100)+100</f>
        <v>116.17959347536846</v>
      </c>
      <c r="P210" s="79">
        <f>VLOOKUP(A210,Database!$A:$AS,MATCH($P$1,Database!$A$1:$AS$1,0),FALSE)</f>
        <v>116.07885241699999</v>
      </c>
      <c r="Q210" s="79">
        <f>(((Table134567891011121314151617343[[#This Row],[JPN]]-VLOOKUP($U$1,A:Q,16,))/VLOOKUP($U$1,A:Q,16,))*100)+100</f>
        <v>116.54078610165588</v>
      </c>
    </row>
    <row r="211" spans="1:17" s="83" customFormat="1" x14ac:dyDescent="0.2">
      <c r="A211" s="21">
        <v>39234</v>
      </c>
      <c r="B211" s="79">
        <f>VLOOKUP(A211,Database!$A:$AS,MATCH($B$1,Database!$A$1:$AS$1,0),FALSE)</f>
        <v>129.28922589800001</v>
      </c>
      <c r="C211" s="79">
        <f>VLOOKUP(A211,Database!$A:$AS,MATCH($C$1,Database!$A$1:$AS$1,0),FALSE)</f>
        <v>113.24</v>
      </c>
      <c r="D211" s="79">
        <f>VLOOKUP(A211,Database!$A:$AS,MATCH($D$1,Database!$A$1:$AS$1,0),FALSE)</f>
        <v>96.691942338000004</v>
      </c>
      <c r="E211" s="79">
        <f>VLOOKUP(A211,Database!$A:$AS,MATCH($E$1,Database!$A$1:$AS$1,0),FALSE)</f>
        <v>136.75711396400001</v>
      </c>
      <c r="F211" s="79">
        <f>VLOOKUP(A211,Database!$A:$AS,MATCH($F$1,Database!$A$1:$AS$1,0),FALSE)</f>
        <v>107.4</v>
      </c>
      <c r="G211" s="79">
        <f>VLOOKUP(A211,Database!$A:$AS,MATCH($G$1,Database!$A$1:$AS$1,0),FALSE)</f>
        <v>105.932962897</v>
      </c>
      <c r="H211" s="79">
        <f>(((Table134567891011121314151617343[[#This Row],[ITA]]-VLOOKUP($U$1,A:B,2,))/VLOOKUP($U$1,A:B,2,))*100)+100</f>
        <v>106.33223684227099</v>
      </c>
      <c r="I211" s="79">
        <f>(((Table134567891011121314151617343[[#This Row],[FRA]]-VLOOKUP($U$1,A:C,3,))/VLOOKUP($U$1,A:C,3,))*100)+100</f>
        <v>110.48882817835886</v>
      </c>
      <c r="J211" s="79">
        <f>(((Table134567891011121314151617343[[#This Row],[DEU]]-VLOOKUP($U$1,A:D,4,))/VLOOKUP($U$1,A:D,4,))*100)+100</f>
        <v>128.59042553089625</v>
      </c>
      <c r="K211" s="79">
        <f>(((Table134567891011121314151617343[[#This Row],[ESP]]-VLOOKUP($U$1,A:E,5,))/VLOOKUP($U$1,A:E,5,))*100)+100</f>
        <v>114.95082793935461</v>
      </c>
      <c r="L211" s="79">
        <f>(((Table134567891011121314151617343[[#This Row],[EA19]]-VLOOKUP($U$1,A:F,6,))/VLOOKUP($U$1,A:F,6,))*100)+100</f>
        <v>120.13422818791946</v>
      </c>
      <c r="M211" s="79">
        <f>(((Table134567891011121314151617343[[#This Row],[GBR]]-VLOOKUP($U$1,A:G,7,))/VLOOKUP($U$1,A:G,7,))*100)+100</f>
        <v>114.93582263729482</v>
      </c>
      <c r="N211" s="79">
        <f>VLOOKUP(A211,Database!$A:$AS,MATCH($N$1,Database!$A$1:$AS$1,0),FALSE)</f>
        <v>100.944940594</v>
      </c>
      <c r="O211" s="79">
        <f>(((Table134567891011121314151617343[[#This Row],[USA]]-VLOOKUP($U$1,A:N,14,))/VLOOKUP($U$1,A:N,14,))*100)+100</f>
        <v>116.21108749066005</v>
      </c>
      <c r="P211" s="79">
        <f>VLOOKUP(A211,Database!$A:$AS,MATCH($P$1,Database!$A$1:$AS$1,0),FALSE)</f>
        <v>116.07885241699999</v>
      </c>
      <c r="Q211" s="79">
        <f>(((Table134567891011121314151617343[[#This Row],[JPN]]-VLOOKUP($U$1,A:Q,16,))/VLOOKUP($U$1,A:Q,16,))*100)+100</f>
        <v>116.54078610165588</v>
      </c>
    </row>
    <row r="212" spans="1:17" s="83" customFormat="1" x14ac:dyDescent="0.2">
      <c r="A212" s="21">
        <v>39264</v>
      </c>
      <c r="B212" s="79">
        <f>VLOOKUP(A212,Database!$A:$AS,MATCH($B$1,Database!$A$1:$AS$1,0),FALSE)</f>
        <v>128.48929255900001</v>
      </c>
      <c r="C212" s="79">
        <f>VLOOKUP(A212,Database!$A:$AS,MATCH($C$1,Database!$A$1:$AS$1,0),FALSE)</f>
        <v>113.38</v>
      </c>
      <c r="D212" s="79">
        <f>VLOOKUP(A212,Database!$A:$AS,MATCH($D$1,Database!$A$1:$AS$1,0),FALSE)</f>
        <v>97.391884009999998</v>
      </c>
      <c r="E212" s="79">
        <f>VLOOKUP(A212,Database!$A:$AS,MATCH($E$1,Database!$A$1:$AS$1,0),FALSE)</f>
        <v>133.070110892</v>
      </c>
      <c r="F212" s="79">
        <f>VLOOKUP(A212,Database!$A:$AS,MATCH($F$1,Database!$A$1:$AS$1,0),FALSE)</f>
        <v>107.6</v>
      </c>
      <c r="G212" s="79">
        <f>VLOOKUP(A212,Database!$A:$AS,MATCH($G$1,Database!$A$1:$AS$1,0),FALSE)</f>
        <v>105.28768596499999</v>
      </c>
      <c r="H212" s="79">
        <f>(((Table134567891011121314151617343[[#This Row],[ITA]]-VLOOKUP($U$1,A:B,2,))/VLOOKUP($U$1,A:B,2,))*100)+100</f>
        <v>105.67434210533689</v>
      </c>
      <c r="I212" s="79">
        <f>(((Table134567891011121314151617343[[#This Row],[FRA]]-VLOOKUP($U$1,A:C,3,))/VLOOKUP($U$1,A:C,3,))*100)+100</f>
        <v>110.62542687091424</v>
      </c>
      <c r="J212" s="79">
        <f>(((Table134567891011121314151617343[[#This Row],[DEU]]-VLOOKUP($U$1,A:D,4,))/VLOOKUP($U$1,A:D,4,))*100)+100</f>
        <v>129.52127659534855</v>
      </c>
      <c r="K212" s="79">
        <f>(((Table134567891011121314151617343[[#This Row],[ESP]]-VLOOKUP($U$1,A:E,5,))/VLOOKUP($U$1,A:E,5,))*100)+100</f>
        <v>111.85172732618349</v>
      </c>
      <c r="L212" s="79">
        <f>(((Table134567891011121314151617343[[#This Row],[EA19]]-VLOOKUP($U$1,A:F,6,))/VLOOKUP($U$1,A:F,6,))*100)+100</f>
        <v>120.35794183445188</v>
      </c>
      <c r="M212" s="79">
        <f>(((Table134567891011121314151617343[[#This Row],[GBR]]-VLOOKUP($U$1,A:G,7,))/VLOOKUP($U$1,A:G,7,))*100)+100</f>
        <v>114.23570595047656</v>
      </c>
      <c r="N212" s="79">
        <f>VLOOKUP(A212,Database!$A:$AS,MATCH($N$1,Database!$A$1:$AS$1,0),FALSE)</f>
        <v>100.82451128</v>
      </c>
      <c r="O212" s="79">
        <f>(((Table134567891011121314151617343[[#This Row],[USA]]-VLOOKUP($U$1,A:N,14,))/VLOOKUP($U$1,A:N,14,))*100)+100</f>
        <v>116.07244536096695</v>
      </c>
      <c r="P212" s="79">
        <f>VLOOKUP(A212,Database!$A:$AS,MATCH($P$1,Database!$A$1:$AS$1,0),FALSE)</f>
        <v>116.187540482</v>
      </c>
      <c r="Q212" s="79">
        <f>(((Table134567891011121314151617343[[#This Row],[JPN]]-VLOOKUP($U$1,A:Q,16,))/VLOOKUP($U$1,A:Q,16,))*100)+100</f>
        <v>116.64990668883627</v>
      </c>
    </row>
    <row r="213" spans="1:17" s="83" customFormat="1" x14ac:dyDescent="0.2">
      <c r="A213" s="21">
        <v>39295</v>
      </c>
      <c r="B213" s="79">
        <f>VLOOKUP(A213,Database!$A:$AS,MATCH($B$1,Database!$A$1:$AS$1,0),FALSE)</f>
        <v>133.288892592</v>
      </c>
      <c r="C213" s="79">
        <f>VLOOKUP(A213,Database!$A:$AS,MATCH($C$1,Database!$A$1:$AS$1,0),FALSE)</f>
        <v>114.05</v>
      </c>
      <c r="D213" s="79">
        <f>VLOOKUP(A213,Database!$A:$AS,MATCH($D$1,Database!$A$1:$AS$1,0),FALSE)</f>
        <v>97.691859011999995</v>
      </c>
      <c r="E213" s="79">
        <f>VLOOKUP(A213,Database!$A:$AS,MATCH($E$1,Database!$A$1:$AS$1,0),FALSE)</f>
        <v>133.44411120300001</v>
      </c>
      <c r="F213" s="79">
        <f>VLOOKUP(A213,Database!$A:$AS,MATCH($F$1,Database!$A$1:$AS$1,0),FALSE)</f>
        <v>108.3</v>
      </c>
      <c r="G213" s="79">
        <f>VLOOKUP(A213,Database!$A:$AS,MATCH($G$1,Database!$A$1:$AS$1,0),FALSE)</f>
        <v>104.749955189</v>
      </c>
      <c r="H213" s="79">
        <f>(((Table134567891011121314151617343[[#This Row],[ITA]]-VLOOKUP($U$1,A:B,2,))/VLOOKUP($U$1,A:B,2,))*100)+100</f>
        <v>109.62171052611897</v>
      </c>
      <c r="I213" s="79">
        <f>(((Table134567891011121314151617343[[#This Row],[FRA]]-VLOOKUP($U$1,A:C,3,))/VLOOKUP($U$1,A:C,3,))*100)+100</f>
        <v>111.27914918528637</v>
      </c>
      <c r="J213" s="79">
        <f>(((Table134567891011121314151617343[[#This Row],[DEU]]-VLOOKUP($U$1,A:D,4,))/VLOOKUP($U$1,A:D,4,))*100)+100</f>
        <v>129.92021276544813</v>
      </c>
      <c r="K213" s="79">
        <f>(((Table134567891011121314151617343[[#This Row],[ESP]]-VLOOKUP($U$1,A:E,5,))/VLOOKUP($U$1,A:E,5,))*100)+100</f>
        <v>112.16609229158006</v>
      </c>
      <c r="L213" s="79">
        <f>(((Table134567891011121314151617343[[#This Row],[EA19]]-VLOOKUP($U$1,A:F,6,))/VLOOKUP($U$1,A:F,6,))*100)+100</f>
        <v>121.14093959731542</v>
      </c>
      <c r="M213" s="79">
        <f>(((Table134567891011121314151617343[[#This Row],[GBR]]-VLOOKUP($U$1,A:G,7,))/VLOOKUP($U$1,A:G,7,))*100)+100</f>
        <v>113.65227537885134</v>
      </c>
      <c r="N213" s="79">
        <f>VLOOKUP(A213,Database!$A:$AS,MATCH($N$1,Database!$A$1:$AS$1,0),FALSE)</f>
        <v>101.065369907</v>
      </c>
      <c r="O213" s="79">
        <f>(((Table134567891011121314151617343[[#This Row],[USA]]-VLOOKUP($U$1,A:N,14,))/VLOOKUP($U$1,A:N,14,))*100)+100</f>
        <v>116.34972961920191</v>
      </c>
      <c r="P213" s="79">
        <f>VLOOKUP(A213,Database!$A:$AS,MATCH($P$1,Database!$A$1:$AS$1,0),FALSE)</f>
        <v>119.122118211</v>
      </c>
      <c r="Q213" s="79">
        <f>(((Table134567891011121314151617343[[#This Row],[JPN]]-VLOOKUP($U$1,A:Q,16,))/VLOOKUP($U$1,A:Q,16,))*100)+100</f>
        <v>119.5961625166031</v>
      </c>
    </row>
    <row r="214" spans="1:17" s="83" customFormat="1" x14ac:dyDescent="0.2">
      <c r="A214" s="21">
        <v>39326</v>
      </c>
      <c r="B214" s="79">
        <f>VLOOKUP(A214,Database!$A:$AS,MATCH($B$1,Database!$A$1:$AS$1,0),FALSE)</f>
        <v>129.78918423499999</v>
      </c>
      <c r="C214" s="79">
        <f>VLOOKUP(A214,Database!$A:$AS,MATCH($C$1,Database!$A$1:$AS$1,0),FALSE)</f>
        <v>111.44</v>
      </c>
      <c r="D214" s="79">
        <f>VLOOKUP(A214,Database!$A:$AS,MATCH($D$1,Database!$A$1:$AS$1,0),FALSE)</f>
        <v>98.691775684999996</v>
      </c>
      <c r="E214" s="79">
        <f>VLOOKUP(A214,Database!$A:$AS,MATCH($E$1,Database!$A$1:$AS$1,0),FALSE)</f>
        <v>134.41911201600001</v>
      </c>
      <c r="F214" s="79">
        <f>VLOOKUP(A214,Database!$A:$AS,MATCH($F$1,Database!$A$1:$AS$1,0),FALSE)</f>
        <v>107.8</v>
      </c>
      <c r="G214" s="79">
        <f>VLOOKUP(A214,Database!$A:$AS,MATCH($G$1,Database!$A$1:$AS$1,0),FALSE)</f>
        <v>103.566947482</v>
      </c>
      <c r="H214" s="79">
        <f>(((Table134567891011121314151617343[[#This Row],[ITA]]-VLOOKUP($U$1,A:B,2,))/VLOOKUP($U$1,A:B,2,))*100)+100</f>
        <v>106.74342105295757</v>
      </c>
      <c r="I214" s="79">
        <f>(((Table134567891011121314151617343[[#This Row],[FRA]]-VLOOKUP($U$1,A:C,3,))/VLOOKUP($U$1,A:C,3,))*100)+100</f>
        <v>108.73255927407553</v>
      </c>
      <c r="J214" s="79">
        <f>(((Table134567891011121314151617343[[#This Row],[DEU]]-VLOOKUP($U$1,A:D,4,))/VLOOKUP($U$1,A:D,4,))*100)+100</f>
        <v>131.24999999867012</v>
      </c>
      <c r="K214" s="79">
        <f>(((Table134567891011121314151617343[[#This Row],[ESP]]-VLOOKUP($U$1,A:E,5,))/VLOOKUP($U$1,A:E,5,))*100)+100</f>
        <v>112.98562662838536</v>
      </c>
      <c r="L214" s="79">
        <f>(((Table134567891011121314151617343[[#This Row],[EA19]]-VLOOKUP($U$1,A:F,6,))/VLOOKUP($U$1,A:F,6,))*100)+100</f>
        <v>120.58165548098432</v>
      </c>
      <c r="M214" s="79">
        <f>(((Table134567891011121314151617343[[#This Row],[GBR]]-VLOOKUP($U$1,A:G,7,))/VLOOKUP($U$1,A:G,7,))*100)+100</f>
        <v>112.36872812149284</v>
      </c>
      <c r="N214" s="79">
        <f>VLOOKUP(A214,Database!$A:$AS,MATCH($N$1,Database!$A$1:$AS$1,0),FALSE)</f>
        <v>101.301669069</v>
      </c>
      <c r="O214" s="79">
        <f>(((Table134567891011121314151617343[[#This Row],[USA]]-VLOOKUP($U$1,A:N,14,))/VLOOKUP($U$1,A:N,14,))*100)+100</f>
        <v>116.62176487354513</v>
      </c>
      <c r="P214" s="79">
        <f>VLOOKUP(A214,Database!$A:$AS,MATCH($P$1,Database!$A$1:$AS$1,0),FALSE)</f>
        <v>117.383109186</v>
      </c>
      <c r="Q214" s="79">
        <f>(((Table134567891011121314151617343[[#This Row],[JPN]]-VLOOKUP($U$1,A:Q,16,))/VLOOKUP($U$1,A:Q,16,))*100)+100</f>
        <v>117.85023313677669</v>
      </c>
    </row>
    <row r="215" spans="1:17" s="83" customFormat="1" x14ac:dyDescent="0.2">
      <c r="A215" s="21">
        <v>39356</v>
      </c>
      <c r="B215" s="79">
        <f>VLOOKUP(A215,Database!$A:$AS,MATCH($B$1,Database!$A$1:$AS$1,0),FALSE)</f>
        <v>128.48929255900001</v>
      </c>
      <c r="C215" s="79">
        <f>VLOOKUP(A215,Database!$A:$AS,MATCH($C$1,Database!$A$1:$AS$1,0),FALSE)</f>
        <v>113.98</v>
      </c>
      <c r="D215" s="79">
        <f>VLOOKUP(A215,Database!$A:$AS,MATCH($D$1,Database!$A$1:$AS$1,0),FALSE)</f>
        <v>98.791767352999997</v>
      </c>
      <c r="E215" s="79">
        <f>VLOOKUP(A215,Database!$A:$AS,MATCH($E$1,Database!$A$1:$AS$1,0),FALSE)</f>
        <v>134.15111179300001</v>
      </c>
      <c r="F215" s="79">
        <f>VLOOKUP(A215,Database!$A:$AS,MATCH($F$1,Database!$A$1:$AS$1,0),FALSE)</f>
        <v>108.7</v>
      </c>
      <c r="G215" s="79">
        <f>VLOOKUP(A215,Database!$A:$AS,MATCH($G$1,Database!$A$1:$AS$1,0),FALSE)</f>
        <v>104.642409034</v>
      </c>
      <c r="H215" s="79">
        <f>(((Table134567891011121314151617343[[#This Row],[ITA]]-VLOOKUP($U$1,A:B,2,))/VLOOKUP($U$1,A:B,2,))*100)+100</f>
        <v>105.67434210533689</v>
      </c>
      <c r="I215" s="79">
        <f>(((Table134567891011121314151617343[[#This Row],[FRA]]-VLOOKUP($U$1,A:C,3,))/VLOOKUP($U$1,A:C,3,))*100)+100</f>
        <v>111.21084983900869</v>
      </c>
      <c r="J215" s="79">
        <f>(((Table134567891011121314151617343[[#This Row],[DEU]]-VLOOKUP($U$1,A:D,4,))/VLOOKUP($U$1,A:D,4,))*100)+100</f>
        <v>131.38297872292324</v>
      </c>
      <c r="K215" s="79">
        <f>(((Table134567891011121314151617343[[#This Row],[ESP]]-VLOOKUP($U$1,A:E,5,))/VLOOKUP($U$1,A:E,5,))*100)+100</f>
        <v>112.76035975466432</v>
      </c>
      <c r="L215" s="79">
        <f>(((Table134567891011121314151617343[[#This Row],[EA19]]-VLOOKUP($U$1,A:F,6,))/VLOOKUP($U$1,A:F,6,))*100)+100</f>
        <v>121.58836689038031</v>
      </c>
      <c r="M215" s="79">
        <f>(((Table134567891011121314151617343[[#This Row],[GBR]]-VLOOKUP($U$1,A:G,7,))/VLOOKUP($U$1,A:G,7,))*100)+100</f>
        <v>113.53558926474329</v>
      </c>
      <c r="N215" s="79">
        <f>VLOOKUP(A215,Database!$A:$AS,MATCH($N$1,Database!$A$1:$AS$1,0),FALSE)</f>
        <v>100.989444924</v>
      </c>
      <c r="O215" s="79">
        <f>(((Table134567891011121314151617343[[#This Row],[USA]]-VLOOKUP($U$1,A:N,14,))/VLOOKUP($U$1,A:N,14,))*100)+100</f>
        <v>116.26232231785306</v>
      </c>
      <c r="P215" s="79">
        <f>VLOOKUP(A215,Database!$A:$AS,MATCH($P$1,Database!$A$1:$AS$1,0),FALSE)</f>
        <v>118.904742083</v>
      </c>
      <c r="Q215" s="79">
        <f>(((Table134567891011121314151617343[[#This Row],[JPN]]-VLOOKUP($U$1,A:Q,16,))/VLOOKUP($U$1,A:Q,16,))*100)+100</f>
        <v>119.3779213442503</v>
      </c>
    </row>
    <row r="216" spans="1:17" s="83" customFormat="1" x14ac:dyDescent="0.2">
      <c r="A216" s="21">
        <v>39387</v>
      </c>
      <c r="B216" s="79">
        <f>VLOOKUP(A216,Database!$A:$AS,MATCH($B$1,Database!$A$1:$AS$1,0),FALSE)</f>
        <v>127.08940921600001</v>
      </c>
      <c r="C216" s="79">
        <f>VLOOKUP(A216,Database!$A:$AS,MATCH($C$1,Database!$A$1:$AS$1,0),FALSE)</f>
        <v>111.98</v>
      </c>
      <c r="D216" s="79">
        <f>VLOOKUP(A216,Database!$A:$AS,MATCH($D$1,Database!$A$1:$AS$1,0),FALSE)</f>
        <v>98.591784017999998</v>
      </c>
      <c r="E216" s="79">
        <f>VLOOKUP(A216,Database!$A:$AS,MATCH($E$1,Database!$A$1:$AS$1,0),FALSE)</f>
        <v>132.71211059300001</v>
      </c>
      <c r="F216" s="79">
        <f>VLOOKUP(A216,Database!$A:$AS,MATCH($F$1,Database!$A$1:$AS$1,0),FALSE)</f>
        <v>108</v>
      </c>
      <c r="G216" s="79">
        <f>VLOOKUP(A216,Database!$A:$AS,MATCH($G$1,Database!$A$1:$AS$1,0),FALSE)</f>
        <v>104.642409034</v>
      </c>
      <c r="H216" s="79">
        <f>(((Table134567891011121314151617343[[#This Row],[ITA]]-VLOOKUP($U$1,A:B,2,))/VLOOKUP($U$1,A:B,2,))*100)+100</f>
        <v>104.52302631590784</v>
      </c>
      <c r="I216" s="79">
        <f>(((Table134567891011121314151617343[[#This Row],[FRA]]-VLOOKUP($U$1,A:C,3,))/VLOOKUP($U$1,A:C,3,))*100)+100</f>
        <v>109.25943994536053</v>
      </c>
      <c r="J216" s="79">
        <f>(((Table134567891011121314151617343[[#This Row],[DEU]]-VLOOKUP($U$1,A:D,4,))/VLOOKUP($U$1,A:D,4,))*100)+100</f>
        <v>131.11702127574688</v>
      </c>
      <c r="K216" s="79">
        <f>(((Table134567891011121314151617343[[#This Row],[ESP]]-VLOOKUP($U$1,A:E,5,))/VLOOKUP($U$1,A:E,5,))*100)+100</f>
        <v>111.55081112826329</v>
      </c>
      <c r="L216" s="79">
        <f>(((Table134567891011121314151617343[[#This Row],[EA19]]-VLOOKUP($U$1,A:F,6,))/VLOOKUP($U$1,A:F,6,))*100)+100</f>
        <v>120.80536912751677</v>
      </c>
      <c r="M216" s="79">
        <f>(((Table134567891011121314151617343[[#This Row],[GBR]]-VLOOKUP($U$1,A:G,7,))/VLOOKUP($U$1,A:G,7,))*100)+100</f>
        <v>113.53558926474329</v>
      </c>
      <c r="N216" s="79">
        <f>VLOOKUP(A216,Database!$A:$AS,MATCH($N$1,Database!$A$1:$AS$1,0),FALSE)</f>
        <v>101.568695053</v>
      </c>
      <c r="O216" s="79">
        <f>(((Table134567891011121314151617343[[#This Row],[USA]]-VLOOKUP($U$1,A:N,14,))/VLOOKUP($U$1,A:N,14,))*100)+100</f>
        <v>116.92917384130818</v>
      </c>
      <c r="P216" s="79">
        <f>VLOOKUP(A216,Database!$A:$AS,MATCH($P$1,Database!$A$1:$AS$1,0),FALSE)</f>
        <v>117.709173378</v>
      </c>
      <c r="Q216" s="79">
        <f>(((Table134567891011121314151617343[[#This Row],[JPN]]-VLOOKUP($U$1,A:Q,16,))/VLOOKUP($U$1,A:Q,16,))*100)+100</f>
        <v>118.1775948953059</v>
      </c>
    </row>
    <row r="217" spans="1:17" s="83" customFormat="1" x14ac:dyDescent="0.2">
      <c r="A217" s="21">
        <v>39417</v>
      </c>
      <c r="B217" s="79">
        <f>VLOOKUP(A217,Database!$A:$AS,MATCH($B$1,Database!$A$1:$AS$1,0),FALSE)</f>
        <v>127.989334222</v>
      </c>
      <c r="C217" s="79">
        <f>VLOOKUP(A217,Database!$A:$AS,MATCH($C$1,Database!$A$1:$AS$1,0),FALSE)</f>
        <v>112.16</v>
      </c>
      <c r="D217" s="79">
        <f>VLOOKUP(A217,Database!$A:$AS,MATCH($D$1,Database!$A$1:$AS$1,0),FALSE)</f>
        <v>99.591700692000003</v>
      </c>
      <c r="E217" s="79">
        <f>VLOOKUP(A217,Database!$A:$AS,MATCH($E$1,Database!$A$1:$AS$1,0),FALSE)</f>
        <v>133.78411148699999</v>
      </c>
      <c r="F217" s="79">
        <f>VLOOKUP(A217,Database!$A:$AS,MATCH($F$1,Database!$A$1:$AS$1,0),FALSE)</f>
        <v>108.6</v>
      </c>
      <c r="G217" s="79">
        <f>VLOOKUP(A217,Database!$A:$AS,MATCH($G$1,Database!$A$1:$AS$1,0),FALSE)</f>
        <v>104.10467825800001</v>
      </c>
      <c r="H217" s="79">
        <f>(((Table134567891011121314151617343[[#This Row],[ITA]]-VLOOKUP($U$1,A:B,2,))/VLOOKUP($U$1,A:B,2,))*100)+100</f>
        <v>105.26315789465028</v>
      </c>
      <c r="I217" s="79">
        <f>(((Table134567891011121314151617343[[#This Row],[FRA]]-VLOOKUP($U$1,A:C,3,))/VLOOKUP($U$1,A:C,3,))*100)+100</f>
        <v>109.43506683578886</v>
      </c>
      <c r="J217" s="79">
        <f>(((Table134567891011121314151617343[[#This Row],[DEU]]-VLOOKUP($U$1,A:D,4,))/VLOOKUP($U$1,A:D,4,))*100)+100</f>
        <v>132.44680851029875</v>
      </c>
      <c r="K217" s="79">
        <f>(((Table134567891011121314151617343[[#This Row],[ESP]]-VLOOKUP($U$1,A:E,5,))/VLOOKUP($U$1,A:E,5,))*100)+100</f>
        <v>112.45187862482852</v>
      </c>
      <c r="L217" s="79">
        <f>(((Table134567891011121314151617343[[#This Row],[EA19]]-VLOOKUP($U$1,A:F,6,))/VLOOKUP($U$1,A:F,6,))*100)+100</f>
        <v>121.47651006711408</v>
      </c>
      <c r="M217" s="79">
        <f>(((Table134567891011121314151617343[[#This Row],[GBR]]-VLOOKUP($U$1,A:G,7,))/VLOOKUP($U$1,A:G,7,))*100)+100</f>
        <v>112.95215869311807</v>
      </c>
      <c r="N217" s="79">
        <f>VLOOKUP(A217,Database!$A:$AS,MATCH($N$1,Database!$A$1:$AS$1,0),FALSE)</f>
        <v>101.55917965</v>
      </c>
      <c r="O217" s="79">
        <f>(((Table134567891011121314151617343[[#This Row],[USA]]-VLOOKUP($U$1,A:N,14,))/VLOOKUP($U$1,A:N,14,))*100)+100</f>
        <v>116.9182194009565</v>
      </c>
      <c r="P217" s="79">
        <f>VLOOKUP(A217,Database!$A:$AS,MATCH($P$1,Database!$A$1:$AS$1,0),FALSE)</f>
        <v>118.361301763</v>
      </c>
      <c r="Q217" s="79">
        <f>(((Table134567891011121314151617343[[#This Row],[JPN]]-VLOOKUP($U$1,A:Q,16,))/VLOOKUP($U$1,A:Q,16,))*100)+100</f>
        <v>118.83231841336828</v>
      </c>
    </row>
    <row r="218" spans="1:17" s="83" customFormat="1" x14ac:dyDescent="0.2">
      <c r="A218" s="21">
        <v>39448</v>
      </c>
      <c r="B218" s="79">
        <f>VLOOKUP(A218,Database!$A:$AS,MATCH($B$1,Database!$A$1:$AS$1,0),FALSE)</f>
        <v>130.68910924100001</v>
      </c>
      <c r="C218" s="79">
        <f>VLOOKUP(A218,Database!$A:$AS,MATCH($C$1,Database!$A$1:$AS$1,0),FALSE)</f>
        <v>113.18</v>
      </c>
      <c r="D218" s="79">
        <f>VLOOKUP(A218,Database!$A:$AS,MATCH($D$1,Database!$A$1:$AS$1,0),FALSE)</f>
        <v>101.091575702</v>
      </c>
      <c r="E218" s="79">
        <f>VLOOKUP(A218,Database!$A:$AS,MATCH($E$1,Database!$A$1:$AS$1,0),FALSE)</f>
        <v>134.77911231600001</v>
      </c>
      <c r="F218" s="79">
        <f>VLOOKUP(A218,Database!$A:$AS,MATCH($F$1,Database!$A$1:$AS$1,0),FALSE)</f>
        <v>109.5</v>
      </c>
      <c r="G218" s="79">
        <f>VLOOKUP(A218,Database!$A:$AS,MATCH($G$1,Database!$A$1:$AS$1,0),FALSE)</f>
        <v>104.857501344</v>
      </c>
      <c r="H218" s="79">
        <f>(((Table134567891011121314151617343[[#This Row],[ITA]]-VLOOKUP($U$1,A:B,2,))/VLOOKUP($U$1,A:B,2,))*100)+100</f>
        <v>107.48355263170002</v>
      </c>
      <c r="I218" s="79">
        <f>(((Table134567891011121314151617343[[#This Row],[FRA]]-VLOOKUP($U$1,A:C,3,))/VLOOKUP($U$1,A:C,3,))*100)+100</f>
        <v>110.43028588154944</v>
      </c>
      <c r="J218" s="79">
        <f>(((Table134567891011121314151617343[[#This Row],[DEU]]-VLOOKUP($U$1,A:D,4,))/VLOOKUP($U$1,A:D,4,))*100)+100</f>
        <v>134.44148936079668</v>
      </c>
      <c r="K218" s="79">
        <f>(((Table134567891011121314151617343[[#This Row],[ESP]]-VLOOKUP($U$1,A:E,5,))/VLOOKUP($U$1,A:E,5,))*100)+100</f>
        <v>113.28822392181984</v>
      </c>
      <c r="L218" s="79">
        <f>(((Table134567891011121314151617343[[#This Row],[EA19]]-VLOOKUP($U$1,A:F,6,))/VLOOKUP($U$1,A:F,6,))*100)+100</f>
        <v>122.48322147651007</v>
      </c>
      <c r="M218" s="79">
        <f>(((Table134567891011121314151617343[[#This Row],[GBR]]-VLOOKUP($U$1,A:G,7,))/VLOOKUP($U$1,A:G,7,))*100)+100</f>
        <v>113.76896149295939</v>
      </c>
      <c r="N218" s="79">
        <f>VLOOKUP(A218,Database!$A:$AS,MATCH($N$1,Database!$A$1:$AS$1,0),FALSE)</f>
        <v>101.41317769299999</v>
      </c>
      <c r="O218" s="79">
        <f>(((Table134567891011121314151617343[[#This Row],[USA]]-VLOOKUP($U$1,A:N,14,))/VLOOKUP($U$1,A:N,14,))*100)+100</f>
        <v>116.75013721576826</v>
      </c>
      <c r="P218" s="79">
        <f>VLOOKUP(A218,Database!$A:$AS,MATCH($P$1,Database!$A$1:$AS$1,0),FALSE)</f>
        <v>119.16530175600001</v>
      </c>
      <c r="Q218" s="79">
        <f>(((Table134567891011121314151617343[[#This Row],[JPN]]-VLOOKUP($U$1,A:Q,16,))/VLOOKUP($U$1,A:Q,16,))*100)+100</f>
        <v>119.63951790973601</v>
      </c>
    </row>
    <row r="219" spans="1:17" s="83" customFormat="1" x14ac:dyDescent="0.2">
      <c r="A219" s="21">
        <v>39479</v>
      </c>
      <c r="B219" s="79">
        <f>VLOOKUP(A219,Database!$A:$AS,MATCH($B$1,Database!$A$1:$AS$1,0),FALSE)</f>
        <v>129.68919256699999</v>
      </c>
      <c r="C219" s="79">
        <f>VLOOKUP(A219,Database!$A:$AS,MATCH($C$1,Database!$A$1:$AS$1,0),FALSE)</f>
        <v>114.18</v>
      </c>
      <c r="D219" s="79">
        <f>VLOOKUP(A219,Database!$A:$AS,MATCH($D$1,Database!$A$1:$AS$1,0),FALSE)</f>
        <v>100.7916007</v>
      </c>
      <c r="E219" s="79">
        <f>VLOOKUP(A219,Database!$A:$AS,MATCH($E$1,Database!$A$1:$AS$1,0),FALSE)</f>
        <v>133.49811124799999</v>
      </c>
      <c r="F219" s="79">
        <f>VLOOKUP(A219,Database!$A:$AS,MATCH($F$1,Database!$A$1:$AS$1,0),FALSE)</f>
        <v>109.3</v>
      </c>
      <c r="G219" s="79">
        <f>VLOOKUP(A219,Database!$A:$AS,MATCH($G$1,Database!$A$1:$AS$1,0),FALSE)</f>
        <v>105.717870586</v>
      </c>
      <c r="H219" s="79">
        <f>(((Table134567891011121314151617343[[#This Row],[ITA]]-VLOOKUP($U$1,A:B,2,))/VLOOKUP($U$1,A:B,2,))*100)+100</f>
        <v>106.66118421032679</v>
      </c>
      <c r="I219" s="79">
        <f>(((Table134567891011121314151617343[[#This Row],[FRA]]-VLOOKUP($U$1,A:C,3,))/VLOOKUP($U$1,A:C,3,))*100)+100</f>
        <v>111.40599082837352</v>
      </c>
      <c r="J219" s="79">
        <f>(((Table134567891011121314151617343[[#This Row],[DEU]]-VLOOKUP($U$1,A:D,4,))/VLOOKUP($U$1,A:D,4,))*100)+100</f>
        <v>134.04255319069711</v>
      </c>
      <c r="K219" s="79">
        <f>(((Table134567891011121314151617343[[#This Row],[ESP]]-VLOOKUP($U$1,A:E,5,))/VLOOKUP($U$1,A:E,5,))*100)+100</f>
        <v>112.21148188559521</v>
      </c>
      <c r="L219" s="79">
        <f>(((Table134567891011121314151617343[[#This Row],[EA19]]-VLOOKUP($U$1,A:F,6,))/VLOOKUP($U$1,A:F,6,))*100)+100</f>
        <v>122.25950782997762</v>
      </c>
      <c r="M219" s="79">
        <f>(((Table134567891011121314151617343[[#This Row],[GBR]]-VLOOKUP($U$1,A:G,7,))/VLOOKUP($U$1,A:G,7,))*100)+100</f>
        <v>114.70245040799375</v>
      </c>
      <c r="N219" s="79">
        <f>VLOOKUP(A219,Database!$A:$AS,MATCH($N$1,Database!$A$1:$AS$1,0),FALSE)</f>
        <v>101.040094619</v>
      </c>
      <c r="O219" s="79">
        <f>(((Table134567891011121314151617343[[#This Row],[USA]]-VLOOKUP($U$1,A:N,14,))/VLOOKUP($U$1,A:N,14,))*100)+100</f>
        <v>116.32063188842079</v>
      </c>
      <c r="P219" s="79">
        <f>VLOOKUP(A219,Database!$A:$AS,MATCH($P$1,Database!$A$1:$AS$1,0),FALSE)</f>
        <v>119.473222433</v>
      </c>
      <c r="Q219" s="79">
        <f>(((Table134567891011121314151617343[[#This Row],[JPN]]-VLOOKUP($U$1,A:Q,16,))/VLOOKUP($U$1,A:Q,16,))*100)+100</f>
        <v>119.94866395147685</v>
      </c>
    </row>
    <row r="220" spans="1:17" s="83" customFormat="1" x14ac:dyDescent="0.2">
      <c r="A220" s="21">
        <v>39508</v>
      </c>
      <c r="B220" s="79">
        <f>VLOOKUP(A220,Database!$A:$AS,MATCH($B$1,Database!$A$1:$AS$1,0),FALSE)</f>
        <v>130.38913423899999</v>
      </c>
      <c r="C220" s="79">
        <f>VLOOKUP(A220,Database!$A:$AS,MATCH($C$1,Database!$A$1:$AS$1,0),FALSE)</f>
        <v>112.86</v>
      </c>
      <c r="D220" s="79">
        <f>VLOOKUP(A220,Database!$A:$AS,MATCH($D$1,Database!$A$1:$AS$1,0),FALSE)</f>
        <v>100.091659028</v>
      </c>
      <c r="E220" s="79">
        <f>VLOOKUP(A220,Database!$A:$AS,MATCH($E$1,Database!$A$1:$AS$1,0),FALSE)</f>
        <v>130.79310899399999</v>
      </c>
      <c r="F220" s="79">
        <f>VLOOKUP(A220,Database!$A:$AS,MATCH($F$1,Database!$A$1:$AS$1,0),FALSE)</f>
        <v>108.8</v>
      </c>
      <c r="G220" s="79">
        <f>VLOOKUP(A220,Database!$A:$AS,MATCH($G$1,Database!$A$1:$AS$1,0),FALSE)</f>
        <v>104.10467825800001</v>
      </c>
      <c r="H220" s="79">
        <f>(((Table134567891011121314151617343[[#This Row],[ITA]]-VLOOKUP($U$1,A:B,2,))/VLOOKUP($U$1,A:B,2,))*100)+100</f>
        <v>107.23684210545252</v>
      </c>
      <c r="I220" s="79">
        <f>(((Table134567891011121314151617343[[#This Row],[FRA]]-VLOOKUP($U$1,A:C,3,))/VLOOKUP($U$1,A:C,3,))*100)+100</f>
        <v>110.11806029856572</v>
      </c>
      <c r="J220" s="79">
        <f>(((Table134567891011121314151617343[[#This Row],[DEU]]-VLOOKUP($U$1,A:D,4,))/VLOOKUP($U$1,A:D,4,))*100)+100</f>
        <v>133.11170212624478</v>
      </c>
      <c r="K220" s="79">
        <f>(((Table134567891011121314151617343[[#This Row],[ESP]]-VLOOKUP($U$1,A:E,5,))/VLOOKUP($U$1,A:E,5,))*100)+100</f>
        <v>109.93779944479017</v>
      </c>
      <c r="L220" s="79">
        <f>(((Table134567891011121314151617343[[#This Row],[EA19]]-VLOOKUP($U$1,A:F,6,))/VLOOKUP($U$1,A:F,6,))*100)+100</f>
        <v>121.70022371364652</v>
      </c>
      <c r="M220" s="79">
        <f>(((Table134567891011121314151617343[[#This Row],[GBR]]-VLOOKUP($U$1,A:G,7,))/VLOOKUP($U$1,A:G,7,))*100)+100</f>
        <v>112.95215869311807</v>
      </c>
      <c r="N220" s="79">
        <f>VLOOKUP(A220,Database!$A:$AS,MATCH($N$1,Database!$A$1:$AS$1,0),FALSE)</f>
        <v>100.695161277</v>
      </c>
      <c r="O220" s="79">
        <f>(((Table134567891011121314151617343[[#This Row],[USA]]-VLOOKUP($U$1,A:N,14,))/VLOOKUP($U$1,A:N,14,))*100)+100</f>
        <v>115.92353344495515</v>
      </c>
      <c r="P220" s="79">
        <f>VLOOKUP(A220,Database!$A:$AS,MATCH($P$1,Database!$A$1:$AS$1,0),FALSE)</f>
        <v>118.241539727</v>
      </c>
      <c r="Q220" s="79">
        <f>(((Table134567891011121314151617343[[#This Row],[JPN]]-VLOOKUP($U$1,A:Q,16,))/VLOOKUP($U$1,A:Q,16,))*100)+100</f>
        <v>118.71207978652147</v>
      </c>
    </row>
    <row r="221" spans="1:17" s="83" customFormat="1" x14ac:dyDescent="0.2">
      <c r="A221" s="21">
        <v>39539</v>
      </c>
      <c r="B221" s="79">
        <f>VLOOKUP(A221,Database!$A:$AS,MATCH($B$1,Database!$A$1:$AS$1,0),FALSE)</f>
        <v>131.689025915</v>
      </c>
      <c r="C221" s="79">
        <f>VLOOKUP(A221,Database!$A:$AS,MATCH($C$1,Database!$A$1:$AS$1,0),FALSE)</f>
        <v>115.29</v>
      </c>
      <c r="D221" s="79">
        <f>VLOOKUP(A221,Database!$A:$AS,MATCH($D$1,Database!$A$1:$AS$1,0),FALSE)</f>
        <v>100.29164236299999</v>
      </c>
      <c r="E221" s="79">
        <f>VLOOKUP(A221,Database!$A:$AS,MATCH($E$1,Database!$A$1:$AS$1,0),FALSE)</f>
        <v>133.08811090699999</v>
      </c>
      <c r="F221" s="79">
        <f>VLOOKUP(A221,Database!$A:$AS,MATCH($F$1,Database!$A$1:$AS$1,0),FALSE)</f>
        <v>110.1</v>
      </c>
      <c r="G221" s="79">
        <f>VLOOKUP(A221,Database!$A:$AS,MATCH($G$1,Database!$A$1:$AS$1,0),FALSE)</f>
        <v>104.749955189</v>
      </c>
      <c r="H221" s="79">
        <f>(((Table134567891011121314151617343[[#This Row],[ITA]]-VLOOKUP($U$1,A:B,2,))/VLOOKUP($U$1,A:B,2,))*100)+100</f>
        <v>108.30592105307323</v>
      </c>
      <c r="I221" s="79">
        <f>(((Table134567891011121314151617343[[#This Row],[FRA]]-VLOOKUP($U$1,A:C,3,))/VLOOKUP($U$1,A:C,3,))*100)+100</f>
        <v>112.48902331934823</v>
      </c>
      <c r="J221" s="79">
        <f>(((Table134567891011121314151617343[[#This Row],[DEU]]-VLOOKUP($U$1,A:D,4,))/VLOOKUP($U$1,A:D,4,))*100)+100</f>
        <v>133.37765957342114</v>
      </c>
      <c r="K221" s="79">
        <f>(((Table134567891011121314151617343[[#This Row],[ESP]]-VLOOKUP($U$1,A:E,5,))/VLOOKUP($U$1,A:E,5,))*100)+100</f>
        <v>111.8668571908552</v>
      </c>
      <c r="L221" s="79">
        <f>(((Table134567891011121314151617343[[#This Row],[EA19]]-VLOOKUP($U$1,A:F,6,))/VLOOKUP($U$1,A:F,6,))*100)+100</f>
        <v>123.15436241610738</v>
      </c>
      <c r="M221" s="79">
        <f>(((Table134567891011121314151617343[[#This Row],[GBR]]-VLOOKUP($U$1,A:G,7,))/VLOOKUP($U$1,A:G,7,))*100)+100</f>
        <v>113.65227537885134</v>
      </c>
      <c r="N221" s="79">
        <f>VLOOKUP(A221,Database!$A:$AS,MATCH($N$1,Database!$A$1:$AS$1,0),FALSE)</f>
        <v>100.020558886</v>
      </c>
      <c r="O221" s="79">
        <f>(((Table134567891011121314151617343[[#This Row],[USA]]-VLOOKUP($U$1,A:N,14,))/VLOOKUP($U$1,A:N,14,))*100)+100</f>
        <v>115.14690930687955</v>
      </c>
      <c r="P221" s="79">
        <f>VLOOKUP(A221,Database!$A:$AS,MATCH($P$1,Database!$A$1:$AS$1,0),FALSE)</f>
        <v>117.7283386</v>
      </c>
      <c r="Q221" s="79">
        <f>(((Table134567891011121314151617343[[#This Row],[JPN]]-VLOOKUP($U$1,A:Q,16,))/VLOOKUP($U$1,A:Q,16,))*100)+100</f>
        <v>118.19683638495871</v>
      </c>
    </row>
    <row r="222" spans="1:17" s="83" customFormat="1" x14ac:dyDescent="0.2">
      <c r="A222" s="21">
        <v>39569</v>
      </c>
      <c r="B222" s="79">
        <f>VLOOKUP(A222,Database!$A:$AS,MATCH($B$1,Database!$A$1:$AS$1,0),FALSE)</f>
        <v>127.08940921600001</v>
      </c>
      <c r="C222" s="79">
        <f>VLOOKUP(A222,Database!$A:$AS,MATCH($C$1,Database!$A$1:$AS$1,0),FALSE)</f>
        <v>109.87</v>
      </c>
      <c r="D222" s="79">
        <f>VLOOKUP(A222,Database!$A:$AS,MATCH($D$1,Database!$A$1:$AS$1,0),FALSE)</f>
        <v>98.291809016000002</v>
      </c>
      <c r="E222" s="79">
        <f>VLOOKUP(A222,Database!$A:$AS,MATCH($E$1,Database!$A$1:$AS$1,0),FALSE)</f>
        <v>128.69610724699999</v>
      </c>
      <c r="F222" s="79">
        <f>VLOOKUP(A222,Database!$A:$AS,MATCH($F$1,Database!$A$1:$AS$1,0),FALSE)</f>
        <v>106.9</v>
      </c>
      <c r="G222" s="79">
        <f>VLOOKUP(A222,Database!$A:$AS,MATCH($G$1,Database!$A$1:$AS$1,0),FALSE)</f>
        <v>104.212224413</v>
      </c>
      <c r="H222" s="79">
        <f>(((Table134567891011121314151617343[[#This Row],[ITA]]-VLOOKUP($U$1,A:B,2,))/VLOOKUP($U$1,A:B,2,))*100)+100</f>
        <v>104.52302631590784</v>
      </c>
      <c r="I222" s="79">
        <f>(((Table134567891011121314151617343[[#This Row],[FRA]]-VLOOKUP($U$1,A:C,3,))/VLOOKUP($U$1,A:C,3,))*100)+100</f>
        <v>107.20070250756173</v>
      </c>
      <c r="J222" s="79">
        <f>(((Table134567891011121314151617343[[#This Row],[DEU]]-VLOOKUP($U$1,A:D,4,))/VLOOKUP($U$1,A:D,4,))*100)+100</f>
        <v>130.7180851056473</v>
      </c>
      <c r="K222" s="79">
        <f>(((Table134567891011121314151617343[[#This Row],[ESP]]-VLOOKUP($U$1,A:E,5,))/VLOOKUP($U$1,A:E,5,))*100)+100</f>
        <v>108.17517021095465</v>
      </c>
      <c r="L222" s="79">
        <f>(((Table134567891011121314151617343[[#This Row],[EA19]]-VLOOKUP($U$1,A:F,6,))/VLOOKUP($U$1,A:F,6,))*100)+100</f>
        <v>119.57494407158836</v>
      </c>
      <c r="M222" s="79">
        <f>(((Table134567891011121314151617343[[#This Row],[GBR]]-VLOOKUP($U$1,A:G,7,))/VLOOKUP($U$1,A:G,7,))*100)+100</f>
        <v>113.06884480722611</v>
      </c>
      <c r="N222" s="79">
        <f>VLOOKUP(A222,Database!$A:$AS,MATCH($N$1,Database!$A$1:$AS$1,0),FALSE)</f>
        <v>99.423368259</v>
      </c>
      <c r="O222" s="79">
        <f>(((Table134567891011121314151617343[[#This Row],[USA]]-VLOOKUP($U$1,A:N,14,))/VLOOKUP($U$1,A:N,14,))*100)+100</f>
        <v>114.45940410063027</v>
      </c>
      <c r="P222" s="79">
        <f>VLOOKUP(A222,Database!$A:$AS,MATCH($P$1,Database!$A$1:$AS$1,0),FALSE)</f>
        <v>118.34417995299999</v>
      </c>
      <c r="Q222" s="79">
        <f>(((Table134567891011121314151617343[[#This Row],[JPN]]-VLOOKUP($U$1,A:Q,16,))/VLOOKUP($U$1,A:Q,16,))*100)+100</f>
        <v>118.81512846743639</v>
      </c>
    </row>
    <row r="223" spans="1:17" s="83" customFormat="1" x14ac:dyDescent="0.2">
      <c r="A223" s="21">
        <v>39600</v>
      </c>
      <c r="B223" s="79">
        <f>VLOOKUP(A223,Database!$A:$AS,MATCH($B$1,Database!$A$1:$AS$1,0),FALSE)</f>
        <v>128.48929255900001</v>
      </c>
      <c r="C223" s="79">
        <f>VLOOKUP(A223,Database!$A:$AS,MATCH($C$1,Database!$A$1:$AS$1,0),FALSE)</f>
        <v>109.55</v>
      </c>
      <c r="D223" s="79">
        <f>VLOOKUP(A223,Database!$A:$AS,MATCH($D$1,Database!$A$1:$AS$1,0),FALSE)</f>
        <v>99.391717357000005</v>
      </c>
      <c r="E223" s="79">
        <f>VLOOKUP(A223,Database!$A:$AS,MATCH($E$1,Database!$A$1:$AS$1,0),FALSE)</f>
        <v>123.762103135</v>
      </c>
      <c r="F223" s="79">
        <f>VLOOKUP(A223,Database!$A:$AS,MATCH($F$1,Database!$A$1:$AS$1,0),FALSE)</f>
        <v>107.1</v>
      </c>
      <c r="G223" s="79">
        <f>VLOOKUP(A223,Database!$A:$AS,MATCH($G$1,Database!$A$1:$AS$1,0),FALSE)</f>
        <v>103.997132103</v>
      </c>
      <c r="H223" s="79">
        <f>(((Table134567891011121314151617343[[#This Row],[ITA]]-VLOOKUP($U$1,A:B,2,))/VLOOKUP($U$1,A:B,2,))*100)+100</f>
        <v>105.67434210533689</v>
      </c>
      <c r="I223" s="79">
        <f>(((Table134567891011121314151617343[[#This Row],[FRA]]-VLOOKUP($U$1,A:C,3,))/VLOOKUP($U$1,A:C,3,))*100)+100</f>
        <v>106.88847692457801</v>
      </c>
      <c r="J223" s="79">
        <f>(((Table134567891011121314151617343[[#This Row],[DEU]]-VLOOKUP($U$1,A:D,4,))/VLOOKUP($U$1,A:D,4,))*100)+100</f>
        <v>132.18085106312242</v>
      </c>
      <c r="K223" s="79">
        <f>(((Table134567891011121314151617343[[#This Row],[ESP]]-VLOOKUP($U$1,A:E,5,))/VLOOKUP($U$1,A:E,5,))*100)+100</f>
        <v>104.02790619454757</v>
      </c>
      <c r="L223" s="79">
        <f>(((Table134567891011121314151617343[[#This Row],[EA19]]-VLOOKUP($U$1,A:F,6,))/VLOOKUP($U$1,A:F,6,))*100)+100</f>
        <v>119.79865771812079</v>
      </c>
      <c r="M223" s="79">
        <f>(((Table134567891011121314151617343[[#This Row],[GBR]]-VLOOKUP($U$1,A:G,7,))/VLOOKUP($U$1,A:G,7,))*100)+100</f>
        <v>112.83547257901</v>
      </c>
      <c r="N223" s="79">
        <f>VLOOKUP(A223,Database!$A:$AS,MATCH($N$1,Database!$A$1:$AS$1,0),FALSE)</f>
        <v>99.203324576</v>
      </c>
      <c r="O223" s="79">
        <f>(((Table134567891011121314151617343[[#This Row],[USA]]-VLOOKUP($U$1,A:N,14,))/VLOOKUP($U$1,A:N,14,))*100)+100</f>
        <v>114.2060826805927</v>
      </c>
      <c r="P223" s="79">
        <f>VLOOKUP(A223,Database!$A:$AS,MATCH($P$1,Database!$A$1:$AS$1,0),FALSE)</f>
        <v>115.162332963</v>
      </c>
      <c r="Q223" s="79">
        <f>(((Table134567891011121314151617343[[#This Row],[JPN]]-VLOOKUP($U$1,A:Q,16,))/VLOOKUP($U$1,A:Q,16,))*100)+100</f>
        <v>115.620619375137</v>
      </c>
    </row>
    <row r="224" spans="1:17" s="83" customFormat="1" x14ac:dyDescent="0.2">
      <c r="A224" s="21">
        <v>39630</v>
      </c>
      <c r="B224" s="79">
        <f>VLOOKUP(A224,Database!$A:$AS,MATCH($B$1,Database!$A$1:$AS$1,0),FALSE)</f>
        <v>124.38963419700001</v>
      </c>
      <c r="C224" s="79">
        <f>VLOOKUP(A224,Database!$A:$AS,MATCH($C$1,Database!$A$1:$AS$1,0),FALSE)</f>
        <v>110.35</v>
      </c>
      <c r="D224" s="79">
        <f>VLOOKUP(A224,Database!$A:$AS,MATCH($D$1,Database!$A$1:$AS$1,0),FALSE)</f>
        <v>97.691859011999995</v>
      </c>
      <c r="E224" s="79">
        <f>VLOOKUP(A224,Database!$A:$AS,MATCH($E$1,Database!$A$1:$AS$1,0),FALSE)</f>
        <v>127.23310602799999</v>
      </c>
      <c r="F224" s="79">
        <f>VLOOKUP(A224,Database!$A:$AS,MATCH($F$1,Database!$A$1:$AS$1,0),FALSE)</f>
        <v>106</v>
      </c>
      <c r="G224" s="79">
        <f>VLOOKUP(A224,Database!$A:$AS,MATCH($G$1,Database!$A$1:$AS$1,0),FALSE)</f>
        <v>104.10467825800001</v>
      </c>
      <c r="H224" s="79">
        <f>(((Table134567891011121314151617343[[#This Row],[ITA]]-VLOOKUP($U$1,A:B,2,))/VLOOKUP($U$1,A:B,2,))*100)+100</f>
        <v>102.3026315788581</v>
      </c>
      <c r="I224" s="79">
        <f>(((Table134567891011121314151617343[[#This Row],[FRA]]-VLOOKUP($U$1,A:C,3,))/VLOOKUP($U$1,A:C,3,))*100)+100</f>
        <v>107.66904088203727</v>
      </c>
      <c r="J224" s="79">
        <f>(((Table134567891011121314151617343[[#This Row],[DEU]]-VLOOKUP($U$1,A:D,4,))/VLOOKUP($U$1,A:D,4,))*100)+100</f>
        <v>129.92021276544813</v>
      </c>
      <c r="K224" s="79">
        <f>(((Table134567891011121314151617343[[#This Row],[ESP]]-VLOOKUP($U$1,A:E,5,))/VLOOKUP($U$1,A:E,5,))*100)+100</f>
        <v>106.94544843249854</v>
      </c>
      <c r="L224" s="79">
        <f>(((Table134567891011121314151617343[[#This Row],[EA19]]-VLOOKUP($U$1,A:F,6,))/VLOOKUP($U$1,A:F,6,))*100)+100</f>
        <v>118.56823266219239</v>
      </c>
      <c r="M224" s="79">
        <f>(((Table134567891011121314151617343[[#This Row],[GBR]]-VLOOKUP($U$1,A:G,7,))/VLOOKUP($U$1,A:G,7,))*100)+100</f>
        <v>112.95215869311807</v>
      </c>
      <c r="N224" s="79">
        <f>VLOOKUP(A224,Database!$A:$AS,MATCH($N$1,Database!$A$1:$AS$1,0),FALSE)</f>
        <v>98.734591882999993</v>
      </c>
      <c r="O224" s="79">
        <f>(((Table134567891011121314151617343[[#This Row],[USA]]-VLOOKUP($U$1,A:N,14,))/VLOOKUP($U$1,A:N,14,))*100)+100</f>
        <v>113.66646241160822</v>
      </c>
      <c r="P224" s="79">
        <f>VLOOKUP(A224,Database!$A:$AS,MATCH($P$1,Database!$A$1:$AS$1,0),FALSE)</f>
        <v>115.162332963</v>
      </c>
      <c r="Q224" s="79">
        <f>(((Table134567891011121314151617343[[#This Row],[JPN]]-VLOOKUP($U$1,A:Q,16,))/VLOOKUP($U$1,A:Q,16,))*100)+100</f>
        <v>115.620619375137</v>
      </c>
    </row>
    <row r="225" spans="1:17" s="83" customFormat="1" x14ac:dyDescent="0.2">
      <c r="A225" s="21">
        <v>39661</v>
      </c>
      <c r="B225" s="79">
        <f>VLOOKUP(A225,Database!$A:$AS,MATCH($B$1,Database!$A$1:$AS$1,0),FALSE)</f>
        <v>121.189900842</v>
      </c>
      <c r="C225" s="79">
        <f>VLOOKUP(A225,Database!$A:$AS,MATCH($C$1,Database!$A$1:$AS$1,0),FALSE)</f>
        <v>108.84</v>
      </c>
      <c r="D225" s="79">
        <f>VLOOKUP(A225,Database!$A:$AS,MATCH($D$1,Database!$A$1:$AS$1,0),FALSE)</f>
        <v>99.691692359000001</v>
      </c>
      <c r="E225" s="79">
        <f>VLOOKUP(A225,Database!$A:$AS,MATCH($E$1,Database!$A$1:$AS$1,0),FALSE)</f>
        <v>122.57910214899999</v>
      </c>
      <c r="F225" s="79">
        <f>VLOOKUP(A225,Database!$A:$AS,MATCH($F$1,Database!$A$1:$AS$1,0),FALSE)</f>
        <v>105.6</v>
      </c>
      <c r="G225" s="79">
        <f>VLOOKUP(A225,Database!$A:$AS,MATCH($G$1,Database!$A$1:$AS$1,0),FALSE)</f>
        <v>104.9650475</v>
      </c>
      <c r="H225" s="79">
        <f>(((Table134567891011121314151617343[[#This Row],[ITA]]-VLOOKUP($U$1,A:B,2,))/VLOOKUP($U$1,A:B,2,))*100)+100</f>
        <v>99.671052631944178</v>
      </c>
      <c r="I225" s="79">
        <f>(((Table134567891011121314151617343[[#This Row],[FRA]]-VLOOKUP($U$1,A:C,3,))/VLOOKUP($U$1,A:C,3,))*100)+100</f>
        <v>106.19572641233292</v>
      </c>
      <c r="J225" s="79">
        <f>(((Table134567891011121314151617343[[#This Row],[DEU]]-VLOOKUP($U$1,A:D,4,))/VLOOKUP($U$1,A:D,4,))*100)+100</f>
        <v>132.57978723322199</v>
      </c>
      <c r="K225" s="79">
        <f>(((Table134567891011121314151617343[[#This Row],[ESP]]-VLOOKUP($U$1,A:E,5,))/VLOOKUP($U$1,A:E,5,))*100)+100</f>
        <v>103.0335378662603</v>
      </c>
      <c r="L225" s="79">
        <f>(((Table134567891011121314151617343[[#This Row],[EA19]]-VLOOKUP($U$1,A:F,6,))/VLOOKUP($U$1,A:F,6,))*100)+100</f>
        <v>118.12080536912751</v>
      </c>
      <c r="M225" s="79">
        <f>(((Table134567891011121314151617343[[#This Row],[GBR]]-VLOOKUP($U$1,A:G,7,))/VLOOKUP($U$1,A:G,7,))*100)+100</f>
        <v>113.88564760815242</v>
      </c>
      <c r="N225" s="79">
        <f>VLOOKUP(A225,Database!$A:$AS,MATCH($N$1,Database!$A$1:$AS$1,0),FALSE)</f>
        <v>97.195971119000006</v>
      </c>
      <c r="O225" s="79">
        <f>(((Table134567891011121314151617343[[#This Row],[USA]]-VLOOKUP($U$1,A:N,14,))/VLOOKUP($U$1,A:N,14,))*100)+100</f>
        <v>111.89515231753128</v>
      </c>
      <c r="P225" s="79">
        <f>VLOOKUP(A225,Database!$A:$AS,MATCH($P$1,Database!$A$1:$AS$1,0),FALSE)</f>
        <v>110.95408372</v>
      </c>
      <c r="Q225" s="79">
        <f>(((Table134567891011121314151617343[[#This Row],[JPN]]-VLOOKUP($U$1,A:Q,16,))/VLOOKUP($U$1,A:Q,16,))*100)+100</f>
        <v>111.39562348071607</v>
      </c>
    </row>
    <row r="226" spans="1:17" s="83" customFormat="1" x14ac:dyDescent="0.2">
      <c r="A226" s="21">
        <v>39692</v>
      </c>
      <c r="B226" s="79">
        <f>VLOOKUP(A226,Database!$A:$AS,MATCH($B$1,Database!$A$1:$AS$1,0),FALSE)</f>
        <v>120.38996750299999</v>
      </c>
      <c r="C226" s="79">
        <f>VLOOKUP(A226,Database!$A:$AS,MATCH($C$1,Database!$A$1:$AS$1,0),FALSE)</f>
        <v>108.38</v>
      </c>
      <c r="D226" s="79">
        <f>VLOOKUP(A226,Database!$A:$AS,MATCH($D$1,Database!$A$1:$AS$1,0),FALSE)</f>
        <v>97.391884009999998</v>
      </c>
      <c r="E226" s="79">
        <f>VLOOKUP(A226,Database!$A:$AS,MATCH($E$1,Database!$A$1:$AS$1,0),FALSE)</f>
        <v>121.708101423</v>
      </c>
      <c r="F226" s="79">
        <f>VLOOKUP(A226,Database!$A:$AS,MATCH($F$1,Database!$A$1:$AS$1,0),FALSE)</f>
        <v>104.8</v>
      </c>
      <c r="G226" s="79">
        <f>VLOOKUP(A226,Database!$A:$AS,MATCH($G$1,Database!$A$1:$AS$1,0),FALSE)</f>
        <v>105.39523212</v>
      </c>
      <c r="H226" s="79">
        <f>(((Table134567891011121314151617343[[#This Row],[ITA]]-VLOOKUP($U$1,A:B,2,))/VLOOKUP($U$1,A:B,2,))*100)+100</f>
        <v>99.013157895010082</v>
      </c>
      <c r="I226" s="79">
        <f>(((Table134567891011121314151617343[[#This Row],[FRA]]-VLOOKUP($U$1,A:C,3,))/VLOOKUP($U$1,A:C,3,))*100)+100</f>
        <v>105.74690213679384</v>
      </c>
      <c r="J226" s="79">
        <f>(((Table134567891011121314151617343[[#This Row],[DEU]]-VLOOKUP($U$1,A:D,4,))/VLOOKUP($U$1,A:D,4,))*100)+100</f>
        <v>129.52127659534855</v>
      </c>
      <c r="K226" s="79">
        <f>(((Table134567891011121314151617343[[#This Row],[ESP]]-VLOOKUP($U$1,A:E,5,))/VLOOKUP($U$1,A:E,5,))*100)+100</f>
        <v>102.30142052561627</v>
      </c>
      <c r="L226" s="79">
        <f>(((Table134567891011121314151617343[[#This Row],[EA19]]-VLOOKUP($U$1,A:F,6,))/VLOOKUP($U$1,A:F,6,))*100)+100</f>
        <v>117.22595078299776</v>
      </c>
      <c r="M226" s="79">
        <f>(((Table134567891011121314151617343[[#This Row],[GBR]]-VLOOKUP($U$1,A:G,7,))/VLOOKUP($U$1,A:G,7,))*100)+100</f>
        <v>114.35239206458462</v>
      </c>
      <c r="N226" s="79">
        <f>VLOOKUP(A226,Database!$A:$AS,MATCH($N$1,Database!$A$1:$AS$1,0),FALSE)</f>
        <v>93.018114699999998</v>
      </c>
      <c r="O226" s="79">
        <f>(((Table134567891011121314151617343[[#This Row],[USA]]-VLOOKUP($U$1,A:N,14,))/VLOOKUP($U$1,A:N,14,))*100)+100</f>
        <v>107.08546859316755</v>
      </c>
      <c r="P226" s="79">
        <f>VLOOKUP(A226,Database!$A:$AS,MATCH($P$1,Database!$A$1:$AS$1,0),FALSE)</f>
        <v>112.391046876</v>
      </c>
      <c r="Q226" s="79">
        <f>(((Table134567891011121314151617343[[#This Row],[JPN]]-VLOOKUP($U$1,A:Q,16,))/VLOOKUP($U$1,A:Q,16,))*100)+100</f>
        <v>112.83830500549337</v>
      </c>
    </row>
    <row r="227" spans="1:17" s="83" customFormat="1" x14ac:dyDescent="0.2">
      <c r="A227" s="21">
        <v>39722</v>
      </c>
      <c r="B227" s="79">
        <f>VLOOKUP(A227,Database!$A:$AS,MATCH($B$1,Database!$A$1:$AS$1,0),FALSE)</f>
        <v>117.89017581900001</v>
      </c>
      <c r="C227" s="79">
        <f>VLOOKUP(A227,Database!$A:$AS,MATCH($C$1,Database!$A$1:$AS$1,0),FALSE)</f>
        <v>106.34</v>
      </c>
      <c r="D227" s="79">
        <f>VLOOKUP(A227,Database!$A:$AS,MATCH($D$1,Database!$A$1:$AS$1,0),FALSE)</f>
        <v>95.292058995000005</v>
      </c>
      <c r="E227" s="79">
        <f>VLOOKUP(A227,Database!$A:$AS,MATCH($E$1,Database!$A$1:$AS$1,0),FALSE)</f>
        <v>114.870095725</v>
      </c>
      <c r="F227" s="79">
        <f>VLOOKUP(A227,Database!$A:$AS,MATCH($F$1,Database!$A$1:$AS$1,0),FALSE)</f>
        <v>102.1</v>
      </c>
      <c r="G227" s="79">
        <f>VLOOKUP(A227,Database!$A:$AS,MATCH($G$1,Database!$A$1:$AS$1,0),FALSE)</f>
        <v>106.040509052</v>
      </c>
      <c r="H227" s="79">
        <f>(((Table134567891011121314151617343[[#This Row],[ITA]]-VLOOKUP($U$1,A:B,2,))/VLOOKUP($U$1,A:B,2,))*100)+100</f>
        <v>96.957236842399482</v>
      </c>
      <c r="I227" s="79">
        <f>(((Table134567891011121314151617343[[#This Row],[FRA]]-VLOOKUP($U$1,A:C,3,))/VLOOKUP($U$1,A:C,3,))*100)+100</f>
        <v>103.75646404527272</v>
      </c>
      <c r="J227" s="79">
        <f>(((Table134567891011121314151617343[[#This Row],[DEU]]-VLOOKUP($U$1,A:D,4,))/VLOOKUP($U$1,A:D,4,))*100)+100</f>
        <v>126.72872340332157</v>
      </c>
      <c r="K227" s="79">
        <f>(((Table134567891011121314151617343[[#This Row],[ESP]]-VLOOKUP($U$1,A:E,5,))/VLOOKUP($U$1,A:E,5,))*100)+100</f>
        <v>96.55375304671611</v>
      </c>
      <c r="L227" s="79">
        <f>(((Table134567891011121314151617343[[#This Row],[EA19]]-VLOOKUP($U$1,A:F,6,))/VLOOKUP($U$1,A:F,6,))*100)+100</f>
        <v>114.20581655480983</v>
      </c>
      <c r="M227" s="79">
        <f>(((Table134567891011121314151617343[[#This Row],[GBR]]-VLOOKUP($U$1,A:G,7,))/VLOOKUP($U$1,A:G,7,))*100)+100</f>
        <v>115.05250875140288</v>
      </c>
      <c r="N227" s="79">
        <f>VLOOKUP(A227,Database!$A:$AS,MATCH($N$1,Database!$A$1:$AS$1,0),FALSE)</f>
        <v>93.869049394000001</v>
      </c>
      <c r="O227" s="79">
        <f>(((Table134567891011121314151617343[[#This Row],[USA]]-VLOOKUP($U$1,A:N,14,))/VLOOKUP($U$1,A:N,14,))*100)+100</f>
        <v>108.06509219382922</v>
      </c>
      <c r="P227" s="79">
        <f>VLOOKUP(A227,Database!$A:$AS,MATCH($P$1,Database!$A$1:$AS$1,0),FALSE)</f>
        <v>109.92768146500001</v>
      </c>
      <c r="Q227" s="79">
        <f>(((Table134567891011121314151617343[[#This Row],[JPN]]-VLOOKUP($U$1,A:Q,16,))/VLOOKUP($U$1,A:Q,16,))*100)+100</f>
        <v>110.36513667658659</v>
      </c>
    </row>
    <row r="228" spans="1:17" s="83" customFormat="1" x14ac:dyDescent="0.2">
      <c r="A228" s="21">
        <v>39753</v>
      </c>
      <c r="B228" s="79">
        <f>VLOOKUP(A228,Database!$A:$AS,MATCH($B$1,Database!$A$1:$AS$1,0),FALSE)</f>
        <v>113.890509124</v>
      </c>
      <c r="C228" s="79">
        <f>VLOOKUP(A228,Database!$A:$AS,MATCH($C$1,Database!$A$1:$AS$1,0),FALSE)</f>
        <v>101.01</v>
      </c>
      <c r="D228" s="79">
        <f>VLOOKUP(A228,Database!$A:$AS,MATCH($D$1,Database!$A$1:$AS$1,0),FALSE)</f>
        <v>91.092408965999994</v>
      </c>
      <c r="E228" s="79">
        <f>VLOOKUP(A228,Database!$A:$AS,MATCH($E$1,Database!$A$1:$AS$1,0),FALSE)</f>
        <v>111.086092572</v>
      </c>
      <c r="F228" s="79">
        <f>VLOOKUP(A228,Database!$A:$AS,MATCH($F$1,Database!$A$1:$AS$1,0),FALSE)</f>
        <v>98.4</v>
      </c>
      <c r="G228" s="79">
        <f>VLOOKUP(A228,Database!$A:$AS,MATCH($G$1,Database!$A$1:$AS$1,0),FALSE)</f>
        <v>103.029216706</v>
      </c>
      <c r="H228" s="79">
        <f>(((Table134567891011121314151617343[[#This Row],[ITA]]-VLOOKUP($U$1,A:B,2,))/VLOOKUP($U$1,A:B,2,))*100)+100</f>
        <v>93.667763157729041</v>
      </c>
      <c r="I228" s="79">
        <f>(((Table134567891011121314151617343[[#This Row],[FRA]]-VLOOKUP($U$1,A:C,3,))/VLOOKUP($U$1,A:C,3,))*100)+100</f>
        <v>98.555956678700369</v>
      </c>
      <c r="J228" s="79">
        <f>(((Table134567891011121314151617343[[#This Row],[DEU]]-VLOOKUP($U$1,A:D,4,))/VLOOKUP($U$1,A:D,4,))*100)+100</f>
        <v>121.1436170205975</v>
      </c>
      <c r="K228" s="79">
        <f>(((Table134567891011121314151617343[[#This Row],[ESP]]-VLOOKUP($U$1,A:E,5,))/VLOOKUP($U$1,A:E,5,))*100)+100</f>
        <v>93.373119273785065</v>
      </c>
      <c r="L228" s="79">
        <f>(((Table134567891011121314151617343[[#This Row],[EA19]]-VLOOKUP($U$1,A:F,6,))/VLOOKUP($U$1,A:F,6,))*100)+100</f>
        <v>110.06711409395973</v>
      </c>
      <c r="M228" s="79">
        <f>(((Table134567891011121314151617343[[#This Row],[GBR]]-VLOOKUP($U$1,A:G,7,))/VLOOKUP($U$1,A:G,7,))*100)+100</f>
        <v>111.78529754986761</v>
      </c>
      <c r="N228" s="79">
        <f>VLOOKUP(A228,Database!$A:$AS,MATCH($N$1,Database!$A$1:$AS$1,0),FALSE)</f>
        <v>92.649987565000004</v>
      </c>
      <c r="O228" s="79">
        <f>(((Table134567891011121314151617343[[#This Row],[USA]]-VLOOKUP($U$1,A:N,14,))/VLOOKUP($U$1,A:N,14,))*100)+100</f>
        <v>106.66166870343129</v>
      </c>
      <c r="P228" s="79">
        <f>VLOOKUP(A228,Database!$A:$AS,MATCH($P$1,Database!$A$1:$AS$1,0),FALSE)</f>
        <v>102.845505909</v>
      </c>
      <c r="Q228" s="79">
        <f>(((Table134567891011121314151617343[[#This Row],[JPN]]-VLOOKUP($U$1,A:Q,16,))/VLOOKUP($U$1,A:Q,16,))*100)+100</f>
        <v>103.25477773160708</v>
      </c>
    </row>
    <row r="229" spans="1:17" s="83" customFormat="1" x14ac:dyDescent="0.2">
      <c r="A229" s="21">
        <v>39783</v>
      </c>
      <c r="B229" s="79">
        <f>VLOOKUP(A229,Database!$A:$AS,MATCH($B$1,Database!$A$1:$AS$1,0),FALSE)</f>
        <v>109.190900758</v>
      </c>
      <c r="C229" s="79">
        <f>VLOOKUP(A229,Database!$A:$AS,MATCH($C$1,Database!$A$1:$AS$1,0),FALSE)</f>
        <v>99.62</v>
      </c>
      <c r="D229" s="79">
        <f>VLOOKUP(A229,Database!$A:$AS,MATCH($D$1,Database!$A$1:$AS$1,0),FALSE)</f>
        <v>87.692692276000002</v>
      </c>
      <c r="E229" s="79">
        <f>VLOOKUP(A229,Database!$A:$AS,MATCH($E$1,Database!$A$1:$AS$1,0),FALSE)</f>
        <v>107.09808924799999</v>
      </c>
      <c r="F229" s="79">
        <f>VLOOKUP(A229,Database!$A:$AS,MATCH($F$1,Database!$A$1:$AS$1,0),FALSE)</f>
        <v>95</v>
      </c>
      <c r="G229" s="79">
        <f>VLOOKUP(A229,Database!$A:$AS,MATCH($G$1,Database!$A$1:$AS$1,0),FALSE)</f>
        <v>102.168847464</v>
      </c>
      <c r="H229" s="79">
        <f>(((Table134567891011121314151617343[[#This Row],[ITA]]-VLOOKUP($U$1,A:B,2,))/VLOOKUP($U$1,A:B,2,))*100)+100</f>
        <v>89.802631578755296</v>
      </c>
      <c r="I229" s="79">
        <f>(((Table134567891011121314151617343[[#This Row],[FRA]]-VLOOKUP($U$1,A:C,3,))/VLOOKUP($U$1,A:C,3,))*100)+100</f>
        <v>97.199726802614904</v>
      </c>
      <c r="J229" s="79">
        <f>(((Table134567891011121314151617343[[#This Row],[DEU]]-VLOOKUP($U$1,A:D,4,))/VLOOKUP($U$1,A:D,4,))*100)+100</f>
        <v>116.62234042524896</v>
      </c>
      <c r="K229" s="79">
        <f>(((Table134567891011121314151617343[[#This Row],[ESP]]-VLOOKUP($U$1,A:E,5,))/VLOOKUP($U$1,A:E,5,))*100)+100</f>
        <v>90.021013700400601</v>
      </c>
      <c r="L229" s="79">
        <f>(((Table134567891011121314151617343[[#This Row],[EA19]]-VLOOKUP($U$1,A:F,6,))/VLOOKUP($U$1,A:F,6,))*100)+100</f>
        <v>106.26398210290827</v>
      </c>
      <c r="M229" s="79">
        <f>(((Table134567891011121314151617343[[#This Row],[GBR]]-VLOOKUP($U$1,A:G,7,))/VLOOKUP($U$1,A:G,7,))*100)+100</f>
        <v>110.85180863483323</v>
      </c>
      <c r="N229" s="79">
        <f>VLOOKUP(A229,Database!$A:$AS,MATCH($N$1,Database!$A$1:$AS$1,0),FALSE)</f>
        <v>90.024628538000002</v>
      </c>
      <c r="O229" s="79">
        <f>(((Table134567891011121314151617343[[#This Row],[USA]]-VLOOKUP($U$1,A:N,14,))/VLOOKUP($U$1,A:N,14,))*100)+100</f>
        <v>103.63927029707446</v>
      </c>
      <c r="P229" s="79">
        <f>VLOOKUP(A229,Database!$A:$AS,MATCH($P$1,Database!$A$1:$AS$1,0),FALSE)</f>
        <v>94.531647645999996</v>
      </c>
      <c r="Q229" s="79">
        <f>(((Table134567891011121314151617343[[#This Row],[JPN]]-VLOOKUP($U$1,A:Q,16,))/VLOOKUP($U$1,A:Q,16,))*100)+100</f>
        <v>94.907834620668211</v>
      </c>
    </row>
    <row r="230" spans="1:17" s="83" customFormat="1" x14ac:dyDescent="0.2">
      <c r="A230" s="21">
        <v>39814</v>
      </c>
      <c r="B230" s="79">
        <f>VLOOKUP(A230,Database!$A:$AS,MATCH($B$1,Database!$A$1:$AS$1,0),FALSE)</f>
        <v>104.991250729</v>
      </c>
      <c r="C230" s="79">
        <f>VLOOKUP(A230,Database!$A:$AS,MATCH($C$1,Database!$A$1:$AS$1,0),FALSE)</f>
        <v>95.93</v>
      </c>
      <c r="D230" s="79">
        <f>VLOOKUP(A230,Database!$A:$AS,MATCH($D$1,Database!$A$1:$AS$1,0),FALSE)</f>
        <v>80.693275560000004</v>
      </c>
      <c r="E230" s="79">
        <f>VLOOKUP(A230,Database!$A:$AS,MATCH($E$1,Database!$A$1:$AS$1,0),FALSE)</f>
        <v>106.65708888100001</v>
      </c>
      <c r="F230" s="79">
        <f>VLOOKUP(A230,Database!$A:$AS,MATCH($F$1,Database!$A$1:$AS$1,0),FALSE)</f>
        <v>91.1</v>
      </c>
      <c r="G230" s="79">
        <f>VLOOKUP(A230,Database!$A:$AS,MATCH($G$1,Database!$A$1:$AS$1,0),FALSE)</f>
        <v>101.093385911</v>
      </c>
      <c r="H230" s="79">
        <f>(((Table134567891011121314151617343[[#This Row],[ITA]]-VLOOKUP($U$1,A:B,2,))/VLOOKUP($U$1,A:B,2,))*100)+100</f>
        <v>86.34868421046815</v>
      </c>
      <c r="I230" s="79">
        <f>(((Table134567891011121314151617343[[#This Row],[FRA]]-VLOOKUP($U$1,A:C,3,))/VLOOKUP($U$1,A:C,3,))*100)+100</f>
        <v>93.599375548834047</v>
      </c>
      <c r="J230" s="79">
        <f>(((Table134567891011121314151617343[[#This Row],[DEU]]-VLOOKUP($U$1,A:D,4,))/VLOOKUP($U$1,A:D,4,))*100)+100</f>
        <v>107.31382978604563</v>
      </c>
      <c r="K230" s="79">
        <f>(((Table134567891011121314151617343[[#This Row],[ESP]]-VLOOKUP($U$1,A:E,5,))/VLOOKUP($U$1,A:E,5,))*100)+100</f>
        <v>89.650332016363663</v>
      </c>
      <c r="L230" s="79">
        <f>(((Table134567891011121314151617343[[#This Row],[EA19]]-VLOOKUP($U$1,A:F,6,))/VLOOKUP($U$1,A:F,6,))*100)+100</f>
        <v>101.90156599552571</v>
      </c>
      <c r="M230" s="79">
        <f>(((Table134567891011121314151617343[[#This Row],[GBR]]-VLOOKUP($U$1,A:G,7,))/VLOOKUP($U$1,A:G,7,))*100)+100</f>
        <v>109.68494749049779</v>
      </c>
      <c r="N230" s="79">
        <f>VLOOKUP(A230,Database!$A:$AS,MATCH($N$1,Database!$A$1:$AS$1,0),FALSE)</f>
        <v>87.802385573999999</v>
      </c>
      <c r="O230" s="79">
        <f>(((Table134567891011121314151617343[[#This Row],[USA]]-VLOOKUP($U$1,A:N,14,))/VLOOKUP($U$1,A:N,14,))*100)+100</f>
        <v>101.08095216844644</v>
      </c>
      <c r="P230" s="79">
        <f>VLOOKUP(A230,Database!$A:$AS,MATCH($P$1,Database!$A$1:$AS$1,0),FALSE)</f>
        <v>86.936270962999998</v>
      </c>
      <c r="Q230" s="79">
        <f>(((Table134567891011121314151617343[[#This Row],[JPN]]-VLOOKUP($U$1,A:Q,16,))/VLOOKUP($U$1,A:Q,16,))*100)+100</f>
        <v>87.282232274125946</v>
      </c>
    </row>
    <row r="231" spans="1:17" s="83" customFormat="1" x14ac:dyDescent="0.2">
      <c r="A231" s="21">
        <v>39845</v>
      </c>
      <c r="B231" s="79">
        <f>VLOOKUP(A231,Database!$A:$AS,MATCH($B$1,Database!$A$1:$AS$1,0),FALSE)</f>
        <v>101.191567369</v>
      </c>
      <c r="C231" s="79">
        <f>VLOOKUP(A231,Database!$A:$AS,MATCH($C$1,Database!$A$1:$AS$1,0),FALSE)</f>
        <v>94.59</v>
      </c>
      <c r="D231" s="79">
        <f>VLOOKUP(A231,Database!$A:$AS,MATCH($D$1,Database!$A$1:$AS$1,0),FALSE)</f>
        <v>78.193483876000002</v>
      </c>
      <c r="E231" s="79">
        <f>VLOOKUP(A231,Database!$A:$AS,MATCH($E$1,Database!$A$1:$AS$1,0),FALSE)</f>
        <v>106.03108835899999</v>
      </c>
      <c r="F231" s="79">
        <f>VLOOKUP(A231,Database!$A:$AS,MATCH($F$1,Database!$A$1:$AS$1,0),FALSE)</f>
        <v>89.1</v>
      </c>
      <c r="G231" s="79">
        <f>VLOOKUP(A231,Database!$A:$AS,MATCH($G$1,Database!$A$1:$AS$1,0),FALSE)</f>
        <v>99.587739737999996</v>
      </c>
      <c r="H231" s="79">
        <f>(((Table134567891011121314151617343[[#This Row],[ITA]]-VLOOKUP($U$1,A:B,2,))/VLOOKUP($U$1,A:B,2,))*100)+100</f>
        <v>83.22368421023684</v>
      </c>
      <c r="I231" s="79">
        <f>(((Table134567891011121314151617343[[#This Row],[FRA]]-VLOOKUP($U$1,A:C,3,))/VLOOKUP($U$1,A:C,3,))*100)+100</f>
        <v>92.291930920089769</v>
      </c>
      <c r="J231" s="79">
        <f>(((Table134567891011121314151617343[[#This Row],[DEU]]-VLOOKUP($U$1,A:D,4,))/VLOOKUP($U$1,A:D,4,))*100)+100</f>
        <v>103.98936170099584</v>
      </c>
      <c r="K231" s="79">
        <f>(((Table134567891011121314151617343[[#This Row],[ESP]]-VLOOKUP($U$1,A:E,5,))/VLOOKUP($U$1,A:E,5,))*100)+100</f>
        <v>89.124148944722407</v>
      </c>
      <c r="L231" s="79">
        <f>(((Table134567891011121314151617343[[#This Row],[EA19]]-VLOOKUP($U$1,A:F,6,))/VLOOKUP($U$1,A:F,6,))*100)+100</f>
        <v>99.664429530201332</v>
      </c>
      <c r="M231" s="79">
        <f>(((Table134567891011121314151617343[[#This Row],[GBR]]-VLOOKUP($U$1,A:G,7,))/VLOOKUP($U$1,A:G,7,))*100)+100</f>
        <v>108.05134188973015</v>
      </c>
      <c r="N231" s="79">
        <f>VLOOKUP(A231,Database!$A:$AS,MATCH($N$1,Database!$A$1:$AS$1,0),FALSE)</f>
        <v>87.231362304000001</v>
      </c>
      <c r="O231" s="79">
        <f>(((Table134567891011121314151617343[[#This Row],[USA]]-VLOOKUP($U$1,A:N,14,))/VLOOKUP($U$1,A:N,14,))*100)+100</f>
        <v>100.42357167172527</v>
      </c>
      <c r="P231" s="79">
        <f>VLOOKUP(A231,Database!$A:$AS,MATCH($P$1,Database!$A$1:$AS$1,0),FALSE)</f>
        <v>79.648814955000006</v>
      </c>
      <c r="Q231" s="79">
        <f>(((Table134567891011121314151617343[[#This Row],[JPN]]-VLOOKUP($U$1,A:Q,16,))/VLOOKUP($U$1,A:Q,16,))*100)+100</f>
        <v>79.965775967316574</v>
      </c>
    </row>
    <row r="232" spans="1:17" s="83" customFormat="1" x14ac:dyDescent="0.2">
      <c r="A232" s="21">
        <v>39873</v>
      </c>
      <c r="B232" s="79">
        <f>VLOOKUP(A232,Database!$A:$AS,MATCH($B$1,Database!$A$1:$AS$1,0),FALSE)</f>
        <v>97.191900674999999</v>
      </c>
      <c r="C232" s="79">
        <f>VLOOKUP(A232,Database!$A:$AS,MATCH($C$1,Database!$A$1:$AS$1,0),FALSE)</f>
        <v>92.85</v>
      </c>
      <c r="D232" s="79">
        <f>VLOOKUP(A232,Database!$A:$AS,MATCH($D$1,Database!$A$1:$AS$1,0),FALSE)</f>
        <v>78.493458877999998</v>
      </c>
      <c r="E232" s="79">
        <f>VLOOKUP(A232,Database!$A:$AS,MATCH($E$1,Database!$A$1:$AS$1,0),FALSE)</f>
        <v>102.710085592</v>
      </c>
      <c r="F232" s="79">
        <f>VLOOKUP(A232,Database!$A:$AS,MATCH($F$1,Database!$A$1:$AS$1,0),FALSE)</f>
        <v>87.9</v>
      </c>
      <c r="G232" s="79">
        <f>VLOOKUP(A232,Database!$A:$AS,MATCH($G$1,Database!$A$1:$AS$1,0),FALSE)</f>
        <v>99.050008962000007</v>
      </c>
      <c r="H232" s="79">
        <f>(((Table134567891011121314151617343[[#This Row],[ITA]]-VLOOKUP($U$1,A:B,2,))/VLOOKUP($U$1,A:B,2,))*100)+100</f>
        <v>79.934210526388839</v>
      </c>
      <c r="I232" s="79">
        <f>(((Table134567891011121314151617343[[#This Row],[FRA]]-VLOOKUP($U$1,A:C,3,))/VLOOKUP($U$1,A:C,3,))*100)+100</f>
        <v>90.594204312615858</v>
      </c>
      <c r="J232" s="79">
        <f>(((Table134567891011121314151617343[[#This Row],[DEU]]-VLOOKUP($U$1,A:D,4,))/VLOOKUP($U$1,A:D,4,))*100)+100</f>
        <v>104.38829787109542</v>
      </c>
      <c r="K232" s="79">
        <f>(((Table134567891011121314151617343[[#This Row],[ESP]]-VLOOKUP($U$1,A:E,5,))/VLOOKUP($U$1,A:E,5,))*100)+100</f>
        <v>86.33268891320968</v>
      </c>
      <c r="L232" s="79">
        <f>(((Table134567891011121314151617343[[#This Row],[EA19]]-VLOOKUP($U$1,A:F,6,))/VLOOKUP($U$1,A:F,6,))*100)+100</f>
        <v>98.322147651006716</v>
      </c>
      <c r="M232" s="79">
        <f>(((Table134567891011121314151617343[[#This Row],[GBR]]-VLOOKUP($U$1,A:G,7,))/VLOOKUP($U$1,A:G,7,))*100)+100</f>
        <v>107.46791131810494</v>
      </c>
      <c r="N232" s="79">
        <f>VLOOKUP(A232,Database!$A:$AS,MATCH($N$1,Database!$A$1:$AS$1,0),FALSE)</f>
        <v>85.841320585999995</v>
      </c>
      <c r="O232" s="79">
        <f>(((Table134567891011121314151617343[[#This Row],[USA]]-VLOOKUP($U$1,A:N,14,))/VLOOKUP($U$1,A:N,14,))*100)+100</f>
        <v>98.823310591223262</v>
      </c>
      <c r="P232" s="79">
        <f>VLOOKUP(A232,Database!$A:$AS,MATCH($P$1,Database!$A$1:$AS$1,0),FALSE)</f>
        <v>80.367296533000001</v>
      </c>
      <c r="Q232" s="79">
        <f>(((Table134567891011121314151617343[[#This Row],[JPN]]-VLOOKUP($U$1,A:Q,16,))/VLOOKUP($U$1,A:Q,16,))*100)+100</f>
        <v>80.687116729705224</v>
      </c>
    </row>
    <row r="233" spans="1:17" s="83" customFormat="1" x14ac:dyDescent="0.2">
      <c r="A233" s="21">
        <v>39904</v>
      </c>
      <c r="B233" s="79">
        <f>VLOOKUP(A233,Database!$A:$AS,MATCH($B$1,Database!$A$1:$AS$1,0),FALSE)</f>
        <v>97.691859011999995</v>
      </c>
      <c r="C233" s="79">
        <f>VLOOKUP(A233,Database!$A:$AS,MATCH($C$1,Database!$A$1:$AS$1,0),FALSE)</f>
        <v>92.81</v>
      </c>
      <c r="D233" s="79">
        <f>VLOOKUP(A233,Database!$A:$AS,MATCH($D$1,Database!$A$1:$AS$1,0),FALSE)</f>
        <v>76.193650528999996</v>
      </c>
      <c r="E233" s="79">
        <f>VLOOKUP(A233,Database!$A:$AS,MATCH($E$1,Database!$A$1:$AS$1,0),FALSE)</f>
        <v>103.96208663500001</v>
      </c>
      <c r="F233" s="79">
        <f>VLOOKUP(A233,Database!$A:$AS,MATCH($F$1,Database!$A$1:$AS$1,0),FALSE)</f>
        <v>86.6</v>
      </c>
      <c r="G233" s="79">
        <f>VLOOKUP(A233,Database!$A:$AS,MATCH($G$1,Database!$A$1:$AS$1,0),FALSE)</f>
        <v>99.910378203999997</v>
      </c>
      <c r="H233" s="79">
        <f>(((Table134567891011121314151617343[[#This Row],[ITA]]-VLOOKUP($U$1,A:B,2,))/VLOOKUP($U$1,A:B,2,))*100)+100</f>
        <v>80.345394737075438</v>
      </c>
      <c r="I233" s="79">
        <f>(((Table134567891011121314151617343[[#This Row],[FRA]]-VLOOKUP($U$1,A:C,3,))/VLOOKUP($U$1,A:C,3,))*100)+100</f>
        <v>90.555176114742906</v>
      </c>
      <c r="J233" s="79">
        <f>(((Table134567891011121314151617343[[#This Row],[DEU]]-VLOOKUP($U$1,A:D,4,))/VLOOKUP($U$1,A:D,4,))*100)+100</f>
        <v>101.32978723322198</v>
      </c>
      <c r="K233" s="79">
        <f>(((Table134567891011121314151617343[[#This Row],[ESP]]-VLOOKUP($U$1,A:E,5,))/VLOOKUP($U$1,A:E,5,))*100)+100</f>
        <v>87.38505505565162</v>
      </c>
      <c r="L233" s="79">
        <f>(((Table134567891011121314151617343[[#This Row],[EA19]]-VLOOKUP($U$1,A:F,6,))/VLOOKUP($U$1,A:F,6,))*100)+100</f>
        <v>96.86800894854585</v>
      </c>
      <c r="M233" s="79">
        <f>(((Table134567891011121314151617343[[#This Row],[GBR]]-VLOOKUP($U$1,A:G,7,))/VLOOKUP($U$1,A:G,7,))*100)+100</f>
        <v>108.40140023313928</v>
      </c>
      <c r="N233" s="79">
        <f>VLOOKUP(A233,Database!$A:$AS,MATCH($N$1,Database!$A$1:$AS$1,0),FALSE)</f>
        <v>85.18327103</v>
      </c>
      <c r="O233" s="79">
        <f>(((Table134567891011121314151617343[[#This Row],[USA]]-VLOOKUP($U$1,A:N,14,))/VLOOKUP($U$1,A:N,14,))*100)+100</f>
        <v>98.065742613318577</v>
      </c>
      <c r="P233" s="79">
        <f>VLOOKUP(A233,Database!$A:$AS,MATCH($P$1,Database!$A$1:$AS$1,0),FALSE)</f>
        <v>83.857064199000007</v>
      </c>
      <c r="Q233" s="79">
        <f>(((Table134567891011121314151617343[[#This Row],[JPN]]-VLOOKUP($U$1,A:Q,16,))/VLOOKUP($U$1,A:Q,16,))*100)+100</f>
        <v>84.190771862741485</v>
      </c>
    </row>
    <row r="234" spans="1:17" s="83" customFormat="1" x14ac:dyDescent="0.2">
      <c r="A234" s="21">
        <v>39934</v>
      </c>
      <c r="B234" s="79">
        <f>VLOOKUP(A234,Database!$A:$AS,MATCH($B$1,Database!$A$1:$AS$1,0),FALSE)</f>
        <v>99.391717357000005</v>
      </c>
      <c r="C234" s="79">
        <f>VLOOKUP(A234,Database!$A:$AS,MATCH($C$1,Database!$A$1:$AS$1,0),FALSE)</f>
        <v>93.93</v>
      </c>
      <c r="D234" s="79">
        <f>VLOOKUP(A234,Database!$A:$AS,MATCH($D$1,Database!$A$1:$AS$1,0),FALSE)</f>
        <v>79.693358887000002</v>
      </c>
      <c r="E234" s="79">
        <f>VLOOKUP(A234,Database!$A:$AS,MATCH($E$1,Database!$A$1:$AS$1,0),FALSE)</f>
        <v>103.02008585</v>
      </c>
      <c r="F234" s="79">
        <f>VLOOKUP(A234,Database!$A:$AS,MATCH($F$1,Database!$A$1:$AS$1,0),FALSE)</f>
        <v>88.7</v>
      </c>
      <c r="G234" s="79">
        <f>VLOOKUP(A234,Database!$A:$AS,MATCH($G$1,Database!$A$1:$AS$1,0),FALSE)</f>
        <v>98.082093564999994</v>
      </c>
      <c r="H234" s="79">
        <f>(((Table134567891011121314151617343[[#This Row],[ITA]]-VLOOKUP($U$1,A:B,2,))/VLOOKUP($U$1,A:B,2,))*100)+100</f>
        <v>81.743421052751984</v>
      </c>
      <c r="I234" s="79">
        <f>(((Table134567891011121314151617343[[#This Row],[FRA]]-VLOOKUP($U$1,A:C,3,))/VLOOKUP($U$1,A:C,3,))*100)+100</f>
        <v>91.647965655185885</v>
      </c>
      <c r="J234" s="79">
        <f>(((Table134567891011121314151617343[[#This Row],[DEU]]-VLOOKUP($U$1,A:D,4,))/VLOOKUP($U$1,A:D,4,))*100)+100</f>
        <v>105.98404255282365</v>
      </c>
      <c r="K234" s="79">
        <f>(((Table134567891011121314151617343[[#This Row],[ESP]]-VLOOKUP($U$1,A:E,5,))/VLOOKUP($U$1,A:E,5,))*100)+100</f>
        <v>86.593258804498078</v>
      </c>
      <c r="L234" s="79">
        <f>(((Table134567891011121314151617343[[#This Row],[EA19]]-VLOOKUP($U$1,A:F,6,))/VLOOKUP($U$1,A:F,6,))*100)+100</f>
        <v>99.217002237136455</v>
      </c>
      <c r="M234" s="79">
        <f>(((Table134567891011121314151617343[[#This Row],[GBR]]-VLOOKUP($U$1,A:G,7,))/VLOOKUP($U$1,A:G,7,))*100)+100</f>
        <v>106.41773628896252</v>
      </c>
      <c r="N234" s="79">
        <f>VLOOKUP(A234,Database!$A:$AS,MATCH($N$1,Database!$A$1:$AS$1,0),FALSE)</f>
        <v>84.313900243999996</v>
      </c>
      <c r="O234" s="79">
        <f>(((Table134567891011121314151617343[[#This Row],[USA]]-VLOOKUP($U$1,A:N,14,))/VLOOKUP($U$1,A:N,14,))*100)+100</f>
        <v>97.064894785986496</v>
      </c>
      <c r="P234" s="79">
        <f>VLOOKUP(A234,Database!$A:$AS,MATCH($P$1,Database!$A$1:$AS$1,0),FALSE)</f>
        <v>86.936270962999998</v>
      </c>
      <c r="Q234" s="79">
        <f>(((Table134567891011121314151617343[[#This Row],[JPN]]-VLOOKUP($U$1,A:Q,16,))/VLOOKUP($U$1,A:Q,16,))*100)+100</f>
        <v>87.282232274125946</v>
      </c>
    </row>
    <row r="235" spans="1:17" s="83" customFormat="1" x14ac:dyDescent="0.2">
      <c r="A235" s="21">
        <v>39965</v>
      </c>
      <c r="B235" s="79">
        <f>VLOOKUP(A235,Database!$A:$AS,MATCH($B$1,Database!$A$1:$AS$1,0),FALSE)</f>
        <v>98.691775684999996</v>
      </c>
      <c r="C235" s="79">
        <f>VLOOKUP(A235,Database!$A:$AS,MATCH($C$1,Database!$A$1:$AS$1,0),FALSE)</f>
        <v>95.13</v>
      </c>
      <c r="D235" s="79">
        <f>VLOOKUP(A235,Database!$A:$AS,MATCH($D$1,Database!$A$1:$AS$1,0),FALSE)</f>
        <v>80.293308890999995</v>
      </c>
      <c r="E235" s="79">
        <f>VLOOKUP(A235,Database!$A:$AS,MATCH($E$1,Database!$A$1:$AS$1,0),FALSE)</f>
        <v>103.712086427</v>
      </c>
      <c r="F235" s="79">
        <f>VLOOKUP(A235,Database!$A:$AS,MATCH($F$1,Database!$A$1:$AS$1,0),FALSE)</f>
        <v>89.3</v>
      </c>
      <c r="G235" s="79">
        <f>VLOOKUP(A235,Database!$A:$AS,MATCH($G$1,Database!$A$1:$AS$1,0),FALSE)</f>
        <v>98.727370496999995</v>
      </c>
      <c r="H235" s="79">
        <f>(((Table134567891011121314151617343[[#This Row],[ITA]]-VLOOKUP($U$1,A:B,2,))/VLOOKUP($U$1,A:B,2,))*100)+100</f>
        <v>81.167763157626226</v>
      </c>
      <c r="I235" s="79">
        <f>(((Table134567891011121314151617343[[#This Row],[FRA]]-VLOOKUP($U$1,A:C,3,))/VLOOKUP($U$1,A:C,3,))*100)+100</f>
        <v>92.818811591374768</v>
      </c>
      <c r="J235" s="79">
        <f>(((Table134567891011121314151617343[[#This Row],[DEU]]-VLOOKUP($U$1,A:D,4,))/VLOOKUP($U$1,A:D,4,))*100)+100</f>
        <v>106.78191489302282</v>
      </c>
      <c r="K235" s="79">
        <f>(((Table134567891011121314151617343[[#This Row],[ESP]]-VLOOKUP($U$1,A:E,5,))/VLOOKUP($U$1,A:E,5,))*100)+100</f>
        <v>87.174918046602301</v>
      </c>
      <c r="L235" s="79">
        <f>(((Table134567891011121314151617343[[#This Row],[EA19]]-VLOOKUP($U$1,A:F,6,))/VLOOKUP($U$1,A:F,6,))*100)+100</f>
        <v>99.888143176733777</v>
      </c>
      <c r="M235" s="79">
        <f>(((Table134567891011121314151617343[[#This Row],[GBR]]-VLOOKUP($U$1,A:G,7,))/VLOOKUP($U$1,A:G,7,))*100)+100</f>
        <v>107.11785297578078</v>
      </c>
      <c r="N235" s="79">
        <f>VLOOKUP(A235,Database!$A:$AS,MATCH($N$1,Database!$A$1:$AS$1,0),FALSE)</f>
        <v>84.036962383000002</v>
      </c>
      <c r="O235" s="79">
        <f>(((Table134567891011121314151617343[[#This Row],[USA]]-VLOOKUP($U$1,A:N,14,))/VLOOKUP($U$1,A:N,14,))*100)+100</f>
        <v>96.746074944152241</v>
      </c>
      <c r="P235" s="79">
        <f>VLOOKUP(A235,Database!$A:$AS,MATCH($P$1,Database!$A$1:$AS$1,0),FALSE)</f>
        <v>88.373234119000003</v>
      </c>
      <c r="Q235" s="79">
        <f>(((Table134567891011121314151617343[[#This Row],[JPN]]-VLOOKUP($U$1,A:Q,16,))/VLOOKUP($U$1,A:Q,16,))*100)+100</f>
        <v>88.724913798903259</v>
      </c>
    </row>
    <row r="236" spans="1:17" s="83" customFormat="1" x14ac:dyDescent="0.2">
      <c r="A236" s="21">
        <v>39995</v>
      </c>
      <c r="B236" s="79">
        <f>VLOOKUP(A236,Database!$A:$AS,MATCH($B$1,Database!$A$1:$AS$1,0),FALSE)</f>
        <v>100.891592367</v>
      </c>
      <c r="C236" s="79">
        <f>VLOOKUP(A236,Database!$A:$AS,MATCH($C$1,Database!$A$1:$AS$1,0),FALSE)</f>
        <v>94.8</v>
      </c>
      <c r="D236" s="79">
        <f>VLOOKUP(A236,Database!$A:$AS,MATCH($D$1,Database!$A$1:$AS$1,0),FALSE)</f>
        <v>79.493375552000003</v>
      </c>
      <c r="E236" s="79">
        <f>VLOOKUP(A236,Database!$A:$AS,MATCH($E$1,Database!$A$1:$AS$1,0),FALSE)</f>
        <v>104.768087307</v>
      </c>
      <c r="F236" s="79">
        <f>VLOOKUP(A236,Database!$A:$AS,MATCH($F$1,Database!$A$1:$AS$1,0),FALSE)</f>
        <v>89.4</v>
      </c>
      <c r="G236" s="79">
        <f>VLOOKUP(A236,Database!$A:$AS,MATCH($G$1,Database!$A$1:$AS$1,0),FALSE)</f>
        <v>99.157555117000001</v>
      </c>
      <c r="H236" s="79">
        <f>(((Table134567891011121314151617343[[#This Row],[ITA]]-VLOOKUP($U$1,A:B,2,))/VLOOKUP($U$1,A:B,2,))*100)+100</f>
        <v>82.976973683989371</v>
      </c>
      <c r="I236" s="79">
        <f>(((Table134567891011121314151617343[[#This Row],[FRA]]-VLOOKUP($U$1,A:C,3,))/VLOOKUP($U$1,A:C,3,))*100)+100</f>
        <v>92.496828958922819</v>
      </c>
      <c r="J236" s="79">
        <f>(((Table134567891011121314151617343[[#This Row],[DEU]]-VLOOKUP($U$1,A:D,4,))/VLOOKUP($U$1,A:D,4,))*100)+100</f>
        <v>105.7180851056473</v>
      </c>
      <c r="K236" s="79">
        <f>(((Table134567891011121314151617343[[#This Row],[ESP]]-VLOOKUP($U$1,A:E,5,))/VLOOKUP($U$1,A:E,5,))*100)+100</f>
        <v>88.062536774010084</v>
      </c>
      <c r="L236" s="79">
        <f>(((Table134567891011121314151617343[[#This Row],[EA19]]-VLOOKUP($U$1,A:F,6,))/VLOOKUP($U$1,A:F,6,))*100)+100</f>
        <v>100</v>
      </c>
      <c r="M236" s="79">
        <f>(((Table134567891011121314151617343[[#This Row],[GBR]]-VLOOKUP($U$1,A:G,7,))/VLOOKUP($U$1,A:G,7,))*100)+100</f>
        <v>107.58459743221297</v>
      </c>
      <c r="N236" s="79">
        <f>VLOOKUP(A236,Database!$A:$AS,MATCH($N$1,Database!$A$1:$AS$1,0),FALSE)</f>
        <v>84.991476198000001</v>
      </c>
      <c r="O236" s="79">
        <f>(((Table134567891011121314151617343[[#This Row],[USA]]-VLOOKUP($U$1,A:N,14,))/VLOOKUP($U$1,A:N,14,))*100)+100</f>
        <v>97.844942186168353</v>
      </c>
      <c r="P236" s="79">
        <f>VLOOKUP(A236,Database!$A:$AS,MATCH($P$1,Database!$A$1:$AS$1,0),FALSE)</f>
        <v>89.399636373999996</v>
      </c>
      <c r="Q236" s="79">
        <f>(((Table134567891011121314151617343[[#This Row],[JPN]]-VLOOKUP($U$1,A:Q,16,))/VLOOKUP($U$1,A:Q,16,))*100)+100</f>
        <v>89.755400603032726</v>
      </c>
    </row>
    <row r="237" spans="1:17" s="83" customFormat="1" x14ac:dyDescent="0.2">
      <c r="A237" s="21">
        <v>40026</v>
      </c>
      <c r="B237" s="79">
        <f>VLOOKUP(A237,Database!$A:$AS,MATCH($B$1,Database!$A$1:$AS$1,0),FALSE)</f>
        <v>98.591784017999998</v>
      </c>
      <c r="C237" s="79">
        <f>VLOOKUP(A237,Database!$A:$AS,MATCH($C$1,Database!$A$1:$AS$1,0),FALSE)</f>
        <v>96.35</v>
      </c>
      <c r="D237" s="79">
        <f>VLOOKUP(A237,Database!$A:$AS,MATCH($D$1,Database!$A$1:$AS$1,0),FALSE)</f>
        <v>80.493292225999994</v>
      </c>
      <c r="E237" s="79">
        <f>VLOOKUP(A237,Database!$A:$AS,MATCH($E$1,Database!$A$1:$AS$1,0),FALSE)</f>
        <v>104.86708738900001</v>
      </c>
      <c r="F237" s="79">
        <f>VLOOKUP(A237,Database!$A:$AS,MATCH($F$1,Database!$A$1:$AS$1,0),FALSE)</f>
        <v>89.4</v>
      </c>
      <c r="G237" s="79">
        <f>VLOOKUP(A237,Database!$A:$AS,MATCH($G$1,Database!$A$1:$AS$1,0),FALSE)</f>
        <v>96.361355082000003</v>
      </c>
      <c r="H237" s="79">
        <f>(((Table134567891011121314151617343[[#This Row],[ITA]]-VLOOKUP($U$1,A:B,2,))/VLOOKUP($U$1,A:B,2,))*100)+100</f>
        <v>81.085526315817887</v>
      </c>
      <c r="I237" s="79">
        <f>(((Table134567891011121314151617343[[#This Row],[FRA]]-VLOOKUP($U$1,A:C,3,))/VLOOKUP($U$1,A:C,3,))*100)+100</f>
        <v>94.009171626500148</v>
      </c>
      <c r="J237" s="79">
        <f>(((Table134567891011121314151617343[[#This Row],[DEU]]-VLOOKUP($U$1,A:D,4,))/VLOOKUP($U$1,A:D,4,))*100)+100</f>
        <v>107.04787234019916</v>
      </c>
      <c r="K237" s="79">
        <f>(((Table134567891011121314151617343[[#This Row],[ESP]]-VLOOKUP($U$1,A:E,5,))/VLOOKUP($U$1,A:E,5,))*100)+100</f>
        <v>88.145751029284298</v>
      </c>
      <c r="L237" s="79">
        <f>(((Table134567891011121314151617343[[#This Row],[EA19]]-VLOOKUP($U$1,A:F,6,))/VLOOKUP($U$1,A:F,6,))*100)+100</f>
        <v>100</v>
      </c>
      <c r="M237" s="79">
        <f>(((Table134567891011121314151617343[[#This Row],[GBR]]-VLOOKUP($U$1,A:G,7,))/VLOOKUP($U$1,A:G,7,))*100)+100</f>
        <v>104.55075845997878</v>
      </c>
      <c r="N237" s="79">
        <f>VLOOKUP(A237,Database!$A:$AS,MATCH($N$1,Database!$A$1:$AS$1,0),FALSE)</f>
        <v>85.945296182000007</v>
      </c>
      <c r="O237" s="79">
        <f>(((Table134567891011121314151617343[[#This Row],[USA]]-VLOOKUP($U$1,A:N,14,))/VLOOKUP($U$1,A:N,14,))*100)+100</f>
        <v>98.943010667448462</v>
      </c>
      <c r="P237" s="79">
        <f>VLOOKUP(A237,Database!$A:$AS,MATCH($P$1,Database!$A$1:$AS$1,0),FALSE)</f>
        <v>90.733959304999999</v>
      </c>
      <c r="Q237" s="79">
        <f>(((Table134567891011121314151617343[[#This Row],[JPN]]-VLOOKUP($U$1,A:Q,16,))/VLOOKUP($U$1,A:Q,16,))*100)+100</f>
        <v>91.09503344789907</v>
      </c>
    </row>
    <row r="238" spans="1:17" s="83" customFormat="1" x14ac:dyDescent="0.2">
      <c r="A238" s="21">
        <v>40057</v>
      </c>
      <c r="B238" s="79">
        <f>VLOOKUP(A238,Database!$A:$AS,MATCH($B$1,Database!$A$1:$AS$1,0),FALSE)</f>
        <v>101.49154237099999</v>
      </c>
      <c r="C238" s="79">
        <f>VLOOKUP(A238,Database!$A:$AS,MATCH($C$1,Database!$A$1:$AS$1,0),FALSE)</f>
        <v>96.84</v>
      </c>
      <c r="D238" s="79">
        <f>VLOOKUP(A238,Database!$A:$AS,MATCH($D$1,Database!$A$1:$AS$1,0),FALSE)</f>
        <v>84.092992250999998</v>
      </c>
      <c r="E238" s="79">
        <f>VLOOKUP(A238,Database!$A:$AS,MATCH($E$1,Database!$A$1:$AS$1,0),FALSE)</f>
        <v>106.012088343</v>
      </c>
      <c r="F238" s="79">
        <f>VLOOKUP(A238,Database!$A:$AS,MATCH($F$1,Database!$A$1:$AS$1,0),FALSE)</f>
        <v>91.6</v>
      </c>
      <c r="G238" s="79">
        <f>VLOOKUP(A238,Database!$A:$AS,MATCH($G$1,Database!$A$1:$AS$1,0),FALSE)</f>
        <v>97.436816633999996</v>
      </c>
      <c r="H238" s="79">
        <f>(((Table134567891011121314151617343[[#This Row],[ITA]]-VLOOKUP($U$1,A:B,2,))/VLOOKUP($U$1,A:B,2,))*100)+100</f>
        <v>83.470394736484323</v>
      </c>
      <c r="I238" s="79">
        <f>(((Table134567891011121314151617343[[#This Row],[FRA]]-VLOOKUP($U$1,A:C,3,))/VLOOKUP($U$1,A:C,3,))*100)+100</f>
        <v>94.487267050443961</v>
      </c>
      <c r="J238" s="79">
        <f>(((Table134567891011121314151617343[[#This Row],[DEU]]-VLOOKUP($U$1,A:D,4,))/VLOOKUP($U$1,A:D,4,))*100)+100</f>
        <v>111.83510638272406</v>
      </c>
      <c r="K238" s="79">
        <f>(((Table134567891011121314151617343[[#This Row],[ESP]]-VLOOKUP($U$1,A:E,5,))/VLOOKUP($U$1,A:E,5,))*100)+100</f>
        <v>89.108178531873278</v>
      </c>
      <c r="L238" s="79">
        <f>(((Table134567891011121314151617343[[#This Row],[EA19]]-VLOOKUP($U$1,A:F,6,))/VLOOKUP($U$1,A:F,6,))*100)+100</f>
        <v>102.46085011185681</v>
      </c>
      <c r="M238" s="79">
        <f>(((Table134567891011121314151617343[[#This Row],[GBR]]-VLOOKUP($U$1,A:G,7,))/VLOOKUP($U$1,A:G,7,))*100)+100</f>
        <v>105.71761960322924</v>
      </c>
      <c r="N238" s="79">
        <f>VLOOKUP(A238,Database!$A:$AS,MATCH($N$1,Database!$A$1:$AS$1,0),FALSE)</f>
        <v>86.636947003000003</v>
      </c>
      <c r="O238" s="79">
        <f>(((Table134567891011121314151617343[[#This Row],[USA]]-VLOOKUP($U$1,A:N,14,))/VLOOKUP($U$1,A:N,14,))*100)+100</f>
        <v>99.739261510722471</v>
      </c>
      <c r="P238" s="79">
        <f>VLOOKUP(A238,Database!$A:$AS,MATCH($P$1,Database!$A$1:$AS$1,0),FALSE)</f>
        <v>93.505245392000006</v>
      </c>
      <c r="Q238" s="79">
        <f>(((Table134567891011121314151617343[[#This Row],[JPN]]-VLOOKUP($U$1,A:Q,16,))/VLOOKUP($U$1,A:Q,16,))*100)+100</f>
        <v>93.877347817542713</v>
      </c>
    </row>
    <row r="239" spans="1:17" s="83" customFormat="1" x14ac:dyDescent="0.2">
      <c r="A239" s="21">
        <v>40087</v>
      </c>
      <c r="B239" s="79">
        <f>VLOOKUP(A239,Database!$A:$AS,MATCH($B$1,Database!$A$1:$AS$1,0),FALSE)</f>
        <v>103.19140071699999</v>
      </c>
      <c r="C239" s="79">
        <f>VLOOKUP(A239,Database!$A:$AS,MATCH($C$1,Database!$A$1:$AS$1,0),FALSE)</f>
        <v>96.19</v>
      </c>
      <c r="D239" s="79">
        <f>VLOOKUP(A239,Database!$A:$AS,MATCH($D$1,Database!$A$1:$AS$1,0),FALSE)</f>
        <v>82.293142238000001</v>
      </c>
      <c r="E239" s="79">
        <f>VLOOKUP(A239,Database!$A:$AS,MATCH($E$1,Database!$A$1:$AS$1,0),FALSE)</f>
        <v>105.349087791</v>
      </c>
      <c r="F239" s="79">
        <f>VLOOKUP(A239,Database!$A:$AS,MATCH($F$1,Database!$A$1:$AS$1,0),FALSE)</f>
        <v>91.2</v>
      </c>
      <c r="G239" s="79">
        <f>VLOOKUP(A239,Database!$A:$AS,MATCH($G$1,Database!$A$1:$AS$1,0),FALSE)</f>
        <v>97.114178167999995</v>
      </c>
      <c r="H239" s="79">
        <f>(((Table134567891011121314151617343[[#This Row],[ITA]]-VLOOKUP($U$1,A:B,2,))/VLOOKUP($U$1,A:B,2,))*100)+100</f>
        <v>84.86842105298328</v>
      </c>
      <c r="I239" s="79">
        <f>(((Table134567891011121314151617343[[#This Row],[FRA]]-VLOOKUP($U$1,A:C,3,))/VLOOKUP($U$1,A:C,3,))*100)+100</f>
        <v>93.853058835008298</v>
      </c>
      <c r="J239" s="79">
        <f>(((Table134567891011121314151617343[[#This Row],[DEU]]-VLOOKUP($U$1,A:D,4,))/VLOOKUP($U$1,A:D,4,))*100)+100</f>
        <v>109.44148936079668</v>
      </c>
      <c r="K239" s="79">
        <f>(((Table134567891011121314151617343[[#This Row],[ESP]]-VLOOKUP($U$1,A:E,5,))/VLOOKUP($U$1,A:E,5,))*100)+100</f>
        <v>88.550895183551745</v>
      </c>
      <c r="L239" s="79">
        <f>(((Table134567891011121314151617343[[#This Row],[EA19]]-VLOOKUP($U$1,A:F,6,))/VLOOKUP($U$1,A:F,6,))*100)+100</f>
        <v>102.01342281879194</v>
      </c>
      <c r="M239" s="79">
        <f>(((Table134567891011121314151617343[[#This Row],[GBR]]-VLOOKUP($U$1,A:G,7,))/VLOOKUP($U$1,A:G,7,))*100)+100</f>
        <v>105.36756125982011</v>
      </c>
      <c r="N239" s="79">
        <f>VLOOKUP(A239,Database!$A:$AS,MATCH($N$1,Database!$A$1:$AS$1,0),FALSE)</f>
        <v>86.887023674999995</v>
      </c>
      <c r="O239" s="79">
        <f>(((Table134567891011121314151617343[[#This Row],[USA]]-VLOOKUP($U$1,A:N,14,))/VLOOKUP($U$1,A:N,14,))*100)+100</f>
        <v>100.02715788114138</v>
      </c>
      <c r="P239" s="79">
        <f>VLOOKUP(A239,Database!$A:$AS,MATCH($P$1,Database!$A$1:$AS$1,0),FALSE)</f>
        <v>96.071251028000006</v>
      </c>
      <c r="Q239" s="79">
        <f>(((Table134567891011121314151617343[[#This Row],[JPN]]-VLOOKUP($U$1,A:Q,16,))/VLOOKUP($U$1,A:Q,16,))*100)+100</f>
        <v>96.453564826360449</v>
      </c>
    </row>
    <row r="240" spans="1:17" s="83" customFormat="1" x14ac:dyDescent="0.2">
      <c r="A240" s="21">
        <v>40118</v>
      </c>
      <c r="B240" s="79">
        <f>VLOOKUP(A240,Database!$A:$AS,MATCH($B$1,Database!$A$1:$AS$1,0),FALSE)</f>
        <v>103.491375719</v>
      </c>
      <c r="C240" s="79">
        <f>VLOOKUP(A240,Database!$A:$AS,MATCH($C$1,Database!$A$1:$AS$1,0),FALSE)</f>
        <v>97.14</v>
      </c>
      <c r="D240" s="79">
        <f>VLOOKUP(A240,Database!$A:$AS,MATCH($D$1,Database!$A$1:$AS$1,0),FALSE)</f>
        <v>83.293058912000006</v>
      </c>
      <c r="E240" s="79">
        <f>VLOOKUP(A240,Database!$A:$AS,MATCH($E$1,Database!$A$1:$AS$1,0),FALSE)</f>
        <v>104.77408731200001</v>
      </c>
      <c r="F240" s="79">
        <f>VLOOKUP(A240,Database!$A:$AS,MATCH($F$1,Database!$A$1:$AS$1,0),FALSE)</f>
        <v>91.5</v>
      </c>
      <c r="G240" s="79">
        <f>VLOOKUP(A240,Database!$A:$AS,MATCH($G$1,Database!$A$1:$AS$1,0),FALSE)</f>
        <v>97.114178167999995</v>
      </c>
      <c r="H240" s="79">
        <f>(((Table134567891011121314151617343[[#This Row],[ITA]]-VLOOKUP($U$1,A:B,2,))/VLOOKUP($U$1,A:B,2,))*100)+100</f>
        <v>85.115131579230763</v>
      </c>
      <c r="I240" s="79">
        <f>(((Table134567891011121314151617343[[#This Row],[FRA]]-VLOOKUP($U$1,A:C,3,))/VLOOKUP($U$1,A:C,3,))*100)+100</f>
        <v>94.779978534491178</v>
      </c>
      <c r="J240" s="79">
        <f>(((Table134567891011121314151617343[[#This Row],[DEU]]-VLOOKUP($U$1,A:D,4,))/VLOOKUP($U$1,A:D,4,))*100)+100</f>
        <v>110.77127659534855</v>
      </c>
      <c r="K240" s="79">
        <f>(((Table134567891011121314151617343[[#This Row],[ESP]]-VLOOKUP($U$1,A:E,5,))/VLOOKUP($U$1,A:E,5,))*100)+100</f>
        <v>88.067580062234001</v>
      </c>
      <c r="L240" s="79">
        <f>(((Table134567891011121314151617343[[#This Row],[EA19]]-VLOOKUP($U$1,A:F,6,))/VLOOKUP($U$1,A:F,6,))*100)+100</f>
        <v>102.34899328859059</v>
      </c>
      <c r="M240" s="79">
        <f>(((Table134567891011121314151617343[[#This Row],[GBR]]-VLOOKUP($U$1,A:G,7,))/VLOOKUP($U$1,A:G,7,))*100)+100</f>
        <v>105.36756125982011</v>
      </c>
      <c r="N240" s="79">
        <f>VLOOKUP(A240,Database!$A:$AS,MATCH($N$1,Database!$A$1:$AS$1,0),FALSE)</f>
        <v>87.230569353999996</v>
      </c>
      <c r="O240" s="79">
        <f>(((Table134567891011121314151617343[[#This Row],[USA]]-VLOOKUP($U$1,A:N,14,))/VLOOKUP($U$1,A:N,14,))*100)+100</f>
        <v>100.42265880198377</v>
      </c>
      <c r="P240" s="79">
        <f>VLOOKUP(A240,Database!$A:$AS,MATCH($P$1,Database!$A$1:$AS$1,0),FALSE)</f>
        <v>98.021415312000002</v>
      </c>
      <c r="Q240" s="79">
        <f>(((Table134567891011121314151617343[[#This Row],[JPN]]-VLOOKUP($U$1,A:Q,16,))/VLOOKUP($U$1,A:Q,16,))*100)+100</f>
        <v>98.411489753704473</v>
      </c>
    </row>
    <row r="241" spans="1:17" s="83" customFormat="1" x14ac:dyDescent="0.2">
      <c r="A241" s="21">
        <v>40148</v>
      </c>
      <c r="B241" s="79">
        <f>VLOOKUP(A241,Database!$A:$AS,MATCH($B$1,Database!$A$1:$AS$1,0),FALSE)</f>
        <v>101.991500708</v>
      </c>
      <c r="C241" s="79">
        <f>VLOOKUP(A241,Database!$A:$AS,MATCH($C$1,Database!$A$1:$AS$1,0),FALSE)</f>
        <v>96.84</v>
      </c>
      <c r="D241" s="79">
        <f>VLOOKUP(A241,Database!$A:$AS,MATCH($D$1,Database!$A$1:$AS$1,0),FALSE)</f>
        <v>83.293058912000006</v>
      </c>
      <c r="E241" s="79">
        <f>VLOOKUP(A241,Database!$A:$AS,MATCH($E$1,Database!$A$1:$AS$1,0),FALSE)</f>
        <v>105.671088059</v>
      </c>
      <c r="F241" s="79">
        <f>VLOOKUP(A241,Database!$A:$AS,MATCH($F$1,Database!$A$1:$AS$1,0),FALSE)</f>
        <v>91.5</v>
      </c>
      <c r="G241" s="79">
        <f>VLOOKUP(A241,Database!$A:$AS,MATCH($G$1,Database!$A$1:$AS$1,0),FALSE)</f>
        <v>96.683993547</v>
      </c>
      <c r="H241" s="79">
        <f>(((Table134567891011121314151617343[[#This Row],[ITA]]-VLOOKUP($U$1,A:B,2,))/VLOOKUP($U$1,A:B,2,))*100)+100</f>
        <v>83.881578947170937</v>
      </c>
      <c r="I241" s="79">
        <f>(((Table134567891011121314151617343[[#This Row],[FRA]]-VLOOKUP($U$1,A:C,3,))/VLOOKUP($U$1,A:C,3,))*100)+100</f>
        <v>94.487267050443961</v>
      </c>
      <c r="J241" s="79">
        <f>(((Table134567891011121314151617343[[#This Row],[DEU]]-VLOOKUP($U$1,A:D,4,))/VLOOKUP($U$1,A:D,4,))*100)+100</f>
        <v>110.77127659534855</v>
      </c>
      <c r="K241" s="79">
        <f>(((Table134567891011121314151617343[[#This Row],[ESP]]-VLOOKUP($U$1,A:E,5,))/VLOOKUP($U$1,A:E,5,))*100)+100</f>
        <v>88.821551651287947</v>
      </c>
      <c r="L241" s="79">
        <f>(((Table134567891011121314151617343[[#This Row],[EA19]]-VLOOKUP($U$1,A:F,6,))/VLOOKUP($U$1,A:F,6,))*100)+100</f>
        <v>102.34899328859059</v>
      </c>
      <c r="M241" s="79">
        <f>(((Table134567891011121314151617343[[#This Row],[GBR]]-VLOOKUP($U$1,A:G,7,))/VLOOKUP($U$1,A:G,7,))*100)+100</f>
        <v>104.90081680230293</v>
      </c>
      <c r="N241" s="79">
        <f>VLOOKUP(A241,Database!$A:$AS,MATCH($N$1,Database!$A$1:$AS$1,0),FALSE)</f>
        <v>87.503938938999994</v>
      </c>
      <c r="O241" s="79">
        <f>(((Table134567891011121314151617343[[#This Row],[USA]]-VLOOKUP($U$1,A:N,14,))/VLOOKUP($U$1,A:N,14,))*100)+100</f>
        <v>100.73737072883004</v>
      </c>
      <c r="P241" s="79">
        <f>VLOOKUP(A241,Database!$A:$AS,MATCH($P$1,Database!$A$1:$AS$1,0),FALSE)</f>
        <v>98.842537116000003</v>
      </c>
      <c r="Q241" s="79">
        <f>(((Table134567891011121314151617343[[#This Row],[JPN]]-VLOOKUP($U$1,A:Q,16,))/VLOOKUP($U$1,A:Q,16,))*100)+100</f>
        <v>99.23587919700806</v>
      </c>
    </row>
    <row r="242" spans="1:17" s="83" customFormat="1" x14ac:dyDescent="0.2">
      <c r="A242" s="21">
        <v>40179</v>
      </c>
      <c r="B242" s="79">
        <f>VLOOKUP(A242,Database!$A:$AS,MATCH($B$1,Database!$A$1:$AS$1,0),FALSE)</f>
        <v>105.59120073299999</v>
      </c>
      <c r="C242" s="79">
        <f>VLOOKUP(A242,Database!$A:$AS,MATCH($C$1,Database!$A$1:$AS$1,0),FALSE)</f>
        <v>97.87</v>
      </c>
      <c r="D242" s="79">
        <f>VLOOKUP(A242,Database!$A:$AS,MATCH($D$1,Database!$A$1:$AS$1,0),FALSE)</f>
        <v>84.092992250999998</v>
      </c>
      <c r="E242" s="79">
        <f>VLOOKUP(A242,Database!$A:$AS,MATCH($E$1,Database!$A$1:$AS$1,0),FALSE)</f>
        <v>104.33708694800001</v>
      </c>
      <c r="F242" s="79">
        <f>VLOOKUP(A242,Database!$A:$AS,MATCH($F$1,Database!$A$1:$AS$1,0),FALSE)</f>
        <v>93.1</v>
      </c>
      <c r="G242" s="79">
        <f>VLOOKUP(A242,Database!$A:$AS,MATCH($G$1,Database!$A$1:$AS$1,0),FALSE)</f>
        <v>96.791539701999994</v>
      </c>
      <c r="H242" s="79">
        <f>(((Table134567891011121314151617343[[#This Row],[ITA]]-VLOOKUP($U$1,A:B,2,))/VLOOKUP($U$1,A:B,2,))*100)+100</f>
        <v>86.842105262963102</v>
      </c>
      <c r="I242" s="79">
        <f>(((Table134567891011121314151617343[[#This Row],[FRA]]-VLOOKUP($U$1,A:C,3,))/VLOOKUP($U$1,A:C,3,))*100)+100</f>
        <v>95.492243145672759</v>
      </c>
      <c r="J242" s="79">
        <f>(((Table134567891011121314151617343[[#This Row],[DEU]]-VLOOKUP($U$1,A:D,4,))/VLOOKUP($U$1,A:D,4,))*100)+100</f>
        <v>111.83510638272406</v>
      </c>
      <c r="K242" s="79">
        <f>(((Table134567891011121314151617343[[#This Row],[ESP]]-VLOOKUP($U$1,A:E,5,))/VLOOKUP($U$1,A:E,5,))*100)+100</f>
        <v>87.700260570066135</v>
      </c>
      <c r="L242" s="79">
        <f>(((Table134567891011121314151617343[[#This Row],[EA19]]-VLOOKUP($U$1,A:F,6,))/VLOOKUP($U$1,A:F,6,))*100)+100</f>
        <v>104.1387024608501</v>
      </c>
      <c r="M242" s="79">
        <f>(((Table134567891011121314151617343[[#This Row],[GBR]]-VLOOKUP($U$1,A:G,7,))/VLOOKUP($U$1,A:G,7,))*100)+100</f>
        <v>105.01750291641096</v>
      </c>
      <c r="N242" s="79">
        <f>VLOOKUP(A242,Database!$A:$AS,MATCH($N$1,Database!$A$1:$AS$1,0),FALSE)</f>
        <v>88.487692792999994</v>
      </c>
      <c r="O242" s="79">
        <f>(((Table134567891011121314151617343[[#This Row],[USA]]-VLOOKUP($U$1,A:N,14,))/VLOOKUP($U$1,A:N,14,))*100)+100</f>
        <v>101.86990005148598</v>
      </c>
      <c r="P242" s="79">
        <f>VLOOKUP(A242,Database!$A:$AS,MATCH($P$1,Database!$A$1:$AS$1,0),FALSE)</f>
        <v>101.10062207599999</v>
      </c>
      <c r="Q242" s="79">
        <f>(((Table134567891011121314151617343[[#This Row],[JPN]]-VLOOKUP($U$1,A:Q,16,))/VLOOKUP($U$1,A:Q,16,))*100)+100</f>
        <v>101.50295016508893</v>
      </c>
    </row>
    <row r="243" spans="1:17" s="83" customFormat="1" x14ac:dyDescent="0.2">
      <c r="A243" s="21">
        <v>40210</v>
      </c>
      <c r="B243" s="79">
        <f>VLOOKUP(A243,Database!$A:$AS,MATCH($B$1,Database!$A$1:$AS$1,0),FALSE)</f>
        <v>104.59128406000001</v>
      </c>
      <c r="C243" s="79">
        <f>VLOOKUP(A243,Database!$A:$AS,MATCH($C$1,Database!$A$1:$AS$1,0),FALSE)</f>
        <v>97.23</v>
      </c>
      <c r="D243" s="79">
        <f>VLOOKUP(A243,Database!$A:$AS,MATCH($D$1,Database!$A$1:$AS$1,0),FALSE)</f>
        <v>83.293058912000006</v>
      </c>
      <c r="E243" s="79">
        <f>VLOOKUP(A243,Database!$A:$AS,MATCH($E$1,Database!$A$1:$AS$1,0),FALSE)</f>
        <v>104.19008682499999</v>
      </c>
      <c r="F243" s="79">
        <f>VLOOKUP(A243,Database!$A:$AS,MATCH($F$1,Database!$A$1:$AS$1,0),FALSE)</f>
        <v>92.6</v>
      </c>
      <c r="G243" s="79">
        <f>VLOOKUP(A243,Database!$A:$AS,MATCH($G$1,Database!$A$1:$AS$1,0),FALSE)</f>
        <v>97.114178167999995</v>
      </c>
      <c r="H243" s="79">
        <f>(((Table134567891011121314151617343[[#This Row],[ITA]]-VLOOKUP($U$1,A:B,2,))/VLOOKUP($U$1,A:B,2,))*100)+100</f>
        <v>86.019736842412328</v>
      </c>
      <c r="I243" s="79">
        <f>(((Table134567891011121314151617343[[#This Row],[FRA]]-VLOOKUP($U$1,A:C,3,))/VLOOKUP($U$1,A:C,3,))*100)+100</f>
        <v>94.867791979705345</v>
      </c>
      <c r="J243" s="79">
        <f>(((Table134567891011121314151617343[[#This Row],[DEU]]-VLOOKUP($U$1,A:D,4,))/VLOOKUP($U$1,A:D,4,))*100)+100</f>
        <v>110.77127659534855</v>
      </c>
      <c r="K243" s="79">
        <f>(((Table134567891011121314151617343[[#This Row],[ESP]]-VLOOKUP($U$1,A:E,5,))/VLOOKUP($U$1,A:E,5,))*100)+100</f>
        <v>87.576700008160103</v>
      </c>
      <c r="L243" s="79">
        <f>(((Table134567891011121314151617343[[#This Row],[EA19]]-VLOOKUP($U$1,A:F,6,))/VLOOKUP($U$1,A:F,6,))*100)+100</f>
        <v>103.579418344519</v>
      </c>
      <c r="M243" s="79">
        <f>(((Table134567891011121314151617343[[#This Row],[GBR]]-VLOOKUP($U$1,A:G,7,))/VLOOKUP($U$1,A:G,7,))*100)+100</f>
        <v>105.36756125982011</v>
      </c>
      <c r="N243" s="79">
        <f>VLOOKUP(A243,Database!$A:$AS,MATCH($N$1,Database!$A$1:$AS$1,0),FALSE)</f>
        <v>88.775533719999999</v>
      </c>
      <c r="O243" s="79">
        <f>(((Table134567891011121314151617343[[#This Row],[USA]]-VLOOKUP($U$1,A:N,14,))/VLOOKUP($U$1,A:N,14,))*100)+100</f>
        <v>102.20127185629518</v>
      </c>
      <c r="P243" s="79">
        <f>VLOOKUP(A243,Database!$A:$AS,MATCH($P$1,Database!$A$1:$AS$1,0),FALSE)</f>
        <v>101.408542752</v>
      </c>
      <c r="Q243" s="79">
        <f>(((Table134567891011121314151617343[[#This Row],[JPN]]-VLOOKUP($U$1,A:Q,16,))/VLOOKUP($U$1,A:Q,16,))*100)+100</f>
        <v>101.8120962058258</v>
      </c>
    </row>
    <row r="244" spans="1:17" s="83" customFormat="1" x14ac:dyDescent="0.2">
      <c r="A244" s="21">
        <v>40238</v>
      </c>
      <c r="B244" s="79">
        <f>VLOOKUP(A244,Database!$A:$AS,MATCH($B$1,Database!$A$1:$AS$1,0),FALSE)</f>
        <v>105.191234064</v>
      </c>
      <c r="C244" s="79">
        <f>VLOOKUP(A244,Database!$A:$AS,MATCH($C$1,Database!$A$1:$AS$1,0),FALSE)</f>
        <v>99.16</v>
      </c>
      <c r="D244" s="79">
        <f>VLOOKUP(A244,Database!$A:$AS,MATCH($D$1,Database!$A$1:$AS$1,0),FALSE)</f>
        <v>86.092825598000005</v>
      </c>
      <c r="E244" s="79">
        <f>VLOOKUP(A244,Database!$A:$AS,MATCH($E$1,Database!$A$1:$AS$1,0),FALSE)</f>
        <v>106.846089038</v>
      </c>
      <c r="F244" s="79">
        <f>VLOOKUP(A244,Database!$A:$AS,MATCH($F$1,Database!$A$1:$AS$1,0),FALSE)</f>
        <v>94.3</v>
      </c>
      <c r="G244" s="79">
        <f>VLOOKUP(A244,Database!$A:$AS,MATCH($G$1,Database!$A$1:$AS$1,0),FALSE)</f>
        <v>98.727370496999995</v>
      </c>
      <c r="H244" s="79">
        <f>(((Table134567891011121314151617343[[#This Row],[ITA]]-VLOOKUP($U$1,A:B,2,))/VLOOKUP($U$1,A:B,2,))*100)+100</f>
        <v>86.51315789490728</v>
      </c>
      <c r="I244" s="79">
        <f>(((Table134567891011121314151617343[[#This Row],[FRA]]-VLOOKUP($U$1,A:C,3,))/VLOOKUP($U$1,A:C,3,))*100)+100</f>
        <v>96.750902527075809</v>
      </c>
      <c r="J244" s="79">
        <f>(((Table134567891011121314151617343[[#This Row],[DEU]]-VLOOKUP($U$1,A:D,4,))/VLOOKUP($U$1,A:D,4,))*100)+100</f>
        <v>114.49468085049793</v>
      </c>
      <c r="K244" s="79">
        <f>(((Table134567891011121314151617343[[#This Row],[ESP]]-VLOOKUP($U$1,A:E,5,))/VLOOKUP($U$1,A:E,5,))*100)+100</f>
        <v>89.809195594996481</v>
      </c>
      <c r="L244" s="79">
        <f>(((Table134567891011121314151617343[[#This Row],[EA19]]-VLOOKUP($U$1,A:F,6,))/VLOOKUP($U$1,A:F,6,))*100)+100</f>
        <v>105.48098434004473</v>
      </c>
      <c r="M244" s="79">
        <f>(((Table134567891011121314151617343[[#This Row],[GBR]]-VLOOKUP($U$1,A:G,7,))/VLOOKUP($U$1,A:G,7,))*100)+100</f>
        <v>107.11785297578078</v>
      </c>
      <c r="N244" s="79">
        <f>VLOOKUP(A244,Database!$A:$AS,MATCH($N$1,Database!$A$1:$AS$1,0),FALSE)</f>
        <v>89.434475344000006</v>
      </c>
      <c r="O244" s="79">
        <f>(((Table134567891011121314151617343[[#This Row],[USA]]-VLOOKUP($U$1,A:N,14,))/VLOOKUP($U$1,A:N,14,))*100)+100</f>
        <v>102.95986681179565</v>
      </c>
      <c r="P244" s="79">
        <f>VLOOKUP(A244,Database!$A:$AS,MATCH($P$1,Database!$A$1:$AS$1,0),FALSE)</f>
        <v>101.716463429</v>
      </c>
      <c r="Q244" s="79">
        <f>(((Table134567891011121314151617343[[#This Row],[JPN]]-VLOOKUP($U$1,A:Q,16,))/VLOOKUP($U$1,A:Q,16,))*100)+100</f>
        <v>102.12124224756664</v>
      </c>
    </row>
    <row r="245" spans="1:17" s="83" customFormat="1" x14ac:dyDescent="0.2">
      <c r="A245" s="21">
        <v>40269</v>
      </c>
      <c r="B245" s="79">
        <f>VLOOKUP(A245,Database!$A:$AS,MATCH($B$1,Database!$A$1:$AS$1,0),FALSE)</f>
        <v>106.09115907</v>
      </c>
      <c r="C245" s="79">
        <f>VLOOKUP(A245,Database!$A:$AS,MATCH($C$1,Database!$A$1:$AS$1,0),FALSE)</f>
        <v>98.76</v>
      </c>
      <c r="D245" s="79">
        <f>VLOOKUP(A245,Database!$A:$AS,MATCH($D$1,Database!$A$1:$AS$1,0),FALSE)</f>
        <v>87.692692276000002</v>
      </c>
      <c r="E245" s="79">
        <f>VLOOKUP(A245,Database!$A:$AS,MATCH($E$1,Database!$A$1:$AS$1,0),FALSE)</f>
        <v>106.840089033</v>
      </c>
      <c r="F245" s="79">
        <f>VLOOKUP(A245,Database!$A:$AS,MATCH($F$1,Database!$A$1:$AS$1,0),FALSE)</f>
        <v>94.8</v>
      </c>
      <c r="G245" s="79">
        <f>VLOOKUP(A245,Database!$A:$AS,MATCH($G$1,Database!$A$1:$AS$1,0),FALSE)</f>
        <v>98.942462806999998</v>
      </c>
      <c r="H245" s="79">
        <f>(((Table134567891011121314151617343[[#This Row],[ITA]]-VLOOKUP($U$1,A:B,2,))/VLOOKUP($U$1,A:B,2,))*100)+100</f>
        <v>87.253289473649716</v>
      </c>
      <c r="I245" s="79">
        <f>(((Table134567891011121314151617343[[#This Row],[FRA]]-VLOOKUP($U$1,A:C,3,))/VLOOKUP($U$1,A:C,3,))*100)+100</f>
        <v>96.360620548346191</v>
      </c>
      <c r="J245" s="79">
        <f>(((Table134567891011121314151617343[[#This Row],[DEU]]-VLOOKUP($U$1,A:D,4,))/VLOOKUP($U$1,A:D,4,))*100)+100</f>
        <v>116.62234042524896</v>
      </c>
      <c r="K245" s="79">
        <f>(((Table134567891011121314151617343[[#This Row],[ESP]]-VLOOKUP($U$1,A:E,5,))/VLOOKUP($U$1,A:E,5,))*100)+100</f>
        <v>89.804152306772565</v>
      </c>
      <c r="L245" s="79">
        <f>(((Table134567891011121314151617343[[#This Row],[EA19]]-VLOOKUP($U$1,A:F,6,))/VLOOKUP($U$1,A:F,6,))*100)+100</f>
        <v>106.04026845637583</v>
      </c>
      <c r="M245" s="79">
        <f>(((Table134567891011121314151617343[[#This Row],[GBR]]-VLOOKUP($U$1,A:G,7,))/VLOOKUP($U$1,A:G,7,))*100)+100</f>
        <v>107.35122520399688</v>
      </c>
      <c r="N245" s="79">
        <f>VLOOKUP(A245,Database!$A:$AS,MATCH($N$1,Database!$A$1:$AS$1,0),FALSE)</f>
        <v>89.770785352000004</v>
      </c>
      <c r="O245" s="79">
        <f>(((Table134567891011121314151617343[[#This Row],[USA]]-VLOOKUP($U$1,A:N,14,))/VLOOKUP($U$1,A:N,14,))*100)+100</f>
        <v>103.34703779365658</v>
      </c>
      <c r="P245" s="79">
        <f>VLOOKUP(A245,Database!$A:$AS,MATCH($P$1,Database!$A$1:$AS$1,0),FALSE)</f>
        <v>102.948146134</v>
      </c>
      <c r="Q245" s="79">
        <f>(((Table134567891011121314151617343[[#This Row],[JPN]]-VLOOKUP($U$1,A:Q,16,))/VLOOKUP($U$1,A:Q,16,))*100)+100</f>
        <v>103.35782641151803</v>
      </c>
    </row>
    <row r="246" spans="1:17" s="83" customFormat="1" x14ac:dyDescent="0.2">
      <c r="A246" s="21">
        <v>40299</v>
      </c>
      <c r="B246" s="79">
        <f>VLOOKUP(A246,Database!$A:$AS,MATCH($B$1,Database!$A$1:$AS$1,0),FALSE)</f>
        <v>106.49112574</v>
      </c>
      <c r="C246" s="79">
        <f>VLOOKUP(A246,Database!$A:$AS,MATCH($C$1,Database!$A$1:$AS$1,0),FALSE)</f>
        <v>99.55</v>
      </c>
      <c r="D246" s="79">
        <f>VLOOKUP(A246,Database!$A:$AS,MATCH($D$1,Database!$A$1:$AS$1,0),FALSE)</f>
        <v>90.392467293999999</v>
      </c>
      <c r="E246" s="79">
        <f>VLOOKUP(A246,Database!$A:$AS,MATCH($E$1,Database!$A$1:$AS$1,0),FALSE)</f>
        <v>105.933088278</v>
      </c>
      <c r="F246" s="79">
        <f>VLOOKUP(A246,Database!$A:$AS,MATCH($F$1,Database!$A$1:$AS$1,0),FALSE)</f>
        <v>96.5</v>
      </c>
      <c r="G246" s="79">
        <f>VLOOKUP(A246,Database!$A:$AS,MATCH($G$1,Database!$A$1:$AS$1,0),FALSE)</f>
        <v>98.834916652000004</v>
      </c>
      <c r="H246" s="79">
        <f>(((Table134567891011121314151617343[[#This Row],[ITA]]-VLOOKUP($U$1,A:B,2,))/VLOOKUP($U$1,A:B,2,))*100)+100</f>
        <v>87.58223684252799</v>
      </c>
      <c r="I246" s="79">
        <f>(((Table134567891011121314151617343[[#This Row],[FRA]]-VLOOKUP($U$1,A:C,3,))/VLOOKUP($U$1,A:C,3,))*100)+100</f>
        <v>97.131427456337207</v>
      </c>
      <c r="J246" s="79">
        <f>(((Table134567891011121314151617343[[#This Row],[DEU]]-VLOOKUP($U$1,A:D,4,))/VLOOKUP($U$1,A:D,4,))*100)+100</f>
        <v>120.21276595614522</v>
      </c>
      <c r="K246" s="79">
        <f>(((Table134567891011121314151617343[[#This Row],[ESP]]-VLOOKUP($U$1,A:E,5,))/VLOOKUP($U$1,A:E,5,))*100)+100</f>
        <v>89.041775237625615</v>
      </c>
      <c r="L246" s="79">
        <f>(((Table134567891011121314151617343[[#This Row],[EA19]]-VLOOKUP($U$1,A:F,6,))/VLOOKUP($U$1,A:F,6,))*100)+100</f>
        <v>107.94183445190156</v>
      </c>
      <c r="M246" s="79">
        <f>(((Table134567891011121314151617343[[#This Row],[GBR]]-VLOOKUP($U$1,A:G,7,))/VLOOKUP($U$1,A:G,7,))*100)+100</f>
        <v>107.23453908988883</v>
      </c>
      <c r="N246" s="79">
        <f>VLOOKUP(A246,Database!$A:$AS,MATCH($N$1,Database!$A$1:$AS$1,0),FALSE)</f>
        <v>91.015518943999993</v>
      </c>
      <c r="O246" s="79">
        <f>(((Table134567891011121314151617343[[#This Row],[USA]]-VLOOKUP($U$1,A:N,14,))/VLOOKUP($U$1,A:N,14,))*100)+100</f>
        <v>104.78001544970635</v>
      </c>
      <c r="P246" s="79">
        <f>VLOOKUP(A246,Database!$A:$AS,MATCH($P$1,Database!$A$1:$AS$1,0),FALSE)</f>
        <v>102.537585232</v>
      </c>
      <c r="Q246" s="79">
        <f>(((Table134567891011121314151617343[[#This Row],[JPN]]-VLOOKUP($U$1,A:Q,16,))/VLOOKUP($U$1,A:Q,16,))*100)+100</f>
        <v>102.94563168986623</v>
      </c>
    </row>
    <row r="247" spans="1:17" s="83" customFormat="1" x14ac:dyDescent="0.2">
      <c r="A247" s="21">
        <v>40330</v>
      </c>
      <c r="B247" s="79">
        <f>VLOOKUP(A247,Database!$A:$AS,MATCH($B$1,Database!$A$1:$AS$1,0),FALSE)</f>
        <v>109.090909091</v>
      </c>
      <c r="C247" s="79">
        <f>VLOOKUP(A247,Database!$A:$AS,MATCH($C$1,Database!$A$1:$AS$1,0),FALSE)</f>
        <v>99.15</v>
      </c>
      <c r="D247" s="79">
        <f>VLOOKUP(A247,Database!$A:$AS,MATCH($D$1,Database!$A$1:$AS$1,0),FALSE)</f>
        <v>90.092492292000003</v>
      </c>
      <c r="E247" s="79">
        <f>VLOOKUP(A247,Database!$A:$AS,MATCH($E$1,Database!$A$1:$AS$1,0),FALSE)</f>
        <v>106.47608873</v>
      </c>
      <c r="F247" s="79">
        <f>VLOOKUP(A247,Database!$A:$AS,MATCH($F$1,Database!$A$1:$AS$1,0),FALSE)</f>
        <v>96.6</v>
      </c>
      <c r="G247" s="79">
        <f>VLOOKUP(A247,Database!$A:$AS,MATCH($G$1,Database!$A$1:$AS$1,0),FALSE)</f>
        <v>97.544362789000004</v>
      </c>
      <c r="H247" s="79">
        <f>(((Table134567891011121314151617343[[#This Row],[ITA]]-VLOOKUP($U$1,A:B,2,))/VLOOKUP($U$1,A:B,2,))*100)+100</f>
        <v>89.720394736946943</v>
      </c>
      <c r="I247" s="79">
        <f>(((Table134567891011121314151617343[[#This Row],[FRA]]-VLOOKUP($U$1,A:C,3,))/VLOOKUP($U$1,A:C,3,))*100)+100</f>
        <v>96.741145477607589</v>
      </c>
      <c r="J247" s="79">
        <f>(((Table134567891011121314151617343[[#This Row],[DEU]]-VLOOKUP($U$1,A:D,4,))/VLOOKUP($U$1,A:D,4,))*100)+100</f>
        <v>119.81382978604563</v>
      </c>
      <c r="K247" s="79">
        <f>(((Table134567891011121314151617343[[#This Row],[ESP]]-VLOOKUP($U$1,A:E,5,))/VLOOKUP($U$1,A:E,5,))*100)+100</f>
        <v>89.498192821469004</v>
      </c>
      <c r="L247" s="79">
        <f>(((Table134567891011121314151617343[[#This Row],[EA19]]-VLOOKUP($U$1,A:F,6,))/VLOOKUP($U$1,A:F,6,))*100)+100</f>
        <v>108.05369127516778</v>
      </c>
      <c r="M247" s="79">
        <f>(((Table134567891011121314151617343[[#This Row],[GBR]]-VLOOKUP($U$1,A:G,7,))/VLOOKUP($U$1,A:G,7,))*100)+100</f>
        <v>105.83430571733729</v>
      </c>
      <c r="N247" s="79">
        <f>VLOOKUP(A247,Database!$A:$AS,MATCH($N$1,Database!$A$1:$AS$1,0),FALSE)</f>
        <v>91.196212473000003</v>
      </c>
      <c r="O247" s="79">
        <f>(((Table134567891011121314151617343[[#This Row],[USA]]-VLOOKUP($U$1,A:N,14,))/VLOOKUP($U$1,A:N,14,))*100)+100</f>
        <v>104.9880356970219</v>
      </c>
      <c r="P247" s="79">
        <f>VLOOKUP(A247,Database!$A:$AS,MATCH($P$1,Database!$A$1:$AS$1,0),FALSE)</f>
        <v>101.921743879</v>
      </c>
      <c r="Q247" s="79">
        <f>(((Table134567891011121314151617343[[#This Row],[JPN]]-VLOOKUP($U$1,A:Q,16,))/VLOOKUP($U$1,A:Q,16,))*100)+100</f>
        <v>102.32733960738855</v>
      </c>
    </row>
    <row r="248" spans="1:17" s="83" customFormat="1" x14ac:dyDescent="0.2">
      <c r="A248" s="21">
        <v>40360</v>
      </c>
      <c r="B248" s="79">
        <f>VLOOKUP(A248,Database!$A:$AS,MATCH($B$1,Database!$A$1:$AS$1,0),FALSE)</f>
        <v>108.790934089</v>
      </c>
      <c r="C248" s="79">
        <f>VLOOKUP(A248,Database!$A:$AS,MATCH($C$1,Database!$A$1:$AS$1,0),FALSE)</f>
        <v>99.88</v>
      </c>
      <c r="D248" s="79">
        <f>VLOOKUP(A248,Database!$A:$AS,MATCH($D$1,Database!$A$1:$AS$1,0),FALSE)</f>
        <v>89.492542287999996</v>
      </c>
      <c r="E248" s="79">
        <f>VLOOKUP(A248,Database!$A:$AS,MATCH($E$1,Database!$A$1:$AS$1,0),FALSE)</f>
        <v>105.196087663</v>
      </c>
      <c r="F248" s="79">
        <f>VLOOKUP(A248,Database!$A:$AS,MATCH($F$1,Database!$A$1:$AS$1,0),FALSE)</f>
        <v>96.2</v>
      </c>
      <c r="G248" s="79">
        <f>VLOOKUP(A248,Database!$A:$AS,MATCH($G$1,Database!$A$1:$AS$1,0),FALSE)</f>
        <v>97.006632013000001</v>
      </c>
      <c r="H248" s="79">
        <f>(((Table134567891011121314151617343[[#This Row],[ITA]]-VLOOKUP($U$1,A:B,2,))/VLOOKUP($U$1,A:B,2,))*100)+100</f>
        <v>89.473684210699474</v>
      </c>
      <c r="I248" s="79">
        <f>(((Table134567891011121314151617343[[#This Row],[FRA]]-VLOOKUP($U$1,A:C,3,))/VLOOKUP($U$1,A:C,3,))*100)+100</f>
        <v>97.453410088789155</v>
      </c>
      <c r="J248" s="79">
        <f>(((Table134567891011121314151617343[[#This Row],[DEU]]-VLOOKUP($U$1,A:D,4,))/VLOOKUP($U$1,A:D,4,))*100)+100</f>
        <v>119.01595744584645</v>
      </c>
      <c r="K248" s="79">
        <f>(((Table134567891011121314151617343[[#This Row],[ESP]]-VLOOKUP($U$1,A:E,5,))/VLOOKUP($U$1,A:E,5,))*100)+100</f>
        <v>88.422291333421811</v>
      </c>
      <c r="L248" s="79">
        <f>(((Table134567891011121314151617343[[#This Row],[EA19]]-VLOOKUP($U$1,A:F,6,))/VLOOKUP($U$1,A:F,6,))*100)+100</f>
        <v>107.6062639821029</v>
      </c>
      <c r="M248" s="79">
        <f>(((Table134567891011121314151617343[[#This Row],[GBR]]-VLOOKUP($U$1,A:G,7,))/VLOOKUP($U$1,A:G,7,))*100)+100</f>
        <v>105.25087514571206</v>
      </c>
      <c r="N248" s="79">
        <f>VLOOKUP(A248,Database!$A:$AS,MATCH($N$1,Database!$A$1:$AS$1,0),FALSE)</f>
        <v>91.582478343999995</v>
      </c>
      <c r="O248" s="79">
        <f>(((Table134567891011121314151617343[[#This Row],[USA]]-VLOOKUP($U$1,A:N,14,))/VLOOKUP($U$1,A:N,14,))*100)+100</f>
        <v>105.43271748756331</v>
      </c>
      <c r="P248" s="79">
        <f>VLOOKUP(A248,Database!$A:$AS,MATCH($P$1,Database!$A$1:$AS$1,0),FALSE)</f>
        <v>103.15342658500001</v>
      </c>
      <c r="Q248" s="79">
        <f>(((Table134567891011121314151617343[[#This Row],[JPN]]-VLOOKUP($U$1,A:Q,16,))/VLOOKUP($U$1,A:Q,16,))*100)+100</f>
        <v>103.56392377234394</v>
      </c>
    </row>
    <row r="249" spans="1:17" s="83" customFormat="1" x14ac:dyDescent="0.2">
      <c r="A249" s="21">
        <v>40391</v>
      </c>
      <c r="B249" s="79">
        <f>VLOOKUP(A249,Database!$A:$AS,MATCH($B$1,Database!$A$1:$AS$1,0),FALSE)</f>
        <v>112.39063411399999</v>
      </c>
      <c r="C249" s="79">
        <f>VLOOKUP(A249,Database!$A:$AS,MATCH($C$1,Database!$A$1:$AS$1,0),FALSE)</f>
        <v>98.72</v>
      </c>
      <c r="D249" s="79">
        <f>VLOOKUP(A249,Database!$A:$AS,MATCH($D$1,Database!$A$1:$AS$1,0),FALSE)</f>
        <v>90.992417298999996</v>
      </c>
      <c r="E249" s="79">
        <f>VLOOKUP(A249,Database!$A:$AS,MATCH($E$1,Database!$A$1:$AS$1,0),FALSE)</f>
        <v>104.20108683399999</v>
      </c>
      <c r="F249" s="79">
        <f>VLOOKUP(A249,Database!$A:$AS,MATCH($F$1,Database!$A$1:$AS$1,0),FALSE)</f>
        <v>97</v>
      </c>
      <c r="G249" s="79">
        <f>VLOOKUP(A249,Database!$A:$AS,MATCH($G$1,Database!$A$1:$AS$1,0),FALSE)</f>
        <v>97.221724323000004</v>
      </c>
      <c r="H249" s="79">
        <f>(((Table134567891011121314151617343[[#This Row],[ITA]]-VLOOKUP($U$1,A:B,2,))/VLOOKUP($U$1,A:B,2,))*100)+100</f>
        <v>92.43421052649164</v>
      </c>
      <c r="I249" s="79">
        <f>(((Table134567891011121314151617343[[#This Row],[FRA]]-VLOOKUP($U$1,A:C,3,))/VLOOKUP($U$1,A:C,3,))*100)+100</f>
        <v>96.321592350473225</v>
      </c>
      <c r="J249" s="79">
        <f>(((Table134567891011121314151617343[[#This Row],[DEU]]-VLOOKUP($U$1,A:D,4,))/VLOOKUP($U$1,A:D,4,))*100)+100</f>
        <v>121.01063829767428</v>
      </c>
      <c r="K249" s="79">
        <f>(((Table134567891011121314151617343[[#This Row],[ESP]]-VLOOKUP($U$1,A:E,5,))/VLOOKUP($U$1,A:E,5,))*100)+100</f>
        <v>87.585946036430514</v>
      </c>
      <c r="L249" s="79">
        <f>(((Table134567891011121314151617343[[#This Row],[EA19]]-VLOOKUP($U$1,A:F,6,))/VLOOKUP($U$1,A:F,6,))*100)+100</f>
        <v>108.50111856823266</v>
      </c>
      <c r="M249" s="79">
        <f>(((Table134567891011121314151617343[[#This Row],[GBR]]-VLOOKUP($U$1,A:G,7,))/VLOOKUP($U$1,A:G,7,))*100)+100</f>
        <v>105.48424737392816</v>
      </c>
      <c r="N249" s="79">
        <f>VLOOKUP(A249,Database!$A:$AS,MATCH($N$1,Database!$A$1:$AS$1,0),FALSE)</f>
        <v>91.894801607999995</v>
      </c>
      <c r="O249" s="79">
        <f>(((Table134567891011121314151617343[[#This Row],[USA]]-VLOOKUP($U$1,A:N,14,))/VLOOKUP($U$1,A:N,14,))*100)+100</f>
        <v>105.79227415226087</v>
      </c>
      <c r="P249" s="79">
        <f>VLOOKUP(A249,Database!$A:$AS,MATCH($P$1,Database!$A$1:$AS$1,0),FALSE)</f>
        <v>103.66662771199999</v>
      </c>
      <c r="Q249" s="79">
        <f>(((Table134567891011121314151617343[[#This Row],[JPN]]-VLOOKUP($U$1,A:Q,16,))/VLOOKUP($U$1,A:Q,16,))*100)+100</f>
        <v>104.07916717390668</v>
      </c>
    </row>
    <row r="250" spans="1:17" s="83" customFormat="1" x14ac:dyDescent="0.2">
      <c r="A250" s="21">
        <v>40422</v>
      </c>
      <c r="B250" s="79">
        <f>VLOOKUP(A250,Database!$A:$AS,MATCH($B$1,Database!$A$1:$AS$1,0),FALSE)</f>
        <v>107.99100075</v>
      </c>
      <c r="C250" s="79">
        <f>VLOOKUP(A250,Database!$A:$AS,MATCH($C$1,Database!$A$1:$AS$1,0),FALSE)</f>
        <v>100.02</v>
      </c>
      <c r="D250" s="79">
        <f>VLOOKUP(A250,Database!$A:$AS,MATCH($D$1,Database!$A$1:$AS$1,0),FALSE)</f>
        <v>92.392300641999995</v>
      </c>
      <c r="E250" s="79">
        <f>VLOOKUP(A250,Database!$A:$AS,MATCH($E$1,Database!$A$1:$AS$1,0),FALSE)</f>
        <v>104.509087091</v>
      </c>
      <c r="F250" s="79">
        <f>VLOOKUP(A250,Database!$A:$AS,MATCH($F$1,Database!$A$1:$AS$1,0),FALSE)</f>
        <v>97.2</v>
      </c>
      <c r="G250" s="79">
        <f>VLOOKUP(A250,Database!$A:$AS,MATCH($G$1,Database!$A$1:$AS$1,0),FALSE)</f>
        <v>97.329270479000002</v>
      </c>
      <c r="H250" s="79">
        <f>(((Table134567891011121314151617343[[#This Row],[ITA]]-VLOOKUP($U$1,A:B,2,))/VLOOKUP($U$1,A:B,2,))*100)+100</f>
        <v>88.815789473765378</v>
      </c>
      <c r="I250" s="79">
        <f>(((Table134567891011121314151617343[[#This Row],[FRA]]-VLOOKUP($U$1,A:C,3,))/VLOOKUP($U$1,A:C,3,))*100)+100</f>
        <v>97.590008781344523</v>
      </c>
      <c r="J250" s="79">
        <f>(((Table134567891011121314151617343[[#This Row],[DEU]]-VLOOKUP($U$1,A:D,4,))/VLOOKUP($U$1,A:D,4,))*100)+100</f>
        <v>122.87234042524896</v>
      </c>
      <c r="K250" s="79">
        <f>(((Table134567891011121314151617343[[#This Row],[ESP]]-VLOOKUP($U$1,A:E,5,))/VLOOKUP($U$1,A:E,5,))*100)+100</f>
        <v>87.84483483220464</v>
      </c>
      <c r="L250" s="79">
        <f>(((Table134567891011121314151617343[[#This Row],[EA19]]-VLOOKUP($U$1,A:F,6,))/VLOOKUP($U$1,A:F,6,))*100)+100</f>
        <v>108.7248322147651</v>
      </c>
      <c r="M250" s="79">
        <f>(((Table134567891011121314151617343[[#This Row],[GBR]]-VLOOKUP($U$1,A:G,7,))/VLOOKUP($U$1,A:G,7,))*100)+100</f>
        <v>105.60093348912119</v>
      </c>
      <c r="N250" s="79">
        <f>VLOOKUP(A250,Database!$A:$AS,MATCH($N$1,Database!$A$1:$AS$1,0),FALSE)</f>
        <v>92.106321077000004</v>
      </c>
      <c r="O250" s="79">
        <f>(((Table134567891011121314151617343[[#This Row],[USA]]-VLOOKUP($U$1,A:N,14,))/VLOOKUP($U$1,A:N,14,))*100)+100</f>
        <v>106.03578222085048</v>
      </c>
      <c r="P250" s="79">
        <f>VLOOKUP(A250,Database!$A:$AS,MATCH($P$1,Database!$A$1:$AS$1,0),FALSE)</f>
        <v>105.000950643</v>
      </c>
      <c r="Q250" s="79">
        <f>(((Table134567891011121314151617343[[#This Row],[JPN]]-VLOOKUP($U$1,A:Q,16,))/VLOOKUP($U$1,A:Q,16,))*100)+100</f>
        <v>105.41880001877301</v>
      </c>
    </row>
    <row r="251" spans="1:17" s="83" customFormat="1" x14ac:dyDescent="0.2">
      <c r="A251" s="21">
        <v>40452</v>
      </c>
      <c r="B251" s="79">
        <f>VLOOKUP(A251,Database!$A:$AS,MATCH($B$1,Database!$A$1:$AS$1,0),FALSE)</f>
        <v>108.39096741900001</v>
      </c>
      <c r="C251" s="79">
        <f>VLOOKUP(A251,Database!$A:$AS,MATCH($C$1,Database!$A$1:$AS$1,0),FALSE)</f>
        <v>99.85</v>
      </c>
      <c r="D251" s="79">
        <f>VLOOKUP(A251,Database!$A:$AS,MATCH($D$1,Database!$A$1:$AS$1,0),FALSE)</f>
        <v>94.392133989000001</v>
      </c>
      <c r="E251" s="79">
        <f>VLOOKUP(A251,Database!$A:$AS,MATCH($E$1,Database!$A$1:$AS$1,0),FALSE)</f>
        <v>105.210087675</v>
      </c>
      <c r="F251" s="79">
        <f>VLOOKUP(A251,Database!$A:$AS,MATCH($F$1,Database!$A$1:$AS$1,0),FALSE)</f>
        <v>98</v>
      </c>
      <c r="G251" s="79">
        <f>VLOOKUP(A251,Database!$A:$AS,MATCH($G$1,Database!$A$1:$AS$1,0),FALSE)</f>
        <v>98.189639720000002</v>
      </c>
      <c r="H251" s="79">
        <f>(((Table134567891011121314151617343[[#This Row],[ITA]]-VLOOKUP($U$1,A:B,2,))/VLOOKUP($U$1,A:B,2,))*100)+100</f>
        <v>89.144736841821214</v>
      </c>
      <c r="I251" s="79">
        <f>(((Table134567891011121314151617343[[#This Row],[FRA]]-VLOOKUP($U$1,A:C,3,))/VLOOKUP($U$1,A:C,3,))*100)+100</f>
        <v>97.424138940384424</v>
      </c>
      <c r="J251" s="79">
        <f>(((Table134567891011121314151617343[[#This Row],[DEU]]-VLOOKUP($U$1,A:D,4,))/VLOOKUP($U$1,A:D,4,))*100)+100</f>
        <v>125.53191489302282</v>
      </c>
      <c r="K251" s="79">
        <f>(((Table134567891011121314151617343[[#This Row],[ESP]]-VLOOKUP($U$1,A:E,5,))/VLOOKUP($U$1,A:E,5,))*100)+100</f>
        <v>88.434059006224444</v>
      </c>
      <c r="L251" s="79">
        <f>(((Table134567891011121314151617343[[#This Row],[EA19]]-VLOOKUP($U$1,A:F,6,))/VLOOKUP($U$1,A:F,6,))*100)+100</f>
        <v>109.61968680089484</v>
      </c>
      <c r="M251" s="79">
        <f>(((Table134567891011121314151617343[[#This Row],[GBR]]-VLOOKUP($U$1,A:G,7,))/VLOOKUP($U$1,A:G,7,))*100)+100</f>
        <v>106.53442240307056</v>
      </c>
      <c r="N251" s="79">
        <f>VLOOKUP(A251,Database!$A:$AS,MATCH($N$1,Database!$A$1:$AS$1,0),FALSE)</f>
        <v>91.894504252000004</v>
      </c>
      <c r="O251" s="79">
        <f>(((Table134567891011121314151617343[[#This Row],[USA]]-VLOOKUP($U$1,A:N,14,))/VLOOKUP($U$1,A:N,14,))*100)+100</f>
        <v>105.79193182639563</v>
      </c>
      <c r="P251" s="79">
        <f>VLOOKUP(A251,Database!$A:$AS,MATCH($P$1,Database!$A$1:$AS$1,0),FALSE)</f>
        <v>102.024384105</v>
      </c>
      <c r="Q251" s="79">
        <f>(((Table134567891011121314151617343[[#This Row],[JPN]]-VLOOKUP($U$1,A:Q,16,))/VLOOKUP($U$1,A:Q,16,))*100)+100</f>
        <v>102.43038828830349</v>
      </c>
    </row>
    <row r="252" spans="1:17" s="83" customFormat="1" x14ac:dyDescent="0.2">
      <c r="A252" s="21">
        <v>40483</v>
      </c>
      <c r="B252" s="79">
        <f>VLOOKUP(A252,Database!$A:$AS,MATCH($B$1,Database!$A$1:$AS$1,0),FALSE)</f>
        <v>108.990917424</v>
      </c>
      <c r="C252" s="79">
        <f>VLOOKUP(A252,Database!$A:$AS,MATCH($C$1,Database!$A$1:$AS$1,0),FALSE)</f>
        <v>101.16</v>
      </c>
      <c r="D252" s="79">
        <f>VLOOKUP(A252,Database!$A:$AS,MATCH($D$1,Database!$A$1:$AS$1,0),FALSE)</f>
        <v>93.892175652000006</v>
      </c>
      <c r="E252" s="79">
        <f>VLOOKUP(A252,Database!$A:$AS,MATCH($E$1,Database!$A$1:$AS$1,0),FALSE)</f>
        <v>108.23009019200001</v>
      </c>
      <c r="F252" s="79">
        <f>VLOOKUP(A252,Database!$A:$AS,MATCH($F$1,Database!$A$1:$AS$1,0),FALSE)</f>
        <v>98.9</v>
      </c>
      <c r="G252" s="79">
        <f>VLOOKUP(A252,Database!$A:$AS,MATCH($G$1,Database!$A$1:$AS$1,0),FALSE)</f>
        <v>97.221724323000004</v>
      </c>
      <c r="H252" s="79">
        <f>(((Table134567891011121314151617343[[#This Row],[ITA]]-VLOOKUP($U$1,A:B,2,))/VLOOKUP($U$1,A:B,2,))*100)+100</f>
        <v>89.63815789513859</v>
      </c>
      <c r="I252" s="79">
        <f>(((Table134567891011121314151617343[[#This Row],[FRA]]-VLOOKUP($U$1,A:C,3,))/VLOOKUP($U$1,A:C,3,))*100)+100</f>
        <v>98.70231242072397</v>
      </c>
      <c r="J252" s="79">
        <f>(((Table134567891011121314151617343[[#This Row],[DEU]]-VLOOKUP($U$1,A:D,4,))/VLOOKUP($U$1,A:D,4,))*100)+100</f>
        <v>124.86702127574689</v>
      </c>
      <c r="K252" s="79">
        <f>(((Table134567891011121314151617343[[#This Row],[ESP]]-VLOOKUP($U$1,A:E,5,))/VLOOKUP($U$1,A:E,5,))*100)+100</f>
        <v>90.972514079204927</v>
      </c>
      <c r="L252" s="79">
        <f>(((Table134567891011121314151617343[[#This Row],[EA19]]-VLOOKUP($U$1,A:F,6,))/VLOOKUP($U$1,A:F,6,))*100)+100</f>
        <v>110.62639821029083</v>
      </c>
      <c r="M252" s="79">
        <f>(((Table134567891011121314151617343[[#This Row],[GBR]]-VLOOKUP($U$1,A:G,7,))/VLOOKUP($U$1,A:G,7,))*100)+100</f>
        <v>105.48424737392816</v>
      </c>
      <c r="N252" s="79">
        <f>VLOOKUP(A252,Database!$A:$AS,MATCH($N$1,Database!$A$1:$AS$1,0),FALSE)</f>
        <v>91.936134138</v>
      </c>
      <c r="O252" s="79">
        <f>(((Table134567891011121314151617343[[#This Row],[USA]]-VLOOKUP($U$1,A:N,14,))/VLOOKUP($U$1,A:N,14,))*100)+100</f>
        <v>105.83985750048789</v>
      </c>
      <c r="P252" s="79">
        <f>VLOOKUP(A252,Database!$A:$AS,MATCH($P$1,Database!$A$1:$AS$1,0),FALSE)</f>
        <v>103.769267938</v>
      </c>
      <c r="Q252" s="79">
        <f>(((Table134567891011121314151617343[[#This Row],[JPN]]-VLOOKUP($U$1,A:Q,16,))/VLOOKUP($U$1,A:Q,16,))*100)+100</f>
        <v>104.18221585482162</v>
      </c>
    </row>
    <row r="253" spans="1:17" s="83" customFormat="1" x14ac:dyDescent="0.2">
      <c r="A253" s="21">
        <v>40513</v>
      </c>
      <c r="B253" s="79">
        <f>VLOOKUP(A253,Database!$A:$AS,MATCH($B$1,Database!$A$1:$AS$1,0),FALSE)</f>
        <v>109.89084243000001</v>
      </c>
      <c r="C253" s="79">
        <f>VLOOKUP(A253,Database!$A:$AS,MATCH($C$1,Database!$A$1:$AS$1,0),FALSE)</f>
        <v>102.47</v>
      </c>
      <c r="D253" s="79">
        <f>VLOOKUP(A253,Database!$A:$AS,MATCH($D$1,Database!$A$1:$AS$1,0),FALSE)</f>
        <v>95.392050662000003</v>
      </c>
      <c r="E253" s="79">
        <f>VLOOKUP(A253,Database!$A:$AS,MATCH($E$1,Database!$A$1:$AS$1,0),FALSE)</f>
        <v>105.143087619</v>
      </c>
      <c r="F253" s="79">
        <f>VLOOKUP(A253,Database!$A:$AS,MATCH($F$1,Database!$A$1:$AS$1,0),FALSE)</f>
        <v>99.7</v>
      </c>
      <c r="G253" s="79">
        <f>VLOOKUP(A253,Database!$A:$AS,MATCH($G$1,Database!$A$1:$AS$1,0),FALSE)</f>
        <v>95.608531995000007</v>
      </c>
      <c r="H253" s="79">
        <f>(((Table134567891011121314151617343[[#This Row],[ITA]]-VLOOKUP($U$1,A:B,2,))/VLOOKUP($U$1,A:B,2,))*100)+100</f>
        <v>90.37828947388104</v>
      </c>
      <c r="I253" s="79">
        <f>(((Table134567891011121314151617343[[#This Row],[FRA]]-VLOOKUP($U$1,A:C,3,))/VLOOKUP($U$1,A:C,3,))*100)+100</f>
        <v>99.980485901063517</v>
      </c>
      <c r="J253" s="79">
        <f>(((Table134567891011121314151617343[[#This Row],[DEU]]-VLOOKUP($U$1,A:D,4,))/VLOOKUP($U$1,A:D,4,))*100)+100</f>
        <v>126.86170212624481</v>
      </c>
      <c r="K253" s="79">
        <f>(((Table134567891011121314151617343[[#This Row],[ESP]]-VLOOKUP($U$1,A:E,5,))/VLOOKUP($U$1,A:E,5,))*100)+100</f>
        <v>88.377742287584056</v>
      </c>
      <c r="L253" s="79">
        <f>(((Table134567891011121314151617343[[#This Row],[EA19]]-VLOOKUP($U$1,A:F,6,))/VLOOKUP($U$1,A:F,6,))*100)+100</f>
        <v>111.52125279642058</v>
      </c>
      <c r="M253" s="79">
        <f>(((Table134567891011121314151617343[[#This Row],[GBR]]-VLOOKUP($U$1,A:G,7,))/VLOOKUP($U$1,A:G,7,))*100)+100</f>
        <v>103.73395565905247</v>
      </c>
      <c r="N253" s="79">
        <f>VLOOKUP(A253,Database!$A:$AS,MATCH($N$1,Database!$A$1:$AS$1,0),FALSE)</f>
        <v>92.823941016999996</v>
      </c>
      <c r="O253" s="79">
        <f>(((Table134567891011121314151617343[[#This Row],[USA]]-VLOOKUP($U$1,A:N,14,))/VLOOKUP($U$1,A:N,14,))*100)+100</f>
        <v>106.86192955564159</v>
      </c>
      <c r="P253" s="79">
        <f>VLOOKUP(A253,Database!$A:$AS,MATCH($P$1,Database!$A$1:$AS$1,0),FALSE)</f>
        <v>104.07718861399999</v>
      </c>
      <c r="Q253" s="79">
        <f>(((Table134567891011121314151617343[[#This Row],[JPN]]-VLOOKUP($U$1,A:Q,16,))/VLOOKUP($U$1,A:Q,16,))*100)+100</f>
        <v>104.49136189555847</v>
      </c>
    </row>
    <row r="254" spans="1:17" s="83" customFormat="1" x14ac:dyDescent="0.2">
      <c r="A254" s="21">
        <v>40544</v>
      </c>
      <c r="B254" s="79">
        <f>VLOOKUP(A254,Database!$A:$AS,MATCH($B$1,Database!$A$1:$AS$1,0),FALSE)</f>
        <v>107.791017415</v>
      </c>
      <c r="C254" s="79">
        <f>VLOOKUP(A254,Database!$A:$AS,MATCH($C$1,Database!$A$1:$AS$1,0),FALSE)</f>
        <v>103.66</v>
      </c>
      <c r="D254" s="79">
        <f>VLOOKUP(A254,Database!$A:$AS,MATCH($D$1,Database!$A$1:$AS$1,0),FALSE)</f>
        <v>95.192067327999993</v>
      </c>
      <c r="E254" s="79">
        <f>VLOOKUP(A254,Database!$A:$AS,MATCH($E$1,Database!$A$1:$AS$1,0),FALSE)</f>
        <v>105.73208811000001</v>
      </c>
      <c r="F254" s="79">
        <f>VLOOKUP(A254,Database!$A:$AS,MATCH($F$1,Database!$A$1:$AS$1,0),FALSE)</f>
        <v>99.1</v>
      </c>
      <c r="G254" s="79">
        <f>VLOOKUP(A254,Database!$A:$AS,MATCH($G$1,Database!$A$1:$AS$1,0),FALSE)</f>
        <v>93.780247356000004</v>
      </c>
      <c r="H254" s="79">
        <f>(((Table134567891011121314151617343[[#This Row],[ITA]]-VLOOKUP($U$1,A:B,2,))/VLOOKUP($U$1,A:B,2,))*100)+100</f>
        <v>88.651315789326247</v>
      </c>
      <c r="I254" s="79">
        <f>(((Table134567891011121314151617343[[#This Row],[FRA]]-VLOOKUP($U$1,A:C,3,))/VLOOKUP($U$1,A:C,3,))*100)+100</f>
        <v>101.14157478778418</v>
      </c>
      <c r="J254" s="79">
        <f>(((Table134567891011121314151617343[[#This Row],[DEU]]-VLOOKUP($U$1,A:D,4,))/VLOOKUP($U$1,A:D,4,))*100)+100</f>
        <v>126.59574468039833</v>
      </c>
      <c r="K254" s="79">
        <f>(((Table134567891011121314151617343[[#This Row],[ESP]]-VLOOKUP($U$1,A:E,5,))/VLOOKUP($U$1,A:E,5,))*100)+100</f>
        <v>88.872825081704434</v>
      </c>
      <c r="L254" s="79">
        <f>(((Table134567891011121314151617343[[#This Row],[EA19]]-VLOOKUP($U$1,A:F,6,))/VLOOKUP($U$1,A:F,6,))*100)+100</f>
        <v>110.85011185682325</v>
      </c>
      <c r="M254" s="79">
        <f>(((Table134567891011121314151617343[[#This Row],[GBR]]-VLOOKUP($U$1,A:G,7,))/VLOOKUP($U$1,A:G,7,))*100)+100</f>
        <v>101.7502917148757</v>
      </c>
      <c r="N254" s="79">
        <f>VLOOKUP(A254,Database!$A:$AS,MATCH($N$1,Database!$A$1:$AS$1,0),FALSE)</f>
        <v>92.653060246999999</v>
      </c>
      <c r="O254" s="79">
        <f>(((Table134567891011121314151617343[[#This Row],[USA]]-VLOOKUP($U$1,A:N,14,))/VLOOKUP($U$1,A:N,14,))*100)+100</f>
        <v>106.66520607454302</v>
      </c>
      <c r="P254" s="79">
        <f>VLOOKUP(A254,Database!$A:$AS,MATCH($P$1,Database!$A$1:$AS$1,0),FALSE)</f>
        <v>104.795670192</v>
      </c>
      <c r="Q254" s="79">
        <f>(((Table134567891011121314151617343[[#This Row],[JPN]]-VLOOKUP($U$1,A:Q,16,))/VLOOKUP($U$1,A:Q,16,))*100)+100</f>
        <v>105.21270265794713</v>
      </c>
    </row>
    <row r="255" spans="1:17" s="83" customFormat="1" x14ac:dyDescent="0.2">
      <c r="A255" s="21">
        <v>40575</v>
      </c>
      <c r="B255" s="79">
        <f>VLOOKUP(A255,Database!$A:$AS,MATCH($B$1,Database!$A$1:$AS$1,0),FALSE)</f>
        <v>110.590784101</v>
      </c>
      <c r="C255" s="79">
        <f>VLOOKUP(A255,Database!$A:$AS,MATCH($C$1,Database!$A$1:$AS$1,0),FALSE)</f>
        <v>104.02</v>
      </c>
      <c r="D255" s="79">
        <f>VLOOKUP(A255,Database!$A:$AS,MATCH($D$1,Database!$A$1:$AS$1,0),FALSE)</f>
        <v>96.291975668999996</v>
      </c>
      <c r="E255" s="79">
        <f>VLOOKUP(A255,Database!$A:$AS,MATCH($E$1,Database!$A$1:$AS$1,0),FALSE)</f>
        <v>106.93208911000001</v>
      </c>
      <c r="F255" s="79">
        <f>VLOOKUP(A255,Database!$A:$AS,MATCH($F$1,Database!$A$1:$AS$1,0),FALSE)</f>
        <v>100.1</v>
      </c>
      <c r="G255" s="79">
        <f>VLOOKUP(A255,Database!$A:$AS,MATCH($G$1,Database!$A$1:$AS$1,0),FALSE)</f>
        <v>90.661408855000005</v>
      </c>
      <c r="H255" s="79">
        <f>(((Table134567891011121314151617343[[#This Row],[ITA]]-VLOOKUP($U$1,A:B,2,))/VLOOKUP($U$1,A:B,2,))*100)+100</f>
        <v>90.95394736818433</v>
      </c>
      <c r="I255" s="79">
        <f>(((Table134567891011121314151617343[[#This Row],[FRA]]-VLOOKUP($U$1,A:C,3,))/VLOOKUP($U$1,A:C,3,))*100)+100</f>
        <v>101.49282856864085</v>
      </c>
      <c r="J255" s="79">
        <f>(((Table134567891011121314151617343[[#This Row],[DEU]]-VLOOKUP($U$1,A:D,4,))/VLOOKUP($U$1,A:D,4,))*100)+100</f>
        <v>128.05851063787344</v>
      </c>
      <c r="K255" s="79">
        <f>(((Table134567891011121314151617343[[#This Row],[ESP]]-VLOOKUP($U$1,A:E,5,))/VLOOKUP($U$1,A:E,5,))*100)+100</f>
        <v>89.881482726486013</v>
      </c>
      <c r="L255" s="79">
        <f>(((Table134567891011121314151617343[[#This Row],[EA19]]-VLOOKUP($U$1,A:F,6,))/VLOOKUP($U$1,A:F,6,))*100)+100</f>
        <v>111.96868008948545</v>
      </c>
      <c r="M255" s="79">
        <f>(((Table134567891011121314151617343[[#This Row],[GBR]]-VLOOKUP($U$1,A:G,7,))/VLOOKUP($U$1,A:G,7,))*100)+100</f>
        <v>98.366394399232377</v>
      </c>
      <c r="N255" s="79">
        <f>VLOOKUP(A255,Database!$A:$AS,MATCH($N$1,Database!$A$1:$AS$1,0),FALSE)</f>
        <v>92.241618207000002</v>
      </c>
      <c r="O255" s="79">
        <f>(((Table134567891011121314151617343[[#This Row],[USA]]-VLOOKUP($U$1,A:N,14,))/VLOOKUP($U$1,A:N,14,))*100)+100</f>
        <v>106.19154066222599</v>
      </c>
      <c r="P255" s="79">
        <f>VLOOKUP(A255,Database!$A:$AS,MATCH($P$1,Database!$A$1:$AS$1,0),FALSE)</f>
        <v>105.206231094</v>
      </c>
      <c r="Q255" s="79">
        <f>(((Table134567891011121314151617343[[#This Row],[JPN]]-VLOOKUP($U$1,A:Q,16,))/VLOOKUP($U$1,A:Q,16,))*100)+100</f>
        <v>105.62489737959892</v>
      </c>
    </row>
    <row r="256" spans="1:17" s="83" customFormat="1" x14ac:dyDescent="0.2">
      <c r="A256" s="21">
        <v>40603</v>
      </c>
      <c r="B256" s="79">
        <f>VLOOKUP(A256,Database!$A:$AS,MATCH($B$1,Database!$A$1:$AS$1,0),FALSE)</f>
        <v>110.790767436</v>
      </c>
      <c r="C256" s="79">
        <f>VLOOKUP(A256,Database!$A:$AS,MATCH($C$1,Database!$A$1:$AS$1,0),FALSE)</f>
        <v>102.71</v>
      </c>
      <c r="D256" s="79">
        <f>VLOOKUP(A256,Database!$A:$AS,MATCH($D$1,Database!$A$1:$AS$1,0),FALSE)</f>
        <v>96.891925673000003</v>
      </c>
      <c r="E256" s="79">
        <f>VLOOKUP(A256,Database!$A:$AS,MATCH($E$1,Database!$A$1:$AS$1,0),FALSE)</f>
        <v>105.410087842</v>
      </c>
      <c r="F256" s="79">
        <f>VLOOKUP(A256,Database!$A:$AS,MATCH($F$1,Database!$A$1:$AS$1,0),FALSE)</f>
        <v>100.2</v>
      </c>
      <c r="G256" s="79">
        <f>VLOOKUP(A256,Database!$A:$AS,MATCH($G$1,Database!$A$1:$AS$1,0),FALSE)</f>
        <v>90.446316543999998</v>
      </c>
      <c r="H256" s="79">
        <f>(((Table134567891011121314151617343[[#This Row],[ITA]]-VLOOKUP($U$1,A:B,2,))/VLOOKUP($U$1,A:B,2,))*100)+100</f>
        <v>91.118421052623461</v>
      </c>
      <c r="I256" s="79">
        <f>(((Table134567891011121314151617343[[#This Row],[FRA]]-VLOOKUP($U$1,A:C,3,))/VLOOKUP($U$1,A:C,3,))*100)+100</f>
        <v>100.2146550883013</v>
      </c>
      <c r="J256" s="79">
        <f>(((Table134567891011121314151617343[[#This Row],[DEU]]-VLOOKUP($U$1,A:D,4,))/VLOOKUP($U$1,A:D,4,))*100)+100</f>
        <v>128.85638297807262</v>
      </c>
      <c r="K256" s="79">
        <f>(((Table134567891011121314151617343[[#This Row],[ESP]]-VLOOKUP($U$1,A:E,5,))/VLOOKUP($U$1,A:E,5,))*100)+100</f>
        <v>88.602168613968217</v>
      </c>
      <c r="L256" s="79">
        <f>(((Table134567891011121314151617343[[#This Row],[EA19]]-VLOOKUP($U$1,A:F,6,))/VLOOKUP($U$1,A:F,6,))*100)+100</f>
        <v>112.08053691275167</v>
      </c>
      <c r="M256" s="79">
        <f>(((Table134567891011121314151617343[[#This Row],[GBR]]-VLOOKUP($U$1,A:G,7,))/VLOOKUP($U$1,A:G,7,))*100)+100</f>
        <v>98.13302216993128</v>
      </c>
      <c r="N256" s="79">
        <f>VLOOKUP(A256,Database!$A:$AS,MATCH($N$1,Database!$A$1:$AS$1,0),FALSE)</f>
        <v>93.195834665999996</v>
      </c>
      <c r="O256" s="79">
        <f>(((Table134567891011121314151617343[[#This Row],[USA]]-VLOOKUP($U$1,A:N,14,))/VLOOKUP($U$1,A:N,14,))*100)+100</f>
        <v>107.29006557837684</v>
      </c>
      <c r="P256" s="79">
        <f>VLOOKUP(A256,Database!$A:$AS,MATCH($P$1,Database!$A$1:$AS$1,0),FALSE)</f>
        <v>88.578514569999996</v>
      </c>
      <c r="Q256" s="79">
        <f>(((Table134567891011121314151617343[[#This Row],[JPN]]-VLOOKUP($U$1,A:Q,16,))/VLOOKUP($U$1,A:Q,16,))*100)+100</f>
        <v>88.931011159729138</v>
      </c>
    </row>
    <row r="257" spans="1:17" s="83" customFormat="1" x14ac:dyDescent="0.2">
      <c r="A257" s="21">
        <v>40634</v>
      </c>
      <c r="B257" s="79">
        <f>VLOOKUP(A257,Database!$A:$AS,MATCH($B$1,Database!$A$1:$AS$1,0),FALSE)</f>
        <v>111.890675777</v>
      </c>
      <c r="C257" s="79">
        <f>VLOOKUP(A257,Database!$A:$AS,MATCH($C$1,Database!$A$1:$AS$1,0),FALSE)</f>
        <v>100.97</v>
      </c>
      <c r="D257" s="79">
        <f>VLOOKUP(A257,Database!$A:$AS,MATCH($D$1,Database!$A$1:$AS$1,0),FALSE)</f>
        <v>97.491875676999996</v>
      </c>
      <c r="E257" s="79">
        <f>VLOOKUP(A257,Database!$A:$AS,MATCH($E$1,Database!$A$1:$AS$1,0),FALSE)</f>
        <v>104.919087433</v>
      </c>
      <c r="F257" s="79">
        <f>VLOOKUP(A257,Database!$A:$AS,MATCH($F$1,Database!$A$1:$AS$1,0),FALSE)</f>
        <v>99.8</v>
      </c>
      <c r="G257" s="79">
        <f>VLOOKUP(A257,Database!$A:$AS,MATCH($G$1,Database!$A$1:$AS$1,0),FALSE)</f>
        <v>90.338770389000004</v>
      </c>
      <c r="H257" s="79">
        <f>(((Table134567891011121314151617343[[#This Row],[ITA]]-VLOOKUP($U$1,A:B,2,))/VLOOKUP($U$1,A:B,2,))*100)+100</f>
        <v>92.023026315805026</v>
      </c>
      <c r="I257" s="79">
        <f>(((Table134567891011121314151617343[[#This Row],[FRA]]-VLOOKUP($U$1,A:C,3,))/VLOOKUP($U$1,A:C,3,))*100)+100</f>
        <v>98.516928480827403</v>
      </c>
      <c r="J257" s="79">
        <f>(((Table134567891011121314151617343[[#This Row],[DEU]]-VLOOKUP($U$1,A:D,4,))/VLOOKUP($U$1,A:D,4,))*100)+100</f>
        <v>129.65425531827177</v>
      </c>
      <c r="K257" s="79">
        <f>(((Table134567891011121314151617343[[#This Row],[ESP]]-VLOOKUP($U$1,A:E,5,))/VLOOKUP($U$1,A:E,5,))*100)+100</f>
        <v>88.189459527785189</v>
      </c>
      <c r="L257" s="79">
        <f>(((Table134567891011121314151617343[[#This Row],[EA19]]-VLOOKUP($U$1,A:F,6,))/VLOOKUP($U$1,A:F,6,))*100)+100</f>
        <v>111.63310961968679</v>
      </c>
      <c r="M257" s="79">
        <f>(((Table134567891011121314151617343[[#This Row],[GBR]]-VLOOKUP($U$1,A:G,7,))/VLOOKUP($U$1,A:G,7,))*100)+100</f>
        <v>98.016336055823245</v>
      </c>
      <c r="N257" s="79">
        <f>VLOOKUP(A257,Database!$A:$AS,MATCH($N$1,Database!$A$1:$AS$1,0),FALSE)</f>
        <v>92.875383662000004</v>
      </c>
      <c r="O257" s="79">
        <f>(((Table134567891011121314151617343[[#This Row],[USA]]-VLOOKUP($U$1,A:N,14,))/VLOOKUP($U$1,A:N,14,))*100)+100</f>
        <v>106.92115199595084</v>
      </c>
      <c r="P257" s="79">
        <f>VLOOKUP(A257,Database!$A:$AS,MATCH($P$1,Database!$A$1:$AS$1,0),FALSE)</f>
        <v>90.220758176999993</v>
      </c>
      <c r="Q257" s="79">
        <f>(((Table134567891011121314151617343[[#This Row],[JPN]]-VLOOKUP($U$1,A:Q,16,))/VLOOKUP($U$1,A:Q,16,))*100)+100</f>
        <v>90.579790045332331</v>
      </c>
    </row>
    <row r="258" spans="1:17" s="83" customFormat="1" x14ac:dyDescent="0.2">
      <c r="A258" s="21">
        <v>40664</v>
      </c>
      <c r="B258" s="79">
        <f>VLOOKUP(A258,Database!$A:$AS,MATCH($B$1,Database!$A$1:$AS$1,0),FALSE)</f>
        <v>109.69085909499999</v>
      </c>
      <c r="C258" s="79">
        <f>VLOOKUP(A258,Database!$A:$AS,MATCH($C$1,Database!$A$1:$AS$1,0),FALSE)</f>
        <v>104.27</v>
      </c>
      <c r="D258" s="79">
        <f>VLOOKUP(A258,Database!$A:$AS,MATCH($D$1,Database!$A$1:$AS$1,0),FALSE)</f>
        <v>98.691775684999996</v>
      </c>
      <c r="E258" s="79">
        <f>VLOOKUP(A258,Database!$A:$AS,MATCH($E$1,Database!$A$1:$AS$1,0),FALSE)</f>
        <v>104.07508672900001</v>
      </c>
      <c r="F258" s="79">
        <f>VLOOKUP(A258,Database!$A:$AS,MATCH($F$1,Database!$A$1:$AS$1,0),FALSE)</f>
        <v>100.4</v>
      </c>
      <c r="G258" s="79">
        <f>VLOOKUP(A258,Database!$A:$AS,MATCH($G$1,Database!$A$1:$AS$1,0),FALSE)</f>
        <v>91.736870406999998</v>
      </c>
      <c r="H258" s="79">
        <f>(((Table134567891011121314151617343[[#This Row],[ITA]]-VLOOKUP($U$1,A:B,2,))/VLOOKUP($U$1,A:B,2,))*100)+100</f>
        <v>90.213815789441895</v>
      </c>
      <c r="I258" s="79">
        <f>(((Table134567891011121314151617343[[#This Row],[FRA]]-VLOOKUP($U$1,A:C,3,))/VLOOKUP($U$1,A:C,3,))*100)+100</f>
        <v>101.73675480534686</v>
      </c>
      <c r="J258" s="79">
        <f>(((Table134567891011121314151617343[[#This Row],[DEU]]-VLOOKUP($U$1,A:D,4,))/VLOOKUP($U$1,A:D,4,))*100)+100</f>
        <v>131.24999999867012</v>
      </c>
      <c r="K258" s="79">
        <f>(((Table134567891011121314151617343[[#This Row],[ESP]]-VLOOKUP($U$1,A:E,5,))/VLOOKUP($U$1,A:E,5,))*100)+100</f>
        <v>87.480036983728453</v>
      </c>
      <c r="L258" s="79">
        <f>(((Table134567891011121314151617343[[#This Row],[EA19]]-VLOOKUP($U$1,A:F,6,))/VLOOKUP($U$1,A:F,6,))*100)+100</f>
        <v>112.30425055928411</v>
      </c>
      <c r="M258" s="79">
        <f>(((Table134567891011121314151617343[[#This Row],[GBR]]-VLOOKUP($U$1,A:G,7,))/VLOOKUP($U$1,A:G,7,))*100)+100</f>
        <v>99.53325554248282</v>
      </c>
      <c r="N258" s="79">
        <f>VLOOKUP(A258,Database!$A:$AS,MATCH($N$1,Database!$A$1:$AS$1,0),FALSE)</f>
        <v>93.021980331999998</v>
      </c>
      <c r="O258" s="79">
        <f>(((Table134567891011121314151617343[[#This Row],[USA]]-VLOOKUP($U$1,A:N,14,))/VLOOKUP($U$1,A:N,14,))*100)+100</f>
        <v>107.08991883402078</v>
      </c>
      <c r="P258" s="79">
        <f>VLOOKUP(A258,Database!$A:$AS,MATCH($P$1,Database!$A$1:$AS$1,0),FALSE)</f>
        <v>96.173891253999997</v>
      </c>
      <c r="Q258" s="79">
        <f>(((Table134567891011121314151617343[[#This Row],[JPN]]-VLOOKUP($U$1,A:Q,16,))/VLOOKUP($U$1,A:Q,16,))*100)+100</f>
        <v>96.556613507275387</v>
      </c>
    </row>
    <row r="259" spans="1:17" s="83" customFormat="1" x14ac:dyDescent="0.2">
      <c r="A259" s="21">
        <v>40695</v>
      </c>
      <c r="B259" s="79">
        <f>VLOOKUP(A259,Database!$A:$AS,MATCH($B$1,Database!$A$1:$AS$1,0),FALSE)</f>
        <v>108.890925756</v>
      </c>
      <c r="C259" s="79">
        <f>VLOOKUP(A259,Database!$A:$AS,MATCH($C$1,Database!$A$1:$AS$1,0),FALSE)</f>
        <v>101.47</v>
      </c>
      <c r="D259" s="79">
        <f>VLOOKUP(A259,Database!$A:$AS,MATCH($D$1,Database!$A$1:$AS$1,0),FALSE)</f>
        <v>97.091909008000002</v>
      </c>
      <c r="E259" s="79">
        <f>VLOOKUP(A259,Database!$A:$AS,MATCH($E$1,Database!$A$1:$AS$1,0),FALSE)</f>
        <v>104.425087021</v>
      </c>
      <c r="F259" s="79">
        <f>VLOOKUP(A259,Database!$A:$AS,MATCH($F$1,Database!$A$1:$AS$1,0),FALSE)</f>
        <v>99</v>
      </c>
      <c r="G259" s="79">
        <f>VLOOKUP(A259,Database!$A:$AS,MATCH($G$1,Database!$A$1:$AS$1,0),FALSE)</f>
        <v>92.274601183000001</v>
      </c>
      <c r="H259" s="79">
        <f>(((Table134567891011121314151617343[[#This Row],[ITA]]-VLOOKUP($U$1,A:B,2,))/VLOOKUP($U$1,A:B,2,))*100)+100</f>
        <v>89.555921052507813</v>
      </c>
      <c r="I259" s="79">
        <f>(((Table134567891011121314151617343[[#This Row],[FRA]]-VLOOKUP($U$1,A:C,3,))/VLOOKUP($U$1,A:C,3,))*100)+100</f>
        <v>99.004780954239436</v>
      </c>
      <c r="J259" s="79">
        <f>(((Table134567891011121314151617343[[#This Row],[DEU]]-VLOOKUP($U$1,A:D,4,))/VLOOKUP($U$1,A:D,4,))*100)+100</f>
        <v>129.12234042524898</v>
      </c>
      <c r="K259" s="79">
        <f>(((Table134567891011121314151617343[[#This Row],[ESP]]-VLOOKUP($U$1,A:E,5,))/VLOOKUP($U$1,A:E,5,))*100)+100</f>
        <v>87.774228797069924</v>
      </c>
      <c r="L259" s="79">
        <f>(((Table134567891011121314151617343[[#This Row],[EA19]]-VLOOKUP($U$1,A:F,6,))/VLOOKUP($U$1,A:F,6,))*100)+100</f>
        <v>110.73825503355704</v>
      </c>
      <c r="M259" s="79">
        <f>(((Table134567891011121314151617343[[#This Row],[GBR]]-VLOOKUP($U$1,A:G,7,))/VLOOKUP($U$1,A:G,7,))*100)+100</f>
        <v>100.11668611410806</v>
      </c>
      <c r="N259" s="79">
        <f>VLOOKUP(A259,Database!$A:$AS,MATCH($N$1,Database!$A$1:$AS$1,0),FALSE)</f>
        <v>93.255305930999995</v>
      </c>
      <c r="O259" s="79">
        <f>(((Table134567891011121314151617343[[#This Row],[USA]]-VLOOKUP($U$1,A:N,14,))/VLOOKUP($U$1,A:N,14,))*100)+100</f>
        <v>107.35853082625778</v>
      </c>
      <c r="P259" s="79">
        <f>VLOOKUP(A259,Database!$A:$AS,MATCH($P$1,Database!$A$1:$AS$1,0),FALSE)</f>
        <v>100.074219821</v>
      </c>
      <c r="Q259" s="79">
        <f>(((Table134567891011121314151617343[[#This Row],[JPN]]-VLOOKUP($U$1,A:Q,16,))/VLOOKUP($U$1,A:Q,16,))*100)+100</f>
        <v>100.47246336095947</v>
      </c>
    </row>
    <row r="260" spans="1:17" s="83" customFormat="1" x14ac:dyDescent="0.2">
      <c r="A260" s="21">
        <v>40725</v>
      </c>
      <c r="B260" s="79">
        <f>VLOOKUP(A260,Database!$A:$AS,MATCH($B$1,Database!$A$1:$AS$1,0),FALSE)</f>
        <v>108.49095908699999</v>
      </c>
      <c r="C260" s="79">
        <f>VLOOKUP(A260,Database!$A:$AS,MATCH($C$1,Database!$A$1:$AS$1,0),FALSE)</f>
        <v>102.56</v>
      </c>
      <c r="D260" s="79">
        <f>VLOOKUP(A260,Database!$A:$AS,MATCH($D$1,Database!$A$1:$AS$1,0),FALSE)</f>
        <v>100.091659028</v>
      </c>
      <c r="E260" s="79">
        <f>VLOOKUP(A260,Database!$A:$AS,MATCH($E$1,Database!$A$1:$AS$1,0),FALSE)</f>
        <v>104.646087205</v>
      </c>
      <c r="F260" s="79">
        <f>VLOOKUP(A260,Database!$A:$AS,MATCH($F$1,Database!$A$1:$AS$1,0),FALSE)</f>
        <v>100</v>
      </c>
      <c r="G260" s="79">
        <f>VLOOKUP(A260,Database!$A:$AS,MATCH($G$1,Database!$A$1:$AS$1,0),FALSE)</f>
        <v>92.059508872999999</v>
      </c>
      <c r="H260" s="79">
        <f>(((Table134567891011121314151617343[[#This Row],[ITA]]-VLOOKUP($U$1,A:B,2,))/VLOOKUP($U$1,A:B,2,))*100)+100</f>
        <v>89.226973684451977</v>
      </c>
      <c r="I260" s="79">
        <f>(((Table134567891011121314151617343[[#This Row],[FRA]]-VLOOKUP($U$1,A:C,3,))/VLOOKUP($U$1,A:C,3,))*100)+100</f>
        <v>100.0682993462777</v>
      </c>
      <c r="J260" s="79">
        <f>(((Table134567891011121314151617343[[#This Row],[DEU]]-VLOOKUP($U$1,A:D,4,))/VLOOKUP($U$1,A:D,4,))*100)+100</f>
        <v>133.11170212624478</v>
      </c>
      <c r="K260" s="79">
        <f>(((Table134567891011121314151617343[[#This Row],[ESP]]-VLOOKUP($U$1,A:E,5,))/VLOOKUP($U$1,A:E,5,))*100)+100</f>
        <v>87.959989913177111</v>
      </c>
      <c r="L260" s="79">
        <f>(((Table134567891011121314151617343[[#This Row],[EA19]]-VLOOKUP($U$1,A:F,6,))/VLOOKUP($U$1,A:F,6,))*100)+100</f>
        <v>111.85682326621924</v>
      </c>
      <c r="M260" s="79">
        <f>(((Table134567891011121314151617343[[#This Row],[GBR]]-VLOOKUP($U$1,A:G,7,))/VLOOKUP($U$1,A:G,7,))*100)+100</f>
        <v>99.883313885891951</v>
      </c>
      <c r="N260" s="79">
        <f>VLOOKUP(A260,Database!$A:$AS,MATCH($N$1,Database!$A$1:$AS$1,0),FALSE)</f>
        <v>93.754567206999994</v>
      </c>
      <c r="O260" s="79">
        <f>(((Table134567891011121314151617343[[#This Row],[USA]]-VLOOKUP($U$1,A:N,14,))/VLOOKUP($U$1,A:N,14,))*100)+100</f>
        <v>107.93329658949983</v>
      </c>
      <c r="P260" s="79">
        <f>VLOOKUP(A260,Database!$A:$AS,MATCH($P$1,Database!$A$1:$AS$1,0),FALSE)</f>
        <v>100.99798185</v>
      </c>
      <c r="Q260" s="79">
        <f>(((Table134567891011121314151617343[[#This Row],[JPN]]-VLOOKUP($U$1,A:Q,16,))/VLOOKUP($U$1,A:Q,16,))*100)+100</f>
        <v>101.39990148417401</v>
      </c>
    </row>
    <row r="261" spans="1:17" s="83" customFormat="1" x14ac:dyDescent="0.2">
      <c r="A261" s="21">
        <v>40756</v>
      </c>
      <c r="B261" s="79">
        <f>VLOOKUP(A261,Database!$A:$AS,MATCH($B$1,Database!$A$1:$AS$1,0),FALSE)</f>
        <v>107.791017415</v>
      </c>
      <c r="C261" s="79">
        <f>VLOOKUP(A261,Database!$A:$AS,MATCH($C$1,Database!$A$1:$AS$1,0),FALSE)</f>
        <v>101.71</v>
      </c>
      <c r="D261" s="79">
        <f>VLOOKUP(A261,Database!$A:$AS,MATCH($D$1,Database!$A$1:$AS$1,0),FALSE)</f>
        <v>99.291725690000007</v>
      </c>
      <c r="E261" s="79">
        <f>VLOOKUP(A261,Database!$A:$AS,MATCH($E$1,Database!$A$1:$AS$1,0),FALSE)</f>
        <v>104.65608721300001</v>
      </c>
      <c r="F261" s="79">
        <f>VLOOKUP(A261,Database!$A:$AS,MATCH($F$1,Database!$A$1:$AS$1,0),FALSE)</f>
        <v>100.1</v>
      </c>
      <c r="G261" s="79">
        <f>VLOOKUP(A261,Database!$A:$AS,MATCH($G$1,Database!$A$1:$AS$1,0),FALSE)</f>
        <v>91.736870406999998</v>
      </c>
      <c r="H261" s="79">
        <f>(((Table134567891011121314151617343[[#This Row],[ITA]]-VLOOKUP($U$1,A:B,2,))/VLOOKUP($U$1,A:B,2,))*100)+100</f>
        <v>88.651315789326247</v>
      </c>
      <c r="I261" s="79">
        <f>(((Table134567891011121314151617343[[#This Row],[FRA]]-VLOOKUP($U$1,A:C,3,))/VLOOKUP($U$1,A:C,3,))*100)+100</f>
        <v>99.238950141477218</v>
      </c>
      <c r="J261" s="79">
        <f>(((Table134567891011121314151617343[[#This Row],[DEU]]-VLOOKUP($U$1,A:D,4,))/VLOOKUP($U$1,A:D,4,))*100)+100</f>
        <v>132.04787234019918</v>
      </c>
      <c r="K261" s="79">
        <f>(((Table134567891011121314151617343[[#This Row],[ESP]]-VLOOKUP($U$1,A:E,5,))/VLOOKUP($U$1,A:E,5,))*100)+100</f>
        <v>87.968395393270114</v>
      </c>
      <c r="L261" s="79">
        <f>(((Table134567891011121314151617343[[#This Row],[EA19]]-VLOOKUP($U$1,A:F,6,))/VLOOKUP($U$1,A:F,6,))*100)+100</f>
        <v>111.96868008948545</v>
      </c>
      <c r="M261" s="79">
        <f>(((Table134567891011121314151617343[[#This Row],[GBR]]-VLOOKUP($U$1,A:G,7,))/VLOOKUP($U$1,A:G,7,))*100)+100</f>
        <v>99.53325554248282</v>
      </c>
      <c r="N261" s="79">
        <f>VLOOKUP(A261,Database!$A:$AS,MATCH($N$1,Database!$A$1:$AS$1,0),FALSE)</f>
        <v>94.321923083000001</v>
      </c>
      <c r="O261" s="79">
        <f>(((Table134567891011121314151617343[[#This Row],[USA]]-VLOOKUP($U$1,A:N,14,))/VLOOKUP($U$1,A:N,14,))*100)+100</f>
        <v>108.58645506337876</v>
      </c>
      <c r="P261" s="79">
        <f>VLOOKUP(A261,Database!$A:$AS,MATCH($P$1,Database!$A$1:$AS$1,0),FALSE)</f>
        <v>102.537585232</v>
      </c>
      <c r="Q261" s="79">
        <f>(((Table134567891011121314151617343[[#This Row],[JPN]]-VLOOKUP($U$1,A:Q,16,))/VLOOKUP($U$1,A:Q,16,))*100)+100</f>
        <v>102.94563168986623</v>
      </c>
    </row>
    <row r="262" spans="1:17" s="83" customFormat="1" x14ac:dyDescent="0.2">
      <c r="A262" s="21">
        <v>40787</v>
      </c>
      <c r="B262" s="79">
        <f>VLOOKUP(A262,Database!$A:$AS,MATCH($B$1,Database!$A$1:$AS$1,0),FALSE)</f>
        <v>107.291059078</v>
      </c>
      <c r="C262" s="79">
        <f>VLOOKUP(A262,Database!$A:$AS,MATCH($C$1,Database!$A$1:$AS$1,0),FALSE)</f>
        <v>100.98</v>
      </c>
      <c r="D262" s="79">
        <f>VLOOKUP(A262,Database!$A:$AS,MATCH($D$1,Database!$A$1:$AS$1,0),FALSE)</f>
        <v>97.791850679000007</v>
      </c>
      <c r="E262" s="79">
        <f>VLOOKUP(A262,Database!$A:$AS,MATCH($E$1,Database!$A$1:$AS$1,0),FALSE)</f>
        <v>103.207086006</v>
      </c>
      <c r="F262" s="79">
        <f>VLOOKUP(A262,Database!$A:$AS,MATCH($F$1,Database!$A$1:$AS$1,0),FALSE)</f>
        <v>99.1</v>
      </c>
      <c r="G262" s="79">
        <f>VLOOKUP(A262,Database!$A:$AS,MATCH($G$1,Database!$A$1:$AS$1,0),FALSE)</f>
        <v>91.951962717000001</v>
      </c>
      <c r="H262" s="79">
        <f>(((Table134567891011121314151617343[[#This Row],[ITA]]-VLOOKUP($U$1,A:B,2,))/VLOOKUP($U$1,A:B,2,))*100)+100</f>
        <v>88.240131578639634</v>
      </c>
      <c r="I262" s="79">
        <f>(((Table134567891011121314151617343[[#This Row],[FRA]]-VLOOKUP($U$1,A:C,3,))/VLOOKUP($U$1,A:C,3,))*100)+100</f>
        <v>98.526685530295651</v>
      </c>
      <c r="J262" s="79">
        <f>(((Table134567891011121314151617343[[#This Row],[DEU]]-VLOOKUP($U$1,A:D,4,))/VLOOKUP($U$1,A:D,4,))*100)+100</f>
        <v>130.05319148837137</v>
      </c>
      <c r="K262" s="79">
        <f>(((Table134567891011121314151617343[[#This Row],[ESP]]-VLOOKUP($U$1,A:E,5,))/VLOOKUP($U$1,A:E,5,))*100)+100</f>
        <v>86.750441287616624</v>
      </c>
      <c r="L262" s="79">
        <f>(((Table134567891011121314151617343[[#This Row],[EA19]]-VLOOKUP($U$1,A:F,6,))/VLOOKUP($U$1,A:F,6,))*100)+100</f>
        <v>110.85011185682325</v>
      </c>
      <c r="M262" s="79">
        <f>(((Table134567891011121314151617343[[#This Row],[GBR]]-VLOOKUP($U$1,A:G,7,))/VLOOKUP($U$1,A:G,7,))*100)+100</f>
        <v>99.766627770698932</v>
      </c>
      <c r="N262" s="79">
        <f>VLOOKUP(A262,Database!$A:$AS,MATCH($N$1,Database!$A$1:$AS$1,0),FALSE)</f>
        <v>94.247584000000003</v>
      </c>
      <c r="O262" s="79">
        <f>(((Table134567891011121314151617343[[#This Row],[USA]]-VLOOKUP($U$1,A:N,14,))/VLOOKUP($U$1,A:N,14,))*100)+100</f>
        <v>108.50087350151294</v>
      </c>
      <c r="P262" s="79">
        <f>VLOOKUP(A262,Database!$A:$AS,MATCH($P$1,Database!$A$1:$AS$1,0),FALSE)</f>
        <v>101.921743879</v>
      </c>
      <c r="Q262" s="79">
        <f>(((Table134567891011121314151617343[[#This Row],[JPN]]-VLOOKUP($U$1,A:Q,16,))/VLOOKUP($U$1,A:Q,16,))*100)+100</f>
        <v>102.32733960738855</v>
      </c>
    </row>
    <row r="263" spans="1:17" s="83" customFormat="1" x14ac:dyDescent="0.2">
      <c r="A263" s="21">
        <v>40817</v>
      </c>
      <c r="B263" s="79">
        <f>VLOOKUP(A263,Database!$A:$AS,MATCH($B$1,Database!$A$1:$AS$1,0),FALSE)</f>
        <v>105.99116740300001</v>
      </c>
      <c r="C263" s="79">
        <f>VLOOKUP(A263,Database!$A:$AS,MATCH($C$1,Database!$A$1:$AS$1,0),FALSE)</f>
        <v>101.18</v>
      </c>
      <c r="D263" s="79">
        <f>VLOOKUP(A263,Database!$A:$AS,MATCH($D$1,Database!$A$1:$AS$1,0),FALSE)</f>
        <v>98.891759019999995</v>
      </c>
      <c r="E263" s="79">
        <f>VLOOKUP(A263,Database!$A:$AS,MATCH($E$1,Database!$A$1:$AS$1,0),FALSE)</f>
        <v>101.283084403</v>
      </c>
      <c r="F263" s="79">
        <f>VLOOKUP(A263,Database!$A:$AS,MATCH($F$1,Database!$A$1:$AS$1,0),FALSE)</f>
        <v>98.8</v>
      </c>
      <c r="G263" s="79">
        <f>VLOOKUP(A263,Database!$A:$AS,MATCH($G$1,Database!$A$1:$AS$1,0),FALSE)</f>
        <v>92.489693493000004</v>
      </c>
      <c r="H263" s="79">
        <f>(((Table134567891011121314151617343[[#This Row],[ITA]]-VLOOKUP($U$1,A:B,2,))/VLOOKUP($U$1,A:B,2,))*100)+100</f>
        <v>87.171052631841377</v>
      </c>
      <c r="I263" s="79">
        <f>(((Table134567891011121314151617343[[#This Row],[FRA]]-VLOOKUP($U$1,A:C,3,))/VLOOKUP($U$1,A:C,3,))*100)+100</f>
        <v>98.721826519660468</v>
      </c>
      <c r="J263" s="79">
        <f>(((Table134567891011121314151617343[[#This Row],[DEU]]-VLOOKUP($U$1,A:D,4,))/VLOOKUP($U$1,A:D,4,))*100)+100</f>
        <v>131.51595744584645</v>
      </c>
      <c r="K263" s="79">
        <f>(((Table134567891011121314151617343[[#This Row],[ESP]]-VLOOKUP($U$1,A:E,5,))/VLOOKUP($U$1,A:E,5,))*100)+100</f>
        <v>85.133226864097026</v>
      </c>
      <c r="L263" s="79">
        <f>(((Table134567891011121314151617343[[#This Row],[EA19]]-VLOOKUP($U$1,A:F,6,))/VLOOKUP($U$1,A:F,6,))*100)+100</f>
        <v>110.51454138702459</v>
      </c>
      <c r="M263" s="79">
        <f>(((Table134567891011121314151617343[[#This Row],[GBR]]-VLOOKUP($U$1,A:G,7,))/VLOOKUP($U$1,A:G,7,))*100)+100</f>
        <v>100.35005834232416</v>
      </c>
      <c r="N263" s="79">
        <f>VLOOKUP(A263,Database!$A:$AS,MATCH($N$1,Database!$A$1:$AS$1,0),FALSE)</f>
        <v>94.846955241000003</v>
      </c>
      <c r="O263" s="79">
        <f>(((Table134567891011121314151617343[[#This Row],[USA]]-VLOOKUP($U$1,A:N,14,))/VLOOKUP($U$1,A:N,14,))*100)+100</f>
        <v>109.19088910127819</v>
      </c>
      <c r="P263" s="79">
        <f>VLOOKUP(A263,Database!$A:$AS,MATCH($P$1,Database!$A$1:$AS$1,0),FALSE)</f>
        <v>103.56398748700001</v>
      </c>
      <c r="Q263" s="79">
        <f>(((Table134567891011121314151617343[[#This Row],[JPN]]-VLOOKUP($U$1,A:Q,16,))/VLOOKUP($U$1,A:Q,16,))*100)+100</f>
        <v>103.97611849399573</v>
      </c>
    </row>
    <row r="264" spans="1:17" s="83" customFormat="1" x14ac:dyDescent="0.2">
      <c r="A264" s="21">
        <v>40848</v>
      </c>
      <c r="B264" s="79">
        <f>VLOOKUP(A264,Database!$A:$AS,MATCH($B$1,Database!$A$1:$AS$1,0),FALSE)</f>
        <v>106.791100742</v>
      </c>
      <c r="C264" s="79">
        <f>VLOOKUP(A264,Database!$A:$AS,MATCH($C$1,Database!$A$1:$AS$1,0),FALSE)</f>
        <v>103.23</v>
      </c>
      <c r="D264" s="79">
        <f>VLOOKUP(A264,Database!$A:$AS,MATCH($D$1,Database!$A$1:$AS$1,0),FALSE)</f>
        <v>98.191817349000004</v>
      </c>
      <c r="E264" s="79">
        <f>VLOOKUP(A264,Database!$A:$AS,MATCH($E$1,Database!$A$1:$AS$1,0),FALSE)</f>
        <v>100.82108401799999</v>
      </c>
      <c r="F264" s="79">
        <f>VLOOKUP(A264,Database!$A:$AS,MATCH($F$1,Database!$A$1:$AS$1,0),FALSE)</f>
        <v>99.1</v>
      </c>
      <c r="G264" s="79">
        <f>VLOOKUP(A264,Database!$A:$AS,MATCH($G$1,Database!$A$1:$AS$1,0),FALSE)</f>
        <v>91.736870406999998</v>
      </c>
      <c r="H264" s="79">
        <f>(((Table134567891011121314151617343[[#This Row],[ITA]]-VLOOKUP($U$1,A:B,2,))/VLOOKUP($U$1,A:B,2,))*100)+100</f>
        <v>87.828947368775459</v>
      </c>
      <c r="I264" s="79">
        <f>(((Table134567891011121314151617343[[#This Row],[FRA]]-VLOOKUP($U$1,A:C,3,))/VLOOKUP($U$1,A:C,3,))*100)+100</f>
        <v>100.72202166064983</v>
      </c>
      <c r="J264" s="79">
        <f>(((Table134567891011121314151617343[[#This Row],[DEU]]-VLOOKUP($U$1,A:D,4,))/VLOOKUP($U$1,A:D,4,))*100)+100</f>
        <v>130.58510638272406</v>
      </c>
      <c r="K264" s="79">
        <f>(((Table134567891011121314151617343[[#This Row],[ESP]]-VLOOKUP($U$1,A:E,5,))/VLOOKUP($U$1,A:E,5,))*100)+100</f>
        <v>84.744893670856115</v>
      </c>
      <c r="L264" s="79">
        <f>(((Table134567891011121314151617343[[#This Row],[EA19]]-VLOOKUP($U$1,A:F,6,))/VLOOKUP($U$1,A:F,6,))*100)+100</f>
        <v>110.85011185682325</v>
      </c>
      <c r="M264" s="79">
        <f>(((Table134567891011121314151617343[[#This Row],[GBR]]-VLOOKUP($U$1,A:G,7,))/VLOOKUP($U$1,A:G,7,))*100)+100</f>
        <v>99.53325554248282</v>
      </c>
      <c r="N264" s="79">
        <f>VLOOKUP(A264,Database!$A:$AS,MATCH($N$1,Database!$A$1:$AS$1,0),FALSE)</f>
        <v>94.887098344999998</v>
      </c>
      <c r="O264" s="79">
        <f>(((Table134567891011121314151617343[[#This Row],[USA]]-VLOOKUP($U$1,A:N,14,))/VLOOKUP($U$1,A:N,14,))*100)+100</f>
        <v>109.23710314374172</v>
      </c>
      <c r="P264" s="79">
        <f>VLOOKUP(A264,Database!$A:$AS,MATCH($P$1,Database!$A$1:$AS$1,0),FALSE)</f>
        <v>101.51118297799999</v>
      </c>
      <c r="Q264" s="79">
        <f>(((Table134567891011121314151617343[[#This Row],[JPN]]-VLOOKUP($U$1,A:Q,16,))/VLOOKUP($U$1,A:Q,16,))*100)+100</f>
        <v>101.91514488674073</v>
      </c>
    </row>
    <row r="265" spans="1:17" s="83" customFormat="1" x14ac:dyDescent="0.2">
      <c r="A265" s="21">
        <v>40878</v>
      </c>
      <c r="B265" s="79">
        <f>VLOOKUP(A265,Database!$A:$AS,MATCH($B$1,Database!$A$1:$AS$1,0),FALSE)</f>
        <v>107.691025748</v>
      </c>
      <c r="C265" s="79">
        <f>VLOOKUP(A265,Database!$A:$AS,MATCH($C$1,Database!$A$1:$AS$1,0),FALSE)</f>
        <v>101.18</v>
      </c>
      <c r="D265" s="79">
        <f>VLOOKUP(A265,Database!$A:$AS,MATCH($D$1,Database!$A$1:$AS$1,0),FALSE)</f>
        <v>96.791934005000002</v>
      </c>
      <c r="E265" s="79">
        <f>VLOOKUP(A265,Database!$A:$AS,MATCH($E$1,Database!$A$1:$AS$1,0),FALSE)</f>
        <v>102.674085562</v>
      </c>
      <c r="F265" s="79">
        <f>VLOOKUP(A265,Database!$A:$AS,MATCH($F$1,Database!$A$1:$AS$1,0),FALSE)</f>
        <v>98.5</v>
      </c>
      <c r="G265" s="79">
        <f>VLOOKUP(A265,Database!$A:$AS,MATCH($G$1,Database!$A$1:$AS$1,0),FALSE)</f>
        <v>91.629324252000004</v>
      </c>
      <c r="H265" s="79">
        <f>(((Table134567891011121314151617343[[#This Row],[ITA]]-VLOOKUP($U$1,A:B,2,))/VLOOKUP($U$1,A:B,2,))*100)+100</f>
        <v>88.569078947517895</v>
      </c>
      <c r="I265" s="79">
        <f>(((Table134567891011121314151617343[[#This Row],[FRA]]-VLOOKUP($U$1,A:C,3,))/VLOOKUP($U$1,A:C,3,))*100)+100</f>
        <v>98.721826519660468</v>
      </c>
      <c r="J265" s="79">
        <f>(((Table134567891011121314151617343[[#This Row],[DEU]]-VLOOKUP($U$1,A:D,4,))/VLOOKUP($U$1,A:D,4,))*100)+100</f>
        <v>128.7234042538195</v>
      </c>
      <c r="K265" s="79">
        <f>(((Table134567891011121314151617343[[#This Row],[ESP]]-VLOOKUP($U$1,A:E,5,))/VLOOKUP($U$1,A:E,5,))*100)+100</f>
        <v>86.302429183866238</v>
      </c>
      <c r="L265" s="79">
        <f>(((Table134567891011121314151617343[[#This Row],[EA19]]-VLOOKUP($U$1,A:F,6,))/VLOOKUP($U$1,A:F,6,))*100)+100</f>
        <v>110.17897091722594</v>
      </c>
      <c r="M265" s="79">
        <f>(((Table134567891011121314151617343[[#This Row],[GBR]]-VLOOKUP($U$1,A:G,7,))/VLOOKUP($U$1,A:G,7,))*100)+100</f>
        <v>99.416569428374785</v>
      </c>
      <c r="N265" s="79">
        <f>VLOOKUP(A265,Database!$A:$AS,MATCH($N$1,Database!$A$1:$AS$1,0),FALSE)</f>
        <v>95.356921344</v>
      </c>
      <c r="O265" s="79">
        <f>(((Table134567891011121314151617343[[#This Row],[USA]]-VLOOKUP($U$1,A:N,14,))/VLOOKUP($U$1,A:N,14,))*100)+100</f>
        <v>109.77797860833294</v>
      </c>
      <c r="P265" s="79">
        <f>VLOOKUP(A265,Database!$A:$AS,MATCH($P$1,Database!$A$1:$AS$1,0),FALSE)</f>
        <v>103.56398748700001</v>
      </c>
      <c r="Q265" s="79">
        <f>(((Table134567891011121314151617343[[#This Row],[JPN]]-VLOOKUP($U$1,A:Q,16,))/VLOOKUP($U$1,A:Q,16,))*100)+100</f>
        <v>103.97611849399573</v>
      </c>
    </row>
    <row r="266" spans="1:17" s="83" customFormat="1" x14ac:dyDescent="0.2">
      <c r="A266" s="21">
        <v>40909</v>
      </c>
      <c r="B266" s="79">
        <f>VLOOKUP(A266,Database!$A:$AS,MATCH($B$1,Database!$A$1:$AS$1,0),FALSE)</f>
        <v>103.591367386</v>
      </c>
      <c r="C266" s="79">
        <f>VLOOKUP(A266,Database!$A:$AS,MATCH($C$1,Database!$A$1:$AS$1,0),FALSE)</f>
        <v>100.75</v>
      </c>
      <c r="D266" s="79">
        <f>VLOOKUP(A266,Database!$A:$AS,MATCH($D$1,Database!$A$1:$AS$1,0),FALSE)</f>
        <v>97.291892341999997</v>
      </c>
      <c r="E266" s="79">
        <f>VLOOKUP(A266,Database!$A:$AS,MATCH($E$1,Database!$A$1:$AS$1,0),FALSE)</f>
        <v>100.671083893</v>
      </c>
      <c r="F266" s="79">
        <f>VLOOKUP(A266,Database!$A:$AS,MATCH($F$1,Database!$A$1:$AS$1,0),FALSE)</f>
        <v>97.8</v>
      </c>
      <c r="G266" s="79">
        <f>VLOOKUP(A266,Database!$A:$AS,MATCH($G$1,Database!$A$1:$AS$1,0),FALSE)</f>
        <v>91.199139630999994</v>
      </c>
      <c r="H266" s="79">
        <f>(((Table134567891011121314151617343[[#This Row],[ITA]]-VLOOKUP($U$1,A:B,2,))/VLOOKUP($U$1,A:B,2,))*100)+100</f>
        <v>85.197368421039116</v>
      </c>
      <c r="I266" s="79">
        <f>(((Table134567891011121314151617343[[#This Row],[FRA]]-VLOOKUP($U$1,A:C,3,))/VLOOKUP($U$1,A:C,3,))*100)+100</f>
        <v>98.302273392526104</v>
      </c>
      <c r="J266" s="79">
        <f>(((Table134567891011121314151617343[[#This Row],[DEU]]-VLOOKUP($U$1,A:D,4,))/VLOOKUP($U$1,A:D,4,))*100)+100</f>
        <v>129.38829787109543</v>
      </c>
      <c r="K266" s="79">
        <f>(((Table134567891011121314151617343[[#This Row],[ESP]]-VLOOKUP($U$1,A:E,5,))/VLOOKUP($U$1,A:E,5,))*100)+100</f>
        <v>84.618811465258418</v>
      </c>
      <c r="L266" s="79">
        <f>(((Table134567891011121314151617343[[#This Row],[EA19]]-VLOOKUP($U$1,A:F,6,))/VLOOKUP($U$1,A:F,6,))*100)+100</f>
        <v>109.39597315436241</v>
      </c>
      <c r="M266" s="79">
        <f>(((Table134567891011121314151617343[[#This Row],[GBR]]-VLOOKUP($U$1,A:G,7,))/VLOOKUP($U$1,A:G,7,))*100)+100</f>
        <v>98.949824970857591</v>
      </c>
      <c r="N266" s="79">
        <f>VLOOKUP(A266,Database!$A:$AS,MATCH($N$1,Database!$A$1:$AS$1,0),FALSE)</f>
        <v>95.924376338000002</v>
      </c>
      <c r="O266" s="79">
        <f>(((Table134567891011121314151617343[[#This Row],[USA]]-VLOOKUP($U$1,A:N,14,))/VLOOKUP($U$1,A:N,14,))*100)+100</f>
        <v>110.43125119006615</v>
      </c>
      <c r="P266" s="79">
        <f>VLOOKUP(A266,Database!$A:$AS,MATCH($P$1,Database!$A$1:$AS$1,0),FALSE)</f>
        <v>103.871908163</v>
      </c>
      <c r="Q266" s="79">
        <f>(((Table134567891011121314151617343[[#This Row],[JPN]]-VLOOKUP($U$1,A:Q,16,))/VLOOKUP($U$1,A:Q,16,))*100)+100</f>
        <v>104.28526453473258</v>
      </c>
    </row>
    <row r="267" spans="1:17" s="83" customFormat="1" x14ac:dyDescent="0.2">
      <c r="A267" s="21">
        <v>40940</v>
      </c>
      <c r="B267" s="79">
        <f>VLOOKUP(A267,Database!$A:$AS,MATCH($B$1,Database!$A$1:$AS$1,0),FALSE)</f>
        <v>103.891342388</v>
      </c>
      <c r="C267" s="79">
        <f>VLOOKUP(A267,Database!$A:$AS,MATCH($C$1,Database!$A$1:$AS$1,0),FALSE)</f>
        <v>101.6</v>
      </c>
      <c r="D267" s="79">
        <f>VLOOKUP(A267,Database!$A:$AS,MATCH($D$1,Database!$A$1:$AS$1,0),FALSE)</f>
        <v>97.191900674999999</v>
      </c>
      <c r="E267" s="79">
        <f>VLOOKUP(A267,Database!$A:$AS,MATCH($E$1,Database!$A$1:$AS$1,0),FALSE)</f>
        <v>99.040082533000003</v>
      </c>
      <c r="F267" s="79">
        <f>VLOOKUP(A267,Database!$A:$AS,MATCH($F$1,Database!$A$1:$AS$1,0),FALSE)</f>
        <v>98.4</v>
      </c>
      <c r="G267" s="79">
        <f>VLOOKUP(A267,Database!$A:$AS,MATCH($G$1,Database!$A$1:$AS$1,0),FALSE)</f>
        <v>91.091593476</v>
      </c>
      <c r="H267" s="79">
        <f>(((Table134567891011121314151617343[[#This Row],[ITA]]-VLOOKUP($U$1,A:B,2,))/VLOOKUP($U$1,A:B,2,))*100)+100</f>
        <v>85.444078947286584</v>
      </c>
      <c r="I267" s="79">
        <f>(((Table134567891011121314151617343[[#This Row],[FRA]]-VLOOKUP($U$1,A:C,3,))/VLOOKUP($U$1,A:C,3,))*100)+100</f>
        <v>99.131622597326569</v>
      </c>
      <c r="J267" s="79">
        <f>(((Table134567891011121314151617343[[#This Row],[DEU]]-VLOOKUP($U$1,A:D,4,))/VLOOKUP($U$1,A:D,4,))*100)+100</f>
        <v>129.25531914817219</v>
      </c>
      <c r="K267" s="79">
        <f>(((Table134567891011121314151617343[[#This Row],[ESP]]-VLOOKUP($U$1,A:E,5,))/VLOOKUP($U$1,A:E,5,))*100)+100</f>
        <v>83.247877615692346</v>
      </c>
      <c r="L267" s="79">
        <f>(((Table134567891011121314151617343[[#This Row],[EA19]]-VLOOKUP($U$1,A:F,6,))/VLOOKUP($U$1,A:F,6,))*100)+100</f>
        <v>110.06711409395973</v>
      </c>
      <c r="M267" s="79">
        <f>(((Table134567891011121314151617343[[#This Row],[GBR]]-VLOOKUP($U$1,A:G,7,))/VLOOKUP($U$1,A:G,7,))*100)+100</f>
        <v>98.833138856749542</v>
      </c>
      <c r="N267" s="79">
        <f>VLOOKUP(A267,Database!$A:$AS,MATCH($N$1,Database!$A$1:$AS$1,0),FALSE)</f>
        <v>96.195763548000002</v>
      </c>
      <c r="O267" s="79">
        <f>(((Table134567891011121314151617343[[#This Row],[USA]]-VLOOKUP($U$1,A:N,14,))/VLOOKUP($U$1,A:N,14,))*100)+100</f>
        <v>110.74368094255867</v>
      </c>
      <c r="P267" s="79">
        <f>VLOOKUP(A267,Database!$A:$AS,MATCH($P$1,Database!$A$1:$AS$1,0),FALSE)</f>
        <v>103.66662771199999</v>
      </c>
      <c r="Q267" s="79">
        <f>(((Table134567891011121314151617343[[#This Row],[JPN]]-VLOOKUP($U$1,A:Q,16,))/VLOOKUP($U$1,A:Q,16,))*100)+100</f>
        <v>104.07916717390668</v>
      </c>
    </row>
    <row r="268" spans="1:17" s="83" customFormat="1" x14ac:dyDescent="0.2">
      <c r="A268" s="21">
        <v>40969</v>
      </c>
      <c r="B268" s="79">
        <f>VLOOKUP(A268,Database!$A:$AS,MATCH($B$1,Database!$A$1:$AS$1,0),FALSE)</f>
        <v>104.291309058</v>
      </c>
      <c r="C268" s="79">
        <f>VLOOKUP(A268,Database!$A:$AS,MATCH($C$1,Database!$A$1:$AS$1,0),FALSE)</f>
        <v>100.67</v>
      </c>
      <c r="D268" s="79">
        <f>VLOOKUP(A268,Database!$A:$AS,MATCH($D$1,Database!$A$1:$AS$1,0),FALSE)</f>
        <v>98.391800683</v>
      </c>
      <c r="E268" s="79">
        <f>VLOOKUP(A268,Database!$A:$AS,MATCH($E$1,Database!$A$1:$AS$1,0),FALSE)</f>
        <v>97.986081655000007</v>
      </c>
      <c r="F268" s="79">
        <f>VLOOKUP(A268,Database!$A:$AS,MATCH($F$1,Database!$A$1:$AS$1,0),FALSE)</f>
        <v>98.2</v>
      </c>
      <c r="G268" s="79">
        <f>VLOOKUP(A268,Database!$A:$AS,MATCH($G$1,Database!$A$1:$AS$1,0),FALSE)</f>
        <v>90.553862699000007</v>
      </c>
      <c r="H268" s="79">
        <f>(((Table134567891011121314151617343[[#This Row],[ITA]]-VLOOKUP($U$1,A:B,2,))/VLOOKUP($U$1,A:B,2,))*100)+100</f>
        <v>85.773026316164845</v>
      </c>
      <c r="I268" s="79">
        <f>(((Table134567891011121314151617343[[#This Row],[FRA]]-VLOOKUP($U$1,A:C,3,))/VLOOKUP($U$1,A:C,3,))*100)+100</f>
        <v>98.224216996780186</v>
      </c>
      <c r="J268" s="79">
        <f>(((Table134567891011121314151617343[[#This Row],[DEU]]-VLOOKUP($U$1,A:D,4,))/VLOOKUP($U$1,A:D,4,))*100)+100</f>
        <v>130.85106382857055</v>
      </c>
      <c r="K268" s="79">
        <f>(((Table134567891011121314151617343[[#This Row],[ESP]]-VLOOKUP($U$1,A:E,5,))/VLOOKUP($U$1,A:E,5,))*100)+100</f>
        <v>82.361939984639378</v>
      </c>
      <c r="L268" s="79">
        <f>(((Table134567891011121314151617343[[#This Row],[EA19]]-VLOOKUP($U$1,A:F,6,))/VLOOKUP($U$1,A:F,6,))*100)+100</f>
        <v>109.84340044742729</v>
      </c>
      <c r="M268" s="79">
        <f>(((Table134567891011121314151617343[[#This Row],[GBR]]-VLOOKUP($U$1,A:G,7,))/VLOOKUP($U$1,A:G,7,))*100)+100</f>
        <v>98.249708284039343</v>
      </c>
      <c r="N268" s="79">
        <f>VLOOKUP(A268,Database!$A:$AS,MATCH($N$1,Database!$A$1:$AS$1,0),FALSE)</f>
        <v>95.720389897000004</v>
      </c>
      <c r="O268" s="79">
        <f>(((Table134567891011121314151617343[[#This Row],[USA]]-VLOOKUP($U$1,A:N,14,))/VLOOKUP($U$1,A:N,14,))*100)+100</f>
        <v>110.19641538747449</v>
      </c>
      <c r="P268" s="79">
        <f>VLOOKUP(A268,Database!$A:$AS,MATCH($P$1,Database!$A$1:$AS$1,0),FALSE)</f>
        <v>103.461347261</v>
      </c>
      <c r="Q268" s="79">
        <f>(((Table134567891011121314151617343[[#This Row],[JPN]]-VLOOKUP($U$1,A:Q,16,))/VLOOKUP($U$1,A:Q,16,))*100)+100</f>
        <v>103.87306981308079</v>
      </c>
    </row>
    <row r="269" spans="1:17" s="83" customFormat="1" x14ac:dyDescent="0.2">
      <c r="A269" s="21">
        <v>41000</v>
      </c>
      <c r="B269" s="79">
        <f>VLOOKUP(A269,Database!$A:$AS,MATCH($B$1,Database!$A$1:$AS$1,0),FALSE)</f>
        <v>102.791434047</v>
      </c>
      <c r="C269" s="79">
        <f>VLOOKUP(A269,Database!$A:$AS,MATCH($C$1,Database!$A$1:$AS$1,0),FALSE)</f>
        <v>100.98</v>
      </c>
      <c r="D269" s="79">
        <f>VLOOKUP(A269,Database!$A:$AS,MATCH($D$1,Database!$A$1:$AS$1,0),FALSE)</f>
        <v>96.591950671000006</v>
      </c>
      <c r="E269" s="79">
        <f>VLOOKUP(A269,Database!$A:$AS,MATCH($E$1,Database!$A$1:$AS$1,0),FALSE)</f>
        <v>96.996080829999997</v>
      </c>
      <c r="F269" s="79">
        <f>VLOOKUP(A269,Database!$A:$AS,MATCH($F$1,Database!$A$1:$AS$1,0),FALSE)</f>
        <v>97.5</v>
      </c>
      <c r="G269" s="79">
        <f>VLOOKUP(A269,Database!$A:$AS,MATCH($G$1,Database!$A$1:$AS$1,0),FALSE)</f>
        <v>91.521778096000006</v>
      </c>
      <c r="H269" s="79">
        <f>(((Table134567891011121314151617343[[#This Row],[ITA]]-VLOOKUP($U$1,A:B,2,))/VLOOKUP($U$1,A:B,2,))*100)+100</f>
        <v>84.539473684105019</v>
      </c>
      <c r="I269" s="79">
        <f>(((Table134567891011121314151617343[[#This Row],[FRA]]-VLOOKUP($U$1,A:C,3,))/VLOOKUP($U$1,A:C,3,))*100)+100</f>
        <v>98.526685530295651</v>
      </c>
      <c r="J269" s="79">
        <f>(((Table134567891011121314151617343[[#This Row],[DEU]]-VLOOKUP($U$1,A:D,4,))/VLOOKUP($U$1,A:D,4,))*100)+100</f>
        <v>128.45744680797304</v>
      </c>
      <c r="K269" s="79">
        <f>(((Table134567891011121314151617343[[#This Row],[ESP]]-VLOOKUP($U$1,A:E,5,))/VLOOKUP($U$1,A:E,5,))*100)+100</f>
        <v>81.529797427694575</v>
      </c>
      <c r="L269" s="79">
        <f>(((Table134567891011121314151617343[[#This Row],[EA19]]-VLOOKUP($U$1,A:F,6,))/VLOOKUP($U$1,A:F,6,))*100)+100</f>
        <v>109.06040268456375</v>
      </c>
      <c r="M269" s="79">
        <f>(((Table134567891011121314151617343[[#This Row],[GBR]]-VLOOKUP($U$1,A:G,7,))/VLOOKUP($U$1,A:G,7,))*100)+100</f>
        <v>99.299883313181752</v>
      </c>
      <c r="N269" s="79">
        <f>VLOOKUP(A269,Database!$A:$AS,MATCH($N$1,Database!$A$1:$AS$1,0),FALSE)</f>
        <v>96.456346811000003</v>
      </c>
      <c r="O269" s="79">
        <f>(((Table134567891011121314151617343[[#This Row],[USA]]-VLOOKUP($U$1,A:N,14,))/VLOOKUP($U$1,A:N,14,))*100)+100</f>
        <v>111.04367284108176</v>
      </c>
      <c r="P269" s="79">
        <f>VLOOKUP(A269,Database!$A:$AS,MATCH($P$1,Database!$A$1:$AS$1,0),FALSE)</f>
        <v>102.948146134</v>
      </c>
      <c r="Q269" s="79">
        <f>(((Table134567891011121314151617343[[#This Row],[JPN]]-VLOOKUP($U$1,A:Q,16,))/VLOOKUP($U$1,A:Q,16,))*100)+100</f>
        <v>103.35782641151803</v>
      </c>
    </row>
    <row r="270" spans="1:17" s="83" customFormat="1" x14ac:dyDescent="0.2">
      <c r="A270" s="21">
        <v>41030</v>
      </c>
      <c r="B270" s="79">
        <f>VLOOKUP(A270,Database!$A:$AS,MATCH($B$1,Database!$A$1:$AS$1,0),FALSE)</f>
        <v>104.291309058</v>
      </c>
      <c r="C270" s="79">
        <f>VLOOKUP(A270,Database!$A:$AS,MATCH($C$1,Database!$A$1:$AS$1,0),FALSE)</f>
        <v>99.52</v>
      </c>
      <c r="D270" s="79">
        <f>VLOOKUP(A270,Database!$A:$AS,MATCH($D$1,Database!$A$1:$AS$1,0),FALSE)</f>
        <v>98.491792351000001</v>
      </c>
      <c r="E270" s="79">
        <f>VLOOKUP(A270,Database!$A:$AS,MATCH($E$1,Database!$A$1:$AS$1,0),FALSE)</f>
        <v>97.977081647999995</v>
      </c>
      <c r="F270" s="79">
        <f>VLOOKUP(A270,Database!$A:$AS,MATCH($F$1,Database!$A$1:$AS$1,0),FALSE)</f>
        <v>98.3</v>
      </c>
      <c r="G270" s="79">
        <f>VLOOKUP(A270,Database!$A:$AS,MATCH($G$1,Database!$A$1:$AS$1,0),FALSE)</f>
        <v>93.027424269999997</v>
      </c>
      <c r="H270" s="79">
        <f>(((Table134567891011121314151617343[[#This Row],[ITA]]-VLOOKUP($U$1,A:B,2,))/VLOOKUP($U$1,A:B,2,))*100)+100</f>
        <v>85.773026316164845</v>
      </c>
      <c r="I270" s="79">
        <f>(((Table134567891011121314151617343[[#This Row],[FRA]]-VLOOKUP($U$1,A:C,3,))/VLOOKUP($U$1,A:C,3,))*100)+100</f>
        <v>97.102156307932489</v>
      </c>
      <c r="J270" s="79">
        <f>(((Table134567891011121314151617343[[#This Row],[DEU]]-VLOOKUP($U$1,A:D,4,))/VLOOKUP($U$1,A:D,4,))*100)+100</f>
        <v>130.98404255282367</v>
      </c>
      <c r="K270" s="79">
        <f>(((Table134567891011121314151617343[[#This Row],[ESP]]-VLOOKUP($U$1,A:E,5,))/VLOOKUP($U$1,A:E,5,))*100)+100</f>
        <v>82.354375052723782</v>
      </c>
      <c r="L270" s="79">
        <f>(((Table134567891011121314151617343[[#This Row],[EA19]]-VLOOKUP($U$1,A:F,6,))/VLOOKUP($U$1,A:F,6,))*100)+100</f>
        <v>109.95525727069349</v>
      </c>
      <c r="M270" s="79">
        <f>(((Table134567891011121314151617343[[#This Row],[GBR]]-VLOOKUP($U$1,A:G,7,))/VLOOKUP($U$1,A:G,7,))*100)+100</f>
        <v>100.93348891503436</v>
      </c>
      <c r="N270" s="79">
        <f>VLOOKUP(A270,Database!$A:$AS,MATCH($N$1,Database!$A$1:$AS$1,0),FALSE)</f>
        <v>96.607998538000004</v>
      </c>
      <c r="O270" s="79">
        <f>(((Table134567891011121314151617343[[#This Row],[USA]]-VLOOKUP($U$1,A:N,14,))/VLOOKUP($U$1,A:N,14,))*100)+100</f>
        <v>111.21825922461721</v>
      </c>
      <c r="P270" s="79">
        <f>VLOOKUP(A270,Database!$A:$AS,MATCH($P$1,Database!$A$1:$AS$1,0),FALSE)</f>
        <v>101.10062207599999</v>
      </c>
      <c r="Q270" s="79">
        <f>(((Table134567891011121314151617343[[#This Row],[JPN]]-VLOOKUP($U$1,A:Q,16,))/VLOOKUP($U$1,A:Q,16,))*100)+100</f>
        <v>101.50295016508893</v>
      </c>
    </row>
    <row r="271" spans="1:17" s="83" customFormat="1" x14ac:dyDescent="0.2">
      <c r="A271" s="21">
        <v>41061</v>
      </c>
      <c r="B271" s="79">
        <f>VLOOKUP(A271,Database!$A:$AS,MATCH($B$1,Database!$A$1:$AS$1,0),FALSE)</f>
        <v>102.191484043</v>
      </c>
      <c r="C271" s="79">
        <f>VLOOKUP(A271,Database!$A:$AS,MATCH($C$1,Database!$A$1:$AS$1,0),FALSE)</f>
        <v>98.75</v>
      </c>
      <c r="D271" s="79">
        <f>VLOOKUP(A271,Database!$A:$AS,MATCH($D$1,Database!$A$1:$AS$1,0),FALSE)</f>
        <v>97.291892341999997</v>
      </c>
      <c r="E271" s="79">
        <f>VLOOKUP(A271,Database!$A:$AS,MATCH($E$1,Database!$A$1:$AS$1,0),FALSE)</f>
        <v>97.559081298999999</v>
      </c>
      <c r="F271" s="79">
        <f>VLOOKUP(A271,Database!$A:$AS,MATCH($F$1,Database!$A$1:$AS$1,0),FALSE)</f>
        <v>97.4</v>
      </c>
      <c r="G271" s="79">
        <f>VLOOKUP(A271,Database!$A:$AS,MATCH($G$1,Database!$A$1:$AS$1,0),FALSE)</f>
        <v>91.629324252000004</v>
      </c>
      <c r="H271" s="79">
        <f>(((Table134567891011121314151617343[[#This Row],[ITA]]-VLOOKUP($U$1,A:B,2,))/VLOOKUP($U$1,A:B,2,))*100)+100</f>
        <v>84.046052631610067</v>
      </c>
      <c r="I271" s="79">
        <f>(((Table134567891011121314151617343[[#This Row],[FRA]]-VLOOKUP($U$1,A:C,3,))/VLOOKUP($U$1,A:C,3,))*100)+100</f>
        <v>96.350863498877942</v>
      </c>
      <c r="J271" s="79">
        <f>(((Table134567891011121314151617343[[#This Row],[DEU]]-VLOOKUP($U$1,A:D,4,))/VLOOKUP($U$1,A:D,4,))*100)+100</f>
        <v>129.38829787109543</v>
      </c>
      <c r="K271" s="79">
        <f>(((Table134567891011121314151617343[[#This Row],[ESP]]-VLOOKUP($U$1,A:E,5,))/VLOOKUP($U$1,A:E,5,))*100)+100</f>
        <v>82.003025972564501</v>
      </c>
      <c r="L271" s="79">
        <f>(((Table134567891011121314151617343[[#This Row],[EA19]]-VLOOKUP($U$1,A:F,6,))/VLOOKUP($U$1,A:F,6,))*100)+100</f>
        <v>108.94854586129753</v>
      </c>
      <c r="M271" s="79">
        <f>(((Table134567891011121314151617343[[#This Row],[GBR]]-VLOOKUP($U$1,A:G,7,))/VLOOKUP($U$1,A:G,7,))*100)+100</f>
        <v>99.416569428374785</v>
      </c>
      <c r="N271" s="79">
        <f>VLOOKUP(A271,Database!$A:$AS,MATCH($N$1,Database!$A$1:$AS$1,0),FALSE)</f>
        <v>96.598879611000001</v>
      </c>
      <c r="O271" s="79">
        <f>(((Table134567891011121314151617343[[#This Row],[USA]]-VLOOKUP($U$1,A:N,14,))/VLOOKUP($U$1,A:N,14,))*100)+100</f>
        <v>111.20776122028749</v>
      </c>
      <c r="P271" s="79">
        <f>VLOOKUP(A271,Database!$A:$AS,MATCH($P$1,Database!$A$1:$AS$1,0),FALSE)</f>
        <v>100.382140498</v>
      </c>
      <c r="Q271" s="79">
        <f>(((Table134567891011121314151617343[[#This Row],[JPN]]-VLOOKUP($U$1,A:Q,16,))/VLOOKUP($U$1,A:Q,16,))*100)+100</f>
        <v>100.7816094027003</v>
      </c>
    </row>
    <row r="272" spans="1:17" s="83" customFormat="1" x14ac:dyDescent="0.2">
      <c r="A272" s="21">
        <v>41091</v>
      </c>
      <c r="B272" s="79">
        <f>VLOOKUP(A272,Database!$A:$AS,MATCH($B$1,Database!$A$1:$AS$1,0),FALSE)</f>
        <v>103.19140071699999</v>
      </c>
      <c r="C272" s="79">
        <f>VLOOKUP(A272,Database!$A:$AS,MATCH($C$1,Database!$A$1:$AS$1,0),FALSE)</f>
        <v>99.44</v>
      </c>
      <c r="D272" s="79">
        <f>VLOOKUP(A272,Database!$A:$AS,MATCH($D$1,Database!$A$1:$AS$1,0),FALSE)</f>
        <v>98.391800683</v>
      </c>
      <c r="E272" s="79">
        <f>VLOOKUP(A272,Database!$A:$AS,MATCH($E$1,Database!$A$1:$AS$1,0),FALSE)</f>
        <v>96.752080626999998</v>
      </c>
      <c r="F272" s="79">
        <f>VLOOKUP(A272,Database!$A:$AS,MATCH($F$1,Database!$A$1:$AS$1,0),FALSE)</f>
        <v>97.7</v>
      </c>
      <c r="G272" s="79">
        <f>VLOOKUP(A272,Database!$A:$AS,MATCH($G$1,Database!$A$1:$AS$1,0),FALSE)</f>
        <v>94.533070443</v>
      </c>
      <c r="H272" s="79">
        <f>(((Table134567891011121314151617343[[#This Row],[ITA]]-VLOOKUP($U$1,A:B,2,))/VLOOKUP($U$1,A:B,2,))*100)+100</f>
        <v>84.86842105298328</v>
      </c>
      <c r="I272" s="79">
        <f>(((Table134567891011121314151617343[[#This Row],[FRA]]-VLOOKUP($U$1,A:C,3,))/VLOOKUP($U$1,A:C,3,))*100)+100</f>
        <v>97.024099912186557</v>
      </c>
      <c r="J272" s="79">
        <f>(((Table134567891011121314151617343[[#This Row],[DEU]]-VLOOKUP($U$1,A:D,4,))/VLOOKUP($U$1,A:D,4,))*100)+100</f>
        <v>130.85106382857055</v>
      </c>
      <c r="K272" s="79">
        <f>(((Table134567891011121314151617343[[#This Row],[ESP]]-VLOOKUP($U$1,A:E,5,))/VLOOKUP($U$1,A:E,5,))*100)+100</f>
        <v>81.324703706869172</v>
      </c>
      <c r="L272" s="79">
        <f>(((Table134567891011121314151617343[[#This Row],[EA19]]-VLOOKUP($U$1,A:F,6,))/VLOOKUP($U$1,A:F,6,))*100)+100</f>
        <v>109.28411633109619</v>
      </c>
      <c r="M272" s="79">
        <f>(((Table134567891011121314151617343[[#This Row],[GBR]]-VLOOKUP($U$1,A:G,7,))/VLOOKUP($U$1,A:G,7,))*100)+100</f>
        <v>102.56709451580201</v>
      </c>
      <c r="N272" s="79">
        <f>VLOOKUP(A272,Database!$A:$AS,MATCH($N$1,Database!$A$1:$AS$1,0),FALSE)</f>
        <v>96.817832988000006</v>
      </c>
      <c r="O272" s="79">
        <f>(((Table134567891011121314151617343[[#This Row],[USA]]-VLOOKUP($U$1,A:N,14,))/VLOOKUP($U$1,A:N,14,))*100)+100</f>
        <v>111.45982744471831</v>
      </c>
      <c r="P272" s="79">
        <f>VLOOKUP(A272,Database!$A:$AS,MATCH($P$1,Database!$A$1:$AS$1,0),FALSE)</f>
        <v>99.868939370000007</v>
      </c>
      <c r="Q272" s="79">
        <f>(((Table134567891011121314151617343[[#This Row],[JPN]]-VLOOKUP($U$1,A:Q,16,))/VLOOKUP($U$1,A:Q,16,))*100)+100</f>
        <v>100.26636600013357</v>
      </c>
    </row>
    <row r="273" spans="1:17" s="83" customFormat="1" x14ac:dyDescent="0.2">
      <c r="A273" s="21">
        <v>41122</v>
      </c>
      <c r="B273" s="79">
        <f>VLOOKUP(A273,Database!$A:$AS,MATCH($B$1,Database!$A$1:$AS$1,0),FALSE)</f>
        <v>102.591450712</v>
      </c>
      <c r="C273" s="79">
        <f>VLOOKUP(A273,Database!$A:$AS,MATCH($C$1,Database!$A$1:$AS$1,0),FALSE)</f>
        <v>101.66</v>
      </c>
      <c r="D273" s="79">
        <f>VLOOKUP(A273,Database!$A:$AS,MATCH($D$1,Database!$A$1:$AS$1,0),FALSE)</f>
        <v>98.391800683</v>
      </c>
      <c r="E273" s="79">
        <f>VLOOKUP(A273,Database!$A:$AS,MATCH($E$1,Database!$A$1:$AS$1,0),FALSE)</f>
        <v>99.226082688000005</v>
      </c>
      <c r="F273" s="79">
        <f>VLOOKUP(A273,Database!$A:$AS,MATCH($F$1,Database!$A$1:$AS$1,0),FALSE)</f>
        <v>98.4</v>
      </c>
      <c r="G273" s="79">
        <f>VLOOKUP(A273,Database!$A:$AS,MATCH($G$1,Database!$A$1:$AS$1,0),FALSE)</f>
        <v>93.780247356000004</v>
      </c>
      <c r="H273" s="79">
        <f>(((Table134567891011121314151617343[[#This Row],[ITA]]-VLOOKUP($U$1,A:B,2,))/VLOOKUP($U$1,A:B,2,))*100)+100</f>
        <v>84.374999999665889</v>
      </c>
      <c r="I273" s="79">
        <f>(((Table134567891011121314151617343[[#This Row],[FRA]]-VLOOKUP($U$1,A:C,3,))/VLOOKUP($U$1,A:C,3,))*100)+100</f>
        <v>99.190164894136018</v>
      </c>
      <c r="J273" s="79">
        <f>(((Table134567891011121314151617343[[#This Row],[DEU]]-VLOOKUP($U$1,A:D,4,))/VLOOKUP($U$1,A:D,4,))*100)+100</f>
        <v>130.85106382857055</v>
      </c>
      <c r="K273" s="79">
        <f>(((Table134567891011121314151617343[[#This Row],[ESP]]-VLOOKUP($U$1,A:E,5,))/VLOOKUP($U$1,A:E,5,))*100)+100</f>
        <v>83.404219550633485</v>
      </c>
      <c r="L273" s="79">
        <f>(((Table134567891011121314151617343[[#This Row],[EA19]]-VLOOKUP($U$1,A:F,6,))/VLOOKUP($U$1,A:F,6,))*100)+100</f>
        <v>110.06711409395973</v>
      </c>
      <c r="M273" s="79">
        <f>(((Table134567891011121314151617343[[#This Row],[GBR]]-VLOOKUP($U$1,A:G,7,))/VLOOKUP($U$1,A:G,7,))*100)+100</f>
        <v>101.7502917148757</v>
      </c>
      <c r="N273" s="79">
        <f>VLOOKUP(A273,Database!$A:$AS,MATCH($N$1,Database!$A$1:$AS$1,0),FALSE)</f>
        <v>96.426908534000006</v>
      </c>
      <c r="O273" s="79">
        <f>(((Table134567891011121314151617343[[#This Row],[USA]]-VLOOKUP($U$1,A:N,14,))/VLOOKUP($U$1,A:N,14,))*100)+100</f>
        <v>111.00978254243093</v>
      </c>
      <c r="P273" s="79">
        <f>VLOOKUP(A273,Database!$A:$AS,MATCH($P$1,Database!$A$1:$AS$1,0),FALSE)</f>
        <v>98.637256664999995</v>
      </c>
      <c r="Q273" s="79">
        <f>(((Table134567891011121314151617343[[#This Row],[JPN]]-VLOOKUP($U$1,A:Q,16,))/VLOOKUP($U$1,A:Q,16,))*100)+100</f>
        <v>99.029781836182153</v>
      </c>
    </row>
    <row r="274" spans="1:17" s="83" customFormat="1" x14ac:dyDescent="0.2">
      <c r="A274" s="21">
        <v>41153</v>
      </c>
      <c r="B274" s="79">
        <f>VLOOKUP(A274,Database!$A:$AS,MATCH($B$1,Database!$A$1:$AS$1,0),FALSE)</f>
        <v>102.391467378</v>
      </c>
      <c r="C274" s="79">
        <f>VLOOKUP(A274,Database!$A:$AS,MATCH($C$1,Database!$A$1:$AS$1,0),FALSE)</f>
        <v>99.41</v>
      </c>
      <c r="D274" s="79">
        <f>VLOOKUP(A274,Database!$A:$AS,MATCH($D$1,Database!$A$1:$AS$1,0),FALSE)</f>
        <v>97.091909008000002</v>
      </c>
      <c r="E274" s="79">
        <f>VLOOKUP(A274,Database!$A:$AS,MATCH($E$1,Database!$A$1:$AS$1,0),FALSE)</f>
        <v>95.559079632999996</v>
      </c>
      <c r="F274" s="79">
        <f>VLOOKUP(A274,Database!$A:$AS,MATCH($F$1,Database!$A$1:$AS$1,0),FALSE)</f>
        <v>96.6</v>
      </c>
      <c r="G274" s="79">
        <f>VLOOKUP(A274,Database!$A:$AS,MATCH($G$1,Database!$A$1:$AS$1,0),FALSE)</f>
        <v>91.414231940999997</v>
      </c>
      <c r="H274" s="79">
        <f>(((Table134567891011121314151617343[[#This Row],[ITA]]-VLOOKUP($U$1,A:B,2,))/VLOOKUP($U$1,A:B,2,))*100)+100</f>
        <v>84.210526316049197</v>
      </c>
      <c r="I274" s="79">
        <f>(((Table134567891011121314151617343[[#This Row],[FRA]]-VLOOKUP($U$1,A:C,3,))/VLOOKUP($U$1,A:C,3,))*100)+100</f>
        <v>96.99482876378184</v>
      </c>
      <c r="J274" s="79">
        <f>(((Table134567891011121314151617343[[#This Row],[DEU]]-VLOOKUP($U$1,A:D,4,))/VLOOKUP($U$1,A:D,4,))*100)+100</f>
        <v>129.12234042524898</v>
      </c>
      <c r="K274" s="79">
        <f>(((Table134567891011121314151617343[[#This Row],[ESP]]-VLOOKUP($U$1,A:E,5,))/VLOOKUP($U$1,A:E,5,))*100)+100</f>
        <v>80.321929898488918</v>
      </c>
      <c r="L274" s="79">
        <f>(((Table134567891011121314151617343[[#This Row],[EA19]]-VLOOKUP($U$1,A:F,6,))/VLOOKUP($U$1,A:F,6,))*100)+100</f>
        <v>108.05369127516778</v>
      </c>
      <c r="M274" s="79">
        <f>(((Table134567891011121314151617343[[#This Row],[GBR]]-VLOOKUP($U$1,A:G,7,))/VLOOKUP($U$1,A:G,7,))*100)+100</f>
        <v>99.183197199073689</v>
      </c>
      <c r="N274" s="79">
        <f>VLOOKUP(A274,Database!$A:$AS,MATCH($N$1,Database!$A$1:$AS$1,0),FALSE)</f>
        <v>96.372690563000006</v>
      </c>
      <c r="O274" s="79">
        <f>(((Table134567891011121314151617343[[#This Row],[USA]]-VLOOKUP($U$1,A:N,14,))/VLOOKUP($U$1,A:N,14,))*100)+100</f>
        <v>110.94736505687523</v>
      </c>
      <c r="P274" s="79">
        <f>VLOOKUP(A274,Database!$A:$AS,MATCH($P$1,Database!$A$1:$AS$1,0),FALSE)</f>
        <v>96.481811930000006</v>
      </c>
      <c r="Q274" s="79">
        <f>(((Table134567891011121314151617343[[#This Row],[JPN]]-VLOOKUP($U$1,A:Q,16,))/VLOOKUP($U$1,A:Q,16,))*100)+100</f>
        <v>96.86575954801225</v>
      </c>
    </row>
    <row r="275" spans="1:17" s="83" customFormat="1" x14ac:dyDescent="0.2">
      <c r="A275" s="21">
        <v>41183</v>
      </c>
      <c r="B275" s="79">
        <f>VLOOKUP(A275,Database!$A:$AS,MATCH($B$1,Database!$A$1:$AS$1,0),FALSE)</f>
        <v>100.49162569800001</v>
      </c>
      <c r="C275" s="79">
        <f>VLOOKUP(A275,Database!$A:$AS,MATCH($C$1,Database!$A$1:$AS$1,0),FALSE)</f>
        <v>97.95</v>
      </c>
      <c r="D275" s="79">
        <f>VLOOKUP(A275,Database!$A:$AS,MATCH($D$1,Database!$A$1:$AS$1,0),FALSE)</f>
        <v>95.792017332</v>
      </c>
      <c r="E275" s="79">
        <f>VLOOKUP(A275,Database!$A:$AS,MATCH($E$1,Database!$A$1:$AS$1,0),FALSE)</f>
        <v>96.259080216000001</v>
      </c>
      <c r="F275" s="79">
        <f>VLOOKUP(A275,Database!$A:$AS,MATCH($F$1,Database!$A$1:$AS$1,0),FALSE)</f>
        <v>95.8</v>
      </c>
      <c r="G275" s="79">
        <f>VLOOKUP(A275,Database!$A:$AS,MATCH($G$1,Database!$A$1:$AS$1,0),FALSE)</f>
        <v>91.199139630999994</v>
      </c>
      <c r="H275" s="79">
        <f>(((Table134567891011121314151617343[[#This Row],[ITA]]-VLOOKUP($U$1,A:B,2,))/VLOOKUP($U$1,A:B,2,))*100)+100</f>
        <v>82.648026315933549</v>
      </c>
      <c r="I275" s="79">
        <f>(((Table134567891011121314151617343[[#This Row],[FRA]]-VLOOKUP($U$1,A:C,3,))/VLOOKUP($U$1,A:C,3,))*100)+100</f>
        <v>95.570299541418677</v>
      </c>
      <c r="J275" s="79">
        <f>(((Table134567891011121314151617343[[#This Row],[DEU]]-VLOOKUP($U$1,A:D,4,))/VLOOKUP($U$1,A:D,4,))*100)+100</f>
        <v>127.3936170205975</v>
      </c>
      <c r="K275" s="79">
        <f>(((Table134567891011121314151617343[[#This Row],[ESP]]-VLOOKUP($U$1,A:E,5,))/VLOOKUP($U$1,A:E,5,))*100)+100</f>
        <v>80.910313524331315</v>
      </c>
      <c r="L275" s="79">
        <f>(((Table134567891011121314151617343[[#This Row],[EA19]]-VLOOKUP($U$1,A:F,6,))/VLOOKUP($U$1,A:F,6,))*100)+100</f>
        <v>107.15883668903803</v>
      </c>
      <c r="M275" s="79">
        <f>(((Table134567891011121314151617343[[#This Row],[GBR]]-VLOOKUP($U$1,A:G,7,))/VLOOKUP($U$1,A:G,7,))*100)+100</f>
        <v>98.949824970857591</v>
      </c>
      <c r="N275" s="79">
        <f>VLOOKUP(A275,Database!$A:$AS,MATCH($N$1,Database!$A$1:$AS$1,0),FALSE)</f>
        <v>96.674903712000003</v>
      </c>
      <c r="O275" s="79">
        <f>(((Table134567891011121314151617343[[#This Row],[USA]]-VLOOKUP($U$1,A:N,14,))/VLOOKUP($U$1,A:N,14,))*100)+100</f>
        <v>111.2952826294906</v>
      </c>
      <c r="P275" s="79">
        <f>VLOOKUP(A275,Database!$A:$AS,MATCH($P$1,Database!$A$1:$AS$1,0),FALSE)</f>
        <v>96.789732607000005</v>
      </c>
      <c r="Q275" s="79">
        <f>(((Table134567891011121314151617343[[#This Row],[JPN]]-VLOOKUP($U$1,A:Q,16,))/VLOOKUP($U$1,A:Q,16,))*100)+100</f>
        <v>97.174905589753081</v>
      </c>
    </row>
    <row r="276" spans="1:17" s="83" customFormat="1" x14ac:dyDescent="0.2">
      <c r="A276" s="21">
        <v>41214</v>
      </c>
      <c r="B276" s="79">
        <f>VLOOKUP(A276,Database!$A:$AS,MATCH($B$1,Database!$A$1:$AS$1,0),FALSE)</f>
        <v>99.091742354999994</v>
      </c>
      <c r="C276" s="79">
        <f>VLOOKUP(A276,Database!$A:$AS,MATCH($C$1,Database!$A$1:$AS$1,0),FALSE)</f>
        <v>97.9</v>
      </c>
      <c r="D276" s="79">
        <f>VLOOKUP(A276,Database!$A:$AS,MATCH($D$1,Database!$A$1:$AS$1,0),FALSE)</f>
        <v>95.092075660000006</v>
      </c>
      <c r="E276" s="79">
        <f>VLOOKUP(A276,Database!$A:$AS,MATCH($E$1,Database!$A$1:$AS$1,0),FALSE)</f>
        <v>93.832078193000001</v>
      </c>
      <c r="F276" s="79">
        <f>VLOOKUP(A276,Database!$A:$AS,MATCH($F$1,Database!$A$1:$AS$1,0),FALSE)</f>
        <v>95.1</v>
      </c>
      <c r="G276" s="79">
        <f>VLOOKUP(A276,Database!$A:$AS,MATCH($G$1,Database!$A$1:$AS$1,0),FALSE)</f>
        <v>91.199139630999994</v>
      </c>
      <c r="H276" s="79">
        <f>(((Table134567891011121314151617343[[#This Row],[ITA]]-VLOOKUP($U$1,A:B,2,))/VLOOKUP($U$1,A:B,2,))*100)+100</f>
        <v>81.496710526504486</v>
      </c>
      <c r="I276" s="79">
        <f>(((Table134567891011121314151617343[[#This Row],[FRA]]-VLOOKUP($U$1,A:C,3,))/VLOOKUP($U$1,A:C,3,))*100)+100</f>
        <v>95.521514294077477</v>
      </c>
      <c r="J276" s="79">
        <f>(((Table134567891011121314151617343[[#This Row],[DEU]]-VLOOKUP($U$1,A:D,4,))/VLOOKUP($U$1,A:D,4,))*100)+100</f>
        <v>126.46276595614522</v>
      </c>
      <c r="K276" s="79">
        <f>(((Table134567891011121314151617343[[#This Row],[ESP]]-VLOOKUP($U$1,A:E,5,))/VLOOKUP($U$1,A:E,5,))*100)+100</f>
        <v>78.870303437340311</v>
      </c>
      <c r="L276" s="79">
        <f>(((Table134567891011121314151617343[[#This Row],[EA19]]-VLOOKUP($U$1,A:F,6,))/VLOOKUP($U$1,A:F,6,))*100)+100</f>
        <v>106.37583892617448</v>
      </c>
      <c r="M276" s="79">
        <f>(((Table134567891011121314151617343[[#This Row],[GBR]]-VLOOKUP($U$1,A:G,7,))/VLOOKUP($U$1,A:G,7,))*100)+100</f>
        <v>98.949824970857591</v>
      </c>
      <c r="N276" s="79">
        <f>VLOOKUP(A276,Database!$A:$AS,MATCH($N$1,Database!$A$1:$AS$1,0),FALSE)</f>
        <v>97.120244373999995</v>
      </c>
      <c r="O276" s="79">
        <f>(((Table134567891011121314151617343[[#This Row],[USA]]-VLOOKUP($U$1,A:N,14,))/VLOOKUP($U$1,A:N,14,))*100)+100</f>
        <v>111.80797323419343</v>
      </c>
      <c r="P276" s="79">
        <f>VLOOKUP(A276,Database!$A:$AS,MATCH($P$1,Database!$A$1:$AS$1,0),FALSE)</f>
        <v>96.071251028000006</v>
      </c>
      <c r="Q276" s="79">
        <f>(((Table134567891011121314151617343[[#This Row],[JPN]]-VLOOKUP($U$1,A:Q,16,))/VLOOKUP($U$1,A:Q,16,))*100)+100</f>
        <v>96.453564826360449</v>
      </c>
    </row>
    <row r="277" spans="1:17" s="83" customFormat="1" x14ac:dyDescent="0.2">
      <c r="A277" s="21">
        <v>41244</v>
      </c>
      <c r="B277" s="79">
        <f>VLOOKUP(A277,Database!$A:$AS,MATCH($B$1,Database!$A$1:$AS$1,0),FALSE)</f>
        <v>99.891675694</v>
      </c>
      <c r="C277" s="79">
        <f>VLOOKUP(A277,Database!$A:$AS,MATCH($C$1,Database!$A$1:$AS$1,0),FALSE)</f>
        <v>98.82</v>
      </c>
      <c r="D277" s="79">
        <f>VLOOKUP(A277,Database!$A:$AS,MATCH($D$1,Database!$A$1:$AS$1,0),FALSE)</f>
        <v>95.892008998999998</v>
      </c>
      <c r="E277" s="79">
        <f>VLOOKUP(A277,Database!$A:$AS,MATCH($E$1,Database!$A$1:$AS$1,0),FALSE)</f>
        <v>94.371078643000004</v>
      </c>
      <c r="F277" s="79">
        <f>VLOOKUP(A277,Database!$A:$AS,MATCH($F$1,Database!$A$1:$AS$1,0),FALSE)</f>
        <v>95.6</v>
      </c>
      <c r="G277" s="79">
        <f>VLOOKUP(A277,Database!$A:$AS,MATCH($G$1,Database!$A$1:$AS$1,0),FALSE)</f>
        <v>91.091593476</v>
      </c>
      <c r="H277" s="79">
        <f>(((Table134567891011121314151617343[[#This Row],[ITA]]-VLOOKUP($U$1,A:B,2,))/VLOOKUP($U$1,A:B,2,))*100)+100</f>
        <v>82.154605263438583</v>
      </c>
      <c r="I277" s="79">
        <f>(((Table134567891011121314151617343[[#This Row],[FRA]]-VLOOKUP($U$1,A:C,3,))/VLOOKUP($U$1,A:C,3,))*100)+100</f>
        <v>96.419162845155626</v>
      </c>
      <c r="J277" s="79">
        <f>(((Table134567891011121314151617343[[#This Row],[DEU]]-VLOOKUP($U$1,A:D,4,))/VLOOKUP($U$1,A:D,4,))*100)+100</f>
        <v>127.52659574352073</v>
      </c>
      <c r="K277" s="79">
        <f>(((Table134567891011121314151617343[[#This Row],[ESP]]-VLOOKUP($U$1,A:E,5,))/VLOOKUP($U$1,A:E,5,))*100)+100</f>
        <v>79.323358830155172</v>
      </c>
      <c r="L277" s="79">
        <f>(((Table134567891011121314151617343[[#This Row],[EA19]]-VLOOKUP($U$1,A:F,6,))/VLOOKUP($U$1,A:F,6,))*100)+100</f>
        <v>106.93512304250558</v>
      </c>
      <c r="M277" s="79">
        <f>(((Table134567891011121314151617343[[#This Row],[GBR]]-VLOOKUP($U$1,A:G,7,))/VLOOKUP($U$1,A:G,7,))*100)+100</f>
        <v>98.833138856749542</v>
      </c>
      <c r="N277" s="79">
        <f>VLOOKUP(A277,Database!$A:$AS,MATCH($N$1,Database!$A$1:$AS$1,0),FALSE)</f>
        <v>97.346730777999994</v>
      </c>
      <c r="O277" s="79">
        <f>(((Table134567891011121314151617343[[#This Row],[USA]]-VLOOKUP($U$1,A:N,14,))/VLOOKUP($U$1,A:N,14,))*100)+100</f>
        <v>112.06871172347095</v>
      </c>
      <c r="P277" s="79">
        <f>VLOOKUP(A277,Database!$A:$AS,MATCH($P$1,Database!$A$1:$AS$1,0),FALSE)</f>
        <v>97.405573958999994</v>
      </c>
      <c r="Q277" s="79">
        <f>(((Table134567891011121314151617343[[#This Row],[JPN]]-VLOOKUP($U$1,A:Q,16,))/VLOOKUP($U$1,A:Q,16,))*100)+100</f>
        <v>97.793197671226778</v>
      </c>
    </row>
    <row r="278" spans="1:17" s="83" customFormat="1" x14ac:dyDescent="0.2">
      <c r="A278" s="21">
        <v>41275</v>
      </c>
      <c r="B278" s="79">
        <f>VLOOKUP(A278,Database!$A:$AS,MATCH($B$1,Database!$A$1:$AS$1,0),FALSE)</f>
        <v>99.891675694</v>
      </c>
      <c r="C278" s="79">
        <f>VLOOKUP(A278,Database!$A:$AS,MATCH($C$1,Database!$A$1:$AS$1,0),FALSE)</f>
        <v>98.64</v>
      </c>
      <c r="D278" s="79">
        <f>VLOOKUP(A278,Database!$A:$AS,MATCH($D$1,Database!$A$1:$AS$1,0),FALSE)</f>
        <v>94.692108990999998</v>
      </c>
      <c r="E278" s="79">
        <f>VLOOKUP(A278,Database!$A:$AS,MATCH($E$1,Database!$A$1:$AS$1,0),FALSE)</f>
        <v>95.332079442999998</v>
      </c>
      <c r="F278" s="79">
        <f>VLOOKUP(A278,Database!$A:$AS,MATCH($F$1,Database!$A$1:$AS$1,0),FALSE)</f>
        <v>95.2</v>
      </c>
      <c r="G278" s="79">
        <f>VLOOKUP(A278,Database!$A:$AS,MATCH($G$1,Database!$A$1:$AS$1,0),FALSE)</f>
        <v>88.833124216000002</v>
      </c>
      <c r="H278" s="79">
        <f>(((Table134567891011121314151617343[[#This Row],[ITA]]-VLOOKUP($U$1,A:B,2,))/VLOOKUP($U$1,A:B,2,))*100)+100</f>
        <v>82.154605263438583</v>
      </c>
      <c r="I278" s="79">
        <f>(((Table134567891011121314151617343[[#This Row],[FRA]]-VLOOKUP($U$1,A:C,3,))/VLOOKUP($U$1,A:C,3,))*100)+100</f>
        <v>96.243535954727292</v>
      </c>
      <c r="J278" s="79">
        <f>(((Table134567891011121314151617343[[#This Row],[DEU]]-VLOOKUP($U$1,A:D,4,))/VLOOKUP($U$1,A:D,4,))*100)+100</f>
        <v>125.9308510631224</v>
      </c>
      <c r="K278" s="79">
        <f>(((Table134567891011121314151617343[[#This Row],[ESP]]-VLOOKUP($U$1,A:E,5,))/VLOOKUP($U$1,A:E,5,))*100)+100</f>
        <v>80.131125493317285</v>
      </c>
      <c r="L278" s="79">
        <f>(((Table134567891011121314151617343[[#This Row],[EA19]]-VLOOKUP($U$1,A:F,6,))/VLOOKUP($U$1,A:F,6,))*100)+100</f>
        <v>106.48769574944072</v>
      </c>
      <c r="M278" s="79">
        <f>(((Table134567891011121314151617343[[#This Row],[GBR]]-VLOOKUP($U$1,A:G,7,))/VLOOKUP($U$1,A:G,7,))*100)+100</f>
        <v>96.382730455055594</v>
      </c>
      <c r="N278" s="79">
        <f>VLOOKUP(A278,Database!$A:$AS,MATCH($N$1,Database!$A$1:$AS$1,0),FALSE)</f>
        <v>97.301334378000007</v>
      </c>
      <c r="O278" s="79">
        <f>(((Table134567891011121314151617343[[#This Row],[USA]]-VLOOKUP($U$1,A:N,14,))/VLOOKUP($U$1,A:N,14,))*100)+100</f>
        <v>112.01644991637971</v>
      </c>
      <c r="P278" s="79">
        <f>VLOOKUP(A278,Database!$A:$AS,MATCH($P$1,Database!$A$1:$AS$1,0),FALSE)</f>
        <v>95.392050662000003</v>
      </c>
      <c r="Q278" s="79">
        <f>(((Table134567891011121314151617343[[#This Row],[JPN]]-VLOOKUP($U$1,A:Q,16,))/VLOOKUP($U$1,A:Q,16,))*100)+100</f>
        <v>95.771661594841419</v>
      </c>
    </row>
    <row r="279" spans="1:17" s="83" customFormat="1" x14ac:dyDescent="0.2">
      <c r="A279" s="21">
        <v>41306</v>
      </c>
      <c r="B279" s="79">
        <f>VLOOKUP(A279,Database!$A:$AS,MATCH($B$1,Database!$A$1:$AS$1,0),FALSE)</f>
        <v>99.291725690000007</v>
      </c>
      <c r="C279" s="79">
        <f>VLOOKUP(A279,Database!$A:$AS,MATCH($C$1,Database!$A$1:$AS$1,0),FALSE)</f>
        <v>99.71</v>
      </c>
      <c r="D279" s="79">
        <f>VLOOKUP(A279,Database!$A:$AS,MATCH($D$1,Database!$A$1:$AS$1,0),FALSE)</f>
        <v>95.492042330000004</v>
      </c>
      <c r="E279" s="79">
        <f>VLOOKUP(A279,Database!$A:$AS,MATCH($E$1,Database!$A$1:$AS$1,0),FALSE)</f>
        <v>94.670078892000006</v>
      </c>
      <c r="F279" s="79">
        <f>VLOOKUP(A279,Database!$A:$AS,MATCH($F$1,Database!$A$1:$AS$1,0),FALSE)</f>
        <v>95.4</v>
      </c>
      <c r="G279" s="79">
        <f>VLOOKUP(A279,Database!$A:$AS,MATCH($G$1,Database!$A$1:$AS$1,0),FALSE)</f>
        <v>88.940670370999996</v>
      </c>
      <c r="H279" s="79">
        <f>(((Table134567891011121314151617343[[#This Row],[ITA]]-VLOOKUP($U$1,A:B,2,))/VLOOKUP($U$1,A:B,2,))*100)+100</f>
        <v>81.661184210943631</v>
      </c>
      <c r="I279" s="79">
        <f>(((Table134567891011121314151617343[[#This Row],[FRA]]-VLOOKUP($U$1,A:C,3,))/VLOOKUP($U$1,A:C,3,))*100)+100</f>
        <v>97.287540247829057</v>
      </c>
      <c r="J279" s="79">
        <f>(((Table134567891011121314151617343[[#This Row],[DEU]]-VLOOKUP($U$1,A:D,4,))/VLOOKUP($U$1,A:D,4,))*100)+100</f>
        <v>126.99468085049793</v>
      </c>
      <c r="K279" s="79">
        <f>(((Table134567891011121314151617343[[#This Row],[ESP]]-VLOOKUP($U$1,A:E,5,))/VLOOKUP($U$1,A:E,5,))*100)+100</f>
        <v>79.574682693173145</v>
      </c>
      <c r="L279" s="79">
        <f>(((Table134567891011121314151617343[[#This Row],[EA19]]-VLOOKUP($U$1,A:F,6,))/VLOOKUP($U$1,A:F,6,))*100)+100</f>
        <v>106.71140939597315</v>
      </c>
      <c r="M279" s="79">
        <f>(((Table134567891011121314151617343[[#This Row],[GBR]]-VLOOKUP($U$1,A:G,7,))/VLOOKUP($U$1,A:G,7,))*100)+100</f>
        <v>96.499416569163643</v>
      </c>
      <c r="N279" s="79">
        <f>VLOOKUP(A279,Database!$A:$AS,MATCH($N$1,Database!$A$1:$AS$1,0),FALSE)</f>
        <v>97.776509791999999</v>
      </c>
      <c r="O279" s="79">
        <f>(((Table134567891011121314151617343[[#This Row],[USA]]-VLOOKUP($U$1,A:N,14,))/VLOOKUP($U$1,A:N,14,))*100)+100</f>
        <v>112.56348725460414</v>
      </c>
      <c r="P279" s="79">
        <f>VLOOKUP(A279,Database!$A:$AS,MATCH($P$1,Database!$A$1:$AS$1,0),FALSE)</f>
        <v>96.991917340000001</v>
      </c>
      <c r="Q279" s="79">
        <f>(((Table134567891011121314151617343[[#This Row],[JPN]]-VLOOKUP($U$1,A:Q,16,))/VLOOKUP($U$1,A:Q,16,))*100)+100</f>
        <v>97.377894913225418</v>
      </c>
    </row>
    <row r="280" spans="1:17" s="83" customFormat="1" x14ac:dyDescent="0.2">
      <c r="A280" s="21">
        <v>41334</v>
      </c>
      <c r="B280" s="79">
        <f>VLOOKUP(A280,Database!$A:$AS,MATCH($B$1,Database!$A$1:$AS$1,0),FALSE)</f>
        <v>98.791767352999997</v>
      </c>
      <c r="C280" s="79">
        <f>VLOOKUP(A280,Database!$A:$AS,MATCH($C$1,Database!$A$1:$AS$1,0),FALSE)</f>
        <v>99.84</v>
      </c>
      <c r="D280" s="79">
        <f>VLOOKUP(A280,Database!$A:$AS,MATCH($D$1,Database!$A$1:$AS$1,0),FALSE)</f>
        <v>96.791934005000002</v>
      </c>
      <c r="E280" s="79">
        <f>VLOOKUP(A280,Database!$A:$AS,MATCH($E$1,Database!$A$1:$AS$1,0),FALSE)</f>
        <v>95.546079621999993</v>
      </c>
      <c r="F280" s="79">
        <f>VLOOKUP(A280,Database!$A:$AS,MATCH($F$1,Database!$A$1:$AS$1,0),FALSE)</f>
        <v>96.4</v>
      </c>
      <c r="G280" s="79">
        <f>VLOOKUP(A280,Database!$A:$AS,MATCH($G$1,Database!$A$1:$AS$1,0),FALSE)</f>
        <v>90.984047320000002</v>
      </c>
      <c r="H280" s="79">
        <f>(((Table134567891011121314151617343[[#This Row],[ITA]]-VLOOKUP($U$1,A:B,2,))/VLOOKUP($U$1,A:B,2,))*100)+100</f>
        <v>81.250000000257018</v>
      </c>
      <c r="I280" s="79">
        <f>(((Table134567891011121314151617343[[#This Row],[FRA]]-VLOOKUP($U$1,A:C,3,))/VLOOKUP($U$1,A:C,3,))*100)+100</f>
        <v>97.414381890916189</v>
      </c>
      <c r="J280" s="79">
        <f>(((Table134567891011121314151617343[[#This Row],[DEU]]-VLOOKUP($U$1,A:D,4,))/VLOOKUP($U$1,A:D,4,))*100)+100</f>
        <v>128.7234042538195</v>
      </c>
      <c r="K280" s="79">
        <f>(((Table134567891011121314151617343[[#This Row],[ESP]]-VLOOKUP($U$1,A:E,5,))/VLOOKUP($U$1,A:E,5,))*100)+100</f>
        <v>80.311002773863692</v>
      </c>
      <c r="L280" s="79">
        <f>(((Table134567891011121314151617343[[#This Row],[EA19]]-VLOOKUP($U$1,A:F,6,))/VLOOKUP($U$1,A:F,6,))*100)+100</f>
        <v>107.82997762863535</v>
      </c>
      <c r="M280" s="79">
        <f>(((Table134567891011121314151617343[[#This Row],[GBR]]-VLOOKUP($U$1,A:G,7,))/VLOOKUP($U$1,A:G,7,))*100)+100</f>
        <v>98.716452741556523</v>
      </c>
      <c r="N280" s="79">
        <f>VLOOKUP(A280,Database!$A:$AS,MATCH($N$1,Database!$A$1:$AS$1,0),FALSE)</f>
        <v>98.186762407000003</v>
      </c>
      <c r="O280" s="79">
        <f>(((Table134567891011121314151617343[[#This Row],[USA]]-VLOOKUP($U$1,A:N,14,))/VLOOKUP($U$1,A:N,14,))*100)+100</f>
        <v>113.03578336230893</v>
      </c>
      <c r="P280" s="79">
        <f>VLOOKUP(A280,Database!$A:$AS,MATCH($P$1,Database!$A$1:$AS$1,0),FALSE)</f>
        <v>97.891842346000004</v>
      </c>
      <c r="Q280" s="79">
        <f>(((Table134567891011121314151617343[[#This Row],[JPN]]-VLOOKUP($U$1,A:Q,16,))/VLOOKUP($U$1,A:Q,16,))*100)+100</f>
        <v>98.281401154439934</v>
      </c>
    </row>
    <row r="281" spans="1:17" s="83" customFormat="1" x14ac:dyDescent="0.2">
      <c r="A281" s="21">
        <v>41365</v>
      </c>
      <c r="B281" s="79">
        <f>VLOOKUP(A281,Database!$A:$AS,MATCH($B$1,Database!$A$1:$AS$1,0),FALSE)</f>
        <v>97.991834014000005</v>
      </c>
      <c r="C281" s="79">
        <f>VLOOKUP(A281,Database!$A:$AS,MATCH($C$1,Database!$A$1:$AS$1,0),FALSE)</f>
        <v>101.47</v>
      </c>
      <c r="D281" s="79">
        <f>VLOOKUP(A281,Database!$A:$AS,MATCH($D$1,Database!$A$1:$AS$1,0),FALSE)</f>
        <v>97.091909008000002</v>
      </c>
      <c r="E281" s="79">
        <f>VLOOKUP(A281,Database!$A:$AS,MATCH($E$1,Database!$A$1:$AS$1,0),FALSE)</f>
        <v>94.282078568000003</v>
      </c>
      <c r="F281" s="79">
        <f>VLOOKUP(A281,Database!$A:$AS,MATCH($F$1,Database!$A$1:$AS$1,0),FALSE)</f>
        <v>96.6</v>
      </c>
      <c r="G281" s="79">
        <f>VLOOKUP(A281,Database!$A:$AS,MATCH($G$1,Database!$A$1:$AS$1,0),FALSE)</f>
        <v>92.382147337999996</v>
      </c>
      <c r="H281" s="79">
        <f>(((Table134567891011121314151617343[[#This Row],[ITA]]-VLOOKUP($U$1,A:B,2,))/VLOOKUP($U$1,A:B,2,))*100)+100</f>
        <v>80.592105263322935</v>
      </c>
      <c r="I281" s="79">
        <f>(((Table134567891011121314151617343[[#This Row],[FRA]]-VLOOKUP($U$1,A:C,3,))/VLOOKUP($U$1,A:C,3,))*100)+100</f>
        <v>99.004780954239436</v>
      </c>
      <c r="J281" s="79">
        <f>(((Table134567891011121314151617343[[#This Row],[DEU]]-VLOOKUP($U$1,A:D,4,))/VLOOKUP($U$1,A:D,4,))*100)+100</f>
        <v>129.12234042524898</v>
      </c>
      <c r="K281" s="79">
        <f>(((Table134567891011121314151617343[[#This Row],[ESP]]-VLOOKUP($U$1,A:E,5,))/VLOOKUP($U$1,A:E,5,))*100)+100</f>
        <v>79.248550054133403</v>
      </c>
      <c r="L281" s="79">
        <f>(((Table134567891011121314151617343[[#This Row],[EA19]]-VLOOKUP($U$1,A:F,6,))/VLOOKUP($U$1,A:F,6,))*100)+100</f>
        <v>108.05369127516778</v>
      </c>
      <c r="M281" s="79">
        <f>(((Table134567891011121314151617343[[#This Row],[GBR]]-VLOOKUP($U$1,A:G,7,))/VLOOKUP($U$1,A:G,7,))*100)+100</f>
        <v>100.2333722282161</v>
      </c>
      <c r="N281" s="79">
        <f>VLOOKUP(A281,Database!$A:$AS,MATCH($N$1,Database!$A$1:$AS$1,0),FALSE)</f>
        <v>98.120352826000001</v>
      </c>
      <c r="O281" s="79">
        <f>(((Table134567891011121314151617343[[#This Row],[USA]]-VLOOKUP($U$1,A:N,14,))/VLOOKUP($U$1,A:N,14,))*100)+100</f>
        <v>112.95933050016055</v>
      </c>
      <c r="P281" s="79">
        <f>VLOOKUP(A281,Database!$A:$AS,MATCH($P$1,Database!$A$1:$AS$1,0),FALSE)</f>
        <v>98.091825681000003</v>
      </c>
      <c r="Q281" s="79">
        <f>(((Table134567891011121314151617343[[#This Row],[JPN]]-VLOOKUP($U$1,A:Q,16,))/VLOOKUP($U$1,A:Q,16,))*100)+100</f>
        <v>98.482180319488933</v>
      </c>
    </row>
    <row r="282" spans="1:17" s="83" customFormat="1" x14ac:dyDescent="0.2">
      <c r="A282" s="21">
        <v>41395</v>
      </c>
      <c r="B282" s="79">
        <f>VLOOKUP(A282,Database!$A:$AS,MATCH($B$1,Database!$A$1:$AS$1,0),FALSE)</f>
        <v>99.791684025999999</v>
      </c>
      <c r="C282" s="79">
        <f>VLOOKUP(A282,Database!$A:$AS,MATCH($C$1,Database!$A$1:$AS$1,0),FALSE)</f>
        <v>101.07</v>
      </c>
      <c r="D282" s="79">
        <f>VLOOKUP(A282,Database!$A:$AS,MATCH($D$1,Database!$A$1:$AS$1,0),FALSE)</f>
        <v>96.491959003000005</v>
      </c>
      <c r="E282" s="79">
        <f>VLOOKUP(A282,Database!$A:$AS,MATCH($E$1,Database!$A$1:$AS$1,0),FALSE)</f>
        <v>94.939079116000002</v>
      </c>
      <c r="F282" s="79">
        <f>VLOOKUP(A282,Database!$A:$AS,MATCH($F$1,Database!$A$1:$AS$1,0),FALSE)</f>
        <v>96.8</v>
      </c>
      <c r="G282" s="79">
        <f>VLOOKUP(A282,Database!$A:$AS,MATCH($G$1,Database!$A$1:$AS$1,0),FALSE)</f>
        <v>93.995339666999996</v>
      </c>
      <c r="H282" s="79">
        <f>(((Table134567891011121314151617343[[#This Row],[ITA]]-VLOOKUP($U$1,A:B,2,))/VLOOKUP($U$1,A:B,2,))*100)+100</f>
        <v>82.072368420807805</v>
      </c>
      <c r="I282" s="79">
        <f>(((Table134567891011121314151617343[[#This Row],[FRA]]-VLOOKUP($U$1,A:C,3,))/VLOOKUP($U$1,A:C,3,))*100)+100</f>
        <v>98.614498975509804</v>
      </c>
      <c r="J282" s="79">
        <f>(((Table134567891011121314151617343[[#This Row],[DEU]]-VLOOKUP($U$1,A:D,4,))/VLOOKUP($U$1,A:D,4,))*100)+100</f>
        <v>128.32446808371992</v>
      </c>
      <c r="K282" s="79">
        <f>(((Table134567891011121314151617343[[#This Row],[ESP]]-VLOOKUP($U$1,A:E,5,))/VLOOKUP($U$1,A:E,5,))*100)+100</f>
        <v>79.800790115071592</v>
      </c>
      <c r="L282" s="79">
        <f>(((Table134567891011121314151617343[[#This Row],[EA19]]-VLOOKUP($U$1,A:F,6,))/VLOOKUP($U$1,A:F,6,))*100)+100</f>
        <v>108.27740492170021</v>
      </c>
      <c r="M282" s="79">
        <f>(((Table134567891011121314151617343[[#This Row],[GBR]]-VLOOKUP($U$1,A:G,7,))/VLOOKUP($U$1,A:G,7,))*100)+100</f>
        <v>101.98366394417677</v>
      </c>
      <c r="N282" s="79">
        <f>VLOOKUP(A282,Database!$A:$AS,MATCH($N$1,Database!$A$1:$AS$1,0),FALSE)</f>
        <v>98.199548729</v>
      </c>
      <c r="O282" s="79">
        <f>(((Table134567891011121314151617343[[#This Row],[USA]]-VLOOKUP($U$1,A:N,14,))/VLOOKUP($U$1,A:N,14,))*100)+100</f>
        <v>113.0505033906321</v>
      </c>
      <c r="P282" s="79">
        <f>VLOOKUP(A282,Database!$A:$AS,MATCH($P$1,Database!$A$1:$AS$1,0),FALSE)</f>
        <v>99.591700692000003</v>
      </c>
      <c r="Q282" s="79">
        <f>(((Table134567891011121314151617343[[#This Row],[JPN]]-VLOOKUP($U$1,A:Q,16,))/VLOOKUP($U$1,A:Q,16,))*100)+100</f>
        <v>99.988024055850431</v>
      </c>
    </row>
    <row r="283" spans="1:17" s="83" customFormat="1" x14ac:dyDescent="0.2">
      <c r="A283" s="21">
        <v>41426</v>
      </c>
      <c r="B283" s="79">
        <f>VLOOKUP(A283,Database!$A:$AS,MATCH($B$1,Database!$A$1:$AS$1,0),FALSE)</f>
        <v>99.691692359000001</v>
      </c>
      <c r="C283" s="79">
        <f>VLOOKUP(A283,Database!$A:$AS,MATCH($C$1,Database!$A$1:$AS$1,0),FALSE)</f>
        <v>99.82</v>
      </c>
      <c r="D283" s="79">
        <f>VLOOKUP(A283,Database!$A:$AS,MATCH($D$1,Database!$A$1:$AS$1,0),FALSE)</f>
        <v>98.191817349000004</v>
      </c>
      <c r="E283" s="79">
        <f>VLOOKUP(A283,Database!$A:$AS,MATCH($E$1,Database!$A$1:$AS$1,0),FALSE)</f>
        <v>96.053080043999998</v>
      </c>
      <c r="F283" s="79">
        <f>VLOOKUP(A283,Database!$A:$AS,MATCH($F$1,Database!$A$1:$AS$1,0),FALSE)</f>
        <v>96.8</v>
      </c>
      <c r="G283" s="79">
        <f>VLOOKUP(A283,Database!$A:$AS,MATCH($G$1,Database!$A$1:$AS$1,0),FALSE)</f>
        <v>95.178347373999998</v>
      </c>
      <c r="H283" s="79">
        <f>(((Table134567891011121314151617343[[#This Row],[ITA]]-VLOOKUP($U$1,A:B,2,))/VLOOKUP($U$1,A:B,2,))*100)+100</f>
        <v>81.990131578999453</v>
      </c>
      <c r="I283" s="79">
        <f>(((Table134567891011121314151617343[[#This Row],[FRA]]-VLOOKUP($U$1,A:C,3,))/VLOOKUP($U$1,A:C,3,))*100)+100</f>
        <v>97.394867791979706</v>
      </c>
      <c r="J283" s="79">
        <f>(((Table134567891011121314151617343[[#This Row],[DEU]]-VLOOKUP($U$1,A:D,4,))/VLOOKUP($U$1,A:D,4,))*100)+100</f>
        <v>130.58510638272406</v>
      </c>
      <c r="K283" s="79">
        <f>(((Table134567891011121314151617343[[#This Row],[ESP]]-VLOOKUP($U$1,A:E,5,))/VLOOKUP($U$1,A:E,5,))*100)+100</f>
        <v>80.737160628363625</v>
      </c>
      <c r="L283" s="79">
        <f>(((Table134567891011121314151617343[[#This Row],[EA19]]-VLOOKUP($U$1,A:F,6,))/VLOOKUP($U$1,A:F,6,))*100)+100</f>
        <v>108.27740492170021</v>
      </c>
      <c r="M283" s="79">
        <f>(((Table134567891011121314151617343[[#This Row],[GBR]]-VLOOKUP($U$1,A:G,7,))/VLOOKUP($U$1,A:G,7,))*100)+100</f>
        <v>103.26721120153529</v>
      </c>
      <c r="N283" s="79">
        <f>VLOOKUP(A283,Database!$A:$AS,MATCH($N$1,Database!$A$1:$AS$1,0),FALSE)</f>
        <v>98.332268769999999</v>
      </c>
      <c r="O283" s="79">
        <f>(((Table134567891011121314151617343[[#This Row],[USA]]-VLOOKUP($U$1,A:N,14,))/VLOOKUP($U$1,A:N,14,))*100)+100</f>
        <v>113.20329500362089</v>
      </c>
      <c r="P283" s="79">
        <f>VLOOKUP(A283,Database!$A:$AS,MATCH($P$1,Database!$A$1:$AS$1,0),FALSE)</f>
        <v>98.591784017999998</v>
      </c>
      <c r="Q283" s="79">
        <f>(((Table134567891011121314151617343[[#This Row],[JPN]]-VLOOKUP($U$1,A:Q,16,))/VLOOKUP($U$1,A:Q,16,))*100)+100</f>
        <v>98.984128231609418</v>
      </c>
    </row>
    <row r="284" spans="1:17" s="83" customFormat="1" x14ac:dyDescent="0.2">
      <c r="A284" s="21">
        <v>41456</v>
      </c>
      <c r="B284" s="79">
        <f>VLOOKUP(A284,Database!$A:$AS,MATCH($B$1,Database!$A$1:$AS$1,0),FALSE)</f>
        <v>99.491709024000002</v>
      </c>
      <c r="C284" s="79">
        <f>VLOOKUP(A284,Database!$A:$AS,MATCH($C$1,Database!$A$1:$AS$1,0),FALSE)</f>
        <v>99.12</v>
      </c>
      <c r="D284" s="79">
        <f>VLOOKUP(A284,Database!$A:$AS,MATCH($D$1,Database!$A$1:$AS$1,0),FALSE)</f>
        <v>96.491959003000005</v>
      </c>
      <c r="E284" s="79">
        <f>VLOOKUP(A284,Database!$A:$AS,MATCH($E$1,Database!$A$1:$AS$1,0),FALSE)</f>
        <v>95.640079700000001</v>
      </c>
      <c r="F284" s="79">
        <f>VLOOKUP(A284,Database!$A:$AS,MATCH($F$1,Database!$A$1:$AS$1,0),FALSE)</f>
        <v>96</v>
      </c>
      <c r="G284" s="79">
        <f>VLOOKUP(A284,Database!$A:$AS,MATCH($G$1,Database!$A$1:$AS$1,0),FALSE)</f>
        <v>94.855708907999997</v>
      </c>
      <c r="H284" s="79">
        <f>(((Table134567891011121314151617343[[#This Row],[ITA]]-VLOOKUP($U$1,A:B,2,))/VLOOKUP($U$1,A:B,2,))*100)+100</f>
        <v>81.825657894560322</v>
      </c>
      <c r="I284" s="79">
        <f>(((Table134567891011121314151617343[[#This Row],[FRA]]-VLOOKUP($U$1,A:C,3,))/VLOOKUP($U$1,A:C,3,))*100)+100</f>
        <v>96.711874329202857</v>
      </c>
      <c r="J284" s="79">
        <f>(((Table134567891011121314151617343[[#This Row],[DEU]]-VLOOKUP($U$1,A:D,4,))/VLOOKUP($U$1,A:D,4,))*100)+100</f>
        <v>128.32446808371992</v>
      </c>
      <c r="K284" s="79">
        <f>(((Table134567891011121314151617343[[#This Row],[ESP]]-VLOOKUP($U$1,A:E,5,))/VLOOKUP($U$1,A:E,5,))*100)+100</f>
        <v>80.390014289091397</v>
      </c>
      <c r="L284" s="79">
        <f>(((Table134567891011121314151617343[[#This Row],[EA19]]-VLOOKUP($U$1,A:F,6,))/VLOOKUP($U$1,A:F,6,))*100)+100</f>
        <v>107.38255033557046</v>
      </c>
      <c r="M284" s="79">
        <f>(((Table134567891011121314151617343[[#This Row],[GBR]]-VLOOKUP($U$1,A:G,7,))/VLOOKUP($U$1,A:G,7,))*100)+100</f>
        <v>102.91715285812614</v>
      </c>
      <c r="N284" s="79">
        <f>VLOOKUP(A284,Database!$A:$AS,MATCH($N$1,Database!$A$1:$AS$1,0),FALSE)</f>
        <v>98.048689951</v>
      </c>
      <c r="O284" s="79">
        <f>(((Table134567891011121314151617343[[#This Row],[USA]]-VLOOKUP($U$1,A:N,14,))/VLOOKUP($U$1,A:N,14,))*100)+100</f>
        <v>112.87682987568692</v>
      </c>
      <c r="P284" s="79">
        <f>VLOOKUP(A284,Database!$A:$AS,MATCH($P$1,Database!$A$1:$AS$1,0),FALSE)</f>
        <v>100.091659028</v>
      </c>
      <c r="Q284" s="79">
        <f>(((Table134567891011121314151617343[[#This Row],[JPN]]-VLOOKUP($U$1,A:Q,16,))/VLOOKUP($U$1,A:Q,16,))*100)+100</f>
        <v>100.48997196696693</v>
      </c>
    </row>
    <row r="285" spans="1:17" s="83" customFormat="1" x14ac:dyDescent="0.2">
      <c r="A285" s="21">
        <v>41487</v>
      </c>
      <c r="B285" s="79">
        <f>VLOOKUP(A285,Database!$A:$AS,MATCH($B$1,Database!$A$1:$AS$1,0),FALSE)</f>
        <v>97.891842346000004</v>
      </c>
      <c r="C285" s="79">
        <f>VLOOKUP(A285,Database!$A:$AS,MATCH($C$1,Database!$A$1:$AS$1,0),FALSE)</f>
        <v>98.34</v>
      </c>
      <c r="D285" s="79">
        <f>VLOOKUP(A285,Database!$A:$AS,MATCH($D$1,Database!$A$1:$AS$1,0),FALSE)</f>
        <v>98.691775684999996</v>
      </c>
      <c r="E285" s="79">
        <f>VLOOKUP(A285,Database!$A:$AS,MATCH($E$1,Database!$A$1:$AS$1,0),FALSE)</f>
        <v>96.851080709000001</v>
      </c>
      <c r="F285" s="79">
        <f>VLOOKUP(A285,Database!$A:$AS,MATCH($F$1,Database!$A$1:$AS$1,0),FALSE)</f>
        <v>96.4</v>
      </c>
      <c r="G285" s="79">
        <f>VLOOKUP(A285,Database!$A:$AS,MATCH($G$1,Database!$A$1:$AS$1,0),FALSE)</f>
        <v>94.210431976999999</v>
      </c>
      <c r="H285" s="79">
        <f>(((Table134567891011121314151617343[[#This Row],[ITA]]-VLOOKUP($U$1,A:B,2,))/VLOOKUP($U$1,A:B,2,))*100)+100</f>
        <v>80.509868420692143</v>
      </c>
      <c r="I285" s="79">
        <f>(((Table134567891011121314151617343[[#This Row],[FRA]]-VLOOKUP($U$1,A:C,3,))/VLOOKUP($U$1,A:C,3,))*100)+100</f>
        <v>95.950824470680075</v>
      </c>
      <c r="J285" s="79">
        <f>(((Table134567891011121314151617343[[#This Row],[DEU]]-VLOOKUP($U$1,A:D,4,))/VLOOKUP($U$1,A:D,4,))*100)+100</f>
        <v>131.24999999867012</v>
      </c>
      <c r="K285" s="79">
        <f>(((Table134567891011121314151617343[[#This Row],[ESP]]-VLOOKUP($U$1,A:E,5,))/VLOOKUP($U$1,A:E,5,))*100)+100</f>
        <v>81.407917962143387</v>
      </c>
      <c r="L285" s="79">
        <f>(((Table134567891011121314151617343[[#This Row],[EA19]]-VLOOKUP($U$1,A:F,6,))/VLOOKUP($U$1,A:F,6,))*100)+100</f>
        <v>107.82997762863535</v>
      </c>
      <c r="M285" s="79">
        <f>(((Table134567891011121314151617343[[#This Row],[GBR]]-VLOOKUP($U$1,A:G,7,))/VLOOKUP($U$1,A:G,7,))*100)+100</f>
        <v>102.21703617239288</v>
      </c>
      <c r="N285" s="79">
        <f>VLOOKUP(A285,Database!$A:$AS,MATCH($N$1,Database!$A$1:$AS$1,0),FALSE)</f>
        <v>98.622785902999993</v>
      </c>
      <c r="O285" s="79">
        <f>(((Table134567891011121314151617343[[#This Row],[USA]]-VLOOKUP($U$1,A:N,14,))/VLOOKUP($U$1,A:N,14,))*100)+100</f>
        <v>113.53774774351983</v>
      </c>
      <c r="P285" s="79">
        <f>VLOOKUP(A285,Database!$A:$AS,MATCH($P$1,Database!$A$1:$AS$1,0),FALSE)</f>
        <v>100.39163403000001</v>
      </c>
      <c r="Q285" s="79">
        <f>(((Table134567891011121314151617343[[#This Row],[JPN]]-VLOOKUP($U$1,A:Q,16,))/VLOOKUP($U$1,A:Q,16,))*100)+100</f>
        <v>100.79114071403845</v>
      </c>
    </row>
    <row r="286" spans="1:17" s="83" customFormat="1" x14ac:dyDescent="0.2">
      <c r="A286" s="21">
        <v>41518</v>
      </c>
      <c r="B286" s="79">
        <f>VLOOKUP(A286,Database!$A:$AS,MATCH($B$1,Database!$A$1:$AS$1,0),FALSE)</f>
        <v>99.691692359000001</v>
      </c>
      <c r="C286" s="79">
        <f>VLOOKUP(A286,Database!$A:$AS,MATCH($C$1,Database!$A$1:$AS$1,0),FALSE)</f>
        <v>98.9</v>
      </c>
      <c r="D286" s="79">
        <f>VLOOKUP(A286,Database!$A:$AS,MATCH($D$1,Database!$A$1:$AS$1,0),FALSE)</f>
        <v>98.191817349000004</v>
      </c>
      <c r="E286" s="79">
        <f>VLOOKUP(A286,Database!$A:$AS,MATCH($E$1,Database!$A$1:$AS$1,0),FALSE)</f>
        <v>96.419080348999998</v>
      </c>
      <c r="F286" s="79">
        <f>VLOOKUP(A286,Database!$A:$AS,MATCH($F$1,Database!$A$1:$AS$1,0),FALSE)</f>
        <v>96.6</v>
      </c>
      <c r="G286" s="79">
        <f>VLOOKUP(A286,Database!$A:$AS,MATCH($G$1,Database!$A$1:$AS$1,0),FALSE)</f>
        <v>96.253808926000005</v>
      </c>
      <c r="H286" s="79">
        <f>(((Table134567891011121314151617343[[#This Row],[ITA]]-VLOOKUP($U$1,A:B,2,))/VLOOKUP($U$1,A:B,2,))*100)+100</f>
        <v>81.990131578999453</v>
      </c>
      <c r="I286" s="79">
        <f>(((Table134567891011121314151617343[[#This Row],[FRA]]-VLOOKUP($U$1,A:C,3,))/VLOOKUP($U$1,A:C,3,))*100)+100</f>
        <v>96.497219240901558</v>
      </c>
      <c r="J286" s="79">
        <f>(((Table134567891011121314151617343[[#This Row],[DEU]]-VLOOKUP($U$1,A:D,4,))/VLOOKUP($U$1,A:D,4,))*100)+100</f>
        <v>130.58510638272406</v>
      </c>
      <c r="K286" s="79">
        <f>(((Table134567891011121314151617343[[#This Row],[ESP]]-VLOOKUP($U$1,A:E,5,))/VLOOKUP($U$1,A:E,5,))*100)+100</f>
        <v>81.044801210022015</v>
      </c>
      <c r="L286" s="79">
        <f>(((Table134567891011121314151617343[[#This Row],[EA19]]-VLOOKUP($U$1,A:F,6,))/VLOOKUP($U$1,A:F,6,))*100)+100</f>
        <v>108.05369127516778</v>
      </c>
      <c r="M286" s="79">
        <f>(((Table134567891011121314151617343[[#This Row],[GBR]]-VLOOKUP($U$1,A:G,7,))/VLOOKUP($U$1,A:G,7,))*100)+100</f>
        <v>104.43407234478575</v>
      </c>
      <c r="N286" s="79">
        <f>VLOOKUP(A286,Database!$A:$AS,MATCH($N$1,Database!$A$1:$AS$1,0),FALSE)</f>
        <v>99.175075724999999</v>
      </c>
      <c r="O286" s="79">
        <f>(((Table134567891011121314151617343[[#This Row],[USA]]-VLOOKUP($U$1,A:N,14,))/VLOOKUP($U$1,A:N,14,))*100)+100</f>
        <v>114.17356168770534</v>
      </c>
      <c r="P286" s="79">
        <f>VLOOKUP(A286,Database!$A:$AS,MATCH($P$1,Database!$A$1:$AS$1,0),FALSE)</f>
        <v>101.191567369</v>
      </c>
      <c r="Q286" s="79">
        <f>(((Table134567891011121314151617343[[#This Row],[JPN]]-VLOOKUP($U$1,A:Q,16,))/VLOOKUP($U$1,A:Q,16,))*100)+100</f>
        <v>101.59425737323045</v>
      </c>
    </row>
    <row r="287" spans="1:17" s="83" customFormat="1" x14ac:dyDescent="0.2">
      <c r="A287" s="21">
        <v>41548</v>
      </c>
      <c r="B287" s="79">
        <f>VLOOKUP(A287,Database!$A:$AS,MATCH($B$1,Database!$A$1:$AS$1,0),FALSE)</f>
        <v>100.091659028</v>
      </c>
      <c r="C287" s="79">
        <f>VLOOKUP(A287,Database!$A:$AS,MATCH($C$1,Database!$A$1:$AS$1,0),FALSE)</f>
        <v>99.07</v>
      </c>
      <c r="D287" s="79">
        <f>VLOOKUP(A287,Database!$A:$AS,MATCH($D$1,Database!$A$1:$AS$1,0),FALSE)</f>
        <v>97.491875676999996</v>
      </c>
      <c r="E287" s="79">
        <f>VLOOKUP(A287,Database!$A:$AS,MATCH($E$1,Database!$A$1:$AS$1,0),FALSE)</f>
        <v>95.269079391000005</v>
      </c>
      <c r="F287" s="79">
        <f>VLOOKUP(A287,Database!$A:$AS,MATCH($F$1,Database!$A$1:$AS$1,0),FALSE)</f>
        <v>96.1</v>
      </c>
      <c r="G287" s="79">
        <f>VLOOKUP(A287,Database!$A:$AS,MATCH($G$1,Database!$A$1:$AS$1,0),FALSE)</f>
        <v>97.114178167999995</v>
      </c>
      <c r="H287" s="79">
        <f>(((Table134567891011121314151617343[[#This Row],[ITA]]-VLOOKUP($U$1,A:B,2,))/VLOOKUP($U$1,A:B,2,))*100)+100</f>
        <v>82.319078947055274</v>
      </c>
      <c r="I287" s="79">
        <f>(((Table134567891011121314151617343[[#This Row],[FRA]]-VLOOKUP($U$1,A:C,3,))/VLOOKUP($U$1,A:C,3,))*100)+100</f>
        <v>96.663089081861642</v>
      </c>
      <c r="J287" s="79">
        <f>(((Table134567891011121314151617343[[#This Row],[DEU]]-VLOOKUP($U$1,A:D,4,))/VLOOKUP($U$1,A:D,4,))*100)+100</f>
        <v>129.65425531827177</v>
      </c>
      <c r="K287" s="79">
        <f>(((Table134567891011121314151617343[[#This Row],[ESP]]-VLOOKUP($U$1,A:E,5,))/VLOOKUP($U$1,A:E,5,))*100)+100</f>
        <v>80.078170967386527</v>
      </c>
      <c r="L287" s="79">
        <f>(((Table134567891011121314151617343[[#This Row],[EA19]]-VLOOKUP($U$1,A:F,6,))/VLOOKUP($U$1,A:F,6,))*100)+100</f>
        <v>107.49440715883668</v>
      </c>
      <c r="M287" s="79">
        <f>(((Table134567891011121314151617343[[#This Row],[GBR]]-VLOOKUP($U$1,A:G,7,))/VLOOKUP($U$1,A:G,7,))*100)+100</f>
        <v>105.36756125982011</v>
      </c>
      <c r="N287" s="79">
        <f>VLOOKUP(A287,Database!$A:$AS,MATCH($N$1,Database!$A$1:$AS$1,0),FALSE)</f>
        <v>99.036309438000004</v>
      </c>
      <c r="O287" s="79">
        <f>(((Table134567891011121314151617343[[#This Row],[USA]]-VLOOKUP($U$1,A:N,14,))/VLOOKUP($U$1,A:N,14,))*100)+100</f>
        <v>114.01380944034736</v>
      </c>
      <c r="P287" s="79">
        <f>VLOOKUP(A287,Database!$A:$AS,MATCH($P$1,Database!$A$1:$AS$1,0),FALSE)</f>
        <v>101.49154237099999</v>
      </c>
      <c r="Q287" s="79">
        <f>(((Table134567891011121314151617343[[#This Row],[JPN]]-VLOOKUP($U$1,A:Q,16,))/VLOOKUP($U$1,A:Q,16,))*100)+100</f>
        <v>101.89542612030193</v>
      </c>
    </row>
    <row r="288" spans="1:17" s="83" customFormat="1" x14ac:dyDescent="0.2">
      <c r="A288" s="21">
        <v>41579</v>
      </c>
      <c r="B288" s="79">
        <f>VLOOKUP(A288,Database!$A:$AS,MATCH($B$1,Database!$A$1:$AS$1,0),FALSE)</f>
        <v>99.691692359000001</v>
      </c>
      <c r="C288" s="79">
        <f>VLOOKUP(A288,Database!$A:$AS,MATCH($C$1,Database!$A$1:$AS$1,0),FALSE)</f>
        <v>100.75</v>
      </c>
      <c r="D288" s="79">
        <f>VLOOKUP(A288,Database!$A:$AS,MATCH($D$1,Database!$A$1:$AS$1,0),FALSE)</f>
        <v>99.691692359000001</v>
      </c>
      <c r="E288" s="79">
        <f>VLOOKUP(A288,Database!$A:$AS,MATCH($E$1,Database!$A$1:$AS$1,0),FALSE)</f>
        <v>96.490080407999997</v>
      </c>
      <c r="F288" s="79">
        <f>VLOOKUP(A288,Database!$A:$AS,MATCH($F$1,Database!$A$1:$AS$1,0),FALSE)</f>
        <v>97.4</v>
      </c>
      <c r="G288" s="79">
        <f>VLOOKUP(A288,Database!$A:$AS,MATCH($G$1,Database!$A$1:$AS$1,0),FALSE)</f>
        <v>97.651908943999999</v>
      </c>
      <c r="H288" s="79">
        <f>(((Table134567891011121314151617343[[#This Row],[ITA]]-VLOOKUP($U$1,A:B,2,))/VLOOKUP($U$1,A:B,2,))*100)+100</f>
        <v>81.990131578999453</v>
      </c>
      <c r="I288" s="79">
        <f>(((Table134567891011121314151617343[[#This Row],[FRA]]-VLOOKUP($U$1,A:C,3,))/VLOOKUP($U$1,A:C,3,))*100)+100</f>
        <v>98.302273392526104</v>
      </c>
      <c r="J288" s="79">
        <f>(((Table134567891011121314151617343[[#This Row],[DEU]]-VLOOKUP($U$1,A:D,4,))/VLOOKUP($U$1,A:D,4,))*100)+100</f>
        <v>132.57978723322199</v>
      </c>
      <c r="K288" s="79">
        <f>(((Table134567891011121314151617343[[#This Row],[ESP]]-VLOOKUP($U$1,A:E,5,))/VLOOKUP($U$1,A:E,5,))*100)+100</f>
        <v>81.104480120531491</v>
      </c>
      <c r="L288" s="79">
        <f>(((Table134567891011121314151617343[[#This Row],[EA19]]-VLOOKUP($U$1,A:F,6,))/VLOOKUP($U$1,A:F,6,))*100)+100</f>
        <v>108.94854586129753</v>
      </c>
      <c r="M288" s="79">
        <f>(((Table134567891011121314151617343[[#This Row],[GBR]]-VLOOKUP($U$1,A:G,7,))/VLOOKUP($U$1,A:G,7,))*100)+100</f>
        <v>105.95099183144534</v>
      </c>
      <c r="N288" s="79">
        <f>VLOOKUP(A288,Database!$A:$AS,MATCH($N$1,Database!$A$1:$AS$1,0),FALSE)</f>
        <v>99.293423544000007</v>
      </c>
      <c r="O288" s="79">
        <f>(((Table134567891011121314151617343[[#This Row],[USA]]-VLOOKUP($U$1,A:N,14,))/VLOOKUP($U$1,A:N,14,))*100)+100</f>
        <v>114.30980753288796</v>
      </c>
      <c r="P288" s="79">
        <f>VLOOKUP(A288,Database!$A:$AS,MATCH($P$1,Database!$A$1:$AS$1,0),FALSE)</f>
        <v>101.89150904100001</v>
      </c>
      <c r="Q288" s="79">
        <f>(((Table134567891011121314151617343[[#This Row],[JPN]]-VLOOKUP($U$1,A:Q,16,))/VLOOKUP($U$1,A:Q,16,))*100)+100</f>
        <v>102.29698445039995</v>
      </c>
    </row>
    <row r="289" spans="1:17" s="83" customFormat="1" x14ac:dyDescent="0.2">
      <c r="A289" s="21">
        <v>41609</v>
      </c>
      <c r="B289" s="79">
        <f>VLOOKUP(A289,Database!$A:$AS,MATCH($B$1,Database!$A$1:$AS$1,0),FALSE)</f>
        <v>98.691775684999996</v>
      </c>
      <c r="C289" s="79">
        <f>VLOOKUP(A289,Database!$A:$AS,MATCH($C$1,Database!$A$1:$AS$1,0),FALSE)</f>
        <v>99.51</v>
      </c>
      <c r="D289" s="79">
        <f>VLOOKUP(A289,Database!$A:$AS,MATCH($D$1,Database!$A$1:$AS$1,0),FALSE)</f>
        <v>99.791684025999999</v>
      </c>
      <c r="E289" s="79">
        <f>VLOOKUP(A289,Database!$A:$AS,MATCH($E$1,Database!$A$1:$AS$1,0),FALSE)</f>
        <v>96.706080588000006</v>
      </c>
      <c r="F289" s="79">
        <f>VLOOKUP(A289,Database!$A:$AS,MATCH($F$1,Database!$A$1:$AS$1,0),FALSE)</f>
        <v>97.3</v>
      </c>
      <c r="G289" s="79">
        <f>VLOOKUP(A289,Database!$A:$AS,MATCH($G$1,Database!$A$1:$AS$1,0),FALSE)</f>
        <v>98.297185876</v>
      </c>
      <c r="H289" s="79">
        <f>(((Table134567891011121314151617343[[#This Row],[ITA]]-VLOOKUP($U$1,A:B,2,))/VLOOKUP($U$1,A:B,2,))*100)+100</f>
        <v>81.167763157626226</v>
      </c>
      <c r="I289" s="79">
        <f>(((Table134567891011121314151617343[[#This Row],[FRA]]-VLOOKUP($U$1,A:C,3,))/VLOOKUP($U$1,A:C,3,))*100)+100</f>
        <v>97.092399258464255</v>
      </c>
      <c r="J289" s="79">
        <f>(((Table134567891011121314151617343[[#This Row],[DEU]]-VLOOKUP($U$1,A:D,4,))/VLOOKUP($U$1,A:D,4,))*100)+100</f>
        <v>132.7127659561452</v>
      </c>
      <c r="K289" s="79">
        <f>(((Table134567891011121314151617343[[#This Row],[ESP]]-VLOOKUP($U$1,A:E,5,))/VLOOKUP($U$1,A:E,5,))*100)+100</f>
        <v>81.286038496592184</v>
      </c>
      <c r="L289" s="79">
        <f>(((Table134567891011121314151617343[[#This Row],[EA19]]-VLOOKUP($U$1,A:F,6,))/VLOOKUP($U$1,A:F,6,))*100)+100</f>
        <v>108.83668903803131</v>
      </c>
      <c r="M289" s="79">
        <f>(((Table134567891011121314151617343[[#This Row],[GBR]]-VLOOKUP($U$1,A:G,7,))/VLOOKUP($U$1,A:G,7,))*100)+100</f>
        <v>106.6511085182636</v>
      </c>
      <c r="N289" s="79">
        <f>VLOOKUP(A289,Database!$A:$AS,MATCH($N$1,Database!$A$1:$AS$1,0),FALSE)</f>
        <v>99.481352743000002</v>
      </c>
      <c r="O289" s="79">
        <f>(((Table134567891011121314151617343[[#This Row],[USA]]-VLOOKUP($U$1,A:N,14,))/VLOOKUP($U$1,A:N,14,))*100)+100</f>
        <v>114.5261577180337</v>
      </c>
      <c r="P289" s="79">
        <f>VLOOKUP(A289,Database!$A:$AS,MATCH($P$1,Database!$A$1:$AS$1,0),FALSE)</f>
        <v>101.89150904100001</v>
      </c>
      <c r="Q289" s="79">
        <f>(((Table134567891011121314151617343[[#This Row],[JPN]]-VLOOKUP($U$1,A:Q,16,))/VLOOKUP($U$1,A:Q,16,))*100)+100</f>
        <v>102.29698445039995</v>
      </c>
    </row>
    <row r="290" spans="1:17" s="83" customFormat="1" x14ac:dyDescent="0.2">
      <c r="A290" s="21">
        <v>41640</v>
      </c>
      <c r="B290" s="79">
        <f>VLOOKUP(A290,Database!$A:$AS,MATCH($B$1,Database!$A$1:$AS$1,0),FALSE)</f>
        <v>100.29164236299999</v>
      </c>
      <c r="C290" s="79">
        <f>VLOOKUP(A290,Database!$A:$AS,MATCH($C$1,Database!$A$1:$AS$1,0),FALSE)</f>
        <v>98</v>
      </c>
      <c r="D290" s="79">
        <f>VLOOKUP(A290,Database!$A:$AS,MATCH($D$1,Database!$A$1:$AS$1,0),FALSE)</f>
        <v>99.291725690000007</v>
      </c>
      <c r="E290" s="79">
        <f>VLOOKUP(A290,Database!$A:$AS,MATCH($E$1,Database!$A$1:$AS$1,0),FALSE)</f>
        <v>96.475080395999996</v>
      </c>
      <c r="F290" s="79">
        <f>VLOOKUP(A290,Database!$A:$AS,MATCH($F$1,Database!$A$1:$AS$1,0),FALSE)</f>
        <v>96.9</v>
      </c>
      <c r="G290" s="79">
        <f>VLOOKUP(A290,Database!$A:$AS,MATCH($G$1,Database!$A$1:$AS$1,0),FALSE)</f>
        <v>98.619824340999998</v>
      </c>
      <c r="H290" s="79">
        <f>(((Table134567891011121314151617343[[#This Row],[ITA]]-VLOOKUP($U$1,A:B,2,))/VLOOKUP($U$1,A:B,2,))*100)+100</f>
        <v>82.483552631494405</v>
      </c>
      <c r="I290" s="79">
        <f>(((Table134567891011121314151617343[[#This Row],[FRA]]-VLOOKUP($U$1,A:C,3,))/VLOOKUP($U$1,A:C,3,))*100)+100</f>
        <v>95.619084788759878</v>
      </c>
      <c r="J290" s="79">
        <f>(((Table134567891011121314151617343[[#This Row],[DEU]]-VLOOKUP($U$1,A:D,4,))/VLOOKUP($U$1,A:D,4,))*100)+100</f>
        <v>132.04787234019918</v>
      </c>
      <c r="K290" s="79">
        <f>(((Table134567891011121314151617343[[#This Row],[ESP]]-VLOOKUP($U$1,A:E,5,))/VLOOKUP($U$1,A:E,5,))*100)+100</f>
        <v>81.091871900391993</v>
      </c>
      <c r="L290" s="79">
        <f>(((Table134567891011121314151617343[[#This Row],[EA19]]-VLOOKUP($U$1,A:F,6,))/VLOOKUP($U$1,A:F,6,))*100)+100</f>
        <v>108.38926174496645</v>
      </c>
      <c r="M290" s="79">
        <f>(((Table134567891011121314151617343[[#This Row],[GBR]]-VLOOKUP($U$1,A:G,7,))/VLOOKUP($U$1,A:G,7,))*100)+100</f>
        <v>107.00116686058774</v>
      </c>
      <c r="N290" s="79">
        <f>VLOOKUP(A290,Database!$A:$AS,MATCH($N$1,Database!$A$1:$AS$1,0),FALSE)</f>
        <v>99.156441395000002</v>
      </c>
      <c r="O290" s="79">
        <f>(((Table134567891011121314151617343[[#This Row],[USA]]-VLOOKUP($U$1,A:N,14,))/VLOOKUP($U$1,A:N,14,))*100)+100</f>
        <v>114.15210924302394</v>
      </c>
      <c r="P290" s="79">
        <f>VLOOKUP(A290,Database!$A:$AS,MATCH($P$1,Database!$A$1:$AS$1,0),FALSE)</f>
        <v>103.591367386</v>
      </c>
      <c r="Q290" s="79">
        <f>(((Table134567891011121314151617343[[#This Row],[JPN]]-VLOOKUP($U$1,A:Q,16,))/VLOOKUP($U$1,A:Q,16,))*100)+100</f>
        <v>104.00360735080645</v>
      </c>
    </row>
    <row r="291" spans="1:17" s="83" customFormat="1" x14ac:dyDescent="0.2">
      <c r="A291" s="21">
        <v>41671</v>
      </c>
      <c r="B291" s="79">
        <f>VLOOKUP(A291,Database!$A:$AS,MATCH($B$1,Database!$A$1:$AS$1,0),FALSE)</f>
        <v>99.491709024000002</v>
      </c>
      <c r="C291" s="79">
        <f>VLOOKUP(A291,Database!$A:$AS,MATCH($C$1,Database!$A$1:$AS$1,0),FALSE)</f>
        <v>99.49</v>
      </c>
      <c r="D291" s="79">
        <f>VLOOKUP(A291,Database!$A:$AS,MATCH($D$1,Database!$A$1:$AS$1,0),FALSE)</f>
        <v>99.391717357000005</v>
      </c>
      <c r="E291" s="79">
        <f>VLOOKUP(A291,Database!$A:$AS,MATCH($E$1,Database!$A$1:$AS$1,0),FALSE)</f>
        <v>97.305081087999994</v>
      </c>
      <c r="F291" s="79">
        <f>VLOOKUP(A291,Database!$A:$AS,MATCH($F$1,Database!$A$1:$AS$1,0),FALSE)</f>
        <v>97.6</v>
      </c>
      <c r="G291" s="79">
        <f>VLOOKUP(A291,Database!$A:$AS,MATCH($G$1,Database!$A$1:$AS$1,0),FALSE)</f>
        <v>98.619824340999998</v>
      </c>
      <c r="H291" s="79">
        <f>(((Table134567891011121314151617343[[#This Row],[ITA]]-VLOOKUP($U$1,A:B,2,))/VLOOKUP($U$1,A:B,2,))*100)+100</f>
        <v>81.825657894560322</v>
      </c>
      <c r="I291" s="79">
        <f>(((Table134567891011121314151617343[[#This Row],[FRA]]-VLOOKUP($U$1,A:C,3,))/VLOOKUP($U$1,A:C,3,))*100)+100</f>
        <v>97.072885159527758</v>
      </c>
      <c r="J291" s="79">
        <f>(((Table134567891011121314151617343[[#This Row],[DEU]]-VLOOKUP($U$1,A:D,4,))/VLOOKUP($U$1,A:D,4,))*100)+100</f>
        <v>132.18085106312242</v>
      </c>
      <c r="K291" s="79">
        <f>(((Table134567891011121314151617343[[#This Row],[ESP]]-VLOOKUP($U$1,A:E,5,))/VLOOKUP($U$1,A:E,5,))*100)+100</f>
        <v>81.789526771646109</v>
      </c>
      <c r="L291" s="79">
        <f>(((Table134567891011121314151617343[[#This Row],[EA19]]-VLOOKUP($U$1,A:F,6,))/VLOOKUP($U$1,A:F,6,))*100)+100</f>
        <v>109.17225950782996</v>
      </c>
      <c r="M291" s="79">
        <f>(((Table134567891011121314151617343[[#This Row],[GBR]]-VLOOKUP($U$1,A:G,7,))/VLOOKUP($U$1,A:G,7,))*100)+100</f>
        <v>107.00116686058774</v>
      </c>
      <c r="N291" s="79">
        <f>VLOOKUP(A291,Database!$A:$AS,MATCH($N$1,Database!$A$1:$AS$1,0),FALSE)</f>
        <v>99.903598729999999</v>
      </c>
      <c r="O291" s="79">
        <f>(((Table134567891011121314151617343[[#This Row],[USA]]-VLOOKUP($U$1,A:N,14,))/VLOOKUP($U$1,A:N,14,))*100)+100</f>
        <v>115.01226098432016</v>
      </c>
      <c r="P291" s="79">
        <f>VLOOKUP(A291,Database!$A:$AS,MATCH($P$1,Database!$A$1:$AS$1,0),FALSE)</f>
        <v>102.891425715</v>
      </c>
      <c r="Q291" s="79">
        <f>(((Table134567891011121314151617343[[#This Row],[JPN]]-VLOOKUP($U$1,A:Q,16,))/VLOOKUP($U$1,A:Q,16,))*100)+100</f>
        <v>103.30088027464093</v>
      </c>
    </row>
    <row r="292" spans="1:17" s="83" customFormat="1" x14ac:dyDescent="0.2">
      <c r="A292" s="21">
        <v>41699</v>
      </c>
      <c r="B292" s="79">
        <f>VLOOKUP(A292,Database!$A:$AS,MATCH($B$1,Database!$A$1:$AS$1,0),FALSE)</f>
        <v>98.491792351000001</v>
      </c>
      <c r="C292" s="79">
        <f>VLOOKUP(A292,Database!$A:$AS,MATCH($C$1,Database!$A$1:$AS$1,0),FALSE)</f>
        <v>98.77</v>
      </c>
      <c r="D292" s="79">
        <f>VLOOKUP(A292,Database!$A:$AS,MATCH($D$1,Database!$A$1:$AS$1,0),FALSE)</f>
        <v>99.791684025999999</v>
      </c>
      <c r="E292" s="79">
        <f>VLOOKUP(A292,Database!$A:$AS,MATCH($E$1,Database!$A$1:$AS$1,0),FALSE)</f>
        <v>96.330080275</v>
      </c>
      <c r="F292" s="79">
        <f>VLOOKUP(A292,Database!$A:$AS,MATCH($F$1,Database!$A$1:$AS$1,0),FALSE)</f>
        <v>97.1</v>
      </c>
      <c r="G292" s="79">
        <f>VLOOKUP(A292,Database!$A:$AS,MATCH($G$1,Database!$A$1:$AS$1,0),FALSE)</f>
        <v>97.544362789000004</v>
      </c>
      <c r="H292" s="79">
        <f>(((Table134567891011121314151617343[[#This Row],[ITA]]-VLOOKUP($U$1,A:B,2,))/VLOOKUP($U$1,A:B,2,))*100)+100</f>
        <v>81.003289474009534</v>
      </c>
      <c r="I292" s="79">
        <f>(((Table134567891011121314151617343[[#This Row],[FRA]]-VLOOKUP($U$1,A:C,3,))/VLOOKUP($U$1,A:C,3,))*100)+100</f>
        <v>96.370377597814425</v>
      </c>
      <c r="J292" s="79">
        <f>(((Table134567891011121314151617343[[#This Row],[DEU]]-VLOOKUP($U$1,A:D,4,))/VLOOKUP($U$1,A:D,4,))*100)+100</f>
        <v>132.7127659561452</v>
      </c>
      <c r="K292" s="79">
        <f>(((Table134567891011121314151617343[[#This Row],[ESP]]-VLOOKUP($U$1,A:E,5,))/VLOOKUP($U$1,A:E,5,))*100)+100</f>
        <v>80.969992434840805</v>
      </c>
      <c r="L292" s="79">
        <f>(((Table134567891011121314151617343[[#This Row],[EA19]]-VLOOKUP($U$1,A:F,6,))/VLOOKUP($U$1,A:F,6,))*100)+100</f>
        <v>108.61297539149886</v>
      </c>
      <c r="M292" s="79">
        <f>(((Table134567891011121314151617343[[#This Row],[GBR]]-VLOOKUP($U$1,A:G,7,))/VLOOKUP($U$1,A:G,7,))*100)+100</f>
        <v>105.83430571733729</v>
      </c>
      <c r="N292" s="79">
        <f>VLOOKUP(A292,Database!$A:$AS,MATCH($N$1,Database!$A$1:$AS$1,0),FALSE)</f>
        <v>100.88130633900001</v>
      </c>
      <c r="O292" s="79">
        <f>(((Table134567891011121314151617343[[#This Row],[USA]]-VLOOKUP($U$1,A:N,14,))/VLOOKUP($U$1,A:N,14,))*100)+100</f>
        <v>116.13782967375816</v>
      </c>
      <c r="P292" s="79">
        <f>VLOOKUP(A292,Database!$A:$AS,MATCH($P$1,Database!$A$1:$AS$1,0),FALSE)</f>
        <v>104.291309058</v>
      </c>
      <c r="Q292" s="79">
        <f>(((Table134567891011121314151617343[[#This Row],[JPN]]-VLOOKUP($U$1,A:Q,16,))/VLOOKUP($U$1,A:Q,16,))*100)+100</f>
        <v>104.70633442797593</v>
      </c>
    </row>
    <row r="293" spans="1:17" s="83" customFormat="1" x14ac:dyDescent="0.2">
      <c r="A293" s="21">
        <v>41730</v>
      </c>
      <c r="B293" s="79">
        <f>VLOOKUP(A293,Database!$A:$AS,MATCH($B$1,Database!$A$1:$AS$1,0),FALSE)</f>
        <v>99.491709024000002</v>
      </c>
      <c r="C293" s="79">
        <f>VLOOKUP(A293,Database!$A:$AS,MATCH($C$1,Database!$A$1:$AS$1,0),FALSE)</f>
        <v>99.15</v>
      </c>
      <c r="D293" s="79">
        <f>VLOOKUP(A293,Database!$A:$AS,MATCH($D$1,Database!$A$1:$AS$1,0),FALSE)</f>
        <v>99.391717357000005</v>
      </c>
      <c r="E293" s="79">
        <f>VLOOKUP(A293,Database!$A:$AS,MATCH($E$1,Database!$A$1:$AS$1,0),FALSE)</f>
        <v>97.572081310000002</v>
      </c>
      <c r="F293" s="79">
        <f>VLOOKUP(A293,Database!$A:$AS,MATCH($F$1,Database!$A$1:$AS$1,0),FALSE)</f>
        <v>98.6</v>
      </c>
      <c r="G293" s="79">
        <f>VLOOKUP(A293,Database!$A:$AS,MATCH($G$1,Database!$A$1:$AS$1,0),FALSE)</f>
        <v>96.361355082000003</v>
      </c>
      <c r="H293" s="79">
        <f>(((Table134567891011121314151617343[[#This Row],[ITA]]-VLOOKUP($U$1,A:B,2,))/VLOOKUP($U$1,A:B,2,))*100)+100</f>
        <v>81.825657894560322</v>
      </c>
      <c r="I293" s="79">
        <f>(((Table134567891011121314151617343[[#This Row],[FRA]]-VLOOKUP($U$1,A:C,3,))/VLOOKUP($U$1,A:C,3,))*100)+100</f>
        <v>96.741145477607589</v>
      </c>
      <c r="J293" s="79">
        <f>(((Table134567891011121314151617343[[#This Row],[DEU]]-VLOOKUP($U$1,A:D,4,))/VLOOKUP($U$1,A:D,4,))*100)+100</f>
        <v>132.18085106312242</v>
      </c>
      <c r="K293" s="79">
        <f>(((Table134567891011121314151617343[[#This Row],[ESP]]-VLOOKUP($U$1,A:E,5,))/VLOOKUP($U$1,A:E,5,))*100)+100</f>
        <v>82.013953097189727</v>
      </c>
      <c r="L293" s="79">
        <f>(((Table134567891011121314151617343[[#This Row],[EA19]]-VLOOKUP($U$1,A:F,6,))/VLOOKUP($U$1,A:F,6,))*100)+100</f>
        <v>110.29082774049216</v>
      </c>
      <c r="M293" s="79">
        <f>(((Table134567891011121314151617343[[#This Row],[GBR]]-VLOOKUP($U$1,A:G,7,))/VLOOKUP($U$1,A:G,7,))*100)+100</f>
        <v>104.55075845997878</v>
      </c>
      <c r="N293" s="79">
        <f>VLOOKUP(A293,Database!$A:$AS,MATCH($N$1,Database!$A$1:$AS$1,0),FALSE)</f>
        <v>100.93631726</v>
      </c>
      <c r="O293" s="79">
        <f>(((Table134567891011121314151617343[[#This Row],[USA]]-VLOOKUP($U$1,A:N,14,))/VLOOKUP($U$1,A:N,14,))*100)+100</f>
        <v>116.20116002905534</v>
      </c>
      <c r="P293" s="79">
        <f>VLOOKUP(A293,Database!$A:$AS,MATCH($P$1,Database!$A$1:$AS$1,0),FALSE)</f>
        <v>99.791684025999999</v>
      </c>
      <c r="Q293" s="79">
        <f>(((Table134567891011121314151617343[[#This Row],[JPN]]-VLOOKUP($U$1,A:Q,16,))/VLOOKUP($U$1,A:Q,16,))*100)+100</f>
        <v>100.18880321989543</v>
      </c>
    </row>
    <row r="294" spans="1:17" s="83" customFormat="1" x14ac:dyDescent="0.2">
      <c r="A294" s="21">
        <v>41760</v>
      </c>
      <c r="B294" s="79">
        <f>VLOOKUP(A294,Database!$A:$AS,MATCH($B$1,Database!$A$1:$AS$1,0),FALSE)</f>
        <v>97.991834014000005</v>
      </c>
      <c r="C294" s="79">
        <f>VLOOKUP(A294,Database!$A:$AS,MATCH($C$1,Database!$A$1:$AS$1,0),FALSE)</f>
        <v>96.94</v>
      </c>
      <c r="D294" s="79">
        <f>VLOOKUP(A294,Database!$A:$AS,MATCH($D$1,Database!$A$1:$AS$1,0),FALSE)</f>
        <v>98.691775684999996</v>
      </c>
      <c r="E294" s="79">
        <f>VLOOKUP(A294,Database!$A:$AS,MATCH($E$1,Database!$A$1:$AS$1,0),FALSE)</f>
        <v>97.349081123999994</v>
      </c>
      <c r="F294" s="79">
        <f>VLOOKUP(A294,Database!$A:$AS,MATCH($F$1,Database!$A$1:$AS$1,0),FALSE)</f>
        <v>97.8</v>
      </c>
      <c r="G294" s="79">
        <f>VLOOKUP(A294,Database!$A:$AS,MATCH($G$1,Database!$A$1:$AS$1,0),FALSE)</f>
        <v>95.070801219000003</v>
      </c>
      <c r="H294" s="79">
        <f>(((Table134567891011121314151617343[[#This Row],[ITA]]-VLOOKUP($U$1,A:B,2,))/VLOOKUP($U$1,A:B,2,))*100)+100</f>
        <v>80.592105263322935</v>
      </c>
      <c r="I294" s="79">
        <f>(((Table134567891011121314151617343[[#This Row],[FRA]]-VLOOKUP($U$1,A:C,3,))/VLOOKUP($U$1,A:C,3,))*100)+100</f>
        <v>94.584837545126362</v>
      </c>
      <c r="J294" s="79">
        <f>(((Table134567891011121314151617343[[#This Row],[DEU]]-VLOOKUP($U$1,A:D,4,))/VLOOKUP($U$1,A:D,4,))*100)+100</f>
        <v>131.24999999867012</v>
      </c>
      <c r="K294" s="79">
        <f>(((Table134567891011121314151617343[[#This Row],[ESP]]-VLOOKUP($U$1,A:E,5,))/VLOOKUP($U$1,A:E,5,))*100)+100</f>
        <v>81.826510884727725</v>
      </c>
      <c r="L294" s="79">
        <f>(((Table134567891011121314151617343[[#This Row],[EA19]]-VLOOKUP($U$1,A:F,6,))/VLOOKUP($U$1,A:F,6,))*100)+100</f>
        <v>109.39597315436241</v>
      </c>
      <c r="M294" s="79">
        <f>(((Table134567891011121314151617343[[#This Row],[GBR]]-VLOOKUP($U$1,A:G,7,))/VLOOKUP($U$1,A:G,7,))*100)+100</f>
        <v>103.15052508742724</v>
      </c>
      <c r="N294" s="79">
        <f>VLOOKUP(A294,Database!$A:$AS,MATCH($N$1,Database!$A$1:$AS$1,0),FALSE)</f>
        <v>101.33160294</v>
      </c>
      <c r="O294" s="79">
        <f>(((Table134567891011121314151617343[[#This Row],[USA]]-VLOOKUP($U$1,A:N,14,))/VLOOKUP($U$1,A:N,14,))*100)+100</f>
        <v>116.65622571607221</v>
      </c>
      <c r="P294" s="79">
        <f>VLOOKUP(A294,Database!$A:$AS,MATCH($P$1,Database!$A$1:$AS$1,0),FALSE)</f>
        <v>101.89150904100001</v>
      </c>
      <c r="Q294" s="79">
        <f>(((Table134567891011121314151617343[[#This Row],[JPN]]-VLOOKUP($U$1,A:Q,16,))/VLOOKUP($U$1,A:Q,16,))*100)+100</f>
        <v>102.29698445039995</v>
      </c>
    </row>
    <row r="295" spans="1:17" s="83" customFormat="1" x14ac:dyDescent="0.2">
      <c r="A295" s="21">
        <v>41791</v>
      </c>
      <c r="B295" s="79">
        <f>VLOOKUP(A295,Database!$A:$AS,MATCH($B$1,Database!$A$1:$AS$1,0),FALSE)</f>
        <v>99.891675694</v>
      </c>
      <c r="C295" s="79">
        <f>VLOOKUP(A295,Database!$A:$AS,MATCH($C$1,Database!$A$1:$AS$1,0),FALSE)</f>
        <v>99</v>
      </c>
      <c r="D295" s="79">
        <f>VLOOKUP(A295,Database!$A:$AS,MATCH($D$1,Database!$A$1:$AS$1,0),FALSE)</f>
        <v>98.791767352999997</v>
      </c>
      <c r="E295" s="79">
        <f>VLOOKUP(A295,Database!$A:$AS,MATCH($E$1,Database!$A$1:$AS$1,0),FALSE)</f>
        <v>96.608080506999997</v>
      </c>
      <c r="F295" s="79">
        <f>VLOOKUP(A295,Database!$A:$AS,MATCH($F$1,Database!$A$1:$AS$1,0),FALSE)</f>
        <v>97.3</v>
      </c>
      <c r="G295" s="79">
        <f>VLOOKUP(A295,Database!$A:$AS,MATCH($G$1,Database!$A$1:$AS$1,0),FALSE)</f>
        <v>94.748162753000003</v>
      </c>
      <c r="H295" s="79">
        <f>(((Table134567891011121314151617343[[#This Row],[ITA]]-VLOOKUP($U$1,A:B,2,))/VLOOKUP($U$1,A:B,2,))*100)+100</f>
        <v>82.154605263438583</v>
      </c>
      <c r="I295" s="79">
        <f>(((Table134567891011121314151617343[[#This Row],[FRA]]-VLOOKUP($U$1,A:C,3,))/VLOOKUP($U$1,A:C,3,))*100)+100</f>
        <v>96.594789735583959</v>
      </c>
      <c r="J295" s="79">
        <f>(((Table134567891011121314151617343[[#This Row],[DEU]]-VLOOKUP($U$1,A:D,4,))/VLOOKUP($U$1,A:D,4,))*100)+100</f>
        <v>131.38297872292324</v>
      </c>
      <c r="K295" s="79">
        <f>(((Table134567891011121314151617343[[#This Row],[ESP]]-VLOOKUP($U$1,A:E,5,))/VLOOKUP($U$1,A:E,5,))*100)+100</f>
        <v>81.203664789495377</v>
      </c>
      <c r="L295" s="79">
        <f>(((Table134567891011121314151617343[[#This Row],[EA19]]-VLOOKUP($U$1,A:F,6,))/VLOOKUP($U$1,A:F,6,))*100)+100</f>
        <v>108.83668903803131</v>
      </c>
      <c r="M295" s="79">
        <f>(((Table134567891011121314151617343[[#This Row],[GBR]]-VLOOKUP($U$1,A:G,7,))/VLOOKUP($U$1,A:G,7,))*100)+100</f>
        <v>102.80046674401811</v>
      </c>
      <c r="N295" s="79">
        <f>VLOOKUP(A295,Database!$A:$AS,MATCH($N$1,Database!$A$1:$AS$1,0),FALSE)</f>
        <v>101.668309423</v>
      </c>
      <c r="O295" s="79">
        <f>(((Table134567891011121314151617343[[#This Row],[USA]]-VLOOKUP($U$1,A:N,14,))/VLOOKUP($U$1,A:N,14,))*100)+100</f>
        <v>117.04385313280389</v>
      </c>
      <c r="P295" s="79">
        <f>VLOOKUP(A295,Database!$A:$AS,MATCH($P$1,Database!$A$1:$AS$1,0),FALSE)</f>
        <v>100.591617365</v>
      </c>
      <c r="Q295" s="79">
        <f>(((Table134567891011121314151617343[[#This Row],[JPN]]-VLOOKUP($U$1,A:Q,16,))/VLOOKUP($U$1,A:Q,16,))*100)+100</f>
        <v>100.99191987908745</v>
      </c>
    </row>
    <row r="296" spans="1:17" s="83" customFormat="1" x14ac:dyDescent="0.2">
      <c r="A296" s="21">
        <v>41821</v>
      </c>
      <c r="B296" s="79">
        <f>VLOOKUP(A296,Database!$A:$AS,MATCH($B$1,Database!$A$1:$AS$1,0),FALSE)</f>
        <v>98.491792351000001</v>
      </c>
      <c r="C296" s="79">
        <f>VLOOKUP(A296,Database!$A:$AS,MATCH($C$1,Database!$A$1:$AS$1,0),FALSE)</f>
        <v>100.33</v>
      </c>
      <c r="D296" s="79">
        <f>VLOOKUP(A296,Database!$A:$AS,MATCH($D$1,Database!$A$1:$AS$1,0),FALSE)</f>
        <v>100.891592367</v>
      </c>
      <c r="E296" s="79">
        <f>VLOOKUP(A296,Database!$A:$AS,MATCH($E$1,Database!$A$1:$AS$1,0),FALSE)</f>
        <v>96.518080432000005</v>
      </c>
      <c r="F296" s="79">
        <f>VLOOKUP(A296,Database!$A:$AS,MATCH($F$1,Database!$A$1:$AS$1,0),FALSE)</f>
        <v>98.1</v>
      </c>
      <c r="G296" s="79">
        <f>VLOOKUP(A296,Database!$A:$AS,MATCH($G$1,Database!$A$1:$AS$1,0),FALSE)</f>
        <v>94.748162753000003</v>
      </c>
      <c r="H296" s="79">
        <f>(((Table134567891011121314151617343[[#This Row],[ITA]]-VLOOKUP($U$1,A:B,2,))/VLOOKUP($U$1,A:B,2,))*100)+100</f>
        <v>81.003289474009534</v>
      </c>
      <c r="I296" s="79">
        <f>(((Table134567891011121314151617343[[#This Row],[FRA]]-VLOOKUP($U$1,A:C,3,))/VLOOKUP($U$1,A:C,3,))*100)+100</f>
        <v>97.892477314859988</v>
      </c>
      <c r="J296" s="79">
        <f>(((Table134567891011121314151617343[[#This Row],[DEU]]-VLOOKUP($U$1,A:D,4,))/VLOOKUP($U$1,A:D,4,))*100)+100</f>
        <v>134.17553191362032</v>
      </c>
      <c r="K296" s="79">
        <f>(((Table134567891011121314151617343[[#This Row],[ESP]]-VLOOKUP($U$1,A:E,5,))/VLOOKUP($U$1,A:E,5,))*100)+100</f>
        <v>81.128015466136773</v>
      </c>
      <c r="L296" s="79">
        <f>(((Table134567891011121314151617343[[#This Row],[EA19]]-VLOOKUP($U$1,A:F,6,))/VLOOKUP($U$1,A:F,6,))*100)+100</f>
        <v>109.73154362416106</v>
      </c>
      <c r="M296" s="79">
        <f>(((Table134567891011121314151617343[[#This Row],[GBR]]-VLOOKUP($U$1,A:G,7,))/VLOOKUP($U$1,A:G,7,))*100)+100</f>
        <v>102.80046674401811</v>
      </c>
      <c r="N296" s="79">
        <f>VLOOKUP(A296,Database!$A:$AS,MATCH($N$1,Database!$A$1:$AS$1,0),FALSE)</f>
        <v>101.941579889</v>
      </c>
      <c r="O296" s="79">
        <f>(((Table134567891011121314151617343[[#This Row],[USA]]-VLOOKUP($U$1,A:N,14,))/VLOOKUP($U$1,A:N,14,))*100)+100</f>
        <v>117.35845095064467</v>
      </c>
      <c r="P296" s="79">
        <f>VLOOKUP(A296,Database!$A:$AS,MATCH($P$1,Database!$A$1:$AS$1,0),FALSE)</f>
        <v>100.39163403000001</v>
      </c>
      <c r="Q296" s="79">
        <f>(((Table134567891011121314151617343[[#This Row],[JPN]]-VLOOKUP($U$1,A:Q,16,))/VLOOKUP($U$1,A:Q,16,))*100)+100</f>
        <v>100.79114071403845</v>
      </c>
    </row>
    <row r="297" spans="1:17" s="83" customFormat="1" x14ac:dyDescent="0.2">
      <c r="A297" s="21">
        <v>41852</v>
      </c>
      <c r="B297" s="79">
        <f>VLOOKUP(A297,Database!$A:$AS,MATCH($B$1,Database!$A$1:$AS$1,0),FALSE)</f>
        <v>97.191900674999999</v>
      </c>
      <c r="C297" s="79">
        <f>VLOOKUP(A297,Database!$A:$AS,MATCH($C$1,Database!$A$1:$AS$1,0),FALSE)</f>
        <v>98.14</v>
      </c>
      <c r="D297" s="79">
        <f>VLOOKUP(A297,Database!$A:$AS,MATCH($D$1,Database!$A$1:$AS$1,0),FALSE)</f>
        <v>96.691942338000004</v>
      </c>
      <c r="E297" s="79">
        <f>VLOOKUP(A297,Database!$A:$AS,MATCH($E$1,Database!$A$1:$AS$1,0),FALSE)</f>
        <v>97.132080943000005</v>
      </c>
      <c r="F297" s="79">
        <f>VLOOKUP(A297,Database!$A:$AS,MATCH($F$1,Database!$A$1:$AS$1,0),FALSE)</f>
        <v>96.4</v>
      </c>
      <c r="G297" s="79">
        <f>VLOOKUP(A297,Database!$A:$AS,MATCH($G$1,Database!$A$1:$AS$1,0),FALSE)</f>
        <v>93.780247356000004</v>
      </c>
      <c r="H297" s="79">
        <f>(((Table134567891011121314151617343[[#This Row],[ITA]]-VLOOKUP($U$1,A:B,2,))/VLOOKUP($U$1,A:B,2,))*100)+100</f>
        <v>79.934210526388839</v>
      </c>
      <c r="I297" s="79">
        <f>(((Table134567891011121314151617343[[#This Row],[FRA]]-VLOOKUP($U$1,A:C,3,))/VLOOKUP($U$1,A:C,3,))*100)+100</f>
        <v>95.755683481315259</v>
      </c>
      <c r="J297" s="79">
        <f>(((Table134567891011121314151617343[[#This Row],[DEU]]-VLOOKUP($U$1,A:D,4,))/VLOOKUP($U$1,A:D,4,))*100)+100</f>
        <v>128.59042553089625</v>
      </c>
      <c r="K297" s="79">
        <f>(((Table134567891011121314151617343[[#This Row],[ESP]]-VLOOKUP($U$1,A:E,5,))/VLOOKUP($U$1,A:E,5,))*100)+100</f>
        <v>81.644111960489639</v>
      </c>
      <c r="L297" s="79">
        <f>(((Table134567891011121314151617343[[#This Row],[EA19]]-VLOOKUP($U$1,A:F,6,))/VLOOKUP($U$1,A:F,6,))*100)+100</f>
        <v>107.82997762863535</v>
      </c>
      <c r="M297" s="79">
        <f>(((Table134567891011121314151617343[[#This Row],[GBR]]-VLOOKUP($U$1,A:G,7,))/VLOOKUP($U$1,A:G,7,))*100)+100</f>
        <v>101.7502917148757</v>
      </c>
      <c r="N297" s="79">
        <f>VLOOKUP(A297,Database!$A:$AS,MATCH($N$1,Database!$A$1:$AS$1,0),FALSE)</f>
        <v>101.74453176199999</v>
      </c>
      <c r="O297" s="79">
        <f>(((Table134567891011121314151617343[[#This Row],[USA]]-VLOOKUP($U$1,A:N,14,))/VLOOKUP($U$1,A:N,14,))*100)+100</f>
        <v>117.13160276001798</v>
      </c>
      <c r="P297" s="79">
        <f>VLOOKUP(A297,Database!$A:$AS,MATCH($P$1,Database!$A$1:$AS$1,0),FALSE)</f>
        <v>99.491709024000002</v>
      </c>
      <c r="Q297" s="79">
        <f>(((Table134567891011121314151617343[[#This Row],[JPN]]-VLOOKUP($U$1,A:Q,16,))/VLOOKUP($U$1,A:Q,16,))*100)+100</f>
        <v>99.887634472823933</v>
      </c>
    </row>
    <row r="298" spans="1:17" s="83" customFormat="1" x14ac:dyDescent="0.2">
      <c r="A298" s="21">
        <v>41883</v>
      </c>
      <c r="B298" s="79">
        <f>VLOOKUP(A298,Database!$A:$AS,MATCH($B$1,Database!$A$1:$AS$1,0),FALSE)</f>
        <v>97.891842346000004</v>
      </c>
      <c r="C298" s="79">
        <f>VLOOKUP(A298,Database!$A:$AS,MATCH($C$1,Database!$A$1:$AS$1,0),FALSE)</f>
        <v>99.16</v>
      </c>
      <c r="D298" s="79">
        <f>VLOOKUP(A298,Database!$A:$AS,MATCH($D$1,Database!$A$1:$AS$1,0),FALSE)</f>
        <v>99.091742354999994</v>
      </c>
      <c r="E298" s="79">
        <f>VLOOKUP(A298,Database!$A:$AS,MATCH($E$1,Database!$A$1:$AS$1,0),FALSE)</f>
        <v>97.337081114</v>
      </c>
      <c r="F298" s="79">
        <f>VLOOKUP(A298,Database!$A:$AS,MATCH($F$1,Database!$A$1:$AS$1,0),FALSE)</f>
        <v>97.4</v>
      </c>
      <c r="G298" s="79">
        <f>VLOOKUP(A298,Database!$A:$AS,MATCH($G$1,Database!$A$1:$AS$1,0),FALSE)</f>
        <v>94.102885822000005</v>
      </c>
      <c r="H298" s="79">
        <f>(((Table134567891011121314151617343[[#This Row],[ITA]]-VLOOKUP($U$1,A:B,2,))/VLOOKUP($U$1,A:B,2,))*100)+100</f>
        <v>80.509868420692143</v>
      </c>
      <c r="I298" s="79">
        <f>(((Table134567891011121314151617343[[#This Row],[FRA]]-VLOOKUP($U$1,A:C,3,))/VLOOKUP($U$1,A:C,3,))*100)+100</f>
        <v>96.750902527075809</v>
      </c>
      <c r="J298" s="79">
        <f>(((Table134567891011121314151617343[[#This Row],[DEU]]-VLOOKUP($U$1,A:D,4,))/VLOOKUP($U$1,A:D,4,))*100)+100</f>
        <v>131.78191489302282</v>
      </c>
      <c r="K298" s="79">
        <f>(((Table134567891011121314151617343[[#This Row],[ESP]]-VLOOKUP($U$1,A:E,5,))/VLOOKUP($U$1,A:E,5,))*100)+100</f>
        <v>81.81642430827992</v>
      </c>
      <c r="L298" s="79">
        <f>(((Table134567891011121314151617343[[#This Row],[EA19]]-VLOOKUP($U$1,A:F,6,))/VLOOKUP($U$1,A:F,6,))*100)+100</f>
        <v>108.94854586129753</v>
      </c>
      <c r="M298" s="79">
        <f>(((Table134567891011121314151617343[[#This Row],[GBR]]-VLOOKUP($U$1,A:G,7,))/VLOOKUP($U$1,A:G,7,))*100)+100</f>
        <v>102.10035005828483</v>
      </c>
      <c r="N298" s="79">
        <f>VLOOKUP(A298,Database!$A:$AS,MATCH($N$1,Database!$A$1:$AS$1,0),FALSE)</f>
        <v>102.07826468099999</v>
      </c>
      <c r="O298" s="79">
        <f>(((Table134567891011121314151617343[[#This Row],[USA]]-VLOOKUP($U$1,A:N,14,))/VLOOKUP($U$1,A:N,14,))*100)+100</f>
        <v>117.51580691349218</v>
      </c>
      <c r="P298" s="79">
        <f>VLOOKUP(A298,Database!$A:$AS,MATCH($P$1,Database!$A$1:$AS$1,0),FALSE)</f>
        <v>100.591617365</v>
      </c>
      <c r="Q298" s="79">
        <f>(((Table134567891011121314151617343[[#This Row],[JPN]]-VLOOKUP($U$1,A:Q,16,))/VLOOKUP($U$1,A:Q,16,))*100)+100</f>
        <v>100.99191987908745</v>
      </c>
    </row>
    <row r="299" spans="1:17" s="83" customFormat="1" x14ac:dyDescent="0.2">
      <c r="A299" s="21">
        <v>41913</v>
      </c>
      <c r="B299" s="79">
        <f>VLOOKUP(A299,Database!$A:$AS,MATCH($B$1,Database!$A$1:$AS$1,0),FALSE)</f>
        <v>97.691859011999995</v>
      </c>
      <c r="C299" s="79">
        <f>VLOOKUP(A299,Database!$A:$AS,MATCH($C$1,Database!$A$1:$AS$1,0),FALSE)</f>
        <v>97.64</v>
      </c>
      <c r="D299" s="79">
        <f>VLOOKUP(A299,Database!$A:$AS,MATCH($D$1,Database!$A$1:$AS$1,0),FALSE)</f>
        <v>99.291725690000007</v>
      </c>
      <c r="E299" s="79">
        <f>VLOOKUP(A299,Database!$A:$AS,MATCH($E$1,Database!$A$1:$AS$1,0),FALSE)</f>
        <v>96.675080562999995</v>
      </c>
      <c r="F299" s="79">
        <f>VLOOKUP(A299,Database!$A:$AS,MATCH($F$1,Database!$A$1:$AS$1,0),FALSE)</f>
        <v>97.1</v>
      </c>
      <c r="G299" s="79">
        <f>VLOOKUP(A299,Database!$A:$AS,MATCH($G$1,Database!$A$1:$AS$1,0),FALSE)</f>
        <v>93.457608890000003</v>
      </c>
      <c r="H299" s="79">
        <f>(((Table134567891011121314151617343[[#This Row],[ITA]]-VLOOKUP($U$1,A:B,2,))/VLOOKUP($U$1,A:B,2,))*100)+100</f>
        <v>80.345394737075438</v>
      </c>
      <c r="I299" s="79">
        <f>(((Table134567891011121314151617343[[#This Row],[FRA]]-VLOOKUP($U$1,A:C,3,))/VLOOKUP($U$1,A:C,3,))*100)+100</f>
        <v>95.267831007903212</v>
      </c>
      <c r="J299" s="79">
        <f>(((Table134567891011121314151617343[[#This Row],[DEU]]-VLOOKUP($U$1,A:D,4,))/VLOOKUP($U$1,A:D,4,))*100)+100</f>
        <v>132.04787234019918</v>
      </c>
      <c r="K299" s="79">
        <f>(((Table134567891011121314151617343[[#This Row],[ESP]]-VLOOKUP($U$1,A:E,5,))/VLOOKUP($U$1,A:E,5,))*100)+100</f>
        <v>81.25998150813578</v>
      </c>
      <c r="L299" s="79">
        <f>(((Table134567891011121314151617343[[#This Row],[EA19]]-VLOOKUP($U$1,A:F,6,))/VLOOKUP($U$1,A:F,6,))*100)+100</f>
        <v>108.61297539149886</v>
      </c>
      <c r="M299" s="79">
        <f>(((Table134567891011121314151617343[[#This Row],[GBR]]-VLOOKUP($U$1,A:G,7,))/VLOOKUP($U$1,A:G,7,))*100)+100</f>
        <v>101.40023337146657</v>
      </c>
      <c r="N299" s="79">
        <f>VLOOKUP(A299,Database!$A:$AS,MATCH($N$1,Database!$A$1:$AS$1,0),FALSE)</f>
        <v>102.083517976</v>
      </c>
      <c r="O299" s="79">
        <f>(((Table134567891011121314151617343[[#This Row],[USA]]-VLOOKUP($U$1,A:N,14,))/VLOOKUP($U$1,A:N,14,))*100)+100</f>
        <v>117.52185467696867</v>
      </c>
      <c r="P299" s="79">
        <f>VLOOKUP(A299,Database!$A:$AS,MATCH($P$1,Database!$A$1:$AS$1,0),FALSE)</f>
        <v>100.591617365</v>
      </c>
      <c r="Q299" s="79">
        <f>(((Table134567891011121314151617343[[#This Row],[JPN]]-VLOOKUP($U$1,A:Q,16,))/VLOOKUP($U$1,A:Q,16,))*100)+100</f>
        <v>100.99191987908745</v>
      </c>
    </row>
    <row r="300" spans="1:17" s="83" customFormat="1" x14ac:dyDescent="0.2">
      <c r="A300" s="21">
        <v>41944</v>
      </c>
      <c r="B300" s="79">
        <f>VLOOKUP(A300,Database!$A:$AS,MATCH($B$1,Database!$A$1:$AS$1,0),FALSE)</f>
        <v>97.791850679000007</v>
      </c>
      <c r="C300" s="79">
        <f>VLOOKUP(A300,Database!$A:$AS,MATCH($C$1,Database!$A$1:$AS$1,0),FALSE)</f>
        <v>96.62</v>
      </c>
      <c r="D300" s="79">
        <f>VLOOKUP(A300,Database!$A:$AS,MATCH($D$1,Database!$A$1:$AS$1,0),FALSE)</f>
        <v>99.391717357000005</v>
      </c>
      <c r="E300" s="79">
        <f>VLOOKUP(A300,Database!$A:$AS,MATCH($E$1,Database!$A$1:$AS$1,0),FALSE)</f>
        <v>96.371080309000007</v>
      </c>
      <c r="F300" s="79">
        <f>VLOOKUP(A300,Database!$A:$AS,MATCH($F$1,Database!$A$1:$AS$1,0),FALSE)</f>
        <v>96.8</v>
      </c>
      <c r="G300" s="79">
        <f>VLOOKUP(A300,Database!$A:$AS,MATCH($G$1,Database!$A$1:$AS$1,0),FALSE)</f>
        <v>94.317978131999993</v>
      </c>
      <c r="H300" s="79">
        <f>(((Table134567891011121314151617343[[#This Row],[ITA]]-VLOOKUP($U$1,A:B,2,))/VLOOKUP($U$1,A:B,2,))*100)+100</f>
        <v>80.427631578883805</v>
      </c>
      <c r="I300" s="79">
        <f>(((Table134567891011121314151617343[[#This Row],[FRA]]-VLOOKUP($U$1,A:C,3,))/VLOOKUP($U$1,A:C,3,))*100)+100</f>
        <v>94.272611962142662</v>
      </c>
      <c r="J300" s="79">
        <f>(((Table134567891011121314151617343[[#This Row],[DEU]]-VLOOKUP($U$1,A:D,4,))/VLOOKUP($U$1,A:D,4,))*100)+100</f>
        <v>132.18085106312242</v>
      </c>
      <c r="K300" s="79">
        <f>(((Table134567891011121314151617343[[#This Row],[ESP]]-VLOOKUP($U$1,A:E,5,))/VLOOKUP($U$1,A:E,5,))*100)+100</f>
        <v>81.004454904230755</v>
      </c>
      <c r="L300" s="79">
        <f>(((Table134567891011121314151617343[[#This Row],[EA19]]-VLOOKUP($U$1,A:F,6,))/VLOOKUP($U$1,A:F,6,))*100)+100</f>
        <v>108.27740492170021</v>
      </c>
      <c r="M300" s="79">
        <f>(((Table134567891011121314151617343[[#This Row],[GBR]]-VLOOKUP($U$1,A:G,7,))/VLOOKUP($U$1,A:G,7,))*100)+100</f>
        <v>102.33372228650092</v>
      </c>
      <c r="N300" s="79">
        <f>VLOOKUP(A300,Database!$A:$AS,MATCH($N$1,Database!$A$1:$AS$1,0),FALSE)</f>
        <v>102.753362666</v>
      </c>
      <c r="O300" s="79">
        <f>(((Table134567891011121314151617343[[#This Row],[USA]]-VLOOKUP($U$1,A:N,14,))/VLOOKUP($U$1,A:N,14,))*100)+100</f>
        <v>118.29300159544405</v>
      </c>
      <c r="P300" s="79">
        <f>VLOOKUP(A300,Database!$A:$AS,MATCH($P$1,Database!$A$1:$AS$1,0),FALSE)</f>
        <v>100.591617365</v>
      </c>
      <c r="Q300" s="79">
        <f>(((Table134567891011121314151617343[[#This Row],[JPN]]-VLOOKUP($U$1,A:Q,16,))/VLOOKUP($U$1,A:Q,16,))*100)+100</f>
        <v>100.99191987908745</v>
      </c>
    </row>
    <row r="301" spans="1:17" s="83" customFormat="1" x14ac:dyDescent="0.2">
      <c r="A301" s="21">
        <v>41974</v>
      </c>
      <c r="B301" s="79">
        <f>VLOOKUP(A301,Database!$A:$AS,MATCH($B$1,Database!$A$1:$AS$1,0),FALSE)</f>
        <v>98.791767352999997</v>
      </c>
      <c r="C301" s="79">
        <f>VLOOKUP(A301,Database!$A:$AS,MATCH($C$1,Database!$A$1:$AS$1,0),FALSE)</f>
        <v>99.47</v>
      </c>
      <c r="D301" s="79">
        <f>VLOOKUP(A301,Database!$A:$AS,MATCH($D$1,Database!$A$1:$AS$1,0),FALSE)</f>
        <v>101.091575702</v>
      </c>
      <c r="E301" s="79">
        <f>VLOOKUP(A301,Database!$A:$AS,MATCH($E$1,Database!$A$1:$AS$1,0),FALSE)</f>
        <v>96.656080547000002</v>
      </c>
      <c r="F301" s="79">
        <f>VLOOKUP(A301,Database!$A:$AS,MATCH($F$1,Database!$A$1:$AS$1,0),FALSE)</f>
        <v>98.1</v>
      </c>
      <c r="G301" s="79">
        <f>VLOOKUP(A301,Database!$A:$AS,MATCH($G$1,Database!$A$1:$AS$1,0),FALSE)</f>
        <v>96.468901236999997</v>
      </c>
      <c r="H301" s="79">
        <f>(((Table134567891011121314151617343[[#This Row],[ITA]]-VLOOKUP($U$1,A:B,2,))/VLOOKUP($U$1,A:B,2,))*100)+100</f>
        <v>81.250000000257018</v>
      </c>
      <c r="I301" s="79">
        <f>(((Table134567891011121314151617343[[#This Row],[FRA]]-VLOOKUP($U$1,A:C,3,))/VLOOKUP($U$1,A:C,3,))*100)+100</f>
        <v>97.053371060591274</v>
      </c>
      <c r="J301" s="79">
        <f>(((Table134567891011121314151617343[[#This Row],[DEU]]-VLOOKUP($U$1,A:D,4,))/VLOOKUP($U$1,A:D,4,))*100)+100</f>
        <v>134.44148936079668</v>
      </c>
      <c r="K301" s="79">
        <f>(((Table134567891011121314151617343[[#This Row],[ESP]]-VLOOKUP($U$1,A:E,5,))/VLOOKUP($U$1,A:E,5,))*100)+100</f>
        <v>81.244011095286652</v>
      </c>
      <c r="L301" s="79">
        <f>(((Table134567891011121314151617343[[#This Row],[EA19]]-VLOOKUP($U$1,A:F,6,))/VLOOKUP($U$1,A:F,6,))*100)+100</f>
        <v>109.73154362416106</v>
      </c>
      <c r="M301" s="79">
        <f>(((Table134567891011121314151617343[[#This Row],[GBR]]-VLOOKUP($U$1,A:G,7,))/VLOOKUP($U$1,A:G,7,))*100)+100</f>
        <v>104.66744457408683</v>
      </c>
      <c r="N301" s="79">
        <f>VLOOKUP(A301,Database!$A:$AS,MATCH($N$1,Database!$A$1:$AS$1,0),FALSE)</f>
        <v>102.700829715</v>
      </c>
      <c r="O301" s="79">
        <f>(((Table134567891011121314151617343[[#This Row],[USA]]-VLOOKUP($U$1,A:N,14,))/VLOOKUP($U$1,A:N,14,))*100)+100</f>
        <v>118.23252395952808</v>
      </c>
      <c r="P301" s="79">
        <f>VLOOKUP(A301,Database!$A:$AS,MATCH($P$1,Database!$A$1:$AS$1,0),FALSE)</f>
        <v>100.191650696</v>
      </c>
      <c r="Q301" s="79">
        <f>(((Table134567891011121314151617343[[#This Row],[JPN]]-VLOOKUP($U$1,A:Q,16,))/VLOOKUP($U$1,A:Q,16,))*100)+100</f>
        <v>100.59036154999342</v>
      </c>
    </row>
    <row r="302" spans="1:17" s="83" customFormat="1" x14ac:dyDescent="0.2">
      <c r="A302" s="21">
        <v>42005</v>
      </c>
      <c r="B302" s="79">
        <f>VLOOKUP(A302,Database!$A:$AS,MATCH($B$1,Database!$A$1:$AS$1,0),FALSE)</f>
        <v>98.291809016000002</v>
      </c>
      <c r="C302" s="79">
        <f>VLOOKUP(A302,Database!$A:$AS,MATCH($C$1,Database!$A$1:$AS$1,0),FALSE)</f>
        <v>99.51</v>
      </c>
      <c r="D302" s="79">
        <f>VLOOKUP(A302,Database!$A:$AS,MATCH($D$1,Database!$A$1:$AS$1,0),FALSE)</f>
        <v>98.791767352999997</v>
      </c>
      <c r="E302" s="79">
        <f>VLOOKUP(A302,Database!$A:$AS,MATCH($E$1,Database!$A$1:$AS$1,0),FALSE)</f>
        <v>96.799080665999995</v>
      </c>
      <c r="F302" s="79">
        <f>VLOOKUP(A302,Database!$A:$AS,MATCH($F$1,Database!$A$1:$AS$1,0),FALSE)</f>
        <v>97.8</v>
      </c>
      <c r="G302" s="79">
        <f>VLOOKUP(A302,Database!$A:$AS,MATCH($G$1,Database!$A$1:$AS$1,0),FALSE)</f>
        <v>98.942462806999998</v>
      </c>
      <c r="H302" s="79">
        <f>(((Table134567891011121314151617343[[#This Row],[ITA]]-VLOOKUP($U$1,A:B,2,))/VLOOKUP($U$1,A:B,2,))*100)+100</f>
        <v>80.838815789570404</v>
      </c>
      <c r="I302" s="79">
        <f>(((Table134567891011121314151617343[[#This Row],[FRA]]-VLOOKUP($U$1,A:C,3,))/VLOOKUP($U$1,A:C,3,))*100)+100</f>
        <v>97.092399258464255</v>
      </c>
      <c r="J302" s="79">
        <f>(((Table134567891011121314151617343[[#This Row],[DEU]]-VLOOKUP($U$1,A:D,4,))/VLOOKUP($U$1,A:D,4,))*100)+100</f>
        <v>131.38297872292324</v>
      </c>
      <c r="K302" s="79">
        <f>(((Table134567891011121314151617343[[#This Row],[ESP]]-VLOOKUP($U$1,A:E,5,))/VLOOKUP($U$1,A:E,5,))*100)+100</f>
        <v>81.364209464483025</v>
      </c>
      <c r="L302" s="79">
        <f>(((Table134567891011121314151617343[[#This Row],[EA19]]-VLOOKUP($U$1,A:F,6,))/VLOOKUP($U$1,A:F,6,))*100)+100</f>
        <v>109.39597315436241</v>
      </c>
      <c r="M302" s="79">
        <f>(((Table134567891011121314151617343[[#This Row],[GBR]]-VLOOKUP($U$1,A:G,7,))/VLOOKUP($U$1,A:G,7,))*100)+100</f>
        <v>107.35122520399688</v>
      </c>
      <c r="N302" s="79">
        <f>VLOOKUP(A302,Database!$A:$AS,MATCH($N$1,Database!$A$1:$AS$1,0),FALSE)</f>
        <v>101.941579889</v>
      </c>
      <c r="O302" s="79">
        <f>(((Table134567891011121314151617343[[#This Row],[USA]]-VLOOKUP($U$1,A:N,14,))/VLOOKUP($U$1,A:N,14,))*100)+100</f>
        <v>117.35845095064467</v>
      </c>
      <c r="P302" s="79">
        <f>VLOOKUP(A302,Database!$A:$AS,MATCH($P$1,Database!$A$1:$AS$1,0),FALSE)</f>
        <v>102.69144238</v>
      </c>
      <c r="Q302" s="79">
        <f>(((Table134567891011121314151617343[[#This Row],[JPN]]-VLOOKUP($U$1,A:Q,16,))/VLOOKUP($U$1,A:Q,16,))*100)+100</f>
        <v>103.10010110959193</v>
      </c>
    </row>
    <row r="303" spans="1:17" s="83" customFormat="1" x14ac:dyDescent="0.2">
      <c r="A303" s="21">
        <v>42036</v>
      </c>
      <c r="B303" s="79">
        <f>VLOOKUP(A303,Database!$A:$AS,MATCH($B$1,Database!$A$1:$AS$1,0),FALSE)</f>
        <v>99.091742354999994</v>
      </c>
      <c r="C303" s="79">
        <f>VLOOKUP(A303,Database!$A:$AS,MATCH($C$1,Database!$A$1:$AS$1,0),FALSE)</f>
        <v>100.09</v>
      </c>
      <c r="D303" s="79">
        <f>VLOOKUP(A303,Database!$A:$AS,MATCH($D$1,Database!$A$1:$AS$1,0),FALSE)</f>
        <v>99.391717357000005</v>
      </c>
      <c r="E303" s="79">
        <f>VLOOKUP(A303,Database!$A:$AS,MATCH($E$1,Database!$A$1:$AS$1,0),FALSE)</f>
        <v>98.314081927999993</v>
      </c>
      <c r="F303" s="79">
        <f>VLOOKUP(A303,Database!$A:$AS,MATCH($F$1,Database!$A$1:$AS$1,0),FALSE)</f>
        <v>100.3</v>
      </c>
      <c r="G303" s="79">
        <f>VLOOKUP(A303,Database!$A:$AS,MATCH($G$1,Database!$A$1:$AS$1,0),FALSE)</f>
        <v>100.66320129099999</v>
      </c>
      <c r="H303" s="79">
        <f>(((Table134567891011121314151617343[[#This Row],[ITA]]-VLOOKUP($U$1,A:B,2,))/VLOOKUP($U$1,A:B,2,))*100)+100</f>
        <v>81.496710526504486</v>
      </c>
      <c r="I303" s="79">
        <f>(((Table134567891011121314151617343[[#This Row],[FRA]]-VLOOKUP($U$1,A:C,3,))/VLOOKUP($U$1,A:C,3,))*100)+100</f>
        <v>97.65830812762222</v>
      </c>
      <c r="J303" s="79">
        <f>(((Table134567891011121314151617343[[#This Row],[DEU]]-VLOOKUP($U$1,A:D,4,))/VLOOKUP($U$1,A:D,4,))*100)+100</f>
        <v>132.18085106312242</v>
      </c>
      <c r="K303" s="79">
        <f>(((Table134567891011121314151617343[[#This Row],[ESP]]-VLOOKUP($U$1,A:E,5,))/VLOOKUP($U$1,A:E,5,))*100)+100</f>
        <v>82.637639740599482</v>
      </c>
      <c r="L303" s="79">
        <f>(((Table134567891011121314151617343[[#This Row],[EA19]]-VLOOKUP($U$1,A:F,6,))/VLOOKUP($U$1,A:F,6,))*100)+100</f>
        <v>112.19239373601789</v>
      </c>
      <c r="M303" s="79">
        <f>(((Table134567891011121314151617343[[#This Row],[GBR]]-VLOOKUP($U$1,A:G,7,))/VLOOKUP($U$1,A:G,7,))*100)+100</f>
        <v>109.2182030340656</v>
      </c>
      <c r="N303" s="79">
        <f>VLOOKUP(A303,Database!$A:$AS,MATCH($N$1,Database!$A$1:$AS$1,0),FALSE)</f>
        <v>101.32833202</v>
      </c>
      <c r="O303" s="79">
        <f>(((Table134567891011121314151617343[[#This Row],[USA]]-VLOOKUP($U$1,A:N,14,))/VLOOKUP($U$1,A:N,14,))*100)+100</f>
        <v>116.65246012694949</v>
      </c>
      <c r="P303" s="79">
        <f>VLOOKUP(A303,Database!$A:$AS,MATCH($P$1,Database!$A$1:$AS$1,0),FALSE)</f>
        <v>99.791684025999999</v>
      </c>
      <c r="Q303" s="79">
        <f>(((Table134567891011121314151617343[[#This Row],[JPN]]-VLOOKUP($U$1,A:Q,16,))/VLOOKUP($U$1,A:Q,16,))*100)+100</f>
        <v>100.18880321989543</v>
      </c>
    </row>
    <row r="304" spans="1:17" s="83" customFormat="1" x14ac:dyDescent="0.2">
      <c r="A304" s="21">
        <v>42064</v>
      </c>
      <c r="B304" s="79">
        <f>VLOOKUP(A304,Database!$A:$AS,MATCH($B$1,Database!$A$1:$AS$1,0),FALSE)</f>
        <v>99.391717357000005</v>
      </c>
      <c r="C304" s="79">
        <f>VLOOKUP(A304,Database!$A:$AS,MATCH($C$1,Database!$A$1:$AS$1,0),FALSE)</f>
        <v>99.89</v>
      </c>
      <c r="D304" s="79">
        <f>VLOOKUP(A304,Database!$A:$AS,MATCH($D$1,Database!$A$1:$AS$1,0),FALSE)</f>
        <v>99.391717357000005</v>
      </c>
      <c r="E304" s="79">
        <f>VLOOKUP(A304,Database!$A:$AS,MATCH($E$1,Database!$A$1:$AS$1,0),FALSE)</f>
        <v>98.852082377000002</v>
      </c>
      <c r="F304" s="79">
        <f>VLOOKUP(A304,Database!$A:$AS,MATCH($F$1,Database!$A$1:$AS$1,0),FALSE)</f>
        <v>100.4</v>
      </c>
      <c r="G304" s="79">
        <f>VLOOKUP(A304,Database!$A:$AS,MATCH($G$1,Database!$A$1:$AS$1,0),FALSE)</f>
        <v>101.63111668800001</v>
      </c>
      <c r="H304" s="79">
        <f>(((Table134567891011121314151617343[[#This Row],[ITA]]-VLOOKUP($U$1,A:B,2,))/VLOOKUP($U$1,A:B,2,))*100)+100</f>
        <v>81.743421052751984</v>
      </c>
      <c r="I304" s="79">
        <f>(((Table134567891011121314151617343[[#This Row],[FRA]]-VLOOKUP($U$1,A:C,3,))/VLOOKUP($U$1,A:C,3,))*100)+100</f>
        <v>97.46316713825739</v>
      </c>
      <c r="J304" s="79">
        <f>(((Table134567891011121314151617343[[#This Row],[DEU]]-VLOOKUP($U$1,A:D,4,))/VLOOKUP($U$1,A:D,4,))*100)+100</f>
        <v>132.18085106312242</v>
      </c>
      <c r="K304" s="79">
        <f>(((Table134567891011121314151617343[[#This Row],[ESP]]-VLOOKUP($U$1,A:E,5,))/VLOOKUP($U$1,A:E,5,))*100)+100</f>
        <v>83.089854585236935</v>
      </c>
      <c r="L304" s="79">
        <f>(((Table134567891011121314151617343[[#This Row],[EA19]]-VLOOKUP($U$1,A:F,6,))/VLOOKUP($U$1,A:F,6,))*100)+100</f>
        <v>112.30425055928411</v>
      </c>
      <c r="M304" s="79">
        <f>(((Table134567891011121314151617343[[#This Row],[GBR]]-VLOOKUP($U$1,A:G,7,))/VLOOKUP($U$1,A:G,7,))*100)+100</f>
        <v>110.26837806320802</v>
      </c>
      <c r="N304" s="79">
        <f>VLOOKUP(A304,Database!$A:$AS,MATCH($N$1,Database!$A$1:$AS$1,0),FALSE)</f>
        <v>100.996581476</v>
      </c>
      <c r="O304" s="79">
        <f>(((Table134567891011121314151617343[[#This Row],[USA]]-VLOOKUP($U$1,A:N,14,))/VLOOKUP($U$1,A:N,14,))*100)+100</f>
        <v>116.27053814782903</v>
      </c>
      <c r="P304" s="79">
        <f>VLOOKUP(A304,Database!$A:$AS,MATCH($P$1,Database!$A$1:$AS$1,0),FALSE)</f>
        <v>99.291725690000007</v>
      </c>
      <c r="Q304" s="79">
        <f>(((Table134567891011121314151617343[[#This Row],[JPN]]-VLOOKUP($U$1,A:Q,16,))/VLOOKUP($U$1,A:Q,16,))*100)+100</f>
        <v>99.686855308778931</v>
      </c>
    </row>
    <row r="305" spans="1:17" s="83" customFormat="1" x14ac:dyDescent="0.2">
      <c r="A305" s="21">
        <v>42095</v>
      </c>
      <c r="B305" s="79">
        <f>VLOOKUP(A305,Database!$A:$AS,MATCH($B$1,Database!$A$1:$AS$1,0),FALSE)</f>
        <v>99.691692359000001</v>
      </c>
      <c r="C305" s="79">
        <f>VLOOKUP(A305,Database!$A:$AS,MATCH($C$1,Database!$A$1:$AS$1,0),FALSE)</f>
        <v>99.4</v>
      </c>
      <c r="D305" s="79">
        <f>VLOOKUP(A305,Database!$A:$AS,MATCH($D$1,Database!$A$1:$AS$1,0),FALSE)</f>
        <v>99.991667360999998</v>
      </c>
      <c r="E305" s="79">
        <f>VLOOKUP(A305,Database!$A:$AS,MATCH($E$1,Database!$A$1:$AS$1,0),FALSE)</f>
        <v>99.730083108000002</v>
      </c>
      <c r="F305" s="79">
        <f>VLOOKUP(A305,Database!$A:$AS,MATCH($F$1,Database!$A$1:$AS$1,0),FALSE)</f>
        <v>99.9</v>
      </c>
      <c r="G305" s="79">
        <f>VLOOKUP(A305,Database!$A:$AS,MATCH($G$1,Database!$A$1:$AS$1,0),FALSE)</f>
        <v>100.878293601</v>
      </c>
      <c r="H305" s="79">
        <f>(((Table134567891011121314151617343[[#This Row],[ITA]]-VLOOKUP($U$1,A:B,2,))/VLOOKUP($U$1,A:B,2,))*100)+100</f>
        <v>81.990131578999453</v>
      </c>
      <c r="I305" s="79">
        <f>(((Table134567891011121314151617343[[#This Row],[FRA]]-VLOOKUP($U$1,A:C,3,))/VLOOKUP($U$1,A:C,3,))*100)+100</f>
        <v>96.985071714313605</v>
      </c>
      <c r="J305" s="79">
        <f>(((Table134567891011121314151617343[[#This Row],[DEU]]-VLOOKUP($U$1,A:D,4,))/VLOOKUP($U$1,A:D,4,))*100)+100</f>
        <v>132.97872340332157</v>
      </c>
      <c r="K305" s="79">
        <f>(((Table134567891011121314151617343[[#This Row],[ESP]]-VLOOKUP($U$1,A:E,5,))/VLOOKUP($U$1,A:E,5,))*100)+100</f>
        <v>83.827855761441754</v>
      </c>
      <c r="L305" s="79">
        <f>(((Table134567891011121314151617343[[#This Row],[EA19]]-VLOOKUP($U$1,A:F,6,))/VLOOKUP($U$1,A:F,6,))*100)+100</f>
        <v>111.74496644295301</v>
      </c>
      <c r="M305" s="79">
        <f>(((Table134567891011121314151617343[[#This Row],[GBR]]-VLOOKUP($U$1,A:G,7,))/VLOOKUP($U$1,A:G,7,))*100)+100</f>
        <v>109.45157526228169</v>
      </c>
      <c r="N305" s="79">
        <f>VLOOKUP(A305,Database!$A:$AS,MATCH($N$1,Database!$A$1:$AS$1,0),FALSE)</f>
        <v>100.39334460400001</v>
      </c>
      <c r="O305" s="79">
        <f>(((Table134567891011121314151617343[[#This Row],[USA]]-VLOOKUP($U$1,A:N,14,))/VLOOKUP($U$1,A:N,14,))*100)+100</f>
        <v>115.57607230836179</v>
      </c>
      <c r="P305" s="79">
        <f>VLOOKUP(A305,Database!$A:$AS,MATCH($P$1,Database!$A$1:$AS$1,0),FALSE)</f>
        <v>99.691692359000001</v>
      </c>
      <c r="Q305" s="79">
        <f>(((Table134567891011121314151617343[[#This Row],[JPN]]-VLOOKUP($U$1,A:Q,16,))/VLOOKUP($U$1,A:Q,16,))*100)+100</f>
        <v>100.08841363787293</v>
      </c>
    </row>
    <row r="306" spans="1:17" s="83" customFormat="1" x14ac:dyDescent="0.2">
      <c r="A306" s="21">
        <v>42125</v>
      </c>
      <c r="B306" s="79">
        <f>VLOOKUP(A306,Database!$A:$AS,MATCH($B$1,Database!$A$1:$AS$1,0),FALSE)</f>
        <v>100.49162569800001</v>
      </c>
      <c r="C306" s="79">
        <f>VLOOKUP(A306,Database!$A:$AS,MATCH($C$1,Database!$A$1:$AS$1,0),FALSE)</f>
        <v>100.21</v>
      </c>
      <c r="D306" s="79">
        <f>VLOOKUP(A306,Database!$A:$AS,MATCH($D$1,Database!$A$1:$AS$1,0),FALSE)</f>
        <v>100.091659028</v>
      </c>
      <c r="E306" s="79">
        <f>VLOOKUP(A306,Database!$A:$AS,MATCH($E$1,Database!$A$1:$AS$1,0),FALSE)</f>
        <v>100.906084088</v>
      </c>
      <c r="F306" s="79">
        <f>VLOOKUP(A306,Database!$A:$AS,MATCH($F$1,Database!$A$1:$AS$1,0),FALSE)</f>
        <v>100.2</v>
      </c>
      <c r="G306" s="79">
        <f>VLOOKUP(A306,Database!$A:$AS,MATCH($G$1,Database!$A$1:$AS$1,0),FALSE)</f>
        <v>100.23301667</v>
      </c>
      <c r="H306" s="79">
        <f>(((Table134567891011121314151617343[[#This Row],[ITA]]-VLOOKUP($U$1,A:B,2,))/VLOOKUP($U$1,A:B,2,))*100)+100</f>
        <v>82.648026315933549</v>
      </c>
      <c r="I306" s="79">
        <f>(((Table134567891011121314151617343[[#This Row],[FRA]]-VLOOKUP($U$1,A:C,3,))/VLOOKUP($U$1,A:C,3,))*100)+100</f>
        <v>97.77539272124109</v>
      </c>
      <c r="J306" s="79">
        <f>(((Table134567891011121314151617343[[#This Row],[DEU]]-VLOOKUP($U$1,A:D,4,))/VLOOKUP($U$1,A:D,4,))*100)+100</f>
        <v>133.11170212624478</v>
      </c>
      <c r="K306" s="79">
        <f>(((Table134567891011121314151617343[[#This Row],[ESP]]-VLOOKUP($U$1,A:E,5,))/VLOOKUP($U$1,A:E,5,))*100)+100</f>
        <v>84.816340253327695</v>
      </c>
      <c r="L306" s="79">
        <f>(((Table134567891011121314151617343[[#This Row],[EA19]]-VLOOKUP($U$1,A:F,6,))/VLOOKUP($U$1,A:F,6,))*100)+100</f>
        <v>112.08053691275167</v>
      </c>
      <c r="M306" s="79">
        <f>(((Table134567891011121314151617343[[#This Row],[GBR]]-VLOOKUP($U$1,A:G,7,))/VLOOKUP($U$1,A:G,7,))*100)+100</f>
        <v>108.75145857654842</v>
      </c>
      <c r="N306" s="79">
        <f>VLOOKUP(A306,Database!$A:$AS,MATCH($N$1,Database!$A$1:$AS$1,0),FALSE)</f>
        <v>99.952166930999994</v>
      </c>
      <c r="O306" s="79">
        <f>(((Table134567891011121314151617343[[#This Row],[USA]]-VLOOKUP($U$1,A:N,14,))/VLOOKUP($U$1,A:N,14,))*100)+100</f>
        <v>115.06817427152865</v>
      </c>
      <c r="P306" s="79">
        <f>VLOOKUP(A306,Database!$A:$AS,MATCH($P$1,Database!$A$1:$AS$1,0),FALSE)</f>
        <v>99.691692359000001</v>
      </c>
      <c r="Q306" s="79">
        <f>(((Table134567891011121314151617343[[#This Row],[JPN]]-VLOOKUP($U$1,A:Q,16,))/VLOOKUP($U$1,A:Q,16,))*100)+100</f>
        <v>100.08841363787293</v>
      </c>
    </row>
    <row r="307" spans="1:17" s="83" customFormat="1" x14ac:dyDescent="0.2">
      <c r="A307" s="21">
        <v>42156</v>
      </c>
      <c r="B307" s="79">
        <f>VLOOKUP(A307,Database!$A:$AS,MATCH($B$1,Database!$A$1:$AS$1,0),FALSE)</f>
        <v>99.991667360999998</v>
      </c>
      <c r="C307" s="79">
        <f>VLOOKUP(A307,Database!$A:$AS,MATCH($C$1,Database!$A$1:$AS$1,0),FALSE)</f>
        <v>100.22</v>
      </c>
      <c r="D307" s="79">
        <f>VLOOKUP(A307,Database!$A:$AS,MATCH($D$1,Database!$A$1:$AS$1,0),FALSE)</f>
        <v>100.091659028</v>
      </c>
      <c r="E307" s="79">
        <f>VLOOKUP(A307,Database!$A:$AS,MATCH($E$1,Database!$A$1:$AS$1,0),FALSE)</f>
        <v>101.285084404</v>
      </c>
      <c r="F307" s="79">
        <f>VLOOKUP(A307,Database!$A:$AS,MATCH($F$1,Database!$A$1:$AS$1,0),FALSE)</f>
        <v>100.5</v>
      </c>
      <c r="G307" s="79">
        <f>VLOOKUP(A307,Database!$A:$AS,MATCH($G$1,Database!$A$1:$AS$1,0),FALSE)</f>
        <v>100.34056282500001</v>
      </c>
      <c r="H307" s="79">
        <f>(((Table134567891011121314151617343[[#This Row],[ITA]]-VLOOKUP($U$1,A:B,2,))/VLOOKUP($U$1,A:B,2,))*100)+100</f>
        <v>82.236842105246922</v>
      </c>
      <c r="I307" s="79">
        <f>(((Table134567891011121314151617343[[#This Row],[FRA]]-VLOOKUP($U$1,A:C,3,))/VLOOKUP($U$1,A:C,3,))*100)+100</f>
        <v>97.785149770709339</v>
      </c>
      <c r="J307" s="79">
        <f>(((Table134567891011121314151617343[[#This Row],[DEU]]-VLOOKUP($U$1,A:D,4,))/VLOOKUP($U$1,A:D,4,))*100)+100</f>
        <v>133.11170212624478</v>
      </c>
      <c r="K307" s="79">
        <f>(((Table134567891011121314151617343[[#This Row],[ESP]]-VLOOKUP($U$1,A:E,5,))/VLOOKUP($U$1,A:E,5,))*100)+100</f>
        <v>85.134907959611297</v>
      </c>
      <c r="L307" s="79">
        <f>(((Table134567891011121314151617343[[#This Row],[EA19]]-VLOOKUP($U$1,A:F,6,))/VLOOKUP($U$1,A:F,6,))*100)+100</f>
        <v>112.41610738255034</v>
      </c>
      <c r="M307" s="79">
        <f>(((Table134567891011121314151617343[[#This Row],[GBR]]-VLOOKUP($U$1,A:G,7,))/VLOOKUP($U$1,A:G,7,))*100)+100</f>
        <v>108.86814469065648</v>
      </c>
      <c r="N307" s="79">
        <f>VLOOKUP(A307,Database!$A:$AS,MATCH($N$1,Database!$A$1:$AS$1,0),FALSE)</f>
        <v>99.620614623999998</v>
      </c>
      <c r="O307" s="79">
        <f>(((Table134567891011121314151617343[[#This Row],[USA]]-VLOOKUP($U$1,A:N,14,))/VLOOKUP($U$1,A:N,14,))*100)+100</f>
        <v>114.68648050926794</v>
      </c>
      <c r="P307" s="79">
        <f>VLOOKUP(A307,Database!$A:$AS,MATCH($P$1,Database!$A$1:$AS$1,0),FALSE)</f>
        <v>100.49162569800001</v>
      </c>
      <c r="Q307" s="79">
        <f>(((Table134567891011121314151617343[[#This Row],[JPN]]-VLOOKUP($U$1,A:Q,16,))/VLOOKUP($U$1,A:Q,16,))*100)+100</f>
        <v>100.89153029706493</v>
      </c>
    </row>
    <row r="308" spans="1:17" s="83" customFormat="1" x14ac:dyDescent="0.2">
      <c r="A308" s="21">
        <v>42186</v>
      </c>
      <c r="B308" s="79">
        <f>VLOOKUP(A308,Database!$A:$AS,MATCH($B$1,Database!$A$1:$AS$1,0),FALSE)</f>
        <v>100.991584035</v>
      </c>
      <c r="C308" s="79">
        <f>VLOOKUP(A308,Database!$A:$AS,MATCH($C$1,Database!$A$1:$AS$1,0),FALSE)</f>
        <v>99.11</v>
      </c>
      <c r="D308" s="79">
        <f>VLOOKUP(A308,Database!$A:$AS,MATCH($D$1,Database!$A$1:$AS$1,0),FALSE)</f>
        <v>101.49154237099999</v>
      </c>
      <c r="E308" s="79">
        <f>VLOOKUP(A308,Database!$A:$AS,MATCH($E$1,Database!$A$1:$AS$1,0),FALSE)</f>
        <v>102.31208526</v>
      </c>
      <c r="F308" s="79">
        <f>VLOOKUP(A308,Database!$A:$AS,MATCH($F$1,Database!$A$1:$AS$1,0),FALSE)</f>
        <v>101</v>
      </c>
      <c r="G308" s="79">
        <f>VLOOKUP(A308,Database!$A:$AS,MATCH($G$1,Database!$A$1:$AS$1,0),FALSE)</f>
        <v>99.802832049000003</v>
      </c>
      <c r="H308" s="79">
        <f>(((Table134567891011121314151617343[[#This Row],[ITA]]-VLOOKUP($U$1,A:B,2,))/VLOOKUP($U$1,A:B,2,))*100)+100</f>
        <v>83.059210526620149</v>
      </c>
      <c r="I308" s="79">
        <f>(((Table134567891011121314151617343[[#This Row],[FRA]]-VLOOKUP($U$1,A:C,3,))/VLOOKUP($U$1,A:C,3,))*100)+100</f>
        <v>96.702117279734608</v>
      </c>
      <c r="J308" s="79">
        <f>(((Table134567891011121314151617343[[#This Row],[DEU]]-VLOOKUP($U$1,A:D,4,))/VLOOKUP($U$1,A:D,4,))*100)+100</f>
        <v>134.97340425381947</v>
      </c>
      <c r="K308" s="79">
        <f>(((Table134567891011121314151617343[[#This Row],[ESP]]-VLOOKUP($U$1,A:E,5,))/VLOOKUP($U$1,A:E,5,))*100)+100</f>
        <v>85.998150794076949</v>
      </c>
      <c r="L308" s="79">
        <f>(((Table134567891011121314151617343[[#This Row],[EA19]]-VLOOKUP($U$1,A:F,6,))/VLOOKUP($U$1,A:F,6,))*100)+100</f>
        <v>112.97539149888142</v>
      </c>
      <c r="M308" s="79">
        <f>(((Table134567891011121314151617343[[#This Row],[GBR]]-VLOOKUP($U$1,A:G,7,))/VLOOKUP($U$1,A:G,7,))*100)+100</f>
        <v>108.28471411903124</v>
      </c>
      <c r="N308" s="79">
        <f>VLOOKUP(A308,Database!$A:$AS,MATCH($N$1,Database!$A$1:$AS$1,0),FALSE)</f>
        <v>100.291450502</v>
      </c>
      <c r="O308" s="79">
        <f>(((Table134567891011121314151617343[[#This Row],[USA]]-VLOOKUP($U$1,A:N,14,))/VLOOKUP($U$1,A:N,14,))*100)+100</f>
        <v>115.45876851549582</v>
      </c>
      <c r="P308" s="79">
        <f>VLOOKUP(A308,Database!$A:$AS,MATCH($P$1,Database!$A$1:$AS$1,0),FALSE)</f>
        <v>100.39163403000001</v>
      </c>
      <c r="Q308" s="79">
        <f>(((Table134567891011121314151617343[[#This Row],[JPN]]-VLOOKUP($U$1,A:Q,16,))/VLOOKUP($U$1,A:Q,16,))*100)+100</f>
        <v>100.79114071403845</v>
      </c>
    </row>
    <row r="309" spans="1:17" s="83" customFormat="1" x14ac:dyDescent="0.2">
      <c r="A309" s="21">
        <v>42217</v>
      </c>
      <c r="B309" s="79">
        <f>VLOOKUP(A309,Database!$A:$AS,MATCH($B$1,Database!$A$1:$AS$1,0),FALSE)</f>
        <v>98.791767352999997</v>
      </c>
      <c r="C309" s="79">
        <f>VLOOKUP(A309,Database!$A:$AS,MATCH($C$1,Database!$A$1:$AS$1,0),FALSE)</f>
        <v>99.81</v>
      </c>
      <c r="D309" s="79">
        <f>VLOOKUP(A309,Database!$A:$AS,MATCH($D$1,Database!$A$1:$AS$1,0),FALSE)</f>
        <v>98.791767352999997</v>
      </c>
      <c r="E309" s="79">
        <f>VLOOKUP(A309,Database!$A:$AS,MATCH($E$1,Database!$A$1:$AS$1,0),FALSE)</f>
        <v>99.42008285</v>
      </c>
      <c r="F309" s="79">
        <f>VLOOKUP(A309,Database!$A:$AS,MATCH($F$1,Database!$A$1:$AS$1,0),FALSE)</f>
        <v>99.7</v>
      </c>
      <c r="G309" s="79">
        <f>VLOOKUP(A309,Database!$A:$AS,MATCH($G$1,Database!$A$1:$AS$1,0),FALSE)</f>
        <v>100.34056282500001</v>
      </c>
      <c r="H309" s="79">
        <f>(((Table134567891011121314151617343[[#This Row],[ITA]]-VLOOKUP($U$1,A:B,2,))/VLOOKUP($U$1,A:B,2,))*100)+100</f>
        <v>81.250000000257018</v>
      </c>
      <c r="I309" s="79">
        <f>(((Table134567891011121314151617343[[#This Row],[FRA]]-VLOOKUP($U$1,A:C,3,))/VLOOKUP($U$1,A:C,3,))*100)+100</f>
        <v>97.385110742511472</v>
      </c>
      <c r="J309" s="79">
        <f>(((Table134567891011121314151617343[[#This Row],[DEU]]-VLOOKUP($U$1,A:D,4,))/VLOOKUP($U$1,A:D,4,))*100)+100</f>
        <v>131.38297872292324</v>
      </c>
      <c r="K309" s="79">
        <f>(((Table134567891011121314151617343[[#This Row],[ESP]]-VLOOKUP($U$1,A:E,5,))/VLOOKUP($U$1,A:E,5,))*100)+100</f>
        <v>83.567285870153356</v>
      </c>
      <c r="L309" s="79">
        <f>(((Table134567891011121314151617343[[#This Row],[EA19]]-VLOOKUP($U$1,A:F,6,))/VLOOKUP($U$1,A:F,6,))*100)+100</f>
        <v>111.52125279642058</v>
      </c>
      <c r="M309" s="79">
        <f>(((Table134567891011121314151617343[[#This Row],[GBR]]-VLOOKUP($U$1,A:G,7,))/VLOOKUP($U$1,A:G,7,))*100)+100</f>
        <v>108.86814469065648</v>
      </c>
      <c r="N309" s="79">
        <f>VLOOKUP(A309,Database!$A:$AS,MATCH($N$1,Database!$A$1:$AS$1,0),FALSE)</f>
        <v>100.022243905</v>
      </c>
      <c r="O309" s="79">
        <f>(((Table134567891011121314151617343[[#This Row],[USA]]-VLOOKUP($U$1,A:N,14,))/VLOOKUP($U$1,A:N,14,))*100)+100</f>
        <v>115.14884915536803</v>
      </c>
      <c r="P309" s="79">
        <f>VLOOKUP(A309,Database!$A:$AS,MATCH($P$1,Database!$A$1:$AS$1,0),FALSE)</f>
        <v>98.791767352999997</v>
      </c>
      <c r="Q309" s="79">
        <f>(((Table134567891011121314151617343[[#This Row],[JPN]]-VLOOKUP($U$1,A:Q,16,))/VLOOKUP($U$1,A:Q,16,))*100)+100</f>
        <v>99.184907396658417</v>
      </c>
    </row>
    <row r="310" spans="1:17" s="83" customFormat="1" x14ac:dyDescent="0.2">
      <c r="A310" s="21">
        <v>42248</v>
      </c>
      <c r="B310" s="79">
        <f>VLOOKUP(A310,Database!$A:$AS,MATCH($B$1,Database!$A$1:$AS$1,0),FALSE)</f>
        <v>99.791684025999999</v>
      </c>
      <c r="C310" s="79">
        <f>VLOOKUP(A310,Database!$A:$AS,MATCH($C$1,Database!$A$1:$AS$1,0),FALSE)</f>
        <v>101.2</v>
      </c>
      <c r="D310" s="79">
        <f>VLOOKUP(A310,Database!$A:$AS,MATCH($D$1,Database!$A$1:$AS$1,0),FALSE)</f>
        <v>99.191734022000006</v>
      </c>
      <c r="E310" s="79">
        <f>VLOOKUP(A310,Database!$A:$AS,MATCH($E$1,Database!$A$1:$AS$1,0),FALSE)</f>
        <v>101.23808436500001</v>
      </c>
      <c r="F310" s="79">
        <f>VLOOKUP(A310,Database!$A:$AS,MATCH($F$1,Database!$A$1:$AS$1,0),FALSE)</f>
        <v>100.2</v>
      </c>
      <c r="G310" s="79">
        <f>VLOOKUP(A310,Database!$A:$AS,MATCH($G$1,Database!$A$1:$AS$1,0),FALSE)</f>
        <v>99.695285893999994</v>
      </c>
      <c r="H310" s="79">
        <f>(((Table134567891011121314151617343[[#This Row],[ITA]]-VLOOKUP($U$1,A:B,2,))/VLOOKUP($U$1,A:B,2,))*100)+100</f>
        <v>82.072368420807805</v>
      </c>
      <c r="I310" s="79">
        <f>(((Table134567891011121314151617343[[#This Row],[FRA]]-VLOOKUP($U$1,A:C,3,))/VLOOKUP($U$1,A:C,3,))*100)+100</f>
        <v>98.741340618596951</v>
      </c>
      <c r="J310" s="79">
        <f>(((Table134567891011121314151617343[[#This Row],[DEU]]-VLOOKUP($U$1,A:D,4,))/VLOOKUP($U$1,A:D,4,))*100)+100</f>
        <v>131.91489361594606</v>
      </c>
      <c r="K310" s="79">
        <f>(((Table134567891011121314151617343[[#This Row],[ESP]]-VLOOKUP($U$1,A:E,5,))/VLOOKUP($U$1,A:E,5,))*100)+100</f>
        <v>85.095402201997445</v>
      </c>
      <c r="L310" s="79">
        <f>(((Table134567891011121314151617343[[#This Row],[EA19]]-VLOOKUP($U$1,A:F,6,))/VLOOKUP($U$1,A:F,6,))*100)+100</f>
        <v>112.08053691275167</v>
      </c>
      <c r="M310" s="79">
        <f>(((Table134567891011121314151617343[[#This Row],[GBR]]-VLOOKUP($U$1,A:G,7,))/VLOOKUP($U$1,A:G,7,))*100)+100</f>
        <v>108.16802800492319</v>
      </c>
      <c r="N310" s="79">
        <f>VLOOKUP(A310,Database!$A:$AS,MATCH($N$1,Database!$A$1:$AS$1,0),FALSE)</f>
        <v>99.681770908999994</v>
      </c>
      <c r="O310" s="79">
        <f>(((Table134567891011121314151617343[[#This Row],[USA]]-VLOOKUP($U$1,A:N,14,))/VLOOKUP($U$1,A:N,14,))*100)+100</f>
        <v>114.75688560678861</v>
      </c>
      <c r="P310" s="79">
        <f>VLOOKUP(A310,Database!$A:$AS,MATCH($P$1,Database!$A$1:$AS$1,0),FALSE)</f>
        <v>100.49162569800001</v>
      </c>
      <c r="Q310" s="79">
        <f>(((Table134567891011121314151617343[[#This Row],[JPN]]-VLOOKUP($U$1,A:Q,16,))/VLOOKUP($U$1,A:Q,16,))*100)+100</f>
        <v>100.89153029706493</v>
      </c>
    </row>
    <row r="311" spans="1:17" s="83" customFormat="1" x14ac:dyDescent="0.2">
      <c r="A311" s="21">
        <v>42278</v>
      </c>
      <c r="B311" s="79">
        <f>VLOOKUP(A311,Database!$A:$AS,MATCH($B$1,Database!$A$1:$AS$1,0),FALSE)</f>
        <v>99.891675694</v>
      </c>
      <c r="C311" s="79">
        <f>VLOOKUP(A311,Database!$A:$AS,MATCH($C$1,Database!$A$1:$AS$1,0),FALSE)</f>
        <v>101.52</v>
      </c>
      <c r="D311" s="79">
        <f>VLOOKUP(A311,Database!$A:$AS,MATCH($D$1,Database!$A$1:$AS$1,0),FALSE)</f>
        <v>100.191650696</v>
      </c>
      <c r="E311" s="79">
        <f>VLOOKUP(A311,Database!$A:$AS,MATCH($E$1,Database!$A$1:$AS$1,0),FALSE)</f>
        <v>100.82408402</v>
      </c>
      <c r="F311" s="79">
        <f>VLOOKUP(A311,Database!$A:$AS,MATCH($F$1,Database!$A$1:$AS$1,0),FALSE)</f>
        <v>100.3</v>
      </c>
      <c r="G311" s="79">
        <f>VLOOKUP(A311,Database!$A:$AS,MATCH($G$1,Database!$A$1:$AS$1,0),FALSE)</f>
        <v>99.910378203999997</v>
      </c>
      <c r="H311" s="79">
        <f>(((Table134567891011121314151617343[[#This Row],[ITA]]-VLOOKUP($U$1,A:B,2,))/VLOOKUP($U$1,A:B,2,))*100)+100</f>
        <v>82.154605263438583</v>
      </c>
      <c r="I311" s="79">
        <f>(((Table134567891011121314151617343[[#This Row],[FRA]]-VLOOKUP($U$1,A:C,3,))/VLOOKUP($U$1,A:C,3,))*100)+100</f>
        <v>99.053566201580637</v>
      </c>
      <c r="J311" s="79">
        <f>(((Table134567891011121314151617343[[#This Row],[DEU]]-VLOOKUP($U$1,A:D,4,))/VLOOKUP($U$1,A:D,4,))*100)+100</f>
        <v>133.24468085049793</v>
      </c>
      <c r="K311" s="79">
        <f>(((Table134567891011121314151617343[[#This Row],[ESP]]-VLOOKUP($U$1,A:E,5,))/VLOOKUP($U$1,A:E,5,))*100)+100</f>
        <v>84.747415314547794</v>
      </c>
      <c r="L311" s="79">
        <f>(((Table134567891011121314151617343[[#This Row],[EA19]]-VLOOKUP($U$1,A:F,6,))/VLOOKUP($U$1,A:F,6,))*100)+100</f>
        <v>112.19239373601789</v>
      </c>
      <c r="M311" s="79">
        <f>(((Table134567891011121314151617343[[#This Row],[GBR]]-VLOOKUP($U$1,A:G,7,))/VLOOKUP($U$1,A:G,7,))*100)+100</f>
        <v>108.40140023313928</v>
      </c>
      <c r="N311" s="79">
        <f>VLOOKUP(A311,Database!$A:$AS,MATCH($N$1,Database!$A$1:$AS$1,0),FALSE)</f>
        <v>99.276176875999994</v>
      </c>
      <c r="O311" s="79">
        <f>(((Table134567891011121314151617343[[#This Row],[USA]]-VLOOKUP($U$1,A:N,14,))/VLOOKUP($U$1,A:N,14,))*100)+100</f>
        <v>114.28995260967855</v>
      </c>
      <c r="P311" s="79">
        <f>VLOOKUP(A311,Database!$A:$AS,MATCH($P$1,Database!$A$1:$AS$1,0),FALSE)</f>
        <v>100.591617365</v>
      </c>
      <c r="Q311" s="79">
        <f>(((Table134567891011121314151617343[[#This Row],[JPN]]-VLOOKUP($U$1,A:Q,16,))/VLOOKUP($U$1,A:Q,16,))*100)+100</f>
        <v>100.99191987908745</v>
      </c>
    </row>
    <row r="312" spans="1:17" s="83" customFormat="1" x14ac:dyDescent="0.2">
      <c r="A312" s="21">
        <v>42309</v>
      </c>
      <c r="B312" s="79">
        <f>VLOOKUP(A312,Database!$A:$AS,MATCH($B$1,Database!$A$1:$AS$1,0),FALSE)</f>
        <v>100.591617365</v>
      </c>
      <c r="C312" s="79">
        <f>VLOOKUP(A312,Database!$A:$AS,MATCH($C$1,Database!$A$1:$AS$1,0),FALSE)</f>
        <v>99.3</v>
      </c>
      <c r="D312" s="79">
        <f>VLOOKUP(A312,Database!$A:$AS,MATCH($D$1,Database!$A$1:$AS$1,0),FALSE)</f>
        <v>99.191734022000006</v>
      </c>
      <c r="E312" s="79">
        <f>VLOOKUP(A312,Database!$A:$AS,MATCH($E$1,Database!$A$1:$AS$1,0),FALSE)</f>
        <v>100.15208346</v>
      </c>
      <c r="F312" s="79">
        <f>VLOOKUP(A312,Database!$A:$AS,MATCH($F$1,Database!$A$1:$AS$1,0),FALSE)</f>
        <v>99.8</v>
      </c>
      <c r="G312" s="79">
        <f>VLOOKUP(A312,Database!$A:$AS,MATCH($G$1,Database!$A$1:$AS$1,0),FALSE)</f>
        <v>98.727370496999995</v>
      </c>
      <c r="H312" s="79">
        <f>(((Table134567891011121314151617343[[#This Row],[ITA]]-VLOOKUP($U$1,A:B,2,))/VLOOKUP($U$1,A:B,2,))*100)+100</f>
        <v>82.730263157741888</v>
      </c>
      <c r="I312" s="79">
        <f>(((Table134567891011121314151617343[[#This Row],[FRA]]-VLOOKUP($U$1,A:C,3,))/VLOOKUP($U$1,A:C,3,))*100)+100</f>
        <v>96.88750121963119</v>
      </c>
      <c r="J312" s="79">
        <f>(((Table134567891011121314151617343[[#This Row],[DEU]]-VLOOKUP($U$1,A:D,4,))/VLOOKUP($U$1,A:D,4,))*100)+100</f>
        <v>131.91489361594606</v>
      </c>
      <c r="K312" s="79">
        <f>(((Table134567891011121314151617343[[#This Row],[ESP]]-VLOOKUP($U$1,A:E,5,))/VLOOKUP($U$1,A:E,5,))*100)+100</f>
        <v>84.182567033470121</v>
      </c>
      <c r="L312" s="79">
        <f>(((Table134567891011121314151617343[[#This Row],[EA19]]-VLOOKUP($U$1,A:F,6,))/VLOOKUP($U$1,A:F,6,))*100)+100</f>
        <v>111.63310961968679</v>
      </c>
      <c r="M312" s="79">
        <f>(((Table134567891011121314151617343[[#This Row],[GBR]]-VLOOKUP($U$1,A:G,7,))/VLOOKUP($U$1,A:G,7,))*100)+100</f>
        <v>107.11785297578078</v>
      </c>
      <c r="N312" s="79">
        <f>VLOOKUP(A312,Database!$A:$AS,MATCH($N$1,Database!$A$1:$AS$1,0),FALSE)</f>
        <v>98.533876360999997</v>
      </c>
      <c r="O312" s="79">
        <f>(((Table134567891011121314151617343[[#This Row],[USA]]-VLOOKUP($U$1,A:N,14,))/VLOOKUP($U$1,A:N,14,))*100)+100</f>
        <v>113.43539219698806</v>
      </c>
      <c r="P312" s="79">
        <f>VLOOKUP(A312,Database!$A:$AS,MATCH($P$1,Database!$A$1:$AS$1,0),FALSE)</f>
        <v>99.991667360999998</v>
      </c>
      <c r="Q312" s="79">
        <f>(((Table134567891011121314151617343[[#This Row],[JPN]]-VLOOKUP($U$1,A:Q,16,))/VLOOKUP($U$1,A:Q,16,))*100)+100</f>
        <v>100.38958238494443</v>
      </c>
    </row>
    <row r="313" spans="1:17" s="83" customFormat="1" x14ac:dyDescent="0.2">
      <c r="A313" s="21">
        <v>42339</v>
      </c>
      <c r="B313" s="79">
        <f>VLOOKUP(A313,Database!$A:$AS,MATCH($B$1,Database!$A$1:$AS$1,0),FALSE)</f>
        <v>98.691775684999996</v>
      </c>
      <c r="C313" s="79">
        <f>VLOOKUP(A313,Database!$A:$AS,MATCH($C$1,Database!$A$1:$AS$1,0),FALSE)</f>
        <v>99.75</v>
      </c>
      <c r="D313" s="79">
        <f>VLOOKUP(A313,Database!$A:$AS,MATCH($D$1,Database!$A$1:$AS$1,0),FALSE)</f>
        <v>99.991667360999998</v>
      </c>
      <c r="E313" s="79">
        <f>VLOOKUP(A313,Database!$A:$AS,MATCH($E$1,Database!$A$1:$AS$1,0),FALSE)</f>
        <v>100.16708347300001</v>
      </c>
      <c r="F313" s="79">
        <f>VLOOKUP(A313,Database!$A:$AS,MATCH($F$1,Database!$A$1:$AS$1,0),FALSE)</f>
        <v>100</v>
      </c>
      <c r="G313" s="79">
        <f>VLOOKUP(A313,Database!$A:$AS,MATCH($G$1,Database!$A$1:$AS$1,0),FALSE)</f>
        <v>98.834916652000004</v>
      </c>
      <c r="H313" s="79">
        <f>(((Table134567891011121314151617343[[#This Row],[ITA]]-VLOOKUP($U$1,A:B,2,))/VLOOKUP($U$1,A:B,2,))*100)+100</f>
        <v>81.167763157626226</v>
      </c>
      <c r="I313" s="79">
        <f>(((Table134567891011121314151617343[[#This Row],[FRA]]-VLOOKUP($U$1,A:C,3,))/VLOOKUP($U$1,A:C,3,))*100)+100</f>
        <v>97.326568445702023</v>
      </c>
      <c r="J313" s="79">
        <f>(((Table134567891011121314151617343[[#This Row],[DEU]]-VLOOKUP($U$1,A:D,4,))/VLOOKUP($U$1,A:D,4,))*100)+100</f>
        <v>132.97872340332157</v>
      </c>
      <c r="K313" s="79">
        <f>(((Table134567891011121314151617343[[#This Row],[ESP]]-VLOOKUP($U$1,A:E,5,))/VLOOKUP($U$1,A:E,5,))*100)+100</f>
        <v>84.195175254450163</v>
      </c>
      <c r="L313" s="79">
        <f>(((Table134567891011121314151617343[[#This Row],[EA19]]-VLOOKUP($U$1,A:F,6,))/VLOOKUP($U$1,A:F,6,))*100)+100</f>
        <v>111.85682326621924</v>
      </c>
      <c r="M313" s="79">
        <f>(((Table134567891011121314151617343[[#This Row],[GBR]]-VLOOKUP($U$1,A:G,7,))/VLOOKUP($U$1,A:G,7,))*100)+100</f>
        <v>107.23453908988883</v>
      </c>
      <c r="N313" s="79">
        <f>VLOOKUP(A313,Database!$A:$AS,MATCH($N$1,Database!$A$1:$AS$1,0),FALSE)</f>
        <v>97.961961021999997</v>
      </c>
      <c r="O313" s="79">
        <f>(((Table134567891011121314151617343[[#This Row],[USA]]-VLOOKUP($U$1,A:N,14,))/VLOOKUP($U$1,A:N,14,))*100)+100</f>
        <v>112.7769847215199</v>
      </c>
      <c r="P313" s="79">
        <f>VLOOKUP(A313,Database!$A:$AS,MATCH($P$1,Database!$A$1:$AS$1,0),FALSE)</f>
        <v>98.091825681000003</v>
      </c>
      <c r="Q313" s="79">
        <f>(((Table134567891011121314151617343[[#This Row],[JPN]]-VLOOKUP($U$1,A:Q,16,))/VLOOKUP($U$1,A:Q,16,))*100)+100</f>
        <v>98.482180319488933</v>
      </c>
    </row>
    <row r="314" spans="1:17" s="83" customFormat="1" x14ac:dyDescent="0.2">
      <c r="A314" s="21">
        <v>42370</v>
      </c>
      <c r="B314" s="79">
        <f>VLOOKUP(A314,Database!$A:$AS,MATCH($B$1,Database!$A$1:$AS$1,0),FALSE)</f>
        <v>101.69152570599999</v>
      </c>
      <c r="C314" s="79">
        <f>VLOOKUP(A314,Database!$A:$AS,MATCH($C$1,Database!$A$1:$AS$1,0),FALSE)</f>
        <v>101.59</v>
      </c>
      <c r="D314" s="79">
        <f>VLOOKUP(A314,Database!$A:$AS,MATCH($D$1,Database!$A$1:$AS$1,0),FALSE)</f>
        <v>101.89150904100001</v>
      </c>
      <c r="E314" s="79">
        <f>VLOOKUP(A314,Database!$A:$AS,MATCH($E$1,Database!$A$1:$AS$1,0),FALSE)</f>
        <v>102.064085053</v>
      </c>
      <c r="F314" s="79">
        <f>VLOOKUP(A314,Database!$A:$AS,MATCH($F$1,Database!$A$1:$AS$1,0),FALSE)</f>
        <v>102.9</v>
      </c>
      <c r="G314" s="79">
        <f>VLOOKUP(A314,Database!$A:$AS,MATCH($G$1,Database!$A$1:$AS$1,0),FALSE)</f>
        <v>101.52357053199999</v>
      </c>
      <c r="H314" s="79">
        <f>(((Table134567891011121314151617343[[#This Row],[ITA]]-VLOOKUP($U$1,A:B,2,))/VLOOKUP($U$1,A:B,2,))*100)+100</f>
        <v>83.634868420923453</v>
      </c>
      <c r="I314" s="79">
        <f>(((Table134567891011121314151617343[[#This Row],[FRA]]-VLOOKUP($U$1,A:C,3,))/VLOOKUP($U$1,A:C,3,))*100)+100</f>
        <v>99.121865547858334</v>
      </c>
      <c r="J314" s="79">
        <f>(((Table134567891011121314151617343[[#This Row],[DEU]]-VLOOKUP($U$1,A:D,4,))/VLOOKUP($U$1,A:D,4,))*100)+100</f>
        <v>135.50531914817219</v>
      </c>
      <c r="K314" s="79">
        <f>(((Table134567891011121314151617343[[#This Row],[ESP]]-VLOOKUP($U$1,A:E,5,))/VLOOKUP($U$1,A:E,5,))*100)+100</f>
        <v>85.789694880541902</v>
      </c>
      <c r="L314" s="79">
        <f>(((Table134567891011121314151617343[[#This Row],[EA19]]-VLOOKUP($U$1,A:F,6,))/VLOOKUP($U$1,A:F,6,))*100)+100</f>
        <v>115.1006711409396</v>
      </c>
      <c r="M314" s="79">
        <f>(((Table134567891011121314151617343[[#This Row],[GBR]]-VLOOKUP($U$1,A:G,7,))/VLOOKUP($U$1,A:G,7,))*100)+100</f>
        <v>110.15169194801497</v>
      </c>
      <c r="N314" s="79">
        <f>VLOOKUP(A314,Database!$A:$AS,MATCH($N$1,Database!$A$1:$AS$1,0),FALSE)</f>
        <v>98.603061267000001</v>
      </c>
      <c r="O314" s="79">
        <f>(((Table134567891011121314151617343[[#This Row],[USA]]-VLOOKUP($U$1,A:N,14,))/VLOOKUP($U$1,A:N,14,))*100)+100</f>
        <v>113.51504010323168</v>
      </c>
      <c r="P314" s="79">
        <f>VLOOKUP(A314,Database!$A:$AS,MATCH($P$1,Database!$A$1:$AS$1,0),FALSE)</f>
        <v>100.29164236299999</v>
      </c>
      <c r="Q314" s="79">
        <f>(((Table134567891011121314151617343[[#This Row],[JPN]]-VLOOKUP($U$1,A:Q,16,))/VLOOKUP($U$1,A:Q,16,))*100)+100</f>
        <v>100.69075113201593</v>
      </c>
    </row>
    <row r="315" spans="1:17" s="83" customFormat="1" x14ac:dyDescent="0.2">
      <c r="A315" s="21">
        <v>42401</v>
      </c>
      <c r="B315" s="79">
        <f>VLOOKUP(A315,Database!$A:$AS,MATCH($B$1,Database!$A$1:$AS$1,0),FALSE)</f>
        <v>100.39163403000001</v>
      </c>
      <c r="C315" s="79">
        <f>VLOOKUP(A315,Database!$A:$AS,MATCH($C$1,Database!$A$1:$AS$1,0),FALSE)</f>
        <v>100.64</v>
      </c>
      <c r="D315" s="79">
        <f>VLOOKUP(A315,Database!$A:$AS,MATCH($D$1,Database!$A$1:$AS$1,0),FALSE)</f>
        <v>101.79151737399999</v>
      </c>
      <c r="E315" s="79">
        <f>VLOOKUP(A315,Database!$A:$AS,MATCH($E$1,Database!$A$1:$AS$1,0),FALSE)</f>
        <v>100.563083803</v>
      </c>
      <c r="F315" s="79">
        <f>VLOOKUP(A315,Database!$A:$AS,MATCH($F$1,Database!$A$1:$AS$1,0),FALSE)</f>
        <v>100.9</v>
      </c>
      <c r="G315" s="79">
        <f>VLOOKUP(A315,Database!$A:$AS,MATCH($G$1,Database!$A$1:$AS$1,0),FALSE)</f>
        <v>101.953755153</v>
      </c>
      <c r="H315" s="79">
        <f>(((Table134567891011121314151617343[[#This Row],[ITA]]-VLOOKUP($U$1,A:B,2,))/VLOOKUP($U$1,A:B,2,))*100)+100</f>
        <v>82.565789473302758</v>
      </c>
      <c r="I315" s="79">
        <f>(((Table134567891011121314151617343[[#This Row],[FRA]]-VLOOKUP($U$1,A:C,3,))/VLOOKUP($U$1,A:C,3,))*100)+100</f>
        <v>98.194945848375454</v>
      </c>
      <c r="J315" s="79">
        <f>(((Table134567891011121314151617343[[#This Row],[DEU]]-VLOOKUP($U$1,A:D,4,))/VLOOKUP($U$1,A:D,4,))*100)+100</f>
        <v>135.37234042524895</v>
      </c>
      <c r="K315" s="79">
        <f>(((Table134567891011121314151617343[[#This Row],[ESP]]-VLOOKUP($U$1,A:E,5,))/VLOOKUP($U$1,A:E,5,))*100)+100</f>
        <v>84.528032277228078</v>
      </c>
      <c r="L315" s="79">
        <f>(((Table134567891011121314151617343[[#This Row],[EA19]]-VLOOKUP($U$1,A:F,6,))/VLOOKUP($U$1,A:F,6,))*100)+100</f>
        <v>112.86353467561521</v>
      </c>
      <c r="M315" s="79">
        <f>(((Table134567891011121314151617343[[#This Row],[GBR]]-VLOOKUP($U$1,A:G,7,))/VLOOKUP($U$1,A:G,7,))*100)+100</f>
        <v>110.61843640553217</v>
      </c>
      <c r="N315" s="79">
        <f>VLOOKUP(A315,Database!$A:$AS,MATCH($N$1,Database!$A$1:$AS$1,0),FALSE)</f>
        <v>98.086255967</v>
      </c>
      <c r="O315" s="79">
        <f>(((Table134567891011121314151617343[[#This Row],[USA]]-VLOOKUP($U$1,A:N,14,))/VLOOKUP($U$1,A:N,14,))*100)+100</f>
        <v>112.92007709091499</v>
      </c>
      <c r="P315" s="79">
        <f>VLOOKUP(A315,Database!$A:$AS,MATCH($P$1,Database!$A$1:$AS$1,0),FALSE)</f>
        <v>99.491709024000002</v>
      </c>
      <c r="Q315" s="79">
        <f>(((Table134567891011121314151617343[[#This Row],[JPN]]-VLOOKUP($U$1,A:Q,16,))/VLOOKUP($U$1,A:Q,16,))*100)+100</f>
        <v>99.887634472823933</v>
      </c>
    </row>
    <row r="316" spans="1:17" s="83" customFormat="1" x14ac:dyDescent="0.2">
      <c r="A316" s="21">
        <v>42430</v>
      </c>
      <c r="B316" s="79">
        <f>VLOOKUP(A316,Database!$A:$AS,MATCH($B$1,Database!$A$1:$AS$1,0),FALSE)</f>
        <v>100.49162569800001</v>
      </c>
      <c r="C316" s="79">
        <f>VLOOKUP(A316,Database!$A:$AS,MATCH($C$1,Database!$A$1:$AS$1,0),FALSE)</f>
        <v>100.2</v>
      </c>
      <c r="D316" s="79">
        <f>VLOOKUP(A316,Database!$A:$AS,MATCH($D$1,Database!$A$1:$AS$1,0),FALSE)</f>
        <v>100.49162569800001</v>
      </c>
      <c r="E316" s="79">
        <f>VLOOKUP(A316,Database!$A:$AS,MATCH($E$1,Database!$A$1:$AS$1,0),FALSE)</f>
        <v>102.22008518299999</v>
      </c>
      <c r="F316" s="79">
        <f>VLOOKUP(A316,Database!$A:$AS,MATCH($F$1,Database!$A$1:$AS$1,0),FALSE)</f>
        <v>100.3</v>
      </c>
      <c r="G316" s="79">
        <f>VLOOKUP(A316,Database!$A:$AS,MATCH($G$1,Database!$A$1:$AS$1,0),FALSE)</f>
        <v>101.63111668800001</v>
      </c>
      <c r="H316" s="79">
        <f>(((Table134567891011121314151617343[[#This Row],[ITA]]-VLOOKUP($U$1,A:B,2,))/VLOOKUP($U$1,A:B,2,))*100)+100</f>
        <v>82.648026315933549</v>
      </c>
      <c r="I316" s="79">
        <f>(((Table134567891011121314151617343[[#This Row],[FRA]]-VLOOKUP($U$1,A:C,3,))/VLOOKUP($U$1,A:C,3,))*100)+100</f>
        <v>97.76563567177287</v>
      </c>
      <c r="J316" s="79">
        <f>(((Table134567891011121314151617343[[#This Row],[DEU]]-VLOOKUP($U$1,A:D,4,))/VLOOKUP($U$1,A:D,4,))*100)+100</f>
        <v>133.6436170205975</v>
      </c>
      <c r="K316" s="79">
        <f>(((Table134567891011121314151617343[[#This Row],[ESP]]-VLOOKUP($U$1,A:E,5,))/VLOOKUP($U$1,A:E,5,))*100)+100</f>
        <v>85.920820374363501</v>
      </c>
      <c r="L316" s="79">
        <f>(((Table134567891011121314151617343[[#This Row],[EA19]]-VLOOKUP($U$1,A:F,6,))/VLOOKUP($U$1,A:F,6,))*100)+100</f>
        <v>112.19239373601789</v>
      </c>
      <c r="M316" s="79">
        <f>(((Table134567891011121314151617343[[#This Row],[GBR]]-VLOOKUP($U$1,A:G,7,))/VLOOKUP($U$1,A:G,7,))*100)+100</f>
        <v>110.26837806320802</v>
      </c>
      <c r="N316" s="79">
        <f>VLOOKUP(A316,Database!$A:$AS,MATCH($N$1,Database!$A$1:$AS$1,0),FALSE)</f>
        <v>97.330078822999994</v>
      </c>
      <c r="O316" s="79">
        <f>(((Table134567891011121314151617343[[#This Row],[USA]]-VLOOKUP($U$1,A:N,14,))/VLOOKUP($U$1,A:N,14,))*100)+100</f>
        <v>112.04954145314331</v>
      </c>
      <c r="P316" s="79">
        <f>VLOOKUP(A316,Database!$A:$AS,MATCH($P$1,Database!$A$1:$AS$1,0),FALSE)</f>
        <v>99.891675694</v>
      </c>
      <c r="Q316" s="79">
        <f>(((Table134567891011121314151617343[[#This Row],[JPN]]-VLOOKUP($U$1,A:Q,16,))/VLOOKUP($U$1,A:Q,16,))*100)+100</f>
        <v>100.28919280292192</v>
      </c>
    </row>
    <row r="317" spans="1:17" s="83" customFormat="1" x14ac:dyDescent="0.2">
      <c r="A317" s="21">
        <v>42461</v>
      </c>
      <c r="B317" s="79">
        <f>VLOOKUP(A317,Database!$A:$AS,MATCH($B$1,Database!$A$1:$AS$1,0),FALSE)</f>
        <v>102.09149237600001</v>
      </c>
      <c r="C317" s="79">
        <f>VLOOKUP(A317,Database!$A:$AS,MATCH($C$1,Database!$A$1:$AS$1,0),FALSE)</f>
        <v>101.21</v>
      </c>
      <c r="D317" s="79">
        <f>VLOOKUP(A317,Database!$A:$AS,MATCH($D$1,Database!$A$1:$AS$1,0),FALSE)</f>
        <v>101.291559037</v>
      </c>
      <c r="E317" s="79">
        <f>VLOOKUP(A317,Database!$A:$AS,MATCH($E$1,Database!$A$1:$AS$1,0),FALSE)</f>
        <v>102.902085752</v>
      </c>
      <c r="F317" s="79">
        <f>VLOOKUP(A317,Database!$A:$AS,MATCH($F$1,Database!$A$1:$AS$1,0),FALSE)</f>
        <v>101.6</v>
      </c>
      <c r="G317" s="79">
        <f>VLOOKUP(A317,Database!$A:$AS,MATCH($G$1,Database!$A$1:$AS$1,0),FALSE)</f>
        <v>103.674493637</v>
      </c>
      <c r="H317" s="79">
        <f>(((Table134567891011121314151617343[[#This Row],[ITA]]-VLOOKUP($U$1,A:B,2,))/VLOOKUP($U$1,A:B,2,))*100)+100</f>
        <v>83.963815789801714</v>
      </c>
      <c r="I317" s="79">
        <f>(((Table134567891011121314151617343[[#This Row],[FRA]]-VLOOKUP($U$1,A:C,3,))/VLOOKUP($U$1,A:C,3,))*100)+100</f>
        <v>98.751097668065171</v>
      </c>
      <c r="J317" s="79">
        <f>(((Table134567891011121314151617343[[#This Row],[DEU]]-VLOOKUP($U$1,A:D,4,))/VLOOKUP($U$1,A:D,4,))*100)+100</f>
        <v>134.70744680797304</v>
      </c>
      <c r="K317" s="79">
        <f>(((Table134567891011121314151617343[[#This Row],[ESP]]-VLOOKUP($U$1,A:E,5,))/VLOOKUP($U$1,A:E,5,))*100)+100</f>
        <v>86.494074136374735</v>
      </c>
      <c r="L317" s="79">
        <f>(((Table134567891011121314151617343[[#This Row],[EA19]]-VLOOKUP($U$1,A:F,6,))/VLOOKUP($U$1,A:F,6,))*100)+100</f>
        <v>113.64653243847873</v>
      </c>
      <c r="M317" s="79">
        <f>(((Table134567891011121314151617343[[#This Row],[GBR]]-VLOOKUP($U$1,A:G,7,))/VLOOKUP($U$1,A:G,7,))*100)+100</f>
        <v>112.48541423560087</v>
      </c>
      <c r="N317" s="79">
        <f>VLOOKUP(A317,Database!$A:$AS,MATCH($N$1,Database!$A$1:$AS$1,0),FALSE)</f>
        <v>97.599582776000005</v>
      </c>
      <c r="O317" s="79">
        <f>(((Table134567891011121314151617343[[#This Row],[USA]]-VLOOKUP($U$1,A:N,14,))/VLOOKUP($U$1,A:N,14,))*100)+100</f>
        <v>112.35980313913636</v>
      </c>
      <c r="P317" s="79">
        <f>VLOOKUP(A317,Database!$A:$AS,MATCH($P$1,Database!$A$1:$AS$1,0),FALSE)</f>
        <v>99.191734022000006</v>
      </c>
      <c r="Q317" s="79">
        <f>(((Table134567891011121314151617343[[#This Row],[JPN]]-VLOOKUP($U$1,A:Q,16,))/VLOOKUP($U$1,A:Q,16,))*100)+100</f>
        <v>99.586465725752433</v>
      </c>
    </row>
    <row r="318" spans="1:17" s="83" customFormat="1" x14ac:dyDescent="0.2">
      <c r="A318" s="21">
        <v>42491</v>
      </c>
      <c r="B318" s="79">
        <f>VLOOKUP(A318,Database!$A:$AS,MATCH($B$1,Database!$A$1:$AS$1,0),FALSE)</f>
        <v>100.49162569800001</v>
      </c>
      <c r="C318" s="79">
        <f>VLOOKUP(A318,Database!$A:$AS,MATCH($C$1,Database!$A$1:$AS$1,0),FALSE)</f>
        <v>99.6</v>
      </c>
      <c r="D318" s="79">
        <f>VLOOKUP(A318,Database!$A:$AS,MATCH($D$1,Database!$A$1:$AS$1,0),FALSE)</f>
        <v>99.391717357000005</v>
      </c>
      <c r="E318" s="79">
        <f>VLOOKUP(A318,Database!$A:$AS,MATCH($E$1,Database!$A$1:$AS$1,0),FALSE)</f>
        <v>100.407083673</v>
      </c>
      <c r="F318" s="79">
        <f>VLOOKUP(A318,Database!$A:$AS,MATCH($F$1,Database!$A$1:$AS$1,0),FALSE)</f>
        <v>100.3</v>
      </c>
      <c r="G318" s="79">
        <f>VLOOKUP(A318,Database!$A:$AS,MATCH($G$1,Database!$A$1:$AS$1,0),FALSE)</f>
        <v>101.30847822200001</v>
      </c>
      <c r="H318" s="79">
        <f>(((Table134567891011121314151617343[[#This Row],[ITA]]-VLOOKUP($U$1,A:B,2,))/VLOOKUP($U$1,A:B,2,))*100)+100</f>
        <v>82.648026315933549</v>
      </c>
      <c r="I318" s="79">
        <f>(((Table134567891011121314151617343[[#This Row],[FRA]]-VLOOKUP($U$1,A:C,3,))/VLOOKUP($U$1,A:C,3,))*100)+100</f>
        <v>97.180212703678407</v>
      </c>
      <c r="J318" s="79">
        <f>(((Table134567891011121314151617343[[#This Row],[DEU]]-VLOOKUP($U$1,A:D,4,))/VLOOKUP($U$1,A:D,4,))*100)+100</f>
        <v>132.18085106312242</v>
      </c>
      <c r="K318" s="79">
        <f>(((Table134567891011121314151617343[[#This Row],[ESP]]-VLOOKUP($U$1,A:E,5,))/VLOOKUP($U$1,A:E,5,))*100)+100</f>
        <v>84.396906783406479</v>
      </c>
      <c r="L318" s="79">
        <f>(((Table134567891011121314151617343[[#This Row],[EA19]]-VLOOKUP($U$1,A:F,6,))/VLOOKUP($U$1,A:F,6,))*100)+100</f>
        <v>112.19239373601789</v>
      </c>
      <c r="M318" s="79">
        <f>(((Table134567891011121314151617343[[#This Row],[GBR]]-VLOOKUP($U$1,A:G,7,))/VLOOKUP($U$1,A:G,7,))*100)+100</f>
        <v>109.91831971979889</v>
      </c>
      <c r="N318" s="79">
        <f>VLOOKUP(A318,Database!$A:$AS,MATCH($N$1,Database!$A$1:$AS$1,0),FALSE)</f>
        <v>97.422754878999996</v>
      </c>
      <c r="O318" s="79">
        <f>(((Table134567891011121314151617343[[#This Row],[USA]]-VLOOKUP($U$1,A:N,14,))/VLOOKUP($U$1,A:N,14,))*100)+100</f>
        <v>112.15623313267405</v>
      </c>
      <c r="P318" s="79">
        <f>VLOOKUP(A318,Database!$A:$AS,MATCH($P$1,Database!$A$1:$AS$1,0),FALSE)</f>
        <v>98.691775684999996</v>
      </c>
      <c r="Q318" s="79">
        <f>(((Table134567891011121314151617343[[#This Row],[JPN]]-VLOOKUP($U$1,A:Q,16,))/VLOOKUP($U$1,A:Q,16,))*100)+100</f>
        <v>99.084517813631933</v>
      </c>
    </row>
    <row r="319" spans="1:17" s="83" customFormat="1" x14ac:dyDescent="0.2">
      <c r="A319" s="21">
        <v>42522</v>
      </c>
      <c r="B319" s="79">
        <f>VLOOKUP(A319,Database!$A:$AS,MATCH($B$1,Database!$A$1:$AS$1,0),FALSE)</f>
        <v>99.291725690000007</v>
      </c>
      <c r="C319" s="79">
        <f>VLOOKUP(A319,Database!$A:$AS,MATCH($C$1,Database!$A$1:$AS$1,0),FALSE)</f>
        <v>99.31</v>
      </c>
      <c r="D319" s="79">
        <f>VLOOKUP(A319,Database!$A:$AS,MATCH($D$1,Database!$A$1:$AS$1,0),FALSE)</f>
        <v>101.69152570599999</v>
      </c>
      <c r="E319" s="79">
        <f>VLOOKUP(A319,Database!$A:$AS,MATCH($E$1,Database!$A$1:$AS$1,0),FALSE)</f>
        <v>100.785083988</v>
      </c>
      <c r="F319" s="79">
        <f>VLOOKUP(A319,Database!$A:$AS,MATCH($F$1,Database!$A$1:$AS$1,0),FALSE)</f>
        <v>101.1</v>
      </c>
      <c r="G319" s="79">
        <f>VLOOKUP(A319,Database!$A:$AS,MATCH($G$1,Database!$A$1:$AS$1,0),FALSE)</f>
        <v>99.587739737999996</v>
      </c>
      <c r="H319" s="79">
        <f>(((Table134567891011121314151617343[[#This Row],[ITA]]-VLOOKUP($U$1,A:B,2,))/VLOOKUP($U$1,A:B,2,))*100)+100</f>
        <v>81.661184210943631</v>
      </c>
      <c r="I319" s="79">
        <f>(((Table134567891011121314151617343[[#This Row],[FRA]]-VLOOKUP($U$1,A:C,3,))/VLOOKUP($U$1,A:C,3,))*100)+100</f>
        <v>96.897258269099424</v>
      </c>
      <c r="J319" s="79">
        <f>(((Table134567891011121314151617343[[#This Row],[DEU]]-VLOOKUP($U$1,A:D,4,))/VLOOKUP($U$1,A:D,4,))*100)+100</f>
        <v>135.23936170099583</v>
      </c>
      <c r="K319" s="79">
        <f>(((Table134567891011121314151617343[[#This Row],[ESP]]-VLOOKUP($U$1,A:E,5,))/VLOOKUP($U$1,A:E,5,))*100)+100</f>
        <v>84.714633941512659</v>
      </c>
      <c r="L319" s="79">
        <f>(((Table134567891011121314151617343[[#This Row],[EA19]]-VLOOKUP($U$1,A:F,6,))/VLOOKUP($U$1,A:F,6,))*100)+100</f>
        <v>113.08724832214764</v>
      </c>
      <c r="M319" s="79">
        <f>(((Table134567891011121314151617343[[#This Row],[GBR]]-VLOOKUP($U$1,A:G,7,))/VLOOKUP($U$1,A:G,7,))*100)+100</f>
        <v>108.05134188973015</v>
      </c>
      <c r="N319" s="79">
        <f>VLOOKUP(A319,Database!$A:$AS,MATCH($N$1,Database!$A$1:$AS$1,0),FALSE)</f>
        <v>97.850155041999997</v>
      </c>
      <c r="O319" s="79">
        <f>(((Table134567891011121314151617343[[#This Row],[USA]]-VLOOKUP($U$1,A:N,14,))/VLOOKUP($U$1,A:N,14,))*100)+100</f>
        <v>112.6482700534315</v>
      </c>
      <c r="P319" s="79">
        <f>VLOOKUP(A319,Database!$A:$AS,MATCH($P$1,Database!$A$1:$AS$1,0),FALSE)</f>
        <v>99.191734022000006</v>
      </c>
      <c r="Q319" s="79">
        <f>(((Table134567891011121314151617343[[#This Row],[JPN]]-VLOOKUP($U$1,A:Q,16,))/VLOOKUP($U$1,A:Q,16,))*100)+100</f>
        <v>99.586465725752433</v>
      </c>
    </row>
    <row r="320" spans="1:17" s="83" customFormat="1" x14ac:dyDescent="0.2">
      <c r="A320" s="21">
        <v>42552</v>
      </c>
      <c r="B320" s="79">
        <f>VLOOKUP(A320,Database!$A:$AS,MATCH($B$1,Database!$A$1:$AS$1,0),FALSE)</f>
        <v>101.191567369</v>
      </c>
      <c r="C320" s="79">
        <f>VLOOKUP(A320,Database!$A:$AS,MATCH($C$1,Database!$A$1:$AS$1,0),FALSE)</f>
        <v>99</v>
      </c>
      <c r="D320" s="79">
        <f>VLOOKUP(A320,Database!$A:$AS,MATCH($D$1,Database!$A$1:$AS$1,0),FALSE)</f>
        <v>99.991667360999998</v>
      </c>
      <c r="E320" s="79">
        <f>VLOOKUP(A320,Database!$A:$AS,MATCH($E$1,Database!$A$1:$AS$1,0),FALSE)</f>
        <v>101.068084223</v>
      </c>
      <c r="F320" s="79">
        <f>VLOOKUP(A320,Database!$A:$AS,MATCH($F$1,Database!$A$1:$AS$1,0),FALSE)</f>
        <v>101.1</v>
      </c>
      <c r="G320" s="79">
        <f>VLOOKUP(A320,Database!$A:$AS,MATCH($G$1,Database!$A$1:$AS$1,0),FALSE)</f>
        <v>99.372647427999993</v>
      </c>
      <c r="H320" s="79">
        <f>(((Table134567891011121314151617343[[#This Row],[ITA]]-VLOOKUP($U$1,A:B,2,))/VLOOKUP($U$1,A:B,2,))*100)+100</f>
        <v>83.22368421023684</v>
      </c>
      <c r="I320" s="79">
        <f>(((Table134567891011121314151617343[[#This Row],[FRA]]-VLOOKUP($U$1,A:C,3,))/VLOOKUP($U$1,A:C,3,))*100)+100</f>
        <v>96.594789735583959</v>
      </c>
      <c r="J320" s="79">
        <f>(((Table134567891011121314151617343[[#This Row],[DEU]]-VLOOKUP($U$1,A:D,4,))/VLOOKUP($U$1,A:D,4,))*100)+100</f>
        <v>132.97872340332157</v>
      </c>
      <c r="K320" s="79">
        <f>(((Table134567891011121314151617343[[#This Row],[ESP]]-VLOOKUP($U$1,A:E,5,))/VLOOKUP($U$1,A:E,5,))*100)+100</f>
        <v>84.952509035373197</v>
      </c>
      <c r="L320" s="79">
        <f>(((Table134567891011121314151617343[[#This Row],[EA19]]-VLOOKUP($U$1,A:F,6,))/VLOOKUP($U$1,A:F,6,))*100)+100</f>
        <v>113.08724832214764</v>
      </c>
      <c r="M320" s="79">
        <f>(((Table134567891011121314151617343[[#This Row],[GBR]]-VLOOKUP($U$1,A:G,7,))/VLOOKUP($U$1,A:G,7,))*100)+100</f>
        <v>107.81796966151406</v>
      </c>
      <c r="N320" s="79">
        <f>VLOOKUP(A320,Database!$A:$AS,MATCH($N$1,Database!$A$1:$AS$1,0),FALSE)</f>
        <v>98.027676771000003</v>
      </c>
      <c r="O320" s="79">
        <f>(((Table134567891011121314151617343[[#This Row],[USA]]-VLOOKUP($U$1,A:N,14,))/VLOOKUP($U$1,A:N,14,))*100)+100</f>
        <v>112.85263882178104</v>
      </c>
      <c r="P320" s="79">
        <f>VLOOKUP(A320,Database!$A:$AS,MATCH($P$1,Database!$A$1:$AS$1,0),FALSE)</f>
        <v>99.691692359000001</v>
      </c>
      <c r="Q320" s="79">
        <f>(((Table134567891011121314151617343[[#This Row],[JPN]]-VLOOKUP($U$1,A:Q,16,))/VLOOKUP($U$1,A:Q,16,))*100)+100</f>
        <v>100.08841363787293</v>
      </c>
    </row>
    <row r="321" spans="1:17" s="83" customFormat="1" x14ac:dyDescent="0.2">
      <c r="A321" s="21">
        <v>42583</v>
      </c>
      <c r="B321" s="79">
        <f>VLOOKUP(A321,Database!$A:$AS,MATCH($B$1,Database!$A$1:$AS$1,0),FALSE)</f>
        <v>102.09149237600001</v>
      </c>
      <c r="C321" s="79">
        <f>VLOOKUP(A321,Database!$A:$AS,MATCH($C$1,Database!$A$1:$AS$1,0),FALSE)</f>
        <v>100.94</v>
      </c>
      <c r="D321" s="79">
        <f>VLOOKUP(A321,Database!$A:$AS,MATCH($D$1,Database!$A$1:$AS$1,0),FALSE)</f>
        <v>101.69152570599999</v>
      </c>
      <c r="E321" s="79">
        <f>VLOOKUP(A321,Database!$A:$AS,MATCH($E$1,Database!$A$1:$AS$1,0),FALSE)</f>
        <v>102.331085276</v>
      </c>
      <c r="F321" s="79">
        <f>VLOOKUP(A321,Database!$A:$AS,MATCH($F$1,Database!$A$1:$AS$1,0),FALSE)</f>
        <v>101.1</v>
      </c>
      <c r="G321" s="79">
        <f>VLOOKUP(A321,Database!$A:$AS,MATCH($G$1,Database!$A$1:$AS$1,0),FALSE)</f>
        <v>98.727370496999995</v>
      </c>
      <c r="H321" s="79">
        <f>(((Table134567891011121314151617343[[#This Row],[ITA]]-VLOOKUP($U$1,A:B,2,))/VLOOKUP($U$1,A:B,2,))*100)+100</f>
        <v>83.963815789801714</v>
      </c>
      <c r="I321" s="79">
        <f>(((Table134567891011121314151617343[[#This Row],[FRA]]-VLOOKUP($U$1,A:C,3,))/VLOOKUP($U$1,A:C,3,))*100)+100</f>
        <v>98.487657332422671</v>
      </c>
      <c r="J321" s="79">
        <f>(((Table134567891011121314151617343[[#This Row],[DEU]]-VLOOKUP($U$1,A:D,4,))/VLOOKUP($U$1,A:D,4,))*100)+100</f>
        <v>135.23936170099583</v>
      </c>
      <c r="K321" s="79">
        <f>(((Table134567891011121314151617343[[#This Row],[ESP]]-VLOOKUP($U$1,A:E,5,))/VLOOKUP($U$1,A:E,5,))*100)+100</f>
        <v>86.014121206926077</v>
      </c>
      <c r="L321" s="79">
        <f>(((Table134567891011121314151617343[[#This Row],[EA19]]-VLOOKUP($U$1,A:F,6,))/VLOOKUP($U$1,A:F,6,))*100)+100</f>
        <v>113.08724832214764</v>
      </c>
      <c r="M321" s="79">
        <f>(((Table134567891011121314151617343[[#This Row],[GBR]]-VLOOKUP($U$1,A:G,7,))/VLOOKUP($U$1,A:G,7,))*100)+100</f>
        <v>107.11785297578078</v>
      </c>
      <c r="N321" s="79">
        <f>VLOOKUP(A321,Database!$A:$AS,MATCH($N$1,Database!$A$1:$AS$1,0),FALSE)</f>
        <v>97.854912744000003</v>
      </c>
      <c r="O321" s="79">
        <f>(((Table134567891011121314151617343[[#This Row],[USA]]-VLOOKUP($U$1,A:N,14,))/VLOOKUP($U$1,A:N,14,))*100)+100</f>
        <v>112.65374727418296</v>
      </c>
      <c r="P321" s="79">
        <f>VLOOKUP(A321,Database!$A:$AS,MATCH($P$1,Database!$A$1:$AS$1,0),FALSE)</f>
        <v>100.591617365</v>
      </c>
      <c r="Q321" s="79">
        <f>(((Table134567891011121314151617343[[#This Row],[JPN]]-VLOOKUP($U$1,A:Q,16,))/VLOOKUP($U$1,A:Q,16,))*100)+100</f>
        <v>100.99191987908745</v>
      </c>
    </row>
    <row r="322" spans="1:17" s="83" customFormat="1" x14ac:dyDescent="0.2">
      <c r="A322" s="21">
        <v>42614</v>
      </c>
      <c r="B322" s="79">
        <f>VLOOKUP(A322,Database!$A:$AS,MATCH($B$1,Database!$A$1:$AS$1,0),FALSE)</f>
        <v>101.991500708</v>
      </c>
      <c r="C322" s="79">
        <f>VLOOKUP(A322,Database!$A:$AS,MATCH($C$1,Database!$A$1:$AS$1,0),FALSE)</f>
        <v>100.03</v>
      </c>
      <c r="D322" s="79">
        <f>VLOOKUP(A322,Database!$A:$AS,MATCH($D$1,Database!$A$1:$AS$1,0),FALSE)</f>
        <v>101.49154237099999</v>
      </c>
      <c r="E322" s="79">
        <f>VLOOKUP(A322,Database!$A:$AS,MATCH($E$1,Database!$A$1:$AS$1,0),FALSE)</f>
        <v>101.74408478700001</v>
      </c>
      <c r="F322" s="79">
        <f>VLOOKUP(A322,Database!$A:$AS,MATCH($F$1,Database!$A$1:$AS$1,0),FALSE)</f>
        <v>101.4</v>
      </c>
      <c r="G322" s="79">
        <f>VLOOKUP(A322,Database!$A:$AS,MATCH($G$1,Database!$A$1:$AS$1,0),FALSE)</f>
        <v>98.619824340999998</v>
      </c>
      <c r="H322" s="79">
        <f>(((Table134567891011121314151617343[[#This Row],[ITA]]-VLOOKUP($U$1,A:B,2,))/VLOOKUP($U$1,A:B,2,))*100)+100</f>
        <v>83.881578947170937</v>
      </c>
      <c r="I322" s="79">
        <f>(((Table134567891011121314151617343[[#This Row],[FRA]]-VLOOKUP($U$1,A:C,3,))/VLOOKUP($U$1,A:C,3,))*100)+100</f>
        <v>97.599765830812771</v>
      </c>
      <c r="J322" s="79">
        <f>(((Table134567891011121314151617343[[#This Row],[DEU]]-VLOOKUP($U$1,A:D,4,))/VLOOKUP($U$1,A:D,4,))*100)+100</f>
        <v>134.97340425381947</v>
      </c>
      <c r="K322" s="79">
        <f>(((Table134567891011121314151617343[[#This Row],[ESP]]-VLOOKUP($U$1,A:E,5,))/VLOOKUP($U$1,A:E,5,))*100)+100</f>
        <v>85.520719509160529</v>
      </c>
      <c r="L322" s="79">
        <f>(((Table134567891011121314151617343[[#This Row],[EA19]]-VLOOKUP($U$1,A:F,6,))/VLOOKUP($U$1,A:F,6,))*100)+100</f>
        <v>113.42281879194631</v>
      </c>
      <c r="M322" s="79">
        <f>(((Table134567891011121314151617343[[#This Row],[GBR]]-VLOOKUP($U$1,A:G,7,))/VLOOKUP($U$1,A:G,7,))*100)+100</f>
        <v>107.00116686058774</v>
      </c>
      <c r="N322" s="79">
        <f>VLOOKUP(A322,Database!$A:$AS,MATCH($N$1,Database!$A$1:$AS$1,0),FALSE)</f>
        <v>97.737060518999996</v>
      </c>
      <c r="O322" s="79">
        <f>(((Table134567891011121314151617343[[#This Row],[USA]]-VLOOKUP($U$1,A:N,14,))/VLOOKUP($U$1,A:N,14,))*100)+100</f>
        <v>112.5180719728766</v>
      </c>
      <c r="P322" s="79">
        <f>VLOOKUP(A322,Database!$A:$AS,MATCH($P$1,Database!$A$1:$AS$1,0),FALSE)</f>
        <v>100.991584035</v>
      </c>
      <c r="Q322" s="79">
        <f>(((Table134567891011121314151617343[[#This Row],[JPN]]-VLOOKUP($U$1,A:Q,16,))/VLOOKUP($U$1,A:Q,16,))*100)+100</f>
        <v>101.39347820918543</v>
      </c>
    </row>
    <row r="323" spans="1:17" s="83" customFormat="1" x14ac:dyDescent="0.2">
      <c r="A323" s="21">
        <v>42644</v>
      </c>
      <c r="B323" s="79">
        <f>VLOOKUP(A323,Database!$A:$AS,MATCH($B$1,Database!$A$1:$AS$1,0),FALSE)</f>
        <v>102.391467378</v>
      </c>
      <c r="C323" s="79">
        <f>VLOOKUP(A323,Database!$A:$AS,MATCH($C$1,Database!$A$1:$AS$1,0),FALSE)</f>
        <v>99.56</v>
      </c>
      <c r="D323" s="79">
        <f>VLOOKUP(A323,Database!$A:$AS,MATCH($D$1,Database!$A$1:$AS$1,0),FALSE)</f>
        <v>102.09149237600001</v>
      </c>
      <c r="E323" s="79">
        <f>VLOOKUP(A323,Database!$A:$AS,MATCH($E$1,Database!$A$1:$AS$1,0),FALSE)</f>
        <v>101.993084994</v>
      </c>
      <c r="F323" s="79">
        <f>VLOOKUP(A323,Database!$A:$AS,MATCH($F$1,Database!$A$1:$AS$1,0),FALSE)</f>
        <v>102.5</v>
      </c>
      <c r="G323" s="79">
        <f>VLOOKUP(A323,Database!$A:$AS,MATCH($G$1,Database!$A$1:$AS$1,0),FALSE)</f>
        <v>97.436816633999996</v>
      </c>
      <c r="H323" s="79">
        <f>(((Table134567891011121314151617343[[#This Row],[ITA]]-VLOOKUP($U$1,A:B,2,))/VLOOKUP($U$1,A:B,2,))*100)+100</f>
        <v>84.210526316049197</v>
      </c>
      <c r="I323" s="79">
        <f>(((Table134567891011121314151617343[[#This Row],[FRA]]-VLOOKUP($U$1,A:C,3,))/VLOOKUP($U$1,A:C,3,))*100)+100</f>
        <v>97.141184505805455</v>
      </c>
      <c r="J323" s="79">
        <f>(((Table134567891011121314151617343[[#This Row],[DEU]]-VLOOKUP($U$1,A:D,4,))/VLOOKUP($U$1,A:D,4,))*100)+100</f>
        <v>135.77127659534855</v>
      </c>
      <c r="K323" s="79">
        <f>(((Table134567891011121314151617343[[#This Row],[ESP]]-VLOOKUP($U$1,A:E,5,))/VLOOKUP($U$1,A:E,5,))*100)+100</f>
        <v>85.730015970032426</v>
      </c>
      <c r="L323" s="79">
        <f>(((Table134567891011121314151617343[[#This Row],[EA19]]-VLOOKUP($U$1,A:F,6,))/VLOOKUP($U$1,A:F,6,))*100)+100</f>
        <v>114.65324384787472</v>
      </c>
      <c r="M323" s="79">
        <f>(((Table134567891011121314151617343[[#This Row],[GBR]]-VLOOKUP($U$1,A:G,7,))/VLOOKUP($U$1,A:G,7,))*100)+100</f>
        <v>105.71761960322924</v>
      </c>
      <c r="N323" s="79">
        <f>VLOOKUP(A323,Database!$A:$AS,MATCH($N$1,Database!$A$1:$AS$1,0),FALSE)</f>
        <v>97.800793892000002</v>
      </c>
      <c r="O323" s="79">
        <f>(((Table134567891011121314151617343[[#This Row],[USA]]-VLOOKUP($U$1,A:N,14,))/VLOOKUP($U$1,A:N,14,))*100)+100</f>
        <v>112.59144389763276</v>
      </c>
      <c r="P323" s="79">
        <f>VLOOKUP(A323,Database!$A:$AS,MATCH($P$1,Database!$A$1:$AS$1,0),FALSE)</f>
        <v>101.091575702</v>
      </c>
      <c r="Q323" s="79">
        <f>(((Table134567891011121314151617343[[#This Row],[JPN]]-VLOOKUP($U$1,A:Q,16,))/VLOOKUP($U$1,A:Q,16,))*100)+100</f>
        <v>101.49386779120793</v>
      </c>
    </row>
    <row r="324" spans="1:17" s="83" customFormat="1" x14ac:dyDescent="0.2">
      <c r="A324" s="21">
        <v>42675</v>
      </c>
      <c r="B324" s="79">
        <f>VLOOKUP(A324,Database!$A:$AS,MATCH($B$1,Database!$A$1:$AS$1,0),FALSE)</f>
        <v>103.391384051</v>
      </c>
      <c r="C324" s="79">
        <f>VLOOKUP(A324,Database!$A:$AS,MATCH($C$1,Database!$A$1:$AS$1,0),FALSE)</f>
        <v>102.25</v>
      </c>
      <c r="D324" s="79">
        <f>VLOOKUP(A324,Database!$A:$AS,MATCH($D$1,Database!$A$1:$AS$1,0),FALSE)</f>
        <v>101.79151737399999</v>
      </c>
      <c r="E324" s="79">
        <f>VLOOKUP(A324,Database!$A:$AS,MATCH($E$1,Database!$A$1:$AS$1,0),FALSE)</f>
        <v>103.20808600700001</v>
      </c>
      <c r="F324" s="79">
        <f>VLOOKUP(A324,Database!$A:$AS,MATCH($F$1,Database!$A$1:$AS$1,0),FALSE)</f>
        <v>102.8</v>
      </c>
      <c r="G324" s="79">
        <f>VLOOKUP(A324,Database!$A:$AS,MATCH($G$1,Database!$A$1:$AS$1,0),FALSE)</f>
        <v>98.297185876</v>
      </c>
      <c r="H324" s="79">
        <f>(((Table134567891011121314151617343[[#This Row],[ITA]]-VLOOKUP($U$1,A:B,2,))/VLOOKUP($U$1,A:B,2,))*100)+100</f>
        <v>85.032894736599985</v>
      </c>
      <c r="I324" s="79">
        <f>(((Table134567891011121314151617343[[#This Row],[FRA]]-VLOOKUP($U$1,A:C,3,))/VLOOKUP($U$1,A:C,3,))*100)+100</f>
        <v>99.765830812762232</v>
      </c>
      <c r="J324" s="79">
        <f>(((Table134567891011121314151617343[[#This Row],[DEU]]-VLOOKUP($U$1,A:D,4,))/VLOOKUP($U$1,A:D,4,))*100)+100</f>
        <v>135.37234042524895</v>
      </c>
      <c r="K324" s="79">
        <f>(((Table134567891011121314151617343[[#This Row],[ESP]]-VLOOKUP($U$1,A:E,5,))/VLOOKUP($U$1,A:E,5,))*100)+100</f>
        <v>86.751281835794046</v>
      </c>
      <c r="L324" s="79">
        <f>(((Table134567891011121314151617343[[#This Row],[EA19]]-VLOOKUP($U$1,A:F,6,))/VLOOKUP($U$1,A:F,6,))*100)+100</f>
        <v>114.98881431767337</v>
      </c>
      <c r="M324" s="79">
        <f>(((Table134567891011121314151617343[[#This Row],[GBR]]-VLOOKUP($U$1,A:G,7,))/VLOOKUP($U$1,A:G,7,))*100)+100</f>
        <v>106.6511085182636</v>
      </c>
      <c r="N324" s="79">
        <f>VLOOKUP(A324,Database!$A:$AS,MATCH($N$1,Database!$A$1:$AS$1,0),FALSE)</f>
        <v>97.363184494999999</v>
      </c>
      <c r="O324" s="79">
        <f>(((Table134567891011121314151617343[[#This Row],[USA]]-VLOOKUP($U$1,A:N,14,))/VLOOKUP($U$1,A:N,14,))*100)+100</f>
        <v>112.08765377578762</v>
      </c>
      <c r="P324" s="79">
        <f>VLOOKUP(A324,Database!$A:$AS,MATCH($P$1,Database!$A$1:$AS$1,0),FALSE)</f>
        <v>102.09149237600001</v>
      </c>
      <c r="Q324" s="79">
        <f>(((Table134567891011121314151617343[[#This Row],[JPN]]-VLOOKUP($U$1,A:Q,16,))/VLOOKUP($U$1,A:Q,16,))*100)+100</f>
        <v>102.49776361544893</v>
      </c>
    </row>
    <row r="325" spans="1:17" s="83" customFormat="1" x14ac:dyDescent="0.2">
      <c r="A325" s="21">
        <v>42705</v>
      </c>
      <c r="B325" s="79">
        <f>VLOOKUP(A325,Database!$A:$AS,MATCH($B$1,Database!$A$1:$AS$1,0),FALSE)</f>
        <v>104.891259062</v>
      </c>
      <c r="C325" s="79">
        <f>VLOOKUP(A325,Database!$A:$AS,MATCH($C$1,Database!$A$1:$AS$1,0),FALSE)</f>
        <v>100.87</v>
      </c>
      <c r="D325" s="79">
        <f>VLOOKUP(A325,Database!$A:$AS,MATCH($D$1,Database!$A$1:$AS$1,0),FALSE)</f>
        <v>99.991667360999998</v>
      </c>
      <c r="E325" s="79">
        <f>VLOOKUP(A325,Database!$A:$AS,MATCH($E$1,Database!$A$1:$AS$1,0),FALSE)</f>
        <v>103.005085838</v>
      </c>
      <c r="F325" s="79">
        <f>VLOOKUP(A325,Database!$A:$AS,MATCH($F$1,Database!$A$1:$AS$1,0),FALSE)</f>
        <v>102.5</v>
      </c>
      <c r="G325" s="79">
        <f>VLOOKUP(A325,Database!$A:$AS,MATCH($G$1,Database!$A$1:$AS$1,0),FALSE)</f>
        <v>100.44810898</v>
      </c>
      <c r="H325" s="79">
        <f>(((Table134567891011121314151617343[[#This Row],[ITA]]-VLOOKUP($U$1,A:B,2,))/VLOOKUP($U$1,A:B,2,))*100)+100</f>
        <v>86.266447368659811</v>
      </c>
      <c r="I325" s="79">
        <f>(((Table134567891011121314151617343[[#This Row],[FRA]]-VLOOKUP($U$1,A:C,3,))/VLOOKUP($U$1,A:C,3,))*100)+100</f>
        <v>98.419357986145002</v>
      </c>
      <c r="J325" s="79">
        <f>(((Table134567891011121314151617343[[#This Row],[DEU]]-VLOOKUP($U$1,A:D,4,))/VLOOKUP($U$1,A:D,4,))*100)+100</f>
        <v>132.97872340332157</v>
      </c>
      <c r="K325" s="79">
        <f>(((Table134567891011121314151617343[[#This Row],[ESP]]-VLOOKUP($U$1,A:E,5,))/VLOOKUP($U$1,A:E,5,))*100)+100</f>
        <v>86.58065058435858</v>
      </c>
      <c r="L325" s="79">
        <f>(((Table134567891011121314151617343[[#This Row],[EA19]]-VLOOKUP($U$1,A:F,6,))/VLOOKUP($U$1,A:F,6,))*100)+100</f>
        <v>114.65324384787472</v>
      </c>
      <c r="M325" s="79">
        <f>(((Table134567891011121314151617343[[#This Row],[GBR]]-VLOOKUP($U$1,A:G,7,))/VLOOKUP($U$1,A:G,7,))*100)+100</f>
        <v>108.98483080476451</v>
      </c>
      <c r="N325" s="79">
        <f>VLOOKUP(A325,Database!$A:$AS,MATCH($N$1,Database!$A$1:$AS$1,0),FALSE)</f>
        <v>98.024306731999999</v>
      </c>
      <c r="O325" s="79">
        <f>(((Table134567891011121314151617343[[#This Row],[USA]]-VLOOKUP($U$1,A:N,14,))/VLOOKUP($U$1,A:N,14,))*100)+100</f>
        <v>112.84875912365281</v>
      </c>
      <c r="P325" s="79">
        <f>VLOOKUP(A325,Database!$A:$AS,MATCH($P$1,Database!$A$1:$AS$1,0),FALSE)</f>
        <v>101.49154237099999</v>
      </c>
      <c r="Q325" s="79">
        <f>(((Table134567891011121314151617343[[#This Row],[JPN]]-VLOOKUP($U$1,A:Q,16,))/VLOOKUP($U$1,A:Q,16,))*100)+100</f>
        <v>101.89542612030193</v>
      </c>
    </row>
    <row r="326" spans="1:17" s="83" customFormat="1" x14ac:dyDescent="0.2">
      <c r="A326" s="21">
        <v>42736</v>
      </c>
      <c r="B326" s="79">
        <f>VLOOKUP(A326,Database!$A:$AS,MATCH($B$1,Database!$A$1:$AS$1,0),FALSE)</f>
        <v>101.89150904100001</v>
      </c>
      <c r="C326" s="79">
        <f>VLOOKUP(A326,Database!$A:$AS,MATCH($C$1,Database!$A$1:$AS$1,0),FALSE)</f>
        <v>101.34</v>
      </c>
      <c r="D326" s="79">
        <f>VLOOKUP(A326,Database!$A:$AS,MATCH($D$1,Database!$A$1:$AS$1,0),FALSE)</f>
        <v>101.591534039</v>
      </c>
      <c r="E326" s="79">
        <f>VLOOKUP(A326,Database!$A:$AS,MATCH($E$1,Database!$A$1:$AS$1,0),FALSE)</f>
        <v>104.094086745</v>
      </c>
      <c r="F326" s="79">
        <f>VLOOKUP(A326,Database!$A:$AS,MATCH($F$1,Database!$A$1:$AS$1,0),FALSE)</f>
        <v>102.2</v>
      </c>
      <c r="G326" s="79">
        <f>VLOOKUP(A326,Database!$A:$AS,MATCH($G$1,Database!$A$1:$AS$1,0),FALSE)</f>
        <v>99.587739737999996</v>
      </c>
      <c r="H326" s="79">
        <f>(((Table134567891011121314151617343[[#This Row],[ITA]]-VLOOKUP($U$1,A:B,2,))/VLOOKUP($U$1,A:B,2,))*100)+100</f>
        <v>83.799342105362598</v>
      </c>
      <c r="I326" s="79">
        <f>(((Table134567891011121314151617343[[#This Row],[FRA]]-VLOOKUP($U$1,A:C,3,))/VLOOKUP($U$1,A:C,3,))*100)+100</f>
        <v>98.877939311152318</v>
      </c>
      <c r="J326" s="79">
        <f>(((Table134567891011121314151617343[[#This Row],[DEU]]-VLOOKUP($U$1,A:D,4,))/VLOOKUP($U$1,A:D,4,))*100)+100</f>
        <v>135.10638297807262</v>
      </c>
      <c r="K326" s="79">
        <f>(((Table134567891011121314151617343[[#This Row],[ESP]]-VLOOKUP($U$1,A:E,5,))/VLOOKUP($U$1,A:E,5,))*100)+100</f>
        <v>87.496007396577582</v>
      </c>
      <c r="L326" s="79">
        <f>(((Table134567891011121314151617343[[#This Row],[EA19]]-VLOOKUP($U$1,A:F,6,))/VLOOKUP($U$1,A:F,6,))*100)+100</f>
        <v>114.31767337807607</v>
      </c>
      <c r="M326" s="79">
        <f>(((Table134567891011121314151617343[[#This Row],[GBR]]-VLOOKUP($U$1,A:G,7,))/VLOOKUP($U$1,A:G,7,))*100)+100</f>
        <v>108.05134188973015</v>
      </c>
      <c r="N326" s="79">
        <f>VLOOKUP(A326,Database!$A:$AS,MATCH($N$1,Database!$A$1:$AS$1,0),FALSE)</f>
        <v>97.874439143000004</v>
      </c>
      <c r="O326" s="79">
        <f>(((Table134567891011121314151617343[[#This Row],[USA]]-VLOOKUP($U$1,A:N,14,))/VLOOKUP($U$1,A:N,14,))*100)+100</f>
        <v>112.67622669761136</v>
      </c>
      <c r="P326" s="79">
        <f>VLOOKUP(A326,Database!$A:$AS,MATCH($P$1,Database!$A$1:$AS$1,0),FALSE)</f>
        <v>100.69160903300001</v>
      </c>
      <c r="Q326" s="79">
        <f>(((Table134567891011121314151617343[[#This Row],[JPN]]-VLOOKUP($U$1,A:Q,16,))/VLOOKUP($U$1,A:Q,16,))*100)+100</f>
        <v>101.09230946211393</v>
      </c>
    </row>
    <row r="327" spans="1:17" s="83" customFormat="1" x14ac:dyDescent="0.2">
      <c r="A327" s="21">
        <v>42767</v>
      </c>
      <c r="B327" s="79">
        <f>VLOOKUP(A327,Database!$A:$AS,MATCH($B$1,Database!$A$1:$AS$1,0),FALSE)</f>
        <v>102.99141738199999</v>
      </c>
      <c r="C327" s="79">
        <f>VLOOKUP(A327,Database!$A:$AS,MATCH($C$1,Database!$A$1:$AS$1,0),FALSE)</f>
        <v>100.15</v>
      </c>
      <c r="D327" s="79">
        <f>VLOOKUP(A327,Database!$A:$AS,MATCH($D$1,Database!$A$1:$AS$1,0),FALSE)</f>
        <v>102.891425715</v>
      </c>
      <c r="E327" s="79">
        <f>VLOOKUP(A327,Database!$A:$AS,MATCH($E$1,Database!$A$1:$AS$1,0),FALSE)</f>
        <v>103.55608629699999</v>
      </c>
      <c r="F327" s="79">
        <f>VLOOKUP(A327,Database!$A:$AS,MATCH($F$1,Database!$A$1:$AS$1,0),FALSE)</f>
        <v>102.9</v>
      </c>
      <c r="G327" s="79">
        <f>VLOOKUP(A327,Database!$A:$AS,MATCH($G$1,Database!$A$1:$AS$1,0),FALSE)</f>
        <v>98.834916652000004</v>
      </c>
      <c r="H327" s="79">
        <f>(((Table134567891011121314151617343[[#This Row],[ITA]]-VLOOKUP($U$1,A:B,2,))/VLOOKUP($U$1,A:B,2,))*100)+100</f>
        <v>84.703947368544149</v>
      </c>
      <c r="I327" s="79">
        <f>(((Table134567891011121314151617343[[#This Row],[FRA]]-VLOOKUP($U$1,A:C,3,))/VLOOKUP($U$1,A:C,3,))*100)+100</f>
        <v>97.716850424431669</v>
      </c>
      <c r="J327" s="79">
        <f>(((Table134567891011121314151617343[[#This Row],[DEU]]-VLOOKUP($U$1,A:D,4,))/VLOOKUP($U$1,A:D,4,))*100)+100</f>
        <v>136.83510638272406</v>
      </c>
      <c r="K327" s="79">
        <f>(((Table134567891011121314151617343[[#This Row],[ESP]]-VLOOKUP($U$1,A:E,5,))/VLOOKUP($U$1,A:E,5,))*100)+100</f>
        <v>87.043792552780687</v>
      </c>
      <c r="L327" s="79">
        <f>(((Table134567891011121314151617343[[#This Row],[EA19]]-VLOOKUP($U$1,A:F,6,))/VLOOKUP($U$1,A:F,6,))*100)+100</f>
        <v>115.1006711409396</v>
      </c>
      <c r="M327" s="79">
        <f>(((Table134567891011121314151617343[[#This Row],[GBR]]-VLOOKUP($U$1,A:G,7,))/VLOOKUP($U$1,A:G,7,))*100)+100</f>
        <v>107.23453908988883</v>
      </c>
      <c r="N327" s="79">
        <f>VLOOKUP(A327,Database!$A:$AS,MATCH($N$1,Database!$A$1:$AS$1,0),FALSE)</f>
        <v>97.500761355999998</v>
      </c>
      <c r="O327" s="79">
        <f>(((Table134567891011121314151617343[[#This Row],[USA]]-VLOOKUP($U$1,A:N,14,))/VLOOKUP($U$1,A:N,14,))*100)+100</f>
        <v>112.24603671738213</v>
      </c>
      <c r="P327" s="79">
        <f>VLOOKUP(A327,Database!$A:$AS,MATCH($P$1,Database!$A$1:$AS$1,0),FALSE)</f>
        <v>101.391550704</v>
      </c>
      <c r="Q327" s="79">
        <f>(((Table134567891011121314151617343[[#This Row],[JPN]]-VLOOKUP($U$1,A:Q,16,))/VLOOKUP($U$1,A:Q,16,))*100)+100</f>
        <v>101.79503653827943</v>
      </c>
    </row>
    <row r="328" spans="1:17" s="83" customFormat="1" x14ac:dyDescent="0.2">
      <c r="A328" s="21">
        <v>42795</v>
      </c>
      <c r="B328" s="79">
        <f>VLOOKUP(A328,Database!$A:$AS,MATCH($B$1,Database!$A$1:$AS$1,0),FALSE)</f>
        <v>103.891342388</v>
      </c>
      <c r="C328" s="79">
        <f>VLOOKUP(A328,Database!$A:$AS,MATCH($C$1,Database!$A$1:$AS$1,0),FALSE)</f>
        <v>101.39</v>
      </c>
      <c r="D328" s="79">
        <f>VLOOKUP(A328,Database!$A:$AS,MATCH($D$1,Database!$A$1:$AS$1,0),FALSE)</f>
        <v>102.391467378</v>
      </c>
      <c r="E328" s="79">
        <f>VLOOKUP(A328,Database!$A:$AS,MATCH($E$1,Database!$A$1:$AS$1,0),FALSE)</f>
        <v>103.067085889</v>
      </c>
      <c r="F328" s="79">
        <f>VLOOKUP(A328,Database!$A:$AS,MATCH($F$1,Database!$A$1:$AS$1,0),FALSE)</f>
        <v>102.7</v>
      </c>
      <c r="G328" s="79">
        <f>VLOOKUP(A328,Database!$A:$AS,MATCH($G$1,Database!$A$1:$AS$1,0),FALSE)</f>
        <v>98.297185876</v>
      </c>
      <c r="H328" s="79">
        <f>(((Table134567891011121314151617343[[#This Row],[ITA]]-VLOOKUP($U$1,A:B,2,))/VLOOKUP($U$1,A:B,2,))*100)+100</f>
        <v>85.444078947286584</v>
      </c>
      <c r="I328" s="79">
        <f>(((Table134567891011121314151617343[[#This Row],[FRA]]-VLOOKUP($U$1,A:C,3,))/VLOOKUP($U$1,A:C,3,))*100)+100</f>
        <v>98.926724558493518</v>
      </c>
      <c r="J328" s="79">
        <f>(((Table134567891011121314151617343[[#This Row],[DEU]]-VLOOKUP($U$1,A:D,4,))/VLOOKUP($U$1,A:D,4,))*100)+100</f>
        <v>136.17021276544813</v>
      </c>
      <c r="K328" s="79">
        <f>(((Table134567891011121314151617343[[#This Row],[ESP]]-VLOOKUP($U$1,A:E,5,))/VLOOKUP($U$1,A:E,5,))*100)+100</f>
        <v>86.63276456211193</v>
      </c>
      <c r="L328" s="79">
        <f>(((Table134567891011121314151617343[[#This Row],[EA19]]-VLOOKUP($U$1,A:F,6,))/VLOOKUP($U$1,A:F,6,))*100)+100</f>
        <v>114.87695749440715</v>
      </c>
      <c r="M328" s="79">
        <f>(((Table134567891011121314151617343[[#This Row],[GBR]]-VLOOKUP($U$1,A:G,7,))/VLOOKUP($U$1,A:G,7,))*100)+100</f>
        <v>106.6511085182636</v>
      </c>
      <c r="N328" s="79">
        <f>VLOOKUP(A328,Database!$A:$AS,MATCH($N$1,Database!$A$1:$AS$1,0),FALSE)</f>
        <v>98.233149994000001</v>
      </c>
      <c r="O328" s="79">
        <f>(((Table134567891011121314151617343[[#This Row],[USA]]-VLOOKUP($U$1,A:N,14,))/VLOOKUP($U$1,A:N,14,))*100)+100</f>
        <v>113.08918625600143</v>
      </c>
      <c r="P328" s="79">
        <f>VLOOKUP(A328,Database!$A:$AS,MATCH($P$1,Database!$A$1:$AS$1,0),FALSE)</f>
        <v>101.49154237099999</v>
      </c>
      <c r="Q328" s="79">
        <f>(((Table134567891011121314151617343[[#This Row],[JPN]]-VLOOKUP($U$1,A:Q,16,))/VLOOKUP($U$1,A:Q,16,))*100)+100</f>
        <v>101.89542612030193</v>
      </c>
    </row>
    <row r="329" spans="1:17" s="83" customFormat="1" x14ac:dyDescent="0.2">
      <c r="A329" s="21">
        <v>42826</v>
      </c>
      <c r="B329" s="79">
        <f>VLOOKUP(A329,Database!$A:$AS,MATCH($B$1,Database!$A$1:$AS$1,0),FALSE)</f>
        <v>103.591367386</v>
      </c>
      <c r="C329" s="79">
        <f>VLOOKUP(A329,Database!$A:$AS,MATCH($C$1,Database!$A$1:$AS$1,0),FALSE)</f>
        <v>101.07</v>
      </c>
      <c r="D329" s="79">
        <f>VLOOKUP(A329,Database!$A:$AS,MATCH($D$1,Database!$A$1:$AS$1,0),FALSE)</f>
        <v>103.591367386</v>
      </c>
      <c r="E329" s="79">
        <f>VLOOKUP(A329,Database!$A:$AS,MATCH($E$1,Database!$A$1:$AS$1,0),FALSE)</f>
        <v>103.143085953</v>
      </c>
      <c r="F329" s="79">
        <f>VLOOKUP(A329,Database!$A:$AS,MATCH($F$1,Database!$A$1:$AS$1,0),FALSE)</f>
        <v>103.5</v>
      </c>
      <c r="G329" s="79">
        <f>VLOOKUP(A329,Database!$A:$AS,MATCH($G$1,Database!$A$1:$AS$1,0),FALSE)</f>
        <v>98.727370496999995</v>
      </c>
      <c r="H329" s="79">
        <f>(((Table134567891011121314151617343[[#This Row],[ITA]]-VLOOKUP($U$1,A:B,2,))/VLOOKUP($U$1,A:B,2,))*100)+100</f>
        <v>85.197368421039116</v>
      </c>
      <c r="I329" s="79">
        <f>(((Table134567891011121314151617343[[#This Row],[FRA]]-VLOOKUP($U$1,A:C,3,))/VLOOKUP($U$1,A:C,3,))*100)+100</f>
        <v>98.614498975509804</v>
      </c>
      <c r="J329" s="79">
        <f>(((Table134567891011121314151617343[[#This Row],[DEU]]-VLOOKUP($U$1,A:D,4,))/VLOOKUP($U$1,A:D,4,))*100)+100</f>
        <v>137.76595744584648</v>
      </c>
      <c r="K329" s="79">
        <f>(((Table134567891011121314151617343[[#This Row],[ESP]]-VLOOKUP($U$1,A:E,5,))/VLOOKUP($U$1,A:E,5,))*100)+100</f>
        <v>86.696646213508458</v>
      </c>
      <c r="L329" s="79">
        <f>(((Table134567891011121314151617343[[#This Row],[EA19]]-VLOOKUP($U$1,A:F,6,))/VLOOKUP($U$1,A:F,6,))*100)+100</f>
        <v>115.7718120805369</v>
      </c>
      <c r="M329" s="79">
        <f>(((Table134567891011121314151617343[[#This Row],[GBR]]-VLOOKUP($U$1,A:G,7,))/VLOOKUP($U$1,A:G,7,))*100)+100</f>
        <v>107.11785297578078</v>
      </c>
      <c r="N329" s="79">
        <f>VLOOKUP(A329,Database!$A:$AS,MATCH($N$1,Database!$A$1:$AS$1,0),FALSE)</f>
        <v>99.154756375999995</v>
      </c>
      <c r="O329" s="79">
        <f>(((Table134567891011121314151617343[[#This Row],[USA]]-VLOOKUP($U$1,A:N,14,))/VLOOKUP($U$1,A:N,14,))*100)+100</f>
        <v>114.15016939453544</v>
      </c>
      <c r="P329" s="79">
        <f>VLOOKUP(A329,Database!$A:$AS,MATCH($P$1,Database!$A$1:$AS$1,0),FALSE)</f>
        <v>103.791350721</v>
      </c>
      <c r="Q329" s="79">
        <f>(((Table134567891011121314151617343[[#This Row],[JPN]]-VLOOKUP($U$1,A:Q,16,))/VLOOKUP($U$1,A:Q,16,))*100)+100</f>
        <v>104.20438651585545</v>
      </c>
    </row>
    <row r="330" spans="1:17" s="83" customFormat="1" x14ac:dyDescent="0.2">
      <c r="A330" s="21">
        <v>42856</v>
      </c>
      <c r="B330" s="79">
        <f>VLOOKUP(A330,Database!$A:$AS,MATCH($B$1,Database!$A$1:$AS$1,0),FALSE)</f>
        <v>104.39130072499999</v>
      </c>
      <c r="C330" s="79">
        <f>VLOOKUP(A330,Database!$A:$AS,MATCH($C$1,Database!$A$1:$AS$1,0),FALSE)</f>
        <v>103.22</v>
      </c>
      <c r="D330" s="79">
        <f>VLOOKUP(A330,Database!$A:$AS,MATCH($D$1,Database!$A$1:$AS$1,0),FALSE)</f>
        <v>104.091325723</v>
      </c>
      <c r="E330" s="79">
        <f>VLOOKUP(A330,Database!$A:$AS,MATCH($E$1,Database!$A$1:$AS$1,0),FALSE)</f>
        <v>105.236087697</v>
      </c>
      <c r="F330" s="79">
        <f>VLOOKUP(A330,Database!$A:$AS,MATCH($F$1,Database!$A$1:$AS$1,0),FALSE)</f>
        <v>103.9</v>
      </c>
      <c r="G330" s="79">
        <f>VLOOKUP(A330,Database!$A:$AS,MATCH($G$1,Database!$A$1:$AS$1,0),FALSE)</f>
        <v>99.265101272999999</v>
      </c>
      <c r="H330" s="79">
        <f>(((Table134567891011121314151617343[[#This Row],[ITA]]-VLOOKUP($U$1,A:B,2,))/VLOOKUP($U$1,A:B,2,))*100)+100</f>
        <v>85.855263157973184</v>
      </c>
      <c r="I330" s="79">
        <f>(((Table134567891011121314151617343[[#This Row],[FRA]]-VLOOKUP($U$1,A:C,3,))/VLOOKUP($U$1,A:C,3,))*100)+100</f>
        <v>100.71226461118158</v>
      </c>
      <c r="J330" s="79">
        <f>(((Table134567891011121314151617343[[#This Row],[DEU]]-VLOOKUP($U$1,A:D,4,))/VLOOKUP($U$1,A:D,4,))*100)+100</f>
        <v>138.43085106312242</v>
      </c>
      <c r="K330" s="79">
        <f>(((Table134567891011121314151617343[[#This Row],[ESP]]-VLOOKUP($U$1,A:E,5,))/VLOOKUP($U$1,A:E,5,))*100)+100</f>
        <v>88.455913255474897</v>
      </c>
      <c r="L330" s="79">
        <f>(((Table134567891011121314151617343[[#This Row],[EA19]]-VLOOKUP($U$1,A:F,6,))/VLOOKUP($U$1,A:F,6,))*100)+100</f>
        <v>116.21923937360179</v>
      </c>
      <c r="M330" s="79">
        <f>(((Table134567891011121314151617343[[#This Row],[GBR]]-VLOOKUP($U$1,A:G,7,))/VLOOKUP($U$1,A:G,7,))*100)+100</f>
        <v>107.70128354740601</v>
      </c>
      <c r="N330" s="79">
        <f>VLOOKUP(A330,Database!$A:$AS,MATCH($N$1,Database!$A$1:$AS$1,0),FALSE)</f>
        <v>99.264480860999996</v>
      </c>
      <c r="O330" s="79">
        <f>(((Table134567891011121314151617343[[#This Row],[USA]]-VLOOKUP($U$1,A:N,14,))/VLOOKUP($U$1,A:N,14,))*100)+100</f>
        <v>114.27648777811336</v>
      </c>
      <c r="P330" s="79">
        <f>VLOOKUP(A330,Database!$A:$AS,MATCH($P$1,Database!$A$1:$AS$1,0),FALSE)</f>
        <v>102.191484043</v>
      </c>
      <c r="Q330" s="79">
        <f>(((Table134567891011121314151617343[[#This Row],[JPN]]-VLOOKUP($U$1,A:Q,16,))/VLOOKUP($U$1,A:Q,16,))*100)+100</f>
        <v>102.59815319747145</v>
      </c>
    </row>
    <row r="331" spans="1:17" s="83" customFormat="1" x14ac:dyDescent="0.2">
      <c r="A331" s="21">
        <v>42887</v>
      </c>
      <c r="B331" s="79">
        <f>VLOOKUP(A331,Database!$A:$AS,MATCH($B$1,Database!$A$1:$AS$1,0),FALSE)</f>
        <v>105.59120073299999</v>
      </c>
      <c r="C331" s="79">
        <f>VLOOKUP(A331,Database!$A:$AS,MATCH($C$1,Database!$A$1:$AS$1,0),FALSE)</f>
        <v>102.05</v>
      </c>
      <c r="D331" s="79">
        <f>VLOOKUP(A331,Database!$A:$AS,MATCH($D$1,Database!$A$1:$AS$1,0),FALSE)</f>
        <v>104.19131738999999</v>
      </c>
      <c r="E331" s="79">
        <f>VLOOKUP(A331,Database!$A:$AS,MATCH($E$1,Database!$A$1:$AS$1,0),FALSE)</f>
        <v>105.04908754100001</v>
      </c>
      <c r="F331" s="79">
        <f>VLOOKUP(A331,Database!$A:$AS,MATCH($F$1,Database!$A$1:$AS$1,0),FALSE)</f>
        <v>103.5</v>
      </c>
      <c r="G331" s="79">
        <f>VLOOKUP(A331,Database!$A:$AS,MATCH($G$1,Database!$A$1:$AS$1,0),FALSE)</f>
        <v>99.372647427999993</v>
      </c>
      <c r="H331" s="79">
        <f>(((Table134567891011121314151617343[[#This Row],[ITA]]-VLOOKUP($U$1,A:B,2,))/VLOOKUP($U$1,A:B,2,))*100)+100</f>
        <v>86.842105262963102</v>
      </c>
      <c r="I331" s="79">
        <f>(((Table134567891011121314151617343[[#This Row],[FRA]]-VLOOKUP($U$1,A:C,3,))/VLOOKUP($U$1,A:C,3,))*100)+100</f>
        <v>99.570689823397402</v>
      </c>
      <c r="J331" s="79">
        <f>(((Table134567891011121314151617343[[#This Row],[DEU]]-VLOOKUP($U$1,A:D,4,))/VLOOKUP($U$1,A:D,4,))*100)+100</f>
        <v>138.56382978604563</v>
      </c>
      <c r="K331" s="79">
        <f>(((Table134567891011121314151617343[[#This Row],[ESP]]-VLOOKUP($U$1,A:E,5,))/VLOOKUP($U$1,A:E,5,))*100)+100</f>
        <v>88.29873077235635</v>
      </c>
      <c r="L331" s="79">
        <f>(((Table134567891011121314151617343[[#This Row],[EA19]]-VLOOKUP($U$1,A:F,6,))/VLOOKUP($U$1,A:F,6,))*100)+100</f>
        <v>115.7718120805369</v>
      </c>
      <c r="M331" s="79">
        <f>(((Table134567891011121314151617343[[#This Row],[GBR]]-VLOOKUP($U$1,A:G,7,))/VLOOKUP($U$1,A:G,7,))*100)+100</f>
        <v>107.81796966151406</v>
      </c>
      <c r="N331" s="79">
        <f>VLOOKUP(A331,Database!$A:$AS,MATCH($N$1,Database!$A$1:$AS$1,0),FALSE)</f>
        <v>99.420295577000005</v>
      </c>
      <c r="O331" s="79">
        <f>(((Table134567891011121314151617343[[#This Row],[USA]]-VLOOKUP($U$1,A:N,14,))/VLOOKUP($U$1,A:N,14,))*100)+100</f>
        <v>114.45586672951853</v>
      </c>
      <c r="P331" s="79">
        <f>VLOOKUP(A331,Database!$A:$AS,MATCH($P$1,Database!$A$1:$AS$1,0),FALSE)</f>
        <v>102.99141738199999</v>
      </c>
      <c r="Q331" s="79">
        <f>(((Table134567891011121314151617343[[#This Row],[JPN]]-VLOOKUP($U$1,A:Q,16,))/VLOOKUP($U$1,A:Q,16,))*100)+100</f>
        <v>103.40126985666343</v>
      </c>
    </row>
    <row r="332" spans="1:17" s="83" customFormat="1" x14ac:dyDescent="0.2">
      <c r="A332" s="21">
        <v>42917</v>
      </c>
      <c r="B332" s="79">
        <f>VLOOKUP(A332,Database!$A:$AS,MATCH($B$1,Database!$A$1:$AS$1,0),FALSE)</f>
        <v>106.391134072</v>
      </c>
      <c r="C332" s="79">
        <f>VLOOKUP(A332,Database!$A:$AS,MATCH($C$1,Database!$A$1:$AS$1,0),FALSE)</f>
        <v>102.61</v>
      </c>
      <c r="D332" s="79">
        <f>VLOOKUP(A332,Database!$A:$AS,MATCH($D$1,Database!$A$1:$AS$1,0),FALSE)</f>
        <v>104.691275727</v>
      </c>
      <c r="E332" s="79">
        <f>VLOOKUP(A332,Database!$A:$AS,MATCH($E$1,Database!$A$1:$AS$1,0),FALSE)</f>
        <v>104.322086935</v>
      </c>
      <c r="F332" s="79">
        <f>VLOOKUP(A332,Database!$A:$AS,MATCH($F$1,Database!$A$1:$AS$1,0),FALSE)</f>
        <v>105</v>
      </c>
      <c r="G332" s="79">
        <f>VLOOKUP(A332,Database!$A:$AS,MATCH($G$1,Database!$A$1:$AS$1,0),FALSE)</f>
        <v>99.910378203999997</v>
      </c>
      <c r="H332" s="79">
        <f>(((Table134567891011121314151617343[[#This Row],[ITA]]-VLOOKUP($U$1,A:B,2,))/VLOOKUP($U$1,A:B,2,))*100)+100</f>
        <v>87.499999999897199</v>
      </c>
      <c r="I332" s="79">
        <f>(((Table134567891011121314151617343[[#This Row],[FRA]]-VLOOKUP($U$1,A:C,3,))/VLOOKUP($U$1,A:C,3,))*100)+100</f>
        <v>100.1170845936189</v>
      </c>
      <c r="J332" s="79">
        <f>(((Table134567891011121314151617343[[#This Row],[DEU]]-VLOOKUP($U$1,A:D,4,))/VLOOKUP($U$1,A:D,4,))*100)+100</f>
        <v>139.22872340332157</v>
      </c>
      <c r="K332" s="79">
        <f>(((Table134567891011121314151617343[[#This Row],[ESP]]-VLOOKUP($U$1,A:E,5,))/VLOOKUP($U$1,A:E,5,))*100)+100</f>
        <v>87.687652349086079</v>
      </c>
      <c r="L332" s="79">
        <f>(((Table134567891011121314151617343[[#This Row],[EA19]]-VLOOKUP($U$1,A:F,6,))/VLOOKUP($U$1,A:F,6,))*100)+100</f>
        <v>117.44966442953019</v>
      </c>
      <c r="M332" s="79">
        <f>(((Table134567891011121314151617343[[#This Row],[GBR]]-VLOOKUP($U$1,A:G,7,))/VLOOKUP($U$1,A:G,7,))*100)+100</f>
        <v>108.40140023313928</v>
      </c>
      <c r="N332" s="79">
        <f>VLOOKUP(A332,Database!$A:$AS,MATCH($N$1,Database!$A$1:$AS$1,0),FALSE)</f>
        <v>99.326132740000006</v>
      </c>
      <c r="O332" s="79">
        <f>(((Table134567891011121314151617343[[#This Row],[USA]]-VLOOKUP($U$1,A:N,14,))/VLOOKUP($U$1,A:N,14,))*100)+100</f>
        <v>114.34746341951029</v>
      </c>
      <c r="P332" s="79">
        <f>VLOOKUP(A332,Database!$A:$AS,MATCH($P$1,Database!$A$1:$AS$1,0),FALSE)</f>
        <v>102.491459045</v>
      </c>
      <c r="Q332" s="79">
        <f>(((Table134567891011121314151617343[[#This Row],[JPN]]-VLOOKUP($U$1,A:Q,16,))/VLOOKUP($U$1,A:Q,16,))*100)+100</f>
        <v>102.89932194454295</v>
      </c>
    </row>
    <row r="333" spans="1:17" s="83" customFormat="1" x14ac:dyDescent="0.2">
      <c r="A333" s="21">
        <v>42948</v>
      </c>
      <c r="B333" s="79">
        <f>VLOOKUP(A333,Database!$A:$AS,MATCH($B$1,Database!$A$1:$AS$1,0),FALSE)</f>
        <v>108.190984085</v>
      </c>
      <c r="C333" s="79">
        <f>VLOOKUP(A333,Database!$A:$AS,MATCH($C$1,Database!$A$1:$AS$1,0),FALSE)</f>
        <v>102.81</v>
      </c>
      <c r="D333" s="79">
        <f>VLOOKUP(A333,Database!$A:$AS,MATCH($D$1,Database!$A$1:$AS$1,0),FALSE)</f>
        <v>106.99108407600001</v>
      </c>
      <c r="E333" s="79">
        <f>VLOOKUP(A333,Database!$A:$AS,MATCH($E$1,Database!$A$1:$AS$1,0),FALSE)</f>
        <v>104.821087351</v>
      </c>
      <c r="F333" s="79">
        <f>VLOOKUP(A333,Database!$A:$AS,MATCH($F$1,Database!$A$1:$AS$1,0),FALSE)</f>
        <v>105.6</v>
      </c>
      <c r="G333" s="79">
        <f>VLOOKUP(A333,Database!$A:$AS,MATCH($G$1,Database!$A$1:$AS$1,0),FALSE)</f>
        <v>100.01792435900001</v>
      </c>
      <c r="H333" s="79">
        <f>(((Table134567891011121314151617343[[#This Row],[ITA]]-VLOOKUP($U$1,A:B,2,))/VLOOKUP($U$1,A:B,2,))*100)+100</f>
        <v>88.980263158204508</v>
      </c>
      <c r="I333" s="79">
        <f>(((Table134567891011121314151617343[[#This Row],[FRA]]-VLOOKUP($U$1,A:C,3,))/VLOOKUP($U$1,A:C,3,))*100)+100</f>
        <v>100.31222558298371</v>
      </c>
      <c r="J333" s="79">
        <f>(((Table134567891011121314151617343[[#This Row],[DEU]]-VLOOKUP($U$1,A:D,4,))/VLOOKUP($U$1,A:D,4,))*100)+100</f>
        <v>142.28723404119501</v>
      </c>
      <c r="K333" s="79">
        <f>(((Table134567891011121314151617343[[#This Row],[ESP]]-VLOOKUP($U$1,A:E,5,))/VLOOKUP($U$1,A:E,5,))*100)+100</f>
        <v>88.107085819847839</v>
      </c>
      <c r="L333" s="79">
        <f>(((Table134567891011121314151617343[[#This Row],[EA19]]-VLOOKUP($U$1,A:F,6,))/VLOOKUP($U$1,A:F,6,))*100)+100</f>
        <v>118.12080536912751</v>
      </c>
      <c r="M333" s="79">
        <f>(((Table134567891011121314151617343[[#This Row],[GBR]]-VLOOKUP($U$1,A:G,7,))/VLOOKUP($U$1,A:G,7,))*100)+100</f>
        <v>108.51808634724735</v>
      </c>
      <c r="N333" s="79">
        <f>VLOOKUP(A333,Database!$A:$AS,MATCH($N$1,Database!$A$1:$AS$1,0),FALSE)</f>
        <v>98.826871464000007</v>
      </c>
      <c r="O333" s="79">
        <f>(((Table134567891011121314151617343[[#This Row],[USA]]-VLOOKUP($U$1,A:N,14,))/VLOOKUP($U$1,A:N,14,))*100)+100</f>
        <v>113.77269765626824</v>
      </c>
      <c r="P333" s="79">
        <f>VLOOKUP(A333,Database!$A:$AS,MATCH($P$1,Database!$A$1:$AS$1,0),FALSE)</f>
        <v>103.791350721</v>
      </c>
      <c r="Q333" s="79">
        <f>(((Table134567891011121314151617343[[#This Row],[JPN]]-VLOOKUP($U$1,A:Q,16,))/VLOOKUP($U$1,A:Q,16,))*100)+100</f>
        <v>104.20438651585545</v>
      </c>
    </row>
    <row r="334" spans="1:17" s="83" customFormat="1" x14ac:dyDescent="0.2">
      <c r="A334" s="21">
        <v>42979</v>
      </c>
      <c r="B334" s="79">
        <f>VLOOKUP(A334,Database!$A:$AS,MATCH($B$1,Database!$A$1:$AS$1,0),FALSE)</f>
        <v>105.191234064</v>
      </c>
      <c r="C334" s="79">
        <f>VLOOKUP(A334,Database!$A:$AS,MATCH($C$1,Database!$A$1:$AS$1,0),FALSE)</f>
        <v>103.72</v>
      </c>
      <c r="D334" s="79">
        <f>VLOOKUP(A334,Database!$A:$AS,MATCH($D$1,Database!$A$1:$AS$1,0),FALSE)</f>
        <v>105.99116740300001</v>
      </c>
      <c r="E334" s="79">
        <f>VLOOKUP(A334,Database!$A:$AS,MATCH($E$1,Database!$A$1:$AS$1,0),FALSE)</f>
        <v>105.429087858</v>
      </c>
      <c r="F334" s="79">
        <f>VLOOKUP(A334,Database!$A:$AS,MATCH($F$1,Database!$A$1:$AS$1,0),FALSE)</f>
        <v>105.2</v>
      </c>
      <c r="G334" s="79">
        <f>VLOOKUP(A334,Database!$A:$AS,MATCH($G$1,Database!$A$1:$AS$1,0),FALSE)</f>
        <v>102.061301308</v>
      </c>
      <c r="H334" s="79">
        <f>(((Table134567891011121314151617343[[#This Row],[ITA]]-VLOOKUP($U$1,A:B,2,))/VLOOKUP($U$1,A:B,2,))*100)+100</f>
        <v>86.51315789490728</v>
      </c>
      <c r="I334" s="79">
        <f>(((Table134567891011121314151617343[[#This Row],[FRA]]-VLOOKUP($U$1,A:C,3,))/VLOOKUP($U$1,A:C,3,))*100)+100</f>
        <v>101.20011708459363</v>
      </c>
      <c r="J334" s="79">
        <f>(((Table134567891011121314151617343[[#This Row],[DEU]]-VLOOKUP($U$1,A:D,4,))/VLOOKUP($U$1,A:D,4,))*100)+100</f>
        <v>140.95744680797304</v>
      </c>
      <c r="K334" s="79">
        <f>(((Table134567891011121314151617343[[#This Row],[ESP]]-VLOOKUP($U$1,A:E,5,))/VLOOKUP($U$1,A:E,5,))*100)+100</f>
        <v>88.61813902681736</v>
      </c>
      <c r="L334" s="79">
        <f>(((Table134567891011121314151617343[[#This Row],[EA19]]-VLOOKUP($U$1,A:F,6,))/VLOOKUP($U$1,A:F,6,))*100)+100</f>
        <v>117.67337807606263</v>
      </c>
      <c r="M334" s="79">
        <f>(((Table134567891011121314151617343[[#This Row],[GBR]]-VLOOKUP($U$1,A:G,7,))/VLOOKUP($U$1,A:G,7,))*100)+100</f>
        <v>110.7351225196402</v>
      </c>
      <c r="N334" s="79">
        <f>VLOOKUP(A334,Database!$A:$AS,MATCH($N$1,Database!$A$1:$AS$1,0),FALSE)</f>
        <v>98.869492536999999</v>
      </c>
      <c r="O334" s="79">
        <f>(((Table134567891011121314151617343[[#This Row],[USA]]-VLOOKUP($U$1,A:N,14,))/VLOOKUP($U$1,A:N,14,))*100)+100</f>
        <v>113.82176441696176</v>
      </c>
      <c r="P334" s="79">
        <f>VLOOKUP(A334,Database!$A:$AS,MATCH($P$1,Database!$A$1:$AS$1,0),FALSE)</f>
        <v>102.591450712</v>
      </c>
      <c r="Q334" s="79">
        <f>(((Table134567891011121314151617343[[#This Row],[JPN]]-VLOOKUP($U$1,A:Q,16,))/VLOOKUP($U$1,A:Q,16,))*100)+100</f>
        <v>102.99971152656545</v>
      </c>
    </row>
    <row r="335" spans="1:17" s="83" customFormat="1" x14ac:dyDescent="0.2">
      <c r="A335" s="21">
        <v>43009</v>
      </c>
      <c r="B335" s="79">
        <f>VLOOKUP(A335,Database!$A:$AS,MATCH($B$1,Database!$A$1:$AS$1,0),FALSE)</f>
        <v>105.691192401</v>
      </c>
      <c r="C335" s="79">
        <f>VLOOKUP(A335,Database!$A:$AS,MATCH($C$1,Database!$A$1:$AS$1,0),FALSE)</f>
        <v>104.11</v>
      </c>
      <c r="D335" s="79">
        <f>VLOOKUP(A335,Database!$A:$AS,MATCH($D$1,Database!$A$1:$AS$1,0),FALSE)</f>
        <v>104.291309058</v>
      </c>
      <c r="E335" s="79">
        <f>VLOOKUP(A335,Database!$A:$AS,MATCH($E$1,Database!$A$1:$AS$1,0),FALSE)</f>
        <v>105.655088046</v>
      </c>
      <c r="F335" s="79">
        <f>VLOOKUP(A335,Database!$A:$AS,MATCH($F$1,Database!$A$1:$AS$1,0),FALSE)</f>
        <v>105</v>
      </c>
      <c r="G335" s="79">
        <f>VLOOKUP(A335,Database!$A:$AS,MATCH($G$1,Database!$A$1:$AS$1,0),FALSE)</f>
        <v>103.244309016</v>
      </c>
      <c r="H335" s="79">
        <f>(((Table134567891011121314151617343[[#This Row],[ITA]]-VLOOKUP($U$1,A:B,2,))/VLOOKUP($U$1,A:B,2,))*100)+100</f>
        <v>86.924342105593894</v>
      </c>
      <c r="I335" s="79">
        <f>(((Table134567891011121314151617343[[#This Row],[FRA]]-VLOOKUP($U$1,A:C,3,))/VLOOKUP($U$1,A:C,3,))*100)+100</f>
        <v>101.58064201385501</v>
      </c>
      <c r="J335" s="79">
        <f>(((Table134567891011121314151617343[[#This Row],[DEU]]-VLOOKUP($U$1,A:D,4,))/VLOOKUP($U$1,A:D,4,))*100)+100</f>
        <v>138.69680851029875</v>
      </c>
      <c r="K335" s="79">
        <f>(((Table134567891011121314151617343[[#This Row],[ESP]]-VLOOKUP($U$1,A:E,5,))/VLOOKUP($U$1,A:E,5,))*100)+100</f>
        <v>88.808102882971042</v>
      </c>
      <c r="L335" s="79">
        <f>(((Table134567891011121314151617343[[#This Row],[EA19]]-VLOOKUP($U$1,A:F,6,))/VLOOKUP($U$1,A:F,6,))*100)+100</f>
        <v>117.44966442953019</v>
      </c>
      <c r="M335" s="79">
        <f>(((Table134567891011121314151617343[[#This Row],[GBR]]-VLOOKUP($U$1,A:G,7,))/VLOOKUP($U$1,A:G,7,))*100)+100</f>
        <v>112.01866977808371</v>
      </c>
      <c r="N335" s="79">
        <f>VLOOKUP(A335,Database!$A:$AS,MATCH($N$1,Database!$A$1:$AS$1,0),FALSE)</f>
        <v>100.09806976900001</v>
      </c>
      <c r="O335" s="79">
        <f>(((Table134567891011121314151617343[[#This Row],[USA]]-VLOOKUP($U$1,A:N,14,))/VLOOKUP($U$1,A:N,14,))*100)+100</f>
        <v>115.23614234771138</v>
      </c>
      <c r="P335" s="79">
        <f>VLOOKUP(A335,Database!$A:$AS,MATCH($P$1,Database!$A$1:$AS$1,0),FALSE)</f>
        <v>103.19140071699999</v>
      </c>
      <c r="Q335" s="79">
        <f>(((Table134567891011121314151617343[[#This Row],[JPN]]-VLOOKUP($U$1,A:Q,16,))/VLOOKUP($U$1,A:Q,16,))*100)+100</f>
        <v>103.60204902171243</v>
      </c>
    </row>
    <row r="336" spans="1:17" s="83" customFormat="1" x14ac:dyDescent="0.2">
      <c r="A336" s="21">
        <v>43040</v>
      </c>
      <c r="B336" s="79">
        <f>VLOOKUP(A336,Database!$A:$AS,MATCH($B$1,Database!$A$1:$AS$1,0),FALSE)</f>
        <v>107.391050746</v>
      </c>
      <c r="C336" s="79">
        <f>VLOOKUP(A336,Database!$A:$AS,MATCH($C$1,Database!$A$1:$AS$1,0),FALSE)</f>
        <v>104.69</v>
      </c>
      <c r="D336" s="79">
        <f>VLOOKUP(A336,Database!$A:$AS,MATCH($D$1,Database!$A$1:$AS$1,0),FALSE)</f>
        <v>108.29097575199999</v>
      </c>
      <c r="E336" s="79">
        <f>VLOOKUP(A336,Database!$A:$AS,MATCH($E$1,Database!$A$1:$AS$1,0),FALSE)</f>
        <v>107.504089587</v>
      </c>
      <c r="F336" s="79">
        <f>VLOOKUP(A336,Database!$A:$AS,MATCH($F$1,Database!$A$1:$AS$1,0),FALSE)</f>
        <v>107.4</v>
      </c>
      <c r="G336" s="79">
        <f>VLOOKUP(A336,Database!$A:$AS,MATCH($G$1,Database!$A$1:$AS$1,0),FALSE)</f>
        <v>103.029216706</v>
      </c>
      <c r="H336" s="79">
        <f>(((Table134567891011121314151617343[[#This Row],[ITA]]-VLOOKUP($U$1,A:B,2,))/VLOOKUP($U$1,A:B,2,))*100)+100</f>
        <v>88.322368421270426</v>
      </c>
      <c r="I336" s="79">
        <f>(((Table134567891011121314151617343[[#This Row],[FRA]]-VLOOKUP($U$1,A:C,3,))/VLOOKUP($U$1,A:C,3,))*100)+100</f>
        <v>102.14655088301298</v>
      </c>
      <c r="J336" s="79">
        <f>(((Table134567891011121314151617343[[#This Row],[DEU]]-VLOOKUP($U$1,A:D,4,))/VLOOKUP($U$1,A:D,4,))*100)+100</f>
        <v>144.01595744584645</v>
      </c>
      <c r="K336" s="79">
        <f>(((Table134567891011121314151617343[[#This Row],[ESP]]-VLOOKUP($U$1,A:E,5,))/VLOOKUP($U$1,A:E,5,))*100)+100</f>
        <v>90.362276204112064</v>
      </c>
      <c r="L336" s="79">
        <f>(((Table134567891011121314151617343[[#This Row],[EA19]]-VLOOKUP($U$1,A:F,6,))/VLOOKUP($U$1,A:F,6,))*100)+100</f>
        <v>120.13422818791946</v>
      </c>
      <c r="M336" s="79">
        <f>(((Table134567891011121314151617343[[#This Row],[GBR]]-VLOOKUP($U$1,A:G,7,))/VLOOKUP($U$1,A:G,7,))*100)+100</f>
        <v>111.78529754986761</v>
      </c>
      <c r="N336" s="79">
        <f>VLOOKUP(A336,Database!$A:$AS,MATCH($N$1,Database!$A$1:$AS$1,0),FALSE)</f>
        <v>100.380558282</v>
      </c>
      <c r="O336" s="79">
        <f>(((Table134567891011121314151617343[[#This Row],[USA]]-VLOOKUP($U$1,A:N,14,))/VLOOKUP($U$1,A:N,14,))*100)+100</f>
        <v>115.56135228003859</v>
      </c>
      <c r="P336" s="79">
        <f>VLOOKUP(A336,Database!$A:$AS,MATCH($P$1,Database!$A$1:$AS$1,0),FALSE)</f>
        <v>103.991334055</v>
      </c>
      <c r="Q336" s="79">
        <f>(((Table134567891011121314151617343[[#This Row],[JPN]]-VLOOKUP($U$1,A:Q,16,))/VLOOKUP($U$1,A:Q,16,))*100)+100</f>
        <v>104.40516567990045</v>
      </c>
    </row>
    <row r="337" spans="1:17" s="83" customFormat="1" x14ac:dyDescent="0.2">
      <c r="A337" s="21">
        <v>43070</v>
      </c>
      <c r="B337" s="79">
        <f>VLOOKUP(A337,Database!$A:$AS,MATCH($B$1,Database!$A$1:$AS$1,0),FALSE)</f>
        <v>110.590784101</v>
      </c>
      <c r="C337" s="79">
        <f>VLOOKUP(A337,Database!$A:$AS,MATCH($C$1,Database!$A$1:$AS$1,0),FALSE)</f>
        <v>105.7</v>
      </c>
      <c r="D337" s="79">
        <f>VLOOKUP(A337,Database!$A:$AS,MATCH($D$1,Database!$A$1:$AS$1,0),FALSE)</f>
        <v>107.791017415</v>
      </c>
      <c r="E337" s="79">
        <f>VLOOKUP(A337,Database!$A:$AS,MATCH($E$1,Database!$A$1:$AS$1,0),FALSE)</f>
        <v>109.79609149700001</v>
      </c>
      <c r="F337" s="79">
        <f>VLOOKUP(A337,Database!$A:$AS,MATCH($F$1,Database!$A$1:$AS$1,0),FALSE)</f>
        <v>108</v>
      </c>
      <c r="G337" s="79">
        <f>VLOOKUP(A337,Database!$A:$AS,MATCH($G$1,Database!$A$1:$AS$1,0),FALSE)</f>
        <v>101.52357053199999</v>
      </c>
      <c r="H337" s="79">
        <f>(((Table134567891011121314151617343[[#This Row],[ITA]]-VLOOKUP($U$1,A:B,2,))/VLOOKUP($U$1,A:B,2,))*100)+100</f>
        <v>90.95394736818433</v>
      </c>
      <c r="I337" s="79">
        <f>(((Table134567891011121314151617343[[#This Row],[FRA]]-VLOOKUP($U$1,A:C,3,))/VLOOKUP($U$1,A:C,3,))*100)+100</f>
        <v>103.13201287930531</v>
      </c>
      <c r="J337" s="79">
        <f>(((Table134567891011121314151617343[[#This Row],[DEU]]-VLOOKUP($U$1,A:D,4,))/VLOOKUP($U$1,A:D,4,))*100)+100</f>
        <v>143.35106382857055</v>
      </c>
      <c r="K337" s="79">
        <f>(((Table134567891011121314151617343[[#This Row],[ESP]]-VLOOKUP($U$1,A:E,5,))/VLOOKUP($U$1,A:E,5,))*100)+100</f>
        <v>92.288812305644882</v>
      </c>
      <c r="L337" s="79">
        <f>(((Table134567891011121314151617343[[#This Row],[EA19]]-VLOOKUP($U$1,A:F,6,))/VLOOKUP($U$1,A:F,6,))*100)+100</f>
        <v>120.80536912751677</v>
      </c>
      <c r="M337" s="79">
        <f>(((Table134567891011121314151617343[[#This Row],[GBR]]-VLOOKUP($U$1,A:G,7,))/VLOOKUP($U$1,A:G,7,))*100)+100</f>
        <v>110.15169194801497</v>
      </c>
      <c r="N337" s="79">
        <f>VLOOKUP(A337,Database!$A:$AS,MATCH($N$1,Database!$A$1:$AS$1,0),FALSE)</f>
        <v>100.476307019</v>
      </c>
      <c r="O337" s="79">
        <f>(((Table134567891011121314151617343[[#This Row],[USA]]-VLOOKUP($U$1,A:N,14,))/VLOOKUP($U$1,A:N,14,))*100)+100</f>
        <v>115.67158132952984</v>
      </c>
      <c r="P337" s="79">
        <f>VLOOKUP(A337,Database!$A:$AS,MATCH($P$1,Database!$A$1:$AS$1,0),FALSE)</f>
        <v>105.491209066</v>
      </c>
      <c r="Q337" s="79">
        <f>(((Table134567891011121314151617343[[#This Row],[JPN]]-VLOOKUP($U$1,A:Q,16,))/VLOOKUP($U$1,A:Q,16,))*100)+100</f>
        <v>105.91100941626195</v>
      </c>
    </row>
    <row r="338" spans="1:17" s="83" customFormat="1" x14ac:dyDescent="0.2">
      <c r="A338" s="21">
        <v>43101</v>
      </c>
      <c r="B338" s="79">
        <f>VLOOKUP(A338,Database!$A:$AS,MATCH($B$1,Database!$A$1:$AS$1,0),FALSE)</f>
        <v>106.291142405</v>
      </c>
      <c r="C338" s="79">
        <f>VLOOKUP(A338,Database!$A:$AS,MATCH($C$1,Database!$A$1:$AS$1,0),FALSE)</f>
        <v>102</v>
      </c>
      <c r="D338" s="79">
        <f>VLOOKUP(A338,Database!$A:$AS,MATCH($D$1,Database!$A$1:$AS$1,0),FALSE)</f>
        <v>107.09107574399999</v>
      </c>
      <c r="E338" s="79">
        <f>VLOOKUP(A338,Database!$A:$AS,MATCH($E$1,Database!$A$1:$AS$1,0),FALSE)</f>
        <v>104.07508672900001</v>
      </c>
      <c r="F338" s="79">
        <f>VLOOKUP(A338,Database!$A:$AS,MATCH($F$1,Database!$A$1:$AS$1,0),FALSE)</f>
        <v>105.9</v>
      </c>
      <c r="G338" s="79">
        <f>VLOOKUP(A338,Database!$A:$AS,MATCH($G$1,Database!$A$1:$AS$1,0),FALSE)</f>
        <v>99.802832049000003</v>
      </c>
      <c r="H338" s="79">
        <f>(((Table134567891011121314151617343[[#This Row],[ITA]]-VLOOKUP($U$1,A:B,2,))/VLOOKUP($U$1,A:B,2,))*100)+100</f>
        <v>87.41776315808886</v>
      </c>
      <c r="I338" s="79">
        <f>(((Table134567891011121314151617343[[#This Row],[FRA]]-VLOOKUP($U$1,A:C,3,))/VLOOKUP($U$1,A:C,3,))*100)+100</f>
        <v>99.521904576056201</v>
      </c>
      <c r="J338" s="79">
        <f>(((Table134567891011121314151617343[[#This Row],[DEU]]-VLOOKUP($U$1,A:D,4,))/VLOOKUP($U$1,A:D,4,))*100)+100</f>
        <v>142.42021276544813</v>
      </c>
      <c r="K338" s="79">
        <f>(((Table134567891011121314151617343[[#This Row],[ESP]]-VLOOKUP($U$1,A:E,5,))/VLOOKUP($U$1,A:E,5,))*100)+100</f>
        <v>87.480036983728453</v>
      </c>
      <c r="L338" s="79">
        <f>(((Table134567891011121314151617343[[#This Row],[EA19]]-VLOOKUP($U$1,A:F,6,))/VLOOKUP($U$1,A:F,6,))*100)+100</f>
        <v>118.45637583892618</v>
      </c>
      <c r="M338" s="79">
        <f>(((Table134567891011121314151617343[[#This Row],[GBR]]-VLOOKUP($U$1,A:G,7,))/VLOOKUP($U$1,A:G,7,))*100)+100</f>
        <v>108.28471411903124</v>
      </c>
      <c r="N338" s="79">
        <f>VLOOKUP(A338,Database!$A:$AS,MATCH($N$1,Database!$A$1:$AS$1,0),FALSE)</f>
        <v>100.462925985</v>
      </c>
      <c r="O338" s="79">
        <f>(((Table134567891011121314151617343[[#This Row],[USA]]-VLOOKUP($U$1,A:N,14,))/VLOOKUP($U$1,A:N,14,))*100)+100</f>
        <v>115.65617664947615</v>
      </c>
      <c r="P338" s="79">
        <f>VLOOKUP(A338,Database!$A:$AS,MATCH($P$1,Database!$A$1:$AS$1,0),FALSE)</f>
        <v>101.291559037</v>
      </c>
      <c r="Q338" s="79">
        <f>(((Table134567891011121314151617343[[#This Row],[JPN]]-VLOOKUP($U$1,A:Q,16,))/VLOOKUP($U$1,A:Q,16,))*100)+100</f>
        <v>101.69464695625693</v>
      </c>
    </row>
    <row r="339" spans="1:17" s="83" customFormat="1" x14ac:dyDescent="0.2">
      <c r="A339" s="21">
        <v>43132</v>
      </c>
      <c r="B339" s="79">
        <f>VLOOKUP(A339,Database!$A:$AS,MATCH($B$1,Database!$A$1:$AS$1,0),FALSE)</f>
        <v>105.99116740300001</v>
      </c>
      <c r="C339" s="79">
        <f>VLOOKUP(A339,Database!$A:$AS,MATCH($C$1,Database!$A$1:$AS$1,0),FALSE)</f>
        <v>103.27</v>
      </c>
      <c r="D339" s="79">
        <f>VLOOKUP(A339,Database!$A:$AS,MATCH($D$1,Database!$A$1:$AS$1,0),FALSE)</f>
        <v>105.491209066</v>
      </c>
      <c r="E339" s="79">
        <f>VLOOKUP(A339,Database!$A:$AS,MATCH($E$1,Database!$A$1:$AS$1,0),FALSE)</f>
        <v>106.170088475</v>
      </c>
      <c r="F339" s="79">
        <f>VLOOKUP(A339,Database!$A:$AS,MATCH($F$1,Database!$A$1:$AS$1,0),FALSE)</f>
        <v>105.2</v>
      </c>
      <c r="G339" s="79">
        <f>VLOOKUP(A339,Database!$A:$AS,MATCH($G$1,Database!$A$1:$AS$1,0),FALSE)</f>
        <v>99.372647427999993</v>
      </c>
      <c r="H339" s="79">
        <f>(((Table134567891011121314151617343[[#This Row],[ITA]]-VLOOKUP($U$1,A:B,2,))/VLOOKUP($U$1,A:B,2,))*100)+100</f>
        <v>87.171052631841377</v>
      </c>
      <c r="I339" s="79">
        <f>(((Table134567891011121314151617343[[#This Row],[FRA]]-VLOOKUP($U$1,A:C,3,))/VLOOKUP($U$1,A:C,3,))*100)+100</f>
        <v>100.76104985852278</v>
      </c>
      <c r="J339" s="79">
        <f>(((Table134567891011121314151617343[[#This Row],[DEU]]-VLOOKUP($U$1,A:D,4,))/VLOOKUP($U$1,A:D,4,))*100)+100</f>
        <v>140.29255319069711</v>
      </c>
      <c r="K339" s="79">
        <f>(((Table134567891011121314151617343[[#This Row],[ESP]]-VLOOKUP($U$1,A:E,5,))/VLOOKUP($U$1,A:E,5,))*100)+100</f>
        <v>89.240985122049707</v>
      </c>
      <c r="L339" s="79">
        <f>(((Table134567891011121314151617343[[#This Row],[EA19]]-VLOOKUP($U$1,A:F,6,))/VLOOKUP($U$1,A:F,6,))*100)+100</f>
        <v>117.67337807606263</v>
      </c>
      <c r="M339" s="79">
        <f>(((Table134567891011121314151617343[[#This Row],[GBR]]-VLOOKUP($U$1,A:G,7,))/VLOOKUP($U$1,A:G,7,))*100)+100</f>
        <v>107.81796966151406</v>
      </c>
      <c r="N339" s="79">
        <f>VLOOKUP(A339,Database!$A:$AS,MATCH($N$1,Database!$A$1:$AS$1,0),FALSE)</f>
        <v>100.753740474</v>
      </c>
      <c r="O339" s="79">
        <f>(((Table134567891011121314151617343[[#This Row],[USA]]-VLOOKUP($U$1,A:N,14,))/VLOOKUP($U$1,A:N,14,))*100)+100</f>
        <v>115.99097171524033</v>
      </c>
      <c r="P339" s="79">
        <f>VLOOKUP(A339,Database!$A:$AS,MATCH($P$1,Database!$A$1:$AS$1,0),FALSE)</f>
        <v>103.791350721</v>
      </c>
      <c r="Q339" s="79">
        <f>(((Table134567891011121314151617343[[#This Row],[JPN]]-VLOOKUP($U$1,A:Q,16,))/VLOOKUP($U$1,A:Q,16,))*100)+100</f>
        <v>104.20438651585545</v>
      </c>
    </row>
    <row r="340" spans="1:17" s="83" customFormat="1" x14ac:dyDescent="0.2">
      <c r="A340" s="21">
        <v>43160</v>
      </c>
      <c r="B340" s="79">
        <f>VLOOKUP(A340,Database!$A:$AS,MATCH($B$1,Database!$A$1:$AS$1,0),FALSE)</f>
        <v>107.59103408</v>
      </c>
      <c r="C340" s="79">
        <f>VLOOKUP(A340,Database!$A:$AS,MATCH($C$1,Database!$A$1:$AS$1,0),FALSE)</f>
        <v>104.28</v>
      </c>
      <c r="D340" s="79">
        <f>VLOOKUP(A340,Database!$A:$AS,MATCH($D$1,Database!$A$1:$AS$1,0),FALSE)</f>
        <v>106.691109074</v>
      </c>
      <c r="E340" s="79">
        <f>VLOOKUP(A340,Database!$A:$AS,MATCH($E$1,Database!$A$1:$AS$1,0),FALSE)</f>
        <v>108.118090098</v>
      </c>
      <c r="F340" s="79">
        <f>VLOOKUP(A340,Database!$A:$AS,MATCH($F$1,Database!$A$1:$AS$1,0),FALSE)</f>
        <v>105.4</v>
      </c>
      <c r="G340" s="79">
        <f>VLOOKUP(A340,Database!$A:$AS,MATCH($G$1,Database!$A$1:$AS$1,0),FALSE)</f>
        <v>99.802832049000003</v>
      </c>
      <c r="H340" s="79">
        <f>(((Table134567891011121314151617343[[#This Row],[ITA]]-VLOOKUP($U$1,A:B,2,))/VLOOKUP($U$1,A:B,2,))*100)+100</f>
        <v>88.486842104887117</v>
      </c>
      <c r="I340" s="79">
        <f>(((Table134567891011121314151617343[[#This Row],[FRA]]-VLOOKUP($U$1,A:C,3,))/VLOOKUP($U$1,A:C,3,))*100)+100</f>
        <v>101.74651185481511</v>
      </c>
      <c r="J340" s="79">
        <f>(((Table134567891011121314151617343[[#This Row],[DEU]]-VLOOKUP($U$1,A:D,4,))/VLOOKUP($U$1,A:D,4,))*100)+100</f>
        <v>141.8882978710954</v>
      </c>
      <c r="K340" s="79">
        <f>(((Table134567891011121314151617343[[#This Row],[ESP]]-VLOOKUP($U$1,A:E,5,))/VLOOKUP($U$1,A:E,5,))*100)+100</f>
        <v>90.878372698464943</v>
      </c>
      <c r="L340" s="79">
        <f>(((Table134567891011121314151617343[[#This Row],[EA19]]-VLOOKUP($U$1,A:F,6,))/VLOOKUP($U$1,A:F,6,))*100)+100</f>
        <v>117.89709172259508</v>
      </c>
      <c r="M340" s="79">
        <f>(((Table134567891011121314151617343[[#This Row],[GBR]]-VLOOKUP($U$1,A:G,7,))/VLOOKUP($U$1,A:G,7,))*100)+100</f>
        <v>108.28471411903124</v>
      </c>
      <c r="N340" s="79">
        <f>VLOOKUP(A340,Database!$A:$AS,MATCH($N$1,Database!$A$1:$AS$1,0),FALSE)</f>
        <v>101.39652573799999</v>
      </c>
      <c r="O340" s="79">
        <f>(((Table134567891011121314151617343[[#This Row],[USA]]-VLOOKUP($U$1,A:N,14,))/VLOOKUP($U$1,A:N,14,))*100)+100</f>
        <v>116.73096694544061</v>
      </c>
      <c r="P340" s="79">
        <f>VLOOKUP(A340,Database!$A:$AS,MATCH($P$1,Database!$A$1:$AS$1,0),FALSE)</f>
        <v>104.891259062</v>
      </c>
      <c r="Q340" s="79">
        <f>(((Table134567891011121314151617343[[#This Row],[JPN]]-VLOOKUP($U$1,A:Q,16,))/VLOOKUP($U$1,A:Q,16,))*100)+100</f>
        <v>105.30867192211895</v>
      </c>
    </row>
    <row r="341" spans="1:17" s="83" customFormat="1" x14ac:dyDescent="0.2">
      <c r="A341" s="21">
        <v>43191</v>
      </c>
      <c r="B341" s="79">
        <f>VLOOKUP(A341,Database!$A:$AS,MATCH($B$1,Database!$A$1:$AS$1,0),FALSE)</f>
        <v>105.99116740300001</v>
      </c>
      <c r="C341" s="79">
        <f>VLOOKUP(A341,Database!$A:$AS,MATCH($C$1,Database!$A$1:$AS$1,0),FALSE)</f>
        <v>102.91</v>
      </c>
      <c r="D341" s="79">
        <f>VLOOKUP(A341,Database!$A:$AS,MATCH($D$1,Database!$A$1:$AS$1,0),FALSE)</f>
        <v>106.09115907</v>
      </c>
      <c r="E341" s="79">
        <f>VLOOKUP(A341,Database!$A:$AS,MATCH($E$1,Database!$A$1:$AS$1,0),FALSE)</f>
        <v>104.76708730599999</v>
      </c>
      <c r="F341" s="79">
        <f>VLOOKUP(A341,Database!$A:$AS,MATCH($F$1,Database!$A$1:$AS$1,0),FALSE)</f>
        <v>105.1</v>
      </c>
      <c r="G341" s="79">
        <f>VLOOKUP(A341,Database!$A:$AS,MATCH($G$1,Database!$A$1:$AS$1,0),FALSE)</f>
        <v>100.985839756</v>
      </c>
      <c r="H341" s="79">
        <f>(((Table134567891011121314151617343[[#This Row],[ITA]]-VLOOKUP($U$1,A:B,2,))/VLOOKUP($U$1,A:B,2,))*100)+100</f>
        <v>87.171052631841377</v>
      </c>
      <c r="I341" s="79">
        <f>(((Table134567891011121314151617343[[#This Row],[FRA]]-VLOOKUP($U$1,A:C,3,))/VLOOKUP($U$1,A:C,3,))*100)+100</f>
        <v>100.40979607766612</v>
      </c>
      <c r="J341" s="79">
        <f>(((Table134567891011121314151617343[[#This Row],[DEU]]-VLOOKUP($U$1,A:D,4,))/VLOOKUP($U$1,A:D,4,))*100)+100</f>
        <v>141.09042553089625</v>
      </c>
      <c r="K341" s="79">
        <f>(((Table134567891011121314151617343[[#This Row],[ESP]]-VLOOKUP($U$1,A:E,5,))/VLOOKUP($U$1,A:E,5,))*100)+100</f>
        <v>88.061696225832662</v>
      </c>
      <c r="L341" s="79">
        <f>(((Table134567891011121314151617343[[#This Row],[EA19]]-VLOOKUP($U$1,A:F,6,))/VLOOKUP($U$1,A:F,6,))*100)+100</f>
        <v>117.56152125279641</v>
      </c>
      <c r="M341" s="79">
        <f>(((Table134567891011121314151617343[[#This Row],[GBR]]-VLOOKUP($U$1,A:G,7,))/VLOOKUP($U$1,A:G,7,))*100)+100</f>
        <v>109.56826137638976</v>
      </c>
      <c r="N341" s="79">
        <f>VLOOKUP(A341,Database!$A:$AS,MATCH($N$1,Database!$A$1:$AS$1,0),FALSE)</f>
        <v>102.498230936</v>
      </c>
      <c r="O341" s="79">
        <f>(((Table134567891011121314151617343[[#This Row],[USA]]-VLOOKUP($U$1,A:N,14,))/VLOOKUP($U$1,A:N,14,))*100)+100</f>
        <v>117.99928567840843</v>
      </c>
      <c r="P341" s="79">
        <f>VLOOKUP(A341,Database!$A:$AS,MATCH($P$1,Database!$A$1:$AS$1,0),FALSE)</f>
        <v>104.291309058</v>
      </c>
      <c r="Q341" s="79">
        <f>(((Table134567891011121314151617343[[#This Row],[JPN]]-VLOOKUP($U$1,A:Q,16,))/VLOOKUP($U$1,A:Q,16,))*100)+100</f>
        <v>104.70633442797593</v>
      </c>
    </row>
    <row r="342" spans="1:17" s="83" customFormat="1" x14ac:dyDescent="0.2">
      <c r="A342" s="21">
        <v>43221</v>
      </c>
      <c r="B342" s="79">
        <f>VLOOKUP(A342,Database!$A:$AS,MATCH($B$1,Database!$A$1:$AS$1,0),FALSE)</f>
        <v>106.791100742</v>
      </c>
      <c r="C342" s="79">
        <f>VLOOKUP(A342,Database!$A:$AS,MATCH($C$1,Database!$A$1:$AS$1,0),FALSE)</f>
        <v>101.89</v>
      </c>
      <c r="D342" s="79">
        <f>VLOOKUP(A342,Database!$A:$AS,MATCH($D$1,Database!$A$1:$AS$1,0),FALSE)</f>
        <v>107.99100075</v>
      </c>
      <c r="E342" s="79">
        <f>VLOOKUP(A342,Database!$A:$AS,MATCH($E$1,Database!$A$1:$AS$1,0),FALSE)</f>
        <v>106.922089102</v>
      </c>
      <c r="F342" s="79">
        <f>VLOOKUP(A342,Database!$A:$AS,MATCH($F$1,Database!$A$1:$AS$1,0),FALSE)</f>
        <v>106.5</v>
      </c>
      <c r="G342" s="79">
        <f>VLOOKUP(A342,Database!$A:$AS,MATCH($G$1,Database!$A$1:$AS$1,0),FALSE)</f>
        <v>101.953755153</v>
      </c>
      <c r="H342" s="79">
        <f>(((Table134567891011121314151617343[[#This Row],[ITA]]-VLOOKUP($U$1,A:B,2,))/VLOOKUP($U$1,A:B,2,))*100)+100</f>
        <v>87.828947368775459</v>
      </c>
      <c r="I342" s="79">
        <f>(((Table134567891011121314151617343[[#This Row],[FRA]]-VLOOKUP($U$1,A:C,3,))/VLOOKUP($U$1,A:C,3,))*100)+100</f>
        <v>99.414577031905552</v>
      </c>
      <c r="J342" s="79">
        <f>(((Table134567891011121314151617343[[#This Row],[DEU]]-VLOOKUP($U$1,A:D,4,))/VLOOKUP($U$1,A:D,4,))*100)+100</f>
        <v>143.61702127574688</v>
      </c>
      <c r="K342" s="79">
        <f>(((Table134567891011121314151617343[[#This Row],[ESP]]-VLOOKUP($U$1,A:E,5,))/VLOOKUP($U$1,A:E,5,))*100)+100</f>
        <v>89.873077246393009</v>
      </c>
      <c r="L342" s="79">
        <f>(((Table134567891011121314151617343[[#This Row],[EA19]]-VLOOKUP($U$1,A:F,6,))/VLOOKUP($U$1,A:F,6,))*100)+100</f>
        <v>119.12751677852349</v>
      </c>
      <c r="M342" s="79">
        <f>(((Table134567891011121314151617343[[#This Row],[GBR]]-VLOOKUP($U$1,A:G,7,))/VLOOKUP($U$1,A:G,7,))*100)+100</f>
        <v>110.61843640553217</v>
      </c>
      <c r="N342" s="79">
        <f>VLOOKUP(A342,Database!$A:$AS,MATCH($N$1,Database!$A$1:$AS$1,0),FALSE)</f>
        <v>101.63718612700001</v>
      </c>
      <c r="O342" s="79">
        <f>(((Table134567891011121314151617343[[#This Row],[USA]]-VLOOKUP($U$1,A:N,14,))/VLOOKUP($U$1,A:N,14,))*100)+100</f>
        <v>117.00802298566458</v>
      </c>
      <c r="P342" s="79">
        <f>VLOOKUP(A342,Database!$A:$AS,MATCH($P$1,Database!$A$1:$AS$1,0),FALSE)</f>
        <v>104.59128406000001</v>
      </c>
      <c r="Q342" s="79">
        <f>(((Table134567891011121314151617343[[#This Row],[JPN]]-VLOOKUP($U$1,A:Q,16,))/VLOOKUP($U$1,A:Q,16,))*100)+100</f>
        <v>105.00750317504745</v>
      </c>
    </row>
    <row r="343" spans="1:17" s="83" customFormat="1" x14ac:dyDescent="0.2">
      <c r="A343" s="21">
        <v>43252</v>
      </c>
      <c r="B343" s="79">
        <f>VLOOKUP(A343,Database!$A:$AS,MATCH($B$1,Database!$A$1:$AS$1,0),FALSE)</f>
        <v>107.09107574399999</v>
      </c>
      <c r="C343" s="79">
        <f>VLOOKUP(A343,Database!$A:$AS,MATCH($C$1,Database!$A$1:$AS$1,0),FALSE)</f>
        <v>103.8</v>
      </c>
      <c r="D343" s="79">
        <f>VLOOKUP(A343,Database!$A:$AS,MATCH($D$1,Database!$A$1:$AS$1,0),FALSE)</f>
        <v>107.891009083</v>
      </c>
      <c r="E343" s="79">
        <f>VLOOKUP(A343,Database!$A:$AS,MATCH($E$1,Database!$A$1:$AS$1,0),FALSE)</f>
        <v>105.77008814200001</v>
      </c>
      <c r="F343" s="79">
        <f>VLOOKUP(A343,Database!$A:$AS,MATCH($F$1,Database!$A$1:$AS$1,0),FALSE)</f>
        <v>106.3</v>
      </c>
      <c r="G343" s="79">
        <f>VLOOKUP(A343,Database!$A:$AS,MATCH($G$1,Database!$A$1:$AS$1,0),FALSE)</f>
        <v>104.642409034</v>
      </c>
      <c r="H343" s="79">
        <f>(((Table134567891011121314151617343[[#This Row],[ITA]]-VLOOKUP($U$1,A:B,2,))/VLOOKUP($U$1,A:B,2,))*100)+100</f>
        <v>88.075657895022943</v>
      </c>
      <c r="I343" s="79">
        <f>(((Table134567891011121314151617343[[#This Row],[FRA]]-VLOOKUP($U$1,A:C,3,))/VLOOKUP($U$1,A:C,3,))*100)+100</f>
        <v>101.27817348033955</v>
      </c>
      <c r="J343" s="79">
        <f>(((Table134567891011121314151617343[[#This Row],[DEU]]-VLOOKUP($U$1,A:D,4,))/VLOOKUP($U$1,A:D,4,))*100)+100</f>
        <v>143.48404255282367</v>
      </c>
      <c r="K343" s="79">
        <f>(((Table134567891011121314151617343[[#This Row],[ESP]]-VLOOKUP($U$1,A:E,5,))/VLOOKUP($U$1,A:E,5,))*100)+100</f>
        <v>88.904765907402705</v>
      </c>
      <c r="L343" s="79">
        <f>(((Table134567891011121314151617343[[#This Row],[EA19]]-VLOOKUP($U$1,A:F,6,))/VLOOKUP($U$1,A:F,6,))*100)+100</f>
        <v>118.90380313199104</v>
      </c>
      <c r="M343" s="79">
        <f>(((Table134567891011121314151617343[[#This Row],[GBR]]-VLOOKUP($U$1,A:G,7,))/VLOOKUP($U$1,A:G,7,))*100)+100</f>
        <v>113.53558926474329</v>
      </c>
      <c r="N343" s="79">
        <f>VLOOKUP(A343,Database!$A:$AS,MATCH($N$1,Database!$A$1:$AS$1,0),FALSE)</f>
        <v>102.394156221</v>
      </c>
      <c r="O343" s="79">
        <f>(((Table134567891011121314151617343[[#This Row],[USA]]-VLOOKUP($U$1,A:N,14,))/VLOOKUP($U$1,A:N,14,))*100)+100</f>
        <v>117.87947149317775</v>
      </c>
      <c r="P343" s="79">
        <f>VLOOKUP(A343,Database!$A:$AS,MATCH($P$1,Database!$A$1:$AS$1,0),FALSE)</f>
        <v>103.591367386</v>
      </c>
      <c r="Q343" s="79">
        <f>(((Table134567891011121314151617343[[#This Row],[JPN]]-VLOOKUP($U$1,A:Q,16,))/VLOOKUP($U$1,A:Q,16,))*100)+100</f>
        <v>104.00360735080645</v>
      </c>
    </row>
    <row r="344" spans="1:17" s="83" customFormat="1" x14ac:dyDescent="0.2">
      <c r="A344" s="21">
        <v>43282</v>
      </c>
      <c r="B344" s="79">
        <f>VLOOKUP(A344,Database!$A:$AS,MATCH($B$1,Database!$A$1:$AS$1,0),FALSE)</f>
        <v>105.99116740300001</v>
      </c>
      <c r="C344" s="79">
        <f>VLOOKUP(A344,Database!$A:$AS,MATCH($C$1,Database!$A$1:$AS$1,0),FALSE)</f>
        <v>103.6</v>
      </c>
      <c r="D344" s="79">
        <f>VLOOKUP(A344,Database!$A:$AS,MATCH($D$1,Database!$A$1:$AS$1,0),FALSE)</f>
        <v>105.59120073299999</v>
      </c>
      <c r="E344" s="79">
        <f>VLOOKUP(A344,Database!$A:$AS,MATCH($E$1,Database!$A$1:$AS$1,0),FALSE)</f>
        <v>105.172087643</v>
      </c>
      <c r="F344" s="79">
        <f>VLOOKUP(A344,Database!$A:$AS,MATCH($F$1,Database!$A$1:$AS$1,0),FALSE)</f>
        <v>105</v>
      </c>
      <c r="G344" s="79">
        <f>VLOOKUP(A344,Database!$A:$AS,MATCH($G$1,Database!$A$1:$AS$1,0),FALSE)</f>
        <v>104.642409034</v>
      </c>
      <c r="H344" s="79">
        <f>(((Table134567891011121314151617343[[#This Row],[ITA]]-VLOOKUP($U$1,A:B,2,))/VLOOKUP($U$1,A:B,2,))*100)+100</f>
        <v>87.171052631841377</v>
      </c>
      <c r="I344" s="79">
        <f>(((Table134567891011121314151617343[[#This Row],[FRA]]-VLOOKUP($U$1,A:C,3,))/VLOOKUP($U$1,A:C,3,))*100)+100</f>
        <v>101.08303249097473</v>
      </c>
      <c r="J344" s="79">
        <f>(((Table134567891011121314151617343[[#This Row],[DEU]]-VLOOKUP($U$1,A:D,4,))/VLOOKUP($U$1,A:D,4,))*100)+100</f>
        <v>140.42553191362032</v>
      </c>
      <c r="K344" s="79">
        <f>(((Table134567891011121314151617343[[#This Row],[ESP]]-VLOOKUP($U$1,A:E,5,))/VLOOKUP($U$1,A:E,5,))*100)+100</f>
        <v>88.402118180526173</v>
      </c>
      <c r="L344" s="79">
        <f>(((Table134567891011121314151617343[[#This Row],[EA19]]-VLOOKUP($U$1,A:F,6,))/VLOOKUP($U$1,A:F,6,))*100)+100</f>
        <v>117.44966442953019</v>
      </c>
      <c r="M344" s="79">
        <f>(((Table134567891011121314151617343[[#This Row],[GBR]]-VLOOKUP($U$1,A:G,7,))/VLOOKUP($U$1,A:G,7,))*100)+100</f>
        <v>113.53558926474329</v>
      </c>
      <c r="N344" s="79">
        <f>VLOOKUP(A344,Database!$A:$AS,MATCH($N$1,Database!$A$1:$AS$1,0),FALSE)</f>
        <v>102.634915729</v>
      </c>
      <c r="O344" s="79">
        <f>(((Table134567891011121314151617343[[#This Row],[USA]]-VLOOKUP($U$1,A:N,14,))/VLOOKUP($U$1,A:N,14,))*100)+100</f>
        <v>118.15664164240718</v>
      </c>
      <c r="P344" s="79">
        <f>VLOOKUP(A344,Database!$A:$AS,MATCH($P$1,Database!$A$1:$AS$1,0),FALSE)</f>
        <v>103.791350721</v>
      </c>
      <c r="Q344" s="79">
        <f>(((Table134567891011121314151617343[[#This Row],[JPN]]-VLOOKUP($U$1,A:Q,16,))/VLOOKUP($U$1,A:Q,16,))*100)+100</f>
        <v>104.20438651585545</v>
      </c>
    </row>
    <row r="345" spans="1:17" s="83" customFormat="1" x14ac:dyDescent="0.2">
      <c r="A345" s="21">
        <v>43313</v>
      </c>
      <c r="B345" s="79">
        <f>VLOOKUP(A345,Database!$A:$AS,MATCH($B$1,Database!$A$1:$AS$1,0),FALSE)</f>
        <v>106.99108407600001</v>
      </c>
      <c r="C345" s="79">
        <f>VLOOKUP(A345,Database!$A:$AS,MATCH($C$1,Database!$A$1:$AS$1,0),FALSE)</f>
        <v>104.19</v>
      </c>
      <c r="D345" s="79">
        <f>VLOOKUP(A345,Database!$A:$AS,MATCH($D$1,Database!$A$1:$AS$1,0),FALSE)</f>
        <v>105.891175735</v>
      </c>
      <c r="E345" s="79">
        <f>VLOOKUP(A345,Database!$A:$AS,MATCH($E$1,Database!$A$1:$AS$1,0),FALSE)</f>
        <v>105.538087948</v>
      </c>
      <c r="F345" s="79">
        <f>VLOOKUP(A345,Database!$A:$AS,MATCH($F$1,Database!$A$1:$AS$1,0),FALSE)</f>
        <v>106.2</v>
      </c>
      <c r="G345" s="79">
        <f>VLOOKUP(A345,Database!$A:$AS,MATCH($G$1,Database!$A$1:$AS$1,0),FALSE)</f>
        <v>105.932962897</v>
      </c>
      <c r="H345" s="79">
        <f>(((Table134567891011121314151617343[[#This Row],[ITA]]-VLOOKUP($U$1,A:B,2,))/VLOOKUP($U$1,A:B,2,))*100)+100</f>
        <v>87.993421052392165</v>
      </c>
      <c r="I345" s="79">
        <f>(((Table134567891011121314151617343[[#This Row],[FRA]]-VLOOKUP($U$1,A:C,3,))/VLOOKUP($U$1,A:C,3,))*100)+100</f>
        <v>101.65869840960094</v>
      </c>
      <c r="J345" s="79">
        <f>(((Table134567891011121314151617343[[#This Row],[DEU]]-VLOOKUP($U$1,A:D,4,))/VLOOKUP($U$1,A:D,4,))*100)+100</f>
        <v>140.82446808371992</v>
      </c>
      <c r="K345" s="79">
        <f>(((Table134567891011121314151617343[[#This Row],[ESP]]-VLOOKUP($U$1,A:E,5,))/VLOOKUP($U$1,A:E,5,))*100)+100</f>
        <v>88.709758762184563</v>
      </c>
      <c r="L345" s="79">
        <f>(((Table134567891011121314151617343[[#This Row],[EA19]]-VLOOKUP($U$1,A:F,6,))/VLOOKUP($U$1,A:F,6,))*100)+100</f>
        <v>118.79194630872483</v>
      </c>
      <c r="M345" s="79">
        <f>(((Table134567891011121314151617343[[#This Row],[GBR]]-VLOOKUP($U$1,A:G,7,))/VLOOKUP($U$1,A:G,7,))*100)+100</f>
        <v>114.93582263729482</v>
      </c>
      <c r="N345" s="79">
        <f>VLOOKUP(A345,Database!$A:$AS,MATCH($N$1,Database!$A$1:$AS$1,0),FALSE)</f>
        <v>103.24796535999999</v>
      </c>
      <c r="O345" s="79">
        <f>(((Table134567891011121314151617343[[#This Row],[USA]]-VLOOKUP($U$1,A:N,14,))/VLOOKUP($U$1,A:N,14,))*100)+100</f>
        <v>118.86240424809138</v>
      </c>
      <c r="P345" s="79">
        <f>VLOOKUP(A345,Database!$A:$AS,MATCH($P$1,Database!$A$1:$AS$1,0),FALSE)</f>
        <v>103.591367386</v>
      </c>
      <c r="Q345" s="79">
        <f>(((Table134567891011121314151617343[[#This Row],[JPN]]-VLOOKUP($U$1,A:Q,16,))/VLOOKUP($U$1,A:Q,16,))*100)+100</f>
        <v>104.00360735080645</v>
      </c>
    </row>
    <row r="346" spans="1:17" s="83" customFormat="1" x14ac:dyDescent="0.2">
      <c r="A346" s="21">
        <v>43344</v>
      </c>
      <c r="B346" s="79">
        <f>VLOOKUP(A346,Database!$A:$AS,MATCH($B$1,Database!$A$1:$AS$1,0),FALSE)</f>
        <v>107.09107574399999</v>
      </c>
      <c r="C346" s="79">
        <f>VLOOKUP(A346,Database!$A:$AS,MATCH($C$1,Database!$A$1:$AS$1,0),FALSE)</f>
        <v>102.99</v>
      </c>
      <c r="D346" s="79">
        <f>VLOOKUP(A346,Database!$A:$AS,MATCH($D$1,Database!$A$1:$AS$1,0),FALSE)</f>
        <v>105.59120073299999</v>
      </c>
      <c r="E346" s="79">
        <f>VLOOKUP(A346,Database!$A:$AS,MATCH($E$1,Database!$A$1:$AS$1,0),FALSE)</f>
        <v>104.94908745799999</v>
      </c>
      <c r="F346" s="79">
        <f>VLOOKUP(A346,Database!$A:$AS,MATCH($F$1,Database!$A$1:$AS$1,0),FALSE)</f>
        <v>105.5</v>
      </c>
      <c r="G346" s="79">
        <f>VLOOKUP(A346,Database!$A:$AS,MATCH($G$1,Database!$A$1:$AS$1,0),FALSE)</f>
        <v>106.363147517</v>
      </c>
      <c r="H346" s="79">
        <f>(((Table134567891011121314151617343[[#This Row],[ITA]]-VLOOKUP($U$1,A:B,2,))/VLOOKUP($U$1,A:B,2,))*100)+100</f>
        <v>88.075657895022943</v>
      </c>
      <c r="I346" s="79">
        <f>(((Table134567891011121314151617343[[#This Row],[FRA]]-VLOOKUP($U$1,A:C,3,))/VLOOKUP($U$1,A:C,3,))*100)+100</f>
        <v>100.48785247341203</v>
      </c>
      <c r="J346" s="79">
        <f>(((Table134567891011121314151617343[[#This Row],[DEU]]-VLOOKUP($U$1,A:D,4,))/VLOOKUP($U$1,A:D,4,))*100)+100</f>
        <v>140.42553191362032</v>
      </c>
      <c r="K346" s="79">
        <f>(((Table134567891011121314151617343[[#This Row],[ESP]]-VLOOKUP($U$1,A:E,5,))/VLOOKUP($U$1,A:E,5,))*100)+100</f>
        <v>88.214675968904729</v>
      </c>
      <c r="L346" s="79">
        <f>(((Table134567891011121314151617343[[#This Row],[EA19]]-VLOOKUP($U$1,A:F,6,))/VLOOKUP($U$1,A:F,6,))*100)+100</f>
        <v>118.00894854586129</v>
      </c>
      <c r="M346" s="79">
        <f>(((Table134567891011121314151617343[[#This Row],[GBR]]-VLOOKUP($U$1,A:G,7,))/VLOOKUP($U$1,A:G,7,))*100)+100</f>
        <v>115.40256709372703</v>
      </c>
      <c r="N346" s="79">
        <f>VLOOKUP(A346,Database!$A:$AS,MATCH($N$1,Database!$A$1:$AS$1,0),FALSE)</f>
        <v>103.21386850099999</v>
      </c>
      <c r="O346" s="79">
        <f>(((Table134567891011121314151617343[[#This Row],[USA]]-VLOOKUP($U$1,A:N,14,))/VLOOKUP($U$1,A:N,14,))*100)+100</f>
        <v>118.82315083884581</v>
      </c>
      <c r="P346" s="79">
        <f>VLOOKUP(A346,Database!$A:$AS,MATCH($P$1,Database!$A$1:$AS$1,0),FALSE)</f>
        <v>103.29139238400001</v>
      </c>
      <c r="Q346" s="79">
        <f>(((Table134567891011121314151617343[[#This Row],[JPN]]-VLOOKUP($U$1,A:Q,16,))/VLOOKUP($U$1,A:Q,16,))*100)+100</f>
        <v>103.70243860373495</v>
      </c>
    </row>
    <row r="347" spans="1:17" s="83" customFormat="1" x14ac:dyDescent="0.2">
      <c r="A347" s="21">
        <v>43374</v>
      </c>
      <c r="B347" s="79">
        <f>VLOOKUP(A347,Database!$A:$AS,MATCH($B$1,Database!$A$1:$AS$1,0),FALSE)</f>
        <v>106.691109074</v>
      </c>
      <c r="C347" s="79">
        <f>VLOOKUP(A347,Database!$A:$AS,MATCH($C$1,Database!$A$1:$AS$1,0),FALSE)</f>
        <v>103.81</v>
      </c>
      <c r="D347" s="79">
        <f>VLOOKUP(A347,Database!$A:$AS,MATCH($D$1,Database!$A$1:$AS$1,0),FALSE)</f>
        <v>105.391217399</v>
      </c>
      <c r="E347" s="79">
        <f>VLOOKUP(A347,Database!$A:$AS,MATCH($E$1,Database!$A$1:$AS$1,0),FALSE)</f>
        <v>106.223088519</v>
      </c>
      <c r="F347" s="79">
        <f>VLOOKUP(A347,Database!$A:$AS,MATCH($F$1,Database!$A$1:$AS$1,0),FALSE)</f>
        <v>105.6</v>
      </c>
      <c r="G347" s="79">
        <f>VLOOKUP(A347,Database!$A:$AS,MATCH($G$1,Database!$A$1:$AS$1,0),FALSE)</f>
        <v>107.115970604</v>
      </c>
      <c r="H347" s="79">
        <f>(((Table134567891011121314151617343[[#This Row],[ITA]]-VLOOKUP($U$1,A:B,2,))/VLOOKUP($U$1,A:B,2,))*100)+100</f>
        <v>87.746710526144682</v>
      </c>
      <c r="I347" s="79">
        <f>(((Table134567891011121314151617343[[#This Row],[FRA]]-VLOOKUP($U$1,A:C,3,))/VLOOKUP($U$1,A:C,3,))*100)+100</f>
        <v>101.2879305298078</v>
      </c>
      <c r="J347" s="79">
        <f>(((Table134567891011121314151617343[[#This Row],[DEU]]-VLOOKUP($U$1,A:D,4,))/VLOOKUP($U$1,A:D,4,))*100)+100</f>
        <v>140.15957446777387</v>
      </c>
      <c r="K347" s="79">
        <f>(((Table134567891011121314151617343[[#This Row],[ESP]]-VLOOKUP($U$1,A:E,5,))/VLOOKUP($U$1,A:E,5,))*100)+100</f>
        <v>89.285534167887462</v>
      </c>
      <c r="L347" s="79">
        <f>(((Table134567891011121314151617343[[#This Row],[EA19]]-VLOOKUP($U$1,A:F,6,))/VLOOKUP($U$1,A:F,6,))*100)+100</f>
        <v>118.12080536912751</v>
      </c>
      <c r="M347" s="79">
        <f>(((Table134567891011121314151617343[[#This Row],[GBR]]-VLOOKUP($U$1,A:G,7,))/VLOOKUP($U$1,A:G,7,))*100)+100</f>
        <v>116.21936989465334</v>
      </c>
      <c r="N347" s="79">
        <f>VLOOKUP(A347,Database!$A:$AS,MATCH($N$1,Database!$A$1:$AS$1,0),FALSE)</f>
        <v>103.071038344</v>
      </c>
      <c r="O347" s="79">
        <f>(((Table134567891011121314151617343[[#This Row],[USA]]-VLOOKUP($U$1,A:N,14,))/VLOOKUP($U$1,A:N,14,))*100)+100</f>
        <v>118.6587201326236</v>
      </c>
      <c r="P347" s="79">
        <f>VLOOKUP(A347,Database!$A:$AS,MATCH($P$1,Database!$A$1:$AS$1,0),FALSE)</f>
        <v>105.291225731</v>
      </c>
      <c r="Q347" s="79">
        <f>(((Table134567891011121314151617343[[#This Row],[JPN]]-VLOOKUP($U$1,A:Q,16,))/VLOOKUP($U$1,A:Q,16,))*100)+100</f>
        <v>105.71023025121295</v>
      </c>
    </row>
    <row r="348" spans="1:17" s="83" customFormat="1" x14ac:dyDescent="0.2">
      <c r="A348" s="21">
        <v>43405</v>
      </c>
      <c r="B348" s="79">
        <f>VLOOKUP(A348,Database!$A:$AS,MATCH($B$1,Database!$A$1:$AS$1,0),FALSE)</f>
        <v>104.991250729</v>
      </c>
      <c r="C348" s="79">
        <f>VLOOKUP(A348,Database!$A:$AS,MATCH($C$1,Database!$A$1:$AS$1,0),FALSE)</f>
        <v>103.09</v>
      </c>
      <c r="D348" s="79">
        <f>VLOOKUP(A348,Database!$A:$AS,MATCH($D$1,Database!$A$1:$AS$1,0),FALSE)</f>
        <v>103.491375719</v>
      </c>
      <c r="E348" s="79">
        <f>VLOOKUP(A348,Database!$A:$AS,MATCH($E$1,Database!$A$1:$AS$1,0),FALSE)</f>
        <v>103.961086634</v>
      </c>
      <c r="F348" s="79">
        <f>VLOOKUP(A348,Database!$A:$AS,MATCH($F$1,Database!$A$1:$AS$1,0),FALSE)</f>
        <v>104.2</v>
      </c>
      <c r="G348" s="79">
        <f>VLOOKUP(A348,Database!$A:$AS,MATCH($G$1,Database!$A$1:$AS$1,0),FALSE)</f>
        <v>107.65370138</v>
      </c>
      <c r="H348" s="79">
        <f>(((Table134567891011121314151617343[[#This Row],[ITA]]-VLOOKUP($U$1,A:B,2,))/VLOOKUP($U$1,A:B,2,))*100)+100</f>
        <v>86.34868421046815</v>
      </c>
      <c r="I348" s="79">
        <f>(((Table134567891011121314151617343[[#This Row],[FRA]]-VLOOKUP($U$1,A:C,3,))/VLOOKUP($U$1,A:C,3,))*100)+100</f>
        <v>100.58542296809446</v>
      </c>
      <c r="J348" s="79">
        <f>(((Table134567891011121314151617343[[#This Row],[DEU]]-VLOOKUP($U$1,A:D,4,))/VLOOKUP($U$1,A:D,4,))*100)+100</f>
        <v>137.63297872292324</v>
      </c>
      <c r="K348" s="79">
        <f>(((Table134567891011121314151617343[[#This Row],[ESP]]-VLOOKUP($U$1,A:E,5,))/VLOOKUP($U$1,A:E,5,))*100)+100</f>
        <v>87.384214507474198</v>
      </c>
      <c r="L348" s="79">
        <f>(((Table134567891011121314151617343[[#This Row],[EA19]]-VLOOKUP($U$1,A:F,6,))/VLOOKUP($U$1,A:F,6,))*100)+100</f>
        <v>116.55480984340045</v>
      </c>
      <c r="M348" s="79">
        <f>(((Table134567891011121314151617343[[#This Row],[GBR]]-VLOOKUP($U$1,A:G,7,))/VLOOKUP($U$1,A:G,7,))*100)+100</f>
        <v>116.80280046627857</v>
      </c>
      <c r="N348" s="79">
        <f>VLOOKUP(A348,Database!$A:$AS,MATCH($N$1,Database!$A$1:$AS$1,0),FALSE)</f>
        <v>102.996996618</v>
      </c>
      <c r="O348" s="79">
        <f>(((Table134567891011121314151617343[[#This Row],[USA]]-VLOOKUP($U$1,A:N,14,))/VLOOKUP($U$1,A:N,14,))*100)+100</f>
        <v>118.57348089777425</v>
      </c>
      <c r="P348" s="79">
        <f>VLOOKUP(A348,Database!$A:$AS,MATCH($P$1,Database!$A$1:$AS$1,0),FALSE)</f>
        <v>104.091325723</v>
      </c>
      <c r="Q348" s="79">
        <f>(((Table134567891011121314151617343[[#This Row],[JPN]]-VLOOKUP($U$1,A:Q,16,))/VLOOKUP($U$1,A:Q,16,))*100)+100</f>
        <v>104.50555526292695</v>
      </c>
    </row>
    <row r="349" spans="1:17" s="83" customFormat="1" x14ac:dyDescent="0.2">
      <c r="A349" s="21">
        <v>43435</v>
      </c>
      <c r="B349" s="79">
        <f>VLOOKUP(A349,Database!$A:$AS,MATCH($B$1,Database!$A$1:$AS$1,0),FALSE)</f>
        <v>105.391217399</v>
      </c>
      <c r="C349" s="79">
        <f>VLOOKUP(A349,Database!$A:$AS,MATCH($C$1,Database!$A$1:$AS$1,0),FALSE)</f>
        <v>104.13</v>
      </c>
      <c r="D349" s="79">
        <f>VLOOKUP(A349,Database!$A:$AS,MATCH($D$1,Database!$A$1:$AS$1,0),FALSE)</f>
        <v>104.691275727</v>
      </c>
      <c r="E349" s="79">
        <f>VLOOKUP(A349,Database!$A:$AS,MATCH($E$1,Database!$A$1:$AS$1,0),FALSE)</f>
        <v>103.085085904</v>
      </c>
      <c r="F349" s="79">
        <f>VLOOKUP(A349,Database!$A:$AS,MATCH($F$1,Database!$A$1:$AS$1,0),FALSE)</f>
        <v>104.6</v>
      </c>
      <c r="G349" s="79">
        <f>VLOOKUP(A349,Database!$A:$AS,MATCH($G$1,Database!$A$1:$AS$1,0),FALSE)</f>
        <v>107.761247535</v>
      </c>
      <c r="H349" s="79">
        <f>(((Table134567891011121314151617343[[#This Row],[ITA]]-VLOOKUP($U$1,A:B,2,))/VLOOKUP($U$1,A:B,2,))*100)+100</f>
        <v>86.677631579346411</v>
      </c>
      <c r="I349" s="79">
        <f>(((Table134567891011121314151617343[[#This Row],[FRA]]-VLOOKUP($U$1,A:C,3,))/VLOOKUP($U$1,A:C,3,))*100)+100</f>
        <v>101.6001561127915</v>
      </c>
      <c r="J349" s="79">
        <f>(((Table134567891011121314151617343[[#This Row],[DEU]]-VLOOKUP($U$1,A:D,4,))/VLOOKUP($U$1,A:D,4,))*100)+100</f>
        <v>139.22872340332157</v>
      </c>
      <c r="K349" s="79">
        <f>(((Table134567891011121314151617343[[#This Row],[ESP]]-VLOOKUP($U$1,A:E,5,))/VLOOKUP($U$1,A:E,5,))*100)+100</f>
        <v>86.647894426783651</v>
      </c>
      <c r="L349" s="79">
        <f>(((Table134567891011121314151617343[[#This Row],[EA19]]-VLOOKUP($U$1,A:F,6,))/VLOOKUP($U$1,A:F,6,))*100)+100</f>
        <v>117.00223713646531</v>
      </c>
      <c r="M349" s="79">
        <f>(((Table134567891011121314151617343[[#This Row],[GBR]]-VLOOKUP($U$1,A:G,7,))/VLOOKUP($U$1,A:G,7,))*100)+100</f>
        <v>116.9194865803866</v>
      </c>
      <c r="N349" s="79">
        <f>VLOOKUP(A349,Database!$A:$AS,MATCH($N$1,Database!$A$1:$AS$1,0),FALSE)</f>
        <v>102.951699338</v>
      </c>
      <c r="O349" s="79">
        <f>(((Table134567891011121314151617343[[#This Row],[USA]]-VLOOKUP($U$1,A:N,14,))/VLOOKUP($U$1,A:N,14,))*100)+100</f>
        <v>118.52133320083972</v>
      </c>
      <c r="P349" s="79">
        <f>VLOOKUP(A349,Database!$A:$AS,MATCH($P$1,Database!$A$1:$AS$1,0),FALSE)</f>
        <v>104.39130072499999</v>
      </c>
      <c r="Q349" s="79">
        <f>(((Table134567891011121314151617343[[#This Row],[JPN]]-VLOOKUP($U$1,A:Q,16,))/VLOOKUP($U$1,A:Q,16,))*100)+100</f>
        <v>104.80672400999845</v>
      </c>
    </row>
    <row r="350" spans="1:17" s="83" customFormat="1" x14ac:dyDescent="0.2">
      <c r="A350" s="21">
        <v>43466</v>
      </c>
      <c r="B350" s="79">
        <f>VLOOKUP(A350,Database!$A:$AS,MATCH($B$1,Database!$A$1:$AS$1,0),FALSE)</f>
        <v>105.691192401</v>
      </c>
      <c r="C350" s="79">
        <f>VLOOKUP(A350,Database!$A:$AS,MATCH($C$1,Database!$A$1:$AS$1,0),FALSE)</f>
        <v>104.69</v>
      </c>
      <c r="D350" s="79">
        <f>VLOOKUP(A350,Database!$A:$AS,MATCH($D$1,Database!$A$1:$AS$1,0),FALSE)</f>
        <v>103.491375719</v>
      </c>
      <c r="E350" s="79">
        <f>VLOOKUP(A350,Database!$A:$AS,MATCH($E$1,Database!$A$1:$AS$1,0),FALSE)</f>
        <v>106.995089163</v>
      </c>
      <c r="F350" s="79">
        <f>VLOOKUP(A350,Database!$A:$AS,MATCH($F$1,Database!$A$1:$AS$1,0),FALSE)</f>
        <v>105.3</v>
      </c>
      <c r="G350" s="79">
        <f>VLOOKUP(A350,Database!$A:$AS,MATCH($G$1,Database!$A$1:$AS$1,0),FALSE)</f>
        <v>108.51407062200001</v>
      </c>
      <c r="H350" s="79">
        <f>(((Table134567891011121314151617343[[#This Row],[ITA]]-VLOOKUP($U$1,A:B,2,))/VLOOKUP($U$1,A:B,2,))*100)+100</f>
        <v>86.924342105593894</v>
      </c>
      <c r="I350" s="79">
        <f>(((Table134567891011121314151617343[[#This Row],[FRA]]-VLOOKUP($U$1,A:C,3,))/VLOOKUP($U$1,A:C,3,))*100)+100</f>
        <v>102.14655088301298</v>
      </c>
      <c r="J350" s="79">
        <f>(((Table134567891011121314151617343[[#This Row],[DEU]]-VLOOKUP($U$1,A:D,4,))/VLOOKUP($U$1,A:D,4,))*100)+100</f>
        <v>137.63297872292324</v>
      </c>
      <c r="K350" s="79">
        <f>(((Table134567891011121314151617343[[#This Row],[ESP]]-VLOOKUP($U$1,A:E,5,))/VLOOKUP($U$1,A:E,5,))*100)+100</f>
        <v>89.934437253257315</v>
      </c>
      <c r="L350" s="79">
        <f>(((Table134567891011121314151617343[[#This Row],[EA19]]-VLOOKUP($U$1,A:F,6,))/VLOOKUP($U$1,A:F,6,))*100)+100</f>
        <v>117.78523489932886</v>
      </c>
      <c r="M350" s="79">
        <f>(((Table134567891011121314151617343[[#This Row],[GBR]]-VLOOKUP($U$1,A:G,7,))/VLOOKUP($U$1,A:G,7,))*100)+100</f>
        <v>117.73628938131293</v>
      </c>
      <c r="N350" s="79">
        <f>VLOOKUP(A350,Database!$A:$AS,MATCH($N$1,Database!$A$1:$AS$1,0),FALSE)</f>
        <v>102.391975608</v>
      </c>
      <c r="O350" s="79">
        <f>(((Table134567891011121314151617343[[#This Row],[USA]]-VLOOKUP($U$1,A:N,14,))/VLOOKUP($U$1,A:N,14,))*100)+100</f>
        <v>117.87696110081299</v>
      </c>
      <c r="P350" s="79">
        <f>VLOOKUP(A350,Database!$A:$AS,MATCH($P$1,Database!$A$1:$AS$1,0),FALSE)</f>
        <v>102.391467378</v>
      </c>
      <c r="Q350" s="79">
        <f>(((Table134567891011121314151617343[[#This Row],[JPN]]-VLOOKUP($U$1,A:Q,16,))/VLOOKUP($U$1,A:Q,16,))*100)+100</f>
        <v>102.79893236252043</v>
      </c>
    </row>
    <row r="351" spans="1:17" s="83" customFormat="1" x14ac:dyDescent="0.2">
      <c r="A351" s="21">
        <v>43497</v>
      </c>
      <c r="B351" s="79">
        <f>VLOOKUP(A351,Database!$A:$AS,MATCH($B$1,Database!$A$1:$AS$1,0),FALSE)</f>
        <v>106.591117407</v>
      </c>
      <c r="C351" s="79">
        <f>VLOOKUP(A351,Database!$A:$AS,MATCH($C$1,Database!$A$1:$AS$1,0),FALSE)</f>
        <v>104.61</v>
      </c>
      <c r="D351" s="79">
        <f>VLOOKUP(A351,Database!$A:$AS,MATCH($D$1,Database!$A$1:$AS$1,0),FALSE)</f>
        <v>103.891342388</v>
      </c>
      <c r="E351" s="79">
        <f>VLOOKUP(A351,Database!$A:$AS,MATCH($E$1,Database!$A$1:$AS$1,0),FALSE)</f>
        <v>105.962088302</v>
      </c>
      <c r="F351" s="79">
        <f>VLOOKUP(A351,Database!$A:$AS,MATCH($F$1,Database!$A$1:$AS$1,0),FALSE)</f>
        <v>105.2</v>
      </c>
      <c r="G351" s="79">
        <f>VLOOKUP(A351,Database!$A:$AS,MATCH($G$1,Database!$A$1:$AS$1,0),FALSE)</f>
        <v>108.72916293199999</v>
      </c>
      <c r="H351" s="79">
        <f>(((Table134567891011121314151617343[[#This Row],[ITA]]-VLOOKUP($U$1,A:B,2,))/VLOOKUP($U$1,A:B,2,))*100)+100</f>
        <v>87.664473684336329</v>
      </c>
      <c r="I351" s="79">
        <f>(((Table134567891011121314151617343[[#This Row],[FRA]]-VLOOKUP($U$1,A:C,3,))/VLOOKUP($U$1,A:C,3,))*100)+100</f>
        <v>102.06849448726706</v>
      </c>
      <c r="J351" s="79">
        <f>(((Table134567891011121314151617343[[#This Row],[DEU]]-VLOOKUP($U$1,A:D,4,))/VLOOKUP($U$1,A:D,4,))*100)+100</f>
        <v>138.16489361594606</v>
      </c>
      <c r="K351" s="79">
        <f>(((Table134567891011121314151617343[[#This Row],[ESP]]-VLOOKUP($U$1,A:E,5,))/VLOOKUP($U$1,A:E,5,))*100)+100</f>
        <v>89.066151130567746</v>
      </c>
      <c r="L351" s="79">
        <f>(((Table134567891011121314151617343[[#This Row],[EA19]]-VLOOKUP($U$1,A:F,6,))/VLOOKUP($U$1,A:F,6,))*100)+100</f>
        <v>117.67337807606263</v>
      </c>
      <c r="M351" s="79">
        <f>(((Table134567891011121314151617343[[#This Row],[GBR]]-VLOOKUP($U$1,A:G,7,))/VLOOKUP($U$1,A:G,7,))*100)+100</f>
        <v>117.96966160952903</v>
      </c>
      <c r="N351" s="79">
        <f>VLOOKUP(A351,Database!$A:$AS,MATCH($N$1,Database!$A$1:$AS$1,0),FALSE)</f>
        <v>101.822736476</v>
      </c>
      <c r="O351" s="79">
        <f>(((Table134567891011121314151617343[[#This Row],[USA]]-VLOOKUP($U$1,A:N,14,))/VLOOKUP($U$1,A:N,14,))*100)+100</f>
        <v>117.22163456158583</v>
      </c>
      <c r="P351" s="79">
        <f>VLOOKUP(A351,Database!$A:$AS,MATCH($P$1,Database!$A$1:$AS$1,0),FALSE)</f>
        <v>102.891425715</v>
      </c>
      <c r="Q351" s="79">
        <f>(((Table134567891011121314151617343[[#This Row],[JPN]]-VLOOKUP($U$1,A:Q,16,))/VLOOKUP($U$1,A:Q,16,))*100)+100</f>
        <v>103.30088027464093</v>
      </c>
    </row>
    <row r="352" spans="1:17" s="83" customFormat="1" x14ac:dyDescent="0.2">
      <c r="A352" s="21">
        <v>43525</v>
      </c>
      <c r="B352" s="79">
        <f>VLOOKUP(A352,Database!$A:$AS,MATCH($B$1,Database!$A$1:$AS$1,0),FALSE)</f>
        <v>105.691192401</v>
      </c>
      <c r="C352" s="79">
        <f>VLOOKUP(A352,Database!$A:$AS,MATCH($C$1,Database!$A$1:$AS$1,0),FALSE)</f>
        <v>104.36</v>
      </c>
      <c r="D352" s="79">
        <f>VLOOKUP(A352,Database!$A:$AS,MATCH($D$1,Database!$A$1:$AS$1,0),FALSE)</f>
        <v>104.691275727</v>
      </c>
      <c r="E352" s="79">
        <f>VLOOKUP(A352,Database!$A:$AS,MATCH($E$1,Database!$A$1:$AS$1,0),FALSE)</f>
        <v>105.25208771</v>
      </c>
      <c r="F352" s="79">
        <f>VLOOKUP(A352,Database!$A:$AS,MATCH($F$1,Database!$A$1:$AS$1,0),FALSE)</f>
        <v>105.3</v>
      </c>
      <c r="G352" s="79">
        <f>VLOOKUP(A352,Database!$A:$AS,MATCH($G$1,Database!$A$1:$AS$1,0),FALSE)</f>
        <v>110.01971679499999</v>
      </c>
      <c r="H352" s="79">
        <f>(((Table134567891011121314151617343[[#This Row],[ITA]]-VLOOKUP($U$1,A:B,2,))/VLOOKUP($U$1,A:B,2,))*100)+100</f>
        <v>86.924342105593894</v>
      </c>
      <c r="I352" s="79">
        <f>(((Table134567891011121314151617343[[#This Row],[FRA]]-VLOOKUP($U$1,A:C,3,))/VLOOKUP($U$1,A:C,3,))*100)+100</f>
        <v>101.82456825056103</v>
      </c>
      <c r="J352" s="79">
        <f>(((Table134567891011121314151617343[[#This Row],[DEU]]-VLOOKUP($U$1,A:D,4,))/VLOOKUP($U$1,A:D,4,))*100)+100</f>
        <v>139.22872340332157</v>
      </c>
      <c r="K352" s="79">
        <f>(((Table134567891011121314151617343[[#This Row],[ESP]]-VLOOKUP($U$1,A:E,5,))/VLOOKUP($U$1,A:E,5,))*100)+100</f>
        <v>88.469362023791803</v>
      </c>
      <c r="L352" s="79">
        <f>(((Table134567891011121314151617343[[#This Row],[EA19]]-VLOOKUP($U$1,A:F,6,))/VLOOKUP($U$1,A:F,6,))*100)+100</f>
        <v>117.78523489932886</v>
      </c>
      <c r="M352" s="79">
        <f>(((Table134567891011121314151617343[[#This Row],[GBR]]-VLOOKUP($U$1,A:G,7,))/VLOOKUP($U$1,A:G,7,))*100)+100</f>
        <v>119.36989498208057</v>
      </c>
      <c r="N352" s="79">
        <f>VLOOKUP(A352,Database!$A:$AS,MATCH($N$1,Database!$A$1:$AS$1,0),FALSE)</f>
        <v>101.957042418</v>
      </c>
      <c r="O352" s="79">
        <f>(((Table134567891011121314151617343[[#This Row],[USA]]-VLOOKUP($U$1,A:N,14,))/VLOOKUP($U$1,A:N,14,))*100)+100</f>
        <v>117.37625191520885</v>
      </c>
      <c r="P352" s="79">
        <f>VLOOKUP(A352,Database!$A:$AS,MATCH($P$1,Database!$A$1:$AS$1,0),FALSE)</f>
        <v>102.491459045</v>
      </c>
      <c r="Q352" s="79">
        <f>(((Table134567891011121314151617343[[#This Row],[JPN]]-VLOOKUP($U$1,A:Q,16,))/VLOOKUP($U$1,A:Q,16,))*100)+100</f>
        <v>102.89932194454295</v>
      </c>
    </row>
    <row r="353" spans="1:17" s="83" customFormat="1" x14ac:dyDescent="0.2">
      <c r="A353" s="21">
        <v>43556</v>
      </c>
      <c r="B353" s="79">
        <f>VLOOKUP(A353,Database!$A:$AS,MATCH($B$1,Database!$A$1:$AS$1,0),FALSE)</f>
        <v>104.59128406000001</v>
      </c>
      <c r="C353" s="79">
        <f>VLOOKUP(A353,Database!$A:$AS,MATCH($C$1,Database!$A$1:$AS$1,0),FALSE)</f>
        <v>104.38</v>
      </c>
      <c r="D353" s="79">
        <f>VLOOKUP(A353,Database!$A:$AS,MATCH($D$1,Database!$A$1:$AS$1,0),FALSE)</f>
        <v>101.89150904100001</v>
      </c>
      <c r="E353" s="79">
        <f>VLOOKUP(A353,Database!$A:$AS,MATCH($E$1,Database!$A$1:$AS$1,0),FALSE)</f>
        <v>106.22708852300001</v>
      </c>
      <c r="F353" s="79">
        <f>VLOOKUP(A353,Database!$A:$AS,MATCH($F$1,Database!$A$1:$AS$1,0),FALSE)</f>
        <v>104.2</v>
      </c>
      <c r="G353" s="79">
        <f>VLOOKUP(A353,Database!$A:$AS,MATCH($G$1,Database!$A$1:$AS$1,0),FALSE)</f>
        <v>106.685785983</v>
      </c>
      <c r="H353" s="79">
        <f>(((Table134567891011121314151617343[[#This Row],[ITA]]-VLOOKUP($U$1,A:B,2,))/VLOOKUP($U$1,A:B,2,))*100)+100</f>
        <v>86.019736842412328</v>
      </c>
      <c r="I353" s="79">
        <f>(((Table134567891011121314151617343[[#This Row],[FRA]]-VLOOKUP($U$1,A:C,3,))/VLOOKUP($U$1,A:C,3,))*100)+100</f>
        <v>101.84408234949751</v>
      </c>
      <c r="J353" s="79">
        <f>(((Table134567891011121314151617343[[#This Row],[DEU]]-VLOOKUP($U$1,A:D,4,))/VLOOKUP($U$1,A:D,4,))*100)+100</f>
        <v>135.50531914817219</v>
      </c>
      <c r="K353" s="79">
        <f>(((Table134567891011121314151617343[[#This Row],[ESP]]-VLOOKUP($U$1,A:E,5,))/VLOOKUP($U$1,A:E,5,))*100)+100</f>
        <v>89.288896360597107</v>
      </c>
      <c r="L353" s="79">
        <f>(((Table134567891011121314151617343[[#This Row],[EA19]]-VLOOKUP($U$1,A:F,6,))/VLOOKUP($U$1,A:F,6,))*100)+100</f>
        <v>116.55480984340045</v>
      </c>
      <c r="M353" s="79">
        <f>(((Table134567891011121314151617343[[#This Row],[GBR]]-VLOOKUP($U$1,A:G,7,))/VLOOKUP($U$1,A:G,7,))*100)+100</f>
        <v>115.75262543713616</v>
      </c>
      <c r="N353" s="79">
        <f>VLOOKUP(A353,Database!$A:$AS,MATCH($N$1,Database!$A$1:$AS$1,0),FALSE)</f>
        <v>101.35321083300001</v>
      </c>
      <c r="O353" s="79">
        <f>(((Table134567891011121314151617343[[#This Row],[USA]]-VLOOKUP($U$1,A:N,14,))/VLOOKUP($U$1,A:N,14,))*100)+100</f>
        <v>116.68110142285985</v>
      </c>
      <c r="P353" s="79">
        <f>VLOOKUP(A353,Database!$A:$AS,MATCH($P$1,Database!$A$1:$AS$1,0),FALSE)</f>
        <v>102.69144238</v>
      </c>
      <c r="Q353" s="79">
        <f>(((Table134567891011121314151617343[[#This Row],[JPN]]-VLOOKUP($U$1,A:Q,16,))/VLOOKUP($U$1,A:Q,16,))*100)+100</f>
        <v>103.10010110959193</v>
      </c>
    </row>
    <row r="354" spans="1:17" s="83" customFormat="1" x14ac:dyDescent="0.2">
      <c r="A354" s="21">
        <v>43586</v>
      </c>
      <c r="B354" s="79">
        <f>VLOOKUP(A354,Database!$A:$AS,MATCH($B$1,Database!$A$1:$AS$1,0),FALSE)</f>
        <v>106.49112574</v>
      </c>
      <c r="C354" s="79">
        <f>VLOOKUP(A354,Database!$A:$AS,MATCH($C$1,Database!$A$1:$AS$1,0),FALSE)</f>
        <v>105.78</v>
      </c>
      <c r="D354" s="79">
        <f>VLOOKUP(A354,Database!$A:$AS,MATCH($D$1,Database!$A$1:$AS$1,0),FALSE)</f>
        <v>102.891425715</v>
      </c>
      <c r="E354" s="79">
        <f>VLOOKUP(A354,Database!$A:$AS,MATCH($E$1,Database!$A$1:$AS$1,0),FALSE)</f>
        <v>109.66809139</v>
      </c>
      <c r="F354" s="79">
        <f>VLOOKUP(A354,Database!$A:$AS,MATCH($F$1,Database!$A$1:$AS$1,0),FALSE)</f>
        <v>105.4</v>
      </c>
      <c r="G354" s="79">
        <f>VLOOKUP(A354,Database!$A:$AS,MATCH($G$1,Database!$A$1:$AS$1,0),FALSE)</f>
        <v>107.761247535</v>
      </c>
      <c r="H354" s="79">
        <f>(((Table134567891011121314151617343[[#This Row],[ITA]]-VLOOKUP($U$1,A:B,2,))/VLOOKUP($U$1,A:B,2,))*100)+100</f>
        <v>87.58223684252799</v>
      </c>
      <c r="I354" s="79">
        <f>(((Table134567891011121314151617343[[#This Row],[FRA]]-VLOOKUP($U$1,A:C,3,))/VLOOKUP($U$1,A:C,3,))*100)+100</f>
        <v>103.21006927505123</v>
      </c>
      <c r="J354" s="79">
        <f>(((Table134567891011121314151617343[[#This Row],[DEU]]-VLOOKUP($U$1,A:D,4,))/VLOOKUP($U$1,A:D,4,))*100)+100</f>
        <v>136.83510638272406</v>
      </c>
      <c r="K354" s="79">
        <f>(((Table134567891011121314151617343[[#This Row],[ESP]]-VLOOKUP($U$1,A:E,5,))/VLOOKUP($U$1,A:E,5,))*100)+100</f>
        <v>92.181222156587992</v>
      </c>
      <c r="L354" s="79">
        <f>(((Table134567891011121314151617343[[#This Row],[EA19]]-VLOOKUP($U$1,A:F,6,))/VLOOKUP($U$1,A:F,6,))*100)+100</f>
        <v>117.89709172259508</v>
      </c>
      <c r="M354" s="79">
        <f>(((Table134567891011121314151617343[[#This Row],[GBR]]-VLOOKUP($U$1,A:G,7,))/VLOOKUP($U$1,A:G,7,))*100)+100</f>
        <v>116.9194865803866</v>
      </c>
      <c r="N354" s="79">
        <f>VLOOKUP(A354,Database!$A:$AS,MATCH($N$1,Database!$A$1:$AS$1,0),FALSE)</f>
        <v>101.549069535</v>
      </c>
      <c r="O354" s="79">
        <f>(((Table134567891011121314151617343[[#This Row],[USA]]-VLOOKUP($U$1,A:N,14,))/VLOOKUP($U$1,A:N,14,))*100)+100</f>
        <v>116.9065803088743</v>
      </c>
      <c r="P354" s="79">
        <f>VLOOKUP(A354,Database!$A:$AS,MATCH($P$1,Database!$A$1:$AS$1,0),FALSE)</f>
        <v>103.891342388</v>
      </c>
      <c r="Q354" s="79">
        <f>(((Table134567891011121314151617343[[#This Row],[JPN]]-VLOOKUP($U$1,A:Q,16,))/VLOOKUP($U$1,A:Q,16,))*100)+100</f>
        <v>104.30477609787795</v>
      </c>
    </row>
    <row r="355" spans="1:17" s="83" customFormat="1" x14ac:dyDescent="0.2">
      <c r="A355" s="21">
        <v>43617</v>
      </c>
      <c r="B355" s="79">
        <f>VLOOKUP(A355,Database!$A:$AS,MATCH($B$1,Database!$A$1:$AS$1,0),FALSE)</f>
        <v>105.79118406800001</v>
      </c>
      <c r="C355" s="79">
        <f>VLOOKUP(A355,Database!$A:$AS,MATCH($C$1,Database!$A$1:$AS$1,0),FALSE)</f>
        <v>103.45</v>
      </c>
      <c r="D355" s="79">
        <f>VLOOKUP(A355,Database!$A:$AS,MATCH($D$1,Database!$A$1:$AS$1,0),FALSE)</f>
        <v>101.89150904100001</v>
      </c>
      <c r="E355" s="79">
        <f>VLOOKUP(A355,Database!$A:$AS,MATCH($E$1,Database!$A$1:$AS$1,0),FALSE)</f>
        <v>108.32309026900001</v>
      </c>
      <c r="F355" s="79">
        <f>VLOOKUP(A355,Database!$A:$AS,MATCH($F$1,Database!$A$1:$AS$1,0),FALSE)</f>
        <v>104</v>
      </c>
      <c r="G355" s="79">
        <f>VLOOKUP(A355,Database!$A:$AS,MATCH($G$1,Database!$A$1:$AS$1,0),FALSE)</f>
        <v>107.008424449</v>
      </c>
      <c r="H355" s="79">
        <f>(((Table134567891011121314151617343[[#This Row],[ITA]]-VLOOKUP($U$1,A:B,2,))/VLOOKUP($U$1,A:B,2,))*100)+100</f>
        <v>87.006578947402247</v>
      </c>
      <c r="I355" s="79">
        <f>(((Table134567891011121314151617343[[#This Row],[FRA]]-VLOOKUP($U$1,A:C,3,))/VLOOKUP($U$1,A:C,3,))*100)+100</f>
        <v>100.93667674895113</v>
      </c>
      <c r="J355" s="79">
        <f>(((Table134567891011121314151617343[[#This Row],[DEU]]-VLOOKUP($U$1,A:D,4,))/VLOOKUP($U$1,A:D,4,))*100)+100</f>
        <v>135.50531914817219</v>
      </c>
      <c r="K355" s="79">
        <f>(((Table134567891011121314151617343[[#This Row],[ESP]]-VLOOKUP($U$1,A:E,5,))/VLOOKUP($U$1,A:E,5,))*100)+100</f>
        <v>91.050685046255225</v>
      </c>
      <c r="L355" s="79">
        <f>(((Table134567891011121314151617343[[#This Row],[EA19]]-VLOOKUP($U$1,A:F,6,))/VLOOKUP($U$1,A:F,6,))*100)+100</f>
        <v>116.331096196868</v>
      </c>
      <c r="M355" s="79">
        <f>(((Table134567891011121314151617343[[#This Row],[GBR]]-VLOOKUP($U$1,A:G,7,))/VLOOKUP($U$1,A:G,7,))*100)+100</f>
        <v>116.10268378054529</v>
      </c>
      <c r="N355" s="79">
        <f>VLOOKUP(A355,Database!$A:$AS,MATCH($N$1,Database!$A$1:$AS$1,0),FALSE)</f>
        <v>101.481767886</v>
      </c>
      <c r="O355" s="79">
        <f>(((Table134567891011121314151617343[[#This Row],[USA]]-VLOOKUP($U$1,A:N,14,))/VLOOKUP($U$1,A:N,14,))*100)+100</f>
        <v>116.82910046913015</v>
      </c>
      <c r="P355" s="79">
        <f>VLOOKUP(A355,Database!$A:$AS,MATCH($P$1,Database!$A$1:$AS$1,0),FALSE)</f>
        <v>101.391550704</v>
      </c>
      <c r="Q355" s="79">
        <f>(((Table134567891011121314151617343[[#This Row],[JPN]]-VLOOKUP($U$1,A:Q,16,))/VLOOKUP($U$1,A:Q,16,))*100)+100</f>
        <v>101.79503653827943</v>
      </c>
    </row>
    <row r="356" spans="1:17" s="83" customFormat="1" x14ac:dyDescent="0.2">
      <c r="A356" s="21">
        <v>43647</v>
      </c>
      <c r="B356" s="79">
        <f>VLOOKUP(A356,Database!$A:$AS,MATCH($B$1,Database!$A$1:$AS$1,0),FALSE)</f>
        <v>106.09115907</v>
      </c>
      <c r="C356" s="79">
        <f>VLOOKUP(A356,Database!$A:$AS,MATCH($C$1,Database!$A$1:$AS$1,0),FALSE)</f>
        <v>103.98</v>
      </c>
      <c r="D356" s="79">
        <f>VLOOKUP(A356,Database!$A:$AS,MATCH($D$1,Database!$A$1:$AS$1,0),FALSE)</f>
        <v>101.391550704</v>
      </c>
      <c r="E356" s="79">
        <f>VLOOKUP(A356,Database!$A:$AS,MATCH($E$1,Database!$A$1:$AS$1,0),FALSE)</f>
        <v>106.33208861</v>
      </c>
      <c r="F356" s="79">
        <f>VLOOKUP(A356,Database!$A:$AS,MATCH($F$1,Database!$A$1:$AS$1,0),FALSE)</f>
        <v>103.7</v>
      </c>
      <c r="G356" s="79">
        <f>VLOOKUP(A356,Database!$A:$AS,MATCH($G$1,Database!$A$1:$AS$1,0),FALSE)</f>
        <v>107.43860907</v>
      </c>
      <c r="H356" s="79">
        <f>(((Table134567891011121314151617343[[#This Row],[ITA]]-VLOOKUP($U$1,A:B,2,))/VLOOKUP($U$1,A:B,2,))*100)+100</f>
        <v>87.253289473649716</v>
      </c>
      <c r="I356" s="79">
        <f>(((Table134567891011121314151617343[[#This Row],[FRA]]-VLOOKUP($U$1,A:C,3,))/VLOOKUP($U$1,A:C,3,))*100)+100</f>
        <v>101.45380037076789</v>
      </c>
      <c r="J356" s="79">
        <f>(((Table134567891011121314151617343[[#This Row],[DEU]]-VLOOKUP($U$1,A:D,4,))/VLOOKUP($U$1,A:D,4,))*100)+100</f>
        <v>134.84042553089625</v>
      </c>
      <c r="K356" s="79">
        <f>(((Table134567891011121314151617343[[#This Row],[ESP]]-VLOOKUP($U$1,A:E,5,))/VLOOKUP($U$1,A:E,5,))*100)+100</f>
        <v>89.377153904095223</v>
      </c>
      <c r="L356" s="79">
        <f>(((Table134567891011121314151617343[[#This Row],[EA19]]-VLOOKUP($U$1,A:F,6,))/VLOOKUP($U$1,A:F,6,))*100)+100</f>
        <v>115.99552572706935</v>
      </c>
      <c r="M356" s="79">
        <f>(((Table134567891011121314151617343[[#This Row],[GBR]]-VLOOKUP($U$1,A:G,7,))/VLOOKUP($U$1,A:G,7,))*100)+100</f>
        <v>116.56942823806247</v>
      </c>
      <c r="N356" s="79">
        <f>VLOOKUP(A356,Database!$A:$AS,MATCH($N$1,Database!$A$1:$AS$1,0),FALSE)</f>
        <v>101.15745124999999</v>
      </c>
      <c r="O356" s="79">
        <f>(((Table134567891011121314151617343[[#This Row],[USA]]-VLOOKUP($U$1,A:N,14,))/VLOOKUP($U$1,A:N,14,))*100)+100</f>
        <v>116.45573664585089</v>
      </c>
      <c r="P356" s="79">
        <f>VLOOKUP(A356,Database!$A:$AS,MATCH($P$1,Database!$A$1:$AS$1,0),FALSE)</f>
        <v>101.79151737399999</v>
      </c>
      <c r="Q356" s="79">
        <f>(((Table134567891011121314151617343[[#This Row],[JPN]]-VLOOKUP($U$1,A:Q,16,))/VLOOKUP($U$1,A:Q,16,))*100)+100</f>
        <v>102.19659486837742</v>
      </c>
    </row>
    <row r="357" spans="1:17" s="83" customFormat="1" x14ac:dyDescent="0.2">
      <c r="A357" s="21">
        <v>43678</v>
      </c>
      <c r="B357" s="79">
        <f>VLOOKUP(A357,Database!$A:$AS,MATCH($B$1,Database!$A$1:$AS$1,0),FALSE)</f>
        <v>105.491209066</v>
      </c>
      <c r="C357" s="79">
        <f>VLOOKUP(A357,Database!$A:$AS,MATCH($C$1,Database!$A$1:$AS$1,0),FALSE)</f>
        <v>102.88</v>
      </c>
      <c r="D357" s="79">
        <f>VLOOKUP(A357,Database!$A:$AS,MATCH($D$1,Database!$A$1:$AS$1,0),FALSE)</f>
        <v>101.69152570599999</v>
      </c>
      <c r="E357" s="79">
        <f>VLOOKUP(A357,Database!$A:$AS,MATCH($E$1,Database!$A$1:$AS$1,0),FALSE)</f>
        <v>106.753088961</v>
      </c>
      <c r="F357" s="79">
        <f>VLOOKUP(A357,Database!$A:$AS,MATCH($F$1,Database!$A$1:$AS$1,0),FALSE)</f>
        <v>104</v>
      </c>
      <c r="G357" s="79">
        <f>VLOOKUP(A357,Database!$A:$AS,MATCH($G$1,Database!$A$1:$AS$1,0),FALSE)</f>
        <v>106.470693673</v>
      </c>
      <c r="H357" s="79">
        <f>(((Table134567891011121314151617343[[#This Row],[ITA]]-VLOOKUP($U$1,A:B,2,))/VLOOKUP($U$1,A:B,2,))*100)+100</f>
        <v>86.759868421154763</v>
      </c>
      <c r="I357" s="79">
        <f>(((Table134567891011121314151617343[[#This Row],[FRA]]-VLOOKUP($U$1,A:C,3,))/VLOOKUP($U$1,A:C,3,))*100)+100</f>
        <v>100.3805249292614</v>
      </c>
      <c r="J357" s="79">
        <f>(((Table134567891011121314151617343[[#This Row],[DEU]]-VLOOKUP($U$1,A:D,4,))/VLOOKUP($U$1,A:D,4,))*100)+100</f>
        <v>135.23936170099583</v>
      </c>
      <c r="K357" s="79">
        <f>(((Table134567891011121314151617343[[#This Row],[ESP]]-VLOOKUP($U$1,A:E,5,))/VLOOKUP($U$1,A:E,5,))*100)+100</f>
        <v>89.731024627946184</v>
      </c>
      <c r="L357" s="79">
        <f>(((Table134567891011121314151617343[[#This Row],[EA19]]-VLOOKUP($U$1,A:F,6,))/VLOOKUP($U$1,A:F,6,))*100)+100</f>
        <v>116.331096196868</v>
      </c>
      <c r="M357" s="79">
        <f>(((Table134567891011121314151617343[[#This Row],[GBR]]-VLOOKUP($U$1,A:G,7,))/VLOOKUP($U$1,A:G,7,))*100)+100</f>
        <v>115.51925320892006</v>
      </c>
      <c r="N357" s="79">
        <f>VLOOKUP(A357,Database!$A:$AS,MATCH($N$1,Database!$A$1:$AS$1,0),FALSE)</f>
        <v>101.783287203</v>
      </c>
      <c r="O357" s="79">
        <f>(((Table134567891011121314151617343[[#This Row],[USA]]-VLOOKUP($U$1,A:N,14,))/VLOOKUP($U$1,A:N,14,))*100)+100</f>
        <v>117.17621927985829</v>
      </c>
      <c r="P357" s="79">
        <f>VLOOKUP(A357,Database!$A:$AS,MATCH($P$1,Database!$A$1:$AS$1,0),FALSE)</f>
        <v>100.49162569800001</v>
      </c>
      <c r="Q357" s="79">
        <f>(((Table134567891011121314151617343[[#This Row],[JPN]]-VLOOKUP($U$1,A:Q,16,))/VLOOKUP($U$1,A:Q,16,))*100)+100</f>
        <v>100.89153029706493</v>
      </c>
    </row>
    <row r="358" spans="1:17" s="83" customFormat="1" x14ac:dyDescent="0.2">
      <c r="A358" s="21">
        <v>43709</v>
      </c>
      <c r="B358" s="79">
        <f>VLOOKUP(A358,Database!$A:$AS,MATCH($B$1,Database!$A$1:$AS$1,0),FALSE)</f>
        <v>104.891259062</v>
      </c>
      <c r="C358" s="79">
        <f>VLOOKUP(A358,Database!$A:$AS,MATCH($C$1,Database!$A$1:$AS$1,0),FALSE)</f>
        <v>103.97</v>
      </c>
      <c r="D358" s="79">
        <f>VLOOKUP(A358,Database!$A:$AS,MATCH($D$1,Database!$A$1:$AS$1,0),FALSE)</f>
        <v>100.591617365</v>
      </c>
      <c r="E358" s="79">
        <f>VLOOKUP(A358,Database!$A:$AS,MATCH($E$1,Database!$A$1:$AS$1,0),FALSE)</f>
        <v>105.003087503</v>
      </c>
      <c r="F358" s="79">
        <f>VLOOKUP(A358,Database!$A:$AS,MATCH($F$1,Database!$A$1:$AS$1,0),FALSE)</f>
        <v>103.7</v>
      </c>
      <c r="G358" s="79">
        <f>VLOOKUP(A358,Database!$A:$AS,MATCH($G$1,Database!$A$1:$AS$1,0),FALSE)</f>
        <v>107.115970604</v>
      </c>
      <c r="H358" s="79">
        <f>(((Table134567891011121314151617343[[#This Row],[ITA]]-VLOOKUP($U$1,A:B,2,))/VLOOKUP($U$1,A:B,2,))*100)+100</f>
        <v>86.266447368659811</v>
      </c>
      <c r="I358" s="79">
        <f>(((Table134567891011121314151617343[[#This Row],[FRA]]-VLOOKUP($U$1,A:C,3,))/VLOOKUP($U$1,A:C,3,))*100)+100</f>
        <v>101.44404332129965</v>
      </c>
      <c r="J358" s="79">
        <f>(((Table134567891011121314151617343[[#This Row],[DEU]]-VLOOKUP($U$1,A:D,4,))/VLOOKUP($U$1,A:D,4,))*100)+100</f>
        <v>133.77659574352074</v>
      </c>
      <c r="K358" s="79">
        <f>(((Table134567891011121314151617343[[#This Row],[ESP]]-VLOOKUP($U$1,A:E,5,))/VLOOKUP($U$1,A:E,5,))*100)+100</f>
        <v>88.260065562919905</v>
      </c>
      <c r="L358" s="79">
        <f>(((Table134567891011121314151617343[[#This Row],[EA19]]-VLOOKUP($U$1,A:F,6,))/VLOOKUP($U$1,A:F,6,))*100)+100</f>
        <v>115.99552572706935</v>
      </c>
      <c r="M358" s="79">
        <f>(((Table134567891011121314151617343[[#This Row],[GBR]]-VLOOKUP($U$1,A:G,7,))/VLOOKUP($U$1,A:G,7,))*100)+100</f>
        <v>116.21936989465334</v>
      </c>
      <c r="N358" s="79">
        <f>VLOOKUP(A358,Database!$A:$AS,MATCH($N$1,Database!$A$1:$AS$1,0),FALSE)</f>
        <v>101.41268209899999</v>
      </c>
      <c r="O358" s="79">
        <f>(((Table134567891011121314151617343[[#This Row],[USA]]-VLOOKUP($U$1,A:N,14,))/VLOOKUP($U$1,A:N,14,))*100)+100</f>
        <v>116.74956667189203</v>
      </c>
      <c r="P358" s="79">
        <f>VLOOKUP(A358,Database!$A:$AS,MATCH($P$1,Database!$A$1:$AS$1,0),FALSE)</f>
        <v>102.491459045</v>
      </c>
      <c r="Q358" s="79">
        <f>(((Table134567891011121314151617343[[#This Row],[JPN]]-VLOOKUP($U$1,A:Q,16,))/VLOOKUP($U$1,A:Q,16,))*100)+100</f>
        <v>102.89932194454295</v>
      </c>
    </row>
    <row r="359" spans="1:17" s="83" customFormat="1" x14ac:dyDescent="0.2">
      <c r="A359" s="21">
        <v>43739</v>
      </c>
      <c r="B359" s="79">
        <f>VLOOKUP(A359,Database!$A:$AS,MATCH($B$1,Database!$A$1:$AS$1,0),FALSE)</f>
        <v>103.991334055</v>
      </c>
      <c r="C359" s="79">
        <f>VLOOKUP(A359,Database!$A:$AS,MATCH($C$1,Database!$A$1:$AS$1,0),FALSE)</f>
        <v>103.55</v>
      </c>
      <c r="D359" s="79">
        <f>VLOOKUP(A359,Database!$A:$AS,MATCH($D$1,Database!$A$1:$AS$1,0),FALSE)</f>
        <v>99.391717357000005</v>
      </c>
      <c r="E359" s="79">
        <f>VLOOKUP(A359,Database!$A:$AS,MATCH($E$1,Database!$A$1:$AS$1,0),FALSE)</f>
        <v>103.936086613</v>
      </c>
      <c r="F359" s="79">
        <f>VLOOKUP(A359,Database!$A:$AS,MATCH($F$1,Database!$A$1:$AS$1,0),FALSE)</f>
        <v>103.4</v>
      </c>
      <c r="G359" s="79">
        <f>VLOOKUP(A359,Database!$A:$AS,MATCH($G$1,Database!$A$1:$AS$1,0),FALSE)</f>
        <v>107.65370138</v>
      </c>
      <c r="H359" s="79">
        <f>(((Table134567891011121314151617343[[#This Row],[ITA]]-VLOOKUP($U$1,A:B,2,))/VLOOKUP($U$1,A:B,2,))*100)+100</f>
        <v>85.526315789094923</v>
      </c>
      <c r="I359" s="79">
        <f>(((Table134567891011121314151617343[[#This Row],[FRA]]-VLOOKUP($U$1,A:C,3,))/VLOOKUP($U$1,A:C,3,))*100)+100</f>
        <v>101.03424724363353</v>
      </c>
      <c r="J359" s="79">
        <f>(((Table134567891011121314151617343[[#This Row],[DEU]]-VLOOKUP($U$1,A:D,4,))/VLOOKUP($U$1,A:D,4,))*100)+100</f>
        <v>132.18085106312242</v>
      </c>
      <c r="K359" s="79">
        <f>(((Table134567891011121314151617343[[#This Row],[ESP]]-VLOOKUP($U$1,A:E,5,))/VLOOKUP($U$1,A:E,5,))*100)+100</f>
        <v>87.363200806401167</v>
      </c>
      <c r="L359" s="79">
        <f>(((Table134567891011121314151617343[[#This Row],[EA19]]-VLOOKUP($U$1,A:F,6,))/VLOOKUP($U$1,A:F,6,))*100)+100</f>
        <v>115.6599552572707</v>
      </c>
      <c r="M359" s="79">
        <f>(((Table134567891011121314151617343[[#This Row],[GBR]]-VLOOKUP($U$1,A:G,7,))/VLOOKUP($U$1,A:G,7,))*100)+100</f>
        <v>116.80280046627857</v>
      </c>
      <c r="N359" s="79">
        <f>VLOOKUP(A359,Database!$A:$AS,MATCH($N$1,Database!$A$1:$AS$1,0),FALSE)</f>
        <v>100.57037073799999</v>
      </c>
      <c r="O359" s="79">
        <f>(((Table134567891011121314151617343[[#This Row],[USA]]-VLOOKUP($U$1,A:N,14,))/VLOOKUP($U$1,A:N,14,))*100)+100</f>
        <v>115.77987053168383</v>
      </c>
      <c r="P359" s="79">
        <f>VLOOKUP(A359,Database!$A:$AS,MATCH($P$1,Database!$A$1:$AS$1,0),FALSE)</f>
        <v>98.291809016000002</v>
      </c>
      <c r="Q359" s="79">
        <f>(((Table134567891011121314151617343[[#This Row],[JPN]]-VLOOKUP($U$1,A:Q,16,))/VLOOKUP($U$1,A:Q,16,))*100)+100</f>
        <v>98.682959484537918</v>
      </c>
    </row>
    <row r="360" spans="1:17" s="83" customFormat="1" x14ac:dyDescent="0.2">
      <c r="A360" s="21">
        <v>43770</v>
      </c>
      <c r="B360" s="79">
        <f>VLOOKUP(A360,Database!$A:$AS,MATCH($B$1,Database!$A$1:$AS$1,0),FALSE)</f>
        <v>104.691275727</v>
      </c>
      <c r="C360" s="79">
        <f>VLOOKUP(A360,Database!$A:$AS,MATCH($C$1,Database!$A$1:$AS$1,0),FALSE)</f>
        <v>103.61</v>
      </c>
      <c r="D360" s="79">
        <f>VLOOKUP(A360,Database!$A:$AS,MATCH($D$1,Database!$A$1:$AS$1,0),FALSE)</f>
        <v>99.891675694</v>
      </c>
      <c r="E360" s="79">
        <f>VLOOKUP(A360,Database!$A:$AS,MATCH($E$1,Database!$A$1:$AS$1,0),FALSE)</f>
        <v>105.505087921</v>
      </c>
      <c r="F360" s="79">
        <f>VLOOKUP(A360,Database!$A:$AS,MATCH($F$1,Database!$A$1:$AS$1,0),FALSE)</f>
        <v>102.8</v>
      </c>
      <c r="G360" s="79">
        <f>VLOOKUP(A360,Database!$A:$AS,MATCH($G$1,Database!$A$1:$AS$1,0),FALSE)</f>
        <v>106.793332138</v>
      </c>
      <c r="H360" s="79">
        <f>(((Table134567891011121314151617343[[#This Row],[ITA]]-VLOOKUP($U$1,A:B,2,))/VLOOKUP($U$1,A:B,2,))*100)+100</f>
        <v>86.101973684220681</v>
      </c>
      <c r="I360" s="79">
        <f>(((Table134567891011121314151617343[[#This Row],[FRA]]-VLOOKUP($U$1,A:C,3,))/VLOOKUP($U$1,A:C,3,))*100)+100</f>
        <v>101.09278954044298</v>
      </c>
      <c r="J360" s="79">
        <f>(((Table134567891011121314151617343[[#This Row],[DEU]]-VLOOKUP($U$1,A:D,4,))/VLOOKUP($U$1,A:D,4,))*100)+100</f>
        <v>132.84574468039835</v>
      </c>
      <c r="K360" s="79">
        <f>(((Table134567891011121314151617343[[#This Row],[ESP]]-VLOOKUP($U$1,A:E,5,))/VLOOKUP($U$1,A:E,5,))*100)+100</f>
        <v>88.682020677373345</v>
      </c>
      <c r="L360" s="79">
        <f>(((Table134567891011121314151617343[[#This Row],[EA19]]-VLOOKUP($U$1,A:F,6,))/VLOOKUP($U$1,A:F,6,))*100)+100</f>
        <v>114.98881431767337</v>
      </c>
      <c r="M360" s="79">
        <f>(((Table134567891011121314151617343[[#This Row],[GBR]]-VLOOKUP($U$1,A:G,7,))/VLOOKUP($U$1,A:G,7,))*100)+100</f>
        <v>115.86931155124421</v>
      </c>
      <c r="N360" s="79">
        <f>VLOOKUP(A360,Database!$A:$AS,MATCH($N$1,Database!$A$1:$AS$1,0),FALSE)</f>
        <v>101.088861057</v>
      </c>
      <c r="O360" s="79">
        <f>(((Table134567891011121314151617343[[#This Row],[USA]]-VLOOKUP($U$1,A:N,14,))/VLOOKUP($U$1,A:N,14,))*100)+100</f>
        <v>116.37677339248903</v>
      </c>
      <c r="P360" s="79">
        <f>VLOOKUP(A360,Database!$A:$AS,MATCH($P$1,Database!$A$1:$AS$1,0),FALSE)</f>
        <v>97.691859011999995</v>
      </c>
      <c r="Q360" s="79">
        <f>(((Table134567891011121314151617343[[#This Row],[JPN]]-VLOOKUP($U$1,A:Q,16,))/VLOOKUP($U$1,A:Q,16,))*100)+100</f>
        <v>98.080621990394917</v>
      </c>
    </row>
    <row r="361" spans="1:17" s="83" customFormat="1" x14ac:dyDescent="0.2">
      <c r="A361" s="21">
        <v>43800</v>
      </c>
      <c r="B361" s="79">
        <f>VLOOKUP(A361,Database!$A:$AS,MATCH($B$1,Database!$A$1:$AS$1,0),FALSE)</f>
        <v>101.89150904100001</v>
      </c>
      <c r="C361" s="79">
        <f>VLOOKUP(A361,Database!$A:$AS,MATCH($C$1,Database!$A$1:$AS$1,0),FALSE)</f>
        <v>101.13</v>
      </c>
      <c r="D361" s="79">
        <f>VLOOKUP(A361,Database!$A:$AS,MATCH($D$1,Database!$A$1:$AS$1,0),FALSE)</f>
        <v>98.191817349000004</v>
      </c>
      <c r="E361" s="79">
        <f>VLOOKUP(A361,Database!$A:$AS,MATCH($E$1,Database!$A$1:$AS$1,0),FALSE)</f>
        <v>103.468086223</v>
      </c>
      <c r="F361" s="79">
        <f>VLOOKUP(A361,Database!$A:$AS,MATCH($F$1,Database!$A$1:$AS$1,0),FALSE)</f>
        <v>101.4</v>
      </c>
      <c r="G361" s="79">
        <f>VLOOKUP(A361,Database!$A:$AS,MATCH($G$1,Database!$A$1:$AS$1,0),FALSE)</f>
        <v>106.363147517</v>
      </c>
      <c r="H361" s="79">
        <f>(((Table134567891011121314151617343[[#This Row],[ITA]]-VLOOKUP($U$1,A:B,2,))/VLOOKUP($U$1,A:B,2,))*100)+100</f>
        <v>83.799342105362598</v>
      </c>
      <c r="I361" s="79">
        <f>(((Table134567891011121314151617343[[#This Row],[FRA]]-VLOOKUP($U$1,A:C,3,))/VLOOKUP($U$1,A:C,3,))*100)+100</f>
        <v>98.673041272319253</v>
      </c>
      <c r="J361" s="79">
        <f>(((Table134567891011121314151617343[[#This Row],[DEU]]-VLOOKUP($U$1,A:D,4,))/VLOOKUP($U$1,A:D,4,))*100)+100</f>
        <v>130.58510638272406</v>
      </c>
      <c r="K361" s="79">
        <f>(((Table134567891011121314151617343[[#This Row],[ESP]]-VLOOKUP($U$1,A:E,5,))/VLOOKUP($U$1,A:E,5,))*100)+100</f>
        <v>86.969824324936354</v>
      </c>
      <c r="L361" s="79">
        <f>(((Table134567891011121314151617343[[#This Row],[EA19]]-VLOOKUP($U$1,A:F,6,))/VLOOKUP($U$1,A:F,6,))*100)+100</f>
        <v>113.42281879194631</v>
      </c>
      <c r="M361" s="79">
        <f>(((Table134567891011121314151617343[[#This Row],[GBR]]-VLOOKUP($U$1,A:G,7,))/VLOOKUP($U$1,A:G,7,))*100)+100</f>
        <v>115.40256709372703</v>
      </c>
      <c r="N361" s="79">
        <f>VLOOKUP(A361,Database!$A:$AS,MATCH($N$1,Database!$A$1:$AS$1,0),FALSE)</f>
        <v>100.722418941</v>
      </c>
      <c r="O361" s="79">
        <f>(((Table134567891011121314151617343[[#This Row],[USA]]-VLOOKUP($U$1,A:N,14,))/VLOOKUP($U$1,A:N,14,))*100)+100</f>
        <v>115.95491335124126</v>
      </c>
      <c r="P361" s="79">
        <f>VLOOKUP(A361,Database!$A:$AS,MATCH($P$1,Database!$A$1:$AS$1,0),FALSE)</f>
        <v>97.791850679000007</v>
      </c>
      <c r="Q361" s="79">
        <f>(((Table134567891011121314151617343[[#This Row],[JPN]]-VLOOKUP($U$1,A:Q,16,))/VLOOKUP($U$1,A:Q,16,))*100)+100</f>
        <v>98.181011572417432</v>
      </c>
    </row>
    <row r="362" spans="1:17" s="83" customFormat="1" x14ac:dyDescent="0.2">
      <c r="A362" s="21">
        <v>43831</v>
      </c>
      <c r="B362" s="79">
        <f>VLOOKUP(A362,Database!$A:$AS,MATCH($B$1,Database!$A$1:$AS$1,0),FALSE)</f>
        <v>104.691275727</v>
      </c>
      <c r="C362" s="79">
        <f>VLOOKUP(A362,Database!$A:$AS,MATCH($C$1,Database!$A$1:$AS$1,0),FALSE)</f>
        <v>101.31</v>
      </c>
      <c r="D362" s="79">
        <f>VLOOKUP(A362,Database!$A:$AS,MATCH($D$1,Database!$A$1:$AS$1,0),FALSE)</f>
        <v>100.591617365</v>
      </c>
      <c r="E362" s="79">
        <f>VLOOKUP(A362,Database!$A:$AS,MATCH($E$1,Database!$A$1:$AS$1,0),FALSE)</f>
        <v>103.63408636200001</v>
      </c>
      <c r="F362" s="79">
        <f>VLOOKUP(A362,Database!$A:$AS,MATCH($F$1,Database!$A$1:$AS$1,0),FALSE)</f>
        <v>103.1</v>
      </c>
      <c r="G362" s="79">
        <f>VLOOKUP(A362,Database!$A:$AS,MATCH($G$1,Database!$A$1:$AS$1,0),FALSE)</f>
        <v>106.25560136199999</v>
      </c>
      <c r="H362" s="79">
        <f>(((Table134567891011121314151617343[[#This Row],[ITA]]-VLOOKUP($U$1,A:B,2,))/VLOOKUP($U$1,A:B,2,))*100)+100</f>
        <v>86.101973684220681</v>
      </c>
      <c r="I362" s="79">
        <f>(((Table134567891011121314151617343[[#This Row],[FRA]]-VLOOKUP($U$1,A:C,3,))/VLOOKUP($U$1,A:C,3,))*100)+100</f>
        <v>98.848668162747586</v>
      </c>
      <c r="J362" s="79">
        <f>(((Table134567891011121314151617343[[#This Row],[DEU]]-VLOOKUP($U$1,A:D,4,))/VLOOKUP($U$1,A:D,4,))*100)+100</f>
        <v>133.77659574352074</v>
      </c>
      <c r="K362" s="79">
        <f>(((Table134567891011121314151617343[[#This Row],[ESP]]-VLOOKUP($U$1,A:E,5,))/VLOOKUP($U$1,A:E,5,))*100)+100</f>
        <v>87.109355299691501</v>
      </c>
      <c r="L362" s="79">
        <f>(((Table134567891011121314151617343[[#This Row],[EA19]]-VLOOKUP($U$1,A:F,6,))/VLOOKUP($U$1,A:F,6,))*100)+100</f>
        <v>115.32438478747203</v>
      </c>
      <c r="M362" s="79">
        <f>(((Table134567891011121314151617343[[#This Row],[GBR]]-VLOOKUP($U$1,A:G,7,))/VLOOKUP($U$1,A:G,7,))*100)+100</f>
        <v>115.28588097961897</v>
      </c>
      <c r="N362" s="79">
        <f>VLOOKUP(A362,Database!$A:$AS,MATCH($N$1,Database!$A$1:$AS$1,0),FALSE)</f>
        <v>100.20095505899999</v>
      </c>
      <c r="O362" s="79">
        <f>(((Table134567891011121314151617343[[#This Row],[USA]]-VLOOKUP($U$1,A:N,14,))/VLOOKUP($U$1,A:N,14,))*100)+100</f>
        <v>115.35458722832981</v>
      </c>
      <c r="P362" s="79">
        <f>VLOOKUP(A362,Database!$A:$AS,MATCH($P$1,Database!$A$1:$AS$1,0),FALSE)</f>
        <v>98.091825681000003</v>
      </c>
      <c r="Q362" s="79">
        <f>(((Table134567891011121314151617343[[#This Row],[JPN]]-VLOOKUP($U$1,A:Q,16,))/VLOOKUP($U$1,A:Q,16,))*100)+100</f>
        <v>98.482180319488933</v>
      </c>
    </row>
    <row r="363" spans="1:17" s="83" customFormat="1" x14ac:dyDescent="0.2">
      <c r="A363" s="21">
        <v>43862</v>
      </c>
      <c r="B363" s="79">
        <f>VLOOKUP(A363,Database!$A:$AS,MATCH($B$1,Database!$A$1:$AS$1,0),FALSE)</f>
        <v>103.29139238400001</v>
      </c>
      <c r="C363" s="79">
        <f>VLOOKUP(A363,Database!$A:$AS,MATCH($C$1,Database!$A$1:$AS$1,0),FALSE)</f>
        <v>103.23</v>
      </c>
      <c r="D363" s="79">
        <f>VLOOKUP(A363,Database!$A:$AS,MATCH($D$1,Database!$A$1:$AS$1,0),FALSE)</f>
        <v>102.09149237600001</v>
      </c>
      <c r="E363" s="79">
        <f>VLOOKUP(A363,Database!$A:$AS,MATCH($E$1,Database!$A$1:$AS$1,0),FALSE)</f>
        <v>103.420086183</v>
      </c>
      <c r="F363" s="79">
        <f>VLOOKUP(A363,Database!$A:$AS,MATCH($F$1,Database!$A$1:$AS$1,0),FALSE)</f>
        <v>103.3</v>
      </c>
      <c r="G363" s="79">
        <f>VLOOKUP(A363,Database!$A:$AS,MATCH($G$1,Database!$A$1:$AS$1,0),FALSE)</f>
        <v>106.25560136199999</v>
      </c>
      <c r="H363" s="79">
        <f>(((Table134567891011121314151617343[[#This Row],[ITA]]-VLOOKUP($U$1,A:B,2,))/VLOOKUP($U$1,A:B,2,))*100)+100</f>
        <v>84.950657894791632</v>
      </c>
      <c r="I363" s="79">
        <f>(((Table134567891011121314151617343[[#This Row],[FRA]]-VLOOKUP($U$1,A:C,3,))/VLOOKUP($U$1,A:C,3,))*100)+100</f>
        <v>100.72202166064983</v>
      </c>
      <c r="J363" s="79">
        <f>(((Table134567891011121314151617343[[#This Row],[DEU]]-VLOOKUP($U$1,A:D,4,))/VLOOKUP($U$1,A:D,4,))*100)+100</f>
        <v>135.77127659534855</v>
      </c>
      <c r="K363" s="79">
        <f>(((Table134567891011121314151617343[[#This Row],[ESP]]-VLOOKUP($U$1,A:E,5,))/VLOOKUP($U$1,A:E,5,))*100)+100</f>
        <v>86.92947801914508</v>
      </c>
      <c r="L363" s="79">
        <f>(((Table134567891011121314151617343[[#This Row],[EA19]]-VLOOKUP($U$1,A:F,6,))/VLOOKUP($U$1,A:F,6,))*100)+100</f>
        <v>115.54809843400446</v>
      </c>
      <c r="M363" s="79">
        <f>(((Table134567891011121314151617343[[#This Row],[GBR]]-VLOOKUP($U$1,A:G,7,))/VLOOKUP($U$1,A:G,7,))*100)+100</f>
        <v>115.28588097961897</v>
      </c>
      <c r="N363" s="79">
        <f>VLOOKUP(A363,Database!$A:$AS,MATCH($N$1,Database!$A$1:$AS$1,0),FALSE)</f>
        <v>100.43180268899999</v>
      </c>
      <c r="O363" s="79">
        <f>(((Table134567891011121314151617343[[#This Row],[USA]]-VLOOKUP($U$1,A:N,14,))/VLOOKUP($U$1,A:N,14,))*100)+100</f>
        <v>115.62034650233682</v>
      </c>
      <c r="P363" s="79">
        <f>VLOOKUP(A363,Database!$A:$AS,MATCH($P$1,Database!$A$1:$AS$1,0),FALSE)</f>
        <v>98.391800683</v>
      </c>
      <c r="Q363" s="79">
        <f>(((Table134567891011121314151617343[[#This Row],[JPN]]-VLOOKUP($U$1,A:Q,16,))/VLOOKUP($U$1,A:Q,16,))*100)+100</f>
        <v>98.783349066560433</v>
      </c>
    </row>
    <row r="364" spans="1:17" s="83" customFormat="1" x14ac:dyDescent="0.2">
      <c r="A364" s="21">
        <v>43891</v>
      </c>
      <c r="B364" s="79">
        <f>VLOOKUP(A364,Database!$A:$AS,MATCH($B$1,Database!$A$1:$AS$1,0),FALSE)</f>
        <v>74.293808849000001</v>
      </c>
      <c r="C364" s="79">
        <f>VLOOKUP(A364,Database!$A:$AS,MATCH($C$1,Database!$A$1:$AS$1,0),FALSE)</f>
        <v>85.47</v>
      </c>
      <c r="D364" s="79">
        <f>VLOOKUP(A364,Database!$A:$AS,MATCH($D$1,Database!$A$1:$AS$1,0),FALSE)</f>
        <v>90.992417298999996</v>
      </c>
      <c r="E364" s="79">
        <f>VLOOKUP(A364,Database!$A:$AS,MATCH($E$1,Database!$A$1:$AS$1,0),FALSE)</f>
        <v>90.327075273000005</v>
      </c>
      <c r="F364" s="79">
        <f>VLOOKUP(A364,Database!$A:$AS,MATCH($F$1,Database!$A$1:$AS$1,0),FALSE)</f>
        <v>91.7</v>
      </c>
      <c r="G364" s="79">
        <f>VLOOKUP(A364,Database!$A:$AS,MATCH($G$1,Database!$A$1:$AS$1,0),FALSE)</f>
        <v>100.44810898</v>
      </c>
      <c r="H364" s="79">
        <f>(((Table134567891011121314151617343[[#This Row],[ITA]]-VLOOKUP($U$1,A:B,2,))/VLOOKUP($U$1,A:B,2,))*100)+100</f>
        <v>61.101973684015064</v>
      </c>
      <c r="I364" s="79">
        <f>(((Table134567891011121314151617343[[#This Row],[FRA]]-VLOOKUP($U$1,A:C,3,))/VLOOKUP($U$1,A:C,3,))*100)+100</f>
        <v>83.393501805054157</v>
      </c>
      <c r="J364" s="79">
        <f>(((Table134567891011121314151617343[[#This Row],[DEU]]-VLOOKUP($U$1,A:D,4,))/VLOOKUP($U$1,A:D,4,))*100)+100</f>
        <v>121.01063829767428</v>
      </c>
      <c r="K364" s="79">
        <f>(((Table134567891011121314151617343[[#This Row],[ESP]]-VLOOKUP($U$1,A:E,5,))/VLOOKUP($U$1,A:E,5,))*100)+100</f>
        <v>75.92418256724126</v>
      </c>
      <c r="L364" s="79">
        <f>(((Table134567891011121314151617343[[#This Row],[EA19]]-VLOOKUP($U$1,A:F,6,))/VLOOKUP($U$1,A:F,6,))*100)+100</f>
        <v>102.57270693512304</v>
      </c>
      <c r="M364" s="79">
        <f>(((Table134567891011121314151617343[[#This Row],[GBR]]-VLOOKUP($U$1,A:G,7,))/VLOOKUP($U$1,A:G,7,))*100)+100</f>
        <v>108.98483080476451</v>
      </c>
      <c r="N364" s="79">
        <f>VLOOKUP(A364,Database!$A:$AS,MATCH($N$1,Database!$A$1:$AS$1,0),FALSE)</f>
        <v>96.588967733000004</v>
      </c>
      <c r="O364" s="79">
        <f>(((Table134567891011121314151617343[[#This Row],[USA]]-VLOOKUP($U$1,A:N,14,))/VLOOKUP($U$1,A:N,14,))*100)+100</f>
        <v>111.19635034506506</v>
      </c>
      <c r="P364" s="79">
        <f>VLOOKUP(A364,Database!$A:$AS,MATCH($P$1,Database!$A$1:$AS$1,0),FALSE)</f>
        <v>96.291975668999996</v>
      </c>
      <c r="Q364" s="79">
        <f>(((Table134567891011121314151617343[[#This Row],[JPN]]-VLOOKUP($U$1,A:Q,16,))/VLOOKUP($U$1,A:Q,16,))*100)+100</f>
        <v>96.675167837059902</v>
      </c>
    </row>
    <row r="365" spans="1:17" s="83" customFormat="1" x14ac:dyDescent="0.2">
      <c r="A365" s="21">
        <v>43922</v>
      </c>
      <c r="B365" s="79">
        <f>VLOOKUP(A365,Database!$A:$AS,MATCH($B$1,Database!$A$1:$AS$1,0),FALSE)</f>
        <v>58.595117074000001</v>
      </c>
      <c r="C365" s="79">
        <f>VLOOKUP(A365,Database!$A:$AS,MATCH($C$1,Database!$A$1:$AS$1,0),FALSE)</f>
        <v>67.84</v>
      </c>
      <c r="D365" s="79">
        <f>VLOOKUP(A365,Database!$A:$AS,MATCH($D$1,Database!$A$1:$AS$1,0),FALSE)</f>
        <v>70.894092158999996</v>
      </c>
      <c r="E365" s="79">
        <f>VLOOKUP(A365,Database!$A:$AS,MATCH($E$1,Database!$A$1:$AS$1,0),FALSE)</f>
        <v>69.709058091000003</v>
      </c>
      <c r="F365" s="79">
        <f>VLOOKUP(A365,Database!$A:$AS,MATCH($F$1,Database!$A$1:$AS$1,0),FALSE)</f>
        <v>74</v>
      </c>
      <c r="G365" s="79">
        <f>VLOOKUP(A365,Database!$A:$AS,MATCH($G$1,Database!$A$1:$AS$1,0),FALSE)</f>
        <v>79.691701022000004</v>
      </c>
      <c r="H365" s="79">
        <f>(((Table134567891011121314151617343[[#This Row],[ITA]]-VLOOKUP($U$1,A:B,2,))/VLOOKUP($U$1,A:B,2,))*100)+100</f>
        <v>48.190789474048088</v>
      </c>
      <c r="I365" s="79">
        <f>(((Table134567891011121314151617343[[#This Row],[FRA]]-VLOOKUP($U$1,A:C,3,))/VLOOKUP($U$1,A:C,3,))*100)+100</f>
        <v>66.191823592545632</v>
      </c>
      <c r="J365" s="79">
        <f>(((Table134567891011121314151617343[[#This Row],[DEU]]-VLOOKUP($U$1,A:D,4,))/VLOOKUP($U$1,A:D,4,))*100)+100</f>
        <v>94.281914893022815</v>
      </c>
      <c r="K365" s="79">
        <f>(((Table134567891011121314151617343[[#This Row],[ESP]]-VLOOKUP($U$1,A:E,5,))/VLOOKUP($U$1,A:E,5,))*100)+100</f>
        <v>58.593763133539014</v>
      </c>
      <c r="L365" s="79">
        <f>(((Table134567891011121314151617343[[#This Row],[EA19]]-VLOOKUP($U$1,A:F,6,))/VLOOKUP($U$1,A:F,6,))*100)+100</f>
        <v>82.774049217002229</v>
      </c>
      <c r="M365" s="79">
        <f>(((Table134567891011121314151617343[[#This Row],[GBR]]-VLOOKUP($U$1,A:G,7,))/VLOOKUP($U$1,A:G,7,))*100)+100</f>
        <v>86.464410735256735</v>
      </c>
      <c r="N365" s="79">
        <f>VLOOKUP(A365,Database!$A:$AS,MATCH($N$1,Database!$A$1:$AS$1,0),FALSE)</f>
        <v>83.459793748999999</v>
      </c>
      <c r="O365" s="79">
        <f>(((Table134567891011121314151617343[[#This Row],[USA]]-VLOOKUP($U$1,A:N,14,))/VLOOKUP($U$1,A:N,14,))*100)+100</f>
        <v>96.081619705207601</v>
      </c>
      <c r="P365" s="79">
        <f>VLOOKUP(A365,Database!$A:$AS,MATCH($P$1,Database!$A$1:$AS$1,0),FALSE)</f>
        <v>87.092742271000006</v>
      </c>
      <c r="Q365" s="79">
        <f>(((Table134567891011121314151617343[[#This Row],[JPN]]-VLOOKUP($U$1,A:Q,16,))/VLOOKUP($U$1,A:Q,16,))*100)+100</f>
        <v>87.439326256853889</v>
      </c>
    </row>
    <row r="366" spans="1:17" s="83" customFormat="1" x14ac:dyDescent="0.2">
      <c r="A366" s="21">
        <v>43952</v>
      </c>
      <c r="B366" s="79">
        <f>VLOOKUP(A366,Database!$A:$AS,MATCH($B$1,Database!$A$1:$AS$1,0),FALSE)</f>
        <v>84.792933922000003</v>
      </c>
      <c r="C366" s="79">
        <f>VLOOKUP(A366,Database!$A:$AS,MATCH($C$1,Database!$A$1:$AS$1,0),FALSE)</f>
        <v>80.819999999999993</v>
      </c>
      <c r="D366" s="79">
        <f>VLOOKUP(A366,Database!$A:$AS,MATCH($D$1,Database!$A$1:$AS$1,0),FALSE)</f>
        <v>79.193400550000007</v>
      </c>
      <c r="E366" s="79">
        <f>VLOOKUP(A366,Database!$A:$AS,MATCH($E$1,Database!$A$1:$AS$1,0),FALSE)</f>
        <v>84.130070107999998</v>
      </c>
      <c r="F366" s="79">
        <f>VLOOKUP(A366,Database!$A:$AS,MATCH($F$1,Database!$A$1:$AS$1,0),FALSE)</f>
        <v>84.5</v>
      </c>
      <c r="G366" s="79">
        <f>VLOOKUP(A366,Database!$A:$AS,MATCH($G$1,Database!$A$1:$AS$1,0),FALSE)</f>
        <v>84.638824162000006</v>
      </c>
      <c r="H366" s="79">
        <f>(((Table134567891011121314151617343[[#This Row],[ITA]]-VLOOKUP($U$1,A:B,2,))/VLOOKUP($U$1,A:B,2,))*100)+100</f>
        <v>69.73684210514412</v>
      </c>
      <c r="I366" s="79">
        <f>(((Table134567891011121314151617343[[#This Row],[FRA]]-VLOOKUP($U$1,A:C,3,))/VLOOKUP($U$1,A:C,3,))*100)+100</f>
        <v>78.856473802322171</v>
      </c>
      <c r="J366" s="79">
        <f>(((Table134567891011121314151617343[[#This Row],[DEU]]-VLOOKUP($U$1,A:D,4,))/VLOOKUP($U$1,A:D,4,))*100)+100</f>
        <v>105.31914893554773</v>
      </c>
      <c r="K366" s="79">
        <f>(((Table134567891011121314151617343[[#This Row],[ESP]]-VLOOKUP($U$1,A:E,5,))/VLOOKUP($U$1,A:E,5,))*100)+100</f>
        <v>70.715306379281287</v>
      </c>
      <c r="L366" s="79">
        <f>(((Table134567891011121314151617343[[#This Row],[EA19]]-VLOOKUP($U$1,A:F,6,))/VLOOKUP($U$1,A:F,6,))*100)+100</f>
        <v>94.519015659955258</v>
      </c>
      <c r="M366" s="79">
        <f>(((Table134567891011121314151617343[[#This Row],[GBR]]-VLOOKUP($U$1,A:G,7,))/VLOOKUP($U$1,A:G,7,))*100)+100</f>
        <v>91.831971995076827</v>
      </c>
      <c r="N366" s="79">
        <f>VLOOKUP(A366,Database!$A:$AS,MATCH($N$1,Database!$A$1:$AS$1,0),FALSE)</f>
        <v>85.086927579999994</v>
      </c>
      <c r="O366" s="79">
        <f>(((Table134567891011121314151617343[[#This Row],[USA]]-VLOOKUP($U$1,A:N,14,))/VLOOKUP($U$1,A:N,14,))*100)+100</f>
        <v>97.954828910945579</v>
      </c>
      <c r="P366" s="79">
        <f>VLOOKUP(A366,Database!$A:$AS,MATCH($P$1,Database!$A$1:$AS$1,0),FALSE)</f>
        <v>78.293475544000003</v>
      </c>
      <c r="Q366" s="79">
        <f>(((Table134567891011121314151617343[[#This Row],[JPN]]-VLOOKUP($U$1,A:Q,16,))/VLOOKUP($U$1,A:Q,16,))*100)+100</f>
        <v>78.605043007749828</v>
      </c>
    </row>
    <row r="367" spans="1:17" s="83" customFormat="1" x14ac:dyDescent="0.2">
      <c r="A367" s="21">
        <v>43983</v>
      </c>
      <c r="B367" s="79">
        <f>VLOOKUP(A367,Database!$A:$AS,MATCH($B$1,Database!$A$1:$AS$1,0),FALSE)</f>
        <v>91.292392301000007</v>
      </c>
      <c r="C367" s="79">
        <f>VLOOKUP(A367,Database!$A:$AS,MATCH($C$1,Database!$A$1:$AS$1,0),FALSE)</f>
        <v>91.37</v>
      </c>
      <c r="D367" s="79">
        <f>VLOOKUP(A367,Database!$A:$AS,MATCH($D$1,Database!$A$1:$AS$1,0),FALSE)</f>
        <v>88.292642279999995</v>
      </c>
      <c r="E367" s="79">
        <f>VLOOKUP(A367,Database!$A:$AS,MATCH($E$1,Database!$A$1:$AS$1,0),FALSE)</f>
        <v>93.657078048000002</v>
      </c>
      <c r="F367" s="79">
        <f>VLOOKUP(A367,Database!$A:$AS,MATCH($F$1,Database!$A$1:$AS$1,0),FALSE)</f>
        <v>92.4</v>
      </c>
      <c r="G367" s="79">
        <f>VLOOKUP(A367,Database!$A:$AS,MATCH($G$1,Database!$A$1:$AS$1,0),FALSE)</f>
        <v>94.102885822000005</v>
      </c>
      <c r="H367" s="79">
        <f>(((Table134567891011121314151617343[[#This Row],[ITA]]-VLOOKUP($U$1,A:B,2,))/VLOOKUP($U$1,A:B,2,))*100)+100</f>
        <v>75.082236842425189</v>
      </c>
      <c r="I367" s="79">
        <f>(((Table134567891011121314151617343[[#This Row],[FRA]]-VLOOKUP($U$1,A:C,3,))/VLOOKUP($U$1,A:C,3,))*100)+100</f>
        <v>89.150160991316241</v>
      </c>
      <c r="J367" s="79">
        <f>(((Table134567891011121314151617343[[#This Row],[DEU]]-VLOOKUP($U$1,A:D,4,))/VLOOKUP($U$1,A:D,4,))*100)+100</f>
        <v>117.42021276544813</v>
      </c>
      <c r="K367" s="79">
        <f>(((Table134567891011121314151617343[[#This Row],[ESP]]-VLOOKUP($U$1,A:E,5,))/VLOOKUP($U$1,A:E,5,))*100)+100</f>
        <v>78.723207531510127</v>
      </c>
      <c r="L367" s="79">
        <f>(((Table134567891011121314151617343[[#This Row],[EA19]]-VLOOKUP($U$1,A:F,6,))/VLOOKUP($U$1,A:F,6,))*100)+100</f>
        <v>103.35570469798658</v>
      </c>
      <c r="M367" s="79">
        <f>(((Table134567891011121314151617343[[#This Row],[GBR]]-VLOOKUP($U$1,A:G,7,))/VLOOKUP($U$1,A:G,7,))*100)+100</f>
        <v>102.10035005828483</v>
      </c>
      <c r="N367" s="79">
        <f>VLOOKUP(A367,Database!$A:$AS,MATCH($N$1,Database!$A$1:$AS$1,0),FALSE)</f>
        <v>90.358857051000001</v>
      </c>
      <c r="O367" s="79">
        <f>(((Table134567891011121314151617343[[#This Row],[USA]]-VLOOKUP($U$1,A:N,14,))/VLOOKUP($U$1,A:N,14,))*100)+100</f>
        <v>104.02404499442491</v>
      </c>
      <c r="P367" s="79">
        <f>VLOOKUP(A367,Database!$A:$AS,MATCH($P$1,Database!$A$1:$AS$1,0),FALSE)</f>
        <v>82.093158903000003</v>
      </c>
      <c r="Q367" s="79">
        <f>(((Table134567891011121314151617343[[#This Row],[JPN]]-VLOOKUP($U$1,A:Q,16,))/VLOOKUP($U$1,A:Q,16,))*100)+100</f>
        <v>82.419847137656859</v>
      </c>
    </row>
    <row r="368" spans="1:17" s="83" customFormat="1" x14ac:dyDescent="0.2">
      <c r="A368" s="21">
        <v>44013</v>
      </c>
      <c r="B368" s="79">
        <f>VLOOKUP(A368,Database!$A:$AS,MATCH($B$1,Database!$A$1:$AS$1,0),FALSE)</f>
        <v>97.791850679000007</v>
      </c>
      <c r="C368" s="79">
        <f>VLOOKUP(A368,Database!$A:$AS,MATCH($C$1,Database!$A$1:$AS$1,0),FALSE)</f>
        <v>94.43</v>
      </c>
      <c r="D368" s="79">
        <f>VLOOKUP(A368,Database!$A:$AS,MATCH($D$1,Database!$A$1:$AS$1,0),FALSE)</f>
        <v>89.992500625000005</v>
      </c>
      <c r="E368" s="79">
        <f>VLOOKUP(A368,Database!$A:$AS,MATCH($E$1,Database!$A$1:$AS$1,0),FALSE)</f>
        <v>99.376082812999996</v>
      </c>
      <c r="F368" s="79">
        <f>VLOOKUP(A368,Database!$A:$AS,MATCH($F$1,Database!$A$1:$AS$1,0),FALSE)</f>
        <v>96.3</v>
      </c>
      <c r="G368" s="79">
        <f>VLOOKUP(A368,Database!$A:$AS,MATCH($G$1,Database!$A$1:$AS$1,0),FALSE)</f>
        <v>99.587739737999996</v>
      </c>
      <c r="H368" s="79">
        <f>(((Table134567891011121314151617343[[#This Row],[ITA]]-VLOOKUP($U$1,A:B,2,))/VLOOKUP($U$1,A:B,2,))*100)+100</f>
        <v>80.427631578883805</v>
      </c>
      <c r="I368" s="79">
        <f>(((Table134567891011121314151617343[[#This Row],[FRA]]-VLOOKUP($U$1,A:C,3,))/VLOOKUP($U$1,A:C,3,))*100)+100</f>
        <v>92.135818128597919</v>
      </c>
      <c r="J368" s="79">
        <f>(((Table134567891011121314151617343[[#This Row],[DEU]]-VLOOKUP($U$1,A:D,4,))/VLOOKUP($U$1,A:D,4,))*100)+100</f>
        <v>119.68085106312242</v>
      </c>
      <c r="K368" s="79">
        <f>(((Table134567891011121314151617343[[#This Row],[ESP]]-VLOOKUP($U$1,A:E,5,))/VLOOKUP($U$1,A:E,5,))*100)+100</f>
        <v>83.530301756231182</v>
      </c>
      <c r="L368" s="79">
        <f>(((Table134567891011121314151617343[[#This Row],[EA19]]-VLOOKUP($U$1,A:F,6,))/VLOOKUP($U$1,A:F,6,))*100)+100</f>
        <v>107.71812080536913</v>
      </c>
      <c r="M368" s="79">
        <f>(((Table134567891011121314151617343[[#This Row],[GBR]]-VLOOKUP($U$1,A:G,7,))/VLOOKUP($U$1,A:G,7,))*100)+100</f>
        <v>108.05134188973015</v>
      </c>
      <c r="N368" s="79">
        <f>VLOOKUP(A368,Database!$A:$AS,MATCH($N$1,Database!$A$1:$AS$1,0),FALSE)</f>
        <v>94.052518249000002</v>
      </c>
      <c r="O368" s="79">
        <f>(((Table134567891011121314151617343[[#This Row],[USA]]-VLOOKUP($U$1,A:N,14,))/VLOOKUP($U$1,A:N,14,))*100)+100</f>
        <v>108.27630748639123</v>
      </c>
      <c r="P368" s="79">
        <f>VLOOKUP(A368,Database!$A:$AS,MATCH($P$1,Database!$A$1:$AS$1,0),FALSE)</f>
        <v>87.392717274000006</v>
      </c>
      <c r="Q368" s="79">
        <f>(((Table134567891011121314151617343[[#This Row],[JPN]]-VLOOKUP($U$1,A:Q,16,))/VLOOKUP($U$1,A:Q,16,))*100)+100</f>
        <v>87.740495004929372</v>
      </c>
    </row>
    <row r="369" spans="1:17" s="83" customFormat="1" x14ac:dyDescent="0.2">
      <c r="A369" s="21">
        <v>44044</v>
      </c>
      <c r="B369" s="79">
        <f>VLOOKUP(A369,Database!$A:$AS,MATCH($B$1,Database!$A$1:$AS$1,0),FALSE)</f>
        <v>104.791267394</v>
      </c>
      <c r="C369" s="79">
        <f>VLOOKUP(A369,Database!$A:$AS,MATCH($C$1,Database!$A$1:$AS$1,0),FALSE)</f>
        <v>95.52</v>
      </c>
      <c r="D369" s="79">
        <f>VLOOKUP(A369,Database!$A:$AS,MATCH($D$1,Database!$A$1:$AS$1,0),FALSE)</f>
        <v>89.692525622999995</v>
      </c>
      <c r="E369" s="79">
        <f>VLOOKUP(A369,Database!$A:$AS,MATCH($E$1,Database!$A$1:$AS$1,0),FALSE)</f>
        <v>100.59908383299999</v>
      </c>
      <c r="F369" s="79">
        <f>VLOOKUP(A369,Database!$A:$AS,MATCH($F$1,Database!$A$1:$AS$1,0),FALSE)</f>
        <v>97.2</v>
      </c>
      <c r="G369" s="79">
        <f>VLOOKUP(A369,Database!$A:$AS,MATCH($G$1,Database!$A$1:$AS$1,0),FALSE)</f>
        <v>101.093385911</v>
      </c>
      <c r="H369" s="79">
        <f>(((Table134567891011121314151617343[[#This Row],[ITA]]-VLOOKUP($U$1,A:B,2,))/VLOOKUP($U$1,A:B,2,))*100)+100</f>
        <v>86.18421052602902</v>
      </c>
      <c r="I369" s="79">
        <f>(((Table134567891011121314151617343[[#This Row],[FRA]]-VLOOKUP($U$1,A:C,3,))/VLOOKUP($U$1,A:C,3,))*100)+100</f>
        <v>93.199336520636166</v>
      </c>
      <c r="J369" s="79">
        <f>(((Table134567891011121314151617343[[#This Row],[DEU]]-VLOOKUP($U$1,A:D,4,))/VLOOKUP($U$1,A:D,4,))*100)+100</f>
        <v>119.28191489302282</v>
      </c>
      <c r="K369" s="79">
        <f>(((Table134567891011121314151617343[[#This Row],[ESP]]-VLOOKUP($U$1,A:E,5,))/VLOOKUP($U$1,A:E,5,))*100)+100</f>
        <v>84.55829200657152</v>
      </c>
      <c r="L369" s="79">
        <f>(((Table134567891011121314151617343[[#This Row],[EA19]]-VLOOKUP($U$1,A:F,6,))/VLOOKUP($U$1,A:F,6,))*100)+100</f>
        <v>108.7248322147651</v>
      </c>
      <c r="M369" s="79">
        <f>(((Table134567891011121314151617343[[#This Row],[GBR]]-VLOOKUP($U$1,A:G,7,))/VLOOKUP($U$1,A:G,7,))*100)+100</f>
        <v>109.68494749049779</v>
      </c>
      <c r="N369" s="79">
        <f>VLOOKUP(A369,Database!$A:$AS,MATCH($N$1,Database!$A$1:$AS$1,0),FALSE)</f>
        <v>95.047373406000006</v>
      </c>
      <c r="O369" s="79">
        <f>(((Table134567891011121314151617343[[#This Row],[USA]]-VLOOKUP($U$1,A:N,14,))/VLOOKUP($U$1,A:N,14,))*100)+100</f>
        <v>109.42161698888187</v>
      </c>
      <c r="P369" s="79">
        <f>VLOOKUP(A369,Database!$A:$AS,MATCH($P$1,Database!$A$1:$AS$1,0),FALSE)</f>
        <v>89.892508957999993</v>
      </c>
      <c r="Q369" s="79">
        <f>(((Table134567891011121314151617343[[#This Row],[JPN]]-VLOOKUP($U$1,A:Q,16,))/VLOOKUP($U$1,A:Q,16,))*100)+100</f>
        <v>90.250234564527872</v>
      </c>
    </row>
    <row r="370" spans="1:17" s="83" customFormat="1" x14ac:dyDescent="0.2">
      <c r="A370" s="21">
        <v>44075</v>
      </c>
      <c r="B370" s="79">
        <f>VLOOKUP(A370,Database!$A:$AS,MATCH($B$1,Database!$A$1:$AS$1,0),FALSE)</f>
        <v>100.091659028</v>
      </c>
      <c r="C370" s="79">
        <f>VLOOKUP(A370,Database!$A:$AS,MATCH($C$1,Database!$A$1:$AS$1,0),FALSE)</f>
        <v>97.21</v>
      </c>
      <c r="D370" s="79">
        <f>VLOOKUP(A370,Database!$A:$AS,MATCH($D$1,Database!$A$1:$AS$1,0),FALSE)</f>
        <v>91.892342305</v>
      </c>
      <c r="E370" s="79">
        <f>VLOOKUP(A370,Database!$A:$AS,MATCH($E$1,Database!$A$1:$AS$1,0),FALSE)</f>
        <v>101.49608458</v>
      </c>
      <c r="F370" s="79">
        <f>VLOOKUP(A370,Database!$A:$AS,MATCH($F$1,Database!$A$1:$AS$1,0),FALSE)</f>
        <v>97.1</v>
      </c>
      <c r="G370" s="79">
        <f>VLOOKUP(A370,Database!$A:$AS,MATCH($G$1,Database!$A$1:$AS$1,0),FALSE)</f>
        <v>101.84620899799999</v>
      </c>
      <c r="H370" s="79">
        <f>(((Table134567891011121314151617343[[#This Row],[ITA]]-VLOOKUP($U$1,A:B,2,))/VLOOKUP($U$1,A:B,2,))*100)+100</f>
        <v>82.319078947055274</v>
      </c>
      <c r="I370" s="79">
        <f>(((Table134567891011121314151617343[[#This Row],[FRA]]-VLOOKUP($U$1,A:C,3,))/VLOOKUP($U$1,A:C,3,))*100)+100</f>
        <v>94.848277880768848</v>
      </c>
      <c r="J370" s="79">
        <f>(((Table134567891011121314151617343[[#This Row],[DEU]]-VLOOKUP($U$1,A:D,4,))/VLOOKUP($U$1,A:D,4,))*100)+100</f>
        <v>122.20744680797303</v>
      </c>
      <c r="K370" s="79">
        <f>(((Table134567891011121314151617343[[#This Row],[ESP]]-VLOOKUP($U$1,A:E,5,))/VLOOKUP($U$1,A:E,5,))*100)+100</f>
        <v>85.312263595625481</v>
      </c>
      <c r="L370" s="79">
        <f>(((Table134567891011121314151617343[[#This Row],[EA19]]-VLOOKUP($U$1,A:F,6,))/VLOOKUP($U$1,A:F,6,))*100)+100</f>
        <v>108.61297539149886</v>
      </c>
      <c r="M370" s="79">
        <f>(((Table134567891011121314151617343[[#This Row],[GBR]]-VLOOKUP($U$1,A:G,7,))/VLOOKUP($U$1,A:G,7,))*100)+100</f>
        <v>110.5017502914241</v>
      </c>
      <c r="N370" s="79">
        <f>VLOOKUP(A370,Database!$A:$AS,MATCH($N$1,Database!$A$1:$AS$1,0),FALSE)</f>
        <v>94.759433361000006</v>
      </c>
      <c r="O370" s="79">
        <f>(((Table134567891011121314151617343[[#This Row],[USA]]-VLOOKUP($U$1,A:N,14,))/VLOOKUP($U$1,A:N,14,))*100)+100</f>
        <v>109.09013107621843</v>
      </c>
      <c r="P370" s="79">
        <f>VLOOKUP(A370,Database!$A:$AS,MATCH($P$1,Database!$A$1:$AS$1,0),FALSE)</f>
        <v>91.992333971999997</v>
      </c>
      <c r="Q370" s="79">
        <f>(((Table134567891011121314151617343[[#This Row],[JPN]]-VLOOKUP($U$1,A:Q,16,))/VLOOKUP($U$1,A:Q,16,))*100)+100</f>
        <v>92.358415794028403</v>
      </c>
    </row>
    <row r="371" spans="1:17" s="83" customFormat="1" x14ac:dyDescent="0.2">
      <c r="A371" s="21">
        <v>44105</v>
      </c>
      <c r="B371" s="79">
        <f>VLOOKUP(A371,Database!$A:$AS,MATCH($B$1,Database!$A$1:$AS$1,0),FALSE)</f>
        <v>101.991500708</v>
      </c>
      <c r="C371" s="79">
        <f>VLOOKUP(A371,Database!$A:$AS,MATCH($C$1,Database!$A$1:$AS$1,0),FALSE)</f>
        <v>99.08</v>
      </c>
      <c r="D371" s="79">
        <f>VLOOKUP(A371,Database!$A:$AS,MATCH($D$1,Database!$A$1:$AS$1,0),FALSE)</f>
        <v>95.092075660000006</v>
      </c>
      <c r="E371" s="79">
        <f>VLOOKUP(A371,Database!$A:$AS,MATCH($E$1,Database!$A$1:$AS$1,0),FALSE)</f>
        <v>102.297085248</v>
      </c>
      <c r="F371" s="79">
        <f>VLOOKUP(A371,Database!$A:$AS,MATCH($F$1,Database!$A$1:$AS$1,0),FALSE)</f>
        <v>99.9</v>
      </c>
      <c r="G371" s="79">
        <f>VLOOKUP(A371,Database!$A:$AS,MATCH($G$1,Database!$A$1:$AS$1,0),FALSE)</f>
        <v>102.70657824</v>
      </c>
      <c r="H371" s="79">
        <f>(((Table134567891011121314151617343[[#This Row],[ITA]]-VLOOKUP($U$1,A:B,2,))/VLOOKUP($U$1,A:B,2,))*100)+100</f>
        <v>83.881578947170937</v>
      </c>
      <c r="I371" s="79">
        <f>(((Table134567891011121314151617343[[#This Row],[FRA]]-VLOOKUP($U$1,A:C,3,))/VLOOKUP($U$1,A:C,3,))*100)+100</f>
        <v>96.672846131329891</v>
      </c>
      <c r="J371" s="79">
        <f>(((Table134567891011121314151617343[[#This Row],[DEU]]-VLOOKUP($U$1,A:D,4,))/VLOOKUP($U$1,A:D,4,))*100)+100</f>
        <v>126.46276595614522</v>
      </c>
      <c r="K371" s="79">
        <f>(((Table134567891011121314151617343[[#This Row],[ESP]]-VLOOKUP($U$1,A:E,5,))/VLOOKUP($U$1,A:E,5,))*100)+100</f>
        <v>85.985542573937451</v>
      </c>
      <c r="L371" s="79">
        <f>(((Table134567891011121314151617343[[#This Row],[EA19]]-VLOOKUP($U$1,A:F,6,))/VLOOKUP($U$1,A:F,6,))*100)+100</f>
        <v>111.74496644295301</v>
      </c>
      <c r="M371" s="79">
        <f>(((Table134567891011121314151617343[[#This Row],[GBR]]-VLOOKUP($U$1,A:G,7,))/VLOOKUP($U$1,A:G,7,))*100)+100</f>
        <v>111.43523920645846</v>
      </c>
      <c r="N371" s="79">
        <f>VLOOKUP(A371,Database!$A:$AS,MATCH($N$1,Database!$A$1:$AS$1,0),FALSE)</f>
        <v>95.793737790999998</v>
      </c>
      <c r="O371" s="79">
        <f>(((Table134567891011121314151617343[[#This Row],[USA]]-VLOOKUP($U$1,A:N,14,))/VLOOKUP($U$1,A:N,14,))*100)+100</f>
        <v>110.28085586043659</v>
      </c>
      <c r="P371" s="79">
        <f>VLOOKUP(A371,Database!$A:$AS,MATCH($P$1,Database!$A$1:$AS$1,0),FALSE)</f>
        <v>93.692192317000007</v>
      </c>
      <c r="Q371" s="79">
        <f>(((Table134567891011121314151617343[[#This Row],[JPN]]-VLOOKUP($U$1,A:Q,16,))/VLOOKUP($U$1,A:Q,16,))*100)+100</f>
        <v>94.065038694434918</v>
      </c>
    </row>
    <row r="372" spans="1:17" s="83" customFormat="1" x14ac:dyDescent="0.2">
      <c r="A372" s="21">
        <v>44136</v>
      </c>
      <c r="B372" s="79">
        <f>VLOOKUP(A372,Database!$A:$AS,MATCH($B$1,Database!$A$1:$AS$1,0),FALSE)</f>
        <v>100.591617365</v>
      </c>
      <c r="C372" s="79">
        <f>VLOOKUP(A372,Database!$A:$AS,MATCH($C$1,Database!$A$1:$AS$1,0),FALSE)</f>
        <v>98.59</v>
      </c>
      <c r="D372" s="79">
        <f>VLOOKUP(A372,Database!$A:$AS,MATCH($D$1,Database!$A$1:$AS$1,0),FALSE)</f>
        <v>96.291975668999996</v>
      </c>
      <c r="E372" s="79">
        <f>VLOOKUP(A372,Database!$A:$AS,MATCH($E$1,Database!$A$1:$AS$1,0),FALSE)</f>
        <v>101.358084465</v>
      </c>
      <c r="F372" s="79">
        <f>VLOOKUP(A372,Database!$A:$AS,MATCH($F$1,Database!$A$1:$AS$1,0),FALSE)</f>
        <v>102</v>
      </c>
      <c r="G372" s="79">
        <f>VLOOKUP(A372,Database!$A:$AS,MATCH($G$1,Database!$A$1:$AS$1,0),FALSE)</f>
        <v>103.78203979200001</v>
      </c>
      <c r="H372" s="79">
        <f>(((Table134567891011121314151617343[[#This Row],[ITA]]-VLOOKUP($U$1,A:B,2,))/VLOOKUP($U$1,A:B,2,))*100)+100</f>
        <v>82.730263157741888</v>
      </c>
      <c r="I372" s="79">
        <f>(((Table134567891011121314151617343[[#This Row],[FRA]]-VLOOKUP($U$1,A:C,3,))/VLOOKUP($U$1,A:C,3,))*100)+100</f>
        <v>96.194750707386092</v>
      </c>
      <c r="J372" s="79">
        <f>(((Table134567891011121314151617343[[#This Row],[DEU]]-VLOOKUP($U$1,A:D,4,))/VLOOKUP($U$1,A:D,4,))*100)+100</f>
        <v>128.05851063787344</v>
      </c>
      <c r="K372" s="79">
        <f>(((Table134567891011121314151617343[[#This Row],[ESP]]-VLOOKUP($U$1,A:E,5,))/VLOOKUP($U$1,A:E,5,))*100)+100</f>
        <v>85.196267966475602</v>
      </c>
      <c r="L372" s="79">
        <f>(((Table134567891011121314151617343[[#This Row],[EA19]]-VLOOKUP($U$1,A:F,6,))/VLOOKUP($U$1,A:F,6,))*100)+100</f>
        <v>114.09395973154362</v>
      </c>
      <c r="M372" s="79">
        <f>(((Table134567891011121314151617343[[#This Row],[GBR]]-VLOOKUP($U$1,A:G,7,))/VLOOKUP($U$1,A:G,7,))*100)+100</f>
        <v>112.60210034970893</v>
      </c>
      <c r="N372" s="79">
        <f>VLOOKUP(A372,Database!$A:$AS,MATCH($N$1,Database!$A$1:$AS$1,0),FALSE)</f>
        <v>96.304695082999999</v>
      </c>
      <c r="O372" s="79">
        <f>(((Table134567891011121314151617343[[#This Row],[USA]]-VLOOKUP($U$1,A:N,14,))/VLOOKUP($U$1,A:N,14,))*100)+100</f>
        <v>110.86908645639508</v>
      </c>
      <c r="P372" s="79">
        <f>VLOOKUP(A372,Database!$A:$AS,MATCH($P$1,Database!$A$1:$AS$1,0),FALSE)</f>
        <v>93.992167319000004</v>
      </c>
      <c r="Q372" s="79">
        <f>(((Table134567891011121314151617343[[#This Row],[JPN]]-VLOOKUP($U$1,A:Q,16,))/VLOOKUP($U$1,A:Q,16,))*100)+100</f>
        <v>94.366207441506418</v>
      </c>
    </row>
    <row r="373" spans="1:17" s="83" customFormat="1" x14ac:dyDescent="0.2">
      <c r="A373" s="21">
        <v>44166</v>
      </c>
      <c r="B373" s="79">
        <f>VLOOKUP(A373,Database!$A:$AS,MATCH($B$1,Database!$A$1:$AS$1,0),FALSE)</f>
        <v>100.7916007</v>
      </c>
      <c r="C373" s="79">
        <f>VLOOKUP(A373,Database!$A:$AS,MATCH($C$1,Database!$A$1:$AS$1,0),FALSE)</f>
        <v>98.11</v>
      </c>
      <c r="D373" s="79">
        <f>VLOOKUP(A373,Database!$A:$AS,MATCH($D$1,Database!$A$1:$AS$1,0),FALSE)</f>
        <v>97.691859011999995</v>
      </c>
      <c r="E373" s="79">
        <f>VLOOKUP(A373,Database!$A:$AS,MATCH($E$1,Database!$A$1:$AS$1,0),FALSE)</f>
        <v>102.232085193</v>
      </c>
      <c r="F373" s="79">
        <f>VLOOKUP(A373,Database!$A:$AS,MATCH($F$1,Database!$A$1:$AS$1,0),FALSE)</f>
        <v>102</v>
      </c>
      <c r="G373" s="79">
        <f>VLOOKUP(A373,Database!$A:$AS,MATCH($G$1,Database!$A$1:$AS$1,0),FALSE)</f>
        <v>103.566947482</v>
      </c>
      <c r="H373" s="79">
        <f>(((Table134567891011121314151617343[[#This Row],[ITA]]-VLOOKUP($U$1,A:B,2,))/VLOOKUP($U$1,A:B,2,))*100)+100</f>
        <v>82.894736842181018</v>
      </c>
      <c r="I373" s="79">
        <f>(((Table134567891011121314151617343[[#This Row],[FRA]]-VLOOKUP($U$1,A:C,3,))/VLOOKUP($U$1,A:C,3,))*100)+100</f>
        <v>95.726412332910527</v>
      </c>
      <c r="J373" s="79">
        <f>(((Table134567891011121314151617343[[#This Row],[DEU]]-VLOOKUP($U$1,A:D,4,))/VLOOKUP($U$1,A:D,4,))*100)+100</f>
        <v>129.92021276544813</v>
      </c>
      <c r="K373" s="79">
        <f>(((Table134567891011121314151617343[[#This Row],[ESP]]-VLOOKUP($U$1,A:E,5,))/VLOOKUP($U$1,A:E,5,))*100)+100</f>
        <v>85.930906950811334</v>
      </c>
      <c r="L373" s="79">
        <f>(((Table134567891011121314151617343[[#This Row],[EA19]]-VLOOKUP($U$1,A:F,6,))/VLOOKUP($U$1,A:F,6,))*100)+100</f>
        <v>114.09395973154362</v>
      </c>
      <c r="M373" s="79">
        <f>(((Table134567891011121314151617343[[#This Row],[GBR]]-VLOOKUP($U$1,A:G,7,))/VLOOKUP($U$1,A:G,7,))*100)+100</f>
        <v>112.36872812149284</v>
      </c>
      <c r="N373" s="79">
        <f>VLOOKUP(A373,Database!$A:$AS,MATCH($N$1,Database!$A$1:$AS$1,0),FALSE)</f>
        <v>97.419285721999998</v>
      </c>
      <c r="O373" s="79">
        <f>(((Table134567891011121314151617343[[#This Row],[USA]]-VLOOKUP($U$1,A:N,14,))/VLOOKUP($U$1,A:N,14,))*100)+100</f>
        <v>112.15223932669157</v>
      </c>
      <c r="P373" s="79">
        <f>VLOOKUP(A373,Database!$A:$AS,MATCH($P$1,Database!$A$1:$AS$1,0),FALSE)</f>
        <v>94.092158987000005</v>
      </c>
      <c r="Q373" s="79">
        <f>(((Table134567891011121314151617343[[#This Row],[JPN]]-VLOOKUP($U$1,A:Q,16,))/VLOOKUP($U$1,A:Q,16,))*100)+100</f>
        <v>94.466597024532902</v>
      </c>
    </row>
    <row r="374" spans="1:17" s="83" customFormat="1" x14ac:dyDescent="0.2">
      <c r="A374" s="21">
        <v>44197</v>
      </c>
      <c r="B374" s="79">
        <f>VLOOKUP(A374,Database!$A:$AS,MATCH($B$1,Database!$A$1:$AS$1,0),FALSE)</f>
        <v>102.29147571</v>
      </c>
      <c r="C374" s="79">
        <f>VLOOKUP(A374,Database!$A:$AS,MATCH($C$1,Database!$A$1:$AS$1,0),FALSE)</f>
        <v>101.47</v>
      </c>
      <c r="D374" s="79">
        <f>VLOOKUP(A374,Database!$A:$AS,MATCH($D$1,Database!$A$1:$AS$1,0),FALSE)</f>
        <v>97.491875676999996</v>
      </c>
      <c r="E374" s="79">
        <f>VLOOKUP(A374,Database!$A:$AS,MATCH($E$1,Database!$A$1:$AS$1,0),FALSE)</f>
        <v>101.51108459300001</v>
      </c>
      <c r="F374" s="79">
        <f>VLOOKUP(A374,Database!$A:$AS,MATCH($F$1,Database!$A$1:$AS$1,0),FALSE)</f>
        <v>103.1</v>
      </c>
      <c r="G374" s="79">
        <f>VLOOKUP(A374,Database!$A:$AS,MATCH($G$1,Database!$A$1:$AS$1,0),FALSE)</f>
        <v>102.061301308</v>
      </c>
      <c r="H374" s="79">
        <f>(((Table134567891011121314151617343[[#This Row],[ITA]]-VLOOKUP($U$1,A:B,2,))/VLOOKUP($U$1,A:B,2,))*100)+100</f>
        <v>84.128289473418405</v>
      </c>
      <c r="I374" s="79">
        <f>(((Table134567891011121314151617343[[#This Row],[FRA]]-VLOOKUP($U$1,A:C,3,))/VLOOKUP($U$1,A:C,3,))*100)+100</f>
        <v>99.004780954239436</v>
      </c>
      <c r="J374" s="79">
        <f>(((Table134567891011121314151617343[[#This Row],[DEU]]-VLOOKUP($U$1,A:D,4,))/VLOOKUP($U$1,A:D,4,))*100)+100</f>
        <v>129.65425531827177</v>
      </c>
      <c r="K374" s="79">
        <f>(((Table134567891011121314151617343[[#This Row],[ESP]]-VLOOKUP($U$1,A:E,5,))/VLOOKUP($U$1,A:E,5,))*100)+100</f>
        <v>85.324871816605523</v>
      </c>
      <c r="L374" s="79">
        <f>(((Table134567891011121314151617343[[#This Row],[EA19]]-VLOOKUP($U$1,A:F,6,))/VLOOKUP($U$1,A:F,6,))*100)+100</f>
        <v>115.32438478747203</v>
      </c>
      <c r="M374" s="79">
        <f>(((Table134567891011121314151617343[[#This Row],[GBR]]-VLOOKUP($U$1,A:G,7,))/VLOOKUP($U$1,A:G,7,))*100)+100</f>
        <v>110.7351225196402</v>
      </c>
      <c r="N374" s="79">
        <f>VLOOKUP(A374,Database!$A:$AS,MATCH($N$1,Database!$A$1:$AS$1,0),FALSE)</f>
        <v>98.531596629000006</v>
      </c>
      <c r="O374" s="79">
        <f>(((Table134567891011121314151617343[[#This Row],[USA]]-VLOOKUP($U$1,A:N,14,))/VLOOKUP($U$1,A:N,14,))*100)+100</f>
        <v>113.43276769561783</v>
      </c>
      <c r="P374" s="79">
        <f>VLOOKUP(A374,Database!$A:$AS,MATCH($P$1,Database!$A$1:$AS$1,0),FALSE)</f>
        <v>96.691942338000004</v>
      </c>
      <c r="Q374" s="79">
        <f>(((Table134567891011121314151617343[[#This Row],[JPN]]-VLOOKUP($U$1,A:Q,16,))/VLOOKUP($U$1,A:Q,16,))*100)+100</f>
        <v>97.076726166153918</v>
      </c>
    </row>
    <row r="375" spans="1:17" s="83" customFormat="1" x14ac:dyDescent="0.2">
      <c r="A375" s="21">
        <v>44228</v>
      </c>
      <c r="B375" s="79">
        <f>VLOOKUP(A375,Database!$A:$AS,MATCH($B$1,Database!$A$1:$AS$1,0),FALSE)</f>
        <v>102.391467378</v>
      </c>
      <c r="C375" s="79">
        <f>VLOOKUP(A375,Database!$A:$AS,MATCH($C$1,Database!$A$1:$AS$1,0),FALSE)</f>
        <v>96.83</v>
      </c>
      <c r="D375" s="79">
        <f>VLOOKUP(A375,Database!$A:$AS,MATCH($D$1,Database!$A$1:$AS$1,0),FALSE)</f>
        <v>95.492042330000004</v>
      </c>
      <c r="E375" s="79">
        <f>VLOOKUP(A375,Database!$A:$AS,MATCH($E$1,Database!$A$1:$AS$1,0),FALSE)</f>
        <v>101.494084578</v>
      </c>
      <c r="F375" s="79">
        <f>VLOOKUP(A375,Database!$A:$AS,MATCH($F$1,Database!$A$1:$AS$1,0),FALSE)</f>
        <v>101.8</v>
      </c>
      <c r="G375" s="79">
        <f>VLOOKUP(A375,Database!$A:$AS,MATCH($G$1,Database!$A$1:$AS$1,0),FALSE)</f>
        <v>102.70657824</v>
      </c>
      <c r="H375" s="79">
        <f>(((Table134567891011121314151617343[[#This Row],[ITA]]-VLOOKUP($U$1,A:B,2,))/VLOOKUP($U$1,A:B,2,))*100)+100</f>
        <v>84.210526316049197</v>
      </c>
      <c r="I375" s="79">
        <f>(((Table134567891011121314151617343[[#This Row],[FRA]]-VLOOKUP($U$1,A:C,3,))/VLOOKUP($U$1,A:C,3,))*100)+100</f>
        <v>94.477510000975713</v>
      </c>
      <c r="J375" s="79">
        <f>(((Table134567891011121314151617343[[#This Row],[DEU]]-VLOOKUP($U$1,A:D,4,))/VLOOKUP($U$1,A:D,4,))*100)+100</f>
        <v>126.99468085049793</v>
      </c>
      <c r="K375" s="79">
        <f>(((Table134567891011121314151617343[[#This Row],[ESP]]-VLOOKUP($U$1,A:E,5,))/VLOOKUP($U$1,A:E,5,))*100)+100</f>
        <v>85.310582499270652</v>
      </c>
      <c r="L375" s="79">
        <f>(((Table134567891011121314151617343[[#This Row],[EA19]]-VLOOKUP($U$1,A:F,6,))/VLOOKUP($U$1,A:F,6,))*100)+100</f>
        <v>113.87024608501117</v>
      </c>
      <c r="M375" s="79">
        <f>(((Table134567891011121314151617343[[#This Row],[GBR]]-VLOOKUP($U$1,A:G,7,))/VLOOKUP($U$1,A:G,7,))*100)+100</f>
        <v>111.43523920645846</v>
      </c>
      <c r="N375" s="79">
        <f>VLOOKUP(A375,Database!$A:$AS,MATCH($N$1,Database!$A$1:$AS$1,0),FALSE)</f>
        <v>95.547130276000004</v>
      </c>
      <c r="O375" s="79">
        <f>(((Table134567891011121314151617343[[#This Row],[USA]]-VLOOKUP($U$1,A:N,14,))/VLOOKUP($U$1,A:N,14,))*100)+100</f>
        <v>109.99695329600017</v>
      </c>
      <c r="P375" s="79">
        <f>VLOOKUP(A375,Database!$A:$AS,MATCH($P$1,Database!$A$1:$AS$1,0),FALSE)</f>
        <v>95.392050662000003</v>
      </c>
      <c r="Q375" s="79">
        <f>(((Table134567891011121314151617343[[#This Row],[JPN]]-VLOOKUP($U$1,A:Q,16,))/VLOOKUP($U$1,A:Q,16,))*100)+100</f>
        <v>95.771661594841419</v>
      </c>
    </row>
    <row r="376" spans="1:17" s="83" customFormat="1" x14ac:dyDescent="0.2">
      <c r="A376" s="21">
        <v>44256</v>
      </c>
      <c r="B376" s="79">
        <f>VLOOKUP(A376,Database!$A:$AS,MATCH($B$1,Database!$A$1:$AS$1,0),FALSE)</f>
        <v>102.791434047</v>
      </c>
      <c r="C376" s="79">
        <f>VLOOKUP(A376,Database!$A:$AS,MATCH($C$1,Database!$A$1:$AS$1,0),FALSE)</f>
        <v>97.78</v>
      </c>
      <c r="D376" s="79">
        <f>VLOOKUP(A376,Database!$A:$AS,MATCH($D$1,Database!$A$1:$AS$1,0),FALSE)</f>
        <v>96.291975668999996</v>
      </c>
      <c r="E376" s="79">
        <f>VLOOKUP(A376,Database!$A:$AS,MATCH($E$1,Database!$A$1:$AS$1,0),FALSE)</f>
        <v>102.09408507800001</v>
      </c>
      <c r="F376" s="79">
        <f>VLOOKUP(A376,Database!$A:$AS,MATCH($F$1,Database!$A$1:$AS$1,0),FALSE)</f>
        <v>102.4</v>
      </c>
      <c r="G376" s="79">
        <f>VLOOKUP(A376,Database!$A:$AS,MATCH($G$1,Database!$A$1:$AS$1,0),FALSE)</f>
        <v>103.889585947</v>
      </c>
      <c r="H376" s="79">
        <f>(((Table134567891011121314151617343[[#This Row],[ITA]]-VLOOKUP($U$1,A:B,2,))/VLOOKUP($U$1,A:B,2,))*100)+100</f>
        <v>84.539473684105019</v>
      </c>
      <c r="I376" s="79">
        <f>(((Table134567891011121314151617343[[#This Row],[FRA]]-VLOOKUP($U$1,A:C,3,))/VLOOKUP($U$1,A:C,3,))*100)+100</f>
        <v>95.404429700458593</v>
      </c>
      <c r="J376" s="79">
        <f>(((Table134567891011121314151617343[[#This Row],[DEU]]-VLOOKUP($U$1,A:D,4,))/VLOOKUP($U$1,A:D,4,))*100)+100</f>
        <v>128.05851063787344</v>
      </c>
      <c r="K376" s="79">
        <f>(((Table134567891011121314151617343[[#This Row],[ESP]]-VLOOKUP($U$1,A:E,5,))/VLOOKUP($U$1,A:E,5,))*100)+100</f>
        <v>85.814911321661455</v>
      </c>
      <c r="L376" s="79">
        <f>(((Table134567891011121314151617343[[#This Row],[EA19]]-VLOOKUP($U$1,A:F,6,))/VLOOKUP($U$1,A:F,6,))*100)+100</f>
        <v>114.5413870246085</v>
      </c>
      <c r="M376" s="79">
        <f>(((Table134567891011121314151617343[[#This Row],[GBR]]-VLOOKUP($U$1,A:G,7,))/VLOOKUP($U$1,A:G,7,))*100)+100</f>
        <v>112.71878646381698</v>
      </c>
      <c r="N376" s="79">
        <f>VLOOKUP(A376,Database!$A:$AS,MATCH($N$1,Database!$A$1:$AS$1,0),FALSE)</f>
        <v>98.287962676999996</v>
      </c>
      <c r="O376" s="79">
        <f>(((Table134567891011121314151617343[[#This Row],[USA]]-VLOOKUP($U$1,A:N,14,))/VLOOKUP($U$1,A:N,14,))*100)+100</f>
        <v>113.15228839328763</v>
      </c>
      <c r="P376" s="79">
        <f>VLOOKUP(A376,Database!$A:$AS,MATCH($P$1,Database!$A$1:$AS$1,0),FALSE)</f>
        <v>97.091909008000002</v>
      </c>
      <c r="Q376" s="79">
        <f>(((Table134567891011121314151617343[[#This Row],[JPN]]-VLOOKUP($U$1,A:Q,16,))/VLOOKUP($U$1,A:Q,16,))*100)+100</f>
        <v>97.478284496251916</v>
      </c>
    </row>
    <row r="377" spans="1:17" s="83" customFormat="1" x14ac:dyDescent="0.2">
      <c r="A377" s="21">
        <v>44287</v>
      </c>
      <c r="B377" s="79">
        <f>VLOOKUP(A377,Database!$A:$AS,MATCH($B$1,Database!$A$1:$AS$1,0),FALSE)</f>
        <v>104.49129239200001</v>
      </c>
      <c r="C377" s="79">
        <f>VLOOKUP(A377,Database!$A:$AS,MATCH($C$1,Database!$A$1:$AS$1,0),FALSE)</f>
        <v>97.55</v>
      </c>
      <c r="D377" s="79">
        <f>VLOOKUP(A377,Database!$A:$AS,MATCH($D$1,Database!$A$1:$AS$1,0),FALSE)</f>
        <v>95.992000666999999</v>
      </c>
      <c r="E377" s="79">
        <f>VLOOKUP(A377,Database!$A:$AS,MATCH($E$1,Database!$A$1:$AS$1,0),FALSE)</f>
        <v>103.468086223</v>
      </c>
      <c r="F377" s="79">
        <f>VLOOKUP(A377,Database!$A:$AS,MATCH($F$1,Database!$A$1:$AS$1,0),FALSE)</f>
        <v>103.1</v>
      </c>
      <c r="G377" s="79">
        <f>VLOOKUP(A377,Database!$A:$AS,MATCH($G$1,Database!$A$1:$AS$1,0),FALSE)</f>
        <v>103.45940132600001</v>
      </c>
      <c r="H377" s="79">
        <f>(((Table134567891011121314151617343[[#This Row],[ITA]]-VLOOKUP($U$1,A:B,2,))/VLOOKUP($U$1,A:B,2,))*100)+100</f>
        <v>85.937499999781551</v>
      </c>
      <c r="I377" s="79">
        <f>(((Table134567891011121314151617343[[#This Row],[FRA]]-VLOOKUP($U$1,A:C,3,))/VLOOKUP($U$1,A:C,3,))*100)+100</f>
        <v>95.180017562689045</v>
      </c>
      <c r="J377" s="79">
        <f>(((Table134567891011121314151617343[[#This Row],[DEU]]-VLOOKUP($U$1,A:D,4,))/VLOOKUP($U$1,A:D,4,))*100)+100</f>
        <v>127.65957446777387</v>
      </c>
      <c r="K377" s="79">
        <f>(((Table134567891011121314151617343[[#This Row],[ESP]]-VLOOKUP($U$1,A:E,5,))/VLOOKUP($U$1,A:E,5,))*100)+100</f>
        <v>86.969824324936354</v>
      </c>
      <c r="L377" s="79">
        <f>(((Table134567891011121314151617343[[#This Row],[EA19]]-VLOOKUP($U$1,A:F,6,))/VLOOKUP($U$1,A:F,6,))*100)+100</f>
        <v>115.32438478747203</v>
      </c>
      <c r="M377" s="79">
        <f>(((Table134567891011121314151617343[[#This Row],[GBR]]-VLOOKUP($U$1,A:G,7,))/VLOOKUP($U$1,A:G,7,))*100)+100</f>
        <v>112.2520420062998</v>
      </c>
      <c r="N377" s="79">
        <f>VLOOKUP(A377,Database!$A:$AS,MATCH($N$1,Database!$A$1:$AS$1,0),FALSE)</f>
        <v>98.367059460999997</v>
      </c>
      <c r="O377" s="79">
        <f>(((Table134567891011121314151617343[[#This Row],[USA]]-VLOOKUP($U$1,A:N,14,))/VLOOKUP($U$1,A:N,14,))*100)+100</f>
        <v>113.24334717475369</v>
      </c>
      <c r="P377" s="79">
        <f>VLOOKUP(A377,Database!$A:$AS,MATCH($P$1,Database!$A$1:$AS$1,0),FALSE)</f>
        <v>99.791684025999999</v>
      </c>
      <c r="Q377" s="79">
        <f>(((Table134567891011121314151617343[[#This Row],[JPN]]-VLOOKUP($U$1,A:Q,16,))/VLOOKUP($U$1,A:Q,16,))*100)+100</f>
        <v>100.18880321989543</v>
      </c>
    </row>
    <row r="378" spans="1:17" s="83" customFormat="1" x14ac:dyDescent="0.2">
      <c r="A378" s="21">
        <v>44317</v>
      </c>
      <c r="B378" s="79">
        <f>VLOOKUP(A378,Database!$A:$AS,MATCH($B$1,Database!$A$1:$AS$1,0),FALSE)</f>
        <v>102.791434047</v>
      </c>
      <c r="C378" s="79">
        <f>VLOOKUP(A378,Database!$A:$AS,MATCH($C$1,Database!$A$1:$AS$1,0),FALSE)</f>
        <v>97.2</v>
      </c>
      <c r="D378" s="79">
        <f>VLOOKUP(A378,Database!$A:$AS,MATCH($D$1,Database!$A$1:$AS$1,0),FALSE)</f>
        <v>95.192067327999993</v>
      </c>
      <c r="E378" s="79">
        <f>VLOOKUP(A378,Database!$A:$AS,MATCH($E$1,Database!$A$1:$AS$1,0),FALSE)</f>
        <v>104.941087451</v>
      </c>
      <c r="F378" s="79">
        <f>VLOOKUP(A378,Database!$A:$AS,MATCH($F$1,Database!$A$1:$AS$1,0),FALSE)</f>
        <v>102</v>
      </c>
      <c r="G378" s="79">
        <f>VLOOKUP(A378,Database!$A:$AS,MATCH($G$1,Database!$A$1:$AS$1,0),FALSE)</f>
        <v>104.427316723</v>
      </c>
      <c r="H378" s="79">
        <f>(((Table134567891011121314151617343[[#This Row],[ITA]]-VLOOKUP($U$1,A:B,2,))/VLOOKUP($U$1,A:B,2,))*100)+100</f>
        <v>84.539473684105019</v>
      </c>
      <c r="I378" s="79">
        <f>(((Table134567891011121314151617343[[#This Row],[FRA]]-VLOOKUP($U$1,A:C,3,))/VLOOKUP($U$1,A:C,3,))*100)+100</f>
        <v>94.838520831300627</v>
      </c>
      <c r="J378" s="79">
        <f>(((Table134567891011121314151617343[[#This Row],[DEU]]-VLOOKUP($U$1,A:D,4,))/VLOOKUP($U$1,A:D,4,))*100)+100</f>
        <v>126.59574468039833</v>
      </c>
      <c r="K378" s="79">
        <f>(((Table134567891011121314151617343[[#This Row],[ESP]]-VLOOKUP($U$1,A:E,5,))/VLOOKUP($U$1,A:E,5,))*100)+100</f>
        <v>88.207951584325997</v>
      </c>
      <c r="L378" s="79">
        <f>(((Table134567891011121314151617343[[#This Row],[EA19]]-VLOOKUP($U$1,A:F,6,))/VLOOKUP($U$1,A:F,6,))*100)+100</f>
        <v>114.09395973154362</v>
      </c>
      <c r="M378" s="79">
        <f>(((Table134567891011121314151617343[[#This Row],[GBR]]-VLOOKUP($U$1,A:G,7,))/VLOOKUP($U$1,A:G,7,))*100)+100</f>
        <v>113.30221703544221</v>
      </c>
      <c r="N378" s="79">
        <f>VLOOKUP(A378,Database!$A:$AS,MATCH($N$1,Database!$A$1:$AS$1,0),FALSE)</f>
        <v>99.042058327000007</v>
      </c>
      <c r="O378" s="79">
        <f>(((Table134567891011121314151617343[[#This Row],[USA]]-VLOOKUP($U$1,A:N,14,))/VLOOKUP($U$1,A:N,14,))*100)+100</f>
        <v>114.02042774770007</v>
      </c>
      <c r="P378" s="79">
        <f>VLOOKUP(A378,Database!$A:$AS,MATCH($P$1,Database!$A$1:$AS$1,0),FALSE)</f>
        <v>93.792183984999994</v>
      </c>
      <c r="Q378" s="79">
        <f>(((Table134567891011121314151617343[[#This Row],[JPN]]-VLOOKUP($U$1,A:Q,16,))/VLOOKUP($U$1,A:Q,16,))*100)+100</f>
        <v>94.165428277461388</v>
      </c>
    </row>
    <row r="379" spans="1:17" s="83" customFormat="1" x14ac:dyDescent="0.2">
      <c r="A379" s="21">
        <v>44348</v>
      </c>
      <c r="B379" s="79">
        <f>VLOOKUP(A379,Database!$A:$AS,MATCH($B$1,Database!$A$1:$AS$1,0),FALSE)</f>
        <v>103.891342388</v>
      </c>
      <c r="C379" s="79">
        <f>VLOOKUP(A379,Database!$A:$AS,MATCH($C$1,Database!$A$1:$AS$1,0),FALSE)</f>
        <v>97.77</v>
      </c>
      <c r="D379" s="79">
        <f>VLOOKUP(A379,Database!$A:$AS,MATCH($D$1,Database!$A$1:$AS$1,0),FALSE)</f>
        <v>94.792100657999995</v>
      </c>
      <c r="E379" s="79">
        <f>VLOOKUP(A379,Database!$A:$AS,MATCH($E$1,Database!$A$1:$AS$1,0),FALSE)</f>
        <v>103.726086438</v>
      </c>
      <c r="F379" s="79">
        <f>VLOOKUP(A379,Database!$A:$AS,MATCH($F$1,Database!$A$1:$AS$1,0),FALSE)</f>
        <v>102.3</v>
      </c>
      <c r="G379" s="79">
        <f>VLOOKUP(A379,Database!$A:$AS,MATCH($G$1,Database!$A$1:$AS$1,0),FALSE)</f>
        <v>103.78203979200001</v>
      </c>
      <c r="H379" s="79">
        <f>(((Table134567891011121314151617343[[#This Row],[ITA]]-VLOOKUP($U$1,A:B,2,))/VLOOKUP($U$1,A:B,2,))*100)+100</f>
        <v>85.444078947286584</v>
      </c>
      <c r="I379" s="79">
        <f>(((Table134567891011121314151617343[[#This Row],[FRA]]-VLOOKUP($U$1,A:C,3,))/VLOOKUP($U$1,A:C,3,))*100)+100</f>
        <v>95.394672650990344</v>
      </c>
      <c r="J379" s="79">
        <f>(((Table134567891011121314151617343[[#This Row],[DEU]]-VLOOKUP($U$1,A:D,4,))/VLOOKUP($U$1,A:D,4,))*100)+100</f>
        <v>126.06382978604563</v>
      </c>
      <c r="K379" s="79">
        <f>(((Table134567891011121314151617343[[#This Row],[ESP]]-VLOOKUP($U$1,A:E,5,))/VLOOKUP($U$1,A:E,5,))*100)+100</f>
        <v>87.186685718564377</v>
      </c>
      <c r="L379" s="79">
        <f>(((Table134567891011121314151617343[[#This Row],[EA19]]-VLOOKUP($U$1,A:F,6,))/VLOOKUP($U$1,A:F,6,))*100)+100</f>
        <v>114.42953020134227</v>
      </c>
      <c r="M379" s="79">
        <f>(((Table134567891011121314151617343[[#This Row],[GBR]]-VLOOKUP($U$1,A:G,7,))/VLOOKUP($U$1,A:G,7,))*100)+100</f>
        <v>112.60210034970893</v>
      </c>
      <c r="N379" s="79">
        <f>VLOOKUP(A379,Database!$A:$AS,MATCH($N$1,Database!$A$1:$AS$1,0),FALSE)</f>
        <v>99.585030982999996</v>
      </c>
      <c r="O379" s="79">
        <f>(((Table134567891011121314151617343[[#This Row],[USA]]-VLOOKUP($U$1,A:N,14,))/VLOOKUP($U$1,A:N,14,))*100)+100</f>
        <v>114.64551546839364</v>
      </c>
      <c r="P379" s="79">
        <f>VLOOKUP(A379,Database!$A:$AS,MATCH($P$1,Database!$A$1:$AS$1,0),FALSE)</f>
        <v>99.791684025999999</v>
      </c>
      <c r="Q379" s="79">
        <f>(((Table134567891011121314151617343[[#This Row],[JPN]]-VLOOKUP($U$1,A:Q,16,))/VLOOKUP($U$1,A:Q,16,))*100)+100</f>
        <v>100.18880321989543</v>
      </c>
    </row>
    <row r="380" spans="1:17" s="83" customFormat="1" x14ac:dyDescent="0.2">
      <c r="A380" s="21">
        <v>44378</v>
      </c>
      <c r="B380" s="79">
        <f>VLOOKUP(A380,Database!$A:$AS,MATCH($B$1,Database!$A$1:$AS$1,0),FALSE)</f>
        <v>104.791267394</v>
      </c>
      <c r="C380" s="79">
        <f>VLOOKUP(A380,Database!$A:$AS,MATCH($C$1,Database!$A$1:$AS$1,0),FALSE)</f>
        <v>98.17</v>
      </c>
      <c r="D380" s="79">
        <f>VLOOKUP(A380,Database!$A:$AS,MATCH($D$1,Database!$A$1:$AS$1,0),FALSE)</f>
        <v>96.191984000999994</v>
      </c>
      <c r="E380" s="79">
        <f>VLOOKUP(A380,Database!$A:$AS,MATCH($E$1,Database!$A$1:$AS$1,0),FALSE)</f>
        <v>102.62408551999999</v>
      </c>
      <c r="F380" s="79">
        <f>VLOOKUP(A380,Database!$A:$AS,MATCH($F$1,Database!$A$1:$AS$1,0),FALSE)</f>
        <v>103.5</v>
      </c>
      <c r="G380" s="79">
        <f>VLOOKUP(A380,Database!$A:$AS,MATCH($G$1,Database!$A$1:$AS$1,0),FALSE)</f>
        <v>104.10467825800001</v>
      </c>
      <c r="H380" s="79">
        <f>(((Table134567891011121314151617343[[#This Row],[ITA]]-VLOOKUP($U$1,A:B,2,))/VLOOKUP($U$1,A:B,2,))*100)+100</f>
        <v>86.18421052602902</v>
      </c>
      <c r="I380" s="79">
        <f>(((Table134567891011121314151617343[[#This Row],[FRA]]-VLOOKUP($U$1,A:C,3,))/VLOOKUP($U$1,A:C,3,))*100)+100</f>
        <v>95.784954629719977</v>
      </c>
      <c r="J380" s="79">
        <f>(((Table134567891011121314151617343[[#This Row],[DEU]]-VLOOKUP($U$1,A:D,4,))/VLOOKUP($U$1,A:D,4,))*100)+100</f>
        <v>127.92553191362032</v>
      </c>
      <c r="K380" s="79">
        <f>(((Table134567891011121314151617343[[#This Row],[ESP]]-VLOOKUP($U$1,A:E,5,))/VLOOKUP($U$1,A:E,5,))*100)+100</f>
        <v>86.260401781720148</v>
      </c>
      <c r="L380" s="79">
        <f>(((Table134567891011121314151617343[[#This Row],[EA19]]-VLOOKUP($U$1,A:F,6,))/VLOOKUP($U$1,A:F,6,))*100)+100</f>
        <v>115.7718120805369</v>
      </c>
      <c r="M380" s="79">
        <f>(((Table134567891011121314151617343[[#This Row],[GBR]]-VLOOKUP($U$1,A:G,7,))/VLOOKUP($U$1,A:G,7,))*100)+100</f>
        <v>112.95215869311807</v>
      </c>
      <c r="N380" s="79">
        <f>VLOOKUP(A380,Database!$A:$AS,MATCH($N$1,Database!$A$1:$AS$1,0),FALSE)</f>
        <v>100.352012074</v>
      </c>
      <c r="O380" s="79">
        <f>(((Table134567891011121314151617343[[#This Row],[USA]]-VLOOKUP($U$1,A:N,14,))/VLOOKUP($U$1,A:N,14,))*100)+100</f>
        <v>115.52848896013475</v>
      </c>
      <c r="P380" s="79">
        <f>VLOOKUP(A380,Database!$A:$AS,MATCH($P$1,Database!$A$1:$AS$1,0),FALSE)</f>
        <v>98.791767352999997</v>
      </c>
      <c r="Q380" s="79">
        <f>(((Table134567891011121314151617343[[#This Row],[JPN]]-VLOOKUP($U$1,A:Q,16,))/VLOOKUP($U$1,A:Q,16,))*100)+100</f>
        <v>99.184907396658417</v>
      </c>
    </row>
    <row r="381" spans="1:17" s="83" customFormat="1" x14ac:dyDescent="0.2">
      <c r="A381" s="21">
        <v>44409</v>
      </c>
      <c r="B381" s="79">
        <f>VLOOKUP(A381,Database!$A:$AS,MATCH($B$1,Database!$A$1:$AS$1,0),FALSE)</f>
        <v>104.49129239200001</v>
      </c>
      <c r="C381" s="79">
        <f>VLOOKUP(A381,Database!$A:$AS,MATCH($C$1,Database!$A$1:$AS$1,0),FALSE)</f>
        <v>99.17</v>
      </c>
      <c r="D381" s="79">
        <f>VLOOKUP(A381,Database!$A:$AS,MATCH($D$1,Database!$A$1:$AS$1,0),FALSE)</f>
        <v>92.092325639999999</v>
      </c>
      <c r="E381" s="79">
        <f>VLOOKUP(A381,Database!$A:$AS,MATCH($E$1,Database!$A$1:$AS$1,0),FALSE)</f>
        <v>102.386085322</v>
      </c>
      <c r="F381" s="79">
        <f>VLOOKUP(A381,Database!$A:$AS,MATCH($F$1,Database!$A$1:$AS$1,0),FALSE)</f>
        <v>101.7</v>
      </c>
      <c r="G381" s="79">
        <f>VLOOKUP(A381,Database!$A:$AS,MATCH($G$1,Database!$A$1:$AS$1,0),FALSE)</f>
        <v>105.18013981</v>
      </c>
      <c r="H381" s="79">
        <f>(((Table134567891011121314151617343[[#This Row],[ITA]]-VLOOKUP($U$1,A:B,2,))/VLOOKUP($U$1,A:B,2,))*100)+100</f>
        <v>85.937499999781551</v>
      </c>
      <c r="I381" s="79">
        <f>(((Table134567891011121314151617343[[#This Row],[FRA]]-VLOOKUP($U$1,A:C,3,))/VLOOKUP($U$1,A:C,3,))*100)+100</f>
        <v>96.760659576544057</v>
      </c>
      <c r="J381" s="79">
        <f>(((Table134567891011121314151617343[[#This Row],[DEU]]-VLOOKUP($U$1,A:D,4,))/VLOOKUP($U$1,A:D,4,))*100)+100</f>
        <v>122.47340425514938</v>
      </c>
      <c r="K381" s="79">
        <f>(((Table134567891011121314151617343[[#This Row],[ESP]]-VLOOKUP($U$1,A:E,5,))/VLOOKUP($U$1,A:E,5,))*100)+100</f>
        <v>86.060351349118662</v>
      </c>
      <c r="L381" s="79">
        <f>(((Table134567891011121314151617343[[#This Row],[EA19]]-VLOOKUP($U$1,A:F,6,))/VLOOKUP($U$1,A:F,6,))*100)+100</f>
        <v>113.75838926174497</v>
      </c>
      <c r="M381" s="79">
        <f>(((Table134567891011121314151617343[[#This Row],[GBR]]-VLOOKUP($U$1,A:G,7,))/VLOOKUP($U$1,A:G,7,))*100)+100</f>
        <v>114.11901983636852</v>
      </c>
      <c r="N381" s="79">
        <f>VLOOKUP(A381,Database!$A:$AS,MATCH($N$1,Database!$A$1:$AS$1,0),FALSE)</f>
        <v>100.21512904399999</v>
      </c>
      <c r="O381" s="79">
        <f>(((Table134567891011121314151617343[[#This Row],[USA]]-VLOOKUP($U$1,A:N,14,))/VLOOKUP($U$1,A:N,14,))*100)+100</f>
        <v>115.37090477927623</v>
      </c>
      <c r="P381" s="79">
        <f>VLOOKUP(A381,Database!$A:$AS,MATCH($P$1,Database!$A$1:$AS$1,0),FALSE)</f>
        <v>95.292058995000005</v>
      </c>
      <c r="Q381" s="79">
        <f>(((Table134567891011121314151617343[[#This Row],[JPN]]-VLOOKUP($U$1,A:Q,16,))/VLOOKUP($U$1,A:Q,16,))*100)+100</f>
        <v>95.671272012818918</v>
      </c>
    </row>
    <row r="382" spans="1:17" s="83" customFormat="1" x14ac:dyDescent="0.2">
      <c r="A382" s="21">
        <v>44440</v>
      </c>
      <c r="B382" s="79">
        <f>VLOOKUP(A382,Database!$A:$AS,MATCH($B$1,Database!$A$1:$AS$1,0),FALSE)</f>
        <v>104.59128406000001</v>
      </c>
      <c r="C382" s="79">
        <f>VLOOKUP(A382,Database!$A:$AS,MATCH($C$1,Database!$A$1:$AS$1,0),FALSE)</f>
        <v>97.7</v>
      </c>
      <c r="D382" s="79">
        <f>VLOOKUP(A382,Database!$A:$AS,MATCH($D$1,Database!$A$1:$AS$1,0),FALSE)</f>
        <v>90.892425630999995</v>
      </c>
      <c r="E382" s="79">
        <f>VLOOKUP(A382,Database!$A:$AS,MATCH($E$1,Database!$A$1:$AS$1,0),FALSE)</f>
        <v>102.73208561</v>
      </c>
      <c r="F382" s="79">
        <f>VLOOKUP(A382,Database!$A:$AS,MATCH($F$1,Database!$A$1:$AS$1,0),FALSE)</f>
        <v>101.5</v>
      </c>
      <c r="G382" s="79">
        <f>VLOOKUP(A382,Database!$A:$AS,MATCH($G$1,Database!$A$1:$AS$1,0),FALSE)</f>
        <v>104.749955189</v>
      </c>
      <c r="H382" s="79">
        <f>(((Table134567891011121314151617343[[#This Row],[ITA]]-VLOOKUP($U$1,A:B,2,))/VLOOKUP($U$1,A:B,2,))*100)+100</f>
        <v>86.019736842412328</v>
      </c>
      <c r="I382" s="79">
        <f>(((Table134567891011121314151617343[[#This Row],[FRA]]-VLOOKUP($U$1,A:C,3,))/VLOOKUP($U$1,A:C,3,))*100)+100</f>
        <v>95.326373304712661</v>
      </c>
      <c r="J382" s="79">
        <f>(((Table134567891011121314151617343[[#This Row],[DEU]]-VLOOKUP($U$1,A:D,4,))/VLOOKUP($U$1,A:D,4,))*100)+100</f>
        <v>120.87765957342114</v>
      </c>
      <c r="K382" s="79">
        <f>(((Table134567891011121314151617343[[#This Row],[ESP]]-VLOOKUP($U$1,A:E,5,))/VLOOKUP($U$1,A:E,5,))*100)+100</f>
        <v>86.351180969750502</v>
      </c>
      <c r="L382" s="79">
        <f>(((Table134567891011121314151617343[[#This Row],[EA19]]-VLOOKUP($U$1,A:F,6,))/VLOOKUP($U$1,A:F,6,))*100)+100</f>
        <v>113.53467561521252</v>
      </c>
      <c r="M382" s="79">
        <f>(((Table134567891011121314151617343[[#This Row],[GBR]]-VLOOKUP($U$1,A:G,7,))/VLOOKUP($U$1,A:G,7,))*100)+100</f>
        <v>113.65227537885134</v>
      </c>
      <c r="N382" s="79">
        <f>VLOOKUP(A382,Database!$A:$AS,MATCH($N$1,Database!$A$1:$AS$1,0),FALSE)</f>
        <v>99.199161587000006</v>
      </c>
      <c r="O382" s="79">
        <f>(((Table134567891011121314151617343[[#This Row],[USA]]-VLOOKUP($U$1,A:N,14,))/VLOOKUP($U$1,A:N,14,))*100)+100</f>
        <v>114.20129011272299</v>
      </c>
      <c r="P382" s="79">
        <f>VLOOKUP(A382,Database!$A:$AS,MATCH($P$1,Database!$A$1:$AS$1,0),FALSE)</f>
        <v>89.792517290000006</v>
      </c>
      <c r="Q382" s="79">
        <f>(((Table134567891011121314151617343[[#This Row],[JPN]]-VLOOKUP($U$1,A:Q,16,))/VLOOKUP($U$1,A:Q,16,))*100)+100</f>
        <v>90.149844981501403</v>
      </c>
    </row>
    <row r="383" spans="1:17" s="83" customFormat="1" x14ac:dyDescent="0.2">
      <c r="A383" s="21">
        <v>44470</v>
      </c>
      <c r="B383" s="79">
        <f>VLOOKUP(A383,Database!$A:$AS,MATCH($B$1,Database!$A$1:$AS$1,0),FALSE)</f>
        <v>103.991334055</v>
      </c>
      <c r="C383" s="79">
        <f>VLOOKUP(A383,Database!$A:$AS,MATCH($C$1,Database!$A$1:$AS$1,0),FALSE)</f>
        <v>98.54</v>
      </c>
      <c r="D383" s="79">
        <f>VLOOKUP(A383,Database!$A:$AS,MATCH($D$1,Database!$A$1:$AS$1,0),FALSE)</f>
        <v>93.792183984999994</v>
      </c>
      <c r="E383" s="79">
        <f>VLOOKUP(A383,Database!$A:$AS,MATCH($E$1,Database!$A$1:$AS$1,0),FALSE)</f>
        <v>101.746084788</v>
      </c>
      <c r="F383" s="79">
        <f>VLOOKUP(A383,Database!$A:$AS,MATCH($F$1,Database!$A$1:$AS$1,0),FALSE)</f>
        <v>102.6</v>
      </c>
      <c r="G383" s="79">
        <f>VLOOKUP(A383,Database!$A:$AS,MATCH($G$1,Database!$A$1:$AS$1,0),FALSE)</f>
        <v>104.10467825800001</v>
      </c>
      <c r="H383" s="79">
        <f>(((Table134567891011121314151617343[[#This Row],[ITA]]-VLOOKUP($U$1,A:B,2,))/VLOOKUP($U$1,A:B,2,))*100)+100</f>
        <v>85.526315789094923</v>
      </c>
      <c r="I383" s="79">
        <f>(((Table134567891011121314151617343[[#This Row],[FRA]]-VLOOKUP($U$1,A:C,3,))/VLOOKUP($U$1,A:C,3,))*100)+100</f>
        <v>96.145965460044891</v>
      </c>
      <c r="J383" s="79">
        <f>(((Table134567891011121314151617343[[#This Row],[DEU]]-VLOOKUP($U$1,A:D,4,))/VLOOKUP($U$1,A:D,4,))*100)+100</f>
        <v>124.73404255282364</v>
      </c>
      <c r="K383" s="79">
        <f>(((Table134567891011121314151617343[[#This Row],[ESP]]-VLOOKUP($U$1,A:E,5,))/VLOOKUP($U$1,A:E,5,))*100)+100</f>
        <v>85.522400604674786</v>
      </c>
      <c r="L383" s="79">
        <f>(((Table134567891011121314151617343[[#This Row],[EA19]]-VLOOKUP($U$1,A:F,6,))/VLOOKUP($U$1,A:F,6,))*100)+100</f>
        <v>114.76510067114093</v>
      </c>
      <c r="M383" s="79">
        <f>(((Table134567891011121314151617343[[#This Row],[GBR]]-VLOOKUP($U$1,A:G,7,))/VLOOKUP($U$1,A:G,7,))*100)+100</f>
        <v>112.95215869311807</v>
      </c>
      <c r="N383" s="79">
        <f>VLOOKUP(A383,Database!$A:$AS,MATCH($N$1,Database!$A$1:$AS$1,0),FALSE)</f>
        <v>100.86425791000001</v>
      </c>
      <c r="O383" s="79">
        <f>(((Table134567891011121314151617343[[#This Row],[USA]]-VLOOKUP($U$1,A:N,14,))/VLOOKUP($U$1,A:N,14,))*100)+100</f>
        <v>116.11820296971099</v>
      </c>
      <c r="P383" s="79">
        <f>VLOOKUP(A383,Database!$A:$AS,MATCH($P$1,Database!$A$1:$AS$1,0),FALSE)</f>
        <v>90.792433963999997</v>
      </c>
      <c r="Q383" s="79">
        <f>(((Table134567891011121314151617343[[#This Row],[JPN]]-VLOOKUP($U$1,A:Q,16,))/VLOOKUP($U$1,A:Q,16,))*100)+100</f>
        <v>91.153740805742387</v>
      </c>
    </row>
    <row r="384" spans="1:17" s="83" customFormat="1" x14ac:dyDescent="0.2">
      <c r="A384" s="21">
        <v>44501</v>
      </c>
      <c r="B384" s="79">
        <f>VLOOKUP(A384,Database!$A:$AS,MATCH($B$1,Database!$A$1:$AS$1,0),FALSE)</f>
        <v>106.291142405</v>
      </c>
      <c r="C384" s="79">
        <f>VLOOKUP(A384,Database!$A:$AS,MATCH($C$1,Database!$A$1:$AS$1,0),FALSE)</f>
        <v>98.1</v>
      </c>
      <c r="D384" s="79">
        <f>VLOOKUP(A384,Database!$A:$AS,MATCH($D$1,Database!$A$1:$AS$1,0),FALSE)</f>
        <v>93.892175652000006</v>
      </c>
      <c r="E384" s="79">
        <f>VLOOKUP(A384,Database!$A:$AS,MATCH($E$1,Database!$A$1:$AS$1,0),FALSE)</f>
        <v>106.29608858</v>
      </c>
      <c r="F384" s="79">
        <f>VLOOKUP(A384,Database!$A:$AS,MATCH($F$1,Database!$A$1:$AS$1,0),FALSE)</f>
        <v>103.217202867</v>
      </c>
      <c r="G384" s="79">
        <f>VLOOKUP(A384,Database!$A:$AS,MATCH($G$1,Database!$A$1:$AS$1,0),FALSE)</f>
        <v>0</v>
      </c>
      <c r="H384" s="79">
        <f>(((Table134567891011121314151617343[[#This Row],[ITA]]-VLOOKUP($U$1,A:B,2,))/VLOOKUP($U$1,A:B,2,))*100)+100</f>
        <v>87.41776315808886</v>
      </c>
      <c r="I384" s="79">
        <f>(((Table134567891011121314151617343[[#This Row],[FRA]]-VLOOKUP($U$1,A:C,3,))/VLOOKUP($U$1,A:C,3,))*100)+100</f>
        <v>95.716655283442293</v>
      </c>
      <c r="J384" s="79">
        <f>(((Table134567891011121314151617343[[#This Row],[DEU]]-VLOOKUP($U$1,A:D,4,))/VLOOKUP($U$1,A:D,4,))*100)+100</f>
        <v>124.86702127574689</v>
      </c>
      <c r="K384" s="79">
        <f>(((Table134567891011121314151617343[[#This Row],[ESP]]-VLOOKUP($U$1,A:E,5,))/VLOOKUP($U$1,A:E,5,))*100)+100</f>
        <v>89.346894174751768</v>
      </c>
      <c r="L384" s="79">
        <f>(((Table134567891011121314151617343[[#This Row],[EA19]]-VLOOKUP($U$1,A:F,6,))/VLOOKUP($U$1,A:F,6,))*100)+100</f>
        <v>115.45548419127516</v>
      </c>
      <c r="M384" s="79">
        <f>(((Table134567891011121314151617343[[#This Row],[GBR]]-VLOOKUP($U$1,A:G,7,))/VLOOKUP($U$1,A:G,7,))*100)+100</f>
        <v>0</v>
      </c>
      <c r="N384" s="79">
        <f>VLOOKUP(A384,Database!$A:$AS,MATCH($N$1,Database!$A$1:$AS$1,0),FALSE)</f>
        <v>101.383838535</v>
      </c>
      <c r="O384" s="79">
        <f>(((Table134567891011121314151617343[[#This Row],[USA]]-VLOOKUP($U$1,A:N,14,))/VLOOKUP($U$1,A:N,14,))*100)+100</f>
        <v>116.71636102612294</v>
      </c>
      <c r="P384" s="79">
        <f>VLOOKUP(A384,Database!$A:$AS,MATCH($P$1,Database!$A$1:$AS$1,0),FALSE)</f>
        <v>97.291892341999997</v>
      </c>
      <c r="Q384" s="79">
        <f>(((Table134567891011121314151617343[[#This Row],[JPN]]-VLOOKUP($U$1,A:Q,16,))/VLOOKUP($U$1,A:Q,16,))*100)+100</f>
        <v>97.679063660296919</v>
      </c>
    </row>
    <row r="385" spans="1:4" s="83" customFormat="1" x14ac:dyDescent="0.2">
      <c r="A385" s="16"/>
      <c r="C385" s="35"/>
      <c r="D385" s="36"/>
    </row>
    <row r="386" spans="1:4" s="83" customFormat="1" x14ac:dyDescent="0.2">
      <c r="A386" s="16"/>
      <c r="C386" s="35"/>
      <c r="D386" s="36"/>
    </row>
    <row r="387" spans="1:4" s="83" customFormat="1" x14ac:dyDescent="0.2">
      <c r="A387" s="16"/>
      <c r="C387" s="35"/>
      <c r="D387" s="36"/>
    </row>
    <row r="388" spans="1:4" s="83" customFormat="1" x14ac:dyDescent="0.2">
      <c r="A388" s="16"/>
      <c r="C388" s="35"/>
      <c r="D388" s="36"/>
    </row>
    <row r="389" spans="1:4" s="83" customFormat="1" x14ac:dyDescent="0.2">
      <c r="A389" s="16"/>
      <c r="C389" s="35"/>
      <c r="D389" s="36"/>
    </row>
    <row r="390" spans="1:4" s="83" customFormat="1" x14ac:dyDescent="0.2">
      <c r="A390" s="16"/>
      <c r="C390" s="35"/>
      <c r="D390" s="36"/>
    </row>
    <row r="391" spans="1:4" s="83" customFormat="1" x14ac:dyDescent="0.2">
      <c r="A391" s="16"/>
      <c r="C391" s="35"/>
      <c r="D391" s="36"/>
    </row>
    <row r="392" spans="1:4" s="83" customFormat="1" x14ac:dyDescent="0.2">
      <c r="A392" s="16"/>
      <c r="C392" s="35"/>
      <c r="D392" s="36"/>
    </row>
    <row r="393" spans="1:4" s="83" customFormat="1" x14ac:dyDescent="0.2">
      <c r="A393" s="16"/>
      <c r="C393" s="35"/>
      <c r="D393" s="36"/>
    </row>
    <row r="394" spans="1:4" s="83" customFormat="1" x14ac:dyDescent="0.2">
      <c r="A394" s="16"/>
      <c r="C394" s="35"/>
      <c r="D394" s="36"/>
    </row>
    <row r="395" spans="1:4" s="83" customFormat="1" x14ac:dyDescent="0.2">
      <c r="A395" s="16"/>
      <c r="C395" s="35"/>
      <c r="D395" s="36"/>
    </row>
    <row r="396" spans="1:4" s="83" customFormat="1" x14ac:dyDescent="0.2">
      <c r="A396" s="16"/>
      <c r="C396" s="35"/>
      <c r="D396" s="36"/>
    </row>
    <row r="397" spans="1:4" s="83" customFormat="1" x14ac:dyDescent="0.2">
      <c r="A397" s="16"/>
      <c r="C397" s="35"/>
      <c r="D397" s="36"/>
    </row>
    <row r="398" spans="1:4" s="83" customFormat="1" x14ac:dyDescent="0.2">
      <c r="A398" s="16"/>
      <c r="C398" s="35"/>
      <c r="D398" s="36"/>
    </row>
    <row r="399" spans="1:4" s="83" customFormat="1" x14ac:dyDescent="0.2">
      <c r="A399" s="16"/>
      <c r="C399" s="35"/>
      <c r="D399" s="36"/>
    </row>
    <row r="400" spans="1:4" s="83" customFormat="1" x14ac:dyDescent="0.2">
      <c r="A400" s="16"/>
      <c r="C400" s="35"/>
      <c r="D400" s="36"/>
    </row>
    <row r="401" spans="1:4" s="83" customFormat="1" x14ac:dyDescent="0.2">
      <c r="A401" s="16"/>
      <c r="C401" s="35"/>
      <c r="D401" s="36"/>
    </row>
    <row r="402" spans="1:4" s="83" customFormat="1" x14ac:dyDescent="0.2">
      <c r="A402" s="16"/>
      <c r="C402" s="35"/>
      <c r="D402" s="36"/>
    </row>
    <row r="403" spans="1:4" s="83" customFormat="1" x14ac:dyDescent="0.2">
      <c r="A403" s="16"/>
      <c r="C403" s="35"/>
      <c r="D403" s="36"/>
    </row>
    <row r="404" spans="1:4" s="83" customFormat="1" x14ac:dyDescent="0.2">
      <c r="A404" s="16"/>
      <c r="C404" s="35"/>
      <c r="D404" s="36"/>
    </row>
    <row r="405" spans="1:4" s="83" customFormat="1" x14ac:dyDescent="0.2">
      <c r="A405" s="16"/>
      <c r="C405" s="35"/>
      <c r="D405" s="36"/>
    </row>
    <row r="406" spans="1:4" s="83" customFormat="1" x14ac:dyDescent="0.2">
      <c r="A406" s="16"/>
      <c r="C406" s="35"/>
      <c r="D406" s="36"/>
    </row>
    <row r="407" spans="1:4" s="83" customFormat="1" x14ac:dyDescent="0.2">
      <c r="A407" s="16"/>
      <c r="C407" s="35"/>
      <c r="D407" s="36"/>
    </row>
    <row r="408" spans="1:4" s="83" customFormat="1" x14ac:dyDescent="0.2">
      <c r="A408" s="16"/>
      <c r="C408" s="35"/>
      <c r="D408" s="36"/>
    </row>
    <row r="409" spans="1:4" s="83" customFormat="1" x14ac:dyDescent="0.2">
      <c r="A409" s="16"/>
      <c r="C409" s="35"/>
      <c r="D409" s="36"/>
    </row>
    <row r="410" spans="1:4" s="83" customFormat="1" x14ac:dyDescent="0.2">
      <c r="A410" s="16"/>
      <c r="C410" s="35"/>
      <c r="D410" s="36"/>
    </row>
    <row r="411" spans="1:4" s="83" customFormat="1" x14ac:dyDescent="0.2">
      <c r="A411" s="16"/>
      <c r="C411" s="35"/>
      <c r="D411" s="36"/>
    </row>
    <row r="412" spans="1:4" s="83" customFormat="1" x14ac:dyDescent="0.2">
      <c r="A412" s="16"/>
      <c r="C412" s="35"/>
      <c r="D412" s="36"/>
    </row>
    <row r="413" spans="1:4" s="83" customFormat="1" x14ac:dyDescent="0.2">
      <c r="A413" s="16"/>
      <c r="C413" s="35"/>
      <c r="D413" s="36"/>
    </row>
    <row r="414" spans="1:4" s="83" customFormat="1" x14ac:dyDescent="0.2">
      <c r="A414" s="16"/>
      <c r="C414" s="35"/>
      <c r="D414" s="36"/>
    </row>
    <row r="415" spans="1:4" s="83" customFormat="1" x14ac:dyDescent="0.2">
      <c r="A415" s="16"/>
      <c r="C415" s="35"/>
      <c r="D415" s="36"/>
    </row>
    <row r="416" spans="1:4" s="83" customFormat="1" x14ac:dyDescent="0.2">
      <c r="A416" s="16"/>
      <c r="C416" s="35"/>
      <c r="D416" s="36"/>
    </row>
    <row r="417" spans="1:4" s="83" customFormat="1" x14ac:dyDescent="0.2">
      <c r="A417" s="16"/>
      <c r="C417" s="35"/>
      <c r="D417" s="36"/>
    </row>
    <row r="418" spans="1:4" s="83" customFormat="1" x14ac:dyDescent="0.2">
      <c r="A418" s="16"/>
      <c r="C418" s="35"/>
      <c r="D418" s="36"/>
    </row>
    <row r="419" spans="1:4" s="83" customFormat="1" x14ac:dyDescent="0.2">
      <c r="A419" s="16"/>
      <c r="C419" s="35"/>
      <c r="D419" s="36"/>
    </row>
    <row r="420" spans="1:4" s="83" customFormat="1" x14ac:dyDescent="0.2">
      <c r="A420" s="16"/>
      <c r="C420" s="35"/>
      <c r="D420" s="36"/>
    </row>
    <row r="421" spans="1:4" s="83" customFormat="1" x14ac:dyDescent="0.2">
      <c r="A421" s="16"/>
      <c r="C421" s="35"/>
      <c r="D421" s="36"/>
    </row>
    <row r="422" spans="1:4" s="83" customFormat="1" x14ac:dyDescent="0.2">
      <c r="A422" s="16"/>
      <c r="C422" s="35"/>
      <c r="D422" s="36"/>
    </row>
    <row r="423" spans="1:4" s="83" customFormat="1" x14ac:dyDescent="0.2">
      <c r="A423" s="16"/>
      <c r="C423" s="35"/>
      <c r="D423" s="36"/>
    </row>
    <row r="424" spans="1:4" s="83" customFormat="1" x14ac:dyDescent="0.2">
      <c r="A424" s="16"/>
      <c r="C424" s="35"/>
      <c r="D424" s="36"/>
    </row>
    <row r="425" spans="1:4" s="83" customFormat="1" x14ac:dyDescent="0.2">
      <c r="A425" s="16"/>
      <c r="C425" s="35"/>
      <c r="D425" s="36"/>
    </row>
    <row r="426" spans="1:4" s="83" customFormat="1" x14ac:dyDescent="0.2">
      <c r="A426" s="16"/>
      <c r="C426" s="35"/>
      <c r="D426" s="36"/>
    </row>
    <row r="427" spans="1:4" s="83" customFormat="1" x14ac:dyDescent="0.2">
      <c r="A427" s="16"/>
      <c r="C427" s="35"/>
      <c r="D427" s="36"/>
    </row>
    <row r="428" spans="1:4" s="83" customFormat="1" x14ac:dyDescent="0.2">
      <c r="A428" s="16"/>
      <c r="C428" s="35"/>
      <c r="D428" s="36"/>
    </row>
    <row r="429" spans="1:4" s="83" customFormat="1" x14ac:dyDescent="0.2">
      <c r="A429" s="16"/>
      <c r="C429" s="35"/>
      <c r="D429" s="36"/>
    </row>
    <row r="430" spans="1:4" s="83" customFormat="1" x14ac:dyDescent="0.2">
      <c r="A430" s="16"/>
      <c r="C430" s="35"/>
      <c r="D430" s="36"/>
    </row>
    <row r="431" spans="1:4" s="83" customFormat="1" x14ac:dyDescent="0.2">
      <c r="A431" s="16"/>
      <c r="C431" s="35"/>
      <c r="D431" s="36"/>
    </row>
    <row r="432" spans="1:4" s="83" customFormat="1" x14ac:dyDescent="0.2">
      <c r="A432" s="16"/>
      <c r="C432" s="35"/>
      <c r="D432" s="36"/>
    </row>
    <row r="433" spans="1:4" s="83" customFormat="1" x14ac:dyDescent="0.2">
      <c r="A433" s="16"/>
      <c r="C433" s="35"/>
      <c r="D433" s="36"/>
    </row>
    <row r="434" spans="1:4" s="83" customFormat="1" x14ac:dyDescent="0.2">
      <c r="A434" s="16"/>
      <c r="C434" s="35"/>
      <c r="D434" s="36"/>
    </row>
    <row r="435" spans="1:4" s="83" customFormat="1" x14ac:dyDescent="0.2">
      <c r="A435" s="16"/>
      <c r="C435" s="35"/>
      <c r="D435" s="36"/>
    </row>
    <row r="436" spans="1:4" s="83" customFormat="1" x14ac:dyDescent="0.2">
      <c r="A436" s="16"/>
      <c r="C436" s="35"/>
      <c r="D436" s="36"/>
    </row>
    <row r="437" spans="1:4" s="83" customFormat="1" x14ac:dyDescent="0.2">
      <c r="A437" s="16"/>
      <c r="C437" s="35"/>
      <c r="D437" s="36"/>
    </row>
    <row r="438" spans="1:4" s="83" customFormat="1" x14ac:dyDescent="0.2">
      <c r="A438" s="16"/>
      <c r="C438" s="35"/>
      <c r="D438" s="36"/>
    </row>
    <row r="439" spans="1:4" s="83" customFormat="1" x14ac:dyDescent="0.2">
      <c r="A439" s="16"/>
      <c r="C439" s="35"/>
      <c r="D439" s="36"/>
    </row>
    <row r="440" spans="1:4" s="83" customFormat="1" x14ac:dyDescent="0.2">
      <c r="A440" s="16"/>
      <c r="C440" s="35"/>
      <c r="D440" s="36"/>
    </row>
    <row r="441" spans="1:4" s="83" customFormat="1" x14ac:dyDescent="0.2">
      <c r="A441" s="16"/>
      <c r="C441" s="35"/>
      <c r="D441" s="36"/>
    </row>
    <row r="442" spans="1:4" s="83" customFormat="1" x14ac:dyDescent="0.2">
      <c r="A442" s="16"/>
      <c r="C442" s="35"/>
      <c r="D442" s="36"/>
    </row>
    <row r="443" spans="1:4" s="83" customFormat="1" x14ac:dyDescent="0.2">
      <c r="A443" s="16"/>
      <c r="C443" s="35"/>
      <c r="D443" s="36"/>
    </row>
    <row r="444" spans="1:4" s="83" customFormat="1" x14ac:dyDescent="0.2">
      <c r="A444" s="16"/>
      <c r="C444" s="35"/>
      <c r="D444" s="36"/>
    </row>
    <row r="445" spans="1:4" s="83" customFormat="1" x14ac:dyDescent="0.2">
      <c r="A445" s="16"/>
      <c r="C445" s="35"/>
      <c r="D445" s="36"/>
    </row>
    <row r="446" spans="1:4" s="83" customFormat="1" x14ac:dyDescent="0.2">
      <c r="A446" s="16"/>
      <c r="C446" s="35"/>
      <c r="D446" s="36"/>
    </row>
    <row r="447" spans="1:4" s="83" customFormat="1" x14ac:dyDescent="0.2">
      <c r="A447" s="16"/>
      <c r="C447" s="35"/>
      <c r="D447" s="36"/>
    </row>
    <row r="448" spans="1:4" s="83" customFormat="1" x14ac:dyDescent="0.2">
      <c r="A448" s="16"/>
      <c r="C448" s="35"/>
      <c r="D448" s="36"/>
    </row>
    <row r="449" spans="1:4" s="83" customFormat="1" x14ac:dyDescent="0.2">
      <c r="A449" s="16"/>
      <c r="C449" s="35"/>
      <c r="D449" s="36"/>
    </row>
    <row r="450" spans="1:4" s="83" customFormat="1" x14ac:dyDescent="0.2">
      <c r="A450" s="16"/>
      <c r="C450" s="35"/>
      <c r="D450" s="36"/>
    </row>
    <row r="451" spans="1:4" s="83" customFormat="1" x14ac:dyDescent="0.2">
      <c r="A451" s="16"/>
      <c r="C451" s="35"/>
      <c r="D451" s="36"/>
    </row>
    <row r="452" spans="1:4" s="83" customFormat="1" x14ac:dyDescent="0.2">
      <c r="A452" s="16"/>
      <c r="C452" s="35"/>
      <c r="D452" s="36"/>
    </row>
    <row r="453" spans="1:4" s="83" customFormat="1" x14ac:dyDescent="0.2">
      <c r="A453" s="16"/>
      <c r="C453" s="35"/>
      <c r="D453" s="36"/>
    </row>
    <row r="454" spans="1:4" s="83" customFormat="1" x14ac:dyDescent="0.2">
      <c r="A454" s="16"/>
      <c r="C454" s="35"/>
      <c r="D454" s="36"/>
    </row>
    <row r="455" spans="1:4" s="83" customFormat="1" x14ac:dyDescent="0.2">
      <c r="A455" s="16"/>
      <c r="C455" s="35"/>
      <c r="D455" s="36"/>
    </row>
    <row r="456" spans="1:4" s="83" customFormat="1" x14ac:dyDescent="0.2">
      <c r="A456" s="16"/>
      <c r="C456" s="35"/>
      <c r="D456" s="36"/>
    </row>
    <row r="457" spans="1:4" s="83" customFormat="1" x14ac:dyDescent="0.2">
      <c r="A457" s="16"/>
      <c r="C457" s="35"/>
      <c r="D457" s="36"/>
    </row>
    <row r="458" spans="1:4" s="83" customFormat="1" x14ac:dyDescent="0.2">
      <c r="A458" s="16"/>
      <c r="C458" s="35"/>
      <c r="D458" s="36"/>
    </row>
    <row r="459" spans="1:4" s="83" customFormat="1" x14ac:dyDescent="0.2">
      <c r="A459" s="16"/>
      <c r="C459" s="35"/>
      <c r="D459" s="36"/>
    </row>
    <row r="460" spans="1:4" s="83" customFormat="1" x14ac:dyDescent="0.2">
      <c r="A460" s="16"/>
      <c r="C460" s="35"/>
      <c r="D460" s="36"/>
    </row>
    <row r="461" spans="1:4" s="83" customFormat="1" x14ac:dyDescent="0.2">
      <c r="A461" s="16"/>
      <c r="C461" s="35"/>
      <c r="D461" s="36"/>
    </row>
    <row r="462" spans="1:4" s="83" customFormat="1" x14ac:dyDescent="0.2">
      <c r="A462" s="16"/>
      <c r="C462" s="35"/>
      <c r="D462" s="36"/>
    </row>
    <row r="463" spans="1:4" s="83" customFormat="1" x14ac:dyDescent="0.2">
      <c r="A463" s="16"/>
      <c r="C463" s="35"/>
      <c r="D463" s="36"/>
    </row>
    <row r="464" spans="1:4" s="83" customFormat="1" x14ac:dyDescent="0.2">
      <c r="A464" s="16"/>
      <c r="C464" s="35"/>
      <c r="D464" s="36"/>
    </row>
    <row r="465" spans="1:4" s="83" customFormat="1" x14ac:dyDescent="0.2">
      <c r="A465" s="16"/>
      <c r="C465" s="35"/>
      <c r="D465" s="36"/>
    </row>
    <row r="466" spans="1:4" s="83" customFormat="1" x14ac:dyDescent="0.2">
      <c r="A466" s="16"/>
      <c r="C466" s="35"/>
      <c r="D466" s="36"/>
    </row>
    <row r="467" spans="1:4" s="83" customFormat="1" x14ac:dyDescent="0.2">
      <c r="A467" s="16"/>
      <c r="C467" s="35"/>
      <c r="D467" s="36"/>
    </row>
    <row r="468" spans="1:4" s="83" customFormat="1" x14ac:dyDescent="0.2">
      <c r="A468" s="16"/>
      <c r="C468" s="35"/>
      <c r="D468" s="36"/>
    </row>
    <row r="469" spans="1:4" s="83" customFormat="1" x14ac:dyDescent="0.2">
      <c r="A469" s="16"/>
      <c r="C469" s="35"/>
      <c r="D469" s="36"/>
    </row>
    <row r="470" spans="1:4" s="83" customFormat="1" x14ac:dyDescent="0.2">
      <c r="A470" s="16"/>
      <c r="C470" s="35"/>
      <c r="D470" s="36"/>
    </row>
    <row r="471" spans="1:4" s="83" customFormat="1" x14ac:dyDescent="0.2">
      <c r="A471" s="16"/>
      <c r="C471" s="35"/>
      <c r="D471" s="36"/>
    </row>
    <row r="472" spans="1:4" s="83" customFormat="1" x14ac:dyDescent="0.2">
      <c r="A472" s="16"/>
      <c r="C472" s="35"/>
      <c r="D472" s="36"/>
    </row>
    <row r="473" spans="1:4" s="83" customFormat="1" x14ac:dyDescent="0.2">
      <c r="A473" s="16"/>
      <c r="C473" s="35"/>
      <c r="D473" s="36"/>
    </row>
    <row r="474" spans="1:4" s="83" customFormat="1" x14ac:dyDescent="0.2">
      <c r="A474" s="16"/>
      <c r="C474" s="35"/>
      <c r="D474" s="36"/>
    </row>
    <row r="475" spans="1:4" s="83" customFormat="1" x14ac:dyDescent="0.2">
      <c r="A475" s="16"/>
      <c r="C475" s="35"/>
      <c r="D475" s="36"/>
    </row>
    <row r="476" spans="1:4" s="83" customFormat="1" x14ac:dyDescent="0.2">
      <c r="A476" s="16"/>
      <c r="C476" s="35"/>
      <c r="D476" s="36"/>
    </row>
    <row r="477" spans="1:4" s="83" customFormat="1" x14ac:dyDescent="0.2">
      <c r="A477" s="16"/>
      <c r="C477" s="35"/>
      <c r="D477" s="36"/>
    </row>
    <row r="478" spans="1:4" s="83" customFormat="1" x14ac:dyDescent="0.2">
      <c r="A478" s="16"/>
      <c r="C478" s="35"/>
      <c r="D478" s="36"/>
    </row>
    <row r="479" spans="1:4" s="83" customFormat="1" x14ac:dyDescent="0.2">
      <c r="A479" s="16"/>
      <c r="C479" s="35"/>
      <c r="D479" s="36"/>
    </row>
    <row r="480" spans="1:4" s="83" customFormat="1" x14ac:dyDescent="0.2">
      <c r="A480" s="16"/>
      <c r="C480" s="35"/>
      <c r="D480" s="36"/>
    </row>
    <row r="481" spans="1:4" s="83" customFormat="1" x14ac:dyDescent="0.2">
      <c r="A481" s="16"/>
      <c r="C481" s="35"/>
      <c r="D481" s="36"/>
    </row>
    <row r="482" spans="1:4" s="83" customFormat="1" x14ac:dyDescent="0.2">
      <c r="A482" s="16"/>
      <c r="C482" s="35"/>
      <c r="D482" s="36"/>
    </row>
    <row r="483" spans="1:4" s="83" customFormat="1" x14ac:dyDescent="0.2">
      <c r="A483" s="16"/>
      <c r="C483" s="35"/>
      <c r="D483" s="36"/>
    </row>
    <row r="484" spans="1:4" s="83" customFormat="1" x14ac:dyDescent="0.2">
      <c r="A484" s="16"/>
      <c r="C484" s="35"/>
      <c r="D484" s="36"/>
    </row>
    <row r="485" spans="1:4" s="83" customFormat="1" x14ac:dyDescent="0.2">
      <c r="A485" s="16"/>
      <c r="C485" s="35"/>
      <c r="D485" s="36"/>
    </row>
    <row r="486" spans="1:4" s="83" customFormat="1" x14ac:dyDescent="0.2">
      <c r="A486" s="16"/>
      <c r="C486" s="35"/>
      <c r="D486" s="36"/>
    </row>
    <row r="487" spans="1:4" s="83" customFormat="1" x14ac:dyDescent="0.2">
      <c r="A487" s="16"/>
      <c r="C487" s="35"/>
      <c r="D487" s="36"/>
    </row>
    <row r="488" spans="1:4" s="83" customFormat="1" x14ac:dyDescent="0.2">
      <c r="A488" s="16"/>
      <c r="C488" s="35"/>
      <c r="D488" s="36"/>
    </row>
    <row r="489" spans="1:4" s="83" customFormat="1" x14ac:dyDescent="0.2">
      <c r="A489" s="16"/>
      <c r="C489" s="35"/>
      <c r="D489" s="36"/>
    </row>
    <row r="490" spans="1:4" s="83" customFormat="1" x14ac:dyDescent="0.2">
      <c r="A490" s="16"/>
      <c r="C490" s="35"/>
      <c r="D490" s="36"/>
    </row>
    <row r="491" spans="1:4" s="83" customFormat="1" x14ac:dyDescent="0.2">
      <c r="A491" s="16"/>
      <c r="C491" s="35"/>
      <c r="D491" s="36"/>
    </row>
    <row r="492" spans="1:4" s="83" customFormat="1" x14ac:dyDescent="0.2">
      <c r="A492" s="16"/>
      <c r="C492" s="35"/>
      <c r="D492" s="36"/>
    </row>
    <row r="493" spans="1:4" s="83" customFormat="1" x14ac:dyDescent="0.2">
      <c r="A493" s="16"/>
      <c r="C493" s="35"/>
      <c r="D493" s="36"/>
    </row>
    <row r="494" spans="1:4" s="83" customFormat="1" x14ac:dyDescent="0.2">
      <c r="A494" s="16"/>
      <c r="C494" s="35"/>
      <c r="D494" s="36"/>
    </row>
    <row r="495" spans="1:4" s="83" customFormat="1" x14ac:dyDescent="0.2">
      <c r="A495" s="16"/>
      <c r="C495" s="35"/>
      <c r="D495" s="36"/>
    </row>
    <row r="496" spans="1:4" s="83" customFormat="1" x14ac:dyDescent="0.2">
      <c r="A496" s="16"/>
      <c r="C496" s="35"/>
      <c r="D496" s="36"/>
    </row>
    <row r="497" spans="1:4" s="83" customFormat="1" x14ac:dyDescent="0.2">
      <c r="A497" s="16"/>
      <c r="C497" s="35"/>
      <c r="D497" s="36"/>
    </row>
    <row r="498" spans="1:4" s="83" customFormat="1" x14ac:dyDescent="0.2">
      <c r="A498" s="16"/>
      <c r="C498" s="35"/>
      <c r="D498" s="36"/>
    </row>
    <row r="499" spans="1:4" s="83" customFormat="1" x14ac:dyDescent="0.2">
      <c r="A499" s="16"/>
      <c r="C499" s="35"/>
      <c r="D499" s="36"/>
    </row>
    <row r="500" spans="1:4" s="83" customFormat="1" x14ac:dyDescent="0.2">
      <c r="A500" s="16"/>
      <c r="C500" s="35"/>
      <c r="D500" s="36"/>
    </row>
    <row r="501" spans="1:4" s="83" customFormat="1" x14ac:dyDescent="0.2">
      <c r="A501" s="16"/>
      <c r="C501" s="35"/>
      <c r="D501" s="36"/>
    </row>
    <row r="502" spans="1:4" s="83" customFormat="1" x14ac:dyDescent="0.2">
      <c r="A502" s="16"/>
      <c r="C502" s="35"/>
      <c r="D502" s="36"/>
    </row>
    <row r="503" spans="1:4" s="83" customFormat="1" x14ac:dyDescent="0.2">
      <c r="A503" s="16"/>
      <c r="C503" s="35"/>
      <c r="D503" s="36"/>
    </row>
    <row r="504" spans="1:4" s="83" customFormat="1" x14ac:dyDescent="0.2">
      <c r="A504" s="16"/>
      <c r="C504" s="35"/>
      <c r="D504" s="36"/>
    </row>
    <row r="505" spans="1:4" s="83" customFormat="1" x14ac:dyDescent="0.2">
      <c r="A505" s="16"/>
      <c r="C505" s="35"/>
      <c r="D505" s="36"/>
    </row>
    <row r="506" spans="1:4" s="83" customFormat="1" x14ac:dyDescent="0.2">
      <c r="A506" s="16"/>
      <c r="C506" s="35"/>
      <c r="D506" s="36"/>
    </row>
    <row r="507" spans="1:4" s="83" customFormat="1" x14ac:dyDescent="0.2">
      <c r="A507" s="16"/>
      <c r="C507" s="35"/>
      <c r="D507" s="36"/>
    </row>
    <row r="508" spans="1:4" s="83" customFormat="1" x14ac:dyDescent="0.2">
      <c r="A508" s="16"/>
      <c r="C508" s="35"/>
      <c r="D508" s="36"/>
    </row>
    <row r="509" spans="1:4" s="83" customFormat="1" x14ac:dyDescent="0.2">
      <c r="A509" s="16"/>
      <c r="C509" s="35"/>
      <c r="D509" s="36"/>
    </row>
    <row r="510" spans="1:4" s="83" customFormat="1" x14ac:dyDescent="0.2">
      <c r="A510" s="16"/>
      <c r="C510" s="35"/>
      <c r="D510" s="36"/>
    </row>
    <row r="511" spans="1:4" s="83" customFormat="1" x14ac:dyDescent="0.2">
      <c r="A511" s="16"/>
      <c r="C511" s="35"/>
      <c r="D511" s="36"/>
    </row>
    <row r="512" spans="1:4" s="83" customFormat="1" x14ac:dyDescent="0.2">
      <c r="A512" s="16"/>
      <c r="C512" s="35"/>
      <c r="D512" s="36"/>
    </row>
    <row r="513" spans="1:4" s="83" customFormat="1" x14ac:dyDescent="0.2">
      <c r="A513" s="16"/>
      <c r="C513" s="35"/>
      <c r="D513" s="36"/>
    </row>
    <row r="514" spans="1:4" s="83" customFormat="1" x14ac:dyDescent="0.2">
      <c r="A514" s="16"/>
      <c r="C514" s="35"/>
      <c r="D514" s="36"/>
    </row>
    <row r="515" spans="1:4" s="83" customFormat="1" x14ac:dyDescent="0.2">
      <c r="A515" s="16"/>
      <c r="C515" s="35"/>
      <c r="D515" s="36"/>
    </row>
    <row r="516" spans="1:4" s="83" customFormat="1" x14ac:dyDescent="0.2">
      <c r="A516" s="16"/>
      <c r="C516" s="35"/>
      <c r="D516" s="36"/>
    </row>
    <row r="517" spans="1:4" s="83" customFormat="1" x14ac:dyDescent="0.2">
      <c r="A517" s="16"/>
      <c r="C517" s="35"/>
      <c r="D517" s="36"/>
    </row>
    <row r="518" spans="1:4" s="83" customFormat="1" x14ac:dyDescent="0.2">
      <c r="A518" s="16"/>
      <c r="C518" s="35"/>
      <c r="D518" s="36"/>
    </row>
    <row r="519" spans="1:4" s="83" customFormat="1" x14ac:dyDescent="0.2">
      <c r="A519" s="16"/>
      <c r="C519" s="35"/>
      <c r="D519" s="36"/>
    </row>
    <row r="520" spans="1:4" s="83" customFormat="1" x14ac:dyDescent="0.2">
      <c r="A520" s="16"/>
      <c r="C520" s="35"/>
      <c r="D520" s="36"/>
    </row>
    <row r="521" spans="1:4" s="83" customFormat="1" x14ac:dyDescent="0.2">
      <c r="A521" s="16"/>
      <c r="C521" s="35"/>
      <c r="D521" s="36"/>
    </row>
    <row r="522" spans="1:4" s="83" customFormat="1" x14ac:dyDescent="0.2">
      <c r="A522" s="16"/>
      <c r="C522" s="35"/>
      <c r="D522" s="36"/>
    </row>
    <row r="523" spans="1:4" s="83" customFormat="1" x14ac:dyDescent="0.2">
      <c r="A523" s="16"/>
      <c r="C523" s="35"/>
      <c r="D523" s="36"/>
    </row>
    <row r="524" spans="1:4" s="83" customFormat="1" x14ac:dyDescent="0.2">
      <c r="A524" s="16"/>
      <c r="C524" s="35"/>
      <c r="D524" s="36"/>
    </row>
    <row r="525" spans="1:4" s="83" customFormat="1" x14ac:dyDescent="0.2">
      <c r="A525" s="16"/>
      <c r="C525" s="35"/>
      <c r="D525" s="36"/>
    </row>
    <row r="526" spans="1:4" s="83" customFormat="1" x14ac:dyDescent="0.2">
      <c r="A526" s="16"/>
      <c r="C526" s="35"/>
      <c r="D526" s="36"/>
    </row>
    <row r="527" spans="1:4" s="83" customFormat="1" x14ac:dyDescent="0.2">
      <c r="A527" s="16"/>
      <c r="C527" s="35"/>
      <c r="D527" s="36"/>
    </row>
    <row r="528" spans="1:4" s="83" customFormat="1" x14ac:dyDescent="0.2">
      <c r="A528" s="16"/>
      <c r="C528" s="35"/>
      <c r="D528" s="36"/>
    </row>
    <row r="529" spans="1:4" s="83" customFormat="1" x14ac:dyDescent="0.2">
      <c r="A529" s="16"/>
      <c r="C529" s="35"/>
      <c r="D529" s="36"/>
    </row>
    <row r="530" spans="1:4" s="83" customFormat="1" x14ac:dyDescent="0.2">
      <c r="A530" s="16"/>
      <c r="C530" s="35"/>
      <c r="D530" s="36"/>
    </row>
    <row r="531" spans="1:4" s="83" customFormat="1" x14ac:dyDescent="0.2">
      <c r="A531" s="16"/>
      <c r="C531" s="35"/>
      <c r="D531" s="36"/>
    </row>
    <row r="532" spans="1:4" s="83" customFormat="1" x14ac:dyDescent="0.2">
      <c r="A532" s="16"/>
      <c r="C532" s="35"/>
      <c r="D532" s="36"/>
    </row>
    <row r="533" spans="1:4" s="83" customFormat="1" x14ac:dyDescent="0.2">
      <c r="A533" s="16"/>
      <c r="C533" s="35"/>
      <c r="D533" s="36"/>
    </row>
    <row r="534" spans="1:4" s="83" customFormat="1" x14ac:dyDescent="0.2">
      <c r="A534" s="16"/>
      <c r="C534" s="35"/>
      <c r="D534" s="36"/>
    </row>
    <row r="535" spans="1:4" s="83" customFormat="1" x14ac:dyDescent="0.2">
      <c r="A535" s="16"/>
      <c r="C535" s="35"/>
      <c r="D535" s="36"/>
    </row>
    <row r="536" spans="1:4" s="83" customFormat="1" x14ac:dyDescent="0.2">
      <c r="A536" s="16"/>
      <c r="C536" s="35"/>
      <c r="D536" s="36"/>
    </row>
    <row r="537" spans="1:4" s="83" customFormat="1" x14ac:dyDescent="0.2">
      <c r="A537" s="16"/>
      <c r="C537" s="35"/>
      <c r="D537" s="36"/>
    </row>
    <row r="538" spans="1:4" s="83" customFormat="1" x14ac:dyDescent="0.2">
      <c r="A538" s="16"/>
      <c r="C538" s="35"/>
      <c r="D538" s="36"/>
    </row>
    <row r="539" spans="1:4" s="83" customFormat="1" x14ac:dyDescent="0.2">
      <c r="A539" s="16"/>
      <c r="C539" s="35"/>
      <c r="D539" s="36"/>
    </row>
    <row r="540" spans="1:4" s="83" customFormat="1" x14ac:dyDescent="0.2">
      <c r="A540" s="16"/>
      <c r="C540" s="35"/>
      <c r="D540" s="36"/>
    </row>
    <row r="541" spans="1:4" s="83" customFormat="1" x14ac:dyDescent="0.2">
      <c r="A541" s="16"/>
      <c r="C541" s="35"/>
      <c r="D541" s="36"/>
    </row>
    <row r="542" spans="1:4" s="83" customFormat="1" x14ac:dyDescent="0.2">
      <c r="A542" s="16"/>
      <c r="C542" s="35"/>
      <c r="D542" s="36"/>
    </row>
    <row r="543" spans="1:4" s="83" customFormat="1" x14ac:dyDescent="0.2">
      <c r="A543" s="16"/>
      <c r="C543" s="35"/>
      <c r="D543" s="36"/>
    </row>
    <row r="544" spans="1:4" s="83" customFormat="1" x14ac:dyDescent="0.2">
      <c r="A544" s="16"/>
      <c r="C544" s="35"/>
      <c r="D544" s="36"/>
    </row>
    <row r="545" spans="1:4" s="83" customFormat="1" x14ac:dyDescent="0.2">
      <c r="A545" s="16"/>
      <c r="C545" s="35"/>
      <c r="D545" s="36"/>
    </row>
    <row r="546" spans="1:4" s="83" customFormat="1" x14ac:dyDescent="0.2">
      <c r="A546" s="16"/>
      <c r="C546" s="35"/>
      <c r="D546" s="36"/>
    </row>
    <row r="547" spans="1:4" s="83" customFormat="1" x14ac:dyDescent="0.2">
      <c r="A547" s="16"/>
      <c r="C547" s="35"/>
      <c r="D547" s="36"/>
    </row>
    <row r="548" spans="1:4" s="83" customFormat="1" x14ac:dyDescent="0.2">
      <c r="A548" s="16"/>
      <c r="C548" s="35"/>
      <c r="D548" s="36"/>
    </row>
    <row r="549" spans="1:4" s="83" customFormat="1" x14ac:dyDescent="0.2">
      <c r="A549" s="16"/>
      <c r="C549" s="35"/>
      <c r="D549" s="36"/>
    </row>
    <row r="550" spans="1:4" s="83" customFormat="1" x14ac:dyDescent="0.2">
      <c r="A550" s="16"/>
      <c r="C550" s="35"/>
      <c r="D550" s="36"/>
    </row>
    <row r="551" spans="1:4" s="83" customFormat="1" x14ac:dyDescent="0.2">
      <c r="A551" s="16"/>
      <c r="C551" s="35"/>
      <c r="D551" s="36"/>
    </row>
    <row r="552" spans="1:4" s="83" customFormat="1" x14ac:dyDescent="0.2">
      <c r="A552" s="16"/>
      <c r="C552" s="35"/>
      <c r="D552" s="36"/>
    </row>
    <row r="553" spans="1:4" s="83" customFormat="1" x14ac:dyDescent="0.2">
      <c r="A553" s="16"/>
      <c r="C553" s="35"/>
      <c r="D553" s="36"/>
    </row>
    <row r="554" spans="1:4" s="83" customFormat="1" x14ac:dyDescent="0.2">
      <c r="A554" s="16"/>
      <c r="C554" s="35"/>
      <c r="D554" s="36"/>
    </row>
    <row r="555" spans="1:4" s="83" customFormat="1" x14ac:dyDescent="0.2">
      <c r="A555" s="16"/>
      <c r="C555" s="35"/>
      <c r="D555" s="36"/>
    </row>
    <row r="556" spans="1:4" s="83" customFormat="1" x14ac:dyDescent="0.2">
      <c r="A556" s="16"/>
      <c r="C556" s="35"/>
      <c r="D556" s="36"/>
    </row>
    <row r="557" spans="1:4" s="83" customFormat="1" x14ac:dyDescent="0.2">
      <c r="A557" s="16"/>
      <c r="C557" s="35"/>
      <c r="D557" s="36"/>
    </row>
    <row r="558" spans="1:4" s="83" customFormat="1" x14ac:dyDescent="0.2">
      <c r="A558" s="16"/>
      <c r="C558" s="35"/>
      <c r="D558" s="36"/>
    </row>
    <row r="559" spans="1:4" s="83" customFormat="1" x14ac:dyDescent="0.2">
      <c r="A559" s="16"/>
      <c r="C559" s="35"/>
      <c r="D559" s="36"/>
    </row>
    <row r="560" spans="1:4" s="83" customFormat="1" x14ac:dyDescent="0.2">
      <c r="A560" s="16"/>
      <c r="C560" s="35"/>
      <c r="D560" s="36"/>
    </row>
    <row r="561" spans="1:4" s="83" customFormat="1" x14ac:dyDescent="0.2">
      <c r="A561" s="16"/>
      <c r="C561" s="35"/>
      <c r="D561" s="36"/>
    </row>
    <row r="562" spans="1:4" s="83" customFormat="1" x14ac:dyDescent="0.2">
      <c r="A562" s="16"/>
      <c r="C562" s="35"/>
      <c r="D562" s="36"/>
    </row>
    <row r="563" spans="1:4" s="83" customFormat="1" x14ac:dyDescent="0.2">
      <c r="A563" s="16"/>
      <c r="C563" s="35"/>
      <c r="D563" s="36"/>
    </row>
    <row r="564" spans="1:4" s="83" customFormat="1" x14ac:dyDescent="0.2">
      <c r="A564" s="16"/>
      <c r="C564" s="35"/>
      <c r="D564" s="36"/>
    </row>
    <row r="565" spans="1:4" s="83" customFormat="1" x14ac:dyDescent="0.2">
      <c r="A565" s="16"/>
      <c r="C565" s="35"/>
      <c r="D565" s="36"/>
    </row>
    <row r="566" spans="1:4" s="83" customFormat="1" x14ac:dyDescent="0.2">
      <c r="A566" s="16"/>
      <c r="C566" s="35"/>
      <c r="D566" s="36"/>
    </row>
    <row r="567" spans="1:4" s="83" customFormat="1" x14ac:dyDescent="0.2">
      <c r="A567" s="16"/>
      <c r="C567" s="35"/>
      <c r="D567" s="36"/>
    </row>
    <row r="568" spans="1:4" s="83" customFormat="1" x14ac:dyDescent="0.2">
      <c r="A568" s="16"/>
      <c r="C568" s="35"/>
      <c r="D568" s="36"/>
    </row>
    <row r="569" spans="1:4" s="83" customFormat="1" x14ac:dyDescent="0.2">
      <c r="A569" s="16"/>
      <c r="C569" s="35"/>
      <c r="D569" s="36"/>
    </row>
    <row r="570" spans="1:4" s="83" customFormat="1" x14ac:dyDescent="0.2">
      <c r="A570" s="16"/>
      <c r="C570" s="35"/>
      <c r="D570" s="36"/>
    </row>
    <row r="571" spans="1:4" s="83" customFormat="1" x14ac:dyDescent="0.2">
      <c r="A571" s="16"/>
      <c r="C571" s="35"/>
      <c r="D571" s="36"/>
    </row>
    <row r="572" spans="1:4" s="83" customFormat="1" x14ac:dyDescent="0.2">
      <c r="A572" s="16"/>
      <c r="C572" s="35"/>
      <c r="D572" s="36"/>
    </row>
    <row r="573" spans="1:4" s="83" customFormat="1" x14ac:dyDescent="0.2">
      <c r="A573" s="16"/>
      <c r="C573" s="35"/>
      <c r="D573" s="36"/>
    </row>
    <row r="574" spans="1:4" s="83" customFormat="1" x14ac:dyDescent="0.2">
      <c r="A574" s="16"/>
      <c r="C574" s="35"/>
      <c r="D574" s="36"/>
    </row>
    <row r="575" spans="1:4" s="83" customFormat="1" x14ac:dyDescent="0.2">
      <c r="A575" s="16"/>
      <c r="C575" s="35"/>
      <c r="D575" s="36"/>
    </row>
    <row r="576" spans="1:4" s="83" customFormat="1" x14ac:dyDescent="0.2">
      <c r="A576" s="16"/>
      <c r="C576" s="35"/>
      <c r="D576" s="36"/>
    </row>
    <row r="577" spans="1:4" s="83" customFormat="1" x14ac:dyDescent="0.2">
      <c r="A577" s="16"/>
      <c r="C577" s="35"/>
      <c r="D577" s="36"/>
    </row>
    <row r="578" spans="1:4" s="83" customFormat="1" x14ac:dyDescent="0.2">
      <c r="A578" s="16"/>
      <c r="C578" s="35"/>
      <c r="D578" s="36"/>
    </row>
    <row r="579" spans="1:4" s="83" customFormat="1" x14ac:dyDescent="0.2">
      <c r="A579" s="16"/>
      <c r="C579" s="35"/>
      <c r="D579" s="36"/>
    </row>
    <row r="580" spans="1:4" s="83" customFormat="1" x14ac:dyDescent="0.2">
      <c r="A580" s="16"/>
      <c r="C580" s="35"/>
      <c r="D580" s="36"/>
    </row>
    <row r="581" spans="1:4" s="83" customFormat="1" x14ac:dyDescent="0.2">
      <c r="A581" s="16"/>
      <c r="C581" s="35"/>
      <c r="D581" s="36"/>
    </row>
    <row r="582" spans="1:4" s="83" customFormat="1" x14ac:dyDescent="0.2">
      <c r="A582" s="16"/>
      <c r="C582" s="35"/>
      <c r="D582" s="36"/>
    </row>
    <row r="583" spans="1:4" s="83" customFormat="1" x14ac:dyDescent="0.2">
      <c r="A583" s="16"/>
      <c r="C583" s="35"/>
      <c r="D583" s="36"/>
    </row>
    <row r="584" spans="1:4" s="83" customFormat="1" x14ac:dyDescent="0.2">
      <c r="A584" s="16"/>
      <c r="C584" s="35"/>
      <c r="D584" s="36"/>
    </row>
    <row r="585" spans="1:4" s="83" customFormat="1" x14ac:dyDescent="0.2">
      <c r="A585" s="16"/>
      <c r="C585" s="35"/>
      <c r="D585" s="36"/>
    </row>
    <row r="586" spans="1:4" s="83" customFormat="1" x14ac:dyDescent="0.2">
      <c r="A586" s="16"/>
      <c r="C586" s="35"/>
      <c r="D586" s="36"/>
    </row>
    <row r="587" spans="1:4" s="83" customFormat="1" x14ac:dyDescent="0.2">
      <c r="A587" s="16"/>
      <c r="C587" s="35"/>
      <c r="D587" s="36"/>
    </row>
    <row r="588" spans="1:4" s="83" customFormat="1" x14ac:dyDescent="0.2">
      <c r="A588" s="16"/>
      <c r="C588" s="35"/>
      <c r="D588" s="36"/>
    </row>
    <row r="589" spans="1:4" s="83" customFormat="1" x14ac:dyDescent="0.2">
      <c r="A589" s="16"/>
      <c r="C589" s="35"/>
      <c r="D589" s="36"/>
    </row>
    <row r="590" spans="1:4" s="83" customFormat="1" x14ac:dyDescent="0.2">
      <c r="A590" s="16"/>
      <c r="C590" s="35"/>
      <c r="D590" s="36"/>
    </row>
    <row r="591" spans="1:4" s="83" customFormat="1" x14ac:dyDescent="0.2">
      <c r="A591" s="16"/>
      <c r="C591" s="35"/>
      <c r="D591" s="36"/>
    </row>
    <row r="592" spans="1:4" s="83" customFormat="1" x14ac:dyDescent="0.2">
      <c r="A592" s="16"/>
      <c r="C592" s="35"/>
      <c r="D592" s="36"/>
    </row>
    <row r="593" spans="1:4" s="83" customFormat="1" x14ac:dyDescent="0.2">
      <c r="A593" s="16"/>
      <c r="C593" s="35"/>
      <c r="D593" s="36"/>
    </row>
    <row r="594" spans="1:4" s="83" customFormat="1" x14ac:dyDescent="0.2">
      <c r="A594" s="16"/>
      <c r="C594" s="35"/>
      <c r="D594" s="36"/>
    </row>
    <row r="595" spans="1:4" s="83" customFormat="1" x14ac:dyDescent="0.2">
      <c r="A595" s="16"/>
      <c r="C595" s="35"/>
      <c r="D595" s="36"/>
    </row>
    <row r="596" spans="1:4" s="83" customFormat="1" x14ac:dyDescent="0.2">
      <c r="A596" s="16"/>
      <c r="C596" s="35"/>
      <c r="D596" s="36"/>
    </row>
    <row r="597" spans="1:4" s="83" customFormat="1" x14ac:dyDescent="0.2">
      <c r="A597" s="16"/>
      <c r="C597" s="35"/>
      <c r="D597" s="36"/>
    </row>
    <row r="598" spans="1:4" s="83" customFormat="1" x14ac:dyDescent="0.2">
      <c r="A598" s="16"/>
      <c r="C598" s="35"/>
      <c r="D598" s="36"/>
    </row>
    <row r="599" spans="1:4" s="83" customFormat="1" x14ac:dyDescent="0.2">
      <c r="A599" s="16"/>
      <c r="C599" s="35"/>
      <c r="D599" s="36"/>
    </row>
    <row r="600" spans="1:4" s="83" customFormat="1" x14ac:dyDescent="0.2">
      <c r="A600" s="16"/>
      <c r="C600" s="35"/>
      <c r="D600" s="36"/>
    </row>
    <row r="601" spans="1:4" s="83" customFormat="1" x14ac:dyDescent="0.2">
      <c r="A601" s="16"/>
      <c r="C601" s="35"/>
      <c r="D601" s="36"/>
    </row>
    <row r="602" spans="1:4" s="83" customFormat="1" x14ac:dyDescent="0.2">
      <c r="A602" s="16"/>
      <c r="C602" s="35"/>
      <c r="D602" s="36"/>
    </row>
    <row r="603" spans="1:4" s="83" customFormat="1" x14ac:dyDescent="0.2">
      <c r="A603" s="16"/>
      <c r="C603" s="35"/>
      <c r="D603" s="36"/>
    </row>
    <row r="604" spans="1:4" s="83" customFormat="1" x14ac:dyDescent="0.2">
      <c r="A604" s="16"/>
      <c r="C604" s="35"/>
      <c r="D604" s="36"/>
    </row>
    <row r="605" spans="1:4" s="83" customFormat="1" x14ac:dyDescent="0.2">
      <c r="A605" s="16"/>
      <c r="C605" s="35"/>
      <c r="D605" s="36"/>
    </row>
    <row r="606" spans="1:4" s="83" customFormat="1" x14ac:dyDescent="0.2">
      <c r="A606" s="16"/>
      <c r="C606" s="35"/>
      <c r="D606" s="36"/>
    </row>
    <row r="607" spans="1:4" s="83" customFormat="1" x14ac:dyDescent="0.2">
      <c r="A607" s="16"/>
      <c r="C607" s="35"/>
      <c r="D607" s="36"/>
    </row>
    <row r="608" spans="1:4" s="83" customFormat="1" x14ac:dyDescent="0.2">
      <c r="A608" s="16"/>
      <c r="C608" s="35"/>
      <c r="D608" s="36"/>
    </row>
    <row r="609" spans="1:4" s="83" customFormat="1" x14ac:dyDescent="0.2">
      <c r="A609" s="16"/>
      <c r="C609" s="35"/>
      <c r="D609" s="36"/>
    </row>
    <row r="610" spans="1:4" s="83" customFormat="1" x14ac:dyDescent="0.2">
      <c r="A610" s="16"/>
      <c r="C610" s="35"/>
      <c r="D610" s="36"/>
    </row>
    <row r="611" spans="1:4" s="83" customFormat="1" x14ac:dyDescent="0.2">
      <c r="A611" s="16"/>
      <c r="C611" s="35"/>
      <c r="D611" s="36"/>
    </row>
    <row r="612" spans="1:4" s="83" customFormat="1" x14ac:dyDescent="0.2">
      <c r="A612" s="16"/>
      <c r="C612" s="35"/>
      <c r="D612" s="36"/>
    </row>
    <row r="613" spans="1:4" s="83" customFormat="1" x14ac:dyDescent="0.2">
      <c r="A613" s="16"/>
      <c r="C613" s="35"/>
      <c r="D613" s="36"/>
    </row>
    <row r="614" spans="1:4" s="83" customFormat="1" x14ac:dyDescent="0.2">
      <c r="A614" s="16"/>
      <c r="C614" s="35"/>
      <c r="D614" s="36"/>
    </row>
    <row r="615" spans="1:4" s="83" customFormat="1" x14ac:dyDescent="0.2">
      <c r="A615" s="16"/>
      <c r="C615" s="35"/>
      <c r="D615" s="36"/>
    </row>
    <row r="616" spans="1:4" s="83" customFormat="1" x14ac:dyDescent="0.2">
      <c r="A616" s="16"/>
      <c r="C616" s="35"/>
      <c r="D616" s="36"/>
    </row>
    <row r="617" spans="1:4" s="83" customFormat="1" x14ac:dyDescent="0.2">
      <c r="A617" s="16"/>
      <c r="C617" s="35"/>
      <c r="D617" s="36"/>
    </row>
    <row r="618" spans="1:4" s="83" customFormat="1" x14ac:dyDescent="0.2">
      <c r="A618" s="16"/>
      <c r="C618" s="35"/>
      <c r="D618" s="36"/>
    </row>
    <row r="619" spans="1:4" s="83" customFormat="1" x14ac:dyDescent="0.2">
      <c r="A619" s="16"/>
      <c r="C619" s="35"/>
      <c r="D619" s="36"/>
    </row>
    <row r="620" spans="1:4" s="83" customFormat="1" x14ac:dyDescent="0.2">
      <c r="A620" s="16"/>
      <c r="C620" s="35"/>
      <c r="D620" s="36"/>
    </row>
    <row r="621" spans="1:4" s="83" customFormat="1" x14ac:dyDescent="0.2">
      <c r="A621" s="16"/>
      <c r="C621" s="35"/>
      <c r="D621" s="36"/>
    </row>
    <row r="622" spans="1:4" s="83" customFormat="1" x14ac:dyDescent="0.2">
      <c r="A622" s="16"/>
      <c r="C622" s="35"/>
      <c r="D622" s="36"/>
    </row>
    <row r="623" spans="1:4" s="83" customFormat="1" x14ac:dyDescent="0.2">
      <c r="A623" s="16"/>
      <c r="C623" s="35"/>
      <c r="D623" s="36"/>
    </row>
    <row r="624" spans="1:4" s="83" customFormat="1" x14ac:dyDescent="0.2">
      <c r="A624" s="16"/>
      <c r="C624" s="35"/>
      <c r="D624" s="36"/>
    </row>
    <row r="625" spans="1:4" s="83" customFormat="1" x14ac:dyDescent="0.2">
      <c r="A625" s="16"/>
      <c r="C625" s="35"/>
      <c r="D625" s="36"/>
    </row>
    <row r="626" spans="1:4" s="83" customFormat="1" x14ac:dyDescent="0.2">
      <c r="A626" s="16"/>
      <c r="C626" s="35"/>
      <c r="D626" s="36"/>
    </row>
    <row r="627" spans="1:4" s="83" customFormat="1" x14ac:dyDescent="0.2">
      <c r="A627" s="16"/>
      <c r="C627" s="35"/>
      <c r="D627" s="36"/>
    </row>
    <row r="628" spans="1:4" s="83" customFormat="1" x14ac:dyDescent="0.2">
      <c r="A628" s="16"/>
      <c r="C628" s="35"/>
      <c r="D628" s="36"/>
    </row>
    <row r="629" spans="1:4" s="83" customFormat="1" x14ac:dyDescent="0.2">
      <c r="A629" s="16"/>
      <c r="C629" s="35"/>
      <c r="D629" s="36"/>
    </row>
    <row r="630" spans="1:4" s="83" customFormat="1" x14ac:dyDescent="0.2">
      <c r="A630" s="16"/>
      <c r="C630" s="35"/>
      <c r="D630" s="36"/>
    </row>
    <row r="631" spans="1:4" s="83" customFormat="1" x14ac:dyDescent="0.2">
      <c r="A631" s="16"/>
      <c r="C631" s="35"/>
      <c r="D631" s="36"/>
    </row>
    <row r="632" spans="1:4" s="83" customFormat="1" x14ac:dyDescent="0.2">
      <c r="A632" s="16"/>
      <c r="C632" s="35"/>
      <c r="D632" s="36"/>
    </row>
    <row r="633" spans="1:4" s="83" customFormat="1" x14ac:dyDescent="0.2">
      <c r="A633" s="16"/>
      <c r="C633" s="35"/>
      <c r="D633" s="36"/>
    </row>
    <row r="634" spans="1:4" s="83" customFormat="1" x14ac:dyDescent="0.2">
      <c r="A634" s="16"/>
      <c r="C634" s="35"/>
      <c r="D634" s="36"/>
    </row>
    <row r="635" spans="1:4" s="83" customFormat="1" x14ac:dyDescent="0.2">
      <c r="A635" s="16"/>
      <c r="C635" s="35"/>
      <c r="D635" s="36"/>
    </row>
    <row r="636" spans="1:4" s="83" customFormat="1" x14ac:dyDescent="0.2">
      <c r="A636" s="16"/>
      <c r="C636" s="35"/>
      <c r="D636" s="36"/>
    </row>
    <row r="637" spans="1:4" s="83" customFormat="1" x14ac:dyDescent="0.2">
      <c r="A637" s="16"/>
      <c r="C637" s="35"/>
      <c r="D637" s="36"/>
    </row>
    <row r="638" spans="1:4" s="83" customFormat="1" x14ac:dyDescent="0.2">
      <c r="A638" s="16"/>
      <c r="C638" s="35"/>
      <c r="D638" s="36"/>
    </row>
    <row r="639" spans="1:4" s="83" customFormat="1" x14ac:dyDescent="0.2">
      <c r="A639" s="16"/>
      <c r="C639" s="35"/>
      <c r="D639" s="36"/>
    </row>
    <row r="640" spans="1:4" s="83" customFormat="1" x14ac:dyDescent="0.2">
      <c r="A640" s="16"/>
      <c r="C640" s="35"/>
      <c r="D640" s="36"/>
    </row>
    <row r="641" spans="1:4" s="83" customFormat="1" x14ac:dyDescent="0.2">
      <c r="A641" s="16"/>
      <c r="C641" s="35"/>
      <c r="D641" s="36"/>
    </row>
    <row r="642" spans="1:4" s="83" customFormat="1" x14ac:dyDescent="0.2">
      <c r="A642" s="16"/>
      <c r="C642" s="35"/>
      <c r="D642" s="36"/>
    </row>
    <row r="643" spans="1:4" s="83" customFormat="1" x14ac:dyDescent="0.2">
      <c r="A643" s="16"/>
      <c r="C643" s="35"/>
      <c r="D643" s="36"/>
    </row>
    <row r="644" spans="1:4" s="83" customFormat="1" x14ac:dyDescent="0.2">
      <c r="A644" s="16"/>
      <c r="C644" s="35"/>
      <c r="D644" s="36"/>
    </row>
    <row r="645" spans="1:4" s="83" customFormat="1" x14ac:dyDescent="0.2">
      <c r="A645" s="16"/>
      <c r="C645" s="35"/>
      <c r="D645" s="36"/>
    </row>
    <row r="646" spans="1:4" s="83" customFormat="1" x14ac:dyDescent="0.2">
      <c r="A646" s="16"/>
      <c r="C646" s="35"/>
      <c r="D646" s="36"/>
    </row>
    <row r="647" spans="1:4" s="83" customFormat="1" x14ac:dyDescent="0.2">
      <c r="A647" s="16"/>
      <c r="C647" s="35"/>
      <c r="D647" s="36"/>
    </row>
    <row r="648" spans="1:4" s="83" customFormat="1" x14ac:dyDescent="0.2">
      <c r="A648" s="16"/>
      <c r="C648" s="35"/>
      <c r="D648" s="36"/>
    </row>
    <row r="649" spans="1:4" s="83" customFormat="1" x14ac:dyDescent="0.2">
      <c r="A649" s="16"/>
      <c r="C649" s="35"/>
      <c r="D649" s="36"/>
    </row>
    <row r="650" spans="1:4" s="83" customFormat="1" x14ac:dyDescent="0.2">
      <c r="A650" s="16"/>
      <c r="C650" s="35"/>
      <c r="D650" s="36"/>
    </row>
    <row r="651" spans="1:4" s="83" customFormat="1" x14ac:dyDescent="0.2">
      <c r="A651" s="16"/>
      <c r="C651" s="35"/>
      <c r="D651" s="36"/>
    </row>
    <row r="652" spans="1:4" s="83" customFormat="1" x14ac:dyDescent="0.2">
      <c r="A652" s="16"/>
      <c r="C652" s="35"/>
      <c r="D652" s="36"/>
    </row>
    <row r="653" spans="1:4" s="83" customFormat="1" x14ac:dyDescent="0.2">
      <c r="A653" s="16"/>
      <c r="C653" s="35"/>
      <c r="D653" s="36"/>
    </row>
    <row r="654" spans="1:4" s="83" customFormat="1" x14ac:dyDescent="0.2">
      <c r="A654" s="16"/>
      <c r="C654" s="35"/>
      <c r="D654" s="36"/>
    </row>
    <row r="655" spans="1:4" s="83" customFormat="1" x14ac:dyDescent="0.2">
      <c r="A655" s="16"/>
      <c r="C655" s="35"/>
      <c r="D655" s="36"/>
    </row>
    <row r="656" spans="1:4" s="83" customFormat="1" x14ac:dyDescent="0.2">
      <c r="A656" s="16"/>
      <c r="C656" s="35"/>
      <c r="D656" s="36"/>
    </row>
    <row r="657" spans="1:4" s="83" customFormat="1" x14ac:dyDescent="0.2">
      <c r="A657" s="16"/>
      <c r="C657" s="35"/>
      <c r="D657" s="36"/>
    </row>
    <row r="658" spans="1:4" s="83" customFormat="1" x14ac:dyDescent="0.2">
      <c r="A658" s="16"/>
      <c r="C658" s="35"/>
      <c r="D658" s="36"/>
    </row>
    <row r="659" spans="1:4" s="83" customFormat="1" x14ac:dyDescent="0.2">
      <c r="A659" s="16"/>
      <c r="C659" s="35"/>
      <c r="D659" s="36"/>
    </row>
    <row r="660" spans="1:4" s="83" customFormat="1" x14ac:dyDescent="0.2">
      <c r="A660" s="16"/>
      <c r="C660" s="35"/>
      <c r="D660" s="36"/>
    </row>
    <row r="661" spans="1:4" s="83" customFormat="1" x14ac:dyDescent="0.2">
      <c r="A661" s="16"/>
      <c r="C661" s="35"/>
      <c r="D661" s="36"/>
    </row>
    <row r="662" spans="1:4" s="83" customFormat="1" x14ac:dyDescent="0.2">
      <c r="A662" s="16"/>
      <c r="C662" s="35"/>
      <c r="D662" s="36"/>
    </row>
    <row r="663" spans="1:4" s="83" customFormat="1" x14ac:dyDescent="0.2">
      <c r="A663" s="16"/>
      <c r="C663" s="35"/>
      <c r="D663" s="36"/>
    </row>
    <row r="664" spans="1:4" s="83" customFormat="1" x14ac:dyDescent="0.2">
      <c r="A664" s="16"/>
      <c r="C664" s="35"/>
      <c r="D664" s="36"/>
    </row>
    <row r="665" spans="1:4" s="83" customFormat="1" x14ac:dyDescent="0.2">
      <c r="A665" s="16"/>
      <c r="C665" s="35"/>
      <c r="D665" s="36"/>
    </row>
    <row r="666" spans="1:4" s="83" customFormat="1" x14ac:dyDescent="0.2">
      <c r="A666" s="16"/>
      <c r="C666" s="35"/>
      <c r="D666" s="36"/>
    </row>
    <row r="667" spans="1:4" s="83" customFormat="1" x14ac:dyDescent="0.2">
      <c r="A667" s="16"/>
      <c r="C667" s="35"/>
      <c r="D667" s="36"/>
    </row>
    <row r="668" spans="1:4" s="83" customFormat="1" x14ac:dyDescent="0.2">
      <c r="A668" s="16"/>
      <c r="C668" s="35"/>
      <c r="D668" s="36"/>
    </row>
    <row r="669" spans="1:4" s="83" customFormat="1" x14ac:dyDescent="0.2">
      <c r="A669" s="16"/>
      <c r="C669" s="35"/>
      <c r="D669" s="36"/>
    </row>
    <row r="670" spans="1:4" s="83" customFormat="1" x14ac:dyDescent="0.2">
      <c r="A670" s="16"/>
      <c r="C670" s="35"/>
      <c r="D670" s="36"/>
    </row>
    <row r="671" spans="1:4" s="83" customFormat="1" x14ac:dyDescent="0.2">
      <c r="A671" s="16"/>
      <c r="C671" s="35"/>
      <c r="D671" s="36"/>
    </row>
    <row r="672" spans="1:4" s="83" customFormat="1" x14ac:dyDescent="0.2">
      <c r="A672" s="16"/>
      <c r="C672" s="35"/>
      <c r="D672" s="36"/>
    </row>
    <row r="673" spans="1:4" s="83" customFormat="1" x14ac:dyDescent="0.2">
      <c r="A673" s="16"/>
      <c r="C673" s="35"/>
      <c r="D673" s="36"/>
    </row>
    <row r="674" spans="1:4" s="83" customFormat="1" x14ac:dyDescent="0.2">
      <c r="A674" s="16"/>
      <c r="C674" s="35"/>
      <c r="D674" s="36"/>
    </row>
    <row r="675" spans="1:4" s="83" customFormat="1" x14ac:dyDescent="0.2">
      <c r="A675" s="16"/>
      <c r="C675" s="35"/>
      <c r="D675" s="36"/>
    </row>
    <row r="676" spans="1:4" s="83" customFormat="1" x14ac:dyDescent="0.2">
      <c r="A676" s="16"/>
      <c r="C676" s="35"/>
      <c r="D676" s="36"/>
    </row>
    <row r="677" spans="1:4" s="83" customFormat="1" x14ac:dyDescent="0.2">
      <c r="A677" s="16"/>
      <c r="C677" s="35"/>
      <c r="D677" s="36"/>
    </row>
    <row r="678" spans="1:4" s="83" customFormat="1" x14ac:dyDescent="0.2">
      <c r="A678" s="16"/>
      <c r="C678" s="35"/>
      <c r="D678" s="36"/>
    </row>
    <row r="679" spans="1:4" s="83" customFormat="1" x14ac:dyDescent="0.2">
      <c r="A679" s="16"/>
      <c r="C679" s="35"/>
      <c r="D679" s="36"/>
    </row>
    <row r="680" spans="1:4" s="83" customFormat="1" x14ac:dyDescent="0.2">
      <c r="A680" s="16"/>
      <c r="C680" s="35"/>
      <c r="D680" s="36"/>
    </row>
    <row r="681" spans="1:4" s="83" customFormat="1" x14ac:dyDescent="0.2">
      <c r="A681" s="16"/>
      <c r="C681" s="35"/>
      <c r="D681" s="36"/>
    </row>
    <row r="682" spans="1:4" s="83" customFormat="1" x14ac:dyDescent="0.2">
      <c r="A682" s="16"/>
      <c r="C682" s="35"/>
      <c r="D682" s="36"/>
    </row>
    <row r="683" spans="1:4" s="83" customFormat="1" x14ac:dyDescent="0.2">
      <c r="A683" s="16"/>
      <c r="C683" s="35"/>
      <c r="D683" s="36"/>
    </row>
    <row r="684" spans="1:4" s="83" customFormat="1" x14ac:dyDescent="0.2">
      <c r="A684" s="16"/>
      <c r="C684" s="35"/>
      <c r="D684" s="36"/>
    </row>
    <row r="685" spans="1:4" s="83" customFormat="1" x14ac:dyDescent="0.2">
      <c r="A685" s="16"/>
      <c r="C685" s="35"/>
      <c r="D685" s="36"/>
    </row>
    <row r="686" spans="1:4" s="83" customFormat="1" x14ac:dyDescent="0.2">
      <c r="A686" s="16"/>
      <c r="C686" s="35"/>
      <c r="D686" s="36"/>
    </row>
    <row r="687" spans="1:4" s="83" customFormat="1" x14ac:dyDescent="0.2">
      <c r="A687" s="16"/>
      <c r="C687" s="35"/>
      <c r="D687" s="36"/>
    </row>
    <row r="688" spans="1:4" s="83" customFormat="1" x14ac:dyDescent="0.2">
      <c r="A688" s="16"/>
      <c r="C688" s="35"/>
      <c r="D688" s="36"/>
    </row>
    <row r="689" spans="1:4" s="83" customFormat="1" x14ac:dyDescent="0.2">
      <c r="A689" s="16"/>
      <c r="C689" s="35"/>
      <c r="D689" s="36"/>
    </row>
    <row r="690" spans="1:4" s="83" customFormat="1" x14ac:dyDescent="0.2">
      <c r="A690" s="16"/>
      <c r="C690" s="35"/>
      <c r="D690" s="36"/>
    </row>
    <row r="691" spans="1:4" s="83" customFormat="1" x14ac:dyDescent="0.2">
      <c r="A691" s="16"/>
      <c r="C691" s="35"/>
      <c r="D691" s="36"/>
    </row>
    <row r="692" spans="1:4" s="83" customFormat="1" x14ac:dyDescent="0.2">
      <c r="A692" s="16"/>
      <c r="C692" s="35"/>
      <c r="D692" s="36"/>
    </row>
    <row r="693" spans="1:4" s="83" customFormat="1" x14ac:dyDescent="0.2">
      <c r="A693" s="16"/>
      <c r="C693" s="35"/>
      <c r="D693" s="36"/>
    </row>
    <row r="694" spans="1:4" s="83" customFormat="1" x14ac:dyDescent="0.2">
      <c r="A694" s="16"/>
      <c r="C694" s="35"/>
      <c r="D694" s="36"/>
    </row>
    <row r="695" spans="1:4" s="83" customFormat="1" x14ac:dyDescent="0.2">
      <c r="A695" s="16"/>
      <c r="C695" s="35"/>
      <c r="D695" s="36"/>
    </row>
    <row r="696" spans="1:4" s="83" customFormat="1" x14ac:dyDescent="0.2">
      <c r="A696" s="16"/>
      <c r="C696" s="35"/>
      <c r="D696" s="36"/>
    </row>
    <row r="697" spans="1:4" s="83" customFormat="1" x14ac:dyDescent="0.2">
      <c r="A697" s="16"/>
      <c r="C697" s="35"/>
      <c r="D697" s="36"/>
    </row>
    <row r="698" spans="1:4" s="83" customFormat="1" x14ac:dyDescent="0.2">
      <c r="A698" s="16"/>
      <c r="C698" s="35"/>
      <c r="D698" s="36"/>
    </row>
    <row r="699" spans="1:4" s="83" customFormat="1" x14ac:dyDescent="0.2">
      <c r="A699" s="16"/>
      <c r="C699" s="35"/>
      <c r="D699" s="36"/>
    </row>
    <row r="700" spans="1:4" s="83" customFormat="1" x14ac:dyDescent="0.2">
      <c r="A700" s="16"/>
      <c r="C700" s="35"/>
      <c r="D700" s="36"/>
    </row>
    <row r="701" spans="1:4" s="83" customFormat="1" x14ac:dyDescent="0.2">
      <c r="A701" s="16"/>
      <c r="C701" s="35"/>
      <c r="D701" s="36"/>
    </row>
    <row r="702" spans="1:4" s="83" customFormat="1" x14ac:dyDescent="0.2">
      <c r="A702" s="16"/>
      <c r="C702" s="35"/>
      <c r="D702" s="36"/>
    </row>
    <row r="703" spans="1:4" s="83" customFormat="1" x14ac:dyDescent="0.2">
      <c r="A703" s="16"/>
      <c r="C703" s="35"/>
      <c r="D703" s="36"/>
    </row>
    <row r="704" spans="1:4" s="83" customFormat="1" x14ac:dyDescent="0.2">
      <c r="A704" s="16"/>
      <c r="C704" s="35"/>
      <c r="D704" s="36"/>
    </row>
    <row r="705" spans="1:4" s="83" customFormat="1" x14ac:dyDescent="0.2">
      <c r="A705" s="16"/>
      <c r="C705" s="35"/>
      <c r="D705" s="36"/>
    </row>
    <row r="706" spans="1:4" s="83" customFormat="1" x14ac:dyDescent="0.2">
      <c r="A706" s="16"/>
      <c r="C706" s="35"/>
      <c r="D706" s="36"/>
    </row>
    <row r="707" spans="1:4" s="83" customFormat="1" x14ac:dyDescent="0.2">
      <c r="A707" s="16"/>
      <c r="C707" s="35"/>
      <c r="D707" s="36"/>
    </row>
    <row r="708" spans="1:4" s="83" customFormat="1" x14ac:dyDescent="0.2">
      <c r="A708" s="16"/>
      <c r="C708" s="35"/>
      <c r="D708" s="36"/>
    </row>
    <row r="709" spans="1:4" s="83" customFormat="1" x14ac:dyDescent="0.2">
      <c r="A709" s="16"/>
      <c r="C709" s="35"/>
      <c r="D709" s="36"/>
    </row>
    <row r="710" spans="1:4" s="83" customFormat="1" x14ac:dyDescent="0.2">
      <c r="A710" s="16"/>
      <c r="C710" s="35"/>
      <c r="D710" s="36"/>
    </row>
    <row r="711" spans="1:4" s="83" customFormat="1" x14ac:dyDescent="0.2">
      <c r="A711" s="16"/>
      <c r="C711" s="35"/>
      <c r="D711" s="36"/>
    </row>
    <row r="712" spans="1:4" s="83" customFormat="1" x14ac:dyDescent="0.2">
      <c r="A712" s="16"/>
      <c r="C712" s="35"/>
      <c r="D712" s="36"/>
    </row>
    <row r="713" spans="1:4" s="83" customFormat="1" x14ac:dyDescent="0.2">
      <c r="A713" s="16"/>
      <c r="C713" s="35"/>
      <c r="D713" s="36"/>
    </row>
    <row r="714" spans="1:4" s="83" customFormat="1" x14ac:dyDescent="0.2">
      <c r="A714" s="16"/>
      <c r="C714" s="35"/>
      <c r="D714" s="36"/>
    </row>
    <row r="715" spans="1:4" s="83" customFormat="1" x14ac:dyDescent="0.2">
      <c r="A715" s="16"/>
      <c r="C715" s="35"/>
      <c r="D715" s="36"/>
    </row>
    <row r="716" spans="1:4" s="83" customFormat="1" x14ac:dyDescent="0.2">
      <c r="A716" s="16"/>
      <c r="C716" s="35"/>
      <c r="D716" s="36"/>
    </row>
    <row r="717" spans="1:4" s="83" customFormat="1" x14ac:dyDescent="0.2">
      <c r="A717" s="16"/>
      <c r="C717" s="35"/>
      <c r="D717" s="36"/>
    </row>
    <row r="718" spans="1:4" s="83" customFormat="1" x14ac:dyDescent="0.2">
      <c r="A718" s="16"/>
      <c r="C718" s="35"/>
      <c r="D718" s="36"/>
    </row>
    <row r="719" spans="1:4" s="83" customFormat="1" x14ac:dyDescent="0.2">
      <c r="A719" s="16"/>
      <c r="C719" s="35"/>
      <c r="D719" s="36"/>
    </row>
    <row r="720" spans="1:4" s="83" customFormat="1" x14ac:dyDescent="0.2">
      <c r="A720" s="16"/>
      <c r="C720" s="35"/>
      <c r="D720" s="36"/>
    </row>
    <row r="721" spans="1:4" s="83" customFormat="1" x14ac:dyDescent="0.2">
      <c r="A721" s="16"/>
      <c r="C721" s="35"/>
      <c r="D721" s="36"/>
    </row>
    <row r="722" spans="1:4" s="83" customFormat="1" x14ac:dyDescent="0.2">
      <c r="A722" s="16"/>
      <c r="C722" s="35"/>
      <c r="D722" s="36"/>
    </row>
    <row r="723" spans="1:4" s="83" customFormat="1" x14ac:dyDescent="0.2">
      <c r="A723" s="16"/>
      <c r="C723" s="35"/>
      <c r="D723" s="36"/>
    </row>
    <row r="724" spans="1:4" s="83" customFormat="1" x14ac:dyDescent="0.2">
      <c r="A724" s="16"/>
      <c r="C724" s="35"/>
      <c r="D724" s="36"/>
    </row>
    <row r="725" spans="1:4" s="83" customFormat="1" x14ac:dyDescent="0.2">
      <c r="A725" s="16"/>
      <c r="C725" s="35"/>
      <c r="D725" s="36"/>
    </row>
    <row r="726" spans="1:4" s="83" customFormat="1" x14ac:dyDescent="0.2">
      <c r="A726" s="16"/>
      <c r="C726" s="35"/>
      <c r="D726" s="36"/>
    </row>
    <row r="727" spans="1:4" s="83" customFormat="1" x14ac:dyDescent="0.2">
      <c r="A727" s="16"/>
      <c r="C727" s="35"/>
      <c r="D727" s="36"/>
    </row>
    <row r="728" spans="1:4" s="83" customFormat="1" x14ac:dyDescent="0.2">
      <c r="A728" s="16"/>
      <c r="C728" s="35"/>
      <c r="D728" s="36"/>
    </row>
    <row r="729" spans="1:4" s="83" customFormat="1" x14ac:dyDescent="0.2">
      <c r="A729" s="16"/>
      <c r="C729" s="35"/>
      <c r="D729" s="36"/>
    </row>
    <row r="730" spans="1:4" s="83" customFormat="1" x14ac:dyDescent="0.2">
      <c r="A730" s="16"/>
      <c r="C730" s="35"/>
      <c r="D730" s="36"/>
    </row>
    <row r="731" spans="1:4" s="83" customFormat="1" x14ac:dyDescent="0.2">
      <c r="A731" s="16"/>
      <c r="C731" s="35"/>
      <c r="D731" s="36"/>
    </row>
    <row r="732" spans="1:4" s="83" customFormat="1" x14ac:dyDescent="0.2">
      <c r="A732" s="16"/>
      <c r="C732" s="35"/>
      <c r="D732" s="36"/>
    </row>
    <row r="733" spans="1:4" s="83" customFormat="1" x14ac:dyDescent="0.2">
      <c r="A733" s="16"/>
      <c r="C733" s="35"/>
      <c r="D733" s="36"/>
    </row>
    <row r="734" spans="1:4" s="83" customFormat="1" x14ac:dyDescent="0.2">
      <c r="A734" s="16"/>
      <c r="C734" s="35"/>
      <c r="D734" s="36"/>
    </row>
    <row r="735" spans="1:4" s="83" customFormat="1" x14ac:dyDescent="0.2">
      <c r="A735" s="16"/>
      <c r="C735" s="35"/>
      <c r="D735" s="36"/>
    </row>
    <row r="736" spans="1:4" s="83" customFormat="1" x14ac:dyDescent="0.2">
      <c r="A736" s="16"/>
      <c r="C736" s="35"/>
      <c r="D736" s="36"/>
    </row>
    <row r="737" spans="1:4" s="83" customFormat="1" x14ac:dyDescent="0.2">
      <c r="A737" s="16"/>
      <c r="C737" s="35"/>
      <c r="D737" s="36"/>
    </row>
    <row r="738" spans="1:4" s="83" customFormat="1" x14ac:dyDescent="0.2">
      <c r="A738" s="16"/>
      <c r="C738" s="35"/>
      <c r="D738" s="36"/>
    </row>
    <row r="739" spans="1:4" s="83" customFormat="1" x14ac:dyDescent="0.2">
      <c r="A739" s="16"/>
      <c r="C739" s="35"/>
      <c r="D739" s="36"/>
    </row>
    <row r="740" spans="1:4" s="83" customFormat="1" x14ac:dyDescent="0.2">
      <c r="A740" s="16"/>
      <c r="C740" s="35"/>
      <c r="D740" s="36"/>
    </row>
    <row r="741" spans="1:4" s="83" customFormat="1" x14ac:dyDescent="0.2">
      <c r="A741" s="16"/>
      <c r="C741" s="35"/>
      <c r="D741" s="36"/>
    </row>
    <row r="742" spans="1:4" s="83" customFormat="1" x14ac:dyDescent="0.2">
      <c r="A742" s="16"/>
      <c r="C742" s="35"/>
      <c r="D742" s="36"/>
    </row>
    <row r="743" spans="1:4" s="83" customFormat="1" x14ac:dyDescent="0.2">
      <c r="A743" s="16"/>
      <c r="C743" s="35"/>
      <c r="D743" s="36"/>
    </row>
    <row r="744" spans="1:4" s="83" customFormat="1" x14ac:dyDescent="0.2">
      <c r="A744" s="16"/>
      <c r="C744" s="35"/>
      <c r="D744" s="36"/>
    </row>
    <row r="745" spans="1:4" s="83" customFormat="1" x14ac:dyDescent="0.2">
      <c r="A745" s="16"/>
      <c r="C745" s="35"/>
      <c r="D745" s="36"/>
    </row>
    <row r="746" spans="1:4" s="83" customFormat="1" x14ac:dyDescent="0.2">
      <c r="A746" s="16"/>
      <c r="C746" s="35"/>
      <c r="D746" s="36"/>
    </row>
    <row r="747" spans="1:4" s="83" customFormat="1" x14ac:dyDescent="0.2">
      <c r="A747" s="16"/>
      <c r="C747" s="35"/>
      <c r="D747" s="36"/>
    </row>
    <row r="748" spans="1:4" s="83" customFormat="1" x14ac:dyDescent="0.2">
      <c r="A748" s="16"/>
      <c r="C748" s="35"/>
      <c r="D748" s="36"/>
    </row>
    <row r="749" spans="1:4" s="83" customFormat="1" x14ac:dyDescent="0.2">
      <c r="A749" s="16"/>
      <c r="C749" s="35"/>
      <c r="D749" s="36"/>
    </row>
    <row r="750" spans="1:4" s="83" customFormat="1" x14ac:dyDescent="0.2">
      <c r="A750" s="16"/>
      <c r="C750" s="35"/>
      <c r="D750" s="36"/>
    </row>
    <row r="751" spans="1:4" s="83" customFormat="1" x14ac:dyDescent="0.2">
      <c r="A751" s="16"/>
      <c r="C751" s="35"/>
      <c r="D751" s="36"/>
    </row>
    <row r="752" spans="1:4" s="83" customFormat="1" x14ac:dyDescent="0.2">
      <c r="A752" s="16"/>
      <c r="C752" s="35"/>
      <c r="D752" s="36"/>
    </row>
    <row r="753" spans="1:4" s="83" customFormat="1" x14ac:dyDescent="0.2">
      <c r="A753" s="16"/>
      <c r="C753" s="35"/>
      <c r="D753" s="36"/>
    </row>
    <row r="754" spans="1:4" s="83" customFormat="1" x14ac:dyDescent="0.2">
      <c r="A754" s="16"/>
      <c r="C754" s="35"/>
      <c r="D754" s="36"/>
    </row>
    <row r="755" spans="1:4" s="83" customFormat="1" x14ac:dyDescent="0.2">
      <c r="A755" s="16"/>
      <c r="C755" s="35"/>
      <c r="D755" s="36"/>
    </row>
    <row r="756" spans="1:4" s="83" customFormat="1" x14ac:dyDescent="0.2">
      <c r="A756" s="16"/>
      <c r="C756" s="35"/>
      <c r="D756" s="36"/>
    </row>
    <row r="757" spans="1:4" s="83" customFormat="1" x14ac:dyDescent="0.2">
      <c r="A757" s="16"/>
      <c r="C757" s="35"/>
      <c r="D757" s="36"/>
    </row>
    <row r="758" spans="1:4" s="83" customFormat="1" x14ac:dyDescent="0.2">
      <c r="A758" s="16"/>
      <c r="C758" s="35"/>
      <c r="D758" s="36"/>
    </row>
    <row r="759" spans="1:4" s="83" customFormat="1" x14ac:dyDescent="0.2">
      <c r="A759" s="16"/>
      <c r="C759" s="35"/>
      <c r="D759" s="36"/>
    </row>
    <row r="760" spans="1:4" s="83" customFormat="1" x14ac:dyDescent="0.2">
      <c r="A760" s="16"/>
      <c r="C760" s="35"/>
      <c r="D760" s="36"/>
    </row>
    <row r="761" spans="1:4" s="83" customFormat="1" x14ac:dyDescent="0.2">
      <c r="A761" s="16"/>
      <c r="C761" s="35"/>
      <c r="D761" s="36"/>
    </row>
    <row r="762" spans="1:4" s="83" customFormat="1" x14ac:dyDescent="0.2">
      <c r="A762" s="16"/>
      <c r="C762" s="35"/>
      <c r="D762" s="36"/>
    </row>
    <row r="763" spans="1:4" s="83" customFormat="1" x14ac:dyDescent="0.2">
      <c r="A763" s="16"/>
      <c r="C763" s="35"/>
      <c r="D763" s="36"/>
    </row>
    <row r="764" spans="1:4" s="83" customFormat="1" x14ac:dyDescent="0.2">
      <c r="A764" s="16"/>
      <c r="C764" s="35"/>
      <c r="D764" s="36"/>
    </row>
    <row r="765" spans="1:4" s="83" customFormat="1" x14ac:dyDescent="0.2">
      <c r="A765" s="16"/>
      <c r="C765" s="35"/>
      <c r="D765" s="36"/>
    </row>
    <row r="766" spans="1:4" s="83" customFormat="1" x14ac:dyDescent="0.2">
      <c r="A766" s="16"/>
      <c r="C766" s="35"/>
      <c r="D766" s="36"/>
    </row>
    <row r="767" spans="1:4" s="83" customFormat="1" x14ac:dyDescent="0.2">
      <c r="A767" s="16"/>
      <c r="C767" s="35"/>
      <c r="D767" s="36"/>
    </row>
    <row r="768" spans="1:4" s="83" customFormat="1" x14ac:dyDescent="0.2">
      <c r="A768" s="16"/>
      <c r="C768" s="35"/>
      <c r="D768" s="36"/>
    </row>
    <row r="769" spans="1:4" s="83" customFormat="1" x14ac:dyDescent="0.2">
      <c r="A769" s="16"/>
      <c r="C769" s="35"/>
      <c r="D769" s="36"/>
    </row>
    <row r="770" spans="1:4" s="83" customFormat="1" x14ac:dyDescent="0.2">
      <c r="A770" s="16"/>
      <c r="C770" s="35"/>
      <c r="D770" s="36"/>
    </row>
    <row r="771" spans="1:4" s="83" customFormat="1" x14ac:dyDescent="0.2">
      <c r="A771" s="16"/>
      <c r="C771" s="35"/>
      <c r="D771" s="36"/>
    </row>
    <row r="772" spans="1:4" s="83" customFormat="1" x14ac:dyDescent="0.2">
      <c r="A772" s="16"/>
      <c r="C772" s="35"/>
      <c r="D772" s="36"/>
    </row>
    <row r="773" spans="1:4" s="83" customFormat="1" x14ac:dyDescent="0.2">
      <c r="A773" s="16"/>
      <c r="C773" s="35"/>
      <c r="D773" s="36"/>
    </row>
    <row r="774" spans="1:4" s="83" customFormat="1" x14ac:dyDescent="0.2">
      <c r="A774" s="16"/>
      <c r="C774" s="35"/>
      <c r="D774" s="36"/>
    </row>
    <row r="775" spans="1:4" s="83" customFormat="1" x14ac:dyDescent="0.2">
      <c r="A775" s="16"/>
      <c r="C775" s="35"/>
      <c r="D775" s="36"/>
    </row>
    <row r="776" spans="1:4" s="83" customFormat="1" x14ac:dyDescent="0.2">
      <c r="A776" s="16"/>
      <c r="C776" s="35"/>
      <c r="D776" s="36"/>
    </row>
    <row r="777" spans="1:4" s="83" customFormat="1" x14ac:dyDescent="0.2">
      <c r="A777" s="16"/>
      <c r="C777" s="35"/>
      <c r="D777" s="36"/>
    </row>
    <row r="778" spans="1:4" s="83" customFormat="1" x14ac:dyDescent="0.2">
      <c r="A778" s="16"/>
      <c r="C778" s="35"/>
      <c r="D778" s="36"/>
    </row>
    <row r="779" spans="1:4" s="83" customFormat="1" x14ac:dyDescent="0.2">
      <c r="A779" s="16"/>
      <c r="C779" s="35"/>
      <c r="D779" s="36"/>
    </row>
    <row r="780" spans="1:4" s="83" customFormat="1" x14ac:dyDescent="0.2">
      <c r="A780" s="16"/>
      <c r="C780" s="35"/>
      <c r="D780" s="36"/>
    </row>
    <row r="781" spans="1:4" s="83" customFormat="1" x14ac:dyDescent="0.2">
      <c r="A781" s="16"/>
      <c r="C781" s="35"/>
      <c r="D781" s="36"/>
    </row>
    <row r="782" spans="1:4" s="83" customFormat="1" x14ac:dyDescent="0.2">
      <c r="A782" s="16"/>
      <c r="C782" s="35"/>
      <c r="D782" s="36"/>
    </row>
    <row r="783" spans="1:4" s="83" customFormat="1" x14ac:dyDescent="0.2">
      <c r="A783" s="16"/>
      <c r="C783" s="35"/>
      <c r="D783" s="36"/>
    </row>
    <row r="784" spans="1:4" s="83" customFormat="1" x14ac:dyDescent="0.2">
      <c r="A784" s="16"/>
      <c r="C784" s="35"/>
      <c r="D784" s="36"/>
    </row>
    <row r="785" spans="1:4" s="83" customFormat="1" x14ac:dyDescent="0.2">
      <c r="A785" s="16"/>
      <c r="C785" s="35"/>
      <c r="D785" s="36"/>
    </row>
    <row r="786" spans="1:4" s="83" customFormat="1" x14ac:dyDescent="0.2">
      <c r="A786" s="16"/>
      <c r="C786" s="35"/>
      <c r="D786" s="36"/>
    </row>
    <row r="787" spans="1:4" s="83" customFormat="1" x14ac:dyDescent="0.2">
      <c r="A787" s="16"/>
      <c r="C787" s="35"/>
      <c r="D787" s="36"/>
    </row>
    <row r="788" spans="1:4" s="83" customFormat="1" x14ac:dyDescent="0.2">
      <c r="A788" s="16"/>
      <c r="C788" s="35"/>
      <c r="D788" s="36"/>
    </row>
    <row r="789" spans="1:4" s="83" customFormat="1" x14ac:dyDescent="0.2">
      <c r="A789" s="16"/>
      <c r="C789" s="35"/>
      <c r="D789" s="36"/>
    </row>
    <row r="790" spans="1:4" s="83" customFormat="1" x14ac:dyDescent="0.2">
      <c r="A790" s="16"/>
      <c r="C790" s="35"/>
      <c r="D790" s="36"/>
    </row>
    <row r="791" spans="1:4" s="83" customFormat="1" x14ac:dyDescent="0.2">
      <c r="A791" s="16"/>
      <c r="C791" s="35"/>
      <c r="D791" s="36"/>
    </row>
    <row r="792" spans="1:4" s="83" customFormat="1" x14ac:dyDescent="0.2">
      <c r="A792" s="16"/>
      <c r="C792" s="35"/>
      <c r="D792" s="36"/>
    </row>
    <row r="793" spans="1:4" s="83" customFormat="1" x14ac:dyDescent="0.2">
      <c r="A793" s="16"/>
      <c r="C793" s="35"/>
      <c r="D793" s="36"/>
    </row>
    <row r="794" spans="1:4" s="83" customFormat="1" x14ac:dyDescent="0.2">
      <c r="A794" s="16"/>
      <c r="C794" s="35"/>
      <c r="D794" s="36"/>
    </row>
    <row r="795" spans="1:4" s="83" customFormat="1" x14ac:dyDescent="0.2">
      <c r="A795" s="16"/>
      <c r="C795" s="35"/>
      <c r="D795" s="36"/>
    </row>
    <row r="796" spans="1:4" s="83" customFormat="1" x14ac:dyDescent="0.2">
      <c r="A796" s="16"/>
      <c r="C796" s="35"/>
      <c r="D796" s="36"/>
    </row>
    <row r="797" spans="1:4" s="83" customFormat="1" x14ac:dyDescent="0.2">
      <c r="A797" s="16"/>
      <c r="C797" s="35"/>
      <c r="D797" s="36"/>
    </row>
    <row r="798" spans="1:4" s="83" customFormat="1" x14ac:dyDescent="0.2">
      <c r="A798" s="16"/>
      <c r="C798" s="35"/>
      <c r="D798" s="36"/>
    </row>
    <row r="799" spans="1:4" s="83" customFormat="1" x14ac:dyDescent="0.2">
      <c r="A799" s="16"/>
      <c r="C799" s="35"/>
      <c r="D799" s="36"/>
    </row>
    <row r="800" spans="1:4" s="83" customFormat="1" x14ac:dyDescent="0.2">
      <c r="A800" s="16"/>
      <c r="C800" s="35"/>
      <c r="D800" s="36"/>
    </row>
    <row r="801" spans="1:17" s="83" customFormat="1" x14ac:dyDescent="0.2">
      <c r="A801" s="16"/>
      <c r="C801" s="35"/>
      <c r="D801" s="36"/>
    </row>
    <row r="802" spans="1:17" s="83" customFormat="1" x14ac:dyDescent="0.2">
      <c r="A802" s="16"/>
      <c r="C802" s="35"/>
      <c r="D802" s="36"/>
    </row>
    <row r="803" spans="1:17" s="83" customFormat="1" x14ac:dyDescent="0.2">
      <c r="A803" s="16"/>
      <c r="C803" s="35"/>
      <c r="D803" s="36"/>
    </row>
    <row r="804" spans="1:17" s="83" customFormat="1" x14ac:dyDescent="0.2">
      <c r="A804" s="16"/>
      <c r="C804" s="35"/>
      <c r="D804" s="36"/>
    </row>
    <row r="805" spans="1:17" s="83" customFormat="1" x14ac:dyDescent="0.2">
      <c r="A805" s="16"/>
      <c r="C805" s="35"/>
      <c r="D805" s="36"/>
    </row>
    <row r="806" spans="1:17" s="83" customFormat="1" x14ac:dyDescent="0.2">
      <c r="A806" s="16"/>
      <c r="C806" s="35"/>
      <c r="D806" s="36"/>
    </row>
    <row r="807" spans="1:17" s="83" customFormat="1" x14ac:dyDescent="0.2">
      <c r="A807" s="16"/>
      <c r="C807" s="35"/>
      <c r="D807" s="36"/>
    </row>
    <row r="808" spans="1:17" s="83" customFormat="1" x14ac:dyDescent="0.2">
      <c r="A808" s="16"/>
      <c r="C808" s="35"/>
      <c r="D808" s="36"/>
    </row>
    <row r="809" spans="1:17" s="83" customFormat="1" x14ac:dyDescent="0.2">
      <c r="A809" s="16"/>
      <c r="C809" s="35"/>
      <c r="D809" s="36"/>
    </row>
    <row r="810" spans="1:17" s="83" customFormat="1" x14ac:dyDescent="0.2">
      <c r="A810" s="16"/>
      <c r="C810" s="35"/>
      <c r="D810" s="36"/>
    </row>
    <row r="811" spans="1:17" s="83" customFormat="1" x14ac:dyDescent="0.2">
      <c r="A811" s="16"/>
      <c r="C811" s="35"/>
      <c r="D811" s="36"/>
    </row>
    <row r="812" spans="1:17" s="83" customFormat="1" x14ac:dyDescent="0.2">
      <c r="A812" s="16"/>
      <c r="C812" s="35"/>
      <c r="D812" s="36"/>
    </row>
    <row r="813" spans="1:17" s="83" customFormat="1" x14ac:dyDescent="0.2">
      <c r="A813" s="16"/>
      <c r="C813" s="35"/>
      <c r="D813" s="36"/>
    </row>
    <row r="814" spans="1:17" s="83" customFormat="1" x14ac:dyDescent="0.2">
      <c r="A814" s="16"/>
      <c r="C814" s="35"/>
      <c r="D814" s="36"/>
    </row>
    <row r="815" spans="1:17" s="83" customFormat="1" x14ac:dyDescent="0.2">
      <c r="A815" s="16"/>
      <c r="C815" s="35"/>
      <c r="D815" s="36"/>
    </row>
    <row r="816" spans="1:17" x14ac:dyDescent="0.2">
      <c r="A816" s="16"/>
      <c r="B816" s="83"/>
      <c r="C816" s="35"/>
      <c r="D816" s="36"/>
      <c r="E816" s="83"/>
      <c r="F816" s="83"/>
      <c r="G816" s="83"/>
      <c r="H816" s="83"/>
      <c r="I816" s="83"/>
      <c r="J816" s="83"/>
      <c r="K816" s="83"/>
      <c r="L816" s="83"/>
      <c r="M816" s="83"/>
      <c r="N816" s="83"/>
      <c r="O816" s="83"/>
      <c r="P816" s="83"/>
      <c r="Q816" s="83"/>
    </row>
    <row r="817" spans="1:17" x14ac:dyDescent="0.2">
      <c r="A817" s="16"/>
      <c r="B817" s="83"/>
      <c r="C817" s="35"/>
      <c r="D817" s="36"/>
      <c r="E817" s="83"/>
      <c r="F817" s="83"/>
      <c r="G817" s="83"/>
      <c r="H817" s="83"/>
      <c r="I817" s="83"/>
      <c r="J817" s="83"/>
      <c r="K817" s="83"/>
      <c r="L817" s="83"/>
      <c r="M817" s="83"/>
      <c r="N817" s="83"/>
      <c r="O817" s="83"/>
      <c r="P817" s="83"/>
      <c r="Q817" s="83"/>
    </row>
    <row r="818" spans="1:17" x14ac:dyDescent="0.2">
      <c r="A818" s="16"/>
      <c r="B818" s="83"/>
      <c r="C818" s="35"/>
      <c r="D818" s="36"/>
      <c r="E818" s="83"/>
      <c r="F818" s="83"/>
      <c r="G818" s="83"/>
      <c r="H818" s="83"/>
      <c r="I818" s="83"/>
      <c r="J818" s="83"/>
      <c r="K818" s="83"/>
      <c r="L818" s="83"/>
      <c r="M818" s="83"/>
      <c r="N818" s="83"/>
      <c r="O818" s="83"/>
      <c r="P818" s="83"/>
      <c r="Q818" s="83"/>
    </row>
    <row r="819" spans="1:17" x14ac:dyDescent="0.2">
      <c r="A819" s="16"/>
      <c r="B819" s="83"/>
      <c r="C819" s="35"/>
      <c r="D819" s="36"/>
      <c r="E819" s="83"/>
      <c r="F819" s="83"/>
      <c r="G819" s="83"/>
      <c r="H819" s="83"/>
      <c r="I819" s="83"/>
      <c r="J819" s="83"/>
      <c r="K819" s="83"/>
      <c r="L819" s="83"/>
      <c r="M819" s="83"/>
      <c r="N819" s="83"/>
      <c r="O819" s="83"/>
      <c r="P819" s="83"/>
      <c r="Q819" s="83"/>
    </row>
    <row r="820" spans="1:17" x14ac:dyDescent="0.2">
      <c r="A820" s="16"/>
      <c r="B820" s="83"/>
      <c r="C820" s="35"/>
      <c r="D820" s="36"/>
      <c r="E820" s="83"/>
      <c r="F820" s="83"/>
      <c r="G820" s="83"/>
      <c r="H820" s="83"/>
      <c r="I820" s="83"/>
      <c r="J820" s="83"/>
      <c r="K820" s="83"/>
      <c r="L820" s="83"/>
      <c r="M820" s="83"/>
      <c r="N820" s="83"/>
      <c r="O820" s="83"/>
      <c r="P820" s="83"/>
      <c r="Q820" s="83"/>
    </row>
    <row r="821" spans="1:17" x14ac:dyDescent="0.2">
      <c r="A821" s="16"/>
      <c r="B821" s="83"/>
      <c r="C821" s="35"/>
      <c r="D821" s="36"/>
      <c r="E821" s="83"/>
      <c r="F821" s="83"/>
      <c r="G821" s="83"/>
      <c r="H821" s="83"/>
      <c r="I821" s="83"/>
      <c r="J821" s="83"/>
      <c r="K821" s="83"/>
      <c r="L821" s="83"/>
      <c r="M821" s="83"/>
      <c r="N821" s="83"/>
      <c r="O821" s="83"/>
      <c r="P821" s="83"/>
      <c r="Q821" s="83"/>
    </row>
    <row r="822" spans="1:17" x14ac:dyDescent="0.2">
      <c r="A822" s="16"/>
      <c r="B822" s="83"/>
      <c r="C822" s="35"/>
      <c r="D822" s="36"/>
      <c r="E822" s="83"/>
      <c r="F822" s="83"/>
      <c r="G822" s="83"/>
      <c r="H822" s="83"/>
      <c r="I822" s="83"/>
      <c r="J822" s="83"/>
      <c r="K822" s="83"/>
      <c r="L822" s="83"/>
      <c r="M822" s="83"/>
      <c r="N822" s="83"/>
      <c r="O822" s="83"/>
      <c r="P822" s="83"/>
      <c r="Q822" s="83"/>
    </row>
    <row r="823" spans="1:17" x14ac:dyDescent="0.2">
      <c r="A823" s="16"/>
      <c r="B823" s="83"/>
      <c r="C823" s="35"/>
      <c r="D823" s="36"/>
      <c r="E823" s="83"/>
      <c r="F823" s="83"/>
      <c r="G823" s="83"/>
      <c r="H823" s="83"/>
      <c r="I823" s="83"/>
      <c r="J823" s="83"/>
      <c r="K823" s="83"/>
      <c r="L823" s="83"/>
      <c r="M823" s="83"/>
      <c r="N823" s="83"/>
      <c r="O823" s="83"/>
      <c r="P823" s="83"/>
      <c r="Q823" s="83"/>
    </row>
    <row r="824" spans="1:17" x14ac:dyDescent="0.2">
      <c r="A824" s="16"/>
      <c r="B824" s="83"/>
      <c r="C824" s="35"/>
      <c r="D824" s="36"/>
      <c r="E824" s="83"/>
      <c r="F824" s="83"/>
      <c r="G824" s="83"/>
      <c r="H824" s="83"/>
      <c r="I824" s="83"/>
      <c r="J824" s="83"/>
      <c r="K824" s="83"/>
      <c r="L824" s="83"/>
      <c r="M824" s="83"/>
      <c r="N824" s="83"/>
      <c r="O824" s="83"/>
      <c r="P824" s="83"/>
      <c r="Q824" s="83"/>
    </row>
    <row r="825" spans="1:17" x14ac:dyDescent="0.2">
      <c r="A825" s="16"/>
      <c r="B825" s="83"/>
      <c r="C825" s="35"/>
      <c r="D825" s="36"/>
      <c r="E825" s="83"/>
      <c r="F825" s="83"/>
      <c r="G825" s="83"/>
      <c r="H825" s="83"/>
      <c r="I825" s="83"/>
      <c r="J825" s="83"/>
      <c r="K825" s="83"/>
      <c r="L825" s="83"/>
      <c r="M825" s="83"/>
      <c r="N825" s="83"/>
      <c r="O825" s="83"/>
      <c r="P825" s="83"/>
      <c r="Q825" s="83"/>
    </row>
    <row r="826" spans="1:17" x14ac:dyDescent="0.2">
      <c r="A826" s="16"/>
      <c r="B826" s="83"/>
      <c r="C826" s="35"/>
      <c r="D826" s="36"/>
      <c r="E826" s="83"/>
      <c r="F826" s="83"/>
      <c r="G826" s="83"/>
      <c r="H826" s="83"/>
      <c r="I826" s="83"/>
      <c r="J826" s="83"/>
      <c r="K826" s="83"/>
      <c r="L826" s="83"/>
      <c r="M826" s="83"/>
      <c r="N826" s="83"/>
      <c r="O826" s="83"/>
      <c r="P826" s="83"/>
      <c r="Q826" s="83"/>
    </row>
    <row r="827" spans="1:17" x14ac:dyDescent="0.2">
      <c r="A827" s="16"/>
      <c r="B827" s="83"/>
      <c r="C827" s="35"/>
      <c r="D827" s="36"/>
      <c r="E827" s="83"/>
      <c r="F827" s="83"/>
      <c r="G827" s="83"/>
      <c r="H827" s="83"/>
      <c r="I827" s="83"/>
      <c r="J827" s="83"/>
      <c r="K827" s="83"/>
      <c r="L827" s="83"/>
      <c r="M827" s="83"/>
      <c r="N827" s="83"/>
      <c r="O827" s="83"/>
      <c r="P827" s="83"/>
      <c r="Q827" s="83"/>
    </row>
    <row r="828" spans="1:17" x14ac:dyDescent="0.2">
      <c r="A828" s="16"/>
      <c r="B828" s="83"/>
      <c r="C828" s="35"/>
      <c r="D828" s="36"/>
      <c r="E828" s="83"/>
      <c r="F828" s="83"/>
      <c r="G828" s="83"/>
      <c r="H828" s="83"/>
      <c r="I828" s="83"/>
      <c r="J828" s="83"/>
      <c r="K828" s="83"/>
      <c r="L828" s="83"/>
      <c r="M828" s="83"/>
      <c r="N828" s="83"/>
      <c r="O828" s="83"/>
      <c r="P828" s="83"/>
      <c r="Q828" s="83"/>
    </row>
    <row r="829" spans="1:17" x14ac:dyDescent="0.2">
      <c r="A829" s="16"/>
      <c r="B829" s="83"/>
      <c r="C829" s="35"/>
      <c r="D829" s="36"/>
      <c r="E829" s="83"/>
      <c r="F829" s="83"/>
      <c r="G829" s="83"/>
      <c r="H829" s="83"/>
      <c r="I829" s="83"/>
      <c r="J829" s="83"/>
      <c r="K829" s="83"/>
      <c r="L829" s="83"/>
      <c r="M829" s="83"/>
      <c r="N829" s="83"/>
      <c r="O829" s="83"/>
      <c r="P829" s="83"/>
      <c r="Q829" s="83"/>
    </row>
    <row r="830" spans="1:17" x14ac:dyDescent="0.2">
      <c r="A830" s="16"/>
      <c r="B830" s="83"/>
      <c r="C830" s="35"/>
      <c r="D830" s="36"/>
      <c r="E830" s="83"/>
      <c r="F830" s="83"/>
      <c r="G830" s="83"/>
      <c r="H830" s="83"/>
      <c r="I830" s="83"/>
      <c r="J830" s="83"/>
      <c r="K830" s="83"/>
      <c r="L830" s="83"/>
      <c r="M830" s="83"/>
      <c r="N830" s="83"/>
      <c r="O830" s="83"/>
      <c r="P830" s="83"/>
      <c r="Q830" s="83"/>
    </row>
    <row r="831" spans="1:17" x14ac:dyDescent="0.2">
      <c r="A831" s="16"/>
      <c r="B831" s="83"/>
      <c r="C831" s="35"/>
      <c r="D831" s="36"/>
      <c r="E831" s="83"/>
      <c r="F831" s="83"/>
      <c r="G831" s="83"/>
      <c r="H831" s="83"/>
      <c r="I831" s="83"/>
      <c r="J831" s="83"/>
      <c r="K831" s="83"/>
      <c r="L831" s="83"/>
      <c r="M831" s="83"/>
      <c r="N831" s="83"/>
      <c r="O831" s="83"/>
      <c r="P831" s="83"/>
      <c r="Q831" s="83"/>
    </row>
    <row r="832" spans="1:17" x14ac:dyDescent="0.2">
      <c r="A832" s="16"/>
      <c r="B832" s="83"/>
      <c r="C832" s="35"/>
      <c r="D832" s="36"/>
      <c r="E832" s="83"/>
      <c r="F832" s="83"/>
      <c r="G832" s="83"/>
      <c r="H832" s="83"/>
      <c r="I832" s="83"/>
      <c r="J832" s="83"/>
      <c r="K832" s="83"/>
      <c r="L832" s="83"/>
      <c r="M832" s="83"/>
      <c r="N832" s="83"/>
      <c r="O832" s="83"/>
      <c r="P832" s="83"/>
      <c r="Q832" s="83"/>
    </row>
    <row r="833" spans="1:17" x14ac:dyDescent="0.2">
      <c r="A833" s="16"/>
      <c r="B833" s="83"/>
      <c r="C833" s="35"/>
      <c r="D833" s="36"/>
      <c r="E833" s="83"/>
      <c r="F833" s="83"/>
      <c r="G833" s="83"/>
      <c r="H833" s="83"/>
      <c r="I833" s="83"/>
      <c r="J833" s="83"/>
      <c r="K833" s="83"/>
      <c r="L833" s="83"/>
      <c r="M833" s="83"/>
      <c r="N833" s="83"/>
      <c r="O833" s="83"/>
      <c r="P833" s="83"/>
      <c r="Q833" s="83"/>
    </row>
    <row r="834" spans="1:17" x14ac:dyDescent="0.2">
      <c r="A834" s="16"/>
      <c r="B834" s="83"/>
      <c r="C834" s="35"/>
      <c r="D834" s="36"/>
      <c r="E834" s="83"/>
      <c r="F834" s="83"/>
      <c r="G834" s="83"/>
      <c r="H834" s="83"/>
      <c r="I834" s="83"/>
      <c r="J834" s="83"/>
      <c r="K834" s="83"/>
      <c r="L834" s="83"/>
      <c r="M834" s="83"/>
      <c r="N834" s="83"/>
      <c r="O834" s="83"/>
      <c r="P834" s="83"/>
      <c r="Q834" s="83"/>
    </row>
    <row r="835" spans="1:17" x14ac:dyDescent="0.2">
      <c r="A835" s="16"/>
      <c r="B835" s="83"/>
      <c r="C835" s="35"/>
      <c r="D835" s="36"/>
      <c r="E835" s="83"/>
      <c r="F835" s="83"/>
      <c r="G835" s="83"/>
      <c r="H835" s="83"/>
      <c r="I835" s="83"/>
      <c r="J835" s="83"/>
      <c r="K835" s="83"/>
      <c r="L835" s="83"/>
      <c r="M835" s="83"/>
      <c r="N835" s="83"/>
      <c r="O835" s="83"/>
      <c r="P835" s="83"/>
      <c r="Q835" s="83"/>
    </row>
    <row r="836" spans="1:17" x14ac:dyDescent="0.2">
      <c r="A836" s="16"/>
      <c r="B836" s="83"/>
      <c r="C836" s="35"/>
      <c r="D836" s="36"/>
      <c r="E836" s="83"/>
      <c r="F836" s="83"/>
      <c r="G836" s="83"/>
      <c r="H836" s="83"/>
      <c r="I836" s="83"/>
      <c r="J836" s="83"/>
      <c r="K836" s="83"/>
      <c r="L836" s="83"/>
      <c r="M836" s="83"/>
      <c r="N836" s="83"/>
      <c r="O836" s="83"/>
      <c r="P836" s="83"/>
      <c r="Q836" s="83"/>
    </row>
    <row r="837" spans="1:17" x14ac:dyDescent="0.2">
      <c r="A837" s="16"/>
      <c r="B837" s="83"/>
      <c r="C837" s="35"/>
      <c r="D837" s="36"/>
      <c r="E837" s="83"/>
      <c r="F837" s="83"/>
      <c r="G837" s="83"/>
      <c r="H837" s="83"/>
      <c r="I837" s="83"/>
      <c r="J837" s="83"/>
      <c r="K837" s="83"/>
      <c r="L837" s="83"/>
      <c r="M837" s="83"/>
      <c r="N837" s="83"/>
      <c r="O837" s="83"/>
      <c r="P837" s="83"/>
      <c r="Q837" s="83"/>
    </row>
    <row r="838" spans="1:17" x14ac:dyDescent="0.2">
      <c r="A838" s="16"/>
      <c r="B838" s="83"/>
      <c r="C838" s="35"/>
      <c r="D838" s="36"/>
      <c r="E838" s="83"/>
      <c r="F838" s="83"/>
      <c r="G838" s="83"/>
      <c r="H838" s="83"/>
      <c r="I838" s="83"/>
      <c r="J838" s="83"/>
      <c r="K838" s="83"/>
      <c r="L838" s="83"/>
      <c r="M838" s="83"/>
      <c r="N838" s="83"/>
      <c r="O838" s="83"/>
      <c r="P838" s="83"/>
      <c r="Q838" s="83"/>
    </row>
    <row r="839" spans="1:17" x14ac:dyDescent="0.2">
      <c r="A839" s="16"/>
      <c r="B839" s="83"/>
      <c r="C839" s="35"/>
      <c r="D839" s="36"/>
      <c r="E839" s="83"/>
      <c r="F839" s="83"/>
      <c r="G839" s="83"/>
      <c r="H839" s="83"/>
      <c r="I839" s="83"/>
      <c r="J839" s="83"/>
      <c r="K839" s="83"/>
      <c r="L839" s="83"/>
      <c r="M839" s="83"/>
      <c r="N839" s="83"/>
      <c r="O839" s="83"/>
      <c r="P839" s="83"/>
      <c r="Q839" s="83"/>
    </row>
    <row r="840" spans="1:17" x14ac:dyDescent="0.2">
      <c r="A840" s="16"/>
      <c r="B840" s="83"/>
      <c r="C840" s="35"/>
      <c r="D840" s="36"/>
      <c r="E840" s="83"/>
      <c r="F840" s="83"/>
      <c r="G840" s="83"/>
      <c r="H840" s="83"/>
      <c r="I840" s="83"/>
      <c r="J840" s="83"/>
      <c r="K840" s="83"/>
      <c r="L840" s="83"/>
      <c r="M840" s="83"/>
      <c r="N840" s="83"/>
      <c r="O840" s="83"/>
      <c r="P840" s="83"/>
      <c r="Q840" s="83"/>
    </row>
    <row r="841" spans="1:17" x14ac:dyDescent="0.2">
      <c r="A841" s="16"/>
      <c r="B841" s="83"/>
      <c r="C841" s="35"/>
      <c r="D841" s="36"/>
      <c r="E841" s="83"/>
      <c r="F841" s="83"/>
      <c r="G841" s="83"/>
      <c r="H841" s="83"/>
      <c r="I841" s="83"/>
      <c r="J841" s="83"/>
      <c r="K841" s="83"/>
      <c r="L841" s="83"/>
      <c r="M841" s="83"/>
      <c r="N841" s="83"/>
      <c r="O841" s="83"/>
      <c r="P841" s="83"/>
      <c r="Q841" s="83"/>
    </row>
    <row r="842" spans="1:17" x14ac:dyDescent="0.2">
      <c r="A842" s="16"/>
      <c r="B842" s="83"/>
      <c r="C842" s="35"/>
      <c r="D842" s="36"/>
      <c r="E842" s="83"/>
      <c r="F842" s="83"/>
      <c r="G842" s="83"/>
      <c r="H842" s="83"/>
      <c r="I842" s="83"/>
      <c r="J842" s="83"/>
      <c r="K842" s="83"/>
      <c r="L842" s="83"/>
      <c r="M842" s="83"/>
      <c r="N842" s="83"/>
      <c r="O842" s="83"/>
      <c r="P842" s="83"/>
      <c r="Q842" s="83"/>
    </row>
    <row r="843" spans="1:17" x14ac:dyDescent="0.2">
      <c r="A843" s="16"/>
      <c r="B843" s="83"/>
      <c r="C843" s="35"/>
      <c r="D843" s="36"/>
      <c r="E843" s="83"/>
      <c r="F843" s="83"/>
      <c r="G843" s="83"/>
      <c r="H843" s="83"/>
      <c r="I843" s="83"/>
      <c r="J843" s="83"/>
      <c r="K843" s="83"/>
      <c r="L843" s="83"/>
      <c r="M843" s="83"/>
      <c r="N843" s="83"/>
      <c r="O843" s="83"/>
      <c r="P843" s="83"/>
      <c r="Q843" s="83"/>
    </row>
    <row r="844" spans="1:17" x14ac:dyDescent="0.2">
      <c r="A844" s="16"/>
      <c r="B844" s="83"/>
      <c r="C844" s="35"/>
      <c r="D844" s="36"/>
      <c r="E844" s="83"/>
      <c r="F844" s="83"/>
      <c r="G844" s="83"/>
      <c r="H844" s="83"/>
      <c r="I844" s="83"/>
      <c r="J844" s="83"/>
      <c r="K844" s="83"/>
      <c r="L844" s="83"/>
      <c r="M844" s="83"/>
      <c r="N844" s="83"/>
      <c r="O844" s="83"/>
      <c r="P844" s="83"/>
      <c r="Q844" s="83"/>
    </row>
    <row r="845" spans="1:17" x14ac:dyDescent="0.2">
      <c r="A845" s="16"/>
      <c r="B845" s="83"/>
      <c r="C845" s="35"/>
      <c r="D845" s="36"/>
      <c r="E845" s="83"/>
      <c r="F845" s="83"/>
      <c r="G845" s="83"/>
      <c r="H845" s="83"/>
      <c r="I845" s="83"/>
      <c r="J845" s="83"/>
      <c r="K845" s="83"/>
      <c r="L845" s="83"/>
      <c r="M845" s="83"/>
      <c r="N845" s="83"/>
      <c r="O845" s="83"/>
      <c r="P845" s="83"/>
      <c r="Q845" s="83"/>
    </row>
    <row r="846" spans="1:17" x14ac:dyDescent="0.2">
      <c r="A846" s="16"/>
      <c r="B846" s="83"/>
      <c r="C846" s="35"/>
      <c r="D846" s="36"/>
      <c r="E846" s="83"/>
      <c r="F846" s="83"/>
      <c r="G846" s="83"/>
      <c r="H846" s="83"/>
      <c r="I846" s="83"/>
      <c r="J846" s="83"/>
      <c r="K846" s="83"/>
      <c r="L846" s="83"/>
      <c r="M846" s="83"/>
      <c r="N846" s="83"/>
      <c r="O846" s="83"/>
      <c r="P846" s="83"/>
      <c r="Q846" s="83"/>
    </row>
    <row r="847" spans="1:17" x14ac:dyDescent="0.2">
      <c r="A847" s="16"/>
      <c r="B847" s="83"/>
      <c r="C847" s="35"/>
      <c r="D847" s="36"/>
      <c r="E847" s="83"/>
      <c r="F847" s="83"/>
      <c r="G847" s="83"/>
      <c r="H847" s="83"/>
      <c r="I847" s="83"/>
      <c r="J847" s="83"/>
      <c r="K847" s="83"/>
      <c r="L847" s="83"/>
      <c r="M847" s="83"/>
      <c r="N847" s="83"/>
      <c r="O847" s="83"/>
      <c r="P847" s="83"/>
      <c r="Q847" s="83"/>
    </row>
    <row r="848" spans="1:17" x14ac:dyDescent="0.2">
      <c r="A848" s="16"/>
      <c r="B848" s="83"/>
      <c r="C848" s="35"/>
      <c r="D848" s="36"/>
      <c r="E848" s="83"/>
      <c r="F848" s="83"/>
      <c r="G848" s="83"/>
      <c r="H848" s="83"/>
      <c r="I848" s="83"/>
      <c r="J848" s="83"/>
      <c r="K848" s="83"/>
      <c r="L848" s="83"/>
      <c r="M848" s="83"/>
      <c r="N848" s="83"/>
      <c r="O848" s="83"/>
      <c r="P848" s="83"/>
      <c r="Q848" s="83"/>
    </row>
    <row r="849" spans="1:17" x14ac:dyDescent="0.2">
      <c r="A849" s="16"/>
      <c r="B849" s="83"/>
      <c r="C849" s="35"/>
      <c r="D849" s="36"/>
      <c r="E849" s="83"/>
      <c r="F849" s="83"/>
      <c r="G849" s="83"/>
      <c r="H849" s="83"/>
      <c r="I849" s="83"/>
      <c r="J849" s="83"/>
      <c r="K849" s="83"/>
      <c r="L849" s="83"/>
      <c r="M849" s="83"/>
      <c r="N849" s="83"/>
      <c r="O849" s="83"/>
      <c r="P849" s="83"/>
      <c r="Q849" s="83"/>
    </row>
    <row r="850" spans="1:17" x14ac:dyDescent="0.2">
      <c r="A850" s="16"/>
      <c r="B850" s="83"/>
      <c r="C850" s="35"/>
      <c r="D850" s="36"/>
      <c r="E850" s="83"/>
      <c r="F850" s="83"/>
      <c r="G850" s="83"/>
      <c r="H850" s="83"/>
      <c r="I850" s="83"/>
      <c r="J850" s="83"/>
      <c r="K850" s="83"/>
      <c r="L850" s="83"/>
      <c r="M850" s="83"/>
      <c r="N850" s="83"/>
      <c r="O850" s="83"/>
      <c r="P850" s="83"/>
      <c r="Q850" s="83"/>
    </row>
    <row r="851" spans="1:17" x14ac:dyDescent="0.2">
      <c r="A851" s="16"/>
      <c r="B851" s="83"/>
      <c r="C851" s="35"/>
      <c r="D851" s="36"/>
      <c r="E851" s="83"/>
      <c r="F851" s="83"/>
      <c r="G851" s="83"/>
      <c r="H851" s="83"/>
      <c r="I851" s="83"/>
      <c r="J851" s="83"/>
      <c r="K851" s="83"/>
      <c r="L851" s="83"/>
      <c r="M851" s="83"/>
      <c r="N851" s="83"/>
      <c r="O851" s="83"/>
      <c r="P851" s="83"/>
      <c r="Q851" s="83"/>
    </row>
    <row r="852" spans="1:17" x14ac:dyDescent="0.2">
      <c r="A852" s="16"/>
      <c r="B852" s="83"/>
      <c r="C852" s="35"/>
      <c r="D852" s="36"/>
      <c r="E852" s="83"/>
      <c r="F852" s="83"/>
      <c r="G852" s="83"/>
      <c r="H852" s="83"/>
      <c r="I852" s="83"/>
      <c r="J852" s="83"/>
      <c r="K852" s="83"/>
      <c r="L852" s="83"/>
      <c r="M852" s="83"/>
      <c r="N852" s="83"/>
      <c r="O852" s="83"/>
      <c r="P852" s="83"/>
      <c r="Q852" s="83"/>
    </row>
    <row r="853" spans="1:17" x14ac:dyDescent="0.2">
      <c r="A853" s="16"/>
      <c r="B853" s="83"/>
      <c r="C853" s="35"/>
      <c r="D853" s="36"/>
      <c r="E853" s="83"/>
      <c r="F853" s="83"/>
      <c r="G853" s="83"/>
      <c r="H853" s="83"/>
      <c r="I853" s="83"/>
      <c r="J853" s="83"/>
      <c r="K853" s="83"/>
      <c r="L853" s="83"/>
      <c r="M853" s="83"/>
      <c r="N853" s="83"/>
      <c r="O853" s="83"/>
      <c r="P853" s="83"/>
      <c r="Q853" s="83"/>
    </row>
    <row r="854" spans="1:17" x14ac:dyDescent="0.2">
      <c r="A854" s="16"/>
      <c r="B854" s="83"/>
      <c r="C854" s="35"/>
      <c r="D854" s="36"/>
      <c r="E854" s="83"/>
      <c r="F854" s="83"/>
      <c r="G854" s="83"/>
      <c r="H854" s="83"/>
      <c r="I854" s="83"/>
      <c r="J854" s="83"/>
      <c r="K854" s="83"/>
      <c r="L854" s="83"/>
      <c r="M854" s="83"/>
      <c r="N854" s="83"/>
      <c r="O854" s="83"/>
      <c r="P854" s="83"/>
      <c r="Q854" s="83"/>
    </row>
    <row r="855" spans="1:17" x14ac:dyDescent="0.2">
      <c r="A855" s="16"/>
      <c r="B855" s="83"/>
      <c r="C855" s="35"/>
      <c r="D855" s="36"/>
      <c r="E855" s="83"/>
      <c r="F855" s="83"/>
      <c r="G855" s="83"/>
      <c r="H855" s="83"/>
      <c r="I855" s="83"/>
      <c r="J855" s="83"/>
      <c r="K855" s="83"/>
      <c r="L855" s="83"/>
      <c r="M855" s="83"/>
      <c r="N855" s="83"/>
      <c r="O855" s="83"/>
      <c r="P855" s="83"/>
      <c r="Q855" s="83"/>
    </row>
    <row r="856" spans="1:17" x14ac:dyDescent="0.2">
      <c r="A856" s="16"/>
      <c r="B856" s="83"/>
      <c r="C856" s="35"/>
      <c r="D856" s="36"/>
      <c r="E856" s="83"/>
      <c r="F856" s="83"/>
      <c r="G856" s="83"/>
      <c r="H856" s="83"/>
      <c r="I856" s="83"/>
      <c r="J856" s="83"/>
      <c r="K856" s="83"/>
      <c r="L856" s="83"/>
      <c r="M856" s="83"/>
      <c r="N856" s="83"/>
      <c r="O856" s="83"/>
      <c r="P856" s="83"/>
      <c r="Q856" s="83"/>
    </row>
    <row r="857" spans="1:17" x14ac:dyDescent="0.2">
      <c r="A857" s="16"/>
      <c r="B857" s="83"/>
      <c r="C857" s="35"/>
      <c r="D857" s="36"/>
      <c r="E857" s="83"/>
      <c r="F857" s="83"/>
      <c r="G857" s="83"/>
      <c r="H857" s="83"/>
      <c r="I857" s="83"/>
      <c r="J857" s="83"/>
      <c r="K857" s="83"/>
      <c r="L857" s="83"/>
      <c r="M857" s="83"/>
      <c r="N857" s="83"/>
      <c r="O857" s="83"/>
      <c r="P857" s="83"/>
      <c r="Q857" s="83"/>
    </row>
    <row r="858" spans="1:17" x14ac:dyDescent="0.2">
      <c r="A858" s="16"/>
      <c r="B858" s="83"/>
      <c r="C858" s="35"/>
      <c r="D858" s="36"/>
      <c r="E858" s="83"/>
      <c r="F858" s="83"/>
      <c r="G858" s="83"/>
      <c r="H858" s="83"/>
      <c r="I858" s="83"/>
      <c r="J858" s="83"/>
      <c r="K858" s="83"/>
      <c r="L858" s="83"/>
      <c r="M858" s="83"/>
      <c r="N858" s="83"/>
      <c r="O858" s="83"/>
      <c r="P858" s="83"/>
      <c r="Q858" s="83"/>
    </row>
    <row r="859" spans="1:17" x14ac:dyDescent="0.2">
      <c r="A859" s="16"/>
      <c r="B859" s="83"/>
      <c r="C859" s="35"/>
      <c r="D859" s="36"/>
      <c r="E859" s="83"/>
      <c r="F859" s="83"/>
      <c r="G859" s="83"/>
      <c r="H859" s="83"/>
      <c r="I859" s="83"/>
      <c r="J859" s="83"/>
      <c r="K859" s="83"/>
      <c r="L859" s="83"/>
      <c r="M859" s="83"/>
      <c r="N859" s="83"/>
      <c r="O859" s="83"/>
      <c r="P859" s="83"/>
      <c r="Q859" s="83"/>
    </row>
    <row r="860" spans="1:17" x14ac:dyDescent="0.2">
      <c r="A860" s="16"/>
      <c r="B860" s="83"/>
      <c r="C860" s="35"/>
      <c r="D860" s="36"/>
      <c r="E860" s="83"/>
      <c r="F860" s="83"/>
      <c r="G860" s="83"/>
      <c r="H860" s="83"/>
      <c r="I860" s="83"/>
      <c r="J860" s="83"/>
      <c r="K860" s="83"/>
      <c r="L860" s="83"/>
      <c r="M860" s="83"/>
      <c r="N860" s="83"/>
      <c r="O860" s="83"/>
      <c r="P860" s="83"/>
      <c r="Q860" s="83"/>
    </row>
    <row r="861" spans="1:17" x14ac:dyDescent="0.2">
      <c r="A861" s="16"/>
      <c r="B861" s="83"/>
      <c r="C861" s="35"/>
      <c r="D861" s="36"/>
      <c r="E861" s="83"/>
      <c r="F861" s="83"/>
      <c r="G861" s="83"/>
      <c r="H861" s="83"/>
      <c r="I861" s="83"/>
      <c r="J861" s="83"/>
      <c r="K861" s="83"/>
      <c r="L861" s="83"/>
      <c r="M861" s="83"/>
      <c r="N861" s="83"/>
      <c r="O861" s="83"/>
      <c r="P861" s="83"/>
      <c r="Q861" s="83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 tint="0.59999389629810485"/>
  </sheetPr>
  <dimension ref="A1:DY1001"/>
  <sheetViews>
    <sheetView zoomScale="130" zoomScaleNormal="130" workbookViewId="0">
      <pane ySplit="4" topLeftCell="A336" activePane="bottomLeft" state="frozen"/>
      <selection pane="bottomLeft" activeCell="AE366" sqref="AE366"/>
    </sheetView>
  </sheetViews>
  <sheetFormatPr baseColWidth="10" defaultColWidth="8.83203125" defaultRowHeight="15" x14ac:dyDescent="0.2"/>
  <cols>
    <col min="1" max="1" width="14.1640625" style="1" customWidth="1"/>
    <col min="2" max="2" width="12.6640625" style="75" bestFit="1" customWidth="1"/>
    <col min="3" max="4" width="11.6640625" style="9" customWidth="1"/>
    <col min="5" max="129" width="9.1640625" style="83" customWidth="1"/>
  </cols>
  <sheetData>
    <row r="1" spans="1:129" s="26" customFormat="1" x14ac:dyDescent="0.2">
      <c r="A1" s="34" t="s">
        <v>577</v>
      </c>
      <c r="C1" s="30"/>
      <c r="D1" s="30"/>
      <c r="E1" s="27"/>
      <c r="F1" s="27"/>
      <c r="G1" s="29" t="str">
        <f>VLOOKUP(O1,Note!O:P,2,)</f>
        <v>France</v>
      </c>
      <c r="H1" s="27"/>
      <c r="I1" s="27"/>
      <c r="J1" s="27"/>
      <c r="K1" s="27"/>
      <c r="L1" s="27"/>
      <c r="M1" s="27"/>
      <c r="N1" s="27"/>
      <c r="O1" s="31" t="str">
        <f>Table13456789101112131415161734[[#Headers],[FRA]]</f>
        <v>FRA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</row>
    <row r="2" spans="1:129" s="26" customFormat="1" x14ac:dyDescent="0.2">
      <c r="A2" s="33" t="s">
        <v>578</v>
      </c>
      <c r="B2" s="29"/>
      <c r="C2" s="30"/>
      <c r="D2" s="30"/>
      <c r="E2" s="27"/>
      <c r="F2" s="27"/>
      <c r="G2" s="29" t="str">
        <f>G1&amp;" Industrial Production mom"</f>
        <v>France Industrial Production mom</v>
      </c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7"/>
      <c r="DU2" s="27"/>
      <c r="DV2" s="27"/>
      <c r="DW2" s="27"/>
      <c r="DX2" s="27"/>
      <c r="DY2" s="27"/>
    </row>
    <row r="3" spans="1:129" s="26" customFormat="1" x14ac:dyDescent="0.2">
      <c r="A3" s="28"/>
      <c r="B3" s="29"/>
      <c r="C3" s="30"/>
      <c r="D3" s="30"/>
      <c r="E3" s="27"/>
      <c r="F3" s="27"/>
      <c r="G3" s="29" t="str">
        <f>G1&amp;" Industrial Production yoy"</f>
        <v>France Industrial Production yoy</v>
      </c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  <c r="BE3" s="27"/>
      <c r="BF3" s="27"/>
      <c r="BG3" s="27"/>
      <c r="BH3" s="27"/>
      <c r="BI3" s="27"/>
      <c r="BJ3" s="27"/>
      <c r="BK3" s="27"/>
      <c r="BL3" s="27"/>
      <c r="BM3" s="27"/>
      <c r="BN3" s="27"/>
      <c r="BO3" s="27"/>
      <c r="BP3" s="27"/>
      <c r="BQ3" s="27"/>
      <c r="BR3" s="27"/>
      <c r="BS3" s="27"/>
      <c r="BT3" s="27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27"/>
      <c r="CI3" s="27"/>
      <c r="CJ3" s="27"/>
      <c r="CK3" s="27"/>
      <c r="CL3" s="27"/>
      <c r="CM3" s="27"/>
      <c r="CN3" s="27"/>
      <c r="CO3" s="27"/>
      <c r="CP3" s="27"/>
      <c r="CQ3" s="27"/>
      <c r="CR3" s="27"/>
      <c r="CS3" s="27"/>
      <c r="CT3" s="27"/>
      <c r="CU3" s="27"/>
      <c r="CV3" s="27"/>
      <c r="CW3" s="27"/>
      <c r="CX3" s="27"/>
      <c r="CY3" s="27"/>
      <c r="CZ3" s="27"/>
      <c r="DA3" s="27"/>
      <c r="DB3" s="27"/>
      <c r="DC3" s="27"/>
      <c r="DD3" s="27"/>
      <c r="DE3" s="27"/>
      <c r="DF3" s="27"/>
      <c r="DG3" s="27"/>
      <c r="DH3" s="27"/>
      <c r="DI3" s="27"/>
      <c r="DJ3" s="27"/>
      <c r="DK3" s="27"/>
      <c r="DL3" s="27"/>
      <c r="DM3" s="27"/>
      <c r="DN3" s="27"/>
      <c r="DO3" s="27"/>
      <c r="DP3" s="27"/>
      <c r="DQ3" s="27"/>
      <c r="DR3" s="27"/>
      <c r="DS3" s="27"/>
      <c r="DT3" s="27"/>
      <c r="DU3" s="27"/>
      <c r="DV3" s="27"/>
      <c r="DW3" s="27"/>
      <c r="DX3" s="27"/>
      <c r="DY3" s="27"/>
    </row>
    <row r="4" spans="1:129" x14ac:dyDescent="0.2">
      <c r="A4" s="24" t="s">
        <v>496</v>
      </c>
      <c r="B4" s="32" t="s">
        <v>158</v>
      </c>
      <c r="C4" s="25" t="s">
        <v>579</v>
      </c>
      <c r="D4" s="25" t="s">
        <v>580</v>
      </c>
      <c r="G4" s="29" t="str">
        <f>G1&amp;" Industrial Production"</f>
        <v>France Industrial Production</v>
      </c>
    </row>
    <row r="5" spans="1:129" x14ac:dyDescent="0.2">
      <c r="A5" s="21">
        <v>33208</v>
      </c>
      <c r="B5" s="79">
        <f>VLOOKUP(A5,Database!$A:$AS,MATCH($B$4,Database!$A$1:$AS$1,0),FALSE)</f>
        <v>91.59</v>
      </c>
      <c r="C5" s="22"/>
      <c r="D5" s="23"/>
    </row>
    <row r="6" spans="1:129" x14ac:dyDescent="0.2">
      <c r="A6" s="21">
        <v>33239</v>
      </c>
      <c r="B6" s="79">
        <f>VLOOKUP(A6,Database!$A:$AS,MATCH($B$4,Database!$A$1:$AS$1,0),FALSE)</f>
        <v>92.76</v>
      </c>
      <c r="C6" s="22">
        <f>(Table13456789101112131415161734[[#This Row],[FRA]]-B5)/B5</f>
        <v>1.277432034064856E-2</v>
      </c>
      <c r="D6" s="23"/>
    </row>
    <row r="7" spans="1:129" x14ac:dyDescent="0.2">
      <c r="A7" s="21">
        <v>33270</v>
      </c>
      <c r="B7" s="79">
        <f>VLOOKUP(A7,Database!$A:$AS,MATCH($B$4,Database!$A$1:$AS$1,0),FALSE)</f>
        <v>92.38</v>
      </c>
      <c r="C7" s="22">
        <f>(Table13456789101112131415161734[[#This Row],[FRA]]-B6)/B6</f>
        <v>-4.0965933592066583E-3</v>
      </c>
      <c r="D7" s="23"/>
    </row>
    <row r="8" spans="1:129" x14ac:dyDescent="0.2">
      <c r="A8" s="21">
        <v>33298</v>
      </c>
      <c r="B8" s="79">
        <f>VLOOKUP(A8,Database!$A:$AS,MATCH($B$4,Database!$A$1:$AS$1,0),FALSE)</f>
        <v>91.22</v>
      </c>
      <c r="C8" s="22">
        <f>(Table13456789101112131415161734[[#This Row],[FRA]]-B7)/B7</f>
        <v>-1.2556830482788446E-2</v>
      </c>
      <c r="D8" s="23"/>
    </row>
    <row r="9" spans="1:129" x14ac:dyDescent="0.2">
      <c r="A9" s="21">
        <v>33329</v>
      </c>
      <c r="B9" s="79">
        <f>VLOOKUP(A9,Database!$A:$AS,MATCH($B$4,Database!$A$1:$AS$1,0),FALSE)</f>
        <v>91.19</v>
      </c>
      <c r="C9" s="22">
        <f>(Table13456789101112131415161734[[#This Row],[FRA]]-B8)/B8</f>
        <v>-3.2887524665644745E-4</v>
      </c>
      <c r="D9" s="23"/>
    </row>
    <row r="10" spans="1:129" x14ac:dyDescent="0.2">
      <c r="A10" s="21">
        <v>33359</v>
      </c>
      <c r="B10" s="79">
        <f>VLOOKUP(A10,Database!$A:$AS,MATCH($B$4,Database!$A$1:$AS$1,0),FALSE)</f>
        <v>91.33</v>
      </c>
      <c r="C10" s="22">
        <f>(Table13456789101112131415161734[[#This Row],[FRA]]-B9)/B9</f>
        <v>1.5352560587783811E-3</v>
      </c>
      <c r="D10" s="23"/>
    </row>
    <row r="11" spans="1:129" x14ac:dyDescent="0.2">
      <c r="A11" s="21">
        <v>33390</v>
      </c>
      <c r="B11" s="79">
        <f>VLOOKUP(A11,Database!$A:$AS,MATCH($B$4,Database!$A$1:$AS$1,0),FALSE)</f>
        <v>91.69</v>
      </c>
      <c r="C11" s="22">
        <f>(Table13456789101112131415161734[[#This Row],[FRA]]-B10)/B10</f>
        <v>3.9417496988941141E-3</v>
      </c>
      <c r="D11" s="23"/>
    </row>
    <row r="12" spans="1:129" x14ac:dyDescent="0.2">
      <c r="A12" s="21">
        <v>33420</v>
      </c>
      <c r="B12" s="79">
        <f>VLOOKUP(A12,Database!$A:$AS,MATCH($B$4,Database!$A$1:$AS$1,0),FALSE)</f>
        <v>90.15</v>
      </c>
      <c r="C12" s="22">
        <f>(Table13456789101112131415161734[[#This Row],[FRA]]-B11)/B11</f>
        <v>-1.6795724724615466E-2</v>
      </c>
      <c r="D12" s="23"/>
    </row>
    <row r="13" spans="1:129" x14ac:dyDescent="0.2">
      <c r="A13" s="21">
        <v>33451</v>
      </c>
      <c r="B13" s="79">
        <f>VLOOKUP(A13,Database!$A:$AS,MATCH($B$4,Database!$A$1:$AS$1,0),FALSE)</f>
        <v>91.06</v>
      </c>
      <c r="C13" s="22">
        <f>(Table13456789101112131415161734[[#This Row],[FRA]]-B12)/B12</f>
        <v>1.0094287298946162E-2</v>
      </c>
      <c r="D13" s="23"/>
    </row>
    <row r="14" spans="1:129" x14ac:dyDescent="0.2">
      <c r="A14" s="21">
        <v>33482</v>
      </c>
      <c r="B14" s="79">
        <f>VLOOKUP(A14,Database!$A:$AS,MATCH($B$4,Database!$A$1:$AS$1,0),FALSE)</f>
        <v>91.38</v>
      </c>
      <c r="C14" s="22">
        <f>(Table13456789101112131415161734[[#This Row],[FRA]]-B13)/B13</f>
        <v>3.5141664836370874E-3</v>
      </c>
      <c r="D14" s="23"/>
    </row>
    <row r="15" spans="1:129" x14ac:dyDescent="0.2">
      <c r="A15" s="21">
        <v>33512</v>
      </c>
      <c r="B15" s="79">
        <f>VLOOKUP(A15,Database!$A:$AS,MATCH($B$4,Database!$A$1:$AS$1,0),FALSE)</f>
        <v>90.97</v>
      </c>
      <c r="C15" s="22">
        <f>(Table13456789101112131415161734[[#This Row],[FRA]]-B14)/B14</f>
        <v>-4.4867585905011666E-3</v>
      </c>
      <c r="D15" s="23"/>
    </row>
    <row r="16" spans="1:129" x14ac:dyDescent="0.2">
      <c r="A16" s="21">
        <v>33543</v>
      </c>
      <c r="B16" s="79">
        <f>VLOOKUP(A16,Database!$A:$AS,MATCH($B$4,Database!$A$1:$AS$1,0),FALSE)</f>
        <v>92.41</v>
      </c>
      <c r="C16" s="22">
        <f>(Table13456789101112131415161734[[#This Row],[FRA]]-B15)/B15</f>
        <v>1.5829394305815078E-2</v>
      </c>
      <c r="D16" s="23"/>
    </row>
    <row r="17" spans="1:4" x14ac:dyDescent="0.2">
      <c r="A17" s="21">
        <v>33573</v>
      </c>
      <c r="B17" s="79">
        <f>VLOOKUP(A17,Database!$A:$AS,MATCH($B$4,Database!$A$1:$AS$1,0),FALSE)</f>
        <v>91.58</v>
      </c>
      <c r="C17" s="22">
        <f>(Table13456789101112131415161734[[#This Row],[FRA]]-B16)/B16</f>
        <v>-8.9817119359376502E-3</v>
      </c>
      <c r="D17" s="23">
        <f>(Table13456789101112131415161734[[#This Row],[FRA]]-B5)/B5</f>
        <v>-1.0918222513380408E-4</v>
      </c>
    </row>
    <row r="18" spans="1:4" x14ac:dyDescent="0.2">
      <c r="A18" s="21">
        <v>33604</v>
      </c>
      <c r="B18" s="79">
        <f>VLOOKUP(A18,Database!$A:$AS,MATCH($B$4,Database!$A$1:$AS$1,0),FALSE)</f>
        <v>91.83</v>
      </c>
      <c r="C18" s="22">
        <f>(Table13456789101112131415161734[[#This Row],[FRA]]-B17)/B17</f>
        <v>2.7298536798427606E-3</v>
      </c>
      <c r="D18" s="23">
        <f>(Table13456789101112131415161734[[#This Row],[FRA]]-B6)/B6</f>
        <v>-1.0025873221216114E-2</v>
      </c>
    </row>
    <row r="19" spans="1:4" x14ac:dyDescent="0.2">
      <c r="A19" s="21">
        <v>33635</v>
      </c>
      <c r="B19" s="79">
        <f>VLOOKUP(A19,Database!$A:$AS,MATCH($B$4,Database!$A$1:$AS$1,0),FALSE)</f>
        <v>91.12</v>
      </c>
      <c r="C19" s="22">
        <f>(Table13456789101112131415161734[[#This Row],[FRA]]-B18)/B18</f>
        <v>-7.7316781008384379E-3</v>
      </c>
      <c r="D19" s="23">
        <f>(Table13456789101112131415161734[[#This Row],[FRA]]-B7)/B7</f>
        <v>-1.3639315869235667E-2</v>
      </c>
    </row>
    <row r="20" spans="1:4" x14ac:dyDescent="0.2">
      <c r="A20" s="21">
        <v>33664</v>
      </c>
      <c r="B20" s="79">
        <f>VLOOKUP(A20,Database!$A:$AS,MATCH($B$4,Database!$A$1:$AS$1,0),FALSE)</f>
        <v>92.01</v>
      </c>
      <c r="C20" s="22">
        <f>(Table13456789101112131415161734[[#This Row],[FRA]]-B19)/B19</f>
        <v>9.7673397717295933E-3</v>
      </c>
      <c r="D20" s="23">
        <f>(Table13456789101112131415161734[[#This Row],[FRA]]-B8)/B8</f>
        <v>8.6603814952861905E-3</v>
      </c>
    </row>
    <row r="21" spans="1:4" x14ac:dyDescent="0.2">
      <c r="A21" s="21">
        <v>33695</v>
      </c>
      <c r="B21" s="79">
        <f>VLOOKUP(A21,Database!$A:$AS,MATCH($B$4,Database!$A$1:$AS$1,0),FALSE)</f>
        <v>91.34</v>
      </c>
      <c r="C21" s="22">
        <f>(Table13456789101112131415161734[[#This Row],[FRA]]-B20)/B20</f>
        <v>-7.2818171937833022E-3</v>
      </c>
      <c r="D21" s="23">
        <f>(Table13456789101112131415161734[[#This Row],[FRA]]-B9)/B9</f>
        <v>1.6449172058340354E-3</v>
      </c>
    </row>
    <row r="22" spans="1:4" x14ac:dyDescent="0.2">
      <c r="A22" s="21">
        <v>33725</v>
      </c>
      <c r="B22" s="79">
        <f>VLOOKUP(A22,Database!$A:$AS,MATCH($B$4,Database!$A$1:$AS$1,0),FALSE)</f>
        <v>91.36</v>
      </c>
      <c r="C22" s="22">
        <f>(Table13456789101112131415161734[[#This Row],[FRA]]-B21)/B21</f>
        <v>2.189621195532737E-4</v>
      </c>
      <c r="D22" s="23">
        <f>(Table13456789101112131415161734[[#This Row],[FRA]]-B10)/B10</f>
        <v>3.2847914157452246E-4</v>
      </c>
    </row>
    <row r="23" spans="1:4" x14ac:dyDescent="0.2">
      <c r="A23" s="21">
        <v>33756</v>
      </c>
      <c r="B23" s="79">
        <f>VLOOKUP(A23,Database!$A:$AS,MATCH($B$4,Database!$A$1:$AS$1,0),FALSE)</f>
        <v>90.27</v>
      </c>
      <c r="C23" s="22">
        <f>(Table13456789101112131415161734[[#This Row],[FRA]]-B22)/B22</f>
        <v>-1.193082311733804E-2</v>
      </c>
      <c r="D23" s="23">
        <f>(Table13456789101112131415161734[[#This Row],[FRA]]-B11)/B11</f>
        <v>-1.5486966953866307E-2</v>
      </c>
    </row>
    <row r="24" spans="1:4" x14ac:dyDescent="0.2">
      <c r="A24" s="21">
        <v>33786</v>
      </c>
      <c r="B24" s="79">
        <f>VLOOKUP(A24,Database!$A:$AS,MATCH($B$4,Database!$A$1:$AS$1,0),FALSE)</f>
        <v>89.96</v>
      </c>
      <c r="C24" s="22">
        <f>(Table13456789101112131415161734[[#This Row],[FRA]]-B23)/B23</f>
        <v>-3.4341420183893021E-3</v>
      </c>
      <c r="D24" s="23">
        <f>(Table13456789101112131415161734[[#This Row],[FRA]]-B12)/B12</f>
        <v>-2.1075984470328556E-3</v>
      </c>
    </row>
    <row r="25" spans="1:4" x14ac:dyDescent="0.2">
      <c r="A25" s="21">
        <v>33817</v>
      </c>
      <c r="B25" s="79">
        <f>VLOOKUP(A25,Database!$A:$AS,MATCH($B$4,Database!$A$1:$AS$1,0),FALSE)</f>
        <v>90.23</v>
      </c>
      <c r="C25" s="22">
        <f>(Table13456789101112131415161734[[#This Row],[FRA]]-B24)/B24</f>
        <v>3.0013339261895314E-3</v>
      </c>
      <c r="D25" s="23">
        <f>(Table13456789101112131415161734[[#This Row],[FRA]]-B13)/B13</f>
        <v>-9.1148693169338709E-3</v>
      </c>
    </row>
    <row r="26" spans="1:4" x14ac:dyDescent="0.2">
      <c r="A26" s="21">
        <v>33848</v>
      </c>
      <c r="B26" s="79">
        <f>VLOOKUP(A26,Database!$A:$AS,MATCH($B$4,Database!$A$1:$AS$1,0),FALSE)</f>
        <v>88.96</v>
      </c>
      <c r="C26" s="22">
        <f>(Table13456789101112131415161734[[#This Row],[FRA]]-B25)/B25</f>
        <v>-1.407514130555259E-2</v>
      </c>
      <c r="D26" s="23">
        <f>(Table13456789101112131415161734[[#This Row],[FRA]]-B14)/B14</f>
        <v>-2.648281899759249E-2</v>
      </c>
    </row>
    <row r="27" spans="1:4" x14ac:dyDescent="0.2">
      <c r="A27" s="21">
        <v>33878</v>
      </c>
      <c r="B27" s="79">
        <f>VLOOKUP(A27,Database!$A:$AS,MATCH($B$4,Database!$A$1:$AS$1,0),FALSE)</f>
        <v>89.9</v>
      </c>
      <c r="C27" s="22">
        <f>(Table13456789101112131415161734[[#This Row],[FRA]]-B26)/B26</f>
        <v>1.0566546762590064E-2</v>
      </c>
      <c r="D27" s="23">
        <f>(Table13456789101112131415161734[[#This Row],[FRA]]-B15)/B15</f>
        <v>-1.1762119380015314E-2</v>
      </c>
    </row>
    <row r="28" spans="1:4" x14ac:dyDescent="0.2">
      <c r="A28" s="21">
        <v>33909</v>
      </c>
      <c r="B28" s="79">
        <f>VLOOKUP(A28,Database!$A:$AS,MATCH($B$4,Database!$A$1:$AS$1,0),FALSE)</f>
        <v>88.72</v>
      </c>
      <c r="C28" s="22">
        <f>(Table13456789101112131415161734[[#This Row],[FRA]]-B27)/B27</f>
        <v>-1.312569521690775E-2</v>
      </c>
      <c r="D28" s="23">
        <f>(Table13456789101112131415161734[[#This Row],[FRA]]-B16)/B16</f>
        <v>-3.9930743426036121E-2</v>
      </c>
    </row>
    <row r="29" spans="1:4" x14ac:dyDescent="0.2">
      <c r="A29" s="21">
        <v>33939</v>
      </c>
      <c r="B29" s="79">
        <f>VLOOKUP(A29,Database!$A:$AS,MATCH($B$4,Database!$A$1:$AS$1,0),FALSE)</f>
        <v>87.54</v>
      </c>
      <c r="C29" s="22">
        <f>(Table13456789101112131415161734[[#This Row],[FRA]]-B28)/B28</f>
        <v>-1.3300270513976472E-2</v>
      </c>
      <c r="D29" s="23">
        <f>(Table13456789101112131415161734[[#This Row],[FRA]]-B17)/B17</f>
        <v>-4.4114435466258921E-2</v>
      </c>
    </row>
    <row r="30" spans="1:4" x14ac:dyDescent="0.2">
      <c r="A30" s="21">
        <v>33970</v>
      </c>
      <c r="B30" s="79">
        <f>VLOOKUP(A30,Database!$A:$AS,MATCH($B$4,Database!$A$1:$AS$1,0),FALSE)</f>
        <v>87.43</v>
      </c>
      <c r="C30" s="22">
        <f>(Table13456789101112131415161734[[#This Row],[FRA]]-B29)/B29</f>
        <v>-1.2565684258624562E-3</v>
      </c>
      <c r="D30" s="23">
        <f>(Table13456789101112131415161734[[#This Row],[FRA]]-B18)/B18</f>
        <v>-4.7914624850266707E-2</v>
      </c>
    </row>
    <row r="31" spans="1:4" x14ac:dyDescent="0.2">
      <c r="A31" s="21">
        <v>34001</v>
      </c>
      <c r="B31" s="79">
        <f>VLOOKUP(A31,Database!$A:$AS,MATCH($B$4,Database!$A$1:$AS$1,0),FALSE)</f>
        <v>87.57</v>
      </c>
      <c r="C31" s="22">
        <f>(Table13456789101112131415161734[[#This Row],[FRA]]-B30)/B30</f>
        <v>1.6012810248196997E-3</v>
      </c>
      <c r="D31" s="23">
        <f>(Table13456789101112131415161734[[#This Row],[FRA]]-B19)/B19</f>
        <v>-3.895961369622488E-2</v>
      </c>
    </row>
    <row r="32" spans="1:4" x14ac:dyDescent="0.2">
      <c r="A32" s="21">
        <v>34029</v>
      </c>
      <c r="B32" s="79">
        <f>VLOOKUP(A32,Database!$A:$AS,MATCH($B$4,Database!$A$1:$AS$1,0),FALSE)</f>
        <v>87.16</v>
      </c>
      <c r="C32" s="22">
        <f>(Table13456789101112131415161734[[#This Row],[FRA]]-B31)/B31</f>
        <v>-4.6819687107456506E-3</v>
      </c>
      <c r="D32" s="23">
        <f>(Table13456789101112131415161734[[#This Row],[FRA]]-B20)/B20</f>
        <v>-5.2711661775894016E-2</v>
      </c>
    </row>
    <row r="33" spans="1:4" x14ac:dyDescent="0.2">
      <c r="A33" s="21">
        <v>34060</v>
      </c>
      <c r="B33" s="79">
        <f>VLOOKUP(A33,Database!$A:$AS,MATCH($B$4,Database!$A$1:$AS$1,0),FALSE)</f>
        <v>86.58</v>
      </c>
      <c r="C33" s="22">
        <f>(Table13456789101112131415161734[[#This Row],[FRA]]-B32)/B32</f>
        <v>-6.6544286369894252E-3</v>
      </c>
      <c r="D33" s="23">
        <f>(Table13456789101112131415161734[[#This Row],[FRA]]-B21)/B21</f>
        <v>-5.2112984453689566E-2</v>
      </c>
    </row>
    <row r="34" spans="1:4" x14ac:dyDescent="0.2">
      <c r="A34" s="21">
        <v>34090</v>
      </c>
      <c r="B34" s="79">
        <f>VLOOKUP(A34,Database!$A:$AS,MATCH($B$4,Database!$A$1:$AS$1,0),FALSE)</f>
        <v>86.48</v>
      </c>
      <c r="C34" s="22">
        <f>(Table13456789101112131415161734[[#This Row],[FRA]]-B33)/B33</f>
        <v>-1.1550011550010893E-3</v>
      </c>
      <c r="D34" s="23">
        <f>(Table13456789101112131415161734[[#This Row],[FRA]]-B22)/B22</f>
        <v>-5.3415061295971927E-2</v>
      </c>
    </row>
    <row r="35" spans="1:4" x14ac:dyDescent="0.2">
      <c r="A35" s="21">
        <v>34121</v>
      </c>
      <c r="B35" s="79">
        <f>VLOOKUP(A35,Database!$A:$AS,MATCH($B$4,Database!$A$1:$AS$1,0),FALSE)</f>
        <v>85.8</v>
      </c>
      <c r="C35" s="22">
        <f>(Table13456789101112131415161734[[#This Row],[FRA]]-B34)/B34</f>
        <v>-7.8630897317299581E-3</v>
      </c>
      <c r="D35" s="23">
        <f>(Table13456789101112131415161734[[#This Row],[FRA]]-B23)/B23</f>
        <v>-4.9518112329677622E-2</v>
      </c>
    </row>
    <row r="36" spans="1:4" x14ac:dyDescent="0.2">
      <c r="A36" s="21">
        <v>34151</v>
      </c>
      <c r="B36" s="79">
        <f>VLOOKUP(A36,Database!$A:$AS,MATCH($B$4,Database!$A$1:$AS$1,0),FALSE)</f>
        <v>86.98</v>
      </c>
      <c r="C36" s="22">
        <f>(Table13456789101112131415161734[[#This Row],[FRA]]-B35)/B35</f>
        <v>1.3752913752913832E-2</v>
      </c>
      <c r="D36" s="23">
        <f>(Table13456789101112131415161734[[#This Row],[FRA]]-B24)/B24</f>
        <v>-3.3125833703868277E-2</v>
      </c>
    </row>
    <row r="37" spans="1:4" x14ac:dyDescent="0.2">
      <c r="A37" s="21">
        <v>34182</v>
      </c>
      <c r="B37" s="79">
        <f>VLOOKUP(A37,Database!$A:$AS,MATCH($B$4,Database!$A$1:$AS$1,0),FALSE)</f>
        <v>86.36</v>
      </c>
      <c r="C37" s="22">
        <f>(Table13456789101112131415161734[[#This Row],[FRA]]-B36)/B36</f>
        <v>-7.12807541963675E-3</v>
      </c>
      <c r="D37" s="23">
        <f>(Table13456789101112131415161734[[#This Row],[FRA]]-B25)/B25</f>
        <v>-4.2890391222431615E-2</v>
      </c>
    </row>
    <row r="38" spans="1:4" x14ac:dyDescent="0.2">
      <c r="A38" s="21">
        <v>34213</v>
      </c>
      <c r="B38" s="79">
        <f>VLOOKUP(A38,Database!$A:$AS,MATCH($B$4,Database!$A$1:$AS$1,0),FALSE)</f>
        <v>86.93</v>
      </c>
      <c r="C38" s="22">
        <f>(Table13456789101112131415161734[[#This Row],[FRA]]-B37)/B37</f>
        <v>6.6002779064382516E-3</v>
      </c>
      <c r="D38" s="23">
        <f>(Table13456789101112131415161734[[#This Row],[FRA]]-B26)/B26</f>
        <v>-2.2819244604316401E-2</v>
      </c>
    </row>
    <row r="39" spans="1:4" x14ac:dyDescent="0.2">
      <c r="A39" s="21">
        <v>34243</v>
      </c>
      <c r="B39" s="79">
        <f>VLOOKUP(A39,Database!$A:$AS,MATCH($B$4,Database!$A$1:$AS$1,0),FALSE)</f>
        <v>87.3</v>
      </c>
      <c r="C39" s="22">
        <f>(Table13456789101112131415161734[[#This Row],[FRA]]-B38)/B38</f>
        <v>4.2562981709420257E-3</v>
      </c>
      <c r="D39" s="23">
        <f>(Table13456789101112131415161734[[#This Row],[FRA]]-B27)/B27</f>
        <v>-2.892102335928819E-2</v>
      </c>
    </row>
    <row r="40" spans="1:4" x14ac:dyDescent="0.2">
      <c r="A40" s="21">
        <v>34274</v>
      </c>
      <c r="B40" s="79">
        <f>VLOOKUP(A40,Database!$A:$AS,MATCH($B$4,Database!$A$1:$AS$1,0),FALSE)</f>
        <v>86.71</v>
      </c>
      <c r="C40" s="22">
        <f>(Table13456789101112131415161734[[#This Row],[FRA]]-B39)/B39</f>
        <v>-6.7583046964490657E-3</v>
      </c>
      <c r="D40" s="23">
        <f>(Table13456789101112131415161734[[#This Row],[FRA]]-B28)/B28</f>
        <v>-2.2655545536519446E-2</v>
      </c>
    </row>
    <row r="41" spans="1:4" x14ac:dyDescent="0.2">
      <c r="A41" s="21">
        <v>34304</v>
      </c>
      <c r="B41" s="79">
        <f>VLOOKUP(A41,Database!$A:$AS,MATCH($B$4,Database!$A$1:$AS$1,0),FALSE)</f>
        <v>85.91</v>
      </c>
      <c r="C41" s="22">
        <f>(Table13456789101112131415161734[[#This Row],[FRA]]-B40)/B40</f>
        <v>-9.2261561526928524E-3</v>
      </c>
      <c r="D41" s="23">
        <f>(Table13456789101112131415161734[[#This Row],[FRA]]-B29)/B29</f>
        <v>-1.8620059401416603E-2</v>
      </c>
    </row>
    <row r="42" spans="1:4" x14ac:dyDescent="0.2">
      <c r="A42" s="21">
        <v>34335</v>
      </c>
      <c r="B42" s="79">
        <f>VLOOKUP(A42,Database!$A:$AS,MATCH($B$4,Database!$A$1:$AS$1,0),FALSE)</f>
        <v>87.51</v>
      </c>
      <c r="C42" s="22">
        <f>(Table13456789101112131415161734[[#This Row],[FRA]]-B41)/B41</f>
        <v>1.8624141543475831E-2</v>
      </c>
      <c r="D42" s="23">
        <f>(Table13456789101112131415161734[[#This Row],[FRA]]-B30)/B30</f>
        <v>9.1501772846846953E-4</v>
      </c>
    </row>
    <row r="43" spans="1:4" x14ac:dyDescent="0.2">
      <c r="A43" s="21">
        <v>34366</v>
      </c>
      <c r="B43" s="79">
        <f>VLOOKUP(A43,Database!$A:$AS,MATCH($B$4,Database!$A$1:$AS$1,0),FALSE)</f>
        <v>87.26</v>
      </c>
      <c r="C43" s="22">
        <f>(Table13456789101112131415161734[[#This Row],[FRA]]-B42)/B42</f>
        <v>-2.8568163638441318E-3</v>
      </c>
      <c r="D43" s="23">
        <f>(Table13456789101112131415161734[[#This Row],[FRA]]-B31)/B31</f>
        <v>-3.5400251227587997E-3</v>
      </c>
    </row>
    <row r="44" spans="1:4" x14ac:dyDescent="0.2">
      <c r="A44" s="21">
        <v>34394</v>
      </c>
      <c r="B44" s="79">
        <f>VLOOKUP(A44,Database!$A:$AS,MATCH($B$4,Database!$A$1:$AS$1,0),FALSE)</f>
        <v>87.24</v>
      </c>
      <c r="C44" s="22">
        <f>(Table13456789101112131415161734[[#This Row],[FRA]]-B43)/B43</f>
        <v>-2.2920009168015391E-4</v>
      </c>
      <c r="D44" s="23">
        <f>(Table13456789101112131415161734[[#This Row],[FRA]]-B32)/B32</f>
        <v>9.1785222579162805E-4</v>
      </c>
    </row>
    <row r="45" spans="1:4" x14ac:dyDescent="0.2">
      <c r="A45" s="21">
        <v>34425</v>
      </c>
      <c r="B45" s="79">
        <f>VLOOKUP(A45,Database!$A:$AS,MATCH($B$4,Database!$A$1:$AS$1,0),FALSE)</f>
        <v>89.64</v>
      </c>
      <c r="C45" s="22">
        <f>(Table13456789101112131415161734[[#This Row],[FRA]]-B44)/B44</f>
        <v>2.7510316368638307E-2</v>
      </c>
      <c r="D45" s="23">
        <f>(Table13456789101112131415161734[[#This Row],[FRA]]-B33)/B33</f>
        <v>3.5343035343035373E-2</v>
      </c>
    </row>
    <row r="46" spans="1:4" x14ac:dyDescent="0.2">
      <c r="A46" s="21">
        <v>34455</v>
      </c>
      <c r="B46" s="79">
        <f>VLOOKUP(A46,Database!$A:$AS,MATCH($B$4,Database!$A$1:$AS$1,0),FALSE)</f>
        <v>89.58</v>
      </c>
      <c r="C46" s="22">
        <f>(Table13456789101112131415161734[[#This Row],[FRA]]-B45)/B45</f>
        <v>-6.6934404283804409E-4</v>
      </c>
      <c r="D46" s="23">
        <f>(Table13456789101112131415161734[[#This Row],[FRA]]-B34)/B34</f>
        <v>3.5846438482886149E-2</v>
      </c>
    </row>
    <row r="47" spans="1:4" x14ac:dyDescent="0.2">
      <c r="A47" s="21">
        <v>34486</v>
      </c>
      <c r="B47" s="79">
        <f>VLOOKUP(A47,Database!$A:$AS,MATCH($B$4,Database!$A$1:$AS$1,0),FALSE)</f>
        <v>90.05</v>
      </c>
      <c r="C47" s="22">
        <f>(Table13456789101112131415161734[[#This Row],[FRA]]-B46)/B46</f>
        <v>5.2467068542085158E-3</v>
      </c>
      <c r="D47" s="23">
        <f>(Table13456789101112131415161734[[#This Row],[FRA]]-B35)/B35</f>
        <v>4.9533799533799536E-2</v>
      </c>
    </row>
    <row r="48" spans="1:4" x14ac:dyDescent="0.2">
      <c r="A48" s="21">
        <v>34516</v>
      </c>
      <c r="B48" s="79">
        <f>VLOOKUP(A48,Database!$A:$AS,MATCH($B$4,Database!$A$1:$AS$1,0),FALSE)</f>
        <v>90.85</v>
      </c>
      <c r="C48" s="22">
        <f>(Table13456789101112131415161734[[#This Row],[FRA]]-B47)/B47</f>
        <v>8.8839533592448335E-3</v>
      </c>
      <c r="D48" s="23">
        <f>(Table13456789101112131415161734[[#This Row],[FRA]]-B36)/B36</f>
        <v>4.449298689353863E-2</v>
      </c>
    </row>
    <row r="49" spans="1:4" x14ac:dyDescent="0.2">
      <c r="A49" s="21">
        <v>34547</v>
      </c>
      <c r="B49" s="79">
        <f>VLOOKUP(A49,Database!$A:$AS,MATCH($B$4,Database!$A$1:$AS$1,0),FALSE)</f>
        <v>91.36</v>
      </c>
      <c r="C49" s="22">
        <f>(Table13456789101112131415161734[[#This Row],[FRA]]-B48)/B48</f>
        <v>5.6136488717667046E-3</v>
      </c>
      <c r="D49" s="23">
        <f>(Table13456789101112131415161734[[#This Row],[FRA]]-B37)/B37</f>
        <v>5.7897174617878647E-2</v>
      </c>
    </row>
    <row r="50" spans="1:4" x14ac:dyDescent="0.2">
      <c r="A50" s="21">
        <v>34578</v>
      </c>
      <c r="B50" s="79">
        <f>VLOOKUP(A50,Database!$A:$AS,MATCH($B$4,Database!$A$1:$AS$1,0),FALSE)</f>
        <v>91.07</v>
      </c>
      <c r="C50" s="22">
        <f>(Table13456789101112131415161734[[#This Row],[FRA]]-B49)/B49</f>
        <v>-3.1742556917688952E-3</v>
      </c>
      <c r="D50" s="23">
        <f>(Table13456789101112131415161734[[#This Row],[FRA]]-B38)/B38</f>
        <v>4.7624525480271324E-2</v>
      </c>
    </row>
    <row r="51" spans="1:4" x14ac:dyDescent="0.2">
      <c r="A51" s="21">
        <v>34608</v>
      </c>
      <c r="B51" s="79">
        <f>VLOOKUP(A51,Database!$A:$AS,MATCH($B$4,Database!$A$1:$AS$1,0),FALSE)</f>
        <v>91.95</v>
      </c>
      <c r="C51" s="22">
        <f>(Table13456789101112131415161734[[#This Row],[FRA]]-B50)/B50</f>
        <v>9.6628966728890941E-3</v>
      </c>
      <c r="D51" s="23">
        <f>(Table13456789101112131415161734[[#This Row],[FRA]]-B39)/B39</f>
        <v>5.3264604810996631E-2</v>
      </c>
    </row>
    <row r="52" spans="1:4" x14ac:dyDescent="0.2">
      <c r="A52" s="21">
        <v>34639</v>
      </c>
      <c r="B52" s="79">
        <f>VLOOKUP(A52,Database!$A:$AS,MATCH($B$4,Database!$A$1:$AS$1,0),FALSE)</f>
        <v>92.77</v>
      </c>
      <c r="C52" s="22">
        <f>(Table13456789101112131415161734[[#This Row],[FRA]]-B51)/B51</f>
        <v>8.9178901576943241E-3</v>
      </c>
      <c r="D52" s="23">
        <f>(Table13456789101112131415161734[[#This Row],[FRA]]-B40)/B40</f>
        <v>6.9888132856648633E-2</v>
      </c>
    </row>
    <row r="53" spans="1:4" x14ac:dyDescent="0.2">
      <c r="A53" s="21">
        <v>34669</v>
      </c>
      <c r="B53" s="79">
        <f>VLOOKUP(A53,Database!$A:$AS,MATCH($B$4,Database!$A$1:$AS$1,0),FALSE)</f>
        <v>92.65</v>
      </c>
      <c r="C53" s="22">
        <f>(Table13456789101112131415161734[[#This Row],[FRA]]-B52)/B52</f>
        <v>-1.293521612590173E-3</v>
      </c>
      <c r="D53" s="23">
        <f>(Table13456789101112131415161734[[#This Row],[FRA]]-B41)/B41</f>
        <v>7.8454196251891622E-2</v>
      </c>
    </row>
    <row r="54" spans="1:4" x14ac:dyDescent="0.2">
      <c r="A54" s="21">
        <v>34700</v>
      </c>
      <c r="B54" s="79">
        <f>VLOOKUP(A54,Database!$A:$AS,MATCH($B$4,Database!$A$1:$AS$1,0),FALSE)</f>
        <v>93.32</v>
      </c>
      <c r="C54" s="22">
        <f>(Table13456789101112131415161734[[#This Row],[FRA]]-B53)/B53</f>
        <v>7.231516459794792E-3</v>
      </c>
      <c r="D54" s="23">
        <f>(Table13456789101112131415161734[[#This Row],[FRA]]-B42)/B42</f>
        <v>6.6392412295737488E-2</v>
      </c>
    </row>
    <row r="55" spans="1:4" x14ac:dyDescent="0.2">
      <c r="A55" s="21">
        <v>34731</v>
      </c>
      <c r="B55" s="79">
        <f>VLOOKUP(A55,Database!$A:$AS,MATCH($B$4,Database!$A$1:$AS$1,0),FALSE)</f>
        <v>92.7</v>
      </c>
      <c r="C55" s="22">
        <f>(Table13456789101112131415161734[[#This Row],[FRA]]-B54)/B54</f>
        <v>-6.643806258036759E-3</v>
      </c>
      <c r="D55" s="23">
        <f>(Table13456789101112131415161734[[#This Row],[FRA]]-B43)/B43</f>
        <v>6.2342424936969947E-2</v>
      </c>
    </row>
    <row r="56" spans="1:4" x14ac:dyDescent="0.2">
      <c r="A56" s="21">
        <v>34759</v>
      </c>
      <c r="B56" s="79">
        <f>VLOOKUP(A56,Database!$A:$AS,MATCH($B$4,Database!$A$1:$AS$1,0),FALSE)</f>
        <v>93.48</v>
      </c>
      <c r="C56" s="22">
        <f>(Table13456789101112131415161734[[#This Row],[FRA]]-B55)/B55</f>
        <v>8.4142394822006601E-3</v>
      </c>
      <c r="D56" s="23">
        <f>(Table13456789101112131415161734[[#This Row],[FRA]]-B44)/B44</f>
        <v>7.1526822558459532E-2</v>
      </c>
    </row>
    <row r="57" spans="1:4" x14ac:dyDescent="0.2">
      <c r="A57" s="21">
        <v>34790</v>
      </c>
      <c r="B57" s="79">
        <f>VLOOKUP(A57,Database!$A:$AS,MATCH($B$4,Database!$A$1:$AS$1,0),FALSE)</f>
        <v>93.47</v>
      </c>
      <c r="C57" s="22">
        <f>(Table13456789101112131415161734[[#This Row],[FRA]]-B56)/B56</f>
        <v>-1.0697475395812062E-4</v>
      </c>
      <c r="D57" s="23">
        <f>(Table13456789101112131415161734[[#This Row],[FRA]]-B45)/B45</f>
        <v>4.2726461401160175E-2</v>
      </c>
    </row>
    <row r="58" spans="1:4" x14ac:dyDescent="0.2">
      <c r="A58" s="21">
        <v>34820</v>
      </c>
      <c r="B58" s="79">
        <f>VLOOKUP(A58,Database!$A:$AS,MATCH($B$4,Database!$A$1:$AS$1,0),FALSE)</f>
        <v>93.02</v>
      </c>
      <c r="C58" s="22">
        <f>(Table13456789101112131415161734[[#This Row],[FRA]]-B57)/B57</f>
        <v>-4.8143789451161106E-3</v>
      </c>
      <c r="D58" s="23">
        <f>(Table13456789101112131415161734[[#This Row],[FRA]]-B46)/B46</f>
        <v>3.8401428890377294E-2</v>
      </c>
    </row>
    <row r="59" spans="1:4" x14ac:dyDescent="0.2">
      <c r="A59" s="21">
        <v>34851</v>
      </c>
      <c r="B59" s="79">
        <f>VLOOKUP(A59,Database!$A:$AS,MATCH($B$4,Database!$A$1:$AS$1,0),FALSE)</f>
        <v>93.66</v>
      </c>
      <c r="C59" s="22">
        <f>(Table13456789101112131415161734[[#This Row],[FRA]]-B58)/B58</f>
        <v>6.880240808428301E-3</v>
      </c>
      <c r="D59" s="23">
        <f>(Table13456789101112131415161734[[#This Row],[FRA]]-B47)/B47</f>
        <v>4.0088839533592442E-2</v>
      </c>
    </row>
    <row r="60" spans="1:4" x14ac:dyDescent="0.2">
      <c r="A60" s="21">
        <v>34881</v>
      </c>
      <c r="B60" s="79">
        <f>VLOOKUP(A60,Database!$A:$AS,MATCH($B$4,Database!$A$1:$AS$1,0),FALSE)</f>
        <v>94.07</v>
      </c>
      <c r="C60" s="22">
        <f>(Table13456789101112131415161734[[#This Row],[FRA]]-B59)/B59</f>
        <v>4.3775357676702608E-3</v>
      </c>
      <c r="D60" s="23">
        <f>(Table13456789101112131415161734[[#This Row],[FRA]]-B48)/B48</f>
        <v>3.5443037974683532E-2</v>
      </c>
    </row>
    <row r="61" spans="1:4" x14ac:dyDescent="0.2">
      <c r="A61" s="21">
        <v>34912</v>
      </c>
      <c r="B61" s="79">
        <f>VLOOKUP(A61,Database!$A:$AS,MATCH($B$4,Database!$A$1:$AS$1,0),FALSE)</f>
        <v>93.5</v>
      </c>
      <c r="C61" s="22">
        <f>(Table13456789101112131415161734[[#This Row],[FRA]]-B60)/B60</f>
        <v>-6.0593175294992368E-3</v>
      </c>
      <c r="D61" s="23">
        <f>(Table13456789101112131415161734[[#This Row],[FRA]]-B49)/B49</f>
        <v>2.3423817863397554E-2</v>
      </c>
    </row>
    <row r="62" spans="1:4" x14ac:dyDescent="0.2">
      <c r="A62" s="21">
        <v>34943</v>
      </c>
      <c r="B62" s="79">
        <f>VLOOKUP(A62,Database!$A:$AS,MATCH($B$4,Database!$A$1:$AS$1,0),FALSE)</f>
        <v>93.64</v>
      </c>
      <c r="C62" s="22">
        <f>(Table13456789101112131415161734[[#This Row],[FRA]]-B61)/B61</f>
        <v>1.4973262032085622E-3</v>
      </c>
      <c r="D62" s="23">
        <f>(Table13456789101112131415161734[[#This Row],[FRA]]-B50)/B50</f>
        <v>2.8220050510596329E-2</v>
      </c>
    </row>
    <row r="63" spans="1:4" x14ac:dyDescent="0.2">
      <c r="A63" s="21">
        <v>34973</v>
      </c>
      <c r="B63" s="79">
        <f>VLOOKUP(A63,Database!$A:$AS,MATCH($B$4,Database!$A$1:$AS$1,0),FALSE)</f>
        <v>91.84</v>
      </c>
      <c r="C63" s="22">
        <f>(Table13456789101112131415161734[[#This Row],[FRA]]-B62)/B62</f>
        <v>-1.9222554463904282E-2</v>
      </c>
      <c r="D63" s="23">
        <f>(Table13456789101112131415161734[[#This Row],[FRA]]-B51)/B51</f>
        <v>-1.1963023382272912E-3</v>
      </c>
    </row>
    <row r="64" spans="1:4" x14ac:dyDescent="0.2">
      <c r="A64" s="21">
        <v>35004</v>
      </c>
      <c r="B64" s="79">
        <f>VLOOKUP(A64,Database!$A:$AS,MATCH($B$4,Database!$A$1:$AS$1,0),FALSE)</f>
        <v>91.81</v>
      </c>
      <c r="C64" s="22">
        <f>(Table13456789101112131415161734[[#This Row],[FRA]]-B63)/B63</f>
        <v>-3.2665505226482075E-4</v>
      </c>
      <c r="D64" s="23">
        <f>(Table13456789101112131415161734[[#This Row],[FRA]]-B52)/B52</f>
        <v>-1.0348172900722149E-2</v>
      </c>
    </row>
    <row r="65" spans="1:4" x14ac:dyDescent="0.2">
      <c r="A65" s="21">
        <v>35034</v>
      </c>
      <c r="B65" s="79">
        <f>VLOOKUP(A65,Database!$A:$AS,MATCH($B$4,Database!$A$1:$AS$1,0),FALSE)</f>
        <v>93.77</v>
      </c>
      <c r="C65" s="22">
        <f>(Table13456789101112131415161734[[#This Row],[FRA]]-B64)/B64</f>
        <v>2.1348436989434633E-2</v>
      </c>
      <c r="D65" s="23">
        <f>(Table13456789101112131415161734[[#This Row],[FRA]]-B53)/B53</f>
        <v>1.2088505126821266E-2</v>
      </c>
    </row>
    <row r="66" spans="1:4" x14ac:dyDescent="0.2">
      <c r="A66" s="21">
        <v>35065</v>
      </c>
      <c r="B66" s="79">
        <f>VLOOKUP(A66,Database!$A:$AS,MATCH($B$4,Database!$A$1:$AS$1,0),FALSE)</f>
        <v>92.93</v>
      </c>
      <c r="C66" s="22">
        <f>(Table13456789101112131415161734[[#This Row],[FRA]]-B65)/B65</f>
        <v>-8.9580889410258002E-3</v>
      </c>
      <c r="D66" s="23">
        <f>(Table13456789101112131415161734[[#This Row],[FRA]]-B54)/B54</f>
        <v>-4.1791684526359448E-3</v>
      </c>
    </row>
    <row r="67" spans="1:4" x14ac:dyDescent="0.2">
      <c r="A67" s="21">
        <v>35096</v>
      </c>
      <c r="B67" s="79">
        <f>VLOOKUP(A67,Database!$A:$AS,MATCH($B$4,Database!$A$1:$AS$1,0),FALSE)</f>
        <v>93.22</v>
      </c>
      <c r="C67" s="22">
        <f>(Table13456789101112131415161734[[#This Row],[FRA]]-B66)/B66</f>
        <v>3.1206284300009904E-3</v>
      </c>
      <c r="D67" s="23">
        <f>(Table13456789101112131415161734[[#This Row],[FRA]]-B55)/B55</f>
        <v>5.6094929881337213E-3</v>
      </c>
    </row>
    <row r="68" spans="1:4" x14ac:dyDescent="0.2">
      <c r="A68" s="21">
        <v>35125</v>
      </c>
      <c r="B68" s="79">
        <f>VLOOKUP(A68,Database!$A:$AS,MATCH($B$4,Database!$A$1:$AS$1,0),FALSE)</f>
        <v>93.87</v>
      </c>
      <c r="C68" s="22">
        <f>(Table13456789101112131415161734[[#This Row],[FRA]]-B67)/B67</f>
        <v>6.972752628191436E-3</v>
      </c>
      <c r="D68" s="23">
        <f>(Table13456789101112131415161734[[#This Row],[FRA]]-B56)/B56</f>
        <v>4.1720154043645759E-3</v>
      </c>
    </row>
    <row r="69" spans="1:4" x14ac:dyDescent="0.2">
      <c r="A69" s="21">
        <v>35156</v>
      </c>
      <c r="B69" s="79">
        <f>VLOOKUP(A69,Database!$A:$AS,MATCH($B$4,Database!$A$1:$AS$1,0),FALSE)</f>
        <v>92.92</v>
      </c>
      <c r="C69" s="22">
        <f>(Table13456789101112131415161734[[#This Row],[FRA]]-B68)/B68</f>
        <v>-1.0120379247896057E-2</v>
      </c>
      <c r="D69" s="23">
        <f>(Table13456789101112131415161734[[#This Row],[FRA]]-B57)/B57</f>
        <v>-5.8842409329196233E-3</v>
      </c>
    </row>
    <row r="70" spans="1:4" x14ac:dyDescent="0.2">
      <c r="A70" s="21">
        <v>35186</v>
      </c>
      <c r="B70" s="79">
        <f>VLOOKUP(A70,Database!$A:$AS,MATCH($B$4,Database!$A$1:$AS$1,0),FALSE)</f>
        <v>94.78</v>
      </c>
      <c r="C70" s="22">
        <f>(Table13456789101112131415161734[[#This Row],[FRA]]-B69)/B69</f>
        <v>2.0017219113215662E-2</v>
      </c>
      <c r="D70" s="23">
        <f>(Table13456789101112131415161734[[#This Row],[FRA]]-B58)/B58</f>
        <v>1.8920662223177866E-2</v>
      </c>
    </row>
    <row r="71" spans="1:4" x14ac:dyDescent="0.2">
      <c r="A71" s="21">
        <v>35217</v>
      </c>
      <c r="B71" s="79">
        <f>VLOOKUP(A71,Database!$A:$AS,MATCH($B$4,Database!$A$1:$AS$1,0),FALSE)</f>
        <v>94.04</v>
      </c>
      <c r="C71" s="22">
        <f>(Table13456789101112131415161734[[#This Row],[FRA]]-B70)/B70</f>
        <v>-7.8075543363578274E-3</v>
      </c>
      <c r="D71" s="23">
        <f>(Table13456789101112131415161734[[#This Row],[FRA]]-B59)/B59</f>
        <v>4.0572282724750126E-3</v>
      </c>
    </row>
    <row r="72" spans="1:4" x14ac:dyDescent="0.2">
      <c r="A72" s="21">
        <v>35247</v>
      </c>
      <c r="B72" s="79">
        <f>VLOOKUP(A72,Database!$A:$AS,MATCH($B$4,Database!$A$1:$AS$1,0),FALSE)</f>
        <v>92.37</v>
      </c>
      <c r="C72" s="22">
        <f>(Table13456789101112131415161734[[#This Row],[FRA]]-B71)/B71</f>
        <v>-1.7758400680561479E-2</v>
      </c>
      <c r="D72" s="23">
        <f>(Table13456789101112131415161734[[#This Row],[FRA]]-B60)/B60</f>
        <v>-1.8071648772190804E-2</v>
      </c>
    </row>
    <row r="73" spans="1:4" x14ac:dyDescent="0.2">
      <c r="A73" s="21">
        <v>35278</v>
      </c>
      <c r="B73" s="79">
        <f>VLOOKUP(A73,Database!$A:$AS,MATCH($B$4,Database!$A$1:$AS$1,0),FALSE)</f>
        <v>94.38</v>
      </c>
      <c r="C73" s="22">
        <f>(Table13456789101112131415161734[[#This Row],[FRA]]-B72)/B72</f>
        <v>2.1760311789541961E-2</v>
      </c>
      <c r="D73" s="23">
        <f>(Table13456789101112131415161734[[#This Row],[FRA]]-B61)/B61</f>
        <v>9.4117647058823035E-3</v>
      </c>
    </row>
    <row r="74" spans="1:4" x14ac:dyDescent="0.2">
      <c r="A74" s="21">
        <v>35309</v>
      </c>
      <c r="B74" s="79">
        <f>VLOOKUP(A74,Database!$A:$AS,MATCH($B$4,Database!$A$1:$AS$1,0),FALSE)</f>
        <v>94.52</v>
      </c>
      <c r="C74" s="22">
        <f>(Table13456789101112131415161734[[#This Row],[FRA]]-B73)/B73</f>
        <v>1.4833651197287622E-3</v>
      </c>
      <c r="D74" s="23">
        <f>(Table13456789101112131415161734[[#This Row],[FRA]]-B62)/B62</f>
        <v>9.3976932934642828E-3</v>
      </c>
    </row>
    <row r="75" spans="1:4" x14ac:dyDescent="0.2">
      <c r="A75" s="21">
        <v>35339</v>
      </c>
      <c r="B75" s="79">
        <f>VLOOKUP(A75,Database!$A:$AS,MATCH($B$4,Database!$A$1:$AS$1,0),FALSE)</f>
        <v>93.55</v>
      </c>
      <c r="C75" s="22">
        <f>(Table13456789101112131415161734[[#This Row],[FRA]]-B74)/B74</f>
        <v>-1.0262378332628004E-2</v>
      </c>
      <c r="D75" s="23">
        <f>(Table13456789101112131415161734[[#This Row],[FRA]]-B63)/B63</f>
        <v>1.8619337979094007E-2</v>
      </c>
    </row>
    <row r="76" spans="1:4" x14ac:dyDescent="0.2">
      <c r="A76" s="21">
        <v>35370</v>
      </c>
      <c r="B76" s="79">
        <f>VLOOKUP(A76,Database!$A:$AS,MATCH($B$4,Database!$A$1:$AS$1,0),FALSE)</f>
        <v>94.69</v>
      </c>
      <c r="C76" s="22">
        <f>(Table13456789101112131415161734[[#This Row],[FRA]]-B75)/B75</f>
        <v>1.2185996793158745E-2</v>
      </c>
      <c r="D76" s="23">
        <f>(Table13456789101112131415161734[[#This Row],[FRA]]-B64)/B64</f>
        <v>3.1369131902842774E-2</v>
      </c>
    </row>
    <row r="77" spans="1:4" x14ac:dyDescent="0.2">
      <c r="A77" s="21">
        <v>35400</v>
      </c>
      <c r="B77" s="79">
        <f>VLOOKUP(A77,Database!$A:$AS,MATCH($B$4,Database!$A$1:$AS$1,0),FALSE)</f>
        <v>94.85</v>
      </c>
      <c r="C77" s="22">
        <f>(Table13456789101112131415161734[[#This Row],[FRA]]-B76)/B76</f>
        <v>1.6897243637131333E-3</v>
      </c>
      <c r="D77" s="23">
        <f>(Table13456789101112131415161734[[#This Row],[FRA]]-B65)/B65</f>
        <v>1.1517542924176158E-2</v>
      </c>
    </row>
    <row r="78" spans="1:4" x14ac:dyDescent="0.2">
      <c r="A78" s="21">
        <v>35431</v>
      </c>
      <c r="B78" s="79">
        <f>VLOOKUP(A78,Database!$A:$AS,MATCH($B$4,Database!$A$1:$AS$1,0),FALSE)</f>
        <v>94.03</v>
      </c>
      <c r="C78" s="22">
        <f>(Table13456789101112131415161734[[#This Row],[FRA]]-B77)/B77</f>
        <v>-8.6452293094358805E-3</v>
      </c>
      <c r="D78" s="23">
        <f>(Table13456789101112131415161734[[#This Row],[FRA]]-B66)/B66</f>
        <v>1.1836866458624709E-2</v>
      </c>
    </row>
    <row r="79" spans="1:4" x14ac:dyDescent="0.2">
      <c r="A79" s="21">
        <v>35462</v>
      </c>
      <c r="B79" s="79">
        <f>VLOOKUP(A79,Database!$A:$AS,MATCH($B$4,Database!$A$1:$AS$1,0),FALSE)</f>
        <v>94.79</v>
      </c>
      <c r="C79" s="22">
        <f>(Table13456789101112131415161734[[#This Row],[FRA]]-B78)/B78</f>
        <v>8.0825268531320334E-3</v>
      </c>
      <c r="D79" s="23">
        <f>(Table13456789101112131415161734[[#This Row],[FRA]]-B67)/B67</f>
        <v>1.6841879425016172E-2</v>
      </c>
    </row>
    <row r="80" spans="1:4" x14ac:dyDescent="0.2">
      <c r="A80" s="21">
        <v>35490</v>
      </c>
      <c r="B80" s="79">
        <f>VLOOKUP(A80,Database!$A:$AS,MATCH($B$4,Database!$A$1:$AS$1,0),FALSE)</f>
        <v>95.1</v>
      </c>
      <c r="C80" s="22">
        <f>(Table13456789101112131415161734[[#This Row],[FRA]]-B79)/B79</f>
        <v>3.270387171642452E-3</v>
      </c>
      <c r="D80" s="23">
        <f>(Table13456789101112131415161734[[#This Row],[FRA]]-B68)/B68</f>
        <v>1.310322786832843E-2</v>
      </c>
    </row>
    <row r="81" spans="1:4" x14ac:dyDescent="0.2">
      <c r="A81" s="21">
        <v>35521</v>
      </c>
      <c r="B81" s="79">
        <f>VLOOKUP(A81,Database!$A:$AS,MATCH($B$4,Database!$A$1:$AS$1,0),FALSE)</f>
        <v>98.49</v>
      </c>
      <c r="C81" s="22">
        <f>(Table13456789101112131415161734[[#This Row],[FRA]]-B80)/B80</f>
        <v>3.5646687697160895E-2</v>
      </c>
      <c r="D81" s="23">
        <f>(Table13456789101112131415161734[[#This Row],[FRA]]-B69)/B69</f>
        <v>5.9944037882049002E-2</v>
      </c>
    </row>
    <row r="82" spans="1:4" x14ac:dyDescent="0.2">
      <c r="A82" s="21">
        <v>35551</v>
      </c>
      <c r="B82" s="79">
        <f>VLOOKUP(A82,Database!$A:$AS,MATCH($B$4,Database!$A$1:$AS$1,0),FALSE)</f>
        <v>96.66</v>
      </c>
      <c r="C82" s="22">
        <f>(Table13456789101112131415161734[[#This Row],[FRA]]-B81)/B81</f>
        <v>-1.8580566554980183E-2</v>
      </c>
      <c r="D82" s="23">
        <f>(Table13456789101112131415161734[[#This Row],[FRA]]-B70)/B70</f>
        <v>1.9835408313990246E-2</v>
      </c>
    </row>
    <row r="83" spans="1:4" x14ac:dyDescent="0.2">
      <c r="A83" s="21">
        <v>35582</v>
      </c>
      <c r="B83" s="79">
        <f>VLOOKUP(A83,Database!$A:$AS,MATCH($B$4,Database!$A$1:$AS$1,0),FALSE)</f>
        <v>97.37</v>
      </c>
      <c r="C83" s="22">
        <f>(Table13456789101112131415161734[[#This Row],[FRA]]-B82)/B82</f>
        <v>7.3453341609767018E-3</v>
      </c>
      <c r="D83" s="23">
        <f>(Table13456789101112131415161734[[#This Row],[FRA]]-B71)/B71</f>
        <v>3.5410463632496787E-2</v>
      </c>
    </row>
    <row r="84" spans="1:4" x14ac:dyDescent="0.2">
      <c r="A84" s="21">
        <v>35612</v>
      </c>
      <c r="B84" s="79">
        <f>VLOOKUP(A84,Database!$A:$AS,MATCH($B$4,Database!$A$1:$AS$1,0),FALSE)</f>
        <v>97.56</v>
      </c>
      <c r="C84" s="22">
        <f>(Table13456789101112131415161734[[#This Row],[FRA]]-B83)/B83</f>
        <v>1.9513197083290306E-3</v>
      </c>
      <c r="D84" s="23">
        <f>(Table13456789101112131415161734[[#This Row],[FRA]]-B72)/B72</f>
        <v>5.6187073725235438E-2</v>
      </c>
    </row>
    <row r="85" spans="1:4" x14ac:dyDescent="0.2">
      <c r="A85" s="21">
        <v>35643</v>
      </c>
      <c r="B85" s="79">
        <f>VLOOKUP(A85,Database!$A:$AS,MATCH($B$4,Database!$A$1:$AS$1,0),FALSE)</f>
        <v>101.34</v>
      </c>
      <c r="C85" s="22">
        <f>(Table13456789101112131415161734[[#This Row],[FRA]]-B84)/B84</f>
        <v>3.8745387453874548E-2</v>
      </c>
      <c r="D85" s="23">
        <f>(Table13456789101112131415161734[[#This Row],[FRA]]-B73)/B73</f>
        <v>7.3744437380801109E-2</v>
      </c>
    </row>
    <row r="86" spans="1:4" x14ac:dyDescent="0.2">
      <c r="A86" s="21">
        <v>35674</v>
      </c>
      <c r="B86" s="79">
        <f>VLOOKUP(A86,Database!$A:$AS,MATCH($B$4,Database!$A$1:$AS$1,0),FALSE)</f>
        <v>98.94</v>
      </c>
      <c r="C86" s="22">
        <f>(Table13456789101112131415161734[[#This Row],[FRA]]-B85)/B85</f>
        <v>-2.3682652457075248E-2</v>
      </c>
      <c r="D86" s="23">
        <f>(Table13456789101112131415161734[[#This Row],[FRA]]-B74)/B74</f>
        <v>4.6762589928057575E-2</v>
      </c>
    </row>
    <row r="87" spans="1:4" x14ac:dyDescent="0.2">
      <c r="A87" s="21">
        <v>35704</v>
      </c>
      <c r="B87" s="79">
        <f>VLOOKUP(A87,Database!$A:$AS,MATCH($B$4,Database!$A$1:$AS$1,0),FALSE)</f>
        <v>101.42</v>
      </c>
      <c r="C87" s="22">
        <f>(Table13456789101112131415161734[[#This Row],[FRA]]-B86)/B86</f>
        <v>2.5065696381645481E-2</v>
      </c>
      <c r="D87" s="23">
        <f>(Table13456789101112131415161734[[#This Row],[FRA]]-B75)/B75</f>
        <v>8.4126135756280113E-2</v>
      </c>
    </row>
    <row r="88" spans="1:4" x14ac:dyDescent="0.2">
      <c r="A88" s="21">
        <v>35735</v>
      </c>
      <c r="B88" s="79">
        <f>VLOOKUP(A88,Database!$A:$AS,MATCH($B$4,Database!$A$1:$AS$1,0),FALSE)</f>
        <v>99.09</v>
      </c>
      <c r="C88" s="22">
        <f>(Table13456789101112131415161734[[#This Row],[FRA]]-B87)/B87</f>
        <v>-2.2973772431473066E-2</v>
      </c>
      <c r="D88" s="23">
        <f>(Table13456789101112131415161734[[#This Row],[FRA]]-B76)/B76</f>
        <v>4.6467420002112216E-2</v>
      </c>
    </row>
    <row r="89" spans="1:4" x14ac:dyDescent="0.2">
      <c r="A89" s="21">
        <v>35765</v>
      </c>
      <c r="B89" s="79">
        <f>VLOOKUP(A89,Database!$A:$AS,MATCH($B$4,Database!$A$1:$AS$1,0),FALSE)</f>
        <v>101.07</v>
      </c>
      <c r="C89" s="22">
        <f>(Table13456789101112131415161734[[#This Row],[FRA]]-B88)/B88</f>
        <v>1.998183469573105E-2</v>
      </c>
      <c r="D89" s="23">
        <f>(Table13456789101112131415161734[[#This Row],[FRA]]-B77)/B77</f>
        <v>6.5577227200843427E-2</v>
      </c>
    </row>
    <row r="90" spans="1:4" x14ac:dyDescent="0.2">
      <c r="A90" s="21">
        <v>35796</v>
      </c>
      <c r="B90" s="79">
        <f>VLOOKUP(A90,Database!$A:$AS,MATCH($B$4,Database!$A$1:$AS$1,0),FALSE)</f>
        <v>101.07</v>
      </c>
      <c r="C90" s="22">
        <f>(Table13456789101112131415161734[[#This Row],[FRA]]-B89)/B89</f>
        <v>0</v>
      </c>
      <c r="D90" s="23">
        <f>(Table13456789101112131415161734[[#This Row],[FRA]]-B78)/B78</f>
        <v>7.4869722429011937E-2</v>
      </c>
    </row>
    <row r="91" spans="1:4" x14ac:dyDescent="0.2">
      <c r="A91" s="21">
        <v>35827</v>
      </c>
      <c r="B91" s="79">
        <f>VLOOKUP(A91,Database!$A:$AS,MATCH($B$4,Database!$A$1:$AS$1,0),FALSE)</f>
        <v>101.77</v>
      </c>
      <c r="C91" s="22">
        <f>(Table13456789101112131415161734[[#This Row],[FRA]]-B90)/B90</f>
        <v>6.9258929454833569E-3</v>
      </c>
      <c r="D91" s="23">
        <f>(Table13456789101112131415161734[[#This Row],[FRA]]-B79)/B79</f>
        <v>7.3636459542145677E-2</v>
      </c>
    </row>
    <row r="92" spans="1:4" x14ac:dyDescent="0.2">
      <c r="A92" s="21">
        <v>35855</v>
      </c>
      <c r="B92" s="79">
        <f>VLOOKUP(A92,Database!$A:$AS,MATCH($B$4,Database!$A$1:$AS$1,0),FALSE)</f>
        <v>100.57</v>
      </c>
      <c r="C92" s="22">
        <f>(Table13456789101112131415161734[[#This Row],[FRA]]-B91)/B91</f>
        <v>-1.1791294094526903E-2</v>
      </c>
      <c r="D92" s="23">
        <f>(Table13456789101112131415161734[[#This Row],[FRA]]-B80)/B80</f>
        <v>5.7518401682439532E-2</v>
      </c>
    </row>
    <row r="93" spans="1:4" x14ac:dyDescent="0.2">
      <c r="A93" s="21">
        <v>35886</v>
      </c>
      <c r="B93" s="79">
        <f>VLOOKUP(A93,Database!$A:$AS,MATCH($B$4,Database!$A$1:$AS$1,0),FALSE)</f>
        <v>101.87</v>
      </c>
      <c r="C93" s="22">
        <f>(Table13456789101112131415161734[[#This Row],[FRA]]-B92)/B92</f>
        <v>1.2926319976136139E-2</v>
      </c>
      <c r="D93" s="23">
        <f>(Table13456789101112131415161734[[#This Row],[FRA]]-B81)/B81</f>
        <v>3.4318204893897961E-2</v>
      </c>
    </row>
    <row r="94" spans="1:4" x14ac:dyDescent="0.2">
      <c r="A94" s="21">
        <v>35916</v>
      </c>
      <c r="B94" s="79">
        <f>VLOOKUP(A94,Database!$A:$AS,MATCH($B$4,Database!$A$1:$AS$1,0),FALSE)</f>
        <v>103.15</v>
      </c>
      <c r="C94" s="22">
        <f>(Table13456789101112131415161734[[#This Row],[FRA]]-B93)/B93</f>
        <v>1.2565033866692854E-2</v>
      </c>
      <c r="D94" s="23">
        <f>(Table13456789101112131415161734[[#This Row],[FRA]]-B82)/B82</f>
        <v>6.7142561555969468E-2</v>
      </c>
    </row>
    <row r="95" spans="1:4" x14ac:dyDescent="0.2">
      <c r="A95" s="21">
        <v>35947</v>
      </c>
      <c r="B95" s="79">
        <f>VLOOKUP(A95,Database!$A:$AS,MATCH($B$4,Database!$A$1:$AS$1,0),FALSE)</f>
        <v>102.48</v>
      </c>
      <c r="C95" s="22">
        <f>(Table13456789101112131415161734[[#This Row],[FRA]]-B94)/B94</f>
        <v>-6.4953950557440779E-3</v>
      </c>
      <c r="D95" s="23">
        <f>(Table13456789101112131415161734[[#This Row],[FRA]]-B83)/B83</f>
        <v>5.2480230050323498E-2</v>
      </c>
    </row>
    <row r="96" spans="1:4" x14ac:dyDescent="0.2">
      <c r="A96" s="21">
        <v>35977</v>
      </c>
      <c r="B96" s="79">
        <f>VLOOKUP(A96,Database!$A:$AS,MATCH($B$4,Database!$A$1:$AS$1,0),FALSE)</f>
        <v>103.1</v>
      </c>
      <c r="C96" s="22">
        <f>(Table13456789101112131415161734[[#This Row],[FRA]]-B95)/B95</f>
        <v>6.0499609679936601E-3</v>
      </c>
      <c r="D96" s="23">
        <f>(Table13456789101112131415161734[[#This Row],[FRA]]-B84)/B84</f>
        <v>5.6785567855678475E-2</v>
      </c>
    </row>
    <row r="97" spans="1:4" x14ac:dyDescent="0.2">
      <c r="A97" s="21">
        <v>36008</v>
      </c>
      <c r="B97" s="79">
        <f>VLOOKUP(A97,Database!$A:$AS,MATCH($B$4,Database!$A$1:$AS$1,0),FALSE)</f>
        <v>100.48</v>
      </c>
      <c r="C97" s="22">
        <f>(Table13456789101112131415161734[[#This Row],[FRA]]-B96)/B96</f>
        <v>-2.5412221144519791E-2</v>
      </c>
      <c r="D97" s="23">
        <f>(Table13456789101112131415161734[[#This Row],[FRA]]-B85)/B85</f>
        <v>-8.4862837971186045E-3</v>
      </c>
    </row>
    <row r="98" spans="1:4" x14ac:dyDescent="0.2">
      <c r="A98" s="21">
        <v>36039</v>
      </c>
      <c r="B98" s="79">
        <f>VLOOKUP(A98,Database!$A:$AS,MATCH($B$4,Database!$A$1:$AS$1,0),FALSE)</f>
        <v>102.33</v>
      </c>
      <c r="C98" s="22">
        <f>(Table13456789101112131415161734[[#This Row],[FRA]]-B97)/B97</f>
        <v>1.84116242038216E-2</v>
      </c>
      <c r="D98" s="23">
        <f>(Table13456789101112131415161734[[#This Row],[FRA]]-B86)/B86</f>
        <v>3.426318981200728E-2</v>
      </c>
    </row>
    <row r="99" spans="1:4" x14ac:dyDescent="0.2">
      <c r="A99" s="21">
        <v>36069</v>
      </c>
      <c r="B99" s="79">
        <f>VLOOKUP(A99,Database!$A:$AS,MATCH($B$4,Database!$A$1:$AS$1,0),FALSE)</f>
        <v>102.39</v>
      </c>
      <c r="C99" s="22">
        <f>(Table13456789101112131415161734[[#This Row],[FRA]]-B98)/B98</f>
        <v>5.8633831720905183E-4</v>
      </c>
      <c r="D99" s="23">
        <f>(Table13456789101112131415161734[[#This Row],[FRA]]-B87)/B87</f>
        <v>9.564188522973761E-3</v>
      </c>
    </row>
    <row r="100" spans="1:4" x14ac:dyDescent="0.2">
      <c r="A100" s="21">
        <v>36100</v>
      </c>
      <c r="B100" s="79">
        <f>VLOOKUP(A100,Database!$A:$AS,MATCH($B$4,Database!$A$1:$AS$1,0),FALSE)</f>
        <v>102.99</v>
      </c>
      <c r="C100" s="22">
        <f>(Table13456789101112131415161734[[#This Row],[FRA]]-B99)/B99</f>
        <v>5.8599472604746001E-3</v>
      </c>
      <c r="D100" s="23">
        <f>(Table13456789101112131415161734[[#This Row],[FRA]]-B88)/B88</f>
        <v>3.9358159249167336E-2</v>
      </c>
    </row>
    <row r="101" spans="1:4" x14ac:dyDescent="0.2">
      <c r="A101" s="21">
        <v>36130</v>
      </c>
      <c r="B101" s="79">
        <f>VLOOKUP(A101,Database!$A:$AS,MATCH($B$4,Database!$A$1:$AS$1,0),FALSE)</f>
        <v>102.21</v>
      </c>
      <c r="C101" s="22">
        <f>(Table13456789101112131415161734[[#This Row],[FRA]]-B100)/B100</f>
        <v>-7.5735508301776984E-3</v>
      </c>
      <c r="D101" s="23">
        <f>(Table13456789101112131415161734[[#This Row],[FRA]]-B89)/B89</f>
        <v>1.127931136835857E-2</v>
      </c>
    </row>
    <row r="102" spans="1:4" x14ac:dyDescent="0.2">
      <c r="A102" s="21">
        <v>36161</v>
      </c>
      <c r="B102" s="79">
        <f>VLOOKUP(A102,Database!$A:$AS,MATCH($B$4,Database!$A$1:$AS$1,0),FALSE)</f>
        <v>102.49</v>
      </c>
      <c r="C102" s="22">
        <f>(Table13456789101112131415161734[[#This Row],[FRA]]-B101)/B101</f>
        <v>2.7394579786713742E-3</v>
      </c>
      <c r="D102" s="23">
        <f>(Table13456789101112131415161734[[#This Row],[FRA]]-B90)/B90</f>
        <v>1.4049668546551913E-2</v>
      </c>
    </row>
    <row r="103" spans="1:4" x14ac:dyDescent="0.2">
      <c r="A103" s="21">
        <v>36192</v>
      </c>
      <c r="B103" s="79">
        <f>VLOOKUP(A103,Database!$A:$AS,MATCH($B$4,Database!$A$1:$AS$1,0),FALSE)</f>
        <v>102.18</v>
      </c>
      <c r="C103" s="22">
        <f>(Table13456789101112131415161734[[#This Row],[FRA]]-B102)/B102</f>
        <v>-3.0246853351545331E-3</v>
      </c>
      <c r="D103" s="23">
        <f>(Table13456789101112131415161734[[#This Row],[FRA]]-B91)/B91</f>
        <v>4.0286921489634548E-3</v>
      </c>
    </row>
    <row r="104" spans="1:4" x14ac:dyDescent="0.2">
      <c r="A104" s="21">
        <v>36220</v>
      </c>
      <c r="B104" s="79">
        <f>VLOOKUP(A104,Database!$A:$AS,MATCH($B$4,Database!$A$1:$AS$1,0),FALSE)</f>
        <v>102.13</v>
      </c>
      <c r="C104" s="22">
        <f>(Table13456789101112131415161734[[#This Row],[FRA]]-B103)/B103</f>
        <v>-4.893325504013639E-4</v>
      </c>
      <c r="D104" s="23">
        <f>(Table13456789101112131415161734[[#This Row],[FRA]]-B92)/B92</f>
        <v>1.5511583971363253E-2</v>
      </c>
    </row>
    <row r="105" spans="1:4" x14ac:dyDescent="0.2">
      <c r="A105" s="21">
        <v>36251</v>
      </c>
      <c r="B105" s="79">
        <f>VLOOKUP(A105,Database!$A:$AS,MATCH($B$4,Database!$A$1:$AS$1,0),FALSE)</f>
        <v>102.92</v>
      </c>
      <c r="C105" s="22">
        <f>(Table13456789101112131415161734[[#This Row],[FRA]]-B104)/B104</f>
        <v>7.7352394007637942E-3</v>
      </c>
      <c r="D105" s="23">
        <f>(Table13456789101112131415161734[[#This Row],[FRA]]-B93)/B93</f>
        <v>1.0307254343771445E-2</v>
      </c>
    </row>
    <row r="106" spans="1:4" x14ac:dyDescent="0.2">
      <c r="A106" s="21">
        <v>36281</v>
      </c>
      <c r="B106" s="79">
        <f>VLOOKUP(A106,Database!$A:$AS,MATCH($B$4,Database!$A$1:$AS$1,0),FALSE)</f>
        <v>103.35</v>
      </c>
      <c r="C106" s="22">
        <f>(Table13456789101112131415161734[[#This Row],[FRA]]-B105)/B105</f>
        <v>4.1780023319082068E-3</v>
      </c>
      <c r="D106" s="23">
        <f>(Table13456789101112131415161734[[#This Row],[FRA]]-B94)/B94</f>
        <v>1.9389238972369232E-3</v>
      </c>
    </row>
    <row r="107" spans="1:4" x14ac:dyDescent="0.2">
      <c r="A107" s="21">
        <v>36312</v>
      </c>
      <c r="B107" s="79">
        <f>VLOOKUP(A107,Database!$A:$AS,MATCH($B$4,Database!$A$1:$AS$1,0),FALSE)</f>
        <v>104.77</v>
      </c>
      <c r="C107" s="22">
        <f>(Table13456789101112131415161734[[#This Row],[FRA]]-B106)/B106</f>
        <v>1.3739719400096776E-2</v>
      </c>
      <c r="D107" s="23">
        <f>(Table13456789101112131415161734[[#This Row],[FRA]]-B95)/B95</f>
        <v>2.2345823575331693E-2</v>
      </c>
    </row>
    <row r="108" spans="1:4" x14ac:dyDescent="0.2">
      <c r="A108" s="21">
        <v>36342</v>
      </c>
      <c r="B108" s="79">
        <f>VLOOKUP(A108,Database!$A:$AS,MATCH($B$4,Database!$A$1:$AS$1,0),FALSE)</f>
        <v>105.02</v>
      </c>
      <c r="C108" s="22">
        <f>(Table13456789101112131415161734[[#This Row],[FRA]]-B107)/B107</f>
        <v>2.3861792497852441E-3</v>
      </c>
      <c r="D108" s="23">
        <f>(Table13456789101112131415161734[[#This Row],[FRA]]-B96)/B96</f>
        <v>1.8622696411251229E-2</v>
      </c>
    </row>
    <row r="109" spans="1:4" x14ac:dyDescent="0.2">
      <c r="A109" s="21">
        <v>36373</v>
      </c>
      <c r="B109" s="79">
        <f>VLOOKUP(A109,Database!$A:$AS,MATCH($B$4,Database!$A$1:$AS$1,0),FALSE)</f>
        <v>103.04</v>
      </c>
      <c r="C109" s="22">
        <f>(Table13456789101112131415161734[[#This Row],[FRA]]-B108)/B108</f>
        <v>-1.8853551704437154E-2</v>
      </c>
      <c r="D109" s="23">
        <f>(Table13456789101112131415161734[[#This Row],[FRA]]-B97)/B97</f>
        <v>2.5477707006369449E-2</v>
      </c>
    </row>
    <row r="110" spans="1:4" x14ac:dyDescent="0.2">
      <c r="A110" s="21">
        <v>36404</v>
      </c>
      <c r="B110" s="79">
        <f>VLOOKUP(A110,Database!$A:$AS,MATCH($B$4,Database!$A$1:$AS$1,0),FALSE)</f>
        <v>105.87</v>
      </c>
      <c r="C110" s="22">
        <f>(Table13456789101112131415161734[[#This Row],[FRA]]-B109)/B109</f>
        <v>2.7465062111801223E-2</v>
      </c>
      <c r="D110" s="23">
        <f>(Table13456789101112131415161734[[#This Row],[FRA]]-B98)/B98</f>
        <v>3.4593960715332807E-2</v>
      </c>
    </row>
    <row r="111" spans="1:4" x14ac:dyDescent="0.2">
      <c r="A111" s="21">
        <v>36434</v>
      </c>
      <c r="B111" s="79">
        <f>VLOOKUP(A111,Database!$A:$AS,MATCH($B$4,Database!$A$1:$AS$1,0),FALSE)</f>
        <v>107.21</v>
      </c>
      <c r="C111" s="22">
        <f>(Table13456789101112131415161734[[#This Row],[FRA]]-B110)/B110</f>
        <v>1.2657032209313206E-2</v>
      </c>
      <c r="D111" s="23">
        <f>(Table13456789101112131415161734[[#This Row],[FRA]]-B99)/B99</f>
        <v>4.7074909659146333E-2</v>
      </c>
    </row>
    <row r="112" spans="1:4" x14ac:dyDescent="0.2">
      <c r="A112" s="21">
        <v>36465</v>
      </c>
      <c r="B112" s="79">
        <f>VLOOKUP(A112,Database!$A:$AS,MATCH($B$4,Database!$A$1:$AS$1,0),FALSE)</f>
        <v>107.26</v>
      </c>
      <c r="C112" s="22">
        <f>(Table13456789101112131415161734[[#This Row],[FRA]]-B111)/B111</f>
        <v>4.6637440537273921E-4</v>
      </c>
      <c r="D112" s="23">
        <f>(Table13456789101112131415161734[[#This Row],[FRA]]-B100)/B100</f>
        <v>4.1460335954947185E-2</v>
      </c>
    </row>
    <row r="113" spans="1:4" x14ac:dyDescent="0.2">
      <c r="A113" s="21">
        <v>36495</v>
      </c>
      <c r="B113" s="79">
        <f>VLOOKUP(A113,Database!$A:$AS,MATCH($B$4,Database!$A$1:$AS$1,0),FALSE)</f>
        <v>106.36</v>
      </c>
      <c r="C113" s="22">
        <f>(Table13456789101112131415161734[[#This Row],[FRA]]-B112)/B112</f>
        <v>-8.3908260302070267E-3</v>
      </c>
      <c r="D113" s="23">
        <f>(Table13456789101112131415161734[[#This Row],[FRA]]-B101)/B101</f>
        <v>4.0602680755307756E-2</v>
      </c>
    </row>
    <row r="114" spans="1:4" x14ac:dyDescent="0.2">
      <c r="A114" s="21">
        <v>36526</v>
      </c>
      <c r="B114" s="79">
        <f>VLOOKUP(A114,Database!$A:$AS,MATCH($B$4,Database!$A$1:$AS$1,0),FALSE)</f>
        <v>107.12</v>
      </c>
      <c r="C114" s="22">
        <f>(Table13456789101112131415161734[[#This Row],[FRA]]-B113)/B113</f>
        <v>7.1455434373825224E-3</v>
      </c>
      <c r="D114" s="23">
        <f>(Table13456789101112131415161734[[#This Row],[FRA]]-B102)/B102</f>
        <v>4.5175139037955017E-2</v>
      </c>
    </row>
    <row r="115" spans="1:4" x14ac:dyDescent="0.2">
      <c r="A115" s="21">
        <v>36557</v>
      </c>
      <c r="B115" s="79">
        <f>VLOOKUP(A115,Database!$A:$AS,MATCH($B$4,Database!$A$1:$AS$1,0),FALSE)</f>
        <v>107.45</v>
      </c>
      <c r="C115" s="22">
        <f>(Table13456789101112131415161734[[#This Row],[FRA]]-B114)/B114</f>
        <v>3.0806572068707832E-3</v>
      </c>
      <c r="D115" s="23">
        <f>(Table13456789101112131415161734[[#This Row],[FRA]]-B103)/B103</f>
        <v>5.1575650812291991E-2</v>
      </c>
    </row>
    <row r="116" spans="1:4" x14ac:dyDescent="0.2">
      <c r="A116" s="21">
        <v>36586</v>
      </c>
      <c r="B116" s="79">
        <f>VLOOKUP(A116,Database!$A:$AS,MATCH($B$4,Database!$A$1:$AS$1,0),FALSE)</f>
        <v>108.14</v>
      </c>
      <c r="C116" s="22">
        <f>(Table13456789101112131415161734[[#This Row],[FRA]]-B115)/B115</f>
        <v>6.4215914378780619E-3</v>
      </c>
      <c r="D116" s="23">
        <f>(Table13456789101112131415161734[[#This Row],[FRA]]-B104)/B104</f>
        <v>5.8846568099481106E-2</v>
      </c>
    </row>
    <row r="117" spans="1:4" x14ac:dyDescent="0.2">
      <c r="A117" s="21">
        <v>36617</v>
      </c>
      <c r="B117" s="79">
        <f>VLOOKUP(A117,Database!$A:$AS,MATCH($B$4,Database!$A$1:$AS$1,0),FALSE)</f>
        <v>108.76</v>
      </c>
      <c r="C117" s="22">
        <f>(Table13456789101112131415161734[[#This Row],[FRA]]-B116)/B116</f>
        <v>5.7333086739412295E-3</v>
      </c>
      <c r="D117" s="23">
        <f>(Table13456789101112131415161734[[#This Row],[FRA]]-B105)/B105</f>
        <v>5.6743101438010139E-2</v>
      </c>
    </row>
    <row r="118" spans="1:4" x14ac:dyDescent="0.2">
      <c r="A118" s="21">
        <v>36647</v>
      </c>
      <c r="B118" s="79">
        <f>VLOOKUP(A118,Database!$A:$AS,MATCH($B$4,Database!$A$1:$AS$1,0),FALSE)</f>
        <v>110.11</v>
      </c>
      <c r="C118" s="22">
        <f>(Table13456789101112131415161734[[#This Row],[FRA]]-B117)/B117</f>
        <v>1.2412651710187517E-2</v>
      </c>
      <c r="D118" s="23">
        <f>(Table13456789101112131415161734[[#This Row],[FRA]]-B106)/B106</f>
        <v>6.5408805031446596E-2</v>
      </c>
    </row>
    <row r="119" spans="1:4" x14ac:dyDescent="0.2">
      <c r="A119" s="21">
        <v>36678</v>
      </c>
      <c r="B119" s="79">
        <f>VLOOKUP(A119,Database!$A:$AS,MATCH($B$4,Database!$A$1:$AS$1,0),FALSE)</f>
        <v>108.69</v>
      </c>
      <c r="C119" s="22">
        <f>(Table13456789101112131415161734[[#This Row],[FRA]]-B118)/B118</f>
        <v>-1.2896194714376549E-2</v>
      </c>
      <c r="D119" s="23">
        <f>(Table13456789101112131415161734[[#This Row],[FRA]]-B107)/B107</f>
        <v>3.7415290636632639E-2</v>
      </c>
    </row>
    <row r="120" spans="1:4" x14ac:dyDescent="0.2">
      <c r="A120" s="21">
        <v>36708</v>
      </c>
      <c r="B120" s="79">
        <f>VLOOKUP(A120,Database!$A:$AS,MATCH($B$4,Database!$A$1:$AS$1,0),FALSE)</f>
        <v>109.96</v>
      </c>
      <c r="C120" s="22">
        <f>(Table13456789101112131415161734[[#This Row],[FRA]]-B119)/B119</f>
        <v>1.1684607599595142E-2</v>
      </c>
      <c r="D120" s="23">
        <f>(Table13456789101112131415161734[[#This Row],[FRA]]-B108)/B108</f>
        <v>4.7038659302989887E-2</v>
      </c>
    </row>
    <row r="121" spans="1:4" x14ac:dyDescent="0.2">
      <c r="A121" s="21">
        <v>36739</v>
      </c>
      <c r="B121" s="79">
        <f>VLOOKUP(A121,Database!$A:$AS,MATCH($B$4,Database!$A$1:$AS$1,0),FALSE)</f>
        <v>108.97</v>
      </c>
      <c r="C121" s="22">
        <f>(Table13456789101112131415161734[[#This Row],[FRA]]-B120)/B120</f>
        <v>-9.0032739177882404E-3</v>
      </c>
      <c r="D121" s="23">
        <f>(Table13456789101112131415161734[[#This Row],[FRA]]-B109)/B109</f>
        <v>5.7550465838509243E-2</v>
      </c>
    </row>
    <row r="122" spans="1:4" x14ac:dyDescent="0.2">
      <c r="A122" s="21">
        <v>36770</v>
      </c>
      <c r="B122" s="79">
        <f>VLOOKUP(A122,Database!$A:$AS,MATCH($B$4,Database!$A$1:$AS$1,0),FALSE)</f>
        <v>109.26</v>
      </c>
      <c r="C122" s="22">
        <f>(Table13456789101112131415161734[[#This Row],[FRA]]-B121)/B121</f>
        <v>2.661282921905169E-3</v>
      </c>
      <c r="D122" s="23">
        <f>(Table13456789101112131415161734[[#This Row],[FRA]]-B110)/B110</f>
        <v>3.2020402380277702E-2</v>
      </c>
    </row>
    <row r="123" spans="1:4" x14ac:dyDescent="0.2">
      <c r="A123" s="21">
        <v>36800</v>
      </c>
      <c r="B123" s="79">
        <f>VLOOKUP(A123,Database!$A:$AS,MATCH($B$4,Database!$A$1:$AS$1,0),FALSE)</f>
        <v>110.46</v>
      </c>
      <c r="C123" s="22">
        <f>(Table13456789101112131415161734[[#This Row],[FRA]]-B122)/B122</f>
        <v>1.0982976386600665E-2</v>
      </c>
      <c r="D123" s="23">
        <f>(Table13456789101112131415161734[[#This Row],[FRA]]-B111)/B111</f>
        <v>3.0314336349221156E-2</v>
      </c>
    </row>
    <row r="124" spans="1:4" x14ac:dyDescent="0.2">
      <c r="A124" s="21">
        <v>36831</v>
      </c>
      <c r="B124" s="79">
        <f>VLOOKUP(A124,Database!$A:$AS,MATCH($B$4,Database!$A$1:$AS$1,0),FALSE)</f>
        <v>110.25</v>
      </c>
      <c r="C124" s="22">
        <f>(Table13456789101112131415161734[[#This Row],[FRA]]-B123)/B123</f>
        <v>-1.9011406844105898E-3</v>
      </c>
      <c r="D124" s="23">
        <f>(Table13456789101112131415161734[[#This Row],[FRA]]-B112)/B112</f>
        <v>2.7876188700354229E-2</v>
      </c>
    </row>
    <row r="125" spans="1:4" x14ac:dyDescent="0.2">
      <c r="A125" s="21">
        <v>36861</v>
      </c>
      <c r="B125" s="79">
        <f>VLOOKUP(A125,Database!$A:$AS,MATCH($B$4,Database!$A$1:$AS$1,0),FALSE)</f>
        <v>111.22</v>
      </c>
      <c r="C125" s="22">
        <f>(Table13456789101112131415161734[[#This Row],[FRA]]-B124)/B124</f>
        <v>8.7981859410430734E-3</v>
      </c>
      <c r="D125" s="23">
        <f>(Table13456789101112131415161734[[#This Row],[FRA]]-B113)/B113</f>
        <v>4.5693869875893189E-2</v>
      </c>
    </row>
    <row r="126" spans="1:4" x14ac:dyDescent="0.2">
      <c r="A126" s="21">
        <v>36892</v>
      </c>
      <c r="B126" s="79">
        <f>VLOOKUP(A126,Database!$A:$AS,MATCH($B$4,Database!$A$1:$AS$1,0),FALSE)</f>
        <v>110.79</v>
      </c>
      <c r="C126" s="22">
        <f>(Table13456789101112131415161734[[#This Row],[FRA]]-B125)/B125</f>
        <v>-3.8662111131090868E-3</v>
      </c>
      <c r="D126" s="23">
        <f>(Table13456789101112131415161734[[#This Row],[FRA]]-B114)/B114</f>
        <v>3.426064227035102E-2</v>
      </c>
    </row>
    <row r="127" spans="1:4" x14ac:dyDescent="0.2">
      <c r="A127" s="21">
        <v>36923</v>
      </c>
      <c r="B127" s="79">
        <f>VLOOKUP(A127,Database!$A:$AS,MATCH($B$4,Database!$A$1:$AS$1,0),FALSE)</f>
        <v>111.52</v>
      </c>
      <c r="C127" s="22">
        <f>(Table13456789101112131415161734[[#This Row],[FRA]]-B126)/B126</f>
        <v>6.5890423323403712E-3</v>
      </c>
      <c r="D127" s="23">
        <f>(Table13456789101112131415161734[[#This Row],[FRA]]-B115)/B115</f>
        <v>3.787808282922283E-2</v>
      </c>
    </row>
    <row r="128" spans="1:4" x14ac:dyDescent="0.2">
      <c r="A128" s="21">
        <v>36951</v>
      </c>
      <c r="B128" s="79">
        <f>VLOOKUP(A128,Database!$A:$AS,MATCH($B$4,Database!$A$1:$AS$1,0),FALSE)</f>
        <v>111.99</v>
      </c>
      <c r="C128" s="22">
        <f>(Table13456789101112131415161734[[#This Row],[FRA]]-B127)/B127</f>
        <v>4.2144906743184982E-3</v>
      </c>
      <c r="D128" s="23">
        <f>(Table13456789101112131415161734[[#This Row],[FRA]]-B116)/B116</f>
        <v>3.5601997410763773E-2</v>
      </c>
    </row>
    <row r="129" spans="1:4" x14ac:dyDescent="0.2">
      <c r="A129" s="21">
        <v>36982</v>
      </c>
      <c r="B129" s="79">
        <f>VLOOKUP(A129,Database!$A:$AS,MATCH($B$4,Database!$A$1:$AS$1,0),FALSE)</f>
        <v>110.16</v>
      </c>
      <c r="C129" s="22">
        <f>(Table13456789101112131415161734[[#This Row],[FRA]]-B128)/B128</f>
        <v>-1.6340744709349035E-2</v>
      </c>
      <c r="D129" s="23">
        <f>(Table13456789101112131415161734[[#This Row],[FRA]]-B117)/B117</f>
        <v>1.2872379551305548E-2</v>
      </c>
    </row>
    <row r="130" spans="1:4" x14ac:dyDescent="0.2">
      <c r="A130" s="21">
        <v>37012</v>
      </c>
      <c r="B130" s="79">
        <f>VLOOKUP(A130,Database!$A:$AS,MATCH($B$4,Database!$A$1:$AS$1,0),FALSE)</f>
        <v>110.99</v>
      </c>
      <c r="C130" s="22">
        <f>(Table13456789101112131415161734[[#This Row],[FRA]]-B129)/B129</f>
        <v>7.5344952795933038E-3</v>
      </c>
      <c r="D130" s="23">
        <f>(Table13456789101112131415161734[[#This Row],[FRA]]-B118)/B118</f>
        <v>7.9920079920079504E-3</v>
      </c>
    </row>
    <row r="131" spans="1:4" x14ac:dyDescent="0.2">
      <c r="A131" s="21">
        <v>37043</v>
      </c>
      <c r="B131" s="79">
        <f>VLOOKUP(A131,Database!$A:$AS,MATCH($B$4,Database!$A$1:$AS$1,0),FALSE)</f>
        <v>111.02</v>
      </c>
      <c r="C131" s="22">
        <f>(Table13456789101112131415161734[[#This Row],[FRA]]-B130)/B130</f>
        <v>2.7029462113704964E-4</v>
      </c>
      <c r="D131" s="23">
        <f>(Table13456789101112131415161734[[#This Row],[FRA]]-B119)/B119</f>
        <v>2.1437114729965942E-2</v>
      </c>
    </row>
    <row r="132" spans="1:4" x14ac:dyDescent="0.2">
      <c r="A132" s="21">
        <v>37073</v>
      </c>
      <c r="B132" s="79">
        <f>VLOOKUP(A132,Database!$A:$AS,MATCH($B$4,Database!$A$1:$AS$1,0),FALSE)</f>
        <v>109.48</v>
      </c>
      <c r="C132" s="22">
        <f>(Table13456789101112131415161734[[#This Row],[FRA]]-B131)/B131</f>
        <v>-1.387137452711216E-2</v>
      </c>
      <c r="D132" s="23">
        <f>(Table13456789101112131415161734[[#This Row],[FRA]]-B120)/B120</f>
        <v>-4.3652237177154397E-3</v>
      </c>
    </row>
    <row r="133" spans="1:4" x14ac:dyDescent="0.2">
      <c r="A133" s="21">
        <v>37104</v>
      </c>
      <c r="B133" s="79">
        <f>VLOOKUP(A133,Database!$A:$AS,MATCH($B$4,Database!$A$1:$AS$1,0),FALSE)</f>
        <v>112.19</v>
      </c>
      <c r="C133" s="22">
        <f>(Table13456789101112131415161734[[#This Row],[FRA]]-B132)/B132</f>
        <v>2.4753379612714593E-2</v>
      </c>
      <c r="D133" s="23">
        <f>(Table13456789101112131415161734[[#This Row],[FRA]]-B121)/B121</f>
        <v>2.9549417270808471E-2</v>
      </c>
    </row>
    <row r="134" spans="1:4" x14ac:dyDescent="0.2">
      <c r="A134" s="21">
        <v>37135</v>
      </c>
      <c r="B134" s="79">
        <f>VLOOKUP(A134,Database!$A:$AS,MATCH($B$4,Database!$A$1:$AS$1,0),FALSE)</f>
        <v>110.49</v>
      </c>
      <c r="C134" s="22">
        <f>(Table13456789101112131415161734[[#This Row],[FRA]]-B133)/B133</f>
        <v>-1.5152865674302548E-2</v>
      </c>
      <c r="D134" s="23">
        <f>(Table13456789101112131415161734[[#This Row],[FRA]]-B122)/B122</f>
        <v>1.1257550796265694E-2</v>
      </c>
    </row>
    <row r="135" spans="1:4" x14ac:dyDescent="0.2">
      <c r="A135" s="21">
        <v>37165</v>
      </c>
      <c r="B135" s="79">
        <f>VLOOKUP(A135,Database!$A:$AS,MATCH($B$4,Database!$A$1:$AS$1,0),FALSE)</f>
        <v>109.73</v>
      </c>
      <c r="C135" s="22">
        <f>(Table13456789101112131415161734[[#This Row],[FRA]]-B134)/B134</f>
        <v>-6.8784505385101908E-3</v>
      </c>
      <c r="D135" s="23">
        <f>(Table13456789101112131415161734[[#This Row],[FRA]]-B123)/B123</f>
        <v>-6.6087271410464402E-3</v>
      </c>
    </row>
    <row r="136" spans="1:4" x14ac:dyDescent="0.2">
      <c r="A136" s="21">
        <v>37196</v>
      </c>
      <c r="B136" s="79">
        <f>VLOOKUP(A136,Database!$A:$AS,MATCH($B$4,Database!$A$1:$AS$1,0),FALSE)</f>
        <v>108.49</v>
      </c>
      <c r="C136" s="22">
        <f>(Table13456789101112131415161734[[#This Row],[FRA]]-B135)/B135</f>
        <v>-1.1300464777180434E-2</v>
      </c>
      <c r="D136" s="23">
        <f>(Table13456789101112131415161734[[#This Row],[FRA]]-B124)/B124</f>
        <v>-1.5963718820861724E-2</v>
      </c>
    </row>
    <row r="137" spans="1:4" x14ac:dyDescent="0.2">
      <c r="A137" s="21">
        <v>37226</v>
      </c>
      <c r="B137" s="79">
        <f>VLOOKUP(A137,Database!$A:$AS,MATCH($B$4,Database!$A$1:$AS$1,0),FALSE)</f>
        <v>109.19</v>
      </c>
      <c r="C137" s="22">
        <f>(Table13456789101112131415161734[[#This Row],[FRA]]-B136)/B136</f>
        <v>6.4522075767352097E-3</v>
      </c>
      <c r="D137" s="23">
        <f>(Table13456789101112131415161734[[#This Row],[FRA]]-B125)/B125</f>
        <v>-1.8252112929329267E-2</v>
      </c>
    </row>
    <row r="138" spans="1:4" x14ac:dyDescent="0.2">
      <c r="A138" s="21">
        <v>37257</v>
      </c>
      <c r="B138" s="79">
        <f>VLOOKUP(A138,Database!$A:$AS,MATCH($B$4,Database!$A$1:$AS$1,0),FALSE)</f>
        <v>109.15</v>
      </c>
      <c r="C138" s="22">
        <f>(Table13456789101112131415161734[[#This Row],[FRA]]-B137)/B137</f>
        <v>-3.6633391336195664E-4</v>
      </c>
      <c r="D138" s="23">
        <f>(Table13456789101112131415161734[[#This Row],[FRA]]-B126)/B126</f>
        <v>-1.4802780034299129E-2</v>
      </c>
    </row>
    <row r="139" spans="1:4" x14ac:dyDescent="0.2">
      <c r="A139" s="21">
        <v>37288</v>
      </c>
      <c r="B139" s="79">
        <f>VLOOKUP(A139,Database!$A:$AS,MATCH($B$4,Database!$A$1:$AS$1,0),FALSE)</f>
        <v>109.53</v>
      </c>
      <c r="C139" s="22">
        <f>(Table13456789101112131415161734[[#This Row],[FRA]]-B138)/B138</f>
        <v>3.4814475492441176E-3</v>
      </c>
      <c r="D139" s="23">
        <f>(Table13456789101112131415161734[[#This Row],[FRA]]-B127)/B127</f>
        <v>-1.7844332855093212E-2</v>
      </c>
    </row>
    <row r="140" spans="1:4" x14ac:dyDescent="0.2">
      <c r="A140" s="21">
        <v>37316</v>
      </c>
      <c r="B140" s="79">
        <f>VLOOKUP(A140,Database!$A:$AS,MATCH($B$4,Database!$A$1:$AS$1,0),FALSE)</f>
        <v>110.07</v>
      </c>
      <c r="C140" s="22">
        <f>(Table13456789101112131415161734[[#This Row],[FRA]]-B139)/B139</f>
        <v>4.9301561216104446E-3</v>
      </c>
      <c r="D140" s="23">
        <f>(Table13456789101112131415161734[[#This Row],[FRA]]-B128)/B128</f>
        <v>-1.7144387891776067E-2</v>
      </c>
    </row>
    <row r="141" spans="1:4" x14ac:dyDescent="0.2">
      <c r="A141" s="21">
        <v>37347</v>
      </c>
      <c r="B141" s="79">
        <f>VLOOKUP(A141,Database!$A:$AS,MATCH($B$4,Database!$A$1:$AS$1,0),FALSE)</f>
        <v>110.76</v>
      </c>
      <c r="C141" s="22">
        <f>(Table13456789101112131415161734[[#This Row],[FRA]]-B140)/B140</f>
        <v>6.2687380757700736E-3</v>
      </c>
      <c r="D141" s="23">
        <f>(Table13456789101112131415161734[[#This Row],[FRA]]-B129)/B129</f>
        <v>5.4466230936819947E-3</v>
      </c>
    </row>
    <row r="142" spans="1:4" x14ac:dyDescent="0.2">
      <c r="A142" s="21">
        <v>37377</v>
      </c>
      <c r="B142" s="79">
        <f>VLOOKUP(A142,Database!$A:$AS,MATCH($B$4,Database!$A$1:$AS$1,0),FALSE)</f>
        <v>109.81</v>
      </c>
      <c r="C142" s="22">
        <f>(Table13456789101112131415161734[[#This Row],[FRA]]-B141)/B141</f>
        <v>-8.5771036475262089E-3</v>
      </c>
      <c r="D142" s="23">
        <f>(Table13456789101112131415161734[[#This Row],[FRA]]-B130)/B130</f>
        <v>-1.0631588431390148E-2</v>
      </c>
    </row>
    <row r="143" spans="1:4" x14ac:dyDescent="0.2">
      <c r="A143" s="21">
        <v>37408</v>
      </c>
      <c r="B143" s="79">
        <f>VLOOKUP(A143,Database!$A:$AS,MATCH($B$4,Database!$A$1:$AS$1,0),FALSE)</f>
        <v>109.61</v>
      </c>
      <c r="C143" s="22">
        <f>(Table13456789101112131415161734[[#This Row],[FRA]]-B142)/B142</f>
        <v>-1.8213277479282655E-3</v>
      </c>
      <c r="D143" s="23">
        <f>(Table13456789101112131415161734[[#This Row],[FRA]]-B131)/B131</f>
        <v>-1.2700414339758572E-2</v>
      </c>
    </row>
    <row r="144" spans="1:4" x14ac:dyDescent="0.2">
      <c r="A144" s="21">
        <v>37438</v>
      </c>
      <c r="B144" s="79">
        <f>VLOOKUP(A144,Database!$A:$AS,MATCH($B$4,Database!$A$1:$AS$1,0),FALSE)</f>
        <v>108.49</v>
      </c>
      <c r="C144" s="22">
        <f>(Table13456789101112131415161734[[#This Row],[FRA]]-B143)/B143</f>
        <v>-1.0218045798741032E-2</v>
      </c>
      <c r="D144" s="23">
        <f>(Table13456789101112131415161734[[#This Row],[FRA]]-B132)/B132</f>
        <v>-9.0427475337962106E-3</v>
      </c>
    </row>
    <row r="145" spans="1:4" x14ac:dyDescent="0.2">
      <c r="A145" s="21">
        <v>37469</v>
      </c>
      <c r="B145" s="79">
        <f>VLOOKUP(A145,Database!$A:$AS,MATCH($B$4,Database!$A$1:$AS$1,0),FALSE)</f>
        <v>110.52</v>
      </c>
      <c r="C145" s="22">
        <f>(Table13456789101112131415161734[[#This Row],[FRA]]-B144)/B144</f>
        <v>1.8711401972532044E-2</v>
      </c>
      <c r="D145" s="23">
        <f>(Table13456789101112131415161734[[#This Row],[FRA]]-B133)/B133</f>
        <v>-1.4885462162403081E-2</v>
      </c>
    </row>
    <row r="146" spans="1:4" x14ac:dyDescent="0.2">
      <c r="A146" s="21">
        <v>37500</v>
      </c>
      <c r="B146" s="79">
        <f>VLOOKUP(A146,Database!$A:$AS,MATCH($B$4,Database!$A$1:$AS$1,0),FALSE)</f>
        <v>109.15</v>
      </c>
      <c r="C146" s="22">
        <f>(Table13456789101112131415161734[[#This Row],[FRA]]-B145)/B145</f>
        <v>-1.2395946435034296E-2</v>
      </c>
      <c r="D146" s="23">
        <f>(Table13456789101112131415161734[[#This Row],[FRA]]-B134)/B134</f>
        <v>-1.2127794370531172E-2</v>
      </c>
    </row>
    <row r="147" spans="1:4" x14ac:dyDescent="0.2">
      <c r="A147" s="21">
        <v>37530</v>
      </c>
      <c r="B147" s="79">
        <f>VLOOKUP(A147,Database!$A:$AS,MATCH($B$4,Database!$A$1:$AS$1,0),FALSE)</f>
        <v>108.29</v>
      </c>
      <c r="C147" s="22">
        <f>(Table13456789101112131415161734[[#This Row],[FRA]]-B146)/B146</f>
        <v>-7.8790655061841443E-3</v>
      </c>
      <c r="D147" s="23">
        <f>(Table13456789101112131415161734[[#This Row],[FRA]]-B135)/B135</f>
        <v>-1.3123120386402967E-2</v>
      </c>
    </row>
    <row r="148" spans="1:4" x14ac:dyDescent="0.2">
      <c r="A148" s="21">
        <v>37561</v>
      </c>
      <c r="B148" s="79">
        <f>VLOOKUP(A148,Database!$A:$AS,MATCH($B$4,Database!$A$1:$AS$1,0),FALSE)</f>
        <v>109.34</v>
      </c>
      <c r="C148" s="22">
        <f>(Table13456789101112131415161734[[#This Row],[FRA]]-B147)/B147</f>
        <v>9.6961861667743746E-3</v>
      </c>
      <c r="D148" s="23">
        <f>(Table13456789101112131415161734[[#This Row],[FRA]]-B136)/B136</f>
        <v>7.8348234860356591E-3</v>
      </c>
    </row>
    <row r="149" spans="1:4" x14ac:dyDescent="0.2">
      <c r="A149" s="21">
        <v>37591</v>
      </c>
      <c r="B149" s="79">
        <f>VLOOKUP(A149,Database!$A:$AS,MATCH($B$4,Database!$A$1:$AS$1,0),FALSE)</f>
        <v>106.75</v>
      </c>
      <c r="C149" s="22">
        <f>(Table13456789101112131415161734[[#This Row],[FRA]]-B148)/B148</f>
        <v>-2.3687580025608224E-2</v>
      </c>
      <c r="D149" s="23">
        <f>(Table13456789101112131415161734[[#This Row],[FRA]]-B137)/B137</f>
        <v>-2.2346368715083779E-2</v>
      </c>
    </row>
    <row r="150" spans="1:4" x14ac:dyDescent="0.2">
      <c r="A150" s="21">
        <v>37622</v>
      </c>
      <c r="B150" s="79">
        <f>VLOOKUP(A150,Database!$A:$AS,MATCH($B$4,Database!$A$1:$AS$1,0),FALSE)</f>
        <v>108.95</v>
      </c>
      <c r="C150" s="22">
        <f>(Table13456789101112131415161734[[#This Row],[FRA]]-B149)/B149</f>
        <v>2.0608899297423915E-2</v>
      </c>
      <c r="D150" s="23">
        <f>(Table13456789101112131415161734[[#This Row],[FRA]]-B138)/B138</f>
        <v>-1.8323408153916889E-3</v>
      </c>
    </row>
    <row r="151" spans="1:4" x14ac:dyDescent="0.2">
      <c r="A151" s="21">
        <v>37653</v>
      </c>
      <c r="B151" s="79">
        <f>VLOOKUP(A151,Database!$A:$AS,MATCH($B$4,Database!$A$1:$AS$1,0),FALSE)</f>
        <v>109.95</v>
      </c>
      <c r="C151" s="22">
        <f>(Table13456789101112131415161734[[#This Row],[FRA]]-B150)/B150</f>
        <v>9.1785222579164744E-3</v>
      </c>
      <c r="D151" s="23">
        <f>(Table13456789101112131415161734[[#This Row],[FRA]]-B139)/B139</f>
        <v>3.8345658723637514E-3</v>
      </c>
    </row>
    <row r="152" spans="1:4" x14ac:dyDescent="0.2">
      <c r="A152" s="21">
        <v>37681</v>
      </c>
      <c r="B152" s="79">
        <f>VLOOKUP(A152,Database!$A:$AS,MATCH($B$4,Database!$A$1:$AS$1,0),FALSE)</f>
        <v>109.08</v>
      </c>
      <c r="C152" s="22">
        <f>(Table13456789101112131415161734[[#This Row],[FRA]]-B151)/B151</f>
        <v>-7.9126875852660716E-3</v>
      </c>
      <c r="D152" s="23">
        <f>(Table13456789101112131415161734[[#This Row],[FRA]]-B140)/B140</f>
        <v>-8.9942763695829465E-3</v>
      </c>
    </row>
    <row r="153" spans="1:4" x14ac:dyDescent="0.2">
      <c r="A153" s="21">
        <v>37712</v>
      </c>
      <c r="B153" s="79">
        <f>VLOOKUP(A153,Database!$A:$AS,MATCH($B$4,Database!$A$1:$AS$1,0),FALSE)</f>
        <v>109.11</v>
      </c>
      <c r="C153" s="22">
        <f>(Table13456789101112131415161734[[#This Row],[FRA]]-B152)/B152</f>
        <v>2.7502750275028548E-4</v>
      </c>
      <c r="D153" s="23">
        <f>(Table13456789101112131415161734[[#This Row],[FRA]]-B141)/B141</f>
        <v>-1.4897074756229737E-2</v>
      </c>
    </row>
    <row r="154" spans="1:4" x14ac:dyDescent="0.2">
      <c r="A154" s="21">
        <v>37742</v>
      </c>
      <c r="B154" s="79">
        <f>VLOOKUP(A154,Database!$A:$AS,MATCH($B$4,Database!$A$1:$AS$1,0),FALSE)</f>
        <v>106.52</v>
      </c>
      <c r="C154" s="22">
        <f>(Table13456789101112131415161734[[#This Row],[FRA]]-B153)/B153</f>
        <v>-2.3737512601961355E-2</v>
      </c>
      <c r="D154" s="23">
        <f>(Table13456789101112131415161734[[#This Row],[FRA]]-B142)/B142</f>
        <v>-2.9960841453419599E-2</v>
      </c>
    </row>
    <row r="155" spans="1:4" x14ac:dyDescent="0.2">
      <c r="A155" s="21">
        <v>37773</v>
      </c>
      <c r="B155" s="79">
        <f>VLOOKUP(A155,Database!$A:$AS,MATCH($B$4,Database!$A$1:$AS$1,0),FALSE)</f>
        <v>106.26</v>
      </c>
      <c r="C155" s="22">
        <f>(Table13456789101112131415161734[[#This Row],[FRA]]-B154)/B154</f>
        <v>-2.4408561772436247E-3</v>
      </c>
      <c r="D155" s="23">
        <f>(Table13456789101112131415161734[[#This Row],[FRA]]-B143)/B143</f>
        <v>-3.0562904844448447E-2</v>
      </c>
    </row>
    <row r="156" spans="1:4" x14ac:dyDescent="0.2">
      <c r="A156" s="21">
        <v>37803</v>
      </c>
      <c r="B156" s="79">
        <f>VLOOKUP(A156,Database!$A:$AS,MATCH($B$4,Database!$A$1:$AS$1,0),FALSE)</f>
        <v>108.12</v>
      </c>
      <c r="C156" s="22">
        <f>(Table13456789101112131415161734[[#This Row],[FRA]]-B155)/B155</f>
        <v>1.7504234895539237E-2</v>
      </c>
      <c r="D156" s="23">
        <f>(Table13456789101112131415161734[[#This Row],[FRA]]-B144)/B144</f>
        <v>-3.4104525762742219E-3</v>
      </c>
    </row>
    <row r="157" spans="1:4" x14ac:dyDescent="0.2">
      <c r="A157" s="21">
        <v>37834</v>
      </c>
      <c r="B157" s="79">
        <f>VLOOKUP(A157,Database!$A:$AS,MATCH($B$4,Database!$A$1:$AS$1,0),FALSE)</f>
        <v>107.69</v>
      </c>
      <c r="C157" s="22">
        <f>(Table13456789101112131415161734[[#This Row],[FRA]]-B156)/B156</f>
        <v>-3.9770625231225192E-3</v>
      </c>
      <c r="D157" s="23">
        <f>(Table13456789101112131415161734[[#This Row],[FRA]]-B145)/B145</f>
        <v>-2.5606225117625756E-2</v>
      </c>
    </row>
    <row r="158" spans="1:4" x14ac:dyDescent="0.2">
      <c r="A158" s="21">
        <v>37865</v>
      </c>
      <c r="B158" s="79">
        <f>VLOOKUP(A158,Database!$A:$AS,MATCH($B$4,Database!$A$1:$AS$1,0),FALSE)</f>
        <v>107.28</v>
      </c>
      <c r="C158" s="22">
        <f>(Table13456789101112131415161734[[#This Row],[FRA]]-B157)/B157</f>
        <v>-3.807224440523694E-3</v>
      </c>
      <c r="D158" s="23">
        <f>(Table13456789101112131415161734[[#This Row],[FRA]]-B146)/B146</f>
        <v>-1.7132386623912088E-2</v>
      </c>
    </row>
    <row r="159" spans="1:4" x14ac:dyDescent="0.2">
      <c r="A159" s="21">
        <v>37895</v>
      </c>
      <c r="B159" s="79">
        <f>VLOOKUP(A159,Database!$A:$AS,MATCH($B$4,Database!$A$1:$AS$1,0),FALSE)</f>
        <v>109.88</v>
      </c>
      <c r="C159" s="22">
        <f>(Table13456789101112131415161734[[#This Row],[FRA]]-B158)/B158</f>
        <v>2.4235645041014116E-2</v>
      </c>
      <c r="D159" s="23">
        <f>(Table13456789101112131415161734[[#This Row],[FRA]]-B147)/B147</f>
        <v>1.4682796195401138E-2</v>
      </c>
    </row>
    <row r="160" spans="1:4" x14ac:dyDescent="0.2">
      <c r="A160" s="21">
        <v>37926</v>
      </c>
      <c r="B160" s="79">
        <f>VLOOKUP(A160,Database!$A:$AS,MATCH($B$4,Database!$A$1:$AS$1,0),FALSE)</f>
        <v>107.75</v>
      </c>
      <c r="C160" s="22">
        <f>(Table13456789101112131415161734[[#This Row],[FRA]]-B159)/B159</f>
        <v>-1.9384783400072766E-2</v>
      </c>
      <c r="D160" s="23">
        <f>(Table13456789101112131415161734[[#This Row],[FRA]]-B148)/B148</f>
        <v>-1.4541796231937108E-2</v>
      </c>
    </row>
    <row r="161" spans="1:4" x14ac:dyDescent="0.2">
      <c r="A161" s="21">
        <v>37956</v>
      </c>
      <c r="B161" s="79">
        <f>VLOOKUP(A161,Database!$A:$AS,MATCH($B$4,Database!$A$1:$AS$1,0),FALSE)</f>
        <v>108.4</v>
      </c>
      <c r="C161" s="22">
        <f>(Table13456789101112131415161734[[#This Row],[FRA]]-B160)/B160</f>
        <v>6.0324825986079415E-3</v>
      </c>
      <c r="D161" s="23">
        <f>(Table13456789101112131415161734[[#This Row],[FRA]]-B149)/B149</f>
        <v>1.5456674473067969E-2</v>
      </c>
    </row>
    <row r="162" spans="1:4" x14ac:dyDescent="0.2">
      <c r="A162" s="21">
        <v>37987</v>
      </c>
      <c r="B162" s="79">
        <f>VLOOKUP(A162,Database!$A:$AS,MATCH($B$4,Database!$A$1:$AS$1,0),FALSE)</f>
        <v>109.1</v>
      </c>
      <c r="C162" s="22">
        <f>(Table13456789101112131415161734[[#This Row],[FRA]]-B161)/B161</f>
        <v>6.4575645756456516E-3</v>
      </c>
      <c r="D162" s="23">
        <f>(Table13456789101112131415161734[[#This Row],[FRA]]-B150)/B150</f>
        <v>1.376778338687393E-3</v>
      </c>
    </row>
    <row r="163" spans="1:4" x14ac:dyDescent="0.2">
      <c r="A163" s="21">
        <v>38018</v>
      </c>
      <c r="B163" s="79">
        <f>VLOOKUP(A163,Database!$A:$AS,MATCH($B$4,Database!$A$1:$AS$1,0),FALSE)</f>
        <v>110.19</v>
      </c>
      <c r="C163" s="22">
        <f>(Table13456789101112131415161734[[#This Row],[FRA]]-B162)/B162</f>
        <v>9.9908340971586011E-3</v>
      </c>
      <c r="D163" s="23">
        <f>(Table13456789101112131415161734[[#This Row],[FRA]]-B151)/B151</f>
        <v>2.182810368349203E-3</v>
      </c>
    </row>
    <row r="164" spans="1:4" x14ac:dyDescent="0.2">
      <c r="A164" s="21">
        <v>38047</v>
      </c>
      <c r="B164" s="79">
        <f>VLOOKUP(A164,Database!$A:$AS,MATCH($B$4,Database!$A$1:$AS$1,0),FALSE)</f>
        <v>109.83</v>
      </c>
      <c r="C164" s="22">
        <f>(Table13456789101112131415161734[[#This Row],[FRA]]-B163)/B163</f>
        <v>-3.2670841274162758E-3</v>
      </c>
      <c r="D164" s="23">
        <f>(Table13456789101112131415161734[[#This Row],[FRA]]-B152)/B152</f>
        <v>6.8756875687568759E-3</v>
      </c>
    </row>
    <row r="165" spans="1:4" x14ac:dyDescent="0.2">
      <c r="A165" s="21">
        <v>38078</v>
      </c>
      <c r="B165" s="79">
        <f>VLOOKUP(A165,Database!$A:$AS,MATCH($B$4,Database!$A$1:$AS$1,0),FALSE)</f>
        <v>109.86</v>
      </c>
      <c r="C165" s="22">
        <f>(Table13456789101112131415161734[[#This Row],[FRA]]-B164)/B164</f>
        <v>2.7314941272877296E-4</v>
      </c>
      <c r="D165" s="23">
        <f>(Table13456789101112131415161734[[#This Row],[FRA]]-B153)/B153</f>
        <v>6.8737970855100358E-3</v>
      </c>
    </row>
    <row r="166" spans="1:4" x14ac:dyDescent="0.2">
      <c r="A166" s="21">
        <v>38108</v>
      </c>
      <c r="B166" s="79">
        <f>VLOOKUP(A166,Database!$A:$AS,MATCH($B$4,Database!$A$1:$AS$1,0),FALSE)</f>
        <v>109.26</v>
      </c>
      <c r="C166" s="22">
        <f>(Table13456789101112131415161734[[#This Row],[FRA]]-B165)/B165</f>
        <v>-5.4614964500272556E-3</v>
      </c>
      <c r="D166" s="23">
        <f>(Table13456789101112131415161734[[#This Row],[FRA]]-B154)/B154</f>
        <v>2.5722868944799186E-2</v>
      </c>
    </row>
    <row r="167" spans="1:4" x14ac:dyDescent="0.2">
      <c r="A167" s="21">
        <v>38139</v>
      </c>
      <c r="B167" s="79">
        <f>VLOOKUP(A167,Database!$A:$AS,MATCH($B$4,Database!$A$1:$AS$1,0),FALSE)</f>
        <v>110.32</v>
      </c>
      <c r="C167" s="22">
        <f>(Table13456789101112131415161734[[#This Row],[FRA]]-B166)/B166</f>
        <v>9.7016291414972356E-3</v>
      </c>
      <c r="D167" s="23">
        <f>(Table13456789101112131415161734[[#This Row],[FRA]]-B155)/B155</f>
        <v>3.8208168642951137E-2</v>
      </c>
    </row>
    <row r="168" spans="1:4" x14ac:dyDescent="0.2">
      <c r="A168" s="21">
        <v>38169</v>
      </c>
      <c r="B168" s="79">
        <f>VLOOKUP(A168,Database!$A:$AS,MATCH($B$4,Database!$A$1:$AS$1,0),FALSE)</f>
        <v>110.78</v>
      </c>
      <c r="C168" s="22">
        <f>(Table13456789101112131415161734[[#This Row],[FRA]]-B167)/B167</f>
        <v>4.1696881798405361E-3</v>
      </c>
      <c r="D168" s="23">
        <f>(Table13456789101112131415161734[[#This Row],[FRA]]-B156)/B156</f>
        <v>2.4602293747687722E-2</v>
      </c>
    </row>
    <row r="169" spans="1:4" x14ac:dyDescent="0.2">
      <c r="A169" s="21">
        <v>38200</v>
      </c>
      <c r="B169" s="79">
        <f>VLOOKUP(A169,Database!$A:$AS,MATCH($B$4,Database!$A$1:$AS$1,0),FALSE)</f>
        <v>106.87</v>
      </c>
      <c r="C169" s="22">
        <f>(Table13456789101112131415161734[[#This Row],[FRA]]-B168)/B168</f>
        <v>-3.5295179635313201E-2</v>
      </c>
      <c r="D169" s="23">
        <f>(Table13456789101112131415161734[[#This Row],[FRA]]-B157)/B157</f>
        <v>-7.614448881047388E-3</v>
      </c>
    </row>
    <row r="170" spans="1:4" x14ac:dyDescent="0.2">
      <c r="A170" s="21">
        <v>38231</v>
      </c>
      <c r="B170" s="79">
        <f>VLOOKUP(A170,Database!$A:$AS,MATCH($B$4,Database!$A$1:$AS$1,0),FALSE)</f>
        <v>110.61</v>
      </c>
      <c r="C170" s="22">
        <f>(Table13456789101112131415161734[[#This Row],[FRA]]-B169)/B169</f>
        <v>3.499578927669126E-2</v>
      </c>
      <c r="D170" s="23">
        <f>(Table13456789101112131415161734[[#This Row],[FRA]]-B158)/B158</f>
        <v>3.1040268456375822E-2</v>
      </c>
    </row>
    <row r="171" spans="1:4" x14ac:dyDescent="0.2">
      <c r="A171" s="21">
        <v>38261</v>
      </c>
      <c r="B171" s="79">
        <f>VLOOKUP(A171,Database!$A:$AS,MATCH($B$4,Database!$A$1:$AS$1,0),FALSE)</f>
        <v>111.44</v>
      </c>
      <c r="C171" s="22">
        <f>(Table13456789101112131415161734[[#This Row],[FRA]]-B170)/B170</f>
        <v>7.5038423289033387E-3</v>
      </c>
      <c r="D171" s="23">
        <f>(Table13456789101112131415161734[[#This Row],[FRA]]-B159)/B159</f>
        <v>1.4197306152166021E-2</v>
      </c>
    </row>
    <row r="172" spans="1:4" x14ac:dyDescent="0.2">
      <c r="A172" s="21">
        <v>38292</v>
      </c>
      <c r="B172" s="79">
        <f>VLOOKUP(A172,Database!$A:$AS,MATCH($B$4,Database!$A$1:$AS$1,0),FALSE)</f>
        <v>109.59</v>
      </c>
      <c r="C172" s="22">
        <f>(Table13456789101112131415161734[[#This Row],[FRA]]-B171)/B171</f>
        <v>-1.660086145010763E-2</v>
      </c>
      <c r="D172" s="23">
        <f>(Table13456789101112131415161734[[#This Row],[FRA]]-B160)/B160</f>
        <v>1.7076566125290054E-2</v>
      </c>
    </row>
    <row r="173" spans="1:4" x14ac:dyDescent="0.2">
      <c r="A173" s="21">
        <v>38322</v>
      </c>
      <c r="B173" s="79">
        <f>VLOOKUP(A173,Database!$A:$AS,MATCH($B$4,Database!$A$1:$AS$1,0),FALSE)</f>
        <v>109.82</v>
      </c>
      <c r="C173" s="22">
        <f>(Table13456789101112131415161734[[#This Row],[FRA]]-B172)/B172</f>
        <v>2.0987316360980908E-3</v>
      </c>
      <c r="D173" s="23">
        <f>(Table13456789101112131415161734[[#This Row],[FRA]]-B161)/B161</f>
        <v>1.3099630996309846E-2</v>
      </c>
    </row>
    <row r="174" spans="1:4" x14ac:dyDescent="0.2">
      <c r="A174" s="21">
        <v>38353</v>
      </c>
      <c r="B174" s="79">
        <f>VLOOKUP(A174,Database!$A:$AS,MATCH($B$4,Database!$A$1:$AS$1,0),FALSE)</f>
        <v>111.62</v>
      </c>
      <c r="C174" s="22">
        <f>(Table13456789101112131415161734[[#This Row],[FRA]]-B173)/B173</f>
        <v>1.6390457111637328E-2</v>
      </c>
      <c r="D174" s="23">
        <f>(Table13456789101112131415161734[[#This Row],[FRA]]-B162)/B162</f>
        <v>2.3098075160403395E-2</v>
      </c>
    </row>
    <row r="175" spans="1:4" x14ac:dyDescent="0.2">
      <c r="A175" s="21">
        <v>38384</v>
      </c>
      <c r="B175" s="79">
        <f>VLOOKUP(A175,Database!$A:$AS,MATCH($B$4,Database!$A$1:$AS$1,0),FALSE)</f>
        <v>110.35</v>
      </c>
      <c r="C175" s="22">
        <f>(Table13456789101112131415161734[[#This Row],[FRA]]-B174)/B174</f>
        <v>-1.1377889267156514E-2</v>
      </c>
      <c r="D175" s="23">
        <f>(Table13456789101112131415161734[[#This Row],[FRA]]-B163)/B163</f>
        <v>1.4520373899627606E-3</v>
      </c>
    </row>
    <row r="176" spans="1:4" x14ac:dyDescent="0.2">
      <c r="A176" s="21">
        <v>38412</v>
      </c>
      <c r="B176" s="79">
        <f>VLOOKUP(A176,Database!$A:$AS,MATCH($B$4,Database!$A$1:$AS$1,0),FALSE)</f>
        <v>107.96</v>
      </c>
      <c r="C176" s="22">
        <f>(Table13456789101112131415161734[[#This Row],[FRA]]-B175)/B175</f>
        <v>-2.165835976438605E-2</v>
      </c>
      <c r="D176" s="23">
        <f>(Table13456789101112131415161734[[#This Row],[FRA]]-B164)/B164</f>
        <v>-1.7026313393426244E-2</v>
      </c>
    </row>
    <row r="177" spans="1:4" x14ac:dyDescent="0.2">
      <c r="A177" s="21">
        <v>38443</v>
      </c>
      <c r="B177" s="79">
        <f>VLOOKUP(A177,Database!$A:$AS,MATCH($B$4,Database!$A$1:$AS$1,0),FALSE)</f>
        <v>110.73</v>
      </c>
      <c r="C177" s="22">
        <f>(Table13456789101112131415161734[[#This Row],[FRA]]-B176)/B176</f>
        <v>2.5657650981845224E-2</v>
      </c>
      <c r="D177" s="23">
        <f>(Table13456789101112131415161734[[#This Row],[FRA]]-B165)/B165</f>
        <v>7.9191698525396381E-3</v>
      </c>
    </row>
    <row r="178" spans="1:4" x14ac:dyDescent="0.2">
      <c r="A178" s="21">
        <v>38473</v>
      </c>
      <c r="B178" s="79">
        <f>VLOOKUP(A178,Database!$A:$AS,MATCH($B$4,Database!$A$1:$AS$1,0),FALSE)</f>
        <v>109.54</v>
      </c>
      <c r="C178" s="22">
        <f>(Table13456789101112131415161734[[#This Row],[FRA]]-B177)/B177</f>
        <v>-1.0746861735753614E-2</v>
      </c>
      <c r="D178" s="23">
        <f>(Table13456789101112131415161734[[#This Row],[FRA]]-B166)/B166</f>
        <v>2.5626944902068564E-3</v>
      </c>
    </row>
    <row r="179" spans="1:4" x14ac:dyDescent="0.2">
      <c r="A179" s="21">
        <v>38504</v>
      </c>
      <c r="B179" s="79">
        <f>VLOOKUP(A179,Database!$A:$AS,MATCH($B$4,Database!$A$1:$AS$1,0),FALSE)</f>
        <v>109.45</v>
      </c>
      <c r="C179" s="22">
        <f>(Table13456789101112131415161734[[#This Row],[FRA]]-B178)/B178</f>
        <v>-8.2161767390910535E-4</v>
      </c>
      <c r="D179" s="23">
        <f>(Table13456789101112131415161734[[#This Row],[FRA]]-B167)/B167</f>
        <v>-7.8861493836112247E-3</v>
      </c>
    </row>
    <row r="180" spans="1:4" x14ac:dyDescent="0.2">
      <c r="A180" s="21">
        <v>38534</v>
      </c>
      <c r="B180" s="79">
        <f>VLOOKUP(A180,Database!$A:$AS,MATCH($B$4,Database!$A$1:$AS$1,0),FALSE)</f>
        <v>109.1</v>
      </c>
      <c r="C180" s="22">
        <f>(Table13456789101112131415161734[[#This Row],[FRA]]-B179)/B179</f>
        <v>-3.1978072179077981E-3</v>
      </c>
      <c r="D180" s="23">
        <f>(Table13456789101112131415161734[[#This Row],[FRA]]-B168)/B168</f>
        <v>-1.5165192272973521E-2</v>
      </c>
    </row>
    <row r="181" spans="1:4" x14ac:dyDescent="0.2">
      <c r="A181" s="21">
        <v>38565</v>
      </c>
      <c r="B181" s="79">
        <f>VLOOKUP(A181,Database!$A:$AS,MATCH($B$4,Database!$A$1:$AS$1,0),FALSE)</f>
        <v>108.51</v>
      </c>
      <c r="C181" s="22">
        <f>(Table13456789101112131415161734[[#This Row],[FRA]]-B180)/B180</f>
        <v>-5.4078826764435307E-3</v>
      </c>
      <c r="D181" s="23">
        <f>(Table13456789101112131415161734[[#This Row],[FRA]]-B169)/B169</f>
        <v>1.5345747169458225E-2</v>
      </c>
    </row>
    <row r="182" spans="1:4" x14ac:dyDescent="0.2">
      <c r="A182" s="21">
        <v>38596</v>
      </c>
      <c r="B182" s="79">
        <f>VLOOKUP(A182,Database!$A:$AS,MATCH($B$4,Database!$A$1:$AS$1,0),FALSE)</f>
        <v>111.25</v>
      </c>
      <c r="C182" s="22">
        <f>(Table13456789101112131415161734[[#This Row],[FRA]]-B181)/B181</f>
        <v>2.5251128928209333E-2</v>
      </c>
      <c r="D182" s="23">
        <f>(Table13456789101112131415161734[[#This Row],[FRA]]-B170)/B170</f>
        <v>5.7860952897568086E-3</v>
      </c>
    </row>
    <row r="183" spans="1:4" x14ac:dyDescent="0.2">
      <c r="A183" s="21">
        <v>38626</v>
      </c>
      <c r="B183" s="79">
        <f>VLOOKUP(A183,Database!$A:$AS,MATCH($B$4,Database!$A$1:$AS$1,0),FALSE)</f>
        <v>107.98</v>
      </c>
      <c r="C183" s="22">
        <f>(Table13456789101112131415161734[[#This Row],[FRA]]-B182)/B182</f>
        <v>-2.9393258426966256E-2</v>
      </c>
      <c r="D183" s="23">
        <f>(Table13456789101112131415161734[[#This Row],[FRA]]-B171)/B171</f>
        <v>-3.1048097631012149E-2</v>
      </c>
    </row>
    <row r="184" spans="1:4" x14ac:dyDescent="0.2">
      <c r="A184" s="21">
        <v>38657</v>
      </c>
      <c r="B184" s="79">
        <f>VLOOKUP(A184,Database!$A:$AS,MATCH($B$4,Database!$A$1:$AS$1,0),FALSE)</f>
        <v>112.32</v>
      </c>
      <c r="C184" s="22">
        <f>(Table13456789101112131415161734[[#This Row],[FRA]]-B183)/B183</f>
        <v>4.0192628264493324E-2</v>
      </c>
      <c r="D184" s="23">
        <f>(Table13456789101112131415161734[[#This Row],[FRA]]-B172)/B172</f>
        <v>2.4911032028469657E-2</v>
      </c>
    </row>
    <row r="185" spans="1:4" x14ac:dyDescent="0.2">
      <c r="A185" s="21">
        <v>38687</v>
      </c>
      <c r="B185" s="79">
        <f>VLOOKUP(A185,Database!$A:$AS,MATCH($B$4,Database!$A$1:$AS$1,0),FALSE)</f>
        <v>110.97</v>
      </c>
      <c r="C185" s="22">
        <f>(Table13456789101112131415161734[[#This Row],[FRA]]-B184)/B184</f>
        <v>-1.201923076923072E-2</v>
      </c>
      <c r="D185" s="23">
        <f>(Table13456789101112131415161734[[#This Row],[FRA]]-B173)/B173</f>
        <v>1.0471680932434946E-2</v>
      </c>
    </row>
    <row r="186" spans="1:4" x14ac:dyDescent="0.2">
      <c r="A186" s="21">
        <v>38718</v>
      </c>
      <c r="B186" s="79">
        <f>VLOOKUP(A186,Database!$A:$AS,MATCH($B$4,Database!$A$1:$AS$1,0),FALSE)</f>
        <v>110.24</v>
      </c>
      <c r="C186" s="22">
        <f>(Table13456789101112131415161734[[#This Row],[FRA]]-B185)/B185</f>
        <v>-6.5783545102280254E-3</v>
      </c>
      <c r="D186" s="23">
        <f>(Table13456789101112131415161734[[#This Row],[FRA]]-B174)/B174</f>
        <v>-1.236337573911494E-2</v>
      </c>
    </row>
    <row r="187" spans="1:4" x14ac:dyDescent="0.2">
      <c r="A187" s="21">
        <v>38749</v>
      </c>
      <c r="B187" s="79">
        <f>VLOOKUP(A187,Database!$A:$AS,MATCH($B$4,Database!$A$1:$AS$1,0),FALSE)</f>
        <v>109.51</v>
      </c>
      <c r="C187" s="22">
        <f>(Table13456789101112131415161734[[#This Row],[FRA]]-B186)/B186</f>
        <v>-6.6219158200289353E-3</v>
      </c>
      <c r="D187" s="23">
        <f>(Table13456789101112131415161734[[#This Row],[FRA]]-B175)/B175</f>
        <v>-7.6121431807883028E-3</v>
      </c>
    </row>
    <row r="188" spans="1:4" x14ac:dyDescent="0.2">
      <c r="A188" s="21">
        <v>38777</v>
      </c>
      <c r="B188" s="79">
        <f>VLOOKUP(A188,Database!$A:$AS,MATCH($B$4,Database!$A$1:$AS$1,0),FALSE)</f>
        <v>111.53</v>
      </c>
      <c r="C188" s="22">
        <f>(Table13456789101112131415161734[[#This Row],[FRA]]-B187)/B187</f>
        <v>1.8445804036161043E-2</v>
      </c>
      <c r="D188" s="23">
        <f>(Table13456789101112131415161734[[#This Row],[FRA]]-B176)/B176</f>
        <v>3.3067802889959315E-2</v>
      </c>
    </row>
    <row r="189" spans="1:4" x14ac:dyDescent="0.2">
      <c r="A189" s="21">
        <v>38808</v>
      </c>
      <c r="B189" s="79">
        <f>VLOOKUP(A189,Database!$A:$AS,MATCH($B$4,Database!$A$1:$AS$1,0),FALSE)</f>
        <v>110.97</v>
      </c>
      <c r="C189" s="22">
        <f>(Table13456789101112131415161734[[#This Row],[FRA]]-B188)/B188</f>
        <v>-5.0210705639738389E-3</v>
      </c>
      <c r="D189" s="23">
        <f>(Table13456789101112131415161734[[#This Row],[FRA]]-B177)/B177</f>
        <v>2.1674342996477456E-3</v>
      </c>
    </row>
    <row r="190" spans="1:4" x14ac:dyDescent="0.2">
      <c r="A190" s="21">
        <v>38838</v>
      </c>
      <c r="B190" s="79">
        <f>VLOOKUP(A190,Database!$A:$AS,MATCH($B$4,Database!$A$1:$AS$1,0),FALSE)</f>
        <v>112.74</v>
      </c>
      <c r="C190" s="22">
        <f>(Table13456789101112131415161734[[#This Row],[FRA]]-B189)/B189</f>
        <v>1.5950256826169198E-2</v>
      </c>
      <c r="D190" s="23">
        <f>(Table13456789101112131415161734[[#This Row],[FRA]]-B178)/B178</f>
        <v>2.9213072850100316E-2</v>
      </c>
    </row>
    <row r="191" spans="1:4" x14ac:dyDescent="0.2">
      <c r="A191" s="21">
        <v>38869</v>
      </c>
      <c r="B191" s="79">
        <f>VLOOKUP(A191,Database!$A:$AS,MATCH($B$4,Database!$A$1:$AS$1,0),FALSE)</f>
        <v>112.55</v>
      </c>
      <c r="C191" s="22">
        <f>(Table13456789101112131415161734[[#This Row],[FRA]]-B190)/B190</f>
        <v>-1.6852935958843154E-3</v>
      </c>
      <c r="D191" s="23">
        <f>(Table13456789101112131415161734[[#This Row],[FRA]]-B179)/B179</f>
        <v>2.8323435358611187E-2</v>
      </c>
    </row>
    <row r="192" spans="1:4" x14ac:dyDescent="0.2">
      <c r="A192" s="21">
        <v>38899</v>
      </c>
      <c r="B192" s="79">
        <f>VLOOKUP(A192,Database!$A:$AS,MATCH($B$4,Database!$A$1:$AS$1,0),FALSE)</f>
        <v>111</v>
      </c>
      <c r="C192" s="22">
        <f>(Table13456789101112131415161734[[#This Row],[FRA]]-B191)/B191</f>
        <v>-1.3771657041314946E-2</v>
      </c>
      <c r="D192" s="23">
        <f>(Table13456789101112131415161734[[#This Row],[FRA]]-B180)/B180</f>
        <v>1.7415215398716828E-2</v>
      </c>
    </row>
    <row r="193" spans="1:4" x14ac:dyDescent="0.2">
      <c r="A193" s="21">
        <v>38930</v>
      </c>
      <c r="B193" s="79">
        <f>VLOOKUP(A193,Database!$A:$AS,MATCH($B$4,Database!$A$1:$AS$1,0),FALSE)</f>
        <v>110.26</v>
      </c>
      <c r="C193" s="22">
        <f>(Table13456789101112131415161734[[#This Row],[FRA]]-B192)/B192</f>
        <v>-6.6666666666666203E-3</v>
      </c>
      <c r="D193" s="23">
        <f>(Table13456789101112131415161734[[#This Row],[FRA]]-B181)/B181</f>
        <v>1.6127545848308909E-2</v>
      </c>
    </row>
    <row r="194" spans="1:4" x14ac:dyDescent="0.2">
      <c r="A194" s="21">
        <v>38961</v>
      </c>
      <c r="B194" s="79">
        <f>VLOOKUP(A194,Database!$A:$AS,MATCH($B$4,Database!$A$1:$AS$1,0),FALSE)</f>
        <v>111.95</v>
      </c>
      <c r="C194" s="22">
        <f>(Table13456789101112131415161734[[#This Row],[FRA]]-B193)/B193</f>
        <v>1.5327407944857587E-2</v>
      </c>
      <c r="D194" s="23">
        <f>(Table13456789101112131415161734[[#This Row],[FRA]]-B182)/B182</f>
        <v>6.2921348314606993E-3</v>
      </c>
    </row>
    <row r="195" spans="1:4" x14ac:dyDescent="0.2">
      <c r="A195" s="21">
        <v>38991</v>
      </c>
      <c r="B195" s="79">
        <f>VLOOKUP(A195,Database!$A:$AS,MATCH($B$4,Database!$A$1:$AS$1,0),FALSE)</f>
        <v>111.03</v>
      </c>
      <c r="C195" s="22">
        <f>(Table13456789101112131415161734[[#This Row],[FRA]]-B194)/B194</f>
        <v>-8.2179544439482059E-3</v>
      </c>
      <c r="D195" s="23">
        <f>(Table13456789101112131415161734[[#This Row],[FRA]]-B183)/B183</f>
        <v>2.8245971476199269E-2</v>
      </c>
    </row>
    <row r="196" spans="1:4" x14ac:dyDescent="0.2">
      <c r="A196" s="21">
        <v>39022</v>
      </c>
      <c r="B196" s="79">
        <f>VLOOKUP(A196,Database!$A:$AS,MATCH($B$4,Database!$A$1:$AS$1,0),FALSE)</f>
        <v>110.4</v>
      </c>
      <c r="C196" s="22">
        <f>(Table13456789101112131415161734[[#This Row],[FRA]]-B195)/B195</f>
        <v>-5.6741421237502965E-3</v>
      </c>
      <c r="D196" s="23">
        <f>(Table13456789101112131415161734[[#This Row],[FRA]]-B184)/B184</f>
        <v>-1.7094017094016985E-2</v>
      </c>
    </row>
    <row r="197" spans="1:4" x14ac:dyDescent="0.2">
      <c r="A197" s="21">
        <v>39052</v>
      </c>
      <c r="B197" s="79">
        <f>VLOOKUP(A197,Database!$A:$AS,MATCH($B$4,Database!$A$1:$AS$1,0),FALSE)</f>
        <v>112.27</v>
      </c>
      <c r="C197" s="22">
        <f>(Table13456789101112131415161734[[#This Row],[FRA]]-B196)/B196</f>
        <v>1.6938405797101361E-2</v>
      </c>
      <c r="D197" s="23">
        <f>(Table13456789101112131415161734[[#This Row],[FRA]]-B185)/B185</f>
        <v>1.1714877894926531E-2</v>
      </c>
    </row>
    <row r="198" spans="1:4" x14ac:dyDescent="0.2">
      <c r="A198" s="21">
        <v>39083</v>
      </c>
      <c r="B198" s="79">
        <f>VLOOKUP(A198,Database!$A:$AS,MATCH($B$4,Database!$A$1:$AS$1,0),FALSE)</f>
        <v>111</v>
      </c>
      <c r="C198" s="22">
        <f>(Table13456789101112131415161734[[#This Row],[FRA]]-B197)/B197</f>
        <v>-1.1312015676494131E-2</v>
      </c>
      <c r="D198" s="23">
        <f>(Table13456789101112131415161734[[#This Row],[FRA]]-B186)/B186</f>
        <v>6.8940493468795825E-3</v>
      </c>
    </row>
    <row r="199" spans="1:4" x14ac:dyDescent="0.2">
      <c r="A199" s="21">
        <v>39114</v>
      </c>
      <c r="B199" s="79">
        <f>VLOOKUP(A199,Database!$A:$AS,MATCH($B$4,Database!$A$1:$AS$1,0),FALSE)</f>
        <v>112.02</v>
      </c>
      <c r="C199" s="22">
        <f>(Table13456789101112131415161734[[#This Row],[FRA]]-B198)/B198</f>
        <v>9.1891891891891526E-3</v>
      </c>
      <c r="D199" s="23">
        <f>(Table13456789101112131415161734[[#This Row],[FRA]]-B187)/B187</f>
        <v>2.2920281252853537E-2</v>
      </c>
    </row>
    <row r="200" spans="1:4" x14ac:dyDescent="0.2">
      <c r="A200" s="21">
        <v>39142</v>
      </c>
      <c r="B200" s="79">
        <f>VLOOKUP(A200,Database!$A:$AS,MATCH($B$4,Database!$A$1:$AS$1,0),FALSE)</f>
        <v>112.87</v>
      </c>
      <c r="C200" s="22">
        <f>(Table13456789101112131415161734[[#This Row],[FRA]]-B199)/B199</f>
        <v>7.587930726656031E-3</v>
      </c>
      <c r="D200" s="23">
        <f>(Table13456789101112131415161734[[#This Row],[FRA]]-B188)/B188</f>
        <v>1.2014704563794526E-2</v>
      </c>
    </row>
    <row r="201" spans="1:4" x14ac:dyDescent="0.2">
      <c r="A201" s="21">
        <v>39173</v>
      </c>
      <c r="B201" s="79">
        <f>VLOOKUP(A201,Database!$A:$AS,MATCH($B$4,Database!$A$1:$AS$1,0),FALSE)</f>
        <v>111.02</v>
      </c>
      <c r="C201" s="22">
        <f>(Table13456789101112131415161734[[#This Row],[FRA]]-B200)/B200</f>
        <v>-1.6390537786834487E-2</v>
      </c>
      <c r="D201" s="23">
        <f>(Table13456789101112131415161734[[#This Row],[FRA]]-B189)/B189</f>
        <v>4.5057222672791888E-4</v>
      </c>
    </row>
    <row r="202" spans="1:4" x14ac:dyDescent="0.2">
      <c r="A202" s="21">
        <v>39203</v>
      </c>
      <c r="B202" s="79">
        <f>VLOOKUP(A202,Database!$A:$AS,MATCH($B$4,Database!$A$1:$AS$1,0),FALSE)</f>
        <v>113.68</v>
      </c>
      <c r="C202" s="22">
        <f>(Table13456789101112131415161734[[#This Row],[FRA]]-B201)/B201</f>
        <v>2.3959646910466682E-2</v>
      </c>
      <c r="D202" s="23">
        <f>(Table13456789101112131415161734[[#This Row],[FRA]]-B190)/B190</f>
        <v>8.3377683164805039E-3</v>
      </c>
    </row>
    <row r="203" spans="1:4" x14ac:dyDescent="0.2">
      <c r="A203" s="21">
        <v>39234</v>
      </c>
      <c r="B203" s="79">
        <f>VLOOKUP(A203,Database!$A:$AS,MATCH($B$4,Database!$A$1:$AS$1,0),FALSE)</f>
        <v>113.24</v>
      </c>
      <c r="C203" s="22">
        <f>(Table13456789101112131415161734[[#This Row],[FRA]]-B202)/B202</f>
        <v>-3.8705137227305762E-3</v>
      </c>
      <c r="D203" s="23">
        <f>(Table13456789101112131415161734[[#This Row],[FRA]]-B191)/B191</f>
        <v>6.1306086183918057E-3</v>
      </c>
    </row>
    <row r="204" spans="1:4" x14ac:dyDescent="0.2">
      <c r="A204" s="21">
        <v>39264</v>
      </c>
      <c r="B204" s="79">
        <f>VLOOKUP(A204,Database!$A:$AS,MATCH($B$4,Database!$A$1:$AS$1,0),FALSE)</f>
        <v>113.38</v>
      </c>
      <c r="C204" s="22">
        <f>(Table13456789101112131415161734[[#This Row],[FRA]]-B203)/B203</f>
        <v>1.2363122571529546E-3</v>
      </c>
      <c r="D204" s="23">
        <f>(Table13456789101112131415161734[[#This Row],[FRA]]-B192)/B192</f>
        <v>2.1441441441441399E-2</v>
      </c>
    </row>
    <row r="205" spans="1:4" x14ac:dyDescent="0.2">
      <c r="A205" s="21">
        <v>39295</v>
      </c>
      <c r="B205" s="79">
        <f>VLOOKUP(A205,Database!$A:$AS,MATCH($B$4,Database!$A$1:$AS$1,0),FALSE)</f>
        <v>114.05</v>
      </c>
      <c r="C205" s="22">
        <f>(Table13456789101112131415161734[[#This Row],[FRA]]-B204)/B204</f>
        <v>5.9093314517551752E-3</v>
      </c>
      <c r="D205" s="23">
        <f>(Table13456789101112131415161734[[#This Row],[FRA]]-B193)/B193</f>
        <v>3.4373299473970539E-2</v>
      </c>
    </row>
    <row r="206" spans="1:4" x14ac:dyDescent="0.2">
      <c r="A206" s="21">
        <v>39326</v>
      </c>
      <c r="B206" s="79">
        <f>VLOOKUP(A206,Database!$A:$AS,MATCH($B$4,Database!$A$1:$AS$1,0),FALSE)</f>
        <v>111.44</v>
      </c>
      <c r="C206" s="22">
        <f>(Table13456789101112131415161734[[#This Row],[FRA]]-B205)/B205</f>
        <v>-2.2884699693117048E-2</v>
      </c>
      <c r="D206" s="23">
        <f>(Table13456789101112131415161734[[#This Row],[FRA]]-B194)/B194</f>
        <v>-4.555605180884369E-3</v>
      </c>
    </row>
    <row r="207" spans="1:4" x14ac:dyDescent="0.2">
      <c r="A207" s="21">
        <v>39356</v>
      </c>
      <c r="B207" s="79">
        <f>VLOOKUP(A207,Database!$A:$AS,MATCH($B$4,Database!$A$1:$AS$1,0),FALSE)</f>
        <v>113.98</v>
      </c>
      <c r="C207" s="22">
        <f>(Table13456789101112131415161734[[#This Row],[FRA]]-B206)/B206</f>
        <v>2.279253409906682E-2</v>
      </c>
      <c r="D207" s="23">
        <f>(Table13456789101112131415161734[[#This Row],[FRA]]-B195)/B195</f>
        <v>2.6569395658830972E-2</v>
      </c>
    </row>
    <row r="208" spans="1:4" x14ac:dyDescent="0.2">
      <c r="A208" s="21">
        <v>39387</v>
      </c>
      <c r="B208" s="79">
        <f>VLOOKUP(A208,Database!$A:$AS,MATCH($B$4,Database!$A$1:$AS$1,0),FALSE)</f>
        <v>111.98</v>
      </c>
      <c r="C208" s="22">
        <f>(Table13456789101112131415161734[[#This Row],[FRA]]-B207)/B207</f>
        <v>-1.754693805930865E-2</v>
      </c>
      <c r="D208" s="23">
        <f>(Table13456789101112131415161734[[#This Row],[FRA]]-B196)/B196</f>
        <v>1.4311594202898535E-2</v>
      </c>
    </row>
    <row r="209" spans="1:4" x14ac:dyDescent="0.2">
      <c r="A209" s="21">
        <v>39417</v>
      </c>
      <c r="B209" s="79">
        <f>VLOOKUP(A209,Database!$A:$AS,MATCH($B$4,Database!$A$1:$AS$1,0),FALSE)</f>
        <v>112.16</v>
      </c>
      <c r="C209" s="22">
        <f>(Table13456789101112131415161734[[#This Row],[FRA]]-B208)/B208</f>
        <v>1.6074298981960404E-3</v>
      </c>
      <c r="D209" s="23">
        <f>(Table13456789101112131415161734[[#This Row],[FRA]]-B197)/B197</f>
        <v>-9.7978088536563148E-4</v>
      </c>
    </row>
    <row r="210" spans="1:4" x14ac:dyDescent="0.2">
      <c r="A210" s="21">
        <v>39448</v>
      </c>
      <c r="B210" s="79">
        <f>VLOOKUP(A210,Database!$A:$AS,MATCH($B$4,Database!$A$1:$AS$1,0),FALSE)</f>
        <v>113.18</v>
      </c>
      <c r="C210" s="22">
        <f>(Table13456789101112131415161734[[#This Row],[FRA]]-B209)/B209</f>
        <v>9.0941512125535858E-3</v>
      </c>
      <c r="D210" s="23">
        <f>(Table13456789101112131415161734[[#This Row],[FRA]]-B198)/B198</f>
        <v>1.9639639639639703E-2</v>
      </c>
    </row>
    <row r="211" spans="1:4" x14ac:dyDescent="0.2">
      <c r="A211" s="21">
        <v>39479</v>
      </c>
      <c r="B211" s="79">
        <f>VLOOKUP(A211,Database!$A:$AS,MATCH($B$4,Database!$A$1:$AS$1,0),FALSE)</f>
        <v>114.18</v>
      </c>
      <c r="C211" s="22">
        <f>(Table13456789101112131415161734[[#This Row],[FRA]]-B210)/B210</f>
        <v>8.8354833009365603E-3</v>
      </c>
      <c r="D211" s="23">
        <f>(Table13456789101112131415161734[[#This Row],[FRA]]-B199)/B199</f>
        <v>1.9282271023031698E-2</v>
      </c>
    </row>
    <row r="212" spans="1:4" x14ac:dyDescent="0.2">
      <c r="A212" s="21">
        <v>39508</v>
      </c>
      <c r="B212" s="79">
        <f>VLOOKUP(A212,Database!$A:$AS,MATCH($B$4,Database!$A$1:$AS$1,0),FALSE)</f>
        <v>112.86</v>
      </c>
      <c r="C212" s="22">
        <f>(Table13456789101112131415161734[[#This Row],[FRA]]-B211)/B211</f>
        <v>-1.1560693641618561E-2</v>
      </c>
      <c r="D212" s="23">
        <f>(Table13456789101112131415161734[[#This Row],[FRA]]-B200)/B200</f>
        <v>-8.8597501550501603E-5</v>
      </c>
    </row>
    <row r="213" spans="1:4" x14ac:dyDescent="0.2">
      <c r="A213" s="21">
        <v>39539</v>
      </c>
      <c r="B213" s="79">
        <f>VLOOKUP(A213,Database!$A:$AS,MATCH($B$4,Database!$A$1:$AS$1,0),FALSE)</f>
        <v>115.29</v>
      </c>
      <c r="C213" s="22">
        <f>(Table13456789101112131415161734[[#This Row],[FRA]]-B212)/B212</f>
        <v>2.153110047846896E-2</v>
      </c>
      <c r="D213" s="23">
        <f>(Table13456789101112131415161734[[#This Row],[FRA]]-B201)/B201</f>
        <v>3.8461538461538554E-2</v>
      </c>
    </row>
    <row r="214" spans="1:4" x14ac:dyDescent="0.2">
      <c r="A214" s="21">
        <v>39569</v>
      </c>
      <c r="B214" s="79">
        <f>VLOOKUP(A214,Database!$A:$AS,MATCH($B$4,Database!$A$1:$AS$1,0),FALSE)</f>
        <v>109.87</v>
      </c>
      <c r="C214" s="22">
        <f>(Table13456789101112131415161734[[#This Row],[FRA]]-B213)/B213</f>
        <v>-4.7011883077456858E-2</v>
      </c>
      <c r="D214" s="23">
        <f>(Table13456789101112131415161734[[#This Row],[FRA]]-B202)/B202</f>
        <v>-3.3515130190007056E-2</v>
      </c>
    </row>
    <row r="215" spans="1:4" x14ac:dyDescent="0.2">
      <c r="A215" s="21">
        <v>39600</v>
      </c>
      <c r="B215" s="79">
        <f>VLOOKUP(A215,Database!$A:$AS,MATCH($B$4,Database!$A$1:$AS$1,0),FALSE)</f>
        <v>109.55</v>
      </c>
      <c r="C215" s="22">
        <f>(Table13456789101112131415161734[[#This Row],[FRA]]-B214)/B214</f>
        <v>-2.9125329935378846E-3</v>
      </c>
      <c r="D215" s="23">
        <f>(Table13456789101112131415161734[[#This Row],[FRA]]-B203)/B203</f>
        <v>-3.2585658777817009E-2</v>
      </c>
    </row>
    <row r="216" spans="1:4" x14ac:dyDescent="0.2">
      <c r="A216" s="21">
        <v>39630</v>
      </c>
      <c r="B216" s="79">
        <f>VLOOKUP(A216,Database!$A:$AS,MATCH($B$4,Database!$A$1:$AS$1,0),FALSE)</f>
        <v>110.35</v>
      </c>
      <c r="C216" s="22">
        <f>(Table13456789101112131415161734[[#This Row],[FRA]]-B215)/B215</f>
        <v>7.3026015518028037E-3</v>
      </c>
      <c r="D216" s="23">
        <f>(Table13456789101112131415161734[[#This Row],[FRA]]-B204)/B204</f>
        <v>-2.672428999823603E-2</v>
      </c>
    </row>
    <row r="217" spans="1:4" x14ac:dyDescent="0.2">
      <c r="A217" s="21">
        <v>39661</v>
      </c>
      <c r="B217" s="79">
        <f>VLOOKUP(A217,Database!$A:$AS,MATCH($B$4,Database!$A$1:$AS$1,0),FALSE)</f>
        <v>108.84</v>
      </c>
      <c r="C217" s="22">
        <f>(Table13456789101112131415161734[[#This Row],[FRA]]-B216)/B216</f>
        <v>-1.3683733574988591E-2</v>
      </c>
      <c r="D217" s="23">
        <f>(Table13456789101112131415161734[[#This Row],[FRA]]-B205)/B205</f>
        <v>-4.5681718544497971E-2</v>
      </c>
    </row>
    <row r="218" spans="1:4" x14ac:dyDescent="0.2">
      <c r="A218" s="21">
        <v>39692</v>
      </c>
      <c r="B218" s="79">
        <f>VLOOKUP(A218,Database!$A:$AS,MATCH($B$4,Database!$A$1:$AS$1,0),FALSE)</f>
        <v>108.38</v>
      </c>
      <c r="C218" s="22">
        <f>(Table13456789101112131415161734[[#This Row],[FRA]]-B217)/B217</f>
        <v>-4.2263873575891942E-3</v>
      </c>
      <c r="D218" s="23">
        <f>(Table13456789101112131415161734[[#This Row],[FRA]]-B206)/B206</f>
        <v>-2.7458722182340294E-2</v>
      </c>
    </row>
    <row r="219" spans="1:4" x14ac:dyDescent="0.2">
      <c r="A219" s="21">
        <v>39722</v>
      </c>
      <c r="B219" s="79">
        <f>VLOOKUP(A219,Database!$A:$AS,MATCH($B$4,Database!$A$1:$AS$1,0),FALSE)</f>
        <v>106.34</v>
      </c>
      <c r="C219" s="22">
        <f>(Table13456789101112131415161734[[#This Row],[FRA]]-B218)/B218</f>
        <v>-1.88226610075659E-2</v>
      </c>
      <c r="D219" s="23">
        <f>(Table13456789101112131415161734[[#This Row],[FRA]]-B207)/B207</f>
        <v>-6.7029303386559047E-2</v>
      </c>
    </row>
    <row r="220" spans="1:4" x14ac:dyDescent="0.2">
      <c r="A220" s="21">
        <v>39753</v>
      </c>
      <c r="B220" s="79">
        <f>VLOOKUP(A220,Database!$A:$AS,MATCH($B$4,Database!$A$1:$AS$1,0),FALSE)</f>
        <v>101.01</v>
      </c>
      <c r="C220" s="22">
        <f>(Table13456789101112131415161734[[#This Row],[FRA]]-B219)/B219</f>
        <v>-5.0122249388753037E-2</v>
      </c>
      <c r="D220" s="23">
        <f>(Table13456789101112131415161734[[#This Row],[FRA]]-B208)/B208</f>
        <v>-9.796392212895158E-2</v>
      </c>
    </row>
    <row r="221" spans="1:4" x14ac:dyDescent="0.2">
      <c r="A221" s="21">
        <v>39783</v>
      </c>
      <c r="B221" s="79">
        <f>VLOOKUP(A221,Database!$A:$AS,MATCH($B$4,Database!$A$1:$AS$1,0),FALSE)</f>
        <v>99.62</v>
      </c>
      <c r="C221" s="22">
        <f>(Table13456789101112131415161734[[#This Row],[FRA]]-B220)/B220</f>
        <v>-1.3761013761013767E-2</v>
      </c>
      <c r="D221" s="23">
        <f>(Table13456789101112131415161734[[#This Row],[FRA]]-B209)/B209</f>
        <v>-0.11180456490727525</v>
      </c>
    </row>
    <row r="222" spans="1:4" x14ac:dyDescent="0.2">
      <c r="A222" s="21">
        <v>39814</v>
      </c>
      <c r="B222" s="79">
        <f>VLOOKUP(A222,Database!$A:$AS,MATCH($B$4,Database!$A$1:$AS$1,0),FALSE)</f>
        <v>95.93</v>
      </c>
      <c r="C222" s="22">
        <f>(Table13456789101112131415161734[[#This Row],[FRA]]-B221)/B221</f>
        <v>-3.7040754868500274E-2</v>
      </c>
      <c r="D222" s="23">
        <f>(Table13456789101112131415161734[[#This Row],[FRA]]-B210)/B210</f>
        <v>-0.15241208694115568</v>
      </c>
    </row>
    <row r="223" spans="1:4" x14ac:dyDescent="0.2">
      <c r="A223" s="21">
        <v>39845</v>
      </c>
      <c r="B223" s="79">
        <f>VLOOKUP(A223,Database!$A:$AS,MATCH($B$4,Database!$A$1:$AS$1,0),FALSE)</f>
        <v>94.59</v>
      </c>
      <c r="C223" s="22">
        <f>(Table13456789101112131415161734[[#This Row],[FRA]]-B222)/B222</f>
        <v>-1.3968518711560548E-2</v>
      </c>
      <c r="D223" s="23">
        <f>(Table13456789101112131415161734[[#This Row],[FRA]]-B211)/B211</f>
        <v>-0.17157120336311091</v>
      </c>
    </row>
    <row r="224" spans="1:4" x14ac:dyDescent="0.2">
      <c r="A224" s="21">
        <v>39873</v>
      </c>
      <c r="B224" s="79">
        <f>VLOOKUP(A224,Database!$A:$AS,MATCH($B$4,Database!$A$1:$AS$1,0),FALSE)</f>
        <v>92.85</v>
      </c>
      <c r="C224" s="22">
        <f>(Table13456789101112131415161734[[#This Row],[FRA]]-B223)/B223</f>
        <v>-1.8395179194418111E-2</v>
      </c>
      <c r="D224" s="23">
        <f>(Table13456789101112131415161734[[#This Row],[FRA]]-B212)/B212</f>
        <v>-0.17729930887825629</v>
      </c>
    </row>
    <row r="225" spans="1:4" x14ac:dyDescent="0.2">
      <c r="A225" s="21">
        <v>39904</v>
      </c>
      <c r="B225" s="79">
        <f>VLOOKUP(A225,Database!$A:$AS,MATCH($B$4,Database!$A$1:$AS$1,0),FALSE)</f>
        <v>92.81</v>
      </c>
      <c r="C225" s="22">
        <f>(Table13456789101112131415161734[[#This Row],[FRA]]-B224)/B224</f>
        <v>-4.3080236941294607E-4</v>
      </c>
      <c r="D225" s="23">
        <f>(Table13456789101112131415161734[[#This Row],[FRA]]-B213)/B213</f>
        <v>-0.19498655564229336</v>
      </c>
    </row>
    <row r="226" spans="1:4" x14ac:dyDescent="0.2">
      <c r="A226" s="21">
        <v>39934</v>
      </c>
      <c r="B226" s="79">
        <f>VLOOKUP(A226,Database!$A:$AS,MATCH($B$4,Database!$A$1:$AS$1,0),FALSE)</f>
        <v>93.93</v>
      </c>
      <c r="C226" s="22">
        <f>(Table13456789101112131415161734[[#This Row],[FRA]]-B225)/B225</f>
        <v>1.2067665122292905E-2</v>
      </c>
      <c r="D226" s="23">
        <f>(Table13456789101112131415161734[[#This Row],[FRA]]-B214)/B214</f>
        <v>-0.1450805497406025</v>
      </c>
    </row>
    <row r="227" spans="1:4" x14ac:dyDescent="0.2">
      <c r="A227" s="21">
        <v>39965</v>
      </c>
      <c r="B227" s="79">
        <f>VLOOKUP(A227,Database!$A:$AS,MATCH($B$4,Database!$A$1:$AS$1,0),FALSE)</f>
        <v>95.13</v>
      </c>
      <c r="C227" s="22">
        <f>(Table13456789101112131415161734[[#This Row],[FRA]]-B226)/B226</f>
        <v>1.2775471095496524E-2</v>
      </c>
      <c r="D227" s="23">
        <f>(Table13456789101112131415161734[[#This Row],[FRA]]-B215)/B215</f>
        <v>-0.13162939297124601</v>
      </c>
    </row>
    <row r="228" spans="1:4" x14ac:dyDescent="0.2">
      <c r="A228" s="21">
        <v>39995</v>
      </c>
      <c r="B228" s="79">
        <f>VLOOKUP(A228,Database!$A:$AS,MATCH($B$4,Database!$A$1:$AS$1,0),FALSE)</f>
        <v>94.8</v>
      </c>
      <c r="C228" s="22">
        <f>(Table13456789101112131415161734[[#This Row],[FRA]]-B227)/B227</f>
        <v>-3.4689372437716631E-3</v>
      </c>
      <c r="D228" s="23">
        <f>(Table13456789101112131415161734[[#This Row],[FRA]]-B216)/B216</f>
        <v>-0.14091526959673764</v>
      </c>
    </row>
    <row r="229" spans="1:4" x14ac:dyDescent="0.2">
      <c r="A229" s="21">
        <v>40026</v>
      </c>
      <c r="B229" s="79">
        <f>VLOOKUP(A229,Database!$A:$AS,MATCH($B$4,Database!$A$1:$AS$1,0),FALSE)</f>
        <v>96.35</v>
      </c>
      <c r="C229" s="22">
        <f>(Table13456789101112131415161734[[#This Row],[FRA]]-B228)/B228</f>
        <v>1.6350210970464105E-2</v>
      </c>
      <c r="D229" s="23">
        <f>(Table13456789101112131415161734[[#This Row],[FRA]]-B217)/B217</f>
        <v>-0.11475560455714819</v>
      </c>
    </row>
    <row r="230" spans="1:4" x14ac:dyDescent="0.2">
      <c r="A230" s="21">
        <v>40057</v>
      </c>
      <c r="B230" s="79">
        <f>VLOOKUP(A230,Database!$A:$AS,MATCH($B$4,Database!$A$1:$AS$1,0),FALSE)</f>
        <v>96.84</v>
      </c>
      <c r="C230" s="22">
        <f>(Table13456789101112131415161734[[#This Row],[FRA]]-B229)/B229</f>
        <v>5.0856253243384449E-3</v>
      </c>
      <c r="D230" s="23">
        <f>(Table13456789101112131415161734[[#This Row],[FRA]]-B218)/B218</f>
        <v>-0.1064772098173094</v>
      </c>
    </row>
    <row r="231" spans="1:4" x14ac:dyDescent="0.2">
      <c r="A231" s="21">
        <v>40087</v>
      </c>
      <c r="B231" s="79">
        <f>VLOOKUP(A231,Database!$A:$AS,MATCH($B$4,Database!$A$1:$AS$1,0),FALSE)</f>
        <v>96.19</v>
      </c>
      <c r="C231" s="22">
        <f>(Table13456789101112131415161734[[#This Row],[FRA]]-B230)/B230</f>
        <v>-6.7121024370095589E-3</v>
      </c>
      <c r="D231" s="23">
        <f>(Table13456789101112131415161734[[#This Row],[FRA]]-B219)/B219</f>
        <v>-9.5448561218732422E-2</v>
      </c>
    </row>
    <row r="232" spans="1:4" x14ac:dyDescent="0.2">
      <c r="A232" s="21">
        <v>40118</v>
      </c>
      <c r="B232" s="79">
        <f>VLOOKUP(A232,Database!$A:$AS,MATCH($B$4,Database!$A$1:$AS$1,0),FALSE)</f>
        <v>97.14</v>
      </c>
      <c r="C232" s="22">
        <f>(Table13456789101112131415161734[[#This Row],[FRA]]-B231)/B231</f>
        <v>9.876286516269912E-3</v>
      </c>
      <c r="D232" s="23">
        <f>(Table13456789101112131415161734[[#This Row],[FRA]]-B220)/B220</f>
        <v>-3.8313038313038353E-2</v>
      </c>
    </row>
    <row r="233" spans="1:4" x14ac:dyDescent="0.2">
      <c r="A233" s="21">
        <v>40148</v>
      </c>
      <c r="B233" s="79">
        <f>VLOOKUP(A233,Database!$A:$AS,MATCH($B$4,Database!$A$1:$AS$1,0),FALSE)</f>
        <v>96.84</v>
      </c>
      <c r="C233" s="22">
        <f>(Table13456789101112131415161734[[#This Row],[FRA]]-B232)/B232</f>
        <v>-3.0883261272390073E-3</v>
      </c>
      <c r="D233" s="23">
        <f>(Table13456789101112131415161734[[#This Row],[FRA]]-B221)/B221</f>
        <v>-2.7906042963260401E-2</v>
      </c>
    </row>
    <row r="234" spans="1:4" x14ac:dyDescent="0.2">
      <c r="A234" s="21">
        <v>40179</v>
      </c>
      <c r="B234" s="79">
        <f>VLOOKUP(A234,Database!$A:$AS,MATCH($B$4,Database!$A$1:$AS$1,0),FALSE)</f>
        <v>97.87</v>
      </c>
      <c r="C234" s="22">
        <f>(Table13456789101112131415161734[[#This Row],[FRA]]-B233)/B233</f>
        <v>1.0636100784799681E-2</v>
      </c>
      <c r="D234" s="23">
        <f>(Table13456789101112131415161734[[#This Row],[FRA]]-B222)/B222</f>
        <v>2.0223079328677136E-2</v>
      </c>
    </row>
    <row r="235" spans="1:4" x14ac:dyDescent="0.2">
      <c r="A235" s="21">
        <v>40210</v>
      </c>
      <c r="B235" s="79">
        <f>VLOOKUP(A235,Database!$A:$AS,MATCH($B$4,Database!$A$1:$AS$1,0),FALSE)</f>
        <v>97.23</v>
      </c>
      <c r="C235" s="22">
        <f>(Table13456789101112131415161734[[#This Row],[FRA]]-B234)/B234</f>
        <v>-6.5392868090323958E-3</v>
      </c>
      <c r="D235" s="23">
        <f>(Table13456789101112131415161734[[#This Row],[FRA]]-B223)/B223</f>
        <v>2.7909927053599751E-2</v>
      </c>
    </row>
    <row r="236" spans="1:4" x14ac:dyDescent="0.2">
      <c r="A236" s="21">
        <v>40238</v>
      </c>
      <c r="B236" s="79">
        <f>VLOOKUP(A236,Database!$A:$AS,MATCH($B$4,Database!$A$1:$AS$1,0),FALSE)</f>
        <v>99.16</v>
      </c>
      <c r="C236" s="22">
        <f>(Table13456789101112131415161734[[#This Row],[FRA]]-B235)/B235</f>
        <v>1.9849840584181759E-2</v>
      </c>
      <c r="D236" s="23">
        <f>(Table13456789101112131415161734[[#This Row],[FRA]]-B224)/B224</f>
        <v>6.7959073774905787E-2</v>
      </c>
    </row>
    <row r="237" spans="1:4" x14ac:dyDescent="0.2">
      <c r="A237" s="21">
        <v>40269</v>
      </c>
      <c r="B237" s="79">
        <f>VLOOKUP(A237,Database!$A:$AS,MATCH($B$4,Database!$A$1:$AS$1,0),FALSE)</f>
        <v>98.76</v>
      </c>
      <c r="C237" s="22">
        <f>(Table13456789101112131415161734[[#This Row],[FRA]]-B236)/B236</f>
        <v>-4.0338846308994704E-3</v>
      </c>
      <c r="D237" s="23">
        <f>(Table13456789101112131415161734[[#This Row],[FRA]]-B225)/B225</f>
        <v>6.4109470962180823E-2</v>
      </c>
    </row>
    <row r="238" spans="1:4" x14ac:dyDescent="0.2">
      <c r="A238" s="21">
        <v>40299</v>
      </c>
      <c r="B238" s="79">
        <f>VLOOKUP(A238,Database!$A:$AS,MATCH($B$4,Database!$A$1:$AS$1,0),FALSE)</f>
        <v>99.55</v>
      </c>
      <c r="C238" s="22">
        <f>(Table13456789101112131415161734[[#This Row],[FRA]]-B237)/B237</f>
        <v>7.999189955447468E-3</v>
      </c>
      <c r="D238" s="23">
        <f>(Table13456789101112131415161734[[#This Row],[FRA]]-B226)/B226</f>
        <v>5.9831789630575852E-2</v>
      </c>
    </row>
    <row r="239" spans="1:4" x14ac:dyDescent="0.2">
      <c r="A239" s="21">
        <v>40330</v>
      </c>
      <c r="B239" s="79">
        <f>VLOOKUP(A239,Database!$A:$AS,MATCH($B$4,Database!$A$1:$AS$1,0),FALSE)</f>
        <v>99.15</v>
      </c>
      <c r="C239" s="22">
        <f>(Table13456789101112131415161734[[#This Row],[FRA]]-B238)/B238</f>
        <v>-4.018081366147579E-3</v>
      </c>
      <c r="D239" s="23">
        <f>(Table13456789101112131415161734[[#This Row],[FRA]]-B227)/B227</f>
        <v>4.2257962787764225E-2</v>
      </c>
    </row>
    <row r="240" spans="1:4" x14ac:dyDescent="0.2">
      <c r="A240" s="21">
        <v>40360</v>
      </c>
      <c r="B240" s="79">
        <f>VLOOKUP(A240,Database!$A:$AS,MATCH($B$4,Database!$A$1:$AS$1,0),FALSE)</f>
        <v>99.88</v>
      </c>
      <c r="C240" s="22">
        <f>(Table13456789101112131415161734[[#This Row],[FRA]]-B239)/B239</f>
        <v>7.3625819465455346E-3</v>
      </c>
      <c r="D240" s="23">
        <f>(Table13456789101112131415161734[[#This Row],[FRA]]-B228)/B228</f>
        <v>5.3586497890295341E-2</v>
      </c>
    </row>
    <row r="241" spans="1:4" x14ac:dyDescent="0.2">
      <c r="A241" s="21">
        <v>40391</v>
      </c>
      <c r="B241" s="79">
        <f>VLOOKUP(A241,Database!$A:$AS,MATCH($B$4,Database!$A$1:$AS$1,0),FALSE)</f>
        <v>98.72</v>
      </c>
      <c r="C241" s="22">
        <f>(Table13456789101112131415161734[[#This Row],[FRA]]-B240)/B240</f>
        <v>-1.1613936724068848E-2</v>
      </c>
      <c r="D241" s="23">
        <f>(Table13456789101112131415161734[[#This Row],[FRA]]-B229)/B229</f>
        <v>2.4597820446289619E-2</v>
      </c>
    </row>
    <row r="242" spans="1:4" x14ac:dyDescent="0.2">
      <c r="A242" s="21">
        <v>40422</v>
      </c>
      <c r="B242" s="79">
        <f>VLOOKUP(A242,Database!$A:$AS,MATCH($B$4,Database!$A$1:$AS$1,0),FALSE)</f>
        <v>100.02</v>
      </c>
      <c r="C242" s="22">
        <f>(Table13456789101112131415161734[[#This Row],[FRA]]-B241)/B241</f>
        <v>1.3168557536466747E-2</v>
      </c>
      <c r="D242" s="23">
        <f>(Table13456789101112131415161734[[#This Row],[FRA]]-B230)/B230</f>
        <v>3.2837670384138706E-2</v>
      </c>
    </row>
    <row r="243" spans="1:4" x14ac:dyDescent="0.2">
      <c r="A243" s="21">
        <v>40452</v>
      </c>
      <c r="B243" s="79">
        <f>VLOOKUP(A243,Database!$A:$AS,MATCH($B$4,Database!$A$1:$AS$1,0),FALSE)</f>
        <v>99.85</v>
      </c>
      <c r="C243" s="22">
        <f>(Table13456789101112131415161734[[#This Row],[FRA]]-B242)/B242</f>
        <v>-1.6996600679864199E-3</v>
      </c>
      <c r="D243" s="23">
        <f>(Table13456789101112131415161734[[#This Row],[FRA]]-B231)/B231</f>
        <v>3.804969331531341E-2</v>
      </c>
    </row>
    <row r="244" spans="1:4" x14ac:dyDescent="0.2">
      <c r="A244" s="21">
        <v>40483</v>
      </c>
      <c r="B244" s="79">
        <f>VLOOKUP(A244,Database!$A:$AS,MATCH($B$4,Database!$A$1:$AS$1,0),FALSE)</f>
        <v>101.16</v>
      </c>
      <c r="C244" s="22">
        <f>(Table13456789101112131415161734[[#This Row],[FRA]]-B243)/B243</f>
        <v>1.3119679519278941E-2</v>
      </c>
      <c r="D244" s="23">
        <f>(Table13456789101112131415161734[[#This Row],[FRA]]-B232)/B232</f>
        <v>4.1383570105003049E-2</v>
      </c>
    </row>
    <row r="245" spans="1:4" x14ac:dyDescent="0.2">
      <c r="A245" s="21">
        <v>40513</v>
      </c>
      <c r="B245" s="79">
        <f>VLOOKUP(A245,Database!$A:$AS,MATCH($B$4,Database!$A$1:$AS$1,0),FALSE)</f>
        <v>102.47</v>
      </c>
      <c r="C245" s="22">
        <f>(Table13456789101112131415161734[[#This Row],[FRA]]-B244)/B244</f>
        <v>1.2949782522736283E-2</v>
      </c>
      <c r="D245" s="23">
        <f>(Table13456789101112131415161734[[#This Row],[FRA]]-B233)/B233</f>
        <v>5.8137133415943773E-2</v>
      </c>
    </row>
    <row r="246" spans="1:4" x14ac:dyDescent="0.2">
      <c r="A246" s="21">
        <v>40544</v>
      </c>
      <c r="B246" s="79">
        <f>VLOOKUP(A246,Database!$A:$AS,MATCH($B$4,Database!$A$1:$AS$1,0),FALSE)</f>
        <v>103.66</v>
      </c>
      <c r="C246" s="22">
        <f>(Table13456789101112131415161734[[#This Row],[FRA]]-B245)/B245</f>
        <v>1.1613155069776497E-2</v>
      </c>
      <c r="D246" s="23">
        <f>(Table13456789101112131415161734[[#This Row],[FRA]]-B234)/B234</f>
        <v>5.9160110350464819E-2</v>
      </c>
    </row>
    <row r="247" spans="1:4" x14ac:dyDescent="0.2">
      <c r="A247" s="21">
        <v>40575</v>
      </c>
      <c r="B247" s="79">
        <f>VLOOKUP(A247,Database!$A:$AS,MATCH($B$4,Database!$A$1:$AS$1,0),FALSE)</f>
        <v>104.02</v>
      </c>
      <c r="C247" s="22">
        <f>(Table13456789101112131415161734[[#This Row],[FRA]]-B246)/B246</f>
        <v>3.4728921474049723E-3</v>
      </c>
      <c r="D247" s="23">
        <f>(Table13456789101112131415161734[[#This Row],[FRA]]-B235)/B235</f>
        <v>6.9834413246940161E-2</v>
      </c>
    </row>
    <row r="248" spans="1:4" x14ac:dyDescent="0.2">
      <c r="A248" s="21">
        <v>40603</v>
      </c>
      <c r="B248" s="79">
        <f>VLOOKUP(A248,Database!$A:$AS,MATCH($B$4,Database!$A$1:$AS$1,0),FALSE)</f>
        <v>102.71</v>
      </c>
      <c r="C248" s="22">
        <f>(Table13456789101112131415161734[[#This Row],[FRA]]-B247)/B247</f>
        <v>-1.2593731974620288E-2</v>
      </c>
      <c r="D248" s="23">
        <f>(Table13456789101112131415161734[[#This Row],[FRA]]-B236)/B236</f>
        <v>3.5800726099233536E-2</v>
      </c>
    </row>
    <row r="249" spans="1:4" x14ac:dyDescent="0.2">
      <c r="A249" s="21">
        <v>40634</v>
      </c>
      <c r="B249" s="79">
        <f>VLOOKUP(A249,Database!$A:$AS,MATCH($B$4,Database!$A$1:$AS$1,0),FALSE)</f>
        <v>100.97</v>
      </c>
      <c r="C249" s="22">
        <f>(Table13456789101112131415161734[[#This Row],[FRA]]-B248)/B248</f>
        <v>-1.6940901567520154E-2</v>
      </c>
      <c r="D249" s="23">
        <f>(Table13456789101112131415161734[[#This Row],[FRA]]-B237)/B237</f>
        <v>2.2377480761441814E-2</v>
      </c>
    </row>
    <row r="250" spans="1:4" x14ac:dyDescent="0.2">
      <c r="A250" s="21">
        <v>40664</v>
      </c>
      <c r="B250" s="79">
        <f>VLOOKUP(A250,Database!$A:$AS,MATCH($B$4,Database!$A$1:$AS$1,0),FALSE)</f>
        <v>104.27</v>
      </c>
      <c r="C250" s="22">
        <f>(Table13456789101112131415161734[[#This Row],[FRA]]-B249)/B249</f>
        <v>3.2682975141130999E-2</v>
      </c>
      <c r="D250" s="23">
        <f>(Table13456789101112131415161734[[#This Row],[FRA]]-B238)/B238</f>
        <v>4.7413360120542432E-2</v>
      </c>
    </row>
    <row r="251" spans="1:4" x14ac:dyDescent="0.2">
      <c r="A251" s="21">
        <v>40695</v>
      </c>
      <c r="B251" s="79">
        <f>VLOOKUP(A251,Database!$A:$AS,MATCH($B$4,Database!$A$1:$AS$1,0),FALSE)</f>
        <v>101.47</v>
      </c>
      <c r="C251" s="22">
        <f>(Table13456789101112131415161734[[#This Row],[FRA]]-B250)/B250</f>
        <v>-2.685336146542627E-2</v>
      </c>
      <c r="D251" s="23">
        <f>(Table13456789101112131415161734[[#This Row],[FRA]]-B239)/B239</f>
        <v>2.3398890569843601E-2</v>
      </c>
    </row>
    <row r="252" spans="1:4" x14ac:dyDescent="0.2">
      <c r="A252" s="21">
        <v>40725</v>
      </c>
      <c r="B252" s="79">
        <f>VLOOKUP(A252,Database!$A:$AS,MATCH($B$4,Database!$A$1:$AS$1,0),FALSE)</f>
        <v>102.56</v>
      </c>
      <c r="C252" s="22">
        <f>(Table13456789101112131415161734[[#This Row],[FRA]]-B251)/B251</f>
        <v>1.0742091258500083E-2</v>
      </c>
      <c r="D252" s="23">
        <f>(Table13456789101112131415161734[[#This Row],[FRA]]-B240)/B240</f>
        <v>2.6832198638366108E-2</v>
      </c>
    </row>
    <row r="253" spans="1:4" x14ac:dyDescent="0.2">
      <c r="A253" s="21">
        <v>40756</v>
      </c>
      <c r="B253" s="79">
        <f>VLOOKUP(A253,Database!$A:$AS,MATCH($B$4,Database!$A$1:$AS$1,0),FALSE)</f>
        <v>101.71</v>
      </c>
      <c r="C253" s="22">
        <f>(Table13456789101112131415161734[[#This Row],[FRA]]-B252)/B252</f>
        <v>-8.2878315132606135E-3</v>
      </c>
      <c r="D253" s="23">
        <f>(Table13456789101112131415161734[[#This Row],[FRA]]-B241)/B241</f>
        <v>3.0287682333873529E-2</v>
      </c>
    </row>
    <row r="254" spans="1:4" x14ac:dyDescent="0.2">
      <c r="A254" s="21">
        <v>40787</v>
      </c>
      <c r="B254" s="79">
        <f>VLOOKUP(A254,Database!$A:$AS,MATCH($B$4,Database!$A$1:$AS$1,0),FALSE)</f>
        <v>100.98</v>
      </c>
      <c r="C254" s="22">
        <f>(Table13456789101112131415161734[[#This Row],[FRA]]-B253)/B253</f>
        <v>-7.1772687051419705E-3</v>
      </c>
      <c r="D254" s="23">
        <f>(Table13456789101112131415161734[[#This Row],[FRA]]-B242)/B242</f>
        <v>9.5980803839232961E-3</v>
      </c>
    </row>
    <row r="255" spans="1:4" x14ac:dyDescent="0.2">
      <c r="A255" s="21">
        <v>40817</v>
      </c>
      <c r="B255" s="79">
        <f>VLOOKUP(A255,Database!$A:$AS,MATCH($B$4,Database!$A$1:$AS$1,0),FALSE)</f>
        <v>101.18</v>
      </c>
      <c r="C255" s="22">
        <f>(Table13456789101112131415161734[[#This Row],[FRA]]-B254)/B254</f>
        <v>1.9805902158843616E-3</v>
      </c>
      <c r="D255" s="23">
        <f>(Table13456789101112131415161734[[#This Row],[FRA]]-B243)/B243</f>
        <v>1.3319979969955058E-2</v>
      </c>
    </row>
    <row r="256" spans="1:4" x14ac:dyDescent="0.2">
      <c r="A256" s="21">
        <v>40848</v>
      </c>
      <c r="B256" s="79">
        <f>VLOOKUP(A256,Database!$A:$AS,MATCH($B$4,Database!$A$1:$AS$1,0),FALSE)</f>
        <v>103.23</v>
      </c>
      <c r="C256" s="22">
        <f>(Table13456789101112131415161734[[#This Row],[FRA]]-B255)/B255</f>
        <v>2.0260921130658204E-2</v>
      </c>
      <c r="D256" s="23">
        <f>(Table13456789101112131415161734[[#This Row],[FRA]]-B244)/B244</f>
        <v>2.0462633451957368E-2</v>
      </c>
    </row>
    <row r="257" spans="1:4" x14ac:dyDescent="0.2">
      <c r="A257" s="21">
        <v>40878</v>
      </c>
      <c r="B257" s="79">
        <f>VLOOKUP(A257,Database!$A:$AS,MATCH($B$4,Database!$A$1:$AS$1,0),FALSE)</f>
        <v>101.18</v>
      </c>
      <c r="C257" s="22">
        <f>(Table13456789101112131415161734[[#This Row],[FRA]]-B256)/B256</f>
        <v>-1.9858568245664992E-2</v>
      </c>
      <c r="D257" s="23">
        <f>(Table13456789101112131415161734[[#This Row],[FRA]]-B245)/B245</f>
        <v>-1.2589050453791276E-2</v>
      </c>
    </row>
    <row r="258" spans="1:4" x14ac:dyDescent="0.2">
      <c r="A258" s="21">
        <v>40909</v>
      </c>
      <c r="B258" s="79">
        <f>VLOOKUP(A258,Database!$A:$AS,MATCH($B$4,Database!$A$1:$AS$1,0),FALSE)</f>
        <v>100.75</v>
      </c>
      <c r="C258" s="22">
        <f>(Table13456789101112131415161734[[#This Row],[FRA]]-B257)/B257</f>
        <v>-4.2498517493576478E-3</v>
      </c>
      <c r="D258" s="23">
        <f>(Table13456789101112131415161734[[#This Row],[FRA]]-B246)/B246</f>
        <v>-2.8072544858190204E-2</v>
      </c>
    </row>
    <row r="259" spans="1:4" x14ac:dyDescent="0.2">
      <c r="A259" s="21">
        <v>40940</v>
      </c>
      <c r="B259" s="79">
        <f>VLOOKUP(A259,Database!$A:$AS,MATCH($B$4,Database!$A$1:$AS$1,0),FALSE)</f>
        <v>101.6</v>
      </c>
      <c r="C259" s="22">
        <f>(Table13456789101112131415161734[[#This Row],[FRA]]-B258)/B258</f>
        <v>8.4367245657567674E-3</v>
      </c>
      <c r="D259" s="23">
        <f>(Table13456789101112131415161734[[#This Row],[FRA]]-B247)/B247</f>
        <v>-2.3264756777542799E-2</v>
      </c>
    </row>
    <row r="260" spans="1:4" x14ac:dyDescent="0.2">
      <c r="A260" s="21">
        <v>40969</v>
      </c>
      <c r="B260" s="79">
        <f>VLOOKUP(A260,Database!$A:$AS,MATCH($B$4,Database!$A$1:$AS$1,0),FALSE)</f>
        <v>100.67</v>
      </c>
      <c r="C260" s="22">
        <f>(Table13456789101112131415161734[[#This Row],[FRA]]-B259)/B259</f>
        <v>-9.1535433070865421E-3</v>
      </c>
      <c r="D260" s="23">
        <f>(Table13456789101112131415161734[[#This Row],[FRA]]-B248)/B248</f>
        <v>-1.9861746665368437E-2</v>
      </c>
    </row>
    <row r="261" spans="1:4" x14ac:dyDescent="0.2">
      <c r="A261" s="21">
        <v>41000</v>
      </c>
      <c r="B261" s="79">
        <f>VLOOKUP(A261,Database!$A:$AS,MATCH($B$4,Database!$A$1:$AS$1,0),FALSE)</f>
        <v>100.98</v>
      </c>
      <c r="C261" s="22">
        <f>(Table13456789101112131415161734[[#This Row],[FRA]]-B260)/B260</f>
        <v>3.0793682328399945E-3</v>
      </c>
      <c r="D261" s="23">
        <f>(Table13456789101112131415161734[[#This Row],[FRA]]-B249)/B249</f>
        <v>9.9039318609538639E-5</v>
      </c>
    </row>
    <row r="262" spans="1:4" x14ac:dyDescent="0.2">
      <c r="A262" s="21">
        <v>41030</v>
      </c>
      <c r="B262" s="79">
        <f>VLOOKUP(A262,Database!$A:$AS,MATCH($B$4,Database!$A$1:$AS$1,0),FALSE)</f>
        <v>99.52</v>
      </c>
      <c r="C262" s="22">
        <f>(Table13456789101112131415161734[[#This Row],[FRA]]-B261)/B261</f>
        <v>-1.4458308575955713E-2</v>
      </c>
      <c r="D262" s="23">
        <f>(Table13456789101112131415161734[[#This Row],[FRA]]-B250)/B250</f>
        <v>-4.5554809628848184E-2</v>
      </c>
    </row>
    <row r="263" spans="1:4" x14ac:dyDescent="0.2">
      <c r="A263" s="21">
        <v>41061</v>
      </c>
      <c r="B263" s="79">
        <f>VLOOKUP(A263,Database!$A:$AS,MATCH($B$4,Database!$A$1:$AS$1,0),FALSE)</f>
        <v>98.75</v>
      </c>
      <c r="C263" s="22">
        <f>(Table13456789101112131415161734[[#This Row],[FRA]]-B262)/B262</f>
        <v>-7.7371382636655548E-3</v>
      </c>
      <c r="D263" s="23">
        <f>(Table13456789101112131415161734[[#This Row],[FRA]]-B251)/B251</f>
        <v>-2.6805952498275342E-2</v>
      </c>
    </row>
    <row r="264" spans="1:4" x14ac:dyDescent="0.2">
      <c r="A264" s="21">
        <v>41091</v>
      </c>
      <c r="B264" s="79">
        <f>VLOOKUP(A264,Database!$A:$AS,MATCH($B$4,Database!$A$1:$AS$1,0),FALSE)</f>
        <v>99.44</v>
      </c>
      <c r="C264" s="22">
        <f>(Table13456789101112131415161734[[#This Row],[FRA]]-B263)/B263</f>
        <v>6.9873417721518756E-3</v>
      </c>
      <c r="D264" s="23">
        <f>(Table13456789101112131415161734[[#This Row],[FRA]]-B252)/B252</f>
        <v>-3.042121684867399E-2</v>
      </c>
    </row>
    <row r="265" spans="1:4" x14ac:dyDescent="0.2">
      <c r="A265" s="21">
        <v>41122</v>
      </c>
      <c r="B265" s="79">
        <f>VLOOKUP(A265,Database!$A:$AS,MATCH($B$4,Database!$A$1:$AS$1,0),FALSE)</f>
        <v>101.66</v>
      </c>
      <c r="C265" s="22">
        <f>(Table13456789101112131415161734[[#This Row],[FRA]]-B264)/B264</f>
        <v>2.2325020112630722E-2</v>
      </c>
      <c r="D265" s="23">
        <f>(Table13456789101112131415161734[[#This Row],[FRA]]-B253)/B253</f>
        <v>-4.9159374692751118E-4</v>
      </c>
    </row>
    <row r="266" spans="1:4" x14ac:dyDescent="0.2">
      <c r="A266" s="21">
        <v>41153</v>
      </c>
      <c r="B266" s="79">
        <f>VLOOKUP(A266,Database!$A:$AS,MATCH($B$4,Database!$A$1:$AS$1,0),FALSE)</f>
        <v>99.41</v>
      </c>
      <c r="C266" s="22">
        <f>(Table13456789101112131415161734[[#This Row],[FRA]]-B265)/B265</f>
        <v>-2.2132598858941571E-2</v>
      </c>
      <c r="D266" s="23">
        <f>(Table13456789101112131415161734[[#This Row],[FRA]]-B254)/B254</f>
        <v>-1.5547633194692091E-2</v>
      </c>
    </row>
    <row r="267" spans="1:4" x14ac:dyDescent="0.2">
      <c r="A267" s="21">
        <v>41183</v>
      </c>
      <c r="B267" s="79">
        <f>VLOOKUP(A267,Database!$A:$AS,MATCH($B$4,Database!$A$1:$AS$1,0),FALSE)</f>
        <v>97.95</v>
      </c>
      <c r="C267" s="22">
        <f>(Table13456789101112131415161734[[#This Row],[FRA]]-B266)/B266</f>
        <v>-1.4686651242329683E-2</v>
      </c>
      <c r="D267" s="23">
        <f>(Table13456789101112131415161734[[#This Row],[FRA]]-B255)/B255</f>
        <v>-3.1923305000988375E-2</v>
      </c>
    </row>
    <row r="268" spans="1:4" x14ac:dyDescent="0.2">
      <c r="A268" s="21">
        <v>41214</v>
      </c>
      <c r="B268" s="79">
        <f>VLOOKUP(A268,Database!$A:$AS,MATCH($B$4,Database!$A$1:$AS$1,0),FALSE)</f>
        <v>97.9</v>
      </c>
      <c r="C268" s="22">
        <f>(Table13456789101112131415161734[[#This Row],[FRA]]-B267)/B267</f>
        <v>-5.1046452271564222E-4</v>
      </c>
      <c r="D268" s="23">
        <f>(Table13456789101112131415161734[[#This Row],[FRA]]-B256)/B256</f>
        <v>-5.1632277438729036E-2</v>
      </c>
    </row>
    <row r="269" spans="1:4" x14ac:dyDescent="0.2">
      <c r="A269" s="21">
        <v>41244</v>
      </c>
      <c r="B269" s="79">
        <f>VLOOKUP(A269,Database!$A:$AS,MATCH($B$4,Database!$A$1:$AS$1,0),FALSE)</f>
        <v>98.82</v>
      </c>
      <c r="C269" s="22">
        <f>(Table13456789101112131415161734[[#This Row],[FRA]]-B268)/B268</f>
        <v>9.3973442288047739E-3</v>
      </c>
      <c r="D269" s="23">
        <f>(Table13456789101112131415161734[[#This Row],[FRA]]-B257)/B257</f>
        <v>-2.3324767740660342E-2</v>
      </c>
    </row>
    <row r="270" spans="1:4" x14ac:dyDescent="0.2">
      <c r="A270" s="21">
        <v>41275</v>
      </c>
      <c r="B270" s="79">
        <f>VLOOKUP(A270,Database!$A:$AS,MATCH($B$4,Database!$A$1:$AS$1,0),FALSE)</f>
        <v>98.64</v>
      </c>
      <c r="C270" s="22">
        <f>(Table13456789101112131415161734[[#This Row],[FRA]]-B269)/B269</f>
        <v>-1.8214936247722387E-3</v>
      </c>
      <c r="D270" s="23">
        <f>(Table13456789101112131415161734[[#This Row],[FRA]]-B258)/B258</f>
        <v>-2.0942928039702227E-2</v>
      </c>
    </row>
    <row r="271" spans="1:4" x14ac:dyDescent="0.2">
      <c r="A271" s="21">
        <v>41306</v>
      </c>
      <c r="B271" s="79">
        <f>VLOOKUP(A271,Database!$A:$AS,MATCH($B$4,Database!$A$1:$AS$1,0),FALSE)</f>
        <v>99.71</v>
      </c>
      <c r="C271" s="22">
        <f>(Table13456789101112131415161734[[#This Row],[FRA]]-B270)/B270</f>
        <v>1.0847526358475194E-2</v>
      </c>
      <c r="D271" s="23">
        <f>(Table13456789101112131415161734[[#This Row],[FRA]]-B259)/B259</f>
        <v>-1.8602362204724415E-2</v>
      </c>
    </row>
    <row r="272" spans="1:4" x14ac:dyDescent="0.2">
      <c r="A272" s="21">
        <v>41334</v>
      </c>
      <c r="B272" s="79">
        <f>VLOOKUP(A272,Database!$A:$AS,MATCH($B$4,Database!$A$1:$AS$1,0),FALSE)</f>
        <v>99.84</v>
      </c>
      <c r="C272" s="22">
        <f>(Table13456789101112131415161734[[#This Row],[FRA]]-B271)/B271</f>
        <v>1.3037809647980108E-3</v>
      </c>
      <c r="D272" s="23">
        <f>(Table13456789101112131415161734[[#This Row],[FRA]]-B260)/B260</f>
        <v>-8.2447601072811981E-3</v>
      </c>
    </row>
    <row r="273" spans="1:4" x14ac:dyDescent="0.2">
      <c r="A273" s="21">
        <v>41365</v>
      </c>
      <c r="B273" s="79">
        <f>VLOOKUP(A273,Database!$A:$AS,MATCH($B$4,Database!$A$1:$AS$1,0),FALSE)</f>
        <v>101.47</v>
      </c>
      <c r="C273" s="22">
        <f>(Table13456789101112131415161734[[#This Row],[FRA]]-B272)/B272</f>
        <v>1.6326121794871747E-2</v>
      </c>
      <c r="D273" s="23">
        <f>(Table13456789101112131415161734[[#This Row],[FRA]]-B261)/B261</f>
        <v>4.852446028916566E-3</v>
      </c>
    </row>
    <row r="274" spans="1:4" x14ac:dyDescent="0.2">
      <c r="A274" s="21">
        <v>41395</v>
      </c>
      <c r="B274" s="79">
        <f>VLOOKUP(A274,Database!$A:$AS,MATCH($B$4,Database!$A$1:$AS$1,0),FALSE)</f>
        <v>101.07</v>
      </c>
      <c r="C274" s="22">
        <f>(Table13456789101112131415161734[[#This Row],[FRA]]-B273)/B273</f>
        <v>-3.9420518379817259E-3</v>
      </c>
      <c r="D274" s="23">
        <f>(Table13456789101112131415161734[[#This Row],[FRA]]-B262)/B262</f>
        <v>1.5574758842443703E-2</v>
      </c>
    </row>
    <row r="275" spans="1:4" x14ac:dyDescent="0.2">
      <c r="A275" s="21">
        <v>41426</v>
      </c>
      <c r="B275" s="79">
        <f>VLOOKUP(A275,Database!$A:$AS,MATCH($B$4,Database!$A$1:$AS$1,0),FALSE)</f>
        <v>99.82</v>
      </c>
      <c r="C275" s="22">
        <f>(Table13456789101112131415161734[[#This Row],[FRA]]-B274)/B274</f>
        <v>-1.2367665974077372E-2</v>
      </c>
      <c r="D275" s="23">
        <f>(Table13456789101112131415161734[[#This Row],[FRA]]-B263)/B263</f>
        <v>1.0835443037974615E-2</v>
      </c>
    </row>
    <row r="276" spans="1:4" x14ac:dyDescent="0.2">
      <c r="A276" s="21">
        <v>41456</v>
      </c>
      <c r="B276" s="79">
        <f>VLOOKUP(A276,Database!$A:$AS,MATCH($B$4,Database!$A$1:$AS$1,0),FALSE)</f>
        <v>99.12</v>
      </c>
      <c r="C276" s="22">
        <f>(Table13456789101112131415161734[[#This Row],[FRA]]-B275)/B275</f>
        <v>-7.0126227208975019E-3</v>
      </c>
      <c r="D276" s="23">
        <f>(Table13456789101112131415161734[[#This Row],[FRA]]-B264)/B264</f>
        <v>-3.2180209171358927E-3</v>
      </c>
    </row>
    <row r="277" spans="1:4" x14ac:dyDescent="0.2">
      <c r="A277" s="21">
        <v>41487</v>
      </c>
      <c r="B277" s="79">
        <f>VLOOKUP(A277,Database!$A:$AS,MATCH($B$4,Database!$A$1:$AS$1,0),FALSE)</f>
        <v>98.34</v>
      </c>
      <c r="C277" s="22">
        <f>(Table13456789101112131415161734[[#This Row],[FRA]]-B276)/B276</f>
        <v>-7.8692493946731345E-3</v>
      </c>
      <c r="D277" s="23">
        <f>(Table13456789101112131415161734[[#This Row],[FRA]]-B265)/B265</f>
        <v>-3.2657879205193717E-2</v>
      </c>
    </row>
    <row r="278" spans="1:4" x14ac:dyDescent="0.2">
      <c r="A278" s="21">
        <v>41518</v>
      </c>
      <c r="B278" s="79">
        <f>VLOOKUP(A278,Database!$A:$AS,MATCH($B$4,Database!$A$1:$AS$1,0),FALSE)</f>
        <v>98.9</v>
      </c>
      <c r="C278" s="22">
        <f>(Table13456789101112131415161734[[#This Row],[FRA]]-B277)/B277</f>
        <v>5.6945291844620934E-3</v>
      </c>
      <c r="D278" s="23">
        <f>(Table13456789101112131415161734[[#This Row],[FRA]]-B266)/B266</f>
        <v>-5.1302685846493406E-3</v>
      </c>
    </row>
    <row r="279" spans="1:4" x14ac:dyDescent="0.2">
      <c r="A279" s="21">
        <v>41548</v>
      </c>
      <c r="B279" s="79">
        <f>VLOOKUP(A279,Database!$A:$AS,MATCH($B$4,Database!$A$1:$AS$1,0),FALSE)</f>
        <v>99.07</v>
      </c>
      <c r="C279" s="22">
        <f>(Table13456789101112131415161734[[#This Row],[FRA]]-B278)/B278</f>
        <v>1.7189079878664052E-3</v>
      </c>
      <c r="D279" s="23">
        <f>(Table13456789101112131415161734[[#This Row],[FRA]]-B267)/B267</f>
        <v>1.1434405308830936E-2</v>
      </c>
    </row>
    <row r="280" spans="1:4" x14ac:dyDescent="0.2">
      <c r="A280" s="21">
        <v>41579</v>
      </c>
      <c r="B280" s="79">
        <f>VLOOKUP(A280,Database!$A:$AS,MATCH($B$4,Database!$A$1:$AS$1,0),FALSE)</f>
        <v>100.75</v>
      </c>
      <c r="C280" s="22">
        <f>(Table13456789101112131415161734[[#This Row],[FRA]]-B279)/B279</f>
        <v>1.6957706672050137E-2</v>
      </c>
      <c r="D280" s="23">
        <f>(Table13456789101112131415161734[[#This Row],[FRA]]-B268)/B268</f>
        <v>2.9111338100102087E-2</v>
      </c>
    </row>
    <row r="281" spans="1:4" x14ac:dyDescent="0.2">
      <c r="A281" s="21">
        <v>41609</v>
      </c>
      <c r="B281" s="79">
        <f>VLOOKUP(A281,Database!$A:$AS,MATCH($B$4,Database!$A$1:$AS$1,0),FALSE)</f>
        <v>99.51</v>
      </c>
      <c r="C281" s="22">
        <f>(Table13456789101112131415161734[[#This Row],[FRA]]-B280)/B280</f>
        <v>-1.2307692307692257E-2</v>
      </c>
      <c r="D281" s="23">
        <f>(Table13456789101112131415161734[[#This Row],[FRA]]-B269)/B269</f>
        <v>6.9823922282939892E-3</v>
      </c>
    </row>
    <row r="282" spans="1:4" x14ac:dyDescent="0.2">
      <c r="A282" s="21">
        <v>41640</v>
      </c>
      <c r="B282" s="79">
        <f>VLOOKUP(A282,Database!$A:$AS,MATCH($B$4,Database!$A$1:$AS$1,0),FALSE)</f>
        <v>98</v>
      </c>
      <c r="C282" s="22">
        <f>(Table13456789101112131415161734[[#This Row],[FRA]]-B281)/B281</f>
        <v>-1.5174354336247664E-2</v>
      </c>
      <c r="D282" s="23">
        <f>(Table13456789101112131415161734[[#This Row],[FRA]]-B270)/B270</f>
        <v>-6.488240064882406E-3</v>
      </c>
    </row>
    <row r="283" spans="1:4" x14ac:dyDescent="0.2">
      <c r="A283" s="21">
        <v>41671</v>
      </c>
      <c r="B283" s="79">
        <f>VLOOKUP(A283,Database!$A:$AS,MATCH($B$4,Database!$A$1:$AS$1,0),FALSE)</f>
        <v>99.49</v>
      </c>
      <c r="C283" s="22">
        <f>(Table13456789101112131415161734[[#This Row],[FRA]]-B282)/B282</f>
        <v>1.5204081632653009E-2</v>
      </c>
      <c r="D283" s="23">
        <f>(Table13456789101112131415161734[[#This Row],[FRA]]-B271)/B271</f>
        <v>-2.2063985558118432E-3</v>
      </c>
    </row>
    <row r="284" spans="1:4" x14ac:dyDescent="0.2">
      <c r="A284" s="21">
        <v>41699</v>
      </c>
      <c r="B284" s="79">
        <f>VLOOKUP(A284,Database!$A:$AS,MATCH($B$4,Database!$A$1:$AS$1,0),FALSE)</f>
        <v>98.77</v>
      </c>
      <c r="C284" s="22">
        <f>(Table13456789101112131415161734[[#This Row],[FRA]]-B283)/B283</f>
        <v>-7.2369082319831031E-3</v>
      </c>
      <c r="D284" s="23">
        <f>(Table13456789101112131415161734[[#This Row],[FRA]]-B272)/B272</f>
        <v>-1.0717147435897509E-2</v>
      </c>
    </row>
    <row r="285" spans="1:4" x14ac:dyDescent="0.2">
      <c r="A285" s="21">
        <v>41730</v>
      </c>
      <c r="B285" s="79">
        <f>VLOOKUP(A285,Database!$A:$AS,MATCH($B$4,Database!$A$1:$AS$1,0),FALSE)</f>
        <v>99.15</v>
      </c>
      <c r="C285" s="22">
        <f>(Table13456789101112131415161734[[#This Row],[FRA]]-B284)/B284</f>
        <v>3.8473220613547605E-3</v>
      </c>
      <c r="D285" s="23">
        <f>(Table13456789101112131415161734[[#This Row],[FRA]]-B273)/B273</f>
        <v>-2.2863900660293614E-2</v>
      </c>
    </row>
    <row r="286" spans="1:4" x14ac:dyDescent="0.2">
      <c r="A286" s="21">
        <v>41760</v>
      </c>
      <c r="B286" s="79">
        <f>VLOOKUP(A286,Database!$A:$AS,MATCH($B$4,Database!$A$1:$AS$1,0),FALSE)</f>
        <v>96.94</v>
      </c>
      <c r="C286" s="22">
        <f>(Table13456789101112131415161734[[#This Row],[FRA]]-B285)/B285</f>
        <v>-2.2289460413514955E-2</v>
      </c>
      <c r="D286" s="23">
        <f>(Table13456789101112131415161734[[#This Row],[FRA]]-B274)/B274</f>
        <v>-4.0862768378351594E-2</v>
      </c>
    </row>
    <row r="287" spans="1:4" x14ac:dyDescent="0.2">
      <c r="A287" s="21">
        <v>41791</v>
      </c>
      <c r="B287" s="79">
        <f>VLOOKUP(A287,Database!$A:$AS,MATCH($B$4,Database!$A$1:$AS$1,0),FALSE)</f>
        <v>99</v>
      </c>
      <c r="C287" s="22">
        <f>(Table13456789101112131415161734[[#This Row],[FRA]]-B286)/B286</f>
        <v>2.1250257891479288E-2</v>
      </c>
      <c r="D287" s="23">
        <f>(Table13456789101112131415161734[[#This Row],[FRA]]-B275)/B275</f>
        <v>-8.2147866159085672E-3</v>
      </c>
    </row>
    <row r="288" spans="1:4" x14ac:dyDescent="0.2">
      <c r="A288" s="21">
        <v>41821</v>
      </c>
      <c r="B288" s="79">
        <f>VLOOKUP(A288,Database!$A:$AS,MATCH($B$4,Database!$A$1:$AS$1,0),FALSE)</f>
        <v>100.33</v>
      </c>
      <c r="C288" s="22">
        <f>(Table13456789101112131415161734[[#This Row],[FRA]]-B287)/B287</f>
        <v>1.3434343434343417E-2</v>
      </c>
      <c r="D288" s="23">
        <f>(Table13456789101112131415161734[[#This Row],[FRA]]-B276)/B276</f>
        <v>1.22074253430185E-2</v>
      </c>
    </row>
    <row r="289" spans="1:4" x14ac:dyDescent="0.2">
      <c r="A289" s="21">
        <v>41852</v>
      </c>
      <c r="B289" s="79">
        <f>VLOOKUP(A289,Database!$A:$AS,MATCH($B$4,Database!$A$1:$AS$1,0),FALSE)</f>
        <v>98.14</v>
      </c>
      <c r="C289" s="22">
        <f>(Table13456789101112131415161734[[#This Row],[FRA]]-B288)/B288</f>
        <v>-2.1827967706568301E-2</v>
      </c>
      <c r="D289" s="23">
        <f>(Table13456789101112131415161734[[#This Row],[FRA]]-B277)/B277</f>
        <v>-2.0337604230221966E-3</v>
      </c>
    </row>
    <row r="290" spans="1:4" x14ac:dyDescent="0.2">
      <c r="A290" s="21">
        <v>41883</v>
      </c>
      <c r="B290" s="79">
        <f>VLOOKUP(A290,Database!$A:$AS,MATCH($B$4,Database!$A$1:$AS$1,0),FALSE)</f>
        <v>99.16</v>
      </c>
      <c r="C290" s="22">
        <f>(Table13456789101112131415161734[[#This Row],[FRA]]-B289)/B289</f>
        <v>1.0393315671489668E-2</v>
      </c>
      <c r="D290" s="23">
        <f>(Table13456789101112131415161734[[#This Row],[FRA]]-B278)/B278</f>
        <v>2.6289180990898978E-3</v>
      </c>
    </row>
    <row r="291" spans="1:4" x14ac:dyDescent="0.2">
      <c r="A291" s="21">
        <v>41913</v>
      </c>
      <c r="B291" s="79">
        <f>VLOOKUP(A291,Database!$A:$AS,MATCH($B$4,Database!$A$1:$AS$1,0),FALSE)</f>
        <v>97.64</v>
      </c>
      <c r="C291" s="22">
        <f>(Table13456789101112131415161734[[#This Row],[FRA]]-B290)/B290</f>
        <v>-1.5328761597418274E-2</v>
      </c>
      <c r="D291" s="23">
        <f>(Table13456789101112131415161734[[#This Row],[FRA]]-B279)/B279</f>
        <v>-1.4434238417280637E-2</v>
      </c>
    </row>
    <row r="292" spans="1:4" x14ac:dyDescent="0.2">
      <c r="A292" s="21">
        <v>41944</v>
      </c>
      <c r="B292" s="79">
        <f>VLOOKUP(A292,Database!$A:$AS,MATCH($B$4,Database!$A$1:$AS$1,0),FALSE)</f>
        <v>96.62</v>
      </c>
      <c r="C292" s="22">
        <f>(Table13456789101112131415161734[[#This Row],[FRA]]-B291)/B291</f>
        <v>-1.044653830397374E-2</v>
      </c>
      <c r="D292" s="23">
        <f>(Table13456789101112131415161734[[#This Row],[FRA]]-B280)/B280</f>
        <v>-4.0992555831265466E-2</v>
      </c>
    </row>
    <row r="293" spans="1:4" x14ac:dyDescent="0.2">
      <c r="A293" s="21">
        <v>41974</v>
      </c>
      <c r="B293" s="79">
        <f>VLOOKUP(A293,Database!$A:$AS,MATCH($B$4,Database!$A$1:$AS$1,0),FALSE)</f>
        <v>99.47</v>
      </c>
      <c r="C293" s="22">
        <f>(Table13456789101112131415161734[[#This Row],[FRA]]-B292)/B292</f>
        <v>2.9496998551024573E-2</v>
      </c>
      <c r="D293" s="23">
        <f>(Table13456789101112131415161734[[#This Row],[FRA]]-B281)/B281</f>
        <v>-4.019696512913903E-4</v>
      </c>
    </row>
    <row r="294" spans="1:4" x14ac:dyDescent="0.2">
      <c r="A294" s="21">
        <v>42005</v>
      </c>
      <c r="B294" s="79">
        <f>VLOOKUP(A294,Database!$A:$AS,MATCH($B$4,Database!$A$1:$AS$1,0),FALSE)</f>
        <v>99.51</v>
      </c>
      <c r="C294" s="22">
        <f>(Table13456789101112131415161734[[#This Row],[FRA]]-B293)/B293</f>
        <v>4.0213129586816381E-4</v>
      </c>
      <c r="D294" s="23">
        <f>(Table13456789101112131415161734[[#This Row],[FRA]]-B282)/B282</f>
        <v>1.5408163265306175E-2</v>
      </c>
    </row>
    <row r="295" spans="1:4" x14ac:dyDescent="0.2">
      <c r="A295" s="21">
        <v>42036</v>
      </c>
      <c r="B295" s="79">
        <f>VLOOKUP(A295,Database!$A:$AS,MATCH($B$4,Database!$A$1:$AS$1,0),FALSE)</f>
        <v>100.09</v>
      </c>
      <c r="C295" s="22">
        <f>(Table13456789101112131415161734[[#This Row],[FRA]]-B294)/B294</f>
        <v>5.8285599437242312E-3</v>
      </c>
      <c r="D295" s="23">
        <f>(Table13456789101112131415161734[[#This Row],[FRA]]-B283)/B283</f>
        <v>6.0307568599860147E-3</v>
      </c>
    </row>
    <row r="296" spans="1:4" x14ac:dyDescent="0.2">
      <c r="A296" s="21">
        <v>42064</v>
      </c>
      <c r="B296" s="79">
        <f>VLOOKUP(A296,Database!$A:$AS,MATCH($B$4,Database!$A$1:$AS$1,0),FALSE)</f>
        <v>99.89</v>
      </c>
      <c r="C296" s="22">
        <f>(Table13456789101112131415161734[[#This Row],[FRA]]-B295)/B295</f>
        <v>-1.9982016185433392E-3</v>
      </c>
      <c r="D296" s="23">
        <f>(Table13456789101112131415161734[[#This Row],[FRA]]-B284)/B284</f>
        <v>1.1339475549255894E-2</v>
      </c>
    </row>
    <row r="297" spans="1:4" x14ac:dyDescent="0.2">
      <c r="A297" s="21">
        <v>42095</v>
      </c>
      <c r="B297" s="79">
        <f>VLOOKUP(A297,Database!$A:$AS,MATCH($B$4,Database!$A$1:$AS$1,0),FALSE)</f>
        <v>99.4</v>
      </c>
      <c r="C297" s="22">
        <f>(Table13456789101112131415161734[[#This Row],[FRA]]-B296)/B296</f>
        <v>-4.9053959355290309E-3</v>
      </c>
      <c r="D297" s="23">
        <f>(Table13456789101112131415161734[[#This Row],[FRA]]-B285)/B285</f>
        <v>2.5214321734745334E-3</v>
      </c>
    </row>
    <row r="298" spans="1:4" x14ac:dyDescent="0.2">
      <c r="A298" s="21">
        <v>42125</v>
      </c>
      <c r="B298" s="79">
        <f>VLOOKUP(A298,Database!$A:$AS,MATCH($B$4,Database!$A$1:$AS$1,0),FALSE)</f>
        <v>100.21</v>
      </c>
      <c r="C298" s="22">
        <f>(Table13456789101112131415161734[[#This Row],[FRA]]-B297)/B297</f>
        <v>8.1488933601608447E-3</v>
      </c>
      <c r="D298" s="23">
        <f>(Table13456789101112131415161734[[#This Row],[FRA]]-B286)/B286</f>
        <v>3.3732205487930642E-2</v>
      </c>
    </row>
    <row r="299" spans="1:4" x14ac:dyDescent="0.2">
      <c r="A299" s="21">
        <v>42156</v>
      </c>
      <c r="B299" s="79">
        <f>VLOOKUP(A299,Database!$A:$AS,MATCH($B$4,Database!$A$1:$AS$1,0),FALSE)</f>
        <v>100.22</v>
      </c>
      <c r="C299" s="22">
        <f>(Table13456789101112131415161734[[#This Row],[FRA]]-B298)/B298</f>
        <v>9.9790440075891789E-5</v>
      </c>
      <c r="D299" s="23">
        <f>(Table13456789101112131415161734[[#This Row],[FRA]]-B287)/B287</f>
        <v>1.2323232323232312E-2</v>
      </c>
    </row>
    <row r="300" spans="1:4" x14ac:dyDescent="0.2">
      <c r="A300" s="21">
        <v>42186</v>
      </c>
      <c r="B300" s="79">
        <f>VLOOKUP(A300,Database!$A:$AS,MATCH($B$4,Database!$A$1:$AS$1,0),FALSE)</f>
        <v>99.11</v>
      </c>
      <c r="C300" s="22">
        <f>(Table13456789101112131415161734[[#This Row],[FRA]]-B299)/B299</f>
        <v>-1.1075633606066648E-2</v>
      </c>
      <c r="D300" s="23">
        <f>(Table13456789101112131415161734[[#This Row],[FRA]]-B288)/B288</f>
        <v>-1.2159872421010654E-2</v>
      </c>
    </row>
    <row r="301" spans="1:4" x14ac:dyDescent="0.2">
      <c r="A301" s="21">
        <v>42217</v>
      </c>
      <c r="B301" s="79">
        <f>VLOOKUP(A301,Database!$A:$AS,MATCH($B$4,Database!$A$1:$AS$1,0),FALSE)</f>
        <v>99.81</v>
      </c>
      <c r="C301" s="22">
        <f>(Table13456789101112131415161734[[#This Row],[FRA]]-B300)/B300</f>
        <v>7.0628594490969917E-3</v>
      </c>
      <c r="D301" s="23">
        <f>(Table13456789101112131415161734[[#This Row],[FRA]]-B289)/B289</f>
        <v>1.7016507030772385E-2</v>
      </c>
    </row>
    <row r="302" spans="1:4" x14ac:dyDescent="0.2">
      <c r="A302" s="21">
        <v>42248</v>
      </c>
      <c r="B302" s="79">
        <f>VLOOKUP(A302,Database!$A:$AS,MATCH($B$4,Database!$A$1:$AS$1,0),FALSE)</f>
        <v>101.2</v>
      </c>
      <c r="C302" s="22">
        <f>(Table13456789101112131415161734[[#This Row],[FRA]]-B301)/B301</f>
        <v>1.3926460274521596E-2</v>
      </c>
      <c r="D302" s="23">
        <f>(Table13456789101112131415161734[[#This Row],[FRA]]-B290)/B290</f>
        <v>2.05728116175878E-2</v>
      </c>
    </row>
    <row r="303" spans="1:4" x14ac:dyDescent="0.2">
      <c r="A303" s="21">
        <v>42278</v>
      </c>
      <c r="B303" s="79">
        <f>VLOOKUP(A303,Database!$A:$AS,MATCH($B$4,Database!$A$1:$AS$1,0),FALSE)</f>
        <v>101.52</v>
      </c>
      <c r="C303" s="22">
        <f>(Table13456789101112131415161734[[#This Row],[FRA]]-B302)/B302</f>
        <v>3.1620553359683118E-3</v>
      </c>
      <c r="D303" s="23">
        <f>(Table13456789101112131415161734[[#This Row],[FRA]]-B291)/B291</f>
        <v>3.9737812371978654E-2</v>
      </c>
    </row>
    <row r="304" spans="1:4" x14ac:dyDescent="0.2">
      <c r="A304" s="21">
        <v>42309</v>
      </c>
      <c r="B304" s="79">
        <f>VLOOKUP(A304,Database!$A:$AS,MATCH($B$4,Database!$A$1:$AS$1,0),FALSE)</f>
        <v>99.3</v>
      </c>
      <c r="C304" s="22">
        <f>(Table13456789101112131415161734[[#This Row],[FRA]]-B303)/B303</f>
        <v>-2.1867612293144198E-2</v>
      </c>
      <c r="D304" s="23">
        <f>(Table13456789101112131415161734[[#This Row],[FRA]]-B292)/B292</f>
        <v>2.7737528462016069E-2</v>
      </c>
    </row>
    <row r="305" spans="1:4" x14ac:dyDescent="0.2">
      <c r="A305" s="21">
        <v>42339</v>
      </c>
      <c r="B305" s="79">
        <f>VLOOKUP(A305,Database!$A:$AS,MATCH($B$4,Database!$A$1:$AS$1,0),FALSE)</f>
        <v>99.75</v>
      </c>
      <c r="C305" s="22">
        <f>(Table13456789101112131415161734[[#This Row],[FRA]]-B304)/B304</f>
        <v>4.5317220543806937E-3</v>
      </c>
      <c r="D305" s="23">
        <f>(Table13456789101112131415161734[[#This Row],[FRA]]-B293)/B293</f>
        <v>2.8149190710767178E-3</v>
      </c>
    </row>
    <row r="306" spans="1:4" s="83" customFormat="1" x14ac:dyDescent="0.2">
      <c r="A306" s="21">
        <v>42370</v>
      </c>
      <c r="B306" s="79">
        <f>VLOOKUP(A306,Database!$A:$AS,MATCH($B$4,Database!$A$1:$AS$1,0),FALSE)</f>
        <v>101.59</v>
      </c>
      <c r="C306" s="22">
        <f>(Table13456789101112131415161734[[#This Row],[FRA]]-B305)/B305</f>
        <v>1.8446115288220585E-2</v>
      </c>
      <c r="D306" s="23">
        <f>(Table13456789101112131415161734[[#This Row],[FRA]]-B294)/B294</f>
        <v>2.0902421867149013E-2</v>
      </c>
    </row>
    <row r="307" spans="1:4" s="83" customFormat="1" x14ac:dyDescent="0.2">
      <c r="A307" s="21">
        <v>42401</v>
      </c>
      <c r="B307" s="79">
        <f>VLOOKUP(A307,Database!$A:$AS,MATCH($B$4,Database!$A$1:$AS$1,0),FALSE)</f>
        <v>100.64</v>
      </c>
      <c r="C307" s="22">
        <f>(Table13456789101112131415161734[[#This Row],[FRA]]-B306)/B306</f>
        <v>-9.3513141057190944E-3</v>
      </c>
      <c r="D307" s="23">
        <f>(Table13456789101112131415161734[[#This Row],[FRA]]-B295)/B295</f>
        <v>5.4950544509940764E-3</v>
      </c>
    </row>
    <row r="308" spans="1:4" s="83" customFormat="1" x14ac:dyDescent="0.2">
      <c r="A308" s="21">
        <v>42430</v>
      </c>
      <c r="B308" s="79">
        <f>VLOOKUP(A308,Database!$A:$AS,MATCH($B$4,Database!$A$1:$AS$1,0),FALSE)</f>
        <v>100.2</v>
      </c>
      <c r="C308" s="22">
        <f>(Table13456789101112131415161734[[#This Row],[FRA]]-B307)/B307</f>
        <v>-4.372019077901408E-3</v>
      </c>
      <c r="D308" s="23">
        <f>(Table13456789101112131415161734[[#This Row],[FRA]]-B296)/B296</f>
        <v>3.1034137551306665E-3</v>
      </c>
    </row>
    <row r="309" spans="1:4" s="83" customFormat="1" x14ac:dyDescent="0.2">
      <c r="A309" s="21">
        <v>42461</v>
      </c>
      <c r="B309" s="79">
        <f>VLOOKUP(A309,Database!$A:$AS,MATCH($B$4,Database!$A$1:$AS$1,0),FALSE)</f>
        <v>101.21</v>
      </c>
      <c r="C309" s="22">
        <f>(Table13456789101112131415161734[[#This Row],[FRA]]-B308)/B308</f>
        <v>1.0079840319361186E-2</v>
      </c>
      <c r="D309" s="23">
        <f>(Table13456789101112131415161734[[#This Row],[FRA]]-B297)/B297</f>
        <v>1.8209255533199076E-2</v>
      </c>
    </row>
    <row r="310" spans="1:4" s="83" customFormat="1" x14ac:dyDescent="0.2">
      <c r="A310" s="21">
        <v>42491</v>
      </c>
      <c r="B310" s="79">
        <f>VLOOKUP(A310,Database!$A:$AS,MATCH($B$4,Database!$A$1:$AS$1,0),FALSE)</f>
        <v>99.6</v>
      </c>
      <c r="C310" s="22">
        <f>(Table13456789101112131415161734[[#This Row],[FRA]]-B309)/B309</f>
        <v>-1.5907519019859692E-2</v>
      </c>
      <c r="D310" s="23">
        <f>(Table13456789101112131415161734[[#This Row],[FRA]]-B298)/B298</f>
        <v>-6.0872168446262798E-3</v>
      </c>
    </row>
    <row r="311" spans="1:4" s="83" customFormat="1" x14ac:dyDescent="0.2">
      <c r="A311" s="21">
        <v>42522</v>
      </c>
      <c r="B311" s="79">
        <f>VLOOKUP(A311,Database!$A:$AS,MATCH($B$4,Database!$A$1:$AS$1,0),FALSE)</f>
        <v>99.31</v>
      </c>
      <c r="C311" s="22">
        <f>(Table13456789101112131415161734[[#This Row],[FRA]]-B310)/B310</f>
        <v>-2.9116465863453017E-3</v>
      </c>
      <c r="D311" s="23">
        <f>(Table13456789101112131415161734[[#This Row],[FRA]]-B299)/B299</f>
        <v>-9.0800239473158711E-3</v>
      </c>
    </row>
    <row r="312" spans="1:4" s="83" customFormat="1" x14ac:dyDescent="0.2">
      <c r="A312" s="21">
        <v>42552</v>
      </c>
      <c r="B312" s="79">
        <f>VLOOKUP(A312,Database!$A:$AS,MATCH($B$4,Database!$A$1:$AS$1,0),FALSE)</f>
        <v>99</v>
      </c>
      <c r="C312" s="22">
        <f>(Table13456789101112131415161734[[#This Row],[FRA]]-B311)/B311</f>
        <v>-3.1215386164535524E-3</v>
      </c>
      <c r="D312" s="23">
        <f>(Table13456789101112131415161734[[#This Row],[FRA]]-B300)/B300</f>
        <v>-1.1098779134295169E-3</v>
      </c>
    </row>
    <row r="313" spans="1:4" s="83" customFormat="1" x14ac:dyDescent="0.2">
      <c r="A313" s="21">
        <v>42583</v>
      </c>
      <c r="B313" s="79">
        <f>VLOOKUP(A313,Database!$A:$AS,MATCH($B$4,Database!$A$1:$AS$1,0),FALSE)</f>
        <v>100.94</v>
      </c>
      <c r="C313" s="22">
        <f>(Table13456789101112131415161734[[#This Row],[FRA]]-B312)/B312</f>
        <v>1.9595959595959573E-2</v>
      </c>
      <c r="D313" s="23">
        <f>(Table13456789101112131415161734[[#This Row],[FRA]]-B301)/B301</f>
        <v>1.1321510870654198E-2</v>
      </c>
    </row>
    <row r="314" spans="1:4" s="83" customFormat="1" x14ac:dyDescent="0.2">
      <c r="A314" s="21">
        <v>42614</v>
      </c>
      <c r="B314" s="79">
        <f>VLOOKUP(A314,Database!$A:$AS,MATCH($B$4,Database!$A$1:$AS$1,0),FALSE)</f>
        <v>100.03</v>
      </c>
      <c r="C314" s="22">
        <f>(Table13456789101112131415161734[[#This Row],[FRA]]-B313)/B313</f>
        <v>-9.0152565880720886E-3</v>
      </c>
      <c r="D314" s="23">
        <f>(Table13456789101112131415161734[[#This Row],[FRA]]-B302)/B302</f>
        <v>-1.1561264822134404E-2</v>
      </c>
    </row>
    <row r="315" spans="1:4" s="83" customFormat="1" x14ac:dyDescent="0.2">
      <c r="A315" s="21">
        <v>42644</v>
      </c>
      <c r="B315" s="79">
        <f>VLOOKUP(A315,Database!$A:$AS,MATCH($B$4,Database!$A$1:$AS$1,0),FALSE)</f>
        <v>99.56</v>
      </c>
      <c r="C315" s="22">
        <f>(Table13456789101112131415161734[[#This Row],[FRA]]-B314)/B314</f>
        <v>-4.698590422873127E-3</v>
      </c>
      <c r="D315" s="23">
        <f>(Table13456789101112131415161734[[#This Row],[FRA]]-B303)/B303</f>
        <v>-1.9306540583136265E-2</v>
      </c>
    </row>
    <row r="316" spans="1:4" s="83" customFormat="1" x14ac:dyDescent="0.2">
      <c r="A316" s="21">
        <v>42675</v>
      </c>
      <c r="B316" s="79">
        <f>VLOOKUP(A316,Database!$A:$AS,MATCH($B$4,Database!$A$1:$AS$1,0),FALSE)</f>
        <v>102.25</v>
      </c>
      <c r="C316" s="22">
        <f>(Table13456789101112131415161734[[#This Row],[FRA]]-B315)/B315</f>
        <v>2.7018883085576512E-2</v>
      </c>
      <c r="D316" s="23">
        <f>(Table13456789101112131415161734[[#This Row],[FRA]]-B304)/B304</f>
        <v>2.9707955689828831E-2</v>
      </c>
    </row>
    <row r="317" spans="1:4" s="83" customFormat="1" x14ac:dyDescent="0.2">
      <c r="A317" s="21">
        <v>42705</v>
      </c>
      <c r="B317" s="79">
        <f>VLOOKUP(A317,Database!$A:$AS,MATCH($B$4,Database!$A$1:$AS$1,0),FALSE)</f>
        <v>100.87</v>
      </c>
      <c r="C317" s="22">
        <f>(Table13456789101112131415161734[[#This Row],[FRA]]-B316)/B316</f>
        <v>-1.3496332518337364E-2</v>
      </c>
      <c r="D317" s="23">
        <f>(Table13456789101112131415161734[[#This Row],[FRA]]-B305)/B305</f>
        <v>1.1228070175438642E-2</v>
      </c>
    </row>
    <row r="318" spans="1:4" s="83" customFormat="1" x14ac:dyDescent="0.2">
      <c r="A318" s="21">
        <v>42736</v>
      </c>
      <c r="B318" s="79">
        <f>VLOOKUP(A318,Database!$A:$AS,MATCH($B$4,Database!$A$1:$AS$1,0),FALSE)</f>
        <v>101.34</v>
      </c>
      <c r="C318" s="22">
        <f>(Table13456789101112131415161734[[#This Row],[FRA]]-B317)/B317</f>
        <v>4.6594626747298385E-3</v>
      </c>
      <c r="D318" s="23">
        <f>(Table13456789101112131415161734[[#This Row],[FRA]]-B306)/B306</f>
        <v>-2.4608721330839651E-3</v>
      </c>
    </row>
    <row r="319" spans="1:4" s="83" customFormat="1" x14ac:dyDescent="0.2">
      <c r="A319" s="21">
        <v>42767</v>
      </c>
      <c r="B319" s="79">
        <f>VLOOKUP(A319,Database!$A:$AS,MATCH($B$4,Database!$A$1:$AS$1,0),FALSE)</f>
        <v>100.15</v>
      </c>
      <c r="C319" s="22">
        <f>(Table13456789101112131415161734[[#This Row],[FRA]]-B318)/B318</f>
        <v>-1.1742648509966426E-2</v>
      </c>
      <c r="D319" s="23">
        <f>(Table13456789101112131415161734[[#This Row],[FRA]]-B307)/B307</f>
        <v>-4.8688394276629066E-3</v>
      </c>
    </row>
    <row r="320" spans="1:4" s="83" customFormat="1" x14ac:dyDescent="0.2">
      <c r="A320" s="21">
        <v>42795</v>
      </c>
      <c r="B320" s="79">
        <f>VLOOKUP(A320,Database!$A:$AS,MATCH($B$4,Database!$A$1:$AS$1,0),FALSE)</f>
        <v>101.39</v>
      </c>
      <c r="C320" s="22">
        <f>(Table13456789101112131415161734[[#This Row],[FRA]]-B319)/B319</f>
        <v>1.238142785821263E-2</v>
      </c>
      <c r="D320" s="23">
        <f>(Table13456789101112131415161734[[#This Row],[FRA]]-B308)/B308</f>
        <v>1.1876247504989997E-2</v>
      </c>
    </row>
    <row r="321" spans="1:4" s="83" customFormat="1" x14ac:dyDescent="0.2">
      <c r="A321" s="21">
        <v>42826</v>
      </c>
      <c r="B321" s="79">
        <f>VLOOKUP(A321,Database!$A:$AS,MATCH($B$4,Database!$A$1:$AS$1,0),FALSE)</f>
        <v>101.07</v>
      </c>
      <c r="C321" s="22">
        <f>(Table13456789101112131415161734[[#This Row],[FRA]]-B320)/B320</f>
        <v>-3.1561297958379265E-3</v>
      </c>
      <c r="D321" s="23">
        <f>(Table13456789101112131415161734[[#This Row],[FRA]]-B309)/B309</f>
        <v>-1.3832625234660664E-3</v>
      </c>
    </row>
    <row r="322" spans="1:4" s="83" customFormat="1" x14ac:dyDescent="0.2">
      <c r="A322" s="21">
        <v>42856</v>
      </c>
      <c r="B322" s="79">
        <f>VLOOKUP(A322,Database!$A:$AS,MATCH($B$4,Database!$A$1:$AS$1,0),FALSE)</f>
        <v>103.22</v>
      </c>
      <c r="C322" s="22">
        <f>(Table13456789101112131415161734[[#This Row],[FRA]]-B321)/B321</f>
        <v>2.1272385475413137E-2</v>
      </c>
      <c r="D322" s="23">
        <f>(Table13456789101112131415161734[[#This Row],[FRA]]-B310)/B310</f>
        <v>3.6345381526104469E-2</v>
      </c>
    </row>
    <row r="323" spans="1:4" s="83" customFormat="1" x14ac:dyDescent="0.2">
      <c r="A323" s="21">
        <v>42887</v>
      </c>
      <c r="B323" s="79">
        <f>VLOOKUP(A323,Database!$A:$AS,MATCH($B$4,Database!$A$1:$AS$1,0),FALSE)</f>
        <v>102.05</v>
      </c>
      <c r="C323" s="22">
        <f>(Table13456789101112131415161734[[#This Row],[FRA]]-B322)/B322</f>
        <v>-1.1335012594458455E-2</v>
      </c>
      <c r="D323" s="23">
        <f>(Table13456789101112131415161734[[#This Row],[FRA]]-B311)/B311</f>
        <v>2.759037357768598E-2</v>
      </c>
    </row>
    <row r="324" spans="1:4" s="83" customFormat="1" x14ac:dyDescent="0.2">
      <c r="A324" s="21">
        <v>42917</v>
      </c>
      <c r="B324" s="79">
        <f>VLOOKUP(A324,Database!$A:$AS,MATCH($B$4,Database!$A$1:$AS$1,0),FALSE)</f>
        <v>102.61</v>
      </c>
      <c r="C324" s="22">
        <f>(Table13456789101112131415161734[[#This Row],[FRA]]-B323)/B323</f>
        <v>5.4875061244488224E-3</v>
      </c>
      <c r="D324" s="23">
        <f>(Table13456789101112131415161734[[#This Row],[FRA]]-B312)/B312</f>
        <v>3.6464646464646457E-2</v>
      </c>
    </row>
    <row r="325" spans="1:4" s="83" customFormat="1" x14ac:dyDescent="0.2">
      <c r="A325" s="21">
        <v>42948</v>
      </c>
      <c r="B325" s="79">
        <f>VLOOKUP(A325,Database!$A:$AS,MATCH($B$4,Database!$A$1:$AS$1,0),FALSE)</f>
        <v>102.81</v>
      </c>
      <c r="C325" s="22">
        <f>(Table13456789101112131415161734[[#This Row],[FRA]]-B324)/B324</f>
        <v>1.9491277653250448E-3</v>
      </c>
      <c r="D325" s="23">
        <f>(Table13456789101112131415161734[[#This Row],[FRA]]-B313)/B313</f>
        <v>1.8525856944719681E-2</v>
      </c>
    </row>
    <row r="326" spans="1:4" s="83" customFormat="1" x14ac:dyDescent="0.2">
      <c r="A326" s="21">
        <v>42979</v>
      </c>
      <c r="B326" s="79">
        <f>VLOOKUP(A326,Database!$A:$AS,MATCH($B$4,Database!$A$1:$AS$1,0),FALSE)</f>
        <v>103.72</v>
      </c>
      <c r="C326" s="22">
        <f>(Table13456789101112131415161734[[#This Row],[FRA]]-B325)/B325</f>
        <v>8.8512790584573155E-3</v>
      </c>
      <c r="D326" s="23">
        <f>(Table13456789101112131415161734[[#This Row],[FRA]]-B314)/B314</f>
        <v>3.6888933320003973E-2</v>
      </c>
    </row>
    <row r="327" spans="1:4" s="83" customFormat="1" x14ac:dyDescent="0.2">
      <c r="A327" s="21">
        <v>43009</v>
      </c>
      <c r="B327" s="79">
        <f>VLOOKUP(A327,Database!$A:$AS,MATCH($B$4,Database!$A$1:$AS$1,0),FALSE)</f>
        <v>104.11</v>
      </c>
      <c r="C327" s="22">
        <f>(Table13456789101112131415161734[[#This Row],[FRA]]-B326)/B326</f>
        <v>3.7601234091785632E-3</v>
      </c>
      <c r="D327" s="23">
        <f>(Table13456789101112131415161734[[#This Row],[FRA]]-B315)/B315</f>
        <v>4.5701084773001173E-2</v>
      </c>
    </row>
    <row r="328" spans="1:4" s="83" customFormat="1" x14ac:dyDescent="0.2">
      <c r="A328" s="21">
        <v>43040</v>
      </c>
      <c r="B328" s="79">
        <f>VLOOKUP(A328,Database!$A:$AS,MATCH($B$4,Database!$A$1:$AS$1,0),FALSE)</f>
        <v>104.69</v>
      </c>
      <c r="C328" s="22">
        <f>(Table13456789101112131415161734[[#This Row],[FRA]]-B327)/B327</f>
        <v>5.5710306406685072E-3</v>
      </c>
      <c r="D328" s="23">
        <f>(Table13456789101112131415161734[[#This Row],[FRA]]-B316)/B316</f>
        <v>2.3863080684596555E-2</v>
      </c>
    </row>
    <row r="329" spans="1:4" s="83" customFormat="1" x14ac:dyDescent="0.2">
      <c r="A329" s="21">
        <v>43070</v>
      </c>
      <c r="B329" s="79">
        <f>VLOOKUP(A329,Database!$A:$AS,MATCH($B$4,Database!$A$1:$AS$1,0),FALSE)</f>
        <v>105.7</v>
      </c>
      <c r="C329" s="22">
        <f>(Table13456789101112131415161734[[#This Row],[FRA]]-B328)/B328</f>
        <v>9.6475308052345506E-3</v>
      </c>
      <c r="D329" s="23">
        <f>(Table13456789101112131415161734[[#This Row],[FRA]]-B317)/B317</f>
        <v>4.7883414295628014E-2</v>
      </c>
    </row>
    <row r="330" spans="1:4" s="83" customFormat="1" x14ac:dyDescent="0.2">
      <c r="A330" s="21">
        <v>43101</v>
      </c>
      <c r="B330" s="79">
        <f>VLOOKUP(A330,Database!$A:$AS,MATCH($B$4,Database!$A$1:$AS$1,0),FALSE)</f>
        <v>102</v>
      </c>
      <c r="C330" s="22">
        <f>(Table13456789101112131415161734[[#This Row],[FRA]]-B329)/B329</f>
        <v>-3.5004730368968805E-2</v>
      </c>
      <c r="D330" s="23">
        <f>(Table13456789101112131415161734[[#This Row],[FRA]]-B318)/B318</f>
        <v>6.5127294256956438E-3</v>
      </c>
    </row>
    <row r="331" spans="1:4" s="83" customFormat="1" x14ac:dyDescent="0.2">
      <c r="A331" s="21">
        <v>43132</v>
      </c>
      <c r="B331" s="79">
        <f>VLOOKUP(A331,Database!$A:$AS,MATCH($B$4,Database!$A$1:$AS$1,0),FALSE)</f>
        <v>103.27</v>
      </c>
      <c r="C331" s="22">
        <f>(Table13456789101112131415161734[[#This Row],[FRA]]-B330)/B330</f>
        <v>1.2450980392156823E-2</v>
      </c>
      <c r="D331" s="23">
        <f>(Table13456789101112131415161734[[#This Row],[FRA]]-B319)/B319</f>
        <v>3.1153270094857615E-2</v>
      </c>
    </row>
    <row r="332" spans="1:4" s="83" customFormat="1" x14ac:dyDescent="0.2">
      <c r="A332" s="21">
        <v>43160</v>
      </c>
      <c r="B332" s="79">
        <f>VLOOKUP(A332,Database!$A:$AS,MATCH($B$4,Database!$A$1:$AS$1,0),FALSE)</f>
        <v>104.28</v>
      </c>
      <c r="C332" s="22">
        <f>(Table13456789101112131415161734[[#This Row],[FRA]]-B331)/B331</f>
        <v>9.7801878570737411E-3</v>
      </c>
      <c r="D332" s="23">
        <f>(Table13456789101112131415161734[[#This Row],[FRA]]-B320)/B320</f>
        <v>2.8503797218660622E-2</v>
      </c>
    </row>
    <row r="333" spans="1:4" s="83" customFormat="1" x14ac:dyDescent="0.2">
      <c r="A333" s="21">
        <v>43191</v>
      </c>
      <c r="B333" s="79">
        <f>VLOOKUP(A333,Database!$A:$AS,MATCH($B$4,Database!$A$1:$AS$1,0),FALSE)</f>
        <v>102.91</v>
      </c>
      <c r="C333" s="22">
        <f>(Table13456789101112131415161734[[#This Row],[FRA]]-B332)/B332</f>
        <v>-1.3137706175680903E-2</v>
      </c>
      <c r="D333" s="23">
        <f>(Table13456789101112131415161734[[#This Row],[FRA]]-B321)/B321</f>
        <v>1.8205204313841927E-2</v>
      </c>
    </row>
    <row r="334" spans="1:4" s="83" customFormat="1" x14ac:dyDescent="0.2">
      <c r="A334" s="21">
        <v>43221</v>
      </c>
      <c r="B334" s="79">
        <f>VLOOKUP(A334,Database!$A:$AS,MATCH($B$4,Database!$A$1:$AS$1,0),FALSE)</f>
        <v>101.89</v>
      </c>
      <c r="C334" s="22">
        <f>(Table13456789101112131415161734[[#This Row],[FRA]]-B333)/B333</f>
        <v>-9.9115732193178121E-3</v>
      </c>
      <c r="D334" s="23">
        <f>(Table13456789101112131415161734[[#This Row],[FRA]]-B322)/B322</f>
        <v>-1.2885099786862995E-2</v>
      </c>
    </row>
    <row r="335" spans="1:4" s="83" customFormat="1" x14ac:dyDescent="0.2">
      <c r="A335" s="21">
        <v>43252</v>
      </c>
      <c r="B335" s="79">
        <f>VLOOKUP(A335,Database!$A:$AS,MATCH($B$4,Database!$A$1:$AS$1,0),FALSE)</f>
        <v>103.8</v>
      </c>
      <c r="C335" s="22">
        <f>(Table13456789101112131415161734[[#This Row],[FRA]]-B334)/B334</f>
        <v>1.8745706153695127E-2</v>
      </c>
      <c r="D335" s="23">
        <f>(Table13456789101112131415161734[[#This Row],[FRA]]-B323)/B323</f>
        <v>1.71484566389025E-2</v>
      </c>
    </row>
    <row r="336" spans="1:4" s="83" customFormat="1" x14ac:dyDescent="0.2">
      <c r="A336" s="21">
        <v>43282</v>
      </c>
      <c r="B336" s="79">
        <f>VLOOKUP(A336,Database!$A:$AS,MATCH($B$4,Database!$A$1:$AS$1,0),FALSE)</f>
        <v>103.6</v>
      </c>
      <c r="C336" s="22">
        <f>(Table13456789101112131415161734[[#This Row],[FRA]]-B335)/B335</f>
        <v>-1.9267822736031104E-3</v>
      </c>
      <c r="D336" s="23">
        <f>(Table13456789101112131415161734[[#This Row],[FRA]]-B324)/B324</f>
        <v>9.648182438358785E-3</v>
      </c>
    </row>
    <row r="337" spans="1:4" s="83" customFormat="1" x14ac:dyDescent="0.2">
      <c r="A337" s="21">
        <v>43313</v>
      </c>
      <c r="B337" s="79">
        <f>VLOOKUP(A337,Database!$A:$AS,MATCH($B$4,Database!$A$1:$AS$1,0),FALSE)</f>
        <v>104.19</v>
      </c>
      <c r="C337" s="22">
        <f>(Table13456789101112131415161734[[#This Row],[FRA]]-B336)/B336</f>
        <v>5.694980694980728E-3</v>
      </c>
      <c r="D337" s="23">
        <f>(Table13456789101112131415161734[[#This Row],[FRA]]-B325)/B325</f>
        <v>1.3422818791946263E-2</v>
      </c>
    </row>
    <row r="338" spans="1:4" s="83" customFormat="1" x14ac:dyDescent="0.2">
      <c r="A338" s="21">
        <v>43344</v>
      </c>
      <c r="B338" s="79">
        <f>VLOOKUP(A338,Database!$A:$AS,MATCH($B$4,Database!$A$1:$AS$1,0),FALSE)</f>
        <v>102.99</v>
      </c>
      <c r="C338" s="22">
        <f>(Table13456789101112131415161734[[#This Row],[FRA]]-B337)/B337</f>
        <v>-1.1517420097898098E-2</v>
      </c>
      <c r="D338" s="23">
        <f>(Table13456789101112131415161734[[#This Row],[FRA]]-B326)/B326</f>
        <v>-7.0381797146163126E-3</v>
      </c>
    </row>
    <row r="339" spans="1:4" s="83" customFormat="1" x14ac:dyDescent="0.2">
      <c r="A339" s="21">
        <v>43374</v>
      </c>
      <c r="B339" s="79">
        <f>VLOOKUP(A339,Database!$A:$AS,MATCH($B$4,Database!$A$1:$AS$1,0),FALSE)</f>
        <v>103.81</v>
      </c>
      <c r="C339" s="22">
        <f>(Table13456789101112131415161734[[#This Row],[FRA]]-B338)/B338</f>
        <v>7.961938052238153E-3</v>
      </c>
      <c r="D339" s="23">
        <f>(Table13456789101112131415161734[[#This Row],[FRA]]-B327)/B327</f>
        <v>-2.881567572759554E-3</v>
      </c>
    </row>
    <row r="340" spans="1:4" s="83" customFormat="1" x14ac:dyDescent="0.2">
      <c r="A340" s="21">
        <v>43405</v>
      </c>
      <c r="B340" s="79">
        <f>VLOOKUP(A340,Database!$A:$AS,MATCH($B$4,Database!$A$1:$AS$1,0),FALSE)</f>
        <v>103.09</v>
      </c>
      <c r="C340" s="22">
        <f>(Table13456789101112131415161734[[#This Row],[FRA]]-B339)/B339</f>
        <v>-6.9357480011559471E-3</v>
      </c>
      <c r="D340" s="23">
        <f>(Table13456789101112131415161734[[#This Row],[FRA]]-B328)/B328</f>
        <v>-1.5283217117203117E-2</v>
      </c>
    </row>
    <row r="341" spans="1:4" s="83" customFormat="1" x14ac:dyDescent="0.2">
      <c r="A341" s="21">
        <v>43435</v>
      </c>
      <c r="B341" s="79">
        <f>VLOOKUP(A341,Database!$A:$AS,MATCH($B$4,Database!$A$1:$AS$1,0),FALSE)</f>
        <v>104.13</v>
      </c>
      <c r="C341" s="22">
        <f>(Table13456789101112131415161734[[#This Row],[FRA]]-B340)/B340</f>
        <v>1.0088272383354272E-2</v>
      </c>
      <c r="D341" s="23">
        <f>(Table13456789101112131415161734[[#This Row],[FRA]]-B329)/B329</f>
        <v>-1.4853358561967903E-2</v>
      </c>
    </row>
    <row r="342" spans="1:4" s="83" customFormat="1" x14ac:dyDescent="0.2">
      <c r="A342" s="21">
        <v>43466</v>
      </c>
      <c r="B342" s="79">
        <f>VLOOKUP(A342,Database!$A:$AS,MATCH($B$4,Database!$A$1:$AS$1,0),FALSE)</f>
        <v>104.69</v>
      </c>
      <c r="C342" s="22">
        <f>(Table13456789101112131415161734[[#This Row],[FRA]]-B341)/B341</f>
        <v>5.3778930183424785E-3</v>
      </c>
      <c r="D342" s="23">
        <f>(Table13456789101112131415161734[[#This Row],[FRA]]-B330)/B330</f>
        <v>2.6372549019607821E-2</v>
      </c>
    </row>
    <row r="343" spans="1:4" s="83" customFormat="1" x14ac:dyDescent="0.2">
      <c r="A343" s="21">
        <v>43497</v>
      </c>
      <c r="B343" s="79">
        <f>VLOOKUP(A343,Database!$A:$AS,MATCH($B$4,Database!$A$1:$AS$1,0),FALSE)</f>
        <v>104.61</v>
      </c>
      <c r="C343" s="22">
        <f>(Table13456789101112131415161734[[#This Row],[FRA]]-B342)/B342</f>
        <v>-7.6416085586014225E-4</v>
      </c>
      <c r="D343" s="23">
        <f>(Table13456789101112131415161734[[#This Row],[FRA]]-B331)/B331</f>
        <v>1.2975694780672058E-2</v>
      </c>
    </row>
    <row r="344" spans="1:4" s="83" customFormat="1" x14ac:dyDescent="0.2">
      <c r="A344" s="21">
        <v>43525</v>
      </c>
      <c r="B344" s="79">
        <f>VLOOKUP(A344,Database!$A:$AS,MATCH($B$4,Database!$A$1:$AS$1,0),FALSE)</f>
        <v>104.36</v>
      </c>
      <c r="C344" s="22">
        <f>(Table13456789101112131415161734[[#This Row],[FRA]]-B343)/B343</f>
        <v>-2.3898288882516013E-3</v>
      </c>
      <c r="D344" s="23">
        <f>(Table13456789101112131415161734[[#This Row],[FRA]]-B332)/B332</f>
        <v>7.6716532412733304E-4</v>
      </c>
    </row>
    <row r="345" spans="1:4" s="83" customFormat="1" x14ac:dyDescent="0.2">
      <c r="A345" s="21">
        <v>43556</v>
      </c>
      <c r="B345" s="79">
        <f>VLOOKUP(A345,Database!$A:$AS,MATCH($B$4,Database!$A$1:$AS$1,0),FALSE)</f>
        <v>104.38</v>
      </c>
      <c r="C345" s="22">
        <f>(Table13456789101112131415161734[[#This Row],[FRA]]-B344)/B344</f>
        <v>1.916443081640094E-4</v>
      </c>
      <c r="D345" s="23">
        <f>(Table13456789101112131415161734[[#This Row],[FRA]]-B333)/B333</f>
        <v>1.4284326110193363E-2</v>
      </c>
    </row>
    <row r="346" spans="1:4" s="83" customFormat="1" x14ac:dyDescent="0.2">
      <c r="A346" s="21">
        <v>43586</v>
      </c>
      <c r="B346" s="79">
        <f>VLOOKUP(A346,Database!$A:$AS,MATCH($B$4,Database!$A$1:$AS$1,0),FALSE)</f>
        <v>105.78</v>
      </c>
      <c r="C346" s="22">
        <f>(Table13456789101112131415161734[[#This Row],[FRA]]-B345)/B345</f>
        <v>1.3412531136233049E-2</v>
      </c>
      <c r="D346" s="23">
        <f>(Table13456789101112131415161734[[#This Row],[FRA]]-B334)/B334</f>
        <v>3.8178427716164497E-2</v>
      </c>
    </row>
    <row r="347" spans="1:4" s="83" customFormat="1" x14ac:dyDescent="0.2">
      <c r="A347" s="21">
        <v>43617</v>
      </c>
      <c r="B347" s="79">
        <f>VLOOKUP(A347,Database!$A:$AS,MATCH($B$4,Database!$A$1:$AS$1,0),FALSE)</f>
        <v>103.45</v>
      </c>
      <c r="C347" s="22">
        <f>(Table13456789101112131415161734[[#This Row],[FRA]]-B346)/B346</f>
        <v>-2.2026848175458483E-2</v>
      </c>
      <c r="D347" s="23">
        <f>(Table13456789101112131415161734[[#This Row],[FRA]]-B335)/B335</f>
        <v>-3.3718689788053403E-3</v>
      </c>
    </row>
    <row r="348" spans="1:4" s="83" customFormat="1" x14ac:dyDescent="0.2">
      <c r="A348" s="21">
        <v>43647</v>
      </c>
      <c r="B348" s="79">
        <f>VLOOKUP(A348,Database!$A:$AS,MATCH($B$4,Database!$A$1:$AS$1,0),FALSE)</f>
        <v>103.98</v>
      </c>
      <c r="C348" s="22">
        <f>(Table13456789101112131415161734[[#This Row],[FRA]]-B347)/B347</f>
        <v>5.1232479458675796E-3</v>
      </c>
      <c r="D348" s="23">
        <f>(Table13456789101112131415161734[[#This Row],[FRA]]-B336)/B336</f>
        <v>3.6679536679537616E-3</v>
      </c>
    </row>
    <row r="349" spans="1:4" s="83" customFormat="1" x14ac:dyDescent="0.2">
      <c r="A349" s="21">
        <v>43678</v>
      </c>
      <c r="B349" s="79">
        <f>VLOOKUP(A349,Database!$A:$AS,MATCH($B$4,Database!$A$1:$AS$1,0),FALSE)</f>
        <v>102.88</v>
      </c>
      <c r="C349" s="22">
        <f>(Table13456789101112131415161734[[#This Row],[FRA]]-B348)/B348</f>
        <v>-1.0578957491825433E-2</v>
      </c>
      <c r="D349" s="23">
        <f>(Table13456789101112131415161734[[#This Row],[FRA]]-B337)/B337</f>
        <v>-1.2573183606872082E-2</v>
      </c>
    </row>
    <row r="350" spans="1:4" s="83" customFormat="1" x14ac:dyDescent="0.2">
      <c r="A350" s="21">
        <v>43709</v>
      </c>
      <c r="B350" s="79">
        <f>VLOOKUP(A350,Database!$A:$AS,MATCH($B$4,Database!$A$1:$AS$1,0),FALSE)</f>
        <v>103.97</v>
      </c>
      <c r="C350" s="22">
        <f>(Table13456789101112131415161734[[#This Row],[FRA]]-B349)/B349</f>
        <v>1.0594867807153999E-2</v>
      </c>
      <c r="D350" s="23">
        <f>(Table13456789101112131415161734[[#This Row],[FRA]]-B338)/B338</f>
        <v>9.5154869404796977E-3</v>
      </c>
    </row>
    <row r="351" spans="1:4" s="83" customFormat="1" x14ac:dyDescent="0.2">
      <c r="A351" s="21">
        <v>43739</v>
      </c>
      <c r="B351" s="79">
        <f>VLOOKUP(A351,Database!$A:$AS,MATCH($B$4,Database!$A$1:$AS$1,0),FALSE)</f>
        <v>103.55</v>
      </c>
      <c r="C351" s="22">
        <f>(Table13456789101112131415161734[[#This Row],[FRA]]-B350)/B350</f>
        <v>-4.0396268154275434E-3</v>
      </c>
      <c r="D351" s="23">
        <f>(Table13456789101112131415161734[[#This Row],[FRA]]-B339)/B339</f>
        <v>-2.5045756670841451E-3</v>
      </c>
    </row>
    <row r="352" spans="1:4" s="83" customFormat="1" x14ac:dyDescent="0.2">
      <c r="A352" s="21">
        <v>43770</v>
      </c>
      <c r="B352" s="79">
        <f>VLOOKUP(A352,Database!$A:$AS,MATCH($B$4,Database!$A$1:$AS$1,0),FALSE)</f>
        <v>103.61</v>
      </c>
      <c r="C352" s="22">
        <f>(Table13456789101112131415161734[[#This Row],[FRA]]-B351)/B351</f>
        <v>5.7943022694352747E-4</v>
      </c>
      <c r="D352" s="23">
        <f>(Table13456789101112131415161734[[#This Row],[FRA]]-B340)/B340</f>
        <v>5.0441361916771362E-3</v>
      </c>
    </row>
    <row r="353" spans="1:4" s="83" customFormat="1" x14ac:dyDescent="0.2">
      <c r="A353" s="21">
        <v>43800</v>
      </c>
      <c r="B353" s="79">
        <f>VLOOKUP(A353,Database!$A:$AS,MATCH($B$4,Database!$A$1:$AS$1,0),FALSE)</f>
        <v>101.13</v>
      </c>
      <c r="C353" s="22">
        <f>(Table13456789101112131415161734[[#This Row],[FRA]]-B352)/B352</f>
        <v>-2.3935913521860863E-2</v>
      </c>
      <c r="D353" s="23">
        <f>(Table13456789101112131415161734[[#This Row],[FRA]]-B341)/B341</f>
        <v>-2.8810141169691734E-2</v>
      </c>
    </row>
    <row r="354" spans="1:4" s="83" customFormat="1" x14ac:dyDescent="0.2">
      <c r="A354" s="21">
        <v>43831</v>
      </c>
      <c r="B354" s="79">
        <f>VLOOKUP(A354,Database!$A:$AS,MATCH($B$4,Database!$A$1:$AS$1,0),FALSE)</f>
        <v>101.31</v>
      </c>
      <c r="C354" s="22">
        <f>(Table13456789101112131415161734[[#This Row],[FRA]]-B353)/B353</f>
        <v>1.7798872738060598E-3</v>
      </c>
      <c r="D354" s="23">
        <f>(Table13456789101112131415161734[[#This Row],[FRA]]-B342)/B342</f>
        <v>-3.2285796160091654E-2</v>
      </c>
    </row>
    <row r="355" spans="1:4" s="83" customFormat="1" x14ac:dyDescent="0.2">
      <c r="A355" s="21">
        <v>43862</v>
      </c>
      <c r="B355" s="79">
        <f>VLOOKUP(A355,Database!$A:$AS,MATCH($B$4,Database!$A$1:$AS$1,0),FALSE)</f>
        <v>103.23</v>
      </c>
      <c r="C355" s="22">
        <f>(Table13456789101112131415161734[[#This Row],[FRA]]-B354)/B354</f>
        <v>1.8951732306781183E-2</v>
      </c>
      <c r="D355" s="23">
        <f>(Table13456789101112131415161734[[#This Row],[FRA]]-B343)/B343</f>
        <v>-1.3191855463148796E-2</v>
      </c>
    </row>
    <row r="356" spans="1:4" s="83" customFormat="1" x14ac:dyDescent="0.2">
      <c r="A356" s="21">
        <v>43891</v>
      </c>
      <c r="B356" s="79">
        <f>VLOOKUP(A356,Database!$A:$AS,MATCH($B$4,Database!$A$1:$AS$1,0),FALSE)</f>
        <v>85.47</v>
      </c>
      <c r="C356" s="22">
        <f>(Table13456789101112131415161734[[#This Row],[FRA]]-B355)/B355</f>
        <v>-0.17204301075268821</v>
      </c>
      <c r="D356" s="23">
        <f>(Table13456789101112131415161734[[#This Row],[FRA]]-B344)/B344</f>
        <v>-0.18100804906094289</v>
      </c>
    </row>
    <row r="357" spans="1:4" s="83" customFormat="1" x14ac:dyDescent="0.2">
      <c r="A357" s="21">
        <v>43922</v>
      </c>
      <c r="B357" s="79">
        <f>VLOOKUP(A357,Database!$A:$AS,MATCH($B$4,Database!$A$1:$AS$1,0),FALSE)</f>
        <v>67.84</v>
      </c>
      <c r="C357" s="22">
        <f>(Table13456789101112131415161734[[#This Row],[FRA]]-B356)/B356</f>
        <v>-0.20627120627120621</v>
      </c>
      <c r="D357" s="23">
        <f>(Table13456789101112131415161734[[#This Row],[FRA]]-B345)/B345</f>
        <v>-0.3500670626556811</v>
      </c>
    </row>
    <row r="358" spans="1:4" s="83" customFormat="1" x14ac:dyDescent="0.2">
      <c r="A358" s="21">
        <v>43952</v>
      </c>
      <c r="B358" s="79">
        <f>VLOOKUP(A358,Database!$A:$AS,MATCH($B$4,Database!$A$1:$AS$1,0),FALSE)</f>
        <v>80.819999999999993</v>
      </c>
      <c r="C358" s="22">
        <f>(Table13456789101112131415161734[[#This Row],[FRA]]-B357)/B357</f>
        <v>0.19133254716981116</v>
      </c>
      <c r="D358" s="23">
        <f>(Table13456789101112131415161734[[#This Row],[FRA]]-B346)/B346</f>
        <v>-0.23596142938173575</v>
      </c>
    </row>
    <row r="359" spans="1:4" s="83" customFormat="1" x14ac:dyDescent="0.2">
      <c r="A359" s="21">
        <v>43983</v>
      </c>
      <c r="B359" s="79">
        <f>VLOOKUP(A359,Database!$A:$AS,MATCH($B$4,Database!$A$1:$AS$1,0),FALSE)</f>
        <v>91.37</v>
      </c>
      <c r="C359" s="22">
        <f>(Table13456789101112131415161734[[#This Row],[FRA]]-B358)/B358</f>
        <v>0.13053699579312067</v>
      </c>
      <c r="D359" s="23">
        <f>(Table13456789101112131415161734[[#This Row],[FRA]]-B347)/B347</f>
        <v>-0.11677138714354759</v>
      </c>
    </row>
    <row r="360" spans="1:4" s="83" customFormat="1" x14ac:dyDescent="0.2">
      <c r="A360" s="21">
        <v>44013</v>
      </c>
      <c r="B360" s="79">
        <f>VLOOKUP(A360,Database!$A:$AS,MATCH($B$4,Database!$A$1:$AS$1,0),FALSE)</f>
        <v>94.43</v>
      </c>
      <c r="C360" s="22">
        <f>(Table13456789101112131415161734[[#This Row],[FRA]]-B359)/B359</f>
        <v>3.3490204662361849E-2</v>
      </c>
      <c r="D360" s="23">
        <f>(Table13456789101112131415161734[[#This Row],[FRA]]-B348)/B348</f>
        <v>-9.1844585497210973E-2</v>
      </c>
    </row>
    <row r="361" spans="1:4" s="83" customFormat="1" x14ac:dyDescent="0.2">
      <c r="A361" s="21">
        <v>44044</v>
      </c>
      <c r="B361" s="79">
        <f>VLOOKUP(A361,Database!$A:$AS,MATCH($B$4,Database!$A$1:$AS$1,0),FALSE)</f>
        <v>95.52</v>
      </c>
      <c r="C361" s="22">
        <f>(Table13456789101112131415161734[[#This Row],[FRA]]-B360)/B360</f>
        <v>1.154294186169638E-2</v>
      </c>
      <c r="D361" s="23">
        <f>(Table13456789101112131415161734[[#This Row],[FRA]]-B349)/B349</f>
        <v>-7.1539657853810265E-2</v>
      </c>
    </row>
    <row r="362" spans="1:4" s="83" customFormat="1" x14ac:dyDescent="0.2">
      <c r="A362" s="21">
        <v>44075</v>
      </c>
      <c r="B362" s="79">
        <f>VLOOKUP(A362,Database!$A:$AS,MATCH($B$4,Database!$A$1:$AS$1,0),FALSE)</f>
        <v>97.21</v>
      </c>
      <c r="C362" s="22">
        <f>(Table13456789101112131415161734[[#This Row],[FRA]]-B361)/B361</f>
        <v>1.7692629815745372E-2</v>
      </c>
      <c r="D362" s="23">
        <f>(Table13456789101112131415161734[[#This Row],[FRA]]-B350)/B350</f>
        <v>-6.501875541021454E-2</v>
      </c>
    </row>
    <row r="363" spans="1:4" s="83" customFormat="1" x14ac:dyDescent="0.2">
      <c r="A363" s="21">
        <v>44105</v>
      </c>
      <c r="B363" s="79">
        <f>VLOOKUP(A363,Database!$A:$AS,MATCH($B$4,Database!$A$1:$AS$1,0),FALSE)</f>
        <v>99.08</v>
      </c>
      <c r="C363" s="22">
        <f>(Table13456789101112131415161734[[#This Row],[FRA]]-B362)/B362</f>
        <v>1.9236704042793998E-2</v>
      </c>
      <c r="D363" s="23">
        <f>(Table13456789101112131415161734[[#This Row],[FRA]]-B351)/B351</f>
        <v>-4.3167551907291157E-2</v>
      </c>
    </row>
    <row r="364" spans="1:4" s="83" customFormat="1" x14ac:dyDescent="0.2">
      <c r="A364" s="21">
        <v>44136</v>
      </c>
      <c r="B364" s="79">
        <f>VLOOKUP(A364,Database!$A:$AS,MATCH($B$4,Database!$A$1:$AS$1,0),FALSE)</f>
        <v>98.59</v>
      </c>
      <c r="C364" s="22">
        <f>(Table13456789101112131415161734[[#This Row],[FRA]]-B363)/B363</f>
        <v>-4.9454985870003524E-3</v>
      </c>
      <c r="D364" s="23">
        <f>(Table13456789101112131415161734[[#This Row],[FRA]]-B352)/B352</f>
        <v>-4.8450921725702117E-2</v>
      </c>
    </row>
    <row r="365" spans="1:4" s="83" customFormat="1" x14ac:dyDescent="0.2">
      <c r="A365" s="21">
        <v>44166</v>
      </c>
      <c r="B365" s="79">
        <f>VLOOKUP(A365,Database!$A:$AS,MATCH($B$4,Database!$A$1:$AS$1,0),FALSE)</f>
        <v>98.11</v>
      </c>
      <c r="C365" s="22">
        <f>(Table13456789101112131415161734[[#This Row],[FRA]]-B364)/B364</f>
        <v>-4.8686479358961759E-3</v>
      </c>
      <c r="D365" s="23">
        <f>(Table13456789101112131415161734[[#This Row],[FRA]]-B353)/B353</f>
        <v>-2.9862553149411612E-2</v>
      </c>
    </row>
    <row r="366" spans="1:4" s="83" customFormat="1" x14ac:dyDescent="0.2">
      <c r="A366" s="21">
        <v>44197</v>
      </c>
      <c r="B366" s="79">
        <f>VLOOKUP(A366,Database!$A:$AS,MATCH($B$4,Database!$A$1:$AS$1,0),FALSE)</f>
        <v>101.47</v>
      </c>
      <c r="C366" s="22">
        <f>(Table13456789101112131415161734[[#This Row],[FRA]]-B365)/B365</f>
        <v>3.4247273468555696E-2</v>
      </c>
      <c r="D366" s="23">
        <f>(Table13456789101112131415161734[[#This Row],[FRA]]-B354)/B354</f>
        <v>1.5793110255650634E-3</v>
      </c>
    </row>
    <row r="367" spans="1:4" s="83" customFormat="1" x14ac:dyDescent="0.2">
      <c r="A367" s="21">
        <v>44228</v>
      </c>
      <c r="B367" s="79">
        <f>VLOOKUP(A367,Database!$A:$AS,MATCH($B$4,Database!$A$1:$AS$1,0),FALSE)</f>
        <v>96.83</v>
      </c>
      <c r="C367" s="22">
        <f>(Table13456789101112131415161734[[#This Row],[FRA]]-B366)/B366</f>
        <v>-4.5727801320587375E-2</v>
      </c>
      <c r="D367" s="23">
        <f>(Table13456789101112131415161734[[#This Row],[FRA]]-B355)/B355</f>
        <v>-6.1997481352320118E-2</v>
      </c>
    </row>
    <row r="368" spans="1:4" s="83" customFormat="1" x14ac:dyDescent="0.2">
      <c r="A368" s="21">
        <v>44256</v>
      </c>
      <c r="B368" s="79">
        <f>VLOOKUP(A368,Database!$A:$AS,MATCH($B$4,Database!$A$1:$AS$1,0),FALSE)</f>
        <v>97.78</v>
      </c>
      <c r="C368" s="22">
        <f>(Table13456789101112131415161734[[#This Row],[FRA]]-B367)/B367</f>
        <v>9.8110089848187833E-3</v>
      </c>
      <c r="D368" s="23">
        <f>(Table13456789101112131415161734[[#This Row],[FRA]]-B356)/B356</f>
        <v>0.14402714402714406</v>
      </c>
    </row>
    <row r="369" spans="1:4" s="83" customFormat="1" x14ac:dyDescent="0.2">
      <c r="A369" s="21">
        <v>44287</v>
      </c>
      <c r="B369" s="79">
        <f>VLOOKUP(A369,Database!$A:$AS,MATCH($B$4,Database!$A$1:$AS$1,0),FALSE)</f>
        <v>97.55</v>
      </c>
      <c r="C369" s="22">
        <f>(Table13456789101112131415161734[[#This Row],[FRA]]-B368)/B368</f>
        <v>-2.3522192677439555E-3</v>
      </c>
      <c r="D369" s="23">
        <f>(Table13456789101112131415161734[[#This Row],[FRA]]-B357)/B357</f>
        <v>0.43794221698113195</v>
      </c>
    </row>
    <row r="370" spans="1:4" s="83" customFormat="1" x14ac:dyDescent="0.2">
      <c r="A370" s="21">
        <v>44317</v>
      </c>
      <c r="B370" s="79">
        <f>VLOOKUP(A370,Database!$A:$AS,MATCH($B$4,Database!$A$1:$AS$1,0),FALSE)</f>
        <v>97.2</v>
      </c>
      <c r="C370" s="22">
        <f>(Table13456789101112131415161734[[#This Row],[FRA]]-B369)/B369</f>
        <v>-3.5879036391593473E-3</v>
      </c>
      <c r="D370" s="23">
        <f>(Table13456789101112131415161734[[#This Row],[FRA]]-B358)/B358</f>
        <v>0.20267260579064603</v>
      </c>
    </row>
    <row r="371" spans="1:4" s="83" customFormat="1" x14ac:dyDescent="0.2">
      <c r="A371" s="21">
        <v>44348</v>
      </c>
      <c r="B371" s="79">
        <f>VLOOKUP(A371,Database!$A:$AS,MATCH($B$4,Database!$A$1:$AS$1,0),FALSE)</f>
        <v>97.77</v>
      </c>
      <c r="C371" s="22">
        <f>(Table13456789101112131415161734[[#This Row],[FRA]]-B370)/B370</f>
        <v>5.8641975308641268E-3</v>
      </c>
      <c r="D371" s="23">
        <f>(Table13456789101112131415161734[[#This Row],[FRA]]-B359)/B359</f>
        <v>7.0044872496442936E-2</v>
      </c>
    </row>
    <row r="372" spans="1:4" s="83" customFormat="1" x14ac:dyDescent="0.2">
      <c r="A372" s="21">
        <v>44378</v>
      </c>
      <c r="B372" s="79">
        <f>VLOOKUP(A372,Database!$A:$AS,MATCH($B$4,Database!$A$1:$AS$1,0),FALSE)</f>
        <v>98.17</v>
      </c>
      <c r="C372" s="22">
        <f>(Table13456789101112131415161734[[#This Row],[FRA]]-B371)/B371</f>
        <v>4.0912345300194919E-3</v>
      </c>
      <c r="D372" s="23">
        <f>(Table13456789101112131415161734[[#This Row],[FRA]]-B360)/B360</f>
        <v>3.9606057397013603E-2</v>
      </c>
    </row>
    <row r="373" spans="1:4" s="83" customFormat="1" x14ac:dyDescent="0.2">
      <c r="A373" s="21">
        <v>44409</v>
      </c>
      <c r="B373" s="79">
        <f>VLOOKUP(A373,Database!$A:$AS,MATCH($B$4,Database!$A$1:$AS$1,0),FALSE)</f>
        <v>99.17</v>
      </c>
      <c r="C373" s="22">
        <f>(Table13456789101112131415161734[[#This Row],[FRA]]-B372)/B372</f>
        <v>1.0186411327289396E-2</v>
      </c>
      <c r="D373" s="23">
        <f>(Table13456789101112131415161734[[#This Row],[FRA]]-B361)/B361</f>
        <v>3.8211892797319992E-2</v>
      </c>
    </row>
    <row r="374" spans="1:4" s="83" customFormat="1" x14ac:dyDescent="0.2">
      <c r="A374" s="21">
        <v>44440</v>
      </c>
      <c r="B374" s="79">
        <f>VLOOKUP(A374,Database!$A:$AS,MATCH($B$4,Database!$A$1:$AS$1,0),FALSE)</f>
        <v>97.7</v>
      </c>
      <c r="C374" s="22">
        <f>(Table13456789101112131415161734[[#This Row],[FRA]]-B373)/B373</f>
        <v>-1.4823031158616506E-2</v>
      </c>
      <c r="D374" s="23">
        <f>(Table13456789101112131415161734[[#This Row],[FRA]]-B362)/B362</f>
        <v>5.0406336796626804E-3</v>
      </c>
    </row>
    <row r="375" spans="1:4" s="83" customFormat="1" x14ac:dyDescent="0.2">
      <c r="A375" s="21">
        <v>44470</v>
      </c>
      <c r="B375" s="79">
        <f>VLOOKUP(A375,Database!$A:$AS,MATCH($B$4,Database!$A$1:$AS$1,0),FALSE)</f>
        <v>98.54</v>
      </c>
      <c r="C375" s="22">
        <f>(Table13456789101112131415161734[[#This Row],[FRA]]-B374)/B374</f>
        <v>8.5977482088024915E-3</v>
      </c>
      <c r="D375" s="23">
        <f>(Table13456789101112131415161734[[#This Row],[FRA]]-B363)/B363</f>
        <v>-5.450141299959548E-3</v>
      </c>
    </row>
    <row r="376" spans="1:4" s="83" customFormat="1" x14ac:dyDescent="0.2">
      <c r="A376" s="21">
        <v>44501</v>
      </c>
      <c r="B376" s="79">
        <f>VLOOKUP(A376,Database!$A:$AS,MATCH($B$4,Database!$A$1:$AS$1,0),FALSE)</f>
        <v>98.1</v>
      </c>
      <c r="C376" s="22">
        <f>(Table13456789101112131415161734[[#This Row],[FRA]]-B375)/B375</f>
        <v>-4.4651918002842697E-3</v>
      </c>
      <c r="D376" s="23">
        <f>(Table13456789101112131415161734[[#This Row],[FRA]]-B364)/B364</f>
        <v>-4.9700781012273973E-3</v>
      </c>
    </row>
    <row r="377" spans="1:4" s="83" customFormat="1" x14ac:dyDescent="0.2">
      <c r="A377" s="16"/>
      <c r="C377" s="19"/>
      <c r="D377" s="19"/>
    </row>
    <row r="378" spans="1:4" s="83" customFormat="1" x14ac:dyDescent="0.2">
      <c r="A378" s="16"/>
      <c r="C378" s="19"/>
      <c r="D378" s="19"/>
    </row>
    <row r="379" spans="1:4" s="83" customFormat="1" x14ac:dyDescent="0.2">
      <c r="A379" s="16"/>
      <c r="C379" s="19"/>
      <c r="D379" s="19"/>
    </row>
    <row r="380" spans="1:4" s="83" customFormat="1" x14ac:dyDescent="0.2">
      <c r="A380" s="16"/>
      <c r="C380" s="19"/>
      <c r="D380" s="19"/>
    </row>
    <row r="381" spans="1:4" s="83" customFormat="1" x14ac:dyDescent="0.2">
      <c r="A381" s="16"/>
      <c r="C381" s="19"/>
      <c r="D381" s="19"/>
    </row>
    <row r="382" spans="1:4" s="83" customFormat="1" x14ac:dyDescent="0.2">
      <c r="A382" s="16"/>
      <c r="C382" s="19"/>
      <c r="D382" s="19"/>
    </row>
    <row r="383" spans="1:4" s="83" customFormat="1" x14ac:dyDescent="0.2">
      <c r="A383" s="16"/>
      <c r="C383" s="19"/>
      <c r="D383" s="19"/>
    </row>
    <row r="384" spans="1:4" s="83" customFormat="1" x14ac:dyDescent="0.2">
      <c r="A384" s="16"/>
      <c r="C384" s="19"/>
      <c r="D384" s="19"/>
    </row>
    <row r="385" spans="1:4" s="83" customFormat="1" x14ac:dyDescent="0.2">
      <c r="A385" s="16"/>
      <c r="C385" s="19"/>
      <c r="D385" s="19"/>
    </row>
    <row r="386" spans="1:4" s="83" customFormat="1" x14ac:dyDescent="0.2">
      <c r="A386" s="16"/>
      <c r="C386" s="19"/>
      <c r="D386" s="19"/>
    </row>
    <row r="387" spans="1:4" s="83" customFormat="1" x14ac:dyDescent="0.2">
      <c r="A387" s="16"/>
      <c r="C387" s="19"/>
      <c r="D387" s="19"/>
    </row>
    <row r="388" spans="1:4" s="83" customFormat="1" x14ac:dyDescent="0.2">
      <c r="A388" s="16"/>
      <c r="C388" s="19"/>
      <c r="D388" s="19"/>
    </row>
    <row r="389" spans="1:4" s="83" customFormat="1" x14ac:dyDescent="0.2">
      <c r="A389" s="16"/>
      <c r="C389" s="19"/>
      <c r="D389" s="19"/>
    </row>
    <row r="390" spans="1:4" s="83" customFormat="1" x14ac:dyDescent="0.2">
      <c r="A390" s="16"/>
      <c r="C390" s="19"/>
      <c r="D390" s="19"/>
    </row>
    <row r="391" spans="1:4" s="83" customFormat="1" x14ac:dyDescent="0.2">
      <c r="A391" s="16"/>
      <c r="C391" s="19"/>
      <c r="D391" s="19"/>
    </row>
    <row r="392" spans="1:4" s="83" customFormat="1" x14ac:dyDescent="0.2">
      <c r="A392" s="16"/>
      <c r="C392" s="19"/>
      <c r="D392" s="19"/>
    </row>
    <row r="393" spans="1:4" s="83" customFormat="1" x14ac:dyDescent="0.2">
      <c r="A393" s="16"/>
      <c r="C393" s="19"/>
      <c r="D393" s="19"/>
    </row>
    <row r="394" spans="1:4" s="83" customFormat="1" x14ac:dyDescent="0.2">
      <c r="A394" s="16"/>
      <c r="C394" s="19"/>
      <c r="D394" s="19"/>
    </row>
    <row r="395" spans="1:4" s="83" customFormat="1" x14ac:dyDescent="0.2">
      <c r="A395" s="16"/>
      <c r="C395" s="19"/>
      <c r="D395" s="19"/>
    </row>
    <row r="396" spans="1:4" s="83" customFormat="1" x14ac:dyDescent="0.2">
      <c r="A396" s="16"/>
      <c r="C396" s="19"/>
      <c r="D396" s="19"/>
    </row>
    <row r="397" spans="1:4" s="83" customFormat="1" x14ac:dyDescent="0.2">
      <c r="A397" s="16"/>
      <c r="C397" s="19"/>
      <c r="D397" s="19"/>
    </row>
    <row r="398" spans="1:4" s="83" customFormat="1" x14ac:dyDescent="0.2">
      <c r="A398" s="16"/>
      <c r="C398" s="19"/>
      <c r="D398" s="19"/>
    </row>
    <row r="399" spans="1:4" s="83" customFormat="1" x14ac:dyDescent="0.2">
      <c r="A399" s="16"/>
      <c r="C399" s="19"/>
      <c r="D399" s="19"/>
    </row>
    <row r="400" spans="1:4" s="83" customFormat="1" x14ac:dyDescent="0.2">
      <c r="A400" s="16"/>
      <c r="C400" s="19"/>
      <c r="D400" s="19"/>
    </row>
    <row r="401" spans="1:4" s="83" customFormat="1" x14ac:dyDescent="0.2">
      <c r="A401" s="16"/>
      <c r="C401" s="19"/>
      <c r="D401" s="19"/>
    </row>
    <row r="402" spans="1:4" s="83" customFormat="1" x14ac:dyDescent="0.2">
      <c r="A402" s="16"/>
      <c r="C402" s="19"/>
      <c r="D402" s="19"/>
    </row>
    <row r="403" spans="1:4" s="83" customFormat="1" x14ac:dyDescent="0.2">
      <c r="A403" s="16"/>
      <c r="C403" s="19"/>
      <c r="D403" s="19"/>
    </row>
    <row r="404" spans="1:4" s="83" customFormat="1" x14ac:dyDescent="0.2">
      <c r="A404" s="16"/>
      <c r="C404" s="19"/>
      <c r="D404" s="19"/>
    </row>
    <row r="405" spans="1:4" s="83" customFormat="1" x14ac:dyDescent="0.2">
      <c r="A405" s="16"/>
      <c r="C405" s="19"/>
      <c r="D405" s="19"/>
    </row>
    <row r="406" spans="1:4" s="83" customFormat="1" x14ac:dyDescent="0.2">
      <c r="A406" s="16"/>
      <c r="C406" s="19"/>
      <c r="D406" s="19"/>
    </row>
    <row r="407" spans="1:4" s="83" customFormat="1" x14ac:dyDescent="0.2">
      <c r="A407" s="16"/>
      <c r="C407" s="19"/>
      <c r="D407" s="19"/>
    </row>
    <row r="408" spans="1:4" s="83" customFormat="1" x14ac:dyDescent="0.2">
      <c r="A408" s="16"/>
      <c r="C408" s="19"/>
      <c r="D408" s="19"/>
    </row>
    <row r="409" spans="1:4" s="83" customFormat="1" x14ac:dyDescent="0.2">
      <c r="A409" s="16"/>
      <c r="C409" s="19"/>
      <c r="D409" s="19"/>
    </row>
    <row r="410" spans="1:4" s="83" customFormat="1" x14ac:dyDescent="0.2">
      <c r="A410" s="16"/>
      <c r="C410" s="19"/>
      <c r="D410" s="19"/>
    </row>
    <row r="411" spans="1:4" s="83" customFormat="1" x14ac:dyDescent="0.2">
      <c r="A411" s="16"/>
      <c r="C411" s="19"/>
      <c r="D411" s="19"/>
    </row>
    <row r="412" spans="1:4" s="83" customFormat="1" x14ac:dyDescent="0.2">
      <c r="A412" s="16"/>
      <c r="C412" s="19"/>
      <c r="D412" s="19"/>
    </row>
    <row r="413" spans="1:4" s="83" customFormat="1" x14ac:dyDescent="0.2">
      <c r="A413" s="16"/>
      <c r="C413" s="19"/>
      <c r="D413" s="19"/>
    </row>
    <row r="414" spans="1:4" s="83" customFormat="1" x14ac:dyDescent="0.2">
      <c r="A414" s="16"/>
      <c r="C414" s="19"/>
      <c r="D414" s="19"/>
    </row>
    <row r="415" spans="1:4" s="83" customFormat="1" x14ac:dyDescent="0.2">
      <c r="A415" s="16"/>
      <c r="C415" s="19"/>
      <c r="D415" s="19"/>
    </row>
    <row r="416" spans="1:4" s="83" customFormat="1" x14ac:dyDescent="0.2">
      <c r="A416" s="16"/>
      <c r="C416" s="19"/>
      <c r="D416" s="19"/>
    </row>
    <row r="417" spans="1:4" s="83" customFormat="1" x14ac:dyDescent="0.2">
      <c r="A417" s="16"/>
      <c r="C417" s="19"/>
      <c r="D417" s="19"/>
    </row>
    <row r="418" spans="1:4" s="83" customFormat="1" x14ac:dyDescent="0.2">
      <c r="A418" s="16"/>
      <c r="C418" s="19"/>
      <c r="D418" s="19"/>
    </row>
    <row r="419" spans="1:4" s="83" customFormat="1" x14ac:dyDescent="0.2">
      <c r="A419" s="16"/>
      <c r="C419" s="19"/>
      <c r="D419" s="19"/>
    </row>
    <row r="420" spans="1:4" s="83" customFormat="1" x14ac:dyDescent="0.2">
      <c r="A420" s="16"/>
      <c r="C420" s="19"/>
      <c r="D420" s="19"/>
    </row>
    <row r="421" spans="1:4" s="83" customFormat="1" x14ac:dyDescent="0.2">
      <c r="A421" s="16"/>
      <c r="C421" s="19"/>
      <c r="D421" s="19"/>
    </row>
    <row r="422" spans="1:4" s="83" customFormat="1" x14ac:dyDescent="0.2">
      <c r="A422" s="16"/>
      <c r="C422" s="19"/>
      <c r="D422" s="19"/>
    </row>
    <row r="423" spans="1:4" s="83" customFormat="1" x14ac:dyDescent="0.2">
      <c r="A423" s="16"/>
      <c r="C423" s="19"/>
      <c r="D423" s="19"/>
    </row>
    <row r="424" spans="1:4" s="83" customFormat="1" x14ac:dyDescent="0.2">
      <c r="A424" s="16"/>
      <c r="C424" s="19"/>
      <c r="D424" s="19"/>
    </row>
    <row r="425" spans="1:4" s="83" customFormat="1" x14ac:dyDescent="0.2">
      <c r="A425" s="16"/>
      <c r="C425" s="19"/>
      <c r="D425" s="19"/>
    </row>
    <row r="426" spans="1:4" s="83" customFormat="1" x14ac:dyDescent="0.2">
      <c r="A426" s="16"/>
      <c r="C426" s="19"/>
      <c r="D426" s="19"/>
    </row>
    <row r="427" spans="1:4" s="83" customFormat="1" x14ac:dyDescent="0.2">
      <c r="A427" s="16"/>
      <c r="C427" s="19"/>
      <c r="D427" s="19"/>
    </row>
    <row r="428" spans="1:4" s="83" customFormat="1" x14ac:dyDescent="0.2">
      <c r="A428" s="16"/>
      <c r="C428" s="19"/>
      <c r="D428" s="19"/>
    </row>
    <row r="429" spans="1:4" s="83" customFormat="1" x14ac:dyDescent="0.2">
      <c r="A429" s="16"/>
      <c r="C429" s="19"/>
      <c r="D429" s="19"/>
    </row>
    <row r="430" spans="1:4" s="83" customFormat="1" x14ac:dyDescent="0.2">
      <c r="A430" s="16"/>
      <c r="C430" s="19"/>
      <c r="D430" s="19"/>
    </row>
    <row r="431" spans="1:4" s="83" customFormat="1" x14ac:dyDescent="0.2">
      <c r="A431" s="16"/>
      <c r="C431" s="19"/>
      <c r="D431" s="19"/>
    </row>
    <row r="432" spans="1:4" s="83" customFormat="1" x14ac:dyDescent="0.2">
      <c r="A432" s="16"/>
      <c r="C432" s="19"/>
      <c r="D432" s="19"/>
    </row>
    <row r="433" spans="1:4" s="83" customFormat="1" x14ac:dyDescent="0.2">
      <c r="A433" s="16"/>
      <c r="C433" s="19"/>
      <c r="D433" s="19"/>
    </row>
    <row r="434" spans="1:4" s="83" customFormat="1" x14ac:dyDescent="0.2">
      <c r="A434" s="16"/>
      <c r="C434" s="19"/>
      <c r="D434" s="19"/>
    </row>
    <row r="435" spans="1:4" s="83" customFormat="1" x14ac:dyDescent="0.2">
      <c r="A435" s="16"/>
      <c r="C435" s="19"/>
      <c r="D435" s="19"/>
    </row>
    <row r="436" spans="1:4" s="83" customFormat="1" x14ac:dyDescent="0.2">
      <c r="A436" s="16"/>
      <c r="C436" s="19"/>
      <c r="D436" s="19"/>
    </row>
    <row r="437" spans="1:4" s="83" customFormat="1" x14ac:dyDescent="0.2">
      <c r="A437" s="16"/>
      <c r="C437" s="19"/>
      <c r="D437" s="19"/>
    </row>
    <row r="438" spans="1:4" s="83" customFormat="1" x14ac:dyDescent="0.2">
      <c r="A438" s="16"/>
      <c r="C438" s="19"/>
      <c r="D438" s="19"/>
    </row>
    <row r="439" spans="1:4" s="83" customFormat="1" x14ac:dyDescent="0.2">
      <c r="A439" s="16"/>
      <c r="C439" s="19"/>
      <c r="D439" s="19"/>
    </row>
    <row r="440" spans="1:4" s="83" customFormat="1" x14ac:dyDescent="0.2">
      <c r="A440" s="16"/>
      <c r="C440" s="19"/>
      <c r="D440" s="19"/>
    </row>
    <row r="441" spans="1:4" s="83" customFormat="1" x14ac:dyDescent="0.2">
      <c r="A441" s="16"/>
      <c r="C441" s="19"/>
      <c r="D441" s="19"/>
    </row>
    <row r="442" spans="1:4" s="83" customFormat="1" x14ac:dyDescent="0.2">
      <c r="A442" s="16"/>
      <c r="C442" s="19"/>
      <c r="D442" s="19"/>
    </row>
    <row r="443" spans="1:4" s="83" customFormat="1" x14ac:dyDescent="0.2">
      <c r="A443" s="16"/>
      <c r="C443" s="19"/>
      <c r="D443" s="19"/>
    </row>
    <row r="444" spans="1:4" s="83" customFormat="1" x14ac:dyDescent="0.2">
      <c r="A444" s="16"/>
      <c r="C444" s="19"/>
      <c r="D444" s="19"/>
    </row>
    <row r="445" spans="1:4" s="83" customFormat="1" x14ac:dyDescent="0.2">
      <c r="A445" s="16"/>
      <c r="C445" s="19"/>
      <c r="D445" s="19"/>
    </row>
    <row r="446" spans="1:4" s="83" customFormat="1" x14ac:dyDescent="0.2">
      <c r="A446" s="16"/>
      <c r="C446" s="19"/>
      <c r="D446" s="19"/>
    </row>
    <row r="447" spans="1:4" s="83" customFormat="1" x14ac:dyDescent="0.2">
      <c r="A447" s="16"/>
      <c r="C447" s="19"/>
      <c r="D447" s="19"/>
    </row>
    <row r="448" spans="1:4" s="83" customFormat="1" x14ac:dyDescent="0.2">
      <c r="A448" s="16"/>
      <c r="C448" s="19"/>
      <c r="D448" s="19"/>
    </row>
    <row r="449" spans="1:4" s="83" customFormat="1" x14ac:dyDescent="0.2">
      <c r="A449" s="16"/>
      <c r="C449" s="19"/>
      <c r="D449" s="19"/>
    </row>
    <row r="450" spans="1:4" s="83" customFormat="1" x14ac:dyDescent="0.2">
      <c r="A450" s="16"/>
      <c r="C450" s="19"/>
      <c r="D450" s="19"/>
    </row>
    <row r="451" spans="1:4" s="83" customFormat="1" x14ac:dyDescent="0.2">
      <c r="A451" s="16"/>
      <c r="C451" s="19"/>
      <c r="D451" s="19"/>
    </row>
    <row r="452" spans="1:4" s="83" customFormat="1" x14ac:dyDescent="0.2">
      <c r="A452" s="16"/>
      <c r="C452" s="19"/>
      <c r="D452" s="19"/>
    </row>
    <row r="453" spans="1:4" s="83" customFormat="1" x14ac:dyDescent="0.2">
      <c r="A453" s="16"/>
      <c r="C453" s="19"/>
      <c r="D453" s="19"/>
    </row>
    <row r="454" spans="1:4" s="83" customFormat="1" x14ac:dyDescent="0.2">
      <c r="A454" s="16"/>
      <c r="C454" s="19"/>
      <c r="D454" s="19"/>
    </row>
    <row r="455" spans="1:4" s="83" customFormat="1" x14ac:dyDescent="0.2">
      <c r="A455" s="16"/>
      <c r="C455" s="19"/>
      <c r="D455" s="19"/>
    </row>
    <row r="456" spans="1:4" s="83" customFormat="1" x14ac:dyDescent="0.2">
      <c r="A456" s="16"/>
      <c r="C456" s="19"/>
      <c r="D456" s="19"/>
    </row>
    <row r="457" spans="1:4" s="83" customFormat="1" x14ac:dyDescent="0.2">
      <c r="A457" s="16"/>
      <c r="C457" s="19"/>
      <c r="D457" s="19"/>
    </row>
    <row r="458" spans="1:4" s="83" customFormat="1" x14ac:dyDescent="0.2">
      <c r="A458" s="16"/>
      <c r="C458" s="19"/>
      <c r="D458" s="19"/>
    </row>
    <row r="459" spans="1:4" s="83" customFormat="1" x14ac:dyDescent="0.2">
      <c r="A459" s="16"/>
      <c r="C459" s="19"/>
      <c r="D459" s="19"/>
    </row>
    <row r="460" spans="1:4" s="83" customFormat="1" x14ac:dyDescent="0.2">
      <c r="A460" s="16"/>
      <c r="C460" s="19"/>
      <c r="D460" s="19"/>
    </row>
    <row r="461" spans="1:4" s="83" customFormat="1" x14ac:dyDescent="0.2">
      <c r="A461" s="16"/>
      <c r="C461" s="19"/>
      <c r="D461" s="19"/>
    </row>
    <row r="462" spans="1:4" s="83" customFormat="1" x14ac:dyDescent="0.2">
      <c r="A462" s="16"/>
      <c r="C462" s="19"/>
      <c r="D462" s="19"/>
    </row>
    <row r="463" spans="1:4" s="83" customFormat="1" x14ac:dyDescent="0.2">
      <c r="A463" s="16"/>
      <c r="C463" s="19"/>
      <c r="D463" s="19"/>
    </row>
    <row r="464" spans="1:4" s="83" customFormat="1" x14ac:dyDescent="0.2">
      <c r="A464" s="16"/>
      <c r="C464" s="19"/>
      <c r="D464" s="19"/>
    </row>
    <row r="465" spans="1:4" s="83" customFormat="1" x14ac:dyDescent="0.2">
      <c r="A465" s="16"/>
      <c r="C465" s="19"/>
      <c r="D465" s="19"/>
    </row>
    <row r="466" spans="1:4" s="83" customFormat="1" x14ac:dyDescent="0.2">
      <c r="A466" s="16"/>
      <c r="C466" s="19"/>
      <c r="D466" s="19"/>
    </row>
    <row r="467" spans="1:4" s="83" customFormat="1" x14ac:dyDescent="0.2">
      <c r="A467" s="16"/>
      <c r="C467" s="19"/>
      <c r="D467" s="19"/>
    </row>
    <row r="468" spans="1:4" s="83" customFormat="1" x14ac:dyDescent="0.2">
      <c r="A468" s="16"/>
      <c r="C468" s="19"/>
      <c r="D468" s="19"/>
    </row>
    <row r="469" spans="1:4" s="83" customFormat="1" x14ac:dyDescent="0.2">
      <c r="A469" s="16"/>
      <c r="C469" s="19"/>
      <c r="D469" s="19"/>
    </row>
    <row r="470" spans="1:4" s="83" customFormat="1" x14ac:dyDescent="0.2">
      <c r="A470" s="16"/>
      <c r="C470" s="19"/>
      <c r="D470" s="19"/>
    </row>
    <row r="471" spans="1:4" s="83" customFormat="1" x14ac:dyDescent="0.2">
      <c r="A471" s="16"/>
      <c r="C471" s="19"/>
      <c r="D471" s="19"/>
    </row>
    <row r="472" spans="1:4" s="83" customFormat="1" x14ac:dyDescent="0.2">
      <c r="A472" s="16"/>
      <c r="C472" s="19"/>
      <c r="D472" s="19"/>
    </row>
    <row r="473" spans="1:4" s="83" customFormat="1" x14ac:dyDescent="0.2">
      <c r="A473" s="16"/>
      <c r="C473" s="19"/>
      <c r="D473" s="19"/>
    </row>
    <row r="474" spans="1:4" s="83" customFormat="1" x14ac:dyDescent="0.2">
      <c r="A474" s="16"/>
      <c r="C474" s="19"/>
      <c r="D474" s="19"/>
    </row>
    <row r="475" spans="1:4" s="83" customFormat="1" x14ac:dyDescent="0.2">
      <c r="A475" s="16"/>
      <c r="C475" s="19"/>
      <c r="D475" s="19"/>
    </row>
    <row r="476" spans="1:4" s="83" customFormat="1" x14ac:dyDescent="0.2">
      <c r="A476" s="16"/>
      <c r="C476" s="19"/>
      <c r="D476" s="19"/>
    </row>
    <row r="477" spans="1:4" s="83" customFormat="1" x14ac:dyDescent="0.2">
      <c r="A477" s="16"/>
      <c r="C477" s="19"/>
      <c r="D477" s="19"/>
    </row>
    <row r="478" spans="1:4" s="83" customFormat="1" x14ac:dyDescent="0.2">
      <c r="A478" s="16"/>
      <c r="C478" s="19"/>
      <c r="D478" s="19"/>
    </row>
    <row r="479" spans="1:4" s="83" customFormat="1" x14ac:dyDescent="0.2">
      <c r="A479" s="16"/>
      <c r="C479" s="19"/>
      <c r="D479" s="19"/>
    </row>
    <row r="480" spans="1:4" s="83" customFormat="1" x14ac:dyDescent="0.2">
      <c r="A480" s="16"/>
      <c r="C480" s="19"/>
      <c r="D480" s="19"/>
    </row>
    <row r="481" spans="1:4" s="83" customFormat="1" x14ac:dyDescent="0.2">
      <c r="A481" s="16"/>
      <c r="C481" s="19"/>
      <c r="D481" s="19"/>
    </row>
    <row r="482" spans="1:4" s="83" customFormat="1" x14ac:dyDescent="0.2">
      <c r="A482" s="16"/>
      <c r="C482" s="19"/>
      <c r="D482" s="19"/>
    </row>
    <row r="483" spans="1:4" s="83" customFormat="1" x14ac:dyDescent="0.2">
      <c r="A483" s="16"/>
      <c r="C483" s="19"/>
      <c r="D483" s="19"/>
    </row>
    <row r="484" spans="1:4" s="83" customFormat="1" x14ac:dyDescent="0.2">
      <c r="A484" s="16"/>
      <c r="C484" s="19"/>
      <c r="D484" s="19"/>
    </row>
    <row r="485" spans="1:4" s="83" customFormat="1" x14ac:dyDescent="0.2">
      <c r="A485" s="16"/>
      <c r="C485" s="19"/>
      <c r="D485" s="19"/>
    </row>
    <row r="486" spans="1:4" s="83" customFormat="1" x14ac:dyDescent="0.2">
      <c r="A486" s="16"/>
      <c r="C486" s="19"/>
      <c r="D486" s="19"/>
    </row>
    <row r="487" spans="1:4" s="83" customFormat="1" x14ac:dyDescent="0.2">
      <c r="A487" s="16"/>
      <c r="C487" s="19"/>
      <c r="D487" s="19"/>
    </row>
    <row r="488" spans="1:4" s="83" customFormat="1" x14ac:dyDescent="0.2">
      <c r="A488" s="16"/>
      <c r="C488" s="19"/>
      <c r="D488" s="19"/>
    </row>
    <row r="489" spans="1:4" s="83" customFormat="1" x14ac:dyDescent="0.2">
      <c r="A489" s="16"/>
      <c r="C489" s="19"/>
      <c r="D489" s="19"/>
    </row>
    <row r="490" spans="1:4" s="83" customFormat="1" x14ac:dyDescent="0.2">
      <c r="A490" s="16"/>
      <c r="C490" s="19"/>
      <c r="D490" s="19"/>
    </row>
    <row r="491" spans="1:4" s="83" customFormat="1" x14ac:dyDescent="0.2">
      <c r="A491" s="16"/>
      <c r="C491" s="19"/>
      <c r="D491" s="19"/>
    </row>
    <row r="492" spans="1:4" s="83" customFormat="1" x14ac:dyDescent="0.2">
      <c r="A492" s="16"/>
      <c r="C492" s="19"/>
      <c r="D492" s="19"/>
    </row>
    <row r="493" spans="1:4" s="83" customFormat="1" x14ac:dyDescent="0.2">
      <c r="A493" s="16"/>
      <c r="C493" s="19"/>
      <c r="D493" s="19"/>
    </row>
    <row r="494" spans="1:4" s="83" customFormat="1" x14ac:dyDescent="0.2">
      <c r="A494" s="16"/>
      <c r="C494" s="19"/>
      <c r="D494" s="19"/>
    </row>
    <row r="495" spans="1:4" s="83" customFormat="1" x14ac:dyDescent="0.2">
      <c r="A495" s="16"/>
      <c r="C495" s="19"/>
      <c r="D495" s="19"/>
    </row>
    <row r="496" spans="1:4" s="83" customFormat="1" x14ac:dyDescent="0.2">
      <c r="A496" s="16"/>
      <c r="C496" s="19"/>
      <c r="D496" s="19"/>
    </row>
    <row r="497" spans="1:4" s="83" customFormat="1" x14ac:dyDescent="0.2">
      <c r="A497" s="16"/>
      <c r="C497" s="19"/>
      <c r="D497" s="19"/>
    </row>
    <row r="498" spans="1:4" s="83" customFormat="1" x14ac:dyDescent="0.2">
      <c r="A498" s="16"/>
      <c r="C498" s="19"/>
      <c r="D498" s="19"/>
    </row>
    <row r="499" spans="1:4" s="83" customFormat="1" x14ac:dyDescent="0.2">
      <c r="A499" s="16"/>
      <c r="C499" s="19"/>
      <c r="D499" s="19"/>
    </row>
    <row r="500" spans="1:4" s="83" customFormat="1" x14ac:dyDescent="0.2">
      <c r="A500" s="16"/>
      <c r="C500" s="19"/>
      <c r="D500" s="19"/>
    </row>
    <row r="501" spans="1:4" s="83" customFormat="1" x14ac:dyDescent="0.2">
      <c r="A501" s="16"/>
      <c r="C501" s="19"/>
      <c r="D501" s="19"/>
    </row>
    <row r="502" spans="1:4" s="83" customFormat="1" x14ac:dyDescent="0.2">
      <c r="A502" s="16"/>
      <c r="C502" s="19"/>
      <c r="D502" s="19"/>
    </row>
    <row r="503" spans="1:4" s="83" customFormat="1" x14ac:dyDescent="0.2">
      <c r="A503" s="16"/>
      <c r="C503" s="19"/>
      <c r="D503" s="19"/>
    </row>
    <row r="504" spans="1:4" s="83" customFormat="1" x14ac:dyDescent="0.2">
      <c r="A504" s="16"/>
      <c r="C504" s="19"/>
      <c r="D504" s="19"/>
    </row>
    <row r="505" spans="1:4" s="83" customFormat="1" x14ac:dyDescent="0.2">
      <c r="A505" s="16"/>
      <c r="C505" s="19"/>
      <c r="D505" s="19"/>
    </row>
    <row r="506" spans="1:4" s="83" customFormat="1" x14ac:dyDescent="0.2">
      <c r="A506" s="16"/>
      <c r="C506" s="19"/>
      <c r="D506" s="19"/>
    </row>
    <row r="507" spans="1:4" s="83" customFormat="1" x14ac:dyDescent="0.2">
      <c r="A507" s="16"/>
      <c r="C507" s="19"/>
      <c r="D507" s="19"/>
    </row>
    <row r="508" spans="1:4" s="83" customFormat="1" x14ac:dyDescent="0.2">
      <c r="A508" s="16"/>
      <c r="C508" s="19"/>
      <c r="D508" s="19"/>
    </row>
    <row r="509" spans="1:4" s="83" customFormat="1" x14ac:dyDescent="0.2">
      <c r="A509" s="16"/>
      <c r="C509" s="19"/>
      <c r="D509" s="19"/>
    </row>
    <row r="510" spans="1:4" s="83" customFormat="1" x14ac:dyDescent="0.2">
      <c r="A510" s="16"/>
      <c r="C510" s="19"/>
      <c r="D510" s="19"/>
    </row>
    <row r="511" spans="1:4" s="83" customFormat="1" x14ac:dyDescent="0.2">
      <c r="A511" s="16"/>
      <c r="C511" s="19"/>
      <c r="D511" s="19"/>
    </row>
    <row r="512" spans="1:4" s="83" customFormat="1" x14ac:dyDescent="0.2">
      <c r="A512" s="16"/>
      <c r="C512" s="19"/>
      <c r="D512" s="19"/>
    </row>
    <row r="513" spans="1:4" s="83" customFormat="1" x14ac:dyDescent="0.2">
      <c r="A513" s="16"/>
      <c r="C513" s="19"/>
      <c r="D513" s="19"/>
    </row>
    <row r="514" spans="1:4" s="83" customFormat="1" x14ac:dyDescent="0.2">
      <c r="A514" s="16"/>
      <c r="C514" s="19"/>
      <c r="D514" s="19"/>
    </row>
    <row r="515" spans="1:4" s="83" customFormat="1" x14ac:dyDescent="0.2">
      <c r="A515" s="16"/>
      <c r="C515" s="19"/>
      <c r="D515" s="19"/>
    </row>
    <row r="516" spans="1:4" s="83" customFormat="1" x14ac:dyDescent="0.2">
      <c r="A516" s="16"/>
      <c r="C516" s="19"/>
      <c r="D516" s="19"/>
    </row>
    <row r="517" spans="1:4" s="83" customFormat="1" x14ac:dyDescent="0.2">
      <c r="A517" s="16"/>
      <c r="C517" s="19"/>
      <c r="D517" s="19"/>
    </row>
    <row r="518" spans="1:4" s="83" customFormat="1" x14ac:dyDescent="0.2">
      <c r="A518" s="16"/>
      <c r="C518" s="19"/>
      <c r="D518" s="19"/>
    </row>
    <row r="519" spans="1:4" s="83" customFormat="1" x14ac:dyDescent="0.2">
      <c r="A519" s="16"/>
      <c r="C519" s="19"/>
      <c r="D519" s="19"/>
    </row>
    <row r="520" spans="1:4" s="83" customFormat="1" x14ac:dyDescent="0.2">
      <c r="A520" s="16"/>
      <c r="C520" s="19"/>
      <c r="D520" s="19"/>
    </row>
    <row r="521" spans="1:4" s="83" customFormat="1" x14ac:dyDescent="0.2">
      <c r="A521" s="16"/>
      <c r="C521" s="19"/>
      <c r="D521" s="19"/>
    </row>
    <row r="522" spans="1:4" s="83" customFormat="1" x14ac:dyDescent="0.2">
      <c r="A522" s="16"/>
      <c r="C522" s="19"/>
      <c r="D522" s="19"/>
    </row>
    <row r="523" spans="1:4" s="83" customFormat="1" x14ac:dyDescent="0.2">
      <c r="A523" s="16"/>
      <c r="C523" s="19"/>
      <c r="D523" s="19"/>
    </row>
    <row r="524" spans="1:4" s="83" customFormat="1" x14ac:dyDescent="0.2">
      <c r="A524" s="16"/>
      <c r="C524" s="19"/>
      <c r="D524" s="19"/>
    </row>
    <row r="525" spans="1:4" s="83" customFormat="1" x14ac:dyDescent="0.2">
      <c r="A525" s="16"/>
      <c r="C525" s="19"/>
      <c r="D525" s="19"/>
    </row>
    <row r="526" spans="1:4" s="83" customFormat="1" x14ac:dyDescent="0.2">
      <c r="A526" s="16"/>
      <c r="C526" s="19"/>
      <c r="D526" s="19"/>
    </row>
    <row r="527" spans="1:4" s="83" customFormat="1" x14ac:dyDescent="0.2">
      <c r="A527" s="16"/>
      <c r="C527" s="19"/>
      <c r="D527" s="19"/>
    </row>
    <row r="528" spans="1:4" s="83" customFormat="1" x14ac:dyDescent="0.2">
      <c r="A528" s="16"/>
      <c r="C528" s="19"/>
      <c r="D528" s="19"/>
    </row>
    <row r="529" spans="1:4" s="83" customFormat="1" x14ac:dyDescent="0.2">
      <c r="A529" s="16"/>
      <c r="C529" s="19"/>
      <c r="D529" s="19"/>
    </row>
    <row r="530" spans="1:4" s="83" customFormat="1" x14ac:dyDescent="0.2">
      <c r="A530" s="16"/>
      <c r="C530" s="19"/>
      <c r="D530" s="19"/>
    </row>
    <row r="531" spans="1:4" s="83" customFormat="1" x14ac:dyDescent="0.2">
      <c r="A531" s="16"/>
      <c r="C531" s="19"/>
      <c r="D531" s="19"/>
    </row>
    <row r="532" spans="1:4" s="83" customFormat="1" x14ac:dyDescent="0.2">
      <c r="A532" s="16"/>
      <c r="C532" s="19"/>
      <c r="D532" s="19"/>
    </row>
    <row r="533" spans="1:4" s="83" customFormat="1" x14ac:dyDescent="0.2">
      <c r="A533" s="16"/>
      <c r="C533" s="19"/>
      <c r="D533" s="19"/>
    </row>
    <row r="534" spans="1:4" s="83" customFormat="1" x14ac:dyDescent="0.2">
      <c r="A534" s="16"/>
      <c r="C534" s="19"/>
      <c r="D534" s="19"/>
    </row>
    <row r="535" spans="1:4" s="83" customFormat="1" x14ac:dyDescent="0.2">
      <c r="A535" s="16"/>
      <c r="C535" s="19"/>
      <c r="D535" s="19"/>
    </row>
    <row r="536" spans="1:4" s="83" customFormat="1" x14ac:dyDescent="0.2">
      <c r="A536" s="16"/>
      <c r="C536" s="19"/>
      <c r="D536" s="19"/>
    </row>
    <row r="537" spans="1:4" s="83" customFormat="1" x14ac:dyDescent="0.2">
      <c r="A537" s="16"/>
      <c r="C537" s="19"/>
      <c r="D537" s="19"/>
    </row>
    <row r="538" spans="1:4" s="83" customFormat="1" x14ac:dyDescent="0.2">
      <c r="A538" s="16"/>
      <c r="C538" s="19"/>
      <c r="D538" s="19"/>
    </row>
    <row r="539" spans="1:4" s="83" customFormat="1" x14ac:dyDescent="0.2">
      <c r="A539" s="16"/>
      <c r="C539" s="19"/>
      <c r="D539" s="19"/>
    </row>
    <row r="540" spans="1:4" s="83" customFormat="1" x14ac:dyDescent="0.2">
      <c r="A540" s="16"/>
      <c r="C540" s="19"/>
      <c r="D540" s="19"/>
    </row>
    <row r="541" spans="1:4" s="83" customFormat="1" x14ac:dyDescent="0.2">
      <c r="A541" s="16"/>
      <c r="C541" s="19"/>
      <c r="D541" s="19"/>
    </row>
    <row r="542" spans="1:4" s="83" customFormat="1" x14ac:dyDescent="0.2">
      <c r="A542" s="16"/>
      <c r="C542" s="19"/>
      <c r="D542" s="19"/>
    </row>
    <row r="543" spans="1:4" s="83" customFormat="1" x14ac:dyDescent="0.2">
      <c r="A543" s="16"/>
      <c r="C543" s="19"/>
      <c r="D543" s="19"/>
    </row>
    <row r="544" spans="1:4" s="83" customFormat="1" x14ac:dyDescent="0.2">
      <c r="A544" s="16"/>
      <c r="C544" s="19"/>
      <c r="D544" s="19"/>
    </row>
    <row r="545" spans="1:4" s="83" customFormat="1" x14ac:dyDescent="0.2">
      <c r="A545" s="16"/>
      <c r="C545" s="19"/>
      <c r="D545" s="19"/>
    </row>
    <row r="546" spans="1:4" s="83" customFormat="1" x14ac:dyDescent="0.2">
      <c r="A546" s="16"/>
      <c r="C546" s="19"/>
      <c r="D546" s="19"/>
    </row>
    <row r="547" spans="1:4" s="83" customFormat="1" x14ac:dyDescent="0.2">
      <c r="A547" s="16"/>
      <c r="C547" s="19"/>
      <c r="D547" s="19"/>
    </row>
    <row r="548" spans="1:4" s="83" customFormat="1" x14ac:dyDescent="0.2">
      <c r="A548" s="16"/>
      <c r="C548" s="19"/>
      <c r="D548" s="19"/>
    </row>
    <row r="549" spans="1:4" s="83" customFormat="1" x14ac:dyDescent="0.2">
      <c r="A549" s="16"/>
      <c r="C549" s="19"/>
      <c r="D549" s="19"/>
    </row>
    <row r="550" spans="1:4" s="83" customFormat="1" x14ac:dyDescent="0.2">
      <c r="A550" s="16"/>
      <c r="C550" s="19"/>
      <c r="D550" s="19"/>
    </row>
    <row r="551" spans="1:4" s="83" customFormat="1" x14ac:dyDescent="0.2">
      <c r="A551" s="16"/>
      <c r="C551" s="19"/>
      <c r="D551" s="19"/>
    </row>
    <row r="552" spans="1:4" s="83" customFormat="1" x14ac:dyDescent="0.2">
      <c r="A552" s="16"/>
      <c r="C552" s="19"/>
      <c r="D552" s="19"/>
    </row>
    <row r="553" spans="1:4" s="83" customFormat="1" x14ac:dyDescent="0.2">
      <c r="A553" s="16"/>
      <c r="C553" s="19"/>
      <c r="D553" s="19"/>
    </row>
    <row r="554" spans="1:4" s="83" customFormat="1" x14ac:dyDescent="0.2">
      <c r="A554" s="16"/>
      <c r="C554" s="19"/>
      <c r="D554" s="19"/>
    </row>
    <row r="555" spans="1:4" s="83" customFormat="1" x14ac:dyDescent="0.2">
      <c r="A555" s="16"/>
      <c r="C555" s="19"/>
      <c r="D555" s="19"/>
    </row>
    <row r="556" spans="1:4" s="83" customFormat="1" x14ac:dyDescent="0.2">
      <c r="A556" s="16"/>
      <c r="C556" s="19"/>
      <c r="D556" s="19"/>
    </row>
    <row r="557" spans="1:4" s="83" customFormat="1" x14ac:dyDescent="0.2">
      <c r="A557" s="16"/>
      <c r="C557" s="19"/>
      <c r="D557" s="19"/>
    </row>
    <row r="558" spans="1:4" s="83" customFormat="1" x14ac:dyDescent="0.2">
      <c r="A558" s="16"/>
      <c r="C558" s="19"/>
      <c r="D558" s="19"/>
    </row>
    <row r="559" spans="1:4" s="83" customFormat="1" x14ac:dyDescent="0.2">
      <c r="A559" s="16"/>
      <c r="C559" s="19"/>
      <c r="D559" s="19"/>
    </row>
    <row r="560" spans="1:4" s="83" customFormat="1" x14ac:dyDescent="0.2">
      <c r="A560" s="16"/>
      <c r="C560" s="19"/>
      <c r="D560" s="19"/>
    </row>
    <row r="561" spans="1:4" s="83" customFormat="1" x14ac:dyDescent="0.2">
      <c r="A561" s="16"/>
      <c r="C561" s="19"/>
      <c r="D561" s="19"/>
    </row>
    <row r="562" spans="1:4" s="83" customFormat="1" x14ac:dyDescent="0.2">
      <c r="A562" s="16"/>
      <c r="C562" s="19"/>
      <c r="D562" s="19"/>
    </row>
    <row r="563" spans="1:4" s="83" customFormat="1" x14ac:dyDescent="0.2">
      <c r="A563" s="16"/>
      <c r="C563" s="19"/>
      <c r="D563" s="19"/>
    </row>
    <row r="564" spans="1:4" s="83" customFormat="1" x14ac:dyDescent="0.2">
      <c r="A564" s="16"/>
      <c r="C564" s="19"/>
      <c r="D564" s="19"/>
    </row>
    <row r="565" spans="1:4" s="83" customFormat="1" x14ac:dyDescent="0.2">
      <c r="A565" s="16"/>
      <c r="C565" s="19"/>
      <c r="D565" s="19"/>
    </row>
    <row r="566" spans="1:4" s="83" customFormat="1" x14ac:dyDescent="0.2">
      <c r="A566" s="16"/>
      <c r="C566" s="19"/>
      <c r="D566" s="19"/>
    </row>
    <row r="567" spans="1:4" s="83" customFormat="1" x14ac:dyDescent="0.2">
      <c r="A567" s="16"/>
      <c r="C567" s="19"/>
      <c r="D567" s="19"/>
    </row>
    <row r="568" spans="1:4" s="83" customFormat="1" x14ac:dyDescent="0.2">
      <c r="A568" s="16"/>
      <c r="C568" s="19"/>
      <c r="D568" s="19"/>
    </row>
    <row r="569" spans="1:4" s="83" customFormat="1" x14ac:dyDescent="0.2">
      <c r="A569" s="16"/>
      <c r="C569" s="19"/>
      <c r="D569" s="19"/>
    </row>
    <row r="570" spans="1:4" s="83" customFormat="1" x14ac:dyDescent="0.2">
      <c r="A570" s="16"/>
      <c r="C570" s="19"/>
      <c r="D570" s="19"/>
    </row>
    <row r="571" spans="1:4" s="83" customFormat="1" x14ac:dyDescent="0.2">
      <c r="A571" s="16"/>
      <c r="C571" s="19"/>
      <c r="D571" s="19"/>
    </row>
    <row r="572" spans="1:4" s="83" customFormat="1" x14ac:dyDescent="0.2">
      <c r="A572" s="16"/>
      <c r="C572" s="19"/>
      <c r="D572" s="19"/>
    </row>
    <row r="573" spans="1:4" s="83" customFormat="1" x14ac:dyDescent="0.2">
      <c r="A573" s="16"/>
      <c r="C573" s="19"/>
      <c r="D573" s="19"/>
    </row>
    <row r="574" spans="1:4" s="83" customFormat="1" x14ac:dyDescent="0.2">
      <c r="A574" s="16"/>
      <c r="C574" s="19"/>
      <c r="D574" s="19"/>
    </row>
    <row r="575" spans="1:4" s="83" customFormat="1" x14ac:dyDescent="0.2">
      <c r="A575" s="16"/>
      <c r="C575" s="19"/>
      <c r="D575" s="19"/>
    </row>
    <row r="576" spans="1:4" s="83" customFormat="1" x14ac:dyDescent="0.2">
      <c r="A576" s="16"/>
      <c r="C576" s="19"/>
      <c r="D576" s="19"/>
    </row>
    <row r="577" spans="1:4" s="83" customFormat="1" x14ac:dyDescent="0.2">
      <c r="A577" s="16"/>
      <c r="C577" s="19"/>
      <c r="D577" s="19"/>
    </row>
    <row r="578" spans="1:4" s="83" customFormat="1" x14ac:dyDescent="0.2">
      <c r="A578" s="16"/>
      <c r="C578" s="19"/>
      <c r="D578" s="19"/>
    </row>
    <row r="579" spans="1:4" s="83" customFormat="1" x14ac:dyDescent="0.2">
      <c r="A579" s="16"/>
      <c r="C579" s="19"/>
      <c r="D579" s="19"/>
    </row>
    <row r="580" spans="1:4" s="83" customFormat="1" x14ac:dyDescent="0.2">
      <c r="A580" s="16"/>
      <c r="C580" s="19"/>
      <c r="D580" s="19"/>
    </row>
    <row r="581" spans="1:4" s="83" customFormat="1" x14ac:dyDescent="0.2">
      <c r="A581" s="16"/>
      <c r="C581" s="19"/>
      <c r="D581" s="19"/>
    </row>
    <row r="582" spans="1:4" s="83" customFormat="1" x14ac:dyDescent="0.2">
      <c r="A582" s="16"/>
      <c r="C582" s="19"/>
      <c r="D582" s="19"/>
    </row>
    <row r="583" spans="1:4" s="83" customFormat="1" x14ac:dyDescent="0.2">
      <c r="A583" s="16"/>
      <c r="C583" s="19"/>
      <c r="D583" s="19"/>
    </row>
    <row r="584" spans="1:4" s="83" customFormat="1" x14ac:dyDescent="0.2">
      <c r="A584" s="16"/>
      <c r="C584" s="19"/>
      <c r="D584" s="19"/>
    </row>
    <row r="585" spans="1:4" s="83" customFormat="1" x14ac:dyDescent="0.2">
      <c r="A585" s="16"/>
      <c r="C585" s="19"/>
      <c r="D585" s="19"/>
    </row>
    <row r="586" spans="1:4" s="83" customFormat="1" x14ac:dyDescent="0.2">
      <c r="A586" s="16"/>
      <c r="C586" s="19"/>
      <c r="D586" s="19"/>
    </row>
    <row r="587" spans="1:4" s="83" customFormat="1" x14ac:dyDescent="0.2">
      <c r="A587" s="16"/>
      <c r="C587" s="19"/>
      <c r="D587" s="19"/>
    </row>
    <row r="588" spans="1:4" s="83" customFormat="1" x14ac:dyDescent="0.2">
      <c r="A588" s="16"/>
      <c r="C588" s="19"/>
      <c r="D588" s="19"/>
    </row>
    <row r="589" spans="1:4" s="83" customFormat="1" x14ac:dyDescent="0.2">
      <c r="A589" s="16"/>
      <c r="C589" s="19"/>
      <c r="D589" s="19"/>
    </row>
    <row r="590" spans="1:4" s="83" customFormat="1" x14ac:dyDescent="0.2">
      <c r="A590" s="16"/>
      <c r="C590" s="19"/>
      <c r="D590" s="19"/>
    </row>
    <row r="591" spans="1:4" s="83" customFormat="1" x14ac:dyDescent="0.2">
      <c r="A591" s="16"/>
      <c r="C591" s="19"/>
      <c r="D591" s="19"/>
    </row>
    <row r="592" spans="1:4" s="83" customFormat="1" x14ac:dyDescent="0.2">
      <c r="A592" s="16"/>
      <c r="C592" s="19"/>
      <c r="D592" s="19"/>
    </row>
    <row r="593" spans="1:4" s="83" customFormat="1" x14ac:dyDescent="0.2">
      <c r="A593" s="16"/>
      <c r="C593" s="19"/>
      <c r="D593" s="19"/>
    </row>
    <row r="594" spans="1:4" s="83" customFormat="1" x14ac:dyDescent="0.2">
      <c r="A594" s="16"/>
      <c r="C594" s="19"/>
      <c r="D594" s="19"/>
    </row>
    <row r="595" spans="1:4" s="83" customFormat="1" x14ac:dyDescent="0.2">
      <c r="A595" s="16"/>
      <c r="C595" s="19"/>
      <c r="D595" s="19"/>
    </row>
    <row r="596" spans="1:4" s="83" customFormat="1" x14ac:dyDescent="0.2">
      <c r="A596" s="16"/>
      <c r="C596" s="19"/>
      <c r="D596" s="19"/>
    </row>
    <row r="597" spans="1:4" s="83" customFormat="1" x14ac:dyDescent="0.2">
      <c r="A597" s="16"/>
      <c r="C597" s="19"/>
      <c r="D597" s="19"/>
    </row>
    <row r="598" spans="1:4" s="83" customFormat="1" x14ac:dyDescent="0.2">
      <c r="A598" s="16"/>
      <c r="C598" s="19"/>
      <c r="D598" s="19"/>
    </row>
    <row r="599" spans="1:4" s="83" customFormat="1" x14ac:dyDescent="0.2">
      <c r="A599" s="16"/>
      <c r="C599" s="19"/>
      <c r="D599" s="19"/>
    </row>
    <row r="600" spans="1:4" s="83" customFormat="1" x14ac:dyDescent="0.2">
      <c r="A600" s="16"/>
      <c r="C600" s="19"/>
      <c r="D600" s="19"/>
    </row>
    <row r="601" spans="1:4" s="83" customFormat="1" x14ac:dyDescent="0.2">
      <c r="A601" s="16"/>
      <c r="C601" s="19"/>
      <c r="D601" s="19"/>
    </row>
    <row r="602" spans="1:4" s="83" customFormat="1" x14ac:dyDescent="0.2">
      <c r="A602" s="16"/>
      <c r="C602" s="19"/>
      <c r="D602" s="19"/>
    </row>
    <row r="603" spans="1:4" s="83" customFormat="1" x14ac:dyDescent="0.2">
      <c r="A603" s="16"/>
      <c r="C603" s="19"/>
      <c r="D603" s="19"/>
    </row>
    <row r="604" spans="1:4" s="83" customFormat="1" x14ac:dyDescent="0.2">
      <c r="A604" s="16"/>
      <c r="C604" s="19"/>
      <c r="D604" s="19"/>
    </row>
    <row r="605" spans="1:4" s="83" customFormat="1" x14ac:dyDescent="0.2">
      <c r="A605" s="16"/>
      <c r="C605" s="19"/>
      <c r="D605" s="19"/>
    </row>
    <row r="606" spans="1:4" s="83" customFormat="1" x14ac:dyDescent="0.2">
      <c r="A606" s="16"/>
      <c r="C606" s="19"/>
      <c r="D606" s="19"/>
    </row>
    <row r="607" spans="1:4" s="83" customFormat="1" x14ac:dyDescent="0.2">
      <c r="A607" s="16"/>
      <c r="C607" s="19"/>
      <c r="D607" s="19"/>
    </row>
    <row r="608" spans="1:4" s="83" customFormat="1" x14ac:dyDescent="0.2">
      <c r="A608" s="16"/>
      <c r="C608" s="19"/>
      <c r="D608" s="19"/>
    </row>
    <row r="609" spans="1:4" s="83" customFormat="1" x14ac:dyDescent="0.2">
      <c r="A609" s="16"/>
      <c r="C609" s="19"/>
      <c r="D609" s="19"/>
    </row>
    <row r="610" spans="1:4" s="83" customFormat="1" x14ac:dyDescent="0.2">
      <c r="A610" s="16"/>
      <c r="C610" s="19"/>
      <c r="D610" s="19"/>
    </row>
    <row r="611" spans="1:4" s="83" customFormat="1" x14ac:dyDescent="0.2">
      <c r="A611" s="16"/>
      <c r="C611" s="19"/>
      <c r="D611" s="19"/>
    </row>
    <row r="612" spans="1:4" s="83" customFormat="1" x14ac:dyDescent="0.2">
      <c r="A612" s="16"/>
      <c r="C612" s="19"/>
      <c r="D612" s="19"/>
    </row>
    <row r="613" spans="1:4" s="83" customFormat="1" x14ac:dyDescent="0.2">
      <c r="A613" s="16"/>
      <c r="C613" s="19"/>
      <c r="D613" s="19"/>
    </row>
    <row r="614" spans="1:4" s="83" customFormat="1" x14ac:dyDescent="0.2">
      <c r="A614" s="16"/>
      <c r="C614" s="19"/>
      <c r="D614" s="19"/>
    </row>
    <row r="615" spans="1:4" s="83" customFormat="1" x14ac:dyDescent="0.2">
      <c r="A615" s="16"/>
      <c r="C615" s="19"/>
      <c r="D615" s="19"/>
    </row>
    <row r="616" spans="1:4" s="83" customFormat="1" x14ac:dyDescent="0.2">
      <c r="A616" s="16"/>
      <c r="C616" s="19"/>
      <c r="D616" s="19"/>
    </row>
    <row r="617" spans="1:4" s="83" customFormat="1" x14ac:dyDescent="0.2">
      <c r="A617" s="16"/>
      <c r="C617" s="19"/>
      <c r="D617" s="19"/>
    </row>
    <row r="618" spans="1:4" s="83" customFormat="1" x14ac:dyDescent="0.2">
      <c r="A618" s="16"/>
      <c r="C618" s="19"/>
      <c r="D618" s="19"/>
    </row>
    <row r="619" spans="1:4" s="83" customFormat="1" x14ac:dyDescent="0.2">
      <c r="A619" s="16"/>
      <c r="C619" s="19"/>
      <c r="D619" s="19"/>
    </row>
    <row r="620" spans="1:4" s="83" customFormat="1" x14ac:dyDescent="0.2">
      <c r="A620" s="16"/>
      <c r="C620" s="19"/>
      <c r="D620" s="19"/>
    </row>
    <row r="621" spans="1:4" s="83" customFormat="1" x14ac:dyDescent="0.2">
      <c r="A621" s="16"/>
      <c r="C621" s="19"/>
      <c r="D621" s="19"/>
    </row>
    <row r="622" spans="1:4" s="83" customFormat="1" x14ac:dyDescent="0.2">
      <c r="A622" s="16"/>
      <c r="C622" s="19"/>
      <c r="D622" s="19"/>
    </row>
    <row r="623" spans="1:4" s="83" customFormat="1" x14ac:dyDescent="0.2">
      <c r="A623" s="16"/>
      <c r="C623" s="19"/>
      <c r="D623" s="19"/>
    </row>
    <row r="624" spans="1:4" s="83" customFormat="1" x14ac:dyDescent="0.2">
      <c r="A624" s="16"/>
      <c r="C624" s="19"/>
      <c r="D624" s="19"/>
    </row>
    <row r="625" spans="1:4" s="83" customFormat="1" x14ac:dyDescent="0.2">
      <c r="A625" s="16"/>
      <c r="C625" s="19"/>
      <c r="D625" s="19"/>
    </row>
    <row r="626" spans="1:4" s="83" customFormat="1" x14ac:dyDescent="0.2">
      <c r="A626" s="16"/>
      <c r="C626" s="19"/>
      <c r="D626" s="19"/>
    </row>
    <row r="627" spans="1:4" s="83" customFormat="1" x14ac:dyDescent="0.2">
      <c r="A627" s="16"/>
      <c r="C627" s="19"/>
      <c r="D627" s="19"/>
    </row>
    <row r="628" spans="1:4" s="83" customFormat="1" x14ac:dyDescent="0.2">
      <c r="A628" s="16"/>
      <c r="C628" s="19"/>
      <c r="D628" s="19"/>
    </row>
    <row r="629" spans="1:4" s="83" customFormat="1" x14ac:dyDescent="0.2">
      <c r="A629" s="16"/>
      <c r="C629" s="19"/>
      <c r="D629" s="19"/>
    </row>
    <row r="630" spans="1:4" s="83" customFormat="1" x14ac:dyDescent="0.2">
      <c r="A630" s="16"/>
      <c r="C630" s="19"/>
      <c r="D630" s="19"/>
    </row>
    <row r="631" spans="1:4" s="83" customFormat="1" x14ac:dyDescent="0.2">
      <c r="A631" s="16"/>
      <c r="C631" s="19"/>
      <c r="D631" s="19"/>
    </row>
    <row r="632" spans="1:4" s="83" customFormat="1" x14ac:dyDescent="0.2">
      <c r="A632" s="16"/>
      <c r="C632" s="19"/>
      <c r="D632" s="19"/>
    </row>
    <row r="633" spans="1:4" s="83" customFormat="1" x14ac:dyDescent="0.2">
      <c r="A633" s="16"/>
      <c r="C633" s="19"/>
      <c r="D633" s="19"/>
    </row>
    <row r="634" spans="1:4" s="83" customFormat="1" x14ac:dyDescent="0.2">
      <c r="A634" s="16"/>
      <c r="C634" s="19"/>
      <c r="D634" s="19"/>
    </row>
    <row r="635" spans="1:4" s="83" customFormat="1" x14ac:dyDescent="0.2">
      <c r="A635" s="16"/>
      <c r="C635" s="19"/>
      <c r="D635" s="19"/>
    </row>
    <row r="636" spans="1:4" s="83" customFormat="1" x14ac:dyDescent="0.2">
      <c r="A636" s="16"/>
      <c r="C636" s="19"/>
      <c r="D636" s="19"/>
    </row>
    <row r="637" spans="1:4" s="83" customFormat="1" x14ac:dyDescent="0.2">
      <c r="A637" s="16"/>
      <c r="C637" s="19"/>
      <c r="D637" s="19"/>
    </row>
    <row r="638" spans="1:4" s="83" customFormat="1" x14ac:dyDescent="0.2">
      <c r="A638" s="16"/>
      <c r="C638" s="19"/>
      <c r="D638" s="19"/>
    </row>
    <row r="639" spans="1:4" s="83" customFormat="1" x14ac:dyDescent="0.2">
      <c r="A639" s="16"/>
      <c r="C639" s="19"/>
      <c r="D639" s="19"/>
    </row>
    <row r="640" spans="1:4" s="83" customFormat="1" x14ac:dyDescent="0.2">
      <c r="A640" s="16"/>
      <c r="C640" s="19"/>
      <c r="D640" s="19"/>
    </row>
    <row r="641" spans="1:4" s="83" customFormat="1" x14ac:dyDescent="0.2">
      <c r="A641" s="16"/>
      <c r="C641" s="19"/>
      <c r="D641" s="19"/>
    </row>
    <row r="642" spans="1:4" s="83" customFormat="1" x14ac:dyDescent="0.2">
      <c r="A642" s="16"/>
      <c r="C642" s="19"/>
      <c r="D642" s="19"/>
    </row>
    <row r="643" spans="1:4" s="83" customFormat="1" x14ac:dyDescent="0.2">
      <c r="A643" s="16"/>
      <c r="C643" s="19"/>
      <c r="D643" s="19"/>
    </row>
    <row r="644" spans="1:4" s="83" customFormat="1" x14ac:dyDescent="0.2">
      <c r="A644" s="16"/>
      <c r="C644" s="19"/>
      <c r="D644" s="19"/>
    </row>
    <row r="645" spans="1:4" s="83" customFormat="1" x14ac:dyDescent="0.2">
      <c r="A645" s="16"/>
      <c r="C645" s="19"/>
      <c r="D645" s="19"/>
    </row>
    <row r="646" spans="1:4" s="83" customFormat="1" x14ac:dyDescent="0.2">
      <c r="A646" s="16"/>
      <c r="C646" s="19"/>
      <c r="D646" s="19"/>
    </row>
    <row r="647" spans="1:4" s="83" customFormat="1" x14ac:dyDescent="0.2">
      <c r="A647" s="16"/>
      <c r="C647" s="19"/>
      <c r="D647" s="19"/>
    </row>
    <row r="648" spans="1:4" s="83" customFormat="1" x14ac:dyDescent="0.2">
      <c r="A648" s="16"/>
      <c r="C648" s="19"/>
      <c r="D648" s="19"/>
    </row>
    <row r="649" spans="1:4" s="83" customFormat="1" x14ac:dyDescent="0.2">
      <c r="A649" s="16"/>
      <c r="C649" s="19"/>
      <c r="D649" s="19"/>
    </row>
    <row r="650" spans="1:4" s="83" customFormat="1" x14ac:dyDescent="0.2">
      <c r="A650" s="16"/>
      <c r="C650" s="19"/>
      <c r="D650" s="19"/>
    </row>
    <row r="651" spans="1:4" s="83" customFormat="1" x14ac:dyDescent="0.2">
      <c r="A651" s="16"/>
      <c r="C651" s="19"/>
      <c r="D651" s="19"/>
    </row>
    <row r="652" spans="1:4" s="83" customFormat="1" x14ac:dyDescent="0.2">
      <c r="A652" s="16"/>
      <c r="C652" s="19"/>
      <c r="D652" s="19"/>
    </row>
    <row r="653" spans="1:4" s="83" customFormat="1" x14ac:dyDescent="0.2">
      <c r="A653" s="16"/>
      <c r="C653" s="19"/>
      <c r="D653" s="19"/>
    </row>
    <row r="654" spans="1:4" s="83" customFormat="1" x14ac:dyDescent="0.2">
      <c r="A654" s="16"/>
      <c r="C654" s="19"/>
      <c r="D654" s="19"/>
    </row>
    <row r="655" spans="1:4" s="83" customFormat="1" x14ac:dyDescent="0.2">
      <c r="A655" s="16"/>
      <c r="C655" s="19"/>
      <c r="D655" s="19"/>
    </row>
    <row r="656" spans="1:4" s="83" customFormat="1" x14ac:dyDescent="0.2">
      <c r="A656" s="16"/>
      <c r="C656" s="19"/>
      <c r="D656" s="19"/>
    </row>
    <row r="657" spans="1:4" s="83" customFormat="1" x14ac:dyDescent="0.2">
      <c r="A657" s="16"/>
      <c r="C657" s="19"/>
      <c r="D657" s="19"/>
    </row>
    <row r="658" spans="1:4" s="83" customFormat="1" x14ac:dyDescent="0.2">
      <c r="A658" s="16"/>
      <c r="C658" s="19"/>
      <c r="D658" s="19"/>
    </row>
    <row r="659" spans="1:4" s="83" customFormat="1" x14ac:dyDescent="0.2">
      <c r="A659" s="16"/>
      <c r="C659" s="19"/>
      <c r="D659" s="19"/>
    </row>
    <row r="660" spans="1:4" s="83" customFormat="1" x14ac:dyDescent="0.2">
      <c r="A660" s="16"/>
      <c r="C660" s="19"/>
      <c r="D660" s="19"/>
    </row>
    <row r="661" spans="1:4" s="83" customFormat="1" x14ac:dyDescent="0.2">
      <c r="A661" s="16"/>
      <c r="C661" s="19"/>
      <c r="D661" s="19"/>
    </row>
    <row r="662" spans="1:4" s="83" customFormat="1" x14ac:dyDescent="0.2">
      <c r="A662" s="16"/>
      <c r="C662" s="19"/>
      <c r="D662" s="19"/>
    </row>
    <row r="663" spans="1:4" s="83" customFormat="1" x14ac:dyDescent="0.2">
      <c r="A663" s="16"/>
      <c r="C663" s="19"/>
      <c r="D663" s="19"/>
    </row>
    <row r="664" spans="1:4" s="83" customFormat="1" x14ac:dyDescent="0.2">
      <c r="A664" s="16"/>
      <c r="C664" s="19"/>
      <c r="D664" s="19"/>
    </row>
    <row r="665" spans="1:4" s="83" customFormat="1" x14ac:dyDescent="0.2">
      <c r="A665" s="16"/>
      <c r="C665" s="19"/>
      <c r="D665" s="19"/>
    </row>
    <row r="666" spans="1:4" s="83" customFormat="1" x14ac:dyDescent="0.2">
      <c r="A666" s="16"/>
      <c r="C666" s="19"/>
      <c r="D666" s="19"/>
    </row>
    <row r="667" spans="1:4" s="83" customFormat="1" x14ac:dyDescent="0.2">
      <c r="A667" s="16"/>
      <c r="C667" s="19"/>
      <c r="D667" s="19"/>
    </row>
    <row r="668" spans="1:4" s="83" customFormat="1" x14ac:dyDescent="0.2">
      <c r="A668" s="16"/>
      <c r="C668" s="19"/>
      <c r="D668" s="19"/>
    </row>
    <row r="669" spans="1:4" s="83" customFormat="1" x14ac:dyDescent="0.2">
      <c r="A669" s="16"/>
      <c r="C669" s="19"/>
      <c r="D669" s="19"/>
    </row>
    <row r="670" spans="1:4" s="83" customFormat="1" x14ac:dyDescent="0.2">
      <c r="A670" s="16"/>
      <c r="C670" s="19"/>
      <c r="D670" s="19"/>
    </row>
    <row r="671" spans="1:4" s="83" customFormat="1" x14ac:dyDescent="0.2">
      <c r="A671" s="16"/>
      <c r="C671" s="19"/>
      <c r="D671" s="19"/>
    </row>
    <row r="672" spans="1:4" s="83" customFormat="1" x14ac:dyDescent="0.2">
      <c r="A672" s="16"/>
      <c r="C672" s="19"/>
      <c r="D672" s="19"/>
    </row>
    <row r="673" spans="1:4" s="83" customFormat="1" x14ac:dyDescent="0.2">
      <c r="A673" s="16"/>
      <c r="C673" s="19"/>
      <c r="D673" s="19"/>
    </row>
    <row r="674" spans="1:4" s="83" customFormat="1" x14ac:dyDescent="0.2">
      <c r="A674" s="16"/>
      <c r="C674" s="19"/>
      <c r="D674" s="19"/>
    </row>
    <row r="675" spans="1:4" s="83" customFormat="1" x14ac:dyDescent="0.2">
      <c r="A675" s="16"/>
      <c r="C675" s="19"/>
      <c r="D675" s="19"/>
    </row>
    <row r="676" spans="1:4" s="83" customFormat="1" x14ac:dyDescent="0.2">
      <c r="A676" s="16"/>
      <c r="C676" s="19"/>
      <c r="D676" s="19"/>
    </row>
    <row r="677" spans="1:4" s="83" customFormat="1" x14ac:dyDescent="0.2">
      <c r="A677" s="16"/>
      <c r="C677" s="19"/>
      <c r="D677" s="19"/>
    </row>
    <row r="678" spans="1:4" s="83" customFormat="1" x14ac:dyDescent="0.2">
      <c r="A678" s="16"/>
      <c r="C678" s="19"/>
      <c r="D678" s="19"/>
    </row>
    <row r="679" spans="1:4" s="83" customFormat="1" x14ac:dyDescent="0.2">
      <c r="A679" s="16"/>
      <c r="C679" s="19"/>
      <c r="D679" s="19"/>
    </row>
    <row r="680" spans="1:4" s="83" customFormat="1" x14ac:dyDescent="0.2">
      <c r="A680" s="16"/>
      <c r="C680" s="19"/>
      <c r="D680" s="19"/>
    </row>
    <row r="681" spans="1:4" s="83" customFormat="1" x14ac:dyDescent="0.2">
      <c r="A681" s="16"/>
      <c r="C681" s="19"/>
      <c r="D681" s="19"/>
    </row>
    <row r="682" spans="1:4" s="83" customFormat="1" x14ac:dyDescent="0.2">
      <c r="A682" s="16"/>
      <c r="C682" s="19"/>
      <c r="D682" s="19"/>
    </row>
    <row r="683" spans="1:4" s="83" customFormat="1" x14ac:dyDescent="0.2">
      <c r="A683" s="16"/>
      <c r="C683" s="19"/>
      <c r="D683" s="19"/>
    </row>
    <row r="684" spans="1:4" s="83" customFormat="1" x14ac:dyDescent="0.2">
      <c r="A684" s="16"/>
      <c r="C684" s="19"/>
      <c r="D684" s="19"/>
    </row>
    <row r="685" spans="1:4" s="83" customFormat="1" x14ac:dyDescent="0.2">
      <c r="A685" s="16"/>
      <c r="C685" s="19"/>
      <c r="D685" s="19"/>
    </row>
    <row r="686" spans="1:4" s="83" customFormat="1" x14ac:dyDescent="0.2">
      <c r="A686" s="16"/>
      <c r="C686" s="19"/>
      <c r="D686" s="19"/>
    </row>
    <row r="687" spans="1:4" s="83" customFormat="1" x14ac:dyDescent="0.2">
      <c r="A687" s="16"/>
      <c r="C687" s="19"/>
      <c r="D687" s="19"/>
    </row>
    <row r="688" spans="1:4" s="83" customFormat="1" x14ac:dyDescent="0.2">
      <c r="A688" s="16"/>
      <c r="C688" s="19"/>
      <c r="D688" s="19"/>
    </row>
    <row r="689" spans="1:4" s="83" customFormat="1" x14ac:dyDescent="0.2">
      <c r="A689" s="16"/>
      <c r="C689" s="19"/>
      <c r="D689" s="19"/>
    </row>
    <row r="690" spans="1:4" s="83" customFormat="1" x14ac:dyDescent="0.2">
      <c r="A690" s="16"/>
      <c r="C690" s="19"/>
      <c r="D690" s="19"/>
    </row>
    <row r="691" spans="1:4" s="83" customFormat="1" x14ac:dyDescent="0.2">
      <c r="A691" s="16"/>
      <c r="C691" s="19"/>
      <c r="D691" s="19"/>
    </row>
    <row r="692" spans="1:4" s="83" customFormat="1" x14ac:dyDescent="0.2">
      <c r="A692" s="16"/>
      <c r="C692" s="19"/>
      <c r="D692" s="19"/>
    </row>
    <row r="693" spans="1:4" s="83" customFormat="1" x14ac:dyDescent="0.2">
      <c r="A693" s="16"/>
      <c r="C693" s="19"/>
      <c r="D693" s="19"/>
    </row>
    <row r="694" spans="1:4" s="83" customFormat="1" x14ac:dyDescent="0.2">
      <c r="A694" s="16"/>
      <c r="C694" s="19"/>
      <c r="D694" s="19"/>
    </row>
    <row r="695" spans="1:4" s="83" customFormat="1" x14ac:dyDescent="0.2">
      <c r="A695" s="16"/>
      <c r="C695" s="19"/>
      <c r="D695" s="19"/>
    </row>
    <row r="696" spans="1:4" s="83" customFormat="1" x14ac:dyDescent="0.2">
      <c r="A696" s="16"/>
      <c r="C696" s="19"/>
      <c r="D696" s="19"/>
    </row>
    <row r="697" spans="1:4" s="83" customFormat="1" x14ac:dyDescent="0.2">
      <c r="A697" s="16"/>
      <c r="C697" s="19"/>
      <c r="D697" s="19"/>
    </row>
    <row r="698" spans="1:4" s="83" customFormat="1" x14ac:dyDescent="0.2">
      <c r="A698" s="16"/>
      <c r="C698" s="19"/>
      <c r="D698" s="19"/>
    </row>
    <row r="699" spans="1:4" s="83" customFormat="1" x14ac:dyDescent="0.2">
      <c r="A699" s="16"/>
      <c r="C699" s="19"/>
      <c r="D699" s="19"/>
    </row>
    <row r="700" spans="1:4" s="83" customFormat="1" x14ac:dyDescent="0.2">
      <c r="A700" s="16"/>
      <c r="C700" s="19"/>
      <c r="D700" s="19"/>
    </row>
    <row r="701" spans="1:4" s="83" customFormat="1" x14ac:dyDescent="0.2">
      <c r="A701" s="16"/>
      <c r="C701" s="19"/>
      <c r="D701" s="19"/>
    </row>
    <row r="702" spans="1:4" s="83" customFormat="1" x14ac:dyDescent="0.2">
      <c r="A702" s="16"/>
      <c r="C702" s="19"/>
      <c r="D702" s="19"/>
    </row>
    <row r="703" spans="1:4" s="83" customFormat="1" x14ac:dyDescent="0.2">
      <c r="A703" s="16"/>
      <c r="C703" s="19"/>
      <c r="D703" s="19"/>
    </row>
    <row r="704" spans="1:4" s="83" customFormat="1" x14ac:dyDescent="0.2">
      <c r="A704" s="16"/>
      <c r="C704" s="19"/>
      <c r="D704" s="19"/>
    </row>
    <row r="705" spans="1:4" s="83" customFormat="1" x14ac:dyDescent="0.2">
      <c r="A705" s="16"/>
      <c r="C705" s="19"/>
      <c r="D705" s="19"/>
    </row>
    <row r="706" spans="1:4" s="83" customFormat="1" x14ac:dyDescent="0.2">
      <c r="A706" s="16"/>
      <c r="C706" s="19"/>
      <c r="D706" s="19"/>
    </row>
    <row r="707" spans="1:4" s="83" customFormat="1" x14ac:dyDescent="0.2">
      <c r="A707" s="16"/>
      <c r="C707" s="19"/>
      <c r="D707" s="19"/>
    </row>
    <row r="708" spans="1:4" s="83" customFormat="1" x14ac:dyDescent="0.2">
      <c r="A708" s="16"/>
      <c r="C708" s="19"/>
      <c r="D708" s="19"/>
    </row>
    <row r="709" spans="1:4" s="83" customFormat="1" x14ac:dyDescent="0.2">
      <c r="A709" s="16"/>
      <c r="C709" s="19"/>
      <c r="D709" s="19"/>
    </row>
    <row r="710" spans="1:4" s="83" customFormat="1" x14ac:dyDescent="0.2">
      <c r="A710" s="16"/>
      <c r="C710" s="19"/>
      <c r="D710" s="19"/>
    </row>
    <row r="711" spans="1:4" s="83" customFormat="1" x14ac:dyDescent="0.2">
      <c r="A711" s="16"/>
      <c r="C711" s="19"/>
      <c r="D711" s="19"/>
    </row>
    <row r="712" spans="1:4" s="83" customFormat="1" x14ac:dyDescent="0.2">
      <c r="A712" s="16"/>
      <c r="C712" s="19"/>
      <c r="D712" s="19"/>
    </row>
    <row r="713" spans="1:4" s="83" customFormat="1" x14ac:dyDescent="0.2">
      <c r="A713" s="16"/>
      <c r="C713" s="19"/>
      <c r="D713" s="19"/>
    </row>
    <row r="714" spans="1:4" s="83" customFormat="1" x14ac:dyDescent="0.2">
      <c r="A714" s="16"/>
      <c r="C714" s="19"/>
      <c r="D714" s="19"/>
    </row>
    <row r="715" spans="1:4" s="83" customFormat="1" x14ac:dyDescent="0.2">
      <c r="A715" s="16"/>
      <c r="C715" s="19"/>
      <c r="D715" s="19"/>
    </row>
    <row r="716" spans="1:4" s="83" customFormat="1" x14ac:dyDescent="0.2">
      <c r="A716" s="16"/>
      <c r="C716" s="19"/>
      <c r="D716" s="19"/>
    </row>
    <row r="717" spans="1:4" s="83" customFormat="1" x14ac:dyDescent="0.2">
      <c r="A717" s="16"/>
      <c r="C717" s="19"/>
      <c r="D717" s="19"/>
    </row>
    <row r="718" spans="1:4" s="83" customFormat="1" x14ac:dyDescent="0.2">
      <c r="A718" s="16"/>
      <c r="C718" s="19"/>
      <c r="D718" s="19"/>
    </row>
    <row r="719" spans="1:4" s="83" customFormat="1" x14ac:dyDescent="0.2">
      <c r="A719" s="16"/>
      <c r="C719" s="19"/>
      <c r="D719" s="19"/>
    </row>
    <row r="720" spans="1:4" s="83" customFormat="1" x14ac:dyDescent="0.2">
      <c r="A720" s="16"/>
      <c r="C720" s="19"/>
      <c r="D720" s="19"/>
    </row>
    <row r="721" spans="1:4" s="83" customFormat="1" x14ac:dyDescent="0.2">
      <c r="A721" s="16"/>
      <c r="C721" s="19"/>
      <c r="D721" s="19"/>
    </row>
    <row r="722" spans="1:4" s="83" customFormat="1" x14ac:dyDescent="0.2">
      <c r="A722" s="16"/>
      <c r="C722" s="19"/>
      <c r="D722" s="19"/>
    </row>
    <row r="723" spans="1:4" s="83" customFormat="1" x14ac:dyDescent="0.2">
      <c r="A723" s="16"/>
      <c r="C723" s="19"/>
      <c r="D723" s="19"/>
    </row>
    <row r="724" spans="1:4" s="83" customFormat="1" x14ac:dyDescent="0.2">
      <c r="A724" s="16"/>
      <c r="C724" s="19"/>
      <c r="D724" s="19"/>
    </row>
    <row r="725" spans="1:4" s="83" customFormat="1" x14ac:dyDescent="0.2">
      <c r="A725" s="16"/>
      <c r="C725" s="19"/>
      <c r="D725" s="19"/>
    </row>
    <row r="726" spans="1:4" s="83" customFormat="1" x14ac:dyDescent="0.2">
      <c r="A726" s="16"/>
      <c r="C726" s="19"/>
      <c r="D726" s="19"/>
    </row>
    <row r="727" spans="1:4" s="83" customFormat="1" x14ac:dyDescent="0.2">
      <c r="A727" s="16"/>
      <c r="C727" s="19"/>
      <c r="D727" s="19"/>
    </row>
    <row r="728" spans="1:4" s="83" customFormat="1" x14ac:dyDescent="0.2">
      <c r="A728" s="16"/>
      <c r="C728" s="19"/>
      <c r="D728" s="19"/>
    </row>
    <row r="729" spans="1:4" s="83" customFormat="1" x14ac:dyDescent="0.2">
      <c r="A729" s="16"/>
      <c r="C729" s="19"/>
      <c r="D729" s="19"/>
    </row>
    <row r="730" spans="1:4" s="83" customFormat="1" x14ac:dyDescent="0.2">
      <c r="A730" s="16"/>
      <c r="C730" s="19"/>
      <c r="D730" s="19"/>
    </row>
    <row r="731" spans="1:4" s="83" customFormat="1" x14ac:dyDescent="0.2">
      <c r="A731" s="16"/>
      <c r="C731" s="19"/>
      <c r="D731" s="19"/>
    </row>
    <row r="732" spans="1:4" s="83" customFormat="1" x14ac:dyDescent="0.2">
      <c r="A732" s="16"/>
      <c r="C732" s="19"/>
      <c r="D732" s="19"/>
    </row>
    <row r="733" spans="1:4" s="83" customFormat="1" x14ac:dyDescent="0.2">
      <c r="A733" s="16"/>
      <c r="C733" s="19"/>
      <c r="D733" s="19"/>
    </row>
    <row r="734" spans="1:4" s="83" customFormat="1" x14ac:dyDescent="0.2">
      <c r="A734" s="16"/>
      <c r="C734" s="19"/>
      <c r="D734" s="19"/>
    </row>
    <row r="735" spans="1:4" s="83" customFormat="1" x14ac:dyDescent="0.2">
      <c r="A735" s="16"/>
      <c r="C735" s="19"/>
      <c r="D735" s="19"/>
    </row>
    <row r="736" spans="1:4" s="83" customFormat="1" x14ac:dyDescent="0.2">
      <c r="A736" s="16"/>
      <c r="C736" s="19"/>
      <c r="D736" s="19"/>
    </row>
    <row r="737" spans="1:4" s="83" customFormat="1" x14ac:dyDescent="0.2">
      <c r="A737" s="16"/>
      <c r="C737" s="19"/>
      <c r="D737" s="19"/>
    </row>
    <row r="738" spans="1:4" s="83" customFormat="1" x14ac:dyDescent="0.2">
      <c r="A738" s="16"/>
      <c r="C738" s="19"/>
      <c r="D738" s="19"/>
    </row>
    <row r="739" spans="1:4" s="83" customFormat="1" x14ac:dyDescent="0.2">
      <c r="A739" s="16"/>
      <c r="C739" s="19"/>
      <c r="D739" s="19"/>
    </row>
    <row r="740" spans="1:4" s="83" customFormat="1" x14ac:dyDescent="0.2">
      <c r="A740" s="16"/>
      <c r="C740" s="19"/>
      <c r="D740" s="19"/>
    </row>
    <row r="741" spans="1:4" s="83" customFormat="1" x14ac:dyDescent="0.2">
      <c r="A741" s="16"/>
      <c r="C741" s="19"/>
      <c r="D741" s="19"/>
    </row>
    <row r="742" spans="1:4" s="83" customFormat="1" x14ac:dyDescent="0.2">
      <c r="A742" s="16"/>
      <c r="C742" s="19"/>
      <c r="D742" s="19"/>
    </row>
    <row r="743" spans="1:4" s="83" customFormat="1" x14ac:dyDescent="0.2">
      <c r="A743" s="16"/>
      <c r="C743" s="19"/>
      <c r="D743" s="19"/>
    </row>
    <row r="744" spans="1:4" s="83" customFormat="1" x14ac:dyDescent="0.2">
      <c r="A744" s="16"/>
      <c r="C744" s="19"/>
      <c r="D744" s="19"/>
    </row>
    <row r="745" spans="1:4" s="83" customFormat="1" x14ac:dyDescent="0.2">
      <c r="A745" s="16"/>
      <c r="C745" s="19"/>
      <c r="D745" s="19"/>
    </row>
    <row r="746" spans="1:4" s="83" customFormat="1" x14ac:dyDescent="0.2">
      <c r="A746" s="16"/>
      <c r="C746" s="19"/>
      <c r="D746" s="19"/>
    </row>
    <row r="747" spans="1:4" s="83" customFormat="1" x14ac:dyDescent="0.2">
      <c r="A747" s="16"/>
      <c r="C747" s="19"/>
      <c r="D747" s="19"/>
    </row>
    <row r="748" spans="1:4" s="83" customFormat="1" x14ac:dyDescent="0.2">
      <c r="A748" s="16"/>
      <c r="C748" s="19"/>
      <c r="D748" s="19"/>
    </row>
    <row r="749" spans="1:4" s="83" customFormat="1" x14ac:dyDescent="0.2">
      <c r="A749" s="16"/>
      <c r="C749" s="19"/>
      <c r="D749" s="19"/>
    </row>
    <row r="750" spans="1:4" s="83" customFormat="1" x14ac:dyDescent="0.2">
      <c r="A750" s="16"/>
      <c r="C750" s="19"/>
      <c r="D750" s="19"/>
    </row>
    <row r="751" spans="1:4" s="83" customFormat="1" x14ac:dyDescent="0.2">
      <c r="A751" s="16"/>
      <c r="C751" s="19"/>
      <c r="D751" s="19"/>
    </row>
    <row r="752" spans="1:4" s="83" customFormat="1" x14ac:dyDescent="0.2">
      <c r="A752" s="16"/>
      <c r="C752" s="19"/>
      <c r="D752" s="19"/>
    </row>
    <row r="753" spans="1:4" s="83" customFormat="1" x14ac:dyDescent="0.2">
      <c r="A753" s="16"/>
      <c r="C753" s="19"/>
      <c r="D753" s="19"/>
    </row>
    <row r="754" spans="1:4" s="83" customFormat="1" x14ac:dyDescent="0.2">
      <c r="A754" s="16"/>
      <c r="C754" s="19"/>
      <c r="D754" s="19"/>
    </row>
    <row r="755" spans="1:4" s="83" customFormat="1" x14ac:dyDescent="0.2">
      <c r="A755" s="16"/>
      <c r="C755" s="19"/>
      <c r="D755" s="19"/>
    </row>
    <row r="756" spans="1:4" s="83" customFormat="1" x14ac:dyDescent="0.2">
      <c r="A756" s="16"/>
      <c r="C756" s="19"/>
      <c r="D756" s="19"/>
    </row>
    <row r="757" spans="1:4" s="83" customFormat="1" x14ac:dyDescent="0.2">
      <c r="A757" s="16"/>
      <c r="C757" s="19"/>
      <c r="D757" s="19"/>
    </row>
    <row r="758" spans="1:4" s="83" customFormat="1" x14ac:dyDescent="0.2">
      <c r="A758" s="16"/>
      <c r="C758" s="19"/>
      <c r="D758" s="19"/>
    </row>
    <row r="759" spans="1:4" s="83" customFormat="1" x14ac:dyDescent="0.2">
      <c r="A759" s="16"/>
      <c r="C759" s="19"/>
      <c r="D759" s="19"/>
    </row>
    <row r="760" spans="1:4" s="83" customFormat="1" x14ac:dyDescent="0.2">
      <c r="A760" s="16"/>
      <c r="C760" s="19"/>
      <c r="D760" s="19"/>
    </row>
    <row r="761" spans="1:4" s="83" customFormat="1" x14ac:dyDescent="0.2">
      <c r="A761" s="16"/>
      <c r="C761" s="19"/>
      <c r="D761" s="19"/>
    </row>
    <row r="762" spans="1:4" s="83" customFormat="1" x14ac:dyDescent="0.2">
      <c r="A762" s="16"/>
      <c r="C762" s="19"/>
      <c r="D762" s="19"/>
    </row>
    <row r="763" spans="1:4" s="83" customFormat="1" x14ac:dyDescent="0.2">
      <c r="A763" s="16"/>
      <c r="C763" s="19"/>
      <c r="D763" s="19"/>
    </row>
    <row r="764" spans="1:4" s="83" customFormat="1" x14ac:dyDescent="0.2">
      <c r="A764" s="16"/>
      <c r="C764" s="19"/>
      <c r="D764" s="19"/>
    </row>
    <row r="765" spans="1:4" s="83" customFormat="1" x14ac:dyDescent="0.2">
      <c r="A765" s="16"/>
      <c r="C765" s="19"/>
      <c r="D765" s="19"/>
    </row>
    <row r="766" spans="1:4" s="83" customFormat="1" x14ac:dyDescent="0.2">
      <c r="A766" s="16"/>
      <c r="C766" s="19"/>
      <c r="D766" s="19"/>
    </row>
    <row r="767" spans="1:4" s="83" customFormat="1" x14ac:dyDescent="0.2">
      <c r="A767" s="16"/>
      <c r="C767" s="19"/>
      <c r="D767" s="19"/>
    </row>
    <row r="768" spans="1:4" s="83" customFormat="1" x14ac:dyDescent="0.2">
      <c r="A768" s="16"/>
      <c r="C768" s="19"/>
      <c r="D768" s="19"/>
    </row>
    <row r="769" spans="1:4" s="83" customFormat="1" x14ac:dyDescent="0.2">
      <c r="A769" s="16"/>
      <c r="C769" s="19"/>
      <c r="D769" s="19"/>
    </row>
    <row r="770" spans="1:4" s="83" customFormat="1" x14ac:dyDescent="0.2">
      <c r="A770" s="16"/>
      <c r="C770" s="19"/>
      <c r="D770" s="19"/>
    </row>
    <row r="771" spans="1:4" s="83" customFormat="1" x14ac:dyDescent="0.2">
      <c r="A771" s="16"/>
      <c r="C771" s="19"/>
      <c r="D771" s="19"/>
    </row>
    <row r="772" spans="1:4" s="83" customFormat="1" x14ac:dyDescent="0.2">
      <c r="A772" s="16"/>
      <c r="C772" s="19"/>
      <c r="D772" s="19"/>
    </row>
    <row r="773" spans="1:4" s="83" customFormat="1" x14ac:dyDescent="0.2">
      <c r="A773" s="16"/>
      <c r="C773" s="19"/>
      <c r="D773" s="19"/>
    </row>
    <row r="774" spans="1:4" s="83" customFormat="1" x14ac:dyDescent="0.2">
      <c r="A774" s="16"/>
      <c r="C774" s="19"/>
      <c r="D774" s="19"/>
    </row>
    <row r="775" spans="1:4" s="83" customFormat="1" x14ac:dyDescent="0.2">
      <c r="A775" s="16"/>
      <c r="C775" s="19"/>
      <c r="D775" s="19"/>
    </row>
    <row r="776" spans="1:4" s="83" customFormat="1" x14ac:dyDescent="0.2">
      <c r="A776" s="16"/>
      <c r="C776" s="19"/>
      <c r="D776" s="19"/>
    </row>
    <row r="777" spans="1:4" s="83" customFormat="1" x14ac:dyDescent="0.2">
      <c r="A777" s="16"/>
      <c r="C777" s="19"/>
      <c r="D777" s="19"/>
    </row>
    <row r="778" spans="1:4" s="83" customFormat="1" x14ac:dyDescent="0.2">
      <c r="A778" s="16"/>
      <c r="C778" s="19"/>
      <c r="D778" s="19"/>
    </row>
    <row r="779" spans="1:4" s="83" customFormat="1" x14ac:dyDescent="0.2">
      <c r="A779" s="16"/>
      <c r="C779" s="19"/>
      <c r="D779" s="19"/>
    </row>
    <row r="780" spans="1:4" s="83" customFormat="1" x14ac:dyDescent="0.2">
      <c r="A780" s="16"/>
      <c r="C780" s="19"/>
      <c r="D780" s="19"/>
    </row>
    <row r="781" spans="1:4" s="83" customFormat="1" x14ac:dyDescent="0.2">
      <c r="A781" s="16"/>
      <c r="C781" s="19"/>
      <c r="D781" s="19"/>
    </row>
    <row r="782" spans="1:4" s="83" customFormat="1" x14ac:dyDescent="0.2">
      <c r="A782" s="16"/>
      <c r="C782" s="19"/>
      <c r="D782" s="19"/>
    </row>
    <row r="783" spans="1:4" s="83" customFormat="1" x14ac:dyDescent="0.2">
      <c r="A783" s="16"/>
      <c r="C783" s="19"/>
      <c r="D783" s="19"/>
    </row>
    <row r="784" spans="1:4" s="83" customFormat="1" x14ac:dyDescent="0.2">
      <c r="A784" s="16"/>
      <c r="C784" s="19"/>
      <c r="D784" s="19"/>
    </row>
    <row r="785" spans="1:4" s="83" customFormat="1" x14ac:dyDescent="0.2">
      <c r="A785" s="16"/>
      <c r="C785" s="19"/>
      <c r="D785" s="19"/>
    </row>
    <row r="786" spans="1:4" s="83" customFormat="1" x14ac:dyDescent="0.2">
      <c r="A786" s="16"/>
      <c r="C786" s="19"/>
      <c r="D786" s="19"/>
    </row>
    <row r="787" spans="1:4" s="83" customFormat="1" x14ac:dyDescent="0.2">
      <c r="A787" s="16"/>
      <c r="C787" s="19"/>
      <c r="D787" s="19"/>
    </row>
    <row r="788" spans="1:4" s="83" customFormat="1" x14ac:dyDescent="0.2">
      <c r="A788" s="16"/>
      <c r="C788" s="19"/>
      <c r="D788" s="19"/>
    </row>
    <row r="789" spans="1:4" s="83" customFormat="1" x14ac:dyDescent="0.2">
      <c r="A789" s="16"/>
      <c r="C789" s="19"/>
      <c r="D789" s="19"/>
    </row>
    <row r="790" spans="1:4" s="83" customFormat="1" x14ac:dyDescent="0.2">
      <c r="A790" s="16"/>
      <c r="C790" s="19"/>
      <c r="D790" s="19"/>
    </row>
    <row r="791" spans="1:4" s="83" customFormat="1" x14ac:dyDescent="0.2">
      <c r="A791" s="16"/>
      <c r="C791" s="19"/>
      <c r="D791" s="19"/>
    </row>
    <row r="792" spans="1:4" s="83" customFormat="1" x14ac:dyDescent="0.2">
      <c r="A792" s="16"/>
      <c r="C792" s="19"/>
      <c r="D792" s="19"/>
    </row>
    <row r="793" spans="1:4" s="83" customFormat="1" x14ac:dyDescent="0.2">
      <c r="A793" s="16"/>
      <c r="C793" s="19"/>
      <c r="D793" s="19"/>
    </row>
    <row r="794" spans="1:4" s="83" customFormat="1" x14ac:dyDescent="0.2">
      <c r="A794" s="16"/>
      <c r="C794" s="19"/>
      <c r="D794" s="19"/>
    </row>
    <row r="795" spans="1:4" s="83" customFormat="1" x14ac:dyDescent="0.2">
      <c r="A795" s="16"/>
      <c r="C795" s="19"/>
      <c r="D795" s="19"/>
    </row>
    <row r="796" spans="1:4" s="83" customFormat="1" x14ac:dyDescent="0.2">
      <c r="A796" s="16"/>
      <c r="C796" s="19"/>
      <c r="D796" s="19"/>
    </row>
    <row r="797" spans="1:4" s="83" customFormat="1" x14ac:dyDescent="0.2">
      <c r="A797" s="16"/>
      <c r="C797" s="19"/>
      <c r="D797" s="19"/>
    </row>
    <row r="798" spans="1:4" s="83" customFormat="1" x14ac:dyDescent="0.2">
      <c r="A798" s="16"/>
      <c r="C798" s="19"/>
      <c r="D798" s="19"/>
    </row>
    <row r="799" spans="1:4" s="83" customFormat="1" x14ac:dyDescent="0.2">
      <c r="A799" s="16"/>
      <c r="C799" s="19"/>
      <c r="D799" s="19"/>
    </row>
    <row r="800" spans="1:4" s="83" customFormat="1" x14ac:dyDescent="0.2">
      <c r="A800" s="16"/>
      <c r="C800" s="19"/>
      <c r="D800" s="19"/>
    </row>
    <row r="801" spans="1:4" s="83" customFormat="1" x14ac:dyDescent="0.2">
      <c r="A801" s="16"/>
      <c r="C801" s="19"/>
      <c r="D801" s="19"/>
    </row>
    <row r="802" spans="1:4" s="83" customFormat="1" x14ac:dyDescent="0.2">
      <c r="A802" s="16"/>
      <c r="C802" s="19"/>
      <c r="D802" s="19"/>
    </row>
    <row r="803" spans="1:4" s="83" customFormat="1" x14ac:dyDescent="0.2">
      <c r="A803" s="16"/>
      <c r="C803" s="19"/>
      <c r="D803" s="19"/>
    </row>
    <row r="804" spans="1:4" s="83" customFormat="1" x14ac:dyDescent="0.2">
      <c r="A804" s="16"/>
      <c r="C804" s="19"/>
      <c r="D804" s="19"/>
    </row>
    <row r="805" spans="1:4" s="83" customFormat="1" x14ac:dyDescent="0.2">
      <c r="A805" s="16"/>
      <c r="C805" s="19"/>
      <c r="D805" s="19"/>
    </row>
    <row r="806" spans="1:4" s="83" customFormat="1" x14ac:dyDescent="0.2">
      <c r="A806" s="16"/>
      <c r="C806" s="19"/>
      <c r="D806" s="19"/>
    </row>
    <row r="807" spans="1:4" s="83" customFormat="1" x14ac:dyDescent="0.2">
      <c r="A807" s="16"/>
      <c r="C807" s="19"/>
      <c r="D807" s="19"/>
    </row>
    <row r="808" spans="1:4" s="83" customFormat="1" x14ac:dyDescent="0.2">
      <c r="A808" s="16"/>
      <c r="C808" s="19"/>
      <c r="D808" s="19"/>
    </row>
    <row r="809" spans="1:4" s="83" customFormat="1" x14ac:dyDescent="0.2">
      <c r="A809" s="16"/>
      <c r="C809" s="19"/>
      <c r="D809" s="19"/>
    </row>
    <row r="810" spans="1:4" s="83" customFormat="1" x14ac:dyDescent="0.2">
      <c r="A810" s="16"/>
      <c r="C810" s="19"/>
      <c r="D810" s="19"/>
    </row>
    <row r="811" spans="1:4" s="83" customFormat="1" x14ac:dyDescent="0.2">
      <c r="A811" s="16"/>
      <c r="C811" s="19"/>
      <c r="D811" s="19"/>
    </row>
    <row r="812" spans="1:4" s="83" customFormat="1" x14ac:dyDescent="0.2">
      <c r="A812" s="16"/>
      <c r="C812" s="19"/>
      <c r="D812" s="19"/>
    </row>
    <row r="813" spans="1:4" s="83" customFormat="1" x14ac:dyDescent="0.2">
      <c r="A813" s="16"/>
      <c r="C813" s="19"/>
      <c r="D813" s="19"/>
    </row>
    <row r="814" spans="1:4" s="83" customFormat="1" x14ac:dyDescent="0.2">
      <c r="A814" s="16"/>
      <c r="C814" s="19"/>
      <c r="D814" s="19"/>
    </row>
    <row r="815" spans="1:4" s="83" customFormat="1" x14ac:dyDescent="0.2">
      <c r="A815" s="16"/>
      <c r="C815" s="19"/>
      <c r="D815" s="19"/>
    </row>
    <row r="816" spans="1:4" s="83" customFormat="1" x14ac:dyDescent="0.2">
      <c r="A816" s="16"/>
      <c r="C816" s="19"/>
      <c r="D816" s="19"/>
    </row>
    <row r="817" spans="1:4" s="83" customFormat="1" x14ac:dyDescent="0.2">
      <c r="A817" s="16"/>
      <c r="C817" s="19"/>
      <c r="D817" s="19"/>
    </row>
    <row r="818" spans="1:4" s="83" customFormat="1" x14ac:dyDescent="0.2">
      <c r="A818" s="16"/>
      <c r="C818" s="19"/>
      <c r="D818" s="19"/>
    </row>
    <row r="819" spans="1:4" s="83" customFormat="1" x14ac:dyDescent="0.2">
      <c r="A819" s="16"/>
      <c r="C819" s="19"/>
      <c r="D819" s="19"/>
    </row>
    <row r="820" spans="1:4" s="83" customFormat="1" x14ac:dyDescent="0.2">
      <c r="A820" s="16"/>
      <c r="C820" s="19"/>
      <c r="D820" s="19"/>
    </row>
    <row r="821" spans="1:4" s="83" customFormat="1" x14ac:dyDescent="0.2">
      <c r="A821" s="16"/>
      <c r="C821" s="19"/>
      <c r="D821" s="19"/>
    </row>
    <row r="822" spans="1:4" s="83" customFormat="1" x14ac:dyDescent="0.2">
      <c r="A822" s="16"/>
      <c r="C822" s="19"/>
      <c r="D822" s="19"/>
    </row>
    <row r="823" spans="1:4" s="83" customFormat="1" x14ac:dyDescent="0.2">
      <c r="A823" s="16"/>
      <c r="C823" s="19"/>
      <c r="D823" s="19"/>
    </row>
    <row r="824" spans="1:4" s="83" customFormat="1" x14ac:dyDescent="0.2">
      <c r="A824" s="16"/>
      <c r="C824" s="19"/>
      <c r="D824" s="19"/>
    </row>
    <row r="825" spans="1:4" s="83" customFormat="1" x14ac:dyDescent="0.2">
      <c r="A825" s="16"/>
      <c r="C825" s="19"/>
      <c r="D825" s="19"/>
    </row>
    <row r="826" spans="1:4" s="83" customFormat="1" x14ac:dyDescent="0.2">
      <c r="A826" s="16"/>
      <c r="C826" s="19"/>
      <c r="D826" s="19"/>
    </row>
    <row r="827" spans="1:4" s="83" customFormat="1" x14ac:dyDescent="0.2">
      <c r="A827" s="16"/>
      <c r="C827" s="19"/>
      <c r="D827" s="19"/>
    </row>
    <row r="828" spans="1:4" s="83" customFormat="1" x14ac:dyDescent="0.2">
      <c r="A828" s="16"/>
      <c r="C828" s="19"/>
      <c r="D828" s="19"/>
    </row>
    <row r="829" spans="1:4" s="83" customFormat="1" x14ac:dyDescent="0.2">
      <c r="A829" s="16"/>
      <c r="C829" s="19"/>
      <c r="D829" s="19"/>
    </row>
    <row r="830" spans="1:4" s="83" customFormat="1" x14ac:dyDescent="0.2">
      <c r="A830" s="16"/>
      <c r="C830" s="19"/>
      <c r="D830" s="19"/>
    </row>
    <row r="831" spans="1:4" s="83" customFormat="1" x14ac:dyDescent="0.2">
      <c r="A831" s="16"/>
      <c r="C831" s="19"/>
      <c r="D831" s="19"/>
    </row>
    <row r="832" spans="1:4" s="83" customFormat="1" x14ac:dyDescent="0.2">
      <c r="A832" s="16"/>
      <c r="C832" s="19"/>
      <c r="D832" s="19"/>
    </row>
    <row r="833" spans="1:4" s="83" customFormat="1" x14ac:dyDescent="0.2">
      <c r="A833" s="16"/>
      <c r="C833" s="19"/>
      <c r="D833" s="19"/>
    </row>
    <row r="834" spans="1:4" s="83" customFormat="1" x14ac:dyDescent="0.2">
      <c r="A834" s="16"/>
      <c r="C834" s="19"/>
      <c r="D834" s="19"/>
    </row>
    <row r="835" spans="1:4" s="83" customFormat="1" x14ac:dyDescent="0.2">
      <c r="A835" s="16"/>
      <c r="C835" s="19"/>
      <c r="D835" s="19"/>
    </row>
    <row r="836" spans="1:4" s="83" customFormat="1" x14ac:dyDescent="0.2">
      <c r="A836" s="16"/>
      <c r="C836" s="19"/>
      <c r="D836" s="19"/>
    </row>
    <row r="837" spans="1:4" s="83" customFormat="1" x14ac:dyDescent="0.2">
      <c r="A837" s="16"/>
      <c r="C837" s="19"/>
      <c r="D837" s="19"/>
    </row>
    <row r="838" spans="1:4" s="83" customFormat="1" x14ac:dyDescent="0.2">
      <c r="A838" s="16"/>
      <c r="C838" s="19"/>
      <c r="D838" s="19"/>
    </row>
    <row r="839" spans="1:4" s="83" customFormat="1" x14ac:dyDescent="0.2">
      <c r="A839" s="16"/>
      <c r="C839" s="19"/>
      <c r="D839" s="19"/>
    </row>
    <row r="840" spans="1:4" s="83" customFormat="1" x14ac:dyDescent="0.2">
      <c r="A840" s="16"/>
      <c r="C840" s="19"/>
      <c r="D840" s="19"/>
    </row>
    <row r="841" spans="1:4" s="83" customFormat="1" x14ac:dyDescent="0.2">
      <c r="A841" s="16"/>
      <c r="C841" s="19"/>
      <c r="D841" s="19"/>
    </row>
    <row r="842" spans="1:4" s="83" customFormat="1" x14ac:dyDescent="0.2">
      <c r="A842" s="16"/>
      <c r="C842" s="19"/>
      <c r="D842" s="19"/>
    </row>
    <row r="843" spans="1:4" s="83" customFormat="1" x14ac:dyDescent="0.2">
      <c r="A843" s="16"/>
      <c r="C843" s="19"/>
      <c r="D843" s="19"/>
    </row>
    <row r="844" spans="1:4" s="83" customFormat="1" x14ac:dyDescent="0.2">
      <c r="A844" s="16"/>
      <c r="C844" s="19"/>
      <c r="D844" s="19"/>
    </row>
    <row r="845" spans="1:4" s="83" customFormat="1" x14ac:dyDescent="0.2">
      <c r="A845" s="16"/>
      <c r="C845" s="19"/>
      <c r="D845" s="19"/>
    </row>
    <row r="846" spans="1:4" s="83" customFormat="1" x14ac:dyDescent="0.2">
      <c r="A846" s="16"/>
      <c r="C846" s="19"/>
      <c r="D846" s="19"/>
    </row>
    <row r="847" spans="1:4" s="83" customFormat="1" x14ac:dyDescent="0.2">
      <c r="A847" s="16"/>
      <c r="C847" s="19"/>
      <c r="D847" s="19"/>
    </row>
    <row r="848" spans="1:4" s="83" customFormat="1" x14ac:dyDescent="0.2">
      <c r="A848" s="16"/>
      <c r="C848" s="19"/>
      <c r="D848" s="19"/>
    </row>
    <row r="849" spans="1:4" s="83" customFormat="1" x14ac:dyDescent="0.2">
      <c r="A849" s="16"/>
      <c r="C849" s="19"/>
      <c r="D849" s="19"/>
    </row>
    <row r="850" spans="1:4" s="83" customFormat="1" x14ac:dyDescent="0.2">
      <c r="A850" s="16"/>
      <c r="C850" s="19"/>
      <c r="D850" s="19"/>
    </row>
    <row r="851" spans="1:4" s="83" customFormat="1" x14ac:dyDescent="0.2">
      <c r="A851" s="16"/>
      <c r="C851" s="19"/>
      <c r="D851" s="19"/>
    </row>
    <row r="852" spans="1:4" s="83" customFormat="1" x14ac:dyDescent="0.2">
      <c r="A852" s="16"/>
      <c r="C852" s="19"/>
      <c r="D852" s="19"/>
    </row>
    <row r="853" spans="1:4" s="83" customFormat="1" x14ac:dyDescent="0.2">
      <c r="A853" s="16"/>
      <c r="C853" s="19"/>
      <c r="D853" s="19"/>
    </row>
    <row r="854" spans="1:4" s="83" customFormat="1" x14ac:dyDescent="0.2">
      <c r="A854" s="16"/>
      <c r="C854" s="19"/>
      <c r="D854" s="19"/>
    </row>
    <row r="855" spans="1:4" s="83" customFormat="1" x14ac:dyDescent="0.2">
      <c r="A855" s="16"/>
      <c r="C855" s="19"/>
      <c r="D855" s="19"/>
    </row>
    <row r="856" spans="1:4" s="83" customFormat="1" x14ac:dyDescent="0.2">
      <c r="A856" s="16"/>
      <c r="C856" s="19"/>
      <c r="D856" s="19"/>
    </row>
    <row r="857" spans="1:4" s="83" customFormat="1" x14ac:dyDescent="0.2">
      <c r="A857" s="16"/>
      <c r="C857" s="19"/>
      <c r="D857" s="19"/>
    </row>
    <row r="858" spans="1:4" s="83" customFormat="1" x14ac:dyDescent="0.2">
      <c r="A858" s="16"/>
      <c r="C858" s="19"/>
      <c r="D858" s="19"/>
    </row>
    <row r="859" spans="1:4" s="83" customFormat="1" x14ac:dyDescent="0.2">
      <c r="A859" s="16"/>
      <c r="C859" s="19"/>
      <c r="D859" s="19"/>
    </row>
    <row r="860" spans="1:4" s="83" customFormat="1" x14ac:dyDescent="0.2">
      <c r="A860" s="16"/>
      <c r="C860" s="19"/>
      <c r="D860" s="19"/>
    </row>
    <row r="861" spans="1:4" s="83" customFormat="1" x14ac:dyDescent="0.2">
      <c r="A861" s="16"/>
      <c r="C861" s="19"/>
      <c r="D861" s="19"/>
    </row>
    <row r="862" spans="1:4" s="83" customFormat="1" x14ac:dyDescent="0.2">
      <c r="A862" s="16"/>
      <c r="C862" s="19"/>
      <c r="D862" s="19"/>
    </row>
    <row r="863" spans="1:4" s="83" customFormat="1" x14ac:dyDescent="0.2">
      <c r="A863" s="16"/>
      <c r="C863" s="19"/>
      <c r="D863" s="19"/>
    </row>
    <row r="864" spans="1:4" s="83" customFormat="1" x14ac:dyDescent="0.2">
      <c r="A864" s="16"/>
      <c r="C864" s="19"/>
      <c r="D864" s="19"/>
    </row>
    <row r="865" spans="1:4" s="83" customFormat="1" x14ac:dyDescent="0.2">
      <c r="A865" s="16"/>
      <c r="C865" s="19"/>
      <c r="D865" s="19"/>
    </row>
    <row r="866" spans="1:4" s="83" customFormat="1" x14ac:dyDescent="0.2">
      <c r="A866" s="16"/>
      <c r="C866" s="19"/>
      <c r="D866" s="19"/>
    </row>
    <row r="867" spans="1:4" s="83" customFormat="1" x14ac:dyDescent="0.2">
      <c r="A867" s="16"/>
      <c r="C867" s="19"/>
      <c r="D867" s="19"/>
    </row>
    <row r="868" spans="1:4" s="83" customFormat="1" x14ac:dyDescent="0.2">
      <c r="A868" s="16"/>
      <c r="C868" s="19"/>
      <c r="D868" s="19"/>
    </row>
    <row r="869" spans="1:4" s="83" customFormat="1" x14ac:dyDescent="0.2">
      <c r="A869" s="16"/>
      <c r="C869" s="19"/>
      <c r="D869" s="19"/>
    </row>
    <row r="870" spans="1:4" s="83" customFormat="1" x14ac:dyDescent="0.2">
      <c r="A870" s="16"/>
      <c r="C870" s="19"/>
      <c r="D870" s="19"/>
    </row>
    <row r="871" spans="1:4" s="83" customFormat="1" x14ac:dyDescent="0.2">
      <c r="A871" s="16"/>
      <c r="C871" s="19"/>
      <c r="D871" s="19"/>
    </row>
    <row r="872" spans="1:4" s="83" customFormat="1" x14ac:dyDescent="0.2">
      <c r="A872" s="16"/>
      <c r="C872" s="19"/>
      <c r="D872" s="19"/>
    </row>
    <row r="873" spans="1:4" s="83" customFormat="1" x14ac:dyDescent="0.2">
      <c r="A873" s="16"/>
      <c r="C873" s="19"/>
      <c r="D873" s="19"/>
    </row>
    <row r="874" spans="1:4" s="83" customFormat="1" x14ac:dyDescent="0.2">
      <c r="A874" s="16"/>
      <c r="C874" s="19"/>
      <c r="D874" s="19"/>
    </row>
    <row r="875" spans="1:4" s="83" customFormat="1" x14ac:dyDescent="0.2">
      <c r="A875" s="16"/>
      <c r="C875" s="19"/>
      <c r="D875" s="19"/>
    </row>
    <row r="876" spans="1:4" s="83" customFormat="1" x14ac:dyDescent="0.2">
      <c r="A876" s="16"/>
      <c r="C876" s="19"/>
      <c r="D876" s="19"/>
    </row>
    <row r="877" spans="1:4" s="83" customFormat="1" x14ac:dyDescent="0.2">
      <c r="A877" s="16"/>
      <c r="C877" s="19"/>
      <c r="D877" s="19"/>
    </row>
    <row r="878" spans="1:4" s="83" customFormat="1" x14ac:dyDescent="0.2">
      <c r="A878" s="16"/>
      <c r="C878" s="19"/>
      <c r="D878" s="19"/>
    </row>
    <row r="879" spans="1:4" s="83" customFormat="1" x14ac:dyDescent="0.2">
      <c r="A879" s="16"/>
      <c r="C879" s="19"/>
      <c r="D879" s="19"/>
    </row>
    <row r="880" spans="1:4" s="83" customFormat="1" x14ac:dyDescent="0.2">
      <c r="A880" s="16"/>
      <c r="C880" s="19"/>
      <c r="D880" s="19"/>
    </row>
    <row r="881" spans="1:4" s="83" customFormat="1" x14ac:dyDescent="0.2">
      <c r="A881" s="16"/>
      <c r="C881" s="19"/>
      <c r="D881" s="19"/>
    </row>
    <row r="882" spans="1:4" s="83" customFormat="1" x14ac:dyDescent="0.2">
      <c r="A882" s="16"/>
      <c r="C882" s="19"/>
      <c r="D882" s="19"/>
    </row>
    <row r="883" spans="1:4" s="83" customFormat="1" x14ac:dyDescent="0.2">
      <c r="A883" s="16"/>
      <c r="C883" s="19"/>
      <c r="D883" s="19"/>
    </row>
    <row r="884" spans="1:4" s="83" customFormat="1" x14ac:dyDescent="0.2">
      <c r="A884" s="16"/>
      <c r="C884" s="19"/>
      <c r="D884" s="19"/>
    </row>
    <row r="885" spans="1:4" s="83" customFormat="1" x14ac:dyDescent="0.2">
      <c r="A885" s="16"/>
      <c r="C885" s="19"/>
      <c r="D885" s="19"/>
    </row>
    <row r="886" spans="1:4" s="83" customFormat="1" x14ac:dyDescent="0.2">
      <c r="A886" s="16"/>
      <c r="C886" s="19"/>
      <c r="D886" s="19"/>
    </row>
    <row r="887" spans="1:4" s="83" customFormat="1" x14ac:dyDescent="0.2">
      <c r="A887" s="16"/>
      <c r="C887" s="19"/>
      <c r="D887" s="19"/>
    </row>
    <row r="888" spans="1:4" s="83" customFormat="1" x14ac:dyDescent="0.2">
      <c r="A888" s="16"/>
      <c r="C888" s="19"/>
      <c r="D888" s="19"/>
    </row>
    <row r="889" spans="1:4" s="83" customFormat="1" x14ac:dyDescent="0.2">
      <c r="A889" s="16"/>
      <c r="C889" s="19"/>
      <c r="D889" s="19"/>
    </row>
    <row r="890" spans="1:4" s="83" customFormat="1" x14ac:dyDescent="0.2">
      <c r="A890" s="16"/>
      <c r="C890" s="19"/>
      <c r="D890" s="19"/>
    </row>
    <row r="891" spans="1:4" s="83" customFormat="1" x14ac:dyDescent="0.2">
      <c r="A891" s="16"/>
      <c r="C891" s="19"/>
      <c r="D891" s="19"/>
    </row>
    <row r="892" spans="1:4" s="83" customFormat="1" x14ac:dyDescent="0.2">
      <c r="A892" s="16"/>
      <c r="C892" s="19"/>
      <c r="D892" s="19"/>
    </row>
    <row r="893" spans="1:4" s="83" customFormat="1" x14ac:dyDescent="0.2">
      <c r="A893" s="16"/>
      <c r="C893" s="19"/>
      <c r="D893" s="19"/>
    </row>
    <row r="894" spans="1:4" s="83" customFormat="1" x14ac:dyDescent="0.2">
      <c r="A894" s="16"/>
      <c r="C894" s="19"/>
      <c r="D894" s="19"/>
    </row>
    <row r="895" spans="1:4" s="83" customFormat="1" x14ac:dyDescent="0.2">
      <c r="A895" s="16"/>
      <c r="C895" s="19"/>
      <c r="D895" s="19"/>
    </row>
    <row r="896" spans="1:4" s="83" customFormat="1" x14ac:dyDescent="0.2">
      <c r="A896" s="16"/>
      <c r="C896" s="19"/>
      <c r="D896" s="19"/>
    </row>
    <row r="897" spans="1:4" s="83" customFormat="1" x14ac:dyDescent="0.2">
      <c r="A897" s="16"/>
      <c r="C897" s="19"/>
      <c r="D897" s="19"/>
    </row>
    <row r="898" spans="1:4" s="83" customFormat="1" x14ac:dyDescent="0.2">
      <c r="A898" s="16"/>
      <c r="C898" s="19"/>
      <c r="D898" s="19"/>
    </row>
    <row r="899" spans="1:4" s="83" customFormat="1" x14ac:dyDescent="0.2">
      <c r="A899" s="16"/>
      <c r="C899" s="19"/>
      <c r="D899" s="19"/>
    </row>
    <row r="900" spans="1:4" s="83" customFormat="1" x14ac:dyDescent="0.2">
      <c r="A900" s="16"/>
      <c r="C900" s="19"/>
      <c r="D900" s="19"/>
    </row>
    <row r="901" spans="1:4" s="83" customFormat="1" x14ac:dyDescent="0.2">
      <c r="A901" s="16"/>
      <c r="C901" s="19"/>
      <c r="D901" s="19"/>
    </row>
    <row r="902" spans="1:4" s="83" customFormat="1" x14ac:dyDescent="0.2">
      <c r="A902" s="16"/>
      <c r="C902" s="19"/>
      <c r="D902" s="19"/>
    </row>
    <row r="903" spans="1:4" s="83" customFormat="1" x14ac:dyDescent="0.2">
      <c r="A903" s="16"/>
      <c r="C903" s="19"/>
      <c r="D903" s="19"/>
    </row>
    <row r="904" spans="1:4" s="83" customFormat="1" x14ac:dyDescent="0.2">
      <c r="A904" s="16"/>
      <c r="C904" s="19"/>
      <c r="D904" s="19"/>
    </row>
    <row r="905" spans="1:4" s="83" customFormat="1" x14ac:dyDescent="0.2">
      <c r="A905" s="16"/>
      <c r="C905" s="19"/>
      <c r="D905" s="19"/>
    </row>
    <row r="906" spans="1:4" s="83" customFormat="1" x14ac:dyDescent="0.2">
      <c r="A906" s="16"/>
      <c r="C906" s="19"/>
      <c r="D906" s="19"/>
    </row>
    <row r="907" spans="1:4" s="83" customFormat="1" x14ac:dyDescent="0.2">
      <c r="A907" s="16"/>
      <c r="C907" s="19"/>
      <c r="D907" s="19"/>
    </row>
    <row r="908" spans="1:4" s="83" customFormat="1" x14ac:dyDescent="0.2">
      <c r="A908" s="16"/>
      <c r="C908" s="19"/>
      <c r="D908" s="19"/>
    </row>
    <row r="909" spans="1:4" s="83" customFormat="1" x14ac:dyDescent="0.2">
      <c r="A909" s="16"/>
      <c r="C909" s="19"/>
      <c r="D909" s="19"/>
    </row>
    <row r="910" spans="1:4" s="83" customFormat="1" x14ac:dyDescent="0.2">
      <c r="A910" s="16"/>
      <c r="C910" s="19"/>
      <c r="D910" s="19"/>
    </row>
    <row r="911" spans="1:4" s="83" customFormat="1" x14ac:dyDescent="0.2">
      <c r="A911" s="16"/>
      <c r="C911" s="19"/>
      <c r="D911" s="19"/>
    </row>
    <row r="912" spans="1:4" s="83" customFormat="1" x14ac:dyDescent="0.2">
      <c r="A912" s="16"/>
      <c r="C912" s="19"/>
      <c r="D912" s="19"/>
    </row>
    <row r="913" spans="1:4" s="83" customFormat="1" x14ac:dyDescent="0.2">
      <c r="A913" s="16"/>
      <c r="C913" s="19"/>
      <c r="D913" s="19"/>
    </row>
    <row r="914" spans="1:4" s="83" customFormat="1" x14ac:dyDescent="0.2">
      <c r="A914" s="16"/>
      <c r="C914" s="19"/>
      <c r="D914" s="19"/>
    </row>
    <row r="915" spans="1:4" s="83" customFormat="1" x14ac:dyDescent="0.2">
      <c r="A915" s="16"/>
      <c r="C915" s="19"/>
      <c r="D915" s="19"/>
    </row>
    <row r="916" spans="1:4" s="83" customFormat="1" x14ac:dyDescent="0.2">
      <c r="A916" s="16"/>
      <c r="C916" s="19"/>
      <c r="D916" s="19"/>
    </row>
    <row r="917" spans="1:4" s="83" customFormat="1" x14ac:dyDescent="0.2">
      <c r="A917" s="16"/>
      <c r="C917" s="19"/>
      <c r="D917" s="19"/>
    </row>
    <row r="918" spans="1:4" s="83" customFormat="1" x14ac:dyDescent="0.2">
      <c r="A918" s="16"/>
      <c r="C918" s="19"/>
      <c r="D918" s="19"/>
    </row>
    <row r="919" spans="1:4" s="83" customFormat="1" x14ac:dyDescent="0.2">
      <c r="A919" s="16"/>
      <c r="C919" s="19"/>
      <c r="D919" s="19"/>
    </row>
    <row r="920" spans="1:4" s="83" customFormat="1" x14ac:dyDescent="0.2">
      <c r="A920" s="16"/>
      <c r="C920" s="19"/>
      <c r="D920" s="19"/>
    </row>
    <row r="921" spans="1:4" s="83" customFormat="1" x14ac:dyDescent="0.2">
      <c r="A921" s="16"/>
      <c r="C921" s="19"/>
      <c r="D921" s="19"/>
    </row>
    <row r="922" spans="1:4" s="83" customFormat="1" x14ac:dyDescent="0.2">
      <c r="A922" s="16"/>
      <c r="C922" s="19"/>
      <c r="D922" s="19"/>
    </row>
    <row r="923" spans="1:4" s="83" customFormat="1" x14ac:dyDescent="0.2">
      <c r="A923" s="16"/>
      <c r="C923" s="19"/>
      <c r="D923" s="19"/>
    </row>
    <row r="924" spans="1:4" s="83" customFormat="1" x14ac:dyDescent="0.2">
      <c r="A924" s="16"/>
      <c r="C924" s="19"/>
      <c r="D924" s="19"/>
    </row>
    <row r="925" spans="1:4" s="83" customFormat="1" x14ac:dyDescent="0.2">
      <c r="A925" s="16"/>
      <c r="C925" s="19"/>
      <c r="D925" s="19"/>
    </row>
    <row r="926" spans="1:4" s="83" customFormat="1" x14ac:dyDescent="0.2">
      <c r="A926" s="16"/>
      <c r="C926" s="19"/>
      <c r="D926" s="19"/>
    </row>
    <row r="927" spans="1:4" s="83" customFormat="1" x14ac:dyDescent="0.2">
      <c r="A927" s="16"/>
      <c r="C927" s="19"/>
      <c r="D927" s="19"/>
    </row>
    <row r="928" spans="1:4" s="83" customFormat="1" x14ac:dyDescent="0.2">
      <c r="A928" s="16"/>
      <c r="C928" s="19"/>
      <c r="D928" s="19"/>
    </row>
    <row r="929" spans="1:4" s="83" customFormat="1" x14ac:dyDescent="0.2">
      <c r="A929" s="16"/>
      <c r="C929" s="19"/>
      <c r="D929" s="19"/>
    </row>
    <row r="930" spans="1:4" s="83" customFormat="1" x14ac:dyDescent="0.2">
      <c r="A930" s="16"/>
      <c r="C930" s="19"/>
      <c r="D930" s="19"/>
    </row>
    <row r="931" spans="1:4" s="83" customFormat="1" x14ac:dyDescent="0.2">
      <c r="A931" s="16"/>
      <c r="C931" s="19"/>
      <c r="D931" s="19"/>
    </row>
    <row r="932" spans="1:4" s="83" customFormat="1" x14ac:dyDescent="0.2">
      <c r="A932" s="16"/>
      <c r="C932" s="19"/>
      <c r="D932" s="19"/>
    </row>
    <row r="933" spans="1:4" s="83" customFormat="1" x14ac:dyDescent="0.2">
      <c r="A933" s="16"/>
      <c r="C933" s="19"/>
      <c r="D933" s="19"/>
    </row>
    <row r="934" spans="1:4" s="83" customFormat="1" x14ac:dyDescent="0.2">
      <c r="A934" s="16"/>
      <c r="C934" s="19"/>
      <c r="D934" s="19"/>
    </row>
    <row r="935" spans="1:4" s="83" customFormat="1" x14ac:dyDescent="0.2">
      <c r="A935" s="16"/>
      <c r="C935" s="19"/>
      <c r="D935" s="19"/>
    </row>
    <row r="936" spans="1:4" s="83" customFormat="1" x14ac:dyDescent="0.2">
      <c r="A936" s="16"/>
      <c r="C936" s="19"/>
      <c r="D936" s="19"/>
    </row>
    <row r="937" spans="1:4" s="83" customFormat="1" x14ac:dyDescent="0.2">
      <c r="A937" s="16"/>
      <c r="C937" s="19"/>
      <c r="D937" s="19"/>
    </row>
    <row r="938" spans="1:4" s="83" customFormat="1" x14ac:dyDescent="0.2">
      <c r="A938" s="16"/>
      <c r="C938" s="19"/>
      <c r="D938" s="19"/>
    </row>
    <row r="939" spans="1:4" s="83" customFormat="1" x14ac:dyDescent="0.2">
      <c r="A939" s="16"/>
      <c r="C939" s="19"/>
      <c r="D939" s="19"/>
    </row>
    <row r="940" spans="1:4" s="83" customFormat="1" x14ac:dyDescent="0.2">
      <c r="A940" s="16"/>
      <c r="C940" s="19"/>
      <c r="D940" s="19"/>
    </row>
    <row r="941" spans="1:4" s="83" customFormat="1" x14ac:dyDescent="0.2">
      <c r="A941" s="16"/>
      <c r="C941" s="19"/>
      <c r="D941" s="19"/>
    </row>
    <row r="942" spans="1:4" s="83" customFormat="1" x14ac:dyDescent="0.2">
      <c r="A942" s="16"/>
      <c r="C942" s="19"/>
      <c r="D942" s="19"/>
    </row>
    <row r="943" spans="1:4" s="83" customFormat="1" x14ac:dyDescent="0.2">
      <c r="A943" s="16"/>
      <c r="C943" s="19"/>
      <c r="D943" s="19"/>
    </row>
    <row r="944" spans="1:4" s="83" customFormat="1" x14ac:dyDescent="0.2">
      <c r="A944" s="16"/>
      <c r="C944" s="19"/>
      <c r="D944" s="19"/>
    </row>
    <row r="945" spans="1:4" s="83" customFormat="1" x14ac:dyDescent="0.2">
      <c r="A945" s="16"/>
      <c r="C945" s="19"/>
      <c r="D945" s="19"/>
    </row>
    <row r="946" spans="1:4" s="83" customFormat="1" x14ac:dyDescent="0.2">
      <c r="A946" s="16"/>
      <c r="C946" s="19"/>
      <c r="D946" s="19"/>
    </row>
    <row r="947" spans="1:4" s="83" customFormat="1" x14ac:dyDescent="0.2">
      <c r="A947" s="16"/>
      <c r="C947" s="19"/>
      <c r="D947" s="19"/>
    </row>
    <row r="948" spans="1:4" s="83" customFormat="1" x14ac:dyDescent="0.2">
      <c r="A948" s="16"/>
      <c r="C948" s="19"/>
      <c r="D948" s="19"/>
    </row>
    <row r="949" spans="1:4" s="83" customFormat="1" x14ac:dyDescent="0.2">
      <c r="A949" s="16"/>
      <c r="C949" s="19"/>
      <c r="D949" s="19"/>
    </row>
    <row r="950" spans="1:4" s="83" customFormat="1" x14ac:dyDescent="0.2">
      <c r="A950" s="16"/>
      <c r="C950" s="19"/>
      <c r="D950" s="19"/>
    </row>
    <row r="951" spans="1:4" s="83" customFormat="1" x14ac:dyDescent="0.2">
      <c r="A951" s="16"/>
      <c r="C951" s="19"/>
      <c r="D951" s="19"/>
    </row>
    <row r="952" spans="1:4" s="83" customFormat="1" x14ac:dyDescent="0.2">
      <c r="A952" s="16"/>
      <c r="C952" s="19"/>
      <c r="D952" s="19"/>
    </row>
    <row r="953" spans="1:4" s="83" customFormat="1" x14ac:dyDescent="0.2">
      <c r="A953" s="16"/>
      <c r="C953" s="19"/>
      <c r="D953" s="19"/>
    </row>
    <row r="954" spans="1:4" s="83" customFormat="1" x14ac:dyDescent="0.2">
      <c r="A954" s="16"/>
      <c r="C954" s="19"/>
      <c r="D954" s="19"/>
    </row>
    <row r="955" spans="1:4" s="83" customFormat="1" x14ac:dyDescent="0.2">
      <c r="A955" s="16"/>
      <c r="C955" s="19"/>
      <c r="D955" s="19"/>
    </row>
    <row r="956" spans="1:4" s="83" customFormat="1" x14ac:dyDescent="0.2">
      <c r="A956" s="16"/>
      <c r="C956" s="19"/>
      <c r="D956" s="19"/>
    </row>
    <row r="957" spans="1:4" s="83" customFormat="1" x14ac:dyDescent="0.2">
      <c r="A957" s="16"/>
      <c r="C957" s="19"/>
      <c r="D957" s="19"/>
    </row>
    <row r="958" spans="1:4" s="83" customFormat="1" x14ac:dyDescent="0.2">
      <c r="A958" s="16"/>
      <c r="C958" s="19"/>
      <c r="D958" s="19"/>
    </row>
    <row r="959" spans="1:4" s="83" customFormat="1" x14ac:dyDescent="0.2">
      <c r="A959" s="16"/>
      <c r="C959" s="19"/>
      <c r="D959" s="19"/>
    </row>
    <row r="960" spans="1:4" s="83" customFormat="1" x14ac:dyDescent="0.2">
      <c r="A960" s="16"/>
      <c r="C960" s="19"/>
      <c r="D960" s="19"/>
    </row>
    <row r="961" spans="1:4" s="83" customFormat="1" x14ac:dyDescent="0.2">
      <c r="A961" s="16"/>
      <c r="C961" s="19"/>
      <c r="D961" s="19"/>
    </row>
    <row r="962" spans="1:4" s="83" customFormat="1" x14ac:dyDescent="0.2">
      <c r="A962" s="16"/>
      <c r="C962" s="19"/>
      <c r="D962" s="19"/>
    </row>
    <row r="963" spans="1:4" s="83" customFormat="1" x14ac:dyDescent="0.2">
      <c r="A963" s="16"/>
      <c r="C963" s="19"/>
      <c r="D963" s="19"/>
    </row>
    <row r="964" spans="1:4" s="83" customFormat="1" x14ac:dyDescent="0.2">
      <c r="A964" s="16"/>
      <c r="C964" s="19"/>
      <c r="D964" s="19"/>
    </row>
    <row r="965" spans="1:4" s="83" customFormat="1" x14ac:dyDescent="0.2">
      <c r="A965" s="16"/>
      <c r="C965" s="19"/>
      <c r="D965" s="19"/>
    </row>
    <row r="966" spans="1:4" s="83" customFormat="1" x14ac:dyDescent="0.2">
      <c r="A966" s="16"/>
      <c r="C966" s="19"/>
      <c r="D966" s="19"/>
    </row>
    <row r="967" spans="1:4" s="83" customFormat="1" x14ac:dyDescent="0.2">
      <c r="A967" s="16"/>
      <c r="C967" s="19"/>
      <c r="D967" s="19"/>
    </row>
    <row r="968" spans="1:4" s="83" customFormat="1" x14ac:dyDescent="0.2">
      <c r="A968" s="16"/>
      <c r="C968" s="19"/>
      <c r="D968" s="19"/>
    </row>
    <row r="969" spans="1:4" s="83" customFormat="1" x14ac:dyDescent="0.2">
      <c r="A969" s="16"/>
      <c r="C969" s="19"/>
      <c r="D969" s="19"/>
    </row>
    <row r="970" spans="1:4" s="83" customFormat="1" x14ac:dyDescent="0.2">
      <c r="A970" s="16"/>
      <c r="C970" s="19"/>
      <c r="D970" s="19"/>
    </row>
    <row r="971" spans="1:4" s="83" customFormat="1" x14ac:dyDescent="0.2">
      <c r="A971" s="16"/>
      <c r="C971" s="19"/>
      <c r="D971" s="19"/>
    </row>
    <row r="972" spans="1:4" s="83" customFormat="1" x14ac:dyDescent="0.2">
      <c r="A972" s="16"/>
      <c r="C972" s="19"/>
      <c r="D972" s="19"/>
    </row>
    <row r="973" spans="1:4" s="83" customFormat="1" x14ac:dyDescent="0.2">
      <c r="A973" s="16"/>
      <c r="C973" s="19"/>
      <c r="D973" s="19"/>
    </row>
    <row r="974" spans="1:4" s="83" customFormat="1" x14ac:dyDescent="0.2">
      <c r="A974" s="16"/>
      <c r="C974" s="19"/>
      <c r="D974" s="19"/>
    </row>
    <row r="975" spans="1:4" s="83" customFormat="1" x14ac:dyDescent="0.2">
      <c r="A975" s="16"/>
      <c r="C975" s="19"/>
      <c r="D975" s="19"/>
    </row>
    <row r="976" spans="1:4" s="83" customFormat="1" x14ac:dyDescent="0.2">
      <c r="A976" s="16"/>
      <c r="C976" s="19"/>
      <c r="D976" s="19"/>
    </row>
    <row r="977" spans="1:4" s="83" customFormat="1" x14ac:dyDescent="0.2">
      <c r="A977" s="16"/>
      <c r="C977" s="19"/>
      <c r="D977" s="19"/>
    </row>
    <row r="978" spans="1:4" s="83" customFormat="1" x14ac:dyDescent="0.2">
      <c r="A978" s="16"/>
      <c r="C978" s="19"/>
      <c r="D978" s="19"/>
    </row>
    <row r="979" spans="1:4" s="83" customFormat="1" x14ac:dyDescent="0.2">
      <c r="A979" s="16"/>
      <c r="C979" s="19"/>
      <c r="D979" s="19"/>
    </row>
    <row r="980" spans="1:4" s="83" customFormat="1" x14ac:dyDescent="0.2">
      <c r="A980" s="16"/>
      <c r="C980" s="19"/>
      <c r="D980" s="19"/>
    </row>
    <row r="981" spans="1:4" s="83" customFormat="1" x14ac:dyDescent="0.2">
      <c r="A981" s="16"/>
      <c r="C981" s="19"/>
      <c r="D981" s="19"/>
    </row>
    <row r="982" spans="1:4" s="83" customFormat="1" x14ac:dyDescent="0.2">
      <c r="A982" s="16"/>
      <c r="C982" s="19"/>
      <c r="D982" s="19"/>
    </row>
    <row r="983" spans="1:4" s="83" customFormat="1" x14ac:dyDescent="0.2">
      <c r="A983" s="16"/>
      <c r="C983" s="19"/>
      <c r="D983" s="19"/>
    </row>
    <row r="984" spans="1:4" s="83" customFormat="1" x14ac:dyDescent="0.2">
      <c r="A984" s="16"/>
      <c r="C984" s="19"/>
      <c r="D984" s="19"/>
    </row>
    <row r="985" spans="1:4" s="83" customFormat="1" x14ac:dyDescent="0.2">
      <c r="A985" s="16"/>
      <c r="C985" s="19"/>
      <c r="D985" s="19"/>
    </row>
    <row r="986" spans="1:4" s="83" customFormat="1" x14ac:dyDescent="0.2">
      <c r="A986" s="16"/>
      <c r="C986" s="19"/>
      <c r="D986" s="19"/>
    </row>
    <row r="987" spans="1:4" s="83" customFormat="1" x14ac:dyDescent="0.2">
      <c r="A987" s="16"/>
      <c r="C987" s="19"/>
      <c r="D987" s="19"/>
    </row>
    <row r="988" spans="1:4" s="83" customFormat="1" x14ac:dyDescent="0.2">
      <c r="A988" s="16"/>
      <c r="C988" s="19"/>
      <c r="D988" s="19"/>
    </row>
    <row r="989" spans="1:4" s="83" customFormat="1" x14ac:dyDescent="0.2">
      <c r="A989" s="16"/>
      <c r="C989" s="19"/>
      <c r="D989" s="19"/>
    </row>
    <row r="990" spans="1:4" s="83" customFormat="1" x14ac:dyDescent="0.2">
      <c r="A990" s="16"/>
      <c r="C990" s="19"/>
      <c r="D990" s="19"/>
    </row>
    <row r="991" spans="1:4" s="83" customFormat="1" x14ac:dyDescent="0.2">
      <c r="A991" s="16"/>
      <c r="C991" s="19"/>
      <c r="D991" s="19"/>
    </row>
    <row r="992" spans="1:4" s="83" customFormat="1" x14ac:dyDescent="0.2">
      <c r="A992" s="16"/>
      <c r="C992" s="19"/>
      <c r="D992" s="19"/>
    </row>
    <row r="993" spans="1:4" s="83" customFormat="1" x14ac:dyDescent="0.2">
      <c r="A993" s="16"/>
      <c r="C993" s="19"/>
      <c r="D993" s="19"/>
    </row>
    <row r="994" spans="1:4" s="83" customFormat="1" x14ac:dyDescent="0.2">
      <c r="A994" s="16"/>
      <c r="C994" s="19"/>
      <c r="D994" s="19"/>
    </row>
    <row r="995" spans="1:4" s="83" customFormat="1" x14ac:dyDescent="0.2">
      <c r="A995" s="16"/>
      <c r="C995" s="19"/>
      <c r="D995" s="19"/>
    </row>
    <row r="996" spans="1:4" s="83" customFormat="1" x14ac:dyDescent="0.2">
      <c r="A996" s="16"/>
      <c r="C996" s="19"/>
      <c r="D996" s="19"/>
    </row>
    <row r="997" spans="1:4" s="83" customFormat="1" x14ac:dyDescent="0.2">
      <c r="A997" s="16"/>
      <c r="C997" s="19"/>
      <c r="D997" s="19"/>
    </row>
    <row r="998" spans="1:4" s="83" customFormat="1" x14ac:dyDescent="0.2">
      <c r="A998" s="16"/>
      <c r="C998" s="19"/>
      <c r="D998" s="19"/>
    </row>
    <row r="999" spans="1:4" s="83" customFormat="1" x14ac:dyDescent="0.2">
      <c r="A999" s="16"/>
      <c r="C999" s="19"/>
      <c r="D999" s="19"/>
    </row>
    <row r="1000" spans="1:4" s="83" customFormat="1" x14ac:dyDescent="0.2">
      <c r="A1000" s="16"/>
      <c r="C1000" s="19"/>
      <c r="D1000" s="19"/>
    </row>
    <row r="1001" spans="1:4" s="83" customFormat="1" x14ac:dyDescent="0.2">
      <c r="A1001" s="16"/>
      <c r="C1001" s="19"/>
      <c r="D1001" s="19"/>
    </row>
  </sheetData>
  <conditionalFormatting sqref="C234:C376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6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rgb="FFC00000"/>
  </sheetPr>
  <dimension ref="A1:D374"/>
  <sheetViews>
    <sheetView zoomScale="150" zoomScaleNormal="150" workbookViewId="0">
      <pane ySplit="7" topLeftCell="A346" activePane="bottomLeft" state="frozen"/>
      <selection activeCell="AW1" sqref="AW1"/>
      <selection pane="bottomLeft" activeCell="R394" sqref="R394"/>
    </sheetView>
  </sheetViews>
  <sheetFormatPr baseColWidth="10" defaultColWidth="9.1640625" defaultRowHeight="15" x14ac:dyDescent="0.2"/>
  <cols>
    <col min="1" max="1" width="11.33203125" style="43" customWidth="1"/>
    <col min="2" max="2" width="23.1640625" style="81" customWidth="1"/>
    <col min="3" max="3" width="15.6640625" style="82" customWidth="1"/>
    <col min="4" max="4" width="10.6640625" style="83" bestFit="1" customWidth="1"/>
    <col min="5" max="20" width="9.1640625" style="83" customWidth="1"/>
    <col min="21" max="16384" width="9.1640625" style="83"/>
  </cols>
  <sheetData>
    <row r="1" spans="1:4" x14ac:dyDescent="0.2">
      <c r="A1" s="74" t="s">
        <v>33</v>
      </c>
    </row>
    <row r="6" spans="1:4" ht="16" customHeight="1" thickBot="1" x14ac:dyDescent="0.25"/>
    <row r="7" spans="1:4" ht="44.25" customHeight="1" thickBot="1" x14ac:dyDescent="0.25">
      <c r="A7" s="45" t="s">
        <v>553</v>
      </c>
      <c r="B7" s="44" t="s">
        <v>581</v>
      </c>
      <c r="C7" s="46" t="s">
        <v>555</v>
      </c>
    </row>
    <row r="8" spans="1:4" x14ac:dyDescent="0.2">
      <c r="A8" s="68">
        <v>32932</v>
      </c>
      <c r="B8" s="69">
        <f>VLOOKUP(A8,'China Production data'!$A$1:$C$512,2,FALSE)</f>
        <v>0.05</v>
      </c>
      <c r="D8" s="43">
        <f>EOMONTH(Table3[[#This Row],[Date]],-1)-1</f>
        <v>32903</v>
      </c>
    </row>
    <row r="9" spans="1:4" x14ac:dyDescent="0.2">
      <c r="A9" s="77">
        <v>32963</v>
      </c>
      <c r="B9" s="69">
        <f>VLOOKUP(A9,'China Production data'!$A$1:$C$512,2,FALSE)</f>
        <v>8.0000000000000002E-3</v>
      </c>
    </row>
    <row r="10" spans="1:4" x14ac:dyDescent="0.2">
      <c r="A10" s="76">
        <v>32993</v>
      </c>
      <c r="B10" s="69">
        <f>VLOOKUP(A10,'China Production data'!$A$1:$C$512,2,FALSE)</f>
        <v>1.7000000000000001E-2</v>
      </c>
    </row>
    <row r="11" spans="1:4" x14ac:dyDescent="0.2">
      <c r="A11" s="77">
        <v>33024</v>
      </c>
      <c r="B11" s="69">
        <f>VLOOKUP(A11,'China Production data'!$A$1:$C$512,2,FALSE)</f>
        <v>3.3000000000000002E-2</v>
      </c>
    </row>
    <row r="12" spans="1:4" x14ac:dyDescent="0.2">
      <c r="A12" s="76">
        <v>33054</v>
      </c>
      <c r="B12" s="69">
        <f>VLOOKUP(A12,'China Production data'!$A$1:$C$512,2,FALSE)</f>
        <v>0.05</v>
      </c>
    </row>
    <row r="13" spans="1:4" x14ac:dyDescent="0.2">
      <c r="A13" s="77">
        <v>33085</v>
      </c>
      <c r="B13" s="69">
        <f>VLOOKUP(A13,'China Production data'!$A$1:$C$512,2,FALSE)</f>
        <v>2.5000000000000001E-2</v>
      </c>
    </row>
    <row r="14" spans="1:4" x14ac:dyDescent="0.2">
      <c r="A14" s="76">
        <v>33116</v>
      </c>
      <c r="B14" s="69">
        <f>VLOOKUP(A14,'China Production data'!$A$1:$C$512,2,FALSE)</f>
        <v>4.2000000000000003E-2</v>
      </c>
    </row>
    <row r="15" spans="1:4" x14ac:dyDescent="0.2">
      <c r="A15" s="77">
        <v>33146</v>
      </c>
      <c r="B15" s="69">
        <f>VLOOKUP(A15,'China Production data'!$A$1:$C$512,2,FALSE)</f>
        <v>6.7000000000000004E-2</v>
      </c>
    </row>
    <row r="16" spans="1:4" x14ac:dyDescent="0.2">
      <c r="A16" s="76">
        <v>33177</v>
      </c>
      <c r="B16" s="69">
        <f>VLOOKUP(A16,'China Production data'!$A$1:$C$512,2,FALSE)</f>
        <v>0.109</v>
      </c>
    </row>
    <row r="17" spans="1:2" x14ac:dyDescent="0.2">
      <c r="A17" s="77">
        <v>33207</v>
      </c>
      <c r="B17" s="69">
        <f>VLOOKUP(A17,'China Production data'!$A$1:$C$512,2,FALSE)</f>
        <v>0.126</v>
      </c>
    </row>
    <row r="18" spans="1:2" x14ac:dyDescent="0.2">
      <c r="A18" s="76">
        <v>33238</v>
      </c>
      <c r="B18" s="69">
        <f>VLOOKUP(A18,'China Production data'!$A$1:$C$512,2,FALSE)</f>
        <v>0.126</v>
      </c>
    </row>
    <row r="19" spans="1:2" x14ac:dyDescent="0.2">
      <c r="A19" s="77">
        <v>33269</v>
      </c>
      <c r="B19" s="69">
        <f>VLOOKUP(A19,'China Production data'!$A$1:$C$512,2,FALSE)</f>
        <v>0.23499999999999999</v>
      </c>
    </row>
    <row r="20" spans="1:2" x14ac:dyDescent="0.2">
      <c r="A20" s="76">
        <v>33297</v>
      </c>
      <c r="B20" s="69">
        <f>VLOOKUP(A20,'China Production data'!$A$1:$C$512,2,FALSE)</f>
        <v>9.1999999999999998E-2</v>
      </c>
    </row>
    <row r="21" spans="1:2" x14ac:dyDescent="0.2">
      <c r="A21" s="77">
        <v>33328</v>
      </c>
      <c r="B21" s="69">
        <f>VLOOKUP(A21,'China Production data'!$A$1:$C$512,2,FALSE)</f>
        <v>0.109</v>
      </c>
    </row>
    <row r="22" spans="1:2" x14ac:dyDescent="0.2">
      <c r="A22" s="76">
        <v>33358</v>
      </c>
      <c r="B22" s="69">
        <f>VLOOKUP(A22,'China Production data'!$A$1:$C$512,2,FALSE)</f>
        <v>0.109</v>
      </c>
    </row>
    <row r="23" spans="1:2" x14ac:dyDescent="0.2">
      <c r="A23" s="77">
        <v>33389</v>
      </c>
      <c r="B23" s="69">
        <f>VLOOKUP(A23,'China Production data'!$A$1:$C$512,2,FALSE)</f>
        <v>0.109</v>
      </c>
    </row>
    <row r="24" spans="1:2" x14ac:dyDescent="0.2">
      <c r="A24" s="76">
        <v>33419</v>
      </c>
      <c r="B24" s="69">
        <f>VLOOKUP(A24,'China Production data'!$A$1:$C$512,2,FALSE)</f>
        <v>9.1999999999999998E-2</v>
      </c>
    </row>
    <row r="25" spans="1:2" x14ac:dyDescent="0.2">
      <c r="A25" s="77">
        <v>33450</v>
      </c>
      <c r="B25" s="69">
        <f>VLOOKUP(A25,'China Production data'!$A$1:$C$512,2,FALSE)</f>
        <v>0.109</v>
      </c>
    </row>
    <row r="26" spans="1:2" x14ac:dyDescent="0.2">
      <c r="A26" s="76">
        <v>33481</v>
      </c>
      <c r="B26" s="69">
        <f>VLOOKUP(A26,'China Production data'!$A$1:$C$512,2,FALSE)</f>
        <v>0.11799999999999999</v>
      </c>
    </row>
    <row r="27" spans="1:2" x14ac:dyDescent="0.2">
      <c r="A27" s="77">
        <v>33511</v>
      </c>
      <c r="B27" s="69">
        <f>VLOOKUP(A27,'China Production data'!$A$1:$C$512,2,FALSE)</f>
        <v>0.126</v>
      </c>
    </row>
    <row r="28" spans="1:2" x14ac:dyDescent="0.2">
      <c r="A28" s="76">
        <v>33542</v>
      </c>
      <c r="B28" s="69">
        <f>VLOOKUP(A28,'China Production data'!$A$1:$C$512,2,FALSE)</f>
        <v>0.11799999999999999</v>
      </c>
    </row>
    <row r="29" spans="1:2" x14ac:dyDescent="0.2">
      <c r="A29" s="77">
        <v>33572</v>
      </c>
      <c r="B29" s="69">
        <f>VLOOKUP(A29,'China Production data'!$A$1:$C$512,2,FALSE)</f>
        <v>7.5999999999999998E-2</v>
      </c>
    </row>
    <row r="30" spans="1:2" x14ac:dyDescent="0.2">
      <c r="A30" s="76">
        <v>33603</v>
      </c>
      <c r="B30" s="69">
        <f>VLOOKUP(A30,'China Production data'!$A$1:$C$512,2,FALSE)</f>
        <v>0.05</v>
      </c>
    </row>
    <row r="31" spans="1:2" x14ac:dyDescent="0.2">
      <c r="A31" s="77">
        <v>33634</v>
      </c>
      <c r="B31" s="69">
        <f>VLOOKUP(A31,'China Production data'!$A$1:$C$512,2,FALSE)</f>
        <v>0.109</v>
      </c>
    </row>
    <row r="32" spans="1:2" x14ac:dyDescent="0.2">
      <c r="A32" s="76">
        <v>33663</v>
      </c>
      <c r="B32" s="69">
        <f>VLOOKUP(A32,'China Production data'!$A$1:$C$512,2,FALSE)</f>
        <v>0.185</v>
      </c>
    </row>
    <row r="33" spans="1:2" x14ac:dyDescent="0.2">
      <c r="A33" s="77">
        <v>33694</v>
      </c>
      <c r="B33" s="69">
        <f>VLOOKUP(A33,'China Production data'!$A$1:$C$512,2,FALSE)</f>
        <v>0.16800000000000001</v>
      </c>
    </row>
    <row r="34" spans="1:2" x14ac:dyDescent="0.2">
      <c r="A34" s="76">
        <v>33724</v>
      </c>
      <c r="B34" s="69">
        <f>VLOOKUP(A34,'China Production data'!$A$1:$C$512,2,FALSE)</f>
        <v>0.151</v>
      </c>
    </row>
    <row r="35" spans="1:2" x14ac:dyDescent="0.2">
      <c r="A35" s="77">
        <v>33755</v>
      </c>
      <c r="B35" s="69">
        <f>VLOOKUP(A35,'China Production data'!$A$1:$C$512,2,FALSE)</f>
        <v>0.14299999999999999</v>
      </c>
    </row>
    <row r="36" spans="1:2" x14ac:dyDescent="0.2">
      <c r="A36" s="76">
        <v>33785</v>
      </c>
      <c r="B36" s="69">
        <f>VLOOKUP(A36,'China Production data'!$A$1:$C$512,2,FALSE)</f>
        <v>0.16800000000000001</v>
      </c>
    </row>
    <row r="37" spans="1:2" x14ac:dyDescent="0.2">
      <c r="A37" s="77">
        <v>33816</v>
      </c>
      <c r="B37" s="69">
        <f>VLOOKUP(A37,'China Production data'!$A$1:$C$512,2,FALSE)</f>
        <v>0.193</v>
      </c>
    </row>
    <row r="38" spans="1:2" x14ac:dyDescent="0.2">
      <c r="A38" s="76">
        <v>33847</v>
      </c>
      <c r="B38" s="69">
        <f>VLOOKUP(A38,'China Production data'!$A$1:$C$512,2,FALSE)</f>
        <v>0.17599999999999999</v>
      </c>
    </row>
    <row r="39" spans="1:2" x14ac:dyDescent="0.2">
      <c r="A39" s="77">
        <v>33877</v>
      </c>
      <c r="B39" s="69">
        <f>VLOOKUP(A39,'China Production data'!$A$1:$C$512,2,FALSE)</f>
        <v>0.17599999999999999</v>
      </c>
    </row>
    <row r="40" spans="1:2" x14ac:dyDescent="0.2">
      <c r="A40" s="76">
        <v>33908</v>
      </c>
      <c r="B40" s="69">
        <f>VLOOKUP(A40,'China Production data'!$A$1:$C$512,2,FALSE)</f>
        <v>0.185</v>
      </c>
    </row>
    <row r="41" spans="1:2" x14ac:dyDescent="0.2">
      <c r="A41" s="77">
        <v>33938</v>
      </c>
      <c r="B41" s="69">
        <f>VLOOKUP(A41,'China Production data'!$A$1:$C$512,2,FALSE)</f>
        <v>0.218</v>
      </c>
    </row>
    <row r="42" spans="1:2" x14ac:dyDescent="0.2">
      <c r="A42" s="76">
        <v>33969</v>
      </c>
      <c r="B42" s="69">
        <f>VLOOKUP(A42,'China Production data'!$A$1:$C$512,2,FALSE)</f>
        <v>0.26900000000000002</v>
      </c>
    </row>
    <row r="43" spans="1:2" x14ac:dyDescent="0.2">
      <c r="A43" s="77">
        <v>34000</v>
      </c>
      <c r="B43" s="69">
        <f>VLOOKUP(A43,'China Production data'!$A$1:$C$512,2,FALSE)</f>
        <v>8.4000000000000005E-2</v>
      </c>
    </row>
    <row r="44" spans="1:2" x14ac:dyDescent="0.2">
      <c r="A44" s="76">
        <v>34028</v>
      </c>
      <c r="B44" s="69">
        <f>VLOOKUP(A44,'China Production data'!$A$1:$C$512,2,FALSE)</f>
        <v>0.27700000000000002</v>
      </c>
    </row>
    <row r="45" spans="1:2" x14ac:dyDescent="0.2">
      <c r="A45" s="77">
        <v>34059</v>
      </c>
      <c r="B45" s="69">
        <f>VLOOKUP(A45,'China Production data'!$A$1:$C$512,2,FALSE)</f>
        <v>0.218</v>
      </c>
    </row>
    <row r="46" spans="1:2" x14ac:dyDescent="0.2">
      <c r="A46" s="76">
        <v>34089</v>
      </c>
      <c r="B46" s="69">
        <f>VLOOKUP(A46,'China Production data'!$A$1:$C$512,2,FALSE)</f>
        <v>0.21</v>
      </c>
    </row>
    <row r="47" spans="1:2" x14ac:dyDescent="0.2">
      <c r="A47" s="77">
        <v>34120</v>
      </c>
      <c r="B47" s="69">
        <f>VLOOKUP(A47,'China Production data'!$A$1:$C$512,2,FALSE)</f>
        <v>0.22700000000000001</v>
      </c>
    </row>
    <row r="48" spans="1:2" x14ac:dyDescent="0.2">
      <c r="A48" s="76">
        <v>34150</v>
      </c>
      <c r="B48" s="69">
        <f>VLOOKUP(A48,'China Production data'!$A$1:$C$512,2,FALSE)</f>
        <v>0.252</v>
      </c>
    </row>
    <row r="49" spans="1:2" x14ac:dyDescent="0.2">
      <c r="A49" s="77">
        <v>34181</v>
      </c>
      <c r="B49" s="69">
        <f>VLOOKUP(A49,'China Production data'!$A$1:$C$512,2,FALSE)</f>
        <v>0.21</v>
      </c>
    </row>
    <row r="50" spans="1:2" x14ac:dyDescent="0.2">
      <c r="A50" s="76">
        <v>34212</v>
      </c>
      <c r="B50" s="69">
        <f>VLOOKUP(A50,'China Production data'!$A$1:$C$512,2,FALSE)</f>
        <v>0.193</v>
      </c>
    </row>
    <row r="51" spans="1:2" x14ac:dyDescent="0.2">
      <c r="A51" s="77">
        <v>34242</v>
      </c>
      <c r="B51" s="69">
        <f>VLOOKUP(A51,'China Production data'!$A$1:$C$512,2,FALSE)</f>
        <v>0.16</v>
      </c>
    </row>
    <row r="52" spans="1:2" x14ac:dyDescent="0.2">
      <c r="A52" s="76">
        <v>34273</v>
      </c>
      <c r="B52" s="69">
        <f>VLOOKUP(A52,'China Production data'!$A$1:$C$512,2,FALSE)</f>
        <v>0.13400000000000001</v>
      </c>
    </row>
    <row r="53" spans="1:2" x14ac:dyDescent="0.2">
      <c r="A53" s="77">
        <v>34303</v>
      </c>
      <c r="B53" s="69">
        <f>VLOOKUP(A53,'China Production data'!$A$1:$C$512,2,FALSE)</f>
        <v>0.16</v>
      </c>
    </row>
    <row r="54" spans="1:2" x14ac:dyDescent="0.2">
      <c r="A54" s="76">
        <v>34334</v>
      </c>
      <c r="B54" s="69">
        <f>VLOOKUP(A54,'China Production data'!$A$1:$C$512,2,FALSE)</f>
        <v>0.252</v>
      </c>
    </row>
    <row r="55" spans="1:2" x14ac:dyDescent="0.2">
      <c r="A55" s="77">
        <v>34365</v>
      </c>
      <c r="B55" s="69">
        <f>VLOOKUP(A55,'China Production data'!$A$1:$C$512,2,FALSE)</f>
        <v>0.27700000000000002</v>
      </c>
    </row>
    <row r="56" spans="1:2" x14ac:dyDescent="0.2">
      <c r="A56" s="76">
        <v>34393</v>
      </c>
      <c r="B56" s="69">
        <f>VLOOKUP(A56,'China Production data'!$A$1:$C$512,2,FALSE)</f>
        <v>3.4000000000000002E-2</v>
      </c>
    </row>
    <row r="57" spans="1:2" x14ac:dyDescent="0.2">
      <c r="A57" s="77">
        <v>34424</v>
      </c>
      <c r="B57" s="69">
        <f>VLOOKUP(A57,'China Production data'!$A$1:$C$512,2,FALSE)</f>
        <v>0.16</v>
      </c>
    </row>
    <row r="58" spans="1:2" x14ac:dyDescent="0.2">
      <c r="A58" s="76">
        <v>34454</v>
      </c>
      <c r="B58" s="69">
        <f>VLOOKUP(A58,'China Production data'!$A$1:$C$512,2,FALSE)</f>
        <v>0.16800000000000001</v>
      </c>
    </row>
    <row r="59" spans="1:2" x14ac:dyDescent="0.2">
      <c r="A59" s="77">
        <v>34485</v>
      </c>
      <c r="B59" s="69">
        <f>VLOOKUP(A59,'China Production data'!$A$1:$C$512,2,FALSE)</f>
        <v>0.17599999999999999</v>
      </c>
    </row>
    <row r="60" spans="1:2" x14ac:dyDescent="0.2">
      <c r="A60" s="76">
        <v>34515</v>
      </c>
      <c r="B60" s="69">
        <f>VLOOKUP(A60,'China Production data'!$A$1:$C$512,2,FALSE)</f>
        <v>0.151</v>
      </c>
    </row>
    <row r="61" spans="1:2" x14ac:dyDescent="0.2">
      <c r="A61" s="77">
        <v>34546</v>
      </c>
      <c r="B61" s="69">
        <f>VLOOKUP(A61,'China Production data'!$A$1:$C$512,2,FALSE)</f>
        <v>0.151</v>
      </c>
    </row>
    <row r="62" spans="1:2" x14ac:dyDescent="0.2">
      <c r="A62" s="76">
        <v>34577</v>
      </c>
      <c r="B62" s="69">
        <f>VLOOKUP(A62,'China Production data'!$A$1:$C$512,2,FALSE)</f>
        <v>0.29399999999999998</v>
      </c>
    </row>
    <row r="63" spans="1:2" x14ac:dyDescent="0.2">
      <c r="A63" s="77">
        <v>34607</v>
      </c>
      <c r="B63" s="69">
        <f>VLOOKUP(A63,'China Production data'!$A$1:$C$512,2,FALSE)</f>
        <v>0.218</v>
      </c>
    </row>
    <row r="64" spans="1:2" x14ac:dyDescent="0.2">
      <c r="A64" s="76">
        <v>34638</v>
      </c>
      <c r="B64" s="69">
        <f>VLOOKUP(A64,'China Production data'!$A$1:$C$512,2,FALSE)</f>
        <v>0.24399999999999999</v>
      </c>
    </row>
    <row r="65" spans="1:2" x14ac:dyDescent="0.2">
      <c r="A65" s="77">
        <v>34668</v>
      </c>
      <c r="B65" s="69">
        <f>VLOOKUP(A65,'China Production data'!$A$1:$C$512,2,FALSE)</f>
        <v>0.23499999999999999</v>
      </c>
    </row>
    <row r="66" spans="1:2" x14ac:dyDescent="0.2">
      <c r="A66" s="76">
        <v>34699</v>
      </c>
      <c r="B66" s="69">
        <f>VLOOKUP(A66,'China Production data'!$A$1:$C$512,2,FALSE)</f>
        <v>0.185</v>
      </c>
    </row>
    <row r="67" spans="1:2" x14ac:dyDescent="0.2">
      <c r="A67" s="77">
        <v>34730</v>
      </c>
      <c r="B67" s="69">
        <f>VLOOKUP(A67,'China Production data'!$A$1:$C$512,2,FALSE)</f>
        <v>0.114</v>
      </c>
    </row>
    <row r="68" spans="1:2" x14ac:dyDescent="0.2">
      <c r="A68" s="76">
        <v>34758</v>
      </c>
      <c r="B68" s="69">
        <f>VLOOKUP(A68,'China Production data'!$A$1:$C$512,2,FALSE)</f>
        <v>0.155</v>
      </c>
    </row>
    <row r="69" spans="1:2" x14ac:dyDescent="0.2">
      <c r="A69" s="77">
        <v>34789</v>
      </c>
      <c r="B69" s="69">
        <f>VLOOKUP(A69,'China Production data'!$A$1:$C$512,2,FALSE)</f>
        <v>0.16400000000000001</v>
      </c>
    </row>
    <row r="70" spans="1:2" x14ac:dyDescent="0.2">
      <c r="A70" s="76">
        <v>34819</v>
      </c>
      <c r="B70" s="69">
        <f>VLOOKUP(A70,'China Production data'!$A$1:$C$512,2,FALSE)</f>
        <v>0.154</v>
      </c>
    </row>
    <row r="71" spans="1:2" x14ac:dyDescent="0.2">
      <c r="A71" s="77">
        <v>34850</v>
      </c>
      <c r="B71" s="69">
        <f>VLOOKUP(A71,'China Production data'!$A$1:$C$512,2,FALSE)</f>
        <v>0.13100000000000001</v>
      </c>
    </row>
    <row r="72" spans="1:2" x14ac:dyDescent="0.2">
      <c r="A72" s="76">
        <v>34880</v>
      </c>
      <c r="B72" s="69">
        <f>VLOOKUP(A72,'China Production data'!$A$1:$C$512,2,FALSE)</f>
        <v>0.13900000000000001</v>
      </c>
    </row>
    <row r="73" spans="1:2" x14ac:dyDescent="0.2">
      <c r="A73" s="77">
        <v>34911</v>
      </c>
      <c r="B73" s="69">
        <f>VLOOKUP(A73,'China Production data'!$A$1:$C$512,2,FALSE)</f>
        <v>0.13600000000000001</v>
      </c>
    </row>
    <row r="74" spans="1:2" x14ac:dyDescent="0.2">
      <c r="A74" s="76">
        <v>34942</v>
      </c>
      <c r="B74" s="69">
        <f>VLOOKUP(A74,'China Production data'!$A$1:$C$512,2,FALSE)</f>
        <v>0.11799999999999999</v>
      </c>
    </row>
    <row r="75" spans="1:2" x14ac:dyDescent="0.2">
      <c r="A75" s="77">
        <v>34972</v>
      </c>
      <c r="B75" s="69">
        <f>VLOOKUP(A75,'China Production data'!$A$1:$C$512,2,FALSE)</f>
        <v>0.114</v>
      </c>
    </row>
    <row r="76" spans="1:2" x14ac:dyDescent="0.2">
      <c r="A76" s="76">
        <v>35003</v>
      </c>
      <c r="B76" s="69">
        <f>VLOOKUP(A76,'China Production data'!$A$1:$C$512,2,FALSE)</f>
        <v>0.129</v>
      </c>
    </row>
    <row r="77" spans="1:2" x14ac:dyDescent="0.2">
      <c r="A77" s="77">
        <v>35033</v>
      </c>
      <c r="B77" s="69">
        <f>VLOOKUP(A77,'China Production data'!$A$1:$C$512,2,FALSE)</f>
        <v>0.121</v>
      </c>
    </row>
    <row r="78" spans="1:2" x14ac:dyDescent="0.2">
      <c r="A78" s="76">
        <v>35064</v>
      </c>
      <c r="B78" s="69">
        <f>VLOOKUP(A78,'China Production data'!$A$1:$C$512,2,FALSE)</f>
        <v>0.14899999999999999</v>
      </c>
    </row>
    <row r="79" spans="1:2" x14ac:dyDescent="0.2">
      <c r="A79" s="77">
        <v>35095</v>
      </c>
      <c r="B79" s="69">
        <f>VLOOKUP(A79,'China Production data'!$A$1:$C$512,2,FALSE)</f>
        <v>0.16900000000000001</v>
      </c>
    </row>
    <row r="80" spans="1:2" x14ac:dyDescent="0.2">
      <c r="A80" s="76">
        <v>35124</v>
      </c>
      <c r="B80" s="69">
        <f>VLOOKUP(A80,'China Production data'!$A$1:$C$512,2,FALSE)</f>
        <v>0.122</v>
      </c>
    </row>
    <row r="81" spans="1:2" x14ac:dyDescent="0.2">
      <c r="A81" s="77">
        <v>35155</v>
      </c>
      <c r="B81" s="69">
        <f>VLOOKUP(A81,'China Production data'!$A$1:$C$512,2,FALSE)</f>
        <v>0.122</v>
      </c>
    </row>
    <row r="82" spans="1:2" x14ac:dyDescent="0.2">
      <c r="A82" s="76">
        <v>35185</v>
      </c>
      <c r="B82" s="69">
        <f>VLOOKUP(A82,'China Production data'!$A$1:$C$512,2,FALSE)</f>
        <v>0.13700000000000001</v>
      </c>
    </row>
    <row r="83" spans="1:2" x14ac:dyDescent="0.2">
      <c r="A83" s="77">
        <v>35216</v>
      </c>
      <c r="B83" s="69">
        <f>VLOOKUP(A83,'China Production data'!$A$1:$C$512,2,FALSE)</f>
        <v>0.13100000000000001</v>
      </c>
    </row>
    <row r="84" spans="1:2" x14ac:dyDescent="0.2">
      <c r="A84" s="76">
        <v>35246</v>
      </c>
      <c r="B84" s="69">
        <f>VLOOKUP(A84,'China Production data'!$A$1:$C$512,2,FALSE)</f>
        <v>0.13800000000000001</v>
      </c>
    </row>
    <row r="85" spans="1:2" x14ac:dyDescent="0.2">
      <c r="A85" s="77">
        <v>35277</v>
      </c>
      <c r="B85" s="69">
        <f>VLOOKUP(A85,'China Production data'!$A$1:$C$512,2,FALSE)</f>
        <v>0.122</v>
      </c>
    </row>
    <row r="86" spans="1:2" x14ac:dyDescent="0.2">
      <c r="A86" s="76">
        <v>35308</v>
      </c>
      <c r="B86" s="69">
        <f>VLOOKUP(A86,'China Production data'!$A$1:$C$512,2,FALSE)</f>
        <v>0.106</v>
      </c>
    </row>
    <row r="87" spans="1:2" x14ac:dyDescent="0.2">
      <c r="A87" s="77">
        <v>35338</v>
      </c>
      <c r="B87" s="69">
        <f>VLOOKUP(A87,'China Production data'!$A$1:$C$512,2,FALSE)</f>
        <v>0.13700000000000001</v>
      </c>
    </row>
    <row r="88" spans="1:2" x14ac:dyDescent="0.2">
      <c r="A88" s="76">
        <v>35369</v>
      </c>
      <c r="B88" s="69">
        <f>VLOOKUP(A88,'China Production data'!$A$1:$C$512,2,FALSE)</f>
        <v>0.13300000000000001</v>
      </c>
    </row>
    <row r="89" spans="1:2" x14ac:dyDescent="0.2">
      <c r="A89" s="77">
        <v>35399</v>
      </c>
      <c r="B89" s="69">
        <f>VLOOKUP(A89,'China Production data'!$A$1:$C$512,2,FALSE)</f>
        <v>0.13400000000000001</v>
      </c>
    </row>
    <row r="90" spans="1:2" x14ac:dyDescent="0.2">
      <c r="A90" s="76">
        <v>35430</v>
      </c>
      <c r="B90" s="69">
        <f>VLOOKUP(A90,'China Production data'!$A$1:$C$512,2,FALSE)</f>
        <v>0.14000000000000001</v>
      </c>
    </row>
    <row r="91" spans="1:2" x14ac:dyDescent="0.2">
      <c r="A91" s="77">
        <v>35461</v>
      </c>
      <c r="B91" s="69">
        <f>VLOOKUP(A91,'China Production data'!$A$1:$C$512,2,FALSE)</f>
        <v>0.10299999999999999</v>
      </c>
    </row>
    <row r="92" spans="1:2" x14ac:dyDescent="0.2">
      <c r="A92" s="76">
        <v>35489</v>
      </c>
      <c r="B92" s="69">
        <f>VLOOKUP(A92,'China Production data'!$A$1:$C$512,2,FALSE)</f>
        <v>0.104</v>
      </c>
    </row>
    <row r="93" spans="1:2" x14ac:dyDescent="0.2">
      <c r="A93" s="77">
        <v>35520</v>
      </c>
      <c r="B93" s="69">
        <f>VLOOKUP(A93,'China Production data'!$A$1:$C$512,2,FALSE)</f>
        <v>0.13500000000000001</v>
      </c>
    </row>
    <row r="94" spans="1:2" x14ac:dyDescent="0.2">
      <c r="A94" s="76">
        <v>35550</v>
      </c>
      <c r="B94" s="69">
        <f>VLOOKUP(A94,'China Production data'!$A$1:$C$512,2,FALSE)</f>
        <v>0.11899999999999999</v>
      </c>
    </row>
    <row r="95" spans="1:2" x14ac:dyDescent="0.2">
      <c r="A95" s="77">
        <v>35581</v>
      </c>
      <c r="B95" s="69">
        <f>VLOOKUP(A95,'China Production data'!$A$1:$C$512,2,FALSE)</f>
        <v>0.11899999999999999</v>
      </c>
    </row>
    <row r="96" spans="1:2" x14ac:dyDescent="0.2">
      <c r="A96" s="76">
        <v>35611</v>
      </c>
      <c r="B96" s="69">
        <f>VLOOKUP(A96,'China Production data'!$A$1:$C$512,2,FALSE)</f>
        <v>0.121</v>
      </c>
    </row>
    <row r="97" spans="1:2" x14ac:dyDescent="0.2">
      <c r="A97" s="77">
        <v>35642</v>
      </c>
      <c r="B97" s="69">
        <f>VLOOKUP(A97,'China Production data'!$A$1:$C$512,2,FALSE)</f>
        <v>8.4000000000000005E-2</v>
      </c>
    </row>
    <row r="98" spans="1:2" x14ac:dyDescent="0.2">
      <c r="A98" s="76">
        <v>35673</v>
      </c>
      <c r="B98" s="69">
        <f>VLOOKUP(A98,'China Production data'!$A$1:$C$512,2,FALSE)</f>
        <v>0.109</v>
      </c>
    </row>
    <row r="99" spans="1:2" x14ac:dyDescent="0.2">
      <c r="A99" s="77">
        <v>35703</v>
      </c>
      <c r="B99" s="69">
        <f>VLOOKUP(A99,'China Production data'!$A$1:$C$512,2,FALSE)</f>
        <v>0.111</v>
      </c>
    </row>
    <row r="100" spans="1:2" x14ac:dyDescent="0.2">
      <c r="A100" s="76">
        <v>35734</v>
      </c>
      <c r="B100" s="69">
        <f>VLOOKUP(A100,'China Production data'!$A$1:$C$512,2,FALSE)</f>
        <v>0.11799999999999999</v>
      </c>
    </row>
    <row r="101" spans="1:2" x14ac:dyDescent="0.2">
      <c r="A101" s="77">
        <v>35764</v>
      </c>
      <c r="B101" s="69">
        <f>VLOOKUP(A101,'China Production data'!$A$1:$C$512,2,FALSE)</f>
        <v>0.11600000000000001</v>
      </c>
    </row>
    <row r="102" spans="1:2" x14ac:dyDescent="0.2">
      <c r="A102" s="76">
        <v>35795</v>
      </c>
      <c r="B102" s="69">
        <f>VLOOKUP(A102,'China Production data'!$A$1:$C$512,2,FALSE)</f>
        <v>9.1999999999999998E-2</v>
      </c>
    </row>
    <row r="103" spans="1:2" x14ac:dyDescent="0.2">
      <c r="A103" s="77">
        <v>35826</v>
      </c>
      <c r="B103" s="69">
        <f>VLOOKUP(A103,'China Production data'!$A$1:$C$512,2,FALSE)</f>
        <v>1.7999999999999999E-2</v>
      </c>
    </row>
    <row r="104" spans="1:2" x14ac:dyDescent="0.2">
      <c r="A104" s="76">
        <v>35854</v>
      </c>
      <c r="B104" s="69">
        <f>VLOOKUP(A104,'China Production data'!$A$1:$C$512,2,FALSE)</f>
        <v>9.5000000000000001E-2</v>
      </c>
    </row>
    <row r="105" spans="1:2" x14ac:dyDescent="0.2">
      <c r="A105" s="77">
        <v>35885</v>
      </c>
      <c r="B105" s="69">
        <f>VLOOKUP(A105,'China Production data'!$A$1:$C$512,2,FALSE)</f>
        <v>0.09</v>
      </c>
    </row>
    <row r="106" spans="1:2" x14ac:dyDescent="0.2">
      <c r="A106" s="76">
        <v>35915</v>
      </c>
      <c r="B106" s="69">
        <f>VLOOKUP(A106,'China Production data'!$A$1:$C$512,2,FALSE)</f>
        <v>7.1999999999999995E-2</v>
      </c>
    </row>
    <row r="107" spans="1:2" x14ac:dyDescent="0.2">
      <c r="A107" s="77">
        <v>35946</v>
      </c>
      <c r="B107" s="69">
        <f>VLOOKUP(A107,'China Production data'!$A$1:$C$512,2,FALSE)</f>
        <v>0.08</v>
      </c>
    </row>
    <row r="108" spans="1:2" x14ac:dyDescent="0.2">
      <c r="A108" s="76">
        <v>35976</v>
      </c>
      <c r="B108" s="69">
        <f>VLOOKUP(A108,'China Production data'!$A$1:$C$512,2,FALSE)</f>
        <v>7.9000000000000001E-2</v>
      </c>
    </row>
    <row r="109" spans="1:2" x14ac:dyDescent="0.2">
      <c r="A109" s="77">
        <v>36007</v>
      </c>
      <c r="B109" s="69">
        <f>VLOOKUP(A109,'China Production data'!$A$1:$C$512,2,FALSE)</f>
        <v>7.5999999999999998E-2</v>
      </c>
    </row>
    <row r="110" spans="1:2" x14ac:dyDescent="0.2">
      <c r="A110" s="76">
        <v>36038</v>
      </c>
      <c r="B110" s="69">
        <f>VLOOKUP(A110,'China Production data'!$A$1:$C$512,2,FALSE)</f>
        <v>7.9000000000000001E-2</v>
      </c>
    </row>
    <row r="111" spans="1:2" x14ac:dyDescent="0.2">
      <c r="A111" s="77">
        <v>36068</v>
      </c>
      <c r="B111" s="69">
        <f>VLOOKUP(A111,'China Production data'!$A$1:$C$512,2,FALSE)</f>
        <v>0.10199999999999999</v>
      </c>
    </row>
    <row r="112" spans="1:2" x14ac:dyDescent="0.2">
      <c r="A112" s="76">
        <v>36099</v>
      </c>
      <c r="B112" s="69">
        <f>VLOOKUP(A112,'China Production data'!$A$1:$C$512,2,FALSE)</f>
        <v>0.106</v>
      </c>
    </row>
    <row r="113" spans="1:2" x14ac:dyDescent="0.2">
      <c r="A113" s="77">
        <v>36129</v>
      </c>
      <c r="B113" s="69">
        <f>VLOOKUP(A113,'China Production data'!$A$1:$C$512,2,FALSE)</f>
        <v>0.11</v>
      </c>
    </row>
    <row r="114" spans="1:2" x14ac:dyDescent="0.2">
      <c r="A114" s="76">
        <v>36160</v>
      </c>
      <c r="B114" s="69">
        <f>VLOOKUP(A114,'China Production data'!$A$1:$C$512,2,FALSE)</f>
        <v>0.115</v>
      </c>
    </row>
    <row r="115" spans="1:2" x14ac:dyDescent="0.2">
      <c r="A115" s="77">
        <v>36191</v>
      </c>
      <c r="B115" s="69">
        <f>VLOOKUP(A115,'China Production data'!$A$1:$C$512,2,FALSE)</f>
        <v>0.17899999999999999</v>
      </c>
    </row>
    <row r="116" spans="1:2" x14ac:dyDescent="0.2">
      <c r="A116" s="76">
        <v>36219</v>
      </c>
      <c r="B116" s="69">
        <f>VLOOKUP(A116,'China Production data'!$A$1:$C$512,2,FALSE)</f>
        <v>2.1000000000000001E-2</v>
      </c>
    </row>
    <row r="117" spans="1:2" x14ac:dyDescent="0.2">
      <c r="A117" s="77">
        <v>36250</v>
      </c>
      <c r="B117" s="69">
        <f>VLOOKUP(A117,'China Production data'!$A$1:$C$512,2,FALSE)</f>
        <v>0.09</v>
      </c>
    </row>
    <row r="118" spans="1:2" x14ac:dyDescent="0.2">
      <c r="A118" s="76">
        <v>36280</v>
      </c>
      <c r="B118" s="69">
        <f>VLOOKUP(A118,'China Production data'!$A$1:$C$512,2,FALSE)</f>
        <v>9.0999999999999998E-2</v>
      </c>
    </row>
    <row r="119" spans="1:2" x14ac:dyDescent="0.2">
      <c r="A119" s="77">
        <v>36311</v>
      </c>
      <c r="B119" s="69">
        <f>VLOOKUP(A119,'China Production data'!$A$1:$C$512,2,FALSE)</f>
        <v>8.8999999999999996E-2</v>
      </c>
    </row>
    <row r="120" spans="1:2" x14ac:dyDescent="0.2">
      <c r="A120" s="76">
        <v>36341</v>
      </c>
      <c r="B120" s="69">
        <f>VLOOKUP(A120,'China Production data'!$A$1:$C$512,2,FALSE)</f>
        <v>9.0999999999999998E-2</v>
      </c>
    </row>
    <row r="121" spans="1:2" x14ac:dyDescent="0.2">
      <c r="A121" s="77">
        <v>36372</v>
      </c>
      <c r="B121" s="69">
        <f>VLOOKUP(A121,'China Production data'!$A$1:$C$512,2,FALSE)</f>
        <v>9.2999999999999999E-2</v>
      </c>
    </row>
    <row r="122" spans="1:2" x14ac:dyDescent="0.2">
      <c r="A122" s="76">
        <v>36403</v>
      </c>
      <c r="B122" s="69">
        <f>VLOOKUP(A122,'China Production data'!$A$1:$C$512,2,FALSE)</f>
        <v>9.5000000000000001E-2</v>
      </c>
    </row>
    <row r="123" spans="1:2" x14ac:dyDescent="0.2">
      <c r="A123" s="77">
        <v>36433</v>
      </c>
      <c r="B123" s="69">
        <f>VLOOKUP(A123,'China Production data'!$A$1:$C$512,2,FALSE)</f>
        <v>8.2000000000000003E-2</v>
      </c>
    </row>
    <row r="124" spans="1:2" x14ac:dyDescent="0.2">
      <c r="A124" s="76">
        <v>36464</v>
      </c>
      <c r="B124" s="69">
        <f>VLOOKUP(A124,'China Production data'!$A$1:$C$512,2,FALSE)</f>
        <v>7.0000000000000007E-2</v>
      </c>
    </row>
    <row r="125" spans="1:2" x14ac:dyDescent="0.2">
      <c r="A125" s="77">
        <v>36494</v>
      </c>
      <c r="B125" s="69">
        <f>VLOOKUP(A125,'China Production data'!$A$1:$C$512,2,FALSE)</f>
        <v>7.5999999999999998E-2</v>
      </c>
    </row>
    <row r="126" spans="1:2" x14ac:dyDescent="0.2">
      <c r="A126" s="76">
        <v>36525</v>
      </c>
      <c r="B126" s="69">
        <f>VLOOKUP(A126,'China Production data'!$A$1:$C$512,2,FALSE)</f>
        <v>7.3999999999999996E-2</v>
      </c>
    </row>
    <row r="127" spans="1:2" x14ac:dyDescent="0.2">
      <c r="A127" s="77">
        <v>36556</v>
      </c>
      <c r="B127" s="69">
        <f>VLOOKUP(A127,'China Production data'!$A$1:$C$512,2,FALSE)</f>
        <v>8.8999999999999996E-2</v>
      </c>
    </row>
    <row r="128" spans="1:2" x14ac:dyDescent="0.2">
      <c r="A128" s="76">
        <v>36585</v>
      </c>
      <c r="B128" s="69">
        <f>VLOOKUP(A128,'China Production data'!$A$1:$C$512,2,FALSE)</f>
        <v>0.12</v>
      </c>
    </row>
    <row r="129" spans="1:2" x14ac:dyDescent="0.2">
      <c r="A129" s="77">
        <v>36616</v>
      </c>
      <c r="B129" s="69">
        <f>VLOOKUP(A129,'China Production data'!$A$1:$C$512,2,FALSE)</f>
        <v>0.11899999999999999</v>
      </c>
    </row>
    <row r="130" spans="1:2" x14ac:dyDescent="0.2">
      <c r="A130" s="76">
        <v>36646</v>
      </c>
      <c r="B130" s="69">
        <f>VLOOKUP(A130,'China Production data'!$A$1:$C$512,2,FALSE)</f>
        <v>0.114</v>
      </c>
    </row>
    <row r="131" spans="1:2" x14ac:dyDescent="0.2">
      <c r="A131" s="77">
        <v>36677</v>
      </c>
      <c r="B131" s="69">
        <f>VLOOKUP(A131,'China Production data'!$A$1:$C$512,2,FALSE)</f>
        <v>0.115</v>
      </c>
    </row>
    <row r="132" spans="1:2" x14ac:dyDescent="0.2">
      <c r="A132" s="76">
        <v>36707</v>
      </c>
      <c r="B132" s="69">
        <f>VLOOKUP(A132,'China Production data'!$A$1:$C$512,2,FALSE)</f>
        <v>0.122</v>
      </c>
    </row>
    <row r="133" spans="1:2" x14ac:dyDescent="0.2">
      <c r="A133" s="77">
        <v>36738</v>
      </c>
      <c r="B133" s="69">
        <f>VLOOKUP(A133,'China Production data'!$A$1:$C$512,2,FALSE)</f>
        <v>0.128</v>
      </c>
    </row>
    <row r="134" spans="1:2" x14ac:dyDescent="0.2">
      <c r="A134" s="76">
        <v>36769</v>
      </c>
      <c r="B134" s="69">
        <f>VLOOKUP(A134,'China Production data'!$A$1:$C$512,2,FALSE)</f>
        <v>0.128</v>
      </c>
    </row>
    <row r="135" spans="1:2" x14ac:dyDescent="0.2">
      <c r="A135" s="77">
        <v>36799</v>
      </c>
      <c r="B135" s="69">
        <f>VLOOKUP(A135,'China Production data'!$A$1:$C$512,2,FALSE)</f>
        <v>0.12</v>
      </c>
    </row>
    <row r="136" spans="1:2" x14ac:dyDescent="0.2">
      <c r="A136" s="76">
        <v>36830</v>
      </c>
      <c r="B136" s="69">
        <f>VLOOKUP(A136,'China Production data'!$A$1:$C$512,2,FALSE)</f>
        <v>0.114</v>
      </c>
    </row>
    <row r="137" spans="1:2" x14ac:dyDescent="0.2">
      <c r="A137" s="77">
        <v>36860</v>
      </c>
      <c r="B137" s="69">
        <f>VLOOKUP(A137,'China Production data'!$A$1:$C$512,2,FALSE)</f>
        <v>0.106</v>
      </c>
    </row>
    <row r="138" spans="1:2" x14ac:dyDescent="0.2">
      <c r="A138" s="76">
        <v>36891</v>
      </c>
      <c r="B138" s="69">
        <f>VLOOKUP(A138,'China Production data'!$A$1:$C$512,2,FALSE)</f>
        <v>0.104</v>
      </c>
    </row>
    <row r="139" spans="1:2" x14ac:dyDescent="0.2">
      <c r="A139" s="77">
        <v>36922</v>
      </c>
      <c r="B139" s="69">
        <f>VLOOKUP(A139,'China Production data'!$A$1:$C$512,2,FALSE)</f>
        <v>2.3E-2</v>
      </c>
    </row>
    <row r="140" spans="1:2" x14ac:dyDescent="0.2">
      <c r="A140" s="76">
        <v>36950</v>
      </c>
      <c r="B140" s="69">
        <f>VLOOKUP(A140,'China Production data'!$A$1:$C$512,2,FALSE)</f>
        <v>0.19</v>
      </c>
    </row>
    <row r="141" spans="1:2" x14ac:dyDescent="0.2">
      <c r="A141" s="77">
        <v>36981</v>
      </c>
      <c r="B141" s="69">
        <f>VLOOKUP(A141,'China Production data'!$A$1:$C$512,2,FALSE)</f>
        <v>0.121</v>
      </c>
    </row>
    <row r="142" spans="1:2" x14ac:dyDescent="0.2">
      <c r="A142" s="76">
        <v>37011</v>
      </c>
      <c r="B142" s="69">
        <f>VLOOKUP(A142,'China Production data'!$A$1:$C$512,2,FALSE)</f>
        <v>0.115</v>
      </c>
    </row>
    <row r="143" spans="1:2" x14ac:dyDescent="0.2">
      <c r="A143" s="77">
        <v>37042</v>
      </c>
      <c r="B143" s="69">
        <f>VLOOKUP(A143,'China Production data'!$A$1:$C$512,2,FALSE)</f>
        <v>0.10199999999999999</v>
      </c>
    </row>
    <row r="144" spans="1:2" x14ac:dyDescent="0.2">
      <c r="A144" s="76">
        <v>37072</v>
      </c>
      <c r="B144" s="69">
        <f>VLOOKUP(A144,'China Production data'!$A$1:$C$512,2,FALSE)</f>
        <v>0.10100000000000001</v>
      </c>
    </row>
    <row r="145" spans="1:2" x14ac:dyDescent="0.2">
      <c r="A145" s="77">
        <v>37103</v>
      </c>
      <c r="B145" s="69">
        <f>VLOOKUP(A145,'China Production data'!$A$1:$C$512,2,FALSE)</f>
        <v>8.1000000000000003E-2</v>
      </c>
    </row>
    <row r="146" spans="1:2" x14ac:dyDescent="0.2">
      <c r="A146" s="76">
        <v>37134</v>
      </c>
      <c r="B146" s="69">
        <f>VLOOKUP(A146,'China Production data'!$A$1:$C$512,2,FALSE)</f>
        <v>8.1000000000000003E-2</v>
      </c>
    </row>
    <row r="147" spans="1:2" x14ac:dyDescent="0.2">
      <c r="A147" s="77">
        <v>37164</v>
      </c>
      <c r="B147" s="69">
        <f>VLOOKUP(A147,'China Production data'!$A$1:$C$512,2,FALSE)</f>
        <v>9.5000000000000001E-2</v>
      </c>
    </row>
    <row r="148" spans="1:2" x14ac:dyDescent="0.2">
      <c r="A148" s="76">
        <v>37195</v>
      </c>
      <c r="B148" s="69">
        <f>VLOOKUP(A148,'China Production data'!$A$1:$C$512,2,FALSE)</f>
        <v>8.7999999999999995E-2</v>
      </c>
    </row>
    <row r="149" spans="1:2" x14ac:dyDescent="0.2">
      <c r="A149" s="77">
        <v>37225</v>
      </c>
      <c r="B149" s="69">
        <f>VLOOKUP(A149,'China Production data'!$A$1:$C$512,2,FALSE)</f>
        <v>7.9000000000000001E-2</v>
      </c>
    </row>
    <row r="150" spans="1:2" x14ac:dyDescent="0.2">
      <c r="A150" s="76">
        <v>37256</v>
      </c>
      <c r="B150" s="69">
        <f>VLOOKUP(A150,'China Production data'!$A$1:$C$512,2,FALSE)</f>
        <v>8.6999999999999994E-2</v>
      </c>
    </row>
    <row r="151" spans="1:2" x14ac:dyDescent="0.2">
      <c r="A151" s="77">
        <v>37287</v>
      </c>
      <c r="B151" s="69">
        <f>VLOOKUP(A151,'China Production data'!$A$1:$C$512,2,FALSE)</f>
        <v>0.186</v>
      </c>
    </row>
    <row r="152" spans="1:2" x14ac:dyDescent="0.2">
      <c r="A152" s="76">
        <v>37315</v>
      </c>
      <c r="B152" s="69">
        <f>VLOOKUP(A152,'China Production data'!$A$1:$C$512,2,FALSE)</f>
        <v>2.7E-2</v>
      </c>
    </row>
    <row r="153" spans="1:2" x14ac:dyDescent="0.2">
      <c r="A153" s="77">
        <v>37346</v>
      </c>
      <c r="B153" s="69">
        <f>VLOOKUP(A153,'China Production data'!$A$1:$C$512,2,FALSE)</f>
        <v>0.109</v>
      </c>
    </row>
    <row r="154" spans="1:2" x14ac:dyDescent="0.2">
      <c r="A154" s="76">
        <v>37376</v>
      </c>
      <c r="B154" s="69">
        <f>VLOOKUP(A154,'China Production data'!$A$1:$C$512,2,FALSE)</f>
        <v>0.121</v>
      </c>
    </row>
    <row r="155" spans="1:2" x14ac:dyDescent="0.2">
      <c r="A155" s="77">
        <v>37407</v>
      </c>
      <c r="B155" s="69">
        <f>VLOOKUP(A155,'China Production data'!$A$1:$C$512,2,FALSE)</f>
        <v>0.129</v>
      </c>
    </row>
    <row r="156" spans="1:2" x14ac:dyDescent="0.2">
      <c r="A156" s="76">
        <v>37437</v>
      </c>
      <c r="B156" s="69">
        <f>VLOOKUP(A156,'China Production data'!$A$1:$C$512,2,FALSE)</f>
        <v>0.124</v>
      </c>
    </row>
    <row r="157" spans="1:2" x14ac:dyDescent="0.2">
      <c r="A157" s="77">
        <v>37468</v>
      </c>
      <c r="B157" s="69">
        <f>VLOOKUP(A157,'China Production data'!$A$1:$C$512,2,FALSE)</f>
        <v>0.128</v>
      </c>
    </row>
    <row r="158" spans="1:2" x14ac:dyDescent="0.2">
      <c r="A158" s="76">
        <v>37499</v>
      </c>
      <c r="B158" s="69">
        <f>VLOOKUP(A158,'China Production data'!$A$1:$C$512,2,FALSE)</f>
        <v>0.127</v>
      </c>
    </row>
    <row r="159" spans="1:2" x14ac:dyDescent="0.2">
      <c r="A159" s="77">
        <v>37529</v>
      </c>
      <c r="B159" s="69">
        <f>VLOOKUP(A159,'China Production data'!$A$1:$C$512,2,FALSE)</f>
        <v>0.13800000000000001</v>
      </c>
    </row>
    <row r="160" spans="1:2" x14ac:dyDescent="0.2">
      <c r="A160" s="70">
        <v>37560</v>
      </c>
      <c r="B160" s="69">
        <f>VLOOKUP(A160,'China Production data'!$A$1:$C$512,2,FALSE)</f>
        <v>0.14199999999999999</v>
      </c>
    </row>
    <row r="161" spans="1:3" x14ac:dyDescent="0.2">
      <c r="A161" s="78">
        <v>37590</v>
      </c>
      <c r="B161" s="69">
        <f>VLOOKUP(A161,'China Production data'!$A$1:$C$512,2,FALSE)</f>
        <v>0.14499999999999999</v>
      </c>
      <c r="C161" s="79"/>
    </row>
    <row r="162" spans="1:3" x14ac:dyDescent="0.2">
      <c r="A162" s="80">
        <v>37621</v>
      </c>
      <c r="B162" s="69">
        <f>VLOOKUP(A162,'China Production data'!$A$1:$C$512,2,FALSE)</f>
        <v>0.14899999999999999</v>
      </c>
      <c r="C162" s="79"/>
    </row>
    <row r="163" spans="1:3" x14ac:dyDescent="0.2">
      <c r="A163" s="78">
        <v>37652</v>
      </c>
      <c r="B163" s="69">
        <f>VLOOKUP(A163,'China Production data'!$A$1:$C$512,2,FALSE)</f>
        <v>0.14799999999999999</v>
      </c>
      <c r="C163" s="79"/>
    </row>
    <row r="164" spans="1:3" x14ac:dyDescent="0.2">
      <c r="A164" s="80">
        <v>37680</v>
      </c>
      <c r="B164" s="69">
        <f>VLOOKUP(A164,'China Production data'!$A$1:$C$512,2,FALSE)</f>
        <v>0.19800000000000001</v>
      </c>
      <c r="C164" s="79"/>
    </row>
    <row r="165" spans="1:3" x14ac:dyDescent="0.2">
      <c r="A165" s="78">
        <v>37711</v>
      </c>
      <c r="B165" s="69">
        <f>VLOOKUP(A165,'China Production data'!$A$1:$C$512,2,FALSE)</f>
        <v>0.16900000000000001</v>
      </c>
      <c r="C165" s="79"/>
    </row>
    <row r="166" spans="1:3" x14ac:dyDescent="0.2">
      <c r="A166" s="80">
        <v>37741</v>
      </c>
      <c r="B166" s="69">
        <f>VLOOKUP(A166,'China Production data'!$A$1:$C$512,2,FALSE)</f>
        <v>0.14899999999999999</v>
      </c>
      <c r="C166" s="79"/>
    </row>
    <row r="167" spans="1:3" x14ac:dyDescent="0.2">
      <c r="A167" s="78">
        <v>37772</v>
      </c>
      <c r="B167" s="69">
        <f>VLOOKUP(A167,'China Production data'!$A$1:$C$512,2,FALSE)</f>
        <v>0.13700000000000001</v>
      </c>
      <c r="C167" s="79"/>
    </row>
    <row r="168" spans="1:3" x14ac:dyDescent="0.2">
      <c r="A168" s="80">
        <v>37802</v>
      </c>
      <c r="B168" s="69">
        <f>VLOOKUP(A168,'China Production data'!$A$1:$C$512,2,FALSE)</f>
        <v>0.16900000000000001</v>
      </c>
      <c r="C168" s="79"/>
    </row>
    <row r="169" spans="1:3" x14ac:dyDescent="0.2">
      <c r="A169" s="78">
        <v>37833</v>
      </c>
      <c r="B169" s="69">
        <f>VLOOKUP(A169,'China Production data'!$A$1:$C$512,2,FALSE)</f>
        <v>0.16500000000000001</v>
      </c>
      <c r="C169" s="79"/>
    </row>
    <row r="170" spans="1:3" x14ac:dyDescent="0.2">
      <c r="A170" s="80">
        <v>37864</v>
      </c>
      <c r="B170" s="69">
        <f>VLOOKUP(A170,'China Production data'!$A$1:$C$512,2,FALSE)</f>
        <v>0.17100000000000001</v>
      </c>
      <c r="C170" s="79"/>
    </row>
    <row r="171" spans="1:3" x14ac:dyDescent="0.2">
      <c r="A171" s="78">
        <v>37894</v>
      </c>
      <c r="B171" s="69">
        <f>VLOOKUP(A171,'China Production data'!$A$1:$C$512,2,FALSE)</f>
        <v>0.16300000000000001</v>
      </c>
      <c r="C171" s="79"/>
    </row>
    <row r="172" spans="1:3" x14ac:dyDescent="0.2">
      <c r="A172" s="80">
        <v>37925</v>
      </c>
      <c r="B172" s="69">
        <f>VLOOKUP(A172,'China Production data'!$A$1:$C$512,2,FALSE)</f>
        <v>0.17199999999999999</v>
      </c>
      <c r="C172" s="79"/>
    </row>
    <row r="173" spans="1:3" x14ac:dyDescent="0.2">
      <c r="A173" s="78">
        <v>37955</v>
      </c>
      <c r="B173" s="69">
        <f>VLOOKUP(A173,'China Production data'!$A$1:$C$512,2,FALSE)</f>
        <v>0.17899999999999999</v>
      </c>
      <c r="C173" s="79"/>
    </row>
    <row r="174" spans="1:3" x14ac:dyDescent="0.2">
      <c r="A174" s="80">
        <v>37986</v>
      </c>
      <c r="B174" s="69">
        <f>VLOOKUP(A174,'China Production data'!$A$1:$C$512,2,FALSE)</f>
        <v>0.18099999999999999</v>
      </c>
      <c r="C174" s="79"/>
    </row>
    <row r="175" spans="1:3" x14ac:dyDescent="0.2">
      <c r="A175" s="78">
        <v>38017</v>
      </c>
      <c r="B175" s="69">
        <f>VLOOKUP(A175,'China Production data'!$A$1:$C$512,2,FALSE)</f>
        <v>7.1999999999999995E-2</v>
      </c>
      <c r="C175" s="79"/>
    </row>
    <row r="176" spans="1:3" x14ac:dyDescent="0.2">
      <c r="A176" s="80">
        <v>38046</v>
      </c>
      <c r="B176" s="69">
        <f>VLOOKUP(A176,'China Production data'!$A$1:$C$512,2,FALSE)</f>
        <v>0.23200000000000001</v>
      </c>
      <c r="C176" s="79"/>
    </row>
    <row r="177" spans="1:3" x14ac:dyDescent="0.2">
      <c r="A177" s="78">
        <v>38077</v>
      </c>
      <c r="B177" s="69">
        <f>VLOOKUP(A177,'China Production data'!$A$1:$C$512,2,FALSE)</f>
        <v>0.19400000000000001</v>
      </c>
      <c r="C177" s="79"/>
    </row>
    <row r="178" spans="1:3" x14ac:dyDescent="0.2">
      <c r="A178" s="80">
        <v>38107</v>
      </c>
      <c r="B178" s="69">
        <f>VLOOKUP(A178,'China Production data'!$A$1:$C$512,2,FALSE)</f>
        <v>0.191</v>
      </c>
      <c r="C178" s="79"/>
    </row>
    <row r="179" spans="1:3" x14ac:dyDescent="0.2">
      <c r="A179" s="78">
        <v>38138</v>
      </c>
      <c r="B179" s="69">
        <f>VLOOKUP(A179,'China Production data'!$A$1:$C$512,2,FALSE)</f>
        <v>0.17499999999999999</v>
      </c>
      <c r="C179" s="79"/>
    </row>
    <row r="180" spans="1:3" x14ac:dyDescent="0.2">
      <c r="A180" s="80">
        <v>38168</v>
      </c>
      <c r="B180" s="69">
        <f>VLOOKUP(A180,'China Production data'!$A$1:$C$512,2,FALSE)</f>
        <v>0.16200000000000001</v>
      </c>
      <c r="C180" s="79"/>
    </row>
    <row r="181" spans="1:3" x14ac:dyDescent="0.2">
      <c r="A181" s="78">
        <v>38199</v>
      </c>
      <c r="B181" s="69">
        <f>VLOOKUP(A181,'China Production data'!$A$1:$C$512,2,FALSE)</f>
        <v>0.155</v>
      </c>
      <c r="C181" s="79"/>
    </row>
    <row r="182" spans="1:3" x14ac:dyDescent="0.2">
      <c r="A182" s="80">
        <v>38230</v>
      </c>
      <c r="B182" s="69">
        <f>VLOOKUP(A182,'China Production data'!$A$1:$C$512,2,FALSE)</f>
        <v>0.159</v>
      </c>
      <c r="C182" s="79"/>
    </row>
    <row r="183" spans="1:3" x14ac:dyDescent="0.2">
      <c r="A183" s="78">
        <v>38260</v>
      </c>
      <c r="B183" s="69">
        <f>VLOOKUP(A183,'China Production data'!$A$1:$C$512,2,FALSE)</f>
        <v>0.161</v>
      </c>
      <c r="C183" s="79"/>
    </row>
    <row r="184" spans="1:3" x14ac:dyDescent="0.2">
      <c r="A184" s="80">
        <v>38291</v>
      </c>
      <c r="B184" s="69">
        <f>VLOOKUP(A184,'China Production data'!$A$1:$C$512,2,FALSE)</f>
        <v>0.157</v>
      </c>
      <c r="C184" s="79"/>
    </row>
    <row r="185" spans="1:3" x14ac:dyDescent="0.2">
      <c r="A185" s="78">
        <v>38321</v>
      </c>
      <c r="B185" s="69">
        <f>VLOOKUP(A185,'China Production data'!$A$1:$C$512,2,FALSE)</f>
        <v>0.14799999999999999</v>
      </c>
      <c r="C185" s="79"/>
    </row>
    <row r="186" spans="1:3" x14ac:dyDescent="0.2">
      <c r="A186" s="80">
        <v>38352</v>
      </c>
      <c r="B186" s="69">
        <f>VLOOKUP(A186,'China Production data'!$A$1:$C$512,2,FALSE)</f>
        <v>0.14399999999999999</v>
      </c>
      <c r="C186" s="79"/>
    </row>
    <row r="187" spans="1:3" x14ac:dyDescent="0.2">
      <c r="A187" s="78">
        <v>38383</v>
      </c>
      <c r="B187" s="69">
        <f>VLOOKUP(A187,'China Production data'!$A$1:$C$512,2,FALSE)</f>
        <v>0.20899999999999999</v>
      </c>
      <c r="C187" s="79">
        <f>VLOOKUP(A187,'China Production data'!$A$1:$C$512,3,FALSE)</f>
        <v>52.1</v>
      </c>
    </row>
    <row r="188" spans="1:3" x14ac:dyDescent="0.2">
      <c r="A188" s="78">
        <v>38411</v>
      </c>
      <c r="B188" s="69">
        <f>VLOOKUP(A188,'China Production data'!$A$1:$C$512,2,FALSE)</f>
        <v>7.5999999999999998E-2</v>
      </c>
      <c r="C188" s="79">
        <f>VLOOKUP(A188,'China Production data'!$A$1:$C$512,3,FALSE)</f>
        <v>52.9</v>
      </c>
    </row>
    <row r="189" spans="1:3" x14ac:dyDescent="0.2">
      <c r="A189" s="80">
        <v>38442</v>
      </c>
      <c r="B189" s="69">
        <f>VLOOKUP(A189,'China Production data'!$A$1:$C$512,2,FALSE)</f>
        <v>0.151</v>
      </c>
      <c r="C189" s="79">
        <f>VLOOKUP(A189,'China Production data'!$A$1:$C$512,3,FALSE)</f>
        <v>55.2</v>
      </c>
    </row>
    <row r="190" spans="1:3" x14ac:dyDescent="0.2">
      <c r="A190" s="78">
        <v>38472</v>
      </c>
      <c r="B190" s="69">
        <f>VLOOKUP(A190,'China Production data'!$A$1:$C$512,2,FALSE)</f>
        <v>0.16</v>
      </c>
      <c r="C190" s="79">
        <f>VLOOKUP(A190,'China Production data'!$A$1:$C$512,3,FALSE)</f>
        <v>54.4</v>
      </c>
    </row>
    <row r="191" spans="1:3" x14ac:dyDescent="0.2">
      <c r="A191" s="80">
        <v>38503</v>
      </c>
      <c r="B191" s="69">
        <f>VLOOKUP(A191,'China Production data'!$A$1:$C$512,2,FALSE)</f>
        <v>0.16600000000000001</v>
      </c>
      <c r="C191" s="79">
        <f>VLOOKUP(A191,'China Production data'!$A$1:$C$512,3,FALSE)</f>
        <v>53.3</v>
      </c>
    </row>
    <row r="192" spans="1:3" x14ac:dyDescent="0.2">
      <c r="A192" s="78">
        <v>38533</v>
      </c>
      <c r="B192" s="69">
        <f>VLOOKUP(A192,'China Production data'!$A$1:$C$512,2,FALSE)</f>
        <v>0.16800000000000001</v>
      </c>
      <c r="C192" s="79">
        <f>VLOOKUP(A192,'China Production data'!$A$1:$C$512,3,FALSE)</f>
        <v>51</v>
      </c>
    </row>
    <row r="193" spans="1:3" x14ac:dyDescent="0.2">
      <c r="A193" s="80">
        <v>38564</v>
      </c>
      <c r="B193" s="69">
        <f>VLOOKUP(A193,'China Production data'!$A$1:$C$512,2,FALSE)</f>
        <v>0.161</v>
      </c>
      <c r="C193" s="79">
        <f>VLOOKUP(A193,'China Production data'!$A$1:$C$512,3,FALSE)</f>
        <v>51.5</v>
      </c>
    </row>
    <row r="194" spans="1:3" x14ac:dyDescent="0.2">
      <c r="A194" s="78">
        <v>38595</v>
      </c>
      <c r="B194" s="69">
        <f>VLOOKUP(A194,'China Production data'!$A$1:$C$512,2,FALSE)</f>
        <v>0.16</v>
      </c>
      <c r="C194" s="79">
        <f>VLOOKUP(A194,'China Production data'!$A$1:$C$512,3,FALSE)</f>
        <v>50.6</v>
      </c>
    </row>
    <row r="195" spans="1:3" x14ac:dyDescent="0.2">
      <c r="A195" s="80">
        <v>38625</v>
      </c>
      <c r="B195" s="69">
        <f>VLOOKUP(A195,'China Production data'!$A$1:$C$512,2,FALSE)</f>
        <v>0.16500000000000001</v>
      </c>
      <c r="C195" s="79">
        <f>VLOOKUP(A195,'China Production data'!$A$1:$C$512,3,FALSE)</f>
        <v>50.9</v>
      </c>
    </row>
    <row r="196" spans="1:3" x14ac:dyDescent="0.2">
      <c r="A196" s="78">
        <v>38656</v>
      </c>
      <c r="B196" s="69">
        <f>VLOOKUP(A196,'China Production data'!$A$1:$C$512,2,FALSE)</f>
        <v>0.161</v>
      </c>
      <c r="C196" s="79">
        <f>VLOOKUP(A196,'China Production data'!$A$1:$C$512,3,FALSE)</f>
        <v>50.1</v>
      </c>
    </row>
    <row r="197" spans="1:3" x14ac:dyDescent="0.2">
      <c r="A197" s="80">
        <v>38686</v>
      </c>
      <c r="B197" s="69">
        <f>VLOOKUP(A197,'China Production data'!$A$1:$C$512,2,FALSE)</f>
        <v>0.16600000000000001</v>
      </c>
      <c r="C197" s="79">
        <f>VLOOKUP(A197,'China Production data'!$A$1:$C$512,3,FALSE)</f>
        <v>49.8</v>
      </c>
    </row>
    <row r="198" spans="1:3" x14ac:dyDescent="0.2">
      <c r="A198" s="78">
        <v>38717</v>
      </c>
      <c r="B198" s="69">
        <f>VLOOKUP(A198,'China Production data'!$A$1:$C$512,2,FALSE)</f>
        <v>0.16500000000000001</v>
      </c>
      <c r="C198" s="79">
        <f>VLOOKUP(A198,'China Production data'!$A$1:$C$512,3,FALSE)</f>
        <v>50.1</v>
      </c>
    </row>
    <row r="199" spans="1:3" x14ac:dyDescent="0.2">
      <c r="A199" s="78">
        <v>38776</v>
      </c>
      <c r="B199" s="69">
        <f>VLOOKUP(A199,'China Production data'!$A$1:$C$512,2,FALSE)</f>
        <v>0.20100000000000001</v>
      </c>
      <c r="C199" s="79">
        <f>VLOOKUP(A199,'China Production data'!$A$1:$C$512,3,FALSE)</f>
        <v>50.7</v>
      </c>
    </row>
    <row r="200" spans="1:3" x14ac:dyDescent="0.2">
      <c r="A200" s="80">
        <v>38807</v>
      </c>
      <c r="B200" s="69">
        <f>VLOOKUP(A200,'China Production data'!$A$1:$C$512,2,FALSE)</f>
        <v>0.17799999999999999</v>
      </c>
      <c r="C200" s="79">
        <f>VLOOKUP(A200,'China Production data'!$A$1:$C$512,3,FALSE)</f>
        <v>51</v>
      </c>
    </row>
    <row r="201" spans="1:3" x14ac:dyDescent="0.2">
      <c r="A201" s="78">
        <v>38837</v>
      </c>
      <c r="B201" s="69">
        <f>VLOOKUP(A201,'China Production data'!$A$1:$C$512,2,FALSE)</f>
        <v>0.16600000000000001</v>
      </c>
      <c r="C201" s="79">
        <f>VLOOKUP(A201,'China Production data'!$A$1:$C$512,3,FALSE)</f>
        <v>52.7</v>
      </c>
    </row>
    <row r="202" spans="1:3" x14ac:dyDescent="0.2">
      <c r="A202" s="80">
        <v>38868</v>
      </c>
      <c r="B202" s="69">
        <f>VLOOKUP(A202,'China Production data'!$A$1:$C$512,2,FALSE)</f>
        <v>0.17899999999999999</v>
      </c>
      <c r="C202" s="79">
        <f>VLOOKUP(A202,'China Production data'!$A$1:$C$512,3,FALSE)</f>
        <v>52.8</v>
      </c>
    </row>
    <row r="203" spans="1:3" x14ac:dyDescent="0.2">
      <c r="A203" s="78">
        <v>38898</v>
      </c>
      <c r="B203" s="69">
        <f>VLOOKUP(A203,'China Production data'!$A$1:$C$512,2,FALSE)</f>
        <v>0.19500000000000001</v>
      </c>
      <c r="C203" s="79">
        <f>VLOOKUP(A203,'China Production data'!$A$1:$C$512,3,FALSE)</f>
        <v>52.9</v>
      </c>
    </row>
    <row r="204" spans="1:3" x14ac:dyDescent="0.2">
      <c r="A204" s="80">
        <v>38929</v>
      </c>
      <c r="B204" s="69">
        <f>VLOOKUP(A204,'China Production data'!$A$1:$C$512,2,FALSE)</f>
        <v>0.16700000000000001</v>
      </c>
      <c r="C204" s="79">
        <f>VLOOKUP(A204,'China Production data'!$A$1:$C$512,3,FALSE)</f>
        <v>53</v>
      </c>
    </row>
    <row r="205" spans="1:3" x14ac:dyDescent="0.2">
      <c r="A205" s="78">
        <v>38960</v>
      </c>
      <c r="B205" s="69">
        <f>VLOOKUP(A205,'China Production data'!$A$1:$C$512,2,FALSE)</f>
        <v>0.157</v>
      </c>
      <c r="C205" s="79">
        <f>VLOOKUP(A205,'China Production data'!$A$1:$C$512,3,FALSE)</f>
        <v>52.6</v>
      </c>
    </row>
    <row r="206" spans="1:3" x14ac:dyDescent="0.2">
      <c r="A206" s="80">
        <v>38990</v>
      </c>
      <c r="B206" s="69">
        <f>VLOOKUP(A206,'China Production data'!$A$1:$C$512,2,FALSE)</f>
        <v>0.161</v>
      </c>
      <c r="C206" s="79">
        <f>VLOOKUP(A206,'China Production data'!$A$1:$C$512,3,FALSE)</f>
        <v>52.4</v>
      </c>
    </row>
    <row r="207" spans="1:3" x14ac:dyDescent="0.2">
      <c r="A207" s="78">
        <v>39021</v>
      </c>
      <c r="B207" s="69">
        <f>VLOOKUP(A207,'China Production data'!$A$1:$C$512,2,FALSE)</f>
        <v>0.14699999999999999</v>
      </c>
      <c r="C207" s="79">
        <f>VLOOKUP(A207,'China Production data'!$A$1:$C$512,3,FALSE)</f>
        <v>52.1</v>
      </c>
    </row>
    <row r="208" spans="1:3" x14ac:dyDescent="0.2">
      <c r="A208" s="80">
        <v>39051</v>
      </c>
      <c r="B208" s="69">
        <f>VLOOKUP(A208,'China Production data'!$A$1:$C$512,2,FALSE)</f>
        <v>0.14899999999999999</v>
      </c>
      <c r="C208" s="79">
        <f>VLOOKUP(A208,'China Production data'!$A$1:$C$512,3,FALSE)</f>
        <v>53</v>
      </c>
    </row>
    <row r="209" spans="1:3" x14ac:dyDescent="0.2">
      <c r="A209" s="78">
        <v>39082</v>
      </c>
      <c r="B209" s="69">
        <f>VLOOKUP(A209,'China Production data'!$A$1:$C$512,2,FALSE)</f>
        <v>0.14699999999999999</v>
      </c>
      <c r="C209" s="79">
        <f>VLOOKUP(A209,'China Production data'!$A$1:$C$512,3,FALSE)</f>
        <v>52.4</v>
      </c>
    </row>
    <row r="210" spans="1:3" x14ac:dyDescent="0.2">
      <c r="A210" s="80">
        <v>39141</v>
      </c>
      <c r="B210" s="69">
        <f>VLOOKUP(A210,'China Production data'!$A$1:$C$512,2,FALSE)</f>
        <v>0.126</v>
      </c>
      <c r="C210" s="79">
        <f>VLOOKUP(A210,'China Production data'!$A$1:$C$512,3,FALSE)</f>
        <v>53</v>
      </c>
    </row>
    <row r="211" spans="1:3" x14ac:dyDescent="0.2">
      <c r="A211" s="80">
        <v>39172</v>
      </c>
      <c r="B211" s="69">
        <f>VLOOKUP(A211,'China Production data'!$A$1:$C$512,2,FALSE)</f>
        <v>0.17599999999999999</v>
      </c>
      <c r="C211" s="79">
        <f>VLOOKUP(A211,'China Production data'!$A$1:$C$512,3,FALSE)</f>
        <v>52.3</v>
      </c>
    </row>
    <row r="212" spans="1:3" x14ac:dyDescent="0.2">
      <c r="A212" s="78">
        <v>39202</v>
      </c>
      <c r="B212" s="69">
        <f>VLOOKUP(A212,'China Production data'!$A$1:$C$512,2,FALSE)</f>
        <v>0.17399999999999999</v>
      </c>
      <c r="C212" s="79">
        <f>VLOOKUP(A212,'China Production data'!$A$1:$C$512,3,FALSE)</f>
        <v>53.3</v>
      </c>
    </row>
    <row r="213" spans="1:3" x14ac:dyDescent="0.2">
      <c r="A213" s="80">
        <v>39233</v>
      </c>
      <c r="B213" s="69">
        <f>VLOOKUP(A213,'China Production data'!$A$1:$C$512,2,FALSE)</f>
        <v>0.18099999999999999</v>
      </c>
      <c r="C213" s="79">
        <f>VLOOKUP(A213,'China Production data'!$A$1:$C$512,3,FALSE)</f>
        <v>54.1</v>
      </c>
    </row>
    <row r="214" spans="1:3" x14ac:dyDescent="0.2">
      <c r="A214" s="78">
        <v>39263</v>
      </c>
      <c r="B214" s="69">
        <f>VLOOKUP(A214,'China Production data'!$A$1:$C$512,2,FALSE)</f>
        <v>0.19400000000000001</v>
      </c>
      <c r="C214" s="79">
        <f>VLOOKUP(A214,'China Production data'!$A$1:$C$512,3,FALSE)</f>
        <v>55</v>
      </c>
    </row>
    <row r="215" spans="1:3" x14ac:dyDescent="0.2">
      <c r="A215" s="80">
        <v>39294</v>
      </c>
      <c r="B215" s="69">
        <f>VLOOKUP(A215,'China Production data'!$A$1:$C$512,2,FALSE)</f>
        <v>0.18</v>
      </c>
      <c r="C215" s="79">
        <f>VLOOKUP(A215,'China Production data'!$A$1:$C$512,3,FALSE)</f>
        <v>53.2</v>
      </c>
    </row>
    <row r="216" spans="1:3" x14ac:dyDescent="0.2">
      <c r="A216" s="78">
        <v>39325</v>
      </c>
      <c r="B216" s="69">
        <f>VLOOKUP(A216,'China Production data'!$A$1:$C$512,2,FALSE)</f>
        <v>0.17499999999999999</v>
      </c>
      <c r="C216" s="79">
        <f>VLOOKUP(A216,'China Production data'!$A$1:$C$512,3,FALSE)</f>
        <v>53.4</v>
      </c>
    </row>
    <row r="217" spans="1:3" x14ac:dyDescent="0.2">
      <c r="A217" s="80">
        <v>39355</v>
      </c>
      <c r="B217" s="69">
        <f>VLOOKUP(A217,'China Production data'!$A$1:$C$512,2,FALSE)</f>
        <v>0.189</v>
      </c>
      <c r="C217" s="79">
        <f>VLOOKUP(A217,'China Production data'!$A$1:$C$512,3,FALSE)</f>
        <v>55</v>
      </c>
    </row>
    <row r="218" spans="1:3" x14ac:dyDescent="0.2">
      <c r="A218" s="78">
        <v>39386</v>
      </c>
      <c r="B218" s="69">
        <f>VLOOKUP(A218,'China Production data'!$A$1:$C$512,2,FALSE)</f>
        <v>0.17899999999999999</v>
      </c>
      <c r="C218" s="79">
        <f>VLOOKUP(A218,'China Production data'!$A$1:$C$512,3,FALSE)</f>
        <v>55.2</v>
      </c>
    </row>
    <row r="219" spans="1:3" x14ac:dyDescent="0.2">
      <c r="A219" s="80">
        <v>39416</v>
      </c>
      <c r="B219" s="69">
        <f>VLOOKUP(A219,'China Production data'!$A$1:$C$512,2,FALSE)</f>
        <v>0.17299999999999999</v>
      </c>
      <c r="C219" s="79">
        <f>VLOOKUP(A219,'China Production data'!$A$1:$C$512,3,FALSE)</f>
        <v>52.8</v>
      </c>
    </row>
    <row r="220" spans="1:3" x14ac:dyDescent="0.2">
      <c r="A220" s="78">
        <v>39447</v>
      </c>
      <c r="B220" s="69">
        <f>VLOOKUP(A220,'China Production data'!$A$1:$C$512,2,FALSE)</f>
        <v>0.17399999999999999</v>
      </c>
      <c r="C220" s="79">
        <f>VLOOKUP(A220,'China Production data'!$A$1:$C$512,3,FALSE)</f>
        <v>53.3</v>
      </c>
    </row>
    <row r="221" spans="1:3" x14ac:dyDescent="0.2">
      <c r="A221" s="80">
        <v>39507</v>
      </c>
      <c r="B221" s="69">
        <f>VLOOKUP(A221,'China Production data'!$A$1:$C$512,2,FALSE)</f>
        <v>0.154</v>
      </c>
      <c r="C221" s="79">
        <f>VLOOKUP(A221,'China Production data'!$A$1:$C$512,3,FALSE)</f>
        <v>52.8</v>
      </c>
    </row>
    <row r="222" spans="1:3" x14ac:dyDescent="0.2">
      <c r="A222" s="78">
        <v>39538</v>
      </c>
      <c r="B222" s="69">
        <f>VLOOKUP(A222,'China Production data'!$A$1:$C$512,2,FALSE)</f>
        <v>0.17799999999999999</v>
      </c>
      <c r="C222" s="79">
        <f>VLOOKUP(A222,'China Production data'!$A$1:$C$512,3,FALSE)</f>
        <v>54.4</v>
      </c>
    </row>
    <row r="223" spans="1:3" x14ac:dyDescent="0.2">
      <c r="A223" s="80">
        <v>39568</v>
      </c>
      <c r="B223" s="69">
        <f>VLOOKUP(A223,'China Production data'!$A$1:$C$512,2,FALSE)</f>
        <v>0.157</v>
      </c>
      <c r="C223" s="79">
        <f>VLOOKUP(A223,'China Production data'!$A$1:$C$512,3,FALSE)</f>
        <v>55.4</v>
      </c>
    </row>
    <row r="224" spans="1:3" x14ac:dyDescent="0.2">
      <c r="A224" s="78">
        <v>39599</v>
      </c>
      <c r="B224" s="69">
        <f>VLOOKUP(A224,'China Production data'!$A$1:$C$512,2,FALSE)</f>
        <v>0.16</v>
      </c>
      <c r="C224" s="79">
        <f>VLOOKUP(A224,'China Production data'!$A$1:$C$512,3,FALSE)</f>
        <v>54.7</v>
      </c>
    </row>
    <row r="225" spans="1:3" x14ac:dyDescent="0.2">
      <c r="A225" s="80">
        <v>39629</v>
      </c>
      <c r="B225" s="69">
        <f>VLOOKUP(A225,'China Production data'!$A$1:$C$512,2,FALSE)</f>
        <v>0.16</v>
      </c>
      <c r="C225" s="79">
        <f>VLOOKUP(A225,'China Production data'!$A$1:$C$512,3,FALSE)</f>
        <v>53.3</v>
      </c>
    </row>
    <row r="226" spans="1:3" x14ac:dyDescent="0.2">
      <c r="A226" s="78">
        <v>39660</v>
      </c>
      <c r="B226" s="69">
        <f>VLOOKUP(A226,'China Production data'!$A$1:$C$512,2,FALSE)</f>
        <v>0.14699999999999999</v>
      </c>
      <c r="C226" s="79">
        <f>VLOOKUP(A226,'China Production data'!$A$1:$C$512,3,FALSE)</f>
        <v>53.3</v>
      </c>
    </row>
    <row r="227" spans="1:3" x14ac:dyDescent="0.2">
      <c r="A227" s="80">
        <v>39691</v>
      </c>
      <c r="B227" s="69">
        <f>VLOOKUP(A227,'China Production data'!$A$1:$C$512,2,FALSE)</f>
        <v>0.128</v>
      </c>
      <c r="C227" s="79">
        <f>VLOOKUP(A227,'China Production data'!$A$1:$C$512,3,FALSE)</f>
        <v>49.2</v>
      </c>
    </row>
    <row r="228" spans="1:3" x14ac:dyDescent="0.2">
      <c r="A228" s="78">
        <v>39721</v>
      </c>
      <c r="B228" s="69">
        <f>VLOOKUP(A228,'China Production data'!$A$1:$C$512,2,FALSE)</f>
        <v>0.114</v>
      </c>
      <c r="C228" s="79">
        <f>VLOOKUP(A228,'China Production data'!$A$1:$C$512,3,FALSE)</f>
        <v>47.7</v>
      </c>
    </row>
    <row r="229" spans="1:3" x14ac:dyDescent="0.2">
      <c r="A229" s="80">
        <v>39752</v>
      </c>
      <c r="B229" s="69">
        <f>VLOOKUP(A229,'China Production data'!$A$1:$C$512,2,FALSE)</f>
        <v>8.2000000000000003E-2</v>
      </c>
      <c r="C229" s="79">
        <f>VLOOKUP(A229,'China Production data'!$A$1:$C$512,3,FALSE)</f>
        <v>45.2</v>
      </c>
    </row>
    <row r="230" spans="1:3" x14ac:dyDescent="0.2">
      <c r="A230" s="78">
        <v>39782</v>
      </c>
      <c r="B230" s="69">
        <f>VLOOKUP(A230,'China Production data'!$A$1:$C$512,2,FALSE)</f>
        <v>5.3999999999999999E-2</v>
      </c>
      <c r="C230" s="79">
        <f>VLOOKUP(A230,'China Production data'!$A$1:$C$512,3,FALSE)</f>
        <v>40.9</v>
      </c>
    </row>
    <row r="231" spans="1:3" x14ac:dyDescent="0.2">
      <c r="A231" s="80">
        <v>39813</v>
      </c>
      <c r="B231" s="69">
        <f>VLOOKUP(A231,'China Production data'!$A$1:$C$512,2,FALSE)</f>
        <v>5.7000000000000002E-2</v>
      </c>
      <c r="C231" s="79">
        <f>VLOOKUP(A231,'China Production data'!$A$1:$C$512,3,FALSE)</f>
        <v>41.2</v>
      </c>
    </row>
    <row r="232" spans="1:3" x14ac:dyDescent="0.2">
      <c r="A232" s="78">
        <v>39872</v>
      </c>
      <c r="B232" s="69">
        <f>VLOOKUP(A232,'China Production data'!$A$1:$C$512,2,FALSE)</f>
        <v>0.11</v>
      </c>
      <c r="C232" s="79">
        <f>VLOOKUP(A232,'China Production data'!$A$1:$C$512,3,FALSE)</f>
        <v>45.1</v>
      </c>
    </row>
    <row r="233" spans="1:3" x14ac:dyDescent="0.2">
      <c r="A233" s="78">
        <v>39903</v>
      </c>
      <c r="B233" s="69">
        <f>VLOOKUP(A233,'China Production data'!$A$1:$C$512,2,FALSE)</f>
        <v>8.3000000000000004E-2</v>
      </c>
      <c r="C233" s="79">
        <f>VLOOKUP(A233,'China Production data'!$A$1:$C$512,3,FALSE)</f>
        <v>44.8</v>
      </c>
    </row>
    <row r="234" spans="1:3" x14ac:dyDescent="0.2">
      <c r="A234" s="80">
        <v>39933</v>
      </c>
      <c r="B234" s="69">
        <f>VLOOKUP(A234,'China Production data'!$A$1:$C$512,2,FALSE)</f>
        <v>7.2999999999999995E-2</v>
      </c>
      <c r="C234" s="79">
        <f>VLOOKUP(A234,'China Production data'!$A$1:$C$512,3,FALSE)</f>
        <v>50.1</v>
      </c>
    </row>
    <row r="235" spans="1:3" x14ac:dyDescent="0.2">
      <c r="A235" s="78">
        <v>39964</v>
      </c>
      <c r="B235" s="69">
        <f>VLOOKUP(A235,'China Production data'!$A$1:$C$512,2,FALSE)</f>
        <v>8.8999999999999996E-2</v>
      </c>
      <c r="C235" s="79">
        <f>VLOOKUP(A235,'China Production data'!$A$1:$C$512,3,FALSE)</f>
        <v>51.2</v>
      </c>
    </row>
    <row r="236" spans="1:3" x14ac:dyDescent="0.2">
      <c r="A236" s="80">
        <v>39994</v>
      </c>
      <c r="B236" s="69">
        <f>VLOOKUP(A236,'China Production data'!$A$1:$C$512,2,FALSE)</f>
        <v>0.107</v>
      </c>
      <c r="C236" s="79">
        <f>VLOOKUP(A236,'China Production data'!$A$1:$C$512,3,FALSE)</f>
        <v>51.8</v>
      </c>
    </row>
    <row r="237" spans="1:3" x14ac:dyDescent="0.2">
      <c r="A237" s="78">
        <v>40025</v>
      </c>
      <c r="B237" s="69">
        <f>VLOOKUP(A237,'China Production data'!$A$1:$C$512,2,FALSE)</f>
        <v>0.108</v>
      </c>
      <c r="C237" s="79">
        <f>VLOOKUP(A237,'China Production data'!$A$1:$C$512,3,FALSE)</f>
        <v>52.8</v>
      </c>
    </row>
    <row r="238" spans="1:3" x14ac:dyDescent="0.2">
      <c r="A238" s="80">
        <v>40056</v>
      </c>
      <c r="B238" s="69">
        <f>VLOOKUP(A238,'China Production data'!$A$1:$C$512,2,FALSE)</f>
        <v>0.123</v>
      </c>
      <c r="C238" s="79">
        <f>VLOOKUP(A238,'China Production data'!$A$1:$C$512,3,FALSE)</f>
        <v>55.1</v>
      </c>
    </row>
    <row r="239" spans="1:3" x14ac:dyDescent="0.2">
      <c r="A239" s="78">
        <v>40086</v>
      </c>
      <c r="B239" s="69">
        <f>VLOOKUP(A239,'China Production data'!$A$1:$C$512,2,FALSE)</f>
        <v>0.13900000000000001</v>
      </c>
      <c r="C239" s="79">
        <f>VLOOKUP(A239,'China Production data'!$A$1:$C$512,3,FALSE)</f>
        <v>55</v>
      </c>
    </row>
    <row r="240" spans="1:3" x14ac:dyDescent="0.2">
      <c r="A240" s="80">
        <v>40117</v>
      </c>
      <c r="B240" s="69">
        <f>VLOOKUP(A240,'China Production data'!$A$1:$C$512,2,FALSE)</f>
        <v>0.161</v>
      </c>
      <c r="C240" s="79">
        <f>VLOOKUP(A240,'China Production data'!$A$1:$C$512,3,FALSE)</f>
        <v>55.4</v>
      </c>
    </row>
    <row r="241" spans="1:3" x14ac:dyDescent="0.2">
      <c r="A241" s="78">
        <v>40147</v>
      </c>
      <c r="B241" s="69">
        <f>VLOOKUP(A241,'China Production data'!$A$1:$C$512,2,FALSE)</f>
        <v>0.192</v>
      </c>
      <c r="C241" s="79">
        <f>VLOOKUP(A241,'China Production data'!$A$1:$C$512,3,FALSE)</f>
        <v>55.7</v>
      </c>
    </row>
    <row r="242" spans="1:3" x14ac:dyDescent="0.2">
      <c r="A242" s="80">
        <v>40178</v>
      </c>
      <c r="B242" s="69">
        <f>VLOOKUP(A242,'China Production data'!$A$1:$C$512,2,FALSE)</f>
        <v>0.185</v>
      </c>
      <c r="C242" s="79">
        <f>VLOOKUP(A242,'China Production data'!$A$1:$C$512,3,FALSE)</f>
        <v>56.1</v>
      </c>
    </row>
    <row r="243" spans="1:3" x14ac:dyDescent="0.2">
      <c r="A243" s="80">
        <v>40237</v>
      </c>
      <c r="B243" s="69">
        <f>VLOOKUP(A243,'China Production data'!$A$1:$C$512,2,FALSE)</f>
        <v>0.128</v>
      </c>
      <c r="C243" s="79">
        <f>VLOOKUP(A243,'China Production data'!$A$1:$C$512,3,FALSE)</f>
        <v>55.8</v>
      </c>
    </row>
    <row r="244" spans="1:3" x14ac:dyDescent="0.2">
      <c r="A244" s="78">
        <v>40268</v>
      </c>
      <c r="B244" s="69">
        <f>VLOOKUP(A244,'China Production data'!$A$1:$C$512,2,FALSE)</f>
        <v>0.18099999999999999</v>
      </c>
      <c r="C244" s="79">
        <f>VLOOKUP(A244,'China Production data'!$A$1:$C$512,3,FALSE)</f>
        <v>57</v>
      </c>
    </row>
    <row r="245" spans="1:3" x14ac:dyDescent="0.2">
      <c r="A245" s="80">
        <v>40298</v>
      </c>
      <c r="B245" s="69">
        <f>VLOOKUP(A245,'China Production data'!$A$1:$C$512,2,FALSE)</f>
        <v>0.17799999999999999</v>
      </c>
      <c r="C245" s="79">
        <f>VLOOKUP(A245,'China Production data'!$A$1:$C$512,3,FALSE)</f>
        <v>55.4</v>
      </c>
    </row>
    <row r="246" spans="1:3" x14ac:dyDescent="0.2">
      <c r="A246" s="78">
        <v>40329</v>
      </c>
      <c r="B246" s="69">
        <f>VLOOKUP(A246,'China Production data'!$A$1:$C$512,2,FALSE)</f>
        <v>0.16500000000000001</v>
      </c>
      <c r="C246" s="79">
        <f>VLOOKUP(A246,'China Production data'!$A$1:$C$512,3,FALSE)</f>
        <v>52.7</v>
      </c>
    </row>
    <row r="247" spans="1:3" x14ac:dyDescent="0.2">
      <c r="A247" s="80">
        <v>40359</v>
      </c>
      <c r="B247" s="69">
        <f>VLOOKUP(A247,'China Production data'!$A$1:$C$512,2,FALSE)</f>
        <v>0.13700000000000001</v>
      </c>
      <c r="C247" s="79">
        <f>VLOOKUP(A247,'China Production data'!$A$1:$C$512,3,FALSE)</f>
        <v>50.4</v>
      </c>
    </row>
    <row r="248" spans="1:3" x14ac:dyDescent="0.2">
      <c r="A248" s="78">
        <v>40390</v>
      </c>
      <c r="B248" s="69">
        <f>VLOOKUP(A248,'China Production data'!$A$1:$C$512,2,FALSE)</f>
        <v>0.13400000000000001</v>
      </c>
      <c r="C248" s="79">
        <f>VLOOKUP(A248,'China Production data'!$A$1:$C$512,3,FALSE)</f>
        <v>49.4</v>
      </c>
    </row>
    <row r="249" spans="1:3" x14ac:dyDescent="0.2">
      <c r="A249" s="80">
        <v>40421</v>
      </c>
      <c r="B249" s="69">
        <f>VLOOKUP(A249,'China Production data'!$A$1:$C$512,2,FALSE)</f>
        <v>0.13900000000000001</v>
      </c>
      <c r="C249" s="79">
        <f>VLOOKUP(A249,'China Production data'!$A$1:$C$512,3,FALSE)</f>
        <v>51.9</v>
      </c>
    </row>
    <row r="250" spans="1:3" x14ac:dyDescent="0.2">
      <c r="A250" s="78">
        <v>40451</v>
      </c>
      <c r="B250" s="69">
        <f>VLOOKUP(A250,'China Production data'!$A$1:$C$512,2,FALSE)</f>
        <v>0.13300000000000001</v>
      </c>
      <c r="C250" s="79">
        <f>VLOOKUP(A250,'China Production data'!$A$1:$C$512,3,FALSE)</f>
        <v>52.9</v>
      </c>
    </row>
    <row r="251" spans="1:3" x14ac:dyDescent="0.2">
      <c r="A251" s="80">
        <v>40482</v>
      </c>
      <c r="B251" s="69">
        <f>VLOOKUP(A251,'China Production data'!$A$1:$C$512,2,FALSE)</f>
        <v>0.13100000000000001</v>
      </c>
      <c r="C251" s="79">
        <f>VLOOKUP(A251,'China Production data'!$A$1:$C$512,3,FALSE)</f>
        <v>54.8</v>
      </c>
    </row>
    <row r="252" spans="1:3" x14ac:dyDescent="0.2">
      <c r="A252" s="78">
        <v>40512</v>
      </c>
      <c r="B252" s="69">
        <f>VLOOKUP(A252,'China Production data'!$A$1:$C$512,2,FALSE)</f>
        <v>0.13300000000000001</v>
      </c>
      <c r="C252" s="79">
        <f>VLOOKUP(A252,'China Production data'!$A$1:$C$512,3,FALSE)</f>
        <v>55.3</v>
      </c>
    </row>
    <row r="253" spans="1:3" x14ac:dyDescent="0.2">
      <c r="A253" s="80">
        <v>40543</v>
      </c>
      <c r="B253" s="69">
        <f>VLOOKUP(A253,'China Production data'!$A$1:$C$512,2,FALSE)</f>
        <v>0.13500000000000001</v>
      </c>
      <c r="C253" s="79">
        <f>VLOOKUP(A253,'China Production data'!$A$1:$C$512,3,FALSE)</f>
        <v>54.4</v>
      </c>
    </row>
    <row r="254" spans="1:3" x14ac:dyDescent="0.2">
      <c r="A254" s="78">
        <v>40602</v>
      </c>
      <c r="B254" s="69">
        <f>VLOOKUP(A254,'China Production data'!$A$1:$C$512,2,FALSE)</f>
        <v>0.14099999999999999</v>
      </c>
      <c r="C254" s="79">
        <f>VLOOKUP(A254,'China Production data'!$A$1:$C$512,3,FALSE)</f>
        <v>51.7</v>
      </c>
    </row>
    <row r="255" spans="1:3" x14ac:dyDescent="0.2">
      <c r="A255" s="78">
        <v>40633</v>
      </c>
      <c r="B255" s="69">
        <f>VLOOKUP(A255,'China Production data'!$A$1:$C$512,2,FALSE)</f>
        <v>0.14799999999999999</v>
      </c>
      <c r="C255" s="79">
        <f>VLOOKUP(A255,'China Production data'!$A$1:$C$512,3,FALSE)</f>
        <v>51.8</v>
      </c>
    </row>
    <row r="256" spans="1:3" x14ac:dyDescent="0.2">
      <c r="A256" s="80">
        <v>40663</v>
      </c>
      <c r="B256" s="69">
        <f>VLOOKUP(A256,'China Production data'!$A$1:$C$512,2,FALSE)</f>
        <v>0.13400000000000001</v>
      </c>
      <c r="C256" s="79">
        <f>VLOOKUP(A256,'China Production data'!$A$1:$C$512,3,FALSE)</f>
        <v>51.8</v>
      </c>
    </row>
    <row r="257" spans="1:3" x14ac:dyDescent="0.2">
      <c r="A257" s="78">
        <v>40694</v>
      </c>
      <c r="B257" s="69">
        <f>VLOOKUP(A257,'China Production data'!$A$1:$C$512,2,FALSE)</f>
        <v>0.13300000000000001</v>
      </c>
      <c r="C257" s="79">
        <f>VLOOKUP(A257,'China Production data'!$A$1:$C$512,3,FALSE)</f>
        <v>51.6</v>
      </c>
    </row>
    <row r="258" spans="1:3" x14ac:dyDescent="0.2">
      <c r="A258" s="80">
        <v>40724</v>
      </c>
      <c r="B258" s="69">
        <f>VLOOKUP(A258,'China Production data'!$A$1:$C$512,2,FALSE)</f>
        <v>0.151</v>
      </c>
      <c r="C258" s="79">
        <f>VLOOKUP(A258,'China Production data'!$A$1:$C$512,3,FALSE)</f>
        <v>50.1</v>
      </c>
    </row>
    <row r="259" spans="1:3" x14ac:dyDescent="0.2">
      <c r="A259" s="78">
        <v>40755</v>
      </c>
      <c r="B259" s="69">
        <f>VLOOKUP(A259,'China Production data'!$A$1:$C$512,2,FALSE)</f>
        <v>0.14000000000000001</v>
      </c>
      <c r="C259" s="79">
        <f>VLOOKUP(A259,'China Production data'!$A$1:$C$512,3,FALSE)</f>
        <v>49.3</v>
      </c>
    </row>
    <row r="260" spans="1:3" x14ac:dyDescent="0.2">
      <c r="A260" s="80">
        <v>40786</v>
      </c>
      <c r="B260" s="69">
        <f>VLOOKUP(A260,'China Production data'!$A$1:$C$512,2,FALSE)</f>
        <v>0.13500000000000001</v>
      </c>
      <c r="C260" s="79">
        <f>VLOOKUP(A260,'China Production data'!$A$1:$C$512,3,FALSE)</f>
        <v>49.9</v>
      </c>
    </row>
    <row r="261" spans="1:3" x14ac:dyDescent="0.2">
      <c r="A261" s="78">
        <v>40816</v>
      </c>
      <c r="B261" s="69">
        <f>VLOOKUP(A261,'China Production data'!$A$1:$C$512,2,FALSE)</f>
        <v>0.13800000000000001</v>
      </c>
      <c r="C261" s="79">
        <f>VLOOKUP(A261,'China Production data'!$A$1:$C$512,3,FALSE)</f>
        <v>49.9</v>
      </c>
    </row>
    <row r="262" spans="1:3" x14ac:dyDescent="0.2">
      <c r="A262" s="80">
        <v>40847</v>
      </c>
      <c r="B262" s="69">
        <f>VLOOKUP(A262,'China Production data'!$A$1:$C$512,2,FALSE)</f>
        <v>0.13200000000000001</v>
      </c>
      <c r="C262" s="79">
        <f>VLOOKUP(A262,'China Production data'!$A$1:$C$512,3,FALSE)</f>
        <v>51</v>
      </c>
    </row>
    <row r="263" spans="1:3" x14ac:dyDescent="0.2">
      <c r="A263" s="78">
        <v>40877</v>
      </c>
      <c r="B263" s="69">
        <f>VLOOKUP(A263,'China Production data'!$A$1:$C$512,2,FALSE)</f>
        <v>0.124</v>
      </c>
      <c r="C263" s="79">
        <f>VLOOKUP(A263,'China Production data'!$A$1:$C$512,3,FALSE)</f>
        <v>47.7</v>
      </c>
    </row>
    <row r="264" spans="1:3" x14ac:dyDescent="0.2">
      <c r="A264" s="80">
        <v>40908</v>
      </c>
      <c r="B264" s="69">
        <f>VLOOKUP(A264,'China Production data'!$A$1:$C$512,2,FALSE)</f>
        <v>0.128</v>
      </c>
      <c r="C264" s="79">
        <f>VLOOKUP(A264,'China Production data'!$A$1:$C$512,3,FALSE)</f>
        <v>48.7</v>
      </c>
    </row>
    <row r="265" spans="1:3" x14ac:dyDescent="0.2">
      <c r="A265" s="78">
        <v>40968</v>
      </c>
      <c r="B265" s="69">
        <f>VLOOKUP(A265,'China Production data'!$A$1:$C$512,2,FALSE)</f>
        <v>0.114</v>
      </c>
      <c r="C265" s="79">
        <f>VLOOKUP(A265,'China Production data'!$A$1:$C$512,3,FALSE)</f>
        <v>49.6</v>
      </c>
    </row>
    <row r="266" spans="1:3" x14ac:dyDescent="0.2">
      <c r="A266" s="80">
        <v>40999</v>
      </c>
      <c r="B266" s="69">
        <f>VLOOKUP(A266,'China Production data'!$A$1:$C$512,2,FALSE)</f>
        <v>0.11899999999999999</v>
      </c>
      <c r="C266" s="79">
        <f>VLOOKUP(A266,'China Production data'!$A$1:$C$512,3,FALSE)</f>
        <v>48.3</v>
      </c>
    </row>
    <row r="267" spans="1:3" x14ac:dyDescent="0.2">
      <c r="A267" s="78">
        <v>41029</v>
      </c>
      <c r="B267" s="69">
        <f>VLOOKUP(A267,'China Production data'!$A$1:$C$512,2,FALSE)</f>
        <v>9.2999999999999999E-2</v>
      </c>
      <c r="C267" s="79">
        <f>VLOOKUP(A267,'China Production data'!$A$1:$C$512,3,FALSE)</f>
        <v>49.3</v>
      </c>
    </row>
    <row r="268" spans="1:3" x14ac:dyDescent="0.2">
      <c r="A268" s="80">
        <v>41060</v>
      </c>
      <c r="B268" s="69">
        <f>VLOOKUP(A268,'China Production data'!$A$1:$C$512,2,FALSE)</f>
        <v>9.6000000000000002E-2</v>
      </c>
      <c r="C268" s="79">
        <f>VLOOKUP(A268,'China Production data'!$A$1:$C$512,3,FALSE)</f>
        <v>48.4</v>
      </c>
    </row>
    <row r="269" spans="1:3" x14ac:dyDescent="0.2">
      <c r="A269" s="78">
        <v>41090</v>
      </c>
      <c r="B269" s="69">
        <f>VLOOKUP(A269,'China Production data'!$A$1:$C$512,2,FALSE)</f>
        <v>9.5000000000000001E-2</v>
      </c>
      <c r="C269" s="79">
        <f>VLOOKUP(A269,'China Production data'!$A$1:$C$512,3,FALSE)</f>
        <v>48.2</v>
      </c>
    </row>
    <row r="270" spans="1:3" x14ac:dyDescent="0.2">
      <c r="A270" s="80">
        <v>41121</v>
      </c>
      <c r="B270" s="69">
        <f>VLOOKUP(A270,'China Production data'!$A$1:$C$512,2,FALSE)</f>
        <v>9.1999999999999998E-2</v>
      </c>
      <c r="C270" s="79">
        <f>VLOOKUP(A270,'China Production data'!$A$1:$C$512,3,FALSE)</f>
        <v>49.3</v>
      </c>
    </row>
    <row r="271" spans="1:3" x14ac:dyDescent="0.2">
      <c r="A271" s="78">
        <v>41152</v>
      </c>
      <c r="B271" s="69">
        <f>VLOOKUP(A271,'China Production data'!$A$1:$C$512,2,FALSE)</f>
        <v>8.8999999999999996E-2</v>
      </c>
      <c r="C271" s="79">
        <f>VLOOKUP(A271,'China Production data'!$A$1:$C$512,3,FALSE)</f>
        <v>47.7</v>
      </c>
    </row>
    <row r="272" spans="1:3" x14ac:dyDescent="0.2">
      <c r="A272" s="80">
        <v>41182</v>
      </c>
      <c r="B272" s="69">
        <f>VLOOKUP(A272,'China Production data'!$A$1:$C$512,2,FALSE)</f>
        <v>9.1999999999999998E-2</v>
      </c>
      <c r="C272" s="79">
        <f>VLOOKUP(A272,'China Production data'!$A$1:$C$512,3,FALSE)</f>
        <v>47.9</v>
      </c>
    </row>
    <row r="273" spans="1:3" x14ac:dyDescent="0.2">
      <c r="A273" s="78">
        <v>41213</v>
      </c>
      <c r="B273" s="69">
        <f>VLOOKUP(A273,'China Production data'!$A$1:$C$512,2,FALSE)</f>
        <v>9.6000000000000002E-2</v>
      </c>
      <c r="C273" s="79">
        <f>VLOOKUP(A273,'China Production data'!$A$1:$C$512,3,FALSE)</f>
        <v>49.5</v>
      </c>
    </row>
    <row r="274" spans="1:3" x14ac:dyDescent="0.2">
      <c r="A274" s="80">
        <v>41243</v>
      </c>
      <c r="B274" s="69">
        <f>VLOOKUP(A274,'China Production data'!$A$1:$C$512,2,FALSE)</f>
        <v>0.10100000000000001</v>
      </c>
      <c r="C274" s="79">
        <f>VLOOKUP(A274,'China Production data'!$A$1:$C$512,3,FALSE)</f>
        <v>50.5</v>
      </c>
    </row>
    <row r="275" spans="1:3" x14ac:dyDescent="0.2">
      <c r="A275" s="78">
        <v>41274</v>
      </c>
      <c r="B275" s="69">
        <f>VLOOKUP(A275,'China Production data'!$A$1:$C$512,2,FALSE)</f>
        <v>0.10299999999999999</v>
      </c>
      <c r="C275" s="79">
        <f>VLOOKUP(A275,'China Production data'!$A$1:$C$512,3,FALSE)</f>
        <v>51.5</v>
      </c>
    </row>
    <row r="276" spans="1:3" x14ac:dyDescent="0.2">
      <c r="A276" s="80">
        <v>41333</v>
      </c>
      <c r="B276" s="69">
        <f>VLOOKUP(A276,'China Production data'!$A$1:$C$512,2,FALSE)</f>
        <v>9.9000000000000005E-2</v>
      </c>
      <c r="C276" s="79">
        <f>VLOOKUP(A276,'China Production data'!$A$1:$C$512,3,FALSE)</f>
        <v>50.4</v>
      </c>
    </row>
    <row r="277" spans="1:3" x14ac:dyDescent="0.2">
      <c r="A277" s="78">
        <v>41364</v>
      </c>
      <c r="B277" s="69">
        <f>VLOOKUP(A277,'China Production data'!$A$1:$C$512,2,FALSE)</f>
        <v>8.8999999999999996E-2</v>
      </c>
      <c r="C277" s="79">
        <f>VLOOKUP(A277,'China Production data'!$A$1:$C$512,3,FALSE)</f>
        <v>51.6</v>
      </c>
    </row>
    <row r="278" spans="1:3" x14ac:dyDescent="0.2">
      <c r="A278" s="80">
        <v>41394</v>
      </c>
      <c r="B278" s="69">
        <f>VLOOKUP(A278,'China Production data'!$A$1:$C$512,2,FALSE)</f>
        <v>9.2999999999999999E-2</v>
      </c>
      <c r="C278" s="79">
        <f>VLOOKUP(A278,'China Production data'!$A$1:$C$512,3,FALSE)</f>
        <v>50.4</v>
      </c>
    </row>
    <row r="279" spans="1:3" x14ac:dyDescent="0.2">
      <c r="A279" s="78">
        <v>41425</v>
      </c>
      <c r="B279" s="69">
        <f>VLOOKUP(A279,'China Production data'!$A$1:$C$512,2,FALSE)</f>
        <v>9.1999999999999998E-2</v>
      </c>
      <c r="C279" s="79">
        <f>VLOOKUP(A279,'China Production data'!$A$1:$C$512,3,FALSE)</f>
        <v>49.2</v>
      </c>
    </row>
    <row r="280" spans="1:3" x14ac:dyDescent="0.2">
      <c r="A280" s="80">
        <v>41455</v>
      </c>
      <c r="B280" s="69">
        <f>VLOOKUP(A280,'China Production data'!$A$1:$C$512,2,FALSE)</f>
        <v>8.8999999999999996E-2</v>
      </c>
      <c r="C280" s="79">
        <f>VLOOKUP(A280,'China Production data'!$A$1:$C$512,3,FALSE)</f>
        <v>48.2</v>
      </c>
    </row>
    <row r="281" spans="1:3" x14ac:dyDescent="0.2">
      <c r="A281" s="78">
        <v>41486</v>
      </c>
      <c r="B281" s="69">
        <f>VLOOKUP(A281,'China Production data'!$A$1:$C$512,2,FALSE)</f>
        <v>9.7000000000000003E-2</v>
      </c>
      <c r="C281" s="79">
        <f>VLOOKUP(A281,'China Production data'!$A$1:$C$512,3,FALSE)</f>
        <v>47.7</v>
      </c>
    </row>
    <row r="282" spans="1:3" x14ac:dyDescent="0.2">
      <c r="A282" s="80">
        <v>41517</v>
      </c>
      <c r="B282" s="69">
        <f>VLOOKUP(A282,'China Production data'!$A$1:$C$512,2,FALSE)</f>
        <v>0.104</v>
      </c>
      <c r="C282" s="79">
        <f>VLOOKUP(A282,'China Production data'!$A$1:$C$512,3,FALSE)</f>
        <v>50.1</v>
      </c>
    </row>
    <row r="283" spans="1:3" x14ac:dyDescent="0.2">
      <c r="A283" s="78">
        <v>41547</v>
      </c>
      <c r="B283" s="69">
        <f>VLOOKUP(A283,'China Production data'!$A$1:$C$512,2,FALSE)</f>
        <v>0.10199999999999999</v>
      </c>
      <c r="C283" s="79">
        <f>VLOOKUP(A283,'China Production data'!$A$1:$C$512,3,FALSE)</f>
        <v>50.2</v>
      </c>
    </row>
    <row r="284" spans="1:3" x14ac:dyDescent="0.2">
      <c r="A284" s="80">
        <v>41578</v>
      </c>
      <c r="B284" s="69">
        <f>VLOOKUP(A284,'China Production data'!$A$1:$C$512,2,FALSE)</f>
        <v>0.10299999999999999</v>
      </c>
      <c r="C284" s="79">
        <f>VLOOKUP(A284,'China Production data'!$A$1:$C$512,3,FALSE)</f>
        <v>50.9</v>
      </c>
    </row>
    <row r="285" spans="1:3" x14ac:dyDescent="0.2">
      <c r="A285" s="78">
        <v>41608</v>
      </c>
      <c r="B285" s="69">
        <f>VLOOKUP(A285,'China Production data'!$A$1:$C$512,2,FALSE)</f>
        <v>0.1</v>
      </c>
      <c r="C285" s="79">
        <f>VLOOKUP(A285,'China Production data'!$A$1:$C$512,3,FALSE)</f>
        <v>50.8</v>
      </c>
    </row>
    <row r="286" spans="1:3" x14ac:dyDescent="0.2">
      <c r="A286" s="80">
        <v>41639</v>
      </c>
      <c r="B286" s="69">
        <f>VLOOKUP(A286,'China Production data'!$A$1:$C$512,2,FALSE)</f>
        <v>9.7000000000000003E-2</v>
      </c>
      <c r="C286" s="79">
        <f>VLOOKUP(A286,'China Production data'!$A$1:$C$512,3,FALSE)</f>
        <v>50.5</v>
      </c>
    </row>
    <row r="287" spans="1:3" x14ac:dyDescent="0.2">
      <c r="A287" s="78">
        <v>41698</v>
      </c>
      <c r="B287" s="69">
        <f>VLOOKUP(A287,'China Production data'!$A$1:$C$512,2,FALSE)</f>
        <v>8.5999999999999993E-2</v>
      </c>
      <c r="C287" s="79">
        <f>VLOOKUP(A287,'China Production data'!$A$1:$C$512,3,FALSE)</f>
        <v>48.5</v>
      </c>
    </row>
    <row r="288" spans="1:3" x14ac:dyDescent="0.2">
      <c r="A288" s="80">
        <v>41729</v>
      </c>
      <c r="B288" s="69">
        <f>VLOOKUP(A288,'China Production data'!$A$1:$C$512,2,FALSE)</f>
        <v>8.7999999999999995E-2</v>
      </c>
      <c r="C288" s="79">
        <f>VLOOKUP(A288,'China Production data'!$A$1:$C$512,3,FALSE)</f>
        <v>48</v>
      </c>
    </row>
    <row r="289" spans="1:3" x14ac:dyDescent="0.2">
      <c r="A289" s="78">
        <v>41759</v>
      </c>
      <c r="B289" s="69">
        <f>VLOOKUP(A289,'China Production data'!$A$1:$C$512,2,FALSE)</f>
        <v>8.6999999999999994E-2</v>
      </c>
      <c r="C289" s="79">
        <f>VLOOKUP(A289,'China Production data'!$A$1:$C$512,3,FALSE)</f>
        <v>48.1</v>
      </c>
    </row>
    <row r="290" spans="1:3" x14ac:dyDescent="0.2">
      <c r="A290" s="80">
        <v>41790</v>
      </c>
      <c r="B290" s="69">
        <f>VLOOKUP(A290,'China Production data'!$A$1:$C$512,2,FALSE)</f>
        <v>8.7999999999999995E-2</v>
      </c>
      <c r="C290" s="79">
        <f>VLOOKUP(A290,'China Production data'!$A$1:$C$512,3,FALSE)</f>
        <v>49.4</v>
      </c>
    </row>
    <row r="291" spans="1:3" x14ac:dyDescent="0.2">
      <c r="A291" s="78">
        <v>41820</v>
      </c>
      <c r="B291" s="69">
        <f>VLOOKUP(A291,'China Production data'!$A$1:$C$512,2,FALSE)</f>
        <v>9.1999999999999998E-2</v>
      </c>
      <c r="C291" s="79">
        <f>VLOOKUP(A291,'China Production data'!$A$1:$C$512,3,FALSE)</f>
        <v>50.7</v>
      </c>
    </row>
    <row r="292" spans="1:3" x14ac:dyDescent="0.2">
      <c r="A292" s="80">
        <v>41851</v>
      </c>
      <c r="B292" s="69">
        <f>VLOOKUP(A292,'China Production data'!$A$1:$C$512,2,FALSE)</f>
        <v>0.09</v>
      </c>
      <c r="C292" s="79">
        <f>VLOOKUP(A292,'China Production data'!$A$1:$C$512,3,FALSE)</f>
        <v>51.7</v>
      </c>
    </row>
    <row r="293" spans="1:3" x14ac:dyDescent="0.2">
      <c r="A293" s="78">
        <v>41882</v>
      </c>
      <c r="B293" s="69">
        <f>VLOOKUP(A293,'China Production data'!$A$1:$C$512,2,FALSE)</f>
        <v>6.9000000000000006E-2</v>
      </c>
      <c r="C293" s="79">
        <f>VLOOKUP(A293,'China Production data'!$A$1:$C$512,3,FALSE)</f>
        <v>50.2</v>
      </c>
    </row>
    <row r="294" spans="1:3" x14ac:dyDescent="0.2">
      <c r="A294" s="80">
        <v>41912</v>
      </c>
      <c r="B294" s="69">
        <f>VLOOKUP(A294,'China Production data'!$A$1:$C$512,2,FALSE)</f>
        <v>0.08</v>
      </c>
      <c r="C294" s="79">
        <f>VLOOKUP(A294,'China Production data'!$A$1:$C$512,3,FALSE)</f>
        <v>51.1</v>
      </c>
    </row>
    <row r="295" spans="1:3" x14ac:dyDescent="0.2">
      <c r="A295" s="78">
        <v>41943</v>
      </c>
      <c r="B295" s="69">
        <f>VLOOKUP(A295,'China Production data'!$A$1:$C$512,2,FALSE)</f>
        <v>7.6999999999999999E-2</v>
      </c>
      <c r="C295" s="79">
        <f>VLOOKUP(A295,'China Production data'!$A$1:$C$512,3,FALSE)</f>
        <v>50.8</v>
      </c>
    </row>
    <row r="296" spans="1:3" x14ac:dyDescent="0.2">
      <c r="A296" s="80">
        <v>41973</v>
      </c>
      <c r="B296" s="69">
        <f>VLOOKUP(A296,'China Production data'!$A$1:$C$512,2,FALSE)</f>
        <v>7.1999999999999995E-2</v>
      </c>
      <c r="C296" s="79">
        <f>VLOOKUP(A296,'China Production data'!$A$1:$C$512,3,FALSE)</f>
        <v>50.3</v>
      </c>
    </row>
    <row r="297" spans="1:3" x14ac:dyDescent="0.2">
      <c r="A297" s="78">
        <v>42004</v>
      </c>
      <c r="B297" s="69">
        <f>VLOOKUP(A297,'China Production data'!$A$1:$C$512,2,FALSE)</f>
        <v>7.9000000000000001E-2</v>
      </c>
      <c r="C297" s="79">
        <f>VLOOKUP(A297,'China Production data'!$A$1:$C$512,3,FALSE)</f>
        <v>50.1</v>
      </c>
    </row>
    <row r="298" spans="1:3" x14ac:dyDescent="0.2">
      <c r="A298" s="80">
        <v>42063</v>
      </c>
      <c r="B298" s="69">
        <f>VLOOKUP(A298,'China Production data'!$A$1:$C$512,2,FALSE)</f>
        <v>6.8000000000000005E-2</v>
      </c>
      <c r="C298" s="79">
        <f>VLOOKUP(A298,'China Production data'!$A$1:$C$512,3,FALSE)</f>
        <v>49.9</v>
      </c>
    </row>
    <row r="299" spans="1:3" x14ac:dyDescent="0.2">
      <c r="A299" s="78">
        <v>42094</v>
      </c>
      <c r="B299" s="69">
        <f>VLOOKUP(A299,'China Production data'!$A$1:$C$512,2,FALSE)</f>
        <v>5.6000000000000001E-2</v>
      </c>
      <c r="C299" s="79">
        <f>VLOOKUP(A299,'China Production data'!$A$1:$C$512,3,FALSE)</f>
        <v>50.1</v>
      </c>
    </row>
    <row r="300" spans="1:3" x14ac:dyDescent="0.2">
      <c r="A300" s="80">
        <v>42124</v>
      </c>
      <c r="B300" s="69">
        <f>VLOOKUP(A300,'China Production data'!$A$1:$C$512,2,FALSE)</f>
        <v>5.8999999999999997E-2</v>
      </c>
      <c r="C300" s="79">
        <f>VLOOKUP(A300,'China Production data'!$A$1:$C$512,3,FALSE)</f>
        <v>50.1</v>
      </c>
    </row>
    <row r="301" spans="1:3" x14ac:dyDescent="0.2">
      <c r="A301" s="78">
        <v>42155</v>
      </c>
      <c r="B301" s="69">
        <f>VLOOKUP(A301,'China Production data'!$A$1:$C$512,2,FALSE)</f>
        <v>6.0999999999999999E-2</v>
      </c>
      <c r="C301" s="79">
        <f>VLOOKUP(A301,'China Production data'!$A$1:$C$512,3,FALSE)</f>
        <v>50.2</v>
      </c>
    </row>
    <row r="302" spans="1:3" x14ac:dyDescent="0.2">
      <c r="A302" s="80">
        <v>42185</v>
      </c>
      <c r="B302" s="69">
        <f>VLOOKUP(A302,'China Production data'!$A$1:$C$512,2,FALSE)</f>
        <v>6.8000000000000005E-2</v>
      </c>
      <c r="C302" s="79">
        <f>VLOOKUP(A302,'China Production data'!$A$1:$C$512,3,FALSE)</f>
        <v>50.2</v>
      </c>
    </row>
    <row r="303" spans="1:3" x14ac:dyDescent="0.2">
      <c r="A303" s="78">
        <v>42216</v>
      </c>
      <c r="B303" s="69">
        <f>VLOOKUP(A303,'China Production data'!$A$1:$C$512,2,FALSE)</f>
        <v>0.06</v>
      </c>
      <c r="C303" s="79">
        <f>VLOOKUP(A303,'China Production data'!$A$1:$C$512,3,FALSE)</f>
        <v>50</v>
      </c>
    </row>
    <row r="304" spans="1:3" x14ac:dyDescent="0.2">
      <c r="A304" s="80">
        <v>42247</v>
      </c>
      <c r="B304" s="69">
        <f>VLOOKUP(A304,'China Production data'!$A$1:$C$512,2,FALSE)</f>
        <v>6.0999999999999999E-2</v>
      </c>
      <c r="C304" s="79">
        <f>VLOOKUP(A304,'China Production data'!$A$1:$C$512,3,FALSE)</f>
        <v>47.3</v>
      </c>
    </row>
    <row r="305" spans="1:3" x14ac:dyDescent="0.2">
      <c r="A305" s="78">
        <v>42277</v>
      </c>
      <c r="B305" s="69">
        <f>VLOOKUP(A305,'China Production data'!$A$1:$C$512,2,FALSE)</f>
        <v>5.7000000000000002E-2</v>
      </c>
      <c r="C305" s="79">
        <f>VLOOKUP(A305,'China Production data'!$A$1:$C$512,3,FALSE)</f>
        <v>47.2</v>
      </c>
    </row>
    <row r="306" spans="1:3" x14ac:dyDescent="0.2">
      <c r="A306" s="80">
        <v>42308</v>
      </c>
      <c r="B306" s="69">
        <f>VLOOKUP(A306,'China Production data'!$A$1:$C$512,2,FALSE)</f>
        <v>5.6000000000000001E-2</v>
      </c>
      <c r="C306" s="79">
        <f>VLOOKUP(A306,'China Production data'!$A$1:$C$512,3,FALSE)</f>
        <v>48.3</v>
      </c>
    </row>
    <row r="307" spans="1:3" x14ac:dyDescent="0.2">
      <c r="A307" s="78">
        <v>42338</v>
      </c>
      <c r="B307" s="69">
        <f>VLOOKUP(A307,'China Production data'!$A$1:$C$512,2,FALSE)</f>
        <v>6.2E-2</v>
      </c>
      <c r="C307" s="79">
        <f>VLOOKUP(A307,'China Production data'!$A$1:$C$512,3,FALSE)</f>
        <v>48.6</v>
      </c>
    </row>
    <row r="308" spans="1:3" x14ac:dyDescent="0.2">
      <c r="A308" s="80">
        <v>42369</v>
      </c>
      <c r="B308" s="69">
        <f>VLOOKUP(A308,'China Production data'!$A$1:$C$512,2,FALSE)</f>
        <v>5.8999999999999997E-2</v>
      </c>
      <c r="C308" s="79">
        <f>VLOOKUP(A308,'China Production data'!$A$1:$C$512,3,FALSE)</f>
        <v>48.2</v>
      </c>
    </row>
    <row r="309" spans="1:3" x14ac:dyDescent="0.2">
      <c r="A309" s="78">
        <v>42400</v>
      </c>
      <c r="B309" s="69">
        <f>VLOOKUP(A309,'China Production data'!$A$1:$C$512,2,FALSE)</f>
        <v>5.3999999999999999E-2</v>
      </c>
      <c r="C309" s="79">
        <f>VLOOKUP(A309,'China Production data'!$A$1:$C$512,3,FALSE)</f>
        <v>48.4</v>
      </c>
    </row>
    <row r="310" spans="1:3" x14ac:dyDescent="0.2">
      <c r="A310" s="80">
        <v>42460</v>
      </c>
      <c r="B310" s="69">
        <f>VLOOKUP(A310,'China Production data'!$A$1:$C$512,2,FALSE)</f>
        <v>6.8000000000000005E-2</v>
      </c>
      <c r="C310" s="79">
        <f>VLOOKUP(A310,'China Production data'!$A$1:$C$512,3,FALSE)</f>
        <v>49.7</v>
      </c>
    </row>
    <row r="311" spans="1:3" x14ac:dyDescent="0.2">
      <c r="A311" s="78">
        <v>42490</v>
      </c>
      <c r="B311" s="69">
        <f>VLOOKUP(A311,'China Production data'!$A$1:$C$512,2,FALSE)</f>
        <v>0.06</v>
      </c>
      <c r="C311" s="79">
        <f>VLOOKUP(A311,'China Production data'!$A$1:$C$512,3,FALSE)</f>
        <v>49.4</v>
      </c>
    </row>
    <row r="312" spans="1:3" x14ac:dyDescent="0.2">
      <c r="A312" s="80">
        <v>42521</v>
      </c>
      <c r="B312" s="69">
        <f>VLOOKUP(A312,'China Production data'!$A$1:$C$512,2,FALSE)</f>
        <v>0.06</v>
      </c>
      <c r="C312" s="79">
        <f>VLOOKUP(A312,'China Production data'!$A$1:$C$512,3,FALSE)</f>
        <v>49.2</v>
      </c>
    </row>
    <row r="313" spans="1:3" x14ac:dyDescent="0.2">
      <c r="A313" s="78">
        <v>42551</v>
      </c>
      <c r="B313" s="69">
        <f>VLOOKUP(A313,'China Production data'!$A$1:$C$512,2,FALSE)</f>
        <v>6.2E-2</v>
      </c>
      <c r="C313" s="79">
        <f>VLOOKUP(A313,'China Production data'!$A$1:$C$512,3,FALSE)</f>
        <v>48.6</v>
      </c>
    </row>
    <row r="314" spans="1:3" x14ac:dyDescent="0.2">
      <c r="A314" s="80">
        <v>42582</v>
      </c>
      <c r="B314" s="69">
        <f>VLOOKUP(A314,'China Production data'!$A$1:$C$512,2,FALSE)</f>
        <v>0.06</v>
      </c>
      <c r="C314" s="79">
        <f>VLOOKUP(A314,'China Production data'!$A$1:$C$512,3,FALSE)</f>
        <v>50.6</v>
      </c>
    </row>
    <row r="315" spans="1:3" x14ac:dyDescent="0.2">
      <c r="A315" s="78">
        <v>42613</v>
      </c>
      <c r="B315" s="69">
        <f>VLOOKUP(A315,'China Production data'!$A$1:$C$512,2,FALSE)</f>
        <v>6.3E-2</v>
      </c>
      <c r="C315" s="79">
        <f>VLOOKUP(A315,'China Production data'!$A$1:$C$512,3,FALSE)</f>
        <v>50</v>
      </c>
    </row>
    <row r="316" spans="1:3" x14ac:dyDescent="0.2">
      <c r="A316" s="80">
        <v>42643</v>
      </c>
      <c r="B316" s="69">
        <f>VLOOKUP(A316,'China Production data'!$A$1:$C$512,2,FALSE)</f>
        <v>6.0999999999999999E-2</v>
      </c>
      <c r="C316" s="79">
        <f>VLOOKUP(A316,'China Production data'!$A$1:$C$512,3,FALSE)</f>
        <v>50.1</v>
      </c>
    </row>
    <row r="317" spans="1:3" x14ac:dyDescent="0.2">
      <c r="A317" s="78">
        <v>42674</v>
      </c>
      <c r="B317" s="69">
        <f>VLOOKUP(A317,'China Production data'!$A$1:$C$512,2,FALSE)</f>
        <v>6.0999999999999999E-2</v>
      </c>
      <c r="C317" s="79">
        <f>VLOOKUP(A317,'China Production data'!$A$1:$C$512,3,FALSE)</f>
        <v>51.2</v>
      </c>
    </row>
    <row r="318" spans="1:3" x14ac:dyDescent="0.2">
      <c r="A318" s="80">
        <v>42704</v>
      </c>
      <c r="B318" s="69">
        <f>VLOOKUP(A318,'China Production data'!$A$1:$C$512,2,FALSE)</f>
        <v>6.2E-2</v>
      </c>
      <c r="C318" s="79">
        <f>VLOOKUP(A318,'China Production data'!$A$1:$C$512,3,FALSE)</f>
        <v>50.9</v>
      </c>
    </row>
    <row r="319" spans="1:3" x14ac:dyDescent="0.2">
      <c r="A319" s="78">
        <v>42735</v>
      </c>
      <c r="B319" s="69">
        <f>VLOOKUP(A319,'China Production data'!$A$1:$C$512,2,FALSE)</f>
        <v>0.06</v>
      </c>
      <c r="C319" s="79">
        <f>VLOOKUP(A319,'China Production data'!$A$1:$C$512,3,FALSE)</f>
        <v>51.9</v>
      </c>
    </row>
    <row r="320" spans="1:3" x14ac:dyDescent="0.2">
      <c r="A320" s="80">
        <v>42766</v>
      </c>
      <c r="B320" s="69">
        <f>VLOOKUP(A320,'China Production data'!$A$1:$C$512,2,FALSE)</f>
        <v>6.3E-2</v>
      </c>
      <c r="C320" s="79">
        <f>VLOOKUP(A320,'China Production data'!$A$1:$C$512,3,FALSE)</f>
        <v>51</v>
      </c>
    </row>
    <row r="321" spans="1:3" x14ac:dyDescent="0.2">
      <c r="A321" s="78">
        <v>42825</v>
      </c>
      <c r="B321" s="69">
        <f>VLOOKUP(A321,'China Production data'!$A$1:$C$512,2,FALSE)</f>
        <v>7.5999999999999998E-2</v>
      </c>
      <c r="C321" s="79">
        <f>VLOOKUP(A321,'China Production data'!$A$1:$C$512,3,FALSE)</f>
        <v>51.2</v>
      </c>
    </row>
    <row r="322" spans="1:3" x14ac:dyDescent="0.2">
      <c r="A322" s="80">
        <v>42855</v>
      </c>
      <c r="B322" s="69">
        <f>VLOOKUP(A322,'China Production data'!$A$1:$C$512,2,FALSE)</f>
        <v>6.5000000000000002E-2</v>
      </c>
      <c r="C322" s="79">
        <f>VLOOKUP(A322,'China Production data'!$A$1:$C$512,3,FALSE)</f>
        <v>50.3</v>
      </c>
    </row>
    <row r="323" spans="1:3" x14ac:dyDescent="0.2">
      <c r="A323" s="78">
        <v>42886</v>
      </c>
      <c r="B323" s="69">
        <f>VLOOKUP(A323,'China Production data'!$A$1:$C$512,2,FALSE)</f>
        <v>6.5000000000000002E-2</v>
      </c>
      <c r="C323" s="79">
        <f>VLOOKUP(A323,'China Production data'!$A$1:$C$512,3,FALSE)</f>
        <v>49.6</v>
      </c>
    </row>
    <row r="324" spans="1:3" x14ac:dyDescent="0.2">
      <c r="A324" s="80">
        <v>42916</v>
      </c>
      <c r="B324" s="69">
        <f>VLOOKUP(A324,'China Production data'!$A$1:$C$512,2,FALSE)</f>
        <v>7.5999999999999998E-2</v>
      </c>
      <c r="C324" s="79">
        <f>VLOOKUP(A324,'China Production data'!$A$1:$C$512,3,FALSE)</f>
        <v>50.4</v>
      </c>
    </row>
    <row r="325" spans="1:3" x14ac:dyDescent="0.2">
      <c r="A325" s="78">
        <v>42947</v>
      </c>
      <c r="B325" s="69">
        <f>VLOOKUP(A325,'China Production data'!$A$1:$C$512,2,FALSE)</f>
        <v>6.4000000000000001E-2</v>
      </c>
      <c r="C325" s="79">
        <f>VLOOKUP(A325,'China Production data'!$A$1:$C$512,3,FALSE)</f>
        <v>51.1</v>
      </c>
    </row>
    <row r="326" spans="1:3" x14ac:dyDescent="0.2">
      <c r="A326" s="80">
        <v>42978</v>
      </c>
      <c r="B326" s="69">
        <f>VLOOKUP(A326,'China Production data'!$A$1:$C$512,2,FALSE)</f>
        <v>0.06</v>
      </c>
      <c r="C326" s="79">
        <f>VLOOKUP(A326,'China Production data'!$A$1:$C$512,3,FALSE)</f>
        <v>51.6</v>
      </c>
    </row>
    <row r="327" spans="1:3" x14ac:dyDescent="0.2">
      <c r="A327" s="78">
        <v>43008</v>
      </c>
      <c r="B327" s="69">
        <f>VLOOKUP(A327,'China Production data'!$A$1:$C$512,2,FALSE)</f>
        <v>6.6000000000000003E-2</v>
      </c>
      <c r="C327" s="79">
        <f>VLOOKUP(A327,'China Production data'!$A$1:$C$512,3,FALSE)</f>
        <v>51</v>
      </c>
    </row>
    <row r="328" spans="1:3" x14ac:dyDescent="0.2">
      <c r="A328" s="80">
        <v>43039</v>
      </c>
      <c r="B328" s="69">
        <f>VLOOKUP(A328,'China Production data'!$A$1:$C$512,2,FALSE)</f>
        <v>6.2E-2</v>
      </c>
      <c r="C328" s="79">
        <f>VLOOKUP(A328,'China Production data'!$A$1:$C$512,3,FALSE)</f>
        <v>51</v>
      </c>
    </row>
    <row r="329" spans="1:3" x14ac:dyDescent="0.2">
      <c r="A329" s="78">
        <v>43069</v>
      </c>
      <c r="B329" s="69">
        <f>VLOOKUP(A329,'China Production data'!$A$1:$C$512,2,FALSE)</f>
        <v>6.0999999999999999E-2</v>
      </c>
      <c r="C329" s="79">
        <f>VLOOKUP(A329,'China Production data'!$A$1:$C$512,3,FALSE)</f>
        <v>50.8</v>
      </c>
    </row>
    <row r="330" spans="1:3" x14ac:dyDescent="0.2">
      <c r="A330" s="80">
        <v>43100</v>
      </c>
      <c r="B330" s="69">
        <f>VLOOKUP(A330,'China Production data'!$A$1:$C$512,2,FALSE)</f>
        <v>6.2E-2</v>
      </c>
      <c r="C330" s="79">
        <f>VLOOKUP(A330,'China Production data'!$A$1:$C$512,3,FALSE)</f>
        <v>51.5</v>
      </c>
    </row>
    <row r="331" spans="1:3" x14ac:dyDescent="0.2">
      <c r="A331" s="78">
        <v>43159</v>
      </c>
      <c r="B331" s="69">
        <f>VLOOKUP(A331,'China Production data'!$A$1:$C$512,2,FALSE)</f>
        <v>7.1999999999999995E-2</v>
      </c>
      <c r="C331" s="79">
        <f>VLOOKUP(A331,'China Production data'!$A$1:$C$512,3,FALSE)</f>
        <v>51.5</v>
      </c>
    </row>
    <row r="332" spans="1:3" x14ac:dyDescent="0.2">
      <c r="A332" s="80">
        <v>43190</v>
      </c>
      <c r="B332" s="69">
        <f>VLOOKUP(A332,'China Production data'!$A$1:$C$512,2,FALSE)</f>
        <v>0.06</v>
      </c>
      <c r="C332" s="79">
        <f>VLOOKUP(A332,'China Production data'!$A$1:$C$512,3,FALSE)</f>
        <v>51</v>
      </c>
    </row>
    <row r="333" spans="1:3" x14ac:dyDescent="0.2">
      <c r="A333" s="78">
        <v>43220</v>
      </c>
      <c r="B333" s="69">
        <f>VLOOKUP(A333,'China Production data'!$A$1:$C$512,2,FALSE)</f>
        <v>7.0000000000000007E-2</v>
      </c>
      <c r="C333" s="79">
        <f>VLOOKUP(A333,'China Production data'!$A$1:$C$512,3,FALSE)</f>
        <v>51.1</v>
      </c>
    </row>
    <row r="334" spans="1:3" x14ac:dyDescent="0.2">
      <c r="A334" s="80">
        <v>43251</v>
      </c>
      <c r="B334" s="69">
        <f>VLOOKUP(A334,'China Production data'!$A$1:$C$512,2,FALSE)</f>
        <v>6.8000000000000005E-2</v>
      </c>
      <c r="C334" s="79">
        <f>VLOOKUP(A334,'China Production data'!$A$1:$C$512,3,FALSE)</f>
        <v>51.1</v>
      </c>
    </row>
    <row r="335" spans="1:3" x14ac:dyDescent="0.2">
      <c r="A335" s="78">
        <v>43281</v>
      </c>
      <c r="B335" s="69">
        <f>VLOOKUP(A335,'China Production data'!$A$1:$C$512,2,FALSE)</f>
        <v>0.06</v>
      </c>
      <c r="C335" s="79">
        <f>VLOOKUP(A335,'China Production data'!$A$1:$C$512,3,FALSE)</f>
        <v>51</v>
      </c>
    </row>
    <row r="336" spans="1:3" x14ac:dyDescent="0.2">
      <c r="A336" s="80">
        <v>43312</v>
      </c>
      <c r="B336" s="69">
        <f>VLOOKUP(A336,'China Production data'!$A$1:$C$512,2,FALSE)</f>
        <v>0.06</v>
      </c>
      <c r="C336" s="79">
        <f>VLOOKUP(A336,'China Production data'!$A$1:$C$512,3,FALSE)</f>
        <v>50.8</v>
      </c>
    </row>
    <row r="337" spans="1:3" x14ac:dyDescent="0.2">
      <c r="A337" s="78">
        <v>43343</v>
      </c>
      <c r="B337" s="69">
        <f>VLOOKUP(A337,'China Production data'!$A$1:$C$512,2,FALSE)</f>
        <v>6.0999999999999999E-2</v>
      </c>
      <c r="C337" s="79">
        <f>VLOOKUP(A337,'China Production data'!$A$1:$C$512,3,FALSE)</f>
        <v>50.6</v>
      </c>
    </row>
    <row r="338" spans="1:3" x14ac:dyDescent="0.2">
      <c r="A338" s="80">
        <v>43373</v>
      </c>
      <c r="B338" s="69">
        <f>VLOOKUP(A338,'China Production data'!$A$1:$C$512,2,FALSE)</f>
        <v>5.8000000000000003E-2</v>
      </c>
      <c r="C338" s="79">
        <f>VLOOKUP(A338,'China Production data'!$A$1:$C$512,3,FALSE)</f>
        <v>50</v>
      </c>
    </row>
    <row r="339" spans="1:3" x14ac:dyDescent="0.2">
      <c r="A339" s="78">
        <v>43404</v>
      </c>
      <c r="B339" s="69">
        <f>VLOOKUP(A339,'China Production data'!$A$1:$C$512,2,FALSE)</f>
        <v>5.8999999999999997E-2</v>
      </c>
      <c r="C339" s="79">
        <f>VLOOKUP(A339,'China Production data'!$A$1:$C$512,3,FALSE)</f>
        <v>50.1</v>
      </c>
    </row>
    <row r="340" spans="1:3" x14ac:dyDescent="0.2">
      <c r="A340" s="80">
        <v>43434</v>
      </c>
      <c r="B340" s="69">
        <f>VLOOKUP(A340,'China Production data'!$A$1:$C$512,2,FALSE)</f>
        <v>5.3999999999999999E-2</v>
      </c>
      <c r="C340" s="79">
        <f>VLOOKUP(A340,'China Production data'!$A$1:$C$512,3,FALSE)</f>
        <v>50.2</v>
      </c>
    </row>
    <row r="341" spans="1:3" x14ac:dyDescent="0.2">
      <c r="A341" s="78">
        <v>43465</v>
      </c>
      <c r="B341" s="69">
        <f>VLOOKUP(A341,'China Production data'!$A$1:$C$512,2,FALSE)</f>
        <v>5.7000000000000002E-2</v>
      </c>
      <c r="C341" s="79">
        <f>VLOOKUP(A341,'China Production data'!$A$1:$C$512,3,FALSE)</f>
        <v>49.7</v>
      </c>
    </row>
    <row r="342" spans="1:3" x14ac:dyDescent="0.2">
      <c r="A342" s="80">
        <v>43496</v>
      </c>
      <c r="B342" s="69">
        <f>VLOOKUP(A342,'China Production data'!$A$1:$C$512,2,FALSE)</f>
        <v>5.2999999999999999E-2</v>
      </c>
      <c r="C342" s="79">
        <f>VLOOKUP(A342,'China Production data'!$A$1:$C$512,3,FALSE)</f>
        <v>48.3</v>
      </c>
    </row>
    <row r="343" spans="1:3" x14ac:dyDescent="0.2">
      <c r="A343" s="78">
        <v>43524</v>
      </c>
      <c r="B343" s="69">
        <f>VLOOKUP(A343,'China Production data'!$A$1:$C$512,2,FALSE)</f>
        <v>8.5000000000000006E-2</v>
      </c>
      <c r="C343" s="79">
        <f>VLOOKUP(A343,'China Production data'!$A$1:$C$512,3,FALSE)</f>
        <v>49.9</v>
      </c>
    </row>
    <row r="344" spans="1:3" x14ac:dyDescent="0.2">
      <c r="A344" s="80">
        <v>43555</v>
      </c>
      <c r="B344" s="69">
        <f>VLOOKUP(A344,'China Production data'!$A$1:$C$512,2,FALSE)</f>
        <v>5.3999999999999999E-2</v>
      </c>
      <c r="C344" s="79">
        <f>VLOOKUP(A344,'China Production data'!$A$1:$C$512,3,FALSE)</f>
        <v>50.8</v>
      </c>
    </row>
    <row r="345" spans="1:3" x14ac:dyDescent="0.2">
      <c r="A345" s="80">
        <v>43585</v>
      </c>
      <c r="B345" s="69">
        <f>VLOOKUP(A345,'China Production data'!$A$1:$C$512,2,FALSE)</f>
        <v>5.3999999999999999E-2</v>
      </c>
      <c r="C345" s="79">
        <f>VLOOKUP(A345,'China Production data'!$A$1:$C$512,3,FALSE)</f>
        <v>50.2</v>
      </c>
    </row>
    <row r="346" spans="1:3" x14ac:dyDescent="0.2">
      <c r="A346" s="78">
        <v>43616</v>
      </c>
      <c r="B346" s="69">
        <f>VLOOKUP(A346,'China Production data'!$A$1:$C$512,2,FALSE)</f>
        <v>0.05</v>
      </c>
      <c r="C346" s="79">
        <f>VLOOKUP(A346,'China Production data'!$A$1:$C$512,3,FALSE)</f>
        <v>50.2</v>
      </c>
    </row>
    <row r="347" spans="1:3" x14ac:dyDescent="0.2">
      <c r="A347" s="78">
        <v>43646</v>
      </c>
      <c r="B347" s="69">
        <f>VLOOKUP(A347,'China Production data'!$A$1:$C$512,2,FALSE)</f>
        <v>6.3E-2</v>
      </c>
      <c r="C347" s="79">
        <f>VLOOKUP(A347,'China Production data'!$A$1:$C$512,3,FALSE)</f>
        <v>49.4</v>
      </c>
    </row>
    <row r="348" spans="1:3" x14ac:dyDescent="0.2">
      <c r="A348" s="80">
        <v>43677</v>
      </c>
      <c r="B348" s="69">
        <f>VLOOKUP(A348,'China Production data'!$A$1:$C$512,2,FALSE)</f>
        <v>4.8000000000000001E-2</v>
      </c>
      <c r="C348" s="79">
        <f>VLOOKUP(A348,'China Production data'!$A$1:$C$512,3,FALSE)</f>
        <v>49.9</v>
      </c>
    </row>
    <row r="349" spans="1:3" x14ac:dyDescent="0.2">
      <c r="A349" s="78">
        <v>43708</v>
      </c>
      <c r="B349" s="69">
        <f>VLOOKUP(A349,'China Production data'!$A$1:$C$512,2,FALSE)</f>
        <v>4.3999999999999997E-2</v>
      </c>
      <c r="C349" s="79">
        <f>VLOOKUP(A349,'China Production data'!$A$1:$C$512,3,FALSE)</f>
        <v>50.4</v>
      </c>
    </row>
    <row r="350" spans="1:3" x14ac:dyDescent="0.2">
      <c r="A350" s="80">
        <v>43738</v>
      </c>
      <c r="B350" s="69">
        <f>VLOOKUP(A350,'China Production data'!$A$1:$C$512,2,FALSE)</f>
        <v>5.8000000000000003E-2</v>
      </c>
      <c r="C350" s="79">
        <f>VLOOKUP(A350,'China Production data'!$A$1:$C$512,3,FALSE)</f>
        <v>51.4</v>
      </c>
    </row>
    <row r="351" spans="1:3" x14ac:dyDescent="0.2">
      <c r="A351" s="78">
        <v>43769</v>
      </c>
      <c r="B351" s="69">
        <f>VLOOKUP(A351,'China Production data'!$A$1:$C$512,2,FALSE)</f>
        <v>4.7E-2</v>
      </c>
      <c r="C351" s="79">
        <f>VLOOKUP(A351,'China Production data'!$A$1:$C$512,3,FALSE)</f>
        <v>51.7</v>
      </c>
    </row>
    <row r="352" spans="1:3" x14ac:dyDescent="0.2">
      <c r="A352" s="78">
        <v>43799</v>
      </c>
      <c r="B352" s="69">
        <f>VLOOKUP(A352,'China Production data'!$A$1:$C$512,2,FALSE)</f>
        <v>6.2E-2</v>
      </c>
      <c r="C352" s="79">
        <f>VLOOKUP(A352,'China Production data'!$A$1:$C$512,3,FALSE)</f>
        <v>51.8</v>
      </c>
    </row>
    <row r="353" spans="1:3" x14ac:dyDescent="0.2">
      <c r="A353" s="78">
        <v>43830</v>
      </c>
      <c r="B353" s="69">
        <f>VLOOKUP(A353,'China Production data'!$A$1:$C$512,2,FALSE)</f>
        <v>6.9000000000000006E-2</v>
      </c>
      <c r="C353" s="79">
        <f>VLOOKUP(A353,'China Production data'!$A$1:$C$512,3,FALSE)</f>
        <v>51.5</v>
      </c>
    </row>
    <row r="354" spans="1:3" x14ac:dyDescent="0.2">
      <c r="A354" s="78">
        <v>43890</v>
      </c>
      <c r="B354" s="69">
        <f>VLOOKUP(A354,'China Production data'!$A$1:$C$512,2,FALSE)</f>
        <v>-0.13500000000000001</v>
      </c>
      <c r="C354" s="79">
        <f>VLOOKUP(A354,'China Production data'!$A$1:$C$512,3,FALSE)</f>
        <v>51.1</v>
      </c>
    </row>
    <row r="355" spans="1:3" x14ac:dyDescent="0.2">
      <c r="A355" s="78">
        <v>43921</v>
      </c>
      <c r="B355" s="69">
        <f>VLOOKUP(A355,'China Production data'!$A$1:$C$512,2,FALSE)</f>
        <v>-1.0999999999999999E-2</v>
      </c>
      <c r="C355" s="79">
        <f>VLOOKUP(A355,'China Production data'!$A$1:$C$512,3,FALSE)</f>
        <v>40.299999999999997</v>
      </c>
    </row>
    <row r="356" spans="1:3" x14ac:dyDescent="0.2">
      <c r="A356" s="78">
        <v>43951</v>
      </c>
      <c r="B356" s="69">
        <f>VLOOKUP(A356,'China Production data'!$A$1:$C$512,2,FALSE)</f>
        <v>3.9E-2</v>
      </c>
      <c r="C356" s="79">
        <f>VLOOKUP(A356,'China Production data'!$A$1:$C$512,3,FALSE)</f>
        <v>50.1</v>
      </c>
    </row>
    <row r="357" spans="1:3" x14ac:dyDescent="0.2">
      <c r="A357" s="78">
        <v>43982</v>
      </c>
      <c r="B357" s="69">
        <f>VLOOKUP(A357,'China Production data'!$A$1:$C$512,2,FALSE)</f>
        <v>4.3999999999999997E-2</v>
      </c>
      <c r="C357" s="79">
        <f>VLOOKUP(A357,'China Production data'!$A$1:$C$512,3,FALSE)</f>
        <v>49.4</v>
      </c>
    </row>
    <row r="358" spans="1:3" x14ac:dyDescent="0.2">
      <c r="A358" s="78">
        <v>44012</v>
      </c>
      <c r="B358" s="69">
        <f>VLOOKUP(A358,'China Production data'!$A$1:$C$512,2,FALSE)</f>
        <v>4.8000000000000001E-2</v>
      </c>
      <c r="C358" s="79">
        <f>VLOOKUP(A358,'China Production data'!$A$1:$C$512,3,FALSE)</f>
        <v>50.7</v>
      </c>
    </row>
    <row r="359" spans="1:3" x14ac:dyDescent="0.2">
      <c r="A359" s="78">
        <v>44043</v>
      </c>
      <c r="B359" s="69">
        <f>VLOOKUP(A359,'China Production data'!$A$1:$C$512,2,FALSE)</f>
        <v>4.8000000000000001E-2</v>
      </c>
      <c r="C359" s="79">
        <f>VLOOKUP(A359,'China Production data'!$A$1:$C$512,3,FALSE)</f>
        <v>51.2</v>
      </c>
    </row>
    <row r="360" spans="1:3" x14ac:dyDescent="0.2">
      <c r="A360" s="78">
        <v>44074</v>
      </c>
      <c r="B360" s="69">
        <f>VLOOKUP(A360,'China Production data'!$A$1:$C$512,2,FALSE)</f>
        <v>5.6000000000000001E-2</v>
      </c>
      <c r="C360" s="79">
        <f>VLOOKUP(A360,'China Production data'!$A$1:$C$512,3,FALSE)</f>
        <v>52.8</v>
      </c>
    </row>
    <row r="361" spans="1:3" x14ac:dyDescent="0.2">
      <c r="A361" s="78">
        <v>44104</v>
      </c>
      <c r="B361" s="69">
        <f>VLOOKUP(A361,'China Production data'!$A$1:$C$512,2,FALSE)</f>
        <v>6.9000000000000006E-2</v>
      </c>
      <c r="C361" s="79">
        <f>VLOOKUP(A361,'China Production data'!$A$1:$C$512,3,FALSE)</f>
        <v>53.1</v>
      </c>
    </row>
    <row r="362" spans="1:3" x14ac:dyDescent="0.2">
      <c r="A362" s="78">
        <v>44135</v>
      </c>
      <c r="B362" s="69">
        <f>VLOOKUP(A362,'China Production data'!$A$1:$C$512,2,FALSE)</f>
        <v>6.9000000000000006E-2</v>
      </c>
      <c r="C362" s="79">
        <f>VLOOKUP(A362,'China Production data'!$A$1:$C$512,3,FALSE)</f>
        <v>53</v>
      </c>
    </row>
    <row r="363" spans="1:3" x14ac:dyDescent="0.2">
      <c r="A363" s="78">
        <v>44165</v>
      </c>
      <c r="B363" s="69">
        <f>VLOOKUP(A363,'China Production data'!$A$1:$C$512,2,FALSE)</f>
        <v>7.0000000000000007E-2</v>
      </c>
      <c r="C363" s="79">
        <f>VLOOKUP(A363,'China Production data'!$A$1:$C$512,3,FALSE)</f>
        <v>53.6</v>
      </c>
    </row>
    <row r="364" spans="1:3" x14ac:dyDescent="0.2">
      <c r="A364" s="78">
        <v>44196</v>
      </c>
      <c r="B364" s="69">
        <f>VLOOKUP(A364,'China Production data'!$A$1:$C$512,2,FALSE)</f>
        <v>3.7999999999999999E-2</v>
      </c>
      <c r="C364" s="79">
        <f>VLOOKUP(A364,'China Production data'!$A$1:$C$512,3,FALSE)</f>
        <v>49.9</v>
      </c>
    </row>
    <row r="365" spans="1:3" x14ac:dyDescent="0.2">
      <c r="A365" s="78">
        <v>44227</v>
      </c>
      <c r="B365" s="69">
        <f>VLOOKUP(A365,'China Production data'!$A$1:$C$512,2,FALSE)</f>
        <v>0.35099999999999998</v>
      </c>
      <c r="C365" s="79">
        <f>VLOOKUP(A365,'China Production data'!$A$1:$C$512,3,FALSE)</f>
        <v>51.5</v>
      </c>
    </row>
    <row r="366" spans="1:3" x14ac:dyDescent="0.2">
      <c r="A366" s="78">
        <v>44255</v>
      </c>
      <c r="B366" s="69">
        <f>VLOOKUP(A366,'China Production data'!$A$1:$C$512,2,FALSE)</f>
        <v>0.14099999999999999</v>
      </c>
      <c r="C366" s="79">
        <f>VLOOKUP(A366,'China Production data'!$A$1:$C$512,3,FALSE)</f>
        <v>50.9</v>
      </c>
    </row>
    <row r="367" spans="1:3" x14ac:dyDescent="0.2">
      <c r="A367" s="78">
        <v>44286</v>
      </c>
      <c r="B367" s="69">
        <f>VLOOKUP(A367,'China Production data'!$A$1:$C$512,2,FALSE)</f>
        <v>9.8000000000000004E-2</v>
      </c>
      <c r="C367" s="79">
        <f>VLOOKUP(A367,'China Production data'!$A$1:$C$512,3,FALSE)</f>
        <v>50.6</v>
      </c>
    </row>
    <row r="368" spans="1:3" x14ac:dyDescent="0.2">
      <c r="A368" s="78">
        <v>44316</v>
      </c>
      <c r="B368" s="69">
        <f>VLOOKUP(A368,'China Production data'!$A$1:$C$512,2,FALSE)</f>
        <v>8.7999999999999995E-2</v>
      </c>
      <c r="C368" s="79">
        <f>VLOOKUP(A368,'China Production data'!$A$1:$C$512,3,FALSE)</f>
        <v>51.9</v>
      </c>
    </row>
    <row r="369" spans="1:3" x14ac:dyDescent="0.2">
      <c r="A369" s="78">
        <v>44347</v>
      </c>
      <c r="B369" s="69">
        <f>VLOOKUP(A369,'China Production data'!$A$1:$C$512,2,FALSE)</f>
        <v>8.3000000000000004E-2</v>
      </c>
      <c r="C369" s="79">
        <f>VLOOKUP(A369,'China Production data'!$A$1:$C$512,3,FALSE)</f>
        <v>52</v>
      </c>
    </row>
    <row r="370" spans="1:3" x14ac:dyDescent="0.2">
      <c r="A370" s="78">
        <v>44377</v>
      </c>
      <c r="B370" s="69">
        <f>VLOOKUP(A370,'China Production data'!$A$1:$C$512,2,FALSE)</f>
        <v>6.4000000000000001E-2</v>
      </c>
      <c r="C370" s="79">
        <f>VLOOKUP(A370,'China Production data'!$A$1:$C$512,3,FALSE)</f>
        <v>51.3</v>
      </c>
    </row>
    <row r="371" spans="1:3" x14ac:dyDescent="0.2">
      <c r="A371" s="78">
        <v>44408</v>
      </c>
      <c r="B371" s="69">
        <f>VLOOKUP(A371,'China Production data'!$A$1:$C$512,2,FALSE)</f>
        <v>5.2999999999999999E-2</v>
      </c>
      <c r="C371" s="79">
        <f>VLOOKUP(A371,'China Production data'!$A$1:$C$512,3,FALSE)</f>
        <v>50.3</v>
      </c>
    </row>
    <row r="372" spans="1:3" x14ac:dyDescent="0.2">
      <c r="A372" s="78">
        <v>44439</v>
      </c>
      <c r="B372" s="69">
        <f>VLOOKUP(A372,'China Production data'!$A$1:$C$512,2,FALSE)</f>
        <v>3.1E-2</v>
      </c>
      <c r="C372" s="79">
        <f>VLOOKUP(A372,'China Production data'!$A$1:$C$512,3,FALSE)</f>
        <v>49.2</v>
      </c>
    </row>
    <row r="373" spans="1:3" x14ac:dyDescent="0.2">
      <c r="A373" s="78">
        <v>44469</v>
      </c>
      <c r="B373" s="69">
        <f>VLOOKUP(A373,'China Production data'!$A$1:$C$512,2,FALSE)</f>
        <v>3.5000000000000003E-2</v>
      </c>
      <c r="C373" s="79">
        <f>VLOOKUP(A373,'China Production data'!$A$1:$C$512,3,FALSE)</f>
        <v>50</v>
      </c>
    </row>
    <row r="374" spans="1:3" x14ac:dyDescent="0.2">
      <c r="A374" s="78">
        <v>44500</v>
      </c>
      <c r="B374" s="69">
        <f>VLOOKUP(A374,'China Production data'!$A$1:$C$512,2,FALSE)</f>
        <v>3.7999999999999999E-2</v>
      </c>
      <c r="C374" s="79">
        <f>VLOOKUP(A374,'China Production data'!$A$1:$C$512,3,FALSE)</f>
        <v>50.6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Note</vt:lpstr>
      <vt:lpstr>World Production data</vt:lpstr>
      <vt:lpstr>Database</vt:lpstr>
      <vt:lpstr>Data World GDP</vt:lpstr>
      <vt:lpstr>China Production data</vt:lpstr>
      <vt:lpstr>Big Picture</vt:lpstr>
      <vt:lpstr>Industrial production yoy</vt:lpstr>
      <vt:lpstr>IP World</vt:lpstr>
      <vt:lpstr>Per country</vt:lpstr>
      <vt:lpstr>China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2018-12-14T12:31:30Z</dcterms:created>
  <dcterms:modified xsi:type="dcterms:W3CDTF">2022-01-22T08:25:01Z</dcterms:modified>
</cp:coreProperties>
</file>