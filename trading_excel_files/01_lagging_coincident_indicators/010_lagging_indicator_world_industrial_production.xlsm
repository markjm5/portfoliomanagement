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07EA164-CB62-2C49-906A-6655CD9793DF}" xr6:coauthVersionLast="47" xr6:coauthVersionMax="47" xr10:uidLastSave="{00000000-0000-0000-0000-000000000000}"/>
  <bookViews>
    <workbookView xWindow="-64460" yWindow="820" windowWidth="47380" windowHeight="24640" activeTab="5" xr2:uid="{00000000-000D-0000-FFFF-FFFF00000000}"/>
  </bookViews>
  <sheets>
    <sheet name="Note" sheetId="1" r:id="rId1"/>
    <sheet name="Big Picture" sheetId="2" r:id="rId2"/>
    <sheet name="World Production data" sheetId="3" r:id="rId3"/>
    <sheet name="Database" sheetId="4" r:id="rId4"/>
    <sheet name="Data World GDP" sheetId="5" r:id="rId5"/>
    <sheet name="China Production data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2" hidden="1">'World Production data'!$A$1:$E$1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0" l="1"/>
  <c r="B351" i="9"/>
  <c r="B350" i="9"/>
  <c r="C351" i="9" s="1"/>
  <c r="D349" i="9"/>
  <c r="B349" i="9"/>
  <c r="C350" i="9" s="1"/>
  <c r="C348" i="9"/>
  <c r="B348" i="9"/>
  <c r="C349" i="9" s="1"/>
  <c r="C347" i="9"/>
  <c r="B347" i="9"/>
  <c r="C346" i="9"/>
  <c r="B346" i="9"/>
  <c r="D345" i="9"/>
  <c r="C345" i="9"/>
  <c r="B345" i="9"/>
  <c r="B344" i="9"/>
  <c r="B343" i="9"/>
  <c r="C344" i="9" s="1"/>
  <c r="B342" i="9"/>
  <c r="C343" i="9" s="1"/>
  <c r="D341" i="9"/>
  <c r="B341" i="9"/>
  <c r="C342" i="9" s="1"/>
  <c r="C340" i="9"/>
  <c r="B340" i="9"/>
  <c r="C341" i="9" s="1"/>
  <c r="C339" i="9"/>
  <c r="B339" i="9"/>
  <c r="D351" i="9" s="1"/>
  <c r="C338" i="9"/>
  <c r="B338" i="9"/>
  <c r="D350" i="9" s="1"/>
  <c r="D337" i="9"/>
  <c r="C337" i="9"/>
  <c r="B337" i="9"/>
  <c r="B336" i="9"/>
  <c r="D348" i="9" s="1"/>
  <c r="B335" i="9"/>
  <c r="D347" i="9" s="1"/>
  <c r="B334" i="9"/>
  <c r="D346" i="9" s="1"/>
  <c r="D333" i="9"/>
  <c r="B333" i="9"/>
  <c r="C334" i="9" s="1"/>
  <c r="C332" i="9"/>
  <c r="B332" i="9"/>
  <c r="C333" i="9" s="1"/>
  <c r="C331" i="9"/>
  <c r="B331" i="9"/>
  <c r="D343" i="9" s="1"/>
  <c r="C330" i="9"/>
  <c r="B330" i="9"/>
  <c r="D329" i="9"/>
  <c r="C329" i="9"/>
  <c r="B329" i="9"/>
  <c r="B328" i="9"/>
  <c r="D340" i="9" s="1"/>
  <c r="B327" i="9"/>
  <c r="D339" i="9" s="1"/>
  <c r="B326" i="9"/>
  <c r="D338" i="9" s="1"/>
  <c r="D325" i="9"/>
  <c r="B325" i="9"/>
  <c r="C326" i="9" s="1"/>
  <c r="C324" i="9"/>
  <c r="B324" i="9"/>
  <c r="C325" i="9" s="1"/>
  <c r="C323" i="9"/>
  <c r="B323" i="9"/>
  <c r="D335" i="9" s="1"/>
  <c r="C322" i="9"/>
  <c r="B322" i="9"/>
  <c r="D321" i="9"/>
  <c r="C321" i="9"/>
  <c r="B321" i="9"/>
  <c r="B320" i="9"/>
  <c r="D332" i="9" s="1"/>
  <c r="B319" i="9"/>
  <c r="D331" i="9" s="1"/>
  <c r="B318" i="9"/>
  <c r="D330" i="9" s="1"/>
  <c r="D317" i="9"/>
  <c r="B317" i="9"/>
  <c r="C318" i="9" s="1"/>
  <c r="C316" i="9"/>
  <c r="B316" i="9"/>
  <c r="C317" i="9" s="1"/>
  <c r="C315" i="9"/>
  <c r="B315" i="9"/>
  <c r="D327" i="9" s="1"/>
  <c r="C314" i="9"/>
  <c r="B314" i="9"/>
  <c r="D313" i="9"/>
  <c r="C313" i="9"/>
  <c r="B313" i="9"/>
  <c r="B312" i="9"/>
  <c r="D324" i="9" s="1"/>
  <c r="B311" i="9"/>
  <c r="D323" i="9" s="1"/>
  <c r="B310" i="9"/>
  <c r="D322" i="9" s="1"/>
  <c r="D309" i="9"/>
  <c r="B309" i="9"/>
  <c r="C310" i="9" s="1"/>
  <c r="C308" i="9"/>
  <c r="B308" i="9"/>
  <c r="C309" i="9" s="1"/>
  <c r="C307" i="9"/>
  <c r="B307" i="9"/>
  <c r="D319" i="9" s="1"/>
  <c r="C306" i="9"/>
  <c r="B306" i="9"/>
  <c r="D305" i="9"/>
  <c r="C305" i="9"/>
  <c r="B305" i="9"/>
  <c r="B304" i="9"/>
  <c r="D316" i="9" s="1"/>
  <c r="B303" i="9"/>
  <c r="D315" i="9" s="1"/>
  <c r="B302" i="9"/>
  <c r="D314" i="9" s="1"/>
  <c r="D301" i="9"/>
  <c r="B301" i="9"/>
  <c r="C302" i="9" s="1"/>
  <c r="B300" i="9"/>
  <c r="C301" i="9" s="1"/>
  <c r="B299" i="9"/>
  <c r="D311" i="9" s="1"/>
  <c r="C298" i="9"/>
  <c r="B298" i="9"/>
  <c r="D297" i="9"/>
  <c r="C297" i="9"/>
  <c r="B297" i="9"/>
  <c r="B296" i="9"/>
  <c r="D308" i="9" s="1"/>
  <c r="B295" i="9"/>
  <c r="D307" i="9" s="1"/>
  <c r="B294" i="9"/>
  <c r="D306" i="9" s="1"/>
  <c r="D293" i="9"/>
  <c r="B293" i="9"/>
  <c r="C294" i="9" s="1"/>
  <c r="B292" i="9"/>
  <c r="C293" i="9" s="1"/>
  <c r="B291" i="9"/>
  <c r="D303" i="9" s="1"/>
  <c r="C290" i="9"/>
  <c r="B290" i="9"/>
  <c r="D289" i="9"/>
  <c r="C289" i="9"/>
  <c r="B289" i="9"/>
  <c r="C288" i="9"/>
  <c r="B288" i="9"/>
  <c r="D300" i="9" s="1"/>
  <c r="B287" i="9"/>
  <c r="D299" i="9" s="1"/>
  <c r="B286" i="9"/>
  <c r="D298" i="9" s="1"/>
  <c r="D285" i="9"/>
  <c r="B285" i="9"/>
  <c r="C286" i="9" s="1"/>
  <c r="B284" i="9"/>
  <c r="C285" i="9" s="1"/>
  <c r="B283" i="9"/>
  <c r="D295" i="9" s="1"/>
  <c r="C282" i="9"/>
  <c r="B282" i="9"/>
  <c r="D281" i="9"/>
  <c r="C281" i="9"/>
  <c r="B281" i="9"/>
  <c r="C280" i="9"/>
  <c r="B280" i="9"/>
  <c r="D292" i="9" s="1"/>
  <c r="B279" i="9"/>
  <c r="D291" i="9" s="1"/>
  <c r="B278" i="9"/>
  <c r="D290" i="9" s="1"/>
  <c r="D277" i="9"/>
  <c r="B277" i="9"/>
  <c r="C278" i="9" s="1"/>
  <c r="C276" i="9"/>
  <c r="B276" i="9"/>
  <c r="C277" i="9" s="1"/>
  <c r="B275" i="9"/>
  <c r="D287" i="9" s="1"/>
  <c r="C274" i="9"/>
  <c r="B274" i="9"/>
  <c r="D273" i="9"/>
  <c r="C273" i="9"/>
  <c r="B273" i="9"/>
  <c r="B272" i="9"/>
  <c r="D284" i="9" s="1"/>
  <c r="B271" i="9"/>
  <c r="D283" i="9" s="1"/>
  <c r="B270" i="9"/>
  <c r="D269" i="9"/>
  <c r="B269" i="9"/>
  <c r="B268" i="9"/>
  <c r="B267" i="9"/>
  <c r="D279" i="9" s="1"/>
  <c r="C266" i="9"/>
  <c r="B266" i="9"/>
  <c r="D265" i="9"/>
  <c r="C265" i="9"/>
  <c r="B265" i="9"/>
  <c r="B264" i="9"/>
  <c r="D276" i="9" s="1"/>
  <c r="B263" i="9"/>
  <c r="D275" i="9" s="1"/>
  <c r="B262" i="9"/>
  <c r="D261" i="9"/>
  <c r="B261" i="9"/>
  <c r="B260" i="9"/>
  <c r="C261" i="9" s="1"/>
  <c r="B259" i="9"/>
  <c r="D271" i="9" s="1"/>
  <c r="C258" i="9"/>
  <c r="B258" i="9"/>
  <c r="D257" i="9"/>
  <c r="C257" i="9"/>
  <c r="B257" i="9"/>
  <c r="B256" i="9"/>
  <c r="D268" i="9" s="1"/>
  <c r="B255" i="9"/>
  <c r="D267" i="9" s="1"/>
  <c r="D254" i="9"/>
  <c r="B254" i="9"/>
  <c r="D253" i="9"/>
  <c r="B253" i="9"/>
  <c r="B252" i="9"/>
  <c r="C253" i="9" s="1"/>
  <c r="B251" i="9"/>
  <c r="C250" i="9"/>
  <c r="B250" i="9"/>
  <c r="D249" i="9"/>
  <c r="C249" i="9"/>
  <c r="B249" i="9"/>
  <c r="B248" i="9"/>
  <c r="D260" i="9" s="1"/>
  <c r="B247" i="9"/>
  <c r="D259" i="9" s="1"/>
  <c r="D246" i="9"/>
  <c r="B246" i="9"/>
  <c r="D245" i="9"/>
  <c r="B245" i="9"/>
  <c r="C246" i="9" s="1"/>
  <c r="B244" i="9"/>
  <c r="B243" i="9"/>
  <c r="C242" i="9"/>
  <c r="B242" i="9"/>
  <c r="D241" i="9"/>
  <c r="C241" i="9"/>
  <c r="B241" i="9"/>
  <c r="B240" i="9"/>
  <c r="D252" i="9" s="1"/>
  <c r="B239" i="9"/>
  <c r="D251" i="9" s="1"/>
  <c r="B238" i="9"/>
  <c r="D237" i="9"/>
  <c r="B237" i="9"/>
  <c r="C238" i="9" s="1"/>
  <c r="B236" i="9"/>
  <c r="B235" i="9"/>
  <c r="D247" i="9" s="1"/>
  <c r="C234" i="9"/>
  <c r="B234" i="9"/>
  <c r="D233" i="9"/>
  <c r="C233" i="9"/>
  <c r="B233" i="9"/>
  <c r="C232" i="9"/>
  <c r="B232" i="9"/>
  <c r="D244" i="9" s="1"/>
  <c r="B231" i="9"/>
  <c r="B230" i="9"/>
  <c r="D229" i="9"/>
  <c r="B229" i="9"/>
  <c r="C230" i="9" s="1"/>
  <c r="B228" i="9"/>
  <c r="C229" i="9" s="1"/>
  <c r="C227" i="9"/>
  <c r="B227" i="9"/>
  <c r="C226" i="9"/>
  <c r="B226" i="9"/>
  <c r="D225" i="9"/>
  <c r="C225" i="9"/>
  <c r="B225" i="9"/>
  <c r="D224" i="9"/>
  <c r="C224" i="9"/>
  <c r="B224" i="9"/>
  <c r="B223" i="9"/>
  <c r="B222" i="9"/>
  <c r="D221" i="9"/>
  <c r="B221" i="9"/>
  <c r="C222" i="9" s="1"/>
  <c r="B220" i="9"/>
  <c r="B219" i="9"/>
  <c r="D231" i="9" s="1"/>
  <c r="C218" i="9"/>
  <c r="B218" i="9"/>
  <c r="D217" i="9"/>
  <c r="C217" i="9"/>
  <c r="B217" i="9"/>
  <c r="D216" i="9"/>
  <c r="B216" i="9"/>
  <c r="B215" i="9"/>
  <c r="D227" i="9" s="1"/>
  <c r="B214" i="9"/>
  <c r="D213" i="9"/>
  <c r="B213" i="9"/>
  <c r="C212" i="9"/>
  <c r="B212" i="9"/>
  <c r="B211" i="9"/>
  <c r="D223" i="9" s="1"/>
  <c r="C210" i="9"/>
  <c r="B210" i="9"/>
  <c r="D209" i="9"/>
  <c r="C209" i="9"/>
  <c r="B209" i="9"/>
  <c r="B208" i="9"/>
  <c r="B207" i="9"/>
  <c r="D206" i="9"/>
  <c r="B206" i="9"/>
  <c r="D205" i="9"/>
  <c r="B205" i="9"/>
  <c r="C206" i="9" s="1"/>
  <c r="B204" i="9"/>
  <c r="B203" i="9"/>
  <c r="C202" i="9"/>
  <c r="B202" i="9"/>
  <c r="D201" i="9"/>
  <c r="C201" i="9"/>
  <c r="B201" i="9"/>
  <c r="B200" i="9"/>
  <c r="B199" i="9"/>
  <c r="B198" i="9"/>
  <c r="D197" i="9"/>
  <c r="B197" i="9"/>
  <c r="B196" i="9"/>
  <c r="B195" i="9"/>
  <c r="C194" i="9"/>
  <c r="B194" i="9"/>
  <c r="D193" i="9"/>
  <c r="C193" i="9"/>
  <c r="B193" i="9"/>
  <c r="B192" i="9"/>
  <c r="B191" i="9"/>
  <c r="D203" i="9" s="1"/>
  <c r="B190" i="9"/>
  <c r="D189" i="9"/>
  <c r="B189" i="9"/>
  <c r="B188" i="9"/>
  <c r="B187" i="9"/>
  <c r="C186" i="9"/>
  <c r="B186" i="9"/>
  <c r="D185" i="9"/>
  <c r="C185" i="9"/>
  <c r="B185" i="9"/>
  <c r="D184" i="9"/>
  <c r="B184" i="9"/>
  <c r="B183" i="9"/>
  <c r="D182" i="9"/>
  <c r="B182" i="9"/>
  <c r="D181" i="9"/>
  <c r="B181" i="9"/>
  <c r="C182" i="9" s="1"/>
  <c r="B180" i="9"/>
  <c r="B179" i="9"/>
  <c r="C178" i="9"/>
  <c r="B178" i="9"/>
  <c r="D177" i="9"/>
  <c r="C177" i="9"/>
  <c r="B177" i="9"/>
  <c r="C176" i="9"/>
  <c r="B176" i="9"/>
  <c r="B175" i="9"/>
  <c r="B174" i="9"/>
  <c r="D173" i="9"/>
  <c r="B173" i="9"/>
  <c r="C174" i="9" s="1"/>
  <c r="B172" i="9"/>
  <c r="B171" i="9"/>
  <c r="C170" i="9"/>
  <c r="B170" i="9"/>
  <c r="D169" i="9"/>
  <c r="C169" i="9"/>
  <c r="B169" i="9"/>
  <c r="C168" i="9"/>
  <c r="B168" i="9"/>
  <c r="B167" i="9"/>
  <c r="B166" i="9"/>
  <c r="D165" i="9"/>
  <c r="B165" i="9"/>
  <c r="C166" i="9" s="1"/>
  <c r="C164" i="9"/>
  <c r="B164" i="9"/>
  <c r="C163" i="9"/>
  <c r="B163" i="9"/>
  <c r="C162" i="9"/>
  <c r="B162" i="9"/>
  <c r="D161" i="9"/>
  <c r="C161" i="9"/>
  <c r="B161" i="9"/>
  <c r="D160" i="9"/>
  <c r="C160" i="9"/>
  <c r="B160" i="9"/>
  <c r="B159" i="9"/>
  <c r="B158" i="9"/>
  <c r="D157" i="9"/>
  <c r="B157" i="9"/>
  <c r="C158" i="9" s="1"/>
  <c r="C156" i="9"/>
  <c r="B156" i="9"/>
  <c r="B155" i="9"/>
  <c r="D167" i="9" s="1"/>
  <c r="C154" i="9"/>
  <c r="B154" i="9"/>
  <c r="D153" i="9"/>
  <c r="C153" i="9"/>
  <c r="B153" i="9"/>
  <c r="D152" i="9"/>
  <c r="B152" i="9"/>
  <c r="B151" i="9"/>
  <c r="D163" i="9" s="1"/>
  <c r="D150" i="9"/>
  <c r="B150" i="9"/>
  <c r="D149" i="9"/>
  <c r="B149" i="9"/>
  <c r="C150" i="9" s="1"/>
  <c r="C148" i="9"/>
  <c r="B148" i="9"/>
  <c r="B147" i="9"/>
  <c r="D159" i="9" s="1"/>
  <c r="C146" i="9"/>
  <c r="B146" i="9"/>
  <c r="D145" i="9"/>
  <c r="C145" i="9"/>
  <c r="B145" i="9"/>
  <c r="B144" i="9"/>
  <c r="B143" i="9"/>
  <c r="B142" i="9"/>
  <c r="D141" i="9"/>
  <c r="B141" i="9"/>
  <c r="B140" i="9"/>
  <c r="B139" i="9"/>
  <c r="C138" i="9"/>
  <c r="B138" i="9"/>
  <c r="D137" i="9"/>
  <c r="C137" i="9"/>
  <c r="B137" i="9"/>
  <c r="B136" i="9"/>
  <c r="B135" i="9"/>
  <c r="B134" i="9"/>
  <c r="D133" i="9"/>
  <c r="B133" i="9"/>
  <c r="B132" i="9"/>
  <c r="C131" i="9"/>
  <c r="B131" i="9"/>
  <c r="C130" i="9"/>
  <c r="B130" i="9"/>
  <c r="D129" i="9"/>
  <c r="C129" i="9"/>
  <c r="B129" i="9"/>
  <c r="C128" i="9"/>
  <c r="B128" i="9"/>
  <c r="B127" i="9"/>
  <c r="B126" i="9"/>
  <c r="D125" i="9"/>
  <c r="B125" i="9"/>
  <c r="B124" i="9"/>
  <c r="B123" i="9"/>
  <c r="C122" i="9"/>
  <c r="B122" i="9"/>
  <c r="D121" i="9"/>
  <c r="C121" i="9"/>
  <c r="B121" i="9"/>
  <c r="C120" i="9"/>
  <c r="B120" i="9"/>
  <c r="B119" i="9"/>
  <c r="D131" i="9" s="1"/>
  <c r="D118" i="9"/>
  <c r="B118" i="9"/>
  <c r="D117" i="9"/>
  <c r="B117" i="9"/>
  <c r="C118" i="9" s="1"/>
  <c r="B116" i="9"/>
  <c r="C115" i="9"/>
  <c r="B115" i="9"/>
  <c r="D127" i="9" s="1"/>
  <c r="C114" i="9"/>
  <c r="B114" i="9"/>
  <c r="D113" i="9"/>
  <c r="C113" i="9"/>
  <c r="B113" i="9"/>
  <c r="C112" i="9"/>
  <c r="B112" i="9"/>
  <c r="B111" i="9"/>
  <c r="B110" i="9"/>
  <c r="D109" i="9"/>
  <c r="B109" i="9"/>
  <c r="C110" i="9" s="1"/>
  <c r="B108" i="9"/>
  <c r="C107" i="9"/>
  <c r="B107" i="9"/>
  <c r="D119" i="9" s="1"/>
  <c r="C106" i="9"/>
  <c r="B106" i="9"/>
  <c r="D105" i="9"/>
  <c r="C105" i="9"/>
  <c r="B105" i="9"/>
  <c r="C104" i="9"/>
  <c r="B104" i="9"/>
  <c r="B103" i="9"/>
  <c r="B102" i="9"/>
  <c r="D101" i="9"/>
  <c r="B101" i="9"/>
  <c r="C102" i="9" s="1"/>
  <c r="B100" i="9"/>
  <c r="C99" i="9"/>
  <c r="B99" i="9"/>
  <c r="C98" i="9"/>
  <c r="B98" i="9"/>
  <c r="D97" i="9"/>
  <c r="C97" i="9"/>
  <c r="B97" i="9"/>
  <c r="D96" i="9"/>
  <c r="C96" i="9"/>
  <c r="B96" i="9"/>
  <c r="B95" i="9"/>
  <c r="B94" i="9"/>
  <c r="D93" i="9"/>
  <c r="B93" i="9"/>
  <c r="C94" i="9" s="1"/>
  <c r="B92" i="9"/>
  <c r="B91" i="9"/>
  <c r="D103" i="9" s="1"/>
  <c r="C90" i="9"/>
  <c r="B90" i="9"/>
  <c r="D89" i="9"/>
  <c r="C89" i="9"/>
  <c r="B89" i="9"/>
  <c r="D88" i="9"/>
  <c r="B88" i="9"/>
  <c r="B87" i="9"/>
  <c r="D99" i="9" s="1"/>
  <c r="D86" i="9"/>
  <c r="B86" i="9"/>
  <c r="D85" i="9"/>
  <c r="B85" i="9"/>
  <c r="C86" i="9" s="1"/>
  <c r="C84" i="9"/>
  <c r="B84" i="9"/>
  <c r="B83" i="9"/>
  <c r="D95" i="9" s="1"/>
  <c r="C82" i="9"/>
  <c r="B82" i="9"/>
  <c r="D81" i="9"/>
  <c r="C81" i="9"/>
  <c r="B81" i="9"/>
  <c r="B80" i="9"/>
  <c r="B79" i="9"/>
  <c r="B78" i="9"/>
  <c r="D77" i="9"/>
  <c r="B77" i="9"/>
  <c r="B76" i="9"/>
  <c r="B75" i="9"/>
  <c r="C74" i="9"/>
  <c r="B74" i="9"/>
  <c r="D73" i="9"/>
  <c r="C73" i="9"/>
  <c r="B73" i="9"/>
  <c r="B72" i="9"/>
  <c r="B71" i="9"/>
  <c r="D70" i="9"/>
  <c r="B70" i="9"/>
  <c r="D69" i="9"/>
  <c r="B69" i="9"/>
  <c r="B68" i="9"/>
  <c r="B67" i="9"/>
  <c r="C66" i="9"/>
  <c r="B66" i="9"/>
  <c r="D65" i="9"/>
  <c r="C65" i="9"/>
  <c r="B65" i="9"/>
  <c r="D64" i="9"/>
  <c r="B64" i="9"/>
  <c r="B63" i="9"/>
  <c r="B62" i="9"/>
  <c r="B61" i="9"/>
  <c r="C62" i="9" s="1"/>
  <c r="C60" i="9"/>
  <c r="B60" i="9"/>
  <c r="B59" i="9"/>
  <c r="D71" i="9" s="1"/>
  <c r="C58" i="9"/>
  <c r="B58" i="9"/>
  <c r="C57" i="9"/>
  <c r="B57" i="9"/>
  <c r="D56" i="9"/>
  <c r="C56" i="9"/>
  <c r="B56" i="9"/>
  <c r="B55" i="9"/>
  <c r="B54" i="9"/>
  <c r="B53" i="9"/>
  <c r="D52" i="9"/>
  <c r="C52" i="9"/>
  <c r="B52" i="9"/>
  <c r="B51" i="9"/>
  <c r="B50" i="9"/>
  <c r="C51" i="9" s="1"/>
  <c r="C49" i="9"/>
  <c r="B49" i="9"/>
  <c r="B48" i="9"/>
  <c r="B47" i="9"/>
  <c r="D46" i="9"/>
  <c r="B46" i="9"/>
  <c r="D58" i="9" s="1"/>
  <c r="B45" i="9"/>
  <c r="C44" i="9"/>
  <c r="B44" i="9"/>
  <c r="B43" i="9"/>
  <c r="C43" i="9" s="1"/>
  <c r="C42" i="9"/>
  <c r="B42" i="9"/>
  <c r="C41" i="9"/>
  <c r="B41" i="9"/>
  <c r="D40" i="9"/>
  <c r="C40" i="9"/>
  <c r="B40" i="9"/>
  <c r="D39" i="9"/>
  <c r="B39" i="9"/>
  <c r="B38" i="9"/>
  <c r="B37" i="9"/>
  <c r="D49" i="9" s="1"/>
  <c r="D36" i="9"/>
  <c r="B36" i="9"/>
  <c r="B35" i="9"/>
  <c r="C34" i="9"/>
  <c r="B34" i="9"/>
  <c r="C35" i="9" s="1"/>
  <c r="D33" i="9"/>
  <c r="B33" i="9"/>
  <c r="D45" i="9" s="1"/>
  <c r="B32" i="9"/>
  <c r="B31" i="9"/>
  <c r="B30" i="9"/>
  <c r="D42" i="9" s="1"/>
  <c r="B29" i="9"/>
  <c r="B28" i="9"/>
  <c r="B27" i="9"/>
  <c r="C26" i="9"/>
  <c r="B26" i="9"/>
  <c r="D25" i="9"/>
  <c r="C25" i="9"/>
  <c r="B25" i="9"/>
  <c r="B24" i="9"/>
  <c r="C23" i="9"/>
  <c r="B23" i="9"/>
  <c r="C22" i="9"/>
  <c r="B22" i="9"/>
  <c r="B21" i="9"/>
  <c r="B20" i="9"/>
  <c r="D19" i="9"/>
  <c r="B19" i="9"/>
  <c r="B18" i="9"/>
  <c r="B17" i="9"/>
  <c r="B16" i="9"/>
  <c r="B15" i="9"/>
  <c r="D27" i="9" s="1"/>
  <c r="B14" i="9"/>
  <c r="C13" i="9"/>
  <c r="B13" i="9"/>
  <c r="B12" i="9"/>
  <c r="D24" i="9" s="1"/>
  <c r="C11" i="9"/>
  <c r="B11" i="9"/>
  <c r="B10" i="9"/>
  <c r="D22" i="9" s="1"/>
  <c r="C9" i="9"/>
  <c r="B9" i="9"/>
  <c r="C8" i="9"/>
  <c r="B8" i="9"/>
  <c r="D20" i="9" s="1"/>
  <c r="B7" i="9"/>
  <c r="B6" i="9"/>
  <c r="B5" i="9"/>
  <c r="G4" i="9"/>
  <c r="G3" i="9"/>
  <c r="O1" i="9"/>
  <c r="G1" i="9" s="1"/>
  <c r="G2" i="9" s="1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K233" i="8" s="1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I231" i="8" s="1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I229" i="8" s="1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I221" i="8" s="1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K217" i="8" s="1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I215" i="8" s="1"/>
  <c r="B215" i="8"/>
  <c r="P214" i="8"/>
  <c r="N214" i="8"/>
  <c r="G214" i="8"/>
  <c r="F214" i="8"/>
  <c r="E214" i="8"/>
  <c r="D214" i="8"/>
  <c r="C214" i="8"/>
  <c r="I214" i="8" s="1"/>
  <c r="B214" i="8"/>
  <c r="P213" i="8"/>
  <c r="N213" i="8"/>
  <c r="G213" i="8"/>
  <c r="F213" i="8"/>
  <c r="E213" i="8"/>
  <c r="K213" i="8" s="1"/>
  <c r="D213" i="8"/>
  <c r="C213" i="8"/>
  <c r="B213" i="8"/>
  <c r="P212" i="8"/>
  <c r="N212" i="8"/>
  <c r="J212" i="8"/>
  <c r="G212" i="8"/>
  <c r="F212" i="8"/>
  <c r="E212" i="8"/>
  <c r="K212" i="8" s="1"/>
  <c r="D212" i="8"/>
  <c r="C212" i="8"/>
  <c r="I212" i="8" s="1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K210" i="8" s="1"/>
  <c r="D210" i="8"/>
  <c r="C210" i="8"/>
  <c r="I210" i="8" s="1"/>
  <c r="B210" i="8"/>
  <c r="P209" i="8"/>
  <c r="N209" i="8"/>
  <c r="J209" i="8"/>
  <c r="I209" i="8"/>
  <c r="G209" i="8"/>
  <c r="F209" i="8"/>
  <c r="E209" i="8"/>
  <c r="D209" i="8"/>
  <c r="C209" i="8"/>
  <c r="B209" i="8"/>
  <c r="P208" i="8"/>
  <c r="N208" i="8"/>
  <c r="J208" i="8"/>
  <c r="G208" i="8"/>
  <c r="F208" i="8"/>
  <c r="E208" i="8"/>
  <c r="K208" i="8" s="1"/>
  <c r="D208" i="8"/>
  <c r="C208" i="8"/>
  <c r="B208" i="8"/>
  <c r="P207" i="8"/>
  <c r="N207" i="8"/>
  <c r="K207" i="8"/>
  <c r="G207" i="8"/>
  <c r="F207" i="8"/>
  <c r="E207" i="8"/>
  <c r="D207" i="8"/>
  <c r="C207" i="8"/>
  <c r="I207" i="8" s="1"/>
  <c r="B207" i="8"/>
  <c r="P206" i="8"/>
  <c r="N206" i="8"/>
  <c r="G206" i="8"/>
  <c r="F206" i="8"/>
  <c r="E206" i="8"/>
  <c r="D206" i="8"/>
  <c r="C206" i="8"/>
  <c r="I206" i="8" s="1"/>
  <c r="B206" i="8"/>
  <c r="P205" i="8"/>
  <c r="N205" i="8"/>
  <c r="I205" i="8"/>
  <c r="G205" i="8"/>
  <c r="F205" i="8"/>
  <c r="E205" i="8"/>
  <c r="K205" i="8" s="1"/>
  <c r="D205" i="8"/>
  <c r="C205" i="8"/>
  <c r="B205" i="8"/>
  <c r="P204" i="8"/>
  <c r="N204" i="8"/>
  <c r="J204" i="8"/>
  <c r="G204" i="8"/>
  <c r="F204" i="8"/>
  <c r="E204" i="8"/>
  <c r="K204" i="8" s="1"/>
  <c r="D204" i="8"/>
  <c r="C204" i="8"/>
  <c r="I204" i="8" s="1"/>
  <c r="B204" i="8"/>
  <c r="P203" i="8"/>
  <c r="N203" i="8"/>
  <c r="K203" i="8"/>
  <c r="G203" i="8"/>
  <c r="F203" i="8"/>
  <c r="E203" i="8"/>
  <c r="D203" i="8"/>
  <c r="C203" i="8"/>
  <c r="B203" i="8"/>
  <c r="P202" i="8"/>
  <c r="N202" i="8"/>
  <c r="G202" i="8"/>
  <c r="F202" i="8"/>
  <c r="E202" i="8"/>
  <c r="K202" i="8" s="1"/>
  <c r="D202" i="8"/>
  <c r="C202" i="8"/>
  <c r="I202" i="8" s="1"/>
  <c r="B202" i="8"/>
  <c r="P201" i="8"/>
  <c r="N201" i="8"/>
  <c r="J201" i="8"/>
  <c r="I201" i="8"/>
  <c r="G201" i="8"/>
  <c r="F201" i="8"/>
  <c r="E201" i="8"/>
  <c r="D201" i="8"/>
  <c r="C201" i="8"/>
  <c r="B201" i="8"/>
  <c r="P200" i="8"/>
  <c r="N200" i="8"/>
  <c r="J200" i="8"/>
  <c r="G200" i="8"/>
  <c r="F200" i="8"/>
  <c r="E200" i="8"/>
  <c r="K200" i="8" s="1"/>
  <c r="D200" i="8"/>
  <c r="C200" i="8"/>
  <c r="B200" i="8"/>
  <c r="P199" i="8"/>
  <c r="N199" i="8"/>
  <c r="K199" i="8"/>
  <c r="G199" i="8"/>
  <c r="F199" i="8"/>
  <c r="E199" i="8"/>
  <c r="D199" i="8"/>
  <c r="C199" i="8"/>
  <c r="I199" i="8" s="1"/>
  <c r="B199" i="8"/>
  <c r="P198" i="8"/>
  <c r="N198" i="8"/>
  <c r="J198" i="8"/>
  <c r="G198" i="8"/>
  <c r="F198" i="8"/>
  <c r="E198" i="8"/>
  <c r="D198" i="8"/>
  <c r="C198" i="8"/>
  <c r="I198" i="8" s="1"/>
  <c r="B198" i="8"/>
  <c r="P197" i="8"/>
  <c r="N197" i="8"/>
  <c r="I197" i="8"/>
  <c r="G197" i="8"/>
  <c r="F197" i="8"/>
  <c r="E197" i="8"/>
  <c r="K197" i="8" s="1"/>
  <c r="D197" i="8"/>
  <c r="C197" i="8"/>
  <c r="B197" i="8"/>
  <c r="P196" i="8"/>
  <c r="N196" i="8"/>
  <c r="K196" i="8"/>
  <c r="J196" i="8"/>
  <c r="G196" i="8"/>
  <c r="F196" i="8"/>
  <c r="E196" i="8"/>
  <c r="D196" i="8"/>
  <c r="C196" i="8"/>
  <c r="I196" i="8" s="1"/>
  <c r="B196" i="8"/>
  <c r="P195" i="8"/>
  <c r="N195" i="8"/>
  <c r="J195" i="8"/>
  <c r="I195" i="8"/>
  <c r="G195" i="8"/>
  <c r="F195" i="8"/>
  <c r="E195" i="8"/>
  <c r="D195" i="8"/>
  <c r="C195" i="8"/>
  <c r="B195" i="8"/>
  <c r="P194" i="8"/>
  <c r="N194" i="8"/>
  <c r="J194" i="8"/>
  <c r="G194" i="8"/>
  <c r="F194" i="8"/>
  <c r="E194" i="8"/>
  <c r="K194" i="8" s="1"/>
  <c r="D194" i="8"/>
  <c r="C194" i="8"/>
  <c r="B194" i="8"/>
  <c r="P193" i="8"/>
  <c r="N193" i="8"/>
  <c r="G193" i="8"/>
  <c r="F193" i="8"/>
  <c r="E193" i="8"/>
  <c r="K193" i="8" s="1"/>
  <c r="D193" i="8"/>
  <c r="C193" i="8"/>
  <c r="I193" i="8" s="1"/>
  <c r="B193" i="8"/>
  <c r="P192" i="8"/>
  <c r="N192" i="8"/>
  <c r="K192" i="8"/>
  <c r="J192" i="8"/>
  <c r="G192" i="8"/>
  <c r="F192" i="8"/>
  <c r="E192" i="8"/>
  <c r="D192" i="8"/>
  <c r="C192" i="8"/>
  <c r="I192" i="8" s="1"/>
  <c r="B192" i="8"/>
  <c r="P191" i="8"/>
  <c r="N191" i="8"/>
  <c r="J191" i="8"/>
  <c r="I191" i="8"/>
  <c r="G191" i="8"/>
  <c r="F191" i="8"/>
  <c r="E191" i="8"/>
  <c r="D191" i="8"/>
  <c r="C191" i="8"/>
  <c r="B191" i="8"/>
  <c r="P190" i="8"/>
  <c r="Q190" i="8" s="1"/>
  <c r="N190" i="8"/>
  <c r="J190" i="8"/>
  <c r="G190" i="8"/>
  <c r="F190" i="8"/>
  <c r="E190" i="8"/>
  <c r="K190" i="8" s="1"/>
  <c r="D190" i="8"/>
  <c r="C190" i="8"/>
  <c r="B190" i="8"/>
  <c r="P189" i="8"/>
  <c r="N189" i="8"/>
  <c r="G189" i="8"/>
  <c r="F189" i="8"/>
  <c r="E189" i="8"/>
  <c r="K189" i="8" s="1"/>
  <c r="D189" i="8"/>
  <c r="C189" i="8"/>
  <c r="I189" i="8" s="1"/>
  <c r="B189" i="8"/>
  <c r="P188" i="8"/>
  <c r="N188" i="8"/>
  <c r="K188" i="8"/>
  <c r="J188" i="8"/>
  <c r="G188" i="8"/>
  <c r="F188" i="8"/>
  <c r="E188" i="8"/>
  <c r="D188" i="8"/>
  <c r="C188" i="8"/>
  <c r="I188" i="8" s="1"/>
  <c r="B188" i="8"/>
  <c r="P187" i="8"/>
  <c r="N187" i="8"/>
  <c r="J187" i="8"/>
  <c r="I187" i="8"/>
  <c r="G187" i="8"/>
  <c r="F187" i="8"/>
  <c r="E187" i="8"/>
  <c r="D187" i="8"/>
  <c r="C187" i="8"/>
  <c r="B187" i="8"/>
  <c r="P186" i="8"/>
  <c r="N186" i="8"/>
  <c r="J186" i="8"/>
  <c r="G186" i="8"/>
  <c r="F186" i="8"/>
  <c r="E186" i="8"/>
  <c r="K186" i="8" s="1"/>
  <c r="D186" i="8"/>
  <c r="C186" i="8"/>
  <c r="B186" i="8"/>
  <c r="P185" i="8"/>
  <c r="N185" i="8"/>
  <c r="G185" i="8"/>
  <c r="F185" i="8"/>
  <c r="E185" i="8"/>
  <c r="K185" i="8" s="1"/>
  <c r="D185" i="8"/>
  <c r="C185" i="8"/>
  <c r="I185" i="8" s="1"/>
  <c r="B185" i="8"/>
  <c r="P184" i="8"/>
  <c r="N184" i="8"/>
  <c r="K184" i="8"/>
  <c r="J184" i="8"/>
  <c r="G184" i="8"/>
  <c r="F184" i="8"/>
  <c r="E184" i="8"/>
  <c r="D184" i="8"/>
  <c r="C184" i="8"/>
  <c r="I184" i="8" s="1"/>
  <c r="B184" i="8"/>
  <c r="P183" i="8"/>
  <c r="N183" i="8"/>
  <c r="J183" i="8"/>
  <c r="I183" i="8"/>
  <c r="G183" i="8"/>
  <c r="F183" i="8"/>
  <c r="E183" i="8"/>
  <c r="D183" i="8"/>
  <c r="C183" i="8"/>
  <c r="B183" i="8"/>
  <c r="P182" i="8"/>
  <c r="Q182" i="8" s="1"/>
  <c r="N182" i="8"/>
  <c r="J182" i="8"/>
  <c r="G182" i="8"/>
  <c r="F182" i="8"/>
  <c r="E182" i="8"/>
  <c r="K182" i="8" s="1"/>
  <c r="D182" i="8"/>
  <c r="C182" i="8"/>
  <c r="B182" i="8"/>
  <c r="P181" i="8"/>
  <c r="N181" i="8"/>
  <c r="G181" i="8"/>
  <c r="F181" i="8"/>
  <c r="E181" i="8"/>
  <c r="K181" i="8" s="1"/>
  <c r="D181" i="8"/>
  <c r="C181" i="8"/>
  <c r="I181" i="8" s="1"/>
  <c r="B181" i="8"/>
  <c r="P180" i="8"/>
  <c r="N180" i="8"/>
  <c r="K180" i="8"/>
  <c r="J180" i="8"/>
  <c r="G180" i="8"/>
  <c r="F180" i="8"/>
  <c r="E180" i="8"/>
  <c r="D180" i="8"/>
  <c r="C180" i="8"/>
  <c r="I180" i="8" s="1"/>
  <c r="B180" i="8"/>
  <c r="P179" i="8"/>
  <c r="N179" i="8"/>
  <c r="J179" i="8"/>
  <c r="I179" i="8"/>
  <c r="G179" i="8"/>
  <c r="F179" i="8"/>
  <c r="E179" i="8"/>
  <c r="D179" i="8"/>
  <c r="C179" i="8"/>
  <c r="B179" i="8"/>
  <c r="P178" i="8"/>
  <c r="N178" i="8"/>
  <c r="J178" i="8"/>
  <c r="G178" i="8"/>
  <c r="F178" i="8"/>
  <c r="E178" i="8"/>
  <c r="K178" i="8" s="1"/>
  <c r="D178" i="8"/>
  <c r="C178" i="8"/>
  <c r="B178" i="8"/>
  <c r="P177" i="8"/>
  <c r="N177" i="8"/>
  <c r="G177" i="8"/>
  <c r="F177" i="8"/>
  <c r="E177" i="8"/>
  <c r="K177" i="8" s="1"/>
  <c r="D177" i="8"/>
  <c r="C177" i="8"/>
  <c r="I177" i="8" s="1"/>
  <c r="B177" i="8"/>
  <c r="P176" i="8"/>
  <c r="N176" i="8"/>
  <c r="K176" i="8"/>
  <c r="J176" i="8"/>
  <c r="G176" i="8"/>
  <c r="F176" i="8"/>
  <c r="E176" i="8"/>
  <c r="D176" i="8"/>
  <c r="C176" i="8"/>
  <c r="I176" i="8" s="1"/>
  <c r="B176" i="8"/>
  <c r="P175" i="8"/>
  <c r="N175" i="8"/>
  <c r="J175" i="8"/>
  <c r="I175" i="8"/>
  <c r="G175" i="8"/>
  <c r="F175" i="8"/>
  <c r="E175" i="8"/>
  <c r="D175" i="8"/>
  <c r="C175" i="8"/>
  <c r="B175" i="8"/>
  <c r="P174" i="8"/>
  <c r="Q174" i="8" s="1"/>
  <c r="N174" i="8"/>
  <c r="J174" i="8"/>
  <c r="G174" i="8"/>
  <c r="F174" i="8"/>
  <c r="E174" i="8"/>
  <c r="K174" i="8" s="1"/>
  <c r="D174" i="8"/>
  <c r="C174" i="8"/>
  <c r="B174" i="8"/>
  <c r="P173" i="8"/>
  <c r="N173" i="8"/>
  <c r="G173" i="8"/>
  <c r="F173" i="8"/>
  <c r="E173" i="8"/>
  <c r="K173" i="8" s="1"/>
  <c r="D173" i="8"/>
  <c r="C173" i="8"/>
  <c r="I173" i="8" s="1"/>
  <c r="B173" i="8"/>
  <c r="P172" i="8"/>
  <c r="N172" i="8"/>
  <c r="K172" i="8"/>
  <c r="J172" i="8"/>
  <c r="G172" i="8"/>
  <c r="F172" i="8"/>
  <c r="E172" i="8"/>
  <c r="D172" i="8"/>
  <c r="C172" i="8"/>
  <c r="I172" i="8" s="1"/>
  <c r="B172" i="8"/>
  <c r="P171" i="8"/>
  <c r="N171" i="8"/>
  <c r="J171" i="8"/>
  <c r="I171" i="8"/>
  <c r="G171" i="8"/>
  <c r="F171" i="8"/>
  <c r="E171" i="8"/>
  <c r="D171" i="8"/>
  <c r="C171" i="8"/>
  <c r="B171" i="8"/>
  <c r="P170" i="8"/>
  <c r="N170" i="8"/>
  <c r="K170" i="8"/>
  <c r="G170" i="8"/>
  <c r="F170" i="8"/>
  <c r="E170" i="8"/>
  <c r="D170" i="8"/>
  <c r="C170" i="8"/>
  <c r="I170" i="8" s="1"/>
  <c r="B170" i="8"/>
  <c r="P169" i="8"/>
  <c r="Q169" i="8" s="1"/>
  <c r="N169" i="8"/>
  <c r="J169" i="8"/>
  <c r="G169" i="8"/>
  <c r="F169" i="8"/>
  <c r="E169" i="8"/>
  <c r="K169" i="8" s="1"/>
  <c r="D169" i="8"/>
  <c r="C169" i="8"/>
  <c r="B169" i="8"/>
  <c r="P168" i="8"/>
  <c r="N168" i="8"/>
  <c r="I168" i="8"/>
  <c r="G168" i="8"/>
  <c r="F168" i="8"/>
  <c r="E168" i="8"/>
  <c r="K168" i="8" s="1"/>
  <c r="D168" i="8"/>
  <c r="J168" i="8" s="1"/>
  <c r="C168" i="8"/>
  <c r="B168" i="8"/>
  <c r="P167" i="8"/>
  <c r="N167" i="8"/>
  <c r="G167" i="8"/>
  <c r="F167" i="8"/>
  <c r="E167" i="8"/>
  <c r="K167" i="8" s="1"/>
  <c r="D167" i="8"/>
  <c r="J167" i="8" s="1"/>
  <c r="C167" i="8"/>
  <c r="I167" i="8" s="1"/>
  <c r="B167" i="8"/>
  <c r="P166" i="8"/>
  <c r="N166" i="8"/>
  <c r="K166" i="8"/>
  <c r="G166" i="8"/>
  <c r="F166" i="8"/>
  <c r="E166" i="8"/>
  <c r="D166" i="8"/>
  <c r="J166" i="8" s="1"/>
  <c r="C166" i="8"/>
  <c r="I166" i="8" s="1"/>
  <c r="B166" i="8"/>
  <c r="P165" i="8"/>
  <c r="N165" i="8"/>
  <c r="K165" i="8"/>
  <c r="G165" i="8"/>
  <c r="F165" i="8"/>
  <c r="E165" i="8"/>
  <c r="D165" i="8"/>
  <c r="J165" i="8" s="1"/>
  <c r="C165" i="8"/>
  <c r="I165" i="8" s="1"/>
  <c r="B165" i="8"/>
  <c r="P164" i="8"/>
  <c r="N164" i="8"/>
  <c r="K164" i="8"/>
  <c r="J164" i="8"/>
  <c r="I164" i="8"/>
  <c r="G164" i="8"/>
  <c r="F164" i="8"/>
  <c r="E164" i="8"/>
  <c r="D164" i="8"/>
  <c r="C164" i="8"/>
  <c r="B164" i="8"/>
  <c r="P163" i="8"/>
  <c r="N163" i="8"/>
  <c r="I163" i="8"/>
  <c r="G163" i="8"/>
  <c r="F163" i="8"/>
  <c r="E163" i="8"/>
  <c r="D163" i="8"/>
  <c r="J163" i="8" s="1"/>
  <c r="C163" i="8"/>
  <c r="B163" i="8"/>
  <c r="P162" i="8"/>
  <c r="Q162" i="8" s="1"/>
  <c r="N162" i="8"/>
  <c r="K162" i="8"/>
  <c r="I162" i="8"/>
  <c r="G162" i="8"/>
  <c r="F162" i="8"/>
  <c r="E162" i="8"/>
  <c r="D162" i="8"/>
  <c r="C162" i="8"/>
  <c r="B162" i="8"/>
  <c r="P161" i="8"/>
  <c r="N161" i="8"/>
  <c r="J161" i="8"/>
  <c r="G161" i="8"/>
  <c r="F161" i="8"/>
  <c r="E161" i="8"/>
  <c r="K161" i="8" s="1"/>
  <c r="D161" i="8"/>
  <c r="C161" i="8"/>
  <c r="B161" i="8"/>
  <c r="P160" i="8"/>
  <c r="N160" i="8"/>
  <c r="I160" i="8"/>
  <c r="G160" i="8"/>
  <c r="F160" i="8"/>
  <c r="E160" i="8"/>
  <c r="K160" i="8" s="1"/>
  <c r="D160" i="8"/>
  <c r="J160" i="8" s="1"/>
  <c r="C160" i="8"/>
  <c r="B160" i="8"/>
  <c r="P159" i="8"/>
  <c r="N159" i="8"/>
  <c r="M159" i="8"/>
  <c r="G159" i="8"/>
  <c r="F159" i="8"/>
  <c r="E159" i="8"/>
  <c r="K159" i="8" s="1"/>
  <c r="D159" i="8"/>
  <c r="J159" i="8" s="1"/>
  <c r="C159" i="8"/>
  <c r="I159" i="8" s="1"/>
  <c r="B159" i="8"/>
  <c r="P158" i="8"/>
  <c r="N158" i="8"/>
  <c r="G158" i="8"/>
  <c r="F158" i="8"/>
  <c r="E158" i="8"/>
  <c r="K158" i="8" s="1"/>
  <c r="D158" i="8"/>
  <c r="J158" i="8" s="1"/>
  <c r="C158" i="8"/>
  <c r="I158" i="8" s="1"/>
  <c r="B158" i="8"/>
  <c r="P157" i="8"/>
  <c r="N157" i="8"/>
  <c r="K157" i="8"/>
  <c r="J157" i="8"/>
  <c r="G157" i="8"/>
  <c r="F157" i="8"/>
  <c r="E157" i="8"/>
  <c r="D157" i="8"/>
  <c r="C157" i="8"/>
  <c r="I157" i="8" s="1"/>
  <c r="B157" i="8"/>
  <c r="P156" i="8"/>
  <c r="N156" i="8"/>
  <c r="M156" i="8"/>
  <c r="K156" i="8"/>
  <c r="J156" i="8"/>
  <c r="G156" i="8"/>
  <c r="F156" i="8"/>
  <c r="E156" i="8"/>
  <c r="D156" i="8"/>
  <c r="C156" i="8"/>
  <c r="I156" i="8" s="1"/>
  <c r="B156" i="8"/>
  <c r="P155" i="8"/>
  <c r="N155" i="8"/>
  <c r="J155" i="8"/>
  <c r="I155" i="8"/>
  <c r="G155" i="8"/>
  <c r="F155" i="8"/>
  <c r="E155" i="8"/>
  <c r="D155" i="8"/>
  <c r="C155" i="8"/>
  <c r="B155" i="8"/>
  <c r="P154" i="8"/>
  <c r="Q154" i="8" s="1"/>
  <c r="N154" i="8"/>
  <c r="K154" i="8"/>
  <c r="G154" i="8"/>
  <c r="F154" i="8"/>
  <c r="E154" i="8"/>
  <c r="D154" i="8"/>
  <c r="C154" i="8"/>
  <c r="I154" i="8" s="1"/>
  <c r="B154" i="8"/>
  <c r="P153" i="8"/>
  <c r="Q153" i="8" s="1"/>
  <c r="N153" i="8"/>
  <c r="J153" i="8"/>
  <c r="G153" i="8"/>
  <c r="F153" i="8"/>
  <c r="E153" i="8"/>
  <c r="K153" i="8" s="1"/>
  <c r="D153" i="8"/>
  <c r="C153" i="8"/>
  <c r="B153" i="8"/>
  <c r="P152" i="8"/>
  <c r="N152" i="8"/>
  <c r="M152" i="8"/>
  <c r="I152" i="8"/>
  <c r="G152" i="8"/>
  <c r="F152" i="8"/>
  <c r="E152" i="8"/>
  <c r="K152" i="8" s="1"/>
  <c r="D152" i="8"/>
  <c r="J152" i="8" s="1"/>
  <c r="C152" i="8"/>
  <c r="B152" i="8"/>
  <c r="Q151" i="8"/>
  <c r="P151" i="8"/>
  <c r="N151" i="8"/>
  <c r="G151" i="8"/>
  <c r="F151" i="8"/>
  <c r="E151" i="8"/>
  <c r="K151" i="8" s="1"/>
  <c r="D151" i="8"/>
  <c r="J151" i="8" s="1"/>
  <c r="C151" i="8"/>
  <c r="I151" i="8" s="1"/>
  <c r="B151" i="8"/>
  <c r="P150" i="8"/>
  <c r="N150" i="8"/>
  <c r="K150" i="8"/>
  <c r="G150" i="8"/>
  <c r="F150" i="8"/>
  <c r="E150" i="8"/>
  <c r="D150" i="8"/>
  <c r="J150" i="8" s="1"/>
  <c r="C150" i="8"/>
  <c r="I150" i="8" s="1"/>
  <c r="B150" i="8"/>
  <c r="P149" i="8"/>
  <c r="Q149" i="8" s="1"/>
  <c r="N149" i="8"/>
  <c r="K149" i="8"/>
  <c r="G149" i="8"/>
  <c r="F149" i="8"/>
  <c r="E149" i="8"/>
  <c r="D149" i="8"/>
  <c r="J149" i="8" s="1"/>
  <c r="C149" i="8"/>
  <c r="I149" i="8" s="1"/>
  <c r="B149" i="8"/>
  <c r="P148" i="8"/>
  <c r="N148" i="8"/>
  <c r="K148" i="8"/>
  <c r="J148" i="8"/>
  <c r="I148" i="8"/>
  <c r="G148" i="8"/>
  <c r="F148" i="8"/>
  <c r="E148" i="8"/>
  <c r="D148" i="8"/>
  <c r="C148" i="8"/>
  <c r="B148" i="8"/>
  <c r="P147" i="8"/>
  <c r="N147" i="8"/>
  <c r="I147" i="8"/>
  <c r="G147" i="8"/>
  <c r="F147" i="8"/>
  <c r="E147" i="8"/>
  <c r="D147" i="8"/>
  <c r="J147" i="8" s="1"/>
  <c r="C147" i="8"/>
  <c r="B147" i="8"/>
  <c r="P146" i="8"/>
  <c r="Q146" i="8" s="1"/>
  <c r="N146" i="8"/>
  <c r="K146" i="8"/>
  <c r="J146" i="8"/>
  <c r="I146" i="8"/>
  <c r="G146" i="8"/>
  <c r="F146" i="8"/>
  <c r="E146" i="8"/>
  <c r="D146" i="8"/>
  <c r="C146" i="8"/>
  <c r="B146" i="8"/>
  <c r="P145" i="8"/>
  <c r="Q145" i="8" s="1"/>
  <c r="N145" i="8"/>
  <c r="J145" i="8"/>
  <c r="G145" i="8"/>
  <c r="M145" i="8" s="1"/>
  <c r="F145" i="8"/>
  <c r="E145" i="8"/>
  <c r="K145" i="8" s="1"/>
  <c r="D145" i="8"/>
  <c r="C145" i="8"/>
  <c r="B145" i="8"/>
  <c r="P144" i="8"/>
  <c r="N144" i="8"/>
  <c r="J144" i="8"/>
  <c r="G144" i="8"/>
  <c r="M144" i="8" s="1"/>
  <c r="F144" i="8"/>
  <c r="E144" i="8"/>
  <c r="K144" i="8" s="1"/>
  <c r="D144" i="8"/>
  <c r="C144" i="8"/>
  <c r="B144" i="8"/>
  <c r="P143" i="8"/>
  <c r="N143" i="8"/>
  <c r="J143" i="8"/>
  <c r="G143" i="8"/>
  <c r="F143" i="8"/>
  <c r="E143" i="8"/>
  <c r="K143" i="8" s="1"/>
  <c r="D143" i="8"/>
  <c r="C143" i="8"/>
  <c r="B143" i="8"/>
  <c r="P142" i="8"/>
  <c r="Q142" i="8" s="1"/>
  <c r="N142" i="8"/>
  <c r="J142" i="8"/>
  <c r="G142" i="8"/>
  <c r="F142" i="8"/>
  <c r="E142" i="8"/>
  <c r="K142" i="8" s="1"/>
  <c r="D142" i="8"/>
  <c r="C142" i="8"/>
  <c r="B142" i="8"/>
  <c r="P141" i="8"/>
  <c r="N141" i="8"/>
  <c r="J141" i="8"/>
  <c r="G141" i="8"/>
  <c r="M141" i="8" s="1"/>
  <c r="F141" i="8"/>
  <c r="E141" i="8"/>
  <c r="K141" i="8" s="1"/>
  <c r="D141" i="8"/>
  <c r="C141" i="8"/>
  <c r="B141" i="8"/>
  <c r="P140" i="8"/>
  <c r="Q140" i="8" s="1"/>
  <c r="N140" i="8"/>
  <c r="O140" i="8" s="1"/>
  <c r="J140" i="8"/>
  <c r="G140" i="8"/>
  <c r="F140" i="8"/>
  <c r="E140" i="8"/>
  <c r="K140" i="8" s="1"/>
  <c r="D140" i="8"/>
  <c r="C140" i="8"/>
  <c r="B140" i="8"/>
  <c r="P139" i="8"/>
  <c r="N139" i="8"/>
  <c r="J139" i="8"/>
  <c r="G139" i="8"/>
  <c r="M139" i="8" s="1"/>
  <c r="F139" i="8"/>
  <c r="L139" i="8" s="1"/>
  <c r="E139" i="8"/>
  <c r="K139" i="8" s="1"/>
  <c r="D139" i="8"/>
  <c r="C139" i="8"/>
  <c r="B139" i="8"/>
  <c r="P138" i="8"/>
  <c r="Q138" i="8" s="1"/>
  <c r="N138" i="8"/>
  <c r="J138" i="8"/>
  <c r="G138" i="8"/>
  <c r="F138" i="8"/>
  <c r="E138" i="8"/>
  <c r="K138" i="8" s="1"/>
  <c r="D138" i="8"/>
  <c r="C138" i="8"/>
  <c r="B138" i="8"/>
  <c r="P137" i="8"/>
  <c r="Q137" i="8" s="1"/>
  <c r="N137" i="8"/>
  <c r="J137" i="8"/>
  <c r="G137" i="8"/>
  <c r="M137" i="8" s="1"/>
  <c r="F137" i="8"/>
  <c r="E137" i="8"/>
  <c r="K137" i="8" s="1"/>
  <c r="D137" i="8"/>
  <c r="C137" i="8"/>
  <c r="B137" i="8"/>
  <c r="P136" i="8"/>
  <c r="N136" i="8"/>
  <c r="J136" i="8"/>
  <c r="I136" i="8"/>
  <c r="G136" i="8"/>
  <c r="M136" i="8" s="1"/>
  <c r="F136" i="8"/>
  <c r="E136" i="8"/>
  <c r="K136" i="8" s="1"/>
  <c r="D136" i="8"/>
  <c r="C136" i="8"/>
  <c r="B136" i="8"/>
  <c r="P135" i="8"/>
  <c r="Q135" i="8" s="1"/>
  <c r="N135" i="8"/>
  <c r="J135" i="8"/>
  <c r="I135" i="8"/>
  <c r="G135" i="8"/>
  <c r="M135" i="8" s="1"/>
  <c r="F135" i="8"/>
  <c r="E135" i="8"/>
  <c r="K135" i="8" s="1"/>
  <c r="D135" i="8"/>
  <c r="C135" i="8"/>
  <c r="B135" i="8"/>
  <c r="P134" i="8"/>
  <c r="N134" i="8"/>
  <c r="J134" i="8"/>
  <c r="I134" i="8"/>
  <c r="G134" i="8"/>
  <c r="M134" i="8" s="1"/>
  <c r="F134" i="8"/>
  <c r="E134" i="8"/>
  <c r="K134" i="8" s="1"/>
  <c r="D134" i="8"/>
  <c r="C134" i="8"/>
  <c r="B134" i="8"/>
  <c r="P133" i="8"/>
  <c r="Q133" i="8" s="1"/>
  <c r="N133" i="8"/>
  <c r="O133" i="8" s="1"/>
  <c r="J133" i="8"/>
  <c r="I133" i="8"/>
  <c r="G133" i="8"/>
  <c r="M133" i="8" s="1"/>
  <c r="F133" i="8"/>
  <c r="E133" i="8"/>
  <c r="K133" i="8" s="1"/>
  <c r="D133" i="8"/>
  <c r="C133" i="8"/>
  <c r="B133" i="8"/>
  <c r="P132" i="8"/>
  <c r="N132" i="8"/>
  <c r="J132" i="8"/>
  <c r="I132" i="8"/>
  <c r="G132" i="8"/>
  <c r="M132" i="8" s="1"/>
  <c r="F132" i="8"/>
  <c r="E132" i="8"/>
  <c r="K132" i="8" s="1"/>
  <c r="D132" i="8"/>
  <c r="C132" i="8"/>
  <c r="B132" i="8"/>
  <c r="P131" i="8"/>
  <c r="Q131" i="8" s="1"/>
  <c r="N131" i="8"/>
  <c r="J131" i="8"/>
  <c r="I131" i="8"/>
  <c r="G131" i="8"/>
  <c r="M131" i="8" s="1"/>
  <c r="F131" i="8"/>
  <c r="E131" i="8"/>
  <c r="K131" i="8" s="1"/>
  <c r="D131" i="8"/>
  <c r="C131" i="8"/>
  <c r="B131" i="8"/>
  <c r="P130" i="8"/>
  <c r="N130" i="8"/>
  <c r="J130" i="8"/>
  <c r="I130" i="8"/>
  <c r="G130" i="8"/>
  <c r="M130" i="8" s="1"/>
  <c r="F130" i="8"/>
  <c r="E130" i="8"/>
  <c r="K130" i="8" s="1"/>
  <c r="D130" i="8"/>
  <c r="C130" i="8"/>
  <c r="B130" i="8"/>
  <c r="P129" i="8"/>
  <c r="Q129" i="8" s="1"/>
  <c r="N129" i="8"/>
  <c r="O129" i="8" s="1"/>
  <c r="J129" i="8"/>
  <c r="I129" i="8"/>
  <c r="G129" i="8"/>
  <c r="M129" i="8" s="1"/>
  <c r="F129" i="8"/>
  <c r="E129" i="8"/>
  <c r="K129" i="8" s="1"/>
  <c r="D129" i="8"/>
  <c r="C129" i="8"/>
  <c r="B129" i="8"/>
  <c r="P128" i="8"/>
  <c r="N128" i="8"/>
  <c r="J128" i="8"/>
  <c r="I128" i="8"/>
  <c r="G128" i="8"/>
  <c r="M128" i="8" s="1"/>
  <c r="F128" i="8"/>
  <c r="E128" i="8"/>
  <c r="K128" i="8" s="1"/>
  <c r="D128" i="8"/>
  <c r="C128" i="8"/>
  <c r="B128" i="8"/>
  <c r="P127" i="8"/>
  <c r="Q127" i="8" s="1"/>
  <c r="N127" i="8"/>
  <c r="J127" i="8"/>
  <c r="I127" i="8"/>
  <c r="G127" i="8"/>
  <c r="M127" i="8" s="1"/>
  <c r="F127" i="8"/>
  <c r="E127" i="8"/>
  <c r="K127" i="8" s="1"/>
  <c r="D127" i="8"/>
  <c r="C127" i="8"/>
  <c r="B127" i="8"/>
  <c r="P126" i="8"/>
  <c r="N126" i="8"/>
  <c r="J126" i="8"/>
  <c r="I126" i="8"/>
  <c r="G126" i="8"/>
  <c r="M126" i="8" s="1"/>
  <c r="F126" i="8"/>
  <c r="E126" i="8"/>
  <c r="K126" i="8" s="1"/>
  <c r="D126" i="8"/>
  <c r="C126" i="8"/>
  <c r="B126" i="8"/>
  <c r="P125" i="8"/>
  <c r="Q125" i="8" s="1"/>
  <c r="N125" i="8"/>
  <c r="O125" i="8" s="1"/>
  <c r="J125" i="8"/>
  <c r="I125" i="8"/>
  <c r="G125" i="8"/>
  <c r="M125" i="8" s="1"/>
  <c r="F125" i="8"/>
  <c r="E125" i="8"/>
  <c r="K125" i="8" s="1"/>
  <c r="D125" i="8"/>
  <c r="C125" i="8"/>
  <c r="B125" i="8"/>
  <c r="P124" i="8"/>
  <c r="N124" i="8"/>
  <c r="J124" i="8"/>
  <c r="I124" i="8"/>
  <c r="G124" i="8"/>
  <c r="M124" i="8" s="1"/>
  <c r="F124" i="8"/>
  <c r="E124" i="8"/>
  <c r="K124" i="8" s="1"/>
  <c r="D124" i="8"/>
  <c r="C124" i="8"/>
  <c r="B124" i="8"/>
  <c r="P123" i="8"/>
  <c r="Q123" i="8" s="1"/>
  <c r="N123" i="8"/>
  <c r="J123" i="8"/>
  <c r="I123" i="8"/>
  <c r="G123" i="8"/>
  <c r="M123" i="8" s="1"/>
  <c r="F123" i="8"/>
  <c r="E123" i="8"/>
  <c r="K123" i="8" s="1"/>
  <c r="D123" i="8"/>
  <c r="C123" i="8"/>
  <c r="B123" i="8"/>
  <c r="P122" i="8"/>
  <c r="N122" i="8"/>
  <c r="J122" i="8"/>
  <c r="I122" i="8"/>
  <c r="G122" i="8"/>
  <c r="M122" i="8" s="1"/>
  <c r="F122" i="8"/>
  <c r="E122" i="8"/>
  <c r="K122" i="8" s="1"/>
  <c r="D122" i="8"/>
  <c r="C122" i="8"/>
  <c r="B122" i="8"/>
  <c r="P121" i="8"/>
  <c r="Q121" i="8" s="1"/>
  <c r="N121" i="8"/>
  <c r="O121" i="8" s="1"/>
  <c r="J121" i="8"/>
  <c r="I121" i="8"/>
  <c r="G121" i="8"/>
  <c r="M121" i="8" s="1"/>
  <c r="F121" i="8"/>
  <c r="E121" i="8"/>
  <c r="K121" i="8" s="1"/>
  <c r="D121" i="8"/>
  <c r="C121" i="8"/>
  <c r="B121" i="8"/>
  <c r="P120" i="8"/>
  <c r="Q120" i="8" s="1"/>
  <c r="N120" i="8"/>
  <c r="J120" i="8"/>
  <c r="I120" i="8"/>
  <c r="G120" i="8"/>
  <c r="M120" i="8" s="1"/>
  <c r="F120" i="8"/>
  <c r="E120" i="8"/>
  <c r="K120" i="8" s="1"/>
  <c r="D120" i="8"/>
  <c r="C120" i="8"/>
  <c r="B120" i="8"/>
  <c r="H120" i="8" s="1"/>
  <c r="Q119" i="8"/>
  <c r="P119" i="8"/>
  <c r="N119" i="8"/>
  <c r="J119" i="8"/>
  <c r="I119" i="8"/>
  <c r="G119" i="8"/>
  <c r="M119" i="8" s="1"/>
  <c r="F119" i="8"/>
  <c r="E119" i="8"/>
  <c r="K119" i="8" s="1"/>
  <c r="D119" i="8"/>
  <c r="C119" i="8"/>
  <c r="B119" i="8"/>
  <c r="Q118" i="8"/>
  <c r="P118" i="8"/>
  <c r="N118" i="8"/>
  <c r="J118" i="8"/>
  <c r="I118" i="8"/>
  <c r="G118" i="8"/>
  <c r="F118" i="8"/>
  <c r="L118" i="8" s="1"/>
  <c r="E118" i="8"/>
  <c r="K118" i="8" s="1"/>
  <c r="D118" i="8"/>
  <c r="C118" i="8"/>
  <c r="B118" i="8"/>
  <c r="P117" i="8"/>
  <c r="N117" i="8"/>
  <c r="J117" i="8"/>
  <c r="I117" i="8"/>
  <c r="G117" i="8"/>
  <c r="M117" i="8" s="1"/>
  <c r="F117" i="8"/>
  <c r="E117" i="8"/>
  <c r="K117" i="8" s="1"/>
  <c r="D117" i="8"/>
  <c r="C117" i="8"/>
  <c r="B117" i="8"/>
  <c r="P116" i="8"/>
  <c r="Q116" i="8" s="1"/>
  <c r="N116" i="8"/>
  <c r="J116" i="8"/>
  <c r="I116" i="8"/>
  <c r="G116" i="8"/>
  <c r="M116" i="8" s="1"/>
  <c r="F116" i="8"/>
  <c r="L116" i="8" s="1"/>
  <c r="E116" i="8"/>
  <c r="K116" i="8" s="1"/>
  <c r="D116" i="8"/>
  <c r="C116" i="8"/>
  <c r="B116" i="8"/>
  <c r="P115" i="8"/>
  <c r="Q115" i="8" s="1"/>
  <c r="N115" i="8"/>
  <c r="O115" i="8" s="1"/>
  <c r="J115" i="8"/>
  <c r="I115" i="8"/>
  <c r="G115" i="8"/>
  <c r="F115" i="8"/>
  <c r="E115" i="8"/>
  <c r="K115" i="8" s="1"/>
  <c r="D115" i="8"/>
  <c r="C115" i="8"/>
  <c r="B115" i="8"/>
  <c r="H115" i="8" s="1"/>
  <c r="Q114" i="8"/>
  <c r="P114" i="8"/>
  <c r="N114" i="8"/>
  <c r="J114" i="8"/>
  <c r="I114" i="8"/>
  <c r="G114" i="8"/>
  <c r="M114" i="8" s="1"/>
  <c r="F114" i="8"/>
  <c r="L114" i="8" s="1"/>
  <c r="E114" i="8"/>
  <c r="K114" i="8" s="1"/>
  <c r="D114" i="8"/>
  <c r="C114" i="8"/>
  <c r="B114" i="8"/>
  <c r="H114" i="8" s="1"/>
  <c r="P113" i="8"/>
  <c r="Q113" i="8" s="1"/>
  <c r="N113" i="8"/>
  <c r="O113" i="8" s="1"/>
  <c r="J113" i="8"/>
  <c r="I113" i="8"/>
  <c r="G113" i="8"/>
  <c r="M113" i="8" s="1"/>
  <c r="F113" i="8"/>
  <c r="E113" i="8"/>
  <c r="K113" i="8" s="1"/>
  <c r="D113" i="8"/>
  <c r="C113" i="8"/>
  <c r="B113" i="8"/>
  <c r="P112" i="8"/>
  <c r="Q112" i="8" s="1"/>
  <c r="N112" i="8"/>
  <c r="J112" i="8"/>
  <c r="I112" i="8"/>
  <c r="G112" i="8"/>
  <c r="M112" i="8" s="1"/>
  <c r="F112" i="8"/>
  <c r="E112" i="8"/>
  <c r="K112" i="8" s="1"/>
  <c r="D112" i="8"/>
  <c r="C112" i="8"/>
  <c r="B112" i="8"/>
  <c r="H112" i="8" s="1"/>
  <c r="Q111" i="8"/>
  <c r="P111" i="8"/>
  <c r="N111" i="8"/>
  <c r="J111" i="8"/>
  <c r="I111" i="8"/>
  <c r="G111" i="8"/>
  <c r="M111" i="8" s="1"/>
  <c r="F111" i="8"/>
  <c r="L111" i="8" s="1"/>
  <c r="E111" i="8"/>
  <c r="K111" i="8" s="1"/>
  <c r="D111" i="8"/>
  <c r="C111" i="8"/>
  <c r="B111" i="8"/>
  <c r="Q110" i="8"/>
  <c r="P110" i="8"/>
  <c r="Q186" i="8" s="1"/>
  <c r="N110" i="8"/>
  <c r="O137" i="8" s="1"/>
  <c r="J110" i="8"/>
  <c r="I110" i="8"/>
  <c r="G110" i="8"/>
  <c r="M193" i="8" s="1"/>
  <c r="F110" i="8"/>
  <c r="E110" i="8"/>
  <c r="K224" i="8" s="1"/>
  <c r="D110" i="8"/>
  <c r="J249" i="8" s="1"/>
  <c r="C110" i="8"/>
  <c r="I249" i="8" s="1"/>
  <c r="B110" i="8"/>
  <c r="H138" i="8" s="1"/>
  <c r="P109" i="8"/>
  <c r="N109" i="8"/>
  <c r="J109" i="8"/>
  <c r="I109" i="8"/>
  <c r="G109" i="8"/>
  <c r="M109" i="8" s="1"/>
  <c r="F109" i="8"/>
  <c r="E109" i="8"/>
  <c r="K109" i="8" s="1"/>
  <c r="D109" i="8"/>
  <c r="C109" i="8"/>
  <c r="B109" i="8"/>
  <c r="P108" i="8"/>
  <c r="Q108" i="8" s="1"/>
  <c r="O108" i="8"/>
  <c r="N108" i="8"/>
  <c r="J108" i="8"/>
  <c r="I108" i="8"/>
  <c r="G108" i="8"/>
  <c r="M108" i="8" s="1"/>
  <c r="F108" i="8"/>
  <c r="L108" i="8" s="1"/>
  <c r="E108" i="8"/>
  <c r="K108" i="8" s="1"/>
  <c r="D108" i="8"/>
  <c r="C108" i="8"/>
  <c r="B108" i="8"/>
  <c r="P107" i="8"/>
  <c r="Q107" i="8" s="1"/>
  <c r="N107" i="8"/>
  <c r="O107" i="8" s="1"/>
  <c r="J107" i="8"/>
  <c r="I107" i="8"/>
  <c r="G107" i="8"/>
  <c r="M107" i="8" s="1"/>
  <c r="F107" i="8"/>
  <c r="E107" i="8"/>
  <c r="K107" i="8" s="1"/>
  <c r="D107" i="8"/>
  <c r="C107" i="8"/>
  <c r="B107" i="8"/>
  <c r="H107" i="8" s="1"/>
  <c r="Q106" i="8"/>
  <c r="P106" i="8"/>
  <c r="N106" i="8"/>
  <c r="J106" i="8"/>
  <c r="I106" i="8"/>
  <c r="G106" i="8"/>
  <c r="M106" i="8" s="1"/>
  <c r="F106" i="8"/>
  <c r="L106" i="8" s="1"/>
  <c r="E106" i="8"/>
  <c r="K106" i="8" s="1"/>
  <c r="D106" i="8"/>
  <c r="C106" i="8"/>
  <c r="B106" i="8"/>
  <c r="H106" i="8" s="1"/>
  <c r="P105" i="8"/>
  <c r="Q105" i="8" s="1"/>
  <c r="N105" i="8"/>
  <c r="O105" i="8" s="1"/>
  <c r="J105" i="8"/>
  <c r="I105" i="8"/>
  <c r="G105" i="8"/>
  <c r="M105" i="8" s="1"/>
  <c r="F105" i="8"/>
  <c r="E105" i="8"/>
  <c r="K105" i="8" s="1"/>
  <c r="D105" i="8"/>
  <c r="C105" i="8"/>
  <c r="B105" i="8"/>
  <c r="H105" i="8" s="1"/>
  <c r="P104" i="8"/>
  <c r="Q104" i="8" s="1"/>
  <c r="N104" i="8"/>
  <c r="J104" i="8"/>
  <c r="I104" i="8"/>
  <c r="G104" i="8"/>
  <c r="M104" i="8" s="1"/>
  <c r="F104" i="8"/>
  <c r="E104" i="8"/>
  <c r="K104" i="8" s="1"/>
  <c r="D104" i="8"/>
  <c r="C104" i="8"/>
  <c r="B104" i="8"/>
  <c r="H104" i="8" s="1"/>
  <c r="Q103" i="8"/>
  <c r="P103" i="8"/>
  <c r="N103" i="8"/>
  <c r="J103" i="8"/>
  <c r="I103" i="8"/>
  <c r="G103" i="8"/>
  <c r="M103" i="8" s="1"/>
  <c r="F103" i="8"/>
  <c r="L103" i="8" s="1"/>
  <c r="E103" i="8"/>
  <c r="K103" i="8" s="1"/>
  <c r="D103" i="8"/>
  <c r="C103" i="8"/>
  <c r="B103" i="8"/>
  <c r="Q102" i="8"/>
  <c r="P102" i="8"/>
  <c r="N102" i="8"/>
  <c r="J102" i="8"/>
  <c r="I102" i="8"/>
  <c r="G102" i="8"/>
  <c r="M102" i="8" s="1"/>
  <c r="F102" i="8"/>
  <c r="L102" i="8" s="1"/>
  <c r="E102" i="8"/>
  <c r="K102" i="8" s="1"/>
  <c r="D102" i="8"/>
  <c r="C102" i="8"/>
  <c r="B102" i="8"/>
  <c r="Q101" i="8"/>
  <c r="P101" i="8"/>
  <c r="N101" i="8"/>
  <c r="J101" i="8"/>
  <c r="I101" i="8"/>
  <c r="H101" i="8"/>
  <c r="G101" i="8"/>
  <c r="M101" i="8" s="1"/>
  <c r="F101" i="8"/>
  <c r="E101" i="8"/>
  <c r="K101" i="8" s="1"/>
  <c r="D101" i="8"/>
  <c r="C101" i="8"/>
  <c r="B101" i="8"/>
  <c r="Q100" i="8"/>
  <c r="P100" i="8"/>
  <c r="N100" i="8"/>
  <c r="J100" i="8"/>
  <c r="I100" i="8"/>
  <c r="G100" i="8"/>
  <c r="M100" i="8" s="1"/>
  <c r="F100" i="8"/>
  <c r="L100" i="8" s="1"/>
  <c r="E100" i="8"/>
  <c r="K100" i="8" s="1"/>
  <c r="D100" i="8"/>
  <c r="C100" i="8"/>
  <c r="B100" i="8"/>
  <c r="P99" i="8"/>
  <c r="Q99" i="8" s="1"/>
  <c r="N99" i="8"/>
  <c r="J99" i="8"/>
  <c r="I99" i="8"/>
  <c r="G99" i="8"/>
  <c r="M99" i="8" s="1"/>
  <c r="F99" i="8"/>
  <c r="E99" i="8"/>
  <c r="K99" i="8" s="1"/>
  <c r="D99" i="8"/>
  <c r="C99" i="8"/>
  <c r="B99" i="8"/>
  <c r="Q98" i="8"/>
  <c r="P98" i="8"/>
  <c r="N98" i="8"/>
  <c r="O98" i="8" s="1"/>
  <c r="J98" i="8"/>
  <c r="I98" i="8"/>
  <c r="G98" i="8"/>
  <c r="M98" i="8" s="1"/>
  <c r="F98" i="8"/>
  <c r="L98" i="8" s="1"/>
  <c r="E98" i="8"/>
  <c r="K98" i="8" s="1"/>
  <c r="D98" i="8"/>
  <c r="C98" i="8"/>
  <c r="B98" i="8"/>
  <c r="P97" i="8"/>
  <c r="Q97" i="8" s="1"/>
  <c r="N97" i="8"/>
  <c r="O97" i="8" s="1"/>
  <c r="J97" i="8"/>
  <c r="I97" i="8"/>
  <c r="G97" i="8"/>
  <c r="M97" i="8" s="1"/>
  <c r="F97" i="8"/>
  <c r="E97" i="8"/>
  <c r="K97" i="8" s="1"/>
  <c r="D97" i="8"/>
  <c r="C97" i="8"/>
  <c r="B97" i="8"/>
  <c r="H97" i="8" s="1"/>
  <c r="P96" i="8"/>
  <c r="Q96" i="8" s="1"/>
  <c r="O96" i="8"/>
  <c r="N96" i="8"/>
  <c r="M96" i="8"/>
  <c r="J96" i="8"/>
  <c r="I96" i="8"/>
  <c r="G96" i="8"/>
  <c r="F96" i="8"/>
  <c r="E96" i="8"/>
  <c r="K96" i="8" s="1"/>
  <c r="D96" i="8"/>
  <c r="C96" i="8"/>
  <c r="B96" i="8"/>
  <c r="H96" i="8" s="1"/>
  <c r="Q95" i="8"/>
  <c r="P95" i="8"/>
  <c r="N95" i="8"/>
  <c r="M95" i="8"/>
  <c r="J95" i="8"/>
  <c r="I95" i="8"/>
  <c r="H95" i="8"/>
  <c r="G95" i="8"/>
  <c r="F95" i="8"/>
  <c r="E95" i="8"/>
  <c r="K95" i="8" s="1"/>
  <c r="D95" i="8"/>
  <c r="C95" i="8"/>
  <c r="B95" i="8"/>
  <c r="P94" i="8"/>
  <c r="Q94" i="8" s="1"/>
  <c r="O94" i="8"/>
  <c r="N94" i="8"/>
  <c r="J94" i="8"/>
  <c r="I94" i="8"/>
  <c r="G94" i="8"/>
  <c r="M94" i="8" s="1"/>
  <c r="F94" i="8"/>
  <c r="L94" i="8" s="1"/>
  <c r="E94" i="8"/>
  <c r="K94" i="8" s="1"/>
  <c r="D94" i="8"/>
  <c r="C94" i="8"/>
  <c r="B94" i="8"/>
  <c r="Q93" i="8"/>
  <c r="P93" i="8"/>
  <c r="O93" i="8"/>
  <c r="N93" i="8"/>
  <c r="M93" i="8"/>
  <c r="J93" i="8"/>
  <c r="I93" i="8"/>
  <c r="G93" i="8"/>
  <c r="F93" i="8"/>
  <c r="E93" i="8"/>
  <c r="K93" i="8" s="1"/>
  <c r="D93" i="8"/>
  <c r="C93" i="8"/>
  <c r="B93" i="8"/>
  <c r="H93" i="8" s="1"/>
  <c r="P92" i="8"/>
  <c r="Q92" i="8" s="1"/>
  <c r="O92" i="8"/>
  <c r="N92" i="8"/>
  <c r="M92" i="8"/>
  <c r="J92" i="8"/>
  <c r="I92" i="8"/>
  <c r="G92" i="8"/>
  <c r="F92" i="8"/>
  <c r="E92" i="8"/>
  <c r="K92" i="8" s="1"/>
  <c r="D92" i="8"/>
  <c r="C92" i="8"/>
  <c r="B92" i="8"/>
  <c r="Q91" i="8"/>
  <c r="P91" i="8"/>
  <c r="N91" i="8"/>
  <c r="M91" i="8"/>
  <c r="J91" i="8"/>
  <c r="I91" i="8"/>
  <c r="G91" i="8"/>
  <c r="F91" i="8"/>
  <c r="E91" i="8"/>
  <c r="K91" i="8" s="1"/>
  <c r="D91" i="8"/>
  <c r="C91" i="8"/>
  <c r="B91" i="8"/>
  <c r="Q90" i="8"/>
  <c r="P90" i="8"/>
  <c r="N90" i="8"/>
  <c r="J90" i="8"/>
  <c r="I90" i="8"/>
  <c r="G90" i="8"/>
  <c r="M90" i="8" s="1"/>
  <c r="F90" i="8"/>
  <c r="L90" i="8" s="1"/>
  <c r="E90" i="8"/>
  <c r="K90" i="8" s="1"/>
  <c r="D90" i="8"/>
  <c r="C90" i="8"/>
  <c r="B90" i="8"/>
  <c r="Q89" i="8"/>
  <c r="P89" i="8"/>
  <c r="N89" i="8"/>
  <c r="O89" i="8" s="1"/>
  <c r="M89" i="8"/>
  <c r="J89" i="8"/>
  <c r="I89" i="8"/>
  <c r="G89" i="8"/>
  <c r="F89" i="8"/>
  <c r="E89" i="8"/>
  <c r="K89" i="8" s="1"/>
  <c r="D89" i="8"/>
  <c r="C89" i="8"/>
  <c r="B89" i="8"/>
  <c r="H89" i="8" s="1"/>
  <c r="P88" i="8"/>
  <c r="Q88" i="8" s="1"/>
  <c r="N88" i="8"/>
  <c r="M88" i="8"/>
  <c r="J88" i="8"/>
  <c r="I88" i="8"/>
  <c r="G88" i="8"/>
  <c r="F88" i="8"/>
  <c r="E88" i="8"/>
  <c r="K88" i="8" s="1"/>
  <c r="D88" i="8"/>
  <c r="C88" i="8"/>
  <c r="B88" i="8"/>
  <c r="H88" i="8" s="1"/>
  <c r="Q87" i="8"/>
  <c r="P87" i="8"/>
  <c r="N87" i="8"/>
  <c r="O87" i="8" s="1"/>
  <c r="J87" i="8"/>
  <c r="I87" i="8"/>
  <c r="G87" i="8"/>
  <c r="M87" i="8" s="1"/>
  <c r="F87" i="8"/>
  <c r="E87" i="8"/>
  <c r="K87" i="8" s="1"/>
  <c r="D87" i="8"/>
  <c r="C87" i="8"/>
  <c r="B87" i="8"/>
  <c r="P86" i="8"/>
  <c r="Q86" i="8" s="1"/>
  <c r="O86" i="8"/>
  <c r="N86" i="8"/>
  <c r="J86" i="8"/>
  <c r="I86" i="8"/>
  <c r="G86" i="8"/>
  <c r="M86" i="8" s="1"/>
  <c r="F86" i="8"/>
  <c r="L86" i="8" s="1"/>
  <c r="E86" i="8"/>
  <c r="K86" i="8" s="1"/>
  <c r="D86" i="8"/>
  <c r="C86" i="8"/>
  <c r="B86" i="8"/>
  <c r="Q85" i="8"/>
  <c r="P85" i="8"/>
  <c r="O85" i="8"/>
  <c r="N85" i="8"/>
  <c r="J85" i="8"/>
  <c r="I85" i="8"/>
  <c r="G85" i="8"/>
  <c r="M85" i="8" s="1"/>
  <c r="F85" i="8"/>
  <c r="E85" i="8"/>
  <c r="K85" i="8" s="1"/>
  <c r="D85" i="8"/>
  <c r="C85" i="8"/>
  <c r="B85" i="8"/>
  <c r="P84" i="8"/>
  <c r="Q84" i="8" s="1"/>
  <c r="O84" i="8"/>
  <c r="N84" i="8"/>
  <c r="M84" i="8"/>
  <c r="J84" i="8"/>
  <c r="I84" i="8"/>
  <c r="G84" i="8"/>
  <c r="F84" i="8"/>
  <c r="E84" i="8"/>
  <c r="K84" i="8" s="1"/>
  <c r="D84" i="8"/>
  <c r="C84" i="8"/>
  <c r="B84" i="8"/>
  <c r="H84" i="8" s="1"/>
  <c r="Q83" i="8"/>
  <c r="P83" i="8"/>
  <c r="N83" i="8"/>
  <c r="J83" i="8"/>
  <c r="I83" i="8"/>
  <c r="G83" i="8"/>
  <c r="M83" i="8" s="1"/>
  <c r="F83" i="8"/>
  <c r="E83" i="8"/>
  <c r="K83" i="8" s="1"/>
  <c r="D83" i="8"/>
  <c r="C83" i="8"/>
  <c r="B83" i="8"/>
  <c r="Q82" i="8"/>
  <c r="P82" i="8"/>
  <c r="O82" i="8"/>
  <c r="N82" i="8"/>
  <c r="J82" i="8"/>
  <c r="I82" i="8"/>
  <c r="G82" i="8"/>
  <c r="M82" i="8" s="1"/>
  <c r="F82" i="8"/>
  <c r="L82" i="8" s="1"/>
  <c r="E82" i="8"/>
  <c r="K82" i="8" s="1"/>
  <c r="D82" i="8"/>
  <c r="C82" i="8"/>
  <c r="B82" i="8"/>
  <c r="H82" i="8" s="1"/>
  <c r="P81" i="8"/>
  <c r="Q81" i="8" s="1"/>
  <c r="N81" i="8"/>
  <c r="O81" i="8" s="1"/>
  <c r="J81" i="8"/>
  <c r="I81" i="8"/>
  <c r="G81" i="8"/>
  <c r="M81" i="8" s="1"/>
  <c r="F81" i="8"/>
  <c r="L81" i="8" s="1"/>
  <c r="E81" i="8"/>
  <c r="K81" i="8" s="1"/>
  <c r="D81" i="8"/>
  <c r="C81" i="8"/>
  <c r="B81" i="8"/>
  <c r="Q80" i="8"/>
  <c r="P80" i="8"/>
  <c r="N80" i="8"/>
  <c r="O80" i="8" s="1"/>
  <c r="M80" i="8"/>
  <c r="J80" i="8"/>
  <c r="G80" i="8"/>
  <c r="F80" i="8"/>
  <c r="L80" i="8" s="1"/>
  <c r="E80" i="8"/>
  <c r="K80" i="8" s="1"/>
  <c r="D80" i="8"/>
  <c r="C80" i="8"/>
  <c r="I80" i="8" s="1"/>
  <c r="B80" i="8"/>
  <c r="P79" i="8"/>
  <c r="Q79" i="8" s="1"/>
  <c r="N79" i="8"/>
  <c r="K79" i="8"/>
  <c r="J79" i="8"/>
  <c r="G79" i="8"/>
  <c r="M79" i="8" s="1"/>
  <c r="F79" i="8"/>
  <c r="E79" i="8"/>
  <c r="D79" i="8"/>
  <c r="C79" i="8"/>
  <c r="I79" i="8" s="1"/>
  <c r="B79" i="8"/>
  <c r="P78" i="8"/>
  <c r="Q78" i="8" s="1"/>
  <c r="N78" i="8"/>
  <c r="M78" i="8"/>
  <c r="K78" i="8"/>
  <c r="J78" i="8"/>
  <c r="G78" i="8"/>
  <c r="F78" i="8"/>
  <c r="L78" i="8" s="1"/>
  <c r="E78" i="8"/>
  <c r="D78" i="8"/>
  <c r="C78" i="8"/>
  <c r="I78" i="8" s="1"/>
  <c r="B78" i="8"/>
  <c r="H78" i="8" s="1"/>
  <c r="Q77" i="8"/>
  <c r="P77" i="8"/>
  <c r="N77" i="8"/>
  <c r="M77" i="8"/>
  <c r="K77" i="8"/>
  <c r="J77" i="8"/>
  <c r="I77" i="8"/>
  <c r="G77" i="8"/>
  <c r="F77" i="8"/>
  <c r="E77" i="8"/>
  <c r="D77" i="8"/>
  <c r="C77" i="8"/>
  <c r="B77" i="8"/>
  <c r="H77" i="8" s="1"/>
  <c r="Q76" i="8"/>
  <c r="P76" i="8"/>
  <c r="N76" i="8"/>
  <c r="O76" i="8" s="1"/>
  <c r="M76" i="8"/>
  <c r="K76" i="8"/>
  <c r="J76" i="8"/>
  <c r="I76" i="8"/>
  <c r="H76" i="8"/>
  <c r="G76" i="8"/>
  <c r="F76" i="8"/>
  <c r="E76" i="8"/>
  <c r="D76" i="8"/>
  <c r="C76" i="8"/>
  <c r="B76" i="8"/>
  <c r="P75" i="8"/>
  <c r="Q75" i="8" s="1"/>
  <c r="N75" i="8"/>
  <c r="K75" i="8"/>
  <c r="J75" i="8"/>
  <c r="I75" i="8"/>
  <c r="G75" i="8"/>
  <c r="M75" i="8" s="1"/>
  <c r="F75" i="8"/>
  <c r="E75" i="8"/>
  <c r="D75" i="8"/>
  <c r="C75" i="8"/>
  <c r="B75" i="8"/>
  <c r="H75" i="8" s="1"/>
  <c r="Q74" i="8"/>
  <c r="P74" i="8"/>
  <c r="N74" i="8"/>
  <c r="J74" i="8"/>
  <c r="I74" i="8"/>
  <c r="G74" i="8"/>
  <c r="M74" i="8" s="1"/>
  <c r="F74" i="8"/>
  <c r="L74" i="8" s="1"/>
  <c r="E74" i="8"/>
  <c r="K74" i="8" s="1"/>
  <c r="D74" i="8"/>
  <c r="C74" i="8"/>
  <c r="B74" i="8"/>
  <c r="H74" i="8" s="1"/>
  <c r="P73" i="8"/>
  <c r="Q73" i="8" s="1"/>
  <c r="O73" i="8"/>
  <c r="N73" i="8"/>
  <c r="J73" i="8"/>
  <c r="I73" i="8"/>
  <c r="G73" i="8"/>
  <c r="M73" i="8" s="1"/>
  <c r="F73" i="8"/>
  <c r="L73" i="8" s="1"/>
  <c r="E73" i="8"/>
  <c r="K73" i="8" s="1"/>
  <c r="D73" i="8"/>
  <c r="C73" i="8"/>
  <c r="B73" i="8"/>
  <c r="P72" i="8"/>
  <c r="Q72" i="8" s="1"/>
  <c r="O72" i="8"/>
  <c r="N72" i="8"/>
  <c r="M72" i="8"/>
  <c r="J72" i="8"/>
  <c r="H72" i="8"/>
  <c r="G72" i="8"/>
  <c r="F72" i="8"/>
  <c r="L72" i="8" s="1"/>
  <c r="E72" i="8"/>
  <c r="K72" i="8" s="1"/>
  <c r="D72" i="8"/>
  <c r="C72" i="8"/>
  <c r="I72" i="8" s="1"/>
  <c r="B72" i="8"/>
  <c r="P71" i="8"/>
  <c r="Q71" i="8" s="1"/>
  <c r="O71" i="8"/>
  <c r="N71" i="8"/>
  <c r="J71" i="8"/>
  <c r="G71" i="8"/>
  <c r="M71" i="8" s="1"/>
  <c r="F71" i="8"/>
  <c r="L71" i="8" s="1"/>
  <c r="E71" i="8"/>
  <c r="K71" i="8" s="1"/>
  <c r="D71" i="8"/>
  <c r="C71" i="8"/>
  <c r="I71" i="8" s="1"/>
  <c r="B71" i="8"/>
  <c r="P70" i="8"/>
  <c r="Q70" i="8" s="1"/>
  <c r="O70" i="8"/>
  <c r="N70" i="8"/>
  <c r="M70" i="8"/>
  <c r="J70" i="8"/>
  <c r="G70" i="8"/>
  <c r="F70" i="8"/>
  <c r="L70" i="8" s="1"/>
  <c r="E70" i="8"/>
  <c r="K70" i="8" s="1"/>
  <c r="D70" i="8"/>
  <c r="C70" i="8"/>
  <c r="I70" i="8" s="1"/>
  <c r="B70" i="8"/>
  <c r="H70" i="8" s="1"/>
  <c r="Q69" i="8"/>
  <c r="P69" i="8"/>
  <c r="N69" i="8"/>
  <c r="M69" i="8"/>
  <c r="K69" i="8"/>
  <c r="J69" i="8"/>
  <c r="H69" i="8"/>
  <c r="G69" i="8"/>
  <c r="F69" i="8"/>
  <c r="E69" i="8"/>
  <c r="D69" i="8"/>
  <c r="C69" i="8"/>
  <c r="I69" i="8" s="1"/>
  <c r="B69" i="8"/>
  <c r="P68" i="8"/>
  <c r="Q68" i="8" s="1"/>
  <c r="N68" i="8"/>
  <c r="O68" i="8" s="1"/>
  <c r="K68" i="8"/>
  <c r="J68" i="8"/>
  <c r="I68" i="8"/>
  <c r="G68" i="8"/>
  <c r="M68" i="8" s="1"/>
  <c r="F68" i="8"/>
  <c r="E68" i="8"/>
  <c r="D68" i="8"/>
  <c r="C68" i="8"/>
  <c r="B68" i="8"/>
  <c r="H68" i="8" s="1"/>
  <c r="Q67" i="8"/>
  <c r="P67" i="8"/>
  <c r="O67" i="8"/>
  <c r="N67" i="8"/>
  <c r="K67" i="8"/>
  <c r="J67" i="8"/>
  <c r="G67" i="8"/>
  <c r="M67" i="8" s="1"/>
  <c r="F67" i="8"/>
  <c r="L67" i="8" s="1"/>
  <c r="E67" i="8"/>
  <c r="D67" i="8"/>
  <c r="C67" i="8"/>
  <c r="I67" i="8" s="1"/>
  <c r="B67" i="8"/>
  <c r="P66" i="8"/>
  <c r="Q66" i="8" s="1"/>
  <c r="O66" i="8"/>
  <c r="N66" i="8"/>
  <c r="J66" i="8"/>
  <c r="I66" i="8"/>
  <c r="H66" i="8"/>
  <c r="G66" i="8"/>
  <c r="M66" i="8" s="1"/>
  <c r="F66" i="8"/>
  <c r="L66" i="8" s="1"/>
  <c r="E66" i="8"/>
  <c r="K66" i="8" s="1"/>
  <c r="D66" i="8"/>
  <c r="C66" i="8"/>
  <c r="B66" i="8"/>
  <c r="P65" i="8"/>
  <c r="Q65" i="8" s="1"/>
  <c r="N65" i="8"/>
  <c r="J65" i="8"/>
  <c r="I65" i="8"/>
  <c r="H65" i="8"/>
  <c r="G65" i="8"/>
  <c r="M65" i="8" s="1"/>
  <c r="F65" i="8"/>
  <c r="L65" i="8" s="1"/>
  <c r="E65" i="8"/>
  <c r="K65" i="8" s="1"/>
  <c r="D65" i="8"/>
  <c r="C65" i="8"/>
  <c r="B65" i="8"/>
  <c r="P64" i="8"/>
  <c r="Q64" i="8" s="1"/>
  <c r="N64" i="8"/>
  <c r="O64" i="8" s="1"/>
  <c r="J64" i="8"/>
  <c r="H64" i="8"/>
  <c r="G64" i="8"/>
  <c r="M64" i="8" s="1"/>
  <c r="F64" i="8"/>
  <c r="L64" i="8" s="1"/>
  <c r="E64" i="8"/>
  <c r="K64" i="8" s="1"/>
  <c r="D64" i="8"/>
  <c r="C64" i="8"/>
  <c r="I64" i="8" s="1"/>
  <c r="B64" i="8"/>
  <c r="P63" i="8"/>
  <c r="Q63" i="8" s="1"/>
  <c r="O63" i="8"/>
  <c r="N63" i="8"/>
  <c r="M63" i="8"/>
  <c r="K63" i="8"/>
  <c r="J63" i="8"/>
  <c r="G63" i="8"/>
  <c r="F63" i="8"/>
  <c r="L63" i="8" s="1"/>
  <c r="E63" i="8"/>
  <c r="D63" i="8"/>
  <c r="C63" i="8"/>
  <c r="I63" i="8" s="1"/>
  <c r="B63" i="8"/>
  <c r="H63" i="8" s="1"/>
  <c r="P62" i="8"/>
  <c r="Q62" i="8" s="1"/>
  <c r="O62" i="8"/>
  <c r="N62" i="8"/>
  <c r="M62" i="8"/>
  <c r="J62" i="8"/>
  <c r="I62" i="8"/>
  <c r="G62" i="8"/>
  <c r="F62" i="8"/>
  <c r="L62" i="8" s="1"/>
  <c r="E62" i="8"/>
  <c r="K62" i="8" s="1"/>
  <c r="D62" i="8"/>
  <c r="C62" i="8"/>
  <c r="B62" i="8"/>
  <c r="Q61" i="8"/>
  <c r="P61" i="8"/>
  <c r="N61" i="8"/>
  <c r="O61" i="8" s="1"/>
  <c r="M61" i="8"/>
  <c r="K61" i="8"/>
  <c r="J61" i="8"/>
  <c r="G61" i="8"/>
  <c r="F61" i="8"/>
  <c r="E61" i="8"/>
  <c r="D61" i="8"/>
  <c r="C61" i="8"/>
  <c r="I61" i="8" s="1"/>
  <c r="B61" i="8"/>
  <c r="P60" i="8"/>
  <c r="Q60" i="8" s="1"/>
  <c r="N60" i="8"/>
  <c r="O60" i="8" s="1"/>
  <c r="M60" i="8"/>
  <c r="K60" i="8"/>
  <c r="J60" i="8"/>
  <c r="I60" i="8"/>
  <c r="G60" i="8"/>
  <c r="F60" i="8"/>
  <c r="E60" i="8"/>
  <c r="D60" i="8"/>
  <c r="C60" i="8"/>
  <c r="B60" i="8"/>
  <c r="H60" i="8" s="1"/>
  <c r="Q59" i="8"/>
  <c r="P59" i="8"/>
  <c r="N59" i="8"/>
  <c r="K59" i="8"/>
  <c r="J59" i="8"/>
  <c r="H59" i="8"/>
  <c r="G59" i="8"/>
  <c r="M59" i="8" s="1"/>
  <c r="F59" i="8"/>
  <c r="L59" i="8" s="1"/>
  <c r="E59" i="8"/>
  <c r="D59" i="8"/>
  <c r="C59" i="8"/>
  <c r="I59" i="8" s="1"/>
  <c r="B59" i="8"/>
  <c r="P58" i="8"/>
  <c r="Q58" i="8" s="1"/>
  <c r="O58" i="8"/>
  <c r="N58" i="8"/>
  <c r="J58" i="8"/>
  <c r="I58" i="8"/>
  <c r="H58" i="8"/>
  <c r="G58" i="8"/>
  <c r="M58" i="8" s="1"/>
  <c r="F58" i="8"/>
  <c r="L58" i="8" s="1"/>
  <c r="E58" i="8"/>
  <c r="K58" i="8" s="1"/>
  <c r="D58" i="8"/>
  <c r="C58" i="8"/>
  <c r="B58" i="8"/>
  <c r="P57" i="8"/>
  <c r="Q57" i="8" s="1"/>
  <c r="N57" i="8"/>
  <c r="O57" i="8" s="1"/>
  <c r="M57" i="8"/>
  <c r="J57" i="8"/>
  <c r="I57" i="8"/>
  <c r="G57" i="8"/>
  <c r="F57" i="8"/>
  <c r="L57" i="8" s="1"/>
  <c r="E57" i="8"/>
  <c r="K57" i="8" s="1"/>
  <c r="D57" i="8"/>
  <c r="C57" i="8"/>
  <c r="B57" i="8"/>
  <c r="Q56" i="8"/>
  <c r="P56" i="8"/>
  <c r="N56" i="8"/>
  <c r="O56" i="8" s="1"/>
  <c r="M56" i="8"/>
  <c r="K56" i="8"/>
  <c r="J56" i="8"/>
  <c r="H56" i="8"/>
  <c r="G56" i="8"/>
  <c r="F56" i="8"/>
  <c r="L56" i="8" s="1"/>
  <c r="E56" i="8"/>
  <c r="D56" i="8"/>
  <c r="C56" i="8"/>
  <c r="I56" i="8" s="1"/>
  <c r="B56" i="8"/>
  <c r="P55" i="8"/>
  <c r="Q55" i="8" s="1"/>
  <c r="O55" i="8"/>
  <c r="N55" i="8"/>
  <c r="J55" i="8"/>
  <c r="G55" i="8"/>
  <c r="M55" i="8" s="1"/>
  <c r="F55" i="8"/>
  <c r="L55" i="8" s="1"/>
  <c r="E55" i="8"/>
  <c r="K55" i="8" s="1"/>
  <c r="D55" i="8"/>
  <c r="C55" i="8"/>
  <c r="I55" i="8" s="1"/>
  <c r="B55" i="8"/>
  <c r="P54" i="8"/>
  <c r="Q54" i="8" s="1"/>
  <c r="O54" i="8"/>
  <c r="N54" i="8"/>
  <c r="M54" i="8"/>
  <c r="J54" i="8"/>
  <c r="G54" i="8"/>
  <c r="F54" i="8"/>
  <c r="L54" i="8" s="1"/>
  <c r="E54" i="8"/>
  <c r="K54" i="8" s="1"/>
  <c r="D54" i="8"/>
  <c r="C54" i="8"/>
  <c r="I54" i="8" s="1"/>
  <c r="B54" i="8"/>
  <c r="H54" i="8" s="1"/>
  <c r="Q53" i="8"/>
  <c r="P53" i="8"/>
  <c r="N53" i="8"/>
  <c r="M53" i="8"/>
  <c r="K53" i="8"/>
  <c r="J53" i="8"/>
  <c r="H53" i="8"/>
  <c r="G53" i="8"/>
  <c r="F53" i="8"/>
  <c r="E53" i="8"/>
  <c r="D53" i="8"/>
  <c r="C53" i="8"/>
  <c r="I53" i="8" s="1"/>
  <c r="B53" i="8"/>
  <c r="P52" i="8"/>
  <c r="Q52" i="8" s="1"/>
  <c r="N52" i="8"/>
  <c r="O52" i="8" s="1"/>
  <c r="K52" i="8"/>
  <c r="J52" i="8"/>
  <c r="I52" i="8"/>
  <c r="H52" i="8"/>
  <c r="G52" i="8"/>
  <c r="M52" i="8" s="1"/>
  <c r="F52" i="8"/>
  <c r="E52" i="8"/>
  <c r="D52" i="8"/>
  <c r="C52" i="8"/>
  <c r="B52" i="8"/>
  <c r="Q51" i="8"/>
  <c r="P51" i="8"/>
  <c r="O51" i="8"/>
  <c r="N51" i="8"/>
  <c r="K51" i="8"/>
  <c r="J51" i="8"/>
  <c r="H51" i="8"/>
  <c r="G51" i="8"/>
  <c r="M51" i="8" s="1"/>
  <c r="F51" i="8"/>
  <c r="L51" i="8" s="1"/>
  <c r="E51" i="8"/>
  <c r="D51" i="8"/>
  <c r="C51" i="8"/>
  <c r="I51" i="8" s="1"/>
  <c r="B51" i="8"/>
  <c r="P50" i="8"/>
  <c r="Q50" i="8" s="1"/>
  <c r="O50" i="8"/>
  <c r="N50" i="8"/>
  <c r="J50" i="8"/>
  <c r="I50" i="8"/>
  <c r="H50" i="8"/>
  <c r="G50" i="8"/>
  <c r="M50" i="8" s="1"/>
  <c r="F50" i="8"/>
  <c r="L50" i="8" s="1"/>
  <c r="E50" i="8"/>
  <c r="K50" i="8" s="1"/>
  <c r="D50" i="8"/>
  <c r="C50" i="8"/>
  <c r="B50" i="8"/>
  <c r="P49" i="8"/>
  <c r="Q49" i="8" s="1"/>
  <c r="O49" i="8"/>
  <c r="N49" i="8"/>
  <c r="J49" i="8"/>
  <c r="I49" i="8"/>
  <c r="H49" i="8"/>
  <c r="G49" i="8"/>
  <c r="M49" i="8" s="1"/>
  <c r="F49" i="8"/>
  <c r="L49" i="8" s="1"/>
  <c r="E49" i="8"/>
  <c r="K49" i="8" s="1"/>
  <c r="D49" i="8"/>
  <c r="C49" i="8"/>
  <c r="B49" i="8"/>
  <c r="P48" i="8"/>
  <c r="Q48" i="8" s="1"/>
  <c r="N48" i="8"/>
  <c r="O48" i="8" s="1"/>
  <c r="H48" i="8"/>
  <c r="G48" i="8"/>
  <c r="M48" i="8" s="1"/>
  <c r="F48" i="8"/>
  <c r="L48" i="8" s="1"/>
  <c r="E48" i="8"/>
  <c r="K48" i="8" s="1"/>
  <c r="D48" i="8"/>
  <c r="J48" i="8" s="1"/>
  <c r="C48" i="8"/>
  <c r="I48" i="8" s="1"/>
  <c r="B48" i="8"/>
  <c r="P47" i="8"/>
  <c r="Q47" i="8" s="1"/>
  <c r="N47" i="8"/>
  <c r="O47" i="8" s="1"/>
  <c r="M47" i="8"/>
  <c r="L47" i="8"/>
  <c r="K47" i="8"/>
  <c r="H47" i="8"/>
  <c r="G47" i="8"/>
  <c r="F47" i="8"/>
  <c r="E47" i="8"/>
  <c r="D47" i="8"/>
  <c r="J47" i="8" s="1"/>
  <c r="C47" i="8"/>
  <c r="I47" i="8" s="1"/>
  <c r="B47" i="8"/>
  <c r="P46" i="8"/>
  <c r="Q46" i="8" s="1"/>
  <c r="O46" i="8"/>
  <c r="N46" i="8"/>
  <c r="K46" i="8"/>
  <c r="H46" i="8"/>
  <c r="G46" i="8"/>
  <c r="M46" i="8" s="1"/>
  <c r="F46" i="8"/>
  <c r="L46" i="8" s="1"/>
  <c r="E46" i="8"/>
  <c r="D46" i="8"/>
  <c r="J46" i="8" s="1"/>
  <c r="C46" i="8"/>
  <c r="I46" i="8" s="1"/>
  <c r="B46" i="8"/>
  <c r="P45" i="8"/>
  <c r="Q45" i="8" s="1"/>
  <c r="N45" i="8"/>
  <c r="O45" i="8" s="1"/>
  <c r="M45" i="8"/>
  <c r="H45" i="8"/>
  <c r="G45" i="8"/>
  <c r="F45" i="8"/>
  <c r="L45" i="8" s="1"/>
  <c r="E45" i="8"/>
  <c r="K45" i="8" s="1"/>
  <c r="D45" i="8"/>
  <c r="J45" i="8" s="1"/>
  <c r="C45" i="8"/>
  <c r="I45" i="8" s="1"/>
  <c r="B45" i="8"/>
  <c r="P44" i="8"/>
  <c r="Q44" i="8" s="1"/>
  <c r="N44" i="8"/>
  <c r="O44" i="8" s="1"/>
  <c r="M44" i="8"/>
  <c r="L44" i="8"/>
  <c r="K44" i="8"/>
  <c r="H44" i="8"/>
  <c r="G44" i="8"/>
  <c r="F44" i="8"/>
  <c r="E44" i="8"/>
  <c r="D44" i="8"/>
  <c r="J44" i="8" s="1"/>
  <c r="C44" i="8"/>
  <c r="I44" i="8" s="1"/>
  <c r="B44" i="8"/>
  <c r="P43" i="8"/>
  <c r="Q43" i="8" s="1"/>
  <c r="N43" i="8"/>
  <c r="O43" i="8" s="1"/>
  <c r="H43" i="8"/>
  <c r="G43" i="8"/>
  <c r="M43" i="8" s="1"/>
  <c r="F43" i="8"/>
  <c r="L43" i="8" s="1"/>
  <c r="E43" i="8"/>
  <c r="K43" i="8" s="1"/>
  <c r="D43" i="8"/>
  <c r="J43" i="8" s="1"/>
  <c r="C43" i="8"/>
  <c r="I43" i="8" s="1"/>
  <c r="B43" i="8"/>
  <c r="P42" i="8"/>
  <c r="Q42" i="8" s="1"/>
  <c r="O42" i="8"/>
  <c r="N42" i="8"/>
  <c r="M42" i="8"/>
  <c r="L42" i="8"/>
  <c r="H42" i="8"/>
  <c r="G42" i="8"/>
  <c r="F42" i="8"/>
  <c r="E42" i="8"/>
  <c r="K42" i="8" s="1"/>
  <c r="D42" i="8"/>
  <c r="J42" i="8" s="1"/>
  <c r="C42" i="8"/>
  <c r="I42" i="8" s="1"/>
  <c r="B42" i="8"/>
  <c r="P41" i="8"/>
  <c r="Q41" i="8" s="1"/>
  <c r="O41" i="8"/>
  <c r="N41" i="8"/>
  <c r="L41" i="8"/>
  <c r="K41" i="8"/>
  <c r="H41" i="8"/>
  <c r="G41" i="8"/>
  <c r="M41" i="8" s="1"/>
  <c r="F41" i="8"/>
  <c r="E41" i="8"/>
  <c r="D41" i="8"/>
  <c r="J41" i="8" s="1"/>
  <c r="C41" i="8"/>
  <c r="I41" i="8" s="1"/>
  <c r="B41" i="8"/>
  <c r="P40" i="8"/>
  <c r="Q40" i="8" s="1"/>
  <c r="N40" i="8"/>
  <c r="O40" i="8" s="1"/>
  <c r="H40" i="8"/>
  <c r="G40" i="8"/>
  <c r="M40" i="8" s="1"/>
  <c r="F40" i="8"/>
  <c r="L40" i="8" s="1"/>
  <c r="E40" i="8"/>
  <c r="K40" i="8" s="1"/>
  <c r="D40" i="8"/>
  <c r="J40" i="8" s="1"/>
  <c r="C40" i="8"/>
  <c r="I40" i="8" s="1"/>
  <c r="B40" i="8"/>
  <c r="P39" i="8"/>
  <c r="Q39" i="8" s="1"/>
  <c r="N39" i="8"/>
  <c r="O39" i="8" s="1"/>
  <c r="M39" i="8"/>
  <c r="L39" i="8"/>
  <c r="K39" i="8"/>
  <c r="H39" i="8"/>
  <c r="G39" i="8"/>
  <c r="F39" i="8"/>
  <c r="E39" i="8"/>
  <c r="D39" i="8"/>
  <c r="J39" i="8" s="1"/>
  <c r="C39" i="8"/>
  <c r="I39" i="8" s="1"/>
  <c r="B39" i="8"/>
  <c r="P38" i="8"/>
  <c r="Q38" i="8" s="1"/>
  <c r="O38" i="8"/>
  <c r="N38" i="8"/>
  <c r="K38" i="8"/>
  <c r="H38" i="8"/>
  <c r="G38" i="8"/>
  <c r="M38" i="8" s="1"/>
  <c r="F38" i="8"/>
  <c r="L38" i="8" s="1"/>
  <c r="E38" i="8"/>
  <c r="D38" i="8"/>
  <c r="J38" i="8" s="1"/>
  <c r="C38" i="8"/>
  <c r="I38" i="8" s="1"/>
  <c r="B38" i="8"/>
  <c r="P37" i="8"/>
  <c r="Q37" i="8" s="1"/>
  <c r="N37" i="8"/>
  <c r="O37" i="8" s="1"/>
  <c r="M37" i="8"/>
  <c r="H37" i="8"/>
  <c r="G37" i="8"/>
  <c r="F37" i="8"/>
  <c r="L37" i="8" s="1"/>
  <c r="E37" i="8"/>
  <c r="K37" i="8" s="1"/>
  <c r="D37" i="8"/>
  <c r="J37" i="8" s="1"/>
  <c r="C37" i="8"/>
  <c r="I37" i="8" s="1"/>
  <c r="B37" i="8"/>
  <c r="P36" i="8"/>
  <c r="Q36" i="8" s="1"/>
  <c r="N36" i="8"/>
  <c r="O36" i="8" s="1"/>
  <c r="M36" i="8"/>
  <c r="L36" i="8"/>
  <c r="K36" i="8"/>
  <c r="H36" i="8"/>
  <c r="G36" i="8"/>
  <c r="F36" i="8"/>
  <c r="E36" i="8"/>
  <c r="D36" i="8"/>
  <c r="J36" i="8" s="1"/>
  <c r="C36" i="8"/>
  <c r="I36" i="8" s="1"/>
  <c r="B36" i="8"/>
  <c r="P35" i="8"/>
  <c r="Q35" i="8" s="1"/>
  <c r="O35" i="8"/>
  <c r="N35" i="8"/>
  <c r="H35" i="8"/>
  <c r="G35" i="8"/>
  <c r="M35" i="8" s="1"/>
  <c r="F35" i="8"/>
  <c r="L35" i="8" s="1"/>
  <c r="E35" i="8"/>
  <c r="K35" i="8" s="1"/>
  <c r="D35" i="8"/>
  <c r="J35" i="8" s="1"/>
  <c r="C35" i="8"/>
  <c r="I35" i="8" s="1"/>
  <c r="B35" i="8"/>
  <c r="P34" i="8"/>
  <c r="Q34" i="8" s="1"/>
  <c r="O34" i="8"/>
  <c r="N34" i="8"/>
  <c r="M34" i="8"/>
  <c r="L34" i="8"/>
  <c r="H34" i="8"/>
  <c r="G34" i="8"/>
  <c r="F34" i="8"/>
  <c r="E34" i="8"/>
  <c r="K34" i="8" s="1"/>
  <c r="D34" i="8"/>
  <c r="J34" i="8" s="1"/>
  <c r="C34" i="8"/>
  <c r="I34" i="8" s="1"/>
  <c r="B34" i="8"/>
  <c r="P33" i="8"/>
  <c r="Q33" i="8" s="1"/>
  <c r="O33" i="8"/>
  <c r="N33" i="8"/>
  <c r="L33" i="8"/>
  <c r="K33" i="8"/>
  <c r="H33" i="8"/>
  <c r="G33" i="8"/>
  <c r="M33" i="8" s="1"/>
  <c r="F33" i="8"/>
  <c r="E33" i="8"/>
  <c r="D33" i="8"/>
  <c r="J33" i="8" s="1"/>
  <c r="C33" i="8"/>
  <c r="I33" i="8" s="1"/>
  <c r="B33" i="8"/>
  <c r="P32" i="8"/>
  <c r="Q32" i="8" s="1"/>
  <c r="N32" i="8"/>
  <c r="O32" i="8" s="1"/>
  <c r="H32" i="8"/>
  <c r="G32" i="8"/>
  <c r="M32" i="8" s="1"/>
  <c r="F32" i="8"/>
  <c r="L32" i="8" s="1"/>
  <c r="E32" i="8"/>
  <c r="K32" i="8" s="1"/>
  <c r="D32" i="8"/>
  <c r="J32" i="8" s="1"/>
  <c r="C32" i="8"/>
  <c r="I32" i="8" s="1"/>
  <c r="B32" i="8"/>
  <c r="P31" i="8"/>
  <c r="Q31" i="8" s="1"/>
  <c r="N31" i="8"/>
  <c r="O31" i="8" s="1"/>
  <c r="M31" i="8"/>
  <c r="L31" i="8"/>
  <c r="K31" i="8"/>
  <c r="H31" i="8"/>
  <c r="G31" i="8"/>
  <c r="F31" i="8"/>
  <c r="E31" i="8"/>
  <c r="D31" i="8"/>
  <c r="J31" i="8" s="1"/>
  <c r="C31" i="8"/>
  <c r="I31" i="8" s="1"/>
  <c r="B31" i="8"/>
  <c r="P30" i="8"/>
  <c r="Q30" i="8" s="1"/>
  <c r="O30" i="8"/>
  <c r="N30" i="8"/>
  <c r="K30" i="8"/>
  <c r="H30" i="8"/>
  <c r="G30" i="8"/>
  <c r="M30" i="8" s="1"/>
  <c r="F30" i="8"/>
  <c r="L30" i="8" s="1"/>
  <c r="E30" i="8"/>
  <c r="D30" i="8"/>
  <c r="J30" i="8" s="1"/>
  <c r="C30" i="8"/>
  <c r="I30" i="8" s="1"/>
  <c r="B30" i="8"/>
  <c r="P29" i="8"/>
  <c r="Q29" i="8" s="1"/>
  <c r="N29" i="8"/>
  <c r="O29" i="8" s="1"/>
  <c r="M29" i="8"/>
  <c r="H29" i="8"/>
  <c r="G29" i="8"/>
  <c r="F29" i="8"/>
  <c r="L29" i="8" s="1"/>
  <c r="E29" i="8"/>
  <c r="K29" i="8" s="1"/>
  <c r="D29" i="8"/>
  <c r="J29" i="8" s="1"/>
  <c r="C29" i="8"/>
  <c r="I29" i="8" s="1"/>
  <c r="B29" i="8"/>
  <c r="P28" i="8"/>
  <c r="Q28" i="8" s="1"/>
  <c r="N28" i="8"/>
  <c r="O28" i="8" s="1"/>
  <c r="M28" i="8"/>
  <c r="L28" i="8"/>
  <c r="K28" i="8"/>
  <c r="H28" i="8"/>
  <c r="G28" i="8"/>
  <c r="F28" i="8"/>
  <c r="E28" i="8"/>
  <c r="D28" i="8"/>
  <c r="J28" i="8" s="1"/>
  <c r="C28" i="8"/>
  <c r="I28" i="8" s="1"/>
  <c r="B28" i="8"/>
  <c r="P27" i="8"/>
  <c r="Q27" i="8" s="1"/>
  <c r="O27" i="8"/>
  <c r="N27" i="8"/>
  <c r="H27" i="8"/>
  <c r="G27" i="8"/>
  <c r="M27" i="8" s="1"/>
  <c r="F27" i="8"/>
  <c r="L27" i="8" s="1"/>
  <c r="E27" i="8"/>
  <c r="K27" i="8" s="1"/>
  <c r="D27" i="8"/>
  <c r="J27" i="8" s="1"/>
  <c r="C27" i="8"/>
  <c r="I27" i="8" s="1"/>
  <c r="B27" i="8"/>
  <c r="P26" i="8"/>
  <c r="Q26" i="8" s="1"/>
  <c r="O26" i="8"/>
  <c r="N26" i="8"/>
  <c r="M26" i="8"/>
  <c r="L26" i="8"/>
  <c r="H26" i="8"/>
  <c r="G26" i="8"/>
  <c r="F26" i="8"/>
  <c r="E26" i="8"/>
  <c r="K26" i="8" s="1"/>
  <c r="D26" i="8"/>
  <c r="J26" i="8" s="1"/>
  <c r="C26" i="8"/>
  <c r="I26" i="8" s="1"/>
  <c r="B26" i="8"/>
  <c r="P25" i="8"/>
  <c r="Q25" i="8" s="1"/>
  <c r="O25" i="8"/>
  <c r="N25" i="8"/>
  <c r="L25" i="8"/>
  <c r="K25" i="8"/>
  <c r="H25" i="8"/>
  <c r="G25" i="8"/>
  <c r="M25" i="8" s="1"/>
  <c r="F25" i="8"/>
  <c r="E25" i="8"/>
  <c r="D25" i="8"/>
  <c r="J25" i="8" s="1"/>
  <c r="C25" i="8"/>
  <c r="I25" i="8" s="1"/>
  <c r="B25" i="8"/>
  <c r="P24" i="8"/>
  <c r="Q24" i="8" s="1"/>
  <c r="N24" i="8"/>
  <c r="O24" i="8" s="1"/>
  <c r="H24" i="8"/>
  <c r="G24" i="8"/>
  <c r="M24" i="8" s="1"/>
  <c r="F24" i="8"/>
  <c r="L24" i="8" s="1"/>
  <c r="E24" i="8"/>
  <c r="K24" i="8" s="1"/>
  <c r="D24" i="8"/>
  <c r="J24" i="8" s="1"/>
  <c r="C24" i="8"/>
  <c r="I24" i="8" s="1"/>
  <c r="B24" i="8"/>
  <c r="P23" i="8"/>
  <c r="Q23" i="8" s="1"/>
  <c r="N23" i="8"/>
  <c r="O23" i="8" s="1"/>
  <c r="M23" i="8"/>
  <c r="L23" i="8"/>
  <c r="K23" i="8"/>
  <c r="H23" i="8"/>
  <c r="G23" i="8"/>
  <c r="F23" i="8"/>
  <c r="E23" i="8"/>
  <c r="D23" i="8"/>
  <c r="J23" i="8" s="1"/>
  <c r="C23" i="8"/>
  <c r="I23" i="8" s="1"/>
  <c r="B23" i="8"/>
  <c r="P22" i="8"/>
  <c r="Q22" i="8" s="1"/>
  <c r="O22" i="8"/>
  <c r="N22" i="8"/>
  <c r="K22" i="8"/>
  <c r="H22" i="8"/>
  <c r="G22" i="8"/>
  <c r="M22" i="8" s="1"/>
  <c r="F22" i="8"/>
  <c r="L22" i="8" s="1"/>
  <c r="E22" i="8"/>
  <c r="D22" i="8"/>
  <c r="J22" i="8" s="1"/>
  <c r="C22" i="8"/>
  <c r="I22" i="8" s="1"/>
  <c r="B22" i="8"/>
  <c r="P21" i="8"/>
  <c r="Q21" i="8" s="1"/>
  <c r="N21" i="8"/>
  <c r="O21" i="8" s="1"/>
  <c r="L21" i="8"/>
  <c r="G21" i="8"/>
  <c r="M21" i="8" s="1"/>
  <c r="F21" i="8"/>
  <c r="E21" i="8"/>
  <c r="K21" i="8" s="1"/>
  <c r="D21" i="8"/>
  <c r="J21" i="8" s="1"/>
  <c r="C21" i="8"/>
  <c r="I21" i="8" s="1"/>
  <c r="B21" i="8"/>
  <c r="H21" i="8" s="1"/>
  <c r="P20" i="8"/>
  <c r="Q20" i="8" s="1"/>
  <c r="N20" i="8"/>
  <c r="O20" i="8" s="1"/>
  <c r="M20" i="8"/>
  <c r="L20" i="8"/>
  <c r="J20" i="8"/>
  <c r="G20" i="8"/>
  <c r="F20" i="8"/>
  <c r="E20" i="8"/>
  <c r="K20" i="8" s="1"/>
  <c r="D20" i="8"/>
  <c r="C20" i="8"/>
  <c r="I20" i="8" s="1"/>
  <c r="B20" i="8"/>
  <c r="H20" i="8" s="1"/>
  <c r="P19" i="8"/>
  <c r="Q19" i="8" s="1"/>
  <c r="O19" i="8"/>
  <c r="N19" i="8"/>
  <c r="L19" i="8"/>
  <c r="K19" i="8"/>
  <c r="J19" i="8"/>
  <c r="H19" i="8"/>
  <c r="G19" i="8"/>
  <c r="M19" i="8" s="1"/>
  <c r="F19" i="8"/>
  <c r="E19" i="8"/>
  <c r="D19" i="8"/>
  <c r="C19" i="8"/>
  <c r="I19" i="8" s="1"/>
  <c r="B19" i="8"/>
  <c r="P18" i="8"/>
  <c r="Q18" i="8" s="1"/>
  <c r="N18" i="8"/>
  <c r="O18" i="8" s="1"/>
  <c r="J18" i="8"/>
  <c r="H18" i="8"/>
  <c r="G18" i="8"/>
  <c r="M18" i="8" s="1"/>
  <c r="F18" i="8"/>
  <c r="L18" i="8" s="1"/>
  <c r="E18" i="8"/>
  <c r="K18" i="8" s="1"/>
  <c r="D18" i="8"/>
  <c r="C18" i="8"/>
  <c r="I18" i="8" s="1"/>
  <c r="B18" i="8"/>
  <c r="P17" i="8"/>
  <c r="Q17" i="8" s="1"/>
  <c r="N17" i="8"/>
  <c r="O17" i="8" s="1"/>
  <c r="L17" i="8"/>
  <c r="G17" i="8"/>
  <c r="M17" i="8" s="1"/>
  <c r="F17" i="8"/>
  <c r="E17" i="8"/>
  <c r="K17" i="8" s="1"/>
  <c r="D17" i="8"/>
  <c r="J17" i="8" s="1"/>
  <c r="C17" i="8"/>
  <c r="I17" i="8" s="1"/>
  <c r="B17" i="8"/>
  <c r="H17" i="8" s="1"/>
  <c r="P16" i="8"/>
  <c r="Q16" i="8" s="1"/>
  <c r="N16" i="8"/>
  <c r="O16" i="8" s="1"/>
  <c r="M16" i="8"/>
  <c r="L16" i="8"/>
  <c r="J16" i="8"/>
  <c r="G16" i="8"/>
  <c r="F16" i="8"/>
  <c r="E16" i="8"/>
  <c r="K16" i="8" s="1"/>
  <c r="D16" i="8"/>
  <c r="C16" i="8"/>
  <c r="I16" i="8" s="1"/>
  <c r="B16" i="8"/>
  <c r="H16" i="8" s="1"/>
  <c r="P15" i="8"/>
  <c r="Q15" i="8" s="1"/>
  <c r="O15" i="8"/>
  <c r="N15" i="8"/>
  <c r="L15" i="8"/>
  <c r="K15" i="8"/>
  <c r="J15" i="8"/>
  <c r="H15" i="8"/>
  <c r="G15" i="8"/>
  <c r="M15" i="8" s="1"/>
  <c r="F15" i="8"/>
  <c r="E15" i="8"/>
  <c r="D15" i="8"/>
  <c r="C15" i="8"/>
  <c r="I15" i="8" s="1"/>
  <c r="B15" i="8"/>
  <c r="P14" i="8"/>
  <c r="Q14" i="8" s="1"/>
  <c r="N14" i="8"/>
  <c r="O14" i="8" s="1"/>
  <c r="J14" i="8"/>
  <c r="H14" i="8"/>
  <c r="G14" i="8"/>
  <c r="M14" i="8" s="1"/>
  <c r="F14" i="8"/>
  <c r="L14" i="8" s="1"/>
  <c r="E14" i="8"/>
  <c r="K14" i="8" s="1"/>
  <c r="D14" i="8"/>
  <c r="C14" i="8"/>
  <c r="I14" i="8" s="1"/>
  <c r="B14" i="8"/>
  <c r="P13" i="8"/>
  <c r="Q13" i="8" s="1"/>
  <c r="N13" i="8"/>
  <c r="O13" i="8" s="1"/>
  <c r="L13" i="8"/>
  <c r="G13" i="8"/>
  <c r="M13" i="8" s="1"/>
  <c r="F13" i="8"/>
  <c r="E13" i="8"/>
  <c r="K13" i="8" s="1"/>
  <c r="D13" i="8"/>
  <c r="J13" i="8" s="1"/>
  <c r="C13" i="8"/>
  <c r="I13" i="8" s="1"/>
  <c r="B13" i="8"/>
  <c r="H13" i="8" s="1"/>
  <c r="P12" i="8"/>
  <c r="Q12" i="8" s="1"/>
  <c r="N12" i="8"/>
  <c r="O12" i="8" s="1"/>
  <c r="M12" i="8"/>
  <c r="L12" i="8"/>
  <c r="J12" i="8"/>
  <c r="G12" i="8"/>
  <c r="F12" i="8"/>
  <c r="E12" i="8"/>
  <c r="K12" i="8" s="1"/>
  <c r="D12" i="8"/>
  <c r="C12" i="8"/>
  <c r="I12" i="8" s="1"/>
  <c r="B12" i="8"/>
  <c r="H12" i="8" s="1"/>
  <c r="P11" i="8"/>
  <c r="Q11" i="8" s="1"/>
  <c r="O11" i="8"/>
  <c r="N11" i="8"/>
  <c r="L11" i="8"/>
  <c r="K11" i="8"/>
  <c r="I11" i="8"/>
  <c r="H11" i="8"/>
  <c r="G11" i="8"/>
  <c r="M11" i="8" s="1"/>
  <c r="F11" i="8"/>
  <c r="E11" i="8"/>
  <c r="D11" i="8"/>
  <c r="J11" i="8" s="1"/>
  <c r="C11" i="8"/>
  <c r="B11" i="8"/>
  <c r="P10" i="8"/>
  <c r="Q10" i="8" s="1"/>
  <c r="O10" i="8"/>
  <c r="N10" i="8"/>
  <c r="L10" i="8"/>
  <c r="K10" i="8"/>
  <c r="I10" i="8"/>
  <c r="H10" i="8"/>
  <c r="G10" i="8"/>
  <c r="M10" i="8" s="1"/>
  <c r="F10" i="8"/>
  <c r="E10" i="8"/>
  <c r="D10" i="8"/>
  <c r="J10" i="8" s="1"/>
  <c r="C10" i="8"/>
  <c r="B10" i="8"/>
  <c r="P9" i="8"/>
  <c r="Q9" i="8" s="1"/>
  <c r="O9" i="8"/>
  <c r="N9" i="8"/>
  <c r="L9" i="8"/>
  <c r="K9" i="8"/>
  <c r="I9" i="8"/>
  <c r="H9" i="8"/>
  <c r="G9" i="8"/>
  <c r="M9" i="8" s="1"/>
  <c r="F9" i="8"/>
  <c r="E9" i="8"/>
  <c r="D9" i="8"/>
  <c r="J9" i="8" s="1"/>
  <c r="C9" i="8"/>
  <c r="B9" i="8"/>
  <c r="P8" i="8"/>
  <c r="Q8" i="8" s="1"/>
  <c r="O8" i="8"/>
  <c r="N8" i="8"/>
  <c r="L8" i="8"/>
  <c r="K8" i="8"/>
  <c r="I8" i="8"/>
  <c r="H8" i="8"/>
  <c r="G8" i="8"/>
  <c r="M8" i="8" s="1"/>
  <c r="F8" i="8"/>
  <c r="E8" i="8"/>
  <c r="D8" i="8"/>
  <c r="J8" i="8" s="1"/>
  <c r="C8" i="8"/>
  <c r="B8" i="8"/>
  <c r="P7" i="8"/>
  <c r="Q7" i="8" s="1"/>
  <c r="O7" i="8"/>
  <c r="N7" i="8"/>
  <c r="L7" i="8"/>
  <c r="K7" i="8"/>
  <c r="I7" i="8"/>
  <c r="H7" i="8"/>
  <c r="G7" i="8"/>
  <c r="M7" i="8" s="1"/>
  <c r="F7" i="8"/>
  <c r="E7" i="8"/>
  <c r="D7" i="8"/>
  <c r="J7" i="8" s="1"/>
  <c r="C7" i="8"/>
  <c r="B7" i="8"/>
  <c r="P6" i="8"/>
  <c r="Q6" i="8" s="1"/>
  <c r="O6" i="8"/>
  <c r="N6" i="8"/>
  <c r="L6" i="8"/>
  <c r="K6" i="8"/>
  <c r="I6" i="8"/>
  <c r="H6" i="8"/>
  <c r="G6" i="8"/>
  <c r="M6" i="8" s="1"/>
  <c r="F6" i="8"/>
  <c r="E6" i="8"/>
  <c r="D6" i="8"/>
  <c r="J6" i="8" s="1"/>
  <c r="C6" i="8"/>
  <c r="B6" i="8"/>
  <c r="P5" i="8"/>
  <c r="Q5" i="8" s="1"/>
  <c r="O5" i="8"/>
  <c r="N5" i="8"/>
  <c r="L5" i="8"/>
  <c r="K5" i="8"/>
  <c r="I5" i="8"/>
  <c r="H5" i="8"/>
  <c r="G5" i="8"/>
  <c r="M5" i="8" s="1"/>
  <c r="F5" i="8"/>
  <c r="E5" i="8"/>
  <c r="D5" i="8"/>
  <c r="J5" i="8" s="1"/>
  <c r="C5" i="8"/>
  <c r="B5" i="8"/>
  <c r="P4" i="8"/>
  <c r="Q4" i="8" s="1"/>
  <c r="O4" i="8"/>
  <c r="N4" i="8"/>
  <c r="L4" i="8"/>
  <c r="K4" i="8"/>
  <c r="I4" i="8"/>
  <c r="H4" i="8"/>
  <c r="G4" i="8"/>
  <c r="M4" i="8" s="1"/>
  <c r="F4" i="8"/>
  <c r="E4" i="8"/>
  <c r="D4" i="8"/>
  <c r="J4" i="8" s="1"/>
  <c r="C4" i="8"/>
  <c r="B4" i="8"/>
  <c r="P3" i="8"/>
  <c r="Q3" i="8" s="1"/>
  <c r="O3" i="8"/>
  <c r="N3" i="8"/>
  <c r="L3" i="8"/>
  <c r="K3" i="8"/>
  <c r="I3" i="8"/>
  <c r="H3" i="8"/>
  <c r="G3" i="8"/>
  <c r="M3" i="8" s="1"/>
  <c r="F3" i="8"/>
  <c r="E3" i="8"/>
  <c r="D3" i="8"/>
  <c r="J3" i="8" s="1"/>
  <c r="C3" i="8"/>
  <c r="B3" i="8"/>
  <c r="P2" i="8"/>
  <c r="Q2" i="8" s="1"/>
  <c r="O2" i="8"/>
  <c r="N2" i="8"/>
  <c r="L2" i="8"/>
  <c r="K2" i="8"/>
  <c r="I2" i="8"/>
  <c r="H2" i="8"/>
  <c r="G2" i="8"/>
  <c r="M2" i="8" s="1"/>
  <c r="F2" i="8"/>
  <c r="E2" i="8"/>
  <c r="D2" i="8"/>
  <c r="J2" i="8" s="1"/>
  <c r="C2" i="8"/>
  <c r="B2" i="8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X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X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V9" i="7"/>
  <c r="T9" i="7"/>
  <c r="S9" i="7"/>
  <c r="R9" i="7"/>
  <c r="Q9" i="7"/>
  <c r="P9" i="7"/>
  <c r="O9" i="7"/>
  <c r="N9" i="7"/>
  <c r="L9" i="7"/>
  <c r="K9" i="7"/>
  <c r="J9" i="7"/>
  <c r="I9" i="7"/>
  <c r="H9" i="7"/>
  <c r="G9" i="7"/>
  <c r="F9" i="7"/>
  <c r="D9" i="7"/>
  <c r="C9" i="7"/>
  <c r="U8" i="7"/>
  <c r="T8" i="7"/>
  <c r="S8" i="7"/>
  <c r="R8" i="7"/>
  <c r="O8" i="7"/>
  <c r="M8" i="7"/>
  <c r="L8" i="7"/>
  <c r="K8" i="7"/>
  <c r="J8" i="7"/>
  <c r="G8" i="7"/>
  <c r="E8" i="7"/>
  <c r="D8" i="7"/>
  <c r="C8" i="7"/>
  <c r="V7" i="7"/>
  <c r="Q7" i="7"/>
  <c r="P7" i="7"/>
  <c r="O7" i="7"/>
  <c r="N7" i="7"/>
  <c r="I7" i="7"/>
  <c r="H7" i="7"/>
  <c r="G7" i="7"/>
  <c r="F7" i="7"/>
  <c r="V6" i="7"/>
  <c r="U6" i="7"/>
  <c r="U7" i="7" s="1"/>
  <c r="T6" i="7"/>
  <c r="T7" i="7" s="1"/>
  <c r="S6" i="7"/>
  <c r="S7" i="7" s="1"/>
  <c r="R6" i="7"/>
  <c r="R7" i="7" s="1"/>
  <c r="Q6" i="7"/>
  <c r="P6" i="7"/>
  <c r="O6" i="7"/>
  <c r="N6" i="7"/>
  <c r="M6" i="7"/>
  <c r="M7" i="7" s="1"/>
  <c r="L6" i="7"/>
  <c r="L7" i="7" s="1"/>
  <c r="K6" i="7"/>
  <c r="K7" i="7" s="1"/>
  <c r="J6" i="7"/>
  <c r="J7" i="7" s="1"/>
  <c r="I6" i="7"/>
  <c r="H6" i="7"/>
  <c r="G6" i="7"/>
  <c r="F6" i="7"/>
  <c r="E6" i="7"/>
  <c r="E7" i="7" s="1"/>
  <c r="D6" i="7"/>
  <c r="D7" i="7" s="1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Q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U9" i="7" s="1"/>
  <c r="D28" i="2"/>
  <c r="D20" i="2" s="1"/>
  <c r="F26" i="2"/>
  <c r="E26" i="2"/>
  <c r="D26" i="2"/>
  <c r="F25" i="2"/>
  <c r="E25" i="2"/>
  <c r="F24" i="2"/>
  <c r="E24" i="2"/>
  <c r="F23" i="2"/>
  <c r="E23" i="2"/>
  <c r="D23" i="2"/>
  <c r="F22" i="2"/>
  <c r="E22" i="2"/>
  <c r="F21" i="2"/>
  <c r="E21" i="2"/>
  <c r="D21" i="2"/>
  <c r="F20" i="2"/>
  <c r="E20" i="2"/>
  <c r="F19" i="2"/>
  <c r="E19" i="2"/>
  <c r="F18" i="2"/>
  <c r="E18" i="2"/>
  <c r="D18" i="2"/>
  <c r="F17" i="2"/>
  <c r="E17" i="2"/>
  <c r="F16" i="2"/>
  <c r="E16" i="2"/>
  <c r="F15" i="2"/>
  <c r="E15" i="2"/>
  <c r="D15" i="2"/>
  <c r="F14" i="2"/>
  <c r="E14" i="2"/>
  <c r="F13" i="2"/>
  <c r="E13" i="2"/>
  <c r="D13" i="2"/>
  <c r="F12" i="2"/>
  <c r="E12" i="2"/>
  <c r="F11" i="2"/>
  <c r="E11" i="2"/>
  <c r="D11" i="2"/>
  <c r="F10" i="2"/>
  <c r="E10" i="2"/>
  <c r="D10" i="2"/>
  <c r="F9" i="2"/>
  <c r="E9" i="2"/>
  <c r="F8" i="2"/>
  <c r="E8" i="2"/>
  <c r="H108" i="8" l="1"/>
  <c r="O109" i="8"/>
  <c r="O116" i="8"/>
  <c r="O123" i="8"/>
  <c r="H124" i="8"/>
  <c r="O131" i="8"/>
  <c r="H132" i="8"/>
  <c r="H163" i="8"/>
  <c r="H183" i="8"/>
  <c r="O114" i="8"/>
  <c r="H117" i="8"/>
  <c r="H121" i="8"/>
  <c r="O126" i="8"/>
  <c r="H129" i="8"/>
  <c r="O134" i="8"/>
  <c r="H137" i="8"/>
  <c r="H147" i="8"/>
  <c r="H357" i="8"/>
  <c r="H352" i="8"/>
  <c r="H355" i="8"/>
  <c r="H349" i="8"/>
  <c r="H345" i="8"/>
  <c r="H341" i="8"/>
  <c r="H356" i="8"/>
  <c r="H331" i="8"/>
  <c r="H323" i="8"/>
  <c r="H315" i="8"/>
  <c r="H307" i="8"/>
  <c r="H299" i="8"/>
  <c r="H291" i="8"/>
  <c r="H334" i="8"/>
  <c r="H326" i="8"/>
  <c r="H318" i="8"/>
  <c r="H310" i="8"/>
  <c r="H302" i="8"/>
  <c r="H294" i="8"/>
  <c r="H339" i="8"/>
  <c r="H337" i="8"/>
  <c r="H329" i="8"/>
  <c r="H321" i="8"/>
  <c r="H313" i="8"/>
  <c r="H305" i="8"/>
  <c r="H297" i="8"/>
  <c r="H289" i="8"/>
  <c r="H354" i="8"/>
  <c r="H346" i="8"/>
  <c r="H332" i="8"/>
  <c r="H351" i="8"/>
  <c r="H343" i="8"/>
  <c r="H335" i="8"/>
  <c r="H327" i="8"/>
  <c r="H319" i="8"/>
  <c r="H311" i="8"/>
  <c r="H303" i="8"/>
  <c r="H295" i="8"/>
  <c r="H287" i="8"/>
  <c r="H338" i="8"/>
  <c r="H330" i="8"/>
  <c r="H353" i="8"/>
  <c r="H333" i="8"/>
  <c r="H350" i="8"/>
  <c r="H342" i="8"/>
  <c r="H336" i="8"/>
  <c r="H317" i="8"/>
  <c r="H314" i="8"/>
  <c r="H301" i="8"/>
  <c r="H298" i="8"/>
  <c r="H279" i="8"/>
  <c r="H320" i="8"/>
  <c r="H304" i="8"/>
  <c r="H288" i="8"/>
  <c r="H316" i="8"/>
  <c r="H300" i="8"/>
  <c r="H281" i="8"/>
  <c r="H276" i="8"/>
  <c r="H325" i="8"/>
  <c r="H322" i="8"/>
  <c r="H309" i="8"/>
  <c r="H306" i="8"/>
  <c r="H293" i="8"/>
  <c r="H290" i="8"/>
  <c r="H271" i="8"/>
  <c r="H328" i="8"/>
  <c r="H312" i="8"/>
  <c r="H296" i="8"/>
  <c r="H273" i="8"/>
  <c r="H269" i="8"/>
  <c r="H283" i="8"/>
  <c r="H280" i="8"/>
  <c r="H275" i="8"/>
  <c r="H324" i="8"/>
  <c r="H308" i="8"/>
  <c r="H292" i="8"/>
  <c r="H267" i="8"/>
  <c r="H234" i="8"/>
  <c r="H218" i="8"/>
  <c r="H252" i="8"/>
  <c r="H236" i="8"/>
  <c r="H229" i="8"/>
  <c r="H260" i="8"/>
  <c r="H256" i="8"/>
  <c r="H240" i="8"/>
  <c r="H226" i="8"/>
  <c r="H168" i="8"/>
  <c r="H160" i="8"/>
  <c r="H152" i="8"/>
  <c r="H244" i="8"/>
  <c r="H263" i="8"/>
  <c r="H230" i="8"/>
  <c r="H228" i="8"/>
  <c r="H221" i="8"/>
  <c r="H248" i="8"/>
  <c r="H195" i="8"/>
  <c r="H110" i="8"/>
  <c r="H191" i="8"/>
  <c r="H170" i="8"/>
  <c r="H154" i="8"/>
  <c r="H185" i="8"/>
  <c r="H177" i="8"/>
  <c r="H167" i="8"/>
  <c r="H151" i="8"/>
  <c r="H142" i="8"/>
  <c r="H193" i="8"/>
  <c r="H139" i="8"/>
  <c r="H119" i="8"/>
  <c r="H111" i="8"/>
  <c r="H103" i="8"/>
  <c r="H94" i="8"/>
  <c r="H90" i="8"/>
  <c r="H86" i="8"/>
  <c r="H81" i="8"/>
  <c r="H190" i="8"/>
  <c r="H182" i="8"/>
  <c r="H174" i="8"/>
  <c r="H169" i="8"/>
  <c r="H153" i="8"/>
  <c r="H187" i="8"/>
  <c r="H179" i="8"/>
  <c r="H171" i="8"/>
  <c r="H162" i="8"/>
  <c r="H155" i="8"/>
  <c r="H189" i="8"/>
  <c r="H181" i="8"/>
  <c r="H173" i="8"/>
  <c r="H159" i="8"/>
  <c r="H146" i="8"/>
  <c r="O346" i="8"/>
  <c r="O335" i="8"/>
  <c r="O327" i="8"/>
  <c r="O319" i="8"/>
  <c r="O311" i="8"/>
  <c r="O303" i="8"/>
  <c r="O295" i="8"/>
  <c r="O287" i="8"/>
  <c r="O284" i="8"/>
  <c r="O280" i="8"/>
  <c r="O353" i="8"/>
  <c r="O345" i="8"/>
  <c r="O336" i="8"/>
  <c r="O328" i="8"/>
  <c r="O352" i="8"/>
  <c r="O337" i="8"/>
  <c r="O349" i="8"/>
  <c r="O341" i="8"/>
  <c r="O332" i="8"/>
  <c r="O313" i="8"/>
  <c r="O310" i="8"/>
  <c r="O297" i="8"/>
  <c r="O294" i="8"/>
  <c r="O276" i="8"/>
  <c r="O266" i="8"/>
  <c r="O229" i="8"/>
  <c r="O221" i="8"/>
  <c r="O316" i="8"/>
  <c r="O312" i="8"/>
  <c r="O300" i="8"/>
  <c r="O296" i="8"/>
  <c r="O275" i="8"/>
  <c r="O267" i="8"/>
  <c r="O264" i="8"/>
  <c r="O261" i="8"/>
  <c r="O324" i="8"/>
  <c r="O320" i="8"/>
  <c r="O308" i="8"/>
  <c r="O304" i="8"/>
  <c r="O292" i="8"/>
  <c r="O288" i="8"/>
  <c r="O279" i="8"/>
  <c r="O272" i="8"/>
  <c r="O268" i="8"/>
  <c r="O259" i="8"/>
  <c r="O247" i="8"/>
  <c r="O253" i="8"/>
  <c r="O237" i="8"/>
  <c r="O251" i="8"/>
  <c r="O235" i="8"/>
  <c r="O232" i="8"/>
  <c r="O216" i="8"/>
  <c r="O246" i="8"/>
  <c r="O241" i="8"/>
  <c r="O228" i="8"/>
  <c r="O255" i="8"/>
  <c r="O239" i="8"/>
  <c r="O257" i="8"/>
  <c r="O245" i="8"/>
  <c r="O262" i="8"/>
  <c r="O243" i="8"/>
  <c r="O224" i="8"/>
  <c r="O254" i="8"/>
  <c r="O249" i="8"/>
  <c r="O238" i="8"/>
  <c r="O220" i="8"/>
  <c r="O142" i="8"/>
  <c r="O119" i="8"/>
  <c r="O111" i="8"/>
  <c r="O103" i="8"/>
  <c r="O75" i="8"/>
  <c r="O141" i="8"/>
  <c r="H122" i="8"/>
  <c r="H130" i="8"/>
  <c r="O143" i="8"/>
  <c r="L167" i="8"/>
  <c r="H178" i="8"/>
  <c r="D8" i="2"/>
  <c r="D16" i="2"/>
  <c r="D24" i="2"/>
  <c r="F8" i="7"/>
  <c r="N8" i="7"/>
  <c r="V8" i="7"/>
  <c r="O78" i="8"/>
  <c r="H83" i="8"/>
  <c r="O91" i="8"/>
  <c r="H99" i="8"/>
  <c r="O99" i="8"/>
  <c r="H100" i="8"/>
  <c r="O101" i="8"/>
  <c r="O110" i="8"/>
  <c r="O112" i="8"/>
  <c r="O124" i="8"/>
  <c r="H127" i="8"/>
  <c r="O132" i="8"/>
  <c r="H135" i="8"/>
  <c r="O138" i="8"/>
  <c r="H143" i="8"/>
  <c r="O144" i="8"/>
  <c r="L151" i="8"/>
  <c r="H116" i="8"/>
  <c r="O117" i="8"/>
  <c r="O127" i="8"/>
  <c r="H128" i="8"/>
  <c r="O135" i="8"/>
  <c r="H136" i="8"/>
  <c r="O139" i="8"/>
  <c r="H144" i="8"/>
  <c r="H186" i="8"/>
  <c r="D14" i="2"/>
  <c r="H61" i="8"/>
  <c r="H62" i="8"/>
  <c r="H67" i="8"/>
  <c r="H73" i="8"/>
  <c r="H79" i="8"/>
  <c r="H87" i="8"/>
  <c r="O95" i="8"/>
  <c r="H98" i="8"/>
  <c r="O106" i="8"/>
  <c r="H109" i="8"/>
  <c r="H113" i="8"/>
  <c r="O122" i="8"/>
  <c r="H125" i="8"/>
  <c r="O130" i="8"/>
  <c r="H133" i="8"/>
  <c r="H145" i="8"/>
  <c r="L157" i="8"/>
  <c r="H161" i="8"/>
  <c r="D22" i="2"/>
  <c r="D29" i="2"/>
  <c r="H8" i="7"/>
  <c r="P8" i="7"/>
  <c r="D9" i="2"/>
  <c r="D17" i="2"/>
  <c r="D25" i="2"/>
  <c r="I8" i="7"/>
  <c r="E9" i="7"/>
  <c r="M9" i="7"/>
  <c r="O53" i="8"/>
  <c r="H55" i="8"/>
  <c r="H57" i="8"/>
  <c r="O59" i="8"/>
  <c r="O69" i="8"/>
  <c r="H71" i="8"/>
  <c r="O74" i="8"/>
  <c r="O77" i="8"/>
  <c r="O79" i="8"/>
  <c r="H80" i="8"/>
  <c r="H85" i="8"/>
  <c r="O88" i="8"/>
  <c r="O90" i="8"/>
  <c r="H92" i="8"/>
  <c r="H102" i="8"/>
  <c r="L354" i="8"/>
  <c r="L348" i="8"/>
  <c r="L344" i="8"/>
  <c r="L343" i="8"/>
  <c r="L351" i="8"/>
  <c r="L357" i="8"/>
  <c r="L340" i="8"/>
  <c r="L356" i="8"/>
  <c r="L347" i="8"/>
  <c r="L345" i="8"/>
  <c r="L339" i="8"/>
  <c r="L110" i="8"/>
  <c r="L164" i="8"/>
  <c r="L156" i="8"/>
  <c r="L148" i="8"/>
  <c r="L158" i="8"/>
  <c r="L155" i="8"/>
  <c r="L166" i="8"/>
  <c r="L150" i="8"/>
  <c r="L159" i="8"/>
  <c r="L165" i="8"/>
  <c r="L163" i="8"/>
  <c r="L149" i="8"/>
  <c r="L147" i="8"/>
  <c r="H118" i="8"/>
  <c r="L119" i="8"/>
  <c r="H126" i="8"/>
  <c r="H134" i="8"/>
  <c r="H140" i="8"/>
  <c r="H141" i="8"/>
  <c r="H175" i="8"/>
  <c r="D19" i="2"/>
  <c r="D12" i="2"/>
  <c r="O65" i="8"/>
  <c r="O83" i="8"/>
  <c r="H91" i="8"/>
  <c r="O100" i="8"/>
  <c r="O102" i="8"/>
  <c r="O104" i="8"/>
  <c r="O118" i="8"/>
  <c r="O120" i="8"/>
  <c r="H123" i="8"/>
  <c r="O128" i="8"/>
  <c r="H131" i="8"/>
  <c r="O136" i="8"/>
  <c r="L144" i="8"/>
  <c r="H149" i="8"/>
  <c r="L153" i="8"/>
  <c r="H156" i="8"/>
  <c r="O161" i="8"/>
  <c r="H165" i="8"/>
  <c r="L169" i="8"/>
  <c r="L174" i="8"/>
  <c r="M175" i="8"/>
  <c r="L182" i="8"/>
  <c r="M183" i="8"/>
  <c r="L190" i="8"/>
  <c r="M191" i="8"/>
  <c r="Q194" i="8"/>
  <c r="H203" i="8"/>
  <c r="Q220" i="8"/>
  <c r="Q221" i="8"/>
  <c r="Q228" i="8"/>
  <c r="Q229" i="8"/>
  <c r="Q239" i="8"/>
  <c r="Q243" i="8"/>
  <c r="Q255" i="8"/>
  <c r="Q259" i="8"/>
  <c r="O149" i="8"/>
  <c r="Q158" i="8"/>
  <c r="O165" i="8"/>
  <c r="Q167" i="8"/>
  <c r="M168" i="8"/>
  <c r="Q172" i="8"/>
  <c r="M173" i="8"/>
  <c r="Q180" i="8"/>
  <c r="M181" i="8"/>
  <c r="Q188" i="8"/>
  <c r="M189" i="8"/>
  <c r="L196" i="8"/>
  <c r="Q203" i="8"/>
  <c r="H220" i="8"/>
  <c r="H222" i="8"/>
  <c r="L142" i="8"/>
  <c r="O152" i="8"/>
  <c r="L160" i="8"/>
  <c r="Q161" i="8"/>
  <c r="Q165" i="8"/>
  <c r="O168" i="8"/>
  <c r="Q170" i="8"/>
  <c r="O173" i="8"/>
  <c r="L177" i="8"/>
  <c r="Q178" i="8"/>
  <c r="O181" i="8"/>
  <c r="L185" i="8"/>
  <c r="O189" i="8"/>
  <c r="M195" i="8"/>
  <c r="H199" i="8"/>
  <c r="L79" i="8"/>
  <c r="L85" i="8"/>
  <c r="L89" i="8"/>
  <c r="L93" i="8"/>
  <c r="L97" i="8"/>
  <c r="L105" i="8"/>
  <c r="Q333" i="8"/>
  <c r="Q325" i="8"/>
  <c r="Q317" i="8"/>
  <c r="Q309" i="8"/>
  <c r="Q301" i="8"/>
  <c r="Q293" i="8"/>
  <c r="Q285" i="8"/>
  <c r="Q281" i="8"/>
  <c r="Q334" i="8"/>
  <c r="Q335" i="8"/>
  <c r="Q330" i="8"/>
  <c r="Q322" i="8"/>
  <c r="Q319" i="8"/>
  <c r="Q306" i="8"/>
  <c r="Q303" i="8"/>
  <c r="Q290" i="8"/>
  <c r="Q287" i="8"/>
  <c r="Q284" i="8"/>
  <c r="Q273" i="8"/>
  <c r="Q231" i="8"/>
  <c r="Q223" i="8"/>
  <c r="Q215" i="8"/>
  <c r="Q261" i="8"/>
  <c r="Q318" i="8"/>
  <c r="Q302" i="8"/>
  <c r="Q286" i="8"/>
  <c r="Q277" i="8"/>
  <c r="Q324" i="8"/>
  <c r="Q308" i="8"/>
  <c r="Q292" i="8"/>
  <c r="Q270" i="8"/>
  <c r="Q265" i="8"/>
  <c r="Q258" i="8"/>
  <c r="Q314" i="8"/>
  <c r="Q298" i="8"/>
  <c r="Q326" i="8"/>
  <c r="Q310" i="8"/>
  <c r="Q294" i="8"/>
  <c r="Q276" i="8"/>
  <c r="Q316" i="8"/>
  <c r="Q300" i="8"/>
  <c r="Q269" i="8"/>
  <c r="Q263" i="8"/>
  <c r="Q260" i="8"/>
  <c r="Q256" i="8"/>
  <c r="Q266" i="8"/>
  <c r="Q251" i="8"/>
  <c r="Q244" i="8"/>
  <c r="Q235" i="8"/>
  <c r="Q230" i="8"/>
  <c r="Q214" i="8"/>
  <c r="Q206" i="8"/>
  <c r="Q198" i="8"/>
  <c r="Q195" i="8"/>
  <c r="Q191" i="8"/>
  <c r="Q187" i="8"/>
  <c r="Q183" i="8"/>
  <c r="Q179" i="8"/>
  <c r="Q175" i="8"/>
  <c r="Q171" i="8"/>
  <c r="Q164" i="8"/>
  <c r="Q156" i="8"/>
  <c r="Q148" i="8"/>
  <c r="Q246" i="8"/>
  <c r="Q209" i="8"/>
  <c r="Q201" i="8"/>
  <c r="Q248" i="8"/>
  <c r="Q212" i="8"/>
  <c r="Q204" i="8"/>
  <c r="Q196" i="8"/>
  <c r="Q250" i="8"/>
  <c r="Q234" i="8"/>
  <c r="Q218" i="8"/>
  <c r="Q207" i="8"/>
  <c r="Q252" i="8"/>
  <c r="Q236" i="8"/>
  <c r="Q222" i="8"/>
  <c r="Q210" i="8"/>
  <c r="Q202" i="8"/>
  <c r="Q254" i="8"/>
  <c r="Q238" i="8"/>
  <c r="Q213" i="8"/>
  <c r="Q205" i="8"/>
  <c r="Q197" i="8"/>
  <c r="Q247" i="8"/>
  <c r="Q240" i="8"/>
  <c r="Q208" i="8"/>
  <c r="Q200" i="8"/>
  <c r="Q242" i="8"/>
  <c r="Q226" i="8"/>
  <c r="Q211" i="8"/>
  <c r="L113" i="8"/>
  <c r="L121" i="8"/>
  <c r="L123" i="8"/>
  <c r="L125" i="8"/>
  <c r="L127" i="8"/>
  <c r="L129" i="8"/>
  <c r="L131" i="8"/>
  <c r="L133" i="8"/>
  <c r="L135" i="8"/>
  <c r="L137" i="8"/>
  <c r="M142" i="8"/>
  <c r="Q143" i="8"/>
  <c r="L145" i="8"/>
  <c r="Q147" i="8"/>
  <c r="H150" i="8"/>
  <c r="M150" i="8"/>
  <c r="Q152" i="8"/>
  <c r="L154" i="8"/>
  <c r="O159" i="8"/>
  <c r="Q163" i="8"/>
  <c r="H166" i="8"/>
  <c r="M166" i="8"/>
  <c r="Q168" i="8"/>
  <c r="L170" i="8"/>
  <c r="L172" i="8"/>
  <c r="Q173" i="8"/>
  <c r="H176" i="8"/>
  <c r="M176" i="8"/>
  <c r="L180" i="8"/>
  <c r="Q181" i="8"/>
  <c r="H184" i="8"/>
  <c r="M184" i="8"/>
  <c r="L188" i="8"/>
  <c r="Q189" i="8"/>
  <c r="H192" i="8"/>
  <c r="L194" i="8"/>
  <c r="Q199" i="8"/>
  <c r="L140" i="8"/>
  <c r="H148" i="8"/>
  <c r="O153" i="8"/>
  <c r="H157" i="8"/>
  <c r="L161" i="8"/>
  <c r="H164" i="8"/>
  <c r="O169" i="8"/>
  <c r="M171" i="8"/>
  <c r="L178" i="8"/>
  <c r="M179" i="8"/>
  <c r="L186" i="8"/>
  <c r="M187" i="8"/>
  <c r="Q192" i="8"/>
  <c r="L203" i="8"/>
  <c r="L53" i="8"/>
  <c r="L61" i="8"/>
  <c r="L69" i="8"/>
  <c r="L77" i="8"/>
  <c r="L84" i="8"/>
  <c r="L88" i="8"/>
  <c r="L92" i="8"/>
  <c r="L96" i="8"/>
  <c r="L99" i="8"/>
  <c r="L107" i="8"/>
  <c r="M357" i="8"/>
  <c r="M355" i="8"/>
  <c r="M352" i="8"/>
  <c r="M283" i="8"/>
  <c r="M279" i="8"/>
  <c r="M354" i="8"/>
  <c r="M348" i="8"/>
  <c r="M340" i="8"/>
  <c r="M345" i="8"/>
  <c r="M336" i="8"/>
  <c r="M344" i="8"/>
  <c r="M334" i="8"/>
  <c r="M323" i="8"/>
  <c r="M307" i="8"/>
  <c r="M291" i="8"/>
  <c r="M331" i="8"/>
  <c r="M278" i="8"/>
  <c r="M326" i="8"/>
  <c r="M310" i="8"/>
  <c r="M294" i="8"/>
  <c r="M328" i="8"/>
  <c r="M312" i="8"/>
  <c r="M296" i="8"/>
  <c r="M271" i="8"/>
  <c r="M260" i="8"/>
  <c r="M315" i="8"/>
  <c r="M299" i="8"/>
  <c r="M231" i="8"/>
  <c r="M223" i="8"/>
  <c r="M215" i="8"/>
  <c r="M275" i="8"/>
  <c r="M267" i="8"/>
  <c r="M318" i="8"/>
  <c r="M302" i="8"/>
  <c r="M286" i="8"/>
  <c r="M270" i="8"/>
  <c r="M320" i="8"/>
  <c r="M314" i="8"/>
  <c r="M304" i="8"/>
  <c r="M298" i="8"/>
  <c r="M288" i="8"/>
  <c r="M282" i="8"/>
  <c r="M274" i="8"/>
  <c r="M261" i="8"/>
  <c r="M224" i="8"/>
  <c r="M213" i="8"/>
  <c r="M205" i="8"/>
  <c r="M197" i="8"/>
  <c r="M169" i="8"/>
  <c r="M161" i="8"/>
  <c r="M153" i="8"/>
  <c r="M110" i="8"/>
  <c r="M256" i="8"/>
  <c r="M249" i="8"/>
  <c r="M208" i="8"/>
  <c r="M200" i="8"/>
  <c r="M194" i="8"/>
  <c r="M190" i="8"/>
  <c r="M186" i="8"/>
  <c r="M182" i="8"/>
  <c r="M178" i="8"/>
  <c r="M174" i="8"/>
  <c r="M170" i="8"/>
  <c r="M162" i="8"/>
  <c r="M154" i="8"/>
  <c r="M146" i="8"/>
  <c r="M211" i="8"/>
  <c r="M203" i="8"/>
  <c r="M163" i="8"/>
  <c r="M155" i="8"/>
  <c r="M147" i="8"/>
  <c r="M253" i="8"/>
  <c r="M242" i="8"/>
  <c r="M237" i="8"/>
  <c r="M230" i="8"/>
  <c r="M226" i="8"/>
  <c r="M214" i="8"/>
  <c r="M206" i="8"/>
  <c r="M264" i="8"/>
  <c r="M232" i="8"/>
  <c r="M216" i="8"/>
  <c r="M209" i="8"/>
  <c r="M201" i="8"/>
  <c r="M165" i="8"/>
  <c r="M157" i="8"/>
  <c r="M149" i="8"/>
  <c r="M248" i="8"/>
  <c r="M241" i="8"/>
  <c r="M212" i="8"/>
  <c r="M204" i="8"/>
  <c r="M196" i="8"/>
  <c r="M192" i="8"/>
  <c r="M207" i="8"/>
  <c r="M199" i="8"/>
  <c r="M257" i="8"/>
  <c r="M252" i="8"/>
  <c r="M250" i="8"/>
  <c r="M245" i="8"/>
  <c r="M236" i="8"/>
  <c r="M234" i="8"/>
  <c r="M222" i="8"/>
  <c r="M218" i="8"/>
  <c r="M210" i="8"/>
  <c r="L115" i="8"/>
  <c r="M118" i="8"/>
  <c r="M140" i="8"/>
  <c r="Q141" i="8"/>
  <c r="L143" i="8"/>
  <c r="M148" i="8"/>
  <c r="Q150" i="8"/>
  <c r="O157" i="8"/>
  <c r="Q159" i="8"/>
  <c r="M160" i="8"/>
  <c r="M164" i="8"/>
  <c r="Q166" i="8"/>
  <c r="Q176" i="8"/>
  <c r="M177" i="8"/>
  <c r="Q184" i="8"/>
  <c r="M185" i="8"/>
  <c r="O193" i="8"/>
  <c r="H196" i="8"/>
  <c r="O201" i="8"/>
  <c r="M202" i="8"/>
  <c r="L52" i="8"/>
  <c r="L60" i="8"/>
  <c r="L68" i="8"/>
  <c r="L76" i="8"/>
  <c r="L104" i="8"/>
  <c r="L112" i="8"/>
  <c r="M115" i="8"/>
  <c r="L120" i="8"/>
  <c r="Q122" i="8"/>
  <c r="Q124" i="8"/>
  <c r="Q126" i="8"/>
  <c r="Q128" i="8"/>
  <c r="Q130" i="8"/>
  <c r="Q132" i="8"/>
  <c r="Q134" i="8"/>
  <c r="Q136" i="8"/>
  <c r="L138" i="8"/>
  <c r="M143" i="8"/>
  <c r="Q144" i="8"/>
  <c r="L146" i="8"/>
  <c r="M151" i="8"/>
  <c r="L152" i="8"/>
  <c r="Q157" i="8"/>
  <c r="O160" i="8"/>
  <c r="M167" i="8"/>
  <c r="L168" i="8"/>
  <c r="L173" i="8"/>
  <c r="O177" i="8"/>
  <c r="L181" i="8"/>
  <c r="O185" i="8"/>
  <c r="L189" i="8"/>
  <c r="Q193" i="8"/>
  <c r="O197" i="8"/>
  <c r="L199" i="8"/>
  <c r="M217" i="8"/>
  <c r="M225" i="8"/>
  <c r="M233" i="8"/>
  <c r="M238" i="8"/>
  <c r="M240" i="8"/>
  <c r="M244" i="8"/>
  <c r="M246" i="8"/>
  <c r="M254" i="8"/>
  <c r="L75" i="8"/>
  <c r="L83" i="8"/>
  <c r="L87" i="8"/>
  <c r="L91" i="8"/>
  <c r="L95" i="8"/>
  <c r="L101" i="8"/>
  <c r="L109" i="8"/>
  <c r="Q109" i="8"/>
  <c r="L117" i="8"/>
  <c r="Q117" i="8"/>
  <c r="L122" i="8"/>
  <c r="L124" i="8"/>
  <c r="L126" i="8"/>
  <c r="L128" i="8"/>
  <c r="L130" i="8"/>
  <c r="L132" i="8"/>
  <c r="L134" i="8"/>
  <c r="L136" i="8"/>
  <c r="M138" i="8"/>
  <c r="Q139" i="8"/>
  <c r="L141" i="8"/>
  <c r="O145" i="8"/>
  <c r="O151" i="8"/>
  <c r="Q155" i="8"/>
  <c r="H158" i="8"/>
  <c r="M158" i="8"/>
  <c r="Q160" i="8"/>
  <c r="L162" i="8"/>
  <c r="O167" i="8"/>
  <c r="H172" i="8"/>
  <c r="M172" i="8"/>
  <c r="L176" i="8"/>
  <c r="Q177" i="8"/>
  <c r="H180" i="8"/>
  <c r="M180" i="8"/>
  <c r="L184" i="8"/>
  <c r="Q185" i="8"/>
  <c r="H188" i="8"/>
  <c r="M188" i="8"/>
  <c r="L192" i="8"/>
  <c r="H194" i="8"/>
  <c r="M198" i="8"/>
  <c r="O218" i="8"/>
  <c r="O219" i="8"/>
  <c r="O226" i="8"/>
  <c r="O227" i="8"/>
  <c r="O234" i="8"/>
  <c r="O242" i="8"/>
  <c r="O250" i="8"/>
  <c r="O258" i="8"/>
  <c r="O265" i="8"/>
  <c r="O205" i="8"/>
  <c r="H207" i="8"/>
  <c r="L211" i="8"/>
  <c r="O213" i="8"/>
  <c r="H215" i="8"/>
  <c r="K215" i="8"/>
  <c r="I217" i="8"/>
  <c r="Q217" i="8"/>
  <c r="K219" i="8"/>
  <c r="I220" i="8"/>
  <c r="M221" i="8"/>
  <c r="I224" i="8"/>
  <c r="K226" i="8"/>
  <c r="M228" i="8"/>
  <c r="H231" i="8"/>
  <c r="K231" i="8"/>
  <c r="I233" i="8"/>
  <c r="Q233" i="8"/>
  <c r="K235" i="8"/>
  <c r="H238" i="8"/>
  <c r="M239" i="8"/>
  <c r="I241" i="8"/>
  <c r="H245" i="8"/>
  <c r="K251" i="8"/>
  <c r="H254" i="8"/>
  <c r="M255" i="8"/>
  <c r="H261" i="8"/>
  <c r="M263" i="8"/>
  <c r="Q267" i="8"/>
  <c r="Q268" i="8"/>
  <c r="Q272" i="8"/>
  <c r="Q280" i="8"/>
  <c r="Q295" i="8"/>
  <c r="Q311" i="8"/>
  <c r="Q327" i="8"/>
  <c r="L200" i="8"/>
  <c r="O202" i="8"/>
  <c r="H204" i="8"/>
  <c r="L208" i="8"/>
  <c r="O210" i="8"/>
  <c r="H212" i="8"/>
  <c r="O215" i="8"/>
  <c r="J216" i="8"/>
  <c r="L219" i="8"/>
  <c r="O222" i="8"/>
  <c r="K225" i="8"/>
  <c r="L226" i="8"/>
  <c r="H227" i="8"/>
  <c r="O231" i="8"/>
  <c r="J232" i="8"/>
  <c r="L235" i="8"/>
  <c r="O236" i="8"/>
  <c r="I239" i="8"/>
  <c r="J241" i="8"/>
  <c r="K242" i="8"/>
  <c r="H243" i="8"/>
  <c r="I248" i="8"/>
  <c r="K249" i="8"/>
  <c r="Q249" i="8"/>
  <c r="L251" i="8"/>
  <c r="O252" i="8"/>
  <c r="I255" i="8"/>
  <c r="H257" i="8"/>
  <c r="M258" i="8"/>
  <c r="L259" i="8"/>
  <c r="K265" i="8"/>
  <c r="H268" i="8"/>
  <c r="H272" i="8"/>
  <c r="H277" i="8"/>
  <c r="H284" i="8"/>
  <c r="H285" i="8"/>
  <c r="L193" i="8"/>
  <c r="L197" i="8"/>
  <c r="O199" i="8"/>
  <c r="H201" i="8"/>
  <c r="K201" i="8"/>
  <c r="I203" i="8"/>
  <c r="L205" i="8"/>
  <c r="J206" i="8"/>
  <c r="O207" i="8"/>
  <c r="H209" i="8"/>
  <c r="K209" i="8"/>
  <c r="I211" i="8"/>
  <c r="L213" i="8"/>
  <c r="J214" i="8"/>
  <c r="K216" i="8"/>
  <c r="I218" i="8"/>
  <c r="M219" i="8"/>
  <c r="K220" i="8"/>
  <c r="K222" i="8"/>
  <c r="I223" i="8"/>
  <c r="Q224" i="8"/>
  <c r="Q227" i="8"/>
  <c r="J228" i="8"/>
  <c r="I230" i="8"/>
  <c r="K232" i="8"/>
  <c r="I234" i="8"/>
  <c r="M235" i="8"/>
  <c r="I237" i="8"/>
  <c r="H241" i="8"/>
  <c r="K247" i="8"/>
  <c r="H250" i="8"/>
  <c r="M251" i="8"/>
  <c r="I253" i="8"/>
  <c r="M259" i="8"/>
  <c r="Q262" i="8"/>
  <c r="O263" i="8"/>
  <c r="J264" i="8"/>
  <c r="I137" i="8"/>
  <c r="I138" i="8"/>
  <c r="I139" i="8"/>
  <c r="I140" i="8"/>
  <c r="I141" i="8"/>
  <c r="I142" i="8"/>
  <c r="I143" i="8"/>
  <c r="I144" i="8"/>
  <c r="I145" i="8"/>
  <c r="K147" i="8"/>
  <c r="O150" i="8"/>
  <c r="I153" i="8"/>
  <c r="J154" i="8"/>
  <c r="K155" i="8"/>
  <c r="O158" i="8"/>
  <c r="I161" i="8"/>
  <c r="J162" i="8"/>
  <c r="K163" i="8"/>
  <c r="O166" i="8"/>
  <c r="I169" i="8"/>
  <c r="J170" i="8"/>
  <c r="K171" i="8"/>
  <c r="O172" i="8"/>
  <c r="I174" i="8"/>
  <c r="K175" i="8"/>
  <c r="O176" i="8"/>
  <c r="I178" i="8"/>
  <c r="K179" i="8"/>
  <c r="O180" i="8"/>
  <c r="I182" i="8"/>
  <c r="K183" i="8"/>
  <c r="O184" i="8"/>
  <c r="I186" i="8"/>
  <c r="K187" i="8"/>
  <c r="O188" i="8"/>
  <c r="I190" i="8"/>
  <c r="K191" i="8"/>
  <c r="O192" i="8"/>
  <c r="I194" i="8"/>
  <c r="K195" i="8"/>
  <c r="O196" i="8"/>
  <c r="H198" i="8"/>
  <c r="K198" i="8"/>
  <c r="I200" i="8"/>
  <c r="L202" i="8"/>
  <c r="J203" i="8"/>
  <c r="O204" i="8"/>
  <c r="H206" i="8"/>
  <c r="K206" i="8"/>
  <c r="I208" i="8"/>
  <c r="L210" i="8"/>
  <c r="J211" i="8"/>
  <c r="O212" i="8"/>
  <c r="H214" i="8"/>
  <c r="K214" i="8"/>
  <c r="H216" i="8"/>
  <c r="I219" i="8"/>
  <c r="L220" i="8"/>
  <c r="K221" i="8"/>
  <c r="J223" i="8"/>
  <c r="L224" i="8"/>
  <c r="H225" i="8"/>
  <c r="O225" i="8"/>
  <c r="J230" i="8"/>
  <c r="H232" i="8"/>
  <c r="I235" i="8"/>
  <c r="J237" i="8"/>
  <c r="K238" i="8"/>
  <c r="H239" i="8"/>
  <c r="I244" i="8"/>
  <c r="K245" i="8"/>
  <c r="Q245" i="8"/>
  <c r="L247" i="8"/>
  <c r="O248" i="8"/>
  <c r="I251" i="8"/>
  <c r="J253" i="8"/>
  <c r="K254" i="8"/>
  <c r="H255" i="8"/>
  <c r="Q257" i="8"/>
  <c r="M265" i="8"/>
  <c r="L266" i="8"/>
  <c r="L207" i="8"/>
  <c r="O209" i="8"/>
  <c r="H211" i="8"/>
  <c r="K211" i="8"/>
  <c r="I213" i="8"/>
  <c r="I216" i="8"/>
  <c r="K218" i="8"/>
  <c r="M220" i="8"/>
  <c r="H223" i="8"/>
  <c r="K223" i="8"/>
  <c r="I225" i="8"/>
  <c r="Q225" i="8"/>
  <c r="K227" i="8"/>
  <c r="I228" i="8"/>
  <c r="M229" i="8"/>
  <c r="I232" i="8"/>
  <c r="K234" i="8"/>
  <c r="H237" i="8"/>
  <c r="K243" i="8"/>
  <c r="H246" i="8"/>
  <c r="M247" i="8"/>
  <c r="H253" i="8"/>
  <c r="K257" i="8"/>
  <c r="H258" i="8"/>
  <c r="H264" i="8"/>
  <c r="M266" i="8"/>
  <c r="I334" i="8"/>
  <c r="I326" i="8"/>
  <c r="I318" i="8"/>
  <c r="I310" i="8"/>
  <c r="I302" i="8"/>
  <c r="I294" i="8"/>
  <c r="I286" i="8"/>
  <c r="I282" i="8"/>
  <c r="I337" i="8"/>
  <c r="I329" i="8"/>
  <c r="I321" i="8"/>
  <c r="I313" i="8"/>
  <c r="I305" i="8"/>
  <c r="I297" i="8"/>
  <c r="I289" i="8"/>
  <c r="I332" i="8"/>
  <c r="I324" i="8"/>
  <c r="I316" i="8"/>
  <c r="I308" i="8"/>
  <c r="I300" i="8"/>
  <c r="I292" i="8"/>
  <c r="I283" i="8"/>
  <c r="I279" i="8"/>
  <c r="I275" i="8"/>
  <c r="I271" i="8"/>
  <c r="I335" i="8"/>
  <c r="I330" i="8"/>
  <c r="I322" i="8"/>
  <c r="I314" i="8"/>
  <c r="I306" i="8"/>
  <c r="I298" i="8"/>
  <c r="I290" i="8"/>
  <c r="I284" i="8"/>
  <c r="I280" i="8"/>
  <c r="I276" i="8"/>
  <c r="I272" i="8"/>
  <c r="I268" i="8"/>
  <c r="I333" i="8"/>
  <c r="I336" i="8"/>
  <c r="I331" i="8"/>
  <c r="I320" i="8"/>
  <c r="I304" i="8"/>
  <c r="I288" i="8"/>
  <c r="I285" i="8"/>
  <c r="I270" i="8"/>
  <c r="I323" i="8"/>
  <c r="I307" i="8"/>
  <c r="I291" i="8"/>
  <c r="I274" i="8"/>
  <c r="I265" i="8"/>
  <c r="I258" i="8"/>
  <c r="I254" i="8"/>
  <c r="I250" i="8"/>
  <c r="I246" i="8"/>
  <c r="I242" i="8"/>
  <c r="I238" i="8"/>
  <c r="I281" i="8"/>
  <c r="I262" i="8"/>
  <c r="I325" i="8"/>
  <c r="I319" i="8"/>
  <c r="I309" i="8"/>
  <c r="I303" i="8"/>
  <c r="I293" i="8"/>
  <c r="I287" i="8"/>
  <c r="I278" i="8"/>
  <c r="I259" i="8"/>
  <c r="I328" i="8"/>
  <c r="I312" i="8"/>
  <c r="I296" i="8"/>
  <c r="I273" i="8"/>
  <c r="I269" i="8"/>
  <c r="I266" i="8"/>
  <c r="I263" i="8"/>
  <c r="I315" i="8"/>
  <c r="I299" i="8"/>
  <c r="I277" i="8"/>
  <c r="I327" i="8"/>
  <c r="I317" i="8"/>
  <c r="I311" i="8"/>
  <c r="I301" i="8"/>
  <c r="I295" i="8"/>
  <c r="I264" i="8"/>
  <c r="I261" i="8"/>
  <c r="I257" i="8"/>
  <c r="K110" i="8"/>
  <c r="O148" i="8"/>
  <c r="O156" i="8"/>
  <c r="O164" i="8"/>
  <c r="O171" i="8"/>
  <c r="O175" i="8"/>
  <c r="O179" i="8"/>
  <c r="O183" i="8"/>
  <c r="O187" i="8"/>
  <c r="O191" i="8"/>
  <c r="O195" i="8"/>
  <c r="J197" i="8"/>
  <c r="O198" i="8"/>
  <c r="H200" i="8"/>
  <c r="L204" i="8"/>
  <c r="J205" i="8"/>
  <c r="O206" i="8"/>
  <c r="H208" i="8"/>
  <c r="L212" i="8"/>
  <c r="J213" i="8"/>
  <c r="O214" i="8"/>
  <c r="L218" i="8"/>
  <c r="H219" i="8"/>
  <c r="O223" i="8"/>
  <c r="J224" i="8"/>
  <c r="L227" i="8"/>
  <c r="O230" i="8"/>
  <c r="L234" i="8"/>
  <c r="H235" i="8"/>
  <c r="I240" i="8"/>
  <c r="K241" i="8"/>
  <c r="Q241" i="8"/>
  <c r="L243" i="8"/>
  <c r="O244" i="8"/>
  <c r="I247" i="8"/>
  <c r="K250" i="8"/>
  <c r="H251" i="8"/>
  <c r="I256" i="8"/>
  <c r="H259" i="8"/>
  <c r="I260" i="8"/>
  <c r="K262" i="8"/>
  <c r="Q264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347" i="8"/>
  <c r="J343" i="8"/>
  <c r="J339" i="8"/>
  <c r="J283" i="8"/>
  <c r="J279" i="8"/>
  <c r="J275" i="8"/>
  <c r="J271" i="8"/>
  <c r="J267" i="8"/>
  <c r="J263" i="8"/>
  <c r="J346" i="8"/>
  <c r="J338" i="8"/>
  <c r="J348" i="8"/>
  <c r="J350" i="8"/>
  <c r="J342" i="8"/>
  <c r="J340" i="8"/>
  <c r="J282" i="8"/>
  <c r="J274" i="8"/>
  <c r="J272" i="8"/>
  <c r="J265" i="8"/>
  <c r="J258" i="8"/>
  <c r="J254" i="8"/>
  <c r="J250" i="8"/>
  <c r="J246" i="8"/>
  <c r="J242" i="8"/>
  <c r="J238" i="8"/>
  <c r="J233" i="8"/>
  <c r="J225" i="8"/>
  <c r="J217" i="8"/>
  <c r="J281" i="8"/>
  <c r="J268" i="8"/>
  <c r="J262" i="8"/>
  <c r="J234" i="8"/>
  <c r="J226" i="8"/>
  <c r="J218" i="8"/>
  <c r="J278" i="8"/>
  <c r="J276" i="8"/>
  <c r="J259" i="8"/>
  <c r="J255" i="8"/>
  <c r="J251" i="8"/>
  <c r="J247" i="8"/>
  <c r="J243" i="8"/>
  <c r="J239" i="8"/>
  <c r="J235" i="8"/>
  <c r="J227" i="8"/>
  <c r="J219" i="8"/>
  <c r="J284" i="8"/>
  <c r="J273" i="8"/>
  <c r="J269" i="8"/>
  <c r="J266" i="8"/>
  <c r="J260" i="8"/>
  <c r="J256" i="8"/>
  <c r="J252" i="8"/>
  <c r="J248" i="8"/>
  <c r="J244" i="8"/>
  <c r="J240" i="8"/>
  <c r="J236" i="8"/>
  <c r="J229" i="8"/>
  <c r="J221" i="8"/>
  <c r="J280" i="8"/>
  <c r="J277" i="8"/>
  <c r="J285" i="8"/>
  <c r="J270" i="8"/>
  <c r="O147" i="8"/>
  <c r="O155" i="8"/>
  <c r="O163" i="8"/>
  <c r="L171" i="8"/>
  <c r="J173" i="8"/>
  <c r="L175" i="8"/>
  <c r="J177" i="8"/>
  <c r="L179" i="8"/>
  <c r="J181" i="8"/>
  <c r="L183" i="8"/>
  <c r="J185" i="8"/>
  <c r="L187" i="8"/>
  <c r="J189" i="8"/>
  <c r="L191" i="8"/>
  <c r="J193" i="8"/>
  <c r="L195" i="8"/>
  <c r="H197" i="8"/>
  <c r="L201" i="8"/>
  <c r="J202" i="8"/>
  <c r="O203" i="8"/>
  <c r="H205" i="8"/>
  <c r="L209" i="8"/>
  <c r="J210" i="8"/>
  <c r="O211" i="8"/>
  <c r="H213" i="8"/>
  <c r="Q216" i="8"/>
  <c r="Q219" i="8"/>
  <c r="J220" i="8"/>
  <c r="I222" i="8"/>
  <c r="I226" i="8"/>
  <c r="M227" i="8"/>
  <c r="K228" i="8"/>
  <c r="K230" i="8"/>
  <c r="Q232" i="8"/>
  <c r="K239" i="8"/>
  <c r="H242" i="8"/>
  <c r="M243" i="8"/>
  <c r="I245" i="8"/>
  <c r="H249" i="8"/>
  <c r="K255" i="8"/>
  <c r="O260" i="8"/>
  <c r="J261" i="8"/>
  <c r="H265" i="8"/>
  <c r="I267" i="8"/>
  <c r="M268" i="8"/>
  <c r="M290" i="8"/>
  <c r="M306" i="8"/>
  <c r="M322" i="8"/>
  <c r="K351" i="8"/>
  <c r="K339" i="8"/>
  <c r="K354" i="8"/>
  <c r="K343" i="8"/>
  <c r="K348" i="8"/>
  <c r="K357" i="8"/>
  <c r="K353" i="8"/>
  <c r="K340" i="8"/>
  <c r="K356" i="8"/>
  <c r="K347" i="8"/>
  <c r="O146" i="8"/>
  <c r="O154" i="8"/>
  <c r="O162" i="8"/>
  <c r="O170" i="8"/>
  <c r="O174" i="8"/>
  <c r="O178" i="8"/>
  <c r="O182" i="8"/>
  <c r="O186" i="8"/>
  <c r="O190" i="8"/>
  <c r="O194" i="8"/>
  <c r="L198" i="8"/>
  <c r="J199" i="8"/>
  <c r="O200" i="8"/>
  <c r="H202" i="8"/>
  <c r="L206" i="8"/>
  <c r="J207" i="8"/>
  <c r="O208" i="8"/>
  <c r="H210" i="8"/>
  <c r="L214" i="8"/>
  <c r="J215" i="8"/>
  <c r="L216" i="8"/>
  <c r="H217" i="8"/>
  <c r="O217" i="8"/>
  <c r="J222" i="8"/>
  <c r="H224" i="8"/>
  <c r="I227" i="8"/>
  <c r="L228" i="8"/>
  <c r="K229" i="8"/>
  <c r="J231" i="8"/>
  <c r="L232" i="8"/>
  <c r="H233" i="8"/>
  <c r="O233" i="8"/>
  <c r="I236" i="8"/>
  <c r="K237" i="8"/>
  <c r="Q237" i="8"/>
  <c r="L239" i="8"/>
  <c r="O240" i="8"/>
  <c r="I243" i="8"/>
  <c r="J245" i="8"/>
  <c r="K246" i="8"/>
  <c r="H247" i="8"/>
  <c r="I252" i="8"/>
  <c r="K253" i="8"/>
  <c r="Q253" i="8"/>
  <c r="L255" i="8"/>
  <c r="O256" i="8"/>
  <c r="J257" i="8"/>
  <c r="K258" i="8"/>
  <c r="M262" i="8"/>
  <c r="O269" i="8"/>
  <c r="O271" i="8"/>
  <c r="O283" i="8"/>
  <c r="O286" i="8"/>
  <c r="O289" i="8"/>
  <c r="O302" i="8"/>
  <c r="O305" i="8"/>
  <c r="O318" i="8"/>
  <c r="O321" i="8"/>
  <c r="O326" i="8"/>
  <c r="O329" i="8"/>
  <c r="K259" i="8"/>
  <c r="L263" i="8"/>
  <c r="K266" i="8"/>
  <c r="K271" i="8"/>
  <c r="H274" i="8"/>
  <c r="Q278" i="8"/>
  <c r="M280" i="8"/>
  <c r="O291" i="8"/>
  <c r="Q297" i="8"/>
  <c r="O307" i="8"/>
  <c r="Q313" i="8"/>
  <c r="O323" i="8"/>
  <c r="Q331" i="8"/>
  <c r="Q332" i="8"/>
  <c r="Q336" i="8"/>
  <c r="Q337" i="8"/>
  <c r="M269" i="8"/>
  <c r="H270" i="8"/>
  <c r="L271" i="8"/>
  <c r="M273" i="8"/>
  <c r="O274" i="8"/>
  <c r="K276" i="8"/>
  <c r="H282" i="8"/>
  <c r="O282" i="8"/>
  <c r="L284" i="8"/>
  <c r="O285" i="8"/>
  <c r="K287" i="8"/>
  <c r="M289" i="8"/>
  <c r="L290" i="8"/>
  <c r="Q291" i="8"/>
  <c r="O298" i="8"/>
  <c r="K300" i="8"/>
  <c r="O301" i="8"/>
  <c r="K303" i="8"/>
  <c r="M305" i="8"/>
  <c r="L306" i="8"/>
  <c r="Q307" i="8"/>
  <c r="O314" i="8"/>
  <c r="K316" i="8"/>
  <c r="O317" i="8"/>
  <c r="K319" i="8"/>
  <c r="M321" i="8"/>
  <c r="L322" i="8"/>
  <c r="Q323" i="8"/>
  <c r="H347" i="8"/>
  <c r="K268" i="8"/>
  <c r="O270" i="8"/>
  <c r="Q274" i="8"/>
  <c r="L276" i="8"/>
  <c r="L278" i="8"/>
  <c r="Q279" i="8"/>
  <c r="Q282" i="8"/>
  <c r="M284" i="8"/>
  <c r="L287" i="8"/>
  <c r="M293" i="8"/>
  <c r="L300" i="8"/>
  <c r="L303" i="8"/>
  <c r="M309" i="8"/>
  <c r="L316" i="8"/>
  <c r="L319" i="8"/>
  <c r="M325" i="8"/>
  <c r="K329" i="8"/>
  <c r="L217" i="8"/>
  <c r="L225" i="8"/>
  <c r="L233" i="8"/>
  <c r="L238" i="8"/>
  <c r="L242" i="8"/>
  <c r="L246" i="8"/>
  <c r="L250" i="8"/>
  <c r="L254" i="8"/>
  <c r="L258" i="8"/>
  <c r="L262" i="8"/>
  <c r="L268" i="8"/>
  <c r="K272" i="8"/>
  <c r="M276" i="8"/>
  <c r="O277" i="8"/>
  <c r="M281" i="8"/>
  <c r="H286" i="8"/>
  <c r="M287" i="8"/>
  <c r="Q288" i="8"/>
  <c r="K291" i="8"/>
  <c r="L294" i="8"/>
  <c r="K297" i="8"/>
  <c r="M300" i="8"/>
  <c r="M303" i="8"/>
  <c r="Q304" i="8"/>
  <c r="K307" i="8"/>
  <c r="L310" i="8"/>
  <c r="K313" i="8"/>
  <c r="M316" i="8"/>
  <c r="M319" i="8"/>
  <c r="Q320" i="8"/>
  <c r="K323" i="8"/>
  <c r="L326" i="8"/>
  <c r="J344" i="8"/>
  <c r="K261" i="8"/>
  <c r="K264" i="8"/>
  <c r="L272" i="8"/>
  <c r="L274" i="8"/>
  <c r="K279" i="8"/>
  <c r="Q283" i="8"/>
  <c r="Q289" i="8"/>
  <c r="O299" i="8"/>
  <c r="Q305" i="8"/>
  <c r="O315" i="8"/>
  <c r="Q321" i="8"/>
  <c r="M329" i="8"/>
  <c r="L330" i="8"/>
  <c r="K332" i="8"/>
  <c r="K344" i="8"/>
  <c r="L215" i="8"/>
  <c r="L223" i="8"/>
  <c r="L231" i="8"/>
  <c r="L237" i="8"/>
  <c r="L241" i="8"/>
  <c r="L245" i="8"/>
  <c r="L249" i="8"/>
  <c r="L253" i="8"/>
  <c r="L257" i="8"/>
  <c r="L261" i="8"/>
  <c r="L264" i="8"/>
  <c r="H266" i="8"/>
  <c r="K267" i="8"/>
  <c r="L270" i="8"/>
  <c r="M272" i="8"/>
  <c r="O273" i="8"/>
  <c r="Q275" i="8"/>
  <c r="L279" i="8"/>
  <c r="L282" i="8"/>
  <c r="M285" i="8"/>
  <c r="O290" i="8"/>
  <c r="K292" i="8"/>
  <c r="O293" i="8"/>
  <c r="K295" i="8"/>
  <c r="M297" i="8"/>
  <c r="L298" i="8"/>
  <c r="Q299" i="8"/>
  <c r="O306" i="8"/>
  <c r="K308" i="8"/>
  <c r="O309" i="8"/>
  <c r="K311" i="8"/>
  <c r="M313" i="8"/>
  <c r="L314" i="8"/>
  <c r="Q315" i="8"/>
  <c r="O322" i="8"/>
  <c r="K324" i="8"/>
  <c r="O325" i="8"/>
  <c r="K327" i="8"/>
  <c r="M330" i="8"/>
  <c r="L341" i="8"/>
  <c r="L349" i="8"/>
  <c r="L352" i="8"/>
  <c r="L222" i="8"/>
  <c r="L230" i="8"/>
  <c r="K236" i="8"/>
  <c r="K240" i="8"/>
  <c r="K244" i="8"/>
  <c r="K248" i="8"/>
  <c r="K252" i="8"/>
  <c r="K256" i="8"/>
  <c r="K260" i="8"/>
  <c r="L267" i="8"/>
  <c r="K275" i="8"/>
  <c r="H278" i="8"/>
  <c r="K283" i="8"/>
  <c r="L292" i="8"/>
  <c r="L295" i="8"/>
  <c r="M301" i="8"/>
  <c r="L308" i="8"/>
  <c r="L311" i="8"/>
  <c r="M317" i="8"/>
  <c r="L324" i="8"/>
  <c r="L327" i="8"/>
  <c r="Q328" i="8"/>
  <c r="O330" i="8"/>
  <c r="M332" i="8"/>
  <c r="M333" i="8"/>
  <c r="M335" i="8"/>
  <c r="M337" i="8"/>
  <c r="M341" i="8"/>
  <c r="M349" i="8"/>
  <c r="M351" i="8"/>
  <c r="L221" i="8"/>
  <c r="L229" i="8"/>
  <c r="L236" i="8"/>
  <c r="L240" i="8"/>
  <c r="L244" i="8"/>
  <c r="L248" i="8"/>
  <c r="L252" i="8"/>
  <c r="L256" i="8"/>
  <c r="L260" i="8"/>
  <c r="H262" i="8"/>
  <c r="K263" i="8"/>
  <c r="K269" i="8"/>
  <c r="Q271" i="8"/>
  <c r="L275" i="8"/>
  <c r="M277" i="8"/>
  <c r="O278" i="8"/>
  <c r="L280" i="8"/>
  <c r="O281" i="8"/>
  <c r="L283" i="8"/>
  <c r="L286" i="8"/>
  <c r="K289" i="8"/>
  <c r="M292" i="8"/>
  <c r="M295" i="8"/>
  <c r="Q296" i="8"/>
  <c r="K299" i="8"/>
  <c r="L302" i="8"/>
  <c r="K305" i="8"/>
  <c r="M308" i="8"/>
  <c r="M311" i="8"/>
  <c r="Q312" i="8"/>
  <c r="K315" i="8"/>
  <c r="L318" i="8"/>
  <c r="K321" i="8"/>
  <c r="M324" i="8"/>
  <c r="M327" i="8"/>
  <c r="Q329" i="8"/>
  <c r="O331" i="8"/>
  <c r="O333" i="8"/>
  <c r="O334" i="8"/>
  <c r="O338" i="8"/>
  <c r="O342" i="8"/>
  <c r="O350" i="8"/>
  <c r="O357" i="8"/>
  <c r="K335" i="8"/>
  <c r="L338" i="8"/>
  <c r="I339" i="8"/>
  <c r="I341" i="8"/>
  <c r="H344" i="8"/>
  <c r="I349" i="8"/>
  <c r="M353" i="8"/>
  <c r="J354" i="8"/>
  <c r="O355" i="8"/>
  <c r="D43" i="9"/>
  <c r="C32" i="9"/>
  <c r="D31" i="9"/>
  <c r="D66" i="9"/>
  <c r="C55" i="9"/>
  <c r="D54" i="9"/>
  <c r="D90" i="9"/>
  <c r="C79" i="9"/>
  <c r="C101" i="9"/>
  <c r="D100" i="9"/>
  <c r="C100" i="9"/>
  <c r="L335" i="8"/>
  <c r="M338" i="8"/>
  <c r="O339" i="8"/>
  <c r="J341" i="8"/>
  <c r="Q341" i="8"/>
  <c r="O344" i="8"/>
  <c r="K346" i="8"/>
  <c r="J349" i="8"/>
  <c r="Q349" i="8"/>
  <c r="I352" i="8"/>
  <c r="Q355" i="8"/>
  <c r="D28" i="9"/>
  <c r="C17" i="9"/>
  <c r="C31" i="9"/>
  <c r="D78" i="9"/>
  <c r="C93" i="9"/>
  <c r="D92" i="9"/>
  <c r="C92" i="9"/>
  <c r="D195" i="9"/>
  <c r="C184" i="9"/>
  <c r="L332" i="8"/>
  <c r="K337" i="8"/>
  <c r="Q339" i="8"/>
  <c r="K341" i="8"/>
  <c r="M343" i="8"/>
  <c r="L346" i="8"/>
  <c r="I347" i="8"/>
  <c r="O347" i="8"/>
  <c r="K349" i="8"/>
  <c r="Q352" i="8"/>
  <c r="I355" i="8"/>
  <c r="O356" i="8"/>
  <c r="C16" i="9"/>
  <c r="C50" i="9"/>
  <c r="D155" i="9"/>
  <c r="C144" i="9"/>
  <c r="K270" i="8"/>
  <c r="K274" i="8"/>
  <c r="K278" i="8"/>
  <c r="K282" i="8"/>
  <c r="K286" i="8"/>
  <c r="L289" i="8"/>
  <c r="K294" i="8"/>
  <c r="L297" i="8"/>
  <c r="K302" i="8"/>
  <c r="L305" i="8"/>
  <c r="K310" i="8"/>
  <c r="L313" i="8"/>
  <c r="K318" i="8"/>
  <c r="L321" i="8"/>
  <c r="K326" i="8"/>
  <c r="L329" i="8"/>
  <c r="K334" i="8"/>
  <c r="L337" i="8"/>
  <c r="H340" i="8"/>
  <c r="M346" i="8"/>
  <c r="Q347" i="8"/>
  <c r="K352" i="8"/>
  <c r="J355" i="8"/>
  <c r="Q356" i="8"/>
  <c r="D18" i="9"/>
  <c r="C7" i="9"/>
  <c r="C24" i="9"/>
  <c r="D35" i="9"/>
  <c r="D23" i="9"/>
  <c r="D37" i="9"/>
  <c r="D82" i="9"/>
  <c r="C71" i="9"/>
  <c r="D135" i="9"/>
  <c r="C124" i="9"/>
  <c r="C123" i="9"/>
  <c r="D191" i="9"/>
  <c r="C180" i="9"/>
  <c r="C179" i="9"/>
  <c r="K331" i="8"/>
  <c r="L334" i="8"/>
  <c r="M339" i="8"/>
  <c r="I340" i="8"/>
  <c r="Q342" i="8"/>
  <c r="I345" i="8"/>
  <c r="H348" i="8"/>
  <c r="K355" i="8"/>
  <c r="D30" i="9"/>
  <c r="C19" i="9"/>
  <c r="D87" i="9"/>
  <c r="C76" i="9"/>
  <c r="C75" i="9"/>
  <c r="K273" i="8"/>
  <c r="K277" i="8"/>
  <c r="K281" i="8"/>
  <c r="K285" i="8"/>
  <c r="K288" i="8"/>
  <c r="L291" i="8"/>
  <c r="K296" i="8"/>
  <c r="L299" i="8"/>
  <c r="K304" i="8"/>
  <c r="L307" i="8"/>
  <c r="K312" i="8"/>
  <c r="L315" i="8"/>
  <c r="K320" i="8"/>
  <c r="L323" i="8"/>
  <c r="K328" i="8"/>
  <c r="L331" i="8"/>
  <c r="K336" i="8"/>
  <c r="O340" i="8"/>
  <c r="K342" i="8"/>
  <c r="J345" i="8"/>
  <c r="Q345" i="8"/>
  <c r="O348" i="8"/>
  <c r="K350" i="8"/>
  <c r="Q353" i="8"/>
  <c r="L355" i="8"/>
  <c r="D41" i="9"/>
  <c r="C30" i="9"/>
  <c r="C38" i="9"/>
  <c r="D59" i="9"/>
  <c r="C48" i="9"/>
  <c r="L265" i="8"/>
  <c r="L269" i="8"/>
  <c r="L273" i="8"/>
  <c r="L277" i="8"/>
  <c r="L281" i="8"/>
  <c r="L285" i="8"/>
  <c r="L288" i="8"/>
  <c r="K293" i="8"/>
  <c r="L296" i="8"/>
  <c r="K301" i="8"/>
  <c r="L304" i="8"/>
  <c r="K309" i="8"/>
  <c r="L312" i="8"/>
  <c r="K317" i="8"/>
  <c r="L320" i="8"/>
  <c r="K325" i="8"/>
  <c r="L328" i="8"/>
  <c r="K333" i="8"/>
  <c r="L336" i="8"/>
  <c r="Q338" i="8"/>
  <c r="L342" i="8"/>
  <c r="I343" i="8"/>
  <c r="O343" i="8"/>
  <c r="K345" i="8"/>
  <c r="M347" i="8"/>
  <c r="L350" i="8"/>
  <c r="I351" i="8"/>
  <c r="O351" i="8"/>
  <c r="J357" i="8"/>
  <c r="D29" i="9"/>
  <c r="D62" i="9"/>
  <c r="D112" i="9"/>
  <c r="D183" i="9"/>
  <c r="C172" i="9"/>
  <c r="C171" i="9"/>
  <c r="K280" i="8"/>
  <c r="K284" i="8"/>
  <c r="K290" i="8"/>
  <c r="L293" i="8"/>
  <c r="K298" i="8"/>
  <c r="L301" i="8"/>
  <c r="K306" i="8"/>
  <c r="L309" i="8"/>
  <c r="K314" i="8"/>
  <c r="L317" i="8"/>
  <c r="K322" i="8"/>
  <c r="L325" i="8"/>
  <c r="K330" i="8"/>
  <c r="L333" i="8"/>
  <c r="K338" i="8"/>
  <c r="M342" i="8"/>
  <c r="Q343" i="8"/>
  <c r="M350" i="8"/>
  <c r="L353" i="8"/>
  <c r="I354" i="8"/>
  <c r="O354" i="8"/>
  <c r="M356" i="8"/>
  <c r="D21" i="9"/>
  <c r="C10" i="9"/>
  <c r="D26" i="9"/>
  <c r="C15" i="9"/>
  <c r="C21" i="9"/>
  <c r="D32" i="9"/>
  <c r="C20" i="9"/>
  <c r="C36" i="9"/>
  <c r="D47" i="9"/>
  <c r="C54" i="9"/>
  <c r="D53" i="9"/>
  <c r="D75" i="9"/>
  <c r="C64" i="9"/>
  <c r="D63" i="9"/>
  <c r="D104" i="9"/>
  <c r="C109" i="9"/>
  <c r="D108" i="9"/>
  <c r="D120" i="9"/>
  <c r="C108" i="9"/>
  <c r="D207" i="9"/>
  <c r="C196" i="9"/>
  <c r="D226" i="9"/>
  <c r="C215" i="9"/>
  <c r="D263" i="9"/>
  <c r="C252" i="9"/>
  <c r="C117" i="9"/>
  <c r="D116" i="9"/>
  <c r="D128" i="9"/>
  <c r="D154" i="9"/>
  <c r="C143" i="9"/>
  <c r="D199" i="9"/>
  <c r="C188" i="9"/>
  <c r="C195" i="9"/>
  <c r="D214" i="9"/>
  <c r="D255" i="9"/>
  <c r="C244" i="9"/>
  <c r="C251" i="9"/>
  <c r="I344" i="8"/>
  <c r="Q346" i="8"/>
  <c r="I348" i="8"/>
  <c r="Q350" i="8"/>
  <c r="J352" i="8"/>
  <c r="I357" i="8"/>
  <c r="C6" i="9"/>
  <c r="C27" i="9"/>
  <c r="D38" i="9"/>
  <c r="D50" i="9"/>
  <c r="C39" i="9"/>
  <c r="D91" i="9"/>
  <c r="C80" i="9"/>
  <c r="C116" i="9"/>
  <c r="C125" i="9"/>
  <c r="D124" i="9"/>
  <c r="D136" i="9"/>
  <c r="D142" i="9"/>
  <c r="C157" i="9"/>
  <c r="D156" i="9"/>
  <c r="C165" i="9"/>
  <c r="D164" i="9"/>
  <c r="D168" i="9"/>
  <c r="C173" i="9"/>
  <c r="D172" i="9"/>
  <c r="D176" i="9"/>
  <c r="C181" i="9"/>
  <c r="D180" i="9"/>
  <c r="D192" i="9"/>
  <c r="C187" i="9"/>
  <c r="C192" i="9"/>
  <c r="D218" i="9"/>
  <c r="C207" i="9"/>
  <c r="C235" i="9"/>
  <c r="C240" i="9"/>
  <c r="C243" i="9"/>
  <c r="C248" i="9"/>
  <c r="C189" i="9"/>
  <c r="D188" i="9"/>
  <c r="D200" i="9"/>
  <c r="C221" i="9"/>
  <c r="D220" i="9"/>
  <c r="D232" i="9"/>
  <c r="C237" i="9"/>
  <c r="D248" i="9"/>
  <c r="D240" i="9"/>
  <c r="C245" i="9"/>
  <c r="D256" i="9"/>
  <c r="D146" i="9"/>
  <c r="C135" i="9"/>
  <c r="D219" i="9"/>
  <c r="C208" i="9"/>
  <c r="C220" i="9"/>
  <c r="C228" i="9"/>
  <c r="C236" i="9"/>
  <c r="J351" i="8"/>
  <c r="I356" i="8"/>
  <c r="Q357" i="8"/>
  <c r="C18" i="9"/>
  <c r="C29" i="9"/>
  <c r="C47" i="9"/>
  <c r="D55" i="9"/>
  <c r="D83" i="9"/>
  <c r="C72" i="9"/>
  <c r="D106" i="9"/>
  <c r="C95" i="9"/>
  <c r="D94" i="9"/>
  <c r="D138" i="9"/>
  <c r="C127" i="9"/>
  <c r="D134" i="9"/>
  <c r="D151" i="9"/>
  <c r="C140" i="9"/>
  <c r="C139" i="9"/>
  <c r="D210" i="9"/>
  <c r="C199" i="9"/>
  <c r="I338" i="8"/>
  <c r="Q340" i="8"/>
  <c r="I342" i="8"/>
  <c r="Q344" i="8"/>
  <c r="I346" i="8"/>
  <c r="Q348" i="8"/>
  <c r="I350" i="8"/>
  <c r="I353" i="8"/>
  <c r="Q354" i="8"/>
  <c r="J356" i="8"/>
  <c r="C12" i="9"/>
  <c r="C28" i="9"/>
  <c r="C59" i="9"/>
  <c r="D79" i="9"/>
  <c r="C68" i="9"/>
  <c r="C78" i="9"/>
  <c r="D98" i="9"/>
  <c r="C87" i="9"/>
  <c r="D123" i="9"/>
  <c r="D126" i="9"/>
  <c r="D147" i="9"/>
  <c r="C136" i="9"/>
  <c r="D170" i="9"/>
  <c r="C159" i="9"/>
  <c r="D158" i="9"/>
  <c r="D202" i="9"/>
  <c r="C191" i="9"/>
  <c r="D198" i="9"/>
  <c r="D215" i="9"/>
  <c r="C204" i="9"/>
  <c r="C203" i="9"/>
  <c r="C214" i="9"/>
  <c r="Q351" i="8"/>
  <c r="J353" i="8"/>
  <c r="C14" i="9"/>
  <c r="D17" i="9"/>
  <c r="C45" i="9"/>
  <c r="D44" i="9"/>
  <c r="C61" i="9"/>
  <c r="D60" i="9"/>
  <c r="D72" i="9"/>
  <c r="C67" i="9"/>
  <c r="D139" i="9"/>
  <c r="D143" i="9"/>
  <c r="C132" i="9"/>
  <c r="C142" i="9"/>
  <c r="D162" i="9"/>
  <c r="C151" i="9"/>
  <c r="D187" i="9"/>
  <c r="D190" i="9"/>
  <c r="D211" i="9"/>
  <c r="C200" i="9"/>
  <c r="D266" i="9"/>
  <c r="C255" i="9"/>
  <c r="C270" i="9"/>
  <c r="D274" i="9"/>
  <c r="C263" i="9"/>
  <c r="D262" i="9"/>
  <c r="D282" i="9"/>
  <c r="C271" i="9"/>
  <c r="D270" i="9"/>
  <c r="D234" i="9"/>
  <c r="C223" i="9"/>
  <c r="C256" i="9"/>
  <c r="C259" i="9"/>
  <c r="C69" i="9"/>
  <c r="D68" i="9"/>
  <c r="D114" i="9"/>
  <c r="C103" i="9"/>
  <c r="C133" i="9"/>
  <c r="D132" i="9"/>
  <c r="D178" i="9"/>
  <c r="C167" i="9"/>
  <c r="C197" i="9"/>
  <c r="D196" i="9"/>
  <c r="D222" i="9"/>
  <c r="D242" i="9"/>
  <c r="C231" i="9"/>
  <c r="C264" i="9"/>
  <c r="C267" i="9"/>
  <c r="C37" i="9"/>
  <c r="D51" i="9"/>
  <c r="C46" i="9"/>
  <c r="D67" i="9"/>
  <c r="D57" i="9"/>
  <c r="D61" i="9"/>
  <c r="C77" i="9"/>
  <c r="D76" i="9"/>
  <c r="C83" i="9"/>
  <c r="D107" i="9"/>
  <c r="D102" i="9"/>
  <c r="D122" i="9"/>
  <c r="C111" i="9"/>
  <c r="C126" i="9"/>
  <c r="C141" i="9"/>
  <c r="D140" i="9"/>
  <c r="C147" i="9"/>
  <c r="D171" i="9"/>
  <c r="D166" i="9"/>
  <c r="D186" i="9"/>
  <c r="C175" i="9"/>
  <c r="C190" i="9"/>
  <c r="C205" i="9"/>
  <c r="D204" i="9"/>
  <c r="C211" i="9"/>
  <c r="D228" i="9"/>
  <c r="D235" i="9"/>
  <c r="D230" i="9"/>
  <c r="D250" i="9"/>
  <c r="C239" i="9"/>
  <c r="C254" i="9"/>
  <c r="C260" i="9"/>
  <c r="D264" i="9"/>
  <c r="C269" i="9"/>
  <c r="D280" i="9"/>
  <c r="C272" i="9"/>
  <c r="C275" i="9"/>
  <c r="D34" i="9"/>
  <c r="C33" i="9"/>
  <c r="D48" i="9"/>
  <c r="C53" i="9"/>
  <c r="D74" i="9"/>
  <c r="C63" i="9"/>
  <c r="C70" i="9"/>
  <c r="D80" i="9"/>
  <c r="C85" i="9"/>
  <c r="D84" i="9"/>
  <c r="C88" i="9"/>
  <c r="C91" i="9"/>
  <c r="D111" i="9"/>
  <c r="D115" i="9"/>
  <c r="D110" i="9"/>
  <c r="D130" i="9"/>
  <c r="C119" i="9"/>
  <c r="C134" i="9"/>
  <c r="D144" i="9"/>
  <c r="C149" i="9"/>
  <c r="D148" i="9"/>
  <c r="C152" i="9"/>
  <c r="C155" i="9"/>
  <c r="D175" i="9"/>
  <c r="D179" i="9"/>
  <c r="D174" i="9"/>
  <c r="D194" i="9"/>
  <c r="C183" i="9"/>
  <c r="C198" i="9"/>
  <c r="D208" i="9"/>
  <c r="C213" i="9"/>
  <c r="D212" i="9"/>
  <c r="C216" i="9"/>
  <c r="C219" i="9"/>
  <c r="D236" i="9"/>
  <c r="D239" i="9"/>
  <c r="D243" i="9"/>
  <c r="D238" i="9"/>
  <c r="D258" i="9"/>
  <c r="C247" i="9"/>
  <c r="C262" i="9"/>
  <c r="C268" i="9"/>
  <c r="D272" i="9"/>
  <c r="C296" i="9"/>
  <c r="C304" i="9"/>
  <c r="C312" i="9"/>
  <c r="C320" i="9"/>
  <c r="C328" i="9"/>
  <c r="C336" i="9"/>
  <c r="C283" i="9"/>
  <c r="D288" i="9"/>
  <c r="C291" i="9"/>
  <c r="D296" i="9"/>
  <c r="C299" i="9"/>
  <c r="D304" i="9"/>
  <c r="D312" i="9"/>
  <c r="D320" i="9"/>
  <c r="D328" i="9"/>
  <c r="D336" i="9"/>
  <c r="D344" i="9"/>
  <c r="D278" i="9"/>
  <c r="D286" i="9"/>
  <c r="D294" i="9"/>
  <c r="D302" i="9"/>
  <c r="D310" i="9"/>
  <c r="D318" i="9"/>
  <c r="D326" i="9"/>
  <c r="D334" i="9"/>
  <c r="D342" i="9"/>
  <c r="C284" i="9"/>
  <c r="C292" i="9"/>
  <c r="C300" i="9"/>
  <c r="C279" i="9"/>
  <c r="C287" i="9"/>
  <c r="C295" i="9"/>
  <c r="C303" i="9"/>
  <c r="C311" i="9"/>
  <c r="C319" i="9"/>
  <c r="C327" i="9"/>
  <c r="C335" i="9"/>
</calcChain>
</file>

<file path=xl/sharedStrings.xml><?xml version="1.0" encoding="utf-8"?>
<sst xmlns="http://schemas.openxmlformats.org/spreadsheetml/2006/main" count="1234" uniqueCount="582">
  <si>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</si>
  <si>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</si>
  <si>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</si>
  <si>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</si>
  <si>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</si>
  <si>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</si>
  <si>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</si>
  <si>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</si>
  <si>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</si>
  <si>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</si>
  <si>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</si>
  <si>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</si>
  <si>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</si>
  <si>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</si>
  <si>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</si>
  <si>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</si>
  <si>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</si>
  <si>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</si>
  <si>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</si>
  <si>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</si>
  <si>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</si>
  <si>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</si>
  <si>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</si>
  <si>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</si>
  <si>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</si>
  <si>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</si>
  <si>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</si>
  <si>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</si>
  <si>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</si>
  <si>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</si>
  <si>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</si>
  <si>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</si>
  <si>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</si>
  <si>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</si>
  <si>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</si>
  <si>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</si>
  <si>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</si>
  <si>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</si>
  <si>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</si>
  <si>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</si>
  <si>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</si>
  <si>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</si>
  <si>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</si>
  <si>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</si>
  <si>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</si>
  <si>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</si>
  <si>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</si>
  <si>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</si>
  <si>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</si>
  <si>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</si>
  <si>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</si>
  <si>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</si>
  <si>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</si>
  <si>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</si>
  <si>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</si>
  <si>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</si>
  <si>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</si>
  <si>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</si>
  <si>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</si>
  <si>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</si>
  <si>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</si>
  <si>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</si>
  <si>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</si>
  <si>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</si>
  <si>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</si>
  <si>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</si>
  <si>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</si>
  <si>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</si>
  <si>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</si>
  <si>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</si>
  <si>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</si>
  <si>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</si>
  <si>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</si>
  <si>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</si>
  <si>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</si>
  <si>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</si>
  <si>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</si>
  <si>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</si>
  <si>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</si>
  <si>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</si>
  <si>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</si>
  <si>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</si>
  <si>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</si>
  <si>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</si>
  <si>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</si>
  <si>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</si>
  <si>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</si>
  <si>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</si>
  <si>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</si>
  <si>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</si>
  <si>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</si>
  <si>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</si>
  <si>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</si>
  <si>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</si>
  <si>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</si>
  <si>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</si>
  <si>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</si>
  <si>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</si>
  <si>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</si>
  <si>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</si>
  <si>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</si>
  <si>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</si>
  <si>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</si>
  <si>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</si>
  <si>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</si>
  <si>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</si>
  <si>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</si>
  <si>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</si>
  <si>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</si>
  <si>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</si>
  <si>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</si>
  <si>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</si>
  <si>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</si>
  <si>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</si>
  <si>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</si>
  <si>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</si>
  <si>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</si>
  <si>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</si>
  <si>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</si>
  <si>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</si>
  <si>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</si>
  <si>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</si>
  <si>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</si>
  <si>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</si>
  <si>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</si>
  <si>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</si>
  <si>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</si>
  <si>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</si>
  <si>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</si>
  <si>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</si>
  <si>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</si>
  <si>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</si>
  <si>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</si>
  <si>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</si>
  <si>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</si>
  <si>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</si>
  <si>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</si>
  <si>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</si>
  <si>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</si>
  <si>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</si>
  <si>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</si>
  <si>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</si>
  <si>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</si>
  <si>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</si>
  <si>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</si>
  <si>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</si>
  <si>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</si>
  <si>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</si>
  <si>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</si>
  <si>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</si>
  <si>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</si>
  <si>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</si>
  <si>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</si>
  <si>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</si>
  <si>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</si>
  <si>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</si>
  <si>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</si>
  <si>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</si>
  <si>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</si>
  <si>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</si>
  <si>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</si>
  <si>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</si>
  <si>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</si>
  <si>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</si>
  <si>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</si>
  <si>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</si>
  <si>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</si>
  <si>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</si>
  <si>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</si>
  <si>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</si>
  <si>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</si>
  <si>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</si>
  <si>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</si>
  <si>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</si>
  <si>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</si>
  <si>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</si>
  <si>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</si>
  <si>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</si>
  <si>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</si>
  <si>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</si>
  <si>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</si>
  <si>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</si>
  <si>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</si>
  <si>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</si>
  <si>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</si>
  <si>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</si>
  <si>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</si>
  <si>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</si>
  <si>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</si>
  <si>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</si>
  <si>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</si>
  <si>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</si>
  <si>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</si>
  <si>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</si>
  <si>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</si>
  <si>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</si>
  <si>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</si>
  <si>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</si>
  <si>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</si>
  <si>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</si>
  <si>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</si>
  <si>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</si>
  <si>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</si>
  <si>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</si>
  <si>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</si>
  <si>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</si>
  <si>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</si>
  <si>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</si>
  <si>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</si>
  <si>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</si>
  <si>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</si>
  <si>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</si>
  <si>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</si>
  <si>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</si>
  <si>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</si>
  <si>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</si>
  <si>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</si>
  <si>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</si>
  <si>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</si>
  <si>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</si>
  <si>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</si>
  <si>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</si>
  <si>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</si>
  <si>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</si>
  <si>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</si>
  <si>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</si>
  <si>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</si>
  <si>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</si>
  <si>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</si>
  <si>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</si>
  <si>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</si>
  <si>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</si>
  <si>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</si>
  <si>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</si>
  <si>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</si>
  <si>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</si>
  <si>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</si>
  <si>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</si>
  <si>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</si>
  <si>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</si>
  <si>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</si>
  <si>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</si>
  <si>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</si>
  <si>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</si>
  <si>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</si>
  <si>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</si>
  <si>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</si>
  <si>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</si>
  <si>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</si>
  <si>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</si>
  <si>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</si>
  <si>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</si>
  <si>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</si>
  <si>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</si>
  <si>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</si>
  <si>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</si>
  <si>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</si>
  <si>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</si>
  <si>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</si>
  <si>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</si>
  <si>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</si>
  <si>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</si>
  <si>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</si>
  <si>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</si>
  <si>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</si>
  <si>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</si>
  <si>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</si>
  <si>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</si>
  <si>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</si>
  <si>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</si>
  <si>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</si>
  <si>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</si>
  <si>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</si>
  <si>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</si>
  <si>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</si>
  <si>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</si>
  <si>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</si>
  <si>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</si>
  <si>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</si>
  <si>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</si>
  <si>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</si>
  <si>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</si>
  <si>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</si>
  <si>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</si>
  <si>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</si>
  <si>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</si>
  <si>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</si>
  <si>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</si>
  <si>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</si>
  <si>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</si>
  <si>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</si>
  <si>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</si>
  <si>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</si>
  <si>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</si>
  <si>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</si>
  <si>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</si>
  <si>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</si>
  <si>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</si>
  <si>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</si>
  <si>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</si>
  <si>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</si>
  <si>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</si>
  <si>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</si>
  <si>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</si>
  <si>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</si>
  <si>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</si>
  <si>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</si>
  <si>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</si>
  <si>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</si>
  <si>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</si>
  <si>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</si>
  <si>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</si>
  <si>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</si>
  <si>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</si>
  <si>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</si>
  <si>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</si>
  <si>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</si>
  <si>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</si>
  <si>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</si>
  <si>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</si>
  <si>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</si>
  <si>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</si>
  <si>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</si>
  <si>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</si>
  <si>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</si>
  <si>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</si>
  <si>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</si>
  <si>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</si>
  <si>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</si>
  <si>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</si>
  <si>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</si>
  <si>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</si>
  <si>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</si>
  <si>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</si>
  <si>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</si>
  <si>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</si>
  <si>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</si>
  <si>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</si>
  <si>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</si>
  <si>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</si>
  <si>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</si>
  <si>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</si>
  <si>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</si>
  <si>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</si>
  <si>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</si>
  <si>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</si>
  <si>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</si>
  <si>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</si>
  <si>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</si>
  <si>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</si>
  <si>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</si>
  <si>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</si>
  <si>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</si>
  <si>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</si>
  <si>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</si>
  <si>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</si>
  <si>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</si>
  <si>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</si>
  <si>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</si>
  <si>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</si>
  <si>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</si>
  <si>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</si>
  <si>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</si>
  <si>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</si>
  <si>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</si>
  <si>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</si>
  <si>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</si>
  <si>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</si>
  <si>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</si>
  <si>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</si>
  <si>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</si>
  <si>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</si>
  <si>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</si>
  <si>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</si>
  <si>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</si>
  <si>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</si>
  <si>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</si>
  <si>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</si>
  <si>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</si>
  <si>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</si>
  <si>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</si>
  <si>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</si>
  <si>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</si>
  <si>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</si>
  <si>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</si>
  <si>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</si>
  <si>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</si>
  <si>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</si>
  <si>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</si>
  <si>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</si>
  <si>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</si>
  <si>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</si>
  <si>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</si>
  <si>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</si>
  <si>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</si>
  <si>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</si>
  <si>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</si>
  <si>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</si>
  <si>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</si>
  <si>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</si>
  <si>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</si>
  <si>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</si>
  <si>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</si>
  <si>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</si>
  <si>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</si>
  <si>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</si>
  <si>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</si>
  <si>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</si>
  <si>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</si>
  <si>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</si>
  <si>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</si>
  <si>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</si>
  <si>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</si>
  <si>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</si>
  <si>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</si>
  <si>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</si>
  <si>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</si>
  <si>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</si>
  <si>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</si>
  <si>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</si>
  <si>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</si>
  <si>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</si>
  <si>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</si>
  <si>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</si>
  <si>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</si>
  <si>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</si>
  <si>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</si>
  <si>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</si>
  <si>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</si>
  <si>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</si>
  <si>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</si>
  <si>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</si>
  <si>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</si>
  <si>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</si>
  <si>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</si>
  <si>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</si>
  <si>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</si>
  <si>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</si>
  <si>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</si>
  <si>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</si>
  <si>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</si>
  <si>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</si>
  <si>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</si>
  <si>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</si>
  <si>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</si>
  <si>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</si>
  <si>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</si>
  <si>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</si>
  <si>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</si>
  <si>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</si>
  <si>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</si>
  <si>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</si>
  <si>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</si>
  <si>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</si>
  <si>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</si>
  <si>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</si>
  <si>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</si>
  <si>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</si>
  <si>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</si>
  <si>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</si>
  <si>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</si>
  <si>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</si>
  <si>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</si>
  <si>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</si>
  <si>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</si>
  <si>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</si>
  <si>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</si>
  <si>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</si>
  <si>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</si>
  <si>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</si>
  <si>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</si>
  <si>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</si>
  <si>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</si>
  <si>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</si>
  <si>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</si>
  <si>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</si>
  <si>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</si>
  <si>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</si>
  <si>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</si>
  <si>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</si>
  <si>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</si>
  <si>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</si>
  <si>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</si>
  <si>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</si>
  <si>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</si>
  <si>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</si>
  <si>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</si>
  <si>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</si>
  <si>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</si>
  <si>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</si>
  <si>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</si>
  <si>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</si>
  <si>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</si>
  <si>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</si>
  <si>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Euro GDP</t>
  </si>
  <si>
    <t>Last</t>
  </si>
  <si>
    <t>Month</t>
  </si>
  <si>
    <t>Previous</t>
  </si>
  <si>
    <t>Unit</t>
  </si>
  <si>
    <t>Jun-21</t>
  </si>
  <si>
    <t>%</t>
  </si>
  <si>
    <t>Oct-21</t>
  </si>
  <si>
    <t>Azerbaijan</t>
  </si>
  <si>
    <t>Sep-21</t>
  </si>
  <si>
    <t>Nov-21</t>
  </si>
  <si>
    <t>Bosnia and Herzegovina</t>
  </si>
  <si>
    <t>CEB</t>
  </si>
  <si>
    <t>Mar-21</t>
  </si>
  <si>
    <t>Dec-19</t>
  </si>
  <si>
    <t>May-21</t>
  </si>
  <si>
    <t>Dec-20</t>
  </si>
  <si>
    <t>Aug-21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</si>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</sst>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11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66" fontId="0" fillId="3" borderId="0" xfId="1" applyNumberFormat="1" applyFont="1" applyFill="1" applyAlignment="1">
      <alignment horizontal="center"/>
    </xf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7" xfId="2" applyNumberFormat="1" applyFont="1" applyFill="1" applyBorder="1"/>
    <xf numFmtId="0" fontId="0" fillId="9" borderId="8" xfId="0" applyFill="1" applyBorder="1"/>
    <xf numFmtId="165" fontId="3" fillId="9" borderId="8" xfId="0" applyNumberFormat="1" applyFont="1" applyFill="1" applyBorder="1"/>
    <xf numFmtId="10" fontId="3" fillId="9" borderId="8" xfId="0" applyNumberFormat="1" applyFont="1" applyFill="1" applyBorder="1"/>
    <xf numFmtId="0" fontId="0" fillId="9" borderId="9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6" fontId="0" fillId="11" borderId="1" xfId="1" applyNumberFormat="1" applyFont="1" applyFill="1" applyBorder="1" applyAlignment="1">
      <alignment horizontal="center"/>
    </xf>
    <xf numFmtId="164" fontId="0" fillId="9" borderId="5" xfId="1" applyNumberFormat="1" applyFont="1" applyFill="1" applyBorder="1" applyAlignment="1">
      <alignment horizontal="center" wrapText="1"/>
    </xf>
    <xf numFmtId="14" fontId="0" fillId="9" borderId="4" xfId="0" applyNumberFormat="1" applyFill="1" applyBorder="1" applyAlignment="1">
      <alignment horizontal="center" wrapText="1"/>
    </xf>
    <xf numFmtId="2" fontId="0" fillId="9" borderId="6" xfId="0" applyNumberFormat="1" applyFill="1" applyBorder="1" applyAlignment="1">
      <alignment horizontal="center" wrapText="1"/>
    </xf>
    <xf numFmtId="0" fontId="6" fillId="0" borderId="14" xfId="0" applyFont="1" applyBorder="1"/>
    <xf numFmtId="0" fontId="8" fillId="7" borderId="14" xfId="0" applyFont="1" applyFill="1" applyBorder="1" applyAlignment="1">
      <alignment horizontal="center" vertical="center"/>
    </xf>
    <xf numFmtId="0" fontId="6" fillId="0" borderId="15" xfId="0" applyFont="1" applyBorder="1"/>
    <xf numFmtId="0" fontId="7" fillId="4" borderId="16" xfId="0" applyFont="1" applyFill="1" applyBorder="1" applyAlignment="1">
      <alignment horizontal="center" textRotation="90"/>
    </xf>
    <xf numFmtId="0" fontId="7" fillId="5" borderId="16" xfId="0" applyFont="1" applyFill="1" applyBorder="1" applyAlignment="1">
      <alignment horizontal="center" textRotation="90"/>
    </xf>
    <xf numFmtId="0" fontId="7" fillId="6" borderId="16" xfId="0" applyFont="1" applyFill="1" applyBorder="1" applyAlignment="1">
      <alignment horizontal="center" textRotation="90"/>
    </xf>
    <xf numFmtId="0" fontId="7" fillId="7" borderId="16" xfId="0" applyFont="1" applyFill="1" applyBorder="1" applyAlignment="1">
      <alignment horizontal="center" textRotation="90"/>
    </xf>
    <xf numFmtId="0" fontId="7" fillId="7" borderId="17" xfId="0" applyFont="1" applyFill="1" applyBorder="1" applyAlignment="1">
      <alignment horizontal="center" textRotation="90"/>
    </xf>
    <xf numFmtId="0" fontId="6" fillId="0" borderId="18" xfId="0" applyFont="1" applyBorder="1"/>
    <xf numFmtId="10" fontId="8" fillId="7" borderId="19" xfId="0" applyNumberFormat="1" applyFont="1" applyFill="1" applyBorder="1" applyAlignment="1">
      <alignment horizontal="center" vertical="center"/>
    </xf>
    <xf numFmtId="2" fontId="8" fillId="7" borderId="19" xfId="0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6" fillId="0" borderId="20" xfId="0" applyFont="1" applyBorder="1"/>
    <xf numFmtId="166" fontId="8" fillId="7" borderId="21" xfId="1" applyNumberFormat="1" applyFont="1" applyFill="1" applyBorder="1" applyAlignment="1">
      <alignment horizontal="center" vertical="center"/>
    </xf>
    <xf numFmtId="166" fontId="8" fillId="7" borderId="22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2" fontId="0" fillId="3" borderId="0" xfId="0" applyNumberFormat="1" applyFill="1" applyAlignment="1">
      <alignment horizont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2" xfId="0" applyNumberFormat="1" applyFill="1" applyBorder="1"/>
    <xf numFmtId="166" fontId="0" fillId="11" borderId="13" xfId="1" applyNumberFormat="1" applyFont="1" applyFill="1" applyBorder="1" applyAlignment="1">
      <alignment horizontal="center"/>
    </xf>
    <xf numFmtId="166" fontId="0" fillId="3" borderId="3" xfId="1" applyNumberFormat="1" applyFont="1" applyFill="1" applyBorder="1" applyAlignment="1">
      <alignment horizontal="center"/>
    </xf>
    <xf numFmtId="166" fontId="0" fillId="11" borderId="3" xfId="1" applyNumberFormat="1" applyFont="1" applyFill="1" applyBorder="1" applyAlignment="1">
      <alignment horizontal="center"/>
    </xf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3" xfId="0" applyFont="1" applyFill="1" applyBorder="1" applyAlignment="1">
      <alignment horizontal="center" vertical="center"/>
    </xf>
    <xf numFmtId="0" fontId="0" fillId="0" borderId="23" xfId="0" applyBorder="1"/>
    <xf numFmtId="0" fontId="2" fillId="9" borderId="2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3" fillId="12" borderId="1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3" borderId="0" xfId="0" applyFill="1" applyAlignment="1">
      <alignment vertical="center" wrapText="1"/>
    </xf>
    <xf numFmtId="0" fontId="9" fillId="3" borderId="23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World'!$H$2:$H$358</c:f>
              <c:numCache>
                <c:formatCode>0.00</c:formatCode>
                <c:ptCount val="357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7-AF44-80A3-ADA9BEB71218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World'!$I$2:$I$358</c:f>
              <c:numCache>
                <c:formatCode>0.00</c:formatCode>
                <c:ptCount val="357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67-AF44-80A3-ADA9BEB71218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7-AF44-80A3-ADA9BEB71218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World'!$K$2:$K$358</c:f>
              <c:numCache>
                <c:formatCode>0.00</c:formatCode>
                <c:ptCount val="357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67-AF44-80A3-ADA9BEB71218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67-AF44-80A3-ADA9BEB71218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67-AF44-80A3-ADA9BEB71218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67-AF44-80A3-ADA9BEB71218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67-AF44-80A3-ADA9BEB71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0-814D-ACF9-B955F992327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F0-814D-ACF9-B955F9923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World'!$J$2:$J$358</c:f>
              <c:numCache>
                <c:formatCode>0.00</c:formatCode>
                <c:ptCount val="357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9-344E-9B90-4D40480EFF73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World'!$A$2:$A$358</c:f>
              <c:numCache>
                <c:formatCode>mmm\-yy</c:formatCode>
                <c:ptCount val="35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</c:numCache>
            </c:numRef>
          </c:cat>
          <c:val>
            <c:numRef>
              <c:f>'IP World'!$L$2:$L$358</c:f>
              <c:numCache>
                <c:formatCode>0.00</c:formatCode>
                <c:ptCount val="357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9-344E-9B90-4D40480EFF73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World'!$M$2:$M$358</c:f>
              <c:numCache>
                <c:formatCode>0.00</c:formatCode>
                <c:ptCount val="357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9-344E-9B90-4D40480EFF73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World'!$O$2:$O$358</c:f>
              <c:numCache>
                <c:formatCode>0.00</c:formatCode>
                <c:ptCount val="357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29-344E-9B90-4D40480EFF73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World'!$Q$2:$Q$358</c:f>
              <c:numCache>
                <c:formatCode>0.00</c:formatCode>
                <c:ptCount val="357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29-344E-9B90-4D40480EF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country'!$C$5:$C$351</c:f>
              <c:numCache>
                <c:formatCode>0.0%</c:formatCode>
                <c:ptCount val="347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748-A441-8111-4B68736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country'!$D$5:$D$351</c:f>
              <c:numCache>
                <c:formatCode>0.0%</c:formatCode>
                <c:ptCount val="347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3-7148-98CE-4AD31117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country'!$A$5:$A$351</c:f>
              <c:numCache>
                <c:formatCode>mmm\-yy</c:formatCode>
                <c:ptCount val="34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</c:numCache>
            </c:numRef>
          </c:cat>
          <c:val>
            <c:numRef>
              <c:f>'Per country'!$B$5:$B$351</c:f>
              <c:numCache>
                <c:formatCode>0.00</c:formatCode>
                <c:ptCount val="347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C-204A-A83D-5481B0C21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5E2-AD47-9396-CC5BD9094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China!$A$8:$A$363</c:f>
              <c:numCache>
                <c:formatCode>m/d/yy</c:formatCode>
                <c:ptCount val="356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</c:numCache>
            </c:numRef>
          </c:cat>
          <c:val>
            <c:numRef>
              <c:f>China!$B$8:$B$363</c:f>
              <c:numCache>
                <c:formatCode>0.0%</c:formatCode>
                <c:ptCount val="356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D-0345-A84E-6353083E5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308</xdr:row>
      <xdr:rowOff>114301</xdr:rowOff>
    </xdr:from>
    <xdr:to>
      <xdr:col>14</xdr:col>
      <xdr:colOff>390525</xdr:colOff>
      <xdr:row>328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328</xdr:row>
      <xdr:rowOff>180975</xdr:rowOff>
    </xdr:from>
    <xdr:to>
      <xdr:col>12</xdr:col>
      <xdr:colOff>428626</xdr:colOff>
      <xdr:row>346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95249</xdr:colOff>
      <xdr:row>292</xdr:row>
      <xdr:rowOff>104775</xdr:rowOff>
    </xdr:from>
    <xdr:to>
      <xdr:col>14</xdr:col>
      <xdr:colOff>390524</xdr:colOff>
      <xdr:row>308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400050</xdr:colOff>
      <xdr:row>308</xdr:row>
      <xdr:rowOff>104775</xdr:rowOff>
    </xdr:from>
    <xdr:to>
      <xdr:col>24</xdr:col>
      <xdr:colOff>85725</xdr:colOff>
      <xdr:row>328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47624</xdr:rowOff>
    </xdr:from>
    <xdr:to>
      <xdr:col>17</xdr:col>
      <xdr:colOff>16933</xdr:colOff>
      <xdr:row>345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57" totalsRowShown="0" headerRowDxfId="31" dataDxfId="29" headerRowBorderDxfId="30">
  <autoFilter ref="A1:Q357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51" totalsRowShown="0" headerRowDxfId="11" dataDxfId="10">
  <autoFilter ref="A4:D351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63" totalsRowShown="0" headerRowDxfId="5" dataDxfId="3" headerRowBorderDxfId="4">
  <autoFilter ref="A7:C363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/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87" customWidth="1"/>
    <col min="2" max="10" width="12.83203125" style="87" customWidth="1"/>
    <col min="11" max="14" width="9.1640625" style="87" customWidth="1"/>
    <col min="15" max="16" width="19.1640625" style="87" customWidth="1"/>
    <col min="17" max="30" width="9.1640625" style="87" customWidth="1"/>
    <col min="31" max="16384" width="9.1640625" style="87"/>
  </cols>
  <sheetData>
    <row r="1" spans="2:16" x14ac:dyDescent="0.2">
      <c r="B1" s="98"/>
      <c r="C1" s="92"/>
      <c r="D1" s="92"/>
      <c r="E1" s="92"/>
      <c r="F1" s="92"/>
      <c r="G1" s="92"/>
      <c r="H1" s="92"/>
      <c r="I1" s="92"/>
      <c r="J1" s="92"/>
    </row>
    <row r="2" spans="2:16" ht="16" customHeight="1" thickBot="1" x14ac:dyDescent="0.25">
      <c r="B2" s="99"/>
      <c r="C2" s="99"/>
      <c r="D2" s="99"/>
      <c r="E2" s="99"/>
      <c r="F2" s="99"/>
      <c r="G2" s="99"/>
      <c r="H2" s="99"/>
      <c r="I2" s="99"/>
      <c r="J2" s="99"/>
    </row>
    <row r="3" spans="2:16" ht="16" customHeight="1" thickBot="1" x14ac:dyDescent="0.25">
      <c r="B3" s="100" t="s">
        <v>0</v>
      </c>
      <c r="C3" s="101"/>
      <c r="D3" s="101"/>
      <c r="E3" s="101"/>
      <c r="F3" s="101"/>
      <c r="G3" s="101"/>
      <c r="H3" s="101"/>
      <c r="I3" s="101"/>
      <c r="J3" s="102"/>
    </row>
    <row r="5" spans="2:16" x14ac:dyDescent="0.2">
      <c r="B5" s="103" t="s">
        <v>1</v>
      </c>
      <c r="C5" s="104"/>
      <c r="D5" s="104"/>
      <c r="E5" s="104"/>
      <c r="F5" s="104"/>
      <c r="G5" s="104"/>
      <c r="H5" s="104"/>
      <c r="I5" s="104"/>
      <c r="J5" s="105"/>
    </row>
    <row r="7" spans="2:16" ht="63" customHeight="1" x14ac:dyDescent="0.2">
      <c r="B7" s="106" t="s">
        <v>2</v>
      </c>
      <c r="C7" s="92"/>
      <c r="D7" s="92"/>
      <c r="E7" s="92"/>
      <c r="F7" s="92"/>
      <c r="G7" s="92"/>
      <c r="H7" s="92"/>
      <c r="I7" s="92"/>
      <c r="J7" s="92"/>
    </row>
    <row r="8" spans="2:16" ht="33.75" customHeight="1" x14ac:dyDescent="0.2">
      <c r="B8" s="97" t="s">
        <v>3</v>
      </c>
      <c r="C8" s="92"/>
      <c r="D8" s="92"/>
      <c r="E8" s="92"/>
      <c r="F8" s="92"/>
      <c r="G8" s="92"/>
      <c r="H8" s="92"/>
      <c r="I8" s="92"/>
      <c r="J8" s="92"/>
    </row>
    <row r="9" spans="2:16" x14ac:dyDescent="0.2">
      <c r="B9" s="64"/>
      <c r="C9" s="64"/>
      <c r="D9" s="64"/>
      <c r="E9" s="64"/>
    </row>
    <row r="10" spans="2:16" x14ac:dyDescent="0.2">
      <c r="B10" s="103" t="s">
        <v>4</v>
      </c>
      <c r="C10" s="104"/>
      <c r="D10" s="104"/>
      <c r="E10" s="104"/>
      <c r="F10" s="104"/>
      <c r="G10" s="104"/>
      <c r="H10" s="104"/>
      <c r="I10" s="104"/>
      <c r="J10" s="105"/>
    </row>
    <row r="12" spans="2:16" x14ac:dyDescent="0.2">
      <c r="B12" s="103" t="s">
        <v>5</v>
      </c>
      <c r="C12" s="104"/>
      <c r="D12" s="104"/>
      <c r="E12" s="104"/>
      <c r="F12" s="105"/>
      <c r="G12" s="103" t="s">
        <v>6</v>
      </c>
      <c r="H12" s="104"/>
      <c r="I12" s="104"/>
      <c r="J12" s="105"/>
      <c r="O12" s="88" t="s">
        <v>7</v>
      </c>
      <c r="P12" s="88" t="s">
        <v>8</v>
      </c>
    </row>
    <row r="13" spans="2:16" x14ac:dyDescent="0.2">
      <c r="O13" s="65" t="s">
        <v>9</v>
      </c>
      <c r="P13" s="65" t="s">
        <v>10</v>
      </c>
    </row>
    <row r="14" spans="2:16" x14ac:dyDescent="0.2">
      <c r="B14" s="87" t="s">
        <v>3</v>
      </c>
      <c r="G14" s="92" t="s">
        <v>11</v>
      </c>
      <c r="H14" s="92"/>
      <c r="I14" s="92"/>
      <c r="J14" s="92"/>
      <c r="O14" s="65" t="s">
        <v>12</v>
      </c>
      <c r="P14" s="65" t="s">
        <v>13</v>
      </c>
    </row>
    <row r="15" spans="2:16" x14ac:dyDescent="0.2">
      <c r="B15" s="87" t="s">
        <v>14</v>
      </c>
      <c r="G15" s="92" t="s">
        <v>15</v>
      </c>
      <c r="H15" s="92"/>
      <c r="I15" s="92"/>
      <c r="J15" s="92"/>
      <c r="O15" s="65" t="s">
        <v>16</v>
      </c>
      <c r="P15" s="65" t="s">
        <v>17</v>
      </c>
    </row>
    <row r="16" spans="2:16" ht="15.75" customHeight="1" x14ac:dyDescent="0.2">
      <c r="B16" s="87" t="s">
        <v>18</v>
      </c>
      <c r="G16" s="93" t="s">
        <v>19</v>
      </c>
      <c r="H16" s="92"/>
      <c r="I16" s="92"/>
      <c r="J16" s="92"/>
      <c r="O16" s="65" t="s">
        <v>20</v>
      </c>
      <c r="P16" s="65" t="s">
        <v>21</v>
      </c>
    </row>
    <row r="17" spans="2:16" ht="15.75" customHeight="1" x14ac:dyDescent="0.2">
      <c r="B17" s="87" t="s">
        <v>22</v>
      </c>
      <c r="G17" s="93"/>
      <c r="H17" s="92"/>
      <c r="I17" s="92"/>
      <c r="J17" s="92"/>
      <c r="O17" s="65" t="s">
        <v>23</v>
      </c>
      <c r="P17" s="65" t="s">
        <v>24</v>
      </c>
    </row>
    <row r="18" spans="2:16" ht="15.75" customHeight="1" x14ac:dyDescent="0.2">
      <c r="B18" s="87" t="s">
        <v>25</v>
      </c>
      <c r="G18" s="95"/>
      <c r="H18" s="92"/>
      <c r="I18" s="92"/>
      <c r="J18" s="92"/>
      <c r="O18" s="65" t="s">
        <v>26</v>
      </c>
      <c r="P18" s="65" t="s">
        <v>27</v>
      </c>
    </row>
    <row r="19" spans="2:16" ht="15.75" customHeight="1" x14ac:dyDescent="0.2">
      <c r="B19" s="87" t="s">
        <v>28</v>
      </c>
      <c r="G19" s="93"/>
      <c r="H19" s="92"/>
      <c r="I19" s="92"/>
      <c r="J19" s="92"/>
      <c r="O19" s="65" t="s">
        <v>29</v>
      </c>
      <c r="P19" s="65" t="s">
        <v>30</v>
      </c>
    </row>
    <row r="20" spans="2:16" ht="15.75" customHeight="1" x14ac:dyDescent="0.2">
      <c r="G20" s="93"/>
      <c r="H20" s="92"/>
      <c r="I20" s="92"/>
      <c r="J20" s="92"/>
      <c r="O20" s="65" t="s">
        <v>31</v>
      </c>
      <c r="P20" s="65" t="s">
        <v>32</v>
      </c>
    </row>
    <row r="21" spans="2:16" ht="31.5" customHeight="1" x14ac:dyDescent="0.2">
      <c r="B21" s="96" t="s">
        <v>33</v>
      </c>
      <c r="C21" s="92"/>
      <c r="D21" s="92"/>
      <c r="E21" s="92"/>
      <c r="F21" s="92"/>
      <c r="G21" s="93" t="s">
        <v>34</v>
      </c>
      <c r="H21" s="92"/>
      <c r="I21" s="92"/>
      <c r="J21" s="92"/>
      <c r="O21" s="65" t="s">
        <v>35</v>
      </c>
      <c r="P21" s="65" t="s">
        <v>36</v>
      </c>
    </row>
    <row r="22" spans="2:16" ht="15.75" customHeight="1" x14ac:dyDescent="0.2">
      <c r="G22" s="93"/>
      <c r="H22" s="92"/>
      <c r="I22" s="92"/>
      <c r="J22" s="92"/>
      <c r="O22" s="65" t="s">
        <v>37</v>
      </c>
      <c r="P22" s="65" t="s">
        <v>38</v>
      </c>
    </row>
    <row r="23" spans="2:16" ht="15.75" customHeight="1" x14ac:dyDescent="0.2">
      <c r="B23" s="97" t="s">
        <v>39</v>
      </c>
      <c r="C23" s="92"/>
      <c r="D23" s="92"/>
      <c r="E23" s="92"/>
      <c r="F23" s="92"/>
      <c r="G23" s="93" t="s">
        <v>40</v>
      </c>
      <c r="H23" s="92"/>
      <c r="I23" s="92"/>
      <c r="J23" s="92"/>
      <c r="O23" s="65" t="s">
        <v>41</v>
      </c>
      <c r="P23" s="65" t="s">
        <v>42</v>
      </c>
    </row>
    <row r="24" spans="2:16" ht="15.75" customHeight="1" x14ac:dyDescent="0.2">
      <c r="G24" s="93"/>
      <c r="H24" s="92"/>
      <c r="I24" s="92"/>
      <c r="J24" s="92"/>
      <c r="O24" s="65" t="s">
        <v>43</v>
      </c>
      <c r="P24" s="65" t="s">
        <v>44</v>
      </c>
    </row>
    <row r="25" spans="2:16" ht="15.75" customHeight="1" x14ac:dyDescent="0.2">
      <c r="B25" s="10" t="s">
        <v>45</v>
      </c>
      <c r="G25" s="93"/>
      <c r="H25" s="92"/>
      <c r="I25" s="92"/>
      <c r="J25" s="92"/>
      <c r="O25" s="65" t="s">
        <v>46</v>
      </c>
      <c r="P25" s="65" t="s">
        <v>47</v>
      </c>
    </row>
    <row r="26" spans="2:16" ht="15.75" customHeight="1" x14ac:dyDescent="0.2">
      <c r="G26" s="93"/>
      <c r="H26" s="92"/>
      <c r="I26" s="92"/>
      <c r="J26" s="92"/>
      <c r="O26" s="65" t="s">
        <v>48</v>
      </c>
      <c r="P26" s="65" t="s">
        <v>49</v>
      </c>
    </row>
    <row r="27" spans="2:16" ht="15.75" customHeight="1" x14ac:dyDescent="0.2">
      <c r="B27" s="92"/>
      <c r="C27" s="92"/>
      <c r="D27" s="92"/>
      <c r="E27" s="92"/>
      <c r="F27" s="92"/>
      <c r="G27" s="93"/>
      <c r="H27" s="92"/>
      <c r="I27" s="92"/>
      <c r="J27" s="92"/>
      <c r="O27" s="65" t="s">
        <v>50</v>
      </c>
      <c r="P27" s="65" t="s">
        <v>51</v>
      </c>
    </row>
    <row r="28" spans="2:16" x14ac:dyDescent="0.2">
      <c r="O28" s="65" t="s">
        <v>52</v>
      </c>
      <c r="P28" s="65" t="s">
        <v>53</v>
      </c>
    </row>
    <row r="29" spans="2:16" x14ac:dyDescent="0.2">
      <c r="O29" s="65" t="s">
        <v>54</v>
      </c>
      <c r="P29" s="65" t="s">
        <v>55</v>
      </c>
    </row>
    <row r="30" spans="2:16" x14ac:dyDescent="0.2">
      <c r="B30" s="66"/>
      <c r="O30" s="65" t="s">
        <v>56</v>
      </c>
      <c r="P30" s="65" t="s">
        <v>57</v>
      </c>
    </row>
    <row r="31" spans="2:16" ht="33.75" customHeight="1" x14ac:dyDescent="0.2">
      <c r="B31" s="94"/>
      <c r="C31" s="92"/>
      <c r="D31" s="92"/>
      <c r="E31" s="92"/>
      <c r="F31" s="92"/>
      <c r="G31" s="92"/>
      <c r="H31" s="92"/>
      <c r="I31" s="92"/>
      <c r="J31" s="92"/>
      <c r="O31" s="65" t="s">
        <v>58</v>
      </c>
      <c r="P31" s="65" t="s">
        <v>59</v>
      </c>
    </row>
    <row r="32" spans="2:16" x14ac:dyDescent="0.2">
      <c r="B32" s="67"/>
      <c r="O32" s="65" t="s">
        <v>60</v>
      </c>
      <c r="P32" s="65" t="s">
        <v>61</v>
      </c>
    </row>
    <row r="33" spans="15:16" x14ac:dyDescent="0.2">
      <c r="O33" s="65" t="s">
        <v>62</v>
      </c>
      <c r="P33" s="65" t="s">
        <v>63</v>
      </c>
    </row>
    <row r="34" spans="15:16" x14ac:dyDescent="0.2">
      <c r="O34" s="65" t="s">
        <v>64</v>
      </c>
      <c r="P34" s="65" t="s">
        <v>65</v>
      </c>
    </row>
    <row r="35" spans="15:16" x14ac:dyDescent="0.2">
      <c r="O35" s="65" t="s">
        <v>66</v>
      </c>
      <c r="P35" s="65" t="s">
        <v>67</v>
      </c>
    </row>
    <row r="36" spans="15:16" x14ac:dyDescent="0.2">
      <c r="O36" s="65" t="s">
        <v>68</v>
      </c>
      <c r="P36" s="65" t="s">
        <v>69</v>
      </c>
    </row>
    <row r="37" spans="15:16" x14ac:dyDescent="0.2">
      <c r="O37" s="65" t="s">
        <v>70</v>
      </c>
      <c r="P37" s="65" t="s">
        <v>71</v>
      </c>
    </row>
    <row r="38" spans="15:16" x14ac:dyDescent="0.2">
      <c r="O38" s="65" t="s">
        <v>72</v>
      </c>
      <c r="P38" s="65" t="s">
        <v>73</v>
      </c>
    </row>
    <row r="39" spans="15:16" x14ac:dyDescent="0.2">
      <c r="O39" s="65" t="s">
        <v>74</v>
      </c>
      <c r="P39" s="65" t="s">
        <v>75</v>
      </c>
    </row>
    <row r="40" spans="15:16" x14ac:dyDescent="0.2">
      <c r="O40" s="65" t="s">
        <v>76</v>
      </c>
      <c r="P40" s="65" t="s">
        <v>77</v>
      </c>
    </row>
    <row r="41" spans="15:16" x14ac:dyDescent="0.2">
      <c r="O41" s="65" t="s">
        <v>78</v>
      </c>
      <c r="P41" s="65" t="s">
        <v>79</v>
      </c>
    </row>
    <row r="42" spans="15:16" x14ac:dyDescent="0.2">
      <c r="O42" s="65" t="s">
        <v>80</v>
      </c>
      <c r="P42" s="65" t="s">
        <v>81</v>
      </c>
    </row>
    <row r="43" spans="15:16" x14ac:dyDescent="0.2">
      <c r="O43" s="65" t="s">
        <v>82</v>
      </c>
      <c r="P43" s="65" t="s">
        <v>83</v>
      </c>
    </row>
    <row r="44" spans="15:16" x14ac:dyDescent="0.2">
      <c r="O44" s="65" t="s">
        <v>84</v>
      </c>
      <c r="P44" s="65" t="s">
        <v>85</v>
      </c>
    </row>
    <row r="45" spans="15:16" x14ac:dyDescent="0.2">
      <c r="O45" s="65" t="s">
        <v>86</v>
      </c>
      <c r="P45" s="65" t="s">
        <v>87</v>
      </c>
    </row>
    <row r="46" spans="15:16" x14ac:dyDescent="0.2">
      <c r="O46" s="65" t="s">
        <v>88</v>
      </c>
      <c r="P46" s="65" t="s">
        <v>89</v>
      </c>
    </row>
    <row r="47" spans="15:16" x14ac:dyDescent="0.2">
      <c r="O47" s="65" t="s">
        <v>90</v>
      </c>
      <c r="P47" s="65" t="s">
        <v>91</v>
      </c>
    </row>
    <row r="48" spans="15:16" x14ac:dyDescent="0.2">
      <c r="O48" s="65" t="s">
        <v>92</v>
      </c>
      <c r="P48" s="65" t="s">
        <v>93</v>
      </c>
    </row>
    <row r="49" spans="15:16" x14ac:dyDescent="0.2">
      <c r="O49" s="65" t="s">
        <v>94</v>
      </c>
      <c r="P49" s="65" t="s">
        <v>95</v>
      </c>
    </row>
    <row r="50" spans="15:16" x14ac:dyDescent="0.2">
      <c r="O50" s="65" t="s">
        <v>96</v>
      </c>
      <c r="P50" s="65" t="s">
        <v>97</v>
      </c>
    </row>
    <row r="51" spans="15:16" x14ac:dyDescent="0.2">
      <c r="O51" s="65" t="s">
        <v>98</v>
      </c>
      <c r="P51" s="65" t="s">
        <v>99</v>
      </c>
    </row>
    <row r="52" spans="15:16" x14ac:dyDescent="0.2">
      <c r="O52" s="65" t="s">
        <v>100</v>
      </c>
      <c r="P52" s="65" t="s">
        <v>101</v>
      </c>
    </row>
    <row r="53" spans="15:16" x14ac:dyDescent="0.2">
      <c r="O53" s="65" t="s">
        <v>102</v>
      </c>
      <c r="P53" s="65" t="s">
        <v>103</v>
      </c>
    </row>
    <row r="54" spans="15:16" x14ac:dyDescent="0.2">
      <c r="O54" s="65" t="s">
        <v>104</v>
      </c>
      <c r="P54" s="65" t="s">
        <v>105</v>
      </c>
    </row>
    <row r="55" spans="15:16" x14ac:dyDescent="0.2">
      <c r="O55" s="65" t="s">
        <v>106</v>
      </c>
      <c r="P55" s="65" t="s">
        <v>107</v>
      </c>
    </row>
    <row r="56" spans="15:16" x14ac:dyDescent="0.2">
      <c r="O56" s="65" t="s">
        <v>108</v>
      </c>
      <c r="P56" s="65" t="s">
        <v>109</v>
      </c>
    </row>
    <row r="57" spans="15:16" x14ac:dyDescent="0.2">
      <c r="O57" s="65" t="s">
        <v>110</v>
      </c>
      <c r="P57" s="65" t="s">
        <v>111</v>
      </c>
    </row>
    <row r="58" spans="15:16" x14ac:dyDescent="0.2">
      <c r="O58" s="65" t="s">
        <v>112</v>
      </c>
      <c r="P58" s="65" t="s">
        <v>113</v>
      </c>
    </row>
    <row r="59" spans="15:16" x14ac:dyDescent="0.2">
      <c r="O59" s="65" t="s">
        <v>114</v>
      </c>
      <c r="P59" s="65" t="s">
        <v>115</v>
      </c>
    </row>
    <row r="60" spans="15:16" x14ac:dyDescent="0.2">
      <c r="O60" s="65" t="s">
        <v>116</v>
      </c>
      <c r="P60" s="65" t="s">
        <v>117</v>
      </c>
    </row>
    <row r="61" spans="15:16" x14ac:dyDescent="0.2">
      <c r="O61" s="65" t="s">
        <v>118</v>
      </c>
      <c r="P61" s="65" t="s">
        <v>119</v>
      </c>
    </row>
    <row r="62" spans="15:16" x14ac:dyDescent="0.2">
      <c r="O62" s="65" t="s">
        <v>120</v>
      </c>
      <c r="P62" s="65" t="s">
        <v>121</v>
      </c>
    </row>
    <row r="63" spans="15:16" x14ac:dyDescent="0.2">
      <c r="O63" s="65" t="s">
        <v>122</v>
      </c>
      <c r="P63" s="65" t="s">
        <v>123</v>
      </c>
    </row>
    <row r="64" spans="15:16" x14ac:dyDescent="0.2">
      <c r="O64" s="65" t="s">
        <v>124</v>
      </c>
      <c r="P64" s="65" t="s">
        <v>125</v>
      </c>
    </row>
    <row r="65" spans="15:16" x14ac:dyDescent="0.2">
      <c r="O65" s="65" t="s">
        <v>126</v>
      </c>
      <c r="P65" s="65" t="s">
        <v>127</v>
      </c>
    </row>
    <row r="66" spans="15:16" x14ac:dyDescent="0.2">
      <c r="O66" s="65" t="s">
        <v>128</v>
      </c>
      <c r="P66" s="65" t="s">
        <v>129</v>
      </c>
    </row>
    <row r="67" spans="15:16" x14ac:dyDescent="0.2">
      <c r="O67" s="65" t="s">
        <v>130</v>
      </c>
      <c r="P67" s="65" t="s">
        <v>131</v>
      </c>
    </row>
    <row r="68" spans="15:16" x14ac:dyDescent="0.2">
      <c r="O68" s="65" t="s">
        <v>132</v>
      </c>
      <c r="P68" s="65" t="s">
        <v>133</v>
      </c>
    </row>
    <row r="69" spans="15:16" x14ac:dyDescent="0.2">
      <c r="O69" s="65" t="s">
        <v>134</v>
      </c>
      <c r="P69" s="65" t="s">
        <v>135</v>
      </c>
    </row>
    <row r="70" spans="15:16" x14ac:dyDescent="0.2">
      <c r="O70" s="65" t="s">
        <v>136</v>
      </c>
      <c r="P70" s="65" t="s">
        <v>137</v>
      </c>
    </row>
    <row r="71" spans="15:16" x14ac:dyDescent="0.2">
      <c r="O71" s="65" t="s">
        <v>138</v>
      </c>
      <c r="P71" s="65" t="s">
        <v>139</v>
      </c>
    </row>
    <row r="72" spans="15:16" x14ac:dyDescent="0.2">
      <c r="O72" s="65" t="s">
        <v>140</v>
      </c>
      <c r="P72" s="65" t="s">
        <v>141</v>
      </c>
    </row>
    <row r="73" spans="15:16" x14ac:dyDescent="0.2">
      <c r="O73" s="65" t="s">
        <v>142</v>
      </c>
      <c r="P73" s="65" t="s">
        <v>143</v>
      </c>
    </row>
    <row r="74" spans="15:16" x14ac:dyDescent="0.2">
      <c r="O74" s="65" t="s">
        <v>144</v>
      </c>
      <c r="P74" s="65" t="s">
        <v>145</v>
      </c>
    </row>
    <row r="75" spans="15:16" x14ac:dyDescent="0.2">
      <c r="O75" s="65" t="s">
        <v>146</v>
      </c>
      <c r="P75" s="65" t="s">
        <v>147</v>
      </c>
    </row>
    <row r="76" spans="15:16" x14ac:dyDescent="0.2">
      <c r="O76" s="65" t="s">
        <v>148</v>
      </c>
      <c r="P76" s="65" t="s">
        <v>149</v>
      </c>
    </row>
    <row r="77" spans="15:16" x14ac:dyDescent="0.2">
      <c r="O77" s="65" t="s">
        <v>150</v>
      </c>
      <c r="P77" s="65" t="s">
        <v>151</v>
      </c>
    </row>
    <row r="78" spans="15:16" x14ac:dyDescent="0.2">
      <c r="O78" s="65" t="s">
        <v>152</v>
      </c>
      <c r="P78" s="65" t="s">
        <v>153</v>
      </c>
    </row>
    <row r="79" spans="15:16" x14ac:dyDescent="0.2">
      <c r="O79" s="65" t="s">
        <v>154</v>
      </c>
      <c r="P79" s="65" t="s">
        <v>155</v>
      </c>
    </row>
    <row r="80" spans="15:16" x14ac:dyDescent="0.2">
      <c r="O80" s="65" t="s">
        <v>156</v>
      </c>
      <c r="P80" s="65" t="s">
        <v>157</v>
      </c>
    </row>
    <row r="81" spans="15:16" x14ac:dyDescent="0.2">
      <c r="O81" s="65" t="s">
        <v>158</v>
      </c>
      <c r="P81" s="65" t="s">
        <v>159</v>
      </c>
    </row>
    <row r="82" spans="15:16" x14ac:dyDescent="0.2">
      <c r="O82" s="65" t="s">
        <v>160</v>
      </c>
      <c r="P82" s="65" t="s">
        <v>161</v>
      </c>
    </row>
    <row r="83" spans="15:16" x14ac:dyDescent="0.2">
      <c r="O83" s="65" t="s">
        <v>162</v>
      </c>
      <c r="P83" s="65" t="s">
        <v>163</v>
      </c>
    </row>
    <row r="84" spans="15:16" x14ac:dyDescent="0.2">
      <c r="O84" s="65" t="s">
        <v>164</v>
      </c>
      <c r="P84" s="65" t="s">
        <v>165</v>
      </c>
    </row>
    <row r="85" spans="15:16" x14ac:dyDescent="0.2">
      <c r="O85" s="65" t="s">
        <v>166</v>
      </c>
      <c r="P85" s="65" t="s">
        <v>167</v>
      </c>
    </row>
    <row r="86" spans="15:16" x14ac:dyDescent="0.2">
      <c r="O86" s="65" t="s">
        <v>168</v>
      </c>
      <c r="P86" s="65" t="s">
        <v>169</v>
      </c>
    </row>
    <row r="87" spans="15:16" x14ac:dyDescent="0.2">
      <c r="O87" s="65" t="s">
        <v>170</v>
      </c>
      <c r="P87" s="65" t="s">
        <v>171</v>
      </c>
    </row>
    <row r="88" spans="15:16" x14ac:dyDescent="0.2">
      <c r="O88" s="65" t="s">
        <v>172</v>
      </c>
      <c r="P88" s="65" t="s">
        <v>173</v>
      </c>
    </row>
    <row r="89" spans="15:16" x14ac:dyDescent="0.2">
      <c r="O89" s="65" t="s">
        <v>174</v>
      </c>
      <c r="P89" s="65" t="s">
        <v>175</v>
      </c>
    </row>
    <row r="90" spans="15:16" x14ac:dyDescent="0.2">
      <c r="O90" s="65" t="s">
        <v>176</v>
      </c>
      <c r="P90" s="65" t="s">
        <v>177</v>
      </c>
    </row>
    <row r="91" spans="15:16" x14ac:dyDescent="0.2">
      <c r="O91" s="65" t="s">
        <v>178</v>
      </c>
      <c r="P91" s="65" t="s">
        <v>179</v>
      </c>
    </row>
    <row r="92" spans="15:16" x14ac:dyDescent="0.2">
      <c r="O92" s="65" t="s">
        <v>180</v>
      </c>
      <c r="P92" s="65" t="s">
        <v>181</v>
      </c>
    </row>
    <row r="93" spans="15:16" x14ac:dyDescent="0.2">
      <c r="O93" s="65" t="s">
        <v>182</v>
      </c>
      <c r="P93" s="65" t="s">
        <v>183</v>
      </c>
    </row>
    <row r="94" spans="15:16" x14ac:dyDescent="0.2">
      <c r="O94" s="65" t="s">
        <v>184</v>
      </c>
      <c r="P94" s="65" t="s">
        <v>185</v>
      </c>
    </row>
    <row r="95" spans="15:16" x14ac:dyDescent="0.2">
      <c r="O95" s="65" t="s">
        <v>186</v>
      </c>
      <c r="P95" s="65" t="s">
        <v>187</v>
      </c>
    </row>
    <row r="96" spans="15:16" x14ac:dyDescent="0.2">
      <c r="O96" s="65" t="s">
        <v>188</v>
      </c>
      <c r="P96" s="65" t="s">
        <v>189</v>
      </c>
    </row>
    <row r="97" spans="15:16" x14ac:dyDescent="0.2">
      <c r="O97" s="65" t="s">
        <v>190</v>
      </c>
      <c r="P97" s="65" t="s">
        <v>191</v>
      </c>
    </row>
    <row r="98" spans="15:16" x14ac:dyDescent="0.2">
      <c r="O98" s="65" t="s">
        <v>192</v>
      </c>
      <c r="P98" s="65" t="s">
        <v>193</v>
      </c>
    </row>
    <row r="99" spans="15:16" x14ac:dyDescent="0.2">
      <c r="O99" s="65" t="s">
        <v>194</v>
      </c>
      <c r="P99" s="65" t="s">
        <v>195</v>
      </c>
    </row>
    <row r="100" spans="15:16" x14ac:dyDescent="0.2">
      <c r="O100" s="65" t="s">
        <v>196</v>
      </c>
      <c r="P100" s="65" t="s">
        <v>197</v>
      </c>
    </row>
    <row r="101" spans="15:16" x14ac:dyDescent="0.2">
      <c r="O101" s="65" t="s">
        <v>198</v>
      </c>
      <c r="P101" s="65" t="s">
        <v>199</v>
      </c>
    </row>
    <row r="102" spans="15:16" x14ac:dyDescent="0.2">
      <c r="O102" s="65" t="s">
        <v>200</v>
      </c>
      <c r="P102" s="65" t="s">
        <v>201</v>
      </c>
    </row>
    <row r="103" spans="15:16" x14ac:dyDescent="0.2">
      <c r="O103" s="65" t="s">
        <v>202</v>
      </c>
      <c r="P103" s="65" t="s">
        <v>203</v>
      </c>
    </row>
    <row r="104" spans="15:16" x14ac:dyDescent="0.2">
      <c r="O104" s="65" t="s">
        <v>204</v>
      </c>
      <c r="P104" s="65" t="s">
        <v>205</v>
      </c>
    </row>
    <row r="105" spans="15:16" x14ac:dyDescent="0.2">
      <c r="O105" s="65" t="s">
        <v>206</v>
      </c>
      <c r="P105" s="65" t="s">
        <v>207</v>
      </c>
    </row>
    <row r="106" spans="15:16" x14ac:dyDescent="0.2">
      <c r="O106" s="65" t="s">
        <v>208</v>
      </c>
      <c r="P106" s="65" t="s">
        <v>209</v>
      </c>
    </row>
    <row r="107" spans="15:16" x14ac:dyDescent="0.2">
      <c r="O107" s="65" t="s">
        <v>210</v>
      </c>
      <c r="P107" s="65" t="s">
        <v>211</v>
      </c>
    </row>
    <row r="108" spans="15:16" x14ac:dyDescent="0.2">
      <c r="O108" s="65" t="s">
        <v>212</v>
      </c>
      <c r="P108" s="65" t="s">
        <v>213</v>
      </c>
    </row>
    <row r="109" spans="15:16" x14ac:dyDescent="0.2">
      <c r="O109" s="65" t="s">
        <v>214</v>
      </c>
      <c r="P109" s="65" t="s">
        <v>215</v>
      </c>
    </row>
    <row r="110" spans="15:16" x14ac:dyDescent="0.2">
      <c r="O110" s="65" t="s">
        <v>216</v>
      </c>
      <c r="P110" s="65" t="s">
        <v>217</v>
      </c>
    </row>
    <row r="111" spans="15:16" x14ac:dyDescent="0.2">
      <c r="O111" s="65" t="s">
        <v>218</v>
      </c>
      <c r="P111" s="65" t="s">
        <v>219</v>
      </c>
    </row>
    <row r="112" spans="15:16" x14ac:dyDescent="0.2">
      <c r="O112" s="65" t="s">
        <v>220</v>
      </c>
      <c r="P112" s="65" t="s">
        <v>221</v>
      </c>
    </row>
    <row r="113" spans="15:16" x14ac:dyDescent="0.2">
      <c r="O113" s="65" t="s">
        <v>222</v>
      </c>
      <c r="P113" s="65" t="s">
        <v>223</v>
      </c>
    </row>
    <row r="114" spans="15:16" x14ac:dyDescent="0.2">
      <c r="O114" s="65" t="s">
        <v>224</v>
      </c>
      <c r="P114" s="65" t="s">
        <v>225</v>
      </c>
    </row>
    <row r="115" spans="15:16" x14ac:dyDescent="0.2">
      <c r="O115" s="65" t="s">
        <v>226</v>
      </c>
      <c r="P115" s="65" t="s">
        <v>227</v>
      </c>
    </row>
    <row r="116" spans="15:16" x14ac:dyDescent="0.2">
      <c r="O116" s="65" t="s">
        <v>228</v>
      </c>
      <c r="P116" s="65" t="s">
        <v>229</v>
      </c>
    </row>
    <row r="117" spans="15:16" x14ac:dyDescent="0.2">
      <c r="O117" s="65" t="s">
        <v>230</v>
      </c>
      <c r="P117" s="65" t="s">
        <v>231</v>
      </c>
    </row>
    <row r="118" spans="15:16" x14ac:dyDescent="0.2">
      <c r="O118" s="65" t="s">
        <v>232</v>
      </c>
      <c r="P118" s="65" t="s">
        <v>233</v>
      </c>
    </row>
    <row r="119" spans="15:16" x14ac:dyDescent="0.2">
      <c r="O119" s="65" t="s">
        <v>234</v>
      </c>
      <c r="P119" s="65" t="s">
        <v>235</v>
      </c>
    </row>
    <row r="120" spans="15:16" x14ac:dyDescent="0.2">
      <c r="O120" s="65" t="s">
        <v>236</v>
      </c>
      <c r="P120" s="65" t="s">
        <v>237</v>
      </c>
    </row>
    <row r="121" spans="15:16" x14ac:dyDescent="0.2">
      <c r="O121" s="65" t="s">
        <v>238</v>
      </c>
      <c r="P121" s="65" t="s">
        <v>239</v>
      </c>
    </row>
    <row r="122" spans="15:16" x14ac:dyDescent="0.2">
      <c r="O122" s="65" t="s">
        <v>240</v>
      </c>
      <c r="P122" s="65" t="s">
        <v>241</v>
      </c>
    </row>
    <row r="123" spans="15:16" x14ac:dyDescent="0.2">
      <c r="O123" s="65" t="s">
        <v>242</v>
      </c>
      <c r="P123" s="65" t="s">
        <v>243</v>
      </c>
    </row>
    <row r="124" spans="15:16" x14ac:dyDescent="0.2">
      <c r="O124" s="65" t="s">
        <v>244</v>
      </c>
      <c r="P124" s="65" t="s">
        <v>245</v>
      </c>
    </row>
    <row r="125" spans="15:16" x14ac:dyDescent="0.2">
      <c r="O125" s="65" t="s">
        <v>246</v>
      </c>
      <c r="P125" s="65" t="s">
        <v>247</v>
      </c>
    </row>
    <row r="126" spans="15:16" x14ac:dyDescent="0.2">
      <c r="O126" s="65" t="s">
        <v>248</v>
      </c>
      <c r="P126" s="65" t="s">
        <v>249</v>
      </c>
    </row>
    <row r="127" spans="15:16" x14ac:dyDescent="0.2">
      <c r="O127" s="65" t="s">
        <v>250</v>
      </c>
      <c r="P127" s="65" t="s">
        <v>251</v>
      </c>
    </row>
    <row r="128" spans="15:16" x14ac:dyDescent="0.2">
      <c r="O128" s="65" t="s">
        <v>252</v>
      </c>
      <c r="P128" s="65" t="s">
        <v>253</v>
      </c>
    </row>
    <row r="129" spans="15:16" x14ac:dyDescent="0.2">
      <c r="O129" s="65" t="s">
        <v>254</v>
      </c>
      <c r="P129" s="65" t="s">
        <v>255</v>
      </c>
    </row>
    <row r="130" spans="15:16" x14ac:dyDescent="0.2">
      <c r="O130" s="65" t="s">
        <v>256</v>
      </c>
      <c r="P130" s="65" t="s">
        <v>257</v>
      </c>
    </row>
    <row r="131" spans="15:16" x14ac:dyDescent="0.2">
      <c r="O131" s="65" t="s">
        <v>258</v>
      </c>
      <c r="P131" s="65" t="s">
        <v>259</v>
      </c>
    </row>
    <row r="132" spans="15:16" x14ac:dyDescent="0.2">
      <c r="O132" s="65" t="s">
        <v>260</v>
      </c>
      <c r="P132" s="65" t="s">
        <v>261</v>
      </c>
    </row>
    <row r="133" spans="15:16" x14ac:dyDescent="0.2">
      <c r="O133" s="65" t="s">
        <v>262</v>
      </c>
      <c r="P133" s="65" t="s">
        <v>263</v>
      </c>
    </row>
    <row r="134" spans="15:16" x14ac:dyDescent="0.2">
      <c r="O134" s="65" t="s">
        <v>264</v>
      </c>
      <c r="P134" s="65" t="s">
        <v>265</v>
      </c>
    </row>
    <row r="135" spans="15:16" x14ac:dyDescent="0.2">
      <c r="O135" s="65" t="s">
        <v>266</v>
      </c>
      <c r="P135" s="65" t="s">
        <v>267</v>
      </c>
    </row>
    <row r="136" spans="15:16" x14ac:dyDescent="0.2">
      <c r="O136" s="65" t="s">
        <v>268</v>
      </c>
      <c r="P136" s="65" t="s">
        <v>269</v>
      </c>
    </row>
    <row r="137" spans="15:16" x14ac:dyDescent="0.2">
      <c r="O137" s="65" t="s">
        <v>270</v>
      </c>
      <c r="P137" s="65" t="s">
        <v>271</v>
      </c>
    </row>
    <row r="138" spans="15:16" x14ac:dyDescent="0.2">
      <c r="O138" s="65" t="s">
        <v>272</v>
      </c>
      <c r="P138" s="65" t="s">
        <v>273</v>
      </c>
    </row>
    <row r="139" spans="15:16" x14ac:dyDescent="0.2">
      <c r="O139" s="65" t="s">
        <v>274</v>
      </c>
      <c r="P139" s="65" t="s">
        <v>275</v>
      </c>
    </row>
    <row r="140" spans="15:16" x14ac:dyDescent="0.2">
      <c r="O140" s="65" t="s">
        <v>276</v>
      </c>
      <c r="P140" s="65" t="s">
        <v>277</v>
      </c>
    </row>
    <row r="141" spans="15:16" x14ac:dyDescent="0.2">
      <c r="O141" s="65" t="s">
        <v>278</v>
      </c>
      <c r="P141" s="65" t="s">
        <v>279</v>
      </c>
    </row>
    <row r="142" spans="15:16" x14ac:dyDescent="0.2">
      <c r="O142" s="65" t="s">
        <v>280</v>
      </c>
      <c r="P142" s="65" t="s">
        <v>281</v>
      </c>
    </row>
    <row r="143" spans="15:16" x14ac:dyDescent="0.2">
      <c r="O143" s="65" t="s">
        <v>282</v>
      </c>
      <c r="P143" s="65" t="s">
        <v>283</v>
      </c>
    </row>
    <row r="144" spans="15:16" x14ac:dyDescent="0.2">
      <c r="O144" s="65" t="s">
        <v>284</v>
      </c>
      <c r="P144" s="65" t="s">
        <v>285</v>
      </c>
    </row>
    <row r="145" spans="15:16" x14ac:dyDescent="0.2">
      <c r="O145" s="65" t="s">
        <v>286</v>
      </c>
      <c r="P145" s="65" t="s">
        <v>287</v>
      </c>
    </row>
    <row r="146" spans="15:16" x14ac:dyDescent="0.2">
      <c r="O146" s="65" t="s">
        <v>288</v>
      </c>
      <c r="P146" s="65" t="s">
        <v>289</v>
      </c>
    </row>
    <row r="147" spans="15:16" x14ac:dyDescent="0.2">
      <c r="O147" s="65" t="s">
        <v>290</v>
      </c>
      <c r="P147" s="65" t="s">
        <v>291</v>
      </c>
    </row>
    <row r="148" spans="15:16" x14ac:dyDescent="0.2">
      <c r="O148" s="65" t="s">
        <v>292</v>
      </c>
      <c r="P148" s="65" t="s">
        <v>293</v>
      </c>
    </row>
    <row r="149" spans="15:16" x14ac:dyDescent="0.2">
      <c r="O149" s="65" t="s">
        <v>294</v>
      </c>
      <c r="P149" s="65" t="s">
        <v>295</v>
      </c>
    </row>
    <row r="150" spans="15:16" x14ac:dyDescent="0.2">
      <c r="O150" s="65" t="s">
        <v>296</v>
      </c>
      <c r="P150" s="65" t="s">
        <v>297</v>
      </c>
    </row>
    <row r="151" spans="15:16" x14ac:dyDescent="0.2">
      <c r="O151" s="65" t="s">
        <v>298</v>
      </c>
      <c r="P151" s="65" t="s">
        <v>299</v>
      </c>
    </row>
    <row r="152" spans="15:16" x14ac:dyDescent="0.2">
      <c r="O152" s="65" t="s">
        <v>300</v>
      </c>
      <c r="P152" s="65" t="s">
        <v>301</v>
      </c>
    </row>
    <row r="153" spans="15:16" x14ac:dyDescent="0.2">
      <c r="O153" s="65" t="s">
        <v>302</v>
      </c>
      <c r="P153" s="65" t="s">
        <v>303</v>
      </c>
    </row>
    <row r="154" spans="15:16" x14ac:dyDescent="0.2">
      <c r="O154" s="65" t="s">
        <v>304</v>
      </c>
      <c r="P154" s="65" t="s">
        <v>305</v>
      </c>
    </row>
    <row r="155" spans="15:16" x14ac:dyDescent="0.2">
      <c r="O155" s="65" t="s">
        <v>306</v>
      </c>
      <c r="P155" s="65" t="s">
        <v>307</v>
      </c>
    </row>
    <row r="156" spans="15:16" x14ac:dyDescent="0.2">
      <c r="O156" s="65" t="s">
        <v>308</v>
      </c>
      <c r="P156" s="65" t="s">
        <v>309</v>
      </c>
    </row>
    <row r="157" spans="15:16" x14ac:dyDescent="0.2">
      <c r="O157" s="65" t="s">
        <v>310</v>
      </c>
      <c r="P157" s="65" t="s">
        <v>311</v>
      </c>
    </row>
    <row r="158" spans="15:16" x14ac:dyDescent="0.2">
      <c r="O158" s="65" t="s">
        <v>312</v>
      </c>
      <c r="P158" s="65" t="s">
        <v>313</v>
      </c>
    </row>
    <row r="159" spans="15:16" x14ac:dyDescent="0.2">
      <c r="O159" s="65" t="s">
        <v>314</v>
      </c>
      <c r="P159" s="65" t="s">
        <v>315</v>
      </c>
    </row>
    <row r="160" spans="15:16" x14ac:dyDescent="0.2">
      <c r="O160" s="65" t="s">
        <v>316</v>
      </c>
      <c r="P160" s="65" t="s">
        <v>317</v>
      </c>
    </row>
    <row r="161" spans="15:16" x14ac:dyDescent="0.2">
      <c r="O161" s="65" t="s">
        <v>318</v>
      </c>
      <c r="P161" s="65" t="s">
        <v>319</v>
      </c>
    </row>
    <row r="162" spans="15:16" x14ac:dyDescent="0.2">
      <c r="O162" s="65" t="s">
        <v>320</v>
      </c>
      <c r="P162" s="65" t="s">
        <v>321</v>
      </c>
    </row>
    <row r="163" spans="15:16" x14ac:dyDescent="0.2">
      <c r="O163" s="65" t="s">
        <v>322</v>
      </c>
      <c r="P163" s="65" t="s">
        <v>323</v>
      </c>
    </row>
    <row r="164" spans="15:16" x14ac:dyDescent="0.2">
      <c r="O164" s="65" t="s">
        <v>324</v>
      </c>
      <c r="P164" s="65" t="s">
        <v>325</v>
      </c>
    </row>
    <row r="165" spans="15:16" x14ac:dyDescent="0.2">
      <c r="O165" s="65" t="s">
        <v>326</v>
      </c>
      <c r="P165" s="65" t="s">
        <v>327</v>
      </c>
    </row>
    <row r="166" spans="15:16" x14ac:dyDescent="0.2">
      <c r="O166" s="65" t="s">
        <v>328</v>
      </c>
      <c r="P166" s="65" t="s">
        <v>329</v>
      </c>
    </row>
    <row r="167" spans="15:16" x14ac:dyDescent="0.2">
      <c r="O167" s="65" t="s">
        <v>330</v>
      </c>
      <c r="P167" s="65" t="s">
        <v>331</v>
      </c>
    </row>
    <row r="168" spans="15:16" x14ac:dyDescent="0.2">
      <c r="O168" s="65" t="s">
        <v>332</v>
      </c>
      <c r="P168" s="65" t="s">
        <v>333</v>
      </c>
    </row>
    <row r="169" spans="15:16" x14ac:dyDescent="0.2">
      <c r="O169" s="65" t="s">
        <v>334</v>
      </c>
      <c r="P169" s="65" t="s">
        <v>335</v>
      </c>
    </row>
    <row r="170" spans="15:16" x14ac:dyDescent="0.2">
      <c r="O170" s="65" t="s">
        <v>336</v>
      </c>
      <c r="P170" s="65" t="s">
        <v>337</v>
      </c>
    </row>
    <row r="171" spans="15:16" x14ac:dyDescent="0.2">
      <c r="O171" s="65" t="s">
        <v>338</v>
      </c>
      <c r="P171" s="65" t="s">
        <v>339</v>
      </c>
    </row>
    <row r="172" spans="15:16" x14ac:dyDescent="0.2">
      <c r="O172" s="65" t="s">
        <v>340</v>
      </c>
      <c r="P172" s="65" t="s">
        <v>341</v>
      </c>
    </row>
    <row r="173" spans="15:16" x14ac:dyDescent="0.2">
      <c r="O173" s="65" t="s">
        <v>342</v>
      </c>
      <c r="P173" s="65" t="s">
        <v>343</v>
      </c>
    </row>
    <row r="174" spans="15:16" x14ac:dyDescent="0.2">
      <c r="O174" s="65" t="s">
        <v>344</v>
      </c>
      <c r="P174" s="65" t="s">
        <v>345</v>
      </c>
    </row>
    <row r="175" spans="15:16" x14ac:dyDescent="0.2">
      <c r="O175" s="65" t="s">
        <v>346</v>
      </c>
      <c r="P175" s="65" t="s">
        <v>347</v>
      </c>
    </row>
    <row r="176" spans="15:16" x14ac:dyDescent="0.2">
      <c r="O176" s="65" t="s">
        <v>348</v>
      </c>
      <c r="P176" s="65" t="s">
        <v>349</v>
      </c>
    </row>
    <row r="177" spans="15:16" x14ac:dyDescent="0.2">
      <c r="O177" s="65" t="s">
        <v>350</v>
      </c>
      <c r="P177" s="65" t="s">
        <v>351</v>
      </c>
    </row>
    <row r="178" spans="15:16" x14ac:dyDescent="0.2">
      <c r="O178" s="65" t="s">
        <v>352</v>
      </c>
      <c r="P178" s="65" t="s">
        <v>353</v>
      </c>
    </row>
    <row r="179" spans="15:16" x14ac:dyDescent="0.2">
      <c r="O179" s="65" t="s">
        <v>354</v>
      </c>
      <c r="P179" s="65" t="s">
        <v>355</v>
      </c>
    </row>
    <row r="180" spans="15:16" x14ac:dyDescent="0.2">
      <c r="O180" s="65" t="s">
        <v>356</v>
      </c>
      <c r="P180" s="65" t="s">
        <v>357</v>
      </c>
    </row>
    <row r="181" spans="15:16" x14ac:dyDescent="0.2">
      <c r="O181" s="65" t="s">
        <v>358</v>
      </c>
      <c r="P181" s="65" t="s">
        <v>359</v>
      </c>
    </row>
    <row r="182" spans="15:16" x14ac:dyDescent="0.2">
      <c r="O182" s="65" t="s">
        <v>360</v>
      </c>
      <c r="P182" s="65" t="s">
        <v>361</v>
      </c>
    </row>
    <row r="183" spans="15:16" x14ac:dyDescent="0.2">
      <c r="O183" s="65" t="s">
        <v>362</v>
      </c>
      <c r="P183" s="65" t="s">
        <v>363</v>
      </c>
    </row>
    <row r="184" spans="15:16" x14ac:dyDescent="0.2">
      <c r="O184" s="65" t="s">
        <v>364</v>
      </c>
      <c r="P184" s="65" t="s">
        <v>365</v>
      </c>
    </row>
    <row r="185" spans="15:16" x14ac:dyDescent="0.2">
      <c r="O185" s="65" t="s">
        <v>366</v>
      </c>
      <c r="P185" s="65" t="s">
        <v>367</v>
      </c>
    </row>
    <row r="186" spans="15:16" x14ac:dyDescent="0.2">
      <c r="O186" s="65" t="s">
        <v>368</v>
      </c>
      <c r="P186" s="65" t="s">
        <v>369</v>
      </c>
    </row>
    <row r="187" spans="15:16" x14ac:dyDescent="0.2">
      <c r="O187" s="65" t="s">
        <v>370</v>
      </c>
      <c r="P187" s="65" t="s">
        <v>371</v>
      </c>
    </row>
    <row r="188" spans="15:16" x14ac:dyDescent="0.2">
      <c r="O188" s="65" t="s">
        <v>372</v>
      </c>
      <c r="P188" s="65" t="s">
        <v>373</v>
      </c>
    </row>
    <row r="189" spans="15:16" x14ac:dyDescent="0.2">
      <c r="O189" s="65" t="s">
        <v>374</v>
      </c>
      <c r="P189" s="65" t="s">
        <v>375</v>
      </c>
    </row>
    <row r="190" spans="15:16" x14ac:dyDescent="0.2">
      <c r="O190" s="65" t="s">
        <v>376</v>
      </c>
      <c r="P190" s="65" t="s">
        <v>377</v>
      </c>
    </row>
    <row r="191" spans="15:16" x14ac:dyDescent="0.2">
      <c r="O191" s="65" t="s">
        <v>378</v>
      </c>
      <c r="P191" s="65" t="s">
        <v>379</v>
      </c>
    </row>
    <row r="192" spans="15:16" x14ac:dyDescent="0.2">
      <c r="O192" s="65" t="s">
        <v>380</v>
      </c>
      <c r="P192" s="65" t="s">
        <v>381</v>
      </c>
    </row>
    <row r="193" spans="15:16" x14ac:dyDescent="0.2">
      <c r="O193" s="65" t="s">
        <v>382</v>
      </c>
      <c r="P193" s="65" t="s">
        <v>383</v>
      </c>
    </row>
    <row r="194" spans="15:16" x14ac:dyDescent="0.2">
      <c r="O194" s="65" t="s">
        <v>384</v>
      </c>
      <c r="P194" s="65" t="s">
        <v>385</v>
      </c>
    </row>
    <row r="195" spans="15:16" x14ac:dyDescent="0.2">
      <c r="O195" s="65" t="s">
        <v>386</v>
      </c>
      <c r="P195" s="65" t="s">
        <v>387</v>
      </c>
    </row>
    <row r="196" spans="15:16" x14ac:dyDescent="0.2">
      <c r="O196" s="65" t="s">
        <v>388</v>
      </c>
      <c r="P196" s="65" t="s">
        <v>389</v>
      </c>
    </row>
    <row r="197" spans="15:16" x14ac:dyDescent="0.2">
      <c r="O197" s="65" t="s">
        <v>390</v>
      </c>
      <c r="P197" s="65" t="s">
        <v>391</v>
      </c>
    </row>
    <row r="198" spans="15:16" x14ac:dyDescent="0.2">
      <c r="O198" s="65" t="s">
        <v>392</v>
      </c>
      <c r="P198" s="65" t="s">
        <v>393</v>
      </c>
    </row>
    <row r="199" spans="15:16" x14ac:dyDescent="0.2">
      <c r="O199" s="65" t="s">
        <v>394</v>
      </c>
      <c r="P199" s="65" t="s">
        <v>395</v>
      </c>
    </row>
    <row r="200" spans="15:16" x14ac:dyDescent="0.2">
      <c r="O200" s="65" t="s">
        <v>396</v>
      </c>
      <c r="P200" s="65" t="s">
        <v>397</v>
      </c>
    </row>
    <row r="201" spans="15:16" x14ac:dyDescent="0.2">
      <c r="O201" s="65" t="s">
        <v>398</v>
      </c>
      <c r="P201" s="65" t="s">
        <v>399</v>
      </c>
    </row>
    <row r="202" spans="15:16" x14ac:dyDescent="0.2">
      <c r="O202" s="65" t="s">
        <v>400</v>
      </c>
      <c r="P202" s="65" t="s">
        <v>401</v>
      </c>
    </row>
    <row r="203" spans="15:16" x14ac:dyDescent="0.2">
      <c r="O203" s="65" t="s">
        <v>402</v>
      </c>
      <c r="P203" s="65" t="s">
        <v>403</v>
      </c>
    </row>
    <row r="204" spans="15:16" x14ac:dyDescent="0.2">
      <c r="O204" s="65" t="s">
        <v>404</v>
      </c>
      <c r="P204" s="65" t="s">
        <v>405</v>
      </c>
    </row>
    <row r="205" spans="15:16" x14ac:dyDescent="0.2">
      <c r="O205" s="65" t="s">
        <v>406</v>
      </c>
      <c r="P205" s="65" t="s">
        <v>407</v>
      </c>
    </row>
    <row r="206" spans="15:16" x14ac:dyDescent="0.2">
      <c r="O206" s="65" t="s">
        <v>408</v>
      </c>
      <c r="P206" s="65" t="s">
        <v>409</v>
      </c>
    </row>
    <row r="207" spans="15:16" x14ac:dyDescent="0.2">
      <c r="O207" s="65" t="s">
        <v>410</v>
      </c>
      <c r="P207" s="65" t="s">
        <v>411</v>
      </c>
    </row>
    <row r="208" spans="15:16" x14ac:dyDescent="0.2">
      <c r="O208" s="65" t="s">
        <v>412</v>
      </c>
      <c r="P208" s="65" t="s">
        <v>413</v>
      </c>
    </row>
    <row r="209" spans="15:16" x14ac:dyDescent="0.2">
      <c r="O209" s="65" t="s">
        <v>414</v>
      </c>
      <c r="P209" s="65" t="s">
        <v>415</v>
      </c>
    </row>
    <row r="210" spans="15:16" x14ac:dyDescent="0.2">
      <c r="O210" s="65" t="s">
        <v>416</v>
      </c>
      <c r="P210" s="65" t="s">
        <v>417</v>
      </c>
    </row>
    <row r="211" spans="15:16" x14ac:dyDescent="0.2">
      <c r="O211" s="65" t="s">
        <v>418</v>
      </c>
      <c r="P211" s="65" t="s">
        <v>419</v>
      </c>
    </row>
    <row r="212" spans="15:16" x14ac:dyDescent="0.2">
      <c r="O212" s="65" t="s">
        <v>420</v>
      </c>
      <c r="P212" s="65" t="s">
        <v>421</v>
      </c>
    </row>
    <row r="213" spans="15:16" x14ac:dyDescent="0.2">
      <c r="O213" s="65" t="s">
        <v>422</v>
      </c>
      <c r="P213" s="65" t="s">
        <v>423</v>
      </c>
    </row>
    <row r="214" spans="15:16" x14ac:dyDescent="0.2">
      <c r="O214" s="65" t="s">
        <v>424</v>
      </c>
      <c r="P214" s="65" t="s">
        <v>425</v>
      </c>
    </row>
    <row r="215" spans="15:16" x14ac:dyDescent="0.2">
      <c r="O215" s="65" t="s">
        <v>426</v>
      </c>
      <c r="P215" s="65" t="s">
        <v>427</v>
      </c>
    </row>
    <row r="216" spans="15:16" x14ac:dyDescent="0.2">
      <c r="O216" s="65" t="s">
        <v>428</v>
      </c>
      <c r="P216" s="65" t="s">
        <v>427</v>
      </c>
    </row>
    <row r="217" spans="15:16" x14ac:dyDescent="0.2">
      <c r="O217" s="65" t="s">
        <v>429</v>
      </c>
      <c r="P217" s="65" t="s">
        <v>430</v>
      </c>
    </row>
    <row r="218" spans="15:16" x14ac:dyDescent="0.2">
      <c r="O218" s="65" t="s">
        <v>431</v>
      </c>
      <c r="P218" s="65" t="s">
        <v>432</v>
      </c>
    </row>
    <row r="219" spans="15:16" x14ac:dyDescent="0.2">
      <c r="O219" s="65" t="s">
        <v>433</v>
      </c>
      <c r="P219" s="65" t="s">
        <v>434</v>
      </c>
    </row>
    <row r="220" spans="15:16" x14ac:dyDescent="0.2">
      <c r="O220" s="65" t="s">
        <v>435</v>
      </c>
      <c r="P220" s="65" t="s">
        <v>436</v>
      </c>
    </row>
    <row r="221" spans="15:16" x14ac:dyDescent="0.2">
      <c r="O221" s="65" t="s">
        <v>437</v>
      </c>
      <c r="P221" s="65" t="s">
        <v>438</v>
      </c>
    </row>
    <row r="222" spans="15:16" x14ac:dyDescent="0.2">
      <c r="O222" s="65" t="s">
        <v>439</v>
      </c>
      <c r="P222" s="65" t="s">
        <v>440</v>
      </c>
    </row>
    <row r="223" spans="15:16" x14ac:dyDescent="0.2">
      <c r="O223" s="65" t="s">
        <v>441</v>
      </c>
      <c r="P223" s="65" t="s">
        <v>442</v>
      </c>
    </row>
    <row r="224" spans="15:16" x14ac:dyDescent="0.2">
      <c r="O224" s="65" t="s">
        <v>443</v>
      </c>
      <c r="P224" s="65" t="s">
        <v>444</v>
      </c>
    </row>
    <row r="225" spans="15:16" x14ac:dyDescent="0.2">
      <c r="O225" s="65" t="s">
        <v>445</v>
      </c>
      <c r="P225" s="65" t="s">
        <v>446</v>
      </c>
    </row>
    <row r="226" spans="15:16" x14ac:dyDescent="0.2">
      <c r="O226" s="65" t="s">
        <v>447</v>
      </c>
      <c r="P226" s="65" t="s">
        <v>448</v>
      </c>
    </row>
    <row r="227" spans="15:16" x14ac:dyDescent="0.2">
      <c r="O227" s="65" t="s">
        <v>449</v>
      </c>
      <c r="P227" s="65" t="s">
        <v>450</v>
      </c>
    </row>
    <row r="228" spans="15:16" x14ac:dyDescent="0.2">
      <c r="O228" s="65" t="s">
        <v>451</v>
      </c>
      <c r="P228" s="65" t="s">
        <v>452</v>
      </c>
    </row>
    <row r="229" spans="15:16" x14ac:dyDescent="0.2">
      <c r="O229" s="65" t="s">
        <v>453</v>
      </c>
      <c r="P229" s="65" t="s">
        <v>454</v>
      </c>
    </row>
    <row r="230" spans="15:16" x14ac:dyDescent="0.2">
      <c r="O230" s="65" t="s">
        <v>455</v>
      </c>
      <c r="P230" s="65" t="s">
        <v>456</v>
      </c>
    </row>
    <row r="231" spans="15:16" x14ac:dyDescent="0.2">
      <c r="O231" s="65" t="s">
        <v>457</v>
      </c>
      <c r="P231" s="65" t="s">
        <v>458</v>
      </c>
    </row>
    <row r="232" spans="15:16" x14ac:dyDescent="0.2">
      <c r="O232" s="65" t="s">
        <v>459</v>
      </c>
      <c r="P232" s="65" t="s">
        <v>460</v>
      </c>
    </row>
    <row r="233" spans="15:16" x14ac:dyDescent="0.2">
      <c r="O233" s="65" t="s">
        <v>461</v>
      </c>
      <c r="P233" s="65" t="s">
        <v>462</v>
      </c>
    </row>
    <row r="234" spans="15:16" x14ac:dyDescent="0.2">
      <c r="O234" s="65" t="s">
        <v>463</v>
      </c>
      <c r="P234" s="65" t="s">
        <v>464</v>
      </c>
    </row>
    <row r="235" spans="15:16" x14ac:dyDescent="0.2">
      <c r="O235" s="65" t="s">
        <v>465</v>
      </c>
      <c r="P235" s="65" t="s">
        <v>466</v>
      </c>
    </row>
    <row r="236" spans="15:16" x14ac:dyDescent="0.2">
      <c r="O236" s="65" t="s">
        <v>467</v>
      </c>
      <c r="P236" s="65" t="s">
        <v>468</v>
      </c>
    </row>
    <row r="237" spans="15:16" x14ac:dyDescent="0.2">
      <c r="O237" s="65" t="s">
        <v>469</v>
      </c>
      <c r="P237" s="65" t="s">
        <v>470</v>
      </c>
    </row>
    <row r="238" spans="15:16" x14ac:dyDescent="0.2">
      <c r="O238" s="65" t="s">
        <v>471</v>
      </c>
      <c r="P238" s="65" t="s">
        <v>472</v>
      </c>
    </row>
    <row r="239" spans="15:16" x14ac:dyDescent="0.2">
      <c r="O239" s="65" t="s">
        <v>473</v>
      </c>
      <c r="P239" s="65" t="s">
        <v>474</v>
      </c>
    </row>
    <row r="240" spans="15:16" x14ac:dyDescent="0.2">
      <c r="O240" s="65" t="s">
        <v>475</v>
      </c>
      <c r="P240" s="65" t="s">
        <v>476</v>
      </c>
    </row>
    <row r="241" spans="15:16" x14ac:dyDescent="0.2">
      <c r="O241" s="65" t="s">
        <v>477</v>
      </c>
      <c r="P241" s="65" t="s">
        <v>478</v>
      </c>
    </row>
    <row r="242" spans="15:16" x14ac:dyDescent="0.2">
      <c r="O242" s="65" t="s">
        <v>479</v>
      </c>
      <c r="P242" s="65" t="s">
        <v>480</v>
      </c>
    </row>
    <row r="243" spans="15:16" x14ac:dyDescent="0.2">
      <c r="O243" s="65" t="s">
        <v>481</v>
      </c>
      <c r="P243" s="65" t="s">
        <v>482</v>
      </c>
    </row>
    <row r="244" spans="15:16" x14ac:dyDescent="0.2">
      <c r="O244" s="65" t="s">
        <v>483</v>
      </c>
      <c r="P244" s="65" t="s">
        <v>484</v>
      </c>
    </row>
    <row r="245" spans="15:16" x14ac:dyDescent="0.2">
      <c r="O245" s="65" t="s">
        <v>485</v>
      </c>
      <c r="P245" s="65" t="s">
        <v>486</v>
      </c>
    </row>
    <row r="246" spans="15:16" x14ac:dyDescent="0.2">
      <c r="O246" s="65" t="s">
        <v>487</v>
      </c>
      <c r="P246" s="65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1:M221"/>
  <sheetViews>
    <sheetView showGridLines="0" topLeftCell="A4" zoomScale="150" zoomScaleNormal="150" workbookViewId="0">
      <selection activeCell="AW1" sqref="AW1"/>
    </sheetView>
  </sheetViews>
  <sheetFormatPr baseColWidth="10" defaultColWidth="9.1640625" defaultRowHeight="15" x14ac:dyDescent="0.2"/>
  <cols>
    <col min="1" max="1" width="9.1640625" style="87" customWidth="1"/>
    <col min="2" max="2" width="2.1640625" style="87" customWidth="1"/>
    <col min="3" max="3" width="27.33203125" style="87" customWidth="1"/>
    <col min="4" max="6" width="32.6640625" style="89" customWidth="1"/>
    <col min="7" max="20" width="9.1640625" style="87" customWidth="1"/>
    <col min="21" max="16384" width="9.1640625" style="87"/>
  </cols>
  <sheetData>
    <row r="1" spans="2:6" x14ac:dyDescent="0.2">
      <c r="B1" s="107" t="s">
        <v>45</v>
      </c>
      <c r="C1" s="92"/>
      <c r="D1" s="108"/>
      <c r="E1" s="108"/>
      <c r="F1" s="108"/>
    </row>
    <row r="2" spans="2:6" ht="16" customHeight="1" thickBot="1" x14ac:dyDescent="0.25">
      <c r="B2" s="99"/>
      <c r="C2" s="99"/>
      <c r="D2" s="99"/>
      <c r="E2" s="99"/>
      <c r="F2" s="99"/>
    </row>
    <row r="3" spans="2:6" ht="16" customHeight="1" thickBot="1" x14ac:dyDescent="0.25">
      <c r="B3" s="100" t="s">
        <v>0</v>
      </c>
      <c r="C3" s="101"/>
      <c r="D3" s="101"/>
      <c r="E3" s="101"/>
      <c r="F3" s="102"/>
    </row>
    <row r="7" spans="2:6" ht="20" customHeight="1" x14ac:dyDescent="0.2">
      <c r="D7" s="69" t="s">
        <v>489</v>
      </c>
      <c r="E7" s="69" t="s">
        <v>490</v>
      </c>
      <c r="F7" s="69" t="s">
        <v>491</v>
      </c>
    </row>
    <row r="8" spans="2:6" ht="19" customHeight="1" x14ac:dyDescent="0.25">
      <c r="C8" s="70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data'!$A$2:$B$114,2,)</f>
        <v>5.3</v>
      </c>
    </row>
    <row r="9" spans="2:6" ht="19" customHeight="1" x14ac:dyDescent="0.25">
      <c r="C9" s="70" t="s">
        <v>492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data'!$A$2:$B$114,2,)</f>
        <v>3.3</v>
      </c>
    </row>
    <row r="10" spans="2:6" ht="19" customHeight="1" x14ac:dyDescent="0.25">
      <c r="C10" s="70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data'!$A$2:$B$114,2,)</f>
        <v>3.8</v>
      </c>
    </row>
    <row r="11" spans="2:6" ht="19" customHeight="1" x14ac:dyDescent="0.25">
      <c r="C11" s="70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data'!$A$2:$B$114,2,)</f>
        <v>-4.0999999999999996</v>
      </c>
    </row>
    <row r="12" spans="2:6" ht="19" customHeight="1" x14ac:dyDescent="0.25">
      <c r="C12" s="70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data'!$A$2:$B$114,2,)</f>
        <v>-0.6</v>
      </c>
    </row>
    <row r="13" spans="2:6" ht="19" customHeight="1" x14ac:dyDescent="0.25">
      <c r="C13" s="70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data'!$A$2:$B$114,2,)</f>
        <v>1.4</v>
      </c>
    </row>
    <row r="14" spans="2:6" ht="19" customHeight="1" x14ac:dyDescent="0.25">
      <c r="C14" s="70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data'!$A$2:$B$114,2,)</f>
        <v>3.2</v>
      </c>
    </row>
    <row r="15" spans="2:6" ht="19" customHeight="1" x14ac:dyDescent="0.25">
      <c r="C15" s="70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data'!$A$2:$B$114,2,)</f>
        <v>0.8</v>
      </c>
    </row>
    <row r="16" spans="2:6" ht="19" customHeight="1" x14ac:dyDescent="0.25">
      <c r="C16" s="70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data'!$A$2:$B$114,2,)</f>
        <v>-7.8</v>
      </c>
    </row>
    <row r="17" spans="3:13" ht="19" customHeight="1" x14ac:dyDescent="0.25">
      <c r="C17" s="70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data'!$A$2:$B$114,2,)</f>
        <v>2</v>
      </c>
    </row>
    <row r="18" spans="3:13" ht="19" customHeight="1" x14ac:dyDescent="0.25">
      <c r="C18" s="70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data'!$A$2:$B$114,2,)</f>
        <v>3.89</v>
      </c>
    </row>
    <row r="19" spans="3:13" ht="19" customHeight="1" x14ac:dyDescent="0.25">
      <c r="C19" s="70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data'!$A$2:$B$114,2,)</f>
        <v>7</v>
      </c>
    </row>
    <row r="20" spans="3:13" ht="19" customHeight="1" x14ac:dyDescent="0.25">
      <c r="C20" s="70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data'!$A$2:$B$114,2,)</f>
        <v>4.5</v>
      </c>
    </row>
    <row r="21" spans="3:13" ht="19" customHeight="1" x14ac:dyDescent="0.25">
      <c r="C21" s="70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data'!$A$2:$B$114,2,)</f>
        <v>0.8</v>
      </c>
    </row>
    <row r="22" spans="3:13" ht="19" customHeight="1" x14ac:dyDescent="0.25">
      <c r="C22" s="70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data'!$A$2:$B$114,2,)</f>
        <v>-0.9</v>
      </c>
    </row>
    <row r="23" spans="3:13" ht="19" customHeight="1" x14ac:dyDescent="0.25">
      <c r="C23" s="70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data'!$A$2:$B$114,2,)</f>
        <v>0.7</v>
      </c>
    </row>
    <row r="24" spans="3:13" ht="19" customHeight="1" x14ac:dyDescent="0.25">
      <c r="C24" s="70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data'!$A$2:$B$114,2,)</f>
        <v>2.35</v>
      </c>
    </row>
    <row r="25" spans="3:13" ht="19" customHeight="1" x14ac:dyDescent="0.25">
      <c r="C25" s="70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data'!$A$2:$B$114,2,)</f>
        <v>8.5</v>
      </c>
    </row>
    <row r="26" spans="3:13" ht="19" customHeight="1" x14ac:dyDescent="0.25">
      <c r="C26" s="70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data'!$A$2:$B$114,2,)</f>
        <v>10.5</v>
      </c>
    </row>
    <row r="28" spans="3:13" x14ac:dyDescent="0.2">
      <c r="C28" s="66" t="s">
        <v>493</v>
      </c>
      <c r="D28" s="90">
        <f>SUM('Data World GDP'!$B$2:$B$182)</f>
        <v>97762</v>
      </c>
      <c r="E28" s="77"/>
      <c r="F28" s="77"/>
    </row>
    <row r="29" spans="3:13" x14ac:dyDescent="0.2">
      <c r="C29" s="66" t="s">
        <v>494</v>
      </c>
      <c r="D29" s="87">
        <f>D28-VLOOKUP("Euro Area",'Data World GDP'!$A$2:$B$182,2,)</f>
        <v>84751</v>
      </c>
    </row>
    <row r="30" spans="3:13" x14ac:dyDescent="0.2">
      <c r="C30" s="109"/>
      <c r="D30" s="110"/>
      <c r="E30" s="108"/>
      <c r="F30" s="108"/>
      <c r="G30" s="92"/>
      <c r="H30" s="92"/>
      <c r="I30" s="92"/>
      <c r="J30" s="92"/>
      <c r="K30" s="92"/>
      <c r="L30" s="92"/>
      <c r="M30" s="92"/>
    </row>
    <row r="31" spans="3:13" x14ac:dyDescent="0.2">
      <c r="C31" s="92"/>
      <c r="D31" s="108"/>
      <c r="E31" s="108"/>
      <c r="F31" s="108"/>
      <c r="G31" s="92"/>
      <c r="H31" s="92"/>
      <c r="I31" s="92"/>
      <c r="J31" s="92"/>
      <c r="K31" s="92"/>
      <c r="L31" s="92"/>
      <c r="M31" s="92"/>
    </row>
    <row r="92" spans="6:6" x14ac:dyDescent="0.2">
      <c r="F92" s="78"/>
    </row>
    <row r="94" spans="6:6" x14ac:dyDescent="0.2">
      <c r="F94" s="79"/>
    </row>
    <row r="96" spans="6:6" x14ac:dyDescent="0.2">
      <c r="F96" s="79"/>
    </row>
    <row r="97" spans="6:12" x14ac:dyDescent="0.2">
      <c r="F97" s="79"/>
      <c r="G97" s="79"/>
      <c r="J97" s="79"/>
      <c r="K97" s="79"/>
      <c r="L97" s="79"/>
    </row>
    <row r="101" spans="6:12" x14ac:dyDescent="0.2">
      <c r="F101" s="78"/>
    </row>
    <row r="103" spans="6:12" x14ac:dyDescent="0.2">
      <c r="F103" s="79"/>
    </row>
    <row r="104" spans="6:12" x14ac:dyDescent="0.2">
      <c r="F104" s="79"/>
    </row>
    <row r="108" spans="6:12" x14ac:dyDescent="0.2">
      <c r="F108" s="79"/>
      <c r="G108" s="79"/>
    </row>
    <row r="111" spans="6:12" x14ac:dyDescent="0.2">
      <c r="F111" s="78"/>
    </row>
    <row r="112" spans="6:12" x14ac:dyDescent="0.2">
      <c r="F112" s="79"/>
    </row>
    <row r="113" spans="6:7" x14ac:dyDescent="0.2">
      <c r="F113" s="79"/>
    </row>
    <row r="120" spans="6:7" x14ac:dyDescent="0.2">
      <c r="F120" s="79"/>
    </row>
    <row r="123" spans="6:7" x14ac:dyDescent="0.2">
      <c r="F123" s="79"/>
      <c r="G123" s="79"/>
    </row>
    <row r="124" spans="6:7" x14ac:dyDescent="0.2">
      <c r="F124" s="79"/>
    </row>
    <row r="126" spans="6:7" x14ac:dyDescent="0.2">
      <c r="F126" s="78"/>
    </row>
    <row r="132" spans="6:6" x14ac:dyDescent="0.2">
      <c r="F132" s="79"/>
    </row>
    <row r="134" spans="6:6" x14ac:dyDescent="0.2">
      <c r="F134" s="79"/>
    </row>
    <row r="139" spans="6:6" x14ac:dyDescent="0.2">
      <c r="F139" s="79"/>
    </row>
    <row r="141" spans="6:6" x14ac:dyDescent="0.2">
      <c r="F141" s="79"/>
    </row>
    <row r="144" spans="6:6" x14ac:dyDescent="0.2">
      <c r="F144" s="79"/>
    </row>
    <row r="145" spans="6:11" x14ac:dyDescent="0.2">
      <c r="F145" s="78"/>
    </row>
    <row r="147" spans="6:11" x14ac:dyDescent="0.2">
      <c r="F147" s="78"/>
    </row>
    <row r="148" spans="6:11" x14ac:dyDescent="0.2">
      <c r="F148" s="79"/>
    </row>
    <row r="149" spans="6:11" x14ac:dyDescent="0.2">
      <c r="F149" s="79"/>
    </row>
    <row r="150" spans="6:11" x14ac:dyDescent="0.2">
      <c r="F150" s="79"/>
    </row>
    <row r="151" spans="6:11" x14ac:dyDescent="0.2">
      <c r="F151" s="79"/>
    </row>
    <row r="152" spans="6:11" x14ac:dyDescent="0.2">
      <c r="F152" s="79"/>
      <c r="K152" s="79"/>
    </row>
    <row r="153" spans="6:11" x14ac:dyDescent="0.2">
      <c r="F153" s="79"/>
    </row>
    <row r="155" spans="6:11" x14ac:dyDescent="0.2">
      <c r="F155" s="79"/>
    </row>
    <row r="156" spans="6:11" x14ac:dyDescent="0.2">
      <c r="F156" s="79"/>
    </row>
    <row r="157" spans="6:11" x14ac:dyDescent="0.2">
      <c r="F157" s="79"/>
    </row>
    <row r="159" spans="6:11" x14ac:dyDescent="0.2">
      <c r="F159" s="79"/>
      <c r="G159" s="79"/>
    </row>
    <row r="162" spans="6:7" x14ac:dyDescent="0.2">
      <c r="F162" s="79"/>
    </row>
    <row r="167" spans="6:7" x14ac:dyDescent="0.2">
      <c r="F167" s="79"/>
      <c r="G167" s="78"/>
    </row>
    <row r="169" spans="6:7" x14ac:dyDescent="0.2">
      <c r="F169" s="79"/>
    </row>
    <row r="170" spans="6:7" x14ac:dyDescent="0.2">
      <c r="F170" s="79"/>
    </row>
    <row r="176" spans="6:7" x14ac:dyDescent="0.2">
      <c r="F176" s="79"/>
    </row>
    <row r="177" spans="5:12" x14ac:dyDescent="0.2">
      <c r="F177" s="79"/>
    </row>
    <row r="178" spans="5:12" x14ac:dyDescent="0.2">
      <c r="F178" s="79"/>
    </row>
    <row r="179" spans="5:12" x14ac:dyDescent="0.2">
      <c r="F179" s="79"/>
    </row>
    <row r="181" spans="5:12" x14ac:dyDescent="0.2">
      <c r="E181" s="78"/>
      <c r="F181" s="79"/>
      <c r="J181" s="79"/>
      <c r="K181" s="79"/>
      <c r="L181" s="79"/>
    </row>
    <row r="182" spans="5:12" x14ac:dyDescent="0.2">
      <c r="F182" s="79"/>
    </row>
    <row r="183" spans="5:12" x14ac:dyDescent="0.2">
      <c r="F183" s="79"/>
    </row>
    <row r="184" spans="5:12" x14ac:dyDescent="0.2">
      <c r="F184" s="79"/>
      <c r="G184" s="79"/>
      <c r="K184" s="78"/>
    </row>
    <row r="185" spans="5:12" x14ac:dyDescent="0.2">
      <c r="F185" s="79"/>
    </row>
    <row r="186" spans="5:12" x14ac:dyDescent="0.2">
      <c r="F186" s="79"/>
    </row>
    <row r="187" spans="5:12" x14ac:dyDescent="0.2">
      <c r="F187" s="79"/>
      <c r="G187" s="79"/>
      <c r="H187" s="79"/>
      <c r="I187" s="79"/>
      <c r="J187" s="79"/>
      <c r="K187" s="79"/>
      <c r="L187" s="79"/>
    </row>
    <row r="188" spans="5:12" x14ac:dyDescent="0.2">
      <c r="F188" s="79"/>
      <c r="G188" s="79"/>
      <c r="I188" s="78"/>
      <c r="J188" s="79"/>
      <c r="K188" s="79"/>
      <c r="L188" s="79"/>
    </row>
    <row r="189" spans="5:12" x14ac:dyDescent="0.2">
      <c r="F189" s="79"/>
      <c r="G189" s="79"/>
    </row>
    <row r="190" spans="5:12" x14ac:dyDescent="0.2">
      <c r="F190" s="79"/>
      <c r="G190" s="79"/>
    </row>
    <row r="191" spans="5:12" x14ac:dyDescent="0.2">
      <c r="F191" s="79"/>
      <c r="J191" s="78"/>
      <c r="K191" s="78"/>
    </row>
    <row r="192" spans="5:12" x14ac:dyDescent="0.2">
      <c r="F192" s="79"/>
      <c r="G192" s="79"/>
    </row>
    <row r="193" spans="6:12" x14ac:dyDescent="0.2">
      <c r="F193" s="79"/>
      <c r="G193" s="79"/>
      <c r="I193" s="79"/>
      <c r="J193" s="79"/>
      <c r="K193" s="79"/>
      <c r="L193" s="79"/>
    </row>
    <row r="194" spans="6:12" x14ac:dyDescent="0.2">
      <c r="F194" s="79"/>
    </row>
    <row r="195" spans="6:12" x14ac:dyDescent="0.2">
      <c r="F195" s="79"/>
    </row>
    <row r="196" spans="6:12" x14ac:dyDescent="0.2">
      <c r="F196" s="79"/>
    </row>
    <row r="197" spans="6:12" x14ac:dyDescent="0.2">
      <c r="F197" s="79"/>
    </row>
    <row r="198" spans="6:12" x14ac:dyDescent="0.2">
      <c r="F198" s="79"/>
    </row>
    <row r="199" spans="6:12" x14ac:dyDescent="0.2">
      <c r="F199" s="79"/>
    </row>
    <row r="200" spans="6:12" x14ac:dyDescent="0.2">
      <c r="F200" s="79"/>
    </row>
    <row r="201" spans="6:12" x14ac:dyDescent="0.2">
      <c r="F201" s="79"/>
    </row>
    <row r="202" spans="6:12" x14ac:dyDescent="0.2">
      <c r="F202" s="79"/>
    </row>
    <row r="203" spans="6:12" x14ac:dyDescent="0.2">
      <c r="F203" s="78"/>
    </row>
    <row r="204" spans="6:12" x14ac:dyDescent="0.2">
      <c r="F204" s="79"/>
    </row>
    <row r="205" spans="6:12" x14ac:dyDescent="0.2">
      <c r="F205" s="79"/>
    </row>
    <row r="206" spans="6:12" x14ac:dyDescent="0.2">
      <c r="F206" s="79"/>
      <c r="G206" s="79"/>
      <c r="K206" s="79"/>
    </row>
    <row r="207" spans="6:12" x14ac:dyDescent="0.2">
      <c r="F207" s="79"/>
    </row>
    <row r="208" spans="6:12" x14ac:dyDescent="0.2">
      <c r="F208" s="79"/>
    </row>
    <row r="209" spans="5:12" x14ac:dyDescent="0.2">
      <c r="F209" s="79"/>
    </row>
    <row r="211" spans="5:12" x14ac:dyDescent="0.2">
      <c r="F211" s="79"/>
      <c r="G211" s="78"/>
      <c r="J211" s="79"/>
      <c r="K211" s="79"/>
      <c r="L211" s="79"/>
    </row>
    <row r="212" spans="5:12" x14ac:dyDescent="0.2">
      <c r="F212" s="79"/>
    </row>
    <row r="213" spans="5:12" x14ac:dyDescent="0.2">
      <c r="E213" s="77"/>
      <c r="F213" s="77"/>
    </row>
    <row r="214" spans="5:12" x14ac:dyDescent="0.2">
      <c r="E214" s="77"/>
      <c r="F214" s="77"/>
    </row>
    <row r="215" spans="5:12" x14ac:dyDescent="0.2">
      <c r="E215" s="77"/>
      <c r="F215" s="77"/>
    </row>
    <row r="216" spans="5:12" x14ac:dyDescent="0.2">
      <c r="E216" s="77"/>
      <c r="F216" s="77"/>
    </row>
    <row r="217" spans="5:12" x14ac:dyDescent="0.2">
      <c r="E217" s="77"/>
      <c r="F217" s="77"/>
    </row>
    <row r="218" spans="5:12" x14ac:dyDescent="0.2">
      <c r="E218" s="77"/>
      <c r="F218" s="77"/>
    </row>
    <row r="219" spans="5:12" x14ac:dyDescent="0.2">
      <c r="E219" s="77"/>
      <c r="F219" s="77"/>
    </row>
    <row r="220" spans="5:12" x14ac:dyDescent="0.2">
      <c r="E220" s="77"/>
      <c r="F220" s="77"/>
    </row>
    <row r="221" spans="5:12" x14ac:dyDescent="0.2">
      <c r="E221" s="77"/>
      <c r="F221" s="77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6"/>
  <sheetViews>
    <sheetView topLeftCell="A64" zoomScale="174" zoomScaleNormal="174" workbookViewId="0">
      <selection activeCell="K10" sqref="K10"/>
    </sheetView>
  </sheetViews>
  <sheetFormatPr baseColWidth="10" defaultColWidth="9.1640625" defaultRowHeight="15" x14ac:dyDescent="0.2"/>
  <cols>
    <col min="1" max="1" width="29.6640625" style="87" customWidth="1"/>
    <col min="2" max="2" width="15.33203125" style="87" customWidth="1"/>
    <col min="3" max="3" width="17.1640625" style="87" customWidth="1"/>
    <col min="4" max="5" width="15.33203125" style="87" customWidth="1"/>
    <col min="6" max="18" width="9.1640625" style="87" customWidth="1"/>
    <col min="19" max="16384" width="9.1640625" style="87"/>
  </cols>
  <sheetData>
    <row r="1" spans="1:5" ht="20" customHeight="1" x14ac:dyDescent="0.2">
      <c r="A1" t="s">
        <v>8</v>
      </c>
      <c r="B1" t="s">
        <v>495</v>
      </c>
      <c r="C1" t="s">
        <v>496</v>
      </c>
      <c r="D1" t="s">
        <v>497</v>
      </c>
      <c r="E1" t="s">
        <v>498</v>
      </c>
    </row>
    <row r="2" spans="1:5" x14ac:dyDescent="0.2">
      <c r="A2" t="s">
        <v>137</v>
      </c>
      <c r="B2">
        <v>11.6</v>
      </c>
      <c r="C2" t="s">
        <v>499</v>
      </c>
      <c r="D2">
        <v>0.4</v>
      </c>
      <c r="E2" t="s">
        <v>500</v>
      </c>
    </row>
    <row r="3" spans="1:5" x14ac:dyDescent="0.2">
      <c r="A3" t="s">
        <v>21</v>
      </c>
      <c r="B3">
        <v>3</v>
      </c>
      <c r="C3" t="s">
        <v>499</v>
      </c>
      <c r="D3">
        <v>-3.94</v>
      </c>
      <c r="E3" t="s">
        <v>500</v>
      </c>
    </row>
    <row r="4" spans="1:5" x14ac:dyDescent="0.2">
      <c r="A4" t="s">
        <v>38</v>
      </c>
      <c r="B4">
        <v>4.3</v>
      </c>
      <c r="C4" t="s">
        <v>501</v>
      </c>
      <c r="D4">
        <v>10.1</v>
      </c>
      <c r="E4" t="s">
        <v>500</v>
      </c>
    </row>
    <row r="5" spans="1:5" x14ac:dyDescent="0.2">
      <c r="A5" t="s">
        <v>436</v>
      </c>
      <c r="B5">
        <v>3.9</v>
      </c>
      <c r="C5" t="s">
        <v>501</v>
      </c>
      <c r="D5">
        <v>-1.2</v>
      </c>
      <c r="E5" t="s">
        <v>500</v>
      </c>
    </row>
    <row r="6" spans="1:5" x14ac:dyDescent="0.2">
      <c r="A6" t="s">
        <v>49</v>
      </c>
      <c r="B6">
        <v>0.8</v>
      </c>
      <c r="C6" t="s">
        <v>499</v>
      </c>
      <c r="D6">
        <v>-1.7</v>
      </c>
      <c r="E6" t="s">
        <v>500</v>
      </c>
    </row>
    <row r="7" spans="1:5" x14ac:dyDescent="0.2">
      <c r="A7" t="s">
        <v>51</v>
      </c>
      <c r="B7">
        <v>3.3</v>
      </c>
      <c r="C7" t="s">
        <v>501</v>
      </c>
      <c r="D7">
        <v>5</v>
      </c>
      <c r="E7" t="s">
        <v>500</v>
      </c>
    </row>
    <row r="8" spans="1:5" x14ac:dyDescent="0.2">
      <c r="A8" t="s">
        <v>502</v>
      </c>
      <c r="B8">
        <v>4.5</v>
      </c>
      <c r="C8" t="s">
        <v>503</v>
      </c>
      <c r="D8">
        <v>2.6</v>
      </c>
      <c r="E8" t="s">
        <v>500</v>
      </c>
    </row>
    <row r="9" spans="1:5" x14ac:dyDescent="0.2">
      <c r="A9" t="s">
        <v>440</v>
      </c>
      <c r="B9">
        <v>6.7</v>
      </c>
      <c r="C9" t="s">
        <v>504</v>
      </c>
      <c r="D9">
        <v>7.1</v>
      </c>
      <c r="E9" t="s">
        <v>500</v>
      </c>
    </row>
    <row r="10" spans="1:5" x14ac:dyDescent="0.2">
      <c r="A10" t="s">
        <v>55</v>
      </c>
      <c r="B10">
        <v>10.9</v>
      </c>
      <c r="C10" t="s">
        <v>501</v>
      </c>
      <c r="D10">
        <v>18.100000000000001</v>
      </c>
      <c r="E10" t="s">
        <v>500</v>
      </c>
    </row>
    <row r="11" spans="1:5" x14ac:dyDescent="0.2">
      <c r="A11" t="s">
        <v>57</v>
      </c>
      <c r="B11">
        <v>38.6</v>
      </c>
      <c r="C11" t="s">
        <v>499</v>
      </c>
      <c r="D11">
        <v>3</v>
      </c>
      <c r="E11" t="s">
        <v>500</v>
      </c>
    </row>
    <row r="12" spans="1:5" x14ac:dyDescent="0.2">
      <c r="A12" t="s">
        <v>505</v>
      </c>
      <c r="B12">
        <v>8.1999999999999993</v>
      </c>
      <c r="C12" t="s">
        <v>501</v>
      </c>
      <c r="D12">
        <v>9.3000000000000007</v>
      </c>
      <c r="E12" t="s">
        <v>500</v>
      </c>
    </row>
    <row r="13" spans="1:5" x14ac:dyDescent="0.2">
      <c r="A13" t="s">
        <v>83</v>
      </c>
      <c r="B13">
        <v>186</v>
      </c>
      <c r="C13" t="s">
        <v>499</v>
      </c>
      <c r="D13">
        <v>-12</v>
      </c>
      <c r="E13" t="s">
        <v>500</v>
      </c>
    </row>
    <row r="14" spans="1:5" x14ac:dyDescent="0.2">
      <c r="A14" t="s">
        <v>75</v>
      </c>
      <c r="B14">
        <v>-7.8</v>
      </c>
      <c r="C14" t="s">
        <v>501</v>
      </c>
      <c r="D14">
        <v>-4</v>
      </c>
      <c r="E14" t="s">
        <v>500</v>
      </c>
    </row>
    <row r="15" spans="1:5" x14ac:dyDescent="0.2">
      <c r="A15" t="s">
        <v>63</v>
      </c>
      <c r="B15">
        <v>9.6999999999999993</v>
      </c>
      <c r="C15" t="s">
        <v>501</v>
      </c>
      <c r="D15">
        <v>9.6999999999999993</v>
      </c>
      <c r="E15" t="s">
        <v>500</v>
      </c>
    </row>
    <row r="16" spans="1:5" x14ac:dyDescent="0.2">
      <c r="A16" t="s">
        <v>59</v>
      </c>
      <c r="B16">
        <v>20.9</v>
      </c>
      <c r="C16" t="s">
        <v>499</v>
      </c>
      <c r="D16">
        <v>9.9</v>
      </c>
      <c r="E16" t="s">
        <v>500</v>
      </c>
    </row>
    <row r="17" spans="1:5" x14ac:dyDescent="0.2">
      <c r="A17" t="s">
        <v>53</v>
      </c>
      <c r="B17">
        <v>6.6</v>
      </c>
      <c r="C17" t="s">
        <v>499</v>
      </c>
      <c r="D17">
        <v>11.1</v>
      </c>
      <c r="E17" t="s">
        <v>500</v>
      </c>
    </row>
    <row r="18" spans="1:5" x14ac:dyDescent="0.2">
      <c r="A18" t="s">
        <v>506</v>
      </c>
    </row>
    <row r="19" spans="1:5" x14ac:dyDescent="0.2">
      <c r="A19" t="s">
        <v>99</v>
      </c>
      <c r="B19">
        <v>3</v>
      </c>
      <c r="C19" t="s">
        <v>507</v>
      </c>
      <c r="D19">
        <v>-5.6</v>
      </c>
      <c r="E19" t="s">
        <v>500</v>
      </c>
    </row>
    <row r="20" spans="1:5" x14ac:dyDescent="0.2">
      <c r="A20" t="s">
        <v>87</v>
      </c>
      <c r="B20">
        <v>3.89</v>
      </c>
      <c r="C20" t="s">
        <v>503</v>
      </c>
      <c r="D20">
        <v>6.13</v>
      </c>
      <c r="E20" t="s">
        <v>500</v>
      </c>
    </row>
    <row r="21" spans="1:5" x14ac:dyDescent="0.2">
      <c r="A21" t="s">
        <v>401</v>
      </c>
      <c r="B21">
        <v>-10.4</v>
      </c>
      <c r="C21" t="s">
        <v>507</v>
      </c>
      <c r="D21">
        <v>-3.3</v>
      </c>
      <c r="E21" t="s">
        <v>500</v>
      </c>
    </row>
    <row r="22" spans="1:5" x14ac:dyDescent="0.2">
      <c r="A22" t="s">
        <v>93</v>
      </c>
      <c r="B22">
        <v>1.3</v>
      </c>
      <c r="C22" t="s">
        <v>501</v>
      </c>
      <c r="D22">
        <v>-0.7</v>
      </c>
      <c r="E22" t="s">
        <v>500</v>
      </c>
    </row>
    <row r="23" spans="1:5" x14ac:dyDescent="0.2">
      <c r="A23" t="s">
        <v>95</v>
      </c>
      <c r="B23">
        <v>3.8</v>
      </c>
      <c r="C23" t="s">
        <v>504</v>
      </c>
      <c r="D23">
        <v>3.5</v>
      </c>
      <c r="E23" t="s">
        <v>500</v>
      </c>
    </row>
    <row r="24" spans="1:5" x14ac:dyDescent="0.2">
      <c r="A24" t="s">
        <v>107</v>
      </c>
      <c r="B24">
        <v>10.1</v>
      </c>
      <c r="C24" t="s">
        <v>501</v>
      </c>
      <c r="D24">
        <v>15.5</v>
      </c>
      <c r="E24" t="s">
        <v>500</v>
      </c>
    </row>
    <row r="25" spans="1:5" x14ac:dyDescent="0.2">
      <c r="A25" t="s">
        <v>103</v>
      </c>
      <c r="B25">
        <v>1.2</v>
      </c>
      <c r="C25" t="s">
        <v>508</v>
      </c>
      <c r="D25">
        <v>0.1</v>
      </c>
      <c r="E25" t="s">
        <v>500</v>
      </c>
    </row>
    <row r="26" spans="1:5" x14ac:dyDescent="0.2">
      <c r="A26" t="s">
        <v>113</v>
      </c>
      <c r="B26">
        <v>7.9</v>
      </c>
      <c r="C26" t="s">
        <v>509</v>
      </c>
      <c r="D26">
        <v>7.3</v>
      </c>
      <c r="E26" t="s">
        <v>500</v>
      </c>
    </row>
    <row r="27" spans="1:5" x14ac:dyDescent="0.2">
      <c r="A27" t="s">
        <v>167</v>
      </c>
      <c r="B27">
        <v>2.7</v>
      </c>
      <c r="C27" t="s">
        <v>501</v>
      </c>
      <c r="D27">
        <v>2.8</v>
      </c>
      <c r="E27" t="s">
        <v>500</v>
      </c>
    </row>
    <row r="28" spans="1:5" x14ac:dyDescent="0.2">
      <c r="A28" t="s">
        <v>121</v>
      </c>
      <c r="B28">
        <v>-12.7</v>
      </c>
      <c r="C28" t="s">
        <v>510</v>
      </c>
      <c r="D28">
        <v>-7.2</v>
      </c>
      <c r="E28" t="s">
        <v>500</v>
      </c>
    </row>
    <row r="29" spans="1:5" x14ac:dyDescent="0.2">
      <c r="A29" t="s">
        <v>125</v>
      </c>
      <c r="B29">
        <v>-1.3</v>
      </c>
      <c r="C29" t="s">
        <v>503</v>
      </c>
      <c r="D29">
        <v>8.9</v>
      </c>
      <c r="E29" t="s">
        <v>500</v>
      </c>
    </row>
    <row r="30" spans="1:5" x14ac:dyDescent="0.2">
      <c r="A30" t="s">
        <v>117</v>
      </c>
      <c r="B30">
        <v>-4.9000000000000004</v>
      </c>
      <c r="C30" t="s">
        <v>501</v>
      </c>
      <c r="D30">
        <v>-4</v>
      </c>
      <c r="E30" t="s">
        <v>500</v>
      </c>
    </row>
    <row r="31" spans="1:5" x14ac:dyDescent="0.2">
      <c r="A31" t="s">
        <v>133</v>
      </c>
      <c r="B31">
        <v>11.3</v>
      </c>
      <c r="C31" t="s">
        <v>501</v>
      </c>
      <c r="D31">
        <v>4.2</v>
      </c>
      <c r="E31" t="s">
        <v>500</v>
      </c>
    </row>
    <row r="32" spans="1:5" x14ac:dyDescent="0.2">
      <c r="A32" t="s">
        <v>381</v>
      </c>
      <c r="B32">
        <v>8.68</v>
      </c>
      <c r="C32" t="s">
        <v>511</v>
      </c>
      <c r="D32">
        <v>13.83</v>
      </c>
      <c r="E32" t="s">
        <v>500</v>
      </c>
    </row>
    <row r="33" spans="1:5" x14ac:dyDescent="0.2">
      <c r="A33" t="s">
        <v>442</v>
      </c>
      <c r="B33">
        <v>2.8</v>
      </c>
      <c r="C33" t="s">
        <v>501</v>
      </c>
      <c r="D33">
        <v>8.5</v>
      </c>
      <c r="E33" t="s">
        <v>500</v>
      </c>
    </row>
    <row r="34" spans="1:5" x14ac:dyDescent="0.2">
      <c r="A34" t="s">
        <v>492</v>
      </c>
      <c r="B34">
        <v>3.3</v>
      </c>
      <c r="C34" t="s">
        <v>501</v>
      </c>
      <c r="D34">
        <v>5.0999999999999996</v>
      </c>
      <c r="E34" t="s">
        <v>500</v>
      </c>
    </row>
    <row r="35" spans="1:5" x14ac:dyDescent="0.2">
      <c r="A35" t="s">
        <v>512</v>
      </c>
      <c r="B35">
        <v>3.6</v>
      </c>
      <c r="C35" t="s">
        <v>501</v>
      </c>
      <c r="D35">
        <v>4.8</v>
      </c>
      <c r="E35" t="s">
        <v>500</v>
      </c>
    </row>
    <row r="36" spans="1:5" x14ac:dyDescent="0.2">
      <c r="A36" t="s">
        <v>155</v>
      </c>
      <c r="B36">
        <v>-10.5</v>
      </c>
      <c r="C36" t="s">
        <v>503</v>
      </c>
      <c r="D36">
        <v>-12.2</v>
      </c>
      <c r="E36" t="s">
        <v>500</v>
      </c>
    </row>
    <row r="37" spans="1:5" x14ac:dyDescent="0.2">
      <c r="A37" t="s">
        <v>153</v>
      </c>
      <c r="B37">
        <v>5.5</v>
      </c>
      <c r="C37" t="s">
        <v>501</v>
      </c>
      <c r="D37">
        <v>6.7</v>
      </c>
      <c r="E37" t="s">
        <v>500</v>
      </c>
    </row>
    <row r="38" spans="1:5" x14ac:dyDescent="0.2">
      <c r="A38" t="s">
        <v>159</v>
      </c>
      <c r="B38">
        <v>0.8</v>
      </c>
      <c r="C38" t="s">
        <v>503</v>
      </c>
      <c r="D38">
        <v>3.9</v>
      </c>
      <c r="E38" t="s">
        <v>500</v>
      </c>
    </row>
    <row r="39" spans="1:5" x14ac:dyDescent="0.2">
      <c r="A39" t="s">
        <v>444</v>
      </c>
      <c r="B39">
        <v>34.299999999999997</v>
      </c>
      <c r="C39" t="s">
        <v>503</v>
      </c>
      <c r="D39">
        <v>47.8</v>
      </c>
      <c r="E39" t="s">
        <v>500</v>
      </c>
    </row>
    <row r="40" spans="1:5" x14ac:dyDescent="0.2">
      <c r="A40" t="s">
        <v>127</v>
      </c>
      <c r="B40">
        <v>-0.6</v>
      </c>
      <c r="C40" t="s">
        <v>501</v>
      </c>
      <c r="D40">
        <v>-0.4</v>
      </c>
      <c r="E40" t="s">
        <v>500</v>
      </c>
    </row>
    <row r="41" spans="1:5" x14ac:dyDescent="0.2">
      <c r="A41" t="s">
        <v>191</v>
      </c>
      <c r="B41">
        <v>16.5</v>
      </c>
      <c r="C41" t="s">
        <v>501</v>
      </c>
      <c r="D41">
        <v>9.9</v>
      </c>
      <c r="E41" t="s">
        <v>500</v>
      </c>
    </row>
    <row r="42" spans="1:5" x14ac:dyDescent="0.2">
      <c r="A42" t="s">
        <v>513</v>
      </c>
      <c r="B42">
        <v>8.6999999999999993</v>
      </c>
      <c r="C42" t="s">
        <v>499</v>
      </c>
      <c r="D42">
        <v>8.1999999999999993</v>
      </c>
      <c r="E42" t="s">
        <v>500</v>
      </c>
    </row>
    <row r="43" spans="1:5" x14ac:dyDescent="0.2">
      <c r="A43" t="s">
        <v>201</v>
      </c>
      <c r="B43">
        <v>7.8</v>
      </c>
      <c r="C43" t="s">
        <v>503</v>
      </c>
      <c r="D43">
        <v>5.6</v>
      </c>
      <c r="E43" t="s">
        <v>500</v>
      </c>
    </row>
    <row r="44" spans="1:5" x14ac:dyDescent="0.2">
      <c r="A44" t="s">
        <v>207</v>
      </c>
      <c r="B44">
        <v>-3.4</v>
      </c>
      <c r="C44" t="s">
        <v>501</v>
      </c>
      <c r="D44">
        <v>-2.2999999999999998</v>
      </c>
      <c r="E44" t="s">
        <v>500</v>
      </c>
    </row>
    <row r="45" spans="1:5" x14ac:dyDescent="0.2">
      <c r="A45" t="s">
        <v>211</v>
      </c>
      <c r="B45">
        <v>3.2</v>
      </c>
      <c r="C45" t="s">
        <v>501</v>
      </c>
      <c r="D45">
        <v>3.3</v>
      </c>
      <c r="E45" t="s">
        <v>500</v>
      </c>
    </row>
    <row r="46" spans="1:5" x14ac:dyDescent="0.2">
      <c r="A46" t="s">
        <v>209</v>
      </c>
      <c r="B46">
        <v>2.35</v>
      </c>
      <c r="C46" t="s">
        <v>503</v>
      </c>
      <c r="D46">
        <v>1.07</v>
      </c>
      <c r="E46" t="s">
        <v>500</v>
      </c>
    </row>
    <row r="47" spans="1:5" x14ac:dyDescent="0.2">
      <c r="A47" t="s">
        <v>217</v>
      </c>
      <c r="B47">
        <v>9.1</v>
      </c>
      <c r="C47" t="s">
        <v>507</v>
      </c>
      <c r="D47">
        <v>11.2</v>
      </c>
      <c r="E47" t="s">
        <v>500</v>
      </c>
    </row>
    <row r="48" spans="1:5" x14ac:dyDescent="0.2">
      <c r="A48" t="s">
        <v>219</v>
      </c>
      <c r="B48">
        <v>-22.5</v>
      </c>
      <c r="C48" t="s">
        <v>514</v>
      </c>
      <c r="D48">
        <v>0.9</v>
      </c>
      <c r="E48" t="s">
        <v>500</v>
      </c>
    </row>
    <row r="49" spans="1:5" x14ac:dyDescent="0.2">
      <c r="A49" t="s">
        <v>215</v>
      </c>
      <c r="B49">
        <v>-12.9</v>
      </c>
      <c r="C49" t="s">
        <v>501</v>
      </c>
      <c r="D49">
        <v>27.3</v>
      </c>
      <c r="E49" t="s">
        <v>500</v>
      </c>
    </row>
    <row r="50" spans="1:5" x14ac:dyDescent="0.2">
      <c r="A50" t="s">
        <v>223</v>
      </c>
      <c r="B50">
        <v>10.199999999999999</v>
      </c>
      <c r="C50" t="s">
        <v>501</v>
      </c>
      <c r="D50">
        <v>-12.9</v>
      </c>
      <c r="E50" t="s">
        <v>500</v>
      </c>
    </row>
    <row r="51" spans="1:5" x14ac:dyDescent="0.2">
      <c r="A51" t="s">
        <v>225</v>
      </c>
      <c r="B51">
        <v>2</v>
      </c>
      <c r="C51" t="s">
        <v>501</v>
      </c>
      <c r="D51">
        <v>4.5</v>
      </c>
      <c r="E51" t="s">
        <v>500</v>
      </c>
    </row>
    <row r="52" spans="1:5" x14ac:dyDescent="0.2">
      <c r="A52" t="s">
        <v>515</v>
      </c>
      <c r="B52">
        <v>-0.7</v>
      </c>
      <c r="C52" t="s">
        <v>510</v>
      </c>
      <c r="D52">
        <v>-14.3</v>
      </c>
      <c r="E52" t="s">
        <v>500</v>
      </c>
    </row>
    <row r="53" spans="1:5" x14ac:dyDescent="0.2">
      <c r="A53" t="s">
        <v>231</v>
      </c>
      <c r="B53">
        <v>-4.0999999999999996</v>
      </c>
      <c r="C53" t="s">
        <v>501</v>
      </c>
      <c r="D53">
        <v>-2.2999999999999998</v>
      </c>
      <c r="E53" t="s">
        <v>500</v>
      </c>
    </row>
    <row r="54" spans="1:5" x14ac:dyDescent="0.2">
      <c r="A54" t="s">
        <v>229</v>
      </c>
      <c r="B54">
        <v>4.84</v>
      </c>
      <c r="C54" t="s">
        <v>503</v>
      </c>
      <c r="D54">
        <v>7.5</v>
      </c>
      <c r="E54" t="s">
        <v>500</v>
      </c>
    </row>
    <row r="55" spans="1:5" x14ac:dyDescent="0.2">
      <c r="A55" t="s">
        <v>446</v>
      </c>
      <c r="B55">
        <v>6.8</v>
      </c>
      <c r="C55" t="s">
        <v>504</v>
      </c>
      <c r="D55">
        <v>4.2</v>
      </c>
      <c r="E55" t="s">
        <v>500</v>
      </c>
    </row>
    <row r="56" spans="1:5" x14ac:dyDescent="0.2">
      <c r="A56" t="s">
        <v>516</v>
      </c>
      <c r="B56">
        <v>43.6</v>
      </c>
      <c r="C56" t="s">
        <v>499</v>
      </c>
      <c r="D56">
        <v>19.3</v>
      </c>
      <c r="E56" t="s">
        <v>500</v>
      </c>
    </row>
    <row r="57" spans="1:5" x14ac:dyDescent="0.2">
      <c r="A57" t="s">
        <v>517</v>
      </c>
      <c r="B57">
        <v>51</v>
      </c>
      <c r="C57" t="s">
        <v>504</v>
      </c>
      <c r="D57">
        <v>46.4</v>
      </c>
      <c r="E57" t="s">
        <v>500</v>
      </c>
    </row>
    <row r="58" spans="1:5" x14ac:dyDescent="0.2">
      <c r="A58" t="s">
        <v>452</v>
      </c>
      <c r="B58">
        <v>2.4</v>
      </c>
      <c r="C58" t="s">
        <v>501</v>
      </c>
      <c r="D58">
        <v>5.8</v>
      </c>
      <c r="E58" t="s">
        <v>500</v>
      </c>
    </row>
    <row r="59" spans="1:5" x14ac:dyDescent="0.2">
      <c r="A59" t="s">
        <v>450</v>
      </c>
      <c r="B59">
        <v>17</v>
      </c>
      <c r="C59" t="s">
        <v>504</v>
      </c>
      <c r="D59">
        <v>22.6</v>
      </c>
      <c r="E59" t="s">
        <v>500</v>
      </c>
    </row>
    <row r="60" spans="1:5" x14ac:dyDescent="0.2">
      <c r="A60" t="s">
        <v>265</v>
      </c>
      <c r="B60">
        <v>5.2</v>
      </c>
      <c r="C60" t="s">
        <v>511</v>
      </c>
      <c r="D60">
        <v>1.8</v>
      </c>
      <c r="E60" t="s">
        <v>500</v>
      </c>
    </row>
    <row r="61" spans="1:5" x14ac:dyDescent="0.2">
      <c r="A61" t="s">
        <v>267</v>
      </c>
      <c r="B61">
        <v>-13.2</v>
      </c>
      <c r="C61" t="s">
        <v>499</v>
      </c>
      <c r="D61">
        <v>10.199999999999999</v>
      </c>
      <c r="E61" t="s">
        <v>500</v>
      </c>
    </row>
    <row r="62" spans="1:5" x14ac:dyDescent="0.2">
      <c r="A62" t="s">
        <v>169</v>
      </c>
      <c r="B62">
        <v>-6.5</v>
      </c>
      <c r="C62" t="s">
        <v>501</v>
      </c>
      <c r="D62">
        <v>-8</v>
      </c>
      <c r="E62" t="s">
        <v>500</v>
      </c>
    </row>
    <row r="63" spans="1:5" x14ac:dyDescent="0.2">
      <c r="A63" t="s">
        <v>301</v>
      </c>
      <c r="B63">
        <v>5.5</v>
      </c>
      <c r="C63" t="s">
        <v>501</v>
      </c>
      <c r="D63">
        <v>2.5</v>
      </c>
      <c r="E63" t="s">
        <v>500</v>
      </c>
    </row>
    <row r="64" spans="1:5" x14ac:dyDescent="0.2">
      <c r="A64" t="s">
        <v>281</v>
      </c>
      <c r="B64">
        <v>-1.06</v>
      </c>
      <c r="C64" t="s">
        <v>499</v>
      </c>
      <c r="D64">
        <v>3.6</v>
      </c>
      <c r="E64" t="s">
        <v>500</v>
      </c>
    </row>
    <row r="65" spans="1:5" x14ac:dyDescent="0.2">
      <c r="A65" t="s">
        <v>283</v>
      </c>
      <c r="B65">
        <v>-4.5</v>
      </c>
      <c r="C65" t="s">
        <v>501</v>
      </c>
      <c r="D65">
        <v>-3.1</v>
      </c>
      <c r="E65" t="s">
        <v>500</v>
      </c>
    </row>
    <row r="66" spans="1:5" x14ac:dyDescent="0.2">
      <c r="A66" t="s">
        <v>293</v>
      </c>
      <c r="B66">
        <v>-8.6999999999999993</v>
      </c>
      <c r="C66" t="s">
        <v>507</v>
      </c>
      <c r="D66">
        <v>-1</v>
      </c>
      <c r="E66" t="s">
        <v>500</v>
      </c>
    </row>
    <row r="67" spans="1:5" x14ac:dyDescent="0.2">
      <c r="A67" t="s">
        <v>297</v>
      </c>
      <c r="B67">
        <v>9.5</v>
      </c>
      <c r="C67" t="s">
        <v>503</v>
      </c>
      <c r="D67">
        <v>48</v>
      </c>
      <c r="E67" t="s">
        <v>500</v>
      </c>
    </row>
    <row r="68" spans="1:5" x14ac:dyDescent="0.2">
      <c r="A68" t="s">
        <v>277</v>
      </c>
      <c r="B68">
        <v>0.7</v>
      </c>
      <c r="C68" t="s">
        <v>501</v>
      </c>
      <c r="D68">
        <v>1.53</v>
      </c>
      <c r="E68" t="s">
        <v>500</v>
      </c>
    </row>
    <row r="69" spans="1:5" x14ac:dyDescent="0.2">
      <c r="A69" t="s">
        <v>454</v>
      </c>
      <c r="B69">
        <v>11</v>
      </c>
      <c r="C69" t="s">
        <v>501</v>
      </c>
      <c r="D69">
        <v>13.8</v>
      </c>
      <c r="E69" t="s">
        <v>500</v>
      </c>
    </row>
    <row r="70" spans="1:5" x14ac:dyDescent="0.2">
      <c r="A70" t="s">
        <v>287</v>
      </c>
      <c r="B70">
        <v>19.600000000000001</v>
      </c>
      <c r="C70" t="s">
        <v>509</v>
      </c>
      <c r="D70">
        <v>79.400000000000006</v>
      </c>
      <c r="E70" t="s">
        <v>500</v>
      </c>
    </row>
    <row r="71" spans="1:5" x14ac:dyDescent="0.2">
      <c r="A71" t="s">
        <v>518</v>
      </c>
      <c r="B71">
        <v>-3.4</v>
      </c>
      <c r="C71" t="s">
        <v>503</v>
      </c>
      <c r="D71">
        <v>5</v>
      </c>
      <c r="E71" t="s">
        <v>500</v>
      </c>
    </row>
    <row r="72" spans="1:5" x14ac:dyDescent="0.2">
      <c r="A72" t="s">
        <v>269</v>
      </c>
      <c r="B72">
        <v>3.3</v>
      </c>
      <c r="C72" t="s">
        <v>503</v>
      </c>
      <c r="D72">
        <v>19.899999999999999</v>
      </c>
      <c r="E72" t="s">
        <v>500</v>
      </c>
    </row>
    <row r="73" spans="1:5" x14ac:dyDescent="0.2">
      <c r="A73" t="s">
        <v>291</v>
      </c>
      <c r="B73">
        <v>-4</v>
      </c>
      <c r="C73" t="s">
        <v>510</v>
      </c>
      <c r="D73">
        <v>5.7</v>
      </c>
      <c r="E73" t="s">
        <v>500</v>
      </c>
    </row>
    <row r="74" spans="1:5" x14ac:dyDescent="0.2">
      <c r="A74" t="s">
        <v>315</v>
      </c>
      <c r="B74">
        <v>10.5</v>
      </c>
      <c r="C74" t="s">
        <v>511</v>
      </c>
      <c r="D74">
        <v>10.5</v>
      </c>
      <c r="E74" t="s">
        <v>500</v>
      </c>
    </row>
    <row r="75" spans="1:5" x14ac:dyDescent="0.2">
      <c r="A75" t="s">
        <v>325</v>
      </c>
      <c r="B75">
        <v>16.100000000000001</v>
      </c>
      <c r="C75" t="s">
        <v>499</v>
      </c>
      <c r="D75">
        <v>0.5</v>
      </c>
      <c r="E75" t="s">
        <v>500</v>
      </c>
    </row>
    <row r="76" spans="1:5" x14ac:dyDescent="0.2">
      <c r="A76" t="s">
        <v>305</v>
      </c>
      <c r="B76">
        <v>17.600000000000001</v>
      </c>
      <c r="C76" t="s">
        <v>514</v>
      </c>
      <c r="D76">
        <v>5.8</v>
      </c>
      <c r="E76" t="s">
        <v>500</v>
      </c>
    </row>
    <row r="77" spans="1:5" x14ac:dyDescent="0.2">
      <c r="A77" t="s">
        <v>309</v>
      </c>
      <c r="B77">
        <v>1.6</v>
      </c>
      <c r="C77" t="s">
        <v>510</v>
      </c>
      <c r="D77">
        <v>-10.3</v>
      </c>
      <c r="E77" t="s">
        <v>500</v>
      </c>
    </row>
    <row r="78" spans="1:5" x14ac:dyDescent="0.2">
      <c r="A78" t="s">
        <v>319</v>
      </c>
      <c r="B78">
        <v>6.9</v>
      </c>
      <c r="C78" t="s">
        <v>501</v>
      </c>
      <c r="D78">
        <v>7.9</v>
      </c>
      <c r="E78" t="s">
        <v>500</v>
      </c>
    </row>
    <row r="79" spans="1:5" x14ac:dyDescent="0.2">
      <c r="A79" t="s">
        <v>333</v>
      </c>
      <c r="B79">
        <v>-1.55</v>
      </c>
      <c r="C79" t="s">
        <v>501</v>
      </c>
      <c r="D79">
        <v>0.89</v>
      </c>
      <c r="E79" t="s">
        <v>500</v>
      </c>
    </row>
    <row r="80" spans="1:5" x14ac:dyDescent="0.2">
      <c r="A80" t="s">
        <v>519</v>
      </c>
      <c r="B80">
        <v>27.01</v>
      </c>
      <c r="C80" t="s">
        <v>509</v>
      </c>
      <c r="D80">
        <v>76.900000000000006</v>
      </c>
      <c r="E80" t="s">
        <v>500</v>
      </c>
    </row>
    <row r="81" spans="1:5" x14ac:dyDescent="0.2">
      <c r="A81" t="s">
        <v>335</v>
      </c>
      <c r="B81">
        <v>-44</v>
      </c>
      <c r="C81" t="s">
        <v>520</v>
      </c>
      <c r="D81">
        <v>-6.5</v>
      </c>
      <c r="E81" t="s">
        <v>500</v>
      </c>
    </row>
    <row r="82" spans="1:5" x14ac:dyDescent="0.2">
      <c r="A82" t="s">
        <v>339</v>
      </c>
      <c r="B82">
        <v>-0.43</v>
      </c>
      <c r="C82" t="s">
        <v>501</v>
      </c>
      <c r="D82">
        <v>5.78</v>
      </c>
      <c r="E82" t="s">
        <v>500</v>
      </c>
    </row>
    <row r="83" spans="1:5" x14ac:dyDescent="0.2">
      <c r="A83" t="s">
        <v>341</v>
      </c>
      <c r="B83">
        <v>24.8</v>
      </c>
      <c r="C83" t="s">
        <v>501</v>
      </c>
      <c r="D83">
        <v>122</v>
      </c>
      <c r="E83" t="s">
        <v>500</v>
      </c>
    </row>
    <row r="84" spans="1:5" x14ac:dyDescent="0.2">
      <c r="A84" t="s">
        <v>347</v>
      </c>
      <c r="B84">
        <v>15.2</v>
      </c>
      <c r="C84" t="s">
        <v>504</v>
      </c>
      <c r="D84">
        <v>7.8</v>
      </c>
      <c r="E84" t="s">
        <v>500</v>
      </c>
    </row>
    <row r="85" spans="1:5" x14ac:dyDescent="0.2">
      <c r="A85" t="s">
        <v>351</v>
      </c>
      <c r="B85">
        <v>-6.7</v>
      </c>
      <c r="C85" t="s">
        <v>501</v>
      </c>
      <c r="D85">
        <v>-5.6</v>
      </c>
      <c r="E85" t="s">
        <v>500</v>
      </c>
    </row>
    <row r="86" spans="1:5" x14ac:dyDescent="0.2">
      <c r="A86" t="s">
        <v>357</v>
      </c>
      <c r="B86">
        <v>-2</v>
      </c>
      <c r="C86" t="s">
        <v>511</v>
      </c>
      <c r="D86">
        <v>-2</v>
      </c>
      <c r="E86" t="s">
        <v>500</v>
      </c>
    </row>
    <row r="87" spans="1:5" x14ac:dyDescent="0.2">
      <c r="A87" t="s">
        <v>359</v>
      </c>
      <c r="B87">
        <v>-6.1</v>
      </c>
      <c r="C87" t="s">
        <v>501</v>
      </c>
      <c r="D87">
        <v>-3.5</v>
      </c>
      <c r="E87" t="s">
        <v>500</v>
      </c>
    </row>
    <row r="88" spans="1:5" x14ac:dyDescent="0.2">
      <c r="A88" t="s">
        <v>456</v>
      </c>
      <c r="B88">
        <v>7</v>
      </c>
      <c r="C88" t="s">
        <v>504</v>
      </c>
      <c r="D88">
        <v>7.4</v>
      </c>
      <c r="E88" t="s">
        <v>500</v>
      </c>
    </row>
    <row r="89" spans="1:5" x14ac:dyDescent="0.2">
      <c r="A89" t="s">
        <v>361</v>
      </c>
      <c r="B89">
        <v>14.8</v>
      </c>
      <c r="C89" t="s">
        <v>511</v>
      </c>
      <c r="D89">
        <v>6.2</v>
      </c>
      <c r="E89" t="s">
        <v>500</v>
      </c>
    </row>
    <row r="90" spans="1:5" x14ac:dyDescent="0.2">
      <c r="A90" t="s">
        <v>363</v>
      </c>
      <c r="B90">
        <v>6.5</v>
      </c>
      <c r="C90" t="s">
        <v>503</v>
      </c>
      <c r="D90">
        <v>5.8</v>
      </c>
      <c r="E90" t="s">
        <v>500</v>
      </c>
    </row>
    <row r="91" spans="1:5" x14ac:dyDescent="0.2">
      <c r="A91" t="s">
        <v>369</v>
      </c>
      <c r="B91">
        <v>8.6</v>
      </c>
      <c r="C91" t="s">
        <v>501</v>
      </c>
      <c r="D91">
        <v>15.6</v>
      </c>
      <c r="E91" t="s">
        <v>500</v>
      </c>
    </row>
    <row r="92" spans="1:5" x14ac:dyDescent="0.2">
      <c r="A92" t="s">
        <v>521</v>
      </c>
      <c r="B92">
        <v>0.9</v>
      </c>
      <c r="C92" t="s">
        <v>501</v>
      </c>
      <c r="D92">
        <v>1.4</v>
      </c>
      <c r="E92" t="s">
        <v>500</v>
      </c>
    </row>
    <row r="93" spans="1:5" x14ac:dyDescent="0.2">
      <c r="A93" t="s">
        <v>395</v>
      </c>
      <c r="B93">
        <v>-15.2</v>
      </c>
      <c r="C93" t="s">
        <v>503</v>
      </c>
      <c r="D93">
        <v>-8.5</v>
      </c>
      <c r="E93" t="s">
        <v>500</v>
      </c>
    </row>
    <row r="94" spans="1:5" x14ac:dyDescent="0.2">
      <c r="A94" t="s">
        <v>371</v>
      </c>
      <c r="B94">
        <v>16.899999999999999</v>
      </c>
      <c r="C94" t="s">
        <v>501</v>
      </c>
      <c r="D94">
        <v>-2.2000000000000002</v>
      </c>
      <c r="E94" t="s">
        <v>500</v>
      </c>
    </row>
    <row r="95" spans="1:5" x14ac:dyDescent="0.2">
      <c r="A95" t="s">
        <v>522</v>
      </c>
      <c r="B95">
        <v>-0.6</v>
      </c>
      <c r="C95" t="s">
        <v>501</v>
      </c>
      <c r="D95">
        <v>-4.9000000000000004</v>
      </c>
      <c r="E95" t="s">
        <v>500</v>
      </c>
    </row>
    <row r="96" spans="1:5" x14ac:dyDescent="0.2">
      <c r="A96" t="s">
        <v>171</v>
      </c>
      <c r="B96">
        <v>6.2</v>
      </c>
      <c r="C96" t="s">
        <v>501</v>
      </c>
      <c r="D96">
        <v>8.6</v>
      </c>
      <c r="E96" t="s">
        <v>500</v>
      </c>
    </row>
    <row r="97" spans="1:5" x14ac:dyDescent="0.2">
      <c r="A97" t="s">
        <v>484</v>
      </c>
      <c r="B97">
        <v>-8.9</v>
      </c>
      <c r="C97" t="s">
        <v>501</v>
      </c>
      <c r="D97">
        <v>0.7</v>
      </c>
      <c r="E97" t="s">
        <v>500</v>
      </c>
    </row>
    <row r="98" spans="1:5" x14ac:dyDescent="0.2">
      <c r="A98" t="s">
        <v>243</v>
      </c>
      <c r="B98">
        <v>4.5</v>
      </c>
      <c r="C98" t="s">
        <v>501</v>
      </c>
      <c r="D98">
        <v>-1.8</v>
      </c>
      <c r="E98" t="s">
        <v>500</v>
      </c>
    </row>
    <row r="99" spans="1:5" x14ac:dyDescent="0.2">
      <c r="A99" t="s">
        <v>147</v>
      </c>
      <c r="B99">
        <v>-0.9</v>
      </c>
      <c r="C99" t="s">
        <v>501</v>
      </c>
      <c r="D99">
        <v>0.4</v>
      </c>
      <c r="E99" t="s">
        <v>500</v>
      </c>
    </row>
    <row r="100" spans="1:5" x14ac:dyDescent="0.2">
      <c r="A100" t="s">
        <v>261</v>
      </c>
      <c r="B100">
        <v>0.04</v>
      </c>
      <c r="C100" t="s">
        <v>501</v>
      </c>
      <c r="D100">
        <v>-8.23</v>
      </c>
      <c r="E100" t="s">
        <v>500</v>
      </c>
    </row>
    <row r="101" spans="1:5" x14ac:dyDescent="0.2">
      <c r="A101" t="s">
        <v>391</v>
      </c>
      <c r="B101">
        <v>3.7</v>
      </c>
      <c r="C101" t="s">
        <v>501</v>
      </c>
      <c r="D101">
        <v>3.5</v>
      </c>
      <c r="E101" t="s">
        <v>500</v>
      </c>
    </row>
    <row r="102" spans="1:5" x14ac:dyDescent="0.2">
      <c r="A102" t="s">
        <v>91</v>
      </c>
      <c r="B102">
        <v>8.3000000000000007</v>
      </c>
      <c r="C102" t="s">
        <v>503</v>
      </c>
      <c r="D102">
        <v>16.100000000000001</v>
      </c>
      <c r="E102" t="s">
        <v>500</v>
      </c>
    </row>
    <row r="103" spans="1:5" x14ac:dyDescent="0.2">
      <c r="A103" t="s">
        <v>523</v>
      </c>
      <c r="B103">
        <v>12.19</v>
      </c>
      <c r="C103" t="s">
        <v>504</v>
      </c>
      <c r="D103">
        <v>11.6</v>
      </c>
      <c r="E103" t="s">
        <v>500</v>
      </c>
    </row>
    <row r="104" spans="1:5" x14ac:dyDescent="0.2">
      <c r="A104" t="s">
        <v>524</v>
      </c>
      <c r="B104">
        <v>23.4</v>
      </c>
      <c r="C104" t="s">
        <v>499</v>
      </c>
      <c r="D104">
        <v>21.5</v>
      </c>
      <c r="E104" t="s">
        <v>500</v>
      </c>
    </row>
    <row r="105" spans="1:5" x14ac:dyDescent="0.2">
      <c r="A105" t="s">
        <v>405</v>
      </c>
      <c r="B105">
        <v>2.91</v>
      </c>
      <c r="C105" t="s">
        <v>501</v>
      </c>
      <c r="D105">
        <v>0.3</v>
      </c>
      <c r="E105" t="s">
        <v>500</v>
      </c>
    </row>
    <row r="106" spans="1:5" x14ac:dyDescent="0.2">
      <c r="A106" t="s">
        <v>403</v>
      </c>
      <c r="B106">
        <v>13.4</v>
      </c>
      <c r="C106" t="s">
        <v>499</v>
      </c>
      <c r="D106">
        <v>6.8</v>
      </c>
      <c r="E106" t="s">
        <v>500</v>
      </c>
    </row>
    <row r="107" spans="1:5" x14ac:dyDescent="0.2">
      <c r="A107" t="s">
        <v>525</v>
      </c>
      <c r="B107">
        <v>10.4</v>
      </c>
      <c r="C107" t="s">
        <v>507</v>
      </c>
      <c r="D107">
        <v>18</v>
      </c>
      <c r="E107" t="s">
        <v>500</v>
      </c>
    </row>
    <row r="108" spans="1:5" x14ac:dyDescent="0.2">
      <c r="A108" t="s">
        <v>417</v>
      </c>
      <c r="B108">
        <v>4.5999999999999996</v>
      </c>
      <c r="C108" t="s">
        <v>503</v>
      </c>
      <c r="D108">
        <v>3.9</v>
      </c>
      <c r="E108" t="s">
        <v>500</v>
      </c>
    </row>
    <row r="109" spans="1:5" x14ac:dyDescent="0.2">
      <c r="A109" t="s">
        <v>419</v>
      </c>
      <c r="B109">
        <v>8.5</v>
      </c>
      <c r="C109" t="s">
        <v>501</v>
      </c>
      <c r="D109">
        <v>9</v>
      </c>
      <c r="E109" t="s">
        <v>500</v>
      </c>
    </row>
    <row r="110" spans="1:5" x14ac:dyDescent="0.2">
      <c r="A110" t="s">
        <v>462</v>
      </c>
      <c r="B110">
        <v>0.4</v>
      </c>
      <c r="C110" t="s">
        <v>504</v>
      </c>
      <c r="D110">
        <v>1.4</v>
      </c>
      <c r="E110" t="s">
        <v>500</v>
      </c>
    </row>
    <row r="111" spans="1:5" x14ac:dyDescent="0.2">
      <c r="A111" t="s">
        <v>177</v>
      </c>
      <c r="B111">
        <v>1.4</v>
      </c>
      <c r="C111" t="s">
        <v>501</v>
      </c>
      <c r="D111">
        <v>2.9</v>
      </c>
      <c r="E111" t="s">
        <v>500</v>
      </c>
    </row>
    <row r="112" spans="1:5" x14ac:dyDescent="0.2">
      <c r="A112" t="s">
        <v>432</v>
      </c>
      <c r="B112">
        <v>5.3</v>
      </c>
      <c r="C112" t="s">
        <v>504</v>
      </c>
      <c r="D112">
        <v>5.3</v>
      </c>
      <c r="E112" t="s">
        <v>500</v>
      </c>
    </row>
    <row r="113" spans="1:5" x14ac:dyDescent="0.2">
      <c r="A113" t="s">
        <v>430</v>
      </c>
      <c r="B113">
        <v>6.9</v>
      </c>
      <c r="C113" t="s">
        <v>501</v>
      </c>
      <c r="D113">
        <v>12.2</v>
      </c>
      <c r="E113" t="s">
        <v>500</v>
      </c>
    </row>
    <row r="114" spans="1:5" x14ac:dyDescent="0.2">
      <c r="A114" t="s">
        <v>464</v>
      </c>
      <c r="B114">
        <v>8.5</v>
      </c>
      <c r="C114" t="s">
        <v>499</v>
      </c>
      <c r="D114">
        <v>3.8</v>
      </c>
      <c r="E114" t="s">
        <v>500</v>
      </c>
    </row>
    <row r="115" spans="1:5" x14ac:dyDescent="0.2">
      <c r="A115" t="s">
        <v>470</v>
      </c>
      <c r="B115">
        <v>-20.6</v>
      </c>
      <c r="C115" t="s">
        <v>526</v>
      </c>
      <c r="D115">
        <v>-47</v>
      </c>
      <c r="E115" t="s">
        <v>500</v>
      </c>
    </row>
    <row r="116" spans="1:5" x14ac:dyDescent="0.2">
      <c r="A116" t="s">
        <v>476</v>
      </c>
      <c r="B116">
        <v>5.6</v>
      </c>
      <c r="C116" t="s">
        <v>504</v>
      </c>
      <c r="D116">
        <v>-1.8</v>
      </c>
      <c r="E116" t="s">
        <v>500</v>
      </c>
    </row>
  </sheetData>
  <autoFilter ref="A1:E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T1238"/>
  <sheetViews>
    <sheetView workbookViewId="0">
      <pane xSplit="1" ySplit="1" topLeftCell="B2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 x14ac:dyDescent="0.2"/>
  <cols>
    <col min="1" max="1" width="11.1640625" style="87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59" width="9.1640625" style="87" customWidth="1"/>
    <col min="60" max="16384" width="9.1640625" style="87"/>
  </cols>
  <sheetData>
    <row r="1" spans="1:46" x14ac:dyDescent="0.2">
      <c r="A1" t="s">
        <v>527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528</v>
      </c>
      <c r="J1" t="s">
        <v>92</v>
      </c>
      <c r="K1" t="s">
        <v>529</v>
      </c>
      <c r="L1" t="s">
        <v>126</v>
      </c>
      <c r="M1" t="s">
        <v>132</v>
      </c>
      <c r="N1" t="s">
        <v>530</v>
      </c>
      <c r="O1" t="s">
        <v>146</v>
      </c>
      <c r="P1" t="s">
        <v>531</v>
      </c>
      <c r="Q1" t="s">
        <v>532</v>
      </c>
      <c r="R1" t="s">
        <v>152</v>
      </c>
      <c r="S1" t="s">
        <v>158</v>
      </c>
      <c r="T1" t="s">
        <v>533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534</v>
      </c>
      <c r="AE1" t="s">
        <v>264</v>
      </c>
      <c r="AF1" t="s">
        <v>535</v>
      </c>
      <c r="AG1" t="s">
        <v>276</v>
      </c>
      <c r="AH1" t="s">
        <v>314</v>
      </c>
      <c r="AI1" t="s">
        <v>318</v>
      </c>
      <c r="AJ1" t="s">
        <v>324</v>
      </c>
      <c r="AK1" t="s">
        <v>536</v>
      </c>
      <c r="AL1" t="s">
        <v>346</v>
      </c>
      <c r="AM1" t="s">
        <v>350</v>
      </c>
      <c r="AN1" t="s">
        <v>537</v>
      </c>
      <c r="AO1" t="s">
        <v>538</v>
      </c>
      <c r="AP1" t="s">
        <v>539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91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91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91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91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91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91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91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91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91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91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91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91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91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91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91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91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91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91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91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91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91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91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91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91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91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91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91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91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91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91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91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91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91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91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91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91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91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91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91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91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91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91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91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91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91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91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91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91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91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91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91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91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91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91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91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91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91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91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91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91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91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91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91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91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91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91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91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91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91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91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91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91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91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91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91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91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91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91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91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91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91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91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91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91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91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91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91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91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91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91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91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91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91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91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91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91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91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91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91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91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91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91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91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91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91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91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91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91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91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91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91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91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91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91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91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91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91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91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91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91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91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91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91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91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91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91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91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91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91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91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91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91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91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91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91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91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91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91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91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91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91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91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91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91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91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91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91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91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91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91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91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91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91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91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91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91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91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91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91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91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91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91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91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91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91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91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91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91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91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91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91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91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91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91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91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91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91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91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91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91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91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91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91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91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91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91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91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91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91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91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91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91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91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91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91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91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91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91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91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91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91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91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91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91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91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91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91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91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91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91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91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91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91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91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91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91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91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91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91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91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91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91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91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91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91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91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91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91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91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91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91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91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91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91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91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91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91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91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91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91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91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91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91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91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91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91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91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91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91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91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91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91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91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91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91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91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91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91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91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91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91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91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91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91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91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91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91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91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91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91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91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91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91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91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91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91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91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91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91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91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91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91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91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91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91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91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91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91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91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91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91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91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91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91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91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91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91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91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91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91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91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91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91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91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91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91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91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91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91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91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91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91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91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91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91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91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91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91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91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91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91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91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91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91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91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91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91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91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91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91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91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91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91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91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91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91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91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91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91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91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91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91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91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91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91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91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91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91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91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91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91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91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91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91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91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91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91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91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91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91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91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91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91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91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91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91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91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91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91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91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91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91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91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91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91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91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91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91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91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91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91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91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91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91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91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91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91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91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91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91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91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91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91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91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91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91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91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91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91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91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91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91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91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91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91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91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91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91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91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91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91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91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91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91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91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91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91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91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91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91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91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91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91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91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91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91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91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91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91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91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91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91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91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91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91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91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91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91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91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91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91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91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91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91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91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91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91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91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91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91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91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91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91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91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91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91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91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91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91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91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91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91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91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91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91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91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91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91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91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91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91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91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91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91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91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91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91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91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91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91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91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91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91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91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91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91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91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91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91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91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91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91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91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91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91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91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91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91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91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91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91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91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91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91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91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91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91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91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91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91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91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91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91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91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91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91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91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91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91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91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91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91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91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91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91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91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91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91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91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91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91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91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91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91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91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91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91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91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91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91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91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91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91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91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91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91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91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91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91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91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91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91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91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91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91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91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91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91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91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91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91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91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91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91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91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91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91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91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91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91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91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91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91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91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91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91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91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91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91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91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91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91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91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91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91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91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91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91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91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91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91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91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91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91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91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91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91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91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91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91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91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91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91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91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91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91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91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91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91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91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91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91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91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91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91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91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91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91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91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91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91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91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91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91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91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91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91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91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91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91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91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91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91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91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91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91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91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91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91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91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91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91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91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91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91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91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91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91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91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91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91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91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91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91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91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91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91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91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91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91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91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91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91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91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91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91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91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91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91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91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91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91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91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91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91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91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91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91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91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91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91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91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91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91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91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91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91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91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91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91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91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91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91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91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91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91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91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91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91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91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91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91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91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91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91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91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91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91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91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91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91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91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91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91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91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91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91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91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91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91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91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91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91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91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91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91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91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91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91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91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91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91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91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91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91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91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91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91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91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91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91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91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91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91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91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91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91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91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91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91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91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91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91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91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91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91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91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91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91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91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91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91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91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91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91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91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91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91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91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91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91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91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91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91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91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91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91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91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91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91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91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91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91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91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91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91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91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91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91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91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91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91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91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91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91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91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91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91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91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91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91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91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91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91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91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91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91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91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91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91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91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91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91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91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91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91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91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91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91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91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91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91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91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91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91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91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91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91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91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91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91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91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91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91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91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91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91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91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91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91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91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91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91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91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91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91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91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91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91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91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91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91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91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91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91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91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91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91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91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91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91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91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91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91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91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91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91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91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91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91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91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91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91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91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91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91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91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91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91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91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91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91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91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91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91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91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91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91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91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91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91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91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91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91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91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91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91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91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91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91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91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91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91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91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91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91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91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91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91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91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91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91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91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91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91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91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91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91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91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91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91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91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91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91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91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91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91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91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91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91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91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91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91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91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91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91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91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91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91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91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91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91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91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91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91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91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91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91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91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91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91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91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91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91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91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91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91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91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91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91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91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91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91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91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91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91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91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91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91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91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91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91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91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91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91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91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91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91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91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91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91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91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91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91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91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91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91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91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91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91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91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91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91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91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91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91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91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91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91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91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91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91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91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91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91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91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91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91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91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91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91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91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91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91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91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91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91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91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91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91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91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91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91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91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91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91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91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91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91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91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91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91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91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91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91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91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91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91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91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91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91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91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91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91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91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91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91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91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91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91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91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91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91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91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91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91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91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91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91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91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91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91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91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91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91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91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91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91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91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91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91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91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91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91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91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91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91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91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91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91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91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91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91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91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91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91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91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91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91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91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91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91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91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91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91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91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91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91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91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91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91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91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91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91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91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91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91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91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91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91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91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91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91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91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91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91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91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91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91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91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91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91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91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91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91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91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91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91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91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91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91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91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91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91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91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91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91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91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91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91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91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91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91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91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91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91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91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91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91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91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91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91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91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91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91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91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91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91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91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91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91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91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91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91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91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91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91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91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91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91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91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91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91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91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91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91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91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91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91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91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91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91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91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91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91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91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91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91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91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91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91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91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91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91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91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91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91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91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91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91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91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91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91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91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91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91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91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91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91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91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91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91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91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91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91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91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91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91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91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91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91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91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91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91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91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91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91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91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91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91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91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91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91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91">
        <v>44470</v>
      </c>
      <c r="B1235"/>
      <c r="C1235"/>
      <c r="D1235"/>
      <c r="E1235">
        <v>130.98908424300001</v>
      </c>
      <c r="F1235"/>
      <c r="G1235"/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/>
      <c r="P1235">
        <v>120.110009167</v>
      </c>
      <c r="Q1235"/>
      <c r="R1235"/>
      <c r="S1235">
        <v>98.54</v>
      </c>
      <c r="T1235"/>
      <c r="U1235">
        <v>104.10467825800001</v>
      </c>
      <c r="V1235">
        <v>120.95888130500001</v>
      </c>
      <c r="W1235">
        <v>115.809650804</v>
      </c>
      <c r="X1235"/>
      <c r="Y1235"/>
      <c r="Z1235"/>
      <c r="AA1235"/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/>
      <c r="AL1235">
        <v>139.30000000000001</v>
      </c>
      <c r="AM1235"/>
      <c r="AN1235"/>
      <c r="AO1235">
        <v>111.52788197</v>
      </c>
      <c r="AP1235"/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91">
        <v>44501</v>
      </c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>
        <v>101.383838535</v>
      </c>
      <c r="AT1236"/>
    </row>
    <row r="1237" spans="1:46" x14ac:dyDescent="0.2">
      <c r="A1237" s="91">
        <v>44531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91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81" customWidth="1"/>
  </cols>
  <sheetData>
    <row r="1" spans="1:4" x14ac:dyDescent="0.2">
      <c r="A1" t="s">
        <v>8</v>
      </c>
      <c r="B1" t="s">
        <v>540</v>
      </c>
      <c r="C1" t="s">
        <v>541</v>
      </c>
      <c r="D1" t="s">
        <v>542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492</v>
      </c>
      <c r="B4">
        <v>13011</v>
      </c>
      <c r="C4">
        <v>21.252284106983399</v>
      </c>
      <c r="D4" t="s">
        <v>506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534</v>
      </c>
    </row>
    <row r="13" spans="1:4" x14ac:dyDescent="0.2">
      <c r="A13" t="s">
        <v>456</v>
      </c>
      <c r="B13">
        <v>1484</v>
      </c>
      <c r="C13">
        <v>23.9879493606627</v>
      </c>
      <c r="D13" t="s">
        <v>537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523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339</v>
      </c>
      <c r="B53">
        <v>202</v>
      </c>
    </row>
    <row r="54" spans="1:2" x14ac:dyDescent="0.2">
      <c r="A54" t="s">
        <v>217</v>
      </c>
      <c r="B54">
        <v>192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522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329</v>
      </c>
      <c r="B74">
        <v>76</v>
      </c>
    </row>
    <row r="75" spans="1:2" x14ac:dyDescent="0.2">
      <c r="A75" t="s">
        <v>265</v>
      </c>
      <c r="B75">
        <v>73</v>
      </c>
    </row>
    <row r="76" spans="1:2" x14ac:dyDescent="0.2">
      <c r="A76" t="s">
        <v>179</v>
      </c>
      <c r="B76">
        <v>72</v>
      </c>
    </row>
    <row r="77" spans="1:2" x14ac:dyDescent="0.2">
      <c r="A77" t="s">
        <v>63</v>
      </c>
      <c r="B77">
        <v>69</v>
      </c>
    </row>
    <row r="78" spans="1:2" x14ac:dyDescent="0.2">
      <c r="A78" t="s">
        <v>397</v>
      </c>
      <c r="B78">
        <v>65</v>
      </c>
    </row>
    <row r="79" spans="1:2" x14ac:dyDescent="0.2">
      <c r="A79" t="s">
        <v>543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515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521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544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502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545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546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547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519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548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549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550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517</v>
      </c>
      <c r="B154">
        <v>8</v>
      </c>
    </row>
    <row r="155" spans="1:2" x14ac:dyDescent="0.2">
      <c r="A155" t="s">
        <v>516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524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518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513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552</v>
      </c>
      <c r="B18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58"/>
  <sheetViews>
    <sheetView tabSelected="1" topLeftCell="A301" workbookViewId="0">
      <selection activeCell="AW1" sqref="AW1"/>
    </sheetView>
  </sheetViews>
  <sheetFormatPr baseColWidth="10" defaultRowHeight="15" x14ac:dyDescent="0.2"/>
  <cols>
    <col min="1" max="1" width="20.1640625" style="81" customWidth="1"/>
  </cols>
  <sheetData>
    <row r="1" spans="1:3" x14ac:dyDescent="0.2">
      <c r="A1" t="s">
        <v>553</v>
      </c>
      <c r="B1" t="s">
        <v>554</v>
      </c>
      <c r="C1" t="s">
        <v>555</v>
      </c>
    </row>
    <row r="2" spans="1:3" x14ac:dyDescent="0.2">
      <c r="A2" s="91">
        <v>32932</v>
      </c>
      <c r="B2">
        <v>0.05</v>
      </c>
    </row>
    <row r="3" spans="1:3" x14ac:dyDescent="0.2">
      <c r="A3" s="91">
        <v>32963</v>
      </c>
      <c r="B3">
        <v>8.0000000000000002E-3</v>
      </c>
    </row>
    <row r="4" spans="1:3" x14ac:dyDescent="0.2">
      <c r="A4" s="91">
        <v>32993</v>
      </c>
      <c r="B4">
        <v>1.7000000000000001E-2</v>
      </c>
    </row>
    <row r="5" spans="1:3" x14ac:dyDescent="0.2">
      <c r="A5" s="91">
        <v>33024</v>
      </c>
      <c r="B5">
        <v>3.3000000000000002E-2</v>
      </c>
    </row>
    <row r="6" spans="1:3" x14ac:dyDescent="0.2">
      <c r="A6" s="91">
        <v>33054</v>
      </c>
      <c r="B6">
        <v>0.05</v>
      </c>
    </row>
    <row r="7" spans="1:3" x14ac:dyDescent="0.2">
      <c r="A7" s="91">
        <v>33085</v>
      </c>
      <c r="B7">
        <v>2.5000000000000001E-2</v>
      </c>
    </row>
    <row r="8" spans="1:3" x14ac:dyDescent="0.2">
      <c r="A8" s="91">
        <v>33116</v>
      </c>
      <c r="B8">
        <v>4.2000000000000003E-2</v>
      </c>
    </row>
    <row r="9" spans="1:3" x14ac:dyDescent="0.2">
      <c r="A9" s="91">
        <v>33146</v>
      </c>
      <c r="B9">
        <v>6.7000000000000004E-2</v>
      </c>
    </row>
    <row r="10" spans="1:3" x14ac:dyDescent="0.2">
      <c r="A10" s="91">
        <v>33177</v>
      </c>
      <c r="B10">
        <v>0.109</v>
      </c>
    </row>
    <row r="11" spans="1:3" x14ac:dyDescent="0.2">
      <c r="A11" s="91">
        <v>33207</v>
      </c>
      <c r="B11">
        <v>0.126</v>
      </c>
    </row>
    <row r="12" spans="1:3" x14ac:dyDescent="0.2">
      <c r="A12" s="91">
        <v>33238</v>
      </c>
      <c r="B12">
        <v>0.126</v>
      </c>
    </row>
    <row r="13" spans="1:3" x14ac:dyDescent="0.2">
      <c r="A13" s="91">
        <v>33269</v>
      </c>
      <c r="B13">
        <v>0.23499999999999999</v>
      </c>
    </row>
    <row r="14" spans="1:3" x14ac:dyDescent="0.2">
      <c r="A14" s="91">
        <v>33297</v>
      </c>
      <c r="B14">
        <v>9.1999999999999998E-2</v>
      </c>
    </row>
    <row r="15" spans="1:3" x14ac:dyDescent="0.2">
      <c r="A15" s="91">
        <v>33328</v>
      </c>
      <c r="B15">
        <v>0.109</v>
      </c>
    </row>
    <row r="16" spans="1:3" x14ac:dyDescent="0.2">
      <c r="A16" s="91">
        <v>33358</v>
      </c>
      <c r="B16">
        <v>0.109</v>
      </c>
    </row>
    <row r="17" spans="1:2" x14ac:dyDescent="0.2">
      <c r="A17" s="91">
        <v>33389</v>
      </c>
      <c r="B17">
        <v>0.109</v>
      </c>
    </row>
    <row r="18" spans="1:2" x14ac:dyDescent="0.2">
      <c r="A18" s="91">
        <v>33419</v>
      </c>
      <c r="B18">
        <v>9.1999999999999998E-2</v>
      </c>
    </row>
    <row r="19" spans="1:2" x14ac:dyDescent="0.2">
      <c r="A19" s="91">
        <v>33450</v>
      </c>
      <c r="B19">
        <v>0.109</v>
      </c>
    </row>
    <row r="20" spans="1:2" x14ac:dyDescent="0.2">
      <c r="A20" s="91">
        <v>33481</v>
      </c>
      <c r="B20">
        <v>0.11799999999999999</v>
      </c>
    </row>
    <row r="21" spans="1:2" x14ac:dyDescent="0.2">
      <c r="A21" s="91">
        <v>33511</v>
      </c>
      <c r="B21">
        <v>0.126</v>
      </c>
    </row>
    <row r="22" spans="1:2" x14ac:dyDescent="0.2">
      <c r="A22" s="91">
        <v>33542</v>
      </c>
      <c r="B22">
        <v>0.11799999999999999</v>
      </c>
    </row>
    <row r="23" spans="1:2" x14ac:dyDescent="0.2">
      <c r="A23" s="91">
        <v>33572</v>
      </c>
      <c r="B23">
        <v>7.5999999999999998E-2</v>
      </c>
    </row>
    <row r="24" spans="1:2" x14ac:dyDescent="0.2">
      <c r="A24" s="91">
        <v>33603</v>
      </c>
      <c r="B24">
        <v>0.05</v>
      </c>
    </row>
    <row r="25" spans="1:2" x14ac:dyDescent="0.2">
      <c r="A25" s="91">
        <v>33634</v>
      </c>
      <c r="B25">
        <v>0.109</v>
      </c>
    </row>
    <row r="26" spans="1:2" x14ac:dyDescent="0.2">
      <c r="A26" s="91">
        <v>33663</v>
      </c>
      <c r="B26">
        <v>0.185</v>
      </c>
    </row>
    <row r="27" spans="1:2" x14ac:dyDescent="0.2">
      <c r="A27" s="91">
        <v>33694</v>
      </c>
      <c r="B27">
        <v>0.16800000000000001</v>
      </c>
    </row>
    <row r="28" spans="1:2" x14ac:dyDescent="0.2">
      <c r="A28" s="91">
        <v>33724</v>
      </c>
      <c r="B28">
        <v>0.151</v>
      </c>
    </row>
    <row r="29" spans="1:2" x14ac:dyDescent="0.2">
      <c r="A29" s="91">
        <v>33755</v>
      </c>
      <c r="B29">
        <v>0.14299999999999999</v>
      </c>
    </row>
    <row r="30" spans="1:2" x14ac:dyDescent="0.2">
      <c r="A30" s="91">
        <v>33785</v>
      </c>
      <c r="B30">
        <v>0.16800000000000001</v>
      </c>
    </row>
    <row r="31" spans="1:2" x14ac:dyDescent="0.2">
      <c r="A31" s="91">
        <v>33816</v>
      </c>
      <c r="B31">
        <v>0.193</v>
      </c>
    </row>
    <row r="32" spans="1:2" x14ac:dyDescent="0.2">
      <c r="A32" s="91">
        <v>33847</v>
      </c>
      <c r="B32">
        <v>0.17599999999999999</v>
      </c>
    </row>
    <row r="33" spans="1:2" x14ac:dyDescent="0.2">
      <c r="A33" s="91">
        <v>33877</v>
      </c>
      <c r="B33">
        <v>0.17599999999999999</v>
      </c>
    </row>
    <row r="34" spans="1:2" x14ac:dyDescent="0.2">
      <c r="A34" s="91">
        <v>33908</v>
      </c>
      <c r="B34">
        <v>0.185</v>
      </c>
    </row>
    <row r="35" spans="1:2" x14ac:dyDescent="0.2">
      <c r="A35" s="91">
        <v>33938</v>
      </c>
      <c r="B35">
        <v>0.218</v>
      </c>
    </row>
    <row r="36" spans="1:2" x14ac:dyDescent="0.2">
      <c r="A36" s="91">
        <v>33969</v>
      </c>
      <c r="B36">
        <v>0.26900000000000002</v>
      </c>
    </row>
    <row r="37" spans="1:2" x14ac:dyDescent="0.2">
      <c r="A37" s="91">
        <v>34000</v>
      </c>
      <c r="B37">
        <v>8.4000000000000005E-2</v>
      </c>
    </row>
    <row r="38" spans="1:2" x14ac:dyDescent="0.2">
      <c r="A38" s="91">
        <v>34028</v>
      </c>
      <c r="B38">
        <v>0.27700000000000002</v>
      </c>
    </row>
    <row r="39" spans="1:2" x14ac:dyDescent="0.2">
      <c r="A39" s="91">
        <v>34059</v>
      </c>
      <c r="B39">
        <v>0.218</v>
      </c>
    </row>
    <row r="40" spans="1:2" x14ac:dyDescent="0.2">
      <c r="A40" s="91">
        <v>34089</v>
      </c>
      <c r="B40">
        <v>0.21</v>
      </c>
    </row>
    <row r="41" spans="1:2" x14ac:dyDescent="0.2">
      <c r="A41" s="91">
        <v>34120</v>
      </c>
      <c r="B41">
        <v>0.22700000000000001</v>
      </c>
    </row>
    <row r="42" spans="1:2" x14ac:dyDescent="0.2">
      <c r="A42" s="91">
        <v>34150</v>
      </c>
      <c r="B42">
        <v>0.252</v>
      </c>
    </row>
    <row r="43" spans="1:2" x14ac:dyDescent="0.2">
      <c r="A43" s="91">
        <v>34181</v>
      </c>
      <c r="B43">
        <v>0.21</v>
      </c>
    </row>
    <row r="44" spans="1:2" x14ac:dyDescent="0.2">
      <c r="A44" s="91">
        <v>34212</v>
      </c>
      <c r="B44">
        <v>0.193</v>
      </c>
    </row>
    <row r="45" spans="1:2" x14ac:dyDescent="0.2">
      <c r="A45" s="91">
        <v>34242</v>
      </c>
      <c r="B45">
        <v>0.16</v>
      </c>
    </row>
    <row r="46" spans="1:2" x14ac:dyDescent="0.2">
      <c r="A46" s="91">
        <v>34273</v>
      </c>
      <c r="B46">
        <v>0.13400000000000001</v>
      </c>
    </row>
    <row r="47" spans="1:2" x14ac:dyDescent="0.2">
      <c r="A47" s="91">
        <v>34303</v>
      </c>
      <c r="B47">
        <v>0.16</v>
      </c>
    </row>
    <row r="48" spans="1:2" x14ac:dyDescent="0.2">
      <c r="A48" s="91">
        <v>34334</v>
      </c>
      <c r="B48">
        <v>0.252</v>
      </c>
    </row>
    <row r="49" spans="1:2" x14ac:dyDescent="0.2">
      <c r="A49" s="91">
        <v>34365</v>
      </c>
      <c r="B49">
        <v>0.27700000000000002</v>
      </c>
    </row>
    <row r="50" spans="1:2" x14ac:dyDescent="0.2">
      <c r="A50" s="91">
        <v>34393</v>
      </c>
      <c r="B50">
        <v>3.4000000000000002E-2</v>
      </c>
    </row>
    <row r="51" spans="1:2" x14ac:dyDescent="0.2">
      <c r="A51" s="91">
        <v>34424</v>
      </c>
      <c r="B51">
        <v>0.16</v>
      </c>
    </row>
    <row r="52" spans="1:2" x14ac:dyDescent="0.2">
      <c r="A52" s="91">
        <v>34454</v>
      </c>
      <c r="B52">
        <v>0.16800000000000001</v>
      </c>
    </row>
    <row r="53" spans="1:2" x14ac:dyDescent="0.2">
      <c r="A53" s="91">
        <v>34485</v>
      </c>
      <c r="B53">
        <v>0.17599999999999999</v>
      </c>
    </row>
    <row r="54" spans="1:2" x14ac:dyDescent="0.2">
      <c r="A54" s="91">
        <v>34515</v>
      </c>
      <c r="B54">
        <v>0.151</v>
      </c>
    </row>
    <row r="55" spans="1:2" x14ac:dyDescent="0.2">
      <c r="A55" s="91">
        <v>34546</v>
      </c>
      <c r="B55">
        <v>0.151</v>
      </c>
    </row>
    <row r="56" spans="1:2" x14ac:dyDescent="0.2">
      <c r="A56" s="91">
        <v>34577</v>
      </c>
      <c r="B56">
        <v>0.29399999999999998</v>
      </c>
    </row>
    <row r="57" spans="1:2" x14ac:dyDescent="0.2">
      <c r="A57" s="91">
        <v>34607</v>
      </c>
      <c r="B57">
        <v>0.218</v>
      </c>
    </row>
    <row r="58" spans="1:2" x14ac:dyDescent="0.2">
      <c r="A58" s="91">
        <v>34638</v>
      </c>
      <c r="B58">
        <v>0.24399999999999999</v>
      </c>
    </row>
    <row r="59" spans="1:2" x14ac:dyDescent="0.2">
      <c r="A59" s="91">
        <v>34668</v>
      </c>
      <c r="B59">
        <v>0.23499999999999999</v>
      </c>
    </row>
    <row r="60" spans="1:2" x14ac:dyDescent="0.2">
      <c r="A60" s="91">
        <v>34699</v>
      </c>
      <c r="B60">
        <v>0.185</v>
      </c>
    </row>
    <row r="61" spans="1:2" x14ac:dyDescent="0.2">
      <c r="A61" s="91">
        <v>34730</v>
      </c>
      <c r="B61">
        <v>0.114</v>
      </c>
    </row>
    <row r="62" spans="1:2" x14ac:dyDescent="0.2">
      <c r="A62" s="91">
        <v>34758</v>
      </c>
      <c r="B62">
        <v>0.155</v>
      </c>
    </row>
    <row r="63" spans="1:2" x14ac:dyDescent="0.2">
      <c r="A63" s="91">
        <v>34789</v>
      </c>
      <c r="B63">
        <v>0.16400000000000001</v>
      </c>
    </row>
    <row r="64" spans="1:2" x14ac:dyDescent="0.2">
      <c r="A64" s="91">
        <v>34819</v>
      </c>
      <c r="B64">
        <v>0.154</v>
      </c>
    </row>
    <row r="65" spans="1:2" x14ac:dyDescent="0.2">
      <c r="A65" s="91">
        <v>34850</v>
      </c>
      <c r="B65">
        <v>0.13100000000000001</v>
      </c>
    </row>
    <row r="66" spans="1:2" x14ac:dyDescent="0.2">
      <c r="A66" s="91">
        <v>34880</v>
      </c>
      <c r="B66">
        <v>0.13900000000000001</v>
      </c>
    </row>
    <row r="67" spans="1:2" x14ac:dyDescent="0.2">
      <c r="A67" s="91">
        <v>34911</v>
      </c>
      <c r="B67">
        <v>0.13600000000000001</v>
      </c>
    </row>
    <row r="68" spans="1:2" x14ac:dyDescent="0.2">
      <c r="A68" s="91">
        <v>34942</v>
      </c>
      <c r="B68">
        <v>0.11799999999999999</v>
      </c>
    </row>
    <row r="69" spans="1:2" x14ac:dyDescent="0.2">
      <c r="A69" s="91">
        <v>34972</v>
      </c>
      <c r="B69">
        <v>0.114</v>
      </c>
    </row>
    <row r="70" spans="1:2" x14ac:dyDescent="0.2">
      <c r="A70" s="91">
        <v>35003</v>
      </c>
      <c r="B70">
        <v>0.129</v>
      </c>
    </row>
    <row r="71" spans="1:2" x14ac:dyDescent="0.2">
      <c r="A71" s="91">
        <v>35033</v>
      </c>
      <c r="B71">
        <v>0.121</v>
      </c>
    </row>
    <row r="72" spans="1:2" x14ac:dyDescent="0.2">
      <c r="A72" s="91">
        <v>35064</v>
      </c>
      <c r="B72">
        <v>0.14899999999999999</v>
      </c>
    </row>
    <row r="73" spans="1:2" x14ac:dyDescent="0.2">
      <c r="A73" s="91">
        <v>35095</v>
      </c>
      <c r="B73">
        <v>0.16900000000000001</v>
      </c>
    </row>
    <row r="74" spans="1:2" x14ac:dyDescent="0.2">
      <c r="A74" s="91">
        <v>35124</v>
      </c>
      <c r="B74">
        <v>0.122</v>
      </c>
    </row>
    <row r="75" spans="1:2" x14ac:dyDescent="0.2">
      <c r="A75" s="91">
        <v>35155</v>
      </c>
      <c r="B75">
        <v>0.122</v>
      </c>
    </row>
    <row r="76" spans="1:2" x14ac:dyDescent="0.2">
      <c r="A76" s="91">
        <v>35185</v>
      </c>
      <c r="B76">
        <v>0.13700000000000001</v>
      </c>
    </row>
    <row r="77" spans="1:2" x14ac:dyDescent="0.2">
      <c r="A77" s="91">
        <v>35216</v>
      </c>
      <c r="B77">
        <v>0.13100000000000001</v>
      </c>
    </row>
    <row r="78" spans="1:2" x14ac:dyDescent="0.2">
      <c r="A78" s="91">
        <v>35246</v>
      </c>
      <c r="B78">
        <v>0.13800000000000001</v>
      </c>
    </row>
    <row r="79" spans="1:2" x14ac:dyDescent="0.2">
      <c r="A79" s="91">
        <v>35277</v>
      </c>
      <c r="B79">
        <v>0.122</v>
      </c>
    </row>
    <row r="80" spans="1:2" x14ac:dyDescent="0.2">
      <c r="A80" s="91">
        <v>35308</v>
      </c>
      <c r="B80">
        <v>0.106</v>
      </c>
    </row>
    <row r="81" spans="1:2" x14ac:dyDescent="0.2">
      <c r="A81" s="91">
        <v>35338</v>
      </c>
      <c r="B81">
        <v>0.13700000000000001</v>
      </c>
    </row>
    <row r="82" spans="1:2" x14ac:dyDescent="0.2">
      <c r="A82" s="91">
        <v>35369</v>
      </c>
      <c r="B82">
        <v>0.13300000000000001</v>
      </c>
    </row>
    <row r="83" spans="1:2" x14ac:dyDescent="0.2">
      <c r="A83" s="91">
        <v>35399</v>
      </c>
      <c r="B83">
        <v>0.13400000000000001</v>
      </c>
    </row>
    <row r="84" spans="1:2" x14ac:dyDescent="0.2">
      <c r="A84" s="91">
        <v>35430</v>
      </c>
      <c r="B84">
        <v>0.14000000000000001</v>
      </c>
    </row>
    <row r="85" spans="1:2" x14ac:dyDescent="0.2">
      <c r="A85" s="91">
        <v>35461</v>
      </c>
      <c r="B85">
        <v>0.10299999999999999</v>
      </c>
    </row>
    <row r="86" spans="1:2" x14ac:dyDescent="0.2">
      <c r="A86" s="91">
        <v>35489</v>
      </c>
      <c r="B86">
        <v>0.104</v>
      </c>
    </row>
    <row r="87" spans="1:2" x14ac:dyDescent="0.2">
      <c r="A87" s="91">
        <v>35520</v>
      </c>
      <c r="B87">
        <v>0.13500000000000001</v>
      </c>
    </row>
    <row r="88" spans="1:2" x14ac:dyDescent="0.2">
      <c r="A88" s="91">
        <v>35550</v>
      </c>
      <c r="B88">
        <v>0.11899999999999999</v>
      </c>
    </row>
    <row r="89" spans="1:2" x14ac:dyDescent="0.2">
      <c r="A89" s="91">
        <v>35581</v>
      </c>
      <c r="B89">
        <v>0.11899999999999999</v>
      </c>
    </row>
    <row r="90" spans="1:2" x14ac:dyDescent="0.2">
      <c r="A90" s="91">
        <v>35611</v>
      </c>
      <c r="B90">
        <v>0.121</v>
      </c>
    </row>
    <row r="91" spans="1:2" x14ac:dyDescent="0.2">
      <c r="A91" s="91">
        <v>35642</v>
      </c>
      <c r="B91">
        <v>8.4000000000000005E-2</v>
      </c>
    </row>
    <row r="92" spans="1:2" x14ac:dyDescent="0.2">
      <c r="A92" s="91">
        <v>35673</v>
      </c>
      <c r="B92">
        <v>0.109</v>
      </c>
    </row>
    <row r="93" spans="1:2" x14ac:dyDescent="0.2">
      <c r="A93" s="91">
        <v>35703</v>
      </c>
      <c r="B93">
        <v>0.111</v>
      </c>
    </row>
    <row r="94" spans="1:2" x14ac:dyDescent="0.2">
      <c r="A94" s="91">
        <v>35734</v>
      </c>
      <c r="B94">
        <v>0.11799999999999999</v>
      </c>
    </row>
    <row r="95" spans="1:2" x14ac:dyDescent="0.2">
      <c r="A95" s="91">
        <v>35764</v>
      </c>
      <c r="B95">
        <v>0.11600000000000001</v>
      </c>
    </row>
    <row r="96" spans="1:2" x14ac:dyDescent="0.2">
      <c r="A96" s="91">
        <v>35795</v>
      </c>
      <c r="B96">
        <v>9.1999999999999998E-2</v>
      </c>
    </row>
    <row r="97" spans="1:2" x14ac:dyDescent="0.2">
      <c r="A97" s="91">
        <v>35826</v>
      </c>
      <c r="B97">
        <v>1.7999999999999999E-2</v>
      </c>
    </row>
    <row r="98" spans="1:2" x14ac:dyDescent="0.2">
      <c r="A98" s="91">
        <v>35854</v>
      </c>
      <c r="B98">
        <v>9.5000000000000001E-2</v>
      </c>
    </row>
    <row r="99" spans="1:2" x14ac:dyDescent="0.2">
      <c r="A99" s="91">
        <v>35885</v>
      </c>
      <c r="B99">
        <v>0.09</v>
      </c>
    </row>
    <row r="100" spans="1:2" x14ac:dyDescent="0.2">
      <c r="A100" s="91">
        <v>35915</v>
      </c>
      <c r="B100">
        <v>7.1999999999999995E-2</v>
      </c>
    </row>
    <row r="101" spans="1:2" x14ac:dyDescent="0.2">
      <c r="A101" s="91">
        <v>35946</v>
      </c>
      <c r="B101">
        <v>0.08</v>
      </c>
    </row>
    <row r="102" spans="1:2" x14ac:dyDescent="0.2">
      <c r="A102" s="91">
        <v>35976</v>
      </c>
      <c r="B102">
        <v>7.9000000000000001E-2</v>
      </c>
    </row>
    <row r="103" spans="1:2" x14ac:dyDescent="0.2">
      <c r="A103" s="91">
        <v>36007</v>
      </c>
      <c r="B103">
        <v>7.5999999999999998E-2</v>
      </c>
    </row>
    <row r="104" spans="1:2" x14ac:dyDescent="0.2">
      <c r="A104" s="91">
        <v>36038</v>
      </c>
      <c r="B104">
        <v>7.9000000000000001E-2</v>
      </c>
    </row>
    <row r="105" spans="1:2" x14ac:dyDescent="0.2">
      <c r="A105" s="91">
        <v>36068</v>
      </c>
      <c r="B105">
        <v>0.10199999999999999</v>
      </c>
    </row>
    <row r="106" spans="1:2" x14ac:dyDescent="0.2">
      <c r="A106" s="91">
        <v>36099</v>
      </c>
      <c r="B106">
        <v>0.106</v>
      </c>
    </row>
    <row r="107" spans="1:2" x14ac:dyDescent="0.2">
      <c r="A107" s="91">
        <v>36129</v>
      </c>
      <c r="B107">
        <v>0.11</v>
      </c>
    </row>
    <row r="108" spans="1:2" x14ac:dyDescent="0.2">
      <c r="A108" s="91">
        <v>36160</v>
      </c>
      <c r="B108">
        <v>0.115</v>
      </c>
    </row>
    <row r="109" spans="1:2" x14ac:dyDescent="0.2">
      <c r="A109" s="91">
        <v>36191</v>
      </c>
      <c r="B109">
        <v>0.17899999999999999</v>
      </c>
    </row>
    <row r="110" spans="1:2" x14ac:dyDescent="0.2">
      <c r="A110" s="91">
        <v>36219</v>
      </c>
      <c r="B110">
        <v>2.1000000000000001E-2</v>
      </c>
    </row>
    <row r="111" spans="1:2" x14ac:dyDescent="0.2">
      <c r="A111" s="91">
        <v>36250</v>
      </c>
      <c r="B111">
        <v>0.09</v>
      </c>
    </row>
    <row r="112" spans="1:2" x14ac:dyDescent="0.2">
      <c r="A112" s="91">
        <v>36280</v>
      </c>
      <c r="B112">
        <v>9.0999999999999998E-2</v>
      </c>
    </row>
    <row r="113" spans="1:2" x14ac:dyDescent="0.2">
      <c r="A113" s="91">
        <v>36311</v>
      </c>
      <c r="B113">
        <v>8.8999999999999996E-2</v>
      </c>
    </row>
    <row r="114" spans="1:2" x14ac:dyDescent="0.2">
      <c r="A114" s="91">
        <v>36341</v>
      </c>
      <c r="B114">
        <v>9.0999999999999998E-2</v>
      </c>
    </row>
    <row r="115" spans="1:2" x14ac:dyDescent="0.2">
      <c r="A115" s="91">
        <v>36372</v>
      </c>
      <c r="B115">
        <v>9.2999999999999999E-2</v>
      </c>
    </row>
    <row r="116" spans="1:2" x14ac:dyDescent="0.2">
      <c r="A116" s="91">
        <v>36403</v>
      </c>
      <c r="B116">
        <v>9.5000000000000001E-2</v>
      </c>
    </row>
    <row r="117" spans="1:2" x14ac:dyDescent="0.2">
      <c r="A117" s="91">
        <v>36433</v>
      </c>
      <c r="B117">
        <v>8.2000000000000003E-2</v>
      </c>
    </row>
    <row r="118" spans="1:2" x14ac:dyDescent="0.2">
      <c r="A118" s="91">
        <v>36464</v>
      </c>
      <c r="B118">
        <v>7.0000000000000007E-2</v>
      </c>
    </row>
    <row r="119" spans="1:2" x14ac:dyDescent="0.2">
      <c r="A119" s="91">
        <v>36494</v>
      </c>
      <c r="B119">
        <v>7.5999999999999998E-2</v>
      </c>
    </row>
    <row r="120" spans="1:2" x14ac:dyDescent="0.2">
      <c r="A120" s="91">
        <v>36525</v>
      </c>
      <c r="B120">
        <v>7.3999999999999996E-2</v>
      </c>
    </row>
    <row r="121" spans="1:2" x14ac:dyDescent="0.2">
      <c r="A121" s="91">
        <v>36556</v>
      </c>
      <c r="B121">
        <v>8.8999999999999996E-2</v>
      </c>
    </row>
    <row r="122" spans="1:2" x14ac:dyDescent="0.2">
      <c r="A122" s="91">
        <v>36585</v>
      </c>
      <c r="B122">
        <v>0.12</v>
      </c>
    </row>
    <row r="123" spans="1:2" x14ac:dyDescent="0.2">
      <c r="A123" s="91">
        <v>36616</v>
      </c>
      <c r="B123">
        <v>0.11899999999999999</v>
      </c>
    </row>
    <row r="124" spans="1:2" x14ac:dyDescent="0.2">
      <c r="A124" s="91">
        <v>36646</v>
      </c>
      <c r="B124">
        <v>0.114</v>
      </c>
    </row>
    <row r="125" spans="1:2" x14ac:dyDescent="0.2">
      <c r="A125" s="91">
        <v>36677</v>
      </c>
      <c r="B125">
        <v>0.115</v>
      </c>
    </row>
    <row r="126" spans="1:2" x14ac:dyDescent="0.2">
      <c r="A126" s="91">
        <v>36707</v>
      </c>
      <c r="B126">
        <v>0.122</v>
      </c>
    </row>
    <row r="127" spans="1:2" x14ac:dyDescent="0.2">
      <c r="A127" s="91">
        <v>36738</v>
      </c>
      <c r="B127">
        <v>0.128</v>
      </c>
    </row>
    <row r="128" spans="1:2" x14ac:dyDescent="0.2">
      <c r="A128" s="91">
        <v>36769</v>
      </c>
      <c r="B128">
        <v>0.128</v>
      </c>
    </row>
    <row r="129" spans="1:2" x14ac:dyDescent="0.2">
      <c r="A129" s="91">
        <v>36799</v>
      </c>
      <c r="B129">
        <v>0.12</v>
      </c>
    </row>
    <row r="130" spans="1:2" x14ac:dyDescent="0.2">
      <c r="A130" s="91">
        <v>36830</v>
      </c>
      <c r="B130">
        <v>0.114</v>
      </c>
    </row>
    <row r="131" spans="1:2" x14ac:dyDescent="0.2">
      <c r="A131" s="91">
        <v>36860</v>
      </c>
      <c r="B131">
        <v>0.106</v>
      </c>
    </row>
    <row r="132" spans="1:2" x14ac:dyDescent="0.2">
      <c r="A132" s="91">
        <v>36891</v>
      </c>
      <c r="B132">
        <v>0.104</v>
      </c>
    </row>
    <row r="133" spans="1:2" x14ac:dyDescent="0.2">
      <c r="A133" s="91">
        <v>36922</v>
      </c>
      <c r="B133">
        <v>2.3E-2</v>
      </c>
    </row>
    <row r="134" spans="1:2" x14ac:dyDescent="0.2">
      <c r="A134" s="91">
        <v>36950</v>
      </c>
      <c r="B134">
        <v>0.19</v>
      </c>
    </row>
    <row r="135" spans="1:2" x14ac:dyDescent="0.2">
      <c r="A135" s="91">
        <v>36981</v>
      </c>
      <c r="B135">
        <v>0.121</v>
      </c>
    </row>
    <row r="136" spans="1:2" x14ac:dyDescent="0.2">
      <c r="A136" s="91">
        <v>37011</v>
      </c>
      <c r="B136">
        <v>0.115</v>
      </c>
    </row>
    <row r="137" spans="1:2" x14ac:dyDescent="0.2">
      <c r="A137" s="91">
        <v>37042</v>
      </c>
      <c r="B137">
        <v>0.10199999999999999</v>
      </c>
    </row>
    <row r="138" spans="1:2" x14ac:dyDescent="0.2">
      <c r="A138" s="91">
        <v>37072</v>
      </c>
      <c r="B138">
        <v>0.10100000000000001</v>
      </c>
    </row>
    <row r="139" spans="1:2" x14ac:dyDescent="0.2">
      <c r="A139" s="91">
        <v>37103</v>
      </c>
      <c r="B139">
        <v>8.1000000000000003E-2</v>
      </c>
    </row>
    <row r="140" spans="1:2" x14ac:dyDescent="0.2">
      <c r="A140" s="91">
        <v>37134</v>
      </c>
      <c r="B140">
        <v>8.1000000000000003E-2</v>
      </c>
    </row>
    <row r="141" spans="1:2" x14ac:dyDescent="0.2">
      <c r="A141" s="91">
        <v>37164</v>
      </c>
      <c r="B141">
        <v>9.5000000000000001E-2</v>
      </c>
    </row>
    <row r="142" spans="1:2" x14ac:dyDescent="0.2">
      <c r="A142" s="91">
        <v>37195</v>
      </c>
      <c r="B142">
        <v>8.7999999999999995E-2</v>
      </c>
    </row>
    <row r="143" spans="1:2" x14ac:dyDescent="0.2">
      <c r="A143" s="91">
        <v>37225</v>
      </c>
      <c r="B143">
        <v>7.9000000000000001E-2</v>
      </c>
    </row>
    <row r="144" spans="1:2" x14ac:dyDescent="0.2">
      <c r="A144" s="91">
        <v>37256</v>
      </c>
      <c r="B144">
        <v>8.6999999999999994E-2</v>
      </c>
    </row>
    <row r="145" spans="1:2" x14ac:dyDescent="0.2">
      <c r="A145" s="91">
        <v>37287</v>
      </c>
      <c r="B145">
        <v>0.186</v>
      </c>
    </row>
    <row r="146" spans="1:2" x14ac:dyDescent="0.2">
      <c r="A146" s="91">
        <v>37315</v>
      </c>
      <c r="B146">
        <v>2.7E-2</v>
      </c>
    </row>
    <row r="147" spans="1:2" x14ac:dyDescent="0.2">
      <c r="A147" s="91">
        <v>37346</v>
      </c>
      <c r="B147">
        <v>0.109</v>
      </c>
    </row>
    <row r="148" spans="1:2" x14ac:dyDescent="0.2">
      <c r="A148" s="91">
        <v>37376</v>
      </c>
      <c r="B148">
        <v>0.121</v>
      </c>
    </row>
    <row r="149" spans="1:2" x14ac:dyDescent="0.2">
      <c r="A149" s="91">
        <v>37407</v>
      </c>
      <c r="B149">
        <v>0.129</v>
      </c>
    </row>
    <row r="150" spans="1:2" x14ac:dyDescent="0.2">
      <c r="A150" s="91">
        <v>37437</v>
      </c>
      <c r="B150">
        <v>0.124</v>
      </c>
    </row>
    <row r="151" spans="1:2" x14ac:dyDescent="0.2">
      <c r="A151" s="91">
        <v>37468</v>
      </c>
      <c r="B151">
        <v>0.128</v>
      </c>
    </row>
    <row r="152" spans="1:2" x14ac:dyDescent="0.2">
      <c r="A152" s="91">
        <v>37499</v>
      </c>
      <c r="B152">
        <v>0.127</v>
      </c>
    </row>
    <row r="153" spans="1:2" x14ac:dyDescent="0.2">
      <c r="A153" s="91">
        <v>37529</v>
      </c>
      <c r="B153">
        <v>0.13800000000000001</v>
      </c>
    </row>
    <row r="154" spans="1:2" x14ac:dyDescent="0.2">
      <c r="A154" s="91">
        <v>37560</v>
      </c>
      <c r="B154">
        <v>0.14199999999999999</v>
      </c>
    </row>
    <row r="155" spans="1:2" x14ac:dyDescent="0.2">
      <c r="A155" s="91">
        <v>37590</v>
      </c>
      <c r="B155">
        <v>0.14499999999999999</v>
      </c>
    </row>
    <row r="156" spans="1:2" x14ac:dyDescent="0.2">
      <c r="A156" s="91">
        <v>37621</v>
      </c>
      <c r="B156">
        <v>0.14899999999999999</v>
      </c>
    </row>
    <row r="157" spans="1:2" x14ac:dyDescent="0.2">
      <c r="A157" s="91">
        <v>37652</v>
      </c>
      <c r="B157">
        <v>0.14799999999999999</v>
      </c>
    </row>
    <row r="158" spans="1:2" x14ac:dyDescent="0.2">
      <c r="A158" s="91">
        <v>37680</v>
      </c>
      <c r="B158">
        <v>0.19800000000000001</v>
      </c>
    </row>
    <row r="159" spans="1:2" x14ac:dyDescent="0.2">
      <c r="A159" s="91">
        <v>37711</v>
      </c>
      <c r="B159">
        <v>0.16900000000000001</v>
      </c>
    </row>
    <row r="160" spans="1:2" x14ac:dyDescent="0.2">
      <c r="A160" s="91">
        <v>37741</v>
      </c>
      <c r="B160">
        <v>0.14899999999999999</v>
      </c>
    </row>
    <row r="161" spans="1:2" x14ac:dyDescent="0.2">
      <c r="A161" s="91">
        <v>37772</v>
      </c>
      <c r="B161">
        <v>0.13700000000000001</v>
      </c>
    </row>
    <row r="162" spans="1:2" x14ac:dyDescent="0.2">
      <c r="A162" s="91">
        <v>37802</v>
      </c>
      <c r="B162">
        <v>0.16900000000000001</v>
      </c>
    </row>
    <row r="163" spans="1:2" x14ac:dyDescent="0.2">
      <c r="A163" s="91">
        <v>37833</v>
      </c>
      <c r="B163">
        <v>0.16500000000000001</v>
      </c>
    </row>
    <row r="164" spans="1:2" x14ac:dyDescent="0.2">
      <c r="A164" s="91">
        <v>37864</v>
      </c>
      <c r="B164">
        <v>0.17100000000000001</v>
      </c>
    </row>
    <row r="165" spans="1:2" x14ac:dyDescent="0.2">
      <c r="A165" s="91">
        <v>37894</v>
      </c>
      <c r="B165">
        <v>0.16300000000000001</v>
      </c>
    </row>
    <row r="166" spans="1:2" x14ac:dyDescent="0.2">
      <c r="A166" s="91">
        <v>37925</v>
      </c>
      <c r="B166">
        <v>0.17199999999999999</v>
      </c>
    </row>
    <row r="167" spans="1:2" x14ac:dyDescent="0.2">
      <c r="A167" s="91">
        <v>37955</v>
      </c>
      <c r="B167">
        <v>0.17899999999999999</v>
      </c>
    </row>
    <row r="168" spans="1:2" x14ac:dyDescent="0.2">
      <c r="A168" s="91">
        <v>37986</v>
      </c>
      <c r="B168">
        <v>0.18099999999999999</v>
      </c>
    </row>
    <row r="169" spans="1:2" x14ac:dyDescent="0.2">
      <c r="A169" s="91">
        <v>38017</v>
      </c>
      <c r="B169">
        <v>7.1999999999999995E-2</v>
      </c>
    </row>
    <row r="170" spans="1:2" x14ac:dyDescent="0.2">
      <c r="A170" s="91">
        <v>38046</v>
      </c>
      <c r="B170">
        <v>0.23200000000000001</v>
      </c>
    </row>
    <row r="171" spans="1:2" x14ac:dyDescent="0.2">
      <c r="A171" s="91">
        <v>38077</v>
      </c>
      <c r="B171">
        <v>0.19400000000000001</v>
      </c>
    </row>
    <row r="172" spans="1:2" x14ac:dyDescent="0.2">
      <c r="A172" s="91">
        <v>38107</v>
      </c>
      <c r="B172">
        <v>0.191</v>
      </c>
    </row>
    <row r="173" spans="1:2" x14ac:dyDescent="0.2">
      <c r="A173" s="91">
        <v>38138</v>
      </c>
      <c r="B173">
        <v>0.17499999999999999</v>
      </c>
    </row>
    <row r="174" spans="1:2" x14ac:dyDescent="0.2">
      <c r="A174" s="91">
        <v>38168</v>
      </c>
      <c r="B174">
        <v>0.16200000000000001</v>
      </c>
    </row>
    <row r="175" spans="1:2" x14ac:dyDescent="0.2">
      <c r="A175" s="91">
        <v>38199</v>
      </c>
      <c r="B175">
        <v>0.155</v>
      </c>
    </row>
    <row r="176" spans="1:2" x14ac:dyDescent="0.2">
      <c r="A176" s="91">
        <v>38230</v>
      </c>
      <c r="B176">
        <v>0.159</v>
      </c>
    </row>
    <row r="177" spans="1:3" x14ac:dyDescent="0.2">
      <c r="A177" s="91">
        <v>38260</v>
      </c>
      <c r="B177">
        <v>0.161</v>
      </c>
    </row>
    <row r="178" spans="1:3" x14ac:dyDescent="0.2">
      <c r="A178" s="91">
        <v>38291</v>
      </c>
      <c r="B178">
        <v>0.157</v>
      </c>
    </row>
    <row r="179" spans="1:3" x14ac:dyDescent="0.2">
      <c r="A179" s="91">
        <v>38321</v>
      </c>
      <c r="B179">
        <v>0.14799999999999999</v>
      </c>
    </row>
    <row r="180" spans="1:3" x14ac:dyDescent="0.2">
      <c r="A180" s="91">
        <v>38352</v>
      </c>
      <c r="B180">
        <v>0.14399999999999999</v>
      </c>
    </row>
    <row r="181" spans="1:3" x14ac:dyDescent="0.2">
      <c r="A181" s="91">
        <v>38383</v>
      </c>
      <c r="B181">
        <v>0.20899999999999999</v>
      </c>
      <c r="C181">
        <v>52.1</v>
      </c>
    </row>
    <row r="182" spans="1:3" x14ac:dyDescent="0.2">
      <c r="A182" s="91">
        <v>38411</v>
      </c>
      <c r="B182">
        <v>7.5999999999999998E-2</v>
      </c>
      <c r="C182">
        <v>52.9</v>
      </c>
    </row>
    <row r="183" spans="1:3" x14ac:dyDescent="0.2">
      <c r="A183" s="91">
        <v>38442</v>
      </c>
      <c r="B183">
        <v>0.151</v>
      </c>
      <c r="C183">
        <v>55.2</v>
      </c>
    </row>
    <row r="184" spans="1:3" x14ac:dyDescent="0.2">
      <c r="A184" s="91">
        <v>38472</v>
      </c>
      <c r="B184">
        <v>0.16</v>
      </c>
      <c r="C184">
        <v>54.4</v>
      </c>
    </row>
    <row r="185" spans="1:3" x14ac:dyDescent="0.2">
      <c r="A185" s="91">
        <v>38503</v>
      </c>
      <c r="B185">
        <v>0.16600000000000001</v>
      </c>
      <c r="C185">
        <v>53.3</v>
      </c>
    </row>
    <row r="186" spans="1:3" x14ac:dyDescent="0.2">
      <c r="A186" s="91">
        <v>38533</v>
      </c>
      <c r="B186">
        <v>0.16800000000000001</v>
      </c>
      <c r="C186">
        <v>51</v>
      </c>
    </row>
    <row r="187" spans="1:3" x14ac:dyDescent="0.2">
      <c r="A187" s="91">
        <v>38564</v>
      </c>
      <c r="B187">
        <v>0.161</v>
      </c>
      <c r="C187">
        <v>51.5</v>
      </c>
    </row>
    <row r="188" spans="1:3" x14ac:dyDescent="0.2">
      <c r="A188" s="91">
        <v>38595</v>
      </c>
      <c r="B188">
        <v>0.16</v>
      </c>
      <c r="C188">
        <v>50.6</v>
      </c>
    </row>
    <row r="189" spans="1:3" x14ac:dyDescent="0.2">
      <c r="A189" s="91">
        <v>38625</v>
      </c>
      <c r="B189">
        <v>0.16500000000000001</v>
      </c>
      <c r="C189">
        <v>50.9</v>
      </c>
    </row>
    <row r="190" spans="1:3" x14ac:dyDescent="0.2">
      <c r="A190" s="91">
        <v>38656</v>
      </c>
      <c r="B190">
        <v>0.161</v>
      </c>
      <c r="C190">
        <v>50.1</v>
      </c>
    </row>
    <row r="191" spans="1:3" x14ac:dyDescent="0.2">
      <c r="A191" s="91">
        <v>38686</v>
      </c>
      <c r="B191">
        <v>0.16600000000000001</v>
      </c>
      <c r="C191">
        <v>49.8</v>
      </c>
    </row>
    <row r="192" spans="1:3" x14ac:dyDescent="0.2">
      <c r="A192" s="91">
        <v>38717</v>
      </c>
      <c r="B192">
        <v>0.16500000000000001</v>
      </c>
      <c r="C192">
        <v>50.1</v>
      </c>
    </row>
    <row r="193" spans="1:3" x14ac:dyDescent="0.2">
      <c r="A193" s="91">
        <v>38776</v>
      </c>
      <c r="B193">
        <v>0.20100000000000001</v>
      </c>
      <c r="C193">
        <v>50.7</v>
      </c>
    </row>
    <row r="194" spans="1:3" x14ac:dyDescent="0.2">
      <c r="A194" s="91">
        <v>38807</v>
      </c>
      <c r="B194">
        <v>0.17799999999999999</v>
      </c>
      <c r="C194">
        <v>51</v>
      </c>
    </row>
    <row r="195" spans="1:3" x14ac:dyDescent="0.2">
      <c r="A195" s="91">
        <v>38837</v>
      </c>
      <c r="B195">
        <v>0.16600000000000001</v>
      </c>
      <c r="C195">
        <v>52.7</v>
      </c>
    </row>
    <row r="196" spans="1:3" x14ac:dyDescent="0.2">
      <c r="A196" s="91">
        <v>38868</v>
      </c>
      <c r="B196">
        <v>0.17899999999999999</v>
      </c>
      <c r="C196">
        <v>52.8</v>
      </c>
    </row>
    <row r="197" spans="1:3" x14ac:dyDescent="0.2">
      <c r="A197" s="91">
        <v>38898</v>
      </c>
      <c r="B197">
        <v>0.19500000000000001</v>
      </c>
      <c r="C197">
        <v>52.9</v>
      </c>
    </row>
    <row r="198" spans="1:3" x14ac:dyDescent="0.2">
      <c r="A198" s="91">
        <v>38929</v>
      </c>
      <c r="B198">
        <v>0.16700000000000001</v>
      </c>
      <c r="C198">
        <v>53</v>
      </c>
    </row>
    <row r="199" spans="1:3" x14ac:dyDescent="0.2">
      <c r="A199" s="91">
        <v>38960</v>
      </c>
      <c r="B199">
        <v>0.157</v>
      </c>
      <c r="C199">
        <v>52.6</v>
      </c>
    </row>
    <row r="200" spans="1:3" x14ac:dyDescent="0.2">
      <c r="A200" s="91">
        <v>38990</v>
      </c>
      <c r="B200">
        <v>0.161</v>
      </c>
      <c r="C200">
        <v>52.4</v>
      </c>
    </row>
    <row r="201" spans="1:3" x14ac:dyDescent="0.2">
      <c r="A201" s="91">
        <v>39021</v>
      </c>
      <c r="B201">
        <v>0.14699999999999999</v>
      </c>
      <c r="C201">
        <v>52.1</v>
      </c>
    </row>
    <row r="202" spans="1:3" x14ac:dyDescent="0.2">
      <c r="A202" s="91">
        <v>39051</v>
      </c>
      <c r="B202">
        <v>0.14899999999999999</v>
      </c>
      <c r="C202">
        <v>53</v>
      </c>
    </row>
    <row r="203" spans="1:3" x14ac:dyDescent="0.2">
      <c r="A203" s="91">
        <v>39082</v>
      </c>
      <c r="B203">
        <v>0.14699999999999999</v>
      </c>
      <c r="C203">
        <v>52.4</v>
      </c>
    </row>
    <row r="204" spans="1:3" x14ac:dyDescent="0.2">
      <c r="A204" s="91">
        <v>39141</v>
      </c>
      <c r="B204">
        <v>0.126</v>
      </c>
      <c r="C204">
        <v>53</v>
      </c>
    </row>
    <row r="205" spans="1:3" x14ac:dyDescent="0.2">
      <c r="A205" s="91">
        <v>39172</v>
      </c>
      <c r="B205">
        <v>0.17599999999999999</v>
      </c>
      <c r="C205">
        <v>52.3</v>
      </c>
    </row>
    <row r="206" spans="1:3" x14ac:dyDescent="0.2">
      <c r="A206" s="91">
        <v>39202</v>
      </c>
      <c r="B206">
        <v>0.17399999999999999</v>
      </c>
      <c r="C206">
        <v>53.3</v>
      </c>
    </row>
    <row r="207" spans="1:3" x14ac:dyDescent="0.2">
      <c r="A207" s="91">
        <v>39233</v>
      </c>
      <c r="B207">
        <v>0.18099999999999999</v>
      </c>
      <c r="C207">
        <v>54.1</v>
      </c>
    </row>
    <row r="208" spans="1:3" x14ac:dyDescent="0.2">
      <c r="A208" s="91">
        <v>39263</v>
      </c>
      <c r="B208">
        <v>0.19400000000000001</v>
      </c>
      <c r="C208">
        <v>55</v>
      </c>
    </row>
    <row r="209" spans="1:3" x14ac:dyDescent="0.2">
      <c r="A209" s="91">
        <v>39294</v>
      </c>
      <c r="B209">
        <v>0.18</v>
      </c>
      <c r="C209">
        <v>53.2</v>
      </c>
    </row>
    <row r="210" spans="1:3" x14ac:dyDescent="0.2">
      <c r="A210" s="91">
        <v>39325</v>
      </c>
      <c r="B210">
        <v>0.17499999999999999</v>
      </c>
      <c r="C210">
        <v>53.4</v>
      </c>
    </row>
    <row r="211" spans="1:3" x14ac:dyDescent="0.2">
      <c r="A211" s="91">
        <v>39355</v>
      </c>
      <c r="B211">
        <v>0.189</v>
      </c>
      <c r="C211">
        <v>55</v>
      </c>
    </row>
    <row r="212" spans="1:3" x14ac:dyDescent="0.2">
      <c r="A212" s="91">
        <v>39386</v>
      </c>
      <c r="B212">
        <v>0.17899999999999999</v>
      </c>
      <c r="C212">
        <v>55.2</v>
      </c>
    </row>
    <row r="213" spans="1:3" x14ac:dyDescent="0.2">
      <c r="A213" s="91">
        <v>39416</v>
      </c>
      <c r="B213">
        <v>0.17299999999999999</v>
      </c>
      <c r="C213">
        <v>52.8</v>
      </c>
    </row>
    <row r="214" spans="1:3" x14ac:dyDescent="0.2">
      <c r="A214" s="91">
        <v>39447</v>
      </c>
      <c r="B214">
        <v>0.17399999999999999</v>
      </c>
      <c r="C214">
        <v>53.3</v>
      </c>
    </row>
    <row r="215" spans="1:3" x14ac:dyDescent="0.2">
      <c r="A215" s="91">
        <v>39507</v>
      </c>
      <c r="B215">
        <v>0.154</v>
      </c>
      <c r="C215">
        <v>52.8</v>
      </c>
    </row>
    <row r="216" spans="1:3" x14ac:dyDescent="0.2">
      <c r="A216" s="91">
        <v>39538</v>
      </c>
      <c r="B216">
        <v>0.17799999999999999</v>
      </c>
      <c r="C216">
        <v>54.4</v>
      </c>
    </row>
    <row r="217" spans="1:3" x14ac:dyDescent="0.2">
      <c r="A217" s="91">
        <v>39568</v>
      </c>
      <c r="B217">
        <v>0.157</v>
      </c>
      <c r="C217">
        <v>55.4</v>
      </c>
    </row>
    <row r="218" spans="1:3" x14ac:dyDescent="0.2">
      <c r="A218" s="91">
        <v>39599</v>
      </c>
      <c r="B218">
        <v>0.16</v>
      </c>
      <c r="C218">
        <v>54.7</v>
      </c>
    </row>
    <row r="219" spans="1:3" x14ac:dyDescent="0.2">
      <c r="A219" s="91">
        <v>39629</v>
      </c>
      <c r="B219">
        <v>0.16</v>
      </c>
      <c r="C219">
        <v>53.3</v>
      </c>
    </row>
    <row r="220" spans="1:3" x14ac:dyDescent="0.2">
      <c r="A220" s="91">
        <v>39660</v>
      </c>
      <c r="B220">
        <v>0.14699999999999999</v>
      </c>
      <c r="C220">
        <v>53.3</v>
      </c>
    </row>
    <row r="221" spans="1:3" x14ac:dyDescent="0.2">
      <c r="A221" s="91">
        <v>39691</v>
      </c>
      <c r="B221">
        <v>0.128</v>
      </c>
      <c r="C221">
        <v>49.2</v>
      </c>
    </row>
    <row r="222" spans="1:3" x14ac:dyDescent="0.2">
      <c r="A222" s="91">
        <v>39721</v>
      </c>
      <c r="B222">
        <v>0.114</v>
      </c>
      <c r="C222">
        <v>47.7</v>
      </c>
    </row>
    <row r="223" spans="1:3" x14ac:dyDescent="0.2">
      <c r="A223" s="91">
        <v>39752</v>
      </c>
      <c r="B223">
        <v>8.2000000000000003E-2</v>
      </c>
      <c r="C223">
        <v>45.2</v>
      </c>
    </row>
    <row r="224" spans="1:3" x14ac:dyDescent="0.2">
      <c r="A224" s="91">
        <v>39782</v>
      </c>
      <c r="B224">
        <v>5.3999999999999999E-2</v>
      </c>
      <c r="C224">
        <v>40.9</v>
      </c>
    </row>
    <row r="225" spans="1:3" x14ac:dyDescent="0.2">
      <c r="A225" s="91">
        <v>39813</v>
      </c>
      <c r="B225">
        <v>5.7000000000000002E-2</v>
      </c>
      <c r="C225">
        <v>41.2</v>
      </c>
    </row>
    <row r="226" spans="1:3" x14ac:dyDescent="0.2">
      <c r="A226" s="91">
        <v>39872</v>
      </c>
      <c r="B226">
        <v>0.11</v>
      </c>
      <c r="C226">
        <v>45.1</v>
      </c>
    </row>
    <row r="227" spans="1:3" x14ac:dyDescent="0.2">
      <c r="A227" s="91">
        <v>39903</v>
      </c>
      <c r="B227">
        <v>8.3000000000000004E-2</v>
      </c>
      <c r="C227">
        <v>44.8</v>
      </c>
    </row>
    <row r="228" spans="1:3" x14ac:dyDescent="0.2">
      <c r="A228" s="91">
        <v>39933</v>
      </c>
      <c r="B228">
        <v>7.2999999999999995E-2</v>
      </c>
      <c r="C228">
        <v>50.1</v>
      </c>
    </row>
    <row r="229" spans="1:3" x14ac:dyDescent="0.2">
      <c r="A229" s="91">
        <v>39964</v>
      </c>
      <c r="B229">
        <v>8.8999999999999996E-2</v>
      </c>
      <c r="C229">
        <v>51.2</v>
      </c>
    </row>
    <row r="230" spans="1:3" x14ac:dyDescent="0.2">
      <c r="A230" s="91">
        <v>39994</v>
      </c>
      <c r="B230">
        <v>0.107</v>
      </c>
      <c r="C230">
        <v>51.8</v>
      </c>
    </row>
    <row r="231" spans="1:3" x14ac:dyDescent="0.2">
      <c r="A231" s="91">
        <v>40025</v>
      </c>
      <c r="B231">
        <v>0.108</v>
      </c>
      <c r="C231">
        <v>52.8</v>
      </c>
    </row>
    <row r="232" spans="1:3" x14ac:dyDescent="0.2">
      <c r="A232" s="91">
        <v>40056</v>
      </c>
      <c r="B232">
        <v>0.123</v>
      </c>
      <c r="C232">
        <v>55.1</v>
      </c>
    </row>
    <row r="233" spans="1:3" x14ac:dyDescent="0.2">
      <c r="A233" s="91">
        <v>40086</v>
      </c>
      <c r="B233">
        <v>0.13900000000000001</v>
      </c>
      <c r="C233">
        <v>55</v>
      </c>
    </row>
    <row r="234" spans="1:3" x14ac:dyDescent="0.2">
      <c r="A234" s="91">
        <v>40117</v>
      </c>
      <c r="B234">
        <v>0.161</v>
      </c>
      <c r="C234">
        <v>55.4</v>
      </c>
    </row>
    <row r="235" spans="1:3" x14ac:dyDescent="0.2">
      <c r="A235" s="91">
        <v>40147</v>
      </c>
      <c r="B235">
        <v>0.192</v>
      </c>
      <c r="C235">
        <v>55.7</v>
      </c>
    </row>
    <row r="236" spans="1:3" x14ac:dyDescent="0.2">
      <c r="A236" s="91">
        <v>40178</v>
      </c>
      <c r="B236">
        <v>0.185</v>
      </c>
      <c r="C236">
        <v>56.1</v>
      </c>
    </row>
    <row r="237" spans="1:3" x14ac:dyDescent="0.2">
      <c r="A237" s="91">
        <v>40237</v>
      </c>
      <c r="B237">
        <v>0.128</v>
      </c>
      <c r="C237">
        <v>55.8</v>
      </c>
    </row>
    <row r="238" spans="1:3" x14ac:dyDescent="0.2">
      <c r="A238" s="91">
        <v>40268</v>
      </c>
      <c r="B238">
        <v>0.18099999999999999</v>
      </c>
      <c r="C238">
        <v>57</v>
      </c>
    </row>
    <row r="239" spans="1:3" x14ac:dyDescent="0.2">
      <c r="A239" s="91">
        <v>40298</v>
      </c>
      <c r="B239">
        <v>0.17799999999999999</v>
      </c>
      <c r="C239">
        <v>55.4</v>
      </c>
    </row>
    <row r="240" spans="1:3" x14ac:dyDescent="0.2">
      <c r="A240" s="91">
        <v>40329</v>
      </c>
      <c r="B240">
        <v>0.16500000000000001</v>
      </c>
      <c r="C240">
        <v>52.7</v>
      </c>
    </row>
    <row r="241" spans="1:3" x14ac:dyDescent="0.2">
      <c r="A241" s="91">
        <v>40359</v>
      </c>
      <c r="B241">
        <v>0.13700000000000001</v>
      </c>
      <c r="C241">
        <v>50.4</v>
      </c>
    </row>
    <row r="242" spans="1:3" x14ac:dyDescent="0.2">
      <c r="A242" s="91">
        <v>40390</v>
      </c>
      <c r="B242">
        <v>0.13400000000000001</v>
      </c>
      <c r="C242">
        <v>49.4</v>
      </c>
    </row>
    <row r="243" spans="1:3" x14ac:dyDescent="0.2">
      <c r="A243" s="91">
        <v>40421</v>
      </c>
      <c r="B243">
        <v>0.13900000000000001</v>
      </c>
      <c r="C243">
        <v>51.9</v>
      </c>
    </row>
    <row r="244" spans="1:3" x14ac:dyDescent="0.2">
      <c r="A244" s="91">
        <v>40451</v>
      </c>
      <c r="B244">
        <v>0.13300000000000001</v>
      </c>
      <c r="C244">
        <v>52.9</v>
      </c>
    </row>
    <row r="245" spans="1:3" x14ac:dyDescent="0.2">
      <c r="A245" s="91">
        <v>40482</v>
      </c>
      <c r="B245">
        <v>0.13100000000000001</v>
      </c>
      <c r="C245">
        <v>54.8</v>
      </c>
    </row>
    <row r="246" spans="1:3" x14ac:dyDescent="0.2">
      <c r="A246" s="91">
        <v>40512</v>
      </c>
      <c r="B246">
        <v>0.13300000000000001</v>
      </c>
      <c r="C246">
        <v>55.3</v>
      </c>
    </row>
    <row r="247" spans="1:3" x14ac:dyDescent="0.2">
      <c r="A247" s="91">
        <v>40543</v>
      </c>
      <c r="B247">
        <v>0.13500000000000001</v>
      </c>
      <c r="C247">
        <v>54.4</v>
      </c>
    </row>
    <row r="248" spans="1:3" x14ac:dyDescent="0.2">
      <c r="A248" s="91">
        <v>40602</v>
      </c>
      <c r="B248">
        <v>0.14099999999999999</v>
      </c>
      <c r="C248">
        <v>51.7</v>
      </c>
    </row>
    <row r="249" spans="1:3" x14ac:dyDescent="0.2">
      <c r="A249" s="91">
        <v>40633</v>
      </c>
      <c r="B249">
        <v>0.14799999999999999</v>
      </c>
      <c r="C249">
        <v>51.8</v>
      </c>
    </row>
    <row r="250" spans="1:3" x14ac:dyDescent="0.2">
      <c r="A250" s="91">
        <v>40663</v>
      </c>
      <c r="B250">
        <v>0.13400000000000001</v>
      </c>
      <c r="C250">
        <v>51.8</v>
      </c>
    </row>
    <row r="251" spans="1:3" x14ac:dyDescent="0.2">
      <c r="A251" s="91">
        <v>40694</v>
      </c>
      <c r="B251">
        <v>0.13300000000000001</v>
      </c>
      <c r="C251">
        <v>51.6</v>
      </c>
    </row>
    <row r="252" spans="1:3" x14ac:dyDescent="0.2">
      <c r="A252" s="91">
        <v>40724</v>
      </c>
      <c r="B252">
        <v>0.151</v>
      </c>
      <c r="C252">
        <v>50.1</v>
      </c>
    </row>
    <row r="253" spans="1:3" x14ac:dyDescent="0.2">
      <c r="A253" s="91">
        <v>40755</v>
      </c>
      <c r="B253">
        <v>0.14000000000000001</v>
      </c>
      <c r="C253">
        <v>49.3</v>
      </c>
    </row>
    <row r="254" spans="1:3" x14ac:dyDescent="0.2">
      <c r="A254" s="91">
        <v>40786</v>
      </c>
      <c r="B254">
        <v>0.13500000000000001</v>
      </c>
      <c r="C254">
        <v>49.9</v>
      </c>
    </row>
    <row r="255" spans="1:3" x14ac:dyDescent="0.2">
      <c r="A255" s="91">
        <v>40816</v>
      </c>
      <c r="B255">
        <v>0.13800000000000001</v>
      </c>
      <c r="C255">
        <v>49.9</v>
      </c>
    </row>
    <row r="256" spans="1:3" x14ac:dyDescent="0.2">
      <c r="A256" s="91">
        <v>40847</v>
      </c>
      <c r="B256">
        <v>0.13200000000000001</v>
      </c>
      <c r="C256">
        <v>51</v>
      </c>
    </row>
    <row r="257" spans="1:3" x14ac:dyDescent="0.2">
      <c r="A257" s="91">
        <v>40877</v>
      </c>
      <c r="B257">
        <v>0.124</v>
      </c>
      <c r="C257">
        <v>47.7</v>
      </c>
    </row>
    <row r="258" spans="1:3" x14ac:dyDescent="0.2">
      <c r="A258" s="91">
        <v>40908</v>
      </c>
      <c r="B258">
        <v>0.128</v>
      </c>
      <c r="C258">
        <v>48.7</v>
      </c>
    </row>
    <row r="259" spans="1:3" x14ac:dyDescent="0.2">
      <c r="A259" s="91">
        <v>40968</v>
      </c>
      <c r="B259">
        <v>0.114</v>
      </c>
      <c r="C259">
        <v>49.6</v>
      </c>
    </row>
    <row r="260" spans="1:3" x14ac:dyDescent="0.2">
      <c r="A260" s="91">
        <v>40999</v>
      </c>
      <c r="B260">
        <v>0.11899999999999999</v>
      </c>
      <c r="C260">
        <v>48.3</v>
      </c>
    </row>
    <row r="261" spans="1:3" x14ac:dyDescent="0.2">
      <c r="A261" s="91">
        <v>41029</v>
      </c>
      <c r="B261">
        <v>9.2999999999999999E-2</v>
      </c>
      <c r="C261">
        <v>49.3</v>
      </c>
    </row>
    <row r="262" spans="1:3" x14ac:dyDescent="0.2">
      <c r="A262" s="91">
        <v>41060</v>
      </c>
      <c r="B262">
        <v>9.6000000000000002E-2</v>
      </c>
      <c r="C262">
        <v>48.4</v>
      </c>
    </row>
    <row r="263" spans="1:3" x14ac:dyDescent="0.2">
      <c r="A263" s="91">
        <v>41090</v>
      </c>
      <c r="B263">
        <v>9.5000000000000001E-2</v>
      </c>
      <c r="C263">
        <v>48.2</v>
      </c>
    </row>
    <row r="264" spans="1:3" x14ac:dyDescent="0.2">
      <c r="A264" s="91">
        <v>41121</v>
      </c>
      <c r="B264">
        <v>9.1999999999999998E-2</v>
      </c>
      <c r="C264">
        <v>49.3</v>
      </c>
    </row>
    <row r="265" spans="1:3" x14ac:dyDescent="0.2">
      <c r="A265" s="91">
        <v>41152</v>
      </c>
      <c r="B265">
        <v>8.8999999999999996E-2</v>
      </c>
      <c r="C265">
        <v>47.7</v>
      </c>
    </row>
    <row r="266" spans="1:3" x14ac:dyDescent="0.2">
      <c r="A266" s="91">
        <v>41182</v>
      </c>
      <c r="B266">
        <v>9.1999999999999998E-2</v>
      </c>
      <c r="C266">
        <v>47.9</v>
      </c>
    </row>
    <row r="267" spans="1:3" x14ac:dyDescent="0.2">
      <c r="A267" s="91">
        <v>41213</v>
      </c>
      <c r="B267">
        <v>9.6000000000000002E-2</v>
      </c>
      <c r="C267">
        <v>49.5</v>
      </c>
    </row>
    <row r="268" spans="1:3" x14ac:dyDescent="0.2">
      <c r="A268" s="91">
        <v>41243</v>
      </c>
      <c r="B268">
        <v>0.10100000000000001</v>
      </c>
      <c r="C268">
        <v>50.5</v>
      </c>
    </row>
    <row r="269" spans="1:3" x14ac:dyDescent="0.2">
      <c r="A269" s="91">
        <v>41274</v>
      </c>
      <c r="B269">
        <v>0.10299999999999999</v>
      </c>
      <c r="C269">
        <v>51.5</v>
      </c>
    </row>
    <row r="270" spans="1:3" x14ac:dyDescent="0.2">
      <c r="A270" s="91">
        <v>41333</v>
      </c>
      <c r="B270">
        <v>9.9000000000000005E-2</v>
      </c>
      <c r="C270">
        <v>50.4</v>
      </c>
    </row>
    <row r="271" spans="1:3" x14ac:dyDescent="0.2">
      <c r="A271" s="91">
        <v>41364</v>
      </c>
      <c r="B271">
        <v>8.8999999999999996E-2</v>
      </c>
      <c r="C271">
        <v>51.6</v>
      </c>
    </row>
    <row r="272" spans="1:3" x14ac:dyDescent="0.2">
      <c r="A272" s="91">
        <v>41394</v>
      </c>
      <c r="B272">
        <v>9.2999999999999999E-2</v>
      </c>
      <c r="C272">
        <v>50.4</v>
      </c>
    </row>
    <row r="273" spans="1:3" x14ac:dyDescent="0.2">
      <c r="A273" s="91">
        <v>41425</v>
      </c>
      <c r="B273">
        <v>9.1999999999999998E-2</v>
      </c>
      <c r="C273">
        <v>49.2</v>
      </c>
    </row>
    <row r="274" spans="1:3" x14ac:dyDescent="0.2">
      <c r="A274" s="91">
        <v>41455</v>
      </c>
      <c r="B274">
        <v>8.8999999999999996E-2</v>
      </c>
      <c r="C274">
        <v>48.2</v>
      </c>
    </row>
    <row r="275" spans="1:3" x14ac:dyDescent="0.2">
      <c r="A275" s="91">
        <v>41486</v>
      </c>
      <c r="B275">
        <v>9.7000000000000003E-2</v>
      </c>
      <c r="C275">
        <v>47.7</v>
      </c>
    </row>
    <row r="276" spans="1:3" x14ac:dyDescent="0.2">
      <c r="A276" s="91">
        <v>41517</v>
      </c>
      <c r="B276">
        <v>0.104</v>
      </c>
      <c r="C276">
        <v>50.1</v>
      </c>
    </row>
    <row r="277" spans="1:3" x14ac:dyDescent="0.2">
      <c r="A277" s="91">
        <v>41547</v>
      </c>
      <c r="B277">
        <v>0.10199999999999999</v>
      </c>
      <c r="C277">
        <v>50.2</v>
      </c>
    </row>
    <row r="278" spans="1:3" x14ac:dyDescent="0.2">
      <c r="A278" s="91">
        <v>41578</v>
      </c>
      <c r="B278">
        <v>0.10299999999999999</v>
      </c>
      <c r="C278">
        <v>50.9</v>
      </c>
    </row>
    <row r="279" spans="1:3" x14ac:dyDescent="0.2">
      <c r="A279" s="91">
        <v>41608</v>
      </c>
      <c r="B279">
        <v>0.1</v>
      </c>
      <c r="C279">
        <v>50.8</v>
      </c>
    </row>
    <row r="280" spans="1:3" x14ac:dyDescent="0.2">
      <c r="A280" s="91">
        <v>41639</v>
      </c>
      <c r="B280">
        <v>9.7000000000000003E-2</v>
      </c>
      <c r="C280">
        <v>50.5</v>
      </c>
    </row>
    <row r="281" spans="1:3" x14ac:dyDescent="0.2">
      <c r="A281" s="91">
        <v>41698</v>
      </c>
      <c r="B281">
        <v>8.5999999999999993E-2</v>
      </c>
      <c r="C281">
        <v>48.5</v>
      </c>
    </row>
    <row r="282" spans="1:3" x14ac:dyDescent="0.2">
      <c r="A282" s="91">
        <v>41729</v>
      </c>
      <c r="B282">
        <v>8.7999999999999995E-2</v>
      </c>
      <c r="C282">
        <v>48</v>
      </c>
    </row>
    <row r="283" spans="1:3" x14ac:dyDescent="0.2">
      <c r="A283" s="91">
        <v>41759</v>
      </c>
      <c r="B283">
        <v>8.6999999999999994E-2</v>
      </c>
      <c r="C283">
        <v>48.1</v>
      </c>
    </row>
    <row r="284" spans="1:3" x14ac:dyDescent="0.2">
      <c r="A284" s="91">
        <v>41790</v>
      </c>
      <c r="B284">
        <v>8.7999999999999995E-2</v>
      </c>
      <c r="C284">
        <v>49.4</v>
      </c>
    </row>
    <row r="285" spans="1:3" x14ac:dyDescent="0.2">
      <c r="A285" s="91">
        <v>41820</v>
      </c>
      <c r="B285">
        <v>9.1999999999999998E-2</v>
      </c>
      <c r="C285">
        <v>50.7</v>
      </c>
    </row>
    <row r="286" spans="1:3" x14ac:dyDescent="0.2">
      <c r="A286" s="91">
        <v>41851</v>
      </c>
      <c r="B286">
        <v>0.09</v>
      </c>
      <c r="C286">
        <v>51.7</v>
      </c>
    </row>
    <row r="287" spans="1:3" x14ac:dyDescent="0.2">
      <c r="A287" s="91">
        <v>41882</v>
      </c>
      <c r="B287">
        <v>6.9000000000000006E-2</v>
      </c>
      <c r="C287">
        <v>50.2</v>
      </c>
    </row>
    <row r="288" spans="1:3" x14ac:dyDescent="0.2">
      <c r="A288" s="91">
        <v>41912</v>
      </c>
      <c r="B288">
        <v>0.08</v>
      </c>
      <c r="C288">
        <v>51.1</v>
      </c>
    </row>
    <row r="289" spans="1:3" x14ac:dyDescent="0.2">
      <c r="A289" s="91">
        <v>41943</v>
      </c>
      <c r="B289">
        <v>7.6999999999999999E-2</v>
      </c>
      <c r="C289">
        <v>50.8</v>
      </c>
    </row>
    <row r="290" spans="1:3" x14ac:dyDescent="0.2">
      <c r="A290" s="91">
        <v>41973</v>
      </c>
      <c r="B290">
        <v>7.1999999999999995E-2</v>
      </c>
      <c r="C290">
        <v>50.3</v>
      </c>
    </row>
    <row r="291" spans="1:3" x14ac:dyDescent="0.2">
      <c r="A291" s="91">
        <v>42004</v>
      </c>
      <c r="B291">
        <v>7.9000000000000001E-2</v>
      </c>
      <c r="C291">
        <v>50.1</v>
      </c>
    </row>
    <row r="292" spans="1:3" x14ac:dyDescent="0.2">
      <c r="A292" s="91">
        <v>42063</v>
      </c>
      <c r="B292">
        <v>6.8000000000000005E-2</v>
      </c>
      <c r="C292">
        <v>49.9</v>
      </c>
    </row>
    <row r="293" spans="1:3" x14ac:dyDescent="0.2">
      <c r="A293" s="91">
        <v>42094</v>
      </c>
      <c r="B293">
        <v>5.6000000000000001E-2</v>
      </c>
      <c r="C293">
        <v>50.1</v>
      </c>
    </row>
    <row r="294" spans="1:3" x14ac:dyDescent="0.2">
      <c r="A294" s="91">
        <v>42124</v>
      </c>
      <c r="B294">
        <v>5.8999999999999997E-2</v>
      </c>
      <c r="C294">
        <v>50.1</v>
      </c>
    </row>
    <row r="295" spans="1:3" x14ac:dyDescent="0.2">
      <c r="A295" s="91">
        <v>42155</v>
      </c>
      <c r="B295">
        <v>6.0999999999999999E-2</v>
      </c>
      <c r="C295">
        <v>50.2</v>
      </c>
    </row>
    <row r="296" spans="1:3" x14ac:dyDescent="0.2">
      <c r="A296" s="91">
        <v>42185</v>
      </c>
      <c r="B296">
        <v>6.8000000000000005E-2</v>
      </c>
      <c r="C296">
        <v>50.2</v>
      </c>
    </row>
    <row r="297" spans="1:3" x14ac:dyDescent="0.2">
      <c r="A297" s="91">
        <v>42216</v>
      </c>
      <c r="B297">
        <v>0.06</v>
      </c>
      <c r="C297">
        <v>50</v>
      </c>
    </row>
    <row r="298" spans="1:3" x14ac:dyDescent="0.2">
      <c r="A298" s="91">
        <v>42247</v>
      </c>
      <c r="B298">
        <v>6.0999999999999999E-2</v>
      </c>
      <c r="C298">
        <v>47.3</v>
      </c>
    </row>
    <row r="299" spans="1:3" x14ac:dyDescent="0.2">
      <c r="A299" s="91">
        <v>42277</v>
      </c>
      <c r="B299">
        <v>5.7000000000000002E-2</v>
      </c>
      <c r="C299">
        <v>47.2</v>
      </c>
    </row>
    <row r="300" spans="1:3" x14ac:dyDescent="0.2">
      <c r="A300" s="91">
        <v>42308</v>
      </c>
      <c r="B300">
        <v>5.6000000000000001E-2</v>
      </c>
      <c r="C300">
        <v>48.3</v>
      </c>
    </row>
    <row r="301" spans="1:3" x14ac:dyDescent="0.2">
      <c r="A301" s="91">
        <v>42338</v>
      </c>
      <c r="B301">
        <v>6.2E-2</v>
      </c>
      <c r="C301">
        <v>48.6</v>
      </c>
    </row>
    <row r="302" spans="1:3" x14ac:dyDescent="0.2">
      <c r="A302" s="91">
        <v>42369</v>
      </c>
      <c r="B302">
        <v>5.8999999999999997E-2</v>
      </c>
      <c r="C302">
        <v>48.2</v>
      </c>
    </row>
    <row r="303" spans="1:3" x14ac:dyDescent="0.2">
      <c r="A303" s="91">
        <v>42400</v>
      </c>
      <c r="B303">
        <v>5.3999999999999999E-2</v>
      </c>
      <c r="C303">
        <v>48.4</v>
      </c>
    </row>
    <row r="304" spans="1:3" x14ac:dyDescent="0.2">
      <c r="A304" s="91">
        <v>42460</v>
      </c>
      <c r="B304">
        <v>6.8000000000000005E-2</v>
      </c>
      <c r="C304">
        <v>49.7</v>
      </c>
    </row>
    <row r="305" spans="1:3" x14ac:dyDescent="0.2">
      <c r="A305" s="91">
        <v>42490</v>
      </c>
      <c r="B305">
        <v>0.06</v>
      </c>
      <c r="C305">
        <v>49.4</v>
      </c>
    </row>
    <row r="306" spans="1:3" x14ac:dyDescent="0.2">
      <c r="A306" s="91">
        <v>42521</v>
      </c>
      <c r="B306">
        <v>0.06</v>
      </c>
      <c r="C306">
        <v>49.2</v>
      </c>
    </row>
    <row r="307" spans="1:3" x14ac:dyDescent="0.2">
      <c r="A307" s="91">
        <v>42551</v>
      </c>
      <c r="B307">
        <v>6.2E-2</v>
      </c>
      <c r="C307">
        <v>48.6</v>
      </c>
    </row>
    <row r="308" spans="1:3" x14ac:dyDescent="0.2">
      <c r="A308" s="91">
        <v>42582</v>
      </c>
      <c r="B308">
        <v>0.06</v>
      </c>
      <c r="C308">
        <v>50.6</v>
      </c>
    </row>
    <row r="309" spans="1:3" x14ac:dyDescent="0.2">
      <c r="A309" s="91">
        <v>42613</v>
      </c>
      <c r="B309">
        <v>6.3E-2</v>
      </c>
      <c r="C309">
        <v>50</v>
      </c>
    </row>
    <row r="310" spans="1:3" x14ac:dyDescent="0.2">
      <c r="A310" s="91">
        <v>42643</v>
      </c>
      <c r="B310">
        <v>6.0999999999999999E-2</v>
      </c>
      <c r="C310">
        <v>50.1</v>
      </c>
    </row>
    <row r="311" spans="1:3" x14ac:dyDescent="0.2">
      <c r="A311" s="91">
        <v>42674</v>
      </c>
      <c r="B311">
        <v>6.0999999999999999E-2</v>
      </c>
      <c r="C311">
        <v>51.2</v>
      </c>
    </row>
    <row r="312" spans="1:3" x14ac:dyDescent="0.2">
      <c r="A312" s="91">
        <v>42704</v>
      </c>
      <c r="B312">
        <v>6.2E-2</v>
      </c>
      <c r="C312">
        <v>50.9</v>
      </c>
    </row>
    <row r="313" spans="1:3" x14ac:dyDescent="0.2">
      <c r="A313" s="91">
        <v>42735</v>
      </c>
      <c r="B313">
        <v>0.06</v>
      </c>
      <c r="C313">
        <v>51.9</v>
      </c>
    </row>
    <row r="314" spans="1:3" x14ac:dyDescent="0.2">
      <c r="A314" s="91">
        <v>42766</v>
      </c>
      <c r="B314">
        <v>6.3E-2</v>
      </c>
      <c r="C314">
        <v>51</v>
      </c>
    </row>
    <row r="315" spans="1:3" x14ac:dyDescent="0.2">
      <c r="A315" s="91">
        <v>42825</v>
      </c>
      <c r="B315">
        <v>7.5999999999999998E-2</v>
      </c>
      <c r="C315">
        <v>51.2</v>
      </c>
    </row>
    <row r="316" spans="1:3" x14ac:dyDescent="0.2">
      <c r="A316" s="91">
        <v>42855</v>
      </c>
      <c r="B316">
        <v>6.5000000000000002E-2</v>
      </c>
      <c r="C316">
        <v>50.3</v>
      </c>
    </row>
    <row r="317" spans="1:3" x14ac:dyDescent="0.2">
      <c r="A317" s="91">
        <v>42886</v>
      </c>
      <c r="B317">
        <v>6.5000000000000002E-2</v>
      </c>
      <c r="C317">
        <v>49.6</v>
      </c>
    </row>
    <row r="318" spans="1:3" x14ac:dyDescent="0.2">
      <c r="A318" s="91">
        <v>42916</v>
      </c>
      <c r="B318">
        <v>7.5999999999999998E-2</v>
      </c>
      <c r="C318">
        <v>50.4</v>
      </c>
    </row>
    <row r="319" spans="1:3" x14ac:dyDescent="0.2">
      <c r="A319" s="91">
        <v>42947</v>
      </c>
      <c r="B319">
        <v>6.4000000000000001E-2</v>
      </c>
      <c r="C319">
        <v>51.1</v>
      </c>
    </row>
    <row r="320" spans="1:3" x14ac:dyDescent="0.2">
      <c r="A320" s="91">
        <v>42978</v>
      </c>
      <c r="B320">
        <v>0.06</v>
      </c>
      <c r="C320">
        <v>51.6</v>
      </c>
    </row>
    <row r="321" spans="1:3" x14ac:dyDescent="0.2">
      <c r="A321" s="91">
        <v>43008</v>
      </c>
      <c r="B321">
        <v>6.6000000000000003E-2</v>
      </c>
      <c r="C321">
        <v>51</v>
      </c>
    </row>
    <row r="322" spans="1:3" x14ac:dyDescent="0.2">
      <c r="A322" s="91">
        <v>43039</v>
      </c>
      <c r="B322">
        <v>6.2E-2</v>
      </c>
      <c r="C322">
        <v>51</v>
      </c>
    </row>
    <row r="323" spans="1:3" x14ac:dyDescent="0.2">
      <c r="A323" s="91">
        <v>43069</v>
      </c>
      <c r="B323">
        <v>6.0999999999999999E-2</v>
      </c>
      <c r="C323">
        <v>50.8</v>
      </c>
    </row>
    <row r="324" spans="1:3" x14ac:dyDescent="0.2">
      <c r="A324" s="91">
        <v>43100</v>
      </c>
      <c r="B324">
        <v>6.2E-2</v>
      </c>
      <c r="C324">
        <v>51.5</v>
      </c>
    </row>
    <row r="325" spans="1:3" x14ac:dyDescent="0.2">
      <c r="A325" s="91">
        <v>43159</v>
      </c>
      <c r="B325">
        <v>7.1999999999999995E-2</v>
      </c>
      <c r="C325">
        <v>51.5</v>
      </c>
    </row>
    <row r="326" spans="1:3" x14ac:dyDescent="0.2">
      <c r="A326" s="91">
        <v>43190</v>
      </c>
      <c r="B326">
        <v>0.06</v>
      </c>
      <c r="C326">
        <v>51</v>
      </c>
    </row>
    <row r="327" spans="1:3" x14ac:dyDescent="0.2">
      <c r="A327" s="91">
        <v>43220</v>
      </c>
      <c r="B327">
        <v>7.0000000000000007E-2</v>
      </c>
      <c r="C327">
        <v>51.1</v>
      </c>
    </row>
    <row r="328" spans="1:3" x14ac:dyDescent="0.2">
      <c r="A328" s="91">
        <v>43251</v>
      </c>
      <c r="B328">
        <v>6.8000000000000005E-2</v>
      </c>
      <c r="C328">
        <v>51.1</v>
      </c>
    </row>
    <row r="329" spans="1:3" x14ac:dyDescent="0.2">
      <c r="A329" s="91">
        <v>43281</v>
      </c>
      <c r="B329">
        <v>0.06</v>
      </c>
      <c r="C329">
        <v>51</v>
      </c>
    </row>
    <row r="330" spans="1:3" x14ac:dyDescent="0.2">
      <c r="A330" s="91">
        <v>43312</v>
      </c>
      <c r="B330">
        <v>0.06</v>
      </c>
      <c r="C330">
        <v>50.8</v>
      </c>
    </row>
    <row r="331" spans="1:3" x14ac:dyDescent="0.2">
      <c r="A331" s="91">
        <v>43343</v>
      </c>
      <c r="B331">
        <v>6.0999999999999999E-2</v>
      </c>
      <c r="C331">
        <v>50.6</v>
      </c>
    </row>
    <row r="332" spans="1:3" x14ac:dyDescent="0.2">
      <c r="A332" s="91">
        <v>43373</v>
      </c>
      <c r="B332">
        <v>5.8000000000000003E-2</v>
      </c>
      <c r="C332">
        <v>50</v>
      </c>
    </row>
    <row r="333" spans="1:3" x14ac:dyDescent="0.2">
      <c r="A333" s="91">
        <v>43404</v>
      </c>
      <c r="B333">
        <v>5.8999999999999997E-2</v>
      </c>
      <c r="C333">
        <v>50.1</v>
      </c>
    </row>
    <row r="334" spans="1:3" x14ac:dyDescent="0.2">
      <c r="A334" s="91">
        <v>43434</v>
      </c>
      <c r="B334">
        <v>5.3999999999999999E-2</v>
      </c>
      <c r="C334">
        <v>50.2</v>
      </c>
    </row>
    <row r="335" spans="1:3" x14ac:dyDescent="0.2">
      <c r="A335" s="91">
        <v>43465</v>
      </c>
      <c r="B335">
        <v>5.7000000000000002E-2</v>
      </c>
      <c r="C335">
        <v>49.7</v>
      </c>
    </row>
    <row r="336" spans="1:3" x14ac:dyDescent="0.2">
      <c r="A336" s="91">
        <v>43496</v>
      </c>
      <c r="B336">
        <v>5.2999999999999999E-2</v>
      </c>
      <c r="C336">
        <v>48.3</v>
      </c>
    </row>
    <row r="337" spans="1:3" x14ac:dyDescent="0.2">
      <c r="A337" s="91">
        <v>43524</v>
      </c>
      <c r="B337">
        <v>8.5000000000000006E-2</v>
      </c>
      <c r="C337">
        <v>49.9</v>
      </c>
    </row>
    <row r="338" spans="1:3" x14ac:dyDescent="0.2">
      <c r="A338" s="91">
        <v>43555</v>
      </c>
      <c r="B338">
        <v>5.3999999999999999E-2</v>
      </c>
      <c r="C338">
        <v>50.8</v>
      </c>
    </row>
    <row r="339" spans="1:3" x14ac:dyDescent="0.2">
      <c r="A339" s="91">
        <v>43585</v>
      </c>
      <c r="B339">
        <v>5.3999999999999999E-2</v>
      </c>
      <c r="C339">
        <v>50.2</v>
      </c>
    </row>
    <row r="340" spans="1:3" x14ac:dyDescent="0.2">
      <c r="A340" s="91">
        <v>43616</v>
      </c>
      <c r="B340">
        <v>0.05</v>
      </c>
      <c r="C340">
        <v>50.2</v>
      </c>
    </row>
    <row r="341" spans="1:3" x14ac:dyDescent="0.2">
      <c r="A341" s="91">
        <v>43646</v>
      </c>
      <c r="B341">
        <v>6.3E-2</v>
      </c>
      <c r="C341">
        <v>49.4</v>
      </c>
    </row>
    <row r="342" spans="1:3" x14ac:dyDescent="0.2">
      <c r="A342" s="91">
        <v>43677</v>
      </c>
      <c r="B342">
        <v>4.8000000000000001E-2</v>
      </c>
      <c r="C342">
        <v>49.9</v>
      </c>
    </row>
    <row r="343" spans="1:3" x14ac:dyDescent="0.2">
      <c r="A343" s="91">
        <v>43708</v>
      </c>
      <c r="B343">
        <v>4.3999999999999997E-2</v>
      </c>
      <c r="C343">
        <v>50.4</v>
      </c>
    </row>
    <row r="344" spans="1:3" x14ac:dyDescent="0.2">
      <c r="A344" s="91">
        <v>43738</v>
      </c>
      <c r="B344">
        <v>5.8000000000000003E-2</v>
      </c>
      <c r="C344">
        <v>51.4</v>
      </c>
    </row>
    <row r="345" spans="1:3" x14ac:dyDescent="0.2">
      <c r="A345" s="91">
        <v>43769</v>
      </c>
      <c r="B345">
        <v>4.7E-2</v>
      </c>
      <c r="C345">
        <v>51.7</v>
      </c>
    </row>
    <row r="346" spans="1:3" x14ac:dyDescent="0.2">
      <c r="A346" s="91">
        <v>43799</v>
      </c>
      <c r="B346">
        <v>6.2E-2</v>
      </c>
      <c r="C346">
        <v>51.8</v>
      </c>
    </row>
    <row r="347" spans="1:3" x14ac:dyDescent="0.2">
      <c r="A347" s="91">
        <v>43830</v>
      </c>
      <c r="B347">
        <v>6.9000000000000006E-2</v>
      </c>
      <c r="C347">
        <v>51.5</v>
      </c>
    </row>
    <row r="348" spans="1:3" x14ac:dyDescent="0.2">
      <c r="A348" s="91">
        <v>43890</v>
      </c>
      <c r="B348">
        <v>-0.13500000000000001</v>
      </c>
      <c r="C348">
        <v>51.1</v>
      </c>
    </row>
    <row r="349" spans="1:3" x14ac:dyDescent="0.2">
      <c r="A349" s="91">
        <v>43921</v>
      </c>
      <c r="B349">
        <v>-1.0999999999999999E-2</v>
      </c>
      <c r="C349">
        <v>40.299999999999997</v>
      </c>
    </row>
    <row r="350" spans="1:3" x14ac:dyDescent="0.2">
      <c r="A350" s="91">
        <v>43951</v>
      </c>
      <c r="B350">
        <v>3.9E-2</v>
      </c>
      <c r="C350">
        <v>50.1</v>
      </c>
    </row>
    <row r="351" spans="1:3" x14ac:dyDescent="0.2">
      <c r="A351" s="91">
        <v>43982</v>
      </c>
      <c r="B351">
        <v>4.3999999999999997E-2</v>
      </c>
      <c r="C351">
        <v>49.4</v>
      </c>
    </row>
    <row r="352" spans="1:3" x14ac:dyDescent="0.2">
      <c r="A352" s="91">
        <v>44012</v>
      </c>
      <c r="B352">
        <v>4.8000000000000001E-2</v>
      </c>
      <c r="C352">
        <v>50.7</v>
      </c>
    </row>
    <row r="353" spans="1:3" x14ac:dyDescent="0.2">
      <c r="A353" s="91">
        <v>44043</v>
      </c>
      <c r="B353">
        <v>4.8000000000000001E-2</v>
      </c>
      <c r="C353">
        <v>51.2</v>
      </c>
    </row>
    <row r="354" spans="1:3" x14ac:dyDescent="0.2">
      <c r="A354" s="91">
        <v>44074</v>
      </c>
      <c r="B354">
        <v>5.6000000000000001E-2</v>
      </c>
      <c r="C354">
        <v>52.8</v>
      </c>
    </row>
    <row r="355" spans="1:3" x14ac:dyDescent="0.2">
      <c r="A355" s="91">
        <v>44104</v>
      </c>
      <c r="B355">
        <v>6.9000000000000006E-2</v>
      </c>
      <c r="C355">
        <v>53.1</v>
      </c>
    </row>
    <row r="356" spans="1:3" x14ac:dyDescent="0.2">
      <c r="A356" s="91">
        <v>44135</v>
      </c>
      <c r="B356">
        <v>6.9000000000000006E-2</v>
      </c>
      <c r="C356">
        <v>53</v>
      </c>
    </row>
    <row r="357" spans="1:3" x14ac:dyDescent="0.2">
      <c r="A357" s="91">
        <v>44165</v>
      </c>
      <c r="B357">
        <v>7.0000000000000007E-2</v>
      </c>
      <c r="C357">
        <v>53.6</v>
      </c>
    </row>
    <row r="358" spans="1:3" x14ac:dyDescent="0.2">
      <c r="A358" s="91">
        <v>44561</v>
      </c>
      <c r="B358">
        <v>3.7999999999999999E-2</v>
      </c>
      <c r="C358">
        <v>49.9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O825"/>
  <sheetViews>
    <sheetView zoomScale="150" zoomScaleNormal="150" workbookViewId="0">
      <pane xSplit="2" ySplit="9" topLeftCell="C391" activePane="bottomRight" state="frozen"/>
      <selection pane="topRight" activeCell="C1" sqref="C1"/>
      <selection pane="bottomLeft" activeCell="A10" sqref="A10"/>
      <selection pane="bottomRight" activeCell="F329" sqref="F329"/>
    </sheetView>
  </sheetViews>
  <sheetFormatPr baseColWidth="10" defaultColWidth="8.83203125" defaultRowHeight="15" x14ac:dyDescent="0.2"/>
  <cols>
    <col min="1" max="1" width="10.6640625" style="87" bestFit="1" customWidth="1"/>
    <col min="2" max="2" width="13.6640625" style="81" customWidth="1"/>
    <col min="3" max="3" width="7.1640625" style="81" customWidth="1"/>
    <col min="4" max="4" width="7" style="81" customWidth="1"/>
    <col min="5" max="11" width="6.1640625" style="81" customWidth="1"/>
    <col min="12" max="13" width="6.33203125" style="81" hidden="1" customWidth="1"/>
    <col min="14" max="14" width="6.1640625" style="81" hidden="1" customWidth="1"/>
    <col min="15" max="20" width="6.1640625" style="81" customWidth="1"/>
    <col min="21" max="21" width="6.6640625" style="81" customWidth="1"/>
    <col min="22" max="22" width="6.1640625" style="81" customWidth="1"/>
    <col min="23" max="23" width="6.1640625" style="87" customWidth="1"/>
    <col min="24" max="25" width="15.33203125" style="87" customWidth="1"/>
    <col min="26" max="26" width="10.6640625" style="87" bestFit="1" customWidth="1"/>
    <col min="27" max="67" width="9.1640625" style="87" customWidth="1"/>
  </cols>
  <sheetData>
    <row r="1" spans="2:26" x14ac:dyDescent="0.2">
      <c r="C1" t="s">
        <v>431</v>
      </c>
      <c r="D1" t="s">
        <v>530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529</v>
      </c>
      <c r="V1" t="s">
        <v>346</v>
      </c>
      <c r="Z1" s="15" t="s">
        <v>556</v>
      </c>
    </row>
    <row r="2" spans="2:26" s="87" customFormat="1" ht="16" customHeight="1" thickBot="1" x14ac:dyDescent="0.25">
      <c r="Y2" s="87" t="s">
        <v>557</v>
      </c>
      <c r="Z2" s="14">
        <v>44105</v>
      </c>
    </row>
    <row r="3" spans="2:26" ht="75.75" customHeight="1" x14ac:dyDescent="0.2">
      <c r="B3" s="51"/>
      <c r="C3" s="52" t="s">
        <v>558</v>
      </c>
      <c r="D3" s="53" t="s">
        <v>559</v>
      </c>
      <c r="E3" s="54" t="s">
        <v>560</v>
      </c>
      <c r="F3" s="55" t="s">
        <v>127</v>
      </c>
      <c r="G3" s="55" t="s">
        <v>159</v>
      </c>
      <c r="H3" s="55" t="s">
        <v>561</v>
      </c>
      <c r="I3" s="55" t="s">
        <v>562</v>
      </c>
      <c r="J3" s="55" t="s">
        <v>147</v>
      </c>
      <c r="K3" s="55" t="s">
        <v>391</v>
      </c>
      <c r="L3" s="55" t="s">
        <v>277</v>
      </c>
      <c r="M3" s="55" t="s">
        <v>456</v>
      </c>
      <c r="N3" s="55" t="s">
        <v>211</v>
      </c>
      <c r="O3" s="55" t="s">
        <v>87</v>
      </c>
      <c r="P3" s="55" t="s">
        <v>563</v>
      </c>
      <c r="Q3" s="55" t="s">
        <v>75</v>
      </c>
      <c r="R3" s="55" t="s">
        <v>191</v>
      </c>
      <c r="S3" s="55" t="s">
        <v>215</v>
      </c>
      <c r="T3" s="55" t="s">
        <v>419</v>
      </c>
      <c r="U3" s="55" t="s">
        <v>564</v>
      </c>
      <c r="V3" s="56" t="s">
        <v>347</v>
      </c>
      <c r="Z3" s="16">
        <f>EDATE(Z2,-1)</f>
        <v>44075</v>
      </c>
    </row>
    <row r="4" spans="2:26" x14ac:dyDescent="0.2">
      <c r="B4" s="57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8">
        <f t="shared" si="0"/>
        <v>5.3480475382003373E-2</v>
      </c>
      <c r="Z4" s="16">
        <f>EDATE(Z2,-12)</f>
        <v>43739</v>
      </c>
    </row>
    <row r="5" spans="2:26" x14ac:dyDescent="0.2">
      <c r="B5" s="57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8">
        <f t="shared" si="1"/>
        <v>-0.25163398692810468</v>
      </c>
    </row>
    <row r="6" spans="2:26" x14ac:dyDescent="0.2">
      <c r="B6" s="57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8">
        <f t="shared" si="2"/>
        <v>-2.2647724031265169E-2</v>
      </c>
    </row>
    <row r="7" spans="2:26" x14ac:dyDescent="0.2">
      <c r="B7" s="57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above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9" t="str">
        <f t="shared" si="3"/>
        <v>above</v>
      </c>
    </row>
    <row r="8" spans="2:26" x14ac:dyDescent="0.2">
      <c r="B8" s="57" t="s">
        <v>569</v>
      </c>
      <c r="C8" s="17">
        <f t="shared" ref="C8:V8" si="4">VLOOKUP($Z$2,$B:$V,MATCH(C3,$B$3:$V$3,),)-VLOOKUP($Z$4,$B:$V,MATCH(C3,$B$3:$V$3,),)</f>
        <v>-2.3233836209524752E-2</v>
      </c>
      <c r="D8" s="17">
        <f t="shared" si="4"/>
        <v>-1.3015796260477216E-2</v>
      </c>
      <c r="E8" s="17">
        <f t="shared" si="4"/>
        <v>1.9681209230567279E-2</v>
      </c>
      <c r="F8" s="17">
        <f t="shared" si="4"/>
        <v>1.3666438859094986E-2</v>
      </c>
      <c r="G8" s="17">
        <f t="shared" si="4"/>
        <v>-4.0662976240207011E-2</v>
      </c>
      <c r="H8" s="17">
        <f t="shared" si="4"/>
        <v>-5.0974126271013755E-2</v>
      </c>
      <c r="I8" s="17">
        <f t="shared" si="4"/>
        <v>6.0738230885823176E-3</v>
      </c>
      <c r="J8" s="17">
        <f t="shared" si="4"/>
        <v>5.7608575085825522E-3</v>
      </c>
      <c r="K8" s="17">
        <f t="shared" si="4"/>
        <v>3.535618683690506E-3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-5.9413359647791084E-2</v>
      </c>
      <c r="P8" s="17">
        <f t="shared" si="4"/>
        <v>2.5201661062354629E-2</v>
      </c>
      <c r="Q8" s="17">
        <f t="shared" si="4"/>
        <v>-1.262228239346656E-3</v>
      </c>
      <c r="R8" s="17">
        <f t="shared" si="4"/>
        <v>-2.6150237139040085E-2</v>
      </c>
      <c r="S8" s="17">
        <f t="shared" si="4"/>
        <v>-0.25867826763714175</v>
      </c>
      <c r="T8" s="17">
        <f t="shared" si="4"/>
        <v>6.4255941404649367E-2</v>
      </c>
      <c r="U8" s="17">
        <f t="shared" si="4"/>
        <v>1.6891295028325686E-2</v>
      </c>
      <c r="V8" s="60">
        <f t="shared" si="4"/>
        <v>-2.846545566773849E-3</v>
      </c>
    </row>
    <row r="9" spans="2:26" ht="16" customHeight="1" thickBot="1" x14ac:dyDescent="0.25">
      <c r="B9" s="61" t="s">
        <v>570</v>
      </c>
      <c r="C9" s="62">
        <f t="shared" ref="C9:V9" si="5">VLOOKUP($Z$2,$B:$V,MATCH(C3,$B$3:$V$3,),)-VLOOKUP($Z$3,$B:$V,MATCH(C3,$B$3:$V$3,),)</f>
        <v>1.8110258137097435E-2</v>
      </c>
      <c r="D9" s="62">
        <f t="shared" si="5"/>
        <v>2.9796000589410461E-2</v>
      </c>
      <c r="E9" s="62">
        <f t="shared" si="5"/>
        <v>5.5643500480843669E-2</v>
      </c>
      <c r="F9" s="62">
        <f t="shared" si="5"/>
        <v>4.322155596738491E-2</v>
      </c>
      <c r="G9" s="62">
        <f t="shared" si="5"/>
        <v>2.1851203502923383E-2</v>
      </c>
      <c r="H9" s="62">
        <f t="shared" si="5"/>
        <v>3.2427411975160941E-3</v>
      </c>
      <c r="I9" s="62">
        <f t="shared" si="5"/>
        <v>2.6527095410519869E-2</v>
      </c>
      <c r="J9" s="62">
        <f t="shared" si="5"/>
        <v>1.762972617283938E-2</v>
      </c>
      <c r="K9" s="62">
        <f t="shared" si="5"/>
        <v>1.5037678655791009E-2</v>
      </c>
      <c r="L9" s="62">
        <f t="shared" si="5"/>
        <v>0</v>
      </c>
      <c r="M9" s="62">
        <f t="shared" si="5"/>
        <v>0</v>
      </c>
      <c r="N9" s="62">
        <f t="shared" si="5"/>
        <v>0</v>
      </c>
      <c r="O9" s="62">
        <f t="shared" si="5"/>
        <v>-7.1628003907373422E-3</v>
      </c>
      <c r="P9" s="62">
        <f t="shared" si="5"/>
        <v>5.7477182615911365E-3</v>
      </c>
      <c r="Q9" s="62">
        <f t="shared" si="5"/>
        <v>-9.3701902771987314E-3</v>
      </c>
      <c r="R9" s="62">
        <f t="shared" si="5"/>
        <v>-9.8497894381896905E-3</v>
      </c>
      <c r="S9" s="62">
        <f t="shared" si="5"/>
        <v>1.8751476615167795E-3</v>
      </c>
      <c r="T9" s="62">
        <f t="shared" si="5"/>
        <v>2.0373071639568557E-2</v>
      </c>
      <c r="U9" s="62">
        <f t="shared" si="5"/>
        <v>3.012964802856239E-2</v>
      </c>
      <c r="V9" s="63">
        <f t="shared" si="5"/>
        <v>-1.1740672351860451E-3</v>
      </c>
    </row>
    <row r="10" spans="2:26" x14ac:dyDescent="0.2">
      <c r="B10" s="49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7" customFormat="1" x14ac:dyDescent="0.2">
      <c r="A24" s="44"/>
      <c r="B24" s="84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>-8.2414105231873452E-3</v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>3.719939880756238E-2</v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>2.0512820513287185E-2</v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>5.5045871562496955E-2</v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>1.9790112365776932E-2</v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>-2.6525199006702639E-3</v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>1.6197963286391883E-3</v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>2.0483908017424671E-2</v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>-2.3794972634911031E-2</v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>4.1408998565055387E-2</v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>4.967472074414804E-2</v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>-7.2925937715710371E-3</v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>2.9625929103048395E-2</v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>0.10740740742894553</v>
      </c>
      <c r="U24" s="13" t="e">
        <f>((((VLOOKUP(B24,Database!$A:$AS,MATCH($U$1,Database!$A$1:$AS$1,),))))-(((VLOOKUP(EDATE(B24,-12),Database!$A:$AS,MATCH($U$1,Database!$A$1:$AS$1,),)))))/(((VLOOKUP(EDATE(B24,-12),Database!$A:$AS,MATCH($U$1,Database!$A$1:$AS$1,),))))</f>
        <v>#DIV/0!</v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>-0.29985886979986803</v>
      </c>
      <c r="X24" s="44">
        <f>DATE(YEAR(B24),MONTH(B24)-12,DAY(B24))</f>
        <v>32509</v>
      </c>
    </row>
    <row r="25" spans="1:24" s="87" customFormat="1" x14ac:dyDescent="0.2">
      <c r="A25" s="44"/>
      <c r="B25" s="84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>5.1768280184125602E-3</v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>5.1983927671685692E-2</v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>3.199174406827384E-2</v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>5.4327808474875512E-2</v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>3.8375944727086192E-2</v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>-1.1904761904469046E-2</v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>4.916787852796917E-3</v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>-5.0230550854290772E-3</v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>-2.8694857404120876E-2</v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>7.0525779199766492E-2</v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>8.7870996989315261E-2</v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>4.0103640437143394E-2</v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>7.3767933184938766E-2</v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>8.771929824438271E-2</v>
      </c>
      <c r="U25" s="13" t="e">
        <f>((((VLOOKUP(B25,Database!$A:$AS,MATCH($U$1,Database!$A$1:$AS$1,),))))-(((VLOOKUP(EDATE(B25,-12),Database!$A:$AS,MATCH($U$1,Database!$A$1:$AS$1,),)))))/(((VLOOKUP(EDATE(B25,-12),Database!$A:$AS,MATCH($U$1,Database!$A$1:$AS$1,),))))</f>
        <v>#DIV/0!</v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>-0.3031136980540689</v>
      </c>
      <c r="X25" s="44" t="e">
        <f>EDATE(A25,-12)</f>
        <v>#NUM!</v>
      </c>
    </row>
    <row r="26" spans="1:24" s="87" customFormat="1" x14ac:dyDescent="0.2">
      <c r="A26" s="44"/>
      <c r="B26" s="84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>7.3766268834700478E-3</v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>4.9365657579700593E-2</v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>1.3944223108880587E-2</v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>5.6672760497857542E-2</v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>3.260288214710079E-2</v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>1.6085790888427872E-2</v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>2.2780347054878539E-2</v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>-2.1937017680216199E-2</v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>-1.8416267154316809E-2</v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>8.9120387296810558E-2</v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>-3.1360095552765338E-2</v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>-1.1774711424963913E-2</v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>8.8048222823155844E-2</v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>0.13475177305869998</v>
      </c>
      <c r="U26" s="13" t="e">
        <f>((((VLOOKUP(B26,Database!$A:$AS,MATCH($U$1,Database!$A$1:$AS$1,),))))-(((VLOOKUP(EDATE(B26,-12),Database!$A:$AS,MATCH($U$1,Database!$A$1:$AS$1,),)))))/(((VLOOKUP(EDATE(B26,-12),Database!$A:$AS,MATCH($U$1,Database!$A$1:$AS$1,),))))</f>
        <v>#DIV/0!</v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>-0.28965126207611919</v>
      </c>
    </row>
    <row r="27" spans="1:24" s="87" customFormat="1" x14ac:dyDescent="0.2">
      <c r="A27" s="44"/>
      <c r="B27" s="84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>5.6712565449958535E-3</v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>3.1480570578173758E-2</v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>3.2388663966197134E-2</v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>7.985803025150966E-3</v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>1.8907664785814227E-2</v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>-3.9215686314072202E-3</v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>2.3280866540853144E-2</v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>1.4678472903969847E-2</v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>-3.1767837781119301E-2</v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>0.14553379827984234</v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>-0.28242005273755183</v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>-4.52651057868763E-2</v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>3.2188604278758678E-2</v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>0.2059925093717131</v>
      </c>
      <c r="U27" s="13" t="e">
        <f>((((VLOOKUP(B27,Database!$A:$AS,MATCH($U$1,Database!$A$1:$AS$1,),))))-(((VLOOKUP(EDATE(B27,-12),Database!$A:$AS,MATCH($U$1,Database!$A$1:$AS$1,),)))))/(((VLOOKUP(EDATE(B27,-12),Database!$A:$AS,MATCH($U$1,Database!$A$1:$AS$1,),))))</f>
        <v>#DIV/0!</v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>-0.32810406430955863</v>
      </c>
    </row>
    <row r="28" spans="1:24" s="87" customFormat="1" x14ac:dyDescent="0.2">
      <c r="A28" s="44"/>
      <c r="B28" s="84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>1.3951956708757681E-2</v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>6.2864385289232591E-2</v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>3.8422649138378416E-2</v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>8.5740913321490975E-2</v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>3.301424583214934E-2</v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>1.6085790888427872E-2</v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>2.0208999844275235E-2</v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>9.1176689964826436E-4</v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>-2.030861124523551E-2</v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>5.540047730089321E-2</v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>-0.12449212466932522</v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>1.9027830949610251E-3</v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>2.1729093025283308E-2</v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>8.5714285726531655E-2</v>
      </c>
      <c r="U28" s="13" t="e">
        <f>((((VLOOKUP(B28,Database!$A:$AS,MATCH($U$1,Database!$A$1:$AS$1,),))))-(((VLOOKUP(EDATE(B28,-12),Database!$A:$AS,MATCH($U$1,Database!$A$1:$AS$1,),)))))/(((VLOOKUP(EDATE(B28,-12),Database!$A:$AS,MATCH($U$1,Database!$A$1:$AS$1,),))))</f>
        <v>#DIV/0!</v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>-0.2776016782905612</v>
      </c>
    </row>
    <row r="29" spans="1:24" s="87" customFormat="1" x14ac:dyDescent="0.2">
      <c r="A29" s="44"/>
      <c r="B29" s="84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>1.7488856561326951E-2</v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>2.3335789737401694E-2</v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>2.8971028970221975E-2</v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>4.390681003109393E-2</v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>4.6690278291226395E-3</v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>3.217158176439127E-2</v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>-1.4555540350578483E-2</v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>1.8326184928647918E-2</v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>-1.1348893195363868E-2</v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>6.0831546090722229E-2</v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>-0.15742882559362112</v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>-9.5330700375425485E-4</v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>6.3189016175050072E-2</v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>7.5862068966706331E-2</v>
      </c>
      <c r="U29" s="13" t="e">
        <f>((((VLOOKUP(B29,Database!$A:$AS,MATCH($U$1,Database!$A$1:$AS$1,),))))-(((VLOOKUP(EDATE(B29,-12),Database!$A:$AS,MATCH($U$1,Database!$A$1:$AS$1,),)))))/(((VLOOKUP(EDATE(B29,-12),Database!$A:$AS,MATCH($U$1,Database!$A$1:$AS$1,),))))</f>
        <v>#DIV/0!</v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>-0.30593014210591435</v>
      </c>
    </row>
    <row r="30" spans="1:24" s="87" customFormat="1" x14ac:dyDescent="0.2">
      <c r="A30" s="44"/>
      <c r="B30" s="84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>2.6117906378478602E-2</v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>3.6302812550138466E-2</v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>6.0204081627324289E-2</v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>4.8128342238035297E-2</v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>1.5922957884572785E-2</v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>5.3547523439538445E-3</v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>-1.9802544580615301E-4</v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>-2.1563094679437678E-2</v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>-2.4674046334606159E-3</v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>8.7788967040886484E-2</v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>-0.10034120182202307</v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>-1.174862472765704E-3</v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>-3.7668166203225252E-2</v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>3.0303030294867073E-2</v>
      </c>
      <c r="U30" s="13" t="e">
        <f>((((VLOOKUP(B30,Database!$A:$AS,MATCH($U$1,Database!$A$1:$AS$1,),))))-(((VLOOKUP(EDATE(B30,-12),Database!$A:$AS,MATCH($U$1,Database!$A$1:$AS$1,),)))))/(((VLOOKUP(EDATE(B30,-12),Database!$A:$AS,MATCH($U$1,Database!$A$1:$AS$1,),))))</f>
        <v>#DIV/0!</v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>-0.21841690100460712</v>
      </c>
    </row>
    <row r="31" spans="1:24" s="87" customFormat="1" x14ac:dyDescent="0.2">
      <c r="A31" s="44"/>
      <c r="B31" s="84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>1.9900095897172773E-2</v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>1.2993262750331334E-2</v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>5.1153460383613583E-2</v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>5.7193923145212919E-2</v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>9.7059667752365034E-3</v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>-1.3123359577073836E-2</v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>1.5065409086324259E-2</v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>-1.4897810234302268E-2</v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>-1.9321753294762743E-2</v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>7.5667108826553225E-2</v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>-7.7913918064151225E-2</v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>-4.8721749642934749E-2</v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>0.11775977983283267</v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>4.123711339072425E-2</v>
      </c>
      <c r="U31" s="13" t="e">
        <f>((((VLOOKUP(B31,Database!$A:$AS,MATCH($U$1,Database!$A$1:$AS$1,),))))-(((VLOOKUP(EDATE(B31,-12),Database!$A:$AS,MATCH($U$1,Database!$A$1:$AS$1,),)))))/(((VLOOKUP(EDATE(B31,-12),Database!$A:$AS,MATCH($U$1,Database!$A$1:$AS$1,),))))</f>
        <v>#DIV/0!</v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>-0.18977272813663185</v>
      </c>
    </row>
    <row r="32" spans="1:24" s="87" customFormat="1" x14ac:dyDescent="0.2">
      <c r="A32" s="44"/>
      <c r="B32" s="84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>2.3385390858472712E-2</v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>3.9047151285116537E-2</v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>4.527162977208507E-2</v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>6.1333333329723169E-2</v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>1.9959090612861618E-2</v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>-1.4492753629580175E-2</v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>-1.1116437054419774E-2</v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>4.7829541043199915E-4</v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>-3.9042888776682258E-2</v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>9.8698272366107773E-2</v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>-5.6229523114983228E-2</v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>-0.16769610535637308</v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>9.8731072330207476E-2</v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>0.11864406777305186</v>
      </c>
      <c r="U32" s="13" t="e">
        <f>((((VLOOKUP(B32,Database!$A:$AS,MATCH($U$1,Database!$A$1:$AS$1,),))))-(((VLOOKUP(EDATE(B32,-12),Database!$A:$AS,MATCH($U$1,Database!$A$1:$AS$1,),)))))/(((VLOOKUP(EDATE(B32,-12),Database!$A:$AS,MATCH($U$1,Database!$A$1:$AS$1,),))))</f>
        <v>#DIV/0!</v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>-0.22884220179882001</v>
      </c>
    </row>
    <row r="33" spans="1:22" s="87" customFormat="1" x14ac:dyDescent="0.2">
      <c r="A33" s="44"/>
      <c r="B33" s="84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>1.8295343047936653E-2</v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>3.3520234037145075E-2</v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>7.2874493926438702E-2</v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>6.0283687940460941E-2</v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>7.7134794318903365E-3</v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>-9.2838196338481966E-3</v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>-2.0590403434381122E-2</v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>-2.8374174057617711E-2</v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>-2.6822656595149003E-2</v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>0.10811905064818979</v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>-8.2878565172921609E-2</v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>-1.6973885810885538E-3</v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>5.0754144258985175E-2</v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>0.15492957743106256</v>
      </c>
      <c r="U33" s="13" t="e">
        <f>((((VLOOKUP(B33,Database!$A:$AS,MATCH($U$1,Database!$A$1:$AS$1,),))))-(((VLOOKUP(EDATE(B33,-12),Database!$A:$AS,MATCH($U$1,Database!$A$1:$AS$1,),)))))/(((VLOOKUP(EDATE(B33,-12),Database!$A:$AS,MATCH($U$1,Database!$A$1:$AS$1,),))))</f>
        <v>#DIV/0!</v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>-0.19323411502336033</v>
      </c>
    </row>
    <row r="34" spans="1:22" s="87" customFormat="1" x14ac:dyDescent="0.2">
      <c r="A34" s="44"/>
      <c r="B34" s="84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>2.4683694804421962E-3</v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>2.464316213311089E-2</v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>5.8291457284758944E-2</v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>5.5604589585929474E-2</v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>-1.4904804814805347E-2</v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>-2.3653088041504001E-2</v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>-3.5808297390741324E-2</v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>1.4487710948164211E-4</v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>-4.7666442496008356E-2</v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>9.4976866834115908E-2</v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>-9.4595439863978503E-2</v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>-3.576873188141251E-2</v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>1.4991037244647005E-2</v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>0.14089347079746398</v>
      </c>
      <c r="U34" s="13" t="e">
        <f>((((VLOOKUP(B34,Database!$A:$AS,MATCH($U$1,Database!$A$1:$AS$1,),))))-(((VLOOKUP(EDATE(B34,-12),Database!$A:$AS,MATCH($U$1,Database!$A$1:$AS$1,),)))))/(((VLOOKUP(EDATE(B34,-12),Database!$A:$AS,MATCH($U$1,Database!$A$1:$AS$1,),))))</f>
        <v>#DIV/0!</v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>-0.15617033688694312</v>
      </c>
    </row>
    <row r="35" spans="1:22" s="87" customFormat="1" x14ac:dyDescent="0.2">
      <c r="A35" s="44"/>
      <c r="B35" s="84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>-1.0088525735098768E-2</v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>2.5991295940110921E-2</v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>5.2947052952711758E-2</v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>4.2534722232111633E-2</v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>-5.469621837172714E-3</v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>-2.763157895073293E-2</v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>-2.6974048833605532E-2</v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>-5.7119702311974494E-3</v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>-6.5567336729446049E-2</v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>0.12068111105052212</v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>-0.16569787081602153</v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>4.8532080366050874E-3</v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>2.7601099347825928E-2</v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>7.7966101683308406E-2</v>
      </c>
      <c r="U35" s="13" t="e">
        <f>((((VLOOKUP(B35,Database!$A:$AS,MATCH($U$1,Database!$A$1:$AS$1,),))))-(((VLOOKUP(EDATE(B35,-12),Database!$A:$AS,MATCH($U$1,Database!$A$1:$AS$1,),)))))/(((VLOOKUP(EDATE(B35,-12),Database!$A:$AS,MATCH($U$1,Database!$A$1:$AS$1,),))))</f>
        <v>#DIV/0!</v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>-0.23296006247575329</v>
      </c>
    </row>
    <row r="36" spans="1:22" s="87" customFormat="1" x14ac:dyDescent="0.2">
      <c r="A36" s="44"/>
      <c r="B36" s="84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>-8.7186056615636831E-3</v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>4.5723770938223517E-2</v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>6.6331658291945442E-2</v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>7.6343022724017801E-2</v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>1.8109976950938488E-2</v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>-1.9946808506050958E-2</v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>8.1669691447325693E-3</v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>-8.1787485818366722E-3</v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>-3.9189134013711768E-2</v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>0.12807931606898135</v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>-0.1629984166253135</v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>-2.9807638467347984E-2</v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>7.0796460153242896E-2</v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>-7.6923076912785326E-2</v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>9.1571216792994941E-3</v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>-7.9822366723298455E-2</v>
      </c>
    </row>
    <row r="37" spans="1:22" s="87" customFormat="1" x14ac:dyDescent="0.2">
      <c r="A37" s="44"/>
      <c r="B37" s="84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>-2.4630186991598049E-2</v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>2.1087757395026906E-2</v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>6.4999999993886171E-2</v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>6.8308408377117269E-2</v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>-2.1602937999568249E-3</v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>-1.3386880853661071E-2</v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>-1.6245487360124159E-2</v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>1.1082869433787109E-3</v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>-6.0770787783819398E-2</v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>0.10553111560584956</v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>-0.16877299193364617</v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>-5.7331795973846411E-2</v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>6.0869565233951477E-2</v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>3.8709677408531998E-2</v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>-2.9179602386282383E-2</v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>-5.6862256219499648E-2</v>
      </c>
    </row>
    <row r="38" spans="1:22" s="87" customFormat="1" x14ac:dyDescent="0.2">
      <c r="A38" s="44"/>
      <c r="B38" s="84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>-3.4720263855179873E-2</v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>1.3969473175479547E-2</v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>3.634577603272824E-2</v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>5.1135275439596097E-2</v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>-1.0199652777777754E-2</v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>-3.8258575203504813E-2</v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>-2.5179856114234421E-2</v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>-4.3705963139641368E-2</v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>-6.4686068438253475E-2</v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>8.012712477014787E-2</v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>-0.10970868591578231</v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>-1.6460108965635704E-2</v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>-2.1008403336956402E-2</v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>4.9999999974997961E-2</v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>-0.16671833710844347</v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>-7.0263439182242066E-2</v>
      </c>
    </row>
    <row r="39" spans="1:22" s="87" customFormat="1" x14ac:dyDescent="0.2">
      <c r="A39" s="44"/>
      <c r="B39" s="84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>-3.0159665052408927E-2</v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>3.6025656945873263E-3</v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>3.8235294112102462E-2</v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>6.1084048739055888E-2</v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>-1.5439429928741165E-2</v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>-5.5118110231031907E-2</v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>-4.1926851026044779E-2</v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>1.3846421139834798E-2</v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>-5.6937448238828535E-2</v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>9.6464109738574805E-2</v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>0.24710367709653283</v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>6.6674843236752009E-5</v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>6.6666666661674992E-2</v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>0</v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>-0.14770358893229873</v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>-0.1127462376048104</v>
      </c>
    </row>
    <row r="40" spans="1:22" s="87" customFormat="1" x14ac:dyDescent="0.2">
      <c r="A40" s="44"/>
      <c r="B40" s="84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>-2.3170510380350669E-2</v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>3.8419176055322865E-3</v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>4.1869522882685965E-2</v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>1.7982559063330874E-2</v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>-1.6476416110273541E-2</v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>-3.957783641445789E-2</v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>-1.8953068595837553E-2</v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>-2.5791167802112019E-2</v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>-5.1884971046280787E-2</v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>0.10795287190862593</v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>1.3587663553308253E-2</v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>-4.0049352041107787E-2</v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>1.2931034497156504E-2</v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>0.10855263158089515</v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>-0.21799583977031434</v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>-0.17443771547336606</v>
      </c>
    </row>
    <row r="41" spans="1:22" s="87" customFormat="1" x14ac:dyDescent="0.2">
      <c r="A41" s="44"/>
      <c r="B41" s="84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>-1.8817750240574877E-2</v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>2.924463448892628E-2</v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>8.7378640764430738E-3</v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>6.2484528864833119E-2</v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>1.9669981422794514E-3</v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>-5.0649350652220551E-2</v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>-5.4694621680407675E-3</v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>-2.0840889797079397E-2</v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>-4.8399207218422419E-2</v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>8.3208937255750764E-2</v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>6.067649938154366E-2</v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>-3.5986364934611575E-2</v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>2.0920502138649547E-2</v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>9.6153846126107168E-3</v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>-0.24821335304489761</v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>-0.13706874894256038</v>
      </c>
    </row>
    <row r="42" spans="1:22" s="87" customFormat="1" x14ac:dyDescent="0.2">
      <c r="A42" s="44"/>
      <c r="B42" s="84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>-1.4758013374011465E-2</v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>6.4823434925318909E-3</v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>2.2136669874961868E-2</v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>2.2237397706030702E-2</v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>-1.4861763741667569E-2</v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>-3.5952063913840523E-2</v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>-8.1818181795618294E-3</v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>-1.5469785533918824E-2</v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>-4.6645220594785208E-2</v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>8.062333784541946E-2</v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>2.3973554577064418E-2</v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>-5.989915250768766E-2</v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>-1.2500000013161544E-2</v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>5.8823529429067316E-2</v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>-0.2916258428681916</v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>-0.17941818549835742</v>
      </c>
    </row>
    <row r="43" spans="1:22" s="87" customFormat="1" x14ac:dyDescent="0.2">
      <c r="A43" s="44"/>
      <c r="B43" s="84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>-1.8329323112803941E-2</v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>-1.4582197781741948E-3</v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>-2.862595428834617E-3</v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>-2.4566217892851334E-4</v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>1.2094557449147821E-3</v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>-4.6542553193150066E-2</v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>-1.3489208629413706E-2</v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>-4.8059853670157811E-3</v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>-3.3194251905611392E-2</v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>9.3814010635278264E-2</v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>7.1700132668482122E-3</v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>1.7380344074650226E-2</v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>2.9288702937718309E-2</v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>7.5907590783040671E-2</v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>-0.23033817055354619</v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>-0.20420533336013375</v>
      </c>
    </row>
    <row r="44" spans="1:22" s="87" customFormat="1" x14ac:dyDescent="0.2">
      <c r="A44" s="44"/>
      <c r="B44" s="84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>-1.0089707396026396E-2</v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>-3.9334846924196747E-3</v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>6.7372473586136605E-3</v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>-1.2169948098454014E-2</v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>-4.3582479843103693E-3</v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>-4.0106951862484051E-2</v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>0</v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>-1.4185039047291098E-2</v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>-1.200645373676036E-2</v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>8.7746530282135138E-2</v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>-4.2633038052691662E-2</v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>0.24211551890357511</v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>2.8925619843052957E-2</v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>1.5151515157484287E-2</v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>-0.30296424354552981</v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>-0.21999497042386221</v>
      </c>
    </row>
    <row r="45" spans="1:22" s="87" customFormat="1" x14ac:dyDescent="0.2">
      <c r="A45" s="44"/>
      <c r="B45" s="84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>-5.278028184693394E-3</v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>-2.2167180976779876E-3</v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>-1.9811320761132411E-2</v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>1.0792058436258334E-3</v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>-5.9009944268386648E-3</v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>-2.6773761707321965E-2</v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>-9.0661831041825435E-4</v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>3.3042489142536574E-2</v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>-1.6761960601121194E-2</v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>9.7059897730149794E-2</v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>-1.1676753531176913E-3</v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>-4.2794087071162341E-2</v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>4.6413502111804172E-2</v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>2.1341463429321392E-2</v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>-0.29221850434731539</v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>-0.21854459929428974</v>
      </c>
    </row>
    <row r="46" spans="1:22" s="87" customFormat="1" x14ac:dyDescent="0.2">
      <c r="A46" s="44"/>
      <c r="B46" s="84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>5.7340595983348917E-3</v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>1.8534734071707488E-2</v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>-6.6476733102846354E-3</v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>1.1916328506476196E-2</v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>2.1669430624654436E-2</v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>-1.8842530280802062E-2</v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>1.9319227234838011E-2</v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>-2.3145767276849926E-3</v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>-1.0500522560083336E-2</v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>0.10009558922506026</v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>-3.9334011889325789E-2</v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>-1.893914318887974E-2</v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>8.8607594889019897E-2</v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>6.0240963938894693E-3</v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>-0.28020908288909252</v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>-0.23883881151030376</v>
      </c>
    </row>
    <row r="47" spans="1:22" s="87" customFormat="1" x14ac:dyDescent="0.2">
      <c r="A47" s="44"/>
      <c r="B47" s="84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>8.2543857593991819E-3</v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>5.5308613072017128E-4</v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>-2.0872865278320066E-2</v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>9.0525218261813586E-3</v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>-1.0918222513380408E-4</v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>-1.7591339649177671E-2</v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>-1.085972850377322E-2</v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>1.2647135508425967E-2</v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>-1.3062636594476323E-2</v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>8.0568720385928244E-2</v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>-3.8983763104489776E-2</v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>-5.6994226065718911E-2</v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>1.6326530606912255E-2</v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>4.0880503154049438E-2</v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>-0.34277316235337724</v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>-0.21115006143580226</v>
      </c>
    </row>
    <row r="48" spans="1:22" s="87" customFormat="1" x14ac:dyDescent="0.2">
      <c r="A48" s="44"/>
      <c r="B48" s="84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>6.7142093497894201E-3</v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>-7.2727272727272042E-3</v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>-3.3930254472073214E-2</v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>-9.1623036710895001E-3</v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>-1.0025873221216114E-2</v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>-1.6282225241198104E-2</v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>-8.1008100787719004E-3</v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>-4.19755047911853E-3</v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>-4.2706894798923076E-3</v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>8.0399982073964829E-2</v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>-1.6926016931162895E-2</v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>1.0574595010205527E-2</v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>7.4380165300762732E-2</v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>0.20652173910680321</v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>-0.23028274747949087</v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>-0.15391943658264962</v>
      </c>
    </row>
    <row r="49" spans="1:22" s="87" customFormat="1" x14ac:dyDescent="0.2">
      <c r="A49" s="44"/>
      <c r="B49" s="84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>2.1193096485648617E-2</v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>8.5889570552147593E-3</v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>-4.0375586855025195E-2</v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>1.9867549663259869E-2</v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>-1.3639315869235667E-2</v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>-9.4979647271862949E-3</v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>1.1009174308828966E-2</v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>1.3500268295019352E-2</v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>1.2332242579547573E-2</v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>0.1041312706857859</v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>3.3712541627338541E-2</v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>-2.4518692460625872E-2</v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>5.7377049125997899E-2</v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>2.4844720500559664E-2</v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>-0.16344430647295918</v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>-9.2530639176914842E-2</v>
      </c>
    </row>
    <row r="50" spans="1:22" s="87" customFormat="1" x14ac:dyDescent="0.2">
      <c r="A50" s="44"/>
      <c r="B50" s="84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>3.5272582628833801E-2</v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>8.6741016109046203E-3</v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>-4.5497630334579799E-2</v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>-2.6666666703647379E-3</v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>8.6603814952861905E-3</v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>-2.7434842192269053E-3</v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>1.4760147603586708E-2</v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>3.6868741797074368E-2</v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>1.078955329524124E-2</v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>0.10093174624052895</v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>3.0328559392404478E-2</v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>-1.1388542390348838E-2</v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>0.14163090129313941</v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>-1.488095235712312E-2</v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>-0.20211865894793388</v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>-4.5781288421965195E-2</v>
      </c>
    </row>
    <row r="51" spans="1:22" s="87" customFormat="1" x14ac:dyDescent="0.2">
      <c r="A51" s="44"/>
      <c r="B51" s="84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>4.0119880696788623E-2</v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>1.3715710723191948E-2</v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>-5.3824362598714558E-2</v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>4.0322580633778493E-3</v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>1.6449172058340354E-3</v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>1.6666666670540967E-2</v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>2.7001862192953755E-2</v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>-3.3898269788952391E-2</v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>1.9443544611098401E-2</v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>7.6126701617812861E-2</v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>-2.9446562378445566E-2</v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>-3.4320332608927119E-2</v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>9.1666666669591487E-2</v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>2.7950310582541219E-2</v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>-9.7953313544481002E-2</v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>1.8196105425131091E-2</v>
      </c>
    </row>
    <row r="52" spans="1:22" s="87" customFormat="1" x14ac:dyDescent="0.2">
      <c r="A52" s="44"/>
      <c r="B52" s="84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>3.3306604609845719E-2</v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>7.4812967581046668E-3</v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>-8.50467289660886E-2</v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>1.3661202191167765E-2</v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>3.2847914157452246E-4</v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>-1.5109890116556926E-2</v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>1.1959521622004553E-2</v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>7.7673172452005666E-3</v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>6.6092200516283854E-3</v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>7.3729451907091639E-2</v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>-6.7717756518417063E-2</v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>-2.4088715758769117E-2</v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>0.12340425533531696</v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>8.9020771487816931E-3</v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>-6.6468655475481739E-2</v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>3.5683474997792598E-2</v>
      </c>
    </row>
    <row r="53" spans="1:22" s="87" customFormat="1" x14ac:dyDescent="0.2">
      <c r="A53" s="44"/>
      <c r="B53" s="84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>2.5811939280702648E-2</v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>-2.0807833537331736E-2</v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>-3.8498556305106908E-2</v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>-4.4502617797346142E-2</v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>-1.5486966953866307E-2</v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>-8.2079343321230479E-3</v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>6.4161319841613638E-3</v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>-3.66396294510885E-2</v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>5.018553009360837E-3</v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>9.2064903309202625E-2</v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>-9.0199479613489286E-2</v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>3.64663659346924E-4</v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>6.1475409832103985E-2</v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>5.396825396341616E-2</v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>-8.8068759051955867E-2</v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>5.8538772671955187E-3</v>
      </c>
    </row>
    <row r="54" spans="1:22" s="87" customFormat="1" x14ac:dyDescent="0.2">
      <c r="A54" s="44"/>
      <c r="B54" s="84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>3.2359510685590315E-2</v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>-1.4962593516209511E-2</v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>-6.120527306425029E-2</v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>-3.3692722371568049E-2</v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>-2.1075984470328556E-3</v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>8.2872928131738372E-3</v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>-6.4161319933279341E-3</v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>-2.2136113907153074E-2</v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>-7.7127018472698755E-3</v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>7.7803203669627188E-2</v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>-0.10754648195863822</v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>2.2889146771164472E-2</v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>0.13924050633541252</v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>4.3209876541495024E-2</v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>-2.7920783263271683E-2</v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>7.184030063801955E-2</v>
      </c>
    </row>
    <row r="55" spans="1:22" s="87" customFormat="1" x14ac:dyDescent="0.2">
      <c r="A55" s="44"/>
      <c r="B55" s="84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>2.662459020052594E-2</v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>-1.498127340823956E-2</v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>-7.3684210519263382E-2</v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>-1.5068493150985235E-2</v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>-9.1148693169338709E-3</v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>1.6736401677601216E-2</v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>-2.9170464899256541E-2</v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>-2.484727537939092E-2</v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>3.5490946400164802E-4</v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>3.0378693310866057E-2</v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>-0.11852745926561188</v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>3.0154439675584297E-4</v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>8.1300813051558354E-2</v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>0</v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>-6.8393114364629498E-2</v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>8.4640501881365932E-2</v>
      </c>
    </row>
    <row r="56" spans="1:22" s="87" customFormat="1" x14ac:dyDescent="0.2">
      <c r="A56" s="44"/>
      <c r="B56" s="84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>2.0954278237268659E-2</v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>-2.6151930261519234E-2</v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>-3.91969407240539E-2</v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>-2.0604395612377646E-2</v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>-2.648281899759249E-2</v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>2.2284122554773918E-2</v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>-4.6889089262798014E-2</v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>-5.3837408722995063E-2</v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>1.8521922334366497E-3</v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>2.5224544622315929E-2</v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>-5.7830414519525253E-2</v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>-7.620641246520557E-2</v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>0.10843373492182561</v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>2.9850746280241702E-2</v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>6.4285648594605421E-2</v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>0.10555119484081138</v>
      </c>
    </row>
    <row r="57" spans="1:22" s="87" customFormat="1" x14ac:dyDescent="0.2">
      <c r="A57" s="44"/>
      <c r="B57" s="84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>2.9647502609808318E-2</v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>-2.7295285359801351E-2</v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>-6.2560153988680631E-2</v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>-3.6535859272597192E-2</v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>-1.1762119380015314E-2</v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>2.063273727157023E-2</v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>-3.4482758623193173E-2</v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>-6.2983706414489346E-2</v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>1.8311559216095768E-2</v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>1.6521015379704067E-2</v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>-8.0157364155370184E-2</v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>-1.3636989579848251E-2</v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>0.12096774192836206</v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>3.2835820896324495E-2</v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>4.3822361119925698E-2</v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>0.12535992243189692</v>
      </c>
    </row>
    <row r="58" spans="1:22" s="87" customFormat="1" x14ac:dyDescent="0.2">
      <c r="A58" s="44"/>
      <c r="B58" s="84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>3.5144538333337617E-2</v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>-4.6625766871165611E-2</v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>-8.0305927340075148E-2</v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>-6.1579651946097991E-2</v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>-3.9930743426036121E-2</v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>4.1152263415952291E-3</v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>-3.3393501801828263E-2</v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>-8.0443246345278427E-2</v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>2.6212310440776109E-2</v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>1.377855013593092E-2</v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>-2.0923237925498414E-3</v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>6.3234213958173842E-3</v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>7.3643410912696022E-2</v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>3.2934131736975264E-2</v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>4.8702997689385637E-2</v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>0.15535107388603911</v>
      </c>
    </row>
    <row r="59" spans="1:22" s="87" customFormat="1" x14ac:dyDescent="0.2">
      <c r="A59" s="44"/>
      <c r="B59" s="84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>4.1027441258838171E-2</v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>-5.6860321384425316E-2</v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>-7.1705426359052096E-2</v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>-7.8877005343625364E-2</v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>-4.4114435466258921E-2</v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>6.8870523400277623E-3</v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>-3.65965233352646E-2</v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>-0.10595441155977071</v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>3.9627241391033685E-2</v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>1.9116186684395246E-2</v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>5.1107088145319016E-2</v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>-4.9690244138458671E-3</v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>3.2128514045899642E-2</v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>1.5105740156714268E-2</v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>-0.10970347220752888</v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>0.14769749304479263</v>
      </c>
    </row>
    <row r="60" spans="1:22" s="87" customFormat="1" x14ac:dyDescent="0.2">
      <c r="A60" s="44"/>
      <c r="B60" s="84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>5.091915097090742E-2</v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>-6.3492063492063516E-2</v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>-4.5853658542648654E-2</v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>-0.10039630118351094</v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>-4.7914624850266707E-2</v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>9.6551724192594588E-3</v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>-2.8130671504573369E-2</v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>-7.2098017183872196E-2</v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>2.7113918299198663E-2</v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>2.2246202371716258E-2</v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>6.9425159676883078E-2</v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>-7.3082399861959788E-2</v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>7.6923076898155529E-2</v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>5.4054054069476283E-2</v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>-3.0640391084858248E-2</v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>5.6063874381634425E-2</v>
      </c>
    </row>
    <row r="61" spans="1:22" s="87" customFormat="1" x14ac:dyDescent="0.2">
      <c r="A61" s="44"/>
      <c r="B61" s="84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>4.8200884967441501E-2</v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>-7.4209245742092561E-2</v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>-4.1095890405275434E-2</v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>-0.1285714285747683</v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>-3.895961369622488E-2</v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>1.7808219179094309E-2</v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>-3.0852994552817516E-2</v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>-8.8953674759891549E-2</v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>4.3089147257287859E-2</v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>-1.3484511062369456E-2</v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>5.5831432014875712E-2</v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>-1.4581705369852918E-2</v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>8.5271317837050026E-2</v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>6.6666666668686966E-2</v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>-2.5109594600286628E-2</v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>5.1893544371966999E-2</v>
      </c>
    </row>
    <row r="62" spans="1:22" s="87" customFormat="1" x14ac:dyDescent="0.2">
      <c r="A62" s="44"/>
      <c r="B62" s="84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>3.8872936742365145E-2</v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>-6.7567567567567557E-2</v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>-5.958291956448801E-2</v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>-0.10160427806907502</v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>-5.2711661775894016E-2</v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>1.3755158181046759E-2</v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>-3.3636363633148508E-2</v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>-7.9035743639298356E-2</v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>5.4633166113639622E-2</v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>2.1704798539812598E-2</v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>6.827473426899254E-2</v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>-4.2270677565999774E-2</v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>5.6390977439799442E-2</v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>2.7190332318342437E-2</v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>-5.5670091135171629E-2</v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>2.2922553747464283E-2</v>
      </c>
    </row>
    <row r="63" spans="1:22" s="87" customFormat="1" x14ac:dyDescent="0.2">
      <c r="A63" s="44"/>
      <c r="B63" s="84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>3.4054821273975897E-2</v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>-7.2570725707256964E-2</v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>-3.6926147705700636E-2</v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>-0.10709504685521211</v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>-5.2112984453689566E-2</v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>8.1967213069982225E-3</v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>-3.8077969173571646E-2</v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>-8.2037147743340116E-2</v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>4.0412100328801874E-2</v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>2.7223973474300674E-2</v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>7.2328321819570357E-2</v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>-1.1900285181554339E-2</v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>6.8702290019888548E-2</v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>7.8549848929727537E-2</v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>-6.8581275160813915E-2</v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>3.8480805656561271E-2</v>
      </c>
    </row>
    <row r="64" spans="1:22" s="87" customFormat="1" x14ac:dyDescent="0.2">
      <c r="A64" s="44"/>
      <c r="B64" s="84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>2.6789882781088663E-2</v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>-6.8069306930693074E-2</v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>-1.0214504662167873E-3</v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>-0.10107816711470416</v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>-5.3415061295971927E-2</v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>3.7656903764876411E-2</v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>-4.0909090906900716E-2</v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>-6.8914431674403059E-2</v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>4.0367402278463811E-2</v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>3.2806503506234916E-2</v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>0.12350984196069613</v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>-6.2063319483704046E-3</v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>6.0606060586723097E-2</v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>3.8235294096970532E-2</v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>-2.1583253638235187E-2</v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>0.12199666531077602</v>
      </c>
    </row>
    <row r="65" spans="1:22" s="87" customFormat="1" x14ac:dyDescent="0.2">
      <c r="A65" s="44"/>
      <c r="B65" s="84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>2.8485492418700367E-2</v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>-6.3749999999999932E-2</v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>-3.9039039033644231E-2</v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>-9.3150684937099354E-2</v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>-4.9518112329677622E-2</v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>2.068965516763762E-2</v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>-4.2805100182597366E-2</v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>-6.1174154109567815E-2</v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>4.2557856629883095E-2</v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>2.9715867469748792E-2</v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>9.5328884643973197E-2</v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>-1.4538458225131282E-2</v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>5.4054054003072456E-2</v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>8.7349397575844215E-2</v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>-3.7120620526370204E-2</v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>0.10661034544960937</v>
      </c>
    </row>
    <row r="66" spans="1:22" s="87" customFormat="1" x14ac:dyDescent="0.2">
      <c r="A66" s="44"/>
      <c r="B66" s="84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>2.1648727611594643E-2</v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>-5.6962025316455694E-2</v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>-3.8114343026855256E-2</v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>-9.7629009758912935E-2</v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>-3.3125833703868277E-2</v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>2.1917808224342784E-2</v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>-3.597785977797649E-2</v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>-4.1758241758241652E-2</v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>4.6171541233564567E-2</v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>2.6639426353324988E-2</v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>0.10157952070206046</v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>-6.8444926064386222E-2</v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>2.5925925932627724E-2</v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>8.284023668323906E-2</v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>-7.572989414611668E-2</v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>7.7566123624587587E-3</v>
      </c>
    </row>
    <row r="67" spans="1:22" s="87" customFormat="1" x14ac:dyDescent="0.2">
      <c r="A67" s="44"/>
      <c r="B67" s="84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>2.6094318403228768E-2</v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>-4.3092522179974724E-2</v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>-1.8595041329785955E-2</v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>-6.1196105703602448E-2</v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>-4.2890391222431615E-2</v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>2.6063100133674813E-2</v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>-1.7840375588088833E-2</v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>-5.7108895058416716E-2</v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>5.3189149296179516E-2</v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>1.9022617113156129E-2</v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>9.5714090097202956E-2</v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>-5.427374940050398E-2</v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>5.2631578897367852E-2</v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>5.2147239259098421E-2</v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>-7.7503381565945745E-2</v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>3.6612591733888228E-2</v>
      </c>
    </row>
    <row r="68" spans="1:22" s="87" customFormat="1" x14ac:dyDescent="0.2">
      <c r="A68" s="44"/>
      <c r="B68" s="84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>2.8186725508597948E-2</v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>-3.0690537084399047E-2</v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>-5.1741293541076233E-2</v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>-5.750350630044241E-2</v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>-2.2819244604316401E-2</v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>2.3160762945040249E-2</v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>-4.7303689706055868E-3</v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>-2.0276059024695758E-2</v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>6.094583532816062E-2</v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>7.6431817267405264E-2</v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>6.5792992790505059E-2</v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>3.4657527744768046E-2</v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>2.5362318848099079E-2</v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>5.7971014485611642E-2</v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>-5.5308403323803629E-2</v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>5.732816321464116E-2</v>
      </c>
    </row>
    <row r="69" spans="1:22" s="87" customFormat="1" x14ac:dyDescent="0.2">
      <c r="A69" s="44"/>
      <c r="B69" s="84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>2.8834267104816139E-2</v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>-3.0612244897959252E-2</v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>-2.9774127309115696E-2</v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>-5.6179775274744007E-2</v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>-2.892102335928819E-2</v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>1.3477088945645848E-2</v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>-1.2218045115679491E-2</v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>-8.6630641342928423E-3</v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>4.8626750976100842E-2</v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>6.8121341144285461E-2</v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>7.5113605988855719E-2</v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>-1.6899501600440518E-2</v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>1.4388489203837371E-2</v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>6.6473988430367878E-2</v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>-6.3070798593934899E-2</v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>1.731233993243458E-2</v>
      </c>
    </row>
    <row r="70" spans="1:22" s="87" customFormat="1" x14ac:dyDescent="0.2">
      <c r="A70" s="44"/>
      <c r="B70" s="84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>2.9739943931111349E-2</v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>-2.316602316602313E-2</v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>-1.9750519754451638E-2</v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>-4.9928673329073935E-2</v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>-2.2655545536519446E-2</v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>3.6885245900546031E-2</v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>-1.1204481798916064E-2</v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>1.5981685612085222E-2</v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>4.8839344072037494E-2</v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>8.6771968487630038E-2</v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>4.7700170370138573E-2</v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>-1.745603622583914E-2</v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>1.8050541494728206E-2</v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>2.8985507228311704E-2</v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>-6.9289431962829107E-2</v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>4.6889507384770927E-2</v>
      </c>
    </row>
    <row r="71" spans="1:22" s="87" customFormat="1" x14ac:dyDescent="0.2">
      <c r="A71" s="44"/>
      <c r="B71" s="84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>3.3909945749575267E-2</v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>-3.9318479685451794E-3</v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>-2.2964509387910378E-2</v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>-2.1770682156446279E-2</v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>-1.8620059401416603E-2</v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>4.1039671686054463E-2</v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>4.7483380835295101E-3</v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>3.7045221020949391E-2</v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>3.7069156897649551E-2</v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>0.1054405196766669</v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>7.7239003705044135E-2</v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>-1.8747293245947746E-2</v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>0.12840466926988278</v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>0.13988095238316697</v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>-2.9057288037185804E-2</v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>4.5823031369836509E-2</v>
      </c>
    </row>
    <row r="72" spans="1:22" s="87" customFormat="1" x14ac:dyDescent="0.2">
      <c r="A72" s="44"/>
      <c r="B72" s="84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>3.2959077268683364E-2</v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>-7.8226857887875954E-3</v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>-4.7034764826258277E-2</v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>-1.4684287817734043E-2</v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>9.1501772846846953E-4</v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>4.5081967207544253E-2</v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>-9.3370681642070737E-3</v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>1.0716873399968171E-2</v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>4.5899005563846483E-2</v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>9.4559480315212094E-2</v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>7.1929368993994561E-2</v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>1.3133444735670737E-2</v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>3.2142857178312841E-2</v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>8.8319088312918861E-2</v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>-1.6459840090656E-2</v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>0.11006641404421741</v>
      </c>
    </row>
    <row r="73" spans="1:22" s="87" customFormat="1" x14ac:dyDescent="0.2">
      <c r="A73" s="44"/>
      <c r="B73" s="84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>2.8986929516927894E-2</v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>1.5768725361366663E-2</v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>-4.0816326531433557E-2</v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>1.4903129663091893E-2</v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>-3.5400251227587997E-3</v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>3.3647375509477204E-2</v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>9.3632958743981084E-3</v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>6.1053256653762052E-2</v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>3.3739462811316505E-2</v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>0.10926853299825337</v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>3.1651201225011277E-2</v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>-4.0876153632502946E-3</v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>9.6428571474771324E-2</v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>-3.1250000000887929E-2</v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>-3.7705463481802551E-2</v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>0.11537945907329766</v>
      </c>
    </row>
    <row r="74" spans="1:22" s="87" customFormat="1" x14ac:dyDescent="0.2">
      <c r="A74" s="44"/>
      <c r="B74" s="84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>4.0188457732459423E-2</v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>1.8445322793148766E-2</v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>3.1678986268040402E-3</v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>8.9285714260468781E-3</v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>9.1785222579162805E-4</v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>4.6132971497803314E-2</v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>2.8222013171803926E-2</v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>5.9885648816387825E-2</v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>3.7485726636809345E-2</v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>8.9730886605122531E-2</v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>4.5413955856078492E-2</v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>1.1038600975493928E-2</v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>7.4733096044658151E-2</v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>2.94117645994714E-3</v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>8.6079030793352451E-3</v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>0.1229227410494141</v>
      </c>
    </row>
    <row r="75" spans="1:22" s="87" customFormat="1" x14ac:dyDescent="0.2">
      <c r="A75" s="44"/>
      <c r="B75" s="84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>4.3462692595086568E-2</v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>4.3766578249336829E-2</v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>-6.2176165794002279E-3</v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>2.8485757123462341E-2</v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>3.5343035343035373E-2</v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>5.8265582659957939E-2</v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>4.7125353439688863E-2</v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>7.9654711832597466E-2</v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>4.9464160880585382E-2</v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>9.0267814454544362E-2</v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>3.0567134012226934E-2</v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>9.4332928826266291E-3</v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>0.11071428575618793</v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>-0.10084033613421849</v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>-1.845575995392205E-3</v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>0.10396385439744768</v>
      </c>
    </row>
    <row r="76" spans="1:22" s="87" customFormat="1" x14ac:dyDescent="0.2">
      <c r="A76" s="44"/>
      <c r="B76" s="84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>5.2447568562903127E-2</v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>4.2496679946879189E-2</v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>-2.0449897750985515E-2</v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>2.398800600028346E-2</v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>3.5846438482886149E-2</v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>6.3172043016380047E-2</v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>5.6872037917836869E-2</v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>6.2558981676130943E-2</v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>6.5096064618689858E-2</v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>0.12777688987571512</v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>3.2572486120215023E-2</v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>-7.4134112688158359E-3</v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>0.10000000003008379</v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>-9.6317280446676617E-2</v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>9.7582770367968096E-3</v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>7.796015297080533E-2</v>
      </c>
    </row>
    <row r="77" spans="1:22" s="87" customFormat="1" x14ac:dyDescent="0.2">
      <c r="A77" s="44"/>
      <c r="B77" s="84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>5.6987131141463553E-2</v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>5.6074766355140034E-2</v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>1.0416666661744825E-2</v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>3.9274924465457099E-2</v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>4.9533799533799536E-2</v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>5.6756756764024217E-2</v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>7.1360608952944021E-2</v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>8.709378311582737E-2</v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>7.2828542546762146E-2</v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>0.13152277039263047</v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>4.4635086418950018E-2</v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>-1.0743824831025329E-2</v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>0.17216117218784521</v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>-0.16343490304026145</v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>3.7454675751004259E-2</v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>0.10018849928136685</v>
      </c>
    </row>
    <row r="78" spans="1:22" s="87" customFormat="1" x14ac:dyDescent="0.2">
      <c r="A78" s="44"/>
      <c r="B78" s="84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>5.5884817446609739E-2</v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>6.4429530201342247E-2</v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>2.1897810215750737E-2</v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>5.8732612044150014E-2</v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>4.449298689353863E-2</v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>5.3619302948961473E-2</v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>7.9425837321114454E-2</v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>9.3567059849643183E-2</v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>7.9608852714181069E-2</v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>7.5386296262151542E-2</v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>4.3386897409705666E-2</v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>5.127949480236698E-2</v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>0.11913357395035355</v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>-0.14754098359356699</v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>7.3454258813617127E-2</v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>0.16683358200887949</v>
      </c>
    </row>
    <row r="79" spans="1:22" s="87" customFormat="1" x14ac:dyDescent="0.2">
      <c r="A79" s="44"/>
      <c r="B79" s="84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>6.4000061236715367E-2</v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>5.430463576158933E-2</v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>4.0000000008303928E-2</v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>1.4814814805705706E-2</v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>5.7897174617878647E-2</v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>5.4812834222006369E-2</v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>8.2217973230607963E-2</v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>0.11407374351701507</v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>7.4454108744896261E-2</v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>0.12123974473501838</v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>0.10334916270593474</v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>3.7866096697305958E-2</v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>0.15357142860043793</v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>-2.6239067047997996E-2</v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>6.5506083282461269E-2</v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>0.18706658663536063</v>
      </c>
    </row>
    <row r="80" spans="1:22" s="87" customFormat="1" x14ac:dyDescent="0.2">
      <c r="A80" s="44"/>
      <c r="B80" s="84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>6.2053545584427133E-2</v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>5.5408970976253337E-2</v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>2.6232948586699695E-2</v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>3.4226190471473399E-2</v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>4.7624525480271324E-2</v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>6.1251664443051086E-2</v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>8.1749049429043374E-2</v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>8.0094571841128032E-2</v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>6.9942069668752868E-2</v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>0.11143226592803436</v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>0.11392722710457993</v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>7.7786660996939337E-3</v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>8.480565374327248E-2</v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>-6.8493150683805543E-2</v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>2.7894772965356768E-2</v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>0.15335958007159201</v>
      </c>
    </row>
    <row r="81" spans="1:22" s="87" customFormat="1" x14ac:dyDescent="0.2">
      <c r="A81" s="44"/>
      <c r="B81" s="84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>6.2122146452884823E-2</v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>6.4473684210526391E-2</v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>4.5502645502954679E-2</v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>5.3571428571162885E-2</v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>5.3264604810996631E-2</v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>6.1170212774145735E-2</v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>7.9923882023871601E-2</v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>8.1026376945216763E-2</v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>6.6066904714448829E-2</v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>0.13529569584064086</v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>0.10442565887847716</v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>2.3345001929429333E-2</v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>0.15602836880280013</v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>-5.6910569090266955E-2</v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>1.5451204918745548E-2</v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>0.13959610140810205</v>
      </c>
    </row>
    <row r="82" spans="1:22" s="87" customFormat="1" x14ac:dyDescent="0.2">
      <c r="A82" s="44"/>
      <c r="B82" s="84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>6.4136600117150208E-2</v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>7.2463768115942018E-2</v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>5.4082714742918772E-2</v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>6.9069069075427453E-2</v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>6.9888132856648633E-2</v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>5.0065876145956721E-2</v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>8.9707271017298237E-2</v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>9.3869138518551012E-2</v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>7.5626073293112717E-2</v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>0.13501333234689997</v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>0.12895559724629976</v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>1.4506542474471603E-2</v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>0.15248226946837989</v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>-2.2535211270859199E-2</v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>3.6036692649888243E-2</v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>0.13503960841518042</v>
      </c>
    </row>
    <row r="83" spans="1:22" s="87" customFormat="1" x14ac:dyDescent="0.2">
      <c r="A83" s="44"/>
      <c r="B83" s="84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>6.920118073033131E-2</v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>8.2894736842105229E-2</v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>6.9444444437713582E-2</v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>5.6379821962904024E-2</v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>7.8454196251891622E-2</v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>5.913272010376E-2</v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>0.11720226843316398</v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>0.12520242051975908</v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>0.10227523598510627</v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>0.1025085393173463</v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>0.17095068258083124</v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>2.803653176288777E-2</v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>0.18275862067483142</v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>-0.11227154045708845</v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>7.4636275211276443E-2</v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>0.1859071418648065</v>
      </c>
    </row>
    <row r="84" spans="1:22" s="87" customFormat="1" x14ac:dyDescent="0.2">
      <c r="A84" s="44"/>
      <c r="B84" s="84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>6.7517551540113283E-2</v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>7.358738501971103E-2</v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>5.2575107295774068E-2</v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>4.0238450078424783E-2</v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>6.6392412295737488E-2</v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>3.2679738566699257E-2</v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>0.11027332704774079</v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>0.12136483277160778</v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>0.10258573876253052</v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>0.13817278088142301</v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>0.1345687984607703</v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>6.5045674595572742E-2</v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>0.16262975774552918</v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>-9.6858638733860525E-2</v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>0.15000714800382225</v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>0.12620714209992076</v>
      </c>
    </row>
    <row r="85" spans="1:22" s="87" customFormat="1" x14ac:dyDescent="0.2">
      <c r="A85" s="44"/>
      <c r="B85" s="84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>6.5220695607335316E-2</v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>5.9508408796895326E-2</v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>5.8510638296477221E-2</v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>3.9647577096133882E-2</v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>6.2342424936969947E-2</v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>2.9947916664475403E-2</v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>8.6270871989245546E-2</v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>7.4650996481077314E-2</v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>9.9694537840913172E-2</v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>0.12858940198188479</v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>0.14958107442787835</v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>4.2289450294925222E-2</v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>0.1302931595644336</v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>-1.4662756604002718E-2</v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>0.12340416148073322</v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>0.13691184588522298</v>
      </c>
    </row>
    <row r="86" spans="1:22" s="87" customFormat="1" x14ac:dyDescent="0.2">
      <c r="A86" s="44"/>
      <c r="B86" s="84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>5.631521173365793E-2</v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>5.8214747736093149E-2</v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>5.7894736851392646E-2</v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>3.244837758186072E-2</v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>7.1526822558459532E-2</v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>2.8534370947588858E-2</v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>7.4107959741329651E-2</v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>7.6261056656300855E-2</v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>7.6903769674096761E-2</v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>0.14286233860871536</v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>0.1384990848118644</v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>3.7631087696487812E-2</v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>0.17880794704868316</v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>-1.7595307913072244E-2</v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>0.11561933680335969</v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>9.3091136495966217E-2</v>
      </c>
    </row>
    <row r="87" spans="1:22" s="87" customFormat="1" x14ac:dyDescent="0.2">
      <c r="A87" s="44"/>
      <c r="B87" s="84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>4.844216064705173E-2</v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>4.3202033036848685E-2</v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>6.0479666317023693E-2</v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>2.62390670479982E-2</v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>4.2726461401160175E-2</v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>2.5608194616242454E-2</v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>5.7605760575158142E-2</v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>6.427965278377433E-2</v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>6.7117164919240538E-2</v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>0.1520269035511298</v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>0.12624096090639658</v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>2.0932096261541189E-2</v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>0.16398713822168842</v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>0.13084112148979501</v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>0.1027149606965328</v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>9.2684873370968285E-2</v>
      </c>
    </row>
    <row r="88" spans="1:22" s="87" customFormat="1" x14ac:dyDescent="0.2">
      <c r="A88" s="44"/>
      <c r="B88" s="84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>4.8324712170867201E-2</v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>4.9681528662420454E-2</v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>4.3841336121036155E-2</v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>3.6603221082855089E-2</v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>3.8401428890377294E-2</v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>1.1378002528147768E-2</v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>6.0089686096716027E-2</v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>8.4322169550982359E-2</v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>5.5920243612955188E-2</v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>0.10019131297607067</v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>-2.5092603657059988E-2</v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>2.7389667064198066E-2</v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>0.21103896101072434</v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>0.1285266457749045</v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>4.9667553221917696E-2</v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>0.11610133569063358</v>
      </c>
    </row>
    <row r="89" spans="1:22" s="87" customFormat="1" x14ac:dyDescent="0.2">
      <c r="A89" s="44"/>
      <c r="B89" s="84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>4.4908121715654586E-2</v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>3.7926675094816689E-2</v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>2.9896907215729764E-2</v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>1.7441860474919746E-2</v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>4.0088839533592442E-2</v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>1.662404092159794E-2</v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>4.7957371220970726E-2</v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>5.7949676084827546E-2</v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>4.0474885267326649E-2</v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>0.12367676342061534</v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>3.74910735547824E-2</v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>1.5816764739535853E-2</v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>0.13750000000921314</v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>0.23178807946142635</v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>7.2145570836266604E-2</v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>0.10459539152128196</v>
      </c>
    </row>
    <row r="90" spans="1:22" s="87" customFormat="1" x14ac:dyDescent="0.2">
      <c r="A90" s="44"/>
      <c r="B90" s="84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>3.8933524106937192E-2</v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>3.5308953341740196E-2</v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>5.1020408189448039E-3</v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>1.8978102194341925E-2</v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>3.5443037974683532E-2</v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>1.9083969461178723E-2</v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>4.521276596275229E-2</v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>3.3817052346909064E-2</v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>3.7427875810617552E-2</v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>0.16701741652110319</v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>7.108162538194138E-3</v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>3.4732946907622807E-3</v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>0.22903225811833469</v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>0.19230769228426831</v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>2.6229904045902769E-2</v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>0.10670845691623232</v>
      </c>
    </row>
    <row r="91" spans="1:22" s="87" customFormat="1" x14ac:dyDescent="0.2">
      <c r="A91" s="44"/>
      <c r="B91" s="84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>4.5734698758429455E-2</v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>3.0150753768844296E-2</v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>1.2145748986076349E-2</v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>7.2992700758699571E-3</v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>2.3423817863397554E-2</v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>1.6476552599211512E-2</v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>6.0070671373065765E-2</v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>3.3837372322805911E-2</v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>3.0738303026019868E-2</v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>0.14344291270950532</v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>-5.9123343529407589E-2</v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>1.7320822944661834E-3</v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>0.20743034055485332</v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>0.13173652691795812</v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>7.0618979133705559E-2</v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>5.8279212977915072E-2</v>
      </c>
    </row>
    <row r="92" spans="1:22" s="87" customFormat="1" x14ac:dyDescent="0.2">
      <c r="A92" s="44"/>
      <c r="B92" s="84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>4.6731411261076425E-2</v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>3.0000000000000072E-2</v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>6.1349693242873891E-3</v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>1.294964028416724E-2</v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>2.8220050510596329E-2</v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>1.0037641156700177E-2</v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>4.7451669591364841E-2</v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>4.0151128964186072E-2</v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>1.8591875182861727E-2</v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>9.738571037041098E-2</v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>-5.5868438841418351E-2</v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>-3.0891565176336105E-2</v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>0.26384364815913469</v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>6.1764705864790832E-2</v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>6.0341656812478155E-2</v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>9.0240257466720944E-2</v>
      </c>
    </row>
    <row r="93" spans="1:22" s="87" customFormat="1" x14ac:dyDescent="0.2">
      <c r="A93" s="44"/>
      <c r="B93" s="84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>3.7011159276012374E-2</v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>7.4165636588380008E-3</v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>1.1133603230582847E-2</v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>-3.1073446328322128E-2</v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>-1.1963023382272912E-3</v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>5.0125313178077434E-3</v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>5.7268722462729377E-2</v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>1.5672211056430636E-2</v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>2.1503409204315423E-2</v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>8.8923398930198017E-2</v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>-4.4461954073183332E-2</v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>1.220006424154642E-2</v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>0.22392638033163878</v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>8.6206896526951019E-3</v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>0.11468499010633154</v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>0.10441340557015605</v>
      </c>
    </row>
    <row r="94" spans="1:22" s="87" customFormat="1" x14ac:dyDescent="0.2">
      <c r="A94" s="44"/>
      <c r="B94" s="84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>3.2455040564363796E-2</v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>4.9140049140048089E-3</v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>1.3078470819739963E-2</v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>-3.0898876405323013E-2</v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>-1.0348172900722149E-2</v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>1.129234629837096E-2</v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>3.9861351814365301E-2</v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>1.0592496410609198E-2</v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>1.2117597372918789E-2</v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>7.3390245513909547E-2</v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>-5.3401285179153463E-2</v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>7.995218429356795E-3</v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>0.22153846157610271</v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>0.11239193083432293</v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>0.10783878539074351</v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>0.12061957952953302</v>
      </c>
    </row>
    <row r="95" spans="1:22" s="87" customFormat="1" x14ac:dyDescent="0.2">
      <c r="A95" s="44"/>
      <c r="B95" s="84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>2.5879692663236298E-2</v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>4.8602673147023776E-3</v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>1.8981018984906332E-2</v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>-3.0898876405323013E-2</v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>1.2088505126821266E-2</v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>3.7220843710100236E-3</v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>3.2148900163048715E-2</v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>-4.9897742750623763E-3</v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>-8.1624644661134164E-3</v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>0.10530348460135951</v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>-9.2637328016395196E-2</v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>2.3072486611944904E-2</v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>0.19533527696936215</v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>0.18235294116383988</v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>4.4226135171475028E-2</v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>5.5966133691515839E-2</v>
      </c>
    </row>
    <row r="96" spans="1:22" s="87" customFormat="1" x14ac:dyDescent="0.2">
      <c r="A96" s="44"/>
      <c r="B96" s="84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>1.836079864524396E-2</v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>2.4479804161567057E-3</v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>2.4464831810890379E-2</v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>-7.1633237850265621E-3</v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>-4.1791684526359448E-3</v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>2.0253164549840299E-2</v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>2.0373514434136455E-2</v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>-4.1209865949265109E-2</v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>-9.0665481848575414E-3</v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>7.8314430984195355E-2</v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>-8.839543077225287E-2</v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>-9.1682222383058648E-3</v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>0.19642857144468751</v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>0.12753623185675048</v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>2.1954394440732928E-2</v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>9.0183832852674367E-2</v>
      </c>
    </row>
    <row r="97" spans="1:22" s="87" customFormat="1" x14ac:dyDescent="0.2">
      <c r="A97" s="44"/>
      <c r="B97" s="84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>3.45859907439122E-2</v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>-3.6630036630038013E-3</v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>9.0452261293684864E-3</v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>-2.9661016954898402E-2</v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>5.6094929881337213E-3</v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>2.6548672569596529E-2</v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>1.5371477365480926E-2</v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>-2.9558693050894345E-2</v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>-9.4402487831628454E-3</v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>0.10908554381936035</v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>-8.9603429803232854E-2</v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>-1.0390768305921392E-2</v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>0.11239193086231837</v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>7.7380952399909331E-2</v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>7.4330801521175272E-2</v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>5.263727165041477E-2</v>
      </c>
    </row>
    <row r="98" spans="1:22" s="87" customFormat="1" x14ac:dyDescent="0.2">
      <c r="A98" s="44"/>
      <c r="B98" s="84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>3.1543573555211403E-2</v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>-2.4449877750611594E-3</v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>-1.9900497542214876E-3</v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>-1.7142857152327374E-2</v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>4.1720154043645759E-3</v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>2.5220680964374197E-2</v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>2.5553662684541247E-3</v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>-1.4515287886589951E-2</v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>-8.627118331726873E-3</v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>7.64726474335201E-2</v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>-9.1103965709758997E-2</v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>-2.7831649455103097E-3</v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>9.8314606720836223E-2</v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>8.3582089548852628E-2</v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>3.9181387548275826E-2</v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>0.11955912589858406</v>
      </c>
    </row>
    <row r="99" spans="1:22" s="87" customFormat="1" x14ac:dyDescent="0.2">
      <c r="A99" s="44"/>
      <c r="B99" s="84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>4.3658270154881364E-2</v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>-1.3398294762484707E-2</v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>-1.08161258620325E-2</v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>-2.2727272730501274E-2</v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>-5.8842409329196233E-3</v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>3.7453183558424489E-3</v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>-9.3617021279202486E-3</v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>-3.6985801291781188E-2</v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>-1.4526193769517058E-3</v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>0.10556542707976795</v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>-5.3106975733661611E-2</v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>-1.6987130355544866E-3</v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>8.5635359148290138E-2</v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>4.4077134992449363E-2</v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>4.0949370931430227E-3</v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>0.11203004391938372</v>
      </c>
    </row>
    <row r="100" spans="1:22" s="87" customFormat="1" x14ac:dyDescent="0.2">
      <c r="A100" s="44"/>
      <c r="B100" s="84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>4.6300357112999846E-2</v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>-6.0679611650485436E-3</v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>1.1999999998264512E-2</v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>-1.9774011298557163E-2</v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>1.8920662223177866E-2</v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>1.0000000002324635E-2</v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>-1.6074450085754904E-2</v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>-2.8963008112915533E-2</v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>4.6100617069456916E-3</v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>0.12497584854625059</v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>6.6674837608836413E-2</v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>1.8054782681135813E-2</v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>0.10723860591059525</v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>4.4444444450617744E-2</v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>1.4183133250576737E-2</v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>8.3529568724207706E-2</v>
      </c>
    </row>
    <row r="101" spans="1:22" s="87" customFormat="1" x14ac:dyDescent="0.2">
      <c r="A101" s="44"/>
      <c r="B101" s="84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>5.0810669779856911E-2</v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>-2.4360535931789115E-3</v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>1.5015015022810893E-2</v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>-2.8571428611025573E-3</v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>4.0572282724750126E-3</v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>1.2578616349258949E-2</v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>-1.2711864403260355E-2</v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>-4.4054554655552306E-3</v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>8.9232181746260256E-3</v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>5.4596897060542743E-2</v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>-4.3592979316617476E-3</v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>3.3337683745114928E-2</v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>0.13461538460648406</v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>3.7634408600994214E-2</v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>-3.6854461614158544E-3</v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>7.3692401402904853E-2</v>
      </c>
    </row>
    <row r="102" spans="1:22" s="87" customFormat="1" x14ac:dyDescent="0.2">
      <c r="A102" s="44"/>
      <c r="B102" s="84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>5.5431887269848309E-2</v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>-1.0962241169305621E-2</v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>3.5532994921977611E-2</v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>-1.1461318053176921E-2</v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>-1.8071648772190804E-2</v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>3.7453183558424489E-3</v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>-1.27226463153537E-2</v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>-1.6944731582801329E-2</v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>2.2409345297435136E-2</v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>7.7573609438416319E-2</v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>7.7873191387206428E-2</v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>3.0494276989738271E-2</v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>8.1364829379497364E-2</v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>2.6881720440803239E-2</v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>5.3837290234566945E-2</v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>8.2148742961418192E-2</v>
      </c>
    </row>
    <row r="103" spans="1:22" s="87" customFormat="1" x14ac:dyDescent="0.2">
      <c r="A103" s="44"/>
      <c r="B103" s="84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>4.6792861926223277E-2</v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>2.4390243902439371E-3</v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>2.0999999996962823E-2</v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>1.3043478257277637E-2</v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>9.4117647058823035E-3</v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>9.9750623465105302E-3</v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>-2.5000000001458432E-2</v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>-4.4363079875930954E-3</v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>2.3630353750557928E-2</v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>6.5691851105926971E-2</v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>8.0052967388502053E-2</v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>3.3801613495253601E-3</v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>1.5384615401229561E-2</v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>7.9365079608653914E-3</v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>8.1142974920653307E-3</v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>9.9833171204034218E-2</v>
      </c>
    </row>
    <row r="104" spans="1:22" s="87" customFormat="1" x14ac:dyDescent="0.2">
      <c r="A104" s="44"/>
      <c r="B104" s="84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>4.9417035445056962E-2</v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>-2.427184466019452E-3</v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>4.8780487808055571E-2</v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>1.4204545545349299E-3</v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>9.3976932934642828E-3</v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>1.2422360245577378E-2</v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>-3.1879194624931932E-2</v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>-7.995079947596467E-3</v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>2.6626217010384645E-2</v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>8.9335827878956026E-2</v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>8.3273681701272265E-2</v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>9.5265392272054824E-3</v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>0</v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>4.432132964648898E-2</v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>3.2080470884044601E-2</v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>8.1742858620206776E-2</v>
      </c>
    </row>
    <row r="105" spans="1:22" s="87" customFormat="1" x14ac:dyDescent="0.2">
      <c r="A105" s="44"/>
      <c r="B105" s="84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>5.0661207040910906E-2</v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>3.6809815950919898E-3</v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>3.9039039043515078E-2</v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>1.31195335239991E-2</v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>1.8619337979094007E-2</v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>1.3715710729350288E-2</v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>-3.4166666668382084E-2</v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>7.2567666422469236E-3</v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>2.390565735318232E-2</v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>6.8764532629142713E-2</v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>7.6923076909654858E-2</v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>-8.828163147218784E-3</v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>2.2556391002205748E-2</v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>0.15954415953669132</v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>-5.6339696981043852E-4</v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>0.11636808345246752</v>
      </c>
    </row>
    <row r="106" spans="1:22" s="87" customFormat="1" x14ac:dyDescent="0.2">
      <c r="A106" s="44"/>
      <c r="B106" s="84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>5.7583731267717153E-2</v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>8.5574572127139707E-3</v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>3.5749751742609803E-2</v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>2.1739130443289938E-2</v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>3.1369131902842774E-2</v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>1.3647642686012517E-2</v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>-3.8333333328346736E-2</v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>1.2500483023598576E-2</v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>3.7293115915783957E-2</v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>7.6911220725525115E-2</v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>7.6661985023048454E-2</v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>1.8334835925151557E-2</v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>9.8236775796941123E-2</v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>5.9585492246571913E-2</v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>-1.5077775564192885E-2</v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>6.7123293137636583E-2</v>
      </c>
    </row>
    <row r="107" spans="1:22" s="87" customFormat="1" x14ac:dyDescent="0.2">
      <c r="A107" s="44"/>
      <c r="B107" s="84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>6.0279779798807553E-2</v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>-3.6275695284159267E-3</v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>3.2352941171778997E-2</v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>2.1739130443289938E-2</v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>1.1517542924176158E-2</v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>1.4833127321128485E-2</v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>-5.6557377041923679E-2</v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>-1.8041850241252752E-2</v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>2.4787542092609183E-2</v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>8.0804123090745514E-2</v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>5.5330478073621063E-2</v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>-6.1717796080711313E-3</v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>3.1707317094216717E-2</v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>2.4875622049589778E-3</v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>-4.4321688757898013E-2</v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>8.7099148406580271E-2</v>
      </c>
    </row>
    <row r="108" spans="1:22" s="87" customFormat="1" x14ac:dyDescent="0.2">
      <c r="A108" s="44"/>
      <c r="B108" s="84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>6.816576293163662E-2</v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>8.5470085470084074E-3</v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>6.3681592036969686E-2</v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>4.329004327817295E-3</v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>1.1836866458624709E-2</v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>1.7369727045486106E-2</v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>-3.4941763725750898E-2</v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>5.5440558888984283E-2</v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>3.9892578182029528E-2</v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>2.5145827652847164E-2</v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>6.8509193113852437E-2</v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>2.3544926682359104E-2</v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>0.13930348258518835</v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>0</v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>-1.5676859315762282E-2</v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>9.7201150296522695E-2</v>
      </c>
    </row>
    <row r="109" spans="1:22" s="87" customFormat="1" x14ac:dyDescent="0.2">
      <c r="A109" s="44"/>
      <c r="B109" s="84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>6.5503346624827014E-2</v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>1.8382352941176471E-2</v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>6.4741035860555185E-2</v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>2.7656477440192135E-2</v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>1.6841879425016172E-2</v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>1.231527093305558E-2</v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>-7.5693860366080933E-3</v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>4.2016556189289775E-2</v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>5.1608736239957514E-2</v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>4.6443564114495399E-2</v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>7.9114669183180233E-2</v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>3.3375466042744925E-2</v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>0.12435233160915742</v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>9.6685082854535961E-2</v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>-2.4958810505017748E-2</v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>0.13597075030813771</v>
      </c>
    </row>
    <row r="110" spans="1:22" s="87" customFormat="1" x14ac:dyDescent="0.2">
      <c r="A110" s="44"/>
      <c r="B110" s="84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>7.3387439640652349E-2</v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>3.0637254901960786E-2</v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>6.9790628112143913E-2</v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>3.7790697683545961E-2</v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>1.310322786832843E-2</v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>3.6900369040828939E-3</v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>7.6465590463058227E-3</v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>7.4184412450185769E-2</v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>5.1939578747752069E-2</v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>6.2851061310107759E-2</v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>9.4339622645565654E-2</v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>3.1780261155285074E-2</v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>0.17391304351010745</v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>0.14049586775743805</v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>7.5259261446505741E-3</v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>5.8926881339472117E-2</v>
      </c>
    </row>
    <row r="111" spans="1:22" s="87" customFormat="1" x14ac:dyDescent="0.2">
      <c r="A111" s="44"/>
      <c r="B111" s="84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>6.3407991931672195E-2</v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>4.9382716049382713E-2</v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>3.9761431412349335E-2</v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>3.3430232568449902E-2</v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>5.9944037882049002E-2</v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>1.9900497505475803E-2</v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>3.6941580760176757E-2</v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>8.713738477918169E-2</v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>6.1051517866567928E-2</v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>5.0397497319985871E-2</v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>4.5856798075666554E-2</v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>2.9243315968492476E-2</v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>0.17302798980726669</v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>0.10290237466760863</v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>9.0397093438807696E-2</v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>0.15050263796165841</v>
      </c>
    </row>
    <row r="112" spans="1:22" s="87" customFormat="1" x14ac:dyDescent="0.2">
      <c r="A112" s="44"/>
      <c r="B112" s="84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>6.1516966074901376E-2</v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>2.8083028083028046E-2</v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>6.4229249015670564E-2</v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>1.1527377508740003E-2</v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>1.9835408313990246E-2</v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>1.4851485140425134E-2</v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>3.5253654343882036E-2</v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>5.5465646603621799E-2</v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>5.7421997007629913E-2</v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>3.9702304270377811E-2</v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>3.9526600021029513E-2</v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>2.5779964088475361E-2</v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>0.1016949152424839</v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>0.10904255319601668</v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>8.6216816712100849E-3</v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>9.2537614512121377E-2</v>
      </c>
    </row>
    <row r="113" spans="1:22" s="87" customFormat="1" x14ac:dyDescent="0.2">
      <c r="A113" s="44"/>
      <c r="B113" s="84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>5.8340707084485757E-2</v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>4.5177045177045037E-2</v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>5.6213017753004184E-2</v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>4.5845272212708295E-2</v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>3.5410463632496787E-2</v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>2.2360248446659688E-2</v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>4.2060085830838173E-2</v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>5.1971464373688131E-2</v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>4.5931661300150854E-2</v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>9.5344792021057362E-2</v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>8.0539232641936478E-2</v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>9.9633037511339916E-3</v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>0.15254237288412145</v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>9.3264248705603028E-2</v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>7.1468260320917479E-2</v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>0.17617966927629783</v>
      </c>
    </row>
    <row r="114" spans="1:22" s="87" customFormat="1" x14ac:dyDescent="0.2">
      <c r="A114" s="44"/>
      <c r="B114" s="84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>6.6838002140758912E-2</v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>6.2807881773398938E-2</v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>5.2941176472578545E-2</v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>6.9565217386641134E-2</v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>5.6187073725235438E-2</v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>3.7313432838669149E-2</v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>4.9828178694778055E-2</v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>8.4542890553635869E-2</v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>6.1082445222680776E-2</v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>4.8012003003975651E-2</v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>1.0586052600854993E-2</v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>9.8677589909903726E-5</v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>0.17475728153712133</v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>9.9476439797703597E-2</v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>3.2932660515250969E-2</v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>9.7452487693644521E-2</v>
      </c>
    </row>
    <row r="115" spans="1:22" s="87" customFormat="1" x14ac:dyDescent="0.2">
      <c r="A115" s="44"/>
      <c r="B115" s="84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>7.2605881377015055E-2</v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>5.109489051094894E-2</v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>4.7012732618081948E-2</v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>2.145922747628504E-2</v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>7.3744437380801109E-2</v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>2.0987654323056656E-2</v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>5.0427350433501834E-2</v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>9.1437133325401571E-2</v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>5.5140150239751162E-2</v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>8.5806283192421326E-2</v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>4.0570664286317018E-2</v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>-1.7228425439126553E-2</v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>0.2373737373567634</v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>0.13910761154338933</v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>5.4175369556605263E-2</v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>9.4479046953142257E-2</v>
      </c>
    </row>
    <row r="116" spans="1:22" s="87" customFormat="1" x14ac:dyDescent="0.2">
      <c r="A116" s="44"/>
      <c r="B116" s="84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>7.5804318508448362E-2</v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>4.8661800486618001E-2</v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>2.9069767437693916E-2</v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>2.1276595738644388E-2</v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>4.6762589928057575E-2</v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>2.6993865031360864E-2</v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>6.412478335580496E-2</v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>8.0168939856891511E-2</v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>5.3681943517680138E-2</v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>7.6742521826770771E-2</v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>5.3414096906031466E-2</v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>1.694219933714072E-2</v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>0.26804123711877353</v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>0.14854111405300763</v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>5.529998062633501E-2</v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>0.13337731388869314</v>
      </c>
    </row>
    <row r="117" spans="1:22" s="87" customFormat="1" x14ac:dyDescent="0.2">
      <c r="A117" s="44"/>
      <c r="B117" s="84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>8.541889240977428E-2</v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>6.8459657701711599E-2</v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>1.6377649326459E-2</v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>5.0359712235392068E-2</v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>8.4126135756280113E-2</v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>4.1820418208149218E-2</v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>7.2476272654917823E-2</v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>9.2883634000718709E-2</v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>6.9396951688623879E-2</v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>6.703797175503394E-2</v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>5.1739225558021927E-2</v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>3.3506387742157501E-2</v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>0.20343137253343405</v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>5.4054054055382224E-2</v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>9.1275014141380548E-2</v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>0.10003616473159276</v>
      </c>
    </row>
    <row r="118" spans="1:22" s="87" customFormat="1" x14ac:dyDescent="0.2">
      <c r="A118" s="44"/>
      <c r="B118" s="84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>8.4196232202895183E-2</v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>5.5757575757575686E-2</v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>-9.5877277701725467E-4</v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>4.1134751766107702E-2</v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>4.6467420002112216E-2</v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>4.4063647489594147E-2</v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>7.1057192368882957E-2</v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>6.6587157715336964E-2</v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>5.4176401234425818E-2</v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>3.9702304270377811E-2</v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>-1.521904555697913E-3</v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>2.4326565647882107E-2</v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>0.16972477064769642</v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>3.4229828849241542E-2</v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>0.11744201036314482</v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>0.13544824064756503</v>
      </c>
    </row>
    <row r="119" spans="1:22" s="87" customFormat="1" x14ac:dyDescent="0.2">
      <c r="A119" s="44"/>
      <c r="B119" s="84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>8.2317692855134211E-2</v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>6.7961165048543618E-2</v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>-1.9943019940218555E-2</v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>5.1063829786932281E-2</v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>6.5577227200843427E-2</v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>4.3848964675953714E-2</v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>8.1668114683110915E-2</v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>7.9230180348278237E-2</v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>7.5570907938366461E-2</v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>-2.5934188609426099E-3</v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>-3.6634857962229005E-2</v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>3.8078119067912447E-2</v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>0.18676122930283981</v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>6.4516129021851359E-2</v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>9.0936347682372978E-2</v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>0.12018284377816818</v>
      </c>
    </row>
    <row r="120" spans="1:22" s="87" customFormat="1" x14ac:dyDescent="0.2">
      <c r="A120" s="44"/>
      <c r="B120" s="84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>8.527168615569633E-2</v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>6.90072639225182E-2</v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>-2.0415949082631453E-2</v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>7.6149425285725353E-2</v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>7.4869722429011937E-2</v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>5.609756098329851E-2</v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>6.5517241375415869E-2</v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>7.0433823321310873E-2</v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>4.1992913266751329E-2</v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>-5.4541702108866956E-3</v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>-1.9728189385789519E-2</v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>4.7389930759252019E-2</v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>0.1637554585100634</v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>0.11568123395384811</v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>9.1562977299263063E-2</v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>0.11831581070715096</v>
      </c>
    </row>
    <row r="121" spans="1:22" s="87" customFormat="1" x14ac:dyDescent="0.2">
      <c r="A121" s="44"/>
      <c r="B121" s="84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>7.4132638234466169E-2</v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>6.7388688327316593E-2</v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>-4.5910629082894922E-2</v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>5.8073654393643537E-2</v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>7.3636459542145677E-2</v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>6.2043795615029644E-2</v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>4.6610169492746427E-2</v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>0.11030470650598494</v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>4.3337150950847649E-2</v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>-3.9155860676545633E-2</v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>-6.0004363907822733E-3</v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>5.7732038565226122E-2</v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>0.27880184329391272</v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>9.571788413885049E-2</v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>8.7207894019869461E-2</v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>0.10932527855009784</v>
      </c>
    </row>
    <row r="122" spans="1:22" s="87" customFormat="1" x14ac:dyDescent="0.2">
      <c r="A122" s="44"/>
      <c r="B122" s="84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>6.8039447693076877E-2</v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>5.4696789536266457E-2</v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>-6.9982439462688187E-2</v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>6.0224089628321209E-2</v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>5.7518401682439532E-2</v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>7.598039215708631E-2</v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>3.6256323781469917E-2</v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>4.2859879758852915E-2</v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>5.9973786641021216E-2</v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>-9.2540053400783695E-2</v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>-2.2306034484034041E-2</v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>0.13086473852855826</v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>0.22004357297427427</v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>6.7632850263835365E-2</v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>8.2267922426346646E-2</v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>0.11609953910254525</v>
      </c>
    </row>
    <row r="123" spans="1:22" s="87" customFormat="1" x14ac:dyDescent="0.2">
      <c r="A123" s="44"/>
      <c r="B123" s="84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>7.1034098594134051E-2</v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>4.7058823529411764E-2</v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>-4.7980501615924417E-2</v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>5.4852320673740455E-2</v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>3.4318204893897961E-2</v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>6.7073170739174792E-2</v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>2.6512013251372889E-2</v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>5.6662292736740352E-2</v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>4.0977093466869501E-2</v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>-0.11869176753167703</v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>5.2747252759085391E-3</v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>9.8698032800513855E-2</v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>0.18438177874685963</v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>3.5885167454098123E-2</v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>3.0910275160449946E-2</v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>4.5762860143427335E-2</v>
      </c>
    </row>
    <row r="124" spans="1:22" s="87" customFormat="1" x14ac:dyDescent="0.2">
      <c r="A124" s="44"/>
      <c r="B124" s="84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>7.1952916393258293E-2</v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>6.0570071258907295E-2</v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>-8.2196072152310604E-2</v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>7.407407407776756E-2</v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>6.7142561555969468E-2</v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>5.1219512201648998E-2</v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>2.7408637874395819E-2</v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>7.8282687482576011E-2</v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>3.0994469569498338E-2</v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>-0.10178404271928303</v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>3.1060019896636849E-2</v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>5.4749027735569958E-2</v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>0.21318681322351371</v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>6.2350119894127191E-2</v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>9.6212689144172567E-2</v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>0.10232627280150675</v>
      </c>
    </row>
    <row r="125" spans="1:22" s="87" customFormat="1" x14ac:dyDescent="0.2">
      <c r="A125" s="44"/>
      <c r="B125" s="84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>6.0665239936328288E-2</v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>3.8551401869159015E-2</v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>-7.7054313453641221E-2</v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>2.4657534239593996E-2</v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>5.2480230050323498E-2</v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>3.8882138515435725E-2</v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>1.7298187812384156E-2</v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>5.8815443413059637E-2</v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>3.9131076319087195E-2</v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>-0.13430947704456636</v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>-1.9513755604842916E-2</v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>7.6574228568815128E-2</v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>0.16176470589276254</v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>2.3696682616080066E-3</v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>1.9581462973084451E-2</v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>2.6204590023344316E-2</v>
      </c>
    </row>
    <row r="126" spans="1:22" s="87" customFormat="1" x14ac:dyDescent="0.2">
      <c r="A126" s="44"/>
      <c r="B126" s="84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>4.8113513525548837E-2</v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>4.1714947856315278E-2</v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>-8.158437324158449E-2</v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>3.5230352312042912E-2</v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>5.6785567855678475E-2</v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>1.9184652271413045E-2</v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>9.001636661458947E-3</v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>4.6175313969923713E-2</v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>-1.8429817954839444E-3</v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>-0.13231650238456322</v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>1.5118790505344103E-3</v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>9.5871601817340349E-2</v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>0.18388429752396929</v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>1.6666666653967141E-2</v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>4.18661791313878E-2</v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>5.6706977088961913E-2</v>
      </c>
    </row>
    <row r="127" spans="1:22" s="87" customFormat="1" x14ac:dyDescent="0.2">
      <c r="A127" s="44"/>
      <c r="B127" s="84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>5.8893372165942807E-2</v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>2.546296296296283E-2</v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>-9.3958295248236109E-2</v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>4.6218487396017222E-2</v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>-8.4862837971186045E-3</v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>3.0229746074374883E-2</v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>-1.0577705454056351E-2</v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>2.8641724382332444E-2</v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>2.6054359815867397E-2</v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>-0.1234538217048799</v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>-2.3136246785753833E-2</v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>0.16276929937729706</v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>0.224489795896616</v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>-9.2165898744939918E-3</v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>6.8442238578147845E-3</v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>6.8801087111335563E-2</v>
      </c>
    </row>
    <row r="128" spans="1:22" s="87" customFormat="1" x14ac:dyDescent="0.2">
      <c r="A128" s="44"/>
      <c r="B128" s="84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>4.7650426811028261E-2</v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>3.1322505800464071E-2</v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>-7.6141934770872097E-2</v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>3.0555555556327298E-2</v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>3.426318981200728E-2</v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>8.3632019163405336E-3</v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>4.8859934921464607E-3</v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>3.73695160931274E-2</v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>3.0651377913355295E-2</v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>-7.8636750330269553E-2</v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>-5.070569784751628E-2</v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>7.44214554786332E-2</v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>0.20528455287642924</v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>4.6189376507960256E-3</v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>-1.4919469687385471E-2</v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>8.0369470373622064E-4</v>
      </c>
    </row>
    <row r="129" spans="1:22" s="87" customFormat="1" x14ac:dyDescent="0.2">
      <c r="A129" s="44"/>
      <c r="B129" s="84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>4.6570420561975696E-2</v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>1.9450800915331676E-2</v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>-7.4979955064903667E-2</v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>2.3287671230849835E-2</v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>9.564188522973761E-3</v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>-2.361275094574749E-3</v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>-1.3676588896695057E-2</v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>3.9889775921945508E-2</v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>2.078505076413582E-2</v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>-3.5178338417550026E-2</v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>-8.382735309602668E-2</v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>9.9172465317055286E-2</v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>0.22199592666983237</v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>-2.0979020973152154E-2</v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>-5.3896421490828482E-2</v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>1.2145221974523805E-2</v>
      </c>
    </row>
    <row r="130" spans="1:22" s="87" customFormat="1" x14ac:dyDescent="0.2">
      <c r="A130" s="44"/>
      <c r="B130" s="84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>3.757578797194891E-2</v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>1.7221584385763492E-2</v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>-6.8469261479644619E-2</v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>4.0871934593580831E-3</v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>3.9358159249167336E-2</v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>-8.2063306025158631E-3</v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>-1.1326860841004973E-2</v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>3.8841030867502645E-2</v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>2.243770649841666E-2</v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>1.5252464066349345E-2</v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>-3.2553075675417424E-2</v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>9.357441162317047E-2</v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>0.1529411764721427</v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>-2.1276595762287073E-2</v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>-8.6421614211809092E-2</v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>-3.5873952121632413E-2</v>
      </c>
    </row>
    <row r="131" spans="1:22" s="87" customFormat="1" x14ac:dyDescent="0.2">
      <c r="A131" s="44"/>
      <c r="B131" s="84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>3.7063890441631039E-2</v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>1.1363636363635717E-3</v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>-6.045852135920534E-2</v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>-1.3495276739322675E-3</v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>1.127931136835857E-2</v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>-8.1680280092630841E-3</v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>-4.176706827473755E-2</v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>5.1441604035302478E-2</v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>3.525700793088514E-2</v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>4.6523331565783629E-2</v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>-2.2657406352152794E-2</v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>8.454648071211486E-2</v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>0.17928286851907774</v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>-8.8578088584391965E-2</v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>-6.9869474793692279E-2</v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>-2.1123760211974471E-2</v>
      </c>
    </row>
    <row r="132" spans="1:22" s="87" customFormat="1" x14ac:dyDescent="0.2">
      <c r="A132" s="44"/>
      <c r="B132" s="84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>3.6970203991097787E-2</v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>1.2457531143827957E-2</v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>-6.2062062059837497E-2</v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>4.0053404662034019E-3</v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>1.4049668546551913E-2</v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>-1.0392609699484025E-2</v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>-1.6181229771708411E-2</v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>4.7944541828451953E-2</v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>5.4555585623687841E-2</v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>0.1013517519381865</v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>-1.0621645802966572E-2</v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>5.3071981720345912E-2</v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>0.242026266428845</v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>-5.9907834115081167E-2</v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>-8.7027181495332853E-2</v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>-4.1234984878836853E-2</v>
      </c>
    </row>
    <row r="133" spans="1:22" s="87" customFormat="1" x14ac:dyDescent="0.2">
      <c r="A133" s="44"/>
      <c r="B133" s="84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>4.1220024835323964E-2</v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>-3.3821871476888065E-3</v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>-3.6998972252112329E-2</v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>-1.2048192781084918E-2</v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>4.0286921489634548E-3</v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>-1.8327605950164347E-2</v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>-2.0242914979527606E-2</v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>-3.1781208000703106E-4</v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>4.0738142953018426E-2</v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>0.13586780748194857</v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>-4.3902974427959991E-2</v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>2.6222336144919908E-2</v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>0.12072072072110354</v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>-5.5172413800872559E-2</v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>-7.6562355375792868E-2</v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>-5.1702614338112594E-2</v>
      </c>
    </row>
    <row r="134" spans="1:22" s="87" customFormat="1" x14ac:dyDescent="0.2">
      <c r="A134" s="44"/>
      <c r="B134" s="84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>4.2876681257999462E-2</v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>-1.1273957158963756E-3</v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>-3.1512605018558814E-3</v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>-1.8494055481520711E-2</v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>1.5511583971363253E-2</v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>-4.555808657073869E-3</v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>-1.220504475655825E-2</v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>3.866644510740955E-3</v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>2.6732904547001432E-2</v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>0.20395402297938428</v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>-3.8575994706434559E-2</v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>-5.5785700673030465E-2</v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>6.4285714264440838E-2</v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>-4.9773755656927605E-2</v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>-9.6097282119652669E-2</v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>1.8322507347696852E-2</v>
      </c>
    </row>
    <row r="135" spans="1:22" s="87" customFormat="1" x14ac:dyDescent="0.2">
      <c r="A135" s="44"/>
      <c r="B135" s="84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>4.1326058123998873E-2</v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>1.1235955056179137E-3</v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>-1.7894736845201004E-2</v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>-2.6666666703647379E-3</v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>1.0307254343771445E-2</v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>1.2571428566364222E-2</v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>-2.7441485066453795E-2</v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>2.1354012885581232E-2</v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>3.7552751858987751E-2</v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>0.20629359791843357</v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>-2.9951902061258997E-2</v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>-2.1619378844886381E-2</v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>0.11904761903219155</v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>-4.3879907624820989E-2</v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>-7.0477586730419692E-2</v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>-3.6993237432518202E-4</v>
      </c>
    </row>
    <row r="136" spans="1:22" s="87" customFormat="1" x14ac:dyDescent="0.2">
      <c r="A136" s="44"/>
      <c r="B136" s="84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>4.1301370905068073E-2</v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>-1.1198208286673497E-3</v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>5.3022269280027694E-3</v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>-1.3262599421647858E-3</v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>1.9389238972369232E-3</v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>4.8723897906952626E-2</v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>-3.3144704932775521E-2</v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>6.9893307148478755E-3</v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>4.3957187543520328E-2</v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>0.25777777777219191</v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>-3.1410806172703469E-2</v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>3.5667750518308138E-2</v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>0.11956521736642417</v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>-3.3860045137299358E-2</v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>-1.8452386276662399E-2</v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>3.2203365912158603E-2</v>
      </c>
    </row>
    <row r="137" spans="1:22" s="87" customFormat="1" x14ac:dyDescent="0.2">
      <c r="A137" s="44"/>
      <c r="B137" s="84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>4.6850514127329143E-2</v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>1.2373453318335143E-2</v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>-2.120890779181954E-3</v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>6.6844919812194259E-3</v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>2.2345823575331693E-2</v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>5.6140350879596922E-2</v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>-1.6194331982002555E-2</v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>2.1196306001921995E-2</v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>5.8938054766769728E-2</v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>0.28445729565751676</v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>-2.4361065798101635E-2</v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>2.3786183807914633E-2</v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>0.14285714284843878</v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>1.1820330973794511E-2</v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>-3.8157748000242707E-2</v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>1.2158920721986217E-3</v>
      </c>
    </row>
    <row r="138" spans="1:22" s="87" customFormat="1" x14ac:dyDescent="0.2">
      <c r="A138" s="44"/>
      <c r="B138" s="84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>5.7273015037873368E-2</v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>7.7864293659620533E-3</v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>5.3134962832510858E-3</v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>-6.5445026203367644E-3</v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>1.8622696411251229E-2</v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>7.8823529411159846E-2</v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>-7.2992700709797872E-3</v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>4.0854683089666152E-2</v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>8.1849974841075201E-2</v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>0.35188475693256027</v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>-4.4748759972284967E-2</v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>4.1033119613569168E-2</v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>0.17277486912149251</v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>-1.4051522244404029E-2</v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>-5.1069577226005462E-2</v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>4.0403819833808363E-2</v>
      </c>
    </row>
    <row r="139" spans="1:22" s="87" customFormat="1" x14ac:dyDescent="0.2">
      <c r="A139" s="44"/>
      <c r="B139" s="84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>4.0270405694249341E-2</v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>2.2573363431151242E-2</v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>3.3549783558785587E-2</v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>2.543507362961895E-2</v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>2.5477707006369449E-2</v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>8.450704225106162E-2</v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>1.3157894738681867E-2</v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>2.4897739876536887E-2</v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>6.4824219543203554E-2</v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>0.29856750991647352</v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>-1.2390350879719091E-2</v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>7.3741589042270999E-3</v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>8.1666666690579731E-2</v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>-7.9069767435910765E-2</v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>-1.6573995748003962E-2</v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>3.737038318027E-2</v>
      </c>
    </row>
    <row r="140" spans="1:22" s="87" customFormat="1" x14ac:dyDescent="0.2">
      <c r="A140" s="44"/>
      <c r="B140" s="84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>3.6688841596350948E-2</v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>2.8121484814398197E-2</v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>2.777777778391987E-2</v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>2.8301886784569207E-2</v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>3.4593960715332807E-2</v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>9.4786729857715413E-2</v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>2.4311183137415778E-3</v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>3.6066565812209433E-2</v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>7.5934219019137481E-2</v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>0.29066882105273545</v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>4.8458149717380394E-3</v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>4.2036182878755941E-2</v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>0.16863406408147144</v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>-6.4367816089522814E-2</v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>-1.8586588113086468E-2</v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>9.154839955680541E-2</v>
      </c>
    </row>
    <row r="141" spans="1:22" s="87" customFormat="1" x14ac:dyDescent="0.2">
      <c r="A141" s="44"/>
      <c r="B141" s="84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>4.249183976854698E-2</v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>3.5914702581369279E-2</v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>3.2223415678068204E-2</v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>3.2128514047192039E-2</v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>4.7074909659146333E-2</v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>8.2840236689255484E-2</v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>1.8760195756029448E-2</v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>2.7521450536536804E-2</v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>6.7787754298049022E-2</v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>0.26300366302154077</v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>5.2559881938398834E-2</v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>2.8498816048098719E-2</v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>0.1900000000115119</v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>-3.8095238100227122E-2</v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>5.7489930610580631E-3</v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>9.6003811823268767E-2</v>
      </c>
    </row>
    <row r="142" spans="1:22" s="87" customFormat="1" x14ac:dyDescent="0.2">
      <c r="A142" s="44"/>
      <c r="B142" s="84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>4.8829408345754555E-2</v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>4.6275395033860148E-2</v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>4.8596112315282762E-2</v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>4.4776119404200378E-2</v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>4.1460335954947185E-2</v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>8.2742316787936018E-2</v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>2.8641571197783062E-2</v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>4.2434836523634972E-2</v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>7.8439886123617811E-2</v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>0.27069096431382073</v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>3.5449020932828923E-2</v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>1.8267627801418104E-2</v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>0.17687074830087895</v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>-9.6618357381725601E-3</v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>1.0883661428409063E-2</v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>0.13555885620167404</v>
      </c>
    </row>
    <row r="143" spans="1:22" s="87" customFormat="1" x14ac:dyDescent="0.2">
      <c r="A143" s="44"/>
      <c r="B143" s="84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>5.2640989134359703E-2</v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>4.8808172531214659E-2</v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>4.8648648653046467E-2</v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>4.1891891889389785E-2</v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>4.0602680755307756E-2</v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>5.0588235297811299E-2</v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>4.1911148364931088E-2</v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>4.2519940561061377E-2</v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>7.8172226201460332E-2</v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>0.24690764338304164</v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>8.1314072695872625E-2</v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>3.9101499023943879E-2</v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>0.17567567567759843</v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>5.370843990862266E-2</v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>7.0408621200949359E-2</v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>0.18922113893797379</v>
      </c>
    </row>
    <row r="144" spans="1:22" s="87" customFormat="1" x14ac:dyDescent="0.2">
      <c r="A144" s="44"/>
      <c r="B144" s="84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>4.745212281314036E-2</v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>3.0201342281879064E-2</v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>3.4151547493281566E-2</v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>1.7287234033215769E-2</v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>4.5175139037955017E-2</v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>3.9673278872685597E-2</v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>2.4671052632972312E-2</v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>2.92258552533434E-2</v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>7.0371589282449007E-2</v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>0.28565660915328583</v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>3.8987456216373381E-2</v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>7.0803800590935939E-2</v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>-1.3595166152455143E-2</v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>1.7156862756813294E-2</v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>3.5303719073663388E-3</v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>8.3311093190863342E-2</v>
      </c>
    </row>
    <row r="145" spans="1:22" s="87" customFormat="1" x14ac:dyDescent="0.2">
      <c r="A145" s="44"/>
      <c r="B145" s="84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>4.5358096804922539E-2</v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>5.4298642533936618E-2</v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>3.3084311631606592E-2</v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>6.2330623311925251E-2</v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>5.1575650812291991E-2</v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>4.20070011656965E-2</v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>3.4710743800259403E-2</v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>5.1630808354093248E-2</v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>6.7255995277342731E-2</v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>0.24143197349906223</v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>5.6824704392316246E-2</v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>8.6806415096238709E-2</v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>4.9839228314152342E-2</v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>4.6228710466135414E-2</v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>1.9935334332341407E-2</v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>0.11224925506018674</v>
      </c>
    </row>
    <row r="146" spans="1:22" s="87" customFormat="1" x14ac:dyDescent="0.2">
      <c r="A146" s="44"/>
      <c r="B146" s="84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>4.7278159251218491E-2</v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>5.6433408577878111E-2</v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>3.477344573612072E-2</v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>5.6527590845902968E-2</v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>5.8846568099481106E-2</v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>1.9450800906482345E-2</v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>4.0362438223404323E-2</v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>8.11482052753255E-2</v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>8.3658933165545665E-2</v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>0.23254156165337289</v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>7.2681416940089838E-2</v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>0.11850010799804377</v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>0.12919463088177885</v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>4.7619047446698214E-3</v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>4.7506174535467537E-2</v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>5.9064487116410387E-2</v>
      </c>
    </row>
    <row r="147" spans="1:22" s="87" customFormat="1" x14ac:dyDescent="0.2">
      <c r="A147" s="44"/>
      <c r="B147" s="84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>5.1609870417640952E-2</v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>6.2850729517396287E-2</v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>6.8595927119421043E-2</v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>6.2834224599395305E-2</v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>5.6743101438010139E-2</v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>2.1444695267281082E-2</v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>5.6431535273463236E-2</v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>5.0938246618073779E-2</v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>7.4051516453337796E-2</v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>0.23285101130779279</v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>6.4232589591066522E-2</v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>0.12188621229269068</v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>0.18821603928352443</v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>4.589371981067273E-2</v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>1.940127984053288E-2</v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>8.8439656927339308E-2</v>
      </c>
    </row>
    <row r="148" spans="1:22" s="87" customFormat="1" x14ac:dyDescent="0.2">
      <c r="A148" s="44"/>
      <c r="B148" s="84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>4.826789242220117E-2</v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>7.6233183856502212E-2</v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>4.5358649788349144E-2</v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>8.1009296148279675E-2</v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>6.5408805031446596E-2</v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>8.8495575242173562E-3</v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>7.0234113709521984E-2</v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>6.8423980482593225E-2</v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>9.2404914166671168E-2</v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>0.21084440111707203</v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>4.2280022129390027E-2</v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>6.5520675085593394E-2</v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>0.1844660194277975</v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>2.5700934579821474E-2</v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>-1.4140578792066864E-3</v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>7.1821021687975495E-2</v>
      </c>
    </row>
    <row r="149" spans="1:22" s="87" customFormat="1" x14ac:dyDescent="0.2">
      <c r="A149" s="44"/>
      <c r="B149" s="84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>4.9568330935578053E-2</v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>5.2222222222222253E-2</v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>6.6950053134973417E-2</v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>5.7104913671546E-2</v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>3.7415290636632639E-2</v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>2.1040974526552882E-2</v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>5.1851851845571811E-2</v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>4.6953927521010429E-2</v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>8.1254637394373538E-2</v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>0.19565743610197722</v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>7.535391818025837E-2</v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>7.9493942273088147E-2</v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>0.16930379747417487</v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>3.9719626164566535E-2</v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>3.3527768434246694E-2</v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>0.11343841545741874</v>
      </c>
    </row>
    <row r="150" spans="1:22" s="87" customFormat="1" x14ac:dyDescent="0.2">
      <c r="A150" s="44"/>
      <c r="B150" s="84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>4.1205154410662186E-2</v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>5.849889624724075E-2</v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>5.9196617338212611E-2</v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>6.5876152832014936E-2</v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>4.7038659302989887E-2</v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>2.181025087372666E-3</v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>3.5947712419208466E-2</v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>3.6405242356235448E-2</v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>7.5195188075165773E-2</v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>0.19767168942924704</v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>9.6624901224346207E-2</v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>3.8607344887612464E-2</v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>0.15327380953026351</v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>6.1757719705767072E-2</v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>4.7371950507327967E-2</v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>7.7266043947143023E-2</v>
      </c>
    </row>
    <row r="151" spans="1:22" s="87" customFormat="1" x14ac:dyDescent="0.2">
      <c r="A151" s="44"/>
      <c r="B151" s="84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>3.4097381047003161E-2</v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>5.849889624724075E-2</v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>6.3874345544395209E-2</v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>6.6579634458973969E-2</v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>5.7550465838509243E-2</v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>8.6580086600126175E-3</v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>3.8961038958297882E-2</v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>4.7292098255397146E-2</v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>7.5831706861322332E-2</v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>0.21346758671267466</v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>7.8383479520582305E-2</v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>8.9225708099341342E-2</v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>0.15870570105850382</v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>0.15656565655583521</v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>7.7876355227251018E-2</v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>8.0226250001117327E-2</v>
      </c>
    </row>
    <row r="152" spans="1:22" s="87" customFormat="1" x14ac:dyDescent="0.2">
      <c r="A152" s="44"/>
      <c r="B152" s="84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>4.3100250294472696E-2</v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>5.0328227571115908E-2</v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>3.4303534297374205E-2</v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>7.2083879425648242E-2</v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>3.2020402380277702E-2</v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>1.0822510819984223E-2</v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>3.3953112367202436E-2</v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>3.3267415951032227E-2</v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>6.1283305675202862E-2</v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>0.13536170974427675</v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>5.1841297681876369E-2</v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>4.0096763228502467E-2</v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>0.10966810965576165</v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>8.1081081083073422E-2</v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>8.5852612051254093E-2</v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>5.9862613924484984E-2</v>
      </c>
    </row>
    <row r="153" spans="1:22" s="87" customFormat="1" x14ac:dyDescent="0.2">
      <c r="A153" s="44"/>
      <c r="B153" s="84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>2.5690258896653547E-2</v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>4.2253521126760625E-2</v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>5.0988553594329536E-2</v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>5.7068741895394258E-2</v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>3.0314336349221156E-2</v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>3.6065573766127179E-2</v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>2.8022417937245091E-2</v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>8.6820959798781724E-3</v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>6.9583402506260397E-2</v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>0.12209976798856949</v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>5.7484900780363071E-2</v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>4.23754130691592E-2</v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>0.14005602241154128</v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>0.10396039603519218</v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>9.4074014218932689E-2</v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>4.4043708609796214E-2</v>
      </c>
    </row>
    <row r="154" spans="1:22" s="87" customFormat="1" x14ac:dyDescent="0.2">
      <c r="A154" s="44"/>
      <c r="B154" s="84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>2.0515931963653686E-2</v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>4.8543689320388349E-2</v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>4.4284243047376021E-2</v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>6.7532467535402527E-2</v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>2.7876188700354229E-2</v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>3.9301310042692862E-2</v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>3.4208432772230089E-2</v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>3.7584979219343756E-2</v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>5.5965835563802815E-2</v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>5.8175765071922153E-2</v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>5.6732963810575007E-2</v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>4.3613167098143467E-2</v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>0.22543352601324934</v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>0.10243902438631726</v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>9.6944777230551935E-2</v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>2.7443463827624817E-2</v>
      </c>
    </row>
    <row r="155" spans="1:22" s="87" customFormat="1" x14ac:dyDescent="0.2">
      <c r="A155" s="44"/>
      <c r="B155" s="84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>9.7382094078143147E-3</v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>5.8441558441558343E-2</v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>5.567010308982414E-2</v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>7.263294423875627E-2</v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>4.5693869875893189E-2</v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>6.2709966399078637E-2</v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>6.0337892195561529E-2</v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>4.0613711021130629E-2</v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>4.0792748708466567E-2</v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>5.0007498999728096E-2</v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>9.4591682824273909E-2</v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>3.8701366059208021E-2</v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>0.20833333333434176</v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>5.0970873771972985E-2</v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>0.12098733126645775</v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>5.1743268702310601E-2</v>
      </c>
    </row>
    <row r="156" spans="1:22" s="87" customFormat="1" x14ac:dyDescent="0.2">
      <c r="A156" s="44"/>
      <c r="B156" s="84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>4.4795858564268083E-3</v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>5.3203040173724278E-2</v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>1.7543859652188642E-2</v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>7.8431372553633513E-2</v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>3.426064227035102E-2</v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>2.5813692489096724E-2</v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>2.8892455858735143E-2</v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>1.9600316871815878E-3</v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>1.0281913429172292E-2</v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>1.3608005697542643E-2</v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>7.8311942564127796E-2</v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>2.8150134048311393E-2</v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>0.28483920367194676</v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>7.2289156606182951E-3</v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>0.14358974358404458</v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>8.0536912751677722E-2</v>
      </c>
    </row>
    <row r="157" spans="1:22" s="87" customFormat="1" x14ac:dyDescent="0.2">
      <c r="A157" s="44"/>
      <c r="B157" s="84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>-5.9255029936316275E-3</v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>4.3991416309012814E-2</v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>2.7892561982125821E-2</v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>6.3775510203463393E-2</v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>3.787808282922283E-2</v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>5.599104142031173E-3</v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>1.7571884984484969E-2</v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>9.6574150482592741E-3</v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>1.1808381404019777E-2</v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>1.4595800568569399E-2</v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>8.798609602122634E-2</v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>6.6800267210494653E-3</v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>0.39050535985868223</v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>-1.8604651165495062E-2</v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>9.8169717146770211E-2</v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>3.6956521739130499E-2</v>
      </c>
    </row>
    <row r="158" spans="1:22" s="87" customFormat="1" x14ac:dyDescent="0.2">
      <c r="A158" s="44"/>
      <c r="B158" s="84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>-1.2074836739753469E-2</v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>3.311965811965821E-2</v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>-4.0733197557374125E-3</v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>4.4585987266015335E-2</v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>3.5601997410763773E-2</v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>1.4590347924536354E-2</v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>9.5011876458228894E-3</v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>-8.9872244454828731E-3</v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>-7.3398912716287389E-3</v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>1.3612046332263388E-2</v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>5.5359623818235358E-2</v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>-6.2541145489512659E-2</v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>0.26745913820198808</v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>-5.6872037899416986E-2</v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>9.735973598146834E-2</v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>5.458515283842795E-2</v>
      </c>
    </row>
    <row r="159" spans="1:22" s="87" customFormat="1" x14ac:dyDescent="0.2">
      <c r="A159" s="44"/>
      <c r="B159" s="84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>-2.1382542159687542E-2</v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>1.2671594508975743E-2</v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>-2.6078234700317341E-2</v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>1.3836477987785355E-2</v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>1.2872379551305548E-2</v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>2.0994475135215112E-2</v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>-8.6410054990191838E-3</v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>-2.2216109508382188E-2</v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>-1.1762360952956943E-3</v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>2.8205716204568479E-2</v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>4.2037272344448082E-2</v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>-7.7529566361859134E-2</v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>0.17768595042137358</v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>-8.7759815226545287E-2</v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>0.10413223140534125</v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>1.4893617021276655E-2</v>
      </c>
    </row>
    <row r="160" spans="1:22" s="87" customFormat="1" x14ac:dyDescent="0.2">
      <c r="A160" s="44"/>
      <c r="B160" s="84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>-3.0095551128348458E-2</v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>2.0833333333333628E-3</v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>-3.9354187688417329E-2</v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>1.2285012240637366E-3</v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>7.9920079920079504E-3</v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>1.754385965323689E-2</v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>-1.4843750001110888E-2</v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>-9.5722524765288284E-3</v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>-1.4807830034783405E-2</v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>-1.3886932300296005E-3</v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>5.3095465646452664E-2</v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>-2.6280323449170917E-2</v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>3.6885245895508394E-2</v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>-0.10250569477680313</v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>8.9576547229784628E-2</v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>-2.0790020790021086E-3</v>
      </c>
    </row>
    <row r="161" spans="1:22" s="87" customFormat="1" x14ac:dyDescent="0.2">
      <c r="A161" s="44"/>
      <c r="B161" s="84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>-3.5962857150199479E-2</v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>1.5839493136219639E-2</v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>-6.1752988045438321E-2</v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>2.8894472370695194E-2</v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>2.1437114729965942E-2</v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>2.2776572670989509E-2</v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>-1.1737089198663259E-2</v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>7.0429376740494681E-4</v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>-2.7790715296220573E-2</v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>9.7378277152193847E-3</v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>1.5237897794857265E-2</v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>-5.6515957444799141E-2</v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>0.12990527740528776</v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>-0.10786516855356768</v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>8.9722675365397145E-2</v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>-2.0790020790020788E-2</v>
      </c>
    </row>
    <row r="162" spans="1:22" s="87" customFormat="1" x14ac:dyDescent="0.2">
      <c r="A162" s="44"/>
      <c r="B162" s="84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>-3.9978970859778674E-2</v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>-1.459854014598546E-2</v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>-7.2854291421906761E-2</v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>-1.8541409141976151E-2</v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>-4.3652237177154397E-3</v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>2.6115342759767124E-2</v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>-2.2870662464710409E-2</v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>-2.972300281003688E-2</v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>-4.1375357214402594E-2</v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>-4.1055890879239804E-2</v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>5.6613484376807814E-3</v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>-4.7233468285917603E-2</v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>2.0645161283478621E-2</v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>-0.10067114093494235</v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>6.1488673152409419E-2</v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>-8.385744234800957E-3</v>
      </c>
    </row>
    <row r="163" spans="1:22" s="87" customFormat="1" x14ac:dyDescent="0.2">
      <c r="A163" s="44"/>
      <c r="B163" s="84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>-3.8508579162349212E-2</v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>9.3847758081333828E-3</v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>-9.8425196854039068E-2</v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>-1.2239902036583895E-3</v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>2.9549417270808471E-2</v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>3.7553648069804227E-2</v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>-1.4843750001110888E-2</v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>1.5541991634237074E-2</v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>-4.5971649315397455E-2</v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>-3.3577687078072814E-2</v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>6.0743333584983182E-3</v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>-6.7013662977101693E-2</v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>0.11037234044132105</v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>-9.6069868998875263E-2</v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>3.7151702791986041E-2</v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>1.0351966873706004E-2</v>
      </c>
    </row>
    <row r="164" spans="1:22" s="87" customFormat="1" x14ac:dyDescent="0.2">
      <c r="A164" s="44"/>
      <c r="B164" s="84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>-4.7423069138540198E-2</v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>-6.2499999999999405E-3</v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>-9.6482412054723896E-2</v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>-1.5892420529482768E-2</v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>1.1257550796265694E-2</v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>3.2119914349431858E-2</v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>-2.892885066954597E-2</v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>-6.5006379521510126E-3</v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>-6.0225377788081041E-2</v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>-1.1597456046615412E-2</v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>-1.2503907562939054E-3</v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>-3.7440435672398423E-2</v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>6.8920676197020886E-2</v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>-6.3636363633677417E-2</v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>2.9503105588590931E-2</v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>-1.4492753623188319E-2</v>
      </c>
    </row>
    <row r="165" spans="1:22" s="87" customFormat="1" x14ac:dyDescent="0.2">
      <c r="A165" s="44"/>
      <c r="B165" s="84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>-4.6938825982837516E-2</v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>-2.0790020790020788E-2</v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>-0.10990099010026419</v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>-2.9447852752665975E-2</v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>-6.6087271410464402E-3</v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>1.6877637134774644E-2</v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>-3.8161993771751175E-2</v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>5.754685931147666E-4</v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>-5.9517617552096405E-2</v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>6.3622084705243064E-3</v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>-4.4875063743527496E-2</v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>-4.6092184370560153E-2</v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>-2.9484029474571283E-2</v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>-0.12780269059246188</v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>1.9877675849677406E-2</v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>-4.1666666666667256E-3</v>
      </c>
    </row>
    <row r="166" spans="1:22" s="87" customFormat="1" x14ac:dyDescent="0.2">
      <c r="A166" s="44"/>
      <c r="B166" s="84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>-5.2765345319482342E-2</v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>-3.8065843621399205E-2</v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>-0.12721893491769279</v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>-4.9878345501048006E-2</v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>-1.5963718820861724E-2</v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>2.1008403366269194E-2</v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>-6.3846153846585707E-2</v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>-4.5538138185487603E-2</v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>-5.8593484052337531E-2</v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>2.5532429820443313E-2</v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>-2.5609379824716436E-2</v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>-2.7516778525356996E-2</v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>-5.0707547158659813E-2</v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>-0.12389380530542676</v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>3.5439137125551641E-2</v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>-1.0482180293501047E-2</v>
      </c>
    </row>
    <row r="167" spans="1:22" s="87" customFormat="1" x14ac:dyDescent="0.2">
      <c r="A167" s="44"/>
      <c r="B167" s="84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>-5.0131120953753786E-2</v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>-3.6809815950920186E-2</v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>-0.12695312500007189</v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>-4.9576783557153038E-2</v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>-1.8252112929329267E-2</v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>3.371970496059358E-2</v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>-6.3732928677261796E-2</v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>-5.7236194755813118E-2</v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>-7.7854591266259834E-2</v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>1.4732589214759926E-2</v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>-6.4763779530645299E-2</v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>-0.12052980132404668</v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>5.1129607618896518E-2</v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>-8.7759815226545287E-2</v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>1.5082956257902378E-2</v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>-5.0290135396518401E-2</v>
      </c>
    </row>
    <row r="168" spans="1:22" s="87" customFormat="1" x14ac:dyDescent="0.2">
      <c r="A168" s="44"/>
      <c r="B168" s="84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>-3.833614950733992E-2</v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>-2.8865979381443269E-2</v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>-9.8377281952932105E-2</v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>-4.2424242428577119E-2</v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>-1.4802780034299129E-2</v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>8.6433260385681041E-2</v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>-4.6021840871231422E-2</v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>-1.0807991066712892E-2</v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>-2.0354543196761159E-2</v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>5.3701255774686235E-2</v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>-1.6805177198389493E-2</v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>-7.8878748366691467E-2</v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>6.7938021447004004E-2</v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>-2.3923444985349211E-2</v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>-2.2421524668772293E-2</v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>-4.1407867494823135E-3</v>
      </c>
    </row>
    <row r="169" spans="1:22" s="87" customFormat="1" x14ac:dyDescent="0.2">
      <c r="A169" s="44"/>
      <c r="B169" s="84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>-3.1764126525850554E-2</v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>-2.8776978417266157E-2</v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>-9.5477386926691624E-2</v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>-5.0359712228317872E-2</v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>-1.7844332855093212E-2</v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>0.11358574610302642</v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>-2.8257456828897756E-2</v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>-1.3546429293969237E-2</v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>-4.7745788617673353E-3</v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>6.9524651147588892E-2</v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>4.4944261035841033E-3</v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>-3.6496350366757649E-2</v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>-5.8370044048367993E-2</v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>2.3696682473889459E-2</v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>1.3636363636432398E-2</v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>4.1928721174003293E-3</v>
      </c>
    </row>
    <row r="170" spans="1:22" s="87" customFormat="1" x14ac:dyDescent="0.2">
      <c r="A170" s="44"/>
      <c r="B170" s="84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>-2.1829816532982035E-2</v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>-1.4477766287487133E-2</v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>-7.5664621674629576E-2</v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>-3.1707317068470749E-2</v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>-1.7144387891776067E-2</v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>0.12942477876853734</v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>-2.2745098035585977E-2</v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>-1.4566897108620273E-2</v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>1.1872398534756826E-3</v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>8.5955330957503184E-2</v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>1.3755598985142498E-2</v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>2.808988763037814E-3</v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>9.8475967161850378E-2</v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>9.7989949745965796E-2</v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>0</v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>-6.211180124223544E-3</v>
      </c>
    </row>
    <row r="171" spans="1:22" s="87" customFormat="1" x14ac:dyDescent="0.2">
      <c r="A171" s="44"/>
      <c r="B171" s="84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>-1.40405393531519E-2</v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>-8.3420229405632047E-3</v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>-7.0030895985727176E-2</v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>-1.3647642680254849E-2</v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>5.4466230936819947E-3</v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>5.3030303029998123E-2</v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>-4.1996830426699147E-2</v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>1.5588541925234532E-2</v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>1.2057267803078853E-2</v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>8.8500060818173451E-2</v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>1.4708538170749727E-2</v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>3.2763532762547579E-2</v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>3.3918128658888512E-2</v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>0.12658227847844883</v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>4.4910179590958894E-3</v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>-1.8867924528302004E-2</v>
      </c>
    </row>
    <row r="172" spans="1:22" s="87" customFormat="1" x14ac:dyDescent="0.2">
      <c r="A172" s="44"/>
      <c r="B172" s="84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>-4.0935123482852423E-3</v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>-7.2765072765073055E-3</v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>-1.3655462178002512E-2</v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>-3.4355828219624247E-2</v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>-1.0631588431390148E-2</v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>6.3577586204013672E-2</v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>-7.1371927022407643E-3</v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>-1.7898014483597329E-2</v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>1.009604859075291E-2</v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>6.8059978238368485E-2</v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>6.0725869766688244E-4</v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>-3.598615917050433E-2</v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>0.22529644268862431</v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>9.3908629458503451E-2</v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>4.4843049277745366E-3</v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>-1.6666666666666607E-2</v>
      </c>
    </row>
    <row r="173" spans="1:22" s="87" customFormat="1" x14ac:dyDescent="0.2">
      <c r="A173" s="44"/>
      <c r="B173" s="84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>9.7254093542932241E-3</v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>-3.1185031185030888E-3</v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>-1.486199575922811E-2</v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>-1.2210012214723558E-2</v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>-1.2700414339758572E-2</v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>-1.0604453868178799E-2</v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>-1.9002375299564122E-2</v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>-1.9026817133765986E-2</v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>1.2852530398557977E-2</v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>5.4775844087255207E-2</v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>1.7016225059558306E-2</v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>-7.0472163999101304E-4</v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>0.141317365253393</v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>9.571788413885049E-2</v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>5.9880239454613285E-3</v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>2.3354564755838671E-2</v>
      </c>
    </row>
    <row r="174" spans="1:22" s="87" customFormat="1" x14ac:dyDescent="0.2">
      <c r="A174" s="44"/>
      <c r="B174" s="84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>1.5627339972230033E-2</v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>7.4074074074074372E-3</v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>6.4585575941135294E-3</v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>0</v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>-9.0427475337962106E-3</v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>7.4231177136413916E-3</v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>-3.2284100044944141E-3</v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>1.0765589830446108E-2</v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>3.7811297104479176E-2</v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>0.1043876320719123</v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>2.3366594888336565E-2</v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>4.9575070821328967E-3</v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>0.13653603033958997</v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>9.45273631913819E-2</v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>4.7256097554119282E-2</v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>3.1712473572938694E-2</v>
      </c>
    </row>
    <row r="175" spans="1:22" s="87" customFormat="1" x14ac:dyDescent="0.2">
      <c r="A175" s="44"/>
      <c r="B175" s="84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>1.5676218733776434E-2</v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>-1.2396694214876063E-2</v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>2.5109170314410872E-2</v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>-3.6764705871989048E-3</v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>-1.4885462162403081E-2</v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>-2.8955532581586715E-2</v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>-3.330689928505428E-2</v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>-2.2697820848899413E-2</v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>3.0214383140011104E-2</v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>8.9222455719800184E-2</v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>9.0357802677563763E-3</v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>-2.7196652718613559E-2</v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>6.7065868261660902E-2</v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>6.5217391311174711E-2</v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>2.9850746235682065E-3</v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>1.2295081967213144E-2</v>
      </c>
    </row>
    <row r="176" spans="1:22" s="87" customFormat="1" x14ac:dyDescent="0.2">
      <c r="A176" s="44"/>
      <c r="B176" s="84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>2.21183408349875E-2</v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>5.2410901467505235E-3</v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>5.1167964401402442E-2</v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>-3.7267080734846884E-3</v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>-1.2127794370531172E-2</v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>-2.0746887971607793E-2</v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>8.0515298421373596E-4</v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>-6.5025318691884775E-4</v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>3.6728233718302958E-2</v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>7.299095581265809E-2</v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>4.1809778219893429E-2</v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>-1.2729844412001335E-2</v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>0.122871046225544</v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>0.10194174756821993</v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>3.6199095028016895E-2</v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>4.2016806722689072E-2</v>
      </c>
    </row>
    <row r="177" spans="1:22" s="87" customFormat="1" x14ac:dyDescent="0.2">
      <c r="A177" s="44"/>
      <c r="B177" s="84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>2.2478324401556903E-2</v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>1.1677282377919261E-2</v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>5.1167964401402442E-2</v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>6.3211125055891333E-3</v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>-1.3123120386402967E-2</v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>-5.1867219914551004E-2</v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>-5.6680161981547579E-3</v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>1.9135650317695076E-2</v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>4.0658669280077428E-2</v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>8.0229962275110159E-2</v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>7.4321000728671469E-2</v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>3.5014005642302936E-3</v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>0.12531645568143698</v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>0.1388174807343342</v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>4.6476761612603536E-2</v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>2.9288702928870414E-2</v>
      </c>
    </row>
    <row r="178" spans="1:22" s="87" customFormat="1" x14ac:dyDescent="0.2">
      <c r="A178" s="44"/>
      <c r="B178" s="84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>3.4399551449686608E-2</v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>2.5668449197861022E-2</v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>6.666666666666661E-2</v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>3.7131882196271004E-2</v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>7.8348234860356591E-3</v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>-5.7613168727940957E-2</v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>2.7115858669647816E-2</v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>3.0152891420271354E-2</v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>3.3172681933697899E-2</v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>9.1091445424674705E-2</v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>6.3284893370509895E-2</v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>-9.6618357487922874E-3</v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>0.12422360248538203</v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>9.5959595966611022E-2</v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>5.5059523808416271E-2</v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>7.6271186440677846E-2</v>
      </c>
    </row>
    <row r="179" spans="1:22" s="87" customFormat="1" x14ac:dyDescent="0.2">
      <c r="A179" s="44"/>
      <c r="B179" s="84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>2.8921655996433697E-2</v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>2.1231422505308159E-3</v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>5.4809843405096856E-2</v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>1.2722646302630009E-2</v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>-2.2346368715083779E-2</v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>-6.218144750499293E-2</v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>2.4311183137415778E-3</v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>2.1659263220505015E-2</v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>4.1936502226889306E-2</v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>0.13052745881861988</v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>4.9589751240705325E-2</v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>7.9066265059900498E-2</v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>-6.7873303164488863E-2</v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>0.16455696201185596</v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>4.606240714103238E-2</v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>2.8513238289205673E-2</v>
      </c>
    </row>
    <row r="180" spans="1:22" s="87" customFormat="1" x14ac:dyDescent="0.2">
      <c r="A180" s="44"/>
      <c r="B180" s="84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>3.0614431397375571E-2</v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>1.9108280254777038E-2</v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>7.5365579302932376E-2</v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>1.5189873426214504E-2</v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>-1.8323408153916889E-3</v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>-6.8479355485882243E-2</v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>2.2076860173687339E-2</v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>1.9783950364367243E-2</v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>1.7579611299114315E-2</v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>7.3525952647809659E-2</v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>2.7027027023236033E-2</v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>7.0771408361006366E-3</v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>-2.2321428470283167E-3</v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>0.15931372550443468</v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>5.8103975547655243E-2</v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>2.9106029106029076E-2</v>
      </c>
    </row>
    <row r="181" spans="1:22" s="87" customFormat="1" x14ac:dyDescent="0.2">
      <c r="A181" s="44"/>
      <c r="B181" s="84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>3.1821662461593132E-2</v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>1.798941798941802E-2</v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>5.7677956024980943E-2</v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>1.262626263117313E-2</v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>3.8345658723637514E-3</v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>-5.3000000000697489E-2</v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>-1.0500807756915718E-2</v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>1.9696310942239555E-2</v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>5.6130010158762528E-3</v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>5.5032473766987722E-2</v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>-6.2344139647624898E-3</v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>-3.7190082641636493E-2</v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>8.7719298242157184E-2</v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>6.4814814812242535E-2</v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>2.6905829596546617E-2</v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>4.1753653444676408E-2</v>
      </c>
    </row>
    <row r="182" spans="1:22" s="87" customFormat="1" x14ac:dyDescent="0.2">
      <c r="A182" s="44"/>
      <c r="B182" s="84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>2.0798456626582983E-2</v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>1.0493179433369206E-3</v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>6.091524300776812E-2</v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>7.5566750608465133E-3</v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>-8.9942763695829465E-3</v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>-5.1909892263040762E-2</v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>-1.6051364364180365E-2</v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>1.9750905833079209E-2</v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>3.5293289197095355E-3</v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>5.2580221421050038E-2</v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>0</v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>-1.6806722690077356E-2</v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>-1.8143009594837677E-2</v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>6.8649885587032666E-2</v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>3.0075187966532316E-2</v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>5.2083333333333336E-2</v>
      </c>
    </row>
    <row r="183" spans="1:22" s="87" customFormat="1" x14ac:dyDescent="0.2">
      <c r="A183" s="44"/>
      <c r="B183" s="84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>9.4828901505113229E-3</v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>7.3606729758149622E-3</v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>4.737032233670984E-2</v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>3.7735849046159836E-3</v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>-1.4897074756229737E-2</v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>-1.0277492270371073E-3</v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>2.8122415216794636E-2</v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>1.1316419811474465E-2</v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>-1.4157493085634383E-2</v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>2.5164378712824415E-2</v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>-2.5125628207788657E-3</v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>-1.6551724132045493E-2</v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>3.5067873296570545E-2</v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>1.797752809226125E-2</v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>4.6199701946070308E-2</v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>8.3333333333333454E-2</v>
      </c>
    </row>
    <row r="184" spans="1:22" s="87" customFormat="1" x14ac:dyDescent="0.2">
      <c r="A184" s="44"/>
      <c r="B184" s="84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>5.0286758793664102E-3</v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>-1.3612565445026148E-2</v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>2.0282129689492473E-2</v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>5.0825921290544853E-3</v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>-2.9960841453419599E-2</v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>-5.0658561285119299E-3</v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>-3.9936102236013425E-2</v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>1.1479675870752099E-2</v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>-1.2932268147272349E-2</v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>3.1644494770352929E-2</v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>-1.6434892544774319E-2</v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>2.5843503228384416E-2</v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>-5.3763440797883286E-3</v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>5.3364269133994023E-2</v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>2.2321428576611017E-2</v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>9.3220338983050807E-2</v>
      </c>
    </row>
    <row r="185" spans="1:22" s="87" customFormat="1" x14ac:dyDescent="0.2">
      <c r="A185" s="44"/>
      <c r="B185" s="84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>-1.8766266558694741E-3</v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>-1.7726798748696586E-2</v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>2.3561681730905396E-2</v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>-2.7194066749806459E-2</v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>-3.0562904844448447E-2</v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>6.6452304394875178E-2</v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>-1.7756255044898712E-2</v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>1.5891079712350206E-2</v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>-1.0506430089468085E-2</v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>7.2555504863339421E-2</v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>-1.5113350120642867E-2</v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>1.6220028211786988E-2</v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>-2.6232948570770055E-2</v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>8.5057471256228728E-2</v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>3.4226190483144937E-2</v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>7.6763485477178331E-2</v>
      </c>
    </row>
    <row r="186" spans="1:22" s="87" customFormat="1" x14ac:dyDescent="0.2">
      <c r="A186" s="44"/>
      <c r="B186" s="84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>3.5950046267118436E-3</v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>6.3025210084033017E-3</v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>2.0272813057428354E-2</v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>1.5113350121693205E-2</v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>-3.4104525762742219E-3</v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>6.3157894731793757E-2</v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>-8.097165962658617E-4</v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>1.5456532592686699E-2</v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>-9.9498077627562312E-3</v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>-2.2760496686770183E-3</v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>-2.8858218321740622E-2</v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>1.4094432693987401E-2</v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>6.0066740813089665E-2</v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>9.7727272715030011E-2</v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>1.3100436681286375E-2</v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>0.10450819672131151</v>
      </c>
    </row>
    <row r="187" spans="1:22" s="87" customFormat="1" x14ac:dyDescent="0.2">
      <c r="A187" s="44"/>
      <c r="B187" s="84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>2.4993115676993768E-3</v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>-9.4142259414225059E-3</v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>6.1266679194392892E-3</v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>-3.3210332106226106E-2</v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>-2.5606225117625756E-2</v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>7.7742279026139879E-2</v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>-9.0237899920388633E-3</v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>7.809449433814941E-3</v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>-2.1231475548216215E-2</v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>3.8255884452147747E-2</v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>-1.2722646286616097E-3</v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>-1.57706093240743E-2</v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>0.11896745229034503</v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>0.12244897960386979</v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>5.8035714296212369E-2</v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>9.3117408906882623E-2</v>
      </c>
    </row>
    <row r="188" spans="1:22" s="87" customFormat="1" x14ac:dyDescent="0.2">
      <c r="A188" s="44"/>
      <c r="B188" s="84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>8.1678367229673001E-3</v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>-1.5641293013555786E-2</v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>3.0033670031216552E-2</v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>-2.2443890280440269E-2</v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>-1.7132386623912088E-2</v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>6.779661017566864E-2</v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>-2.4135156879833673E-2</v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>-1.3338864108912497E-3</v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>7.4204382824872937E-3</v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>7.2741450369364039E-2</v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>2.010050250917984E-2</v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>4.5128939828034072E-2</v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>-1.9501625120161743E-2</v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>9.0308370048225617E-2</v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>3.9301310043858916E-2</v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>8.8709677419354802E-2</v>
      </c>
    </row>
    <row r="189" spans="1:22" s="87" customFormat="1" x14ac:dyDescent="0.2">
      <c r="A189" s="44"/>
      <c r="B189" s="84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>1.2228990969840725E-2</v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>1.5739769150052468E-2</v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>4.1935319583179982E-2</v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>1.5075376892882245E-2</v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>1.4682796195401138E-2</v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>0.12800875273146764</v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>-1.6286644892380842E-3</v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>1.1802739460960126E-2</v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>6.2853883508524793E-3</v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>8.3068144398735416E-2</v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>1.7456359103599942E-2</v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>1.1165387295334972E-2</v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>0.16310461192385067</v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>0.10609480812697138</v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>2.8653295125983701E-2</v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>0.12195121951219512</v>
      </c>
    </row>
    <row r="190" spans="1:22" s="87" customFormat="1" x14ac:dyDescent="0.2">
      <c r="A190" s="44"/>
      <c r="B190" s="84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>1.3319566452767433E-2</v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>6.2565172054222552E-3</v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>4.5205293213503514E-2</v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>7.4074074177420176E-3</v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>-1.4541796231937108E-2</v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>9.0611353715181406E-2</v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>-7.9999999951356048E-3</v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>7.7811244993415442E-3</v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>1.3495994604210804E-2</v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>6.8634872569642472E-2</v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>2.8642590289524674E-2</v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>-1.045296167048046E-2</v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>0.14254143644956643</v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>0.12442396312132237</v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>2.6798307488150833E-2</v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>9.0551181102362238E-2</v>
      </c>
    </row>
    <row r="191" spans="1:22" s="87" customFormat="1" x14ac:dyDescent="0.2">
      <c r="A191" s="44"/>
      <c r="B191" s="84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>1.9467681110546087E-2</v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>2.542372881355923E-2</v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>4.3060887708169758E-2</v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>3.0150753773200586E-2</v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>1.5456674473067969E-2</v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>4.3478260869565258E-2</v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>3.2336297457924374E-3</v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>8.8837673071369798E-3</v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>2.6999476148235297E-2</v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>7.7036641775567918E-2</v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>2.1383647792950766E-2</v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>2.5819958125702171E-2</v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>0.18932038834891904</v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>8.0434782601039104E-2</v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>5.823863635592743E-2</v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>0.12277227722772283</v>
      </c>
    </row>
    <row r="192" spans="1:22" s="87" customFormat="1" x14ac:dyDescent="0.2">
      <c r="A192" s="44"/>
      <c r="B192" s="84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>1.2902526876422994E-2</v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>7.2916666666666963E-3</v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>4.7058823532537576E-2</v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>1.3715710723471925E-2</v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>1.376778338687393E-3</v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>5.4054054041557022E-3</v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>-7.199999998022265E-3</v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>-3.4744105756755606E-4</v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>1.1657316353085187E-2</v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>9.8982964181357963E-2</v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>3.6340852130782135E-2</v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>-9.1356289548990798E-3</v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>4.9217002220905991E-2</v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>6.7653276943578047E-2</v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>7.5144508659158171E-2</v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>0.16969696969696968</v>
      </c>
    </row>
    <row r="193" spans="1:22" s="87" customFormat="1" x14ac:dyDescent="0.2">
      <c r="A193" s="44"/>
      <c r="B193" s="84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>1.7653616628991124E-2</v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>9.3555093555092658E-3</v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>4.8335123525513668E-2</v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>1.8703241889975328E-2</v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>2.182810368349203E-3</v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>-1.3727560718803477E-2</v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>9.7959183728184799E-3</v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>-1.2952325773786795E-3</v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>6.5660138826189622E-3</v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>0.14586748260829721</v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>5.3952321206247093E-2</v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>2.7181688119644592E-2</v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>2.0430107524933936E-2</v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>0.10652173913733513</v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>0.11644832605749576</v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>0.16432865731462931</v>
      </c>
    </row>
    <row r="194" spans="1:22" s="87" customFormat="1" x14ac:dyDescent="0.2">
      <c r="A194" s="44"/>
      <c r="B194" s="84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>1.6655156162359425E-2</v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>1.5723270440251572E-2</v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>3.5181236673376567E-2</v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>1.4999999995812153E-2</v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>6.8756875687568759E-3</v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>-2.6859504133620676E-2</v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>-8.972267536911013E-3</v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>2.1739834237136327E-2</v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>2.2648044507037984E-2</v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>0.10575483135134175</v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>5.88972431116489E-2</v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>4.7720797719827797E-2</v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>5.9782608680525089E-2</v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>9.6359743034586304E-2</v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>0.11094890510317969</v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>0.18019801980198022</v>
      </c>
    </row>
    <row r="195" spans="1:22" s="87" customFormat="1" x14ac:dyDescent="0.2">
      <c r="A195" s="44"/>
      <c r="B195" s="84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>2.7367262108030171E-2</v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>2.0876826722338204E-2</v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>6.8108108109280197E-2</v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>3.2581453641811975E-2</v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>6.8737970855100358E-3</v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>-2.3662551448153459E-2</v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>-4.0225261479798656E-3</v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>1.0561423008714323E-2</v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>2.447365307885721E-2</v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>0.13556088521050477</v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>7.304785894313158E-2</v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>3.4361851332260517E-2</v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>8.0874316941822441E-2</v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>0.15011037526229234</v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>9.9715099704018456E-2</v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>0.2149901380670611</v>
      </c>
    </row>
    <row r="196" spans="1:22" s="87" customFormat="1" x14ac:dyDescent="0.2">
      <c r="A196" s="44"/>
      <c r="B196" s="84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>3.5100748976695413E-2</v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>3.9278131634819559E-2</v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>5.5496264682708858E-2</v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>5.3097345130393873E-2</v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>2.5722868944799186E-2</v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>-1.7311608962952196E-2</v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>2.7454242929158681E-2</v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>2.6867275658248174E-2</v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>1.9432972713261186E-2</v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>0.15849063504365707</v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>0.10411311054383712</v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>2.9391182645265319E-2</v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>1.5135135139348582E-2</v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>0.18061674009645123</v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>0.11644832605749576</v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>0.15116279069767435</v>
      </c>
    </row>
    <row r="197" spans="1:22" s="87" customFormat="1" x14ac:dyDescent="0.2">
      <c r="A197" s="44"/>
      <c r="B197" s="84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>2.5684063430194727E-2</v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>3.8216560509554076E-2</v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>6.781485468378684E-2</v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>5.0825921227007465E-2</v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>3.8208168642951137E-2</v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>-1.3065326633851522E-2</v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>9.0386195565491951E-3</v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>2.917444597783685E-2</v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>3.9219235701363195E-2</v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>9.3256535232709797E-2</v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>0.1010230178997388</v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>2.0818875790591198E-3</v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>3.7715517233593482E-2</v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>0.12500000001589123</v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>0.1007194244639516</v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>0.13294797687861271</v>
      </c>
    </row>
    <row r="198" spans="1:22" s="87" customFormat="1" x14ac:dyDescent="0.2">
      <c r="A198" s="44"/>
      <c r="B198" s="84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>2.8089049895016309E-2</v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>3.0271398747390457E-2</v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>7.8242229372958411E-2</v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>3.8461538459152241E-2</v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>2.4602293747687722E-2</v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>-3.46534653477652E-2</v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>-2.4311183218460103E-3</v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>2.1969251111928875E-2</v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>2.1017290584888878E-2</v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>0.13049445453172168</v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>0.12015503877019632</v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>2.0847810982849602E-2</v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>0.12381951731908833</v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>0.11594202900261191</v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>0.11637931034538505</v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>8.9053803339517706E-2</v>
      </c>
    </row>
    <row r="199" spans="1:22" s="87" customFormat="1" x14ac:dyDescent="0.2">
      <c r="A199" s="44"/>
      <c r="B199" s="84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>3.1201414315489999E-2</v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>2.0063357972544788E-2</v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>7.3593073591133859E-2</v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>5.4707379128028685E-2</v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>-7.614448881047388E-3</v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>-3.2608695657367279E-2</v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>-2.4834437079239084E-3</v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>7.1919798568060812E-3</v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>4.0499917761453619E-2</v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>9.0629147871399279E-2</v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>0.11592356686996053</v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>-1.1653313907000893E-2</v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>-0.13941825475814074</v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>8.0808080798693338E-2</v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>9.4233473974057291E-2</v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>9.444444444444447E-2</v>
      </c>
    </row>
    <row r="200" spans="1:22" s="87" customFormat="1" x14ac:dyDescent="0.2">
      <c r="A200" s="44"/>
      <c r="B200" s="84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>2.5140911540953981E-2</v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>3.9194915254237163E-2</v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>4.5168067230565739E-2</v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>5.4846938781611662E-2</v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>3.1040268456375822E-2</v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>-2.0833333335831629E-2</v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>7.419620772878722E-3</v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>3.4800667835329042E-2</v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>2.534229053290251E-2</v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>8.7867774318074771E-2</v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>8.6206896558473911E-2</v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>-6.854009596587142E-3</v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>6.1878453036843271E-2</v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>5.8585858576022096E-2</v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>8.5434173672979577E-2</v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>9.8148148148148096E-2</v>
      </c>
    </row>
    <row r="201" spans="1:22" s="87" customFormat="1" x14ac:dyDescent="0.2">
      <c r="A201" s="44"/>
      <c r="B201" s="84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>3.3399754956587438E-2</v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>1.8595041322314022E-2</v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>1.3499480791144951E-2</v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>3.5891089102967295E-2</v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>1.4197306152166021E-2</v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>-2.2308438407728046E-2</v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>4.8939641095592746E-3</v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>3.7369624643716734E-3</v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>1.8619492130600962E-2</v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>6.1550151987554057E-2</v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>7.23039215669906E-2</v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>-4.3478260869565098E-2</v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>-6.2862669237895574E-2</v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>3.2653061228988249E-2</v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>9.0529247922678607E-2</v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>8.5144927536231804E-2</v>
      </c>
    </row>
    <row r="202" spans="1:22" s="87" customFormat="1" x14ac:dyDescent="0.2">
      <c r="A202" s="44"/>
      <c r="B202" s="84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>2.9100004870429859E-2</v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>9.3264248704663794E-3</v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>2.3834196896853083E-2</v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>8.5784313660456288E-3</v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>1.7076566125290054E-2</v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>1.8018018017514879E-2</v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>-2.2580645160353706E-2</v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>2.0069899171092174E-2</v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>1.7888568721856405E-2</v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>7.7938944177339695E-2</v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>5.8111380146609694E-2</v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>1.197183098689854E-2</v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>-7.3500967110929252E-2</v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>4.3032786893980851E-2</v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>7.692307691990645E-2</v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>8.8447653429602868E-2</v>
      </c>
    </row>
    <row r="203" spans="1:22" s="87" customFormat="1" x14ac:dyDescent="0.2">
      <c r="A203" s="44"/>
      <c r="B203" s="84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>3.6161594080299085E-2</v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>7.2314049586777156E-3</v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>1.351351351545229E-2</v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>-1.2195121907195869E-3</v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>1.3099630996309846E-2</v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>3.437499999588349E-2</v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>-3.062046736730091E-2</v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>5.7110454007780727E-3</v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>1.6407951692846114E-2</v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>4.193159484887253E-2</v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>8.8669950741065137E-2</v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>-3.4013605440230965E-2</v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>1.2244897955184252E-2</v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>4.225352113554641E-2</v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>4.1610738262926585E-2</v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>2.2927689594356211E-2</v>
      </c>
    </row>
    <row r="204" spans="1:22" s="87" customFormat="1" x14ac:dyDescent="0.2">
      <c r="A204" s="44"/>
      <c r="B204" s="84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>3.8374405688773108E-2</v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>1.6546018614270883E-2</v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>1.9407558731855814E-2</v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>3.8130381301225647E-2</v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>2.3098075160403395E-2</v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>4.0860215058364777E-2</v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>-2.9814665589387605E-2</v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>8.7052110064053147E-3</v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>3.3746688040397932E-2</v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>7.6626570085880932E-2</v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>7.2551390575636462E-2</v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>1.6312056740615189E-2</v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>3.1982942447591638E-2</v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>0.19207920792161565</v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>3.8978494634460938E-2</v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>4.4905008635578607E-2</v>
      </c>
    </row>
    <row r="205" spans="1:22" s="87" customFormat="1" x14ac:dyDescent="0.2">
      <c r="A205" s="44"/>
      <c r="B205" s="84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>3.985427863807111E-2</v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>1.0298661174047374E-2</v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>2.254098360323474E-2</v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>1.7135862912422459E-2</v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>1.4520373899627606E-3</v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>1.0706638113158763E-2</v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>-2.2635408244801623E-2</v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>1.2091089971601987E-2</v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>2.6848397122999312E-2</v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>8.964475881515022E-3</v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>4.0476190476164638E-2</v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>-4.1782729755297241E-3</v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>5.1633298223437242E-2</v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>0.13359528486087274</v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>7.8226857931567601E-3</v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>3.9586919104991347E-2</v>
      </c>
    </row>
    <row r="206" spans="1:22" s="87" customFormat="1" x14ac:dyDescent="0.2">
      <c r="A206" s="44"/>
      <c r="B206" s="84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>4.2400121628861802E-2</v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>1.1351909184726464E-2</v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>3.08959835140524E-2</v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>3.6945812810035575E-2</v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>-1.7026313393426244E-2</v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>-3.0785562637369871E-2</v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>-4.1152263390405522E-3</v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>-4.7529270108966981E-4</v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>3.891894264738697E-3</v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>5.5494647240321167E-2</v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>4.3786982252616513E-2</v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>-5.778382052841935E-2</v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>-1.641025640508172E-2</v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>0.11523437499378152</v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>1.7082785815573459E-2</v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>-1.1744966442953067E-2</v>
      </c>
    </row>
    <row r="207" spans="1:22" s="87" customFormat="1" x14ac:dyDescent="0.2">
      <c r="A207" s="44"/>
      <c r="B207" s="84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>4.0142603261977848E-2</v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>1.6359918200409086E-2</v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>1.720647773233161E-2</v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>2.9126213583984612E-2</v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>7.9191698525396381E-3</v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>1.2644889360222575E-2</v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>-2.4232633272761781E-3</v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>1.7745252786148236E-2</v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>1.8461183118916022E-2</v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>3.3232531719074011E-2</v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>3.6384976532565498E-2</v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>-5.9661016954739146E-2</v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>1.3144590504027387E-2</v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>0.10748560460254689</v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>2.3316062176400729E-2</v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>-1.1363636363636409E-2</v>
      </c>
    </row>
    <row r="208" spans="1:22" s="87" customFormat="1" x14ac:dyDescent="0.2">
      <c r="A208" s="44"/>
      <c r="B208" s="84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>3.3745215740864913E-2</v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>2.0429009193052975E-3</v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>8.0889787618404485E-3</v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>4.8019207629601294E-3</v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>2.5626944902068564E-3</v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>-2.0725388557701402E-3</v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>-2.267206477642306E-2</v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>1.8235732547875832E-3</v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>3.1505782544613226E-2</v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>1.7541089736283589E-2</v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>6.2863795109252052E-2</v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>-3.6029911623842968E-2</v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>6.3897763575294211E-2</v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>8.582089551027422E-2</v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>1.6949152536626402E-2</v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>1.0101010101010124E-2</v>
      </c>
    </row>
    <row r="209" spans="1:22" s="87" customFormat="1" x14ac:dyDescent="0.2">
      <c r="A209" s="44"/>
      <c r="B209" s="84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>4.6044975861064964E-2</v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>1.2269938650306778E-2</v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>9.0725806400283188E-3</v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>3.3857315597057444E-2</v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>-7.8861493836112247E-3</v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>-9.1649694498607635E-3</v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>-1.7100977194008216E-2</v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>1.1200151491279787E-3</v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>9.9287730262740698E-3</v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>5.8958937865016443E-2</v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>3.9488966318344941E-2</v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>-4.362880886413617E-2</v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>4.7767393572776672E-2</v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>9.2278719383849725E-2</v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>3.6601307188089793E-2</v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>4.421768707482996E-2</v>
      </c>
    </row>
    <row r="210" spans="1:22" s="87" customFormat="1" x14ac:dyDescent="0.2">
      <c r="A210" s="44"/>
      <c r="B210" s="84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>3.4958822412468948E-2</v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>8.1053698074974381E-3</v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>-1.0934393641116525E-2</v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>3.7037037034824298E-2</v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>-1.5165192272973521E-2</v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>-1.0256410254062681E-2</v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>-5.6864337894003613E-3</v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>3.1318533958652238E-3</v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>1.9748884723126615E-2</v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>7.7025297772391088E-2</v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>2.5374855819003825E-2</v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>-5.5139550713690935E-2</v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>-9.1503267968304505E-2</v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>0.1001855287470088</v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>2.1879021880546051E-2</v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>5.1107325383304938E-2</v>
      </c>
    </row>
    <row r="211" spans="1:22" s="87" customFormat="1" x14ac:dyDescent="0.2">
      <c r="A211" s="44"/>
      <c r="B211" s="84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>3.765519181332766E-2</v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>1.8633540372670926E-2</v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>3.0241935466761502E-3</v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>1.6887816645965475E-2</v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>1.5345747169458225E-2</v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>-1.3278855976232148E-2</v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>8.298755189959043E-3</v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>2.80816483541779E-2</v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>2.3030861354134884E-2</v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>6.4469542072182834E-2</v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>1.7123287670380807E-2</v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>3.6109064111935527E-2</v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>0.1736596736574082</v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>0.12710280374708768</v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>3.0848329053304761E-2</v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>5.4145516074450013E-2</v>
      </c>
    </row>
    <row r="212" spans="1:22" s="87" customFormat="1" x14ac:dyDescent="0.2">
      <c r="A212" s="44"/>
      <c r="B212" s="84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>1.6709726387685822E-2</v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>1.6309887869520985E-2</v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>8.0402010097368089E-3</v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>4.8367593706626959E-2</v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>5.7860952897568086E-3</v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>-1.6210739618774658E-2</v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>-8.1833060261116001E-4</v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>4.4703993425457243E-3</v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>1.9688135598307198E-2</v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>5.0416023678113348E-2</v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>0</v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>-1.1732229124520478E-2</v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>3.4339229970643266E-2</v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>0.16412213740421594</v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>3.7419354835895563E-2</v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>6.0708263069139991E-2</v>
      </c>
    </row>
    <row r="213" spans="1:22" s="87" customFormat="1" x14ac:dyDescent="0.2">
      <c r="A213" s="44"/>
      <c r="B213" s="84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>1.9443846693800077E-2</v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>1.3184584178499102E-2</v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>1.8442622949815163E-2</v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>5.6152927121168601E-2</v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>-3.1048097631012149E-2</v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>-3.1746031744128267E-2</v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>-8.1168831200326644E-3</v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>5.0169878967680145E-3</v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>2.1506631410974211E-2</v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>7.7181261426948117E-2</v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>1.1428571407218183E-3</v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>2.0923520921457057E-2</v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>4.3343653245337593E-2</v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>0.22529644268321602</v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>3.7037037034198569E-2</v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>7.8464106844741172E-2</v>
      </c>
    </row>
    <row r="214" spans="1:22" s="87" customFormat="1" x14ac:dyDescent="0.2">
      <c r="A214" s="44"/>
      <c r="B214" s="84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>2.7733146461799599E-2</v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>4.3121149897330478E-2</v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>2.631578946804768E-2</v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>6.1968408269689391E-2</v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>2.4911032028469657E-2</v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>-3.4414945920458503E-2</v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>1.8976897687195508E-2</v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>1.272024132353748E-2</v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>2.9212513367249993E-2</v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>0.1045672888903892</v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>1.3729977111806069E-2</v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>-1.3221990261422515E-2</v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>0.19937369519062029</v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>0.22200392927605681</v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>5.1020408157667757E-2</v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>9.1210613598673301E-2</v>
      </c>
    </row>
    <row r="215" spans="1:22" s="87" customFormat="1" x14ac:dyDescent="0.2">
      <c r="A215" s="44"/>
      <c r="B215" s="84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>2.5772038354444016E-2</v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>3.0769230769230771E-2</v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>4.4102564096466623E-2</v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>6.4713064711171192E-2</v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>1.0471680932434946E-2</v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>-9.0634441085632907E-3</v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>1.1637572734408049E-2</v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>4.6919049543688772E-2</v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>3.5538640581640205E-2</v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>8.9396100805904197E-2</v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>2.3755656105273321E-2</v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>-2.0422535209212018E-2</v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>-4.8387096775563181E-2</v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>0.18918918918188399</v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>6.0567010306587538E-2</v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>0.15344827586206905</v>
      </c>
    </row>
    <row r="216" spans="1:22" s="87" customFormat="1" x14ac:dyDescent="0.2">
      <c r="A216" s="44"/>
      <c r="B216" s="84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>2.3085550432255988E-2</v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>3.0518819938962362E-2</v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>2.3046092189846656E-2</v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>3.9099526067235289E-2</v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>-1.236337573911494E-2</v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>2.3760330576785622E-2</v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>1.4950166108776107E-2</v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>4.545017467962259E-2</v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>1.8088810319869711E-2</v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>9.8472222217399222E-2</v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>2.3675310030416459E-2</v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>-3.9078855547645862E-2</v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>9.5041322300025932E-2</v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>3.1561461796531055E-2</v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>8.5381630008500922E-2</v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>7.9338842975206561E-2</v>
      </c>
    </row>
    <row r="217" spans="1:22" s="87" customFormat="1" x14ac:dyDescent="0.2">
      <c r="A217" s="44"/>
      <c r="B217" s="84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>1.5711629823669183E-2</v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>3.1600407747196829E-2</v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>2.1042084165722477E-2</v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>6.1371841150281763E-2</v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>-7.6121431807883028E-3</v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>3.2838983051223146E-2</v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>2.9776674937862548E-2</v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>3.9262348578927395E-2</v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>2.6057124923252739E-2</v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>0.10806723483427659</v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>4.5766590386542932E-2</v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>-7.6923076912845251E-3</v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>-9.0180360733959575E-2</v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>8.3188908157656255E-2</v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>6.727037515154749E-2</v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>9.933774834437098E-2</v>
      </c>
    </row>
    <row r="218" spans="1:22" s="87" customFormat="1" x14ac:dyDescent="0.2">
      <c r="A218" s="44"/>
      <c r="B218" s="84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>1.9850526256854354E-2</v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>3.9795918367347E-2</v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>2.4975024979404944E-2</v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>3.8004750599128306E-2</v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>3.3067802889959315E-2</v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>8.3242059145015451E-2</v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>3.3884297522252707E-2</v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>4.0244733633016422E-2</v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>3.8404440004743828E-2</v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>8.7144471939876123E-2</v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>2.8344671200179593E-2</v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>4.9062049066176741E-2</v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>5.0052137644898992E-2</v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>0.12259194395352073</v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>8.5271317825149975E-2</v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>0.13582342954159604</v>
      </c>
    </row>
    <row r="219" spans="1:22" s="87" customFormat="1" x14ac:dyDescent="0.2">
      <c r="A219" s="44"/>
      <c r="B219" s="84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>2.1064628893262993E-2</v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>2.9175050301810779E-2</v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>3.9800995020594324E-2</v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>5.4245283023596366E-2</v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>2.1674342996477456E-3</v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>1.1446409994698876E-2</v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>4.8582995937909105E-3</v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>1.7741329076197528E-2</v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>1.884199612903209E-2</v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>9.7590436073984418E-2</v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>3.5107587764962263E-2</v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>2.9560201876672815E-2</v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>4.2914171646820189E-2</v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>0.10225303294161918</v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>4.9367088616521233E-2</v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>0.11330049261083741</v>
      </c>
    </row>
    <row r="220" spans="1:22" s="87" customFormat="1" x14ac:dyDescent="0.2">
      <c r="A220" s="44"/>
      <c r="B220" s="84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>1.998407626271035E-2</v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>5.8103975535168231E-2</v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>3.2096288866988579E-2</v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>8.3632019112820838E-2</v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>2.9213072850100316E-2</v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>2.3883696779128376E-2</v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>5.2195526099774327E-2</v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>4.3488239575634302E-2</v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>6.8159975192710054E-3</v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>0.11573671796676126</v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>9.8576122687108574E-3</v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>2.1861777151947436E-2</v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>0.11111111111298473</v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>0.10137457044177506</v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>0.10769230770177673</v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>0.16333333333333327</v>
      </c>
    </row>
    <row r="221" spans="1:22" s="87" customFormat="1" x14ac:dyDescent="0.2">
      <c r="A221" s="44"/>
      <c r="B221" s="84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>1.9064641055001063E-2</v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>4.7474747474747503E-2</v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>4.1958041962091304E-2</v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>5.4970760234082379E-2</v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>2.8323435358611187E-2</v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>2.5693730733267243E-2</v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>5.5509527753088879E-2</v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>4.4112317414493292E-2</v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>8.1144812973732387E-3</v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>9.1053824021165353E-2</v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>1.2290502800790901E-2</v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>3.6929761038465236E-2</v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>4.2616451922727595E-2</v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>0.11206896552720054</v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>8.5750315251625242E-2</v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>0.14657980456026071</v>
      </c>
    </row>
    <row r="222" spans="1:22" s="87" customFormat="1" x14ac:dyDescent="0.2">
      <c r="A222" s="44"/>
      <c r="B222" s="84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>2.1689465958568889E-2</v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>4.0201005025125629E-2</v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>5.2261306530925464E-2</v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>5.7603686635599623E-2</v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>1.7415215398716828E-2</v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>2.3834196889534063E-2</v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>2.5326797384032141E-2</v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>3.5215753508028962E-2</v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>5.6054323784642908E-3</v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>2.8759006233442255E-2</v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>3.0371203604066574E-2</v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>1.4409221860754214E-3</v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>6.9886947579415243E-2</v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>8.6003372691320829E-2</v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>8.3123425688729005E-2</v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>0.15072933549432735</v>
      </c>
    </row>
    <row r="223" spans="1:22" s="87" customFormat="1" x14ac:dyDescent="0.2">
      <c r="A223" s="44"/>
      <c r="B223" s="84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>2.2548508199549389E-2</v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>5.4878048780487715E-2</v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>5.5276381906109104E-2</v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>9.6085409262041566E-2</v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>1.6127545848308909E-2</v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>3.6231884059296282E-2</v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>4.6913580242015612E-2</v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>2.4718785805505263E-2</v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>-1.0081284356064747E-2</v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>0.10143447308363678</v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>2.5813692483173493E-2</v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>1.4224751068861959E-2</v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>3.0784508435181931E-2</v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>6.4676616913772633E-2</v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>6.857855361466951E-2</v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>0.13483146067415741</v>
      </c>
    </row>
    <row r="224" spans="1:22" s="87" customFormat="1" x14ac:dyDescent="0.2">
      <c r="A224" s="44"/>
      <c r="B224" s="84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>4.0878870048717271E-2</v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>4.2126379137412261E-2</v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>4.5862412753977629E-2</v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>6.4590542096691336E-2</v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>6.2921348314606993E-3</v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>4.3254376936462502E-2</v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>3.9312039309282169E-2</v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>4.0697036651361464E-2</v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>-2.8031169388814354E-2</v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>0.10815436342844507</v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>2.3809523806091352E-2</v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>-2.5139664802496822E-2</v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>5.0301810857040857E-2</v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>5.2459016400968041E-2</v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>8.9552238806341403E-2</v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>0.13990461049284586</v>
      </c>
    </row>
    <row r="225" spans="1:22" s="87" customFormat="1" x14ac:dyDescent="0.2">
      <c r="A225" s="44"/>
      <c r="B225" s="84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>2.7405594731142652E-2</v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>3.7037037037036924E-2</v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>5.9356136824436231E-2</v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>4.1855203627242647E-2</v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>2.8245971476199269E-2</v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>3.27868852438713E-2</v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>4.009819967525962E-2</v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>4.0346276581678199E-2</v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>-3.0753000763875337E-2</v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>0.1325516487684999</v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>3.65296803696998E-2</v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>4.946996466441104E-3</v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>-2.9673590536590981E-3</v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>4.193548386461976E-2</v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>7.3891625607754266E-2</v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>0.11609907120743035</v>
      </c>
    </row>
    <row r="226" spans="1:22" s="87" customFormat="1" x14ac:dyDescent="0.2">
      <c r="A226" s="44"/>
      <c r="B226" s="84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>1.6012515155555102E-2</v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>2.9527559055118113E-2</v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>4.8323471400430369E-2</v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>7.2082379853797521E-2</v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>-1.7094017094016985E-2</v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>3.4623217925904663E-2</v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>3.0769230771473272E-2</v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>3.8964675138927304E-2</v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>-3.8879116874891158E-2</v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>7.1479162534370935E-2</v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>3.9503386012822113E-2</v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>-2.8208744707862981E-2</v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>-0.1235857267161297</v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>3.3762057868223221E-2</v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>8.0097087375134879E-2</v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>8.8145896656534911E-2</v>
      </c>
    </row>
    <row r="227" spans="1:22" s="87" customFormat="1" x14ac:dyDescent="0.2">
      <c r="A227" s="44"/>
      <c r="B227" s="84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>2.0789974222076048E-2</v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>5.5721393034825817E-2</v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>4.5186640473306082E-2</v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>8.4862385324178655E-2</v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>1.1714877894926531E-2</v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>2.4390243908200923E-2</v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>6.327033689584495E-2</v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>5.1332948643772545E-2</v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>-3.5474220815771333E-2</v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>5.6685581269135733E-2</v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>3.0939226521798802E-2</v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>2.3005032349704028E-2</v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>0.13559322034896482</v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>8.2792207802275627E-2</v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>9.4775212641257864E-2</v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>0.11958146487294469</v>
      </c>
    </row>
    <row r="228" spans="1:22" s="87" customFormat="1" x14ac:dyDescent="0.2">
      <c r="A228" s="44"/>
      <c r="B228" s="84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>1.5505113630368593E-2</v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>4.3435340572556817E-2</v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>3.1341821743618339E-2</v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>8.4378563275392657E-2</v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>6.8940493468795825E-3</v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>2.9263370328064142E-2</v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>4.8281505734107291E-2</v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>3.1310359634881949E-2</v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>-3.5595342689687781E-2</v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>2.8940307109624509E-2</v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>2.0925110133028828E-2</v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>8.7872185906881894E-2</v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>8.4905660469569225E-3</v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>0.11755233495440154</v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>0.12038140643390344</v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>0.1393568147013784</v>
      </c>
    </row>
    <row r="229" spans="1:22" s="87" customFormat="1" x14ac:dyDescent="0.2">
      <c r="A229" s="44"/>
      <c r="B229" s="84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>2.510036485019973E-2</v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>5.0395256916995992E-2</v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>3.9254170760755415E-2</v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>8.2766439917010645E-2</v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>2.2920281252853537E-2</v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>3.1794871795223972E-2</v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>3.5341365454588776E-2</v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>2.9913842619069621E-2</v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>-2.2940497096354415E-2</v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>5.7962154703580203E-2</v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>2.7352297591584373E-2</v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>4.6511627900741592E-2</v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>0.20264317181646602</v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>8.4799999997362971E-2</v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>0.13454545455462416</v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>0.11897590361445769</v>
      </c>
    </row>
    <row r="230" spans="1:22" s="87" customFormat="1" x14ac:dyDescent="0.2">
      <c r="A230" s="44"/>
      <c r="B230" s="84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>2.4689755204971745E-2</v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>4.8086359175662327E-2</v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>3.2163742689822444E-2</v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>9.8398169335310787E-2</v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>1.2014704563794526E-2</v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>1.5166835193008594E-2</v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>3.7569944044911104E-2</v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>3.9807704027498371E-2</v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>-2.2600655060565553E-2</v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>3.6096162755584797E-2</v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>4.6306504954809008E-2</v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>-2.4071526822463787E-2</v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>8.1429990068383556E-2</v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>7.4882995330765909E-2</v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>0.126190476193623</v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>0.13303437967115084</v>
      </c>
    </row>
    <row r="231" spans="1:22" s="87" customFormat="1" x14ac:dyDescent="0.2">
      <c r="A231" s="44"/>
      <c r="B231" s="84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>2.8770264554083536E-2</v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>3.1280547409579695E-2</v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>1.0526315792346707E-2</v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>6.3758389255100661E-2</v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>4.5057222672791888E-4</v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>2.4691358020793978E-2</v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>2.6591458501910085E-2</v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>1.9840994971691121E-2</v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>-2.0647896652735195E-2</v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>6.3164874859000533E-2</v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>5.0328227576465087E-2</v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>0</v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>3.2535885165165507E-2</v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>8.9622641499791544E-2</v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>0.12545235222507004</v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>0.10029498525073742</v>
      </c>
    </row>
    <row r="232" spans="1:22" s="87" customFormat="1" x14ac:dyDescent="0.2">
      <c r="A232" s="44"/>
      <c r="B232" s="84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>2.9473235056924004E-2</v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>3.3718689788053952E-2</v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>3.7900874632101358E-2</v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>6.7254685777372925E-2</v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>8.3377683164805039E-3</v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>1.8255578092808922E-2</v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>2.4409448817291658E-2</v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>3.5198822909906856E-2</v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>-1.5081937568201779E-2</v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>5.6656514674905838E-2</v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>4.4468546633320782E-2</v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>1.3802622500248864E-2</v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>-7.3873873872533885E-2</v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>9.8283931361878962E-2</v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>8.5648148145575823E-2</v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>8.309455587392546E-2</v>
      </c>
    </row>
    <row r="233" spans="1:22" s="87" customFormat="1" x14ac:dyDescent="0.2">
      <c r="A233" s="44"/>
      <c r="B233" s="84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>2.6543962744943375E-2</v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>3.5679845708775339E-2</v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>2.396931926662178E-2</v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>7.2062084251748551E-2</v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>6.1306086183918057E-3</v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>-1.3026052104852651E-2</v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>1.491365777189747E-2</v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>3.193359742929535E-2</v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>-7.0734289303030374E-3</v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>6.4443259612176326E-2</v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>7.0640176598339141E-2</v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>1.396648044893895E-2</v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>-2.4714828897429791E-2</v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>6.8217054265200708E-2</v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>8.9430894314798601E-2</v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>7.9545454545454461E-2</v>
      </c>
    </row>
    <row r="234" spans="1:22" s="87" customFormat="1" x14ac:dyDescent="0.2">
      <c r="A234" s="44"/>
      <c r="B234" s="84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>2.5957338214564082E-2</v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>3.9613526570048255E-2</v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>2.1012416433646895E-2</v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>6.1002178658042985E-2</v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>2.1441441441441399E-2</v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>-9.1093117406811138E-3</v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>2.3904382471484784E-2</v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>1.0885997096772973E-2</v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>-1.7909011959036339E-2</v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>0.13177961709608196</v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>5.3493449780566117E-2</v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>4.7482014389567027E-2</v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>9.221902017580233E-2</v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>6.5217391301309449E-2</v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>0.10581395348776355</v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>8.1690140845070383E-2</v>
      </c>
    </row>
    <row r="235" spans="1:22" s="87" customFormat="1" x14ac:dyDescent="0.2">
      <c r="A235" s="44"/>
      <c r="B235" s="84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>2.3924122456416591E-2</v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>4.3352601156069363E-2</v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>4.3809523811242992E-2</v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>5.7359307357597165E-2</v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>3.4373299473970539E-2</v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>-2.6973026972386634E-2</v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>4.7955974842674512E-2</v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>1.5138375398745404E-2</v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>-4.6963519141781651E-3</v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>9.0639835031891811E-2</v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>7.2210065649732591E-2</v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>3.506311357425834E-3</v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>2.6011560705696869E-2</v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>8.5669781933405298E-2</v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>9.2182030341222229E-2</v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>9.0523338048090402E-2</v>
      </c>
    </row>
    <row r="236" spans="1:22" s="87" customFormat="1" x14ac:dyDescent="0.2">
      <c r="A236" s="44"/>
      <c r="B236" s="84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>2.805459631788591E-2</v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>3.7536092396535048E-2</v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>2.9551954243088513E-2</v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>6.9339111591658412E-2</v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>-4.555605180884369E-3</v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>-4.9358341557394839E-2</v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>2.2852639878120841E-2</v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>1.2038849574642605E-2</v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>6.4820641884761783E-3</v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>6.4236609400883785E-2</v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>7.4197120710753545E-2</v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>2.7936962749663098E-2</v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>9.5785440662797157E-3</v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>9.345794391460599E-2</v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>7.1917808219451804E-2</v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>7.9497907949790836E-2</v>
      </c>
    </row>
    <row r="237" spans="1:22" s="87" customFormat="1" x14ac:dyDescent="0.2">
      <c r="A237" s="44"/>
      <c r="B237" s="84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>2.6126689571397289E-2</v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>4.922779922779931E-2</v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>3.8936372265067153E-2</v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>7.2747014112651734E-2</v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>2.6569395658830972E-2</v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>-3.4722222223311235E-2</v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>1.1014948858726458E-2</v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>1.8517674930909923E-2</v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>1.3817759157166067E-3</v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>6.1596234335296908E-2</v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>9.5814977974394422E-2</v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>2.8129395278406978E-3</v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>0.13492063492793041</v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>7.894736843042266E-2</v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>9.0596330278701842E-2</v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>8.7378640776699198E-2</v>
      </c>
    </row>
    <row r="238" spans="1:22" s="87" customFormat="1" x14ac:dyDescent="0.2">
      <c r="A238" s="44"/>
      <c r="B238" s="84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>3.2589462058416771E-2</v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>3.2504780114722812E-2</v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>1.8814675444918771E-2</v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>5.2294557100581195E-2</v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>1.4311594202898535E-2</v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>-4.2322834648488773E-2</v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>-1.5710919110551429E-3</v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>-6.5574752223416244E-3</v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>-1.2539167773912743E-3</v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>7.7908514005887733E-2</v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>6.9489685122861966E-2</v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>4.4267053697810435E-2</v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>0.12413108242906942</v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>8.709175738405453E-2</v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>7.5280898883399672E-2</v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>8.6592178770949768E-2</v>
      </c>
    </row>
    <row r="239" spans="1:22" s="87" customFormat="1" x14ac:dyDescent="0.2">
      <c r="A239" s="44"/>
      <c r="B239" s="84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>2.2039328651101822E-2</v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>2.3562676720075403E-2</v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>2.349624060559171E-2</v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>5.2854122620759905E-2</v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>-9.7978088536563148E-4</v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>-3.9682539682466378E-2</v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>-1.081916537826464E-2</v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>-2.0951795503422656E-2</v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>-2.9307441606483818E-2</v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>0.11176438189164828</v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>6.0021436231856636E-2</v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>7.7301475745161097E-3</v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>5.9701492533325989E-2</v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>7.6461769109035668E-2</v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>7.8801331854826712E-2</v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>6.5420560747663434E-2</v>
      </c>
    </row>
    <row r="240" spans="1:22" s="87" customFormat="1" x14ac:dyDescent="0.2">
      <c r="A240" s="44"/>
      <c r="B240" s="84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>2.4582415385326042E-2</v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>3.5950804162724663E-2</v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>4.1213025968552197E-2</v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>6.3091482653624034E-2</v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>1.9639639639639703E-2</v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>-4.4117647057885061E-2</v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>2.0296643244360927E-2</v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>1.6796355314695885E-3</v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>-2.750386658332192E-2</v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>0.12225392880326769</v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>8.5221143470854285E-2</v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>-1.3351134848371374E-2</v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>-1.8709073973520918E-3</v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>2.0172910661910563E-2</v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>3.404255319637934E-2</v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>0.10618279569892461</v>
      </c>
    </row>
    <row r="241" spans="1:22" s="87" customFormat="1" x14ac:dyDescent="0.2">
      <c r="A241" s="44"/>
      <c r="B241" s="84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>1.1197346290323991E-2</v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>2.8222013170272814E-2</v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>3.7989031496780859E-2</v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>5.5497382197417698E-2</v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>1.9282271023031698E-2</v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>-2.2862823060086686E-2</v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>6.2063615214434254E-3</v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>-7.3095827725082269E-3</v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>-3.6306275673990342E-2</v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>0.11003010106054026</v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>6.7092651757682933E-2</v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>-6.2626262622530751E-2</v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>-1.9230769236109439E-2</v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>6.4896755163721231E-2</v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>5.1282051278489428E-2</v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>0.10228802153432044</v>
      </c>
    </row>
    <row r="242" spans="1:22" s="87" customFormat="1" x14ac:dyDescent="0.2">
      <c r="A242" s="44"/>
      <c r="B242" s="84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>5.589666782368571E-3</v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>1.8726591760299626E-2</v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>2.7288113641909768E-2</v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>4.2708333324793082E-2</v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>-8.8597501550501603E-5</v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>-3.58565737042199E-2</v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>4.6224961466257959E-3</v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>-4.1676130743524324E-2</v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>-4.6793345326038363E-2</v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>0.12674260917332728</v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>5.9009483671737542E-2</v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>-3.5236081752607111E-2</v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>-2.2956841142892478E-2</v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>4.7895500726763712E-2</v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>1.057082451257736E-3</v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>5.1451187335092428E-2</v>
      </c>
    </row>
    <row r="243" spans="1:22" s="87" customFormat="1" x14ac:dyDescent="0.2">
      <c r="A243" s="44"/>
      <c r="B243" s="84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>-8.2545697942678232E-3</v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>4.36018957345971E-2</v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>2.5735163206612701E-2</v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>5.4679284965773012E-2</v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>3.8461538461538554E-2</v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>-2.2088353414141955E-2</v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>3.3751962327112521E-2</v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>4.3543554887212361E-3</v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>-3.2390559084249176E-2</v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>0.11107424855512067</v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>4.5833333332623655E-2</v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>1.1204481795721604E-2</v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>-5.0973123250067046E-2</v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>2.8860028856926137E-2</v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>3.6441586283457152E-2</v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>9.3833780160857916E-2</v>
      </c>
    </row>
    <row r="244" spans="1:22" s="87" customFormat="1" x14ac:dyDescent="0.2">
      <c r="A244" s="44"/>
      <c r="B244" s="84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>-1.4806295350851739E-2</v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>-3.7278657968312346E-3</v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>1.9515419810165517E-2</v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>1.5495867774710658E-2</v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>-3.3515130190007056E-2</v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>-3.4860557770049684E-2</v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>-2.305918524336802E-2</v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>-5.7116900619467739E-2</v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>-3.7331907880533199E-2</v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>9.1601847825564381E-2</v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>4.9844236761358657E-2</v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>-6.8754254595802339E-2</v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>5.5447470811238193E-2</v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>9.943181824921387E-3</v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>1.812366737862631E-2</v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>3.4391534391534508E-2</v>
      </c>
    </row>
    <row r="245" spans="1:22" s="87" customFormat="1" x14ac:dyDescent="0.2">
      <c r="A245" s="44"/>
      <c r="B245" s="84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>-1.7253128366331624E-2</v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>-2.7932960893855808E-3</v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>-7.8956626027582074E-3</v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>2.7921406414223898E-2</v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>-3.2585658777817009E-2</v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>-1.8274111674590195E-2</v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>-6.1871616404532929E-3</v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>-9.5022558259169027E-2</v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>-3.309910346224193E-2</v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>8.7892967777047304E-2</v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>6.0824742266496749E-2</v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>-8.2644628069541946E-3</v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>1.851851851669413E-2</v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>3.6284470246228814E-2</v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>7.4626865695512556E-3</v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>3.6842105263157857E-2</v>
      </c>
    </row>
    <row r="246" spans="1:22" s="87" customFormat="1" x14ac:dyDescent="0.2">
      <c r="A246" s="44"/>
      <c r="B246" s="84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>-2.0728286906306764E-2</v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>-1.4869888475836378E-2</v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>-8.8237302790554611E-3</v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>3.0800821346591433E-3</v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>-2.672428999823603E-2</v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>-1.1235955051697555E-2</v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>-3.1906614787512423E-2</v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>-4.3864131658666268E-2</v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>-7.3410371627388223E-3</v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>7.0332430624611655E-2</v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>6.9430051805785861E-2</v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>-3.5714285715268017E-2</v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>-9.146877748476509E-2</v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>1.8950437307583751E-2</v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>-3.4700315450645183E-2</v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>2.2135416666666706E-2</v>
      </c>
    </row>
    <row r="247" spans="1:22" s="87" customFormat="1" x14ac:dyDescent="0.2">
      <c r="A247" s="44"/>
      <c r="B247" s="84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>-3.8286099299498978E-2</v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>-2.4930747922437699E-2</v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>-6.8568579988915496E-2</v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>2.047082906626187E-2</v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>-4.5681718544497971E-2</v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>2.0533880956025412E-3</v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>-9.0772693168329158E-2</v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>-8.1419921464138401E-2</v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>-2.5033800220543839E-2</v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>3.9021852232709972E-2</v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>3.9795918366987613E-2</v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>-4.5422781274790949E-2</v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>3.3802816890313121E-2</v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>-1.0043041613618176E-2</v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>-4.0598290606601604E-2</v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>1.2970168612193066E-3</v>
      </c>
    </row>
    <row r="248" spans="1:22" s="87" customFormat="1" x14ac:dyDescent="0.2">
      <c r="A248" s="44"/>
      <c r="B248" s="84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>-8.1771153872675001E-2</v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>-2.7829313543599257E-2</v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>-4.2527944136236812E-2</v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>-1.3171225930202472E-2</v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>-2.7458722182340294E-2</v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>1.7653167177856203E-2</v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>-7.2419106317684445E-2</v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>-9.456252464669615E-2</v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>-2.9493881827681059E-2</v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>3.4777248383317166E-2</v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>6.4948453608343934E-2</v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>-4.738675957889138E-2</v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>1.423149905056614E-2</v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>-1.9943019942370528E-2</v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>-3.6208732696851174E-2</v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>5.1679586563306385E-3</v>
      </c>
    </row>
    <row r="249" spans="1:22" s="87" customFormat="1" x14ac:dyDescent="0.2">
      <c r="A249" s="44"/>
      <c r="B249" s="84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>-7.0506333957558412E-2</v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>-6.0717571297148193E-2</v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>-7.5497919264932836E-2</v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>-3.5425101218150415E-2</v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>-6.7029303386559047E-2</v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>1.3360739980152244E-2</v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>-8.2490272371396806E-2</v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>-0.14372609969682038</v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>-2.6488561322575599E-2</v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>-1.5156539786160935E-2</v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>7.0351758753603904E-3</v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>-5.1893408140452076E-2</v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>-9.8776223784719772E-2</v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>-6.1692969877380315E-2</v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>-7.3606729761002562E-2</v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>-2.168367346938779E-2</v>
      </c>
    </row>
    <row r="250" spans="1:22" s="87" customFormat="1" x14ac:dyDescent="0.2">
      <c r="A250" s="44"/>
      <c r="B250" s="84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>-8.7809609873850267E-2</v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>-8.8888888888888837E-2</v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>-0.12627450386783573</v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>-7.6064908721307209E-2</v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>-9.796392212895158E-2</v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>-1.5416238434226457E-2</v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>-0.10385523210330824</v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>-0.16295436734724561</v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>-4.1370765465149513E-2</v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>-0.11992690075790957</v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>-4.1624365487307344E-2</v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>-9.3815149405429649E-2</v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>4.4169611255753145E-3</v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>-0.10014306151307484</v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>-0.11180773249893837</v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>-6.6838046272493609E-2</v>
      </c>
    </row>
    <row r="251" spans="1:22" s="87" customFormat="1" x14ac:dyDescent="0.2">
      <c r="A251" s="44"/>
      <c r="B251" s="84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>-0.11357467785532671</v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>-0.12523020257826883</v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>-0.2013297738539169</v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>-0.11947791164646537</v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>-0.11180456490727525</v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>-1.859504132179815E-2</v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>-0.14687500000112313</v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>-0.19947078873856497</v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>-5.46656631482779E-2</v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>-0.20952899941700515</v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>-0.15267947421503381</v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>-9.7629009762706206E-2</v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>-0.10563380282692729</v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>-0.14902506962956064</v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>-0.14917695473136694</v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>-9.3984962406015046E-2</v>
      </c>
    </row>
    <row r="252" spans="1:22" s="87" customFormat="1" x14ac:dyDescent="0.2">
      <c r="A252" s="44"/>
      <c r="B252" s="84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>-0.13421127735690186</v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>-0.16803652968036534</v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>-0.27045650300950347</v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>-0.20178041543373071</v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>-0.15241208694115568</v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>-3.589743589875638E-2</v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>-0.19663351186066569</v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>-0.2086526832812621</v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>-7.0604734656737084E-2</v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>-0.20695906076157464</v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>-0.14811133201103047</v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>-0.16305818673334582</v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>-9.3720712326392872E-3</v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>-0.19491525423872455</v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>-0.1944444444444445</v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>-0.13365735115431349</v>
      </c>
    </row>
    <row r="253" spans="1:22" s="87" customFormat="1" x14ac:dyDescent="0.2">
      <c r="A253" s="44"/>
      <c r="B253" s="84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>-0.13666586880257481</v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>-0.18481244281793233</v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>-0.33333333333612331</v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>-0.22420634921020757</v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>-0.17157120336311091</v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>-5.7985757885779886E-2</v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>-0.21973785659339007</v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>-0.20574840072436973</v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>-8.3376973240169155E-2</v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>-0.1446419059572224</v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>-0.12574850299488041</v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>-7.1120689652971178E-2</v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>-2.6143790841345667E-2</v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>-0.19390581717992533</v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>-0.20121951219580367</v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>-0.11233211233211236</v>
      </c>
    </row>
    <row r="254" spans="1:22" s="87" customFormat="1" x14ac:dyDescent="0.2">
      <c r="A254" s="44"/>
      <c r="B254" s="84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>-0.14751295397540418</v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>-0.19209558823529405</v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>-0.32031250000165179</v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>-0.2157842157852338</v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>-0.17729930887825629</v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>-4.855371901225361E-2</v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>-0.25460122699450016</v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>-0.21471332563314385</v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>-9.3758213067122093E-2</v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>-0.11486893098735866</v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>-0.12437810945502936</v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>-8.5463842217554209E-2</v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>4.6992481306877077E-3</v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>-0.20221606648506399</v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>-0.15522703273179631</v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>-6.5244667503136802E-2</v>
      </c>
    </row>
    <row r="255" spans="1:22" s="87" customFormat="1" x14ac:dyDescent="0.2">
      <c r="A255" s="44"/>
      <c r="B255" s="84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>-0.14834238101899663</v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>-0.21344232515894643</v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>-0.28770706190021772</v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>-0.2402791625126515</v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>-0.19498655564229336</v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>-4.6201232031727123E-2</v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>-0.25816249050960266</v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>-0.21884767973266087</v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>-0.12014977126016939</v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>-8.8969841747135042E-2</v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>-0.1125498008031649</v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>-0.14473684210681395</v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>3.4179687492866533E-2</v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>-0.17952314165305111</v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>-0.18924508789814612</v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>-0.10171568627450978</v>
      </c>
    </row>
    <row r="256" spans="1:22" s="87" customFormat="1" x14ac:dyDescent="0.2">
      <c r="A256" s="44"/>
      <c r="B256" s="84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>-0.15197099313352086</v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>-0.17025257249766138</v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>-0.26539462272224579</v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>-0.18921668361981753</v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>-0.1450805497406025</v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>-5.8823529413458156E-2</v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>-0.21793863099894703</v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>-0.19950892024823474</v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>-0.12542522133344131</v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>-6.7650498551580979E-2</v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>-0.10682492581405106</v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>-9.0643274850569874E-2</v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>-6.0829493091249763E-2</v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>-0.15049226442086511</v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>-0.18010471204093076</v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>-5.4987212276214795E-2</v>
      </c>
    </row>
    <row r="257" spans="1:22" s="87" customFormat="1" x14ac:dyDescent="0.2">
      <c r="A257" s="44"/>
      <c r="B257" s="84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>-0.15288159200129423</v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>-0.16619981325863678</v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>-0.23262032085271273</v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>-0.19215291750520233</v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>-0.13162939297124601</v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>-5.0672182005757314E-2</v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>-0.23190661478906904</v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>-0.16200449249096385</v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>-0.1354194511342216</v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>-2.4256963874256809E-2</v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>-0.11078717201619089</v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>-0.14236111111352523</v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>-9.5693779793231213E-3</v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>-0.13025210084586833</v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>-0.14603174603880184</v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>-4.8223350253807071E-2</v>
      </c>
    </row>
    <row r="258" spans="1:22" s="87" customFormat="1" x14ac:dyDescent="0.2">
      <c r="A258" s="44"/>
      <c r="B258" s="84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>-0.13919251017197212</v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>-0.1566037735849056</v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>-0.22370766487751845</v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>-0.18628454452652576</v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>-0.14091526959673764</v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>-4.7520661163177269E-2</v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>-0.18890675241302965</v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>-0.17656582804837093</v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>-0.14796135133299348</v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>5.9770452080355179E-3</v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>-0.10271317828775126</v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>-0.11182336182449434</v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>-7.7444336857920787E-3</v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>-9.585121602067935E-2</v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>-0.14161220044178277</v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>-4.4585987261146494E-2</v>
      </c>
    </row>
    <row r="259" spans="1:22" s="87" customFormat="1" x14ac:dyDescent="0.2">
      <c r="A259" s="44"/>
      <c r="B259" s="84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>-0.11575248240717152</v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>-0.1534090909090908</v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>-0.18223866789821661</v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>-0.19257773319630889</v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>-0.11475560455714819</v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>-8.1967213114441689E-2</v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>-0.18646864686738251</v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>-0.14449457084838407</v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>-0.1404640533384163</v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>1.4350794490646589E-2</v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>-7.7526987239892944E-2</v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>-0.12737920936545616</v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>-0.16893732970018907</v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>-9.5652173915690211E-2</v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>-9.3541202669703491E-2</v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>-2.2020725388601073E-2</v>
      </c>
    </row>
    <row r="260" spans="1:22" s="87" customFormat="1" x14ac:dyDescent="0.2">
      <c r="A260" s="44"/>
      <c r="B260" s="84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>-6.8601344131521025E-2</v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>-0.12595419847328249</v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>-0.16803652967870766</v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>-0.13655030800753887</v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>-0.1064772098173094</v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>-7.5510204075823678E-2</v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>-0.15697674419198651</v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>-0.12896440661290126</v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>-0.11696686182062933</v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>6.1123177170071055E-2</v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>-7.5508228460061902E-2</v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>-9.656181419345003E-2</v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>-6.2675397567024296E-2</v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>-8.2848837201358189E-2</v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>-9.9447513812765342E-2</v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>-1.6709511568123357E-2</v>
      </c>
    </row>
    <row r="261" spans="1:22" s="87" customFormat="1" x14ac:dyDescent="0.2">
      <c r="A261" s="44"/>
      <c r="B261" s="84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>-7.4380488180870924E-2</v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>-0.10675808031341814</v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>-0.12605042017020768</v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>-0.13641133263456989</v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>-9.5448561218732422E-2</v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>-8.4178498988747089E-2</v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>-0.12468193384126802</v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>-8.2885000433823713E-2</v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>-0.11341847194792296</v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>5.5161318479314006E-2</v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>-2.7944111769589941E-2</v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>-0.10724852070711245</v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>-2.6188166824169617E-2</v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>-1.6819571865911105E-2</v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>-6.4699205445222729E-2</v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>9.1264667535854351E-3</v>
      </c>
    </row>
    <row r="262" spans="1:22" s="87" customFormat="1" x14ac:dyDescent="0.2">
      <c r="A262" s="44"/>
      <c r="B262" s="84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>-5.849345859002876E-2</v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>-7.0121951219512244E-2</v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>-4.6906187629320986E-2</v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>-8.5620197583215457E-2</v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>-3.8313038313038353E-2</v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>-5.741127349224559E-2</v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>-9.1308165052434595E-2</v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>-5.6820841510010732E-2</v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>-8.2549535451284892E-2</v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>0.18716465752067879</v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>4.8728813564581176E-2</v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>-5.7515337427510783E-2</v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>-0.1591908531265129</v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>6.5182829891947638E-2</v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>-4.5882352937494278E-2</v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>7.1625344352617124E-2</v>
      </c>
    </row>
    <row r="263" spans="1:22" s="87" customFormat="1" x14ac:dyDescent="0.2">
      <c r="A263" s="44"/>
      <c r="B263" s="84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>-2.799999999928917E-2</v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>-3.6842105263157891E-2</v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>4.5602605871668811E-2</v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>-5.0171037629370412E-2</v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>-2.7906042963260401E-2</v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>-5.3684210531322933E-2</v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>-6.5934065934267164E-2</v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>-1.3324245082427029E-2</v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>-5.8022144542326314E-2</v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>0.34638464551327736</v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>0.18257756562610791</v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>-7.1870170018612942E-2</v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>-4.1338582672432463E-2</v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>5.0736497541525545E-2</v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>0</v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>5.5325034578146616E-2</v>
      </c>
    </row>
    <row r="264" spans="1:22" s="87" customFormat="1" x14ac:dyDescent="0.2">
      <c r="A264" s="44"/>
      <c r="B264" s="84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>7.805109331823528E-3</v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>2.1953896816684963E-2</v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>0.16292798110731402</v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>4.2131350690704256E-2</v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>2.0223079328677136E-2</v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>-4.2553191489572206E-2</v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>5.7142857127072851E-3</v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>-2.1751971269237291E-2</v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>-2.889107523854946E-2</v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>0.32893041237104997</v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>0.17502917153065337</v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>-6.2247372675540723E-2</v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>7.5881450337578552E-3</v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>0.11578947368679604</v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>4.7254150701007351E-2</v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>0.1136044880785415</v>
      </c>
    </row>
    <row r="265" spans="1:22" s="87" customFormat="1" x14ac:dyDescent="0.2">
      <c r="A265" s="44"/>
      <c r="B265" s="84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>1.7702021099000875E-2</v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>3.9281705948372617E-2</v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>0.27319587628885389</v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>6.5217391312132361E-2</v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>2.7909927053599751E-2</v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>-2.4838012957293345E-2</v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>3.3596837951948857E-2</v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>-1.7362846713095487E-2</v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>-3.9900279906494905E-3</v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>0.26302083332658788</v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>0.14726027397771579</v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>-0.10286156225785893</v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>2.6198041305396859E-2</v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>0.11855670103269929</v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>4.1984732828846974E-2</v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>9.4910591471801808E-2</v>
      </c>
    </row>
    <row r="266" spans="1:22" s="87" customFormat="1" x14ac:dyDescent="0.2">
      <c r="A266" s="44"/>
      <c r="B266" s="84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>4.1858102059371453E-2</v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>7.2810011376564177E-2</v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>0.26564495531131516</v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>9.6815286631864075E-2</v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>6.7959073774905787E-2</v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>-3.2573289834207874E-3</v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>8.2304526750114404E-2</v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>4.0268717742380632E-2</v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>2.9649494826998368E-2</v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>0.22689075630332101</v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>0.17045454545607022</v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>-5.8306709266184781E-2</v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>3.2000618719203726E-2</v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>0.15104166665943222</v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>5.999999999574928E-2</v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>0.10067114093959731</v>
      </c>
    </row>
    <row r="267" spans="1:22" s="87" customFormat="1" x14ac:dyDescent="0.2">
      <c r="A267" s="44"/>
      <c r="B267" s="84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>5.3854639138996727E-2</v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>9.4688221709006967E-2</v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>0.2276621787008333</v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>0.15091863517713155</v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>6.4109470962180823E-2</v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>-9.6878363829599381E-3</v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>8.5977482084441434E-2</v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>2.7683191932308528E-2</v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>4.7339064653131896E-2</v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>0.20134773717490853</v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>0.15824915824957003</v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>-7.3684210526230462E-2</v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>-2.9373508292561707E-2</v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>0.14529914530498983</v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>9.438775509933961E-2</v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>9.9590723055934485E-2</v>
      </c>
    </row>
    <row r="268" spans="1:22" s="87" customFormat="1" x14ac:dyDescent="0.2">
      <c r="A268" s="44"/>
      <c r="B268" s="84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>7.9484150070224066E-2</v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>8.793686583990977E-2</v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>0.17945690672239559</v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>0.13425345043080236</v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>5.9831789630575852E-2</v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>7.6754386008400875E-3</v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>7.1428571432164675E-2</v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>2.8276062905261096E-2</v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>8.2900707059508555E-2</v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>0.20081469029565277</v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>0.14064230343139711</v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>-6.5112540199524852E-2</v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>2.5383607134146519E-2</v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>0.1407284768265103</v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>8.3014048528451401E-2</v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>0.13261163734776721</v>
      </c>
    </row>
    <row r="269" spans="1:22" s="87" customFormat="1" x14ac:dyDescent="0.2">
      <c r="A269" s="44"/>
      <c r="B269" s="84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>8.5191680981656456E-2</v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>8.1746920492721128E-2</v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>0.15331010452504318</v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>0.12204234121553793</v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>4.2257962787764225E-2</v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>-1.1982570811363185E-2</v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>0.10536980750241534</v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>2.6650725081550652E-2</v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>9.4614527443896632E-2</v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>0.15858489276483906</v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>0.11803278689328457</v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>-5.7489878540127388E-2</v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>4.2329253673901245E-2</v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>0.11594202898597407</v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>7.4349442383927739E-2</v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>0.14133333333333326</v>
      </c>
    </row>
    <row r="270" spans="1:22" s="87" customFormat="1" x14ac:dyDescent="0.2">
      <c r="A270" s="44"/>
      <c r="B270" s="84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>7.7548978331018703E-2</v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>7.6062639821029052E-2</v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>0.15384615384185174</v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>0.12578616352074659</v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>5.3586497890295341E-2</v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>-2.1691973964687201E-2</v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>7.8295341927656484E-2</v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>4.0852168537336827E-3</v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>9.3766989985143767E-2</v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>0.13812544045665651</v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>9.9352051836086211E-2</v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>-0.12269446671467506</v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>4.1114365272615493E-2</v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>0.10443037974983993</v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>0.10532994923650089</v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>0.13066666666666663</v>
      </c>
    </row>
    <row r="271" spans="1:22" s="87" customFormat="1" x14ac:dyDescent="0.2">
      <c r="A271" s="44"/>
      <c r="B271" s="84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>6.9224328617137565E-2</v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>8.5011185682326559E-2</v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>0.14253393664357955</v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>0.13043478260923583</v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>2.4597820446289619E-2</v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>8.9285714202322897E-3</v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>0.13995943205045083</v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>-6.350901618250443E-3</v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>9.7336052345151733E-2</v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>0.12257380917507359</v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>7.8723404252687826E-2</v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>-1.7617449664366146E-2</v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>8.2804634059948853E-2</v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>0.14583333333633844</v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>9.4594594600572027E-2</v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>0.11125827814569544</v>
      </c>
    </row>
    <row r="272" spans="1:22" s="87" customFormat="1" x14ac:dyDescent="0.2">
      <c r="A272" s="44"/>
      <c r="B272" s="84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>6.3129810816286172E-2</v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>6.1135371179039395E-2</v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>0.122941822170583</v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>9.8692033293669656E-2</v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>3.2837670384138706E-2</v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>-1.1037527570709523E-3</v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>6.4039408872528347E-2</v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>-1.4177640262467744E-2</v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>7.3656394938753061E-2</v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>9.4771929821116346E-2</v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>6.3874345544191385E-2</v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>-0.12307692307330627</v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>8.3009424065720386E-2</v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>0.13470681458457801</v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>0.11411042944454011</v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>0.11633986928104582</v>
      </c>
    </row>
    <row r="273" spans="1:22" s="87" customFormat="1" x14ac:dyDescent="0.2">
      <c r="A273" s="44"/>
      <c r="B273" s="84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>5.763208779863882E-2</v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>7.4561403508771898E-2</v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>6.1965811970793913E-2</v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>0.14702308627380523</v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>3.804969331531341E-2</v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>1.1074197118154491E-2</v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>5.0387596891524937E-2</v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>-1.319424011300079E-3</v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>8.2661904277513867E-2</v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>0.10197858308085206</v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>4.0041067761356915E-2</v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>-4.1425020710091361E-2</v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>1.6106832471043104E-3</v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>0.12441679626960055</v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>0.10194174756945693</v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>0.1046511627906976</v>
      </c>
    </row>
    <row r="274" spans="1:22" s="87" customFormat="1" x14ac:dyDescent="0.2">
      <c r="A274" s="44"/>
      <c r="B274" s="84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>5.3943987971737661E-2</v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>8.0874316939890778E-2</v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>5.8638743459321706E-2</v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>0.12725090035651204</v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>4.1383570105003049E-2</v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>1.1074197097560978E-3</v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>5.3140096619571135E-2</v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>3.2985282608175737E-2</v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>6.6455923553474822E-2</v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>0.10592240417867711</v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>3.2323232317783418E-2</v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>-7.1602929209660104E-2</v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>0.15731275533621272</v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>0.11343283581416745</v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>0.11344019728471463</v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>9.768637532133688E-2</v>
      </c>
    </row>
    <row r="275" spans="1:22" s="87" customFormat="1" x14ac:dyDescent="0.2">
      <c r="A275" s="44"/>
      <c r="B275" s="84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>6.079728687080746E-2</v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>8.9617486338797847E-2</v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>5.2959501554039314E-2</v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>0.14525810323262001</v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>5.8137133415943773E-2</v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>-1.1123470520248938E-2</v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>7.7450980397040028E-2</v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>-4.9966405163273967E-3</v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>9.3019383097796768E-2</v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>0.11005085358018925</v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>3.6326942478577082E-2</v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>-4.8293089087717046E-2</v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>0.1261231992392754</v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>0.18068535825671353</v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>7.738814993809269E-2</v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>9.1743119266055051E-2</v>
      </c>
    </row>
    <row r="276" spans="1:22" s="87" customFormat="1" x14ac:dyDescent="0.2">
      <c r="A276" s="44"/>
      <c r="B276" s="84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>4.707284507625354E-2</v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>6.4446831364124602E-2</v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>3.6548223345474022E-2</v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>0.13198573127082427</v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>5.9160110350464819E-2</v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>-3.1111111108172284E-2</v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>2.0833333333925289E-2</v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>1.3370137146873257E-2</v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>7.8607722778623421E-2</v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>0.12757287157134542</v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>2.0854021853232669E-2</v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>-3.7931034486270498E-2</v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>-1.095617530242851E-2</v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>0.24213836476899553</v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>0.12439024389854182</v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>8.060453400503767E-2</v>
      </c>
    </row>
    <row r="277" spans="1:22" s="87" customFormat="1" x14ac:dyDescent="0.2">
      <c r="A277" s="44"/>
      <c r="B277" s="84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>3.9043240200978241E-2</v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>8.0993520518358536E-2</v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>3.7449392713269233E-2</v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>0.15606242497029052</v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>6.9834413246940161E-2</v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>-6.6445182719223547E-2</v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>5.7361376666513697E-2</v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>2.6317304923697212E-2</v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>6.028649427956282E-2</v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>7.6109367994593891E-2</v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>3.6815920401436095E-2</v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>-4.2241379310136447E-2</v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>-8.9197225047760904E-3</v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>0.19508448540944934</v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>0.11111111110975423</v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>0.10678391959798995</v>
      </c>
    </row>
    <row r="278" spans="1:22" s="87" customFormat="1" x14ac:dyDescent="0.2">
      <c r="A278" s="44"/>
      <c r="B278" s="84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>4.2057151982301338E-2</v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>6.256627783669147E-2</v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>-0.12916246216297658</v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>0.12543554006956498</v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>3.5800726099233536E-2</v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>-8.3877995649156198E-2</v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>5.3231939161329282E-2</v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>-1.3439904154931587E-2</v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>5.8784692361381535E-2</v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>8.6425499835355676E-2</v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>1.747572815794236E-2</v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>-5.8524173030345066E-2</v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>-4.711538461303514E-2</v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>0.16892911011502248</v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>6.8396226410031638E-2</v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>6.3414634146341492E-2</v>
      </c>
    </row>
    <row r="279" spans="1:22" s="87" customFormat="1" x14ac:dyDescent="0.2">
      <c r="A279" s="44"/>
      <c r="B279" s="84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>3.4583615346870003E-2</v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>5.2742616033755275E-2</v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>-0.12362911266448358</v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>0.11174458380361374</v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>2.2377480761441814E-2</v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>-8.6956521739130377E-2</v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>5.4665409991170102E-2</v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>-1.7980157236733973E-2</v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>6.4987558418673111E-2</v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>5.589628303627496E-2</v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>-1.0658914726396641E-2</v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>-6.1188811188734669E-2</v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>3.8183694534418583E-2</v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>0.15522388058859365</v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>6.0606060608886451E-2</v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>9.1811414392059629E-2</v>
      </c>
    </row>
    <row r="280" spans="1:22" s="87" customFormat="1" x14ac:dyDescent="0.2">
      <c r="A280" s="44"/>
      <c r="B280" s="84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>2.2045266689459195E-2</v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>4.0414507772020783E-2</v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>-6.2062062058528121E-2</v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>9.1814159292794101E-2</v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>4.7413360120542432E-2</v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>-7.1817192602007127E-2</v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>3.0046948351472955E-2</v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>-1.7539388110011895E-2</v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>2.1030002241779106E-2</v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>5.5158896819433957E-2</v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>2.0388349511720756E-2</v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>-6.6208082545304706E-2</v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>2.1319796955607928E-2</v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>0.13497822930900388</v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>9.551886792477865E-2</v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>5.3763440860215055E-2</v>
      </c>
    </row>
    <row r="281" spans="1:22" s="87" customFormat="1" x14ac:dyDescent="0.2">
      <c r="A281" s="44"/>
      <c r="B281" s="84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>2.2578716836618822E-2</v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>2.4844720496894471E-2</v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>-1.8126888215269924E-2</v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>7.769145394839444E-2</v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>2.3398890569843601E-2</v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>-5.4024255788098392E-2</v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>-1.8331805708317953E-3</v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>-1.9262556818751064E-2</v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>2.0816170410432204E-2</v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>5.8487492230816188E-2</v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>4.887585532469093E-3</v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>-0.10567010309116528</v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>-3.0481809241596821E-2</v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>0.15007215007910543</v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>6.343713956066907E-2</v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>2.4532710280373932E-2</v>
      </c>
    </row>
    <row r="282" spans="1:22" s="87" customFormat="1" x14ac:dyDescent="0.2">
      <c r="A282" s="44"/>
      <c r="B282" s="84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>2.3717297263361328E-2</v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>3.9501039501039469E-2</v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>-2.0895522391821696E-2</v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>0.11843575418709755</v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>2.6832198638366108E-2</v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>-5.0997782701465516E-2</v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>-2.7573529404077575E-3</v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>-5.2283356750105446E-3</v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>3.8568554546980417E-2</v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>5.1916301913495388E-2</v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>1.2770137518475584E-2</v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>1.4625228513908848E-2</v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>-7.8528827028153725E-2</v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>0.16332378223269914</v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>4.2479908150653514E-2</v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>4.0094339622641577E-2</v>
      </c>
    </row>
    <row r="283" spans="1:22" s="87" customFormat="1" x14ac:dyDescent="0.2">
      <c r="A283" s="44"/>
      <c r="B283" s="84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>2.641195619914926E-2</v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>3.195876288659788E-2</v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>-1.0891089108605222E-2</v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>9.1208791208706799E-2</v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>3.0287682333873529E-2</v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>-5.6415929198886251E-2</v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>-4.0925266907334244E-2</v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>4.3665607799740231E-3</v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>4.9273410525150996E-2</v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>5.383344774489271E-2</v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>6.9033530532329693E-3</v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>-9.4790777115673575E-2</v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>8.6723768738892301E-2</v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>0.16923076923550334</v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>2.6936026928543515E-2</v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>7.7473182359952319E-2</v>
      </c>
    </row>
    <row r="284" spans="1:22" s="87" customFormat="1" x14ac:dyDescent="0.2">
      <c r="A284" s="44"/>
      <c r="B284" s="84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>2.3247730426774117E-2</v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>1.9547325102880569E-2</v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>-2.9325513199106167E-2</v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>5.8441558435936021E-2</v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>9.5980803839232961E-3</v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>-5.5248618792023328E-2</v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>-6.4814814858542204E-3</v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>-1.2458257183571981E-2</v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>6.1417685757479842E-2</v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>5.4987553816915606E-2</v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>-1.3779527560128658E-2</v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>3.1394275154819185E-2</v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>1.8572825013557122E-2</v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>0.1061452513897813</v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>5.5066079344649344E-3</v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>6.7915690866510503E-2</v>
      </c>
    </row>
    <row r="285" spans="1:22" s="87" customFormat="1" x14ac:dyDescent="0.2">
      <c r="A285" s="44"/>
      <c r="B285" s="84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>3.2128700329059574E-2</v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>8.1632653061224202E-3</v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>1.509054326086892E-2</v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>4.7669491522719022E-2</v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>1.3319979969955058E-2</v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>-5.8050383352603242E-2</v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>-2.2140221396154233E-2</v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>-3.7325349296644744E-2</v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>4.5568945256008846E-2</v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>6.2605916298353159E-2</v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>-2.0730503461067081E-2</v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>-0.11668107174052723</v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>8.1223628702815881E-2</v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>0.15767634854559429</v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>1.2114537453619775E-2</v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>6.1988304093567217E-2</v>
      </c>
    </row>
    <row r="286" spans="1:22" s="87" customFormat="1" x14ac:dyDescent="0.2">
      <c r="A286" s="44"/>
      <c r="B286" s="84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>3.2097980132278318E-2</v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>2.0222446916075693E-3</v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>-2.1760633035873053E-2</v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>4.5793397236166947E-2</v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>2.0462633451957368E-2</v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>-5.6415929198886251E-2</v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>-2.0183486238969865E-2</v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>-6.8456065784075829E-2</v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>4.2561479974342953E-2</v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>3.7671959911444418E-2</v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>-2.2504892361453924E-2</v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>-7.6248904471016787E-2</v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>-5.6567593475527589E-2</v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>0.11126005362025534</v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>4.6511627910840396E-2</v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>7.8454332552693073E-2</v>
      </c>
    </row>
    <row r="287" spans="1:22" s="87" customFormat="1" x14ac:dyDescent="0.2">
      <c r="A287" s="44"/>
      <c r="B287" s="84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>2.7288006728093006E-2</v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>-1.2036108324974953E-2</v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>-4.9309664666610182E-3</v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>1.4675052410395985E-2</v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>-1.2589050453791276E-2</v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>-4.1619797521920972E-2</v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>-2.0018198362627703E-2</v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>-2.3482305046497735E-2</v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>3.3012142392928177E-2</v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>4.0255791941747601E-3</v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>-1.9474196653047051E-3</v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>-0.12685914261170311</v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>-4.7388781429195573E-2</v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>9.3667546165369792E-2</v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>4.7138047130563701E-2</v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>0.12965186074429769</v>
      </c>
    </row>
    <row r="288" spans="1:22" s="87" customFormat="1" x14ac:dyDescent="0.2">
      <c r="A288" s="44"/>
      <c r="B288" s="84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>3.5307156420728417E-2</v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>-1.311806256306758E-2</v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>-8.8148873642159443E-3</v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>2.2058823523232352E-2</v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>-2.8072544858190204E-2</v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>-2.7522935775610022E-2</v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>-3.8961038959593138E-2</v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>-4.7866303479552119E-2</v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>3.5520314403562209E-2</v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>4.6275441206239118E-3</v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>-4.6692607004784899E-2</v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>-6.9892473115626755E-2</v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>-3.0211480387181172E-3</v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>3.7974683546547358E-2</v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>0</v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>6.0606060606060642E-2</v>
      </c>
    </row>
    <row r="289" spans="1:22" s="87" customFormat="1" x14ac:dyDescent="0.2">
      <c r="A289" s="44"/>
      <c r="B289" s="84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>4.286725902971994E-2</v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>-1.6983016983016869E-2</v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>-1.4634146342761771E-2</v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>9.345794389902868E-3</v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>-2.3264756777542799E-2</v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>4.7449584826992275E-3</v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>-6.0578661842939412E-2</v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>-7.3803912770109378E-2</v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>1.7143815961767953E-2</v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>5.6814395199416702E-2</v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>-4.9904030712531716E-2</v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>-7.9207920799395509E-2</v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>-1.0999999987850558E-2</v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>3.984575835222795E-2</v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>2.5274725268650239E-2</v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>5.6753688989784343E-3</v>
      </c>
    </row>
    <row r="290" spans="1:22" s="87" customFormat="1" x14ac:dyDescent="0.2">
      <c r="A290" s="44"/>
      <c r="B290" s="84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>2.7088713138818256E-2</v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>-1.9960079840319361E-2</v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>0.16801853997267821</v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>1.5479876156677039E-2</v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>-1.9861746665368437E-2</v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>1.1890606396081356E-3</v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>-5.8664259923594378E-2</v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>-7.0429750500994648E-2</v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>7.4599969043651253E-3</v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>8.3549262472802036E-3</v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>-6.2022900768585153E-2</v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>-8.1981981982087629E-2</v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>1.0090817353715396E-2</v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>6.7096774196295783E-2</v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>1.9867549669020372E-2</v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>3.4403669724770644E-2</v>
      </c>
    </row>
    <row r="291" spans="1:22" s="87" customFormat="1" x14ac:dyDescent="0.2">
      <c r="A291" s="44"/>
      <c r="B291" s="84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>3.8556644482160569E-2</v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>-2.3046092184368708E-2</v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>0.14106939704530883</v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>-9.2307692282126968E-3</v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>9.9039318609538639E-5</v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>1.3095238089980126E-2</v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>-8.1322609474045404E-2</v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>-7.5515397596834191E-2</v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>1.2574225822514372E-2</v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>3.3858365375244802E-2</v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>-3.5259549457714118E-2</v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>-4.283054003585525E-2</v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>-3.6779324059353823E-2</v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>8.139534884096547E-2</v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>1.4285714280847031E-2</v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>2.7272727272727337E-2</v>
      </c>
    </row>
    <row r="292" spans="1:22" s="87" customFormat="1" x14ac:dyDescent="0.2">
      <c r="A292" s="44"/>
      <c r="B292" s="84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>3.8550224293240495E-2</v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>-2.0916334661354664E-2</v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>5.1227321238237693E-2</v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>-2.0263424445649161E-3</v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>-4.5554809628848184E-2</v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>1.4067995313926947E-2</v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>-4.9225159521483985E-2</v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>-5.8592361271612874E-2</v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>3.0036831884444372E-2</v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>3.4374011290769668E-2</v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>-5.8991436720513213E-2</v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>-2.8545119697514075E-2</v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>4.9701789252329801E-3</v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>7.4168797955043497E-2</v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>-4.3057050651948217E-3</v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>4.1950113378684838E-2</v>
      </c>
    </row>
    <row r="293" spans="1:22" s="87" customFormat="1" x14ac:dyDescent="0.2">
      <c r="A293" s="44"/>
      <c r="B293" s="84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>3.585397792243511E-2</v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>-1.6161616161616103E-2</v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>3.0769230831953296E-3</v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>2.0597322273632232E-3</v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>-2.6805952498275342E-2</v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>-6.9930069892177333E-3</v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>-6.1524334249962537E-2</v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>-6.5750538667200112E-2</v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>1.7783286025477799E-2</v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>6.6120556114683824E-3</v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>-3.6964980546191004E-2</v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>-1.9212295910468029E-3</v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>8.1135902649005793E-3</v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>4.6424090334125881E-2</v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>1.0845986972815693E-3</v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>3.4207525655644243E-2</v>
      </c>
    </row>
    <row r="294" spans="1:22" s="87" customFormat="1" x14ac:dyDescent="0.2">
      <c r="A294" s="44"/>
      <c r="B294" s="84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>3.2673243259036665E-2</v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>-2.2999999999999972E-2</v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>-1.1178861788315975E-2</v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>-1.6983016981709446E-2</v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>-3.042121684867399E-2</v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>2.6869158876486995E-2</v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>-4.8847926265913368E-2</v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>-7.5435277026037015E-2</v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>-3.7212727048433485E-3</v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>-8.8295292334340456E-4</v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>-2.5218234720519012E-2</v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>-4.0540540541881262E-2</v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>5.7173678521831459E-2</v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>3.6945812810035575E-2</v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>1.762114537706962E-2</v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>2.8344671201814057E-2</v>
      </c>
    </row>
    <row r="295" spans="1:22" s="87" customFormat="1" x14ac:dyDescent="0.2">
      <c r="A295" s="44"/>
      <c r="B295" s="84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>2.2317032797854332E-2</v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>-1.6983016983016869E-2</v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>-3.8038038034299108E-2</v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>-9.0634441162768687E-3</v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>-4.9159374692751118E-4</v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>2.2274325905542181E-2</v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>-4.8237476811091314E-2</v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>-5.1884268460645311E-2</v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>-2.406127132695627E-2</v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>-1.2590202641628006E-2</v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>4.8971596471518242E-3</v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>5.6603773611814531E-3</v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>1.5763546800341994E-2</v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>-7.1770334908197262E-3</v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>-1.9672131147684475E-2</v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>2.2123893805308477E-3</v>
      </c>
    </row>
    <row r="296" spans="1:22" s="87" customFormat="1" x14ac:dyDescent="0.2">
      <c r="A296" s="44"/>
      <c r="B296" s="84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>2.2548127737682937E-2</v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>-2.5227043390514632E-2</v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>-5.3373615304877491E-2</v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>-7.1574642072942335E-3</v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>-1.5547633194692091E-2</v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>-5.8479532150387519E-3</v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>-4.5666356004912076E-2</v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>-7.4103500728190122E-2</v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>-3.3843669969921546E-2</v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>-8.6683544343266646E-3</v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>3.9920159696741073E-3</v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>-6.803939122018457E-2</v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>-0.13915547024649236</v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>7.1969696974958308E-2</v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>-1.2048192768708705E-2</v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>-2.192982456140382E-3</v>
      </c>
    </row>
    <row r="297" spans="1:22" s="87" customFormat="1" x14ac:dyDescent="0.2">
      <c r="A297" s="44"/>
      <c r="B297" s="84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>1.9272610980028825E-2</v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>-3.036437246963563E-2</v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>-6.5411298313039046E-2</v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>-3.1344792717996846E-2</v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>-3.1923305000988375E-2</v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>-1.3953488364600154E-2</v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>-5.1886792454031772E-2</v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>-4.9603585994772409E-2</v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>-2.7643893961391108E-2</v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>5.9048561126810641E-3</v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>2.9233870968074269E-2</v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>3.2289628185636896E-2</v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>-4.7804878046225907E-2</v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>1.5531660696648335E-2</v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>-3.3732317742757298E-2</v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>-1.1013215859030211E-3</v>
      </c>
    </row>
    <row r="298" spans="1:22" s="87" customFormat="1" x14ac:dyDescent="0.2">
      <c r="A298" s="44"/>
      <c r="B298" s="84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>2.3534769931318811E-2</v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>-4.0363269424823413E-2</v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>-5.3589484334735385E-2</v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>-3.1568228113985165E-2</v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>-5.1632277438729036E-2</v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>-5.8616647114110836E-3</v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>-7.2097378278749347E-2</v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>-6.9320875619153399E-2</v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>-1.5179396704660106E-2</v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>2.9747230378846447E-2</v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>7.0070070029753699E-3</v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>-3.1309297908685127E-2</v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>-3.0487804886512301E-2</v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>1.0856453567599404E-2</v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>-6.7724867734275523E-2</v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>-2.9315960912051995E-2</v>
      </c>
    </row>
    <row r="299" spans="1:22" s="87" customFormat="1" x14ac:dyDescent="0.2">
      <c r="A299" s="44"/>
      <c r="B299" s="84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>2.0866963886362888E-2</v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>-2.944162436548229E-2</v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>-5.9464816655239866E-2</v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>-9.2975206586275675E-3</v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>-2.3324767740660342E-2</v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>-5.8685445995556003E-3</v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>-7.2423398327087135E-2</v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>-8.0867600364321793E-2</v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>-2.8770912405524905E-2</v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>4.8510034042889429E-2</v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>-1.1707317069003997E-2</v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>9.0180360764565357E-3</v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>-1.0152284261503977E-2</v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>2.5331724974980187E-2</v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>-4.394426580357623E-2</v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>-5.4197662061636502E-2</v>
      </c>
    </row>
    <row r="300" spans="1:22" s="87" customFormat="1" x14ac:dyDescent="0.2">
      <c r="A300" s="44"/>
      <c r="B300" s="84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>1.4354620718597569E-2</v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>-2.6584867075664563E-2</v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>-8.1637640541782117E-2</v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>-2.6721479954992067E-2</v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>-2.0942928039702227E-2</v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>-2.5943396226906373E-2</v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>-3.5714285710838116E-2</v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>-5.3034140922478372E-2</v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>-2.1363561739647534E-2</v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>2.5955894345298099E-2</v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>4.1836734689697584E-2</v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>-3.0828516376144019E-2</v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>-4.4444444443374982E-2</v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>4.1463414630814599E-2</v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>-5.097613882646846E-2</v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>-1.9780219780219748E-2</v>
      </c>
    </row>
    <row r="301" spans="1:22" s="87" customFormat="1" x14ac:dyDescent="0.2">
      <c r="A301" s="44"/>
      <c r="B301" s="84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>1.64325972963584E-2</v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>-3.048780487804878E-2</v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>-6.438629787922924E-2</v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>-1.7489711932727317E-2</v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>-1.8602362204724415E-2</v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>-2.3612750890857015E-2</v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>-4.4273339743959951E-2</v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>-4.4123586423142555E-2</v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>1.1018515888962643E-2</v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>-1.0070156073367221E-2</v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>7.0707070666481331E-3</v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>-3.1280547408268924E-2</v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>-4.8533872605696207E-2</v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>7.9110012359701734E-2</v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>-4.8231511254364014E-2</v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>1.8058690744921092E-2</v>
      </c>
    </row>
    <row r="302" spans="1:22" s="87" customFormat="1" x14ac:dyDescent="0.2">
      <c r="A302" s="44"/>
      <c r="B302" s="84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>2.5766427744955293E-2</v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>-1.8329938900203638E-2</v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>-5.383174550153412E-2</v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>-1.6260162603939626E-2</v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>-8.2447601072811981E-3</v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>4.7505938253558965E-3</v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>-5.2732502398081069E-2</v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>-2.4901516539777926E-2</v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>1.5519326755187936E-2</v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>-2.2965248630733371E-3</v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>2.9501525941372991E-2</v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>-4.9067713402515378E-3</v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>-4.1958041960482841E-2</v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>5.1995163234019294E-2</v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>-4.6536796539537774E-2</v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>-6.651884700665283E-3</v>
      </c>
    </row>
    <row r="303" spans="1:22" s="87" customFormat="1" x14ac:dyDescent="0.2">
      <c r="A303" s="44"/>
      <c r="B303" s="84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>1.7251389566520808E-2</v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>-9.2307692307692889E-3</v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>-4.7172490572864531E-2</v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>5.1759834388570725E-3</v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>4.852446028916566E-3</v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>9.40070505511292E-3</v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>-4.6692607000749085E-2</v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>-2.7980535283241858E-2</v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>-5.008878098919379E-4</v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>-4.9984005137634936E-3</v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>4.4670050760794146E-2</v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>1.9455252862582149E-3</v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>1.0319917503749329E-3</v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>4.7789725215860841E-2</v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>-3.0335861320755417E-2</v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>4.4247787610618523E-3</v>
      </c>
    </row>
    <row r="304" spans="1:22" s="87" customFormat="1" x14ac:dyDescent="0.2">
      <c r="A304" s="44"/>
      <c r="B304" s="84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>1.6474310772249073E-2</v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>-1.5259409969481181E-2</v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>-1.4924946583075365E-2</v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>-2.0304568535752625E-2</v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>1.5574758842443703E-2</v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>1.0404624277145955E-2</v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>-4.3144774695440834E-2</v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>-3.100727722136647E-2</v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>-2.0356621010475641E-3</v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>-1.629024459900923E-2</v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>3.6400404445029094E-2</v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>-4.0758293845419936E-2</v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>-3.9564787266861585E-3</v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>4.6428571427763549E-2</v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>-2.8108108109546007E-2</v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>4.3525571273122033E-3</v>
      </c>
    </row>
    <row r="305" spans="1:22" s="87" customFormat="1" x14ac:dyDescent="0.2">
      <c r="A305" s="44"/>
      <c r="B305" s="84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>1.79441952741097E-2</v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>-6.1601642710473149E-3</v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>-1.7835408481209569E-2</v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>9.2497430704358719E-3</v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>1.0835443037974615E-2</v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>3.8732394361432054E-2</v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>-2.4461839530074175E-2</v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>-1.5436812595481441E-2</v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>6.5982300206937595E-4</v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>3.4100510969088719E-3</v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>4.242424241823748E-2</v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>2.4061597688676946E-2</v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>-2.4144869218860179E-2</v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>8.6330935251971025E-2</v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>-1.7334777900670659E-2</v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>2.7563395810363836E-2</v>
      </c>
    </row>
    <row r="306" spans="1:22" s="87" customFormat="1" x14ac:dyDescent="0.2">
      <c r="A306" s="44"/>
      <c r="B306" s="84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>1.2713122417773502E-2</v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>-1.7400204708290713E-2</v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>2.2301193885202303E-3</v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>-1.9308943090907842E-2</v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>-3.2180209171358927E-3</v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>3.4129692761279387E-3</v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>-3.5852713184369979E-2</v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>-1.1493302467437353E-2</v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>8.5306332433655822E-3</v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>1.9807813486227861E-3</v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>1.8905472637598345E-2</v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>-7.2300469483762259E-2</v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>-2.7551020398224935E-2</v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>7.007125890378052E-2</v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>4.3290043350491629E-3</v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>3.9691289966923858E-2</v>
      </c>
    </row>
    <row r="307" spans="1:22" s="87" customFormat="1" x14ac:dyDescent="0.2">
      <c r="A307" s="44"/>
      <c r="B307" s="84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>2.2772454311606637E-2</v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>-2.032520325203252E-2</v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>1.7786153268215598E-2</v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>3.0487804869682171E-3</v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>-3.2657879205193717E-2</v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>4.587155964378805E-3</v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>-4.580896686209239E-2</v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>-2.393525890231709E-2</v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>2.7652310252263963E-2</v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>3.5396953015122468E-2</v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>3.8986354791531409E-3</v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>-5.9099437147979723E-2</v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>-7.8564500486684299E-2</v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>5.5421686739439126E-2</v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>4.3478260877321956E-2</v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>4.85651214128036E-2</v>
      </c>
    </row>
    <row r="308" spans="1:22" s="87" customFormat="1" x14ac:dyDescent="0.2">
      <c r="A308" s="44"/>
      <c r="B308" s="84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>2.9078623265872603E-2</v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>0</v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>4.8814956361070812E-2</v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>1.1328527291696101E-2</v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>-5.1302685846493406E-3</v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>5.2941176469365706E-2</v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>-2.6367187502384388E-2</v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>8.9996755860655298E-3</v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>3.9613117361367044E-2</v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>9.0199603673952588E-3</v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>2.8827037773656066E-2</v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>-2.6897214216951036E-2</v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>7.8037904123498744E-2</v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>9.1872791517020463E-2</v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>1.7738359204281733E-2</v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>3.8461538461538464E-2</v>
      </c>
    </row>
    <row r="309" spans="1:22" s="87" customFormat="1" x14ac:dyDescent="0.2">
      <c r="A309" s="44"/>
      <c r="B309" s="84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>2.442625371559471E-2</v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>3.1315240083507013E-3</v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>4.8577567448098789E-2</v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>1.7745302712527236E-2</v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>1.1434405308830936E-2</v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>6.4858490561783638E-2</v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>-3.9800995080127568E-3</v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>-1.0284752594544734E-2</v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>5.4349486300623577E-2</v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>1.5322710126854563E-2</v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>2.9382957918493839E-3</v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>-5.4028436025442786E-2</v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>-7.5819672138183192E-2</v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>7.88235294094254E-2</v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>5.2927927925822495E-2</v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>4.5203969128996629E-2</v>
      </c>
    </row>
    <row r="310" spans="1:22" s="87" customFormat="1" x14ac:dyDescent="0.2">
      <c r="A310" s="44"/>
      <c r="B310" s="84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>2.2376170735643165E-2</v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>2.4185068349106324E-2</v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>6.0582723246766959E-2</v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>4.8370136702513902E-2</v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>2.9111338100102087E-2</v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>7.0754716975494458E-2</v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>6.0544904120331559E-3</v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>2.8327223122276392E-2</v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>4.0103839788292572E-2</v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>-4.5894799562105392E-3</v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>2.3856858847474984E-2</v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>-5.484818805077675E-2</v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>2.096436054861196E-3</v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>0.10143198089816277</v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>5.7888762773948395E-2</v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>7.6062639821029052E-2</v>
      </c>
    </row>
    <row r="311" spans="1:22" s="87" customFormat="1" x14ac:dyDescent="0.2">
      <c r="A311" s="44"/>
      <c r="B311" s="84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>2.192802930247376E-2</v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>1.778242677824271E-2</v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>4.6054192790735297E-2</v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>4.066736183450561E-2</v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>6.9823922282939892E-3</v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>7.9102715465159429E-2</v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>-1.2012012018655883E-2</v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>2.4742770545552108E-2</v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>3.5611445861664669E-2</v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>1.0495917148119755E-2</v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>-2.2704837119756339E-2</v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>-1.0923535251776056E-2</v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>1.2307692301427316E-2</v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>7.9999999993411175E-2</v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>6.0538116592003782E-2</v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>4.2696629213483113E-2</v>
      </c>
    </row>
    <row r="312" spans="1:22" s="87" customFormat="1" x14ac:dyDescent="0.2">
      <c r="A312" s="44"/>
      <c r="B312" s="84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>1.9065586601240254E-2</v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>1.7857142857142887E-2</v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>8.5953878411235862E-2</v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>4.8574445621832961E-2</v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>-6.488240064882406E-3</v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>0.11016949151989054</v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>4.0040039995446605E-3</v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>1.1989678182603889E-2</v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>3.1422811961444891E-2</v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>7.0523963221721109E-3</v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>-1.46914789414556E-2</v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>-3.1809145137574046E-2</v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>9.5137420729392894E-2</v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>0.11475409836833478</v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>6.0571428572852491E-2</v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>6.3901345291479852E-2</v>
      </c>
    </row>
    <row r="313" spans="1:22" s="87" customFormat="1" x14ac:dyDescent="0.2">
      <c r="A313" s="44"/>
      <c r="B313" s="84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>2.1754600798545142E-2</v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>2.3060796645702184E-2</v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>6.0824742275375217E-2</v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>4.0837696334146467E-2</v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>-2.2063985558118432E-3</v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>0.10882708584975977</v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>2.0140986835536106E-3</v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>2.783352699014869E-2</v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>3.9520176444755008E-2</v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>5.4147671804948821E-3</v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>1.5045135405451221E-2</v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>6.0544904166186624E-3</v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>0.16046758767419517</v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>8.0183276056612157E-2</v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>6.1936936936150586E-2</v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>4.9889135254988913E-2</v>
      </c>
    </row>
    <row r="314" spans="1:22" s="87" customFormat="1" x14ac:dyDescent="0.2">
      <c r="A314" s="44"/>
      <c r="B314" s="84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>2.7443046964219901E-2</v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>7.2614107883816241E-3</v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>6.5372829427205917E-2</v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>3.0991735539089842E-2</v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>-1.0717147435897509E-2</v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>7.210401891582946E-2</v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>-3.0364372461131723E-3</v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>8.205471706444421E-3</v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>3.6382495700436369E-2</v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>3.1343162504549847E-2</v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>-1.9762845812909724E-3</v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>-3.6489151877895712E-2</v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>0.16371220021533725</v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>8.6206896550931431E-2</v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>8.6265607271649752E-2</v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>5.35714285714287E-2</v>
      </c>
    </row>
    <row r="315" spans="1:22" s="87" customFormat="1" x14ac:dyDescent="0.2">
      <c r="A315" s="44"/>
      <c r="B315" s="84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>2.8699085897027247E-2</v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>2.0703933747412008E-2</v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>1.7329255859994168E-2</v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>2.3686920697073816E-2</v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>-2.2863900660293614E-2</v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>4.3073341101730597E-2</v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>1.5306122444710147E-2</v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>3.4895314061485369E-2</v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>5.7242441400944442E-2</v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>2.7659446203680525E-2</v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>-2.7210884355783078E-2</v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>-2.9126213586759587E-2</v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>0.33917525772397505</v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>6.7274800452381461E-2</v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>6.9273743018345435E-2</v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>5.506607929515419E-2</v>
      </c>
    </row>
    <row r="316" spans="1:22" s="87" customFormat="1" x14ac:dyDescent="0.2">
      <c r="A316" s="44"/>
      <c r="B316" s="84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>3.1894792303409511E-2</v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>1.0330578512396695E-2</v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>2.3092369474766301E-2</v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>2.2797927461827124E-2</v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>-4.0862768378351594E-2</v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>1.1441647594551772E-2</v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>-1.8036072139348359E-2</v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>2.5384720711851067E-2</v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>6.2269357081349744E-2</v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>-2.3972396638466944E-3</v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>-3.6097560979007237E-2</v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>4.3478260873866574E-2</v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>0.32671300892857358</v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>5.1194539257922556E-2</v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>5.2280311466344778E-2</v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>2.0585048754062901E-2</v>
      </c>
    </row>
    <row r="317" spans="1:22" s="87" customFormat="1" x14ac:dyDescent="0.2">
      <c r="A317" s="44"/>
      <c r="B317" s="84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>3.3926204436541832E-2</v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>5.1652892561983473E-3</v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>2.0283975656986739E-2</v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>6.1099796316795938E-3</v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>-8.2147866159085672E-3</v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>-4.5197740123559789E-3</v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>2.0060180569494036E-3</v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>5.7780600345742616E-3</v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>7.4502346067959455E-2</v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>2.4440857743235758E-2</v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>-6.8798449607252149E-2</v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>-7.5187969926156145E-2</v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>4.6391752582298905E-2</v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>3.9735099337821496E-2</v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>5.0716648290279324E-2</v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>1.8240343347639514E-2</v>
      </c>
    </row>
    <row r="318" spans="1:22" s="87" customFormat="1" x14ac:dyDescent="0.2">
      <c r="A318" s="44"/>
      <c r="B318" s="84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>3.9703640507032519E-2</v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>2.187499999999994E-2</v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>2.9970029961846733E-3</v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>4.5595854923654394E-2</v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>1.22074253430185E-2</v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>-1.1337868457058575E-3</v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>-1.0050251250169954E-2</v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>9.1802593092151497E-3</v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>6.3944508334305455E-2</v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>4.1402662178594236E-2</v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>-4.0039062504893939E-2</v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>-1.0121457481222217E-2</v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>0.18572927595356964</v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>7.1032186458540897E-2</v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>2.9094827586241635E-2</v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>2.545068928950165E-2</v>
      </c>
    </row>
    <row r="319" spans="1:22" s="87" customFormat="1" x14ac:dyDescent="0.2">
      <c r="A319" s="44"/>
      <c r="B319" s="84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>3.1653393588682237E-2</v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>0</v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>-8.9641434238542164E-3</v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>-2.026342451657746E-2</v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>-2.0337604230221966E-3</v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>-4.5662100467283489E-3</v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>-7.1501532122161086E-3</v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>2.9013639490952183E-3</v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>3.7216073401307254E-2</v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>-1.1209780189876188E-2</v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>-3.5922330100477642E-2</v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>-4.0877367898988139E-2</v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>0.25157894736551756</v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>4.7945205477731734E-2</v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>1.9230769230769214E-2</v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>6.3157894736841505E-3</v>
      </c>
    </row>
    <row r="320" spans="1:22" s="87" customFormat="1" x14ac:dyDescent="0.2">
      <c r="A320" s="44"/>
      <c r="B320" s="84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>2.9273372717659136E-2</v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>8.2815734989649219E-3</v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>-5.9288537533196415E-3</v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>9.1649694475193898E-3</v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>2.6289180990898978E-3</v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>-2.234636870997626E-2</v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>-1.8054162492482848E-2</v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>9.5209450419687924E-3</v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>4.8476987847949821E-2</v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>3.533211171737514E-3</v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>-3.9613526566207521E-2</v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>-3.8499506424838334E-2</v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>0.20475698035438822</v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>3.6677454150086511E-2</v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>5.7734204783343797E-2</v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>2.1164021164021163E-2</v>
      </c>
    </row>
    <row r="321" spans="1:22" s="87" customFormat="1" x14ac:dyDescent="0.2">
      <c r="A321" s="44"/>
      <c r="B321" s="84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>3.0768599469143645E-2</v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>1.040582726326743E-2</v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>-8.8669950714743741E-3</v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>1.8461538466682987E-2</v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>-1.4434238417280637E-2</v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>-3.7652270214081518E-2</v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>-2.3976023969476536E-2</v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>1.4758210964016232E-2</v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>4.2399427101178437E-2</v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>-2.8690590321563778E-2</v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>-2.6367187503871882E-2</v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>2.0040080203342476E-3</v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>0.34589800443505825</v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>3.4896401313514985E-2</v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>3.315508022016174E-2</v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>1.8987341772151868E-2</v>
      </c>
    </row>
    <row r="322" spans="1:22" s="87" customFormat="1" x14ac:dyDescent="0.2">
      <c r="A322" s="44"/>
      <c r="B322" s="84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>3.4845602039965798E-2</v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>-6.1601642710473149E-3</v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>-1.2757605498579273E-2</v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>-3.0090270804086238E-3</v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>-4.0992555831265466E-2</v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>-3.4140969163356551E-2</v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>-1.9057171515942068E-2</v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>-1.2332884219477124E-3</v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>4.2208130598822807E-2</v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>-1.6736025870999337E-2</v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>-4.2718446601445227E-2</v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>3.0051813468449241E-2</v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>0.2615062761545201</v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>3.6836403041533565E-2</v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>4.7210300430658492E-2</v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>3.1185031185030888E-3</v>
      </c>
    </row>
    <row r="323" spans="1:22" s="87" customFormat="1" x14ac:dyDescent="0.2">
      <c r="A323" s="44"/>
      <c r="B323" s="84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>3.2362617548207129E-2</v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>8.2219938335045956E-3</v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>-1.6683022569780624E-2</v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>1.3026052107321127E-2</v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>-4.019696512913903E-4</v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>-1.8599562364952634E-2</v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>1.0131712324150514E-3</v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>-5.1703099428691422E-4</v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>5.5551866666979852E-2</v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>-2.2665904573534899E-3</v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>-3.6363636368974044E-2</v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>-2.8112449799075585E-2</v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>0.12765957447630158</v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>4.1394335515234235E-2</v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>4.6511627908206059E-2</v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>5.6034482758620725E-2</v>
      </c>
    </row>
    <row r="324" spans="1:22" s="87" customFormat="1" x14ac:dyDescent="0.2">
      <c r="A324" s="44"/>
      <c r="B324" s="84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>2.8088326434639838E-2</v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>9.2879256965943385E-3</v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>-8.6872586848547127E-3</v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>-5.0352467290269085E-3</v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>1.5408163265306175E-2</v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>3.2715376259889336E-3</v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>-1.9940179459437976E-2</v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>3.3583830007715924E-3</v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>4.4656270755314927E-2</v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>-3.9305617198423425E-2</v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>-4.5725646119060263E-2</v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>6.1601642740021119E-3</v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>0.19275004661448245</v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>0</v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>5.495689654460479E-2</v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>3.8988408851422428E-2</v>
      </c>
    </row>
    <row r="325" spans="1:22" s="87" customFormat="1" x14ac:dyDescent="0.2">
      <c r="A325" s="44"/>
      <c r="B325" s="84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>1.4261080762971291E-2</v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>2.7663934426229539E-2</v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>-3.0126336256492393E-2</v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>0</v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>6.0307568599860147E-3</v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>2.0719738284409882E-2</v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>-4.0201004980578419E-3</v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>1.0369456853825409E-2</v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>1.9122518341007342E-2</v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>-3.0690030609037775E-3</v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>-5.7312252965136347E-2</v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>2.0060180544465164E-2</v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>0.592652697201973</v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>9.5440084915704472E-3</v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>4.772004241820902E-2</v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>4.7518479408658922E-2</v>
      </c>
    </row>
    <row r="326" spans="1:22" s="87" customFormat="1" x14ac:dyDescent="0.2">
      <c r="A326" s="44"/>
      <c r="B326" s="84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>1.142680851223603E-3</v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>3.3985581874356456E-2</v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>-4.7938638541966602E-2</v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>-4.0080160276259663E-3</v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>1.1339475549255894E-2</v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>4.1896361636398545E-2</v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>9.1370558349968597E-3</v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>2.6180836710612842E-2</v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>9.8169604944534344E-3</v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>-2.9584402561360554E-2</v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>-5.9405940590854238E-2</v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>4.0941658143070082E-2</v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>0.57832687729455878</v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>4.8677248681492979E-2</v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>3.9707419015579705E-2</v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>6.1440677966101663E-2</v>
      </c>
    </row>
    <row r="327" spans="1:22" s="87" customFormat="1" x14ac:dyDescent="0.2">
      <c r="A327" s="44"/>
      <c r="B327" s="84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>-5.3793586960514516E-3</v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>1.3184584178499102E-2</v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>-1.0020040044012638E-3</v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>6.036217302142626E-3</v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>2.5214321734745334E-3</v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>4.6874999995135426E-2</v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>2.0100502540544123E-3</v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>2.2117000775495714E-2</v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>-1.182351015317429E-2</v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>-2.3317201930339121E-2</v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>-7.0929070932596955E-2</v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>6.9999999999799892E-3</v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>0.21536530375944724</v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>6.1965811966405659E-2</v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>4.9111807730346076E-2</v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>2.1920668058455203E-2</v>
      </c>
    </row>
    <row r="328" spans="1:22" s="87" customFormat="1" x14ac:dyDescent="0.2">
      <c r="A328" s="44"/>
      <c r="B328" s="84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>-1.3613087812464468E-2</v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>2.4539877300613556E-2</v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>-2.1589793916142939E-2</v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>1.4184397162617523E-2</v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>3.3732205487930642E-2</v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>5.4298642535983176E-2</v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>2.5510204081320272E-2</v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>3.6538639326951783E-2</v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>-2.3571438055001705E-2</v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>-1.5674800680033362E-2</v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>-6.6801619428043663E-2</v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>-8.9015151516264837E-2</v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>0.18883927033482123</v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>7.6839826832634739E-2</v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>5.3911205067010665E-2</v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>5.0955414012738821E-2</v>
      </c>
    </row>
    <row r="329" spans="1:22" s="87" customFormat="1" x14ac:dyDescent="0.2">
      <c r="A329" s="44"/>
      <c r="B329" s="84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>-2.0140934875590221E-2</v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>3.2887975334018528E-2</v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>-9.9403578170111887E-4</v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>1.3157894729783111E-2</v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>1.2323232323232312E-2</v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>5.9023836552682202E-2</v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>1.0010009973834449E-3</v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>4.8412139776042036E-2</v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>-2.3830343126447277E-2</v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>-2.1421092294256063E-2</v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>-4.994797086472616E-2</v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>-3.1504065042149788E-2</v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>0.61958560535526697</v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>6.5817409762442172E-2</v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>5.2465897171995311E-2</v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>4.9525816649104194E-2</v>
      </c>
    </row>
    <row r="330" spans="1:22" s="87" customFormat="1" x14ac:dyDescent="0.2">
      <c r="A330" s="44"/>
      <c r="B330" s="84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>-1.6187010136558124E-2</v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>2.9561671763506686E-2</v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>0</v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>5.9464816633841419E-3</v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>-1.2159872421010654E-2</v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>5.3348467655009536E-2</v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>2.5380710659537724E-2</v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>6.0030253420570827E-2</v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>-3.6611308174073313E-3</v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>-3.8208809930055904E-2</v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>-8.8504577824118705E-2</v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>-2.0449897794263942E-3</v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>0.41962137860202248</v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>3.4196891192740761E-2</v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>8.1675392663270147E-2</v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>4.2399172699069225E-2</v>
      </c>
    </row>
    <row r="331" spans="1:22" s="87" customFormat="1" x14ac:dyDescent="0.2">
      <c r="A331" s="44"/>
      <c r="B331" s="84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>-1.6927571705069713E-2</v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>3.4232365145228184E-2</v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>-7.0351758741138979E-3</v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>2.1716649435583428E-2</v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>1.7016507030772385E-2</v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>6.9954128443448574E-2</v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>1.6460905352080644E-2</v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>2.3555573861767279E-2</v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>2.4153964688779214E-2</v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>2.5955981559383192E-2</v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>-9.063444108313666E-2</v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>4.9896049898949218E-2</v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>0.42799093730434246</v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>0.11764705882417023</v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>5.3459119489866015E-2</v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>3.1380753138075312E-2</v>
      </c>
    </row>
    <row r="332" spans="1:22" s="87" customFormat="1" x14ac:dyDescent="0.2">
      <c r="A332" s="44"/>
      <c r="B332" s="84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>-2.3477023041968532E-2</v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>2.8747433264887032E-2</v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>-9.9403578170111887E-4</v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>1.0090817319750804E-3</v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>2.05728116175878E-2</v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>5.9428571431680371E-2</v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>1.9407558734924807E-2</v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>4.007725736537341E-2</v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>-1.6430404713211562E-2</v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>3.807275589457871E-2</v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>-0.11267605633712731</v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>3.2854209454492252E-2</v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>0.35106837921054812</v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>6.8678459939319356E-2</v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>3.0895983529291821E-2</v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>4.3523316062176194E-2</v>
      </c>
    </row>
    <row r="333" spans="1:22" s="87" customFormat="1" x14ac:dyDescent="0.2">
      <c r="A333" s="44"/>
      <c r="B333" s="84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>-2.7500434503638607E-2</v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>3.295571575695163E-2</v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>0</v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>9.0634441062053556E-3</v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>3.9737812371978654E-2</v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>6.9044879177199259E-2</v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>2.2517911975958919E-2</v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>4.291698990926867E-2</v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>-2.6468012360873882E-2</v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>3.1746031749585242E-2</v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>-0.11735205616798469</v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>-3.0000000014215656E-3</v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>0.21934563025799111</v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>5.6902002102029163E-2</v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>5.7971014490652846E-2</v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>5.0724637681159479E-2</v>
      </c>
    </row>
    <row r="334" spans="1:22" s="87" customFormat="1" x14ac:dyDescent="0.2">
      <c r="A334" s="44"/>
      <c r="B334" s="84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>-4.1064216250668625E-2</v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>3.0991735537190084E-2</v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>-5.9642147100892988E-3</v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>-2.0120724374012877E-3</v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>2.7737528462016069E-2</v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>4.6750285071091802E-2</v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>2.8629856849628318E-2</v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>3.9233794400527114E-2</v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>-1.9798045717692475E-2</v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>2.0035320629030573E-2</v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>-0.12373225152021446</v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>3.521126760563386E-2</v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>0.25113996840773117</v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>7.1055381394093897E-2</v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>2.4590163937954036E-2</v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>5.4922279792746082E-2</v>
      </c>
    </row>
    <row r="335" spans="1:22" s="87" customFormat="1" x14ac:dyDescent="0.2">
      <c r="A335" s="44"/>
      <c r="B335" s="84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>-4.6142457720649399E-2</v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>1.9367991845056123E-2</v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>-2.0958083836459095E-2</v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>-1.0880316518582487E-2</v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>2.8149190710767178E-3</v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>2.4526198439715798E-2</v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>-1.0121457554526159E-3</v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>3.6324697899298146E-2</v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>-1.9387982435237285E-2</v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>-1.3274860729206098E-2</v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>-0.11111111110370631</v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>9.5041322310673179E-2</v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>0.46413727408914895</v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>8.0543933056614697E-2</v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>3.0303030269354268E-3</v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>4.1836734693877491E-2</v>
      </c>
    </row>
    <row r="336" spans="1:22" s="87" customFormat="1" x14ac:dyDescent="0.2">
      <c r="A336" s="44"/>
      <c r="B336" s="84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>-3.2749331780370393E-2</v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>5.2147239263803769E-2</v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>-2.3369036030478279E-2</v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>3.137651821658477E-2</v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>2.0902421867149013E-2</v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>2.6086956517696332E-2</v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>3.4587995927988092E-2</v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>5.4391057753602208E-2</v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>-6.7894377126225518E-3</v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>1.1293634497172949E-2</v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>-0.10416666667021456</v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>4.1836734696796427E-2</v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>0.51413881747672208</v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>7.7731092429206367E-2</v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>4.5965270684737075E-2</v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>3.4482758620689717E-2</v>
      </c>
    </row>
    <row r="337" spans="1:22" s="87" customFormat="1" x14ac:dyDescent="0.2">
      <c r="A337" s="44"/>
      <c r="B337" s="84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>-3.1995750728040111E-2</v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>5.9820538384846317E-3</v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>-3.0060120232247027E-3</v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>2.4144869218631883E-2</v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>5.4950544509940764E-3</v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>1.2820512813508095E-2</v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>1.3118062556041248E-2</v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>2.2875684041346732E-2</v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>-9.6553702029824971E-3</v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>5.9582919546292013E-3</v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>-0.1100628930763122</v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>-3.2448377586609324E-2</v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>-0.13607305935998004</v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>8.9285714278210734E-2</v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>5.2631578950032482E-2</v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>2.3185483870967711E-2</v>
      </c>
    </row>
    <row r="338" spans="1:22" s="87" customFormat="1" x14ac:dyDescent="0.2">
      <c r="A338" s="44"/>
      <c r="B338" s="84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>-3.6303235212681792E-2</v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>-9.9601593625506485E-4</v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>6.0422960708035704E-3</v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>1.106639839061537E-2</v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>3.1034137551306665E-3</v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>0</v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>1.106639839061537E-2</v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>3.4071136641868345E-2</v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>-1.3843622109000784E-2</v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>2.4316109425972621E-2</v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>-0.10000000000382414</v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>-1.8682399218919239E-2</v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>-0.17132551848231689</v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>3.5317860740223563E-2</v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>3.4170854273781456E-2</v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>3.9920159680637869E-3</v>
      </c>
    </row>
    <row r="339" spans="1:22" s="87" customFormat="1" x14ac:dyDescent="0.2">
      <c r="A339" s="44"/>
      <c r="B339" s="84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>-2.7828157723203177E-2</v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>1.7017017017016901E-2</v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>-5.015045137358027E-3</v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>1.3000000003070271E-2</v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>1.8209255533199076E-2</v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>2.7718550108110508E-2</v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>2.4072216653300237E-2</v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>3.1805875871626095E-2</v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>-2.6597823105277605E-3</v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>2.0020019947668897E-3</v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>-8.1720430101583127E-2</v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>2.3833167826576119E-2</v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>-2.5150905435570903E-2</v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>3.420523138551599E-2</v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>2.3904382473572367E-2</v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>5.7201225740551524E-2</v>
      </c>
    </row>
    <row r="340" spans="1:22" s="87" customFormat="1" x14ac:dyDescent="0.2">
      <c r="A340" s="44"/>
      <c r="B340" s="84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>-2.5306225264191896E-2</v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>9.9800399201591138E-4</v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>-1.0030090274716198E-2</v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>-6.9930069877669468E-3</v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>-6.0872168446262798E-3</v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>1.072961373137935E-2</v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>0</v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>-4.9451965112908385E-3</v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>-3.1881732134402242E-2</v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>5.3115423904497222E-2</v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>-6.9414316700960876E-2</v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>4.9896049898949218E-2</v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>9.9999999972011193E-4</v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>5.0251256281003E-2</v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>9.0270812438016899E-3</v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>3.1313131313131258E-2</v>
      </c>
    </row>
    <row r="341" spans="1:22" s="87" customFormat="1" x14ac:dyDescent="0.2">
      <c r="A341" s="44"/>
      <c r="B341" s="84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>-1.7772020265908621E-2</v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>5.970149253731287E-3</v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>-1.2935323386114471E-2</v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>1.5984015986311561E-2</v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>-9.0800239473158711E-3</v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>-7.5026795326330687E-3</v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>-6.999999994729467E-3</v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>-4.9365651314030963E-3</v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>-1.4726038491873428E-2</v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>3.3999999997259826E-2</v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>-7.1193866370764761E-2</v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>7.0304302212783457E-2</v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>-1.449275362878895E-2</v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>3.5856573705377606E-2</v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>3.9880358918975178E-2</v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>3.7148594377510072E-2</v>
      </c>
    </row>
    <row r="342" spans="1:22" s="87" customFormat="1" x14ac:dyDescent="0.2">
      <c r="A342" s="44"/>
      <c r="B342" s="84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>-2.2571951244785882E-2</v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>9.9009900990093373E-4</v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>-6.9721115485663022E-3</v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>-1.4778325119124096E-2</v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>-1.1098779134295169E-3</v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>-4.3103448285796379E-3</v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>1.9801980126451756E-3</v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>-1.2158886546381038E-2</v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>-3.5788639632028394E-3</v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>3.6437246963480836E-2</v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>-4.5758928567174791E-2</v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>5.8401639341245905E-2</v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>2.8712871289069585E-2</v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>-2.1042084162573204E-2</v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>-1.5488867369159092E-2</v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>1.4880952380952382E-2</v>
      </c>
    </row>
    <row r="343" spans="1:22" s="87" customFormat="1" x14ac:dyDescent="0.2">
      <c r="A343" s="44"/>
      <c r="B343" s="84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>-2.1668491691293184E-2</v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>1.4042126379137326E-2</v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>1.8218623476679321E-2</v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>2.9352226715801729E-2</v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>1.1321510870654198E-2</v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>-1.6077170414257248E-2</v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>3.3400809717367662E-2</v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>2.9279822974921169E-2</v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>-1.0248100838726671E-2</v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>-4.9067713463624525E-3</v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>-7.5304540420752769E-2</v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>2.3762376238938836E-2</v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>-0.18989710009638039</v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>2.3391812868860253E-2</v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>3.4825870648103024E-2</v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>5.2738336713995977E-2</v>
      </c>
    </row>
    <row r="344" spans="1:22" s="87" customFormat="1" x14ac:dyDescent="0.2">
      <c r="A344" s="44"/>
      <c r="B344" s="84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>-1.9509187811032506E-2</v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>1.1976047904191645E-2</v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>4.9751243800402129E-3</v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>2.3185483867939113E-2</v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>-1.1561264822134404E-2</v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>-1.0787486523118759E-2</v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>2.204408817699538E-2</v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>4.9981232376512044E-3</v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>2.3100882279327769E-2</v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>-1.0689990282053724E-2</v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>-4.1950113382444178E-2</v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>1.1928429419126311E-2</v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>-2.4217961658142013E-2</v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>-6.8159688458744802E-3</v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>2.8971028968872995E-2</v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>3.3763654419066445E-2</v>
      </c>
    </row>
    <row r="345" spans="1:22" s="87" customFormat="1" x14ac:dyDescent="0.2">
      <c r="A345" s="44"/>
      <c r="B345" s="84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>-1.4861400090404429E-2</v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>2.19341974077767E-2</v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>4.9701789283880388E-3</v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>1.8962075849658169E-2</v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>-1.9306540583136265E-2</v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>-2.4757804088674444E-2</v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>2.502502502468433E-2</v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>1.1594461634465333E-2</v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>1.9942252583795405E-2</v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>-8.875739642519212E-3</v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>-5.3409090902206323E-2</v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>5.9177532599143032E-2</v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>0.18776824034461398</v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>6.1814556337220238E-2</v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>1.5655577301672743E-2</v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>1.0837438423645264E-2</v>
      </c>
    </row>
    <row r="346" spans="1:22" s="87" customFormat="1" x14ac:dyDescent="0.2">
      <c r="A346" s="44"/>
      <c r="B346" s="84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>-1.1881110428568929E-2</v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>3.0060120240480964E-2</v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>2.1000000004190424E-2</v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>2.6209677425574347E-2</v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>2.9707955689828831E-2</v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>-4.3572984759385142E-3</v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>2.7833001987043835E-2</v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>3.0513619301994355E-2</v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>2.9444456378040825E-2</v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>4.2786069646453803E-2</v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>-2.7777777778361726E-2</v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>2.0408163265306156E-2</v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>7.8947368431024179E-2</v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>3.1219512199500622E-2</v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>4.6999999997829695E-2</v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>3.0451866404715214E-2</v>
      </c>
    </row>
    <row r="347" spans="1:22" s="87" customFormat="1" x14ac:dyDescent="0.2">
      <c r="A347" s="44"/>
      <c r="B347" s="84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>6.3642774552053968E-4</v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>2.5000000000000001E-2</v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>3.4658511719988336E-2</v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>0</v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>1.1228070175438642E-2</v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>1.6322089223589711E-2</v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>6.2816616014562773E-2</v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>2.8332684416882085E-2</v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>2.7156481195640202E-2</v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>4.2042042040268318E-2</v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>8.2547169763704156E-3</v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>1.0377358489202728E-2</v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>-2.9239766171065321E-3</v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>1.6456921586268655E-2</v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>4.431017119965671E-2</v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>4.603330068560238E-2</v>
      </c>
    </row>
    <row r="348" spans="1:22" s="87" customFormat="1" x14ac:dyDescent="0.2">
      <c r="A348" s="44"/>
      <c r="B348" s="84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>-7.3894472913677098E-3</v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>-6.8027210884354017E-3</v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>3.9880358978702825E-3</v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>-2.9440628058546481E-3</v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>-2.4608721330839651E-3</v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>-1.9067796609752097E-2</v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>1.9665683409862901E-3</v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>1.9889481113222703E-2</v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>2.8164336687919074E-2</v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>7.7157360401339525E-2</v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>4.6511627925642741E-3</v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>4.9951028397782773E-2</v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>-0.15959252970911258</v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>3.2163742691027598E-2</v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>4.6875000006867486E-2</v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>4.3137254901960839E-2</v>
      </c>
    </row>
    <row r="349" spans="1:22" s="87" customFormat="1" x14ac:dyDescent="0.2">
      <c r="A349" s="44"/>
      <c r="B349" s="84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>-5.9691809543325255E-3</v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>1.9821605550049554E-2</v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>1.9095477388389247E-2</v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>1.0805500982549903E-2</v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>-4.8688394276629066E-3</v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>-3.059071729451867E-2</v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>2.5896414348859947E-2</v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>2.9762437475199105E-2</v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>3.363525696387034E-2</v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>3.3563672257805308E-2</v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>2.9446407536642183E-2</v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>0.10569105691362969</v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>6.765327695814996E-2</v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>3.6644165865912341E-2</v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>3.5576923076044653E-2</v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>4.8275862068965572E-2</v>
      </c>
    </row>
    <row r="350" spans="1:22" s="87" customFormat="1" x14ac:dyDescent="0.2">
      <c r="A350" s="44"/>
      <c r="B350" s="84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>9.2784387100136988E-3</v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>2.3928215353938243E-2</v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>1.6016016008189662E-2</v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>1.8905472638182281E-2</v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>1.1876247504989997E-2</v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>-3.2804232804357805E-2</v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>3.3830845768351943E-2</v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>8.286049698390056E-3</v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>4.6643297162543174E-2</v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>5.2423343223199491E-2</v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>1.1695906410881601E-3</v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>7.9158316637679416E-2</v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>4.2437431990170228E-2</v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>6.1403508774665987E-2</v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>4.9562682209424114E-2</v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>8.4493041749502992E-2</v>
      </c>
    </row>
    <row r="351" spans="1:22" s="87" customFormat="1" x14ac:dyDescent="0.2">
      <c r="A351" s="44"/>
      <c r="B351" s="84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>1.5934223853899615E-2</v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>1.870078740157486E-2</v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>4.6370967745959897E-2</v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>2.27048371144127E-2</v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>-1.3832625234660664E-3</v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>-4.7717842320229499E-2</v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>1.4691478938088205E-2</v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>2.3420341700440932E-3</v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>5.3640136611262747E-2</v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>4.3956043957361537E-2</v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>5.854800936444346E-3</v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>1.9398642039482894E-3</v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>7.7399380804027126E-2</v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>8.8521400779752693E-2</v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>7.4902723730165433E-2</v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>4.1545893719806735E-2</v>
      </c>
    </row>
    <row r="352" spans="1:22" s="87" customFormat="1" x14ac:dyDescent="0.2">
      <c r="A352" s="44"/>
      <c r="B352" s="84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>1.8904474465821063E-2</v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>3.5892323030907364E-2</v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>3.546099291161018E-2</v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>4.7283702213532647E-2</v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>3.6345381526104469E-2</v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>-2.0169851377318086E-2</v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>3.8805970148392155E-2</v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>4.8094256374648044E-2</v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>0.10769304251561169</v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>2.036857420390804E-2</v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>4.6620046532695964E-3</v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>6.3366336630562028E-2</v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>-4.9950049956057382E-2</v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>5.7416267945972155E-2</v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>0.1192842942421428</v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>6.5621939275220406E-2</v>
      </c>
    </row>
    <row r="353" spans="1:22" s="87" customFormat="1" x14ac:dyDescent="0.2">
      <c r="A353" s="44"/>
      <c r="B353" s="84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>1.6046377589550669E-2</v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>2.3738872403560887E-2</v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>3.8306451615789341E-2</v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>2.458210422790922E-2</v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>2.759037357768598E-2</v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>-2.1598272093118851E-3</v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>6.3444108753509434E-2</v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>4.2307883114010243E-2</v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>8.0555236079033254E-2</v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>7.7369439082603606E-3</v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>2.5943396220630337E-2</v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>5.0980392148163592E-2</v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>-0.16960784312991217</v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>6.9230769231139161E-2</v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>4.1227229149174621E-2</v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>6.8731848983543162E-2</v>
      </c>
    </row>
    <row r="354" spans="1:22" s="87" customFormat="1" x14ac:dyDescent="0.2">
      <c r="A354" s="44"/>
      <c r="B354" s="84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>1.3245809875034507E-2</v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>3.8575667655786405E-2</v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>2.8084252757168082E-2</v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>4.7000000000330097E-2</v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>3.6464646464646457E-2</v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>5.4112554099921117E-3</v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>5.1383399211907925E-2</v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>3.2196145172993101E-2</v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>5.8345408012152739E-2</v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>2.3437499993438176E-2</v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>2.2222222223166426E-2</v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>2.4201355274544405E-2</v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>-1.154956688801826E-2</v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>0.13510747184551694</v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>5.9980334308968417E-2</v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>6.5493646138807454E-2</v>
      </c>
    </row>
    <row r="355" spans="1:22" s="87" customFormat="1" x14ac:dyDescent="0.2">
      <c r="A355" s="44"/>
      <c r="B355" s="84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>9.9326512358430298E-3</v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>4.4510385756676561E-2</v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>3.1809145133730753E-2</v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>5.2114060962380956E-2</v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>1.8525856944719681E-2</v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>1.307189541768689E-2</v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>5.9745347697883977E-2</v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>2.4332802376561855E-2</v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>4.1948377771172413E-2</v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>3.6489151870265711E-2</v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>4.1916167662391049E-2</v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>5.5125725335419887E-2</v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>4.8498845263695703E-2</v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>8.9523809524480774E-2</v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>6.6346153849713957E-2</v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>9.0558766859344955E-2</v>
      </c>
    </row>
    <row r="356" spans="1:22" s="87" customFormat="1" x14ac:dyDescent="0.2">
      <c r="A356" s="44"/>
      <c r="B356" s="84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>1.1586516025616089E-2</v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>3.7475345167652829E-2</v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>1.5841584150670801E-2</v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>4.4334975377078575E-2</v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>3.6888933320003973E-2</v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>3.489640130670206E-2</v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>3.1372549024067997E-2</v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>3.6218351943648676E-2</v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>3.4197261381090159E-2</v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>3.339882121521822E-2</v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>3.431952662752414E-2</v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>2.5540275044865092E-2</v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>1.7580144772754748E-2</v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>0.13529411764913507</v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>8.2524271840700672E-2</v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>7.2046109510086456E-2</v>
      </c>
    </row>
    <row r="357" spans="1:22" s="87" customFormat="1" x14ac:dyDescent="0.2">
      <c r="A357" s="44"/>
      <c r="B357" s="84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>2.3489337719864039E-2</v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>2.4390243902439025E-2</v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>2.0771513357254461E-2</v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>2.1547502449059418E-2</v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>4.5701084773001173E-2</v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>5.9602649004991369E-2</v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>3.2226562500743863E-2</v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>3.5904424816794483E-2</v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>3.2962215716414597E-2</v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>5.4726368160540675E-2</v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>5.5222088830102184E-2</v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>1.9886363636309801E-2</v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>-9.3044263777015523E-2</v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>9.2018779338711054E-2</v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>5.5876685930386416E-2</v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>9.9415204678362609E-2</v>
      </c>
    </row>
    <row r="358" spans="1:22" s="87" customFormat="1" x14ac:dyDescent="0.2">
      <c r="A358" s="44"/>
      <c r="B358" s="84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>3.0990911016832563E-2</v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>4.4747081712062341E-2</v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>1.8609206651646632E-2</v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>6.3850687617906743E-2</v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>2.3863080684596555E-2</v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>4.8140043764522057E-2</v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>3.8684719541302218E-2</v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>4.1624680257209855E-2</v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>3.1340710577358502E-2</v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>5.7251908476712229E-3</v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>5.2380952380282911E-2</v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>1.5238095242181518E-2</v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>3.5121951219331322E-2</v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>0.10690633868648736</v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>8.1184336194675619E-2</v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>6.7683508102955134E-2</v>
      </c>
    </row>
    <row r="359" spans="1:22" s="87" customFormat="1" x14ac:dyDescent="0.2">
      <c r="A359" s="44"/>
      <c r="B359" s="84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>2.5014206871197892E-2</v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>5.3658536585365853E-2</v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>3.9408867000752759E-2</v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>7.7999999998419889E-2</v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>4.7883414295628014E-2</v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>1.0706638113158763E-2</v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>5.4337464246006148E-2</v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>6.5928838403964615E-2</v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>3.3212070120189695E-2</v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>-5.7636887592010765E-3</v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>6.783625731058758E-2</v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>1.1204481798058837E-2</v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>4.2033235589667699E-2</v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>0.1438095238142498</v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>9.5467695275035847E-2</v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>7.9588014981273408E-2</v>
      </c>
    </row>
    <row r="360" spans="1:22" s="87" customFormat="1" x14ac:dyDescent="0.2">
      <c r="A360" s="44"/>
      <c r="B360" s="84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>2.6447015836464426E-2</v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>3.6203522504892394E-2</v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>5.9582919546292013E-3</v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>5.4133858269024449E-2</v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>6.5127294256956438E-3</v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>2.1598272193533181E-3</v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>4.3179587832285739E-2</v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>-1.8252733266719596E-4</v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>2.1162845383595596E-2</v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>-1.4137606028136277E-2</v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>2.8935185183603426E-2</v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>2.7985074640282594E-3</v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>1.9191919186491605E-2</v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>0.11331444759880965</v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>6.0634328356198537E-2</v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>6.2030075187969866E-2</v>
      </c>
    </row>
    <row r="361" spans="1:22" s="87" customFormat="1" x14ac:dyDescent="0.2">
      <c r="A361" s="44"/>
      <c r="B361" s="84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>3.3363627860530723E-2</v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>2.2351797862001914E-2</v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>2.3668639056580971E-2</v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>2.5267249753163742E-2</v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>3.1153270094857615E-2</v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>5.4406964078631418E-3</v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>2.9126213593835666E-2</v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>2.5242380930687355E-2</v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>3.8753677171310764E-2</v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>1.8147086916336267E-2</v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>1.3729977111806069E-2</v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>-7.3529411738318673E-3</v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>-5.5445544548985877E-2</v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>8.9302325584657907E-2</v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>2.9712163421210049E-2</v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>7.1428571428571369E-2</v>
      </c>
    </row>
    <row r="362" spans="1:22" s="87" customFormat="1" x14ac:dyDescent="0.2">
      <c r="A362" s="44"/>
      <c r="B362" s="84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>3.2202731401703079E-2</v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>2.6290165530671886E-2</v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>3.3497536953103174E-2</v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>4.19921874947543E-2</v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>2.8503797218660622E-2</v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>1.5317286650498274E-2</v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>3.5611164577919012E-2</v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>4.9006956638317792E-2</v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>4.8434102909933115E-2</v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>-1.691729322841834E-2</v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>4.6728971960236954E-2</v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>9.2850510690841211E-3</v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>-0.16597077244800368</v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>7.5298438938546805E-2</v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>4.1666666667052564E-2</v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>3.9413382218148593E-2</v>
      </c>
    </row>
    <row r="363" spans="1:22" s="87" customFormat="1" x14ac:dyDescent="0.2">
      <c r="A363" s="44"/>
      <c r="B363" s="84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>3.3719759719053465E-2</v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>1.5458937198067579E-2</v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>4.8169556858733437E-3</v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>2.4131274131031881E-2</v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>1.8205204313841927E-2</v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>2.2875816986016418E-2</v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>2.3166023169265824E-2</v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>1.5745130543602489E-2</v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>4.1184978512251509E-2</v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>2.4880382781053933E-2</v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>4.8894062867450752E-2</v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>3.0977734751804528E-2</v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>-0.11015325670311857</v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>5.8981233245501315E-2</v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>9.0497737456622933E-4</v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>6.6790352504638245E-2</v>
      </c>
    </row>
    <row r="364" spans="1:22" s="87" customFormat="1" x14ac:dyDescent="0.2">
      <c r="A364" s="44"/>
      <c r="B364" s="84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>2.3902862790593841E-2</v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>2.502406159769003E-2</v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>2.3483365952394031E-2</v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>3.746397694441439E-2</v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>-1.2885099786862995E-2</v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>2.7085590459487247E-2</v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>2.2988505750319591E-2</v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>1.602113345237997E-2</v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>2.7543506770811285E-2</v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>2.2813688206565999E-2</v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>-6.9605568442101973E-2</v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>1.2104283056650964E-2</v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>5.2576235548190957E-2</v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>5.610859728156236E-2</v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>9.7690941365792244E-3</v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>7.4448529411764788E-2</v>
      </c>
    </row>
    <row r="365" spans="1:22" s="87" customFormat="1" x14ac:dyDescent="0.2">
      <c r="A365" s="44"/>
      <c r="B365" s="84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>2.9912007671479651E-2</v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>2.7053140096618331E-2</v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>5.8252427168252723E-3</v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>3.5508637242311056E-2</v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>1.71484566389025E-2</v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>5.3030303029998123E-2</v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>1.4204545460114749E-2</v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>6.8634637185077691E-3</v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>3.4736882126420281E-2</v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>4.0307101725955169E-2</v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>3.9080459770163001E-2</v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>1.5858208956600311E-2</v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>0.13341204250056823</v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>1.9784172662468912E-2</v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>6.9060773478017159E-2</v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>6.7934782608695649E-2</v>
      </c>
    </row>
    <row r="366" spans="1:22" s="87" customFormat="1" x14ac:dyDescent="0.2">
      <c r="A366" s="44"/>
      <c r="B366" s="84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>3.3312310644985993E-2</v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>0</v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>1.2682926832266772E-2</v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>8.5959885363007162E-3</v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>9.648182438358785E-3</v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>4.7362755652250635E-2</v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>-3.759398492070941E-3</v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>8.1478499229947956E-3</v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>3.8629303917218333E-2</v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>3.2442748098632609E-2</v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>3.2036613274736864E-2</v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>3.591682419804626E-2</v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>-0.11295034080549533</v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>4.6889089271815933E-2</v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>7.2356215216972899E-2</v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>7.9816513761467922E-2</v>
      </c>
    </row>
    <row r="367" spans="1:22" s="87" customFormat="1" x14ac:dyDescent="0.2">
      <c r="A367" s="44"/>
      <c r="B367" s="84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>4.4735746771165111E-2</v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>5.6818181818182626E-3</v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>-1.9267822762762876E-3</v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>-1.0280373832072719E-2</v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>1.3422818791946263E-2</v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>5.9139784952633161E-2</v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>-1.1090573019072375E-2</v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>6.8402323913991968E-3</v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>5.2691452245010609E-2</v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>3.9010466224691252E-2</v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>2.2988505745926421E-2</v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>3.6663611352514918E-3</v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>8.9207048466627192E-2</v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>1.223776223728845E-2</v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>2.0739404864282759E-2</v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>5.3003533568904596E-2</v>
      </c>
    </row>
    <row r="368" spans="1:22" s="87" customFormat="1" x14ac:dyDescent="0.2">
      <c r="A368" s="44"/>
      <c r="B368" s="84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>4.3940510389230483E-2</v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>2.8517110266159424E-3</v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>6.8226120904062541E-3</v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>-3.7735849108941053E-3</v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>-7.0381797146163126E-3</v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>4.2149631190943941E-2</v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>1.8060836503202359E-2</v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>-4.5528270210068601E-3</v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>4.6075657445912986E-2</v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>9.5057034162336785E-3</v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>-1.029748283905051E-2</v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>3.5440613031026962E-2</v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>-1.0162601623228008E-2</v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>-3.195164075685826E-2</v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>2.6008968617049565E-2</v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>5.2867383512544858E-2</v>
      </c>
    </row>
    <row r="369" spans="2:22" s="87" customFormat="1" x14ac:dyDescent="0.2">
      <c r="B369" s="84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>2.9700558480906022E-2</v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>5.7142857142856605E-3</v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>2.0348837203583707E-2</v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>1.0546500479616241E-2</v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>-2.881567572759554E-3</v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>3.7499999999031371E-2</v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>9.4607379317497471E-3</v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>5.3759878819343038E-3</v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>5.7155931876647824E-2</v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>1.6037735847712554E-2</v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>-6.8259385641195637E-3</v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>3.7140204257744649E-3</v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>-2.191235060145838E-2</v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>-5.5889939815359058E-2</v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>2.9197080296233923E-2</v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>4.9645390070922064E-2</v>
      </c>
    </row>
    <row r="370" spans="2:22" s="87" customFormat="1" x14ac:dyDescent="0.2">
      <c r="B370" s="84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>2.6065190120278255E-2</v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>-2.9795158286778423E-2</v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>9.615384676872848E-4</v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>-4.432132963684509E-2</v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>-1.5283217117203117E-2</v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>4.4885177446279567E-2</v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>-2.2346368718153077E-2</v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>-3.2956913235684372E-2</v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>3.6636928249106672E-2</v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>2.8462998094454387E-3</v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>-1.1312217193965737E-2</v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>5.7223264536082424E-2</v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>-0.13760603205345665</v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>-5.9829059826941124E-2</v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>1.4134275620435203E-2</v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>5.1785714285714261E-2</v>
      </c>
    </row>
    <row r="371" spans="2:22" s="87" customFormat="1" x14ac:dyDescent="0.2">
      <c r="B371" s="84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>2.4636577442400415E-2</v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>-3.1481481481481534E-2</v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>-1.0426540284620787E-2</v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>-2.8756957326656056E-2</v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>-1.4853358561967903E-2</v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>6.1440677965851294E-2</v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>-4.7016274857508512E-2</v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>-6.1122445266490903E-2</v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>2.2976897174254864E-2</v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>8.6956521714762758E-3</v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>-3.8335158815027248E-2</v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>2.2160664811903694E-2</v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>-0.17354596622695728</v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>-9.9084096586157397E-2</v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>5.2816901349858137E-3</v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>3.0355594102341718E-2</v>
      </c>
    </row>
    <row r="372" spans="2:22" s="87" customFormat="1" x14ac:dyDescent="0.2">
      <c r="B372" s="84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>1.9201607001651747E-2</v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>-5.6657223796034795E-3</v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>1.0858835143392606E-2</v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>-3.3613445378072697E-2</v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>2.6372549019607821E-2</v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>8.7284482756191356E-2</v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>-5.6444026324792345E-3</v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>2.805668989355118E-2</v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>1.5670982742160375E-2</v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>2.8680688328476048E-3</v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>-2.2497187850323321E-2</v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>3.2558139534926957E-2</v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>-7.0366699702970534E-2</v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>-6.9550466500182734E-2</v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>-4.3975373829902072E-3</v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>5.840707964601765E-2</v>
      </c>
    </row>
    <row r="373" spans="2:22" s="87" customFormat="1" x14ac:dyDescent="0.2">
      <c r="B373" s="84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>1.0609988244316006E-2</v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>0</v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>-8.6705202287913063E-3</v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>-1.516587677935372E-2</v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>1.2975694780672058E-2</v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>9.4155844149963114E-2</v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>5.6603773569061742E-3</v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>-1.9591221594298671E-3</v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>-2.8469750899380009E-3</v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>-3.7523452162790988E-2</v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>-1.3544018053923808E-2</v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>1.8518518511823557E-2</v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>-3.1446540976415691E-3</v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>-4.6114432113523805E-2</v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>1.8935978355913565E-2</v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>6.4035087719298223E-2</v>
      </c>
    </row>
    <row r="374" spans="2:22" s="87" customFormat="1" x14ac:dyDescent="0.2">
      <c r="B374" s="84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>5.5279673136763461E-3</v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>-9.4876660341564056E-4</v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>-2.2878932319627416E-2</v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>-1.8744142453453412E-2</v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>7.6716532412733304E-4</v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>0.10237068965120977</v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>-1.7657992557143429E-2</v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>-2.6508074508180889E-2</v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>3.2537345132726786E-3</v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>-4.7801147245998309E-3</v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>-2.9017857139417964E-2</v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>-8.2796688171620971E-3</v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>0.20400500626422838</v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>-1.9641332200612985E-2</v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>1.0666666672688339E-2</v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>7.6719576719576618E-2</v>
      </c>
    </row>
    <row r="375" spans="2:22" s="87" customFormat="1" x14ac:dyDescent="0.2">
      <c r="B375" s="84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>-1.117112063831565E-2</v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>-8.5632730732634783E-3</v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>-1.5340364335730572E-2</v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>-3.9585296888207493E-2</v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>1.4284326110193363E-2</v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>5.6443024495039067E-2</v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>-1.3207547169259468E-2</v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>1.3935685858438471E-2</v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>5.2730696793014412E-2</v>
      </c>
      <c r="L375" s="13"/>
      <c r="M375" s="13"/>
      <c r="N375" s="13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>2.4543851357539764E-2</v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>-9.3370681642070737E-3</v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>-2.8856825755544761E-2</v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>2.535211267881032E-2</v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>2.7987082887753711E-2</v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>-3.7130801688675288E-2</v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>3.9783001809642796E-2</v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>6.4347826086956578E-2</v>
      </c>
    </row>
    <row r="376" spans="2:22" s="87" customFormat="1" x14ac:dyDescent="0.2">
      <c r="B376" s="84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>-8.6697197509876282E-4</v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>-1.0328638497652528E-2</v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>-6.6921606163519208E-3</v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>-4.7222222218363884E-2</v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>3.8178427716164497E-2</v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>5.6962025315151973E-2</v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>-2.8089887632558037E-3</v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>2.5682273055667736E-2</v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>1.9909502256858527E-2</v>
      </c>
      <c r="L376" s="13"/>
      <c r="M376" s="13"/>
      <c r="N376" s="13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>2.7669164765608097E-2</v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>-2.0446096645602586E-2</v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>9.1022443890062463E-2</v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>-2.7598896057207424E-3</v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>2.0979020973153222E-2</v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>-1.1996572407450196E-2</v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>3.1662269129380409E-2</v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>4.9615055603079529E-2</v>
      </c>
    </row>
    <row r="377" spans="2:22" s="87" customFormat="1" x14ac:dyDescent="0.2">
      <c r="B377" s="84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>-8.910550842674763E-3</v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>-2.1636876763875795E-2</v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>-2.1235521236080357E-2</v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>-5.5607043561754152E-2</v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>-3.3718689788053403E-3</v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>2.2610483042599397E-2</v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>-1.2138188611601619E-2</v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>2.413727899680395E-2</v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>1.5384615380299775E-2</v>
      </c>
      <c r="L377" s="13"/>
      <c r="M377" s="13"/>
      <c r="N377" s="13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>1.2047455066636074E-2</v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>-1.9372693721634988E-2</v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>-4.0929203533665907E-2</v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>-3.6730945808769295E-3</v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>-1.7708333338769054E-2</v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>-3.2627865958158517E-2</v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>-2.928509904609292E-2</v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>2.0356234096692037E-2</v>
      </c>
    </row>
    <row r="378" spans="2:22" s="87" customFormat="1" x14ac:dyDescent="0.2">
      <c r="B378" s="84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>-1.4395339719488273E-2</v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>-1.2380952380952354E-2</v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>-1.9267822733858901E-2</v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>-3.9772727271274393E-2</v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>3.6679536679537616E-3</v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>2.6721479960304349E-2</v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>9.4339622300610142E-4</v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>1.1029551594882779E-2</v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>6.3088512232649899E-2</v>
      </c>
      <c r="L378" s="13"/>
      <c r="M378" s="13"/>
      <c r="N378" s="13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>-1.5203781159347148E-2</v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>3.6968576668622907E-3</v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>-4.3237250553899563E-2</v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>-2.5547445255507704E-2</v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>4.1712403951231533E-2</v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>-1.2058570197652487E-2</v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>-2.5951557090641418E-2</v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>3.483432455395067E-2</v>
      </c>
    </row>
    <row r="379" spans="2:22" s="87" customFormat="1" x14ac:dyDescent="0.2">
      <c r="B379" s="84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>-1.4186024411164188E-2</v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>-2.0715630885122436E-2</v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>-2.9922779920934933E-2</v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>-3.9660056655806013E-2</v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>-1.2573183606872082E-2</v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>5.0761421307817687E-3</v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>-1.4018691584941697E-2</v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>1.1512441021279943E-2</v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>3.9631336403788721E-2</v>
      </c>
      <c r="L379" s="13"/>
      <c r="M379" s="13"/>
      <c r="N379" s="13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>-1.6219464326296614E-2</v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>-2.197802197198356E-2</v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>-2.2471910111212863E-2</v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>-1.8264840221809138E-3</v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>-2.0222447011455152E-3</v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>-4.2314335063148877E-2</v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>-4.4169611258638355E-3</v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>1.0906040268456351E-2</v>
      </c>
    </row>
    <row r="380" spans="2:22" s="87" customFormat="1" x14ac:dyDescent="0.2">
      <c r="B380" s="84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>-1.7451011459594195E-2</v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>-1.7061611374407554E-2</v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>-7.7444336893643904E-3</v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>-4.734848484810808E-2</v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>9.5154869404796977E-3</v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>7.0778564246575379E-3</v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>-2.054154995378539E-2</v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>5.1453563159012524E-4</v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>3.3088235294185184E-2</v>
      </c>
      <c r="L380" s="13"/>
      <c r="M380" s="13"/>
      <c r="N380" s="13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>-1.6906107130678607E-2</v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>1.7890772129452365E-2</v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>4.624277458504621E-3</v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>1.4801110087205889E-2</v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>2.2587268997845081E-2</v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>3.1222123098617213E-2</v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>-1.048951049534921E-2</v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>3.2340425531914872E-2</v>
      </c>
    </row>
    <row r="381" spans="2:22" s="87" customFormat="1" x14ac:dyDescent="0.2">
      <c r="B381" s="84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>-2.4261593229070025E-2</v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>-2.0833333333333228E-2</v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>-6.6476733140919425E-2</v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>-5.6925996207886298E-2</v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>-2.5045756670841451E-3</v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>5.0200803201229018E-3</v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>-2.5304592317317281E-2</v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>-2.1530177081896154E-2</v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>-8.9605734742135706E-3</v>
      </c>
      <c r="L381" s="13"/>
      <c r="M381" s="13"/>
      <c r="N381" s="13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>-1.384230317964451E-2</v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>-7.4280408552507646E-3</v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>1.1454753722151399E-2</v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>-7.4005550389722513E-3</v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>0.10794297352429257</v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>3.9162112937084173E-2</v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>-3.5460992957166522E-3</v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>3.5472972972972874E-2</v>
      </c>
    </row>
    <row r="382" spans="2:22" s="87" customFormat="1" x14ac:dyDescent="0.2">
      <c r="B382" s="84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>-1.852612817514452E-2</v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>-1.3435700575815793E-2</v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>-6.1479346780823806E-2</v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>-3.4782608695568193E-2</v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>5.0441361916771362E-3</v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>-7.9920079938825446E-3</v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>-2.8571428563536425E-3</v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>1.4851723245599876E-2</v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>1.9963702353731152E-2</v>
      </c>
      <c r="L382" s="13"/>
      <c r="M382" s="13"/>
      <c r="N382" s="13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>-1.371189649003046E-2</v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>1.7975402073163001E-2</v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>-9.1533180814653229E-3</v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>-9.5829636203576152E-2</v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>9.8360655820112965E-3</v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>4.9090909095554115E-2</v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>-3.0487804879164398E-2</v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>5.3480475382003373E-2</v>
      </c>
    </row>
    <row r="383" spans="2:22" s="87" customFormat="1" x14ac:dyDescent="0.2">
      <c r="B383" s="84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>-2.1653653230929795E-2</v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>-3.0592734225621306E-2</v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>-6.3218390806194139E-2</v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>-6.208213944157509E-2</v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>-2.8810141169691734E-2</v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>-1.2974051896957689E-2</v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>-3.3206831122848376E-2</v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>3.7153805096178582E-3</v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>-9.8654708492752815E-3</v>
      </c>
      <c r="L383" s="13"/>
      <c r="M383" s="13"/>
      <c r="N383" s="13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>-1.2376469202684775E-2</v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>6.6091954023786897E-2</v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>-2.1640091117033158E-2</v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>-4.0650406496418066E-2</v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>3.7457434722629405E-2</v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>8.8724584097122361E-2</v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>-3.327495621547568E-2</v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>1.5151515151515128E-2</v>
      </c>
    </row>
    <row r="384" spans="2:22" s="87" customFormat="1" x14ac:dyDescent="0.2">
      <c r="B384" s="84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>-2.13983618930077E-2</v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>-2.0892687559354254E-2</v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>-4.199218750452078E-2</v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>-2.8019323676529619E-2</v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>-3.2285796160091654E-2</v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>-2.0812685830091174E-2</v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>-9.4607379412111735E-3</v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>-3.1412682837057414E-2</v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>-1.2433392536541679E-2</v>
      </c>
      <c r="L384" s="13"/>
      <c r="M384" s="13"/>
      <c r="N384" s="13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>4.4097642684139118E-3</v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>3.3365109622064563E-2</v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>-3.4522439625661217E-3</v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>-9.0090089832510327E-4</v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>1.8123667383035589E-2</v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>7.0191431177795943E-2</v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>-5.300353351036553E-3</v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>3.0936454849498352E-2</v>
      </c>
    </row>
    <row r="385" spans="2:22" s="87" customFormat="1" x14ac:dyDescent="0.2">
      <c r="B385" s="84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>-1.3660345764993823E-2</v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>-1.8060836501901194E-2</v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>-4.3731778432768091E-2</v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>-1.7324350332082007E-2</v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>-1.3191855463148796E-2</v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>-2.2749752718569022E-2</v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>-3.095684803078437E-2</v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>-2.3989732174351866E-2</v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>-8.0572963272180238E-3</v>
      </c>
      <c r="L385" s="13"/>
      <c r="M385" s="13"/>
      <c r="N385" s="13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>1.8806115932890093E-2</v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>2.8265107217757844E-2</v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>1.1441647575851867E-3</v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>-2.8181818174090222E-2</v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>-4.6267087274417265E-2</v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>7.788719785686217E-2</v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>4.4247787650175145E-3</v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>2.8854080791426217E-2</v>
      </c>
    </row>
    <row r="386" spans="2:22" s="87" customFormat="1" x14ac:dyDescent="0.2">
      <c r="B386" s="84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>-5.2650357029700286E-2</v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>-0.12915479582146244</v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>-6.0487804874336429E-2</v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>-0.1308500477510855</v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>-0.18100804906094289</v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>-8.6999022482804542E-2</v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>-0.29706717124427984</v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>-0.14180253106354268</v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>-3.6396724375531635E-3</v>
      </c>
      <c r="L386" s="13"/>
      <c r="M386" s="13"/>
      <c r="N386" s="13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>-5.9137628541920166E-2</v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>5.5715658021622733E-2</v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>-7.4712643674261017E-2</v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>9.2764378213318745E-4</v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>0.25987525987508708</v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>-1.4808362368199676E-2</v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>-0.12137203165969276</v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>-4.9959049959049914E-2</v>
      </c>
    </row>
    <row r="387" spans="2:22" s="87" customFormat="1" x14ac:dyDescent="0.2">
      <c r="B387" s="84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>-0.17654514284192777</v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>-0.28982725527831094</v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>-0.15189873418350161</v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>-0.30421982335669401</v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>-0.3500670626556811</v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>-0.25302419354440908</v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>-0.43977055449107755</v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>-0.34377324032648432</v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>-0.17084078711720888</v>
      </c>
      <c r="L387" s="13"/>
      <c r="M387" s="13"/>
      <c r="N387" s="13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>-0.19958026121787603</v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>-2.3562676719844432E-2</v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>-0.25828571428061325</v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>-0.10622710622579649</v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>1.3612565441177935E-2</v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>-0.30674846625433488</v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>-0.34260869564772695</v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>-0.25163398692810468</v>
      </c>
    </row>
    <row r="388" spans="2:22" s="87" customFormat="1" x14ac:dyDescent="0.2">
      <c r="B388" s="84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>-0.16211021952619811</v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>-0.19829222011385203</v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>-0.24639076034267013</v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>-0.2303206997115716</v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>-0.23596142938173575</v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>-0.21457085828084915</v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>-0.20375586854980315</v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>-0.23286646971161445</v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>-0.16681455190620026</v>
      </c>
      <c r="L388" s="13"/>
      <c r="M388" s="13"/>
      <c r="N388" s="13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>-0.16477347790272373</v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>-9.2979127140180237E-2</v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>-0.2</v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>-7.933579336168245E-2</v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>-0.10763209393332981</v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>-0.18300086730157528</v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>-0.23614663256863583</v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>-0.15321923390383047</v>
      </c>
    </row>
    <row r="389" spans="2:22" s="87" customFormat="1" x14ac:dyDescent="0.2">
      <c r="B389" s="84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>-0.10960501641531285</v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>-0.11153846153846149</v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>-0.19033530572324756</v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>-0.1334641805680587</v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>-0.11677138714354759</v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>-0.12060301507523599</v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>-0.13705103969420107</v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>-0.13539137578682184</v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>-0.11051693404254911</v>
      </c>
      <c r="L389" s="13"/>
      <c r="M389" s="13"/>
      <c r="N389" s="13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>-0.12365054051091029</v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>-2.7281279402860129E-2</v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>-0.11534025375226771</v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>-4.7004608289658148E-2</v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>6.8928950161270736E-2</v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>9.1157702496806972E-4</v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>-9.4055013311829347E-2</v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>-4.0731504571903505E-2</v>
      </c>
    </row>
    <row r="390" spans="2:22" s="87" customFormat="1" x14ac:dyDescent="0.2">
      <c r="B390" s="84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>-7.0236378172883154E-2</v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>-7.1359691417550677E-2</v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>-0.14145383104071685</v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>-0.11242603550149952</v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>-9.1844585497210973E-2</v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>-7.3073073078271961E-2</v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>-7.8228086711014541E-2</v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>-6.5417748188065075E-2</v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>-8.3259521695473918E-2</v>
      </c>
      <c r="L390" s="13"/>
      <c r="M390" s="13"/>
      <c r="N390" s="13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>-7.9854760226839225E-2</v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>-2.9465930013345451E-2</v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>-2.3174971029969089E-2</v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>-9.3632958533793563E-4</v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>0.12539515280020724</v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>5.0566695728556259E-2</v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>-4.9733570166815587E-2</v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>1.1494252873563265E-2</v>
      </c>
    </row>
    <row r="391" spans="2:22" s="87" customFormat="1" x14ac:dyDescent="0.2">
      <c r="B391" s="84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>-6.6178976746601462E-2</v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>-6.538461538461536E-2</v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>-0.10547263681306887</v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>-0.11799410029199743</v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>-7.1539657853810265E-2</v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>-5.0505050511976117E-2</v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>-6.635071094522005E-3</v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>-5.7647091881793178E-2</v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>-1.5070921981674066E-2</v>
      </c>
      <c r="L391" s="13"/>
      <c r="M391" s="13"/>
      <c r="N391" s="13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>-8.3188020300268159E-2</v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>-6.5543071205062817E-3</v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>-6.896551721689988E-3</v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>-3.4766697156009232E-2</v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>-4.6605876390493024E-2</v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>0.103697024350958</v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>-2.0408163269290638E-2</v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>1.7427385892116135E-2</v>
      </c>
    </row>
    <row r="392" spans="2:22" s="87" customFormat="1" x14ac:dyDescent="0.2">
      <c r="B392" s="84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>-6.5605687575692212E-2</v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>-6.3645130183220905E-2</v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>-0.10243902439119582</v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>-8.6481113316176222E-2</v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>-6.501875541021454E-2</v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>-4.9196787148406945E-2</v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>-4.5757864639254832E-2</v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>-3.3399045746152982E-2</v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>-2.0462633446314073E-2</v>
      </c>
      <c r="L392" s="13"/>
      <c r="M392" s="13"/>
      <c r="N392" s="13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>-6.6092862436698249E-2</v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>1.2025901945512726E-2</v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>1.9562715760003475E-2</v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>-2.3701002739822646E-2</v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>-0.15261044177436595</v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>8.3044982702164982E-2</v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>-1.6784452295953354E-2</v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>3.380049464138507E-2</v>
      </c>
    </row>
    <row r="393" spans="2:22" s="87" customFormat="1" x14ac:dyDescent="0.2">
      <c r="B393" s="84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>-4.7495429438594777E-2</v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>-3.3849129593810444E-2</v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>-4.6795523910352146E-2</v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>-4.3259557348791312E-2</v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>-4.3167551907291157E-2</v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>-4.5954045950890851E-2</v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>-1.9230769228734963E-2</v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>-1.5769319573313602E-2</v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>-5.4249547905230646E-3</v>
      </c>
      <c r="L393" s="13"/>
      <c r="M393" s="13"/>
      <c r="N393" s="13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>-7.3255662827435591E-2</v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>1.7773620207103862E-2</v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>1.0192525482804743E-2</v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>-3.3550792178012337E-2</v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>-0.15073529411284917</v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>0.10341805434173354</v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>1.3345195732609035E-2</v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>3.2626427406199025E-2</v>
      </c>
    </row>
    <row r="394" spans="2:22" s="87" customFormat="1" x14ac:dyDescent="0.2"/>
    <row r="395" spans="2:22" s="87" customFormat="1" x14ac:dyDescent="0.2"/>
    <row r="396" spans="2:22" s="87" customFormat="1" x14ac:dyDescent="0.2"/>
    <row r="397" spans="2:22" s="87" customFormat="1" x14ac:dyDescent="0.2"/>
    <row r="398" spans="2:22" s="87" customFormat="1" x14ac:dyDescent="0.2"/>
    <row r="399" spans="2:22" s="87" customFormat="1" x14ac:dyDescent="0.2"/>
    <row r="400" spans="2:22" s="87" customFormat="1" x14ac:dyDescent="0.2"/>
    <row r="401" s="87" customFormat="1" x14ac:dyDescent="0.2"/>
    <row r="402" s="87" customFormat="1" x14ac:dyDescent="0.2"/>
    <row r="403" s="87" customFormat="1" x14ac:dyDescent="0.2"/>
    <row r="404" s="87" customFormat="1" x14ac:dyDescent="0.2"/>
    <row r="405" s="87" customFormat="1" x14ac:dyDescent="0.2"/>
    <row r="406" s="87" customFormat="1" x14ac:dyDescent="0.2"/>
    <row r="407" s="87" customFormat="1" x14ac:dyDescent="0.2"/>
    <row r="408" s="87" customFormat="1" x14ac:dyDescent="0.2"/>
    <row r="409" s="87" customFormat="1" x14ac:dyDescent="0.2"/>
    <row r="410" s="87" customFormat="1" x14ac:dyDescent="0.2"/>
    <row r="411" s="87" customFormat="1" x14ac:dyDescent="0.2"/>
    <row r="412" s="87" customFormat="1" x14ac:dyDescent="0.2"/>
    <row r="413" s="87" customFormat="1" x14ac:dyDescent="0.2"/>
    <row r="414" s="87" customFormat="1" x14ac:dyDescent="0.2"/>
    <row r="415" s="87" customFormat="1" x14ac:dyDescent="0.2"/>
    <row r="416" s="87" customFormat="1" x14ac:dyDescent="0.2"/>
    <row r="417" s="87" customFormat="1" x14ac:dyDescent="0.2"/>
    <row r="418" s="87" customFormat="1" x14ac:dyDescent="0.2"/>
    <row r="419" s="87" customFormat="1" x14ac:dyDescent="0.2"/>
    <row r="420" s="87" customFormat="1" x14ac:dyDescent="0.2"/>
    <row r="421" s="87" customFormat="1" x14ac:dyDescent="0.2"/>
    <row r="422" s="87" customFormat="1" x14ac:dyDescent="0.2"/>
    <row r="423" s="87" customFormat="1" x14ac:dyDescent="0.2"/>
    <row r="424" s="87" customFormat="1" x14ac:dyDescent="0.2"/>
    <row r="425" s="87" customFormat="1" x14ac:dyDescent="0.2"/>
    <row r="426" s="87" customFormat="1" x14ac:dyDescent="0.2"/>
    <row r="427" s="87" customFormat="1" x14ac:dyDescent="0.2"/>
    <row r="428" s="87" customFormat="1" x14ac:dyDescent="0.2"/>
    <row r="429" s="87" customFormat="1" x14ac:dyDescent="0.2"/>
    <row r="430" s="87" customFormat="1" x14ac:dyDescent="0.2"/>
    <row r="431" s="87" customFormat="1" x14ac:dyDescent="0.2"/>
    <row r="432" s="87" customFormat="1" x14ac:dyDescent="0.2"/>
    <row r="433" s="87" customFormat="1" x14ac:dyDescent="0.2"/>
    <row r="434" s="87" customFormat="1" x14ac:dyDescent="0.2"/>
    <row r="435" s="87" customFormat="1" x14ac:dyDescent="0.2"/>
    <row r="436" s="87" customFormat="1" x14ac:dyDescent="0.2"/>
    <row r="437" s="87" customFormat="1" x14ac:dyDescent="0.2"/>
    <row r="438" s="87" customFormat="1" x14ac:dyDescent="0.2"/>
    <row r="439" s="87" customFormat="1" x14ac:dyDescent="0.2"/>
    <row r="440" s="87" customFormat="1" x14ac:dyDescent="0.2"/>
    <row r="441" s="87" customFormat="1" x14ac:dyDescent="0.2"/>
    <row r="442" s="87" customFormat="1" x14ac:dyDescent="0.2"/>
    <row r="443" s="87" customFormat="1" x14ac:dyDescent="0.2"/>
    <row r="444" s="87" customFormat="1" x14ac:dyDescent="0.2"/>
    <row r="445" s="87" customFormat="1" x14ac:dyDescent="0.2"/>
    <row r="446" s="87" customFormat="1" x14ac:dyDescent="0.2"/>
    <row r="447" s="87" customFormat="1" x14ac:dyDescent="0.2"/>
    <row r="448" s="87" customFormat="1" x14ac:dyDescent="0.2"/>
    <row r="449" s="87" customFormat="1" x14ac:dyDescent="0.2"/>
    <row r="450" s="87" customFormat="1" x14ac:dyDescent="0.2"/>
    <row r="451" s="87" customFormat="1" x14ac:dyDescent="0.2"/>
    <row r="452" s="87" customFormat="1" x14ac:dyDescent="0.2"/>
    <row r="453" s="87" customFormat="1" x14ac:dyDescent="0.2"/>
    <row r="454" s="87" customFormat="1" x14ac:dyDescent="0.2"/>
    <row r="455" s="87" customFormat="1" x14ac:dyDescent="0.2"/>
    <row r="456" s="87" customFormat="1" x14ac:dyDescent="0.2"/>
    <row r="457" s="87" customFormat="1" x14ac:dyDescent="0.2"/>
    <row r="458" s="87" customFormat="1" x14ac:dyDescent="0.2"/>
    <row r="459" s="87" customFormat="1" x14ac:dyDescent="0.2"/>
    <row r="460" s="87" customFormat="1" x14ac:dyDescent="0.2"/>
    <row r="461" s="87" customFormat="1" x14ac:dyDescent="0.2"/>
    <row r="462" s="87" customFormat="1" x14ac:dyDescent="0.2"/>
    <row r="463" s="87" customFormat="1" x14ac:dyDescent="0.2"/>
    <row r="464" s="87" customFormat="1" x14ac:dyDescent="0.2"/>
    <row r="465" s="87" customFormat="1" x14ac:dyDescent="0.2"/>
    <row r="466" s="87" customFormat="1" x14ac:dyDescent="0.2"/>
    <row r="467" s="87" customFormat="1" x14ac:dyDescent="0.2"/>
    <row r="468" s="87" customFormat="1" x14ac:dyDescent="0.2"/>
    <row r="469" s="87" customFormat="1" x14ac:dyDescent="0.2"/>
    <row r="470" s="87" customFormat="1" x14ac:dyDescent="0.2"/>
    <row r="471" s="87" customFormat="1" x14ac:dyDescent="0.2"/>
    <row r="472" s="87" customFormat="1" x14ac:dyDescent="0.2"/>
    <row r="473" s="87" customFormat="1" x14ac:dyDescent="0.2"/>
    <row r="474" s="87" customFormat="1" x14ac:dyDescent="0.2"/>
    <row r="475" s="87" customFormat="1" x14ac:dyDescent="0.2"/>
    <row r="476" s="87" customFormat="1" x14ac:dyDescent="0.2"/>
    <row r="477" s="87" customFormat="1" x14ac:dyDescent="0.2"/>
    <row r="478" s="87" customFormat="1" x14ac:dyDescent="0.2"/>
    <row r="479" s="87" customFormat="1" x14ac:dyDescent="0.2"/>
    <row r="480" s="87" customFormat="1" x14ac:dyDescent="0.2"/>
    <row r="481" s="87" customFormat="1" x14ac:dyDescent="0.2"/>
    <row r="482" s="87" customFormat="1" x14ac:dyDescent="0.2"/>
    <row r="483" s="87" customFormat="1" x14ac:dyDescent="0.2"/>
    <row r="484" s="87" customFormat="1" x14ac:dyDescent="0.2"/>
    <row r="485" s="87" customFormat="1" x14ac:dyDescent="0.2"/>
    <row r="486" s="87" customFormat="1" x14ac:dyDescent="0.2"/>
    <row r="487" s="87" customFormat="1" x14ac:dyDescent="0.2"/>
    <row r="488" s="87" customFormat="1" x14ac:dyDescent="0.2"/>
    <row r="489" s="87" customFormat="1" x14ac:dyDescent="0.2"/>
    <row r="490" s="87" customFormat="1" x14ac:dyDescent="0.2"/>
    <row r="491" s="87" customFormat="1" x14ac:dyDescent="0.2"/>
    <row r="492" s="87" customFormat="1" x14ac:dyDescent="0.2"/>
    <row r="493" s="87" customFormat="1" x14ac:dyDescent="0.2"/>
    <row r="494" s="87" customFormat="1" x14ac:dyDescent="0.2"/>
    <row r="495" s="87" customFormat="1" x14ac:dyDescent="0.2"/>
    <row r="496" s="87" customFormat="1" x14ac:dyDescent="0.2"/>
    <row r="497" s="87" customFormat="1" x14ac:dyDescent="0.2"/>
    <row r="498" s="87" customFormat="1" x14ac:dyDescent="0.2"/>
    <row r="499" s="87" customFormat="1" x14ac:dyDescent="0.2"/>
    <row r="500" s="87" customFormat="1" x14ac:dyDescent="0.2"/>
    <row r="501" s="87" customFormat="1" x14ac:dyDescent="0.2"/>
    <row r="502" s="87" customFormat="1" x14ac:dyDescent="0.2"/>
    <row r="503" s="87" customFormat="1" x14ac:dyDescent="0.2"/>
    <row r="504" s="87" customFormat="1" x14ac:dyDescent="0.2"/>
    <row r="505" s="87" customFormat="1" x14ac:dyDescent="0.2"/>
    <row r="506" s="87" customFormat="1" x14ac:dyDescent="0.2"/>
    <row r="507" s="87" customFormat="1" x14ac:dyDescent="0.2"/>
    <row r="508" s="87" customFormat="1" x14ac:dyDescent="0.2"/>
    <row r="509" s="87" customFormat="1" x14ac:dyDescent="0.2"/>
    <row r="510" s="87" customFormat="1" x14ac:dyDescent="0.2"/>
    <row r="511" s="87" customFormat="1" x14ac:dyDescent="0.2"/>
    <row r="512" s="87" customFormat="1" x14ac:dyDescent="0.2"/>
    <row r="513" s="87" customFormat="1" x14ac:dyDescent="0.2"/>
    <row r="514" s="87" customFormat="1" x14ac:dyDescent="0.2"/>
    <row r="515" s="87" customFormat="1" x14ac:dyDescent="0.2"/>
    <row r="516" s="87" customFormat="1" x14ac:dyDescent="0.2"/>
    <row r="517" s="87" customFormat="1" x14ac:dyDescent="0.2"/>
    <row r="518" s="87" customFormat="1" x14ac:dyDescent="0.2"/>
    <row r="519" s="87" customFormat="1" x14ac:dyDescent="0.2"/>
    <row r="520" s="87" customFormat="1" x14ac:dyDescent="0.2"/>
    <row r="521" s="87" customFormat="1" x14ac:dyDescent="0.2"/>
    <row r="522" s="87" customFormat="1" x14ac:dyDescent="0.2"/>
    <row r="523" s="87" customFormat="1" x14ac:dyDescent="0.2"/>
    <row r="524" s="87" customFormat="1" x14ac:dyDescent="0.2"/>
    <row r="525" s="87" customFormat="1" x14ac:dyDescent="0.2"/>
    <row r="526" s="87" customFormat="1" x14ac:dyDescent="0.2"/>
    <row r="527" s="87" customFormat="1" x14ac:dyDescent="0.2"/>
    <row r="528" s="87" customFormat="1" x14ac:dyDescent="0.2"/>
    <row r="529" s="87" customFormat="1" x14ac:dyDescent="0.2"/>
    <row r="530" s="87" customFormat="1" x14ac:dyDescent="0.2"/>
    <row r="531" s="87" customFormat="1" x14ac:dyDescent="0.2"/>
    <row r="532" s="87" customFormat="1" x14ac:dyDescent="0.2"/>
    <row r="533" s="87" customFormat="1" x14ac:dyDescent="0.2"/>
    <row r="534" s="87" customFormat="1" x14ac:dyDescent="0.2"/>
    <row r="535" s="87" customFormat="1" x14ac:dyDescent="0.2"/>
    <row r="536" s="87" customFormat="1" x14ac:dyDescent="0.2"/>
    <row r="537" s="87" customFormat="1" x14ac:dyDescent="0.2"/>
    <row r="538" s="87" customFormat="1" x14ac:dyDescent="0.2"/>
    <row r="539" s="87" customFormat="1" x14ac:dyDescent="0.2"/>
    <row r="540" s="87" customFormat="1" x14ac:dyDescent="0.2"/>
    <row r="541" s="87" customFormat="1" x14ac:dyDescent="0.2"/>
    <row r="542" s="87" customFormat="1" x14ac:dyDescent="0.2"/>
    <row r="543" s="87" customFormat="1" x14ac:dyDescent="0.2"/>
    <row r="544" s="87" customFormat="1" x14ac:dyDescent="0.2"/>
    <row r="545" s="87" customFormat="1" x14ac:dyDescent="0.2"/>
    <row r="546" s="87" customFormat="1" x14ac:dyDescent="0.2"/>
    <row r="547" s="87" customFormat="1" x14ac:dyDescent="0.2"/>
    <row r="548" s="87" customFormat="1" x14ac:dyDescent="0.2"/>
    <row r="549" s="87" customFormat="1" x14ac:dyDescent="0.2"/>
    <row r="550" s="87" customFormat="1" x14ac:dyDescent="0.2"/>
    <row r="551" s="87" customFormat="1" x14ac:dyDescent="0.2"/>
    <row r="552" s="87" customFormat="1" x14ac:dyDescent="0.2"/>
    <row r="553" s="87" customFormat="1" x14ac:dyDescent="0.2"/>
    <row r="554" s="87" customFormat="1" x14ac:dyDescent="0.2"/>
    <row r="555" s="87" customFormat="1" x14ac:dyDescent="0.2"/>
    <row r="556" s="87" customFormat="1" x14ac:dyDescent="0.2"/>
    <row r="557" s="87" customFormat="1" x14ac:dyDescent="0.2"/>
    <row r="558" s="87" customFormat="1" x14ac:dyDescent="0.2"/>
    <row r="559" s="87" customFormat="1" x14ac:dyDescent="0.2"/>
    <row r="560" s="87" customFormat="1" x14ac:dyDescent="0.2"/>
    <row r="561" s="87" customFormat="1" x14ac:dyDescent="0.2"/>
    <row r="562" s="87" customFormat="1" x14ac:dyDescent="0.2"/>
    <row r="563" s="87" customFormat="1" x14ac:dyDescent="0.2"/>
    <row r="564" s="87" customFormat="1" x14ac:dyDescent="0.2"/>
    <row r="565" s="87" customFormat="1" x14ac:dyDescent="0.2"/>
    <row r="566" s="87" customFormat="1" x14ac:dyDescent="0.2"/>
    <row r="567" s="87" customFormat="1" x14ac:dyDescent="0.2"/>
    <row r="568" s="87" customFormat="1" x14ac:dyDescent="0.2"/>
    <row r="569" s="87" customFormat="1" x14ac:dyDescent="0.2"/>
    <row r="570" s="87" customFormat="1" x14ac:dyDescent="0.2"/>
    <row r="571" s="87" customFormat="1" x14ac:dyDescent="0.2"/>
    <row r="572" s="87" customFormat="1" x14ac:dyDescent="0.2"/>
    <row r="573" s="87" customFormat="1" x14ac:dyDescent="0.2"/>
    <row r="574" s="87" customFormat="1" x14ac:dyDescent="0.2"/>
    <row r="575" s="87" customFormat="1" x14ac:dyDescent="0.2"/>
    <row r="576" s="87" customFormat="1" x14ac:dyDescent="0.2"/>
    <row r="577" s="87" customFormat="1" x14ac:dyDescent="0.2"/>
    <row r="578" s="87" customFormat="1" x14ac:dyDescent="0.2"/>
    <row r="579" s="87" customFormat="1" x14ac:dyDescent="0.2"/>
    <row r="580" s="87" customFormat="1" x14ac:dyDescent="0.2"/>
    <row r="581" s="87" customFormat="1" x14ac:dyDescent="0.2"/>
    <row r="582" s="87" customFormat="1" x14ac:dyDescent="0.2"/>
    <row r="583" s="87" customFormat="1" x14ac:dyDescent="0.2"/>
    <row r="584" s="87" customFormat="1" x14ac:dyDescent="0.2"/>
    <row r="585" s="87" customFormat="1" x14ac:dyDescent="0.2"/>
    <row r="586" s="87" customFormat="1" x14ac:dyDescent="0.2"/>
    <row r="587" s="87" customFormat="1" x14ac:dyDescent="0.2"/>
    <row r="588" s="87" customFormat="1" x14ac:dyDescent="0.2"/>
    <row r="589" s="87" customFormat="1" x14ac:dyDescent="0.2"/>
    <row r="590" s="87" customFormat="1" x14ac:dyDescent="0.2"/>
    <row r="591" s="87" customFormat="1" x14ac:dyDescent="0.2"/>
    <row r="592" s="87" customFormat="1" x14ac:dyDescent="0.2"/>
    <row r="593" s="87" customFormat="1" x14ac:dyDescent="0.2"/>
    <row r="594" s="87" customFormat="1" x14ac:dyDescent="0.2"/>
    <row r="595" s="87" customFormat="1" x14ac:dyDescent="0.2"/>
    <row r="596" s="87" customFormat="1" x14ac:dyDescent="0.2"/>
    <row r="597" s="87" customFormat="1" x14ac:dyDescent="0.2"/>
    <row r="598" s="87" customFormat="1" x14ac:dyDescent="0.2"/>
    <row r="599" s="87" customFormat="1" x14ac:dyDescent="0.2"/>
    <row r="600" s="87" customFormat="1" x14ac:dyDescent="0.2"/>
    <row r="601" s="87" customFormat="1" x14ac:dyDescent="0.2"/>
    <row r="602" s="87" customFormat="1" x14ac:dyDescent="0.2"/>
    <row r="603" s="87" customFormat="1" x14ac:dyDescent="0.2"/>
    <row r="604" s="87" customFormat="1" x14ac:dyDescent="0.2"/>
    <row r="605" s="87" customFormat="1" x14ac:dyDescent="0.2"/>
    <row r="606" s="87" customFormat="1" x14ac:dyDescent="0.2"/>
    <row r="607" s="87" customFormat="1" x14ac:dyDescent="0.2"/>
    <row r="608" s="87" customFormat="1" x14ac:dyDescent="0.2"/>
    <row r="609" s="87" customFormat="1" x14ac:dyDescent="0.2"/>
    <row r="610" s="87" customFormat="1" x14ac:dyDescent="0.2"/>
    <row r="611" s="87" customFormat="1" x14ac:dyDescent="0.2"/>
    <row r="612" s="87" customFormat="1" x14ac:dyDescent="0.2"/>
    <row r="613" s="87" customFormat="1" x14ac:dyDescent="0.2"/>
    <row r="614" s="87" customFormat="1" x14ac:dyDescent="0.2"/>
    <row r="615" s="87" customFormat="1" x14ac:dyDescent="0.2"/>
    <row r="616" s="87" customFormat="1" x14ac:dyDescent="0.2"/>
    <row r="617" s="87" customFormat="1" x14ac:dyDescent="0.2"/>
    <row r="618" s="87" customFormat="1" x14ac:dyDescent="0.2"/>
    <row r="619" s="87" customFormat="1" x14ac:dyDescent="0.2"/>
    <row r="620" s="87" customFormat="1" x14ac:dyDescent="0.2"/>
    <row r="621" s="87" customFormat="1" x14ac:dyDescent="0.2"/>
    <row r="622" s="87" customFormat="1" x14ac:dyDescent="0.2"/>
    <row r="623" s="87" customFormat="1" x14ac:dyDescent="0.2"/>
    <row r="624" s="87" customFormat="1" x14ac:dyDescent="0.2"/>
    <row r="625" s="87" customFormat="1" x14ac:dyDescent="0.2"/>
    <row r="626" s="87" customFormat="1" x14ac:dyDescent="0.2"/>
    <row r="627" s="87" customFormat="1" x14ac:dyDescent="0.2"/>
    <row r="628" s="87" customFormat="1" x14ac:dyDescent="0.2"/>
    <row r="629" s="87" customFormat="1" x14ac:dyDescent="0.2"/>
    <row r="630" s="87" customFormat="1" x14ac:dyDescent="0.2"/>
    <row r="631" s="87" customFormat="1" x14ac:dyDescent="0.2"/>
    <row r="632" s="87" customFormat="1" x14ac:dyDescent="0.2"/>
    <row r="633" s="87" customFormat="1" x14ac:dyDescent="0.2"/>
    <row r="634" s="87" customFormat="1" x14ac:dyDescent="0.2"/>
    <row r="635" s="87" customFormat="1" x14ac:dyDescent="0.2"/>
    <row r="636" s="87" customFormat="1" x14ac:dyDescent="0.2"/>
    <row r="637" s="87" customFormat="1" x14ac:dyDescent="0.2"/>
    <row r="638" s="87" customFormat="1" x14ac:dyDescent="0.2"/>
    <row r="639" s="87" customFormat="1" x14ac:dyDescent="0.2"/>
    <row r="640" s="87" customFormat="1" x14ac:dyDescent="0.2"/>
    <row r="641" s="87" customFormat="1" x14ac:dyDescent="0.2"/>
    <row r="642" s="87" customFormat="1" x14ac:dyDescent="0.2"/>
    <row r="643" s="87" customFormat="1" x14ac:dyDescent="0.2"/>
    <row r="644" s="87" customFormat="1" x14ac:dyDescent="0.2"/>
    <row r="645" s="87" customFormat="1" x14ac:dyDescent="0.2"/>
    <row r="646" s="87" customFormat="1" x14ac:dyDescent="0.2"/>
    <row r="647" s="87" customFormat="1" x14ac:dyDescent="0.2"/>
    <row r="648" s="87" customFormat="1" x14ac:dyDescent="0.2"/>
    <row r="649" s="87" customFormat="1" x14ac:dyDescent="0.2"/>
    <row r="650" s="87" customFormat="1" x14ac:dyDescent="0.2"/>
    <row r="651" s="87" customFormat="1" x14ac:dyDescent="0.2"/>
    <row r="652" s="87" customFormat="1" x14ac:dyDescent="0.2"/>
    <row r="653" s="87" customFormat="1" x14ac:dyDescent="0.2"/>
    <row r="654" s="87" customFormat="1" x14ac:dyDescent="0.2"/>
    <row r="655" s="87" customFormat="1" x14ac:dyDescent="0.2"/>
    <row r="656" s="87" customFormat="1" x14ac:dyDescent="0.2"/>
    <row r="657" s="87" customFormat="1" x14ac:dyDescent="0.2"/>
    <row r="658" s="87" customFormat="1" x14ac:dyDescent="0.2"/>
    <row r="659" s="87" customFormat="1" x14ac:dyDescent="0.2"/>
    <row r="660" s="87" customFormat="1" x14ac:dyDescent="0.2"/>
    <row r="661" s="87" customFormat="1" x14ac:dyDescent="0.2"/>
    <row r="662" s="87" customFormat="1" x14ac:dyDescent="0.2"/>
    <row r="663" s="87" customFormat="1" x14ac:dyDescent="0.2"/>
    <row r="664" s="87" customFormat="1" x14ac:dyDescent="0.2"/>
    <row r="665" s="87" customFormat="1" x14ac:dyDescent="0.2"/>
    <row r="666" s="87" customFormat="1" x14ac:dyDescent="0.2"/>
    <row r="667" s="87" customFormat="1" x14ac:dyDescent="0.2"/>
    <row r="668" s="87" customFormat="1" x14ac:dyDescent="0.2"/>
    <row r="669" s="87" customFormat="1" x14ac:dyDescent="0.2"/>
    <row r="670" s="87" customFormat="1" x14ac:dyDescent="0.2"/>
    <row r="671" s="87" customFormat="1" x14ac:dyDescent="0.2"/>
    <row r="672" s="87" customFormat="1" x14ac:dyDescent="0.2"/>
    <row r="673" s="87" customFormat="1" x14ac:dyDescent="0.2"/>
    <row r="674" s="87" customFormat="1" x14ac:dyDescent="0.2"/>
    <row r="675" s="87" customFormat="1" x14ac:dyDescent="0.2"/>
    <row r="676" s="87" customFormat="1" x14ac:dyDescent="0.2"/>
    <row r="677" s="87" customFormat="1" x14ac:dyDescent="0.2"/>
    <row r="678" s="87" customFormat="1" x14ac:dyDescent="0.2"/>
    <row r="679" s="87" customFormat="1" x14ac:dyDescent="0.2"/>
    <row r="680" s="87" customFormat="1" x14ac:dyDescent="0.2"/>
    <row r="681" s="87" customFormat="1" x14ac:dyDescent="0.2"/>
    <row r="682" s="87" customFormat="1" x14ac:dyDescent="0.2"/>
    <row r="683" s="87" customFormat="1" x14ac:dyDescent="0.2"/>
    <row r="684" s="87" customFormat="1" x14ac:dyDescent="0.2"/>
    <row r="685" s="87" customFormat="1" x14ac:dyDescent="0.2"/>
    <row r="686" s="87" customFormat="1" x14ac:dyDescent="0.2"/>
    <row r="687" s="87" customFormat="1" x14ac:dyDescent="0.2"/>
    <row r="688" s="87" customFormat="1" x14ac:dyDescent="0.2"/>
    <row r="689" s="87" customFormat="1" x14ac:dyDescent="0.2"/>
    <row r="690" s="87" customFormat="1" x14ac:dyDescent="0.2"/>
    <row r="691" s="87" customFormat="1" x14ac:dyDescent="0.2"/>
    <row r="692" s="87" customFormat="1" x14ac:dyDescent="0.2"/>
    <row r="693" s="87" customFormat="1" x14ac:dyDescent="0.2"/>
    <row r="694" s="87" customFormat="1" x14ac:dyDescent="0.2"/>
    <row r="695" s="87" customFormat="1" x14ac:dyDescent="0.2"/>
    <row r="696" s="87" customFormat="1" x14ac:dyDescent="0.2"/>
    <row r="697" s="87" customFormat="1" x14ac:dyDescent="0.2"/>
    <row r="698" s="87" customFormat="1" x14ac:dyDescent="0.2"/>
    <row r="699" s="87" customFormat="1" x14ac:dyDescent="0.2"/>
    <row r="700" s="87" customFormat="1" x14ac:dyDescent="0.2"/>
    <row r="701" s="87" customFormat="1" x14ac:dyDescent="0.2"/>
    <row r="702" s="87" customFormat="1" x14ac:dyDescent="0.2"/>
    <row r="703" s="87" customFormat="1" x14ac:dyDescent="0.2"/>
    <row r="704" s="87" customFormat="1" x14ac:dyDescent="0.2"/>
    <row r="705" s="87" customFormat="1" x14ac:dyDescent="0.2"/>
    <row r="706" s="87" customFormat="1" x14ac:dyDescent="0.2"/>
    <row r="707" s="87" customFormat="1" x14ac:dyDescent="0.2"/>
    <row r="708" s="87" customFormat="1" x14ac:dyDescent="0.2"/>
    <row r="709" s="87" customFormat="1" x14ac:dyDescent="0.2"/>
    <row r="710" s="87" customFormat="1" x14ac:dyDescent="0.2"/>
    <row r="711" s="87" customFormat="1" x14ac:dyDescent="0.2"/>
    <row r="712" s="87" customFormat="1" x14ac:dyDescent="0.2"/>
    <row r="713" s="87" customFormat="1" x14ac:dyDescent="0.2"/>
    <row r="714" s="87" customFormat="1" x14ac:dyDescent="0.2"/>
    <row r="715" s="87" customFormat="1" x14ac:dyDescent="0.2"/>
    <row r="716" s="87" customFormat="1" x14ac:dyDescent="0.2"/>
    <row r="717" s="87" customFormat="1" x14ac:dyDescent="0.2"/>
    <row r="718" s="87" customFormat="1" x14ac:dyDescent="0.2"/>
    <row r="719" s="87" customFormat="1" x14ac:dyDescent="0.2"/>
    <row r="720" s="87" customFormat="1" x14ac:dyDescent="0.2"/>
    <row r="721" s="87" customFormat="1" x14ac:dyDescent="0.2"/>
    <row r="722" s="87" customFormat="1" x14ac:dyDescent="0.2"/>
    <row r="723" s="87" customFormat="1" x14ac:dyDescent="0.2"/>
    <row r="724" s="87" customFormat="1" x14ac:dyDescent="0.2"/>
    <row r="725" s="87" customFormat="1" x14ac:dyDescent="0.2"/>
    <row r="726" s="87" customFormat="1" x14ac:dyDescent="0.2"/>
    <row r="727" s="87" customFormat="1" x14ac:dyDescent="0.2"/>
    <row r="728" s="87" customFormat="1" x14ac:dyDescent="0.2"/>
    <row r="729" s="87" customFormat="1" x14ac:dyDescent="0.2"/>
    <row r="730" s="87" customFormat="1" x14ac:dyDescent="0.2"/>
    <row r="731" s="87" customFormat="1" x14ac:dyDescent="0.2"/>
    <row r="732" s="87" customFormat="1" x14ac:dyDescent="0.2"/>
    <row r="733" s="87" customFormat="1" x14ac:dyDescent="0.2"/>
    <row r="734" s="87" customFormat="1" x14ac:dyDescent="0.2"/>
    <row r="735" s="87" customFormat="1" x14ac:dyDescent="0.2"/>
    <row r="736" s="87" customFormat="1" x14ac:dyDescent="0.2"/>
    <row r="737" s="87" customFormat="1" x14ac:dyDescent="0.2"/>
    <row r="738" s="87" customFormat="1" x14ac:dyDescent="0.2"/>
    <row r="739" s="87" customFormat="1" x14ac:dyDescent="0.2"/>
    <row r="740" s="87" customFormat="1" x14ac:dyDescent="0.2"/>
    <row r="741" s="87" customFormat="1" x14ac:dyDescent="0.2"/>
    <row r="742" s="87" customFormat="1" x14ac:dyDescent="0.2"/>
    <row r="743" s="87" customFormat="1" x14ac:dyDescent="0.2"/>
    <row r="744" s="87" customFormat="1" x14ac:dyDescent="0.2"/>
    <row r="745" s="87" customFormat="1" x14ac:dyDescent="0.2"/>
    <row r="746" s="87" customFormat="1" x14ac:dyDescent="0.2"/>
    <row r="747" s="87" customFormat="1" x14ac:dyDescent="0.2"/>
    <row r="748" s="87" customFormat="1" x14ac:dyDescent="0.2"/>
    <row r="749" s="87" customFormat="1" x14ac:dyDescent="0.2"/>
    <row r="750" s="87" customFormat="1" x14ac:dyDescent="0.2"/>
    <row r="751" s="87" customFormat="1" x14ac:dyDescent="0.2"/>
    <row r="752" s="87" customFormat="1" x14ac:dyDescent="0.2"/>
    <row r="753" s="87" customFormat="1" x14ac:dyDescent="0.2"/>
    <row r="754" s="87" customFormat="1" x14ac:dyDescent="0.2"/>
    <row r="755" s="87" customFormat="1" x14ac:dyDescent="0.2"/>
    <row r="756" s="87" customFormat="1" x14ac:dyDescent="0.2"/>
    <row r="757" s="87" customFormat="1" x14ac:dyDescent="0.2"/>
    <row r="758" s="87" customFormat="1" x14ac:dyDescent="0.2"/>
    <row r="759" s="87" customFormat="1" x14ac:dyDescent="0.2"/>
    <row r="760" s="87" customFormat="1" x14ac:dyDescent="0.2"/>
    <row r="761" s="87" customFormat="1" x14ac:dyDescent="0.2"/>
    <row r="762" s="87" customFormat="1" x14ac:dyDescent="0.2"/>
    <row r="763" s="87" customFormat="1" x14ac:dyDescent="0.2"/>
    <row r="764" s="87" customFormat="1" x14ac:dyDescent="0.2"/>
    <row r="765" s="87" customFormat="1" x14ac:dyDescent="0.2"/>
    <row r="766" s="87" customFormat="1" x14ac:dyDescent="0.2"/>
    <row r="767" s="87" customFormat="1" x14ac:dyDescent="0.2"/>
    <row r="768" s="87" customFormat="1" x14ac:dyDescent="0.2"/>
    <row r="769" s="87" customFormat="1" x14ac:dyDescent="0.2"/>
    <row r="770" s="87" customFormat="1" x14ac:dyDescent="0.2"/>
    <row r="771" s="87" customFormat="1" x14ac:dyDescent="0.2"/>
    <row r="772" s="87" customFormat="1" x14ac:dyDescent="0.2"/>
    <row r="773" s="87" customFormat="1" x14ac:dyDescent="0.2"/>
    <row r="774" s="87" customFormat="1" x14ac:dyDescent="0.2"/>
    <row r="775" s="87" customFormat="1" x14ac:dyDescent="0.2"/>
    <row r="776" s="87" customFormat="1" x14ac:dyDescent="0.2"/>
    <row r="777" s="87" customFormat="1" x14ac:dyDescent="0.2"/>
    <row r="778" s="87" customFormat="1" x14ac:dyDescent="0.2"/>
    <row r="779" s="87" customFormat="1" x14ac:dyDescent="0.2"/>
    <row r="780" s="87" customFormat="1" x14ac:dyDescent="0.2"/>
    <row r="781" s="87" customFormat="1" x14ac:dyDescent="0.2"/>
    <row r="782" s="87" customFormat="1" x14ac:dyDescent="0.2"/>
    <row r="783" s="87" customFormat="1" x14ac:dyDescent="0.2"/>
    <row r="784" s="87" customFormat="1" x14ac:dyDescent="0.2"/>
    <row r="785" s="87" customFormat="1" x14ac:dyDescent="0.2"/>
    <row r="786" s="87" customFormat="1" x14ac:dyDescent="0.2"/>
    <row r="787" s="87" customFormat="1" x14ac:dyDescent="0.2"/>
    <row r="788" s="87" customFormat="1" x14ac:dyDescent="0.2"/>
    <row r="789" s="87" customFormat="1" x14ac:dyDescent="0.2"/>
    <row r="790" s="87" customFormat="1" x14ac:dyDescent="0.2"/>
    <row r="791" s="87" customFormat="1" x14ac:dyDescent="0.2"/>
    <row r="792" s="87" customFormat="1" x14ac:dyDescent="0.2"/>
    <row r="793" s="87" customFormat="1" x14ac:dyDescent="0.2"/>
    <row r="794" s="87" customFormat="1" x14ac:dyDescent="0.2"/>
    <row r="795" s="87" customFormat="1" x14ac:dyDescent="0.2"/>
    <row r="796" s="87" customFormat="1" x14ac:dyDescent="0.2"/>
    <row r="797" s="87" customFormat="1" x14ac:dyDescent="0.2"/>
    <row r="798" s="87" customFormat="1" x14ac:dyDescent="0.2"/>
    <row r="799" s="87" customFormat="1" x14ac:dyDescent="0.2"/>
    <row r="800" s="87" customFormat="1" x14ac:dyDescent="0.2"/>
    <row r="801" s="87" customFormat="1" x14ac:dyDescent="0.2"/>
    <row r="802" s="87" customFormat="1" x14ac:dyDescent="0.2"/>
    <row r="803" s="87" customFormat="1" x14ac:dyDescent="0.2"/>
    <row r="804" s="87" customFormat="1" x14ac:dyDescent="0.2"/>
    <row r="805" s="87" customFormat="1" x14ac:dyDescent="0.2"/>
    <row r="806" s="87" customFormat="1" x14ac:dyDescent="0.2"/>
    <row r="807" s="87" customFormat="1" x14ac:dyDescent="0.2"/>
    <row r="808" s="87" customFormat="1" x14ac:dyDescent="0.2"/>
    <row r="809" s="87" customFormat="1" x14ac:dyDescent="0.2"/>
    <row r="810" s="87" customFormat="1" x14ac:dyDescent="0.2"/>
    <row r="811" s="87" customFormat="1" x14ac:dyDescent="0.2"/>
    <row r="812" s="87" customFormat="1" x14ac:dyDescent="0.2"/>
    <row r="813" s="87" customFormat="1" x14ac:dyDescent="0.2"/>
    <row r="814" s="87" customFormat="1" x14ac:dyDescent="0.2"/>
    <row r="815" s="87" customFormat="1" x14ac:dyDescent="0.2"/>
    <row r="816" s="87" customFormat="1" x14ac:dyDescent="0.2"/>
    <row r="817" s="87" customFormat="1" x14ac:dyDescent="0.2"/>
    <row r="818" s="87" customFormat="1" x14ac:dyDescent="0.2"/>
    <row r="819" s="87" customFormat="1" x14ac:dyDescent="0.2"/>
    <row r="820" s="87" customFormat="1" x14ac:dyDescent="0.2"/>
    <row r="821" s="87" customFormat="1" x14ac:dyDescent="0.2"/>
    <row r="822" s="87" customFormat="1" x14ac:dyDescent="0.2"/>
    <row r="823" s="87" customFormat="1" x14ac:dyDescent="0.2"/>
    <row r="824" s="87" customFormat="1" x14ac:dyDescent="0.2"/>
    <row r="825" s="87" customFormat="1" x14ac:dyDescent="0.2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W834"/>
  <sheetViews>
    <sheetView zoomScale="120" zoomScaleNormal="120" workbookViewId="0">
      <pane ySplit="1" topLeftCell="A341" activePane="bottomLeft" state="frozen"/>
      <selection pane="bottomLeft" activeCell="U19" sqref="U19"/>
    </sheetView>
  </sheetViews>
  <sheetFormatPr baseColWidth="10" defaultColWidth="8.83203125" defaultRowHeight="15" x14ac:dyDescent="0.2"/>
  <cols>
    <col min="1" max="1" width="9.1640625" style="1" customWidth="1"/>
    <col min="2" max="2" width="12.6640625" style="81" bestFit="1" customWidth="1"/>
    <col min="3" max="3" width="11.6640625" style="7" customWidth="1"/>
    <col min="4" max="4" width="11.6640625" style="6" customWidth="1"/>
    <col min="18" max="18" width="12.83203125" style="81" customWidth="1"/>
    <col min="19" max="19" width="10.6640625" style="81" bestFit="1" customWidth="1"/>
    <col min="20" max="20" width="14.6640625" style="81" customWidth="1"/>
    <col min="21" max="21" width="31.33203125" style="81" customWidth="1"/>
  </cols>
  <sheetData>
    <row r="1" spans="1:23" x14ac:dyDescent="0.2">
      <c r="A1" s="38" t="s">
        <v>571</v>
      </c>
      <c r="B1" s="39" t="s">
        <v>224</v>
      </c>
      <c r="C1" s="40" t="s">
        <v>158</v>
      </c>
      <c r="D1" s="41" t="s">
        <v>126</v>
      </c>
      <c r="E1" s="39" t="s">
        <v>146</v>
      </c>
      <c r="F1" s="39" t="s">
        <v>530</v>
      </c>
      <c r="G1" s="39" t="s">
        <v>176</v>
      </c>
      <c r="H1" s="39" t="s">
        <v>225</v>
      </c>
      <c r="I1" s="39" t="s">
        <v>159</v>
      </c>
      <c r="J1" s="39" t="s">
        <v>127</v>
      </c>
      <c r="K1" s="39" t="s">
        <v>147</v>
      </c>
      <c r="L1" s="39" t="s">
        <v>559</v>
      </c>
      <c r="M1" s="39" t="s">
        <v>177</v>
      </c>
      <c r="N1" s="39" t="s">
        <v>431</v>
      </c>
      <c r="O1" s="39" t="s">
        <v>572</v>
      </c>
      <c r="P1" s="39" t="s">
        <v>230</v>
      </c>
      <c r="Q1" s="42" t="s">
        <v>573</v>
      </c>
      <c r="T1" s="8" t="s">
        <v>574</v>
      </c>
      <c r="U1" s="2">
        <v>36161</v>
      </c>
      <c r="W1" t="s">
        <v>48</v>
      </c>
    </row>
    <row r="2" spans="1:23" s="87" customFormat="1" x14ac:dyDescent="0.2">
      <c r="A2" s="22">
        <v>32874</v>
      </c>
      <c r="B2" s="85">
        <f>VLOOKUP(A2,Database!$A:$AS,MATCH($B$1,Database!$A$1:$AS$1,0),FALSE)</f>
        <v>110.190817432</v>
      </c>
      <c r="C2" s="85">
        <f>VLOOKUP(A2,Database!$A:$AS,MATCH($C$1,Database!$A$1:$AS$1,0),FALSE)</f>
        <v>91.11</v>
      </c>
      <c r="D2" s="85">
        <f>VLOOKUP(A2,Database!$A:$AS,MATCH($D$1,Database!$A$1:$AS$1,0),FALSE)</f>
        <v>70.975174503999995</v>
      </c>
      <c r="E2" s="85">
        <f>VLOOKUP(A2,Database!$A:$AS,MATCH($E$1,Database!$A$1:$AS$1,0),FALSE)</f>
        <v>100.901404994</v>
      </c>
      <c r="F2" s="85">
        <f>VLOOKUP(A2,Database!$A:$AS,MATCH($F$1,Database!$A$1:$AS$1,0),FALSE)</f>
        <v>78.892727020999999</v>
      </c>
      <c r="G2" s="85">
        <f>VLOOKUP(A2,Database!$A:$AS,MATCH($G$1,Database!$A$1:$AS$1,0),FALSE)</f>
        <v>80.874708729000005</v>
      </c>
      <c r="H2" s="85">
        <f>(((Table134567891011121314151617343[[#This Row],[ITA]]-VLOOKUP($U$1,A:B,2,))/VLOOKUP($U$1,A:B,2,))*100)+100</f>
        <v>90.625000000128509</v>
      </c>
      <c r="I2" s="85">
        <f>(((Table134567891011121314151617343[[#This Row],[FRA]]-VLOOKUP($U$1,A:C,3,))/VLOOKUP($U$1,A:C,3,))*100)+100</f>
        <v>88.896477705141962</v>
      </c>
      <c r="J2" s="85">
        <f>(((Table134567891011121314151617343[[#This Row],[DEU]]-VLOOKUP($U$1,A:D,4,))/VLOOKUP($U$1,A:D,4,))*100)+100</f>
        <v>94.389746145498293</v>
      </c>
      <c r="K2" s="85">
        <f>(((Table134567891011121314151617343[[#This Row],[ESP]]-VLOOKUP($U$1,A:E,5,))/VLOOKUP($U$1,A:E,5,))*100)+100</f>
        <v>84.812407253327066</v>
      </c>
      <c r="L2" s="85">
        <f>(((Table134567891011121314151617343[[#This Row],[EA19]]-VLOOKUP($U$1,A:F,6,))/VLOOKUP($U$1,A:F,6,))*100)+100</f>
        <v>88.246898233780755</v>
      </c>
      <c r="M2" s="85">
        <f>(((Table134567891011121314151617343[[#This Row],[GBR]]-VLOOKUP($U$1,A:G,7,))/VLOOKUP($U$1,A:G,7,))*100)+100</f>
        <v>87.747957992615241</v>
      </c>
      <c r="N2" s="85">
        <f>VLOOKUP(A2,Database!$A:$AS,MATCH($N$1,Database!$A$1:$AS$1,0),FALSE)</f>
        <v>61.356603999000001</v>
      </c>
      <c r="O2" s="85">
        <f>(((Table134567891011121314151617343[[#This Row],[USA]]-VLOOKUP($U$1,A:N,14,))/VLOOKUP($U$1,A:N,14,))*100)+100</f>
        <v>70.63571124515957</v>
      </c>
      <c r="P2" s="85">
        <f>VLOOKUP(A2,Database!$A:$AS,MATCH($P$1,Database!$A$1:$AS$1,0),FALSE)</f>
        <v>100.90315133599999</v>
      </c>
      <c r="Q2" s="85">
        <f>(((Table134567891011121314151617343[[#This Row],[JPN]]-VLOOKUP($U$1,A:Q,16,))/VLOOKUP($U$1,A:Q,16,))*100)+100</f>
        <v>101.30469359386611</v>
      </c>
      <c r="W2" s="87" t="s">
        <v>50</v>
      </c>
    </row>
    <row r="3" spans="1:23" s="87" customFormat="1" x14ac:dyDescent="0.2">
      <c r="A3" s="22">
        <v>32905</v>
      </c>
      <c r="B3" s="85">
        <f>VLOOKUP(A3,Database!$A:$AS,MATCH($B$1,Database!$A$1:$AS$1,0),FALSE)</f>
        <v>110.790767436</v>
      </c>
      <c r="C3" s="85">
        <f>VLOOKUP(A3,Database!$A:$AS,MATCH($C$1,Database!$A$1:$AS$1,0),FALSE)</f>
        <v>92.58</v>
      </c>
      <c r="D3" s="85">
        <f>VLOOKUP(A3,Database!$A:$AS,MATCH($D$1,Database!$A$1:$AS$1,0),FALSE)</f>
        <v>70.666586788999993</v>
      </c>
      <c r="E3" s="85">
        <f>VLOOKUP(A3,Database!$A:$AS,MATCH($E$1,Database!$A$1:$AS$1,0),FALSE)</f>
        <v>98.377458700000005</v>
      </c>
      <c r="F3" s="85">
        <f>VLOOKUP(A3,Database!$A:$AS,MATCH($F$1,Database!$A$1:$AS$1,0),FALSE)</f>
        <v>79.816841804000006</v>
      </c>
      <c r="G3" s="85">
        <f>VLOOKUP(A3,Database!$A:$AS,MATCH($G$1,Database!$A$1:$AS$1,0),FALSE)</f>
        <v>80.336977953000002</v>
      </c>
      <c r="H3" s="85">
        <f>(((Table134567891011121314151617343[[#This Row],[ITA]]-VLOOKUP($U$1,A:B,2,))/VLOOKUP($U$1,A:B,2,))*100)+100</f>
        <v>91.118421052623461</v>
      </c>
      <c r="I3" s="85">
        <f>(((Table134567891011121314151617343[[#This Row],[FRA]]-VLOOKUP($U$1,A:C,3,))/VLOOKUP($U$1,A:C,3,))*100)+100</f>
        <v>90.330763976973373</v>
      </c>
      <c r="J3" s="85">
        <f>(((Table134567891011121314151617343[[#This Row],[DEU]]-VLOOKUP($U$1,A:D,4,))/VLOOKUP($U$1,A:D,4,))*100)+100</f>
        <v>93.979355945177915</v>
      </c>
      <c r="K3" s="85">
        <f>(((Table134567891011121314151617343[[#This Row],[ESP]]-VLOOKUP($U$1,A:E,5,))/VLOOKUP($U$1,A:E,5,))*100)+100</f>
        <v>82.690910917522999</v>
      </c>
      <c r="L3" s="85">
        <f>(((Table134567891011121314151617343[[#This Row],[EA19]]-VLOOKUP($U$1,A:F,6,))/VLOOKUP($U$1,A:F,6,))*100)+100</f>
        <v>89.280583673378075</v>
      </c>
      <c r="M3" s="85">
        <f>(((Table134567891011121314151617343[[#This Row],[GBR]]-VLOOKUP($U$1,A:G,7,))/VLOOKUP($U$1,A:G,7,))*100)+100</f>
        <v>87.164527420990012</v>
      </c>
      <c r="N3" s="85">
        <f>VLOOKUP(A3,Database!$A:$AS,MATCH($N$1,Database!$A$1:$AS$1,0),FALSE)</f>
        <v>61.913552402999997</v>
      </c>
      <c r="O3" s="85">
        <f>(((Table134567891011121314151617343[[#This Row],[USA]]-VLOOKUP($U$1,A:N,14,))/VLOOKUP($U$1,A:N,14,))*100)+100</f>
        <v>71.276888299939813</v>
      </c>
      <c r="P3" s="85">
        <f>VLOOKUP(A3,Database!$A:$AS,MATCH($P$1,Database!$A$1:$AS$1,0),FALSE)</f>
        <v>101.410202348</v>
      </c>
      <c r="Q3" s="85">
        <f>(((Table134567891011121314151617343[[#This Row],[JPN]]-VLOOKUP($U$1,A:Q,16,))/VLOOKUP($U$1,A:Q,16,))*100)+100</f>
        <v>101.81376240615793</v>
      </c>
      <c r="W3" s="87" t="s">
        <v>54</v>
      </c>
    </row>
    <row r="4" spans="1:23" s="87" customFormat="1" x14ac:dyDescent="0.2">
      <c r="A4" s="22">
        <v>32933</v>
      </c>
      <c r="B4" s="85">
        <f>VLOOKUP(A4,Database!$A:$AS,MATCH($B$1,Database!$A$1:$AS$1,0),FALSE)</f>
        <v>111.190734105</v>
      </c>
      <c r="C4" s="85">
        <f>VLOOKUP(A4,Database!$A:$AS,MATCH($C$1,Database!$A$1:$AS$1,0),FALSE)</f>
        <v>92.16</v>
      </c>
      <c r="D4" s="85">
        <f>VLOOKUP(A4,Database!$A:$AS,MATCH($D$1,Database!$A$1:$AS$1,0),FALSE)</f>
        <v>71.345479761999997</v>
      </c>
      <c r="E4" s="85">
        <f>VLOOKUP(A4,Database!$A:$AS,MATCH($E$1,Database!$A$1:$AS$1,0),FALSE)</f>
        <v>99.402897977999999</v>
      </c>
      <c r="F4" s="85">
        <f>VLOOKUP(A4,Database!$A:$AS,MATCH($F$1,Database!$A$1:$AS$1,0),FALSE)</f>
        <v>79.588194846999997</v>
      </c>
      <c r="G4" s="85">
        <f>VLOOKUP(A4,Database!$A:$AS,MATCH($G$1,Database!$A$1:$AS$1,0),FALSE)</f>
        <v>81.519985661000007</v>
      </c>
      <c r="H4" s="85">
        <f>(((Table134567891011121314151617343[[#This Row],[ITA]]-VLOOKUP($U$1,A:B,2,))/VLOOKUP($U$1,A:B,2,))*100)+100</f>
        <v>91.447368420679297</v>
      </c>
      <c r="I4" s="85">
        <f>(((Table134567891011121314151617343[[#This Row],[FRA]]-VLOOKUP($U$1,A:C,3,))/VLOOKUP($U$1,A:C,3,))*100)+100</f>
        <v>89.920967899307257</v>
      </c>
      <c r="J4" s="85">
        <f>(((Table134567891011121314151617343[[#This Row],[DEU]]-VLOOKUP($U$1,A:D,4,))/VLOOKUP($U$1,A:D,4,))*100)+100</f>
        <v>94.882214385882719</v>
      </c>
      <c r="K4" s="85">
        <f>(((Table134567891011121314151617343[[#This Row],[ESP]]-VLOOKUP($U$1,A:E,5,))/VLOOKUP($U$1,A:E,5,))*100)+100</f>
        <v>83.552841171759439</v>
      </c>
      <c r="L4" s="85">
        <f>(((Table134567891011121314151617343[[#This Row],[EA19]]-VLOOKUP($U$1,A:F,6,))/VLOOKUP($U$1,A:F,6,))*100)+100</f>
        <v>89.024826450782996</v>
      </c>
      <c r="M4" s="85">
        <f>(((Table134567891011121314151617343[[#This Row],[GBR]]-VLOOKUP($U$1,A:G,7,))/VLOOKUP($U$1,A:G,7,))*100)+100</f>
        <v>88.448074679433503</v>
      </c>
      <c r="N4" s="85">
        <f>VLOOKUP(A4,Database!$A:$AS,MATCH($N$1,Database!$A$1:$AS$1,0),FALSE)</f>
        <v>62.211404326</v>
      </c>
      <c r="O4" s="85">
        <f>(((Table134567891011121314151617343[[#This Row],[USA]]-VLOOKUP($U$1,A:N,14,))/VLOOKUP($U$1,A:N,14,))*100)+100</f>
        <v>71.619785087825704</v>
      </c>
      <c r="P4" s="85">
        <f>VLOOKUP(A4,Database!$A:$AS,MATCH($P$1,Database!$A$1:$AS$1,0),FALSE)</f>
        <v>103.23558599</v>
      </c>
      <c r="Q4" s="85">
        <f>(((Table134567891011121314151617343[[#This Row],[JPN]]-VLOOKUP($U$1,A:Q,16,))/VLOOKUP($U$1,A:Q,16,))*100)+100</f>
        <v>103.64641012920373</v>
      </c>
      <c r="W4" s="87" t="s">
        <v>86</v>
      </c>
    </row>
    <row r="5" spans="1:23" s="87" customFormat="1" x14ac:dyDescent="0.2">
      <c r="A5" s="22">
        <v>32964</v>
      </c>
      <c r="B5" s="85">
        <f>VLOOKUP(A5,Database!$A:$AS,MATCH($B$1,Database!$A$1:$AS$1,0),FALSE)</f>
        <v>112.090659112</v>
      </c>
      <c r="C5" s="85">
        <f>VLOOKUP(A5,Database!$A:$AS,MATCH($C$1,Database!$A$1:$AS$1,0),FALSE)</f>
        <v>92.62</v>
      </c>
      <c r="D5" s="85">
        <f>VLOOKUP(A5,Database!$A:$AS,MATCH($D$1,Database!$A$1:$AS$1,0),FALSE)</f>
        <v>70.111128902000004</v>
      </c>
      <c r="E5" s="85">
        <f>VLOOKUP(A5,Database!$A:$AS,MATCH($E$1,Database!$A$1:$AS$1,0),FALSE)</f>
        <v>100.75469126</v>
      </c>
      <c r="F5" s="85">
        <f>VLOOKUP(A5,Database!$A:$AS,MATCH($F$1,Database!$A$1:$AS$1,0),FALSE)</f>
        <v>79.912111369000002</v>
      </c>
      <c r="G5" s="85">
        <f>VLOOKUP(A5,Database!$A:$AS,MATCH($G$1,Database!$A$1:$AS$1,0),FALSE)</f>
        <v>81.950170280999998</v>
      </c>
      <c r="H5" s="85">
        <f>(((Table134567891011121314151617343[[#This Row],[ITA]]-VLOOKUP($U$1,A:B,2,))/VLOOKUP($U$1,A:B,2,))*100)+100</f>
        <v>92.187500000244157</v>
      </c>
      <c r="I5" s="85">
        <f>(((Table134567891011121314151617343[[#This Row],[FRA]]-VLOOKUP($U$1,A:C,3,))/VLOOKUP($U$1,A:C,3,))*100)+100</f>
        <v>90.369792174846339</v>
      </c>
      <c r="J5" s="85">
        <f>(((Table134567891011121314151617343[[#This Row],[DEU]]-VLOOKUP($U$1,A:D,4,))/VLOOKUP($U$1,A:D,4,))*100)+100</f>
        <v>93.240653584601276</v>
      </c>
      <c r="K5" s="85">
        <f>(((Table134567891011121314151617343[[#This Row],[ESP]]-VLOOKUP($U$1,A:E,5,))/VLOOKUP($U$1,A:E,5,))*100)+100</f>
        <v>84.689087414932303</v>
      </c>
      <c r="L5" s="85">
        <f>(((Table134567891011121314151617343[[#This Row],[EA19]]-VLOOKUP($U$1,A:F,6,))/VLOOKUP($U$1,A:F,6,))*100)+100</f>
        <v>89.387149182326624</v>
      </c>
      <c r="M5" s="85">
        <f>(((Table134567891011121314151617343[[#This Row],[GBR]]-VLOOKUP($U$1,A:G,7,))/VLOOKUP($U$1,A:G,7,))*100)+100</f>
        <v>88.914819135865685</v>
      </c>
      <c r="N5" s="85">
        <f>VLOOKUP(A5,Database!$A:$AS,MATCH($N$1,Database!$A$1:$AS$1,0),FALSE)</f>
        <v>62.097814208000003</v>
      </c>
      <c r="O5" s="85">
        <f>(((Table134567891011121314151617343[[#This Row],[USA]]-VLOOKUP($U$1,A:N,14,))/VLOOKUP($U$1,A:N,14,))*100)+100</f>
        <v>71.489016462243328</v>
      </c>
      <c r="P5" s="85">
        <f>VLOOKUP(A5,Database!$A:$AS,MATCH($P$1,Database!$A$1:$AS$1,0),FALSE)</f>
        <v>103.438406395</v>
      </c>
      <c r="Q5" s="85">
        <f>(((Table134567891011121314151617343[[#This Row],[JPN]]-VLOOKUP($U$1,A:Q,16,))/VLOOKUP($U$1,A:Q,16,))*100)+100</f>
        <v>103.85003765432126</v>
      </c>
      <c r="W5" s="87" t="s">
        <v>92</v>
      </c>
    </row>
    <row r="6" spans="1:23" s="87" customFormat="1" x14ac:dyDescent="0.2">
      <c r="A6" s="22">
        <v>32994</v>
      </c>
      <c r="B6" s="85">
        <f>VLOOKUP(A6,Database!$A:$AS,MATCH($B$1,Database!$A$1:$AS$1,0),FALSE)</f>
        <v>110.790767436</v>
      </c>
      <c r="C6" s="85">
        <f>VLOOKUP(A6,Database!$A:$AS,MATCH($C$1,Database!$A$1:$AS$1,0),FALSE)</f>
        <v>92.86</v>
      </c>
      <c r="D6" s="85">
        <f>VLOOKUP(A6,Database!$A:$AS,MATCH($D$1,Database!$A$1:$AS$1,0),FALSE)</f>
        <v>71.900937650000003</v>
      </c>
      <c r="E6" s="85">
        <f>VLOOKUP(A6,Database!$A:$AS,MATCH($E$1,Database!$A$1:$AS$1,0),FALSE)</f>
        <v>99.691884281</v>
      </c>
      <c r="F6" s="85">
        <f>VLOOKUP(A6,Database!$A:$AS,MATCH($F$1,Database!$A$1:$AS$1,0),FALSE)</f>
        <v>79.893057455999994</v>
      </c>
      <c r="G6" s="85">
        <f>VLOOKUP(A6,Database!$A:$AS,MATCH($G$1,Database!$A$1:$AS$1,0),FALSE)</f>
        <v>81.519985661000007</v>
      </c>
      <c r="H6" s="85">
        <f>(((Table134567891011121314151617343[[#This Row],[ITA]]-VLOOKUP($U$1,A:B,2,))/VLOOKUP($U$1,A:B,2,))*100)+100</f>
        <v>91.118421052623461</v>
      </c>
      <c r="I6" s="85">
        <f>(((Table134567891011121314151617343[[#This Row],[FRA]]-VLOOKUP($U$1,A:C,3,))/VLOOKUP($U$1,A:C,3,))*100)+100</f>
        <v>90.603961362084107</v>
      </c>
      <c r="J6" s="85">
        <f>(((Table134567891011121314151617343[[#This Row],[DEU]]-VLOOKUP($U$1,A:D,4,))/VLOOKUP($U$1,A:D,4,))*100)+100</f>
        <v>95.620916747789295</v>
      </c>
      <c r="K6" s="85">
        <f>(((Table134567891011121314151617343[[#This Row],[ESP]]-VLOOKUP($U$1,A:E,5,))/VLOOKUP($U$1,A:E,5,))*100)+100</f>
        <v>83.795747839135643</v>
      </c>
      <c r="L6" s="85">
        <f>(((Table134567891011121314151617343[[#This Row],[EA19]]-VLOOKUP($U$1,A:F,6,))/VLOOKUP($U$1,A:F,6,))*100)+100</f>
        <v>89.365836080536894</v>
      </c>
      <c r="M6" s="85">
        <f>(((Table134567891011121314151617343[[#This Row],[GBR]]-VLOOKUP($U$1,A:G,7,))/VLOOKUP($U$1,A:G,7,))*100)+100</f>
        <v>88.448074679433503</v>
      </c>
      <c r="N6" s="85">
        <f>VLOOKUP(A6,Database!$A:$AS,MATCH($N$1,Database!$A$1:$AS$1,0),FALSE)</f>
        <v>62.259080457000003</v>
      </c>
      <c r="O6" s="85">
        <f>(((Table134567891011121314151617343[[#This Row],[USA]]-VLOOKUP($U$1,A:N,14,))/VLOOKUP($U$1,A:N,14,))*100)+100</f>
        <v>71.67467139513596</v>
      </c>
      <c r="P6" s="85">
        <f>VLOOKUP(A6,Database!$A:$AS,MATCH($P$1,Database!$A$1:$AS$1,0),FALSE)</f>
        <v>104.148277811</v>
      </c>
      <c r="Q6" s="85">
        <f>(((Table134567891011121314151617343[[#This Row],[JPN]]-VLOOKUP($U$1,A:Q,16,))/VLOOKUP($U$1,A:Q,16,))*100)+100</f>
        <v>104.56273399072663</v>
      </c>
      <c r="W6" s="87" t="s">
        <v>529</v>
      </c>
    </row>
    <row r="7" spans="1:23" s="87" customFormat="1" x14ac:dyDescent="0.2">
      <c r="A7" s="22">
        <v>33025</v>
      </c>
      <c r="B7" s="85">
        <f>VLOOKUP(A7,Database!$A:$AS,MATCH($B$1,Database!$A$1:$AS$1,0),FALSE)</f>
        <v>109.69085909499999</v>
      </c>
      <c r="C7" s="85">
        <f>VLOOKUP(A7,Database!$A:$AS,MATCH($C$1,Database!$A$1:$AS$1,0),FALSE)</f>
        <v>91.51</v>
      </c>
      <c r="D7" s="85">
        <f>VLOOKUP(A7,Database!$A:$AS,MATCH($D$1,Database!$A$1:$AS$1,0),FALSE)</f>
        <v>71.900937650000003</v>
      </c>
      <c r="E7" s="85">
        <f>VLOOKUP(A7,Database!$A:$AS,MATCH($E$1,Database!$A$1:$AS$1,0),FALSE)</f>
        <v>102.297053905</v>
      </c>
      <c r="F7" s="85">
        <f>VLOOKUP(A7,Database!$A:$AS,MATCH($F$1,Database!$A$1:$AS$1,0),FALSE)</f>
        <v>79.378601803999999</v>
      </c>
      <c r="G7" s="85">
        <f>VLOOKUP(A7,Database!$A:$AS,MATCH($G$1,Database!$A$1:$AS$1,0),FALSE)</f>
        <v>82.810539523000003</v>
      </c>
      <c r="H7" s="85">
        <f>(((Table134567891011121314151617343[[#This Row],[ITA]]-VLOOKUP($U$1,A:B,2,))/VLOOKUP($U$1,A:B,2,))*100)+100</f>
        <v>90.213815789441895</v>
      </c>
      <c r="I7" s="85">
        <f>(((Table134567891011121314151617343[[#This Row],[FRA]]-VLOOKUP($U$1,A:C,3,))/VLOOKUP($U$1,A:C,3,))*100)+100</f>
        <v>89.286759683871608</v>
      </c>
      <c r="J7" s="85">
        <f>(((Table134567891011121314151617343[[#This Row],[DEU]]-VLOOKUP($U$1,A:D,4,))/VLOOKUP($U$1,A:D,4,))*100)+100</f>
        <v>95.620916747789295</v>
      </c>
      <c r="K7" s="85">
        <f>(((Table134567891011121314151617343[[#This Row],[ESP]]-VLOOKUP($U$1,A:E,5,))/VLOOKUP($U$1,A:E,5,))*100)+100</f>
        <v>85.985516228662277</v>
      </c>
      <c r="L7" s="85">
        <f>(((Table134567891011121314151617343[[#This Row],[EA19]]-VLOOKUP($U$1,A:F,6,))/VLOOKUP($U$1,A:F,6,))*100)+100</f>
        <v>88.790382331096197</v>
      </c>
      <c r="M7" s="85">
        <f>(((Table134567891011121314151617343[[#This Row],[GBR]]-VLOOKUP($U$1,A:G,7,))/VLOOKUP($U$1,A:G,7,))*100)+100</f>
        <v>89.848308050900059</v>
      </c>
      <c r="N7" s="85">
        <f>VLOOKUP(A7,Database!$A:$AS,MATCH($N$1,Database!$A$1:$AS$1,0),FALSE)</f>
        <v>62.47020345</v>
      </c>
      <c r="O7" s="85">
        <f>(((Table134567891011121314151617343[[#This Row],[USA]]-VLOOKUP($U$1,A:N,14,))/VLOOKUP($U$1,A:N,14,))*100)+100</f>
        <v>71.917723027703573</v>
      </c>
      <c r="P7" s="85">
        <f>VLOOKUP(A7,Database!$A:$AS,MATCH($P$1,Database!$A$1:$AS$1,0),FALSE)</f>
        <v>104.45250841799999</v>
      </c>
      <c r="Q7" s="85">
        <f>(((Table134567891011121314151617343[[#This Row],[JPN]]-VLOOKUP($U$1,A:Q,16,))/VLOOKUP($U$1,A:Q,16,))*100)+100</f>
        <v>104.86817527790092</v>
      </c>
      <c r="W7" s="87" t="s">
        <v>126</v>
      </c>
    </row>
    <row r="8" spans="1:23" s="87" customFormat="1" x14ac:dyDescent="0.2">
      <c r="A8" s="22">
        <v>33055</v>
      </c>
      <c r="B8" s="85">
        <f>VLOOKUP(A8,Database!$A:$AS,MATCH($B$1,Database!$A$1:$AS$1,0),FALSE)</f>
        <v>109.990834097</v>
      </c>
      <c r="C8" s="85">
        <f>VLOOKUP(A8,Database!$A:$AS,MATCH($C$1,Database!$A$1:$AS$1,0),FALSE)</f>
        <v>91.51</v>
      </c>
      <c r="D8" s="85">
        <f>VLOOKUP(A8,Database!$A:$AS,MATCH($D$1,Database!$A$1:$AS$1,0),FALSE)</f>
        <v>72.579830623000007</v>
      </c>
      <c r="E8" s="85">
        <f>VLOOKUP(A8,Database!$A:$AS,MATCH($E$1,Database!$A$1:$AS$1,0),FALSE)</f>
        <v>99.248418967000006</v>
      </c>
      <c r="F8" s="85">
        <f>VLOOKUP(A8,Database!$A:$AS,MATCH($F$1,Database!$A$1:$AS$1,0),FALSE)</f>
        <v>79.683464412999996</v>
      </c>
      <c r="G8" s="85">
        <f>VLOOKUP(A8,Database!$A:$AS,MATCH($G$1,Database!$A$1:$AS$1,0),FALSE)</f>
        <v>80.767162573999997</v>
      </c>
      <c r="H8" s="85">
        <f>(((Table134567891011121314151617343[[#This Row],[ITA]]-VLOOKUP($U$1,A:B,2,))/VLOOKUP($U$1,A:B,2,))*100)+100</f>
        <v>90.460526315689378</v>
      </c>
      <c r="I8" s="85">
        <f>(((Table134567891011121314151617343[[#This Row],[FRA]]-VLOOKUP($U$1,A:C,3,))/VLOOKUP($U$1,A:C,3,))*100)+100</f>
        <v>89.286759683871608</v>
      </c>
      <c r="J8" s="85">
        <f>(((Table134567891011121314151617343[[#This Row],[DEU]]-VLOOKUP($U$1,A:D,4,))/VLOOKUP($U$1,A:D,4,))*100)+100</f>
        <v>96.523775188494099</v>
      </c>
      <c r="K8" s="85">
        <f>(((Table134567891011121314151617343[[#This Row],[ESP]]-VLOOKUP($U$1,A:E,5,))/VLOOKUP($U$1,A:E,5,))*100)+100</f>
        <v>83.422994250462338</v>
      </c>
      <c r="L8" s="85">
        <f>(((Table134567891011121314151617343[[#This Row],[EA19]]-VLOOKUP($U$1,A:F,6,))/VLOOKUP($U$1,A:F,6,))*100)+100</f>
        <v>89.131391960850095</v>
      </c>
      <c r="M8" s="85">
        <f>(((Table134567891011121314151617343[[#This Row],[GBR]]-VLOOKUP($U$1,A:G,7,))/VLOOKUP($U$1,A:G,7,))*100)+100</f>
        <v>87.631271878507178</v>
      </c>
      <c r="N8" s="85">
        <f>VLOOKUP(A8,Database!$A:$AS,MATCH($N$1,Database!$A$1:$AS$1,0),FALSE)</f>
        <v>62.380699194999998</v>
      </c>
      <c r="O8" s="85">
        <f>(((Table134567891011121314151617343[[#This Row],[USA]]-VLOOKUP($U$1,A:N,14,))/VLOOKUP($U$1,A:N,14,))*100)+100</f>
        <v>71.81468282829006</v>
      </c>
      <c r="P8" s="85">
        <f>VLOOKUP(A8,Database!$A:$AS,MATCH($P$1,Database!$A$1:$AS$1,0),FALSE)</f>
        <v>105.365200239</v>
      </c>
      <c r="Q8" s="85">
        <f>(((Table134567891011121314151617343[[#This Row],[JPN]]-VLOOKUP($U$1,A:Q,16,))/VLOOKUP($U$1,A:Q,16,))*100)+100</f>
        <v>105.78449913942381</v>
      </c>
      <c r="W8" s="87" t="s">
        <v>132</v>
      </c>
    </row>
    <row r="9" spans="1:23" s="87" customFormat="1" x14ac:dyDescent="0.2">
      <c r="A9" s="22">
        <v>33086</v>
      </c>
      <c r="B9" s="85">
        <f>VLOOKUP(A9,Database!$A:$AS,MATCH($B$1,Database!$A$1:$AS$1,0),FALSE)</f>
        <v>111.190734105</v>
      </c>
      <c r="C9" s="85">
        <f>VLOOKUP(A9,Database!$A:$AS,MATCH($C$1,Database!$A$1:$AS$1,0),FALSE)</f>
        <v>90.95</v>
      </c>
      <c r="D9" s="85">
        <f>VLOOKUP(A9,Database!$A:$AS,MATCH($D$1,Database!$A$1:$AS$1,0),FALSE)</f>
        <v>73.011853424999998</v>
      </c>
      <c r="E9" s="85">
        <f>VLOOKUP(A9,Database!$A:$AS,MATCH($E$1,Database!$A$1:$AS$1,0),FALSE)</f>
        <v>97.957129921999993</v>
      </c>
      <c r="F9" s="85">
        <f>VLOOKUP(A9,Database!$A:$AS,MATCH($F$1,Database!$A$1:$AS$1,0),FALSE)</f>
        <v>80.216973977999999</v>
      </c>
      <c r="G9" s="85">
        <f>VLOOKUP(A9,Database!$A:$AS,MATCH($G$1,Database!$A$1:$AS$1,0),FALSE)</f>
        <v>80.874708729000005</v>
      </c>
      <c r="H9" s="85">
        <f>(((Table134567891011121314151617343[[#This Row],[ITA]]-VLOOKUP($U$1,A:B,2,))/VLOOKUP($U$1,A:B,2,))*100)+100</f>
        <v>91.447368420679297</v>
      </c>
      <c r="I9" s="85">
        <f>(((Table134567891011121314151617343[[#This Row],[FRA]]-VLOOKUP($U$1,A:C,3,))/VLOOKUP($U$1,A:C,3,))*100)+100</f>
        <v>88.740364913650126</v>
      </c>
      <c r="J9" s="85">
        <f>(((Table134567891011121314151617343[[#This Row],[DEU]]-VLOOKUP($U$1,A:D,4,))/VLOOKUP($U$1,A:D,4,))*100)+100</f>
        <v>97.098321470272495</v>
      </c>
      <c r="K9" s="85">
        <f>(((Table134567891011121314151617343[[#This Row],[ESP]]-VLOOKUP($U$1,A:E,5,))/VLOOKUP($U$1,A:E,5,))*100)+100</f>
        <v>82.337604682568681</v>
      </c>
      <c r="L9" s="85">
        <f>(((Table134567891011121314151617343[[#This Row],[EA19]]-VLOOKUP($U$1,A:F,6,))/VLOOKUP($U$1,A:F,6,))*100)+100</f>
        <v>89.728158812080522</v>
      </c>
      <c r="M9" s="85">
        <f>(((Table134567891011121314151617343[[#This Row],[GBR]]-VLOOKUP($U$1,A:G,7,))/VLOOKUP($U$1,A:G,7,))*100)+100</f>
        <v>87.747957992615241</v>
      </c>
      <c r="N9" s="85">
        <f>VLOOKUP(A9,Database!$A:$AS,MATCH($N$1,Database!$A$1:$AS$1,0),FALSE)</f>
        <v>62.615313338999997</v>
      </c>
      <c r="O9" s="85">
        <f>(((Table134567891011121314151617343[[#This Row],[USA]]-VLOOKUP($U$1,A:N,14,))/VLOOKUP($U$1,A:N,14,))*100)+100</f>
        <v>72.084778235296028</v>
      </c>
      <c r="P9" s="85">
        <f>VLOOKUP(A9,Database!$A:$AS,MATCH($P$1,Database!$A$1:$AS$1,0),FALSE)</f>
        <v>106.277892061</v>
      </c>
      <c r="Q9" s="85">
        <f>(((Table134567891011121314151617343[[#This Row],[JPN]]-VLOOKUP($U$1,A:Q,16,))/VLOOKUP($U$1,A:Q,16,))*100)+100</f>
        <v>106.7008230019507</v>
      </c>
      <c r="W9" s="87" t="s">
        <v>146</v>
      </c>
    </row>
    <row r="10" spans="1:23" s="87" customFormat="1" x14ac:dyDescent="0.2">
      <c r="A10" s="22">
        <v>33117</v>
      </c>
      <c r="B10" s="85">
        <f>VLOOKUP(A10,Database!$A:$AS,MATCH($B$1,Database!$A$1:$AS$1,0),FALSE)</f>
        <v>110.89075910299999</v>
      </c>
      <c r="C10" s="85">
        <f>VLOOKUP(A10,Database!$A:$AS,MATCH($C$1,Database!$A$1:$AS$1,0),FALSE)</f>
        <v>91.78</v>
      </c>
      <c r="D10" s="85">
        <f>VLOOKUP(A10,Database!$A:$AS,MATCH($D$1,Database!$A$1:$AS$1,0),FALSE)</f>
        <v>73.690746398000002</v>
      </c>
      <c r="E10" s="85">
        <f>VLOOKUP(A10,Database!$A:$AS,MATCH($E$1,Database!$A$1:$AS$1,0),FALSE)</f>
        <v>101.362601908</v>
      </c>
      <c r="F10" s="85">
        <f>VLOOKUP(A10,Database!$A:$AS,MATCH($F$1,Database!$A$1:$AS$1,0),FALSE)</f>
        <v>80.617106152999995</v>
      </c>
      <c r="G10" s="85">
        <f>VLOOKUP(A10,Database!$A:$AS,MATCH($G$1,Database!$A$1:$AS$1,0),FALSE)</f>
        <v>80.444524107999996</v>
      </c>
      <c r="H10" s="85">
        <f>(((Table134567891011121314151617343[[#This Row],[ITA]]-VLOOKUP($U$1,A:B,2,))/VLOOKUP($U$1,A:B,2,))*100)+100</f>
        <v>91.200657894431814</v>
      </c>
      <c r="I10" s="85">
        <f>(((Table134567891011121314151617343[[#This Row],[FRA]]-VLOOKUP($U$1,A:C,3,))/VLOOKUP($U$1,A:C,3,))*100)+100</f>
        <v>89.550200019514108</v>
      </c>
      <c r="J10" s="85">
        <f>(((Table134567891011121314151617343[[#This Row],[DEU]]-VLOOKUP($U$1,A:D,4,))/VLOOKUP($U$1,A:D,4,))*100)+100</f>
        <v>98.001179910977299</v>
      </c>
      <c r="K10" s="85">
        <f>(((Table134567891011121314151617343[[#This Row],[ESP]]-VLOOKUP($U$1,A:E,5,))/VLOOKUP($U$1,A:E,5,))*100)+100</f>
        <v>85.200065091158677</v>
      </c>
      <c r="L10" s="85">
        <f>(((Table134567891011121314151617343[[#This Row],[EA19]]-VLOOKUP($U$1,A:F,6,))/VLOOKUP($U$1,A:F,6,))*100)+100</f>
        <v>90.175733951901549</v>
      </c>
      <c r="M10" s="85">
        <f>(((Table134567891011121314151617343[[#This Row],[GBR]]-VLOOKUP($U$1,A:G,7,))/VLOOKUP($U$1,A:G,7,))*100)+100</f>
        <v>87.281213535098047</v>
      </c>
      <c r="N10" s="85">
        <f>VLOOKUP(A10,Database!$A:$AS,MATCH($N$1,Database!$A$1:$AS$1,0),FALSE)</f>
        <v>62.626414642</v>
      </c>
      <c r="O10" s="85">
        <f>(((Table134567891011121314151617343[[#This Row],[USA]]-VLOOKUP($U$1,A:N,14,))/VLOOKUP($U$1,A:N,14,))*100)+100</f>
        <v>72.09755841513072</v>
      </c>
      <c r="P10" s="85">
        <f>VLOOKUP(A10,Database!$A:$AS,MATCH($P$1,Database!$A$1:$AS$1,0),FALSE)</f>
        <v>105.365200239</v>
      </c>
      <c r="Q10" s="85">
        <f>(((Table134567891011121314151617343[[#This Row],[JPN]]-VLOOKUP($U$1,A:Q,16,))/VLOOKUP($U$1,A:Q,16,))*100)+100</f>
        <v>105.78449913942381</v>
      </c>
      <c r="W10" s="87" t="s">
        <v>531</v>
      </c>
    </row>
    <row r="11" spans="1:23" s="87" customFormat="1" x14ac:dyDescent="0.2">
      <c r="A11" s="22">
        <v>33147</v>
      </c>
      <c r="B11" s="85">
        <f>VLOOKUP(A11,Database!$A:$AS,MATCH($B$1,Database!$A$1:$AS$1,0),FALSE)</f>
        <v>110.290809099</v>
      </c>
      <c r="C11" s="85">
        <f>VLOOKUP(A11,Database!$A:$AS,MATCH($C$1,Database!$A$1:$AS$1,0),FALSE)</f>
        <v>91.51</v>
      </c>
      <c r="D11" s="85">
        <f>VLOOKUP(A11,Database!$A:$AS,MATCH($D$1,Database!$A$1:$AS$1,0),FALSE)</f>
        <v>73.814181484000002</v>
      </c>
      <c r="E11" s="85">
        <f>VLOOKUP(A11,Database!$A:$AS,MATCH($E$1,Database!$A$1:$AS$1,0),FALSE)</f>
        <v>97.309146600000005</v>
      </c>
      <c r="F11" s="85">
        <f>VLOOKUP(A11,Database!$A:$AS,MATCH($F$1,Database!$A$1:$AS$1,0),FALSE)</f>
        <v>80.779064414000004</v>
      </c>
      <c r="G11" s="85">
        <f>VLOOKUP(A11,Database!$A:$AS,MATCH($G$1,Database!$A$1:$AS$1,0),FALSE)</f>
        <v>80.336977953000002</v>
      </c>
      <c r="H11" s="85">
        <f>(((Table134567891011121314151617343[[#This Row],[ITA]]-VLOOKUP($U$1,A:B,2,))/VLOOKUP($U$1,A:B,2,))*100)+100</f>
        <v>90.707236841936862</v>
      </c>
      <c r="I11" s="85">
        <f>(((Table134567891011121314151617343[[#This Row],[FRA]]-VLOOKUP($U$1,A:C,3,))/VLOOKUP($U$1,A:C,3,))*100)+100</f>
        <v>89.286759683871608</v>
      </c>
      <c r="J11" s="85">
        <f>(((Table134567891011121314151617343[[#This Row],[DEU]]-VLOOKUP($U$1,A:D,4,))/VLOOKUP($U$1,A:D,4,))*100)+100</f>
        <v>98.165335991105451</v>
      </c>
      <c r="K11" s="85">
        <f>(((Table134567891011121314151617343[[#This Row],[ESP]]-VLOOKUP($U$1,A:E,5,))/VLOOKUP($U$1,A:E,5,))*100)+100</f>
        <v>81.792944026930684</v>
      </c>
      <c r="L11" s="85">
        <f>(((Table134567891011121314151617343[[#This Row],[EA19]]-VLOOKUP($U$1,A:F,6,))/VLOOKUP($U$1,A:F,6,))*100)+100</f>
        <v>90.356895317673377</v>
      </c>
      <c r="M11" s="85">
        <f>(((Table134567891011121314151617343[[#This Row],[GBR]]-VLOOKUP($U$1,A:G,7,))/VLOOKUP($U$1,A:G,7,))*100)+100</f>
        <v>87.164527420990012</v>
      </c>
      <c r="N11" s="85">
        <f>VLOOKUP(A11,Database!$A:$AS,MATCH($N$1,Database!$A$1:$AS$1,0),FALSE)</f>
        <v>62.235291951000001</v>
      </c>
      <c r="O11" s="85">
        <f>(((Table134567891011121314151617343[[#This Row],[USA]]-VLOOKUP($U$1,A:N,14,))/VLOOKUP($U$1,A:N,14,))*100)+100</f>
        <v>71.647285295983579</v>
      </c>
      <c r="P11" s="85">
        <f>VLOOKUP(A11,Database!$A:$AS,MATCH($P$1,Database!$A$1:$AS$1,0),FALSE)</f>
        <v>107.49481448900001</v>
      </c>
      <c r="Q11" s="85">
        <f>(((Table134567891011121314151617343[[#This Row],[JPN]]-VLOOKUP($U$1,A:Q,16,))/VLOOKUP($U$1,A:Q,16,))*100)+100</f>
        <v>107.9225881506479</v>
      </c>
      <c r="W11" s="87" t="s">
        <v>152</v>
      </c>
    </row>
    <row r="12" spans="1:23" s="87" customFormat="1" x14ac:dyDescent="0.2">
      <c r="A12" s="22">
        <v>33178</v>
      </c>
      <c r="B12" s="85">
        <f>VLOOKUP(A12,Database!$A:$AS,MATCH($B$1,Database!$A$1:$AS$1,0),FALSE)</f>
        <v>108.690942421</v>
      </c>
      <c r="C12" s="85">
        <f>VLOOKUP(A12,Database!$A:$AS,MATCH($C$1,Database!$A$1:$AS$1,0),FALSE)</f>
        <v>90.45</v>
      </c>
      <c r="D12" s="85">
        <f>VLOOKUP(A12,Database!$A:$AS,MATCH($D$1,Database!$A$1:$AS$1,0),FALSE)</f>
        <v>73.814181484000002</v>
      </c>
      <c r="E12" s="85">
        <f>VLOOKUP(A12,Database!$A:$AS,MATCH($E$1,Database!$A$1:$AS$1,0),FALSE)</f>
        <v>100.46351292600001</v>
      </c>
      <c r="F12" s="85">
        <f>VLOOKUP(A12,Database!$A:$AS,MATCH($F$1,Database!$A$1:$AS$1,0),FALSE)</f>
        <v>80.016907891000002</v>
      </c>
      <c r="G12" s="85">
        <f>VLOOKUP(A12,Database!$A:$AS,MATCH($G$1,Database!$A$1:$AS$1,0),FALSE)</f>
        <v>79.906793332000007</v>
      </c>
      <c r="H12" s="85">
        <f>(((Table134567891011121314151617343[[#This Row],[ITA]]-VLOOKUP($U$1,A:B,2,))/VLOOKUP($U$1,A:B,2,))*100)+100</f>
        <v>89.391447368068683</v>
      </c>
      <c r="I12" s="85">
        <f>(((Table134567891011121314151617343[[#This Row],[FRA]]-VLOOKUP($U$1,A:C,3,))/VLOOKUP($U$1,A:C,3,))*100)+100</f>
        <v>88.252512440238078</v>
      </c>
      <c r="J12" s="85">
        <f>(((Table134567891011121314151617343[[#This Row],[DEU]]-VLOOKUP($U$1,A:D,4,))/VLOOKUP($U$1,A:D,4,))*100)+100</f>
        <v>98.165335991105451</v>
      </c>
      <c r="K12" s="85">
        <f>(((Table134567891011121314151617343[[#This Row],[ESP]]-VLOOKUP($U$1,A:E,5,))/VLOOKUP($U$1,A:E,5,))*100)+100</f>
        <v>84.44433824173673</v>
      </c>
      <c r="L12" s="85">
        <f>(((Table134567891011121314151617343[[#This Row],[EA19]]-VLOOKUP($U$1,A:F,6,))/VLOOKUP($U$1,A:F,6,))*100)+100</f>
        <v>89.504371242729306</v>
      </c>
      <c r="M12" s="85">
        <f>(((Table134567891011121314151617343[[#This Row],[GBR]]-VLOOKUP($U$1,A:G,7,))/VLOOKUP($U$1,A:G,7,))*100)+100</f>
        <v>86.697782963472832</v>
      </c>
      <c r="N12" s="85">
        <f>VLOOKUP(A12,Database!$A:$AS,MATCH($N$1,Database!$A$1:$AS$1,0),FALSE)</f>
        <v>61.468905573000001</v>
      </c>
      <c r="O12" s="85">
        <f>(((Table134567891011121314151617343[[#This Row],[USA]]-VLOOKUP($U$1,A:N,14,))/VLOOKUP($U$1,A:N,14,))*100)+100</f>
        <v>70.764996457124212</v>
      </c>
      <c r="P12" s="85">
        <f>VLOOKUP(A12,Database!$A:$AS,MATCH($P$1,Database!$A$1:$AS$1,0),FALSE)</f>
        <v>106.784943072</v>
      </c>
      <c r="Q12" s="85">
        <f>(((Table134567891011121314151617343[[#This Row],[JPN]]-VLOOKUP($U$1,A:Q,16,))/VLOOKUP($U$1,A:Q,16,))*100)+100</f>
        <v>107.20989181323854</v>
      </c>
      <c r="W12" s="87" t="s">
        <v>158</v>
      </c>
    </row>
    <row r="13" spans="1:23" s="87" customFormat="1" x14ac:dyDescent="0.2">
      <c r="A13" s="22">
        <v>33208</v>
      </c>
      <c r="B13" s="85">
        <f>VLOOKUP(A13,Database!$A:$AS,MATCH($B$1,Database!$A$1:$AS$1,0),FALSE)</f>
        <v>110.490792434</v>
      </c>
      <c r="C13" s="85">
        <f>VLOOKUP(A13,Database!$A:$AS,MATCH($C$1,Database!$A$1:$AS$1,0),FALSE)</f>
        <v>91.59</v>
      </c>
      <c r="D13" s="85">
        <f>VLOOKUP(A13,Database!$A:$AS,MATCH($D$1,Database!$A$1:$AS$1,0),FALSE)</f>
        <v>74.122769199999993</v>
      </c>
      <c r="E13" s="85">
        <f>VLOOKUP(A13,Database!$A:$AS,MATCH($E$1,Database!$A$1:$AS$1,0),FALSE)</f>
        <v>99.973275620999999</v>
      </c>
      <c r="F13" s="85">
        <f>VLOOKUP(A13,Database!$A:$AS,MATCH($F$1,Database!$A$1:$AS$1,0),FALSE)</f>
        <v>80.855280066000006</v>
      </c>
      <c r="G13" s="85">
        <f>VLOOKUP(A13,Database!$A:$AS,MATCH($G$1,Database!$A$1:$AS$1,0),FALSE)</f>
        <v>79.476608710999997</v>
      </c>
      <c r="H13" s="85">
        <f>(((Table134567891011121314151617343[[#This Row],[ITA]]-VLOOKUP($U$1,A:B,2,))/VLOOKUP($U$1,A:B,2,))*100)+100</f>
        <v>90.871710526375992</v>
      </c>
      <c r="I13" s="85">
        <f>(((Table134567891011121314151617343[[#This Row],[FRA]]-VLOOKUP($U$1,A:C,3,))/VLOOKUP($U$1,A:C,3,))*100)+100</f>
        <v>89.364816079617526</v>
      </c>
      <c r="J13" s="85">
        <f>(((Table134567891011121314151617343[[#This Row],[DEU]]-VLOOKUP($U$1,A:D,4,))/VLOOKUP($U$1,A:D,4,))*100)+100</f>
        <v>98.575726192755695</v>
      </c>
      <c r="K13" s="85">
        <f>(((Table134567891011121314151617343[[#This Row],[ESP]]-VLOOKUP($U$1,A:E,5,))/VLOOKUP($U$1,A:E,5,))*100)+100</f>
        <v>84.032270580588644</v>
      </c>
      <c r="L13" s="85">
        <f>(((Table134567891011121314151617343[[#This Row],[EA19]]-VLOOKUP($U$1,A:F,6,))/VLOOKUP($U$1,A:F,6,))*100)+100</f>
        <v>90.442147724832211</v>
      </c>
      <c r="M13" s="85">
        <f>(((Table134567891011121314151617343[[#This Row],[GBR]]-VLOOKUP($U$1,A:G,7,))/VLOOKUP($U$1,A:G,7,))*100)+100</f>
        <v>86.231038505955638</v>
      </c>
      <c r="N13" s="85">
        <f>VLOOKUP(A13,Database!$A:$AS,MATCH($N$1,Database!$A$1:$AS$1,0),FALSE)</f>
        <v>61.048741079999999</v>
      </c>
      <c r="O13" s="85">
        <f>(((Table134567891011121314151617343[[#This Row],[USA]]-VLOOKUP($U$1,A:N,14,))/VLOOKUP($U$1,A:N,14,))*100)+100</f>
        <v>70.281289474196981</v>
      </c>
      <c r="P13" s="85">
        <f>VLOOKUP(A13,Database!$A:$AS,MATCH($P$1,Database!$A$1:$AS$1,0),FALSE)</f>
        <v>106.886353275</v>
      </c>
      <c r="Q13" s="85">
        <f>(((Table134567891011121314151617343[[#This Row],[JPN]]-VLOOKUP($U$1,A:Q,16,))/VLOOKUP($U$1,A:Q,16,))*100)+100</f>
        <v>107.31170557629929</v>
      </c>
      <c r="W13" s="87" t="s">
        <v>176</v>
      </c>
    </row>
    <row r="14" spans="1:23" s="87" customFormat="1" x14ac:dyDescent="0.2">
      <c r="A14" s="22">
        <v>33239</v>
      </c>
      <c r="B14" s="85">
        <f>VLOOKUP(A14,Database!$A:$AS,MATCH($B$1,Database!$A$1:$AS$1,0),FALSE)</f>
        <v>111.09074243800001</v>
      </c>
      <c r="C14" s="85">
        <f>VLOOKUP(A14,Database!$A:$AS,MATCH($C$1,Database!$A$1:$AS$1,0),FALSE)</f>
        <v>92.76</v>
      </c>
      <c r="D14" s="85">
        <f>VLOOKUP(A14,Database!$A:$AS,MATCH($D$1,Database!$A$1:$AS$1,0),FALSE)</f>
        <v>76.393633863999995</v>
      </c>
      <c r="E14" s="85">
        <f>VLOOKUP(A14,Database!$A:$AS,MATCH($E$1,Database!$A$1:$AS$1,0),FALSE)</f>
        <v>100.076157771</v>
      </c>
      <c r="F14" s="85">
        <f>VLOOKUP(A14,Database!$A:$AS,MATCH($F$1,Database!$A$1:$AS$1,0),FALSE)</f>
        <v>82.5</v>
      </c>
      <c r="G14" s="85">
        <f>VLOOKUP(A14,Database!$A:$AS,MATCH($G$1,Database!$A$1:$AS$1,0),FALSE)</f>
        <v>79.261516400999994</v>
      </c>
      <c r="H14" s="85">
        <f>(((Table134567891011121314151617343[[#This Row],[ITA]]-VLOOKUP($U$1,A:B,2,))/VLOOKUP($U$1,A:B,2,))*100)+100</f>
        <v>91.365131578870944</v>
      </c>
      <c r="I14" s="85">
        <f>(((Table134567891011121314151617343[[#This Row],[FRA]]-VLOOKUP($U$1,A:C,3,))/VLOOKUP($U$1,A:C,3,))*100)+100</f>
        <v>90.506390867401706</v>
      </c>
      <c r="J14" s="85">
        <f>(((Table134567891011121314151617343[[#This Row],[DEU]]-VLOOKUP($U$1,A:D,4,))/VLOOKUP($U$1,A:D,4,))*100)+100</f>
        <v>101.59574468039833</v>
      </c>
      <c r="K14" s="85">
        <f>(((Table134567891011121314151617343[[#This Row],[ESP]]-VLOOKUP($U$1,A:E,5,))/VLOOKUP($U$1,A:E,5,))*100)+100</f>
        <v>84.118747897781759</v>
      </c>
      <c r="L14" s="85">
        <f>(((Table134567891011121314151617343[[#This Row],[EA19]]-VLOOKUP($U$1,A:F,6,))/VLOOKUP($U$1,A:F,6,))*100)+100</f>
        <v>92.281879194630861</v>
      </c>
      <c r="M14" s="85">
        <f>(((Table134567891011121314151617343[[#This Row],[GBR]]-VLOOKUP($U$1,A:G,7,))/VLOOKUP($U$1,A:G,7,))*100)+100</f>
        <v>85.99766627773954</v>
      </c>
      <c r="N14" s="85">
        <f>VLOOKUP(A14,Database!$A:$AS,MATCH($N$1,Database!$A$1:$AS$1,0),FALSE)</f>
        <v>60.821659963999998</v>
      </c>
      <c r="O14" s="85">
        <f>(((Table134567891011121314151617343[[#This Row],[USA]]-VLOOKUP($U$1,A:N,14,))/VLOOKUP($U$1,A:N,14,))*100)+100</f>
        <v>70.019866333188958</v>
      </c>
      <c r="P14" s="85">
        <f>VLOOKUP(A14,Database!$A:$AS,MATCH($P$1,Database!$A$1:$AS$1,0),FALSE)</f>
        <v>107.596224691</v>
      </c>
      <c r="Q14" s="85">
        <f>(((Table134567891011121314151617343[[#This Row],[JPN]]-VLOOKUP($U$1,A:Q,16,))/VLOOKUP($U$1,A:Q,16,))*100)+100</f>
        <v>108.02440191270466</v>
      </c>
      <c r="W14" s="87" t="s">
        <v>190</v>
      </c>
    </row>
    <row r="15" spans="1:23" s="87" customFormat="1" x14ac:dyDescent="0.2">
      <c r="A15" s="22">
        <v>33270</v>
      </c>
      <c r="B15" s="85">
        <f>VLOOKUP(A15,Database!$A:$AS,MATCH($B$1,Database!$A$1:$AS$1,0),FALSE)</f>
        <v>108.990917424</v>
      </c>
      <c r="C15" s="85">
        <f>VLOOKUP(A15,Database!$A:$AS,MATCH($C$1,Database!$A$1:$AS$1,0),FALSE)</f>
        <v>92.38</v>
      </c>
      <c r="D15" s="85">
        <f>VLOOKUP(A15,Database!$A:$AS,MATCH($D$1,Database!$A$1:$AS$1,0),FALSE)</f>
        <v>75.493708858000005</v>
      </c>
      <c r="E15" s="85">
        <f>VLOOKUP(A15,Database!$A:$AS,MATCH($E$1,Database!$A$1:$AS$1,0),FALSE)</f>
        <v>98.486489152999994</v>
      </c>
      <c r="F15" s="85">
        <f>VLOOKUP(A15,Database!$A:$AS,MATCH($F$1,Database!$A$1:$AS$1,0),FALSE)</f>
        <v>81.5</v>
      </c>
      <c r="G15" s="85">
        <f>VLOOKUP(A15,Database!$A:$AS,MATCH($G$1,Database!$A$1:$AS$1,0),FALSE)</f>
        <v>79.261516400999994</v>
      </c>
      <c r="H15" s="85">
        <f>(((Table134567891011121314151617343[[#This Row],[ITA]]-VLOOKUP($U$1,A:B,2,))/VLOOKUP($U$1,A:B,2,))*100)+100</f>
        <v>89.63815789513859</v>
      </c>
      <c r="I15" s="85">
        <f>(((Table134567891011121314151617343[[#This Row],[FRA]]-VLOOKUP($U$1,A:C,3,))/VLOOKUP($U$1,A:C,3,))*100)+100</f>
        <v>90.135622987608542</v>
      </c>
      <c r="J15" s="85">
        <f>(((Table134567891011121314151617343[[#This Row],[DEU]]-VLOOKUP($U$1,A:D,4,))/VLOOKUP($U$1,A:D,4,))*100)+100</f>
        <v>100.3989361700996</v>
      </c>
      <c r="K15" s="85">
        <f>(((Table134567891011121314151617343[[#This Row],[ESP]]-VLOOKUP($U$1,A:E,5,))/VLOOKUP($U$1,A:E,5,))*100)+100</f>
        <v>82.782556174428976</v>
      </c>
      <c r="L15" s="85">
        <f>(((Table134567891011121314151617343[[#This Row],[EA19]]-VLOOKUP($U$1,A:F,6,))/VLOOKUP($U$1,A:F,6,))*100)+100</f>
        <v>91.163310961968676</v>
      </c>
      <c r="M15" s="85">
        <f>(((Table134567891011121314151617343[[#This Row],[GBR]]-VLOOKUP($U$1,A:G,7,))/VLOOKUP($U$1,A:G,7,))*100)+100</f>
        <v>85.99766627773954</v>
      </c>
      <c r="N15" s="85">
        <f>VLOOKUP(A15,Database!$A:$AS,MATCH($N$1,Database!$A$1:$AS$1,0),FALSE)</f>
        <v>60.388610030000002</v>
      </c>
      <c r="O15" s="85">
        <f>(((Table134567891011121314151617343[[#This Row],[USA]]-VLOOKUP($U$1,A:N,14,))/VLOOKUP($U$1,A:N,14,))*100)+100</f>
        <v>69.52132521293305</v>
      </c>
      <c r="P15" s="85">
        <f>VLOOKUP(A15,Database!$A:$AS,MATCH($P$1,Database!$A$1:$AS$1,0),FALSE)</f>
        <v>108.00186549999999</v>
      </c>
      <c r="Q15" s="85">
        <f>(((Table134567891011121314151617343[[#This Row],[JPN]]-VLOOKUP($U$1,A:Q,16,))/VLOOKUP($U$1,A:Q,16,))*100)+100</f>
        <v>108.43165696193573</v>
      </c>
      <c r="W15" s="87" t="s">
        <v>206</v>
      </c>
    </row>
    <row r="16" spans="1:23" s="87" customFormat="1" x14ac:dyDescent="0.2">
      <c r="A16" s="22">
        <v>33298</v>
      </c>
      <c r="B16" s="85">
        <f>VLOOKUP(A16,Database!$A:$AS,MATCH($B$1,Database!$A$1:$AS$1,0),FALSE)</f>
        <v>108.39096741900001</v>
      </c>
      <c r="C16" s="85">
        <f>VLOOKUP(A16,Database!$A:$AS,MATCH($C$1,Database!$A$1:$AS$1,0),FALSE)</f>
        <v>91.22</v>
      </c>
      <c r="D16" s="85">
        <f>VLOOKUP(A16,Database!$A:$AS,MATCH($D$1,Database!$A$1:$AS$1,0),FALSE)</f>
        <v>74.993750520999996</v>
      </c>
      <c r="E16" s="85">
        <f>VLOOKUP(A16,Database!$A:$AS,MATCH($E$1,Database!$A$1:$AS$1,0),FALSE)</f>
        <v>95.058398582999999</v>
      </c>
      <c r="F16" s="85">
        <f>VLOOKUP(A16,Database!$A:$AS,MATCH($F$1,Database!$A$1:$AS$1,0),FALSE)</f>
        <v>80.7</v>
      </c>
      <c r="G16" s="85">
        <f>VLOOKUP(A16,Database!$A:$AS,MATCH($G$1,Database!$A$1:$AS$1,0),FALSE)</f>
        <v>78.401147159000004</v>
      </c>
      <c r="H16" s="85">
        <f>(((Table134567891011121314151617343[[#This Row],[ITA]]-VLOOKUP($U$1,A:B,2,))/VLOOKUP($U$1,A:B,2,))*100)+100</f>
        <v>89.144736841821214</v>
      </c>
      <c r="I16" s="85">
        <f>(((Table134567891011121314151617343[[#This Row],[FRA]]-VLOOKUP($U$1,A:C,3,))/VLOOKUP($U$1,A:C,3,))*100)+100</f>
        <v>89.003805249292611</v>
      </c>
      <c r="J16" s="85">
        <f>(((Table134567891011121314151617343[[#This Row],[DEU]]-VLOOKUP($U$1,A:D,4,))/VLOOKUP($U$1,A:D,4,))*100)+100</f>
        <v>99.734042552823652</v>
      </c>
      <c r="K16" s="85">
        <f>(((Table134567891011121314151617343[[#This Row],[ESP]]-VLOOKUP($U$1,A:E,5,))/VLOOKUP($U$1,A:E,5,))*100)+100</f>
        <v>79.901083775294211</v>
      </c>
      <c r="L16" s="85">
        <f>(((Table134567891011121314151617343[[#This Row],[EA19]]-VLOOKUP($U$1,A:F,6,))/VLOOKUP($U$1,A:F,6,))*100)+100</f>
        <v>90.268456375838923</v>
      </c>
      <c r="M16" s="85">
        <f>(((Table134567891011121314151617343[[#This Row],[GBR]]-VLOOKUP($U$1,A:G,7,))/VLOOKUP($U$1,A:G,7,))*100)+100</f>
        <v>85.06417736270518</v>
      </c>
      <c r="N16" s="85">
        <f>VLOOKUP(A16,Database!$A:$AS,MATCH($N$1,Database!$A$1:$AS$1,0),FALSE)</f>
        <v>60.051407953000002</v>
      </c>
      <c r="O16" s="85">
        <f>(((Table134567891011121314151617343[[#This Row],[USA]]-VLOOKUP($U$1,A:N,14,))/VLOOKUP($U$1,A:N,14,))*100)+100</f>
        <v>69.133127252325124</v>
      </c>
      <c r="P16" s="85">
        <f>VLOOKUP(A16,Database!$A:$AS,MATCH($P$1,Database!$A$1:$AS$1,0),FALSE)</f>
        <v>106.987763477</v>
      </c>
      <c r="Q16" s="85">
        <f>(((Table134567891011121314151617343[[#This Row],[JPN]]-VLOOKUP($U$1,A:Q,16,))/VLOOKUP($U$1,A:Q,16,))*100)+100</f>
        <v>107.41351933835607</v>
      </c>
      <c r="W16" s="87" t="s">
        <v>214</v>
      </c>
    </row>
    <row r="17" spans="1:23" s="87" customFormat="1" x14ac:dyDescent="0.2">
      <c r="A17" s="22">
        <v>33329</v>
      </c>
      <c r="B17" s="85">
        <f>VLOOKUP(A17,Database!$A:$AS,MATCH($B$1,Database!$A$1:$AS$1,0),FALSE)</f>
        <v>107.391050746</v>
      </c>
      <c r="C17" s="85">
        <f>VLOOKUP(A17,Database!$A:$AS,MATCH($C$1,Database!$A$1:$AS$1,0),FALSE)</f>
        <v>91.19</v>
      </c>
      <c r="D17" s="85">
        <f>VLOOKUP(A17,Database!$A:$AS,MATCH($D$1,Database!$A$1:$AS$1,0),FALSE)</f>
        <v>74.393800517000003</v>
      </c>
      <c r="E17" s="85">
        <f>VLOOKUP(A17,Database!$A:$AS,MATCH($E$1,Database!$A$1:$AS$1,0),FALSE)</f>
        <v>102.14978314699999</v>
      </c>
      <c r="F17" s="85">
        <f>VLOOKUP(A17,Database!$A:$AS,MATCH($F$1,Database!$A$1:$AS$1,0),FALSE)</f>
        <v>80.2</v>
      </c>
      <c r="G17" s="85">
        <f>VLOOKUP(A17,Database!$A:$AS,MATCH($G$1,Database!$A$1:$AS$1,0),FALSE)</f>
        <v>77.433231762000005</v>
      </c>
      <c r="H17" s="85">
        <f>(((Table134567891011121314151617343[[#This Row],[ITA]]-VLOOKUP($U$1,A:B,2,))/VLOOKUP($U$1,A:B,2,))*100)+100</f>
        <v>88.322368421270426</v>
      </c>
      <c r="I17" s="85">
        <f>(((Table134567891011121314151617343[[#This Row],[FRA]]-VLOOKUP($U$1,A:C,3,))/VLOOKUP($U$1,A:C,3,))*100)+100</f>
        <v>88.974534100887894</v>
      </c>
      <c r="J17" s="85">
        <f>(((Table134567891011121314151617343[[#This Row],[DEU]]-VLOOKUP($U$1,A:D,4,))/VLOOKUP($U$1,A:D,4,))*100)+100</f>
        <v>98.936170212624489</v>
      </c>
      <c r="K17" s="85">
        <f>(((Table134567891011121314151617343[[#This Row],[ESP]]-VLOOKUP($U$1,A:E,5,))/VLOOKUP($U$1,A:E,5,))*100)+100</f>
        <v>85.861728185227747</v>
      </c>
      <c r="L17" s="85">
        <f>(((Table134567891011121314151617343[[#This Row],[EA19]]-VLOOKUP($U$1,A:F,6,))/VLOOKUP($U$1,A:F,6,))*100)+100</f>
        <v>89.709172259507824</v>
      </c>
      <c r="M17" s="85">
        <f>(((Table134567891011121314151617343[[#This Row],[GBR]]-VLOOKUP($U$1,A:G,7,))/VLOOKUP($U$1,A:G,7,))*100)+100</f>
        <v>84.014002333562786</v>
      </c>
      <c r="N17" s="85">
        <f>VLOOKUP(A17,Database!$A:$AS,MATCH($N$1,Database!$A$1:$AS$1,0),FALSE)</f>
        <v>60.224964931000002</v>
      </c>
      <c r="O17" s="85">
        <f>(((Table134567891011121314151617343[[#This Row],[USA]]-VLOOKUP($U$1,A:N,14,))/VLOOKUP($U$1,A:N,14,))*100)+100</f>
        <v>69.332931670815924</v>
      </c>
      <c r="P17" s="85">
        <f>VLOOKUP(A17,Database!$A:$AS,MATCH($P$1,Database!$A$1:$AS$1,0),FALSE)</f>
        <v>107.39340428600001</v>
      </c>
      <c r="Q17" s="85">
        <f>(((Table134567891011121314151617343[[#This Row],[JPN]]-VLOOKUP($U$1,A:Q,16,))/VLOOKUP($U$1,A:Q,16,))*100)+100</f>
        <v>107.82077438758714</v>
      </c>
      <c r="W17" s="87" t="s">
        <v>220</v>
      </c>
    </row>
    <row r="18" spans="1:23" s="87" customFormat="1" x14ac:dyDescent="0.2">
      <c r="A18" s="22">
        <v>33359</v>
      </c>
      <c r="B18" s="85">
        <f>VLOOKUP(A18,Database!$A:$AS,MATCH($B$1,Database!$A$1:$AS$1,0),FALSE)</f>
        <v>108.690942421</v>
      </c>
      <c r="C18" s="85">
        <f>VLOOKUP(A18,Database!$A:$AS,MATCH($C$1,Database!$A$1:$AS$1,0),FALSE)</f>
        <v>91.33</v>
      </c>
      <c r="D18" s="85">
        <f>VLOOKUP(A18,Database!$A:$AS,MATCH($D$1,Database!$A$1:$AS$1,0),FALSE)</f>
        <v>73.193900507999999</v>
      </c>
      <c r="E18" s="85">
        <f>VLOOKUP(A18,Database!$A:$AS,MATCH($E$1,Database!$A$1:$AS$1,0),FALSE)</f>
        <v>97.120714164999995</v>
      </c>
      <c r="F18" s="85">
        <f>VLOOKUP(A18,Database!$A:$AS,MATCH($F$1,Database!$A$1:$AS$1,0),FALSE)</f>
        <v>80.2</v>
      </c>
      <c r="G18" s="85">
        <f>VLOOKUP(A18,Database!$A:$AS,MATCH($G$1,Database!$A$1:$AS$1,0),FALSE)</f>
        <v>78.293601003999996</v>
      </c>
      <c r="H18" s="85">
        <f>(((Table134567891011121314151617343[[#This Row],[ITA]]-VLOOKUP($U$1,A:B,2,))/VLOOKUP($U$1,A:B,2,))*100)+100</f>
        <v>89.391447368068683</v>
      </c>
      <c r="I18" s="85">
        <f>(((Table134567891011121314151617343[[#This Row],[FRA]]-VLOOKUP($U$1,A:C,3,))/VLOOKUP($U$1,A:C,3,))*100)+100</f>
        <v>89.111132793443261</v>
      </c>
      <c r="J18" s="85">
        <f>(((Table134567891011121314151617343[[#This Row],[DEU]]-VLOOKUP($U$1,A:D,4,))/VLOOKUP($U$1,A:D,4,))*100)+100</f>
        <v>97.340425530896255</v>
      </c>
      <c r="K18" s="85">
        <f>(((Table134567891011121314151617343[[#This Row],[ESP]]-VLOOKUP($U$1,A:E,5,))/VLOOKUP($U$1,A:E,5,))*100)+100</f>
        <v>81.634557645513041</v>
      </c>
      <c r="L18" s="85">
        <f>(((Table134567891011121314151617343[[#This Row],[EA19]]-VLOOKUP($U$1,A:F,6,))/VLOOKUP($U$1,A:F,6,))*100)+100</f>
        <v>89.709172259507824</v>
      </c>
      <c r="M18" s="85">
        <f>(((Table134567891011121314151617343[[#This Row],[GBR]]-VLOOKUP($U$1,A:G,7,))/VLOOKUP($U$1,A:G,7,))*100)+100</f>
        <v>84.947491248597132</v>
      </c>
      <c r="N18" s="85">
        <f>VLOOKUP(A18,Database!$A:$AS,MATCH($N$1,Database!$A$1:$AS$1,0),FALSE)</f>
        <v>60.816505786999997</v>
      </c>
      <c r="O18" s="85">
        <f>(((Table134567891011121314151617343[[#This Row],[USA]]-VLOOKUP($U$1,A:N,14,))/VLOOKUP($U$1,A:N,14,))*100)+100</f>
        <v>70.013932677566743</v>
      </c>
      <c r="P18" s="85">
        <f>VLOOKUP(A18,Database!$A:$AS,MATCH($P$1,Database!$A$1:$AS$1,0),FALSE)</f>
        <v>108.508916512</v>
      </c>
      <c r="Q18" s="85">
        <f>(((Table134567891011121314151617343[[#This Row],[JPN]]-VLOOKUP($U$1,A:Q,16,))/VLOOKUP($U$1,A:Q,16,))*100)+100</f>
        <v>108.94072577422756</v>
      </c>
      <c r="W18" s="87" t="s">
        <v>222</v>
      </c>
    </row>
    <row r="19" spans="1:23" s="87" customFormat="1" x14ac:dyDescent="0.2">
      <c r="A19" s="22">
        <v>33390</v>
      </c>
      <c r="B19" s="85">
        <f>VLOOKUP(A19,Database!$A:$AS,MATCH($B$1,Database!$A$1:$AS$1,0),FALSE)</f>
        <v>109.090909091</v>
      </c>
      <c r="C19" s="85">
        <f>VLOOKUP(A19,Database!$A:$AS,MATCH($C$1,Database!$A$1:$AS$1,0),FALSE)</f>
        <v>91.69</v>
      </c>
      <c r="D19" s="85">
        <f>VLOOKUP(A19,Database!$A:$AS,MATCH($D$1,Database!$A$1:$AS$1,0),FALSE)</f>
        <v>76.393633863999995</v>
      </c>
      <c r="E19" s="85">
        <f>VLOOKUP(A19,Database!$A:$AS,MATCH($E$1,Database!$A$1:$AS$1,0),FALSE)</f>
        <v>100.165092278</v>
      </c>
      <c r="F19" s="85">
        <f>VLOOKUP(A19,Database!$A:$AS,MATCH($F$1,Database!$A$1:$AS$1,0),FALSE)</f>
        <v>81.7</v>
      </c>
      <c r="G19" s="85">
        <f>VLOOKUP(A19,Database!$A:$AS,MATCH($G$1,Database!$A$1:$AS$1,0),FALSE)</f>
        <v>78.616239469000007</v>
      </c>
      <c r="H19" s="85">
        <f>(((Table134567891011121314151617343[[#This Row],[ITA]]-VLOOKUP($U$1,A:B,2,))/VLOOKUP($U$1,A:B,2,))*100)+100</f>
        <v>89.720394736946943</v>
      </c>
      <c r="I19" s="85">
        <f>(((Table134567891011121314151617343[[#This Row],[FRA]]-VLOOKUP($U$1,A:C,3,))/VLOOKUP($U$1,A:C,3,))*100)+100</f>
        <v>89.462386574299927</v>
      </c>
      <c r="J19" s="85">
        <f>(((Table134567891011121314151617343[[#This Row],[DEU]]-VLOOKUP($U$1,A:D,4,))/VLOOKUP($U$1,A:D,4,))*100)+100</f>
        <v>101.59574468039833</v>
      </c>
      <c r="K19" s="85">
        <f>(((Table134567891011121314151617343[[#This Row],[ESP]]-VLOOKUP($U$1,A:E,5,))/VLOOKUP($U$1,A:E,5,))*100)+100</f>
        <v>84.193501560795738</v>
      </c>
      <c r="L19" s="85">
        <f>(((Table134567891011121314151617343[[#This Row],[EA19]]-VLOOKUP($U$1,A:F,6,))/VLOOKUP($U$1,A:F,6,))*100)+100</f>
        <v>91.387024608501122</v>
      </c>
      <c r="M19" s="85">
        <f>(((Table134567891011121314151617343[[#This Row],[GBR]]-VLOOKUP($U$1,A:G,7,))/VLOOKUP($U$1,A:G,7,))*100)+100</f>
        <v>85.297549590921292</v>
      </c>
      <c r="N19" s="85">
        <f>VLOOKUP(A19,Database!$A:$AS,MATCH($N$1,Database!$A$1:$AS$1,0),FALSE)</f>
        <v>61.294654764000001</v>
      </c>
      <c r="O19" s="85">
        <f>(((Table134567891011121314151617343[[#This Row],[USA]]-VLOOKUP($U$1,A:N,14,))/VLOOKUP($U$1,A:N,14,))*100)+100</f>
        <v>70.564393277897409</v>
      </c>
      <c r="P19" s="85">
        <f>VLOOKUP(A19,Database!$A:$AS,MATCH($P$1,Database!$A$1:$AS$1,0),FALSE)</f>
        <v>105.365200239</v>
      </c>
      <c r="Q19" s="85">
        <f>(((Table134567891011121314151617343[[#This Row],[JPN]]-VLOOKUP($U$1,A:Q,16,))/VLOOKUP($U$1,A:Q,16,))*100)+100</f>
        <v>105.78449913942381</v>
      </c>
      <c r="W19" s="87" t="s">
        <v>224</v>
      </c>
    </row>
    <row r="20" spans="1:23" s="87" customFormat="1" x14ac:dyDescent="0.2">
      <c r="A20" s="22">
        <v>33420</v>
      </c>
      <c r="B20" s="85">
        <f>VLOOKUP(A20,Database!$A:$AS,MATCH($B$1,Database!$A$1:$AS$1,0),FALSE)</f>
        <v>109.090909091</v>
      </c>
      <c r="C20" s="85">
        <f>VLOOKUP(A20,Database!$A:$AS,MATCH($C$1,Database!$A$1:$AS$1,0),FALSE)</f>
        <v>90.15</v>
      </c>
      <c r="D20" s="85">
        <f>VLOOKUP(A20,Database!$A:$AS,MATCH($D$1,Database!$A$1:$AS$1,0),FALSE)</f>
        <v>74.193817182000004</v>
      </c>
      <c r="E20" s="85">
        <f>VLOOKUP(A20,Database!$A:$AS,MATCH($E$1,Database!$A$1:$AS$1,0),FALSE)</f>
        <v>97.713067210999995</v>
      </c>
      <c r="F20" s="85">
        <f>VLOOKUP(A20,Database!$A:$AS,MATCH($F$1,Database!$A$1:$AS$1,0),FALSE)</f>
        <v>80.2</v>
      </c>
      <c r="G20" s="85">
        <f>VLOOKUP(A20,Database!$A:$AS,MATCH($G$1,Database!$A$1:$AS$1,0),FALSE)</f>
        <v>77.863416383000001</v>
      </c>
      <c r="H20" s="85">
        <f>(((Table134567891011121314151617343[[#This Row],[ITA]]-VLOOKUP($U$1,A:B,2,))/VLOOKUP($U$1,A:B,2,))*100)+100</f>
        <v>89.720394736946943</v>
      </c>
      <c r="I20" s="85">
        <f>(((Table134567891011121314151617343[[#This Row],[FRA]]-VLOOKUP($U$1,A:C,3,))/VLOOKUP($U$1,A:C,3,))*100)+100</f>
        <v>87.959800956190861</v>
      </c>
      <c r="J20" s="85">
        <f>(((Table134567891011121314151617343[[#This Row],[DEU]]-VLOOKUP($U$1,A:D,4,))/VLOOKUP($U$1,A:D,4,))*100)+100</f>
        <v>98.670212765448142</v>
      </c>
      <c r="K20" s="85">
        <f>(((Table134567891011121314151617343[[#This Row],[ESP]]-VLOOKUP($U$1,A:E,5,))/VLOOKUP($U$1,A:E,5,))*100)+100</f>
        <v>82.132458420810352</v>
      </c>
      <c r="L20" s="85">
        <f>(((Table134567891011121314151617343[[#This Row],[EA19]]-VLOOKUP($U$1,A:F,6,))/VLOOKUP($U$1,A:F,6,))*100)+100</f>
        <v>89.709172259507824</v>
      </c>
      <c r="M20" s="85">
        <f>(((Table134567891011121314151617343[[#This Row],[GBR]]-VLOOKUP($U$1,A:G,7,))/VLOOKUP($U$1,A:G,7,))*100)+100</f>
        <v>84.480746791079952</v>
      </c>
      <c r="N20" s="85">
        <f>VLOOKUP(A20,Database!$A:$AS,MATCH($N$1,Database!$A$1:$AS$1,0),FALSE)</f>
        <v>61.460084002000002</v>
      </c>
      <c r="O20" s="85">
        <f>(((Table134567891011121314151617343[[#This Row],[USA]]-VLOOKUP($U$1,A:N,14,))/VLOOKUP($U$1,A:N,14,))*100)+100</f>
        <v>70.754840778659769</v>
      </c>
      <c r="P20" s="85">
        <f>VLOOKUP(A20,Database!$A:$AS,MATCH($P$1,Database!$A$1:$AS$1,0),FALSE)</f>
        <v>107.697634893</v>
      </c>
      <c r="Q20" s="85">
        <f>(((Table134567891011121314151617343[[#This Row],[JPN]]-VLOOKUP($U$1,A:Q,16,))/VLOOKUP($U$1,A:Q,16,))*100)+100</f>
        <v>108.12621567476144</v>
      </c>
      <c r="W20" s="87" t="s">
        <v>230</v>
      </c>
    </row>
    <row r="21" spans="1:23" s="87" customFormat="1" x14ac:dyDescent="0.2">
      <c r="A21" s="22">
        <v>33451</v>
      </c>
      <c r="B21" s="85">
        <f>VLOOKUP(A21,Database!$A:$AS,MATCH($B$1,Database!$A$1:$AS$1,0),FALSE)</f>
        <v>109.69085909499999</v>
      </c>
      <c r="C21" s="85">
        <f>VLOOKUP(A21,Database!$A:$AS,MATCH($C$1,Database!$A$1:$AS$1,0),FALSE)</f>
        <v>91.06</v>
      </c>
      <c r="D21" s="85">
        <f>VLOOKUP(A21,Database!$A:$AS,MATCH($D$1,Database!$A$1:$AS$1,0),FALSE)</f>
        <v>72.993917174000003</v>
      </c>
      <c r="E21" s="85">
        <f>VLOOKUP(A21,Database!$A:$AS,MATCH($E$1,Database!$A$1:$AS$1,0),FALSE)</f>
        <v>97.486349388999997</v>
      </c>
      <c r="F21" s="85">
        <f>VLOOKUP(A21,Database!$A:$AS,MATCH($F$1,Database!$A$1:$AS$1,0),FALSE)</f>
        <v>80.099999999999994</v>
      </c>
      <c r="G21" s="85">
        <f>VLOOKUP(A21,Database!$A:$AS,MATCH($G$1,Database!$A$1:$AS$1,0),FALSE)</f>
        <v>77.110593296000005</v>
      </c>
      <c r="H21" s="85">
        <f>(((Table134567891011121314151617343[[#This Row],[ITA]]-VLOOKUP($U$1,A:B,2,))/VLOOKUP($U$1,A:B,2,))*100)+100</f>
        <v>90.213815789441895</v>
      </c>
      <c r="I21" s="85">
        <f>(((Table134567891011121314151617343[[#This Row],[FRA]]-VLOOKUP($U$1,A:C,3,))/VLOOKUP($U$1,A:C,3,))*100)+100</f>
        <v>88.847692457800761</v>
      </c>
      <c r="J21" s="85">
        <f>(((Table134567891011121314151617343[[#This Row],[DEU]]-VLOOKUP($U$1,A:D,4,))/VLOOKUP($U$1,A:D,4,))*100)+100</f>
        <v>97.074468085049801</v>
      </c>
      <c r="K21" s="85">
        <f>(((Table134567891011121314151617343[[#This Row],[ESP]]-VLOOKUP($U$1,A:E,5,))/VLOOKUP($U$1,A:E,5,))*100)+100</f>
        <v>81.941891359309125</v>
      </c>
      <c r="L21" s="85">
        <f>(((Table134567891011121314151617343[[#This Row],[EA19]]-VLOOKUP($U$1,A:F,6,))/VLOOKUP($U$1,A:F,6,))*100)+100</f>
        <v>89.597315436241601</v>
      </c>
      <c r="M21" s="85">
        <f>(((Table134567891011121314151617343[[#This Row],[GBR]]-VLOOKUP($U$1,A:G,7,))/VLOOKUP($U$1,A:G,7,))*100)+100</f>
        <v>83.663943990153655</v>
      </c>
      <c r="N21" s="85">
        <f>VLOOKUP(A21,Database!$A:$AS,MATCH($N$1,Database!$A$1:$AS$1,0),FALSE)</f>
        <v>61.467617029000003</v>
      </c>
      <c r="O21" s="85">
        <f>(((Table134567891011121314151617343[[#This Row],[USA]]-VLOOKUP($U$1,A:N,14,))/VLOOKUP($U$1,A:N,14,))*100)+100</f>
        <v>70.763513043506464</v>
      </c>
      <c r="P21" s="85">
        <f>VLOOKUP(A21,Database!$A:$AS,MATCH($P$1,Database!$A$1:$AS$1,0),FALSE)</f>
        <v>105.97366145300001</v>
      </c>
      <c r="Q21" s="85">
        <f>(((Table134567891011121314151617343[[#This Row],[JPN]]-VLOOKUP($U$1,A:Q,16,))/VLOOKUP($U$1,A:Q,16,))*100)+100</f>
        <v>106.39538171377242</v>
      </c>
      <c r="W21" s="87" t="s">
        <v>534</v>
      </c>
    </row>
    <row r="22" spans="1:23" s="87" customFormat="1" x14ac:dyDescent="0.2">
      <c r="A22" s="22">
        <v>33482</v>
      </c>
      <c r="B22" s="85">
        <f>VLOOKUP(A22,Database!$A:$AS,MATCH($B$1,Database!$A$1:$AS$1,0),FALSE)</f>
        <v>110.89075910299999</v>
      </c>
      <c r="C22" s="85">
        <f>VLOOKUP(A22,Database!$A:$AS,MATCH($C$1,Database!$A$1:$AS$1,0),FALSE)</f>
        <v>91.38</v>
      </c>
      <c r="D22" s="85">
        <f>VLOOKUP(A22,Database!$A:$AS,MATCH($D$1,Database!$A$1:$AS$1,0),FALSE)</f>
        <v>72.793933839000005</v>
      </c>
      <c r="E22" s="85">
        <f>VLOOKUP(A22,Database!$A:$AS,MATCH($E$1,Database!$A$1:$AS$1,0),FALSE)</f>
        <v>99.924769441999999</v>
      </c>
      <c r="F22" s="85">
        <f>VLOOKUP(A22,Database!$A:$AS,MATCH($F$1,Database!$A$1:$AS$1,0),FALSE)</f>
        <v>80.3</v>
      </c>
      <c r="G22" s="85">
        <f>VLOOKUP(A22,Database!$A:$AS,MATCH($G$1,Database!$A$1:$AS$1,0),FALSE)</f>
        <v>77.218139452000003</v>
      </c>
      <c r="H22" s="85">
        <f>(((Table134567891011121314151617343[[#This Row],[ITA]]-VLOOKUP($U$1,A:B,2,))/VLOOKUP($U$1,A:B,2,))*100)+100</f>
        <v>91.200657894431814</v>
      </c>
      <c r="I22" s="85">
        <f>(((Table134567891011121314151617343[[#This Row],[FRA]]-VLOOKUP($U$1,A:C,3,))/VLOOKUP($U$1,A:C,3,))*100)+100</f>
        <v>89.159918040784461</v>
      </c>
      <c r="J22" s="85">
        <f>(((Table134567891011121314151617343[[#This Row],[DEU]]-VLOOKUP($U$1,A:D,4,))/VLOOKUP($U$1,A:D,4,))*100)+100</f>
        <v>96.808510637873454</v>
      </c>
      <c r="K22" s="85">
        <f>(((Table134567891011121314151617343[[#This Row],[ESP]]-VLOOKUP($U$1,A:E,5,))/VLOOKUP($U$1,A:E,5,))*100)+100</f>
        <v>83.991498841008848</v>
      </c>
      <c r="L22" s="85">
        <f>(((Table134567891011121314151617343[[#This Row],[EA19]]-VLOOKUP($U$1,A:F,6,))/VLOOKUP($U$1,A:F,6,))*100)+100</f>
        <v>89.821029082774032</v>
      </c>
      <c r="M22" s="85">
        <f>(((Table134567891011121314151617343[[#This Row],[GBR]]-VLOOKUP($U$1,A:G,7,))/VLOOKUP($U$1,A:G,7,))*100)+100</f>
        <v>83.780630105346674</v>
      </c>
      <c r="N22" s="85">
        <f>VLOOKUP(A22,Database!$A:$AS,MATCH($N$1,Database!$A$1:$AS$1,0),FALSE)</f>
        <v>61.994532442999997</v>
      </c>
      <c r="O22" s="85">
        <f>(((Table134567891011121314151617343[[#This Row],[USA]]-VLOOKUP($U$1,A:N,14,))/VLOOKUP($U$1,A:N,14,))*100)+100</f>
        <v>71.370115146754131</v>
      </c>
      <c r="P22" s="85">
        <f>VLOOKUP(A22,Database!$A:$AS,MATCH($P$1,Database!$A$1:$AS$1,0),FALSE)</f>
        <v>106.07507165600001</v>
      </c>
      <c r="Q22" s="85">
        <f>(((Table134567891011121314151617343[[#This Row],[JPN]]-VLOOKUP($U$1,A:Q,16,))/VLOOKUP($U$1,A:Q,16,))*100)+100</f>
        <v>106.49719547683317</v>
      </c>
      <c r="W22" s="87" t="s">
        <v>264</v>
      </c>
    </row>
    <row r="23" spans="1:23" s="87" customFormat="1" x14ac:dyDescent="0.2">
      <c r="A23" s="22">
        <v>33512</v>
      </c>
      <c r="B23" s="85">
        <f>VLOOKUP(A23,Database!$A:$AS,MATCH($B$1,Database!$A$1:$AS$1,0),FALSE)</f>
        <v>110.190817432</v>
      </c>
      <c r="C23" s="85">
        <f>VLOOKUP(A23,Database!$A:$AS,MATCH($C$1,Database!$A$1:$AS$1,0),FALSE)</f>
        <v>90.97</v>
      </c>
      <c r="D23" s="85">
        <f>VLOOKUP(A23,Database!$A:$AS,MATCH($D$1,Database!$A$1:$AS$1,0),FALSE)</f>
        <v>73.893842179999993</v>
      </c>
      <c r="E23" s="85">
        <f>VLOOKUP(A23,Database!$A:$AS,MATCH($E$1,Database!$A$1:$AS$1,0),FALSE)</f>
        <v>100.52448302000001</v>
      </c>
      <c r="F23" s="85">
        <f>VLOOKUP(A23,Database!$A:$AS,MATCH($F$1,Database!$A$1:$AS$1,0),FALSE)</f>
        <v>80.599999999999994</v>
      </c>
      <c r="G23" s="85">
        <f>VLOOKUP(A23,Database!$A:$AS,MATCH($G$1,Database!$A$1:$AS$1,0),FALSE)</f>
        <v>78.186054849000001</v>
      </c>
      <c r="H23" s="85">
        <f>(((Table134567891011121314151617343[[#This Row],[ITA]]-VLOOKUP($U$1,A:B,2,))/VLOOKUP($U$1,A:B,2,))*100)+100</f>
        <v>90.625000000128509</v>
      </c>
      <c r="I23" s="85">
        <f>(((Table134567891011121314151617343[[#This Row],[FRA]]-VLOOKUP($U$1,A:C,3,))/VLOOKUP($U$1,A:C,3,))*100)+100</f>
        <v>88.759879012586595</v>
      </c>
      <c r="J23" s="85">
        <f>(((Table134567891011121314151617343[[#This Row],[DEU]]-VLOOKUP($U$1,A:D,4,))/VLOOKUP($U$1,A:D,4,))*100)+100</f>
        <v>98.271276595348539</v>
      </c>
      <c r="K23" s="85">
        <f>(((Table134567891011121314151617343[[#This Row],[ESP]]-VLOOKUP($U$1,A:E,5,))/VLOOKUP($U$1,A:E,5,))*100)+100</f>
        <v>84.495586491876651</v>
      </c>
      <c r="L23" s="85">
        <f>(((Table134567891011121314151617343[[#This Row],[EA19]]-VLOOKUP($U$1,A:F,6,))/VLOOKUP($U$1,A:F,6,))*100)+100</f>
        <v>90.1565995525727</v>
      </c>
      <c r="M23" s="85">
        <f>(((Table134567891011121314151617343[[#This Row],[GBR]]-VLOOKUP($U$1,A:G,7,))/VLOOKUP($U$1,A:G,7,))*100)+100</f>
        <v>84.830805134489083</v>
      </c>
      <c r="N23" s="85">
        <f>VLOOKUP(A23,Database!$A:$AS,MATCH($N$1,Database!$A$1:$AS$1,0),FALSE)</f>
        <v>61.906812326000001</v>
      </c>
      <c r="O23" s="85">
        <f>(((Table134567891011121314151617343[[#This Row],[USA]]-VLOOKUP($U$1,A:N,14,))/VLOOKUP($U$1,A:N,14,))*100)+100</f>
        <v>71.269128904834616</v>
      </c>
      <c r="P23" s="85">
        <f>VLOOKUP(A23,Database!$A:$AS,MATCH($P$1,Database!$A$1:$AS$1,0),FALSE)</f>
        <v>105.365200239</v>
      </c>
      <c r="Q23" s="85">
        <f>(((Table134567891011121314151617343[[#This Row],[JPN]]-VLOOKUP($U$1,A:Q,16,))/VLOOKUP($U$1,A:Q,16,))*100)+100</f>
        <v>105.78449913942381</v>
      </c>
      <c r="W23" s="87" t="s">
        <v>535</v>
      </c>
    </row>
    <row r="24" spans="1:23" s="87" customFormat="1" x14ac:dyDescent="0.2">
      <c r="A24" s="22">
        <v>33543</v>
      </c>
      <c r="B24" s="85">
        <f>VLOOKUP(A24,Database!$A:$AS,MATCH($B$1,Database!$A$1:$AS$1,0),FALSE)</f>
        <v>110.790767436</v>
      </c>
      <c r="C24" s="85">
        <f>VLOOKUP(A24,Database!$A:$AS,MATCH($C$1,Database!$A$1:$AS$1,0),FALSE)</f>
        <v>92.41</v>
      </c>
      <c r="D24" s="85">
        <f>VLOOKUP(A24,Database!$A:$AS,MATCH($D$1,Database!$A$1:$AS$1,0),FALSE)</f>
        <v>74.693775518999999</v>
      </c>
      <c r="E24" s="85">
        <f>VLOOKUP(A24,Database!$A:$AS,MATCH($E$1,Database!$A$1:$AS$1,0),FALSE)</f>
        <v>100.23098241700001</v>
      </c>
      <c r="F24" s="85">
        <f>VLOOKUP(A24,Database!$A:$AS,MATCH($F$1,Database!$A$1:$AS$1,0),FALSE)</f>
        <v>81.5</v>
      </c>
      <c r="G24" s="85">
        <f>VLOOKUP(A24,Database!$A:$AS,MATCH($G$1,Database!$A$1:$AS$1,0),FALSE)</f>
        <v>78.401147159000004</v>
      </c>
      <c r="H24" s="85">
        <f>(((Table134567891011121314151617343[[#This Row],[ITA]]-VLOOKUP($U$1,A:B,2,))/VLOOKUP($U$1,A:B,2,))*100)+100</f>
        <v>91.118421052623461</v>
      </c>
      <c r="I24" s="85">
        <f>(((Table134567891011121314151617343[[#This Row],[FRA]]-VLOOKUP($U$1,A:C,3,))/VLOOKUP($U$1,A:C,3,))*100)+100</f>
        <v>90.164894136013274</v>
      </c>
      <c r="J24" s="85">
        <f>(((Table134567891011121314151617343[[#This Row],[DEU]]-VLOOKUP($U$1,A:D,4,))/VLOOKUP($U$1,A:D,4,))*100)+100</f>
        <v>99.335106382724064</v>
      </c>
      <c r="K24" s="85">
        <f>(((Table134567891011121314151617343[[#This Row],[ESP]]-VLOOKUP($U$1,A:E,5,))/VLOOKUP($U$1,A:E,5,))*100)+100</f>
        <v>84.248885341657655</v>
      </c>
      <c r="L24" s="85">
        <f>(((Table134567891011121314151617343[[#This Row],[EA19]]-VLOOKUP($U$1,A:F,6,))/VLOOKUP($U$1,A:F,6,))*100)+100</f>
        <v>91.163310961968676</v>
      </c>
      <c r="M24" s="85">
        <f>(((Table134567891011121314151617343[[#This Row],[GBR]]-VLOOKUP($U$1,A:G,7,))/VLOOKUP($U$1,A:G,7,))*100)+100</f>
        <v>85.06417736270518</v>
      </c>
      <c r="N24" s="85">
        <f>VLOOKUP(A24,Database!$A:$AS,MATCH($N$1,Database!$A$1:$AS$1,0),FALSE)</f>
        <v>61.821371941000002</v>
      </c>
      <c r="O24" s="85">
        <f>(((Table134567891011121314151617343[[#This Row],[USA]]-VLOOKUP($U$1,A:N,14,))/VLOOKUP($U$1,A:N,14,))*100)+100</f>
        <v>71.170767164285323</v>
      </c>
      <c r="P24" s="85">
        <f>VLOOKUP(A24,Database!$A:$AS,MATCH($P$1,Database!$A$1:$AS$1,0),FALSE)</f>
        <v>106.07507165600001</v>
      </c>
      <c r="Q24" s="85">
        <f>(((Table134567891011121314151617343[[#This Row],[JPN]]-VLOOKUP($U$1,A:Q,16,))/VLOOKUP($U$1,A:Q,16,))*100)+100</f>
        <v>106.49719547683317</v>
      </c>
      <c r="W24" s="87" t="s">
        <v>276</v>
      </c>
    </row>
    <row r="25" spans="1:23" s="87" customFormat="1" x14ac:dyDescent="0.2">
      <c r="A25" s="22">
        <v>33573</v>
      </c>
      <c r="B25" s="85">
        <f>VLOOKUP(A25,Database!$A:$AS,MATCH($B$1,Database!$A$1:$AS$1,0),FALSE)</f>
        <v>109.290892426</v>
      </c>
      <c r="C25" s="85">
        <f>VLOOKUP(A25,Database!$A:$AS,MATCH($C$1,Database!$A$1:$AS$1,0),FALSE)</f>
        <v>91.58</v>
      </c>
      <c r="D25" s="85">
        <f>VLOOKUP(A25,Database!$A:$AS,MATCH($D$1,Database!$A$1:$AS$1,0),FALSE)</f>
        <v>74.793767185999997</v>
      </c>
      <c r="E25" s="85">
        <f>VLOOKUP(A25,Database!$A:$AS,MATCH($E$1,Database!$A$1:$AS$1,0),FALSE)</f>
        <v>101.237651185</v>
      </c>
      <c r="F25" s="85">
        <f>VLOOKUP(A25,Database!$A:$AS,MATCH($F$1,Database!$A$1:$AS$1,0),FALSE)</f>
        <v>80.900000000000006</v>
      </c>
      <c r="G25" s="85">
        <f>VLOOKUP(A25,Database!$A:$AS,MATCH($G$1,Database!$A$1:$AS$1,0),FALSE)</f>
        <v>78.078508693000003</v>
      </c>
      <c r="H25" s="85">
        <f>(((Table134567891011121314151617343[[#This Row],[ITA]]-VLOOKUP($U$1,A:B,2,))/VLOOKUP($U$1,A:B,2,))*100)+100</f>
        <v>89.884868421386074</v>
      </c>
      <c r="I25" s="85">
        <f>(((Table134567891011121314151617343[[#This Row],[FRA]]-VLOOKUP($U$1,A:C,3,))/VLOOKUP($U$1,A:C,3,))*100)+100</f>
        <v>89.355059030149278</v>
      </c>
      <c r="J25" s="85">
        <f>(((Table134567891011121314151617343[[#This Row],[DEU]]-VLOOKUP($U$1,A:D,4,))/VLOOKUP($U$1,A:D,4,))*100)+100</f>
        <v>99.46808510564729</v>
      </c>
      <c r="K25" s="85">
        <f>(((Table134567891011121314151617343[[#This Row],[ESP]]-VLOOKUP($U$1,A:E,5,))/VLOOKUP($U$1,A:E,5,))*100)+100</f>
        <v>85.095038093702058</v>
      </c>
      <c r="L25" s="85">
        <f>(((Table134567891011121314151617343[[#This Row],[EA19]]-VLOOKUP($U$1,A:F,6,))/VLOOKUP($U$1,A:F,6,))*100)+100</f>
        <v>90.492170022371369</v>
      </c>
      <c r="M25" s="85">
        <f>(((Table134567891011121314151617343[[#This Row],[GBR]]-VLOOKUP($U$1,A:G,7,))/VLOOKUP($U$1,A:G,7,))*100)+100</f>
        <v>84.714119019296049</v>
      </c>
      <c r="N25" s="85">
        <f>VLOOKUP(A25,Database!$A:$AS,MATCH($N$1,Database!$A$1:$AS$1,0),FALSE)</f>
        <v>61.552660938999999</v>
      </c>
      <c r="O25" s="85">
        <f>(((Table134567891011121314151617343[[#This Row],[USA]]-VLOOKUP($U$1,A:N,14,))/VLOOKUP($U$1,A:N,14,))*100)+100</f>
        <v>70.861418349185016</v>
      </c>
      <c r="P25" s="85">
        <f>VLOOKUP(A25,Database!$A:$AS,MATCH($P$1,Database!$A$1:$AS$1,0),FALSE)</f>
        <v>104.655328823</v>
      </c>
      <c r="Q25" s="85">
        <f>(((Table134567891011121314151617343[[#This Row],[JPN]]-VLOOKUP($U$1,A:Q,16,))/VLOOKUP($U$1,A:Q,16,))*100)+100</f>
        <v>105.07180280301846</v>
      </c>
      <c r="W25" s="87" t="s">
        <v>314</v>
      </c>
    </row>
    <row r="26" spans="1:23" s="87" customFormat="1" x14ac:dyDescent="0.2">
      <c r="A26" s="22">
        <v>33604</v>
      </c>
      <c r="B26" s="85">
        <f>VLOOKUP(A26,Database!$A:$AS,MATCH($B$1,Database!$A$1:$AS$1,0),FALSE)</f>
        <v>110.190817432</v>
      </c>
      <c r="C26" s="85">
        <f>VLOOKUP(A26,Database!$A:$AS,MATCH($C$1,Database!$A$1:$AS$1,0),FALSE)</f>
        <v>91.83</v>
      </c>
      <c r="D26" s="85">
        <f>VLOOKUP(A26,Database!$A:$AS,MATCH($D$1,Database!$A$1:$AS$1,0),FALSE)</f>
        <v>75.693692192</v>
      </c>
      <c r="E26" s="85">
        <f>VLOOKUP(A26,Database!$A:$AS,MATCH($E$1,Database!$A$1:$AS$1,0),FALSE)</f>
        <v>99.656083046999996</v>
      </c>
      <c r="F26" s="85">
        <f>VLOOKUP(A26,Database!$A:$AS,MATCH($F$1,Database!$A$1:$AS$1,0),FALSE)</f>
        <v>81.900000000000006</v>
      </c>
      <c r="G26" s="85">
        <f>VLOOKUP(A26,Database!$A:$AS,MATCH($G$1,Database!$A$1:$AS$1,0),FALSE)</f>
        <v>77.970962537999995</v>
      </c>
      <c r="H26" s="85">
        <f>(((Table134567891011121314151617343[[#This Row],[ITA]]-VLOOKUP($U$1,A:B,2,))/VLOOKUP($U$1,A:B,2,))*100)+100</f>
        <v>90.625000000128509</v>
      </c>
      <c r="I26" s="85">
        <f>(((Table134567891011121314151617343[[#This Row],[FRA]]-VLOOKUP($U$1,A:C,3,))/VLOOKUP($U$1,A:C,3,))*100)+100</f>
        <v>89.598985266855308</v>
      </c>
      <c r="J26" s="85">
        <f>(((Table134567891011121314151617343[[#This Row],[DEU]]-VLOOKUP($U$1,A:D,4,))/VLOOKUP($U$1,A:D,4,))*100)+100</f>
        <v>100.66489361594604</v>
      </c>
      <c r="K26" s="85">
        <f>(((Table134567891011121314151617343[[#This Row],[ESP]]-VLOOKUP($U$1,A:E,5,))/VLOOKUP($U$1,A:E,5,))*100)+100</f>
        <v>83.76565520724057</v>
      </c>
      <c r="L26" s="85">
        <f>(((Table134567891011121314151617343[[#This Row],[EA19]]-VLOOKUP($U$1,A:F,6,))/VLOOKUP($U$1,A:F,6,))*100)+100</f>
        <v>91.610738255033553</v>
      </c>
      <c r="M26" s="85">
        <f>(((Table134567891011121314151617343[[#This Row],[GBR]]-VLOOKUP($U$1,A:G,7,))/VLOOKUP($U$1,A:G,7,))*100)+100</f>
        <v>84.597432905188001</v>
      </c>
      <c r="N26" s="85">
        <f>VLOOKUP(A26,Database!$A:$AS,MATCH($N$1,Database!$A$1:$AS$1,0),FALSE)</f>
        <v>61.230029322</v>
      </c>
      <c r="O26" s="85">
        <f>(((Table134567891011121314151617343[[#This Row],[USA]]-VLOOKUP($U$1,A:N,14,))/VLOOKUP($U$1,A:N,14,))*100)+100</f>
        <v>70.489994374394257</v>
      </c>
      <c r="P26" s="85">
        <f>VLOOKUP(A26,Database!$A:$AS,MATCH($P$1,Database!$A$1:$AS$1,0),FALSE)</f>
        <v>103.94545740700001</v>
      </c>
      <c r="Q26" s="85">
        <f>(((Table134567891011121314151617343[[#This Row],[JPN]]-VLOOKUP($U$1,A:Q,16,))/VLOOKUP($U$1,A:Q,16,))*100)+100</f>
        <v>104.35910646661308</v>
      </c>
      <c r="W26" s="87" t="s">
        <v>318</v>
      </c>
    </row>
    <row r="27" spans="1:23" s="87" customFormat="1" x14ac:dyDescent="0.2">
      <c r="A27" s="22">
        <v>33635</v>
      </c>
      <c r="B27" s="85">
        <f>VLOOKUP(A27,Database!$A:$AS,MATCH($B$1,Database!$A$1:$AS$1,0),FALSE)</f>
        <v>110.190817432</v>
      </c>
      <c r="C27" s="85">
        <f>VLOOKUP(A27,Database!$A:$AS,MATCH($C$1,Database!$A$1:$AS$1,0),FALSE)</f>
        <v>91.12</v>
      </c>
      <c r="D27" s="85">
        <f>VLOOKUP(A27,Database!$A:$AS,MATCH($D$1,Database!$A$1:$AS$1,0),FALSE)</f>
        <v>76.993583868000002</v>
      </c>
      <c r="E27" s="85">
        <f>VLOOKUP(A27,Database!$A:$AS,MATCH($E$1,Database!$A$1:$AS$1,0),FALSE)</f>
        <v>99.816083180000007</v>
      </c>
      <c r="F27" s="85">
        <f>VLOOKUP(A27,Database!$A:$AS,MATCH($F$1,Database!$A$1:$AS$1,0),FALSE)</f>
        <v>82.2</v>
      </c>
      <c r="G27" s="85">
        <f>VLOOKUP(A27,Database!$A:$AS,MATCH($G$1,Database!$A$1:$AS$1,0),FALSE)</f>
        <v>78.508693313999999</v>
      </c>
      <c r="H27" s="85">
        <f>(((Table134567891011121314151617343[[#This Row],[ITA]]-VLOOKUP($U$1,A:B,2,))/VLOOKUP($U$1,A:B,2,))*100)+100</f>
        <v>90.625000000128509</v>
      </c>
      <c r="I27" s="85">
        <f>(((Table134567891011121314151617343[[#This Row],[FRA]]-VLOOKUP($U$1,A:C,3,))/VLOOKUP($U$1,A:C,3,))*100)+100</f>
        <v>88.90623475461021</v>
      </c>
      <c r="J27" s="85">
        <f>(((Table134567891011121314151617343[[#This Row],[DEU]]-VLOOKUP($U$1,A:D,4,))/VLOOKUP($U$1,A:D,4,))*100)+100</f>
        <v>102.3936170205975</v>
      </c>
      <c r="K27" s="85">
        <f>(((Table134567891011121314151617343[[#This Row],[ESP]]-VLOOKUP($U$1,A:E,5,))/VLOOKUP($U$1,A:E,5,))*100)+100</f>
        <v>83.900142892931285</v>
      </c>
      <c r="L27" s="85">
        <f>(((Table134567891011121314151617343[[#This Row],[EA19]]-VLOOKUP($U$1,A:F,6,))/VLOOKUP($U$1,A:F,6,))*100)+100</f>
        <v>91.946308724832207</v>
      </c>
      <c r="M27" s="85">
        <f>(((Table134567891011121314151617343[[#This Row],[GBR]]-VLOOKUP($U$1,A:G,7,))/VLOOKUP($U$1,A:G,7,))*100)+100</f>
        <v>85.180863476813229</v>
      </c>
      <c r="N27" s="85">
        <f>VLOOKUP(A27,Database!$A:$AS,MATCH($N$1,Database!$A$1:$AS$1,0),FALSE)</f>
        <v>61.668431669</v>
      </c>
      <c r="O27" s="85">
        <f>(((Table134567891011121314151617343[[#This Row],[USA]]-VLOOKUP($U$1,A:N,14,))/VLOOKUP($U$1,A:N,14,))*100)+100</f>
        <v>70.994697365980898</v>
      </c>
      <c r="P27" s="85">
        <f>VLOOKUP(A27,Database!$A:$AS,MATCH($P$1,Database!$A$1:$AS$1,0),FALSE)</f>
        <v>103.64122679899999</v>
      </c>
      <c r="Q27" s="85">
        <f>(((Table134567891011121314151617343[[#This Row],[JPN]]-VLOOKUP($U$1,A:Q,16,))/VLOOKUP($U$1,A:Q,16,))*100)+100</f>
        <v>104.0536651784348</v>
      </c>
      <c r="W27" s="87" t="s">
        <v>536</v>
      </c>
    </row>
    <row r="28" spans="1:23" s="87" customFormat="1" x14ac:dyDescent="0.2">
      <c r="A28" s="22">
        <v>33664</v>
      </c>
      <c r="B28" s="85">
        <f>VLOOKUP(A28,Database!$A:$AS,MATCH($B$1,Database!$A$1:$AS$1,0),FALSE)</f>
        <v>109.990834097</v>
      </c>
      <c r="C28" s="85">
        <f>VLOOKUP(A28,Database!$A:$AS,MATCH($C$1,Database!$A$1:$AS$1,0),FALSE)</f>
        <v>92.01</v>
      </c>
      <c r="D28" s="85">
        <f>VLOOKUP(A28,Database!$A:$AS,MATCH($D$1,Database!$A$1:$AS$1,0),FALSE)</f>
        <v>74.793767185999997</v>
      </c>
      <c r="E28" s="85">
        <f>VLOOKUP(A28,Database!$A:$AS,MATCH($E$1,Database!$A$1:$AS$1,0),FALSE)</f>
        <v>98.563082136000006</v>
      </c>
      <c r="F28" s="85">
        <f>VLOOKUP(A28,Database!$A:$AS,MATCH($F$1,Database!$A$1:$AS$1,0),FALSE)</f>
        <v>81.400000000000006</v>
      </c>
      <c r="G28" s="85">
        <f>VLOOKUP(A28,Database!$A:$AS,MATCH($G$1,Database!$A$1:$AS$1,0),FALSE)</f>
        <v>78.186054849000001</v>
      </c>
      <c r="H28" s="85">
        <f>(((Table134567891011121314151617343[[#This Row],[ITA]]-VLOOKUP($U$1,A:B,2,))/VLOOKUP($U$1,A:B,2,))*100)+100</f>
        <v>90.460526315689378</v>
      </c>
      <c r="I28" s="85">
        <f>(((Table134567891011121314151617343[[#This Row],[FRA]]-VLOOKUP($U$1,A:C,3,))/VLOOKUP($U$1,A:C,3,))*100)+100</f>
        <v>89.774612157283642</v>
      </c>
      <c r="J28" s="85">
        <f>(((Table134567891011121314151617343[[#This Row],[DEU]]-VLOOKUP($U$1,A:D,4,))/VLOOKUP($U$1,A:D,4,))*100)+100</f>
        <v>99.46808510564729</v>
      </c>
      <c r="K28" s="85">
        <f>(((Table134567891011121314151617343[[#This Row],[ESP]]-VLOOKUP($U$1,A:E,5,))/VLOOKUP($U$1,A:E,5,))*100)+100</f>
        <v>82.846936202311952</v>
      </c>
      <c r="L28" s="85">
        <f>(((Table134567891011121314151617343[[#This Row],[EA19]]-VLOOKUP($U$1,A:F,6,))/VLOOKUP($U$1,A:F,6,))*100)+100</f>
        <v>91.051454138702468</v>
      </c>
      <c r="M28" s="85">
        <f>(((Table134567891011121314151617343[[#This Row],[GBR]]-VLOOKUP($U$1,A:G,7,))/VLOOKUP($U$1,A:G,7,))*100)+100</f>
        <v>84.830805134489083</v>
      </c>
      <c r="N28" s="85">
        <f>VLOOKUP(A28,Database!$A:$AS,MATCH($N$1,Database!$A$1:$AS$1,0),FALSE)</f>
        <v>62.169576202000002</v>
      </c>
      <c r="O28" s="85">
        <f>(((Table134567891011121314151617343[[#This Row],[USA]]-VLOOKUP($U$1,A:N,14,))/VLOOKUP($U$1,A:N,14,))*100)+100</f>
        <v>71.571631195722432</v>
      </c>
      <c r="P28" s="85">
        <f>VLOOKUP(A28,Database!$A:$AS,MATCH($P$1,Database!$A$1:$AS$1,0),FALSE)</f>
        <v>102.120073764</v>
      </c>
      <c r="Q28" s="85">
        <f>(((Table134567891011121314151617343[[#This Row],[JPN]]-VLOOKUP($U$1,A:Q,16,))/VLOOKUP($U$1,A:Q,16,))*100)+100</f>
        <v>102.52645874256331</v>
      </c>
      <c r="W28" s="87" t="s">
        <v>346</v>
      </c>
    </row>
    <row r="29" spans="1:23" s="87" customFormat="1" x14ac:dyDescent="0.2">
      <c r="A29" s="22">
        <v>33695</v>
      </c>
      <c r="B29" s="85">
        <f>VLOOKUP(A29,Database!$A:$AS,MATCH($B$1,Database!$A$1:$AS$1,0),FALSE)</f>
        <v>110.290809099</v>
      </c>
      <c r="C29" s="85">
        <f>VLOOKUP(A29,Database!$A:$AS,MATCH($C$1,Database!$A$1:$AS$1,0),FALSE)</f>
        <v>91.34</v>
      </c>
      <c r="D29" s="85">
        <f>VLOOKUP(A29,Database!$A:$AS,MATCH($D$1,Database!$A$1:$AS$1,0),FALSE)</f>
        <v>74.693775518999999</v>
      </c>
      <c r="E29" s="85">
        <f>VLOOKUP(A29,Database!$A:$AS,MATCH($E$1,Database!$A$1:$AS$1,0),FALSE)</f>
        <v>98.687082239000006</v>
      </c>
      <c r="F29" s="85">
        <f>VLOOKUP(A29,Database!$A:$AS,MATCH($F$1,Database!$A$1:$AS$1,0),FALSE)</f>
        <v>81.3</v>
      </c>
      <c r="G29" s="85">
        <f>VLOOKUP(A29,Database!$A:$AS,MATCH($G$1,Database!$A$1:$AS$1,0),FALSE)</f>
        <v>78.723785625000005</v>
      </c>
      <c r="H29" s="85">
        <f>(((Table134567891011121314151617343[[#This Row],[ITA]]-VLOOKUP($U$1,A:B,2,))/VLOOKUP($U$1,A:B,2,))*100)+100</f>
        <v>90.707236841936862</v>
      </c>
      <c r="I29" s="85">
        <f>(((Table134567891011121314151617343[[#This Row],[FRA]]-VLOOKUP($U$1,A:C,3,))/VLOOKUP($U$1,A:C,3,))*100)+100</f>
        <v>89.12088984291151</v>
      </c>
      <c r="J29" s="85">
        <f>(((Table134567891011121314151617343[[#This Row],[DEU]]-VLOOKUP($U$1,A:D,4,))/VLOOKUP($U$1,A:D,4,))*100)+100</f>
        <v>99.335106382724064</v>
      </c>
      <c r="K29" s="85">
        <f>(((Table134567891011121314151617343[[#This Row],[ESP]]-VLOOKUP($U$1,A:E,5,))/VLOOKUP($U$1,A:E,5,))*100)+100</f>
        <v>82.951164158659196</v>
      </c>
      <c r="L29" s="85">
        <f>(((Table134567891011121314151617343[[#This Row],[EA19]]-VLOOKUP($U$1,A:F,6,))/VLOOKUP($U$1,A:F,6,))*100)+100</f>
        <v>90.939597315436231</v>
      </c>
      <c r="M29" s="85">
        <f>(((Table134567891011121314151617343[[#This Row],[GBR]]-VLOOKUP($U$1,A:G,7,))/VLOOKUP($U$1,A:G,7,))*100)+100</f>
        <v>85.414235706114326</v>
      </c>
      <c r="N29" s="85">
        <f>VLOOKUP(A29,Database!$A:$AS,MATCH($N$1,Database!$A$1:$AS$1,0),FALSE)</f>
        <v>62.641183339000001</v>
      </c>
      <c r="O29" s="85">
        <f>(((Table134567891011121314151617343[[#This Row],[USA]]-VLOOKUP($U$1,A:N,14,))/VLOOKUP($U$1,A:N,14,))*100)+100</f>
        <v>72.114560617807655</v>
      </c>
      <c r="P29" s="85">
        <f>VLOOKUP(A29,Database!$A:$AS,MATCH($P$1,Database!$A$1:$AS$1,0),FALSE)</f>
        <v>101.613022753</v>
      </c>
      <c r="Q29" s="85">
        <f>(((Table134567891011121314151617343[[#This Row],[JPN]]-VLOOKUP($U$1,A:Q,16,))/VLOOKUP($U$1,A:Q,16,))*100)+100</f>
        <v>102.01738993127546</v>
      </c>
      <c r="W29" s="87" t="s">
        <v>350</v>
      </c>
    </row>
    <row r="30" spans="1:23" s="87" customFormat="1" x14ac:dyDescent="0.2">
      <c r="A30" s="22">
        <v>33725</v>
      </c>
      <c r="B30" s="85">
        <f>VLOOKUP(A30,Database!$A:$AS,MATCH($B$1,Database!$A$1:$AS$1,0),FALSE)</f>
        <v>109.990834097</v>
      </c>
      <c r="C30" s="85">
        <f>VLOOKUP(A30,Database!$A:$AS,MATCH($C$1,Database!$A$1:$AS$1,0),FALSE)</f>
        <v>91.36</v>
      </c>
      <c r="D30" s="85">
        <f>VLOOKUP(A30,Database!$A:$AS,MATCH($D$1,Database!$A$1:$AS$1,0),FALSE)</f>
        <v>74.193817182000004</v>
      </c>
      <c r="E30" s="85">
        <f>VLOOKUP(A30,Database!$A:$AS,MATCH($E$1,Database!$A$1:$AS$1,0),FALSE)</f>
        <v>97.875081562999995</v>
      </c>
      <c r="F30" s="85">
        <f>VLOOKUP(A30,Database!$A:$AS,MATCH($F$1,Database!$A$1:$AS$1,0),FALSE)</f>
        <v>80.8</v>
      </c>
      <c r="G30" s="85">
        <f>VLOOKUP(A30,Database!$A:$AS,MATCH($G$1,Database!$A$1:$AS$1,0),FALSE)</f>
        <v>77.110593296000005</v>
      </c>
      <c r="H30" s="85">
        <f>(((Table134567891011121314151617343[[#This Row],[ITA]]-VLOOKUP($U$1,A:B,2,))/VLOOKUP($U$1,A:B,2,))*100)+100</f>
        <v>90.460526315689378</v>
      </c>
      <c r="I30" s="85">
        <f>(((Table134567891011121314151617343[[#This Row],[FRA]]-VLOOKUP($U$1,A:C,3,))/VLOOKUP($U$1,A:C,3,))*100)+100</f>
        <v>89.140403941847993</v>
      </c>
      <c r="J30" s="85">
        <f>(((Table134567891011121314151617343[[#This Row],[DEU]]-VLOOKUP($U$1,A:D,4,))/VLOOKUP($U$1,A:D,4,))*100)+100</f>
        <v>98.670212765448142</v>
      </c>
      <c r="K30" s="85">
        <f>(((Table134567891011121314151617343[[#This Row],[ESP]]-VLOOKUP($U$1,A:E,5,))/VLOOKUP($U$1,A:E,5,))*100)+100</f>
        <v>82.268639152917345</v>
      </c>
      <c r="L30" s="85">
        <f>(((Table134567891011121314151617343[[#This Row],[EA19]]-VLOOKUP($U$1,A:F,6,))/VLOOKUP($U$1,A:F,6,))*100)+100</f>
        <v>90.380313199105132</v>
      </c>
      <c r="M30" s="85">
        <f>(((Table134567891011121314151617343[[#This Row],[GBR]]-VLOOKUP($U$1,A:G,7,))/VLOOKUP($U$1,A:G,7,))*100)+100</f>
        <v>83.663943990153655</v>
      </c>
      <c r="N30" s="85">
        <f>VLOOKUP(A30,Database!$A:$AS,MATCH($N$1,Database!$A$1:$AS$1,0),FALSE)</f>
        <v>62.842097099</v>
      </c>
      <c r="O30" s="85">
        <f>(((Table134567891011121314151617343[[#This Row],[USA]]-VLOOKUP($U$1,A:N,14,))/VLOOKUP($U$1,A:N,14,))*100)+100</f>
        <v>72.345859050438804</v>
      </c>
      <c r="P30" s="85">
        <f>VLOOKUP(A30,Database!$A:$AS,MATCH($P$1,Database!$A$1:$AS$1,0),FALSE)</f>
        <v>99.280588098999999</v>
      </c>
      <c r="Q30" s="85">
        <f>(((Table134567891011121314151617343[[#This Row],[JPN]]-VLOOKUP($U$1,A:Q,16,))/VLOOKUP($U$1,A:Q,16,))*100)+100</f>
        <v>99.675673395937849</v>
      </c>
      <c r="W30" s="87" t="s">
        <v>538</v>
      </c>
    </row>
    <row r="31" spans="1:23" s="87" customFormat="1" x14ac:dyDescent="0.2">
      <c r="A31" s="22">
        <v>33756</v>
      </c>
      <c r="B31" s="85">
        <f>VLOOKUP(A31,Database!$A:$AS,MATCH($B$1,Database!$A$1:$AS$1,0),FALSE)</f>
        <v>109.79085076200001</v>
      </c>
      <c r="C31" s="85">
        <f>VLOOKUP(A31,Database!$A:$AS,MATCH($C$1,Database!$A$1:$AS$1,0),FALSE)</f>
        <v>90.27</v>
      </c>
      <c r="D31" s="85">
        <f>VLOOKUP(A31,Database!$A:$AS,MATCH($D$1,Database!$A$1:$AS$1,0),FALSE)</f>
        <v>72.993917174000003</v>
      </c>
      <c r="E31" s="85">
        <f>VLOOKUP(A31,Database!$A:$AS,MATCH($E$1,Database!$A$1:$AS$1,0),FALSE)</f>
        <v>96.495080412999997</v>
      </c>
      <c r="F31" s="85">
        <f>VLOOKUP(A31,Database!$A:$AS,MATCH($F$1,Database!$A$1:$AS$1,0),FALSE)</f>
        <v>80</v>
      </c>
      <c r="G31" s="85">
        <f>VLOOKUP(A31,Database!$A:$AS,MATCH($G$1,Database!$A$1:$AS$1,0),FALSE)</f>
        <v>77.970962537999995</v>
      </c>
      <c r="H31" s="85">
        <f>(((Table134567891011121314151617343[[#This Row],[ITA]]-VLOOKUP($U$1,A:B,2,))/VLOOKUP($U$1,A:B,2,))*100)+100</f>
        <v>90.296052631250248</v>
      </c>
      <c r="I31" s="85">
        <f>(((Table134567891011121314151617343[[#This Row],[FRA]]-VLOOKUP($U$1,A:C,3,))/VLOOKUP($U$1,A:C,3,))*100)+100</f>
        <v>88.076885549809731</v>
      </c>
      <c r="J31" s="85">
        <f>(((Table134567891011121314151617343[[#This Row],[DEU]]-VLOOKUP($U$1,A:D,4,))/VLOOKUP($U$1,A:D,4,))*100)+100</f>
        <v>97.074468085049801</v>
      </c>
      <c r="K31" s="85">
        <f>(((Table134567891011121314151617343[[#This Row],[ESP]]-VLOOKUP($U$1,A:E,5,))/VLOOKUP($U$1,A:E,5,))*100)+100</f>
        <v>81.108682861418544</v>
      </c>
      <c r="L31" s="85">
        <f>(((Table134567891011121314151617343[[#This Row],[EA19]]-VLOOKUP($U$1,A:F,6,))/VLOOKUP($U$1,A:F,6,))*100)+100</f>
        <v>89.485458612975378</v>
      </c>
      <c r="M31" s="85">
        <f>(((Table134567891011121314151617343[[#This Row],[GBR]]-VLOOKUP($U$1,A:G,7,))/VLOOKUP($U$1,A:G,7,))*100)+100</f>
        <v>84.597432905188001</v>
      </c>
      <c r="N31" s="85">
        <f>VLOOKUP(A31,Database!$A:$AS,MATCH($N$1,Database!$A$1:$AS$1,0),FALSE)</f>
        <v>62.876788671</v>
      </c>
      <c r="O31" s="85">
        <f>(((Table134567891011121314151617343[[#This Row],[USA]]-VLOOKUP($U$1,A:N,14,))/VLOOKUP($U$1,A:N,14,))*100)+100</f>
        <v>72.385797112566124</v>
      </c>
      <c r="P31" s="85">
        <f>VLOOKUP(A31,Database!$A:$AS,MATCH($P$1,Database!$A$1:$AS$1,0),FALSE)</f>
        <v>101.308792145</v>
      </c>
      <c r="Q31" s="85">
        <f>(((Table134567891011121314151617343[[#This Row],[JPN]]-VLOOKUP($U$1,A:Q,16,))/VLOOKUP($U$1,A:Q,16,))*100)+100</f>
        <v>101.71194864309719</v>
      </c>
      <c r="W31" s="87" t="s">
        <v>539</v>
      </c>
    </row>
    <row r="32" spans="1:23" s="87" customFormat="1" x14ac:dyDescent="0.2">
      <c r="A32" s="22">
        <v>33786</v>
      </c>
      <c r="B32" s="85">
        <f>VLOOKUP(A32,Database!$A:$AS,MATCH($B$1,Database!$A$1:$AS$1,0),FALSE)</f>
        <v>108.39096741900001</v>
      </c>
      <c r="C32" s="85">
        <f>VLOOKUP(A32,Database!$A:$AS,MATCH($C$1,Database!$A$1:$AS$1,0),FALSE)</f>
        <v>89.96</v>
      </c>
      <c r="D32" s="85">
        <f>VLOOKUP(A32,Database!$A:$AS,MATCH($D$1,Database!$A$1:$AS$1,0),FALSE)</f>
        <v>71.694025498000002</v>
      </c>
      <c r="E32" s="85">
        <f>VLOOKUP(A32,Database!$A:$AS,MATCH($E$1,Database!$A$1:$AS$1,0),FALSE)</f>
        <v>95.550079624999995</v>
      </c>
      <c r="F32" s="85">
        <f>VLOOKUP(A32,Database!$A:$AS,MATCH($F$1,Database!$A$1:$AS$1,0),FALSE)</f>
        <v>79</v>
      </c>
      <c r="G32" s="85">
        <f>VLOOKUP(A32,Database!$A:$AS,MATCH($G$1,Database!$A$1:$AS$1,0),FALSE)</f>
        <v>78.508693313999999</v>
      </c>
      <c r="H32" s="85">
        <f>(((Table134567891011121314151617343[[#This Row],[ITA]]-VLOOKUP($U$1,A:B,2,))/VLOOKUP($U$1,A:B,2,))*100)+100</f>
        <v>89.144736841821214</v>
      </c>
      <c r="I32" s="85">
        <f>(((Table134567891011121314151617343[[#This Row],[FRA]]-VLOOKUP($U$1,A:C,3,))/VLOOKUP($U$1,A:C,3,))*100)+100</f>
        <v>87.774417016294265</v>
      </c>
      <c r="J32" s="85">
        <f>(((Table134567891011121314151617343[[#This Row],[DEU]]-VLOOKUP($U$1,A:D,4,))/VLOOKUP($U$1,A:D,4,))*100)+100</f>
        <v>95.34574468039834</v>
      </c>
      <c r="K32" s="85">
        <f>(((Table134567891011121314151617343[[#This Row],[ESP]]-VLOOKUP($U$1,A:E,5,))/VLOOKUP($U$1,A:E,5,))*100)+100</f>
        <v>80.314364965732779</v>
      </c>
      <c r="L32" s="85">
        <f>(((Table134567891011121314151617343[[#This Row],[EA19]]-VLOOKUP($U$1,A:F,6,))/VLOOKUP($U$1,A:F,6,))*100)+100</f>
        <v>88.366890380313194</v>
      </c>
      <c r="M32" s="85">
        <f>(((Table134567891011121314151617343[[#This Row],[GBR]]-VLOOKUP($U$1,A:G,7,))/VLOOKUP($U$1,A:G,7,))*100)+100</f>
        <v>85.180863476813229</v>
      </c>
      <c r="N32" s="85">
        <f>VLOOKUP(A32,Database!$A:$AS,MATCH($N$1,Database!$A$1:$AS$1,0),FALSE)</f>
        <v>63.448902246999999</v>
      </c>
      <c r="O32" s="85">
        <f>(((Table134567891011121314151617343[[#This Row],[USA]]-VLOOKUP($U$1,A:N,14,))/VLOOKUP($U$1,A:N,14,))*100)+100</f>
        <v>73.044432804894043</v>
      </c>
      <c r="P32" s="85">
        <f>VLOOKUP(A32,Database!$A:$AS,MATCH($P$1,Database!$A$1:$AS$1,0),FALSE)</f>
        <v>101.105971741</v>
      </c>
      <c r="Q32" s="85">
        <f>(((Table134567891011121314151617343[[#This Row],[JPN]]-VLOOKUP($U$1,A:Q,16,))/VLOOKUP($U$1,A:Q,16,))*100)+100</f>
        <v>101.50832111898364</v>
      </c>
      <c r="W32" s="87" t="s">
        <v>390</v>
      </c>
    </row>
    <row r="33" spans="1:23" s="87" customFormat="1" x14ac:dyDescent="0.2">
      <c r="A33" s="22">
        <v>33817</v>
      </c>
      <c r="B33" s="85">
        <f>VLOOKUP(A33,Database!$A:$AS,MATCH($B$1,Database!$A$1:$AS$1,0),FALSE)</f>
        <v>106.49112574</v>
      </c>
      <c r="C33" s="85">
        <f>VLOOKUP(A33,Database!$A:$AS,MATCH($C$1,Database!$A$1:$AS$1,0),FALSE)</f>
        <v>90.23</v>
      </c>
      <c r="D33" s="85">
        <f>VLOOKUP(A33,Database!$A:$AS,MATCH($D$1,Database!$A$1:$AS$1,0),FALSE)</f>
        <v>71.894008833000001</v>
      </c>
      <c r="E33" s="85">
        <f>VLOOKUP(A33,Database!$A:$AS,MATCH($E$1,Database!$A$1:$AS$1,0),FALSE)</f>
        <v>95.064079219999996</v>
      </c>
      <c r="F33" s="85">
        <f>VLOOKUP(A33,Database!$A:$AS,MATCH($F$1,Database!$A$1:$AS$1,0),FALSE)</f>
        <v>78.900000000000006</v>
      </c>
      <c r="G33" s="85">
        <f>VLOOKUP(A33,Database!$A:$AS,MATCH($G$1,Database!$A$1:$AS$1,0),FALSE)</f>
        <v>78.401147159000004</v>
      </c>
      <c r="H33" s="85">
        <f>(((Table134567891011121314151617343[[#This Row],[ITA]]-VLOOKUP($U$1,A:B,2,))/VLOOKUP($U$1,A:B,2,))*100)+100</f>
        <v>87.58223684252799</v>
      </c>
      <c r="I33" s="85">
        <f>(((Table134567891011121314151617343[[#This Row],[FRA]]-VLOOKUP($U$1,A:C,3,))/VLOOKUP($U$1,A:C,3,))*100)+100</f>
        <v>88.037857351936779</v>
      </c>
      <c r="J33" s="85">
        <f>(((Table134567891011121314151617343[[#This Row],[DEU]]-VLOOKUP($U$1,A:D,4,))/VLOOKUP($U$1,A:D,4,))*100)+100</f>
        <v>95.611702127574702</v>
      </c>
      <c r="K33" s="85">
        <f>(((Table134567891011121314151617343[[#This Row],[ESP]]-VLOOKUP($U$1,A:E,5,))/VLOOKUP($U$1,A:E,5,))*100)+100</f>
        <v>79.905858619596245</v>
      </c>
      <c r="L33" s="85">
        <f>(((Table134567891011121314151617343[[#This Row],[EA19]]-VLOOKUP($U$1,A:F,6,))/VLOOKUP($U$1,A:F,6,))*100)+100</f>
        <v>88.255033557046985</v>
      </c>
      <c r="M33" s="85">
        <f>(((Table134567891011121314151617343[[#This Row],[GBR]]-VLOOKUP($U$1,A:G,7,))/VLOOKUP($U$1,A:G,7,))*100)+100</f>
        <v>85.06417736270518</v>
      </c>
      <c r="N33" s="85">
        <f>VLOOKUP(A33,Database!$A:$AS,MATCH($N$1,Database!$A$1:$AS$1,0),FALSE)</f>
        <v>63.104167142999998</v>
      </c>
      <c r="O33" s="85">
        <f>(((Table134567891011121314151617343[[#This Row],[USA]]-VLOOKUP($U$1,A:N,14,))/VLOOKUP($U$1,A:N,14,))*100)+100</f>
        <v>72.647562579439409</v>
      </c>
      <c r="P33" s="85">
        <f>VLOOKUP(A33,Database!$A:$AS,MATCH($P$1,Database!$A$1:$AS$1,0),FALSE)</f>
        <v>98.165075873000006</v>
      </c>
      <c r="Q33" s="85">
        <f>(((Table134567891011121314151617343[[#This Row],[JPN]]-VLOOKUP($U$1,A:Q,16,))/VLOOKUP($U$1,A:Q,16,))*100)+100</f>
        <v>98.555722009297426</v>
      </c>
      <c r="W33" s="87" t="s">
        <v>418</v>
      </c>
    </row>
    <row r="34" spans="1:23" s="87" customFormat="1" x14ac:dyDescent="0.2">
      <c r="A34" s="22">
        <v>33848</v>
      </c>
      <c r="B34" s="85">
        <f>VLOOKUP(A34,Database!$A:$AS,MATCH($B$1,Database!$A$1:$AS$1,0),FALSE)</f>
        <v>105.691192401</v>
      </c>
      <c r="C34" s="85">
        <f>VLOOKUP(A34,Database!$A:$AS,MATCH($C$1,Database!$A$1:$AS$1,0),FALSE)</f>
        <v>88.96</v>
      </c>
      <c r="D34" s="85">
        <f>VLOOKUP(A34,Database!$A:$AS,MATCH($D$1,Database!$A$1:$AS$1,0),FALSE)</f>
        <v>71.294058828000004</v>
      </c>
      <c r="E34" s="85">
        <f>VLOOKUP(A34,Database!$A:$AS,MATCH($E$1,Database!$A$1:$AS$1,0),FALSE)</f>
        <v>94.545078787999998</v>
      </c>
      <c r="F34" s="85">
        <f>VLOOKUP(A34,Database!$A:$AS,MATCH($F$1,Database!$A$1:$AS$1,0),FALSE)</f>
        <v>78.2</v>
      </c>
      <c r="G34" s="85">
        <f>VLOOKUP(A34,Database!$A:$AS,MATCH($G$1,Database!$A$1:$AS$1,0),FALSE)</f>
        <v>78.938877934999994</v>
      </c>
      <c r="H34" s="85">
        <f>(((Table134567891011121314151617343[[#This Row],[ITA]]-VLOOKUP($U$1,A:B,2,))/VLOOKUP($U$1,A:B,2,))*100)+100</f>
        <v>86.924342105593894</v>
      </c>
      <c r="I34" s="85">
        <f>(((Table134567891011121314151617343[[#This Row],[FRA]]-VLOOKUP($U$1,A:C,3,))/VLOOKUP($U$1,A:C,3,))*100)+100</f>
        <v>86.798712069470184</v>
      </c>
      <c r="J34" s="85">
        <f>(((Table134567891011121314151617343[[#This Row],[DEU]]-VLOOKUP($U$1,A:D,4,))/VLOOKUP($U$1,A:D,4,))*100)+100</f>
        <v>94.81382978604563</v>
      </c>
      <c r="K34" s="85">
        <f>(((Table134567891011121314151617343[[#This Row],[ESP]]-VLOOKUP($U$1,A:E,5,))/VLOOKUP($U$1,A:E,5,))*100)+100</f>
        <v>79.469614188648478</v>
      </c>
      <c r="L34" s="85">
        <f>(((Table134567891011121314151617343[[#This Row],[EA19]]-VLOOKUP($U$1,A:F,6,))/VLOOKUP($U$1,A:F,6,))*100)+100</f>
        <v>87.472035794183441</v>
      </c>
      <c r="M34" s="85">
        <f>(((Table134567891011121314151617343[[#This Row],[GBR]]-VLOOKUP($U$1,A:G,7,))/VLOOKUP($U$1,A:G,7,))*100)+100</f>
        <v>85.647607934330409</v>
      </c>
      <c r="N34" s="85">
        <f>VLOOKUP(A34,Database!$A:$AS,MATCH($N$1,Database!$A$1:$AS$1,0),FALSE)</f>
        <v>63.293583124999998</v>
      </c>
      <c r="O34" s="85">
        <f>(((Table134567891011121314151617343[[#This Row],[USA]]-VLOOKUP($U$1,A:N,14,))/VLOOKUP($U$1,A:N,14,))*100)+100</f>
        <v>72.865624397365124</v>
      </c>
      <c r="P34" s="85">
        <f>VLOOKUP(A34,Database!$A:$AS,MATCH($P$1,Database!$A$1:$AS$1,0),FALSE)</f>
        <v>101.91725336</v>
      </c>
      <c r="Q34" s="85">
        <f>(((Table134567891011121314151617343[[#This Row],[JPN]]-VLOOKUP($U$1,A:Q,16,))/VLOOKUP($U$1,A:Q,16,))*100)+100</f>
        <v>102.32283121844976</v>
      </c>
      <c r="W34" s="87" t="s">
        <v>431</v>
      </c>
    </row>
    <row r="35" spans="1:23" s="87" customFormat="1" x14ac:dyDescent="0.2">
      <c r="A35" s="22">
        <v>33878</v>
      </c>
      <c r="B35" s="85">
        <f>VLOOKUP(A35,Database!$A:$AS,MATCH($B$1,Database!$A$1:$AS$1,0),FALSE)</f>
        <v>106.391134072</v>
      </c>
      <c r="C35" s="85">
        <f>VLOOKUP(A35,Database!$A:$AS,MATCH($C$1,Database!$A$1:$AS$1,0),FALSE)</f>
        <v>89.9</v>
      </c>
      <c r="D35" s="85">
        <f>VLOOKUP(A35,Database!$A:$AS,MATCH($D$1,Database!$A$1:$AS$1,0),FALSE)</f>
        <v>71.194067161000007</v>
      </c>
      <c r="E35" s="85">
        <f>VLOOKUP(A35,Database!$A:$AS,MATCH($E$1,Database!$A$1:$AS$1,0),FALSE)</f>
        <v>94.193078494000005</v>
      </c>
      <c r="F35" s="85">
        <f>VLOOKUP(A35,Database!$A:$AS,MATCH($F$1,Database!$A$1:$AS$1,0),FALSE)</f>
        <v>78.400000000000006</v>
      </c>
      <c r="G35" s="85">
        <f>VLOOKUP(A35,Database!$A:$AS,MATCH($G$1,Database!$A$1:$AS$1,0),FALSE)</f>
        <v>79.799247176999998</v>
      </c>
      <c r="H35" s="85">
        <f>(((Table134567891011121314151617343[[#This Row],[ITA]]-VLOOKUP($U$1,A:B,2,))/VLOOKUP($U$1,A:B,2,))*100)+100</f>
        <v>87.499999999897199</v>
      </c>
      <c r="I35" s="85">
        <f>(((Table134567891011121314151617343[[#This Row],[FRA]]-VLOOKUP($U$1,A:C,3,))/VLOOKUP($U$1,A:C,3,))*100)+100</f>
        <v>87.715874719484844</v>
      </c>
      <c r="J35" s="85">
        <f>(((Table134567891011121314151617343[[#This Row],[DEU]]-VLOOKUP($U$1,A:D,4,))/VLOOKUP($U$1,A:D,4,))*100)+100</f>
        <v>94.680851063122418</v>
      </c>
      <c r="K35" s="85">
        <f>(((Table134567891011121314151617343[[#This Row],[ESP]]-VLOOKUP($U$1,A:E,5,))/VLOOKUP($U$1,A:E,5,))*100)+100</f>
        <v>79.173741278952193</v>
      </c>
      <c r="L35" s="85">
        <f>(((Table134567891011121314151617343[[#This Row],[EA19]]-VLOOKUP($U$1,A:F,6,))/VLOOKUP($U$1,A:F,6,))*100)+100</f>
        <v>87.695749440715886</v>
      </c>
      <c r="M35" s="85">
        <f>(((Table134567891011121314151617343[[#This Row],[GBR]]-VLOOKUP($U$1,A:G,7,))/VLOOKUP($U$1,A:G,7,))*100)+100</f>
        <v>86.581096849364769</v>
      </c>
      <c r="N35" s="85">
        <f>VLOOKUP(A35,Database!$A:$AS,MATCH($N$1,Database!$A$1:$AS$1,0),FALSE)</f>
        <v>63.742194705999999</v>
      </c>
      <c r="O35" s="85">
        <f>(((Table134567891011121314151617343[[#This Row],[USA]]-VLOOKUP($U$1,A:N,14,))/VLOOKUP($U$1,A:N,14,))*100)+100</f>
        <v>73.382080590039465</v>
      </c>
      <c r="P35" s="85">
        <f>VLOOKUP(A35,Database!$A:$AS,MATCH($P$1,Database!$A$1:$AS$1,0),FALSE)</f>
        <v>98.773537086999994</v>
      </c>
      <c r="Q35" s="85">
        <f>(((Table134567891011121314151617343[[#This Row],[JPN]]-VLOOKUP($U$1,A:Q,16,))/VLOOKUP($U$1,A:Q,16,))*100)+100</f>
        <v>99.16660458364602</v>
      </c>
      <c r="W35" s="87" t="s">
        <v>530</v>
      </c>
    </row>
    <row r="36" spans="1:23" s="87" customFormat="1" x14ac:dyDescent="0.2">
      <c r="A36" s="22">
        <v>33909</v>
      </c>
      <c r="B36" s="85">
        <f>VLOOKUP(A36,Database!$A:$AS,MATCH($B$1,Database!$A$1:$AS$1,0),FALSE)</f>
        <v>107.09107574399999</v>
      </c>
      <c r="C36" s="85">
        <f>VLOOKUP(A36,Database!$A:$AS,MATCH($C$1,Database!$A$1:$AS$1,0),FALSE)</f>
        <v>88.72</v>
      </c>
      <c r="D36" s="85">
        <f>VLOOKUP(A36,Database!$A:$AS,MATCH($D$1,Database!$A$1:$AS$1,0),FALSE)</f>
        <v>70.094158820000004</v>
      </c>
      <c r="E36" s="85">
        <f>VLOOKUP(A36,Database!$A:$AS,MATCH($E$1,Database!$A$1:$AS$1,0),FALSE)</f>
        <v>92.168076807000006</v>
      </c>
      <c r="F36" s="85">
        <f>VLOOKUP(A36,Database!$A:$AS,MATCH($F$1,Database!$A$1:$AS$1,0),FALSE)</f>
        <v>77.7</v>
      </c>
      <c r="G36" s="85">
        <f>VLOOKUP(A36,Database!$A:$AS,MATCH($G$1,Database!$A$1:$AS$1,0),FALSE)</f>
        <v>78.723785625000005</v>
      </c>
      <c r="H36" s="85">
        <f>(((Table134567891011121314151617343[[#This Row],[ITA]]-VLOOKUP($U$1,A:B,2,))/VLOOKUP($U$1,A:B,2,))*100)+100</f>
        <v>88.075657895022943</v>
      </c>
      <c r="I36" s="85">
        <f>(((Table134567891011121314151617343[[#This Row],[FRA]]-VLOOKUP($U$1,A:C,3,))/VLOOKUP($U$1,A:C,3,))*100)+100</f>
        <v>86.564542882232416</v>
      </c>
      <c r="J36" s="85">
        <f>(((Table134567891011121314151617343[[#This Row],[DEU]]-VLOOKUP($U$1,A:D,4,))/VLOOKUP($U$1,A:D,4,))*100)+100</f>
        <v>93.218085105647305</v>
      </c>
      <c r="K36" s="85">
        <f>(((Table134567891011121314151617343[[#This Row],[ESP]]-VLOOKUP($U$1,A:E,5,))/VLOOKUP($U$1,A:E,5,))*100)+100</f>
        <v>77.471631503803565</v>
      </c>
      <c r="L36" s="85">
        <f>(((Table134567891011121314151617343[[#This Row],[EA19]]-VLOOKUP($U$1,A:F,6,))/VLOOKUP($U$1,A:F,6,))*100)+100</f>
        <v>86.912751677852341</v>
      </c>
      <c r="M36" s="85">
        <f>(((Table134567891011121314151617343[[#This Row],[GBR]]-VLOOKUP($U$1,A:G,7,))/VLOOKUP($U$1,A:G,7,))*100)+100</f>
        <v>85.414235706114326</v>
      </c>
      <c r="N36" s="85">
        <f>VLOOKUP(A36,Database!$A:$AS,MATCH($N$1,Database!$A$1:$AS$1,0),FALSE)</f>
        <v>63.994055517</v>
      </c>
      <c r="O36" s="85">
        <f>(((Table134567891011121314151617343[[#This Row],[USA]]-VLOOKUP($U$1,A:N,14,))/VLOOKUP($U$1,A:N,14,))*100)+100</f>
        <v>73.672030919103591</v>
      </c>
      <c r="P36" s="85">
        <f>VLOOKUP(A36,Database!$A:$AS,MATCH($P$1,Database!$A$1:$AS$1,0),FALSE)</f>
        <v>97.556614659000005</v>
      </c>
      <c r="Q36" s="85">
        <f>(((Table134567891011121314151617343[[#This Row],[JPN]]-VLOOKUP($U$1,A:Q,16,))/VLOOKUP($U$1,A:Q,16,))*100)+100</f>
        <v>97.944839434948832</v>
      </c>
      <c r="W36" s="87" t="s">
        <v>575</v>
      </c>
    </row>
    <row r="37" spans="1:23" s="87" customFormat="1" x14ac:dyDescent="0.2">
      <c r="A37" s="22">
        <v>33939</v>
      </c>
      <c r="B37" s="85">
        <f>VLOOKUP(A37,Database!$A:$AS,MATCH($B$1,Database!$A$1:$AS$1,0),FALSE)</f>
        <v>105.291225731</v>
      </c>
      <c r="C37" s="85">
        <f>VLOOKUP(A37,Database!$A:$AS,MATCH($C$1,Database!$A$1:$AS$1,0),FALSE)</f>
        <v>87.54</v>
      </c>
      <c r="D37" s="85">
        <f>VLOOKUP(A37,Database!$A:$AS,MATCH($D$1,Database!$A$1:$AS$1,0),FALSE)</f>
        <v>68.894258812000004</v>
      </c>
      <c r="E37" s="85">
        <f>VLOOKUP(A37,Database!$A:$AS,MATCH($E$1,Database!$A$1:$AS$1,0),FALSE)</f>
        <v>90.511075426000005</v>
      </c>
      <c r="F37" s="85">
        <f>VLOOKUP(A37,Database!$A:$AS,MATCH($F$1,Database!$A$1:$AS$1,0),FALSE)</f>
        <v>76.3</v>
      </c>
      <c r="G37" s="85">
        <f>VLOOKUP(A37,Database!$A:$AS,MATCH($G$1,Database!$A$1:$AS$1,0),FALSE)</f>
        <v>78.616239469000007</v>
      </c>
      <c r="H37" s="85">
        <f>(((Table134567891011121314151617343[[#This Row],[ITA]]-VLOOKUP($U$1,A:B,2,))/VLOOKUP($U$1,A:B,2,))*100)+100</f>
        <v>86.595394736715633</v>
      </c>
      <c r="I37" s="85">
        <f>(((Table134567891011121314151617343[[#This Row],[FRA]]-VLOOKUP($U$1,A:C,3,))/VLOOKUP($U$1,A:C,3,))*100)+100</f>
        <v>85.413211044980017</v>
      </c>
      <c r="J37" s="85">
        <f>(((Table134567891011121314151617343[[#This Row],[DEU]]-VLOOKUP($U$1,A:D,4,))/VLOOKUP($U$1,A:D,4,))*100)+100</f>
        <v>91.622340425248964</v>
      </c>
      <c r="K37" s="85">
        <f>(((Table134567891011121314151617343[[#This Row],[ESP]]-VLOOKUP($U$1,A:E,5,))/VLOOKUP($U$1,A:E,5,))*100)+100</f>
        <v>76.078843405827584</v>
      </c>
      <c r="L37" s="85">
        <f>(((Table134567891011121314151617343[[#This Row],[EA19]]-VLOOKUP($U$1,A:F,6,))/VLOOKUP($U$1,A:F,6,))*100)+100</f>
        <v>85.346756152125266</v>
      </c>
      <c r="M37" s="85">
        <f>(((Table134567891011121314151617343[[#This Row],[GBR]]-VLOOKUP($U$1,A:G,7,))/VLOOKUP($U$1,A:G,7,))*100)+100</f>
        <v>85.297549590921292</v>
      </c>
      <c r="N37" s="85">
        <f>VLOOKUP(A37,Database!$A:$AS,MATCH($N$1,Database!$A$1:$AS$1,0),FALSE)</f>
        <v>64.078009120000004</v>
      </c>
      <c r="O37" s="85">
        <f>(((Table134567891011121314151617343[[#This Row],[USA]]-VLOOKUP($U$1,A:N,14,))/VLOOKUP($U$1,A:N,14,))*100)+100</f>
        <v>73.768681028024147</v>
      </c>
      <c r="P37" s="85">
        <f>VLOOKUP(A37,Database!$A:$AS,MATCH($P$1,Database!$A$1:$AS$1,0),FALSE)</f>
        <v>97.150973848999996</v>
      </c>
      <c r="Q37" s="85">
        <f>(((Table134567891011121314151617343[[#This Row],[JPN]]-VLOOKUP($U$1,A:Q,16,))/VLOOKUP($U$1,A:Q,16,))*100)+100</f>
        <v>97.537584384713767</v>
      </c>
      <c r="W37" s="87" t="s">
        <v>576</v>
      </c>
    </row>
    <row r="38" spans="1:23" s="87" customFormat="1" x14ac:dyDescent="0.2">
      <c r="A38" s="22">
        <v>33970</v>
      </c>
      <c r="B38" s="85">
        <f>VLOOKUP(A38,Database!$A:$AS,MATCH($B$1,Database!$A$1:$AS$1,0),FALSE)</f>
        <v>107.09107574399999</v>
      </c>
      <c r="C38" s="85">
        <f>VLOOKUP(A38,Database!$A:$AS,MATCH($C$1,Database!$A$1:$AS$1,0),FALSE)</f>
        <v>87.43</v>
      </c>
      <c r="D38" s="85">
        <f>VLOOKUP(A38,Database!$A:$AS,MATCH($D$1,Database!$A$1:$AS$1,0),FALSE)</f>
        <v>68.094325472999998</v>
      </c>
      <c r="E38" s="85">
        <f>VLOOKUP(A38,Database!$A:$AS,MATCH($E$1,Database!$A$1:$AS$1,0),FALSE)</f>
        <v>92.471077058999995</v>
      </c>
      <c r="F38" s="85">
        <f>VLOOKUP(A38,Database!$A:$AS,MATCH($F$1,Database!$A$1:$AS$1,0),FALSE)</f>
        <v>76.7</v>
      </c>
      <c r="G38" s="85">
        <f>VLOOKUP(A38,Database!$A:$AS,MATCH($G$1,Database!$A$1:$AS$1,0),FALSE)</f>
        <v>78.723785625000005</v>
      </c>
      <c r="H38" s="85">
        <f>(((Table134567891011121314151617343[[#This Row],[ITA]]-VLOOKUP($U$1,A:B,2,))/VLOOKUP($U$1,A:B,2,))*100)+100</f>
        <v>88.075657895022943</v>
      </c>
      <c r="I38" s="85">
        <f>(((Table134567891011121314151617343[[#This Row],[FRA]]-VLOOKUP($U$1,A:C,3,))/VLOOKUP($U$1,A:C,3,))*100)+100</f>
        <v>85.305883500829367</v>
      </c>
      <c r="J38" s="85">
        <f>(((Table134567891011121314151617343[[#This Row],[DEU]]-VLOOKUP($U$1,A:D,4,))/VLOOKUP($U$1,A:D,4,))*100)+100</f>
        <v>90.558510637873439</v>
      </c>
      <c r="K38" s="85">
        <f>(((Table134567891011121314151617343[[#This Row],[ESP]]-VLOOKUP($U$1,A:E,5,))/VLOOKUP($U$1,A:E,5,))*100)+100</f>
        <v>77.726317558690624</v>
      </c>
      <c r="L38" s="85">
        <f>(((Table134567891011121314151617343[[#This Row],[EA19]]-VLOOKUP($U$1,A:F,6,))/VLOOKUP($U$1,A:F,6,))*100)+100</f>
        <v>85.794183445190157</v>
      </c>
      <c r="M38" s="85">
        <f>(((Table134567891011121314151617343[[#This Row],[GBR]]-VLOOKUP($U$1,A:G,7,))/VLOOKUP($U$1,A:G,7,))*100)+100</f>
        <v>85.414235706114326</v>
      </c>
      <c r="N38" s="85">
        <f>VLOOKUP(A38,Database!$A:$AS,MATCH($N$1,Database!$A$1:$AS$1,0),FALSE)</f>
        <v>64.347810429000006</v>
      </c>
      <c r="O38" s="85">
        <f>(((Table134567891011121314151617343[[#This Row],[USA]]-VLOOKUP($U$1,A:N,14,))/VLOOKUP($U$1,A:N,14,))*100)+100</f>
        <v>74.07928503988245</v>
      </c>
      <c r="P38" s="85">
        <f>VLOOKUP(A38,Database!$A:$AS,MATCH($P$1,Database!$A$1:$AS$1,0),FALSE)</f>
        <v>99.179177895999999</v>
      </c>
      <c r="Q38" s="85">
        <f>(((Table134567891011121314151617343[[#This Row],[JPN]]-VLOOKUP($U$1,A:Q,16,))/VLOOKUP($U$1,A:Q,16,))*100)+100</f>
        <v>99.573859632877088</v>
      </c>
      <c r="W38" s="87" t="s">
        <v>90</v>
      </c>
    </row>
    <row r="39" spans="1:23" s="87" customFormat="1" x14ac:dyDescent="0.2">
      <c r="A39" s="22">
        <v>34001</v>
      </c>
      <c r="B39" s="85">
        <f>VLOOKUP(A39,Database!$A:$AS,MATCH($B$1,Database!$A$1:$AS$1,0),FALSE)</f>
        <v>106.791100742</v>
      </c>
      <c r="C39" s="85">
        <f>VLOOKUP(A39,Database!$A:$AS,MATCH($C$1,Database!$A$1:$AS$1,0),FALSE)</f>
        <v>87.57</v>
      </c>
      <c r="D39" s="85">
        <f>VLOOKUP(A39,Database!$A:$AS,MATCH($D$1,Database!$A$1:$AS$1,0),FALSE)</f>
        <v>67.094408799000007</v>
      </c>
      <c r="E39" s="85">
        <f>VLOOKUP(A39,Database!$A:$AS,MATCH($E$1,Database!$A$1:$AS$1,0),FALSE)</f>
        <v>90.937075781000004</v>
      </c>
      <c r="F39" s="85">
        <f>VLOOKUP(A39,Database!$A:$AS,MATCH($F$1,Database!$A$1:$AS$1,0),FALSE)</f>
        <v>76.099999999999994</v>
      </c>
      <c r="G39" s="85">
        <f>VLOOKUP(A39,Database!$A:$AS,MATCH($G$1,Database!$A$1:$AS$1,0),FALSE)</f>
        <v>79.906793332000007</v>
      </c>
      <c r="H39" s="85">
        <f>(((Table134567891011121314151617343[[#This Row],[ITA]]-VLOOKUP($U$1,A:B,2,))/VLOOKUP($U$1,A:B,2,))*100)+100</f>
        <v>87.828947368775459</v>
      </c>
      <c r="I39" s="85">
        <f>(((Table134567891011121314151617343[[#This Row],[FRA]]-VLOOKUP($U$1,A:C,3,))/VLOOKUP($U$1,A:C,3,))*100)+100</f>
        <v>85.44248219338472</v>
      </c>
      <c r="J39" s="85">
        <f>(((Table134567891011121314151617343[[#This Row],[DEU]]-VLOOKUP($U$1,A:D,4,))/VLOOKUP($U$1,A:D,4,))*100)+100</f>
        <v>89.228723403321581</v>
      </c>
      <c r="K39" s="85">
        <f>(((Table134567891011121314151617343[[#This Row],[ESP]]-VLOOKUP($U$1,A:E,5,))/VLOOKUP($U$1,A:E,5,))*100)+100</f>
        <v>76.436916869725039</v>
      </c>
      <c r="L39" s="85">
        <f>(((Table134567891011121314151617343[[#This Row],[EA19]]-VLOOKUP($U$1,A:F,6,))/VLOOKUP($U$1,A:F,6,))*100)+100</f>
        <v>85.123042505592835</v>
      </c>
      <c r="M39" s="85">
        <f>(((Table134567891011121314151617343[[#This Row],[GBR]]-VLOOKUP($U$1,A:G,7,))/VLOOKUP($U$1,A:G,7,))*100)+100</f>
        <v>86.697782963472832</v>
      </c>
      <c r="N39" s="85">
        <f>VLOOKUP(A39,Database!$A:$AS,MATCH($N$1,Database!$A$1:$AS$1,0),FALSE)</f>
        <v>64.640904649999996</v>
      </c>
      <c r="O39" s="85">
        <f>(((Table134567891011121314151617343[[#This Row],[USA]]-VLOOKUP($U$1,A:N,14,))/VLOOKUP($U$1,A:N,14,))*100)+100</f>
        <v>74.416704607016868</v>
      </c>
      <c r="P39" s="85">
        <f>VLOOKUP(A39,Database!$A:$AS,MATCH($P$1,Database!$A$1:$AS$1,0),FALSE)</f>
        <v>99.381998300999996</v>
      </c>
      <c r="Q39" s="85">
        <f>(((Table134567891011121314151617343[[#This Row],[JPN]]-VLOOKUP($U$1,A:Q,16,))/VLOOKUP($U$1,A:Q,16,))*100)+100</f>
        <v>99.777487157994614</v>
      </c>
      <c r="W39" s="87" t="s">
        <v>210</v>
      </c>
    </row>
    <row r="40" spans="1:23" s="87" customFormat="1" x14ac:dyDescent="0.2">
      <c r="A40" s="22">
        <v>34029</v>
      </c>
      <c r="B40" s="85">
        <f>VLOOKUP(A40,Database!$A:$AS,MATCH($B$1,Database!$A$1:$AS$1,0),FALSE)</f>
        <v>106.291142405</v>
      </c>
      <c r="C40" s="85">
        <f>VLOOKUP(A40,Database!$A:$AS,MATCH($C$1,Database!$A$1:$AS$1,0),FALSE)</f>
        <v>87.16</v>
      </c>
      <c r="D40" s="85">
        <f>VLOOKUP(A40,Database!$A:$AS,MATCH($D$1,Database!$A$1:$AS$1,0),FALSE)</f>
        <v>67.194400466999994</v>
      </c>
      <c r="E40" s="85">
        <f>VLOOKUP(A40,Database!$A:$AS,MATCH($E$1,Database!$A$1:$AS$1,0),FALSE)</f>
        <v>90.773075644000002</v>
      </c>
      <c r="F40" s="85">
        <f>VLOOKUP(A40,Database!$A:$AS,MATCH($F$1,Database!$A$1:$AS$1,0),FALSE)</f>
        <v>75.900000000000006</v>
      </c>
      <c r="G40" s="85">
        <f>VLOOKUP(A40,Database!$A:$AS,MATCH($G$1,Database!$A$1:$AS$1,0),FALSE)</f>
        <v>79.261516400999994</v>
      </c>
      <c r="H40" s="85">
        <f>(((Table134567891011121314151617343[[#This Row],[ITA]]-VLOOKUP($U$1,A:B,2,))/VLOOKUP($U$1,A:B,2,))*100)+100</f>
        <v>87.41776315808886</v>
      </c>
      <c r="I40" s="85">
        <f>(((Table134567891011121314151617343[[#This Row],[FRA]]-VLOOKUP($U$1,A:C,3,))/VLOOKUP($U$1,A:C,3,))*100)+100</f>
        <v>85.042443165186853</v>
      </c>
      <c r="J40" s="85">
        <f>(((Table134567891011121314151617343[[#This Row],[DEU]]-VLOOKUP($U$1,A:D,4,))/VLOOKUP($U$1,A:D,4,))*100)+100</f>
        <v>89.361702127574688</v>
      </c>
      <c r="K40" s="85">
        <f>(((Table134567891011121314151617343[[#This Row],[ESP]]-VLOOKUP($U$1,A:E,5,))/VLOOKUP($U$1,A:E,5,))*100)+100</f>
        <v>76.299066991324707</v>
      </c>
      <c r="L40" s="85">
        <f>(((Table134567891011121314151617343[[#This Row],[EA19]]-VLOOKUP($U$1,A:F,6,))/VLOOKUP($U$1,A:F,6,))*100)+100</f>
        <v>84.899328859060404</v>
      </c>
      <c r="M40" s="85">
        <f>(((Table134567891011121314151617343[[#This Row],[GBR]]-VLOOKUP($U$1,A:G,7,))/VLOOKUP($U$1,A:G,7,))*100)+100</f>
        <v>85.99766627773954</v>
      </c>
      <c r="N40" s="85">
        <f>VLOOKUP(A40,Database!$A:$AS,MATCH($N$1,Database!$A$1:$AS$1,0),FALSE)</f>
        <v>64.586290204999997</v>
      </c>
      <c r="O40" s="85">
        <f>(((Table134567891011121314151617343[[#This Row],[USA]]-VLOOKUP($U$1,A:N,14,))/VLOOKUP($U$1,A:N,14,))*100)+100</f>
        <v>74.353830687741649</v>
      </c>
      <c r="P40" s="85">
        <f>VLOOKUP(A40,Database!$A:$AS,MATCH($P$1,Database!$A$1:$AS$1,0),FALSE)</f>
        <v>96.035461623000003</v>
      </c>
      <c r="Q40" s="85">
        <f>(((Table134567891011121314151617343[[#This Row],[JPN]]-VLOOKUP($U$1,A:Q,16,))/VLOOKUP($U$1,A:Q,16,))*100)+100</f>
        <v>96.417632998073358</v>
      </c>
      <c r="W40" s="87" t="s">
        <v>483</v>
      </c>
    </row>
    <row r="41" spans="1:23" s="87" customFormat="1" x14ac:dyDescent="0.2">
      <c r="A41" s="22">
        <v>34060</v>
      </c>
      <c r="B41" s="85">
        <f>VLOOKUP(A41,Database!$A:$AS,MATCH($B$1,Database!$A$1:$AS$1,0),FALSE)</f>
        <v>106.09115907</v>
      </c>
      <c r="C41" s="85">
        <f>VLOOKUP(A41,Database!$A:$AS,MATCH($C$1,Database!$A$1:$AS$1,0),FALSE)</f>
        <v>86.58</v>
      </c>
      <c r="D41" s="85">
        <f>VLOOKUP(A41,Database!$A:$AS,MATCH($D$1,Database!$A$1:$AS$1,0),FALSE)</f>
        <v>66.694442129999999</v>
      </c>
      <c r="E41" s="85">
        <f>VLOOKUP(A41,Database!$A:$AS,MATCH($E$1,Database!$A$1:$AS$1,0),FALSE)</f>
        <v>90.591075493000005</v>
      </c>
      <c r="F41" s="85">
        <f>VLOOKUP(A41,Database!$A:$AS,MATCH($F$1,Database!$A$1:$AS$1,0),FALSE)</f>
        <v>75.400000000000006</v>
      </c>
      <c r="G41" s="85">
        <f>VLOOKUP(A41,Database!$A:$AS,MATCH($G$1,Database!$A$1:$AS$1,0),FALSE)</f>
        <v>79.369062556000003</v>
      </c>
      <c r="H41" s="85">
        <f>(((Table134567891011121314151617343[[#This Row],[ITA]]-VLOOKUP($U$1,A:B,2,))/VLOOKUP($U$1,A:B,2,))*100)+100</f>
        <v>87.253289473649716</v>
      </c>
      <c r="I41" s="85">
        <f>(((Table134567891011121314151617343[[#This Row],[FRA]]-VLOOKUP($U$1,A:C,3,))/VLOOKUP($U$1,A:C,3,))*100)+100</f>
        <v>84.476534296028888</v>
      </c>
      <c r="J41" s="85">
        <f>(((Table134567891011121314151617343[[#This Row],[DEU]]-VLOOKUP($U$1,A:D,4,))/VLOOKUP($U$1,A:D,4,))*100)+100</f>
        <v>88.696808510298752</v>
      </c>
      <c r="K41" s="85">
        <f>(((Table134567891011121314151617343[[#This Row],[ESP]]-VLOOKUP($U$1,A:E,5,))/VLOOKUP($U$1,A:E,5,))*100)+100</f>
        <v>76.146087249093213</v>
      </c>
      <c r="L41" s="85">
        <f>(((Table134567891011121314151617343[[#This Row],[EA19]]-VLOOKUP($U$1,A:F,6,))/VLOOKUP($U$1,A:F,6,))*100)+100</f>
        <v>84.340044742729305</v>
      </c>
      <c r="M41" s="85">
        <f>(((Table134567891011121314151617343[[#This Row],[GBR]]-VLOOKUP($U$1,A:G,7,))/VLOOKUP($U$1,A:G,7,))*100)+100</f>
        <v>86.114352391847603</v>
      </c>
      <c r="N41" s="85">
        <f>VLOOKUP(A41,Database!$A:$AS,MATCH($N$1,Database!$A$1:$AS$1,0),FALSE)</f>
        <v>64.774417642000003</v>
      </c>
      <c r="O41" s="85">
        <f>(((Table134567891011121314151617343[[#This Row],[USA]]-VLOOKUP($U$1,A:N,14,))/VLOOKUP($U$1,A:N,14,))*100)+100</f>
        <v>74.570409090898394</v>
      </c>
      <c r="P41" s="85">
        <f>VLOOKUP(A41,Database!$A:$AS,MATCH($P$1,Database!$A$1:$AS$1,0),FALSE)</f>
        <v>97.860845265999998</v>
      </c>
      <c r="Q41" s="85">
        <f>(((Table134567891011121314151617343[[#This Row],[JPN]]-VLOOKUP($U$1,A:Q,16,))/VLOOKUP($U$1,A:Q,16,))*100)+100</f>
        <v>98.250280722123122</v>
      </c>
      <c r="W41" s="87" t="s">
        <v>537</v>
      </c>
    </row>
    <row r="42" spans="1:23" s="87" customFormat="1" x14ac:dyDescent="0.2">
      <c r="A42" s="22">
        <v>34090</v>
      </c>
      <c r="B42" s="85">
        <f>VLOOKUP(A42,Database!$A:$AS,MATCH($B$1,Database!$A$1:$AS$1,0),FALSE)</f>
        <v>105.491209066</v>
      </c>
      <c r="C42" s="85">
        <f>VLOOKUP(A42,Database!$A:$AS,MATCH($C$1,Database!$A$1:$AS$1,0),FALSE)</f>
        <v>86.48</v>
      </c>
      <c r="D42" s="85">
        <f>VLOOKUP(A42,Database!$A:$AS,MATCH($D$1,Database!$A$1:$AS$1,0),FALSE)</f>
        <v>66.694442129999999</v>
      </c>
      <c r="E42" s="85">
        <f>VLOOKUP(A42,Database!$A:$AS,MATCH($E$1,Database!$A$1:$AS$1,0),FALSE)</f>
        <v>91.130075942000005</v>
      </c>
      <c r="F42" s="85">
        <f>VLOOKUP(A42,Database!$A:$AS,MATCH($F$1,Database!$A$1:$AS$1,0),FALSE)</f>
        <v>75.3</v>
      </c>
      <c r="G42" s="85">
        <f>VLOOKUP(A42,Database!$A:$AS,MATCH($G$1,Database!$A$1:$AS$1,0),FALSE)</f>
        <v>80.014339487000001</v>
      </c>
      <c r="H42" s="85">
        <f>(((Table134567891011121314151617343[[#This Row],[ITA]]-VLOOKUP($U$1,A:B,2,))/VLOOKUP($U$1,A:B,2,))*100)+100</f>
        <v>86.759868421154763</v>
      </c>
      <c r="I42" s="85">
        <f>(((Table134567891011121314151617343[[#This Row],[FRA]]-VLOOKUP($U$1,A:C,3,))/VLOOKUP($U$1,A:C,3,))*100)+100</f>
        <v>84.378963801346487</v>
      </c>
      <c r="J42" s="85">
        <f>(((Table134567891011121314151617343[[#This Row],[DEU]]-VLOOKUP($U$1,A:D,4,))/VLOOKUP($U$1,A:D,4,))*100)+100</f>
        <v>88.696808510298752</v>
      </c>
      <c r="K42" s="85">
        <f>(((Table134567891011121314151617343[[#This Row],[ESP]]-VLOOKUP($U$1,A:E,5,))/VLOOKUP($U$1,A:E,5,))*100)+100</f>
        <v>76.599142641067502</v>
      </c>
      <c r="L42" s="85">
        <f>(((Table134567891011121314151617343[[#This Row],[EA19]]-VLOOKUP($U$1,A:F,6,))/VLOOKUP($U$1,A:F,6,))*100)+100</f>
        <v>84.228187919463082</v>
      </c>
      <c r="M42" s="85">
        <f>(((Table134567891011121314151617343[[#This Row],[GBR]]-VLOOKUP($U$1,A:G,7,))/VLOOKUP($U$1,A:G,7,))*100)+100</f>
        <v>86.814469077580867</v>
      </c>
      <c r="N42" s="85">
        <f>VLOOKUP(A42,Database!$A:$AS,MATCH($N$1,Database!$A$1:$AS$1,0),FALSE)</f>
        <v>64.525629514000002</v>
      </c>
      <c r="O42" s="85">
        <f>(((Table134567891011121314151617343[[#This Row],[USA]]-VLOOKUP($U$1,A:N,14,))/VLOOKUP($U$1,A:N,14,))*100)+100</f>
        <v>74.283996134097237</v>
      </c>
      <c r="P42" s="85">
        <f>VLOOKUP(A42,Database!$A:$AS,MATCH($P$1,Database!$A$1:$AS$1,0),FALSE)</f>
        <v>99.179177895999999</v>
      </c>
      <c r="Q42" s="85">
        <f>(((Table134567891011121314151617343[[#This Row],[JPN]]-VLOOKUP($U$1,A:Q,16,))/VLOOKUP($U$1,A:Q,16,))*100)+100</f>
        <v>99.573859632877088</v>
      </c>
    </row>
    <row r="43" spans="1:23" s="87" customFormat="1" x14ac:dyDescent="0.2">
      <c r="A43" s="22">
        <v>34121</v>
      </c>
      <c r="B43" s="85">
        <f>VLOOKUP(A43,Database!$A:$AS,MATCH($B$1,Database!$A$1:$AS$1,0),FALSE)</f>
        <v>105.091242396</v>
      </c>
      <c r="C43" s="85">
        <f>VLOOKUP(A43,Database!$A:$AS,MATCH($C$1,Database!$A$1:$AS$1,0),FALSE)</f>
        <v>85.8</v>
      </c>
      <c r="D43" s="85">
        <f>VLOOKUP(A43,Database!$A:$AS,MATCH($D$1,Database!$A$1:$AS$1,0),FALSE)</f>
        <v>66.194483793000003</v>
      </c>
      <c r="E43" s="85">
        <f>VLOOKUP(A43,Database!$A:$AS,MATCH($E$1,Database!$A$1:$AS$1,0),FALSE)</f>
        <v>90.592075492999996</v>
      </c>
      <c r="F43" s="85">
        <f>VLOOKUP(A43,Database!$A:$AS,MATCH($F$1,Database!$A$1:$AS$1,0),FALSE)</f>
        <v>74.900000000000006</v>
      </c>
      <c r="G43" s="85">
        <f>VLOOKUP(A43,Database!$A:$AS,MATCH($G$1,Database!$A$1:$AS$1,0),FALSE)</f>
        <v>79.584154866000006</v>
      </c>
      <c r="H43" s="85">
        <f>(((Table134567891011121314151617343[[#This Row],[ITA]]-VLOOKUP($U$1,A:B,2,))/VLOOKUP($U$1,A:B,2,))*100)+100</f>
        <v>86.430921052276503</v>
      </c>
      <c r="I43" s="85">
        <f>(((Table134567891011121314151617343[[#This Row],[FRA]]-VLOOKUP($U$1,A:C,3,))/VLOOKUP($U$1,A:C,3,))*100)+100</f>
        <v>83.715484437506092</v>
      </c>
      <c r="J43" s="85">
        <f>(((Table134567891011121314151617343[[#This Row],[DEU]]-VLOOKUP($U$1,A:D,4,))/VLOOKUP($U$1,A:D,4,))*100)+100</f>
        <v>88.031914893022815</v>
      </c>
      <c r="K43" s="85">
        <f>(((Table134567891011121314151617343[[#This Row],[ESP]]-VLOOKUP($U$1,A:E,5,))/VLOOKUP($U$1,A:E,5,))*100)+100</f>
        <v>76.146927796430063</v>
      </c>
      <c r="L43" s="85">
        <f>(((Table134567891011121314151617343[[#This Row],[EA19]]-VLOOKUP($U$1,A:F,6,))/VLOOKUP($U$1,A:F,6,))*100)+100</f>
        <v>83.780760626398205</v>
      </c>
      <c r="M43" s="85">
        <f>(((Table134567891011121314151617343[[#This Row],[GBR]]-VLOOKUP($U$1,A:G,7,))/VLOOKUP($U$1,A:G,7,))*100)+100</f>
        <v>86.347724620063701</v>
      </c>
      <c r="N43" s="85">
        <f>VLOOKUP(A43,Database!$A:$AS,MATCH($N$1,Database!$A$1:$AS$1,0),FALSE)</f>
        <v>64.667864957999996</v>
      </c>
      <c r="O43" s="85">
        <f>(((Table134567891011121314151617343[[#This Row],[USA]]-VLOOKUP($U$1,A:N,14,))/VLOOKUP($U$1,A:N,14,))*100)+100</f>
        <v>74.447742187437711</v>
      </c>
      <c r="P43" s="85">
        <f>VLOOKUP(A43,Database!$A:$AS,MATCH($P$1,Database!$A$1:$AS$1,0),FALSE)</f>
        <v>97.353794253999993</v>
      </c>
      <c r="Q43" s="85">
        <f>(((Table134567891011121314151617343[[#This Row],[JPN]]-VLOOKUP($U$1,A:Q,16,))/VLOOKUP($U$1,A:Q,16,))*100)+100</f>
        <v>97.741211909831293</v>
      </c>
    </row>
    <row r="44" spans="1:23" s="87" customFormat="1" x14ac:dyDescent="0.2">
      <c r="A44" s="22">
        <v>34151</v>
      </c>
      <c r="B44" s="85">
        <f>VLOOKUP(A44,Database!$A:$AS,MATCH($B$1,Database!$A$1:$AS$1,0),FALSE)</f>
        <v>104.49129239200001</v>
      </c>
      <c r="C44" s="85">
        <f>VLOOKUP(A44,Database!$A:$AS,MATCH($C$1,Database!$A$1:$AS$1,0),FALSE)</f>
        <v>86.98</v>
      </c>
      <c r="D44" s="85">
        <f>VLOOKUP(A44,Database!$A:$AS,MATCH($D$1,Database!$A$1:$AS$1,0),FALSE)</f>
        <v>64.694608783000007</v>
      </c>
      <c r="E44" s="85">
        <f>VLOOKUP(A44,Database!$A:$AS,MATCH($E$1,Database!$A$1:$AS$1,0),FALSE)</f>
        <v>91.560076300000006</v>
      </c>
      <c r="F44" s="85">
        <f>VLOOKUP(A44,Database!$A:$AS,MATCH($F$1,Database!$A$1:$AS$1,0),FALSE)</f>
        <v>74.5</v>
      </c>
      <c r="G44" s="85">
        <f>VLOOKUP(A44,Database!$A:$AS,MATCH($G$1,Database!$A$1:$AS$1,0),FALSE)</f>
        <v>80.229431797999993</v>
      </c>
      <c r="H44" s="85">
        <f>(((Table134567891011121314151617343[[#This Row],[ITA]]-VLOOKUP($U$1,A:B,2,))/VLOOKUP($U$1,A:B,2,))*100)+100</f>
        <v>85.937499999781551</v>
      </c>
      <c r="I44" s="85">
        <f>(((Table134567891011121314151617343[[#This Row],[FRA]]-VLOOKUP($U$1,A:C,3,))/VLOOKUP($U$1,A:C,3,))*100)+100</f>
        <v>84.86681627475852</v>
      </c>
      <c r="J44" s="85">
        <f>(((Table134567891011121314151617343[[#This Row],[DEU]]-VLOOKUP($U$1,A:D,4,))/VLOOKUP($U$1,A:D,4,))*100)+100</f>
        <v>86.037234042524915</v>
      </c>
      <c r="K44" s="85">
        <f>(((Table134567891011121314151617343[[#This Row],[ESP]]-VLOOKUP($U$1,A:E,5,))/VLOOKUP($U$1,A:E,5,))*100)+100</f>
        <v>76.960578296834058</v>
      </c>
      <c r="L44" s="85">
        <f>(((Table134567891011121314151617343[[#This Row],[EA19]]-VLOOKUP($U$1,A:F,6,))/VLOOKUP($U$1,A:F,6,))*100)+100</f>
        <v>83.333333333333329</v>
      </c>
      <c r="M44" s="85">
        <f>(((Table134567891011121314151617343[[#This Row],[GBR]]-VLOOKUP($U$1,A:G,7,))/VLOOKUP($U$1,A:G,7,))*100)+100</f>
        <v>87.047841306881949</v>
      </c>
      <c r="N44" s="85">
        <f>VLOOKUP(A44,Database!$A:$AS,MATCH($N$1,Database!$A$1:$AS$1,0),FALSE)</f>
        <v>64.822490248999998</v>
      </c>
      <c r="O44" s="85">
        <f>(((Table134567891011121314151617343[[#This Row],[USA]]-VLOOKUP($U$1,A:N,14,))/VLOOKUP($U$1,A:N,14,))*100)+100</f>
        <v>74.625751834230613</v>
      </c>
      <c r="P44" s="85">
        <f>VLOOKUP(A44,Database!$A:$AS,MATCH($P$1,Database!$A$1:$AS$1,0),FALSE)</f>
        <v>97.252384051999996</v>
      </c>
      <c r="Q44" s="85">
        <f>(((Table134567891011121314151617343[[#This Row],[JPN]]-VLOOKUP($U$1,A:Q,16,))/VLOOKUP($U$1,A:Q,16,))*100)+100</f>
        <v>97.639398147774529</v>
      </c>
    </row>
    <row r="45" spans="1:23" s="87" customFormat="1" x14ac:dyDescent="0.2">
      <c r="A45" s="22">
        <v>34182</v>
      </c>
      <c r="B45" s="85">
        <f>VLOOKUP(A45,Database!$A:$AS,MATCH($B$1,Database!$A$1:$AS$1,0),FALSE)</f>
        <v>104.59128406000001</v>
      </c>
      <c r="C45" s="85">
        <f>VLOOKUP(A45,Database!$A:$AS,MATCH($C$1,Database!$A$1:$AS$1,0),FALSE)</f>
        <v>86.36</v>
      </c>
      <c r="D45" s="85">
        <f>VLOOKUP(A45,Database!$A:$AS,MATCH($D$1,Database!$A$1:$AS$1,0),FALSE)</f>
        <v>67.494375469000005</v>
      </c>
      <c r="E45" s="85">
        <f>VLOOKUP(A45,Database!$A:$AS,MATCH($E$1,Database!$A$1:$AS$1,0),FALSE)</f>
        <v>89.635074696000004</v>
      </c>
      <c r="F45" s="85">
        <f>VLOOKUP(A45,Database!$A:$AS,MATCH($F$1,Database!$A$1:$AS$1,0),FALSE)</f>
        <v>75.5</v>
      </c>
      <c r="G45" s="85">
        <f>VLOOKUP(A45,Database!$A:$AS,MATCH($G$1,Database!$A$1:$AS$1,0),FALSE)</f>
        <v>80.444524107999996</v>
      </c>
      <c r="H45" s="85">
        <f>(((Table134567891011121314151617343[[#This Row],[ITA]]-VLOOKUP($U$1,A:B,2,))/VLOOKUP($U$1,A:B,2,))*100)+100</f>
        <v>86.019736842412328</v>
      </c>
      <c r="I45" s="85">
        <f>(((Table134567891011121314151617343[[#This Row],[FRA]]-VLOOKUP($U$1,A:C,3,))/VLOOKUP($U$1,A:C,3,))*100)+100</f>
        <v>84.261879207727588</v>
      </c>
      <c r="J45" s="85">
        <f>(((Table134567891011121314151617343[[#This Row],[DEU]]-VLOOKUP($U$1,A:D,4,))/VLOOKUP($U$1,A:D,4,))*100)+100</f>
        <v>89.760638297674291</v>
      </c>
      <c r="K45" s="85">
        <f>(((Table134567891011121314151617343[[#This Row],[ESP]]-VLOOKUP($U$1,A:E,5,))/VLOOKUP($U$1,A:E,5,))*100)+100</f>
        <v>75.342523325137037</v>
      </c>
      <c r="L45" s="85">
        <f>(((Table134567891011121314151617343[[#This Row],[EA19]]-VLOOKUP($U$1,A:F,6,))/VLOOKUP($U$1,A:F,6,))*100)+100</f>
        <v>84.451901565995527</v>
      </c>
      <c r="M45" s="85">
        <f>(((Table134567891011121314151617343[[#This Row],[GBR]]-VLOOKUP($U$1,A:G,7,))/VLOOKUP($U$1,A:G,7,))*100)+100</f>
        <v>87.281213535098047</v>
      </c>
      <c r="N45" s="85">
        <f>VLOOKUP(A45,Database!$A:$AS,MATCH($N$1,Database!$A$1:$AS$1,0),FALSE)</f>
        <v>64.750827373000007</v>
      </c>
      <c r="O45" s="85">
        <f>(((Table134567891011121314151617343[[#This Row],[USA]]-VLOOKUP($U$1,A:N,14,))/VLOOKUP($U$1,A:N,14,))*100)+100</f>
        <v>74.543251208605781</v>
      </c>
      <c r="P45" s="85">
        <f>VLOOKUP(A45,Database!$A:$AS,MATCH($P$1,Database!$A$1:$AS$1,0),FALSE)</f>
        <v>96.339692229999997</v>
      </c>
      <c r="Q45" s="85">
        <f>(((Table134567891011121314151617343[[#This Row],[JPN]]-VLOOKUP($U$1,A:Q,16,))/VLOOKUP($U$1,A:Q,16,))*100)+100</f>
        <v>96.723074285247648</v>
      </c>
    </row>
    <row r="46" spans="1:23" s="87" customFormat="1" x14ac:dyDescent="0.2">
      <c r="A46" s="22">
        <v>34213</v>
      </c>
      <c r="B46" s="85">
        <f>VLOOKUP(A46,Database!$A:$AS,MATCH($B$1,Database!$A$1:$AS$1,0),FALSE)</f>
        <v>105.191234064</v>
      </c>
      <c r="C46" s="85">
        <f>VLOOKUP(A46,Database!$A:$AS,MATCH($C$1,Database!$A$1:$AS$1,0),FALSE)</f>
        <v>86.93</v>
      </c>
      <c r="D46" s="85">
        <f>VLOOKUP(A46,Database!$A:$AS,MATCH($D$1,Database!$A$1:$AS$1,0),FALSE)</f>
        <v>67.194400466999994</v>
      </c>
      <c r="E46" s="85">
        <f>VLOOKUP(A46,Database!$A:$AS,MATCH($E$1,Database!$A$1:$AS$1,0),FALSE)</f>
        <v>92.628077189999999</v>
      </c>
      <c r="F46" s="85">
        <f>VLOOKUP(A46,Database!$A:$AS,MATCH($F$1,Database!$A$1:$AS$1,0),FALSE)</f>
        <v>75.8</v>
      </c>
      <c r="G46" s="85">
        <f>VLOOKUP(A46,Database!$A:$AS,MATCH($G$1,Database!$A$1:$AS$1,0),FALSE)</f>
        <v>80.767162573999997</v>
      </c>
      <c r="H46" s="85">
        <f>(((Table134567891011121314151617343[[#This Row],[ITA]]-VLOOKUP($U$1,A:B,2,))/VLOOKUP($U$1,A:B,2,))*100)+100</f>
        <v>86.51315789490728</v>
      </c>
      <c r="I46" s="85">
        <f>(((Table134567891011121314151617343[[#This Row],[FRA]]-VLOOKUP($U$1,A:C,3,))/VLOOKUP($U$1,A:C,3,))*100)+100</f>
        <v>84.818031027417319</v>
      </c>
      <c r="J46" s="85">
        <f>(((Table134567891011121314151617343[[#This Row],[DEU]]-VLOOKUP($U$1,A:D,4,))/VLOOKUP($U$1,A:D,4,))*100)+100</f>
        <v>89.361702127574688</v>
      </c>
      <c r="K46" s="85">
        <f>(((Table134567891011121314151617343[[#This Row],[ESP]]-VLOOKUP($U$1,A:E,5,))/VLOOKUP($U$1,A:E,5,))*100)+100</f>
        <v>77.858283600689646</v>
      </c>
      <c r="L46" s="85">
        <f>(((Table134567891011121314151617343[[#This Row],[EA19]]-VLOOKUP($U$1,A:F,6,))/VLOOKUP($U$1,A:F,6,))*100)+100</f>
        <v>84.787472035794181</v>
      </c>
      <c r="M46" s="85">
        <f>(((Table134567891011121314151617343[[#This Row],[GBR]]-VLOOKUP($U$1,A:G,7,))/VLOOKUP($U$1,A:G,7,))*100)+100</f>
        <v>87.631271878507178</v>
      </c>
      <c r="N46" s="85">
        <f>VLOOKUP(A46,Database!$A:$AS,MATCH($N$1,Database!$A$1:$AS$1,0),FALSE)</f>
        <v>65.077621979</v>
      </c>
      <c r="O46" s="85">
        <f>(((Table134567891011121314151617343[[#This Row],[USA]]-VLOOKUP($U$1,A:N,14,))/VLOOKUP($U$1,A:N,14,))*100)+100</f>
        <v>74.919467751266254</v>
      </c>
      <c r="P46" s="85">
        <f>VLOOKUP(A46,Database!$A:$AS,MATCH($P$1,Database!$A$1:$AS$1,0),FALSE)</f>
        <v>96.643922837000005</v>
      </c>
      <c r="Q46" s="85">
        <f>(((Table134567891011121314151617343[[#This Row],[JPN]]-VLOOKUP($U$1,A:Q,16,))/VLOOKUP($U$1,A:Q,16,))*100)+100</f>
        <v>97.028515572421952</v>
      </c>
    </row>
    <row r="47" spans="1:23" s="87" customFormat="1" x14ac:dyDescent="0.2">
      <c r="A47" s="22">
        <v>34243</v>
      </c>
      <c r="B47" s="85">
        <f>VLOOKUP(A47,Database!$A:$AS,MATCH($B$1,Database!$A$1:$AS$1,0),FALSE)</f>
        <v>105.091242396</v>
      </c>
      <c r="C47" s="85">
        <f>VLOOKUP(A47,Database!$A:$AS,MATCH($C$1,Database!$A$1:$AS$1,0),FALSE)</f>
        <v>87.3</v>
      </c>
      <c r="D47" s="85">
        <f>VLOOKUP(A47,Database!$A:$AS,MATCH($D$1,Database!$A$1:$AS$1,0),FALSE)</f>
        <v>67.194400466999994</v>
      </c>
      <c r="E47" s="85">
        <f>VLOOKUP(A47,Database!$A:$AS,MATCH($E$1,Database!$A$1:$AS$1,0),FALSE)</f>
        <v>93.377077814000003</v>
      </c>
      <c r="F47" s="85">
        <f>VLOOKUP(A47,Database!$A:$AS,MATCH($F$1,Database!$A$1:$AS$1,0),FALSE)</f>
        <v>76</v>
      </c>
      <c r="G47" s="85">
        <f>VLOOKUP(A47,Database!$A:$AS,MATCH($G$1,Database!$A$1:$AS$1,0),FALSE)</f>
        <v>80.874708729000005</v>
      </c>
      <c r="H47" s="85">
        <f>(((Table134567891011121314151617343[[#This Row],[ITA]]-VLOOKUP($U$1,A:B,2,))/VLOOKUP($U$1,A:B,2,))*100)+100</f>
        <v>86.430921052276503</v>
      </c>
      <c r="I47" s="85">
        <f>(((Table134567891011121314151617343[[#This Row],[FRA]]-VLOOKUP($U$1,A:C,3,))/VLOOKUP($U$1,A:C,3,))*100)+100</f>
        <v>85.17904185774222</v>
      </c>
      <c r="J47" s="85">
        <f>(((Table134567891011121314151617343[[#This Row],[DEU]]-VLOOKUP($U$1,A:D,4,))/VLOOKUP($U$1,A:D,4,))*100)+100</f>
        <v>89.361702127574688</v>
      </c>
      <c r="K47" s="85">
        <f>(((Table134567891011121314151617343[[#This Row],[ESP]]-VLOOKUP($U$1,A:E,5,))/VLOOKUP($U$1,A:E,5,))*100)+100</f>
        <v>78.487854080500725</v>
      </c>
      <c r="L47" s="85">
        <f>(((Table134567891011121314151617343[[#This Row],[EA19]]-VLOOKUP($U$1,A:F,6,))/VLOOKUP($U$1,A:F,6,))*100)+100</f>
        <v>85.011185682326612</v>
      </c>
      <c r="M47" s="85">
        <f>(((Table134567891011121314151617343[[#This Row],[GBR]]-VLOOKUP($U$1,A:G,7,))/VLOOKUP($U$1,A:G,7,))*100)+100</f>
        <v>87.747957992615241</v>
      </c>
      <c r="N47" s="85">
        <f>VLOOKUP(A47,Database!$A:$AS,MATCH($N$1,Database!$A$1:$AS$1,0),FALSE)</f>
        <v>65.580154174</v>
      </c>
      <c r="O47" s="85">
        <f>(((Table134567891011121314151617343[[#This Row],[USA]]-VLOOKUP($U$1,A:N,14,))/VLOOKUP($U$1,A:N,14,))*100)+100</f>
        <v>75.497999102479795</v>
      </c>
      <c r="P47" s="85">
        <f>VLOOKUP(A47,Database!$A:$AS,MATCH($P$1,Database!$A$1:$AS$1,0),FALSE)</f>
        <v>95.832641218999996</v>
      </c>
      <c r="Q47" s="85">
        <f>(((Table134567891011121314151617343[[#This Row],[JPN]]-VLOOKUP($U$1,A:Q,16,))/VLOOKUP($U$1,A:Q,16,))*100)+100</f>
        <v>96.214005473959801</v>
      </c>
    </row>
    <row r="48" spans="1:23" s="87" customFormat="1" x14ac:dyDescent="0.2">
      <c r="A48" s="22">
        <v>34274</v>
      </c>
      <c r="B48" s="85">
        <f>VLOOKUP(A48,Database!$A:$AS,MATCH($B$1,Database!$A$1:$AS$1,0),FALSE)</f>
        <v>105.891175735</v>
      </c>
      <c r="C48" s="85">
        <f>VLOOKUP(A48,Database!$A:$AS,MATCH($C$1,Database!$A$1:$AS$1,0),FALSE)</f>
        <v>86.71</v>
      </c>
      <c r="D48" s="85">
        <f>VLOOKUP(A48,Database!$A:$AS,MATCH($D$1,Database!$A$1:$AS$1,0),FALSE)</f>
        <v>66.594450461999998</v>
      </c>
      <c r="E48" s="85">
        <f>VLOOKUP(A48,Database!$A:$AS,MATCH($E$1,Database!$A$1:$AS$1,0),FALSE)</f>
        <v>93.641078034000003</v>
      </c>
      <c r="F48" s="85">
        <f>VLOOKUP(A48,Database!$A:$AS,MATCH($F$1,Database!$A$1:$AS$1,0),FALSE)</f>
        <v>75.900000000000006</v>
      </c>
      <c r="G48" s="85">
        <f>VLOOKUP(A48,Database!$A:$AS,MATCH($G$1,Database!$A$1:$AS$1,0),FALSE)</f>
        <v>81.627531816000001</v>
      </c>
      <c r="H48" s="85">
        <f>(((Table134567891011121314151617343[[#This Row],[ITA]]-VLOOKUP($U$1,A:B,2,))/VLOOKUP($U$1,A:B,2,))*100)+100</f>
        <v>87.088815789210599</v>
      </c>
      <c r="I48" s="85">
        <f>(((Table134567891011121314151617343[[#This Row],[FRA]]-VLOOKUP($U$1,A:C,3,))/VLOOKUP($U$1,A:C,3,))*100)+100</f>
        <v>84.603375939116006</v>
      </c>
      <c r="J48" s="85">
        <f>(((Table134567891011121314151617343[[#This Row],[DEU]]-VLOOKUP($U$1,A:D,4,))/VLOOKUP($U$1,A:D,4,))*100)+100</f>
        <v>88.56382978604563</v>
      </c>
      <c r="K48" s="85">
        <f>(((Table134567891011121314151617343[[#This Row],[ESP]]-VLOOKUP($U$1,A:E,5,))/VLOOKUP($U$1,A:E,5,))*100)+100</f>
        <v>78.709758762352664</v>
      </c>
      <c r="L48" s="85">
        <f>(((Table134567891011121314151617343[[#This Row],[EA19]]-VLOOKUP($U$1,A:F,6,))/VLOOKUP($U$1,A:F,6,))*100)+100</f>
        <v>84.899328859060404</v>
      </c>
      <c r="M48" s="85">
        <f>(((Table134567891011121314151617343[[#This Row],[GBR]]-VLOOKUP($U$1,A:G,7,))/VLOOKUP($U$1,A:G,7,))*100)+100</f>
        <v>88.564760793541552</v>
      </c>
      <c r="N48" s="85">
        <f>VLOOKUP(A48,Database!$A:$AS,MATCH($N$1,Database!$A$1:$AS$1,0),FALSE)</f>
        <v>65.897235140000006</v>
      </c>
      <c r="O48" s="85">
        <f>(((Table134567891011121314151617343[[#This Row],[USA]]-VLOOKUP($U$1,A:N,14,))/VLOOKUP($U$1,A:N,14,))*100)+100</f>
        <v>75.863032987928833</v>
      </c>
      <c r="P48" s="85">
        <f>VLOOKUP(A48,Database!$A:$AS,MATCH($P$1,Database!$A$1:$AS$1,0),FALSE)</f>
        <v>95.629820813999999</v>
      </c>
      <c r="Q48" s="85">
        <f>(((Table134567891011121314151617343[[#This Row],[JPN]]-VLOOKUP($U$1,A:Q,16,))/VLOOKUP($U$1,A:Q,16,))*100)+100</f>
        <v>96.010377948842276</v>
      </c>
    </row>
    <row r="49" spans="1:17" s="87" customFormat="1" x14ac:dyDescent="0.2">
      <c r="A49" s="22">
        <v>34304</v>
      </c>
      <c r="B49" s="85">
        <f>VLOOKUP(A49,Database!$A:$AS,MATCH($B$1,Database!$A$1:$AS$1,0),FALSE)</f>
        <v>105.79118406800001</v>
      </c>
      <c r="C49" s="85">
        <f>VLOOKUP(A49,Database!$A:$AS,MATCH($C$1,Database!$A$1:$AS$1,0),FALSE)</f>
        <v>85.91</v>
      </c>
      <c r="D49" s="85">
        <f>VLOOKUP(A49,Database!$A:$AS,MATCH($D$1,Database!$A$1:$AS$1,0),FALSE)</f>
        <v>67.394383801000004</v>
      </c>
      <c r="E49" s="85">
        <f>VLOOKUP(A49,Database!$A:$AS,MATCH($E$1,Database!$A$1:$AS$1,0),FALSE)</f>
        <v>93.864078219999996</v>
      </c>
      <c r="F49" s="85">
        <f>VLOOKUP(A49,Database!$A:$AS,MATCH($F$1,Database!$A$1:$AS$1,0),FALSE)</f>
        <v>76</v>
      </c>
      <c r="G49" s="85">
        <f>VLOOKUP(A49,Database!$A:$AS,MATCH($G$1,Database!$A$1:$AS$1,0),FALSE)</f>
        <v>81.842624126000004</v>
      </c>
      <c r="H49" s="85">
        <f>(((Table134567891011121314151617343[[#This Row],[ITA]]-VLOOKUP($U$1,A:B,2,))/VLOOKUP($U$1,A:B,2,))*100)+100</f>
        <v>87.006578947402247</v>
      </c>
      <c r="I49" s="85">
        <f>(((Table134567891011121314151617343[[#This Row],[FRA]]-VLOOKUP($U$1,A:C,3,))/VLOOKUP($U$1,A:C,3,))*100)+100</f>
        <v>83.822811981656741</v>
      </c>
      <c r="J49" s="85">
        <f>(((Table134567891011121314151617343[[#This Row],[DEU]]-VLOOKUP($U$1,A:D,4,))/VLOOKUP($U$1,A:D,4,))*100)+100</f>
        <v>89.627659573421155</v>
      </c>
      <c r="K49" s="85">
        <f>(((Table134567891011121314151617343[[#This Row],[ESP]]-VLOOKUP($U$1,A:E,5,))/VLOOKUP($U$1,A:E,5,))*100)+100</f>
        <v>78.897200974814666</v>
      </c>
      <c r="L49" s="85">
        <f>(((Table134567891011121314151617343[[#This Row],[EA19]]-VLOOKUP($U$1,A:F,6,))/VLOOKUP($U$1,A:F,6,))*100)+100</f>
        <v>85.011185682326612</v>
      </c>
      <c r="M49" s="85">
        <f>(((Table134567891011121314151617343[[#This Row],[GBR]]-VLOOKUP($U$1,A:G,7,))/VLOOKUP($U$1,A:G,7,))*100)+100</f>
        <v>88.79813302175765</v>
      </c>
      <c r="N49" s="85">
        <f>VLOOKUP(A49,Database!$A:$AS,MATCH($N$1,Database!$A$1:$AS$1,0),FALSE)</f>
        <v>66.250890932999994</v>
      </c>
      <c r="O49" s="85">
        <f>(((Table134567891011121314151617343[[#This Row],[USA]]-VLOOKUP($U$1,A:N,14,))/VLOOKUP($U$1,A:N,14,))*100)+100</f>
        <v>76.270172999702169</v>
      </c>
      <c r="P49" s="85">
        <f>VLOOKUP(A49,Database!$A:$AS,MATCH($P$1,Database!$A$1:$AS$1,0),FALSE)</f>
        <v>94.919949398</v>
      </c>
      <c r="Q49" s="85">
        <f>(((Table134567891011121314151617343[[#This Row],[JPN]]-VLOOKUP($U$1,A:Q,16,))/VLOOKUP($U$1,A:Q,16,))*100)+100</f>
        <v>95.297681612436904</v>
      </c>
    </row>
    <row r="50" spans="1:17" s="87" customFormat="1" x14ac:dyDescent="0.2">
      <c r="A50" s="22">
        <v>34335</v>
      </c>
      <c r="B50" s="85">
        <f>VLOOKUP(A50,Database!$A:$AS,MATCH($B$1,Database!$A$1:$AS$1,0),FALSE)</f>
        <v>106.09115907</v>
      </c>
      <c r="C50" s="85">
        <f>VLOOKUP(A50,Database!$A:$AS,MATCH($C$1,Database!$A$1:$AS$1,0),FALSE)</f>
        <v>87.51</v>
      </c>
      <c r="D50" s="85">
        <f>VLOOKUP(A50,Database!$A:$AS,MATCH($D$1,Database!$A$1:$AS$1,0),FALSE)</f>
        <v>67.094408799000007</v>
      </c>
      <c r="E50" s="85">
        <f>VLOOKUP(A50,Database!$A:$AS,MATCH($E$1,Database!$A$1:$AS$1,0),FALSE)</f>
        <v>93.462077884999999</v>
      </c>
      <c r="F50" s="85">
        <f>VLOOKUP(A50,Database!$A:$AS,MATCH($F$1,Database!$A$1:$AS$1,0),FALSE)</f>
        <v>76.099999999999994</v>
      </c>
      <c r="G50" s="85">
        <f>VLOOKUP(A50,Database!$A:$AS,MATCH($G$1,Database!$A$1:$AS$1,0),FALSE)</f>
        <v>82.272808746999999</v>
      </c>
      <c r="H50" s="85">
        <f>(((Table134567891011121314151617343[[#This Row],[ITA]]-VLOOKUP($U$1,A:B,2,))/VLOOKUP($U$1,A:B,2,))*100)+100</f>
        <v>87.253289473649716</v>
      </c>
      <c r="I50" s="85">
        <f>(((Table134567891011121314151617343[[#This Row],[FRA]]-VLOOKUP($U$1,A:C,3,))/VLOOKUP($U$1,A:C,3,))*100)+100</f>
        <v>85.383939896575285</v>
      </c>
      <c r="J50" s="85">
        <f>(((Table134567891011121314151617343[[#This Row],[DEU]]-VLOOKUP($U$1,A:D,4,))/VLOOKUP($U$1,A:D,4,))*100)+100</f>
        <v>89.228723403321581</v>
      </c>
      <c r="K50" s="85">
        <f>(((Table134567891011121314151617343[[#This Row],[ESP]]-VLOOKUP($U$1,A:E,5,))/VLOOKUP($U$1,A:E,5,))*100)+100</f>
        <v>78.559300663812849</v>
      </c>
      <c r="L50" s="85">
        <f>(((Table134567891011121314151617343[[#This Row],[EA19]]-VLOOKUP($U$1,A:F,6,))/VLOOKUP($U$1,A:F,6,))*100)+100</f>
        <v>85.123042505592835</v>
      </c>
      <c r="M50" s="85">
        <f>(((Table134567891011121314151617343[[#This Row],[GBR]]-VLOOKUP($U$1,A:G,7,))/VLOOKUP($U$1,A:G,7,))*100)+100</f>
        <v>89.264877479274816</v>
      </c>
      <c r="N50" s="85">
        <f>VLOOKUP(A50,Database!$A:$AS,MATCH($N$1,Database!$A$1:$AS$1,0),FALSE)</f>
        <v>66.468654885000007</v>
      </c>
      <c r="O50" s="85">
        <f>(((Table134567891011121314151617343[[#This Row],[USA]]-VLOOKUP($U$1,A:N,14,))/VLOOKUP($U$1,A:N,14,))*100)+100</f>
        <v>76.520869919520749</v>
      </c>
      <c r="P50" s="85">
        <f>VLOOKUP(A50,Database!$A:$AS,MATCH($P$1,Database!$A$1:$AS$1,0),FALSE)</f>
        <v>94.514308588000006</v>
      </c>
      <c r="Q50" s="85">
        <f>(((Table134567891011121314151617343[[#This Row],[JPN]]-VLOOKUP($U$1,A:Q,16,))/VLOOKUP($U$1,A:Q,16,))*100)+100</f>
        <v>94.890426562201867</v>
      </c>
    </row>
    <row r="51" spans="1:17" s="87" customFormat="1" x14ac:dyDescent="0.2">
      <c r="A51" s="22">
        <v>34366</v>
      </c>
      <c r="B51" s="85">
        <f>VLOOKUP(A51,Database!$A:$AS,MATCH($B$1,Database!$A$1:$AS$1,0),FALSE)</f>
        <v>107.791017415</v>
      </c>
      <c r="C51" s="85">
        <f>VLOOKUP(A51,Database!$A:$AS,MATCH($C$1,Database!$A$1:$AS$1,0),FALSE)</f>
        <v>87.26</v>
      </c>
      <c r="D51" s="85">
        <f>VLOOKUP(A51,Database!$A:$AS,MATCH($D$1,Database!$A$1:$AS$1,0),FALSE)</f>
        <v>68.094325472999998</v>
      </c>
      <c r="E51" s="85">
        <f>VLOOKUP(A51,Database!$A:$AS,MATCH($E$1,Database!$A$1:$AS$1,0),FALSE)</f>
        <v>96.489080408000007</v>
      </c>
      <c r="F51" s="85">
        <f>VLOOKUP(A51,Database!$A:$AS,MATCH($F$1,Database!$A$1:$AS$1,0),FALSE)</f>
        <v>77.3</v>
      </c>
      <c r="G51" s="85">
        <f>VLOOKUP(A51,Database!$A:$AS,MATCH($G$1,Database!$A$1:$AS$1,0),FALSE)</f>
        <v>82.595447213</v>
      </c>
      <c r="H51" s="85">
        <f>(((Table134567891011121314151617343[[#This Row],[ITA]]-VLOOKUP($U$1,A:B,2,))/VLOOKUP($U$1,A:B,2,))*100)+100</f>
        <v>88.651315789326247</v>
      </c>
      <c r="I51" s="85">
        <f>(((Table134567891011121314151617343[[#This Row],[FRA]]-VLOOKUP($U$1,A:C,3,))/VLOOKUP($U$1,A:C,3,))*100)+100</f>
        <v>85.140013659869268</v>
      </c>
      <c r="J51" s="85">
        <f>(((Table134567891011121314151617343[[#This Row],[DEU]]-VLOOKUP($U$1,A:D,4,))/VLOOKUP($U$1,A:D,4,))*100)+100</f>
        <v>90.558510637873439</v>
      </c>
      <c r="K51" s="85">
        <f>(((Table134567891011121314151617343[[#This Row],[ESP]]-VLOOKUP($U$1,A:E,5,))/VLOOKUP($U$1,A:E,5,))*100)+100</f>
        <v>81.103639573194641</v>
      </c>
      <c r="L51" s="85">
        <f>(((Table134567891011121314151617343[[#This Row],[EA19]]-VLOOKUP($U$1,A:F,6,))/VLOOKUP($U$1,A:F,6,))*100)+100</f>
        <v>86.465324384787465</v>
      </c>
      <c r="M51" s="85">
        <f>(((Table134567891011121314151617343[[#This Row],[GBR]]-VLOOKUP($U$1,A:G,7,))/VLOOKUP($U$1,A:G,7,))*100)+100</f>
        <v>89.614935822683961</v>
      </c>
      <c r="N51" s="85">
        <f>VLOOKUP(A51,Database!$A:$AS,MATCH($N$1,Database!$A$1:$AS$1,0),FALSE)</f>
        <v>66.514645997000002</v>
      </c>
      <c r="O51" s="85">
        <f>(((Table134567891011121314151617343[[#This Row],[USA]]-VLOOKUP($U$1,A:N,14,))/VLOOKUP($U$1,A:N,14,))*100)+100</f>
        <v>76.573816378342499</v>
      </c>
      <c r="P51" s="85">
        <f>VLOOKUP(A51,Database!$A:$AS,MATCH($P$1,Database!$A$1:$AS$1,0),FALSE)</f>
        <v>95.325590207000005</v>
      </c>
      <c r="Q51" s="85">
        <f>(((Table134567891011121314151617343[[#This Row],[JPN]]-VLOOKUP($U$1,A:Q,16,))/VLOOKUP($U$1,A:Q,16,))*100)+100</f>
        <v>95.704936661667986</v>
      </c>
    </row>
    <row r="52" spans="1:17" s="87" customFormat="1" x14ac:dyDescent="0.2">
      <c r="A52" s="22">
        <v>34394</v>
      </c>
      <c r="B52" s="85">
        <f>VLOOKUP(A52,Database!$A:$AS,MATCH($B$1,Database!$A$1:$AS$1,0),FALSE)</f>
        <v>109.290892426</v>
      </c>
      <c r="C52" s="85">
        <f>VLOOKUP(A52,Database!$A:$AS,MATCH($C$1,Database!$A$1:$AS$1,0),FALSE)</f>
        <v>87.24</v>
      </c>
      <c r="D52" s="85">
        <f>VLOOKUP(A52,Database!$A:$AS,MATCH($D$1,Database!$A$1:$AS$1,0),FALSE)</f>
        <v>67.794350471000001</v>
      </c>
      <c r="E52" s="85">
        <f>VLOOKUP(A52,Database!$A:$AS,MATCH($E$1,Database!$A$1:$AS$1,0),FALSE)</f>
        <v>96.209080173999993</v>
      </c>
      <c r="F52" s="85">
        <f>VLOOKUP(A52,Database!$A:$AS,MATCH($F$1,Database!$A$1:$AS$1,0),FALSE)</f>
        <v>77.3</v>
      </c>
      <c r="G52" s="85">
        <f>VLOOKUP(A52,Database!$A:$AS,MATCH($G$1,Database!$A$1:$AS$1,0),FALSE)</f>
        <v>82.918085677999997</v>
      </c>
      <c r="H52" s="85">
        <f>(((Table134567891011121314151617343[[#This Row],[ITA]]-VLOOKUP($U$1,A:B,2,))/VLOOKUP($U$1,A:B,2,))*100)+100</f>
        <v>89.884868421386074</v>
      </c>
      <c r="I52" s="85">
        <f>(((Table134567891011121314151617343[[#This Row],[FRA]]-VLOOKUP($U$1,A:C,3,))/VLOOKUP($U$1,A:C,3,))*100)+100</f>
        <v>85.120499560932771</v>
      </c>
      <c r="J52" s="85">
        <f>(((Table134567891011121314151617343[[#This Row],[DEU]]-VLOOKUP($U$1,A:D,4,))/VLOOKUP($U$1,A:D,4,))*100)+100</f>
        <v>90.159574467773865</v>
      </c>
      <c r="K52" s="85">
        <f>(((Table134567891011121314151617343[[#This Row],[ESP]]-VLOOKUP($U$1,A:E,5,))/VLOOKUP($U$1,A:E,5,))*100)+100</f>
        <v>80.868286122185225</v>
      </c>
      <c r="L52" s="85">
        <f>(((Table134567891011121314151617343[[#This Row],[EA19]]-VLOOKUP($U$1,A:F,6,))/VLOOKUP($U$1,A:F,6,))*100)+100</f>
        <v>86.465324384787465</v>
      </c>
      <c r="M52" s="85">
        <f>(((Table134567891011121314151617343[[#This Row],[GBR]]-VLOOKUP($U$1,A:G,7,))/VLOOKUP($U$1,A:G,7,))*100)+100</f>
        <v>89.964994165008093</v>
      </c>
      <c r="N52" s="85">
        <f>VLOOKUP(A52,Database!$A:$AS,MATCH($N$1,Database!$A$1:$AS$1,0),FALSE)</f>
        <v>67.181913598999998</v>
      </c>
      <c r="O52" s="85">
        <f>(((Table134567891011121314151617343[[#This Row],[USA]]-VLOOKUP($U$1,A:N,14,))/VLOOKUP($U$1,A:N,14,))*100)+100</f>
        <v>77.341996469582398</v>
      </c>
      <c r="P52" s="85">
        <f>VLOOKUP(A52,Database!$A:$AS,MATCH($P$1,Database!$A$1:$AS$1,0),FALSE)</f>
        <v>96.339692229999997</v>
      </c>
      <c r="Q52" s="85">
        <f>(((Table134567891011121314151617343[[#This Row],[JPN]]-VLOOKUP($U$1,A:Q,16,))/VLOOKUP($U$1,A:Q,16,))*100)+100</f>
        <v>96.723074285247648</v>
      </c>
    </row>
    <row r="53" spans="1:17" s="87" customFormat="1" x14ac:dyDescent="0.2">
      <c r="A53" s="22">
        <v>34425</v>
      </c>
      <c r="B53" s="85">
        <f>VLOOKUP(A53,Database!$A:$AS,MATCH($B$1,Database!$A$1:$AS$1,0),FALSE)</f>
        <v>111.09074243800001</v>
      </c>
      <c r="C53" s="85">
        <f>VLOOKUP(A53,Database!$A:$AS,MATCH($C$1,Database!$A$1:$AS$1,0),FALSE)</f>
        <v>89.64</v>
      </c>
      <c r="D53" s="85">
        <f>VLOOKUP(A53,Database!$A:$AS,MATCH($D$1,Database!$A$1:$AS$1,0),FALSE)</f>
        <v>68.594283809999993</v>
      </c>
      <c r="E53" s="85">
        <f>VLOOKUP(A53,Database!$A:$AS,MATCH($E$1,Database!$A$1:$AS$1,0),FALSE)</f>
        <v>97.807081506000003</v>
      </c>
      <c r="F53" s="85">
        <f>VLOOKUP(A53,Database!$A:$AS,MATCH($F$1,Database!$A$1:$AS$1,0),FALSE)</f>
        <v>78.7</v>
      </c>
      <c r="G53" s="85">
        <f>VLOOKUP(A53,Database!$A:$AS,MATCH($G$1,Database!$A$1:$AS$1,0),FALSE)</f>
        <v>83.993547230999994</v>
      </c>
      <c r="H53" s="85">
        <f>(((Table134567891011121314151617343[[#This Row],[ITA]]-VLOOKUP($U$1,A:B,2,))/VLOOKUP($U$1,A:B,2,))*100)+100</f>
        <v>91.365131578870944</v>
      </c>
      <c r="I53" s="85">
        <f>(((Table134567891011121314151617343[[#This Row],[FRA]]-VLOOKUP($U$1,A:C,3,))/VLOOKUP($U$1,A:C,3,))*100)+100</f>
        <v>87.462191433310565</v>
      </c>
      <c r="J53" s="85">
        <f>(((Table134567891011121314151617343[[#This Row],[DEU]]-VLOOKUP($U$1,A:D,4,))/VLOOKUP($U$1,A:D,4,))*100)+100</f>
        <v>91.223404255149376</v>
      </c>
      <c r="K53" s="85">
        <f>(((Table134567891011121314151617343[[#This Row],[ESP]]-VLOOKUP($U$1,A:E,5,))/VLOOKUP($U$1,A:E,5,))*100)+100</f>
        <v>82.211481886099548</v>
      </c>
      <c r="L53" s="85">
        <f>(((Table134567891011121314151617343[[#This Row],[EA19]]-VLOOKUP($U$1,A:F,6,))/VLOOKUP($U$1,A:F,6,))*100)+100</f>
        <v>88.03131991051454</v>
      </c>
      <c r="M53" s="85">
        <f>(((Table134567891011121314151617343[[#This Row],[GBR]]-VLOOKUP($U$1,A:G,7,))/VLOOKUP($U$1,A:G,7,))*100)+100</f>
        <v>91.131855309343536</v>
      </c>
      <c r="N53" s="85">
        <f>VLOOKUP(A53,Database!$A:$AS,MATCH($N$1,Database!$A$1:$AS$1,0),FALSE)</f>
        <v>67.589688244000001</v>
      </c>
      <c r="O53" s="85">
        <f>(((Table134567891011121314151617343[[#This Row],[USA]]-VLOOKUP($U$1,A:N,14,))/VLOOKUP($U$1,A:N,14,))*100)+100</f>
        <v>77.811439857905967</v>
      </c>
      <c r="P53" s="85">
        <f>VLOOKUP(A53,Database!$A:$AS,MATCH($P$1,Database!$A$1:$AS$1,0),FALSE)</f>
        <v>97.252384051999996</v>
      </c>
      <c r="Q53" s="85">
        <f>(((Table134567891011121314151617343[[#This Row],[JPN]]-VLOOKUP($U$1,A:Q,16,))/VLOOKUP($U$1,A:Q,16,))*100)+100</f>
        <v>97.639398147774529</v>
      </c>
    </row>
    <row r="54" spans="1:17" s="87" customFormat="1" x14ac:dyDescent="0.2">
      <c r="A54" s="22">
        <v>34455</v>
      </c>
      <c r="B54" s="85">
        <f>VLOOKUP(A54,Database!$A:$AS,MATCH($B$1,Database!$A$1:$AS$1,0),FALSE)</f>
        <v>111.490709108</v>
      </c>
      <c r="C54" s="85">
        <f>VLOOKUP(A54,Database!$A:$AS,MATCH($C$1,Database!$A$1:$AS$1,0),FALSE)</f>
        <v>89.58</v>
      </c>
      <c r="D54" s="85">
        <f>VLOOKUP(A54,Database!$A:$AS,MATCH($D$1,Database!$A$1:$AS$1,0),FALSE)</f>
        <v>68.294308807999997</v>
      </c>
      <c r="E54" s="85">
        <f>VLOOKUP(A54,Database!$A:$AS,MATCH($E$1,Database!$A$1:$AS$1,0),FALSE)</f>
        <v>96.831080693000004</v>
      </c>
      <c r="F54" s="85">
        <f>VLOOKUP(A54,Database!$A:$AS,MATCH($F$1,Database!$A$1:$AS$1,0),FALSE)</f>
        <v>78.5</v>
      </c>
      <c r="G54" s="85">
        <f>VLOOKUP(A54,Database!$A:$AS,MATCH($G$1,Database!$A$1:$AS$1,0),FALSE)</f>
        <v>85.069008783000001</v>
      </c>
      <c r="H54" s="85">
        <f>(((Table134567891011121314151617343[[#This Row],[ITA]]-VLOOKUP($U$1,A:B,2,))/VLOOKUP($U$1,A:B,2,))*100)+100</f>
        <v>91.694078947749205</v>
      </c>
      <c r="I54" s="85">
        <f>(((Table134567891011121314151617343[[#This Row],[FRA]]-VLOOKUP($U$1,A:C,3,))/VLOOKUP($U$1,A:C,3,))*100)+100</f>
        <v>87.40364913650113</v>
      </c>
      <c r="J54" s="85">
        <f>(((Table134567891011121314151617343[[#This Row],[DEU]]-VLOOKUP($U$1,A:D,4,))/VLOOKUP($U$1,A:D,4,))*100)+100</f>
        <v>90.824468085049801</v>
      </c>
      <c r="K54" s="85">
        <f>(((Table134567891011121314151617343[[#This Row],[ESP]]-VLOOKUP($U$1,A:E,5,))/VLOOKUP($U$1,A:E,5,))*100)+100</f>
        <v>81.39110700195738</v>
      </c>
      <c r="L54" s="85">
        <f>(((Table134567891011121314151617343[[#This Row],[EA19]]-VLOOKUP($U$1,A:F,6,))/VLOOKUP($U$1,A:F,6,))*100)+100</f>
        <v>87.807606263982095</v>
      </c>
      <c r="M54" s="85">
        <f>(((Table134567891011121314151617343[[#This Row],[GBR]]-VLOOKUP($U$1,A:G,7,))/VLOOKUP($U$1,A:G,7,))*100)+100</f>
        <v>92.298716452594007</v>
      </c>
      <c r="N54" s="85">
        <f>VLOOKUP(A54,Database!$A:$AS,MATCH($N$1,Database!$A$1:$AS$1,0),FALSE)</f>
        <v>67.909841892000003</v>
      </c>
      <c r="O54" s="85">
        <f>(((Table134567891011121314151617343[[#This Row],[USA]]-VLOOKUP($U$1,A:N,14,))/VLOOKUP($U$1,A:N,14,))*100)+100</f>
        <v>78.180011114466723</v>
      </c>
      <c r="P54" s="85">
        <f>VLOOKUP(A54,Database!$A:$AS,MATCH($P$1,Database!$A$1:$AS$1,0),FALSE)</f>
        <v>97.150973848999996</v>
      </c>
      <c r="Q54" s="85">
        <f>(((Table134567891011121314151617343[[#This Row],[JPN]]-VLOOKUP($U$1,A:Q,16,))/VLOOKUP($U$1,A:Q,16,))*100)+100</f>
        <v>97.537584384713767</v>
      </c>
    </row>
    <row r="55" spans="1:17" s="87" customFormat="1" x14ac:dyDescent="0.2">
      <c r="A55" s="22">
        <v>34486</v>
      </c>
      <c r="B55" s="85">
        <f>VLOOKUP(A55,Database!$A:$AS,MATCH($B$1,Database!$A$1:$AS$1,0),FALSE)</f>
        <v>112.59061744900001</v>
      </c>
      <c r="C55" s="85">
        <f>VLOOKUP(A55,Database!$A:$AS,MATCH($C$1,Database!$A$1:$AS$1,0),FALSE)</f>
        <v>90.05</v>
      </c>
      <c r="D55" s="85">
        <f>VLOOKUP(A55,Database!$A:$AS,MATCH($D$1,Database!$A$1:$AS$1,0),FALSE)</f>
        <v>68.794267144000003</v>
      </c>
      <c r="E55" s="85">
        <f>VLOOKUP(A55,Database!$A:$AS,MATCH($E$1,Database!$A$1:$AS$1,0),FALSE)</f>
        <v>98.482082067999997</v>
      </c>
      <c r="F55" s="85">
        <f>VLOOKUP(A55,Database!$A:$AS,MATCH($F$1,Database!$A$1:$AS$1,0),FALSE)</f>
        <v>79.099999999999994</v>
      </c>
      <c r="G55" s="85">
        <f>VLOOKUP(A55,Database!$A:$AS,MATCH($G$1,Database!$A$1:$AS$1,0),FALSE)</f>
        <v>84.101093386000002</v>
      </c>
      <c r="H55" s="85">
        <f>(((Table134567891011121314151617343[[#This Row],[ITA]]-VLOOKUP($U$1,A:B,2,))/VLOOKUP($U$1,A:B,2,))*100)+100</f>
        <v>92.598684210930784</v>
      </c>
      <c r="I55" s="85">
        <f>(((Table134567891011121314151617343[[#This Row],[FRA]]-VLOOKUP($U$1,A:C,3,))/VLOOKUP($U$1,A:C,3,))*100)+100</f>
        <v>87.862230461508446</v>
      </c>
      <c r="J55" s="85">
        <f>(((Table134567891011121314151617343[[#This Row],[DEU]]-VLOOKUP($U$1,A:D,4,))/VLOOKUP($U$1,A:D,4,))*100)+100</f>
        <v>91.489361700995843</v>
      </c>
      <c r="K55" s="85">
        <f>(((Table134567891011121314151617343[[#This Row],[ESP]]-VLOOKUP($U$1,A:E,5,))/VLOOKUP($U$1,A:E,5,))*100)+100</f>
        <v>82.7788518108689</v>
      </c>
      <c r="L55" s="85">
        <f>(((Table134567891011121314151617343[[#This Row],[EA19]]-VLOOKUP($U$1,A:F,6,))/VLOOKUP($U$1,A:F,6,))*100)+100</f>
        <v>88.478747203579402</v>
      </c>
      <c r="M55" s="85">
        <f>(((Table134567891011121314151617343[[#This Row],[GBR]]-VLOOKUP($U$1,A:G,7,))/VLOOKUP($U$1,A:G,7,))*100)+100</f>
        <v>91.248541423451599</v>
      </c>
      <c r="N55" s="85">
        <f>VLOOKUP(A55,Database!$A:$AS,MATCH($N$1,Database!$A$1:$AS$1,0),FALSE)</f>
        <v>68.353101058999997</v>
      </c>
      <c r="O55" s="85">
        <f>(((Table134567891011121314151617343[[#This Row],[USA]]-VLOOKUP($U$1,A:N,14,))/VLOOKUP($U$1,A:N,14,))*100)+100</f>
        <v>78.690305434659081</v>
      </c>
      <c r="P55" s="85">
        <f>VLOOKUP(A55,Database!$A:$AS,MATCH($P$1,Database!$A$1:$AS$1,0),FALSE)</f>
        <v>98.367896277</v>
      </c>
      <c r="Q55" s="85">
        <f>(((Table134567891011121314151617343[[#This Row],[JPN]]-VLOOKUP($U$1,A:Q,16,))/VLOOKUP($U$1,A:Q,16,))*100)+100</f>
        <v>98.759349533410969</v>
      </c>
    </row>
    <row r="56" spans="1:17" s="87" customFormat="1" x14ac:dyDescent="0.2">
      <c r="A56" s="22">
        <v>34516</v>
      </c>
      <c r="B56" s="85">
        <f>VLOOKUP(A56,Database!$A:$AS,MATCH($B$1,Database!$A$1:$AS$1,0),FALSE)</f>
        <v>112.790600783</v>
      </c>
      <c r="C56" s="85">
        <f>VLOOKUP(A56,Database!$A:$AS,MATCH($C$1,Database!$A$1:$AS$1,0),FALSE)</f>
        <v>90.85</v>
      </c>
      <c r="D56" s="85">
        <f>VLOOKUP(A56,Database!$A:$AS,MATCH($D$1,Database!$A$1:$AS$1,0),FALSE)</f>
        <v>68.494292142000006</v>
      </c>
      <c r="E56" s="85">
        <f>VLOOKUP(A56,Database!$A:$AS,MATCH($E$1,Database!$A$1:$AS$1,0),FALSE)</f>
        <v>100.127083439</v>
      </c>
      <c r="F56" s="85">
        <f>VLOOKUP(A56,Database!$A:$AS,MATCH($F$1,Database!$A$1:$AS$1,0),FALSE)</f>
        <v>79.3</v>
      </c>
      <c r="G56" s="85">
        <f>VLOOKUP(A56,Database!$A:$AS,MATCH($G$1,Database!$A$1:$AS$1,0),FALSE)</f>
        <v>84.531278006999997</v>
      </c>
      <c r="H56" s="85">
        <f>(((Table134567891011121314151617343[[#This Row],[ITA]]-VLOOKUP($U$1,A:B,2,))/VLOOKUP($U$1,A:B,2,))*100)+100</f>
        <v>92.763157894547476</v>
      </c>
      <c r="I56" s="85">
        <f>(((Table134567891011121314151617343[[#This Row],[FRA]]-VLOOKUP($U$1,A:C,3,))/VLOOKUP($U$1,A:C,3,))*100)+100</f>
        <v>88.642794418967696</v>
      </c>
      <c r="J56" s="85">
        <f>(((Table134567891011121314151617343[[#This Row],[DEU]]-VLOOKUP($U$1,A:D,4,))/VLOOKUP($U$1,A:D,4,))*100)+100</f>
        <v>91.090425530896269</v>
      </c>
      <c r="K56" s="85">
        <f>(((Table134567891011121314151617343[[#This Row],[ESP]]-VLOOKUP($U$1,A:E,5,))/VLOOKUP($U$1,A:E,5,))*100)+100</f>
        <v>84.161553332397077</v>
      </c>
      <c r="L56" s="85">
        <f>(((Table134567891011121314151617343[[#This Row],[EA19]]-VLOOKUP($U$1,A:F,6,))/VLOOKUP($U$1,A:F,6,))*100)+100</f>
        <v>88.702460850111848</v>
      </c>
      <c r="M56" s="85">
        <f>(((Table134567891011121314151617343[[#This Row],[GBR]]-VLOOKUP($U$1,A:G,7,))/VLOOKUP($U$1,A:G,7,))*100)+100</f>
        <v>91.715285880968779</v>
      </c>
      <c r="N56" s="85">
        <f>VLOOKUP(A56,Database!$A:$AS,MATCH($N$1,Database!$A$1:$AS$1,0),FALSE)</f>
        <v>68.445083283000002</v>
      </c>
      <c r="O56" s="85">
        <f>(((Table134567891011121314151617343[[#This Row],[USA]]-VLOOKUP($U$1,A:N,14,))/VLOOKUP($U$1,A:N,14,))*100)+100</f>
        <v>78.796198352302596</v>
      </c>
      <c r="P56" s="85">
        <f>VLOOKUP(A56,Database!$A:$AS,MATCH($P$1,Database!$A$1:$AS$1,0),FALSE)</f>
        <v>99.381998300999996</v>
      </c>
      <c r="Q56" s="85">
        <f>(((Table134567891011121314151617343[[#This Row],[JPN]]-VLOOKUP($U$1,A:Q,16,))/VLOOKUP($U$1,A:Q,16,))*100)+100</f>
        <v>99.777487157994614</v>
      </c>
    </row>
    <row r="57" spans="1:17" s="87" customFormat="1" x14ac:dyDescent="0.2">
      <c r="A57" s="22">
        <v>34547</v>
      </c>
      <c r="B57" s="85">
        <f>VLOOKUP(A57,Database!$A:$AS,MATCH($B$1,Database!$A$1:$AS$1,0),FALSE)</f>
        <v>113.190567453</v>
      </c>
      <c r="C57" s="85">
        <f>VLOOKUP(A57,Database!$A:$AS,MATCH($C$1,Database!$A$1:$AS$1,0),FALSE)</f>
        <v>91.36</v>
      </c>
      <c r="D57" s="85">
        <f>VLOOKUP(A57,Database!$A:$AS,MATCH($D$1,Database!$A$1:$AS$1,0),FALSE)</f>
        <v>68.494292142000006</v>
      </c>
      <c r="E57" s="85">
        <f>VLOOKUP(A57,Database!$A:$AS,MATCH($E$1,Database!$A$1:$AS$1,0),FALSE)</f>
        <v>99.860083216999996</v>
      </c>
      <c r="F57" s="85">
        <f>VLOOKUP(A57,Database!$A:$AS,MATCH($F$1,Database!$A$1:$AS$1,0),FALSE)</f>
        <v>79.599999999999994</v>
      </c>
      <c r="G57" s="85">
        <f>VLOOKUP(A57,Database!$A:$AS,MATCH($G$1,Database!$A$1:$AS$1,0),FALSE)</f>
        <v>84.853916471999995</v>
      </c>
      <c r="H57" s="85">
        <f>(((Table134567891011121314151617343[[#This Row],[ITA]]-VLOOKUP($U$1,A:B,2,))/VLOOKUP($U$1,A:B,2,))*100)+100</f>
        <v>93.092105263425736</v>
      </c>
      <c r="I57" s="85">
        <f>(((Table134567891011121314151617343[[#This Row],[FRA]]-VLOOKUP($U$1,A:C,3,))/VLOOKUP($U$1,A:C,3,))*100)+100</f>
        <v>89.140403941847993</v>
      </c>
      <c r="J57" s="85">
        <f>(((Table134567891011121314151617343[[#This Row],[DEU]]-VLOOKUP($U$1,A:D,4,))/VLOOKUP($U$1,A:D,4,))*100)+100</f>
        <v>91.090425530896269</v>
      </c>
      <c r="K57" s="85">
        <f>(((Table134567891011121314151617343[[#This Row],[ESP]]-VLOOKUP($U$1,A:E,5,))/VLOOKUP($U$1,A:E,5,))*100)+100</f>
        <v>83.937127006853444</v>
      </c>
      <c r="L57" s="85">
        <f>(((Table134567891011121314151617343[[#This Row],[EA19]]-VLOOKUP($U$1,A:F,6,))/VLOOKUP($U$1,A:F,6,))*100)+100</f>
        <v>89.038031319910502</v>
      </c>
      <c r="M57" s="85">
        <f>(((Table134567891011121314151617343[[#This Row],[GBR]]-VLOOKUP($U$1,A:G,7,))/VLOOKUP($U$1,A:G,7,))*100)+100</f>
        <v>92.065344223292911</v>
      </c>
      <c r="N57" s="85">
        <f>VLOOKUP(A57,Database!$A:$AS,MATCH($N$1,Database!$A$1:$AS$1,0),FALSE)</f>
        <v>68.894884289999993</v>
      </c>
      <c r="O57" s="85">
        <f>(((Table134567891011121314151617343[[#This Row],[USA]]-VLOOKUP($U$1,A:N,14,))/VLOOKUP($U$1,A:N,14,))*100)+100</f>
        <v>79.314023850740412</v>
      </c>
      <c r="P57" s="85">
        <f>VLOOKUP(A57,Database!$A:$AS,MATCH($P$1,Database!$A$1:$AS$1,0),FALSE)</f>
        <v>100.19327991999999</v>
      </c>
      <c r="Q57" s="85">
        <f>(((Table134567891011121314151617343[[#This Row],[JPN]]-VLOOKUP($U$1,A:Q,16,))/VLOOKUP($U$1,A:Q,16,))*100)+100</f>
        <v>100.59199725746073</v>
      </c>
    </row>
    <row r="58" spans="1:17" s="87" customFormat="1" x14ac:dyDescent="0.2">
      <c r="A58" s="22">
        <v>34578</v>
      </c>
      <c r="B58" s="85">
        <f>VLOOKUP(A58,Database!$A:$AS,MATCH($B$1,Database!$A$1:$AS$1,0),FALSE)</f>
        <v>113.79051745700001</v>
      </c>
      <c r="C58" s="85">
        <f>VLOOKUP(A58,Database!$A:$AS,MATCH($C$1,Database!$A$1:$AS$1,0),FALSE)</f>
        <v>91.07</v>
      </c>
      <c r="D58" s="85">
        <f>VLOOKUP(A58,Database!$A:$AS,MATCH($D$1,Database!$A$1:$AS$1,0),FALSE)</f>
        <v>69.494208815999997</v>
      </c>
      <c r="E58" s="85">
        <f>VLOOKUP(A58,Database!$A:$AS,MATCH($E$1,Database!$A$1:$AS$1,0),FALSE)</f>
        <v>100.04708337300001</v>
      </c>
      <c r="F58" s="85">
        <f>VLOOKUP(A58,Database!$A:$AS,MATCH($F$1,Database!$A$1:$AS$1,0),FALSE)</f>
        <v>80</v>
      </c>
      <c r="G58" s="85">
        <f>VLOOKUP(A58,Database!$A:$AS,MATCH($G$1,Database!$A$1:$AS$1,0),FALSE)</f>
        <v>85.714285713999999</v>
      </c>
      <c r="H58" s="85">
        <f>(((Table134567891011121314151617343[[#This Row],[ITA]]-VLOOKUP($U$1,A:B,2,))/VLOOKUP($U$1,A:B,2,))*100)+100</f>
        <v>93.585526315920688</v>
      </c>
      <c r="I58" s="85">
        <f>(((Table134567891011121314151617343[[#This Row],[FRA]]-VLOOKUP($U$1,A:C,3,))/VLOOKUP($U$1,A:C,3,))*100)+100</f>
        <v>88.857449507268996</v>
      </c>
      <c r="J58" s="85">
        <f>(((Table134567891011121314151617343[[#This Row],[DEU]]-VLOOKUP($U$1,A:D,4,))/VLOOKUP($U$1,A:D,4,))*100)+100</f>
        <v>92.420212765448127</v>
      </c>
      <c r="K58" s="85">
        <f>(((Table134567891011121314151617343[[#This Row],[ESP]]-VLOOKUP($U$1,A:E,5,))/VLOOKUP($U$1,A:E,5,))*100)+100</f>
        <v>84.094309489972005</v>
      </c>
      <c r="L58" s="85">
        <f>(((Table134567891011121314151617343[[#This Row],[EA19]]-VLOOKUP($U$1,A:F,6,))/VLOOKUP($U$1,A:F,6,))*100)+100</f>
        <v>89.485458612975378</v>
      </c>
      <c r="M58" s="85">
        <f>(((Table134567891011121314151617343[[#This Row],[GBR]]-VLOOKUP($U$1,A:G,7,))/VLOOKUP($U$1,A:G,7,))*100)+100</f>
        <v>92.998833138327285</v>
      </c>
      <c r="N58" s="85">
        <f>VLOOKUP(A58,Database!$A:$AS,MATCH($N$1,Database!$A$1:$AS$1,0),FALSE)</f>
        <v>69.115919160999994</v>
      </c>
      <c r="O58" s="85">
        <f>(((Table134567891011121314151617343[[#This Row],[USA]]-VLOOKUP($U$1,A:N,14,))/VLOOKUP($U$1,A:N,14,))*100)+100</f>
        <v>79.568486358530464</v>
      </c>
      <c r="P58" s="85">
        <f>VLOOKUP(A58,Database!$A:$AS,MATCH($P$1,Database!$A$1:$AS$1,0),FALSE)</f>
        <v>99.179177895999999</v>
      </c>
      <c r="Q58" s="85">
        <f>(((Table134567891011121314151617343[[#This Row],[JPN]]-VLOOKUP($U$1,A:Q,16,))/VLOOKUP($U$1,A:Q,16,))*100)+100</f>
        <v>99.573859632877088</v>
      </c>
    </row>
    <row r="59" spans="1:17" s="87" customFormat="1" x14ac:dyDescent="0.2">
      <c r="A59" s="22">
        <v>34608</v>
      </c>
      <c r="B59" s="85">
        <f>VLOOKUP(A59,Database!$A:$AS,MATCH($B$1,Database!$A$1:$AS$1,0),FALSE)</f>
        <v>113.490542455</v>
      </c>
      <c r="C59" s="85">
        <f>VLOOKUP(A59,Database!$A:$AS,MATCH($C$1,Database!$A$1:$AS$1,0),FALSE)</f>
        <v>91.95</v>
      </c>
      <c r="D59" s="85">
        <f>VLOOKUP(A59,Database!$A:$AS,MATCH($D$1,Database!$A$1:$AS$1,0),FALSE)</f>
        <v>70.794100491999998</v>
      </c>
      <c r="E59" s="85">
        <f>VLOOKUP(A59,Database!$A:$AS,MATCH($E$1,Database!$A$1:$AS$1,0),FALSE)</f>
        <v>100.94308411900001</v>
      </c>
      <c r="F59" s="85">
        <f>VLOOKUP(A59,Database!$A:$AS,MATCH($F$1,Database!$A$1:$AS$1,0),FALSE)</f>
        <v>80.900000000000006</v>
      </c>
      <c r="G59" s="85">
        <f>VLOOKUP(A59,Database!$A:$AS,MATCH($G$1,Database!$A$1:$AS$1,0),FALSE)</f>
        <v>85.821831869999997</v>
      </c>
      <c r="H59" s="85">
        <f>(((Table134567891011121314151617343[[#This Row],[ITA]]-VLOOKUP($U$1,A:B,2,))/VLOOKUP($U$1,A:B,2,))*100)+100</f>
        <v>93.338815789673205</v>
      </c>
      <c r="I59" s="85">
        <f>(((Table134567891011121314151617343[[#This Row],[FRA]]-VLOOKUP($U$1,A:C,3,))/VLOOKUP($U$1,A:C,3,))*100)+100</f>
        <v>89.716069860474192</v>
      </c>
      <c r="J59" s="85">
        <f>(((Table134567891011121314151617343[[#This Row],[DEU]]-VLOOKUP($U$1,A:D,4,))/VLOOKUP($U$1,A:D,4,))*100)+100</f>
        <v>94.148936170099589</v>
      </c>
      <c r="K59" s="85">
        <f>(((Table134567891011121314151617343[[#This Row],[ESP]]-VLOOKUP($U$1,A:E,5,))/VLOOKUP($U$1,A:E,5,))*100)+100</f>
        <v>84.847440530848544</v>
      </c>
      <c r="L59" s="85">
        <f>(((Table134567891011121314151617343[[#This Row],[EA19]]-VLOOKUP($U$1,A:F,6,))/VLOOKUP($U$1,A:F,6,))*100)+100</f>
        <v>90.492170022371369</v>
      </c>
      <c r="M59" s="85">
        <f>(((Table134567891011121314151617343[[#This Row],[GBR]]-VLOOKUP($U$1,A:G,7,))/VLOOKUP($U$1,A:G,7,))*100)+100</f>
        <v>93.115519253520318</v>
      </c>
      <c r="N59" s="85">
        <f>VLOOKUP(A59,Database!$A:$AS,MATCH($N$1,Database!$A$1:$AS$1,0),FALSE)</f>
        <v>69.654134115999994</v>
      </c>
      <c r="O59" s="85">
        <f>(((Table134567891011121314151617343[[#This Row],[USA]]-VLOOKUP($U$1,A:N,14,))/VLOOKUP($U$1,A:N,14,))*100)+100</f>
        <v>80.188096859623812</v>
      </c>
      <c r="P59" s="85">
        <f>VLOOKUP(A59,Database!$A:$AS,MATCH($P$1,Database!$A$1:$AS$1,0),FALSE)</f>
        <v>100.19327991999999</v>
      </c>
      <c r="Q59" s="85">
        <f>(((Table134567891011121314151617343[[#This Row],[JPN]]-VLOOKUP($U$1,A:Q,16,))/VLOOKUP($U$1,A:Q,16,))*100)+100</f>
        <v>100.59199725746073</v>
      </c>
    </row>
    <row r="60" spans="1:17" s="87" customFormat="1" x14ac:dyDescent="0.2">
      <c r="A60" s="22">
        <v>34639</v>
      </c>
      <c r="B60" s="85">
        <f>VLOOKUP(A60,Database!$A:$AS,MATCH($B$1,Database!$A$1:$AS$1,0),FALSE)</f>
        <v>115.39038413500001</v>
      </c>
      <c r="C60" s="85">
        <f>VLOOKUP(A60,Database!$A:$AS,MATCH($C$1,Database!$A$1:$AS$1,0),FALSE)</f>
        <v>92.77</v>
      </c>
      <c r="D60" s="85">
        <f>VLOOKUP(A60,Database!$A:$AS,MATCH($D$1,Database!$A$1:$AS$1,0),FALSE)</f>
        <v>71.194067161000007</v>
      </c>
      <c r="E60" s="85">
        <f>VLOOKUP(A60,Database!$A:$AS,MATCH($E$1,Database!$A$1:$AS$1,0),FALSE)</f>
        <v>102.43108535899999</v>
      </c>
      <c r="F60" s="85">
        <f>VLOOKUP(A60,Database!$A:$AS,MATCH($F$1,Database!$A$1:$AS$1,0),FALSE)</f>
        <v>81.400000000000006</v>
      </c>
      <c r="G60" s="85">
        <f>VLOOKUP(A60,Database!$A:$AS,MATCH($G$1,Database!$A$1:$AS$1,0),FALSE)</f>
        <v>85.714285713999999</v>
      </c>
      <c r="H60" s="85">
        <f>(((Table134567891011121314151617343[[#This Row],[ITA]]-VLOOKUP($U$1,A:B,2,))/VLOOKUP($U$1,A:B,2,))*100)+100</f>
        <v>94.901315789788868</v>
      </c>
      <c r="I60" s="85">
        <f>(((Table134567891011121314151617343[[#This Row],[FRA]]-VLOOKUP($U$1,A:C,3,))/VLOOKUP($U$1,A:C,3,))*100)+100</f>
        <v>90.51614791686994</v>
      </c>
      <c r="J60" s="85">
        <f>(((Table134567891011121314151617343[[#This Row],[DEU]]-VLOOKUP($U$1,A:D,4,))/VLOOKUP($U$1,A:D,4,))*100)+100</f>
        <v>94.680851063122418</v>
      </c>
      <c r="K60" s="85">
        <f>(((Table134567891011121314151617343[[#This Row],[ESP]]-VLOOKUP($U$1,A:E,5,))/VLOOKUP($U$1,A:E,5,))*100)+100</f>
        <v>86.098176010377685</v>
      </c>
      <c r="L60" s="85">
        <f>(((Table134567891011121314151617343[[#This Row],[EA19]]-VLOOKUP($U$1,A:F,6,))/VLOOKUP($U$1,A:F,6,))*100)+100</f>
        <v>91.051454138702468</v>
      </c>
      <c r="M60" s="85">
        <f>(((Table134567891011121314151617343[[#This Row],[GBR]]-VLOOKUP($U$1,A:G,7,))/VLOOKUP($U$1,A:G,7,))*100)+100</f>
        <v>92.998833138327285</v>
      </c>
      <c r="N60" s="85">
        <f>VLOOKUP(A60,Database!$A:$AS,MATCH($N$1,Database!$A$1:$AS$1,0),FALSE)</f>
        <v>70.123659759000006</v>
      </c>
      <c r="O60" s="85">
        <f>(((Table134567891011121314151617343[[#This Row],[USA]]-VLOOKUP($U$1,A:N,14,))/VLOOKUP($U$1,A:N,14,))*100)+100</f>
        <v>80.728629998349803</v>
      </c>
      <c r="P60" s="85">
        <f>VLOOKUP(A60,Database!$A:$AS,MATCH($P$1,Database!$A$1:$AS$1,0),FALSE)</f>
        <v>100.801741134</v>
      </c>
      <c r="Q60" s="85">
        <f>(((Table134567891011121314151617343[[#This Row],[JPN]]-VLOOKUP($U$1,A:Q,16,))/VLOOKUP($U$1,A:Q,16,))*100)+100</f>
        <v>101.20287983180934</v>
      </c>
    </row>
    <row r="61" spans="1:17" s="87" customFormat="1" x14ac:dyDescent="0.2">
      <c r="A61" s="22">
        <v>34669</v>
      </c>
      <c r="B61" s="85">
        <f>VLOOKUP(A61,Database!$A:$AS,MATCH($B$1,Database!$A$1:$AS$1,0),FALSE)</f>
        <v>118.190150821</v>
      </c>
      <c r="C61" s="85">
        <f>VLOOKUP(A61,Database!$A:$AS,MATCH($C$1,Database!$A$1:$AS$1,0),FALSE)</f>
        <v>92.65</v>
      </c>
      <c r="D61" s="85">
        <f>VLOOKUP(A61,Database!$A:$AS,MATCH($D$1,Database!$A$1:$AS$1,0),FALSE)</f>
        <v>71.194067161000007</v>
      </c>
      <c r="E61" s="85">
        <f>VLOOKUP(A61,Database!$A:$AS,MATCH($E$1,Database!$A$1:$AS$1,0),FALSE)</f>
        <v>105.616088013</v>
      </c>
      <c r="F61" s="85">
        <f>VLOOKUP(A61,Database!$A:$AS,MATCH($F$1,Database!$A$1:$AS$1,0),FALSE)</f>
        <v>82.3</v>
      </c>
      <c r="G61" s="85">
        <f>VLOOKUP(A61,Database!$A:$AS,MATCH($G$1,Database!$A$1:$AS$1,0),FALSE)</f>
        <v>86.682201110999998</v>
      </c>
      <c r="H61" s="85">
        <f>(((Table134567891011121314151617343[[#This Row],[ITA]]-VLOOKUP($U$1,A:B,2,))/VLOOKUP($U$1,A:B,2,))*100)+100</f>
        <v>97.203947368646965</v>
      </c>
      <c r="I61" s="85">
        <f>(((Table134567891011121314151617343[[#This Row],[FRA]]-VLOOKUP($U$1,A:C,3,))/VLOOKUP($U$1,A:C,3,))*100)+100</f>
        <v>90.399063323251056</v>
      </c>
      <c r="J61" s="85">
        <f>(((Table134567891011121314151617343[[#This Row],[DEU]]-VLOOKUP($U$1,A:D,4,))/VLOOKUP($U$1,A:D,4,))*100)+100</f>
        <v>94.680851063122418</v>
      </c>
      <c r="K61" s="85">
        <f>(((Table134567891011121314151617343[[#This Row],[ESP]]-VLOOKUP($U$1,A:E,5,))/VLOOKUP($U$1,A:E,5,))*100)+100</f>
        <v>88.775321509095363</v>
      </c>
      <c r="L61" s="85">
        <f>(((Table134567891011121314151617343[[#This Row],[EA19]]-VLOOKUP($U$1,A:F,6,))/VLOOKUP($U$1,A:F,6,))*100)+100</f>
        <v>92.05816554809843</v>
      </c>
      <c r="M61" s="85">
        <f>(((Table134567891011121314151617343[[#This Row],[GBR]]-VLOOKUP($U$1,A:G,7,))/VLOOKUP($U$1,A:G,7,))*100)+100</f>
        <v>94.049008167469694</v>
      </c>
      <c r="N61" s="85">
        <f>VLOOKUP(A61,Database!$A:$AS,MATCH($N$1,Database!$A$1:$AS$1,0),FALSE)</f>
        <v>70.835530809999995</v>
      </c>
      <c r="O61" s="85">
        <f>(((Table134567891011121314151617343[[#This Row],[USA]]-VLOOKUP($U$1,A:N,14,))/VLOOKUP($U$1,A:N,14,))*100)+100</f>
        <v>81.548159025788195</v>
      </c>
      <c r="P61" s="85">
        <f>VLOOKUP(A61,Database!$A:$AS,MATCH($P$1,Database!$A$1:$AS$1,0),FALSE)</f>
        <v>101.51161255</v>
      </c>
      <c r="Q61" s="85">
        <f>(((Table134567891011121314151617343[[#This Row],[JPN]]-VLOOKUP($U$1,A:Q,16,))/VLOOKUP($U$1,A:Q,16,))*100)+100</f>
        <v>101.9155761682147</v>
      </c>
    </row>
    <row r="62" spans="1:17" s="87" customFormat="1" x14ac:dyDescent="0.2">
      <c r="A62" s="22">
        <v>34700</v>
      </c>
      <c r="B62" s="85">
        <f>VLOOKUP(A62,Database!$A:$AS,MATCH($B$1,Database!$A$1:$AS$1,0),FALSE)</f>
        <v>117.79018415100001</v>
      </c>
      <c r="C62" s="85">
        <f>VLOOKUP(A62,Database!$A:$AS,MATCH($C$1,Database!$A$1:$AS$1,0),FALSE)</f>
        <v>93.32</v>
      </c>
      <c r="D62" s="85">
        <f>VLOOKUP(A62,Database!$A:$AS,MATCH($D$1,Database!$A$1:$AS$1,0),FALSE)</f>
        <v>69.794183817999993</v>
      </c>
      <c r="E62" s="85">
        <f>VLOOKUP(A62,Database!$A:$AS,MATCH($E$1,Database!$A$1:$AS$1,0),FALSE)</f>
        <v>104.80508733800001</v>
      </c>
      <c r="F62" s="85">
        <f>VLOOKUP(A62,Database!$A:$AS,MATCH($F$1,Database!$A$1:$AS$1,0),FALSE)</f>
        <v>81.7</v>
      </c>
      <c r="G62" s="85">
        <f>VLOOKUP(A62,Database!$A:$AS,MATCH($G$1,Database!$A$1:$AS$1,0),FALSE)</f>
        <v>84.961462628000007</v>
      </c>
      <c r="H62" s="85">
        <f>(((Table134567891011121314151617343[[#This Row],[ITA]]-VLOOKUP($U$1,A:B,2,))/VLOOKUP($U$1,A:B,2,))*100)+100</f>
        <v>96.874999999768704</v>
      </c>
      <c r="I62" s="85">
        <f>(((Table134567891011121314151617343[[#This Row],[FRA]]-VLOOKUP($U$1,A:C,3,))/VLOOKUP($U$1,A:C,3,))*100)+100</f>
        <v>91.052785637623174</v>
      </c>
      <c r="J62" s="85">
        <f>(((Table134567891011121314151617343[[#This Row],[DEU]]-VLOOKUP($U$1,A:D,4,))/VLOOKUP($U$1,A:D,4,))*100)+100</f>
        <v>92.819148935547702</v>
      </c>
      <c r="K62" s="85">
        <f>(((Table134567891011121314151617343[[#This Row],[ESP]]-VLOOKUP($U$1,A:E,5,))/VLOOKUP($U$1,A:E,5,))*100)+100</f>
        <v>88.093637051530948</v>
      </c>
      <c r="L62" s="85">
        <f>(((Table134567891011121314151617343[[#This Row],[EA19]]-VLOOKUP($U$1,A:F,6,))/VLOOKUP($U$1,A:F,6,))*100)+100</f>
        <v>91.387024608501122</v>
      </c>
      <c r="M62" s="85">
        <f>(((Table134567891011121314151617343[[#This Row],[GBR]]-VLOOKUP($U$1,A:G,7,))/VLOOKUP($U$1,A:G,7,))*100)+100</f>
        <v>92.182030338485959</v>
      </c>
      <c r="N62" s="85">
        <f>VLOOKUP(A62,Database!$A:$AS,MATCH($N$1,Database!$A$1:$AS$1,0),FALSE)</f>
        <v>70.956455716999997</v>
      </c>
      <c r="O62" s="85">
        <f>(((Table134567891011121314151617343[[#This Row],[USA]]-VLOOKUP($U$1,A:N,14,))/VLOOKUP($U$1,A:N,14,))*100)+100</f>
        <v>81.687371698206306</v>
      </c>
      <c r="P62" s="85">
        <f>VLOOKUP(A62,Database!$A:$AS,MATCH($P$1,Database!$A$1:$AS$1,0),FALSE)</f>
        <v>99.483408503000007</v>
      </c>
      <c r="Q62" s="85">
        <f>(((Table134567891011121314151617343[[#This Row],[JPN]]-VLOOKUP($U$1,A:Q,16,))/VLOOKUP($U$1,A:Q,16,))*100)+100</f>
        <v>99.879300920051392</v>
      </c>
    </row>
    <row r="63" spans="1:17" s="87" customFormat="1" x14ac:dyDescent="0.2">
      <c r="A63" s="22">
        <v>34731</v>
      </c>
      <c r="B63" s="85">
        <f>VLOOKUP(A63,Database!$A:$AS,MATCH($B$1,Database!$A$1:$AS$1,0),FALSE)</f>
        <v>117.09024248</v>
      </c>
      <c r="C63" s="85">
        <f>VLOOKUP(A63,Database!$A:$AS,MATCH($C$1,Database!$A$1:$AS$1,0),FALSE)</f>
        <v>92.7</v>
      </c>
      <c r="D63" s="85">
        <f>VLOOKUP(A63,Database!$A:$AS,MATCH($D$1,Database!$A$1:$AS$1,0),FALSE)</f>
        <v>70.794100491999998</v>
      </c>
      <c r="E63" s="85">
        <f>VLOOKUP(A63,Database!$A:$AS,MATCH($E$1,Database!$A$1:$AS$1,0),FALSE)</f>
        <v>103.69208641</v>
      </c>
      <c r="F63" s="85">
        <f>VLOOKUP(A63,Database!$A:$AS,MATCH($F$1,Database!$A$1:$AS$1,0),FALSE)</f>
        <v>81.900000000000006</v>
      </c>
      <c r="G63" s="85">
        <f>VLOOKUP(A63,Database!$A:$AS,MATCH($G$1,Database!$A$1:$AS$1,0),FALSE)</f>
        <v>85.069008783000001</v>
      </c>
      <c r="H63" s="85">
        <f>(((Table134567891011121314151617343[[#This Row],[ITA]]-VLOOKUP($U$1,A:B,2,))/VLOOKUP($U$1,A:B,2,))*100)+100</f>
        <v>96.299342105465385</v>
      </c>
      <c r="I63" s="85">
        <f>(((Table134567891011121314151617343[[#This Row],[FRA]]-VLOOKUP($U$1,A:C,3,))/VLOOKUP($U$1,A:C,3,))*100)+100</f>
        <v>90.447848570592257</v>
      </c>
      <c r="J63" s="85">
        <f>(((Table134567891011121314151617343[[#This Row],[DEU]]-VLOOKUP($U$1,A:D,4,))/VLOOKUP($U$1,A:D,4,))*100)+100</f>
        <v>94.148936170099589</v>
      </c>
      <c r="K63" s="85">
        <f>(((Table134567891011121314151617343[[#This Row],[ESP]]-VLOOKUP($U$1,A:E,5,))/VLOOKUP($U$1,A:E,5,))*100)+100</f>
        <v>87.158107085575764</v>
      </c>
      <c r="L63" s="85">
        <f>(((Table134567891011121314151617343[[#This Row],[EA19]]-VLOOKUP($U$1,A:F,6,))/VLOOKUP($U$1,A:F,6,))*100)+100</f>
        <v>91.610738255033553</v>
      </c>
      <c r="M63" s="85">
        <f>(((Table134567891011121314151617343[[#This Row],[GBR]]-VLOOKUP($U$1,A:G,7,))/VLOOKUP($U$1,A:G,7,))*100)+100</f>
        <v>92.298716452594007</v>
      </c>
      <c r="N63" s="85">
        <f>VLOOKUP(A63,Database!$A:$AS,MATCH($N$1,Database!$A$1:$AS$1,0),FALSE)</f>
        <v>70.852777477000004</v>
      </c>
      <c r="O63" s="85">
        <f>(((Table134567891011121314151617343[[#This Row],[USA]]-VLOOKUP($U$1,A:N,14,))/VLOOKUP($U$1,A:N,14,))*100)+100</f>
        <v>81.568013947846367</v>
      </c>
      <c r="P63" s="85">
        <f>VLOOKUP(A63,Database!$A:$AS,MATCH($P$1,Database!$A$1:$AS$1,0),FALSE)</f>
        <v>100.90315133599999</v>
      </c>
      <c r="Q63" s="85">
        <f>(((Table134567891011121314151617343[[#This Row],[JPN]]-VLOOKUP($U$1,A:Q,16,))/VLOOKUP($U$1,A:Q,16,))*100)+100</f>
        <v>101.30469359386611</v>
      </c>
    </row>
    <row r="64" spans="1:17" s="87" customFormat="1" x14ac:dyDescent="0.2">
      <c r="A64" s="22">
        <v>34759</v>
      </c>
      <c r="B64" s="85">
        <f>VLOOKUP(A64,Database!$A:$AS,MATCH($B$1,Database!$A$1:$AS$1,0),FALSE)</f>
        <v>117.390217482</v>
      </c>
      <c r="C64" s="85">
        <f>VLOOKUP(A64,Database!$A:$AS,MATCH($C$1,Database!$A$1:$AS$1,0),FALSE)</f>
        <v>93.48</v>
      </c>
      <c r="D64" s="85">
        <f>VLOOKUP(A64,Database!$A:$AS,MATCH($D$1,Database!$A$1:$AS$1,0),FALSE)</f>
        <v>69.994167153000006</v>
      </c>
      <c r="E64" s="85">
        <f>VLOOKUP(A64,Database!$A:$AS,MATCH($E$1,Database!$A$1:$AS$1,0),FALSE)</f>
        <v>103.546086288</v>
      </c>
      <c r="F64" s="85">
        <f>VLOOKUP(A64,Database!$A:$AS,MATCH($F$1,Database!$A$1:$AS$1,0),FALSE)</f>
        <v>81.8</v>
      </c>
      <c r="G64" s="85">
        <f>VLOOKUP(A64,Database!$A:$AS,MATCH($G$1,Database!$A$1:$AS$1,0),FALSE)</f>
        <v>85.284101093000004</v>
      </c>
      <c r="H64" s="85">
        <f>(((Table134567891011121314151617343[[#This Row],[ITA]]-VLOOKUP($U$1,A:B,2,))/VLOOKUP($U$1,A:B,2,))*100)+100</f>
        <v>96.546052631712868</v>
      </c>
      <c r="I64" s="85">
        <f>(((Table134567891011121314151617343[[#This Row],[FRA]]-VLOOKUP($U$1,A:C,3,))/VLOOKUP($U$1,A:C,3,))*100)+100</f>
        <v>91.208898429115038</v>
      </c>
      <c r="J64" s="85">
        <f>(((Table134567891011121314151617343[[#This Row],[DEU]]-VLOOKUP($U$1,A:D,4,))/VLOOKUP($U$1,A:D,4,))*100)+100</f>
        <v>93.085106382724078</v>
      </c>
      <c r="K64" s="85">
        <f>(((Table134567891011121314151617343[[#This Row],[ESP]]-VLOOKUP($U$1,A:E,5,))/VLOOKUP($U$1,A:E,5,))*100)+100</f>
        <v>87.03538707184714</v>
      </c>
      <c r="L64" s="85">
        <f>(((Table134567891011121314151617343[[#This Row],[EA19]]-VLOOKUP($U$1,A:F,6,))/VLOOKUP($U$1,A:F,6,))*100)+100</f>
        <v>91.49888143176733</v>
      </c>
      <c r="M64" s="85">
        <f>(((Table134567891011121314151617343[[#This Row],[GBR]]-VLOOKUP($U$1,A:G,7,))/VLOOKUP($U$1,A:G,7,))*100)+100</f>
        <v>92.532088680810105</v>
      </c>
      <c r="N64" s="85">
        <f>VLOOKUP(A64,Database!$A:$AS,MATCH($N$1,Database!$A$1:$AS$1,0),FALSE)</f>
        <v>70.965277287999996</v>
      </c>
      <c r="O64" s="85">
        <f>(((Table134567891011121314151617343[[#This Row],[USA]]-VLOOKUP($U$1,A:N,14,))/VLOOKUP($U$1,A:N,14,))*100)+100</f>
        <v>81.697527376670749</v>
      </c>
      <c r="P64" s="85">
        <f>VLOOKUP(A64,Database!$A:$AS,MATCH($P$1,Database!$A$1:$AS$1,0),FALSE)</f>
        <v>101.91725336</v>
      </c>
      <c r="Q64" s="85">
        <f>(((Table134567891011121314151617343[[#This Row],[JPN]]-VLOOKUP($U$1,A:Q,16,))/VLOOKUP($U$1,A:Q,16,))*100)+100</f>
        <v>102.32283121844976</v>
      </c>
    </row>
    <row r="65" spans="1:17" s="87" customFormat="1" x14ac:dyDescent="0.2">
      <c r="A65" s="22">
        <v>34790</v>
      </c>
      <c r="B65" s="85">
        <f>VLOOKUP(A65,Database!$A:$AS,MATCH($B$1,Database!$A$1:$AS$1,0),FALSE)</f>
        <v>117.49020914899999</v>
      </c>
      <c r="C65" s="85">
        <f>VLOOKUP(A65,Database!$A:$AS,MATCH($C$1,Database!$A$1:$AS$1,0),FALSE)</f>
        <v>93.47</v>
      </c>
      <c r="D65" s="85">
        <f>VLOOKUP(A65,Database!$A:$AS,MATCH($D$1,Database!$A$1:$AS$1,0),FALSE)</f>
        <v>70.394133822000001</v>
      </c>
      <c r="E65" s="85">
        <f>VLOOKUP(A65,Database!$A:$AS,MATCH($E$1,Database!$A$1:$AS$1,0),FALSE)</f>
        <v>104.094086745</v>
      </c>
      <c r="F65" s="85">
        <f>VLOOKUP(A65,Database!$A:$AS,MATCH($F$1,Database!$A$1:$AS$1,0),FALSE)</f>
        <v>82.1</v>
      </c>
      <c r="G65" s="85">
        <f>VLOOKUP(A65,Database!$A:$AS,MATCH($G$1,Database!$A$1:$AS$1,0),FALSE)</f>
        <v>86.144470334999994</v>
      </c>
      <c r="H65" s="85">
        <f>(((Table134567891011121314151617343[[#This Row],[ITA]]-VLOOKUP($U$1,A:B,2,))/VLOOKUP($U$1,A:B,2,))*100)+100</f>
        <v>96.628289473521207</v>
      </c>
      <c r="I65" s="85">
        <f>(((Table134567891011121314151617343[[#This Row],[FRA]]-VLOOKUP($U$1,A:C,3,))/VLOOKUP($U$1,A:C,3,))*100)+100</f>
        <v>91.19914137964679</v>
      </c>
      <c r="J65" s="85">
        <f>(((Table134567891011121314151617343[[#This Row],[DEU]]-VLOOKUP($U$1,A:D,4,))/VLOOKUP($U$1,A:D,4,))*100)+100</f>
        <v>93.617021275746879</v>
      </c>
      <c r="K65" s="85">
        <f>(((Table134567891011121314151617343[[#This Row],[ESP]]-VLOOKUP($U$1,A:E,5,))/VLOOKUP($U$1,A:E,5,))*100)+100</f>
        <v>87.496007396577582</v>
      </c>
      <c r="L65" s="85">
        <f>(((Table134567891011121314151617343[[#This Row],[EA19]]-VLOOKUP($U$1,A:F,6,))/VLOOKUP($U$1,A:F,6,))*100)+100</f>
        <v>91.834451901565984</v>
      </c>
      <c r="M65" s="85">
        <f>(((Table134567891011121314151617343[[#This Row],[GBR]]-VLOOKUP($U$1,A:G,7,))/VLOOKUP($U$1,A:G,7,))*100)+100</f>
        <v>93.465577595844451</v>
      </c>
      <c r="N65" s="85">
        <f>VLOOKUP(A65,Database!$A:$AS,MATCH($N$1,Database!$A$1:$AS$1,0),FALSE)</f>
        <v>70.863878779999993</v>
      </c>
      <c r="O65" s="85">
        <f>(((Table134567891011121314151617343[[#This Row],[USA]]-VLOOKUP($U$1,A:N,14,))/VLOOKUP($U$1,A:N,14,))*100)+100</f>
        <v>81.580794127681045</v>
      </c>
      <c r="P65" s="85">
        <f>VLOOKUP(A65,Database!$A:$AS,MATCH($P$1,Database!$A$1:$AS$1,0),FALSE)</f>
        <v>103.13417578799999</v>
      </c>
      <c r="Q65" s="85">
        <f>(((Table134567891011121314151617343[[#This Row],[JPN]]-VLOOKUP($U$1,A:Q,16,))/VLOOKUP($U$1,A:Q,16,))*100)+100</f>
        <v>103.54459636714695</v>
      </c>
    </row>
    <row r="66" spans="1:17" s="87" customFormat="1" x14ac:dyDescent="0.2">
      <c r="A66" s="22">
        <v>34820</v>
      </c>
      <c r="B66" s="85">
        <f>VLOOKUP(A66,Database!$A:$AS,MATCH($B$1,Database!$A$1:$AS$1,0),FALSE)</f>
        <v>118.190150821</v>
      </c>
      <c r="C66" s="85">
        <f>VLOOKUP(A66,Database!$A:$AS,MATCH($C$1,Database!$A$1:$AS$1,0),FALSE)</f>
        <v>93.02</v>
      </c>
      <c r="D66" s="85">
        <f>VLOOKUP(A66,Database!$A:$AS,MATCH($D$1,Database!$A$1:$AS$1,0),FALSE)</f>
        <v>70.794100491999998</v>
      </c>
      <c r="E66" s="85">
        <f>VLOOKUP(A66,Database!$A:$AS,MATCH($E$1,Database!$A$1:$AS$1,0),FALSE)</f>
        <v>104.996087497</v>
      </c>
      <c r="F66" s="85">
        <f>VLOOKUP(A66,Database!$A:$AS,MATCH($F$1,Database!$A$1:$AS$1,0),FALSE)</f>
        <v>82.4</v>
      </c>
      <c r="G66" s="85">
        <f>VLOOKUP(A66,Database!$A:$AS,MATCH($G$1,Database!$A$1:$AS$1,0),FALSE)</f>
        <v>86.03692418</v>
      </c>
      <c r="H66" s="85">
        <f>(((Table134567891011121314151617343[[#This Row],[ITA]]-VLOOKUP($U$1,A:B,2,))/VLOOKUP($U$1,A:B,2,))*100)+100</f>
        <v>97.203947368646965</v>
      </c>
      <c r="I66" s="85">
        <f>(((Table134567891011121314151617343[[#This Row],[FRA]]-VLOOKUP($U$1,A:C,3,))/VLOOKUP($U$1,A:C,3,))*100)+100</f>
        <v>90.760074153575957</v>
      </c>
      <c r="J66" s="85">
        <f>(((Table134567891011121314151617343[[#This Row],[DEU]]-VLOOKUP($U$1,A:D,4,))/VLOOKUP($U$1,A:D,4,))*100)+100</f>
        <v>94.148936170099589</v>
      </c>
      <c r="K66" s="85">
        <f>(((Table134567891011121314151617343[[#This Row],[ESP]]-VLOOKUP($U$1,A:E,5,))/VLOOKUP($U$1,A:E,5,))*100)+100</f>
        <v>88.254181726518581</v>
      </c>
      <c r="L66" s="85">
        <f>(((Table134567891011121314151617343[[#This Row],[EA19]]-VLOOKUP($U$1,A:F,6,))/VLOOKUP($U$1,A:F,6,))*100)+100</f>
        <v>92.170022371364652</v>
      </c>
      <c r="M66" s="85">
        <f>(((Table134567891011121314151617343[[#This Row],[GBR]]-VLOOKUP($U$1,A:G,7,))/VLOOKUP($U$1,A:G,7,))*100)+100</f>
        <v>93.348891481736416</v>
      </c>
      <c r="N66" s="85">
        <f>VLOOKUP(A66,Database!$A:$AS,MATCH($N$1,Database!$A$1:$AS$1,0),FALSE)</f>
        <v>71.191565455000003</v>
      </c>
      <c r="O66" s="85">
        <f>(((Table134567891011121314151617343[[#This Row],[USA]]-VLOOKUP($U$1,A:N,14,))/VLOOKUP($U$1,A:N,14,))*100)+100</f>
        <v>81.958037649088524</v>
      </c>
      <c r="P66" s="85">
        <f>VLOOKUP(A66,Database!$A:$AS,MATCH($P$1,Database!$A$1:$AS$1,0),FALSE)</f>
        <v>101.410202348</v>
      </c>
      <c r="Q66" s="85">
        <f>(((Table134567891011121314151617343[[#This Row],[JPN]]-VLOOKUP($U$1,A:Q,16,))/VLOOKUP($U$1,A:Q,16,))*100)+100</f>
        <v>101.81376240615793</v>
      </c>
    </row>
    <row r="67" spans="1:17" s="87" customFormat="1" x14ac:dyDescent="0.2">
      <c r="A67" s="22">
        <v>34851</v>
      </c>
      <c r="B67" s="85">
        <f>VLOOKUP(A67,Database!$A:$AS,MATCH($B$1,Database!$A$1:$AS$1,0),FALSE)</f>
        <v>117.990167486</v>
      </c>
      <c r="C67" s="85">
        <f>VLOOKUP(A67,Database!$A:$AS,MATCH($C$1,Database!$A$1:$AS$1,0),FALSE)</f>
        <v>93.66</v>
      </c>
      <c r="D67" s="85">
        <f>VLOOKUP(A67,Database!$A:$AS,MATCH($D$1,Database!$A$1:$AS$1,0),FALSE)</f>
        <v>69.994167153000006</v>
      </c>
      <c r="E67" s="85">
        <f>VLOOKUP(A67,Database!$A:$AS,MATCH($E$1,Database!$A$1:$AS$1,0),FALSE)</f>
        <v>104.189086824</v>
      </c>
      <c r="F67" s="85">
        <f>VLOOKUP(A67,Database!$A:$AS,MATCH($F$1,Database!$A$1:$AS$1,0),FALSE)</f>
        <v>82.1</v>
      </c>
      <c r="G67" s="85">
        <f>VLOOKUP(A67,Database!$A:$AS,MATCH($G$1,Database!$A$1:$AS$1,0),FALSE)</f>
        <v>85.499193403999996</v>
      </c>
      <c r="H67" s="85">
        <f>(((Table134567891011121314151617343[[#This Row],[ITA]]-VLOOKUP($U$1,A:B,2,))/VLOOKUP($U$1,A:B,2,))*100)+100</f>
        <v>97.039473684207834</v>
      </c>
      <c r="I67" s="85">
        <f>(((Table134567891011121314151617343[[#This Row],[FRA]]-VLOOKUP($U$1,A:C,3,))/VLOOKUP($U$1,A:C,3,))*100)+100</f>
        <v>91.384525319543371</v>
      </c>
      <c r="J67" s="85">
        <f>(((Table134567891011121314151617343[[#This Row],[DEU]]-VLOOKUP($U$1,A:D,4,))/VLOOKUP($U$1,A:D,4,))*100)+100</f>
        <v>93.085106382724078</v>
      </c>
      <c r="K67" s="85">
        <f>(((Table134567891011121314151617343[[#This Row],[ESP]]-VLOOKUP($U$1,A:E,5,))/VLOOKUP($U$1,A:E,5,))*100)+100</f>
        <v>87.575859459982695</v>
      </c>
      <c r="L67" s="85">
        <f>(((Table134567891011121314151617343[[#This Row],[EA19]]-VLOOKUP($U$1,A:F,6,))/VLOOKUP($U$1,A:F,6,))*100)+100</f>
        <v>91.834451901565984</v>
      </c>
      <c r="M67" s="85">
        <f>(((Table134567891011121314151617343[[#This Row],[GBR]]-VLOOKUP($U$1,A:G,7,))/VLOOKUP($U$1,A:G,7,))*100)+100</f>
        <v>92.765460910111187</v>
      </c>
      <c r="N67" s="85">
        <f>VLOOKUP(A67,Database!$A:$AS,MATCH($N$1,Database!$A$1:$AS$1,0),FALSE)</f>
        <v>71.422710441000007</v>
      </c>
      <c r="O67" s="85">
        <f>(((Table134567891011121314151617343[[#This Row],[USA]]-VLOOKUP($U$1,A:N,14,))/VLOOKUP($U$1,A:N,14,))*100)+100</f>
        <v>82.224139248960796</v>
      </c>
      <c r="P67" s="85">
        <f>VLOOKUP(A67,Database!$A:$AS,MATCH($P$1,Database!$A$1:$AS$1,0),FALSE)</f>
        <v>101.308792145</v>
      </c>
      <c r="Q67" s="85">
        <f>(((Table134567891011121314151617343[[#This Row],[JPN]]-VLOOKUP($U$1,A:Q,16,))/VLOOKUP($U$1,A:Q,16,))*100)+100</f>
        <v>101.71194864309719</v>
      </c>
    </row>
    <row r="68" spans="1:17" s="87" customFormat="1" x14ac:dyDescent="0.2">
      <c r="A68" s="22">
        <v>34881</v>
      </c>
      <c r="B68" s="85">
        <f>VLOOKUP(A68,Database!$A:$AS,MATCH($B$1,Database!$A$1:$AS$1,0),FALSE)</f>
        <v>117.89017581900001</v>
      </c>
      <c r="C68" s="85">
        <f>VLOOKUP(A68,Database!$A:$AS,MATCH($C$1,Database!$A$1:$AS$1,0),FALSE)</f>
        <v>94.07</v>
      </c>
      <c r="D68" s="85">
        <f>VLOOKUP(A68,Database!$A:$AS,MATCH($D$1,Database!$A$1:$AS$1,0),FALSE)</f>
        <v>69.794183817999993</v>
      </c>
      <c r="E68" s="85">
        <f>VLOOKUP(A68,Database!$A:$AS,MATCH($E$1,Database!$A$1:$AS$1,0),FALSE)</f>
        <v>103.513086261</v>
      </c>
      <c r="F68" s="85">
        <f>VLOOKUP(A68,Database!$A:$AS,MATCH($F$1,Database!$A$1:$AS$1,0),FALSE)</f>
        <v>82.1</v>
      </c>
      <c r="G68" s="85">
        <f>VLOOKUP(A68,Database!$A:$AS,MATCH($G$1,Database!$A$1:$AS$1,0),FALSE)</f>
        <v>86.144470334999994</v>
      </c>
      <c r="H68" s="85">
        <f>(((Table134567891011121314151617343[[#This Row],[ITA]]-VLOOKUP($U$1,A:B,2,))/VLOOKUP($U$1,A:B,2,))*100)+100</f>
        <v>96.957236842399482</v>
      </c>
      <c r="I68" s="85">
        <f>(((Table134567891011121314151617343[[#This Row],[FRA]]-VLOOKUP($U$1,A:C,3,))/VLOOKUP($U$1,A:C,3,))*100)+100</f>
        <v>91.784564347741238</v>
      </c>
      <c r="J68" s="85">
        <f>(((Table134567891011121314151617343[[#This Row],[DEU]]-VLOOKUP($U$1,A:D,4,))/VLOOKUP($U$1,A:D,4,))*100)+100</f>
        <v>92.819148935547702</v>
      </c>
      <c r="K68" s="85">
        <f>(((Table134567891011121314151617343[[#This Row],[ESP]]-VLOOKUP($U$1,A:E,5,))/VLOOKUP($U$1,A:E,5,))*100)+100</f>
        <v>87.007648987035935</v>
      </c>
      <c r="L68" s="85">
        <f>(((Table134567891011121314151617343[[#This Row],[EA19]]-VLOOKUP($U$1,A:F,6,))/VLOOKUP($U$1,A:F,6,))*100)+100</f>
        <v>91.834451901565984</v>
      </c>
      <c r="M68" s="85">
        <f>(((Table134567891011121314151617343[[#This Row],[GBR]]-VLOOKUP($U$1,A:G,7,))/VLOOKUP($U$1,A:G,7,))*100)+100</f>
        <v>93.465577595844451</v>
      </c>
      <c r="N68" s="85">
        <f>VLOOKUP(A68,Database!$A:$AS,MATCH($N$1,Database!$A$1:$AS$1,0),FALSE)</f>
        <v>71.109891583000007</v>
      </c>
      <c r="O68" s="85">
        <f>(((Table134567891011121314151617343[[#This Row],[USA]]-VLOOKUP($U$1,A:N,14,))/VLOOKUP($U$1,A:N,14,))*100)+100</f>
        <v>81.864012040386982</v>
      </c>
      <c r="P68" s="85">
        <f>VLOOKUP(A68,Database!$A:$AS,MATCH($P$1,Database!$A$1:$AS$1,0),FALSE)</f>
        <v>99.889049313000001</v>
      </c>
      <c r="Q68" s="85">
        <f>(((Table134567891011121314151617343[[#This Row],[JPN]]-VLOOKUP($U$1,A:Q,16,))/VLOOKUP($U$1,A:Q,16,))*100)+100</f>
        <v>100.28655597028644</v>
      </c>
    </row>
    <row r="69" spans="1:17" s="87" customFormat="1" x14ac:dyDescent="0.2">
      <c r="A69" s="22">
        <v>34912</v>
      </c>
      <c r="B69" s="85">
        <f>VLOOKUP(A69,Database!$A:$AS,MATCH($B$1,Database!$A$1:$AS$1,0),FALSE)</f>
        <v>119.990000833</v>
      </c>
      <c r="C69" s="85">
        <f>VLOOKUP(A69,Database!$A:$AS,MATCH($C$1,Database!$A$1:$AS$1,0),FALSE)</f>
        <v>93.5</v>
      </c>
      <c r="D69" s="85">
        <f>VLOOKUP(A69,Database!$A:$AS,MATCH($D$1,Database!$A$1:$AS$1,0),FALSE)</f>
        <v>68.994250479000002</v>
      </c>
      <c r="E69" s="85">
        <f>VLOOKUP(A69,Database!$A:$AS,MATCH($E$1,Database!$A$1:$AS$1,0),FALSE)</f>
        <v>103.23908603300001</v>
      </c>
      <c r="F69" s="85">
        <f>VLOOKUP(A69,Database!$A:$AS,MATCH($F$1,Database!$A$1:$AS$1,0),FALSE)</f>
        <v>82</v>
      </c>
      <c r="G69" s="85">
        <f>VLOOKUP(A69,Database!$A:$AS,MATCH($G$1,Database!$A$1:$AS$1,0),FALSE)</f>
        <v>86.252016490000003</v>
      </c>
      <c r="H69" s="85">
        <f>(((Table134567891011121314151617343[[#This Row],[ITA]]-VLOOKUP($U$1,A:B,2,))/VLOOKUP($U$1,A:B,2,))*100)+100</f>
        <v>98.684210526131821</v>
      </c>
      <c r="I69" s="85">
        <f>(((Table134567891011121314151617343[[#This Row],[FRA]]-VLOOKUP($U$1,A:C,3,))/VLOOKUP($U$1,A:C,3,))*100)+100</f>
        <v>91.228412528051521</v>
      </c>
      <c r="J69" s="85">
        <f>(((Table134567891011121314151617343[[#This Row],[DEU]]-VLOOKUP($U$1,A:D,4,))/VLOOKUP($U$1,A:D,4,))*100)+100</f>
        <v>91.755319148172191</v>
      </c>
      <c r="K69" s="85">
        <f>(((Table134567891011121314151617343[[#This Row],[ESP]]-VLOOKUP($U$1,A:E,5,))/VLOOKUP($U$1,A:E,5,))*100)+100</f>
        <v>86.777338825090993</v>
      </c>
      <c r="L69" s="85">
        <f>(((Table134567891011121314151617343[[#This Row],[EA19]]-VLOOKUP($U$1,A:F,6,))/VLOOKUP($U$1,A:F,6,))*100)+100</f>
        <v>91.722595078299776</v>
      </c>
      <c r="M69" s="85">
        <f>(((Table134567891011121314151617343[[#This Row],[GBR]]-VLOOKUP($U$1,A:G,7,))/VLOOKUP($U$1,A:G,7,))*100)+100</f>
        <v>93.582263709952514</v>
      </c>
      <c r="N69" s="85">
        <f>VLOOKUP(A69,Database!$A:$AS,MATCH($N$1,Database!$A$1:$AS$1,0),FALSE)</f>
        <v>72.045771068999997</v>
      </c>
      <c r="O69" s="85">
        <f>(((Table134567891011121314151617343[[#This Row],[USA]]-VLOOKUP($U$1,A:N,14,))/VLOOKUP($U$1,A:N,14,))*100)+100</f>
        <v>82.9414268388729</v>
      </c>
      <c r="P69" s="85">
        <f>VLOOKUP(A69,Database!$A:$AS,MATCH($P$1,Database!$A$1:$AS$1,0),FALSE)</f>
        <v>101.410202348</v>
      </c>
      <c r="Q69" s="85">
        <f>(((Table134567891011121314151617343[[#This Row],[JPN]]-VLOOKUP($U$1,A:Q,16,))/VLOOKUP($U$1,A:Q,16,))*100)+100</f>
        <v>101.81376240615793</v>
      </c>
    </row>
    <row r="70" spans="1:17" s="87" customFormat="1" x14ac:dyDescent="0.2">
      <c r="A70" s="22">
        <v>34943</v>
      </c>
      <c r="B70" s="85">
        <f>VLOOKUP(A70,Database!$A:$AS,MATCH($B$1,Database!$A$1:$AS$1,0),FALSE)</f>
        <v>119.190067494</v>
      </c>
      <c r="C70" s="85">
        <f>VLOOKUP(A70,Database!$A:$AS,MATCH($C$1,Database!$A$1:$AS$1,0),FALSE)</f>
        <v>93.64</v>
      </c>
      <c r="D70" s="85">
        <f>VLOOKUP(A70,Database!$A:$AS,MATCH($D$1,Database!$A$1:$AS$1,0),FALSE)</f>
        <v>70.394133822000001</v>
      </c>
      <c r="E70" s="85">
        <f>VLOOKUP(A70,Database!$A:$AS,MATCH($E$1,Database!$A$1:$AS$1,0),FALSE)</f>
        <v>104.06408672000001</v>
      </c>
      <c r="F70" s="85">
        <f>VLOOKUP(A70,Database!$A:$AS,MATCH($F$1,Database!$A$1:$AS$1,0),FALSE)</f>
        <v>82.4</v>
      </c>
      <c r="G70" s="85">
        <f>VLOOKUP(A70,Database!$A:$AS,MATCH($G$1,Database!$A$1:$AS$1,0),FALSE)</f>
        <v>86.574654956000003</v>
      </c>
      <c r="H70" s="85">
        <f>(((Table134567891011121314151617343[[#This Row],[ITA]]-VLOOKUP($U$1,A:B,2,))/VLOOKUP($U$1,A:B,2,))*100)+100</f>
        <v>98.026315789197739</v>
      </c>
      <c r="I70" s="85">
        <f>(((Table134567891011121314151617343[[#This Row],[FRA]]-VLOOKUP($U$1,A:C,3,))/VLOOKUP($U$1,A:C,3,))*100)+100</f>
        <v>91.365011220606888</v>
      </c>
      <c r="J70" s="85">
        <f>(((Table134567891011121314151617343[[#This Row],[DEU]]-VLOOKUP($U$1,A:D,4,))/VLOOKUP($U$1,A:D,4,))*100)+100</f>
        <v>93.617021275746879</v>
      </c>
      <c r="K70" s="85">
        <f>(((Table134567891011121314151617343[[#This Row],[ESP]]-VLOOKUP($U$1,A:E,5,))/VLOOKUP($U$1,A:E,5,))*100)+100</f>
        <v>87.470790955458057</v>
      </c>
      <c r="L70" s="85">
        <f>(((Table134567891011121314151617343[[#This Row],[EA19]]-VLOOKUP($U$1,A:F,6,))/VLOOKUP($U$1,A:F,6,))*100)+100</f>
        <v>92.170022371364652</v>
      </c>
      <c r="M70" s="85">
        <f>(((Table134567891011121314151617343[[#This Row],[GBR]]-VLOOKUP($U$1,A:G,7,))/VLOOKUP($U$1,A:G,7,))*100)+100</f>
        <v>93.932322053361645</v>
      </c>
      <c r="N70" s="85">
        <f>VLOOKUP(A70,Database!$A:$AS,MATCH($N$1,Database!$A$1:$AS$1,0),FALSE)</f>
        <v>72.345803603999997</v>
      </c>
      <c r="O70" s="85">
        <f>(((Table134567891011121314151617343[[#This Row],[USA]]-VLOOKUP($U$1,A:N,14,))/VLOOKUP($U$1,A:N,14,))*100)+100</f>
        <v>83.286834017972311</v>
      </c>
      <c r="P70" s="85">
        <f>VLOOKUP(A70,Database!$A:$AS,MATCH($P$1,Database!$A$1:$AS$1,0),FALSE)</f>
        <v>99.787639110000001</v>
      </c>
      <c r="Q70" s="85">
        <f>(((Table134567891011121314151617343[[#This Row],[JPN]]-VLOOKUP($U$1,A:Q,16,))/VLOOKUP($U$1,A:Q,16,))*100)+100</f>
        <v>100.1847422072257</v>
      </c>
    </row>
    <row r="71" spans="1:17" s="87" customFormat="1" x14ac:dyDescent="0.2">
      <c r="A71" s="22">
        <v>34973</v>
      </c>
      <c r="B71" s="85">
        <f>VLOOKUP(A71,Database!$A:$AS,MATCH($B$1,Database!$A$1:$AS$1,0),FALSE)</f>
        <v>119.990000833</v>
      </c>
      <c r="C71" s="85">
        <f>VLOOKUP(A71,Database!$A:$AS,MATCH($C$1,Database!$A$1:$AS$1,0),FALSE)</f>
        <v>91.84</v>
      </c>
      <c r="D71" s="85">
        <f>VLOOKUP(A71,Database!$A:$AS,MATCH($D$1,Database!$A$1:$AS$1,0),FALSE)</f>
        <v>68.594283809999993</v>
      </c>
      <c r="E71" s="85">
        <f>VLOOKUP(A71,Database!$A:$AS,MATCH($E$1,Database!$A$1:$AS$1,0),FALSE)</f>
        <v>102.525085438</v>
      </c>
      <c r="F71" s="85">
        <f>VLOOKUP(A71,Database!$A:$AS,MATCH($F$1,Database!$A$1:$AS$1,0),FALSE)</f>
        <v>81.5</v>
      </c>
      <c r="G71" s="85">
        <f>VLOOKUP(A71,Database!$A:$AS,MATCH($G$1,Database!$A$1:$AS$1,0),FALSE)</f>
        <v>86.252016490000003</v>
      </c>
      <c r="H71" s="85">
        <f>(((Table134567891011121314151617343[[#This Row],[ITA]]-VLOOKUP($U$1,A:B,2,))/VLOOKUP($U$1,A:B,2,))*100)+100</f>
        <v>98.684210526131821</v>
      </c>
      <c r="I71" s="85">
        <f>(((Table134567891011121314151617343[[#This Row],[FRA]]-VLOOKUP($U$1,A:C,3,))/VLOOKUP($U$1,A:C,3,))*100)+100</f>
        <v>89.608742316323557</v>
      </c>
      <c r="J71" s="85">
        <f>(((Table134567891011121314151617343[[#This Row],[DEU]]-VLOOKUP($U$1,A:D,4,))/VLOOKUP($U$1,A:D,4,))*100)+100</f>
        <v>91.223404255149376</v>
      </c>
      <c r="K71" s="85">
        <f>(((Table134567891011121314151617343[[#This Row],[ESP]]-VLOOKUP($U$1,A:E,5,))/VLOOKUP($U$1,A:E,5,))*100)+100</f>
        <v>86.177187526445948</v>
      </c>
      <c r="L71" s="85">
        <f>(((Table134567891011121314151617343[[#This Row],[EA19]]-VLOOKUP($U$1,A:F,6,))/VLOOKUP($U$1,A:F,6,))*100)+100</f>
        <v>91.163310961968676</v>
      </c>
      <c r="M71" s="85">
        <f>(((Table134567891011121314151617343[[#This Row],[GBR]]-VLOOKUP($U$1,A:G,7,))/VLOOKUP($U$1,A:G,7,))*100)+100</f>
        <v>93.582263709952514</v>
      </c>
      <c r="N71" s="85">
        <f>VLOOKUP(A71,Database!$A:$AS,MATCH($N$1,Database!$A$1:$AS$1,0),FALSE)</f>
        <v>72.232114367999998</v>
      </c>
      <c r="O71" s="85">
        <f>(((Table134567891011121314151617343[[#This Row],[USA]]-VLOOKUP($U$1,A:N,14,))/VLOOKUP($U$1,A:N,14,))*100)+100</f>
        <v>83.155951284535661</v>
      </c>
      <c r="P71" s="85">
        <f>VLOOKUP(A71,Database!$A:$AS,MATCH($P$1,Database!$A$1:$AS$1,0),FALSE)</f>
        <v>101.308792145</v>
      </c>
      <c r="Q71" s="85">
        <f>(((Table134567891011121314151617343[[#This Row],[JPN]]-VLOOKUP($U$1,A:Q,16,))/VLOOKUP($U$1,A:Q,16,))*100)+100</f>
        <v>101.71194864309719</v>
      </c>
    </row>
    <row r="72" spans="1:17" s="87" customFormat="1" x14ac:dyDescent="0.2">
      <c r="A72" s="22">
        <v>35004</v>
      </c>
      <c r="B72" s="85">
        <f>VLOOKUP(A72,Database!$A:$AS,MATCH($B$1,Database!$A$1:$AS$1,0),FALSE)</f>
        <v>119.990000833</v>
      </c>
      <c r="C72" s="85">
        <f>VLOOKUP(A72,Database!$A:$AS,MATCH($C$1,Database!$A$1:$AS$1,0),FALSE)</f>
        <v>91.81</v>
      </c>
      <c r="D72" s="85">
        <f>VLOOKUP(A72,Database!$A:$AS,MATCH($D$1,Database!$A$1:$AS$1,0),FALSE)</f>
        <v>68.994250479000002</v>
      </c>
      <c r="E72" s="85">
        <f>VLOOKUP(A72,Database!$A:$AS,MATCH($E$1,Database!$A$1:$AS$1,0),FALSE)</f>
        <v>103.51608626300001</v>
      </c>
      <c r="F72" s="85">
        <f>VLOOKUP(A72,Database!$A:$AS,MATCH($F$1,Database!$A$1:$AS$1,0),FALSE)</f>
        <v>81.8</v>
      </c>
      <c r="G72" s="85">
        <f>VLOOKUP(A72,Database!$A:$AS,MATCH($G$1,Database!$A$1:$AS$1,0),FALSE)</f>
        <v>86.682201110999998</v>
      </c>
      <c r="H72" s="85">
        <f>(((Table134567891011121314151617343[[#This Row],[ITA]]-VLOOKUP($U$1,A:B,2,))/VLOOKUP($U$1,A:B,2,))*100)+100</f>
        <v>98.684210526131821</v>
      </c>
      <c r="I72" s="85">
        <f>(((Table134567891011121314151617343[[#This Row],[FRA]]-VLOOKUP($U$1,A:C,3,))/VLOOKUP($U$1,A:C,3,))*100)+100</f>
        <v>89.579471167918825</v>
      </c>
      <c r="J72" s="85">
        <f>(((Table134567891011121314151617343[[#This Row],[DEU]]-VLOOKUP($U$1,A:D,4,))/VLOOKUP($U$1,A:D,4,))*100)+100</f>
        <v>91.755319148172191</v>
      </c>
      <c r="K72" s="85">
        <f>(((Table134567891011121314151617343[[#This Row],[ESP]]-VLOOKUP($U$1,A:E,5,))/VLOOKUP($U$1,A:E,5,))*100)+100</f>
        <v>87.010170630727615</v>
      </c>
      <c r="L72" s="85">
        <f>(((Table134567891011121314151617343[[#This Row],[EA19]]-VLOOKUP($U$1,A:F,6,))/VLOOKUP($U$1,A:F,6,))*100)+100</f>
        <v>91.49888143176733</v>
      </c>
      <c r="M72" s="85">
        <f>(((Table134567891011121314151617343[[#This Row],[GBR]]-VLOOKUP($U$1,A:G,7,))/VLOOKUP($U$1,A:G,7,))*100)+100</f>
        <v>94.049008167469694</v>
      </c>
      <c r="N72" s="85">
        <f>VLOOKUP(A72,Database!$A:$AS,MATCH($N$1,Database!$A$1:$AS$1,0),FALSE)</f>
        <v>72.399525980999996</v>
      </c>
      <c r="O72" s="85">
        <f>(((Table134567891011121314151617343[[#This Row],[USA]]-VLOOKUP($U$1,A:N,14,))/VLOOKUP($U$1,A:N,14,))*100)+100</f>
        <v>83.348680959651759</v>
      </c>
      <c r="P72" s="85">
        <f>VLOOKUP(A72,Database!$A:$AS,MATCH($P$1,Database!$A$1:$AS$1,0),FALSE)</f>
        <v>102.120073764</v>
      </c>
      <c r="Q72" s="85">
        <f>(((Table134567891011121314151617343[[#This Row],[JPN]]-VLOOKUP($U$1,A:Q,16,))/VLOOKUP($U$1,A:Q,16,))*100)+100</f>
        <v>102.52645874256331</v>
      </c>
    </row>
    <row r="73" spans="1:17" s="87" customFormat="1" x14ac:dyDescent="0.2">
      <c r="A73" s="22">
        <v>35034</v>
      </c>
      <c r="B73" s="85">
        <f>VLOOKUP(A73,Database!$A:$AS,MATCH($B$1,Database!$A$1:$AS$1,0),FALSE)</f>
        <v>121.98983418</v>
      </c>
      <c r="C73" s="85">
        <f>VLOOKUP(A73,Database!$A:$AS,MATCH($C$1,Database!$A$1:$AS$1,0),FALSE)</f>
        <v>93.77</v>
      </c>
      <c r="D73" s="85">
        <f>VLOOKUP(A73,Database!$A:$AS,MATCH($D$1,Database!$A$1:$AS$1,0),FALSE)</f>
        <v>68.994250479000002</v>
      </c>
      <c r="E73" s="85">
        <f>VLOOKUP(A73,Database!$A:$AS,MATCH($E$1,Database!$A$1:$AS$1,0),FALSE)</f>
        <v>105.089087574</v>
      </c>
      <c r="F73" s="85">
        <f>VLOOKUP(A73,Database!$A:$AS,MATCH($F$1,Database!$A$1:$AS$1,0),FALSE)</f>
        <v>82.7</v>
      </c>
      <c r="G73" s="85">
        <f>VLOOKUP(A73,Database!$A:$AS,MATCH($G$1,Database!$A$1:$AS$1,0),FALSE)</f>
        <v>87.004839576999998</v>
      </c>
      <c r="H73" s="85">
        <f>(((Table134567891011121314151617343[[#This Row],[ITA]]-VLOOKUP($U$1,A:B,2,))/VLOOKUP($U$1,A:B,2,))*100)+100</f>
        <v>100.32894736805584</v>
      </c>
      <c r="I73" s="85">
        <f>(((Table134567891011121314151617343[[#This Row],[FRA]]-VLOOKUP($U$1,A:C,3,))/VLOOKUP($U$1,A:C,3,))*100)+100</f>
        <v>91.491852863694021</v>
      </c>
      <c r="J73" s="85">
        <f>(((Table134567891011121314151617343[[#This Row],[DEU]]-VLOOKUP($U$1,A:D,4,))/VLOOKUP($U$1,A:D,4,))*100)+100</f>
        <v>91.755319148172191</v>
      </c>
      <c r="K73" s="85">
        <f>(((Table134567891011121314151617343[[#This Row],[ESP]]-VLOOKUP($U$1,A:E,5,))/VLOOKUP($U$1,A:E,5,))*100)+100</f>
        <v>88.332352693568879</v>
      </c>
      <c r="L73" s="85">
        <f>(((Table134567891011121314151617343[[#This Row],[EA19]]-VLOOKUP($U$1,A:F,6,))/VLOOKUP($U$1,A:F,6,))*100)+100</f>
        <v>92.505592841163306</v>
      </c>
      <c r="M73" s="85">
        <f>(((Table134567891011121314151617343[[#This Row],[GBR]]-VLOOKUP($U$1,A:G,7,))/VLOOKUP($U$1,A:G,7,))*100)+100</f>
        <v>94.399066510878825</v>
      </c>
      <c r="N73" s="85">
        <f>VLOOKUP(A73,Database!$A:$AS,MATCH($N$1,Database!$A$1:$AS$1,0),FALSE)</f>
        <v>72.668732577</v>
      </c>
      <c r="O73" s="85">
        <f>(((Table134567891011121314151617343[[#This Row],[USA]]-VLOOKUP($U$1,A:N,14,))/VLOOKUP($U$1,A:N,14,))*100)+100</f>
        <v>83.658600318628316</v>
      </c>
      <c r="P73" s="85">
        <f>VLOOKUP(A73,Database!$A:$AS,MATCH($P$1,Database!$A$1:$AS$1,0),FALSE)</f>
        <v>103.438406395</v>
      </c>
      <c r="Q73" s="85">
        <f>(((Table134567891011121314151617343[[#This Row],[JPN]]-VLOOKUP($U$1,A:Q,16,))/VLOOKUP($U$1,A:Q,16,))*100)+100</f>
        <v>103.85003765432126</v>
      </c>
    </row>
    <row r="74" spans="1:17" s="87" customFormat="1" x14ac:dyDescent="0.2">
      <c r="A74" s="22">
        <v>35065</v>
      </c>
      <c r="B74" s="85">
        <f>VLOOKUP(A74,Database!$A:$AS,MATCH($B$1,Database!$A$1:$AS$1,0),FALSE)</f>
        <v>120.189984168</v>
      </c>
      <c r="C74" s="85">
        <f>VLOOKUP(A74,Database!$A:$AS,MATCH($C$1,Database!$A$1:$AS$1,0),FALSE)</f>
        <v>92.93</v>
      </c>
      <c r="D74" s="85">
        <f>VLOOKUP(A74,Database!$A:$AS,MATCH($D$1,Database!$A$1:$AS$1,0),FALSE)</f>
        <v>69.294225480999998</v>
      </c>
      <c r="E74" s="85">
        <f>VLOOKUP(A74,Database!$A:$AS,MATCH($E$1,Database!$A$1:$AS$1,0),FALSE)</f>
        <v>100.486083738</v>
      </c>
      <c r="F74" s="85">
        <f>VLOOKUP(A74,Database!$A:$AS,MATCH($F$1,Database!$A$1:$AS$1,0),FALSE)</f>
        <v>81.900000000000006</v>
      </c>
      <c r="G74" s="85">
        <f>VLOOKUP(A74,Database!$A:$AS,MATCH($G$1,Database!$A$1:$AS$1,0),FALSE)</f>
        <v>86.682201110999998</v>
      </c>
      <c r="H74" s="85">
        <f>(((Table134567891011121314151617343[[#This Row],[ITA]]-VLOOKUP($U$1,A:B,2,))/VLOOKUP($U$1,A:B,2,))*100)+100</f>
        <v>98.848684210570951</v>
      </c>
      <c r="I74" s="85">
        <f>(((Table134567891011121314151617343[[#This Row],[FRA]]-VLOOKUP($U$1,A:C,3,))/VLOOKUP($U$1,A:C,3,))*100)+100</f>
        <v>90.672260708361804</v>
      </c>
      <c r="J74" s="85">
        <f>(((Table134567891011121314151617343[[#This Row],[DEU]]-VLOOKUP($U$1,A:D,4,))/VLOOKUP($U$1,A:D,4,))*100)+100</f>
        <v>92.15425531827178</v>
      </c>
      <c r="K74" s="85">
        <f>(((Table134567891011121314151617343[[#This Row],[ESP]]-VLOOKUP($U$1,A:E,5,))/VLOOKUP($U$1,A:E,5,))*100)+100</f>
        <v>84.463310077654143</v>
      </c>
      <c r="L74" s="85">
        <f>(((Table134567891011121314151617343[[#This Row],[EA19]]-VLOOKUP($U$1,A:F,6,))/VLOOKUP($U$1,A:F,6,))*100)+100</f>
        <v>91.610738255033553</v>
      </c>
      <c r="M74" s="85">
        <f>(((Table134567891011121314151617343[[#This Row],[GBR]]-VLOOKUP($U$1,A:G,7,))/VLOOKUP($U$1,A:G,7,))*100)+100</f>
        <v>94.049008167469694</v>
      </c>
      <c r="N74" s="85">
        <f>VLOOKUP(A74,Database!$A:$AS,MATCH($N$1,Database!$A$1:$AS$1,0),FALSE)</f>
        <v>72.259272913000004</v>
      </c>
      <c r="O74" s="85">
        <f>(((Table134567891011121314151617343[[#This Row],[USA]]-VLOOKUP($U$1,A:N,14,))/VLOOKUP($U$1,A:N,14,))*100)+100</f>
        <v>83.187217081816272</v>
      </c>
      <c r="P74" s="85">
        <f>VLOOKUP(A74,Database!$A:$AS,MATCH($P$1,Database!$A$1:$AS$1,0),FALSE)</f>
        <v>101.91725336</v>
      </c>
      <c r="Q74" s="85">
        <f>(((Table134567891011121314151617343[[#This Row],[JPN]]-VLOOKUP($U$1,A:Q,16,))/VLOOKUP($U$1,A:Q,16,))*100)+100</f>
        <v>102.32283121844976</v>
      </c>
    </row>
    <row r="75" spans="1:17" s="87" customFormat="1" x14ac:dyDescent="0.2">
      <c r="A75" s="22">
        <v>35096</v>
      </c>
      <c r="B75" s="85">
        <f>VLOOKUP(A75,Database!$A:$AS,MATCH($B$1,Database!$A$1:$AS$1,0),FALSE)</f>
        <v>118.89009249199999</v>
      </c>
      <c r="C75" s="85">
        <f>VLOOKUP(A75,Database!$A:$AS,MATCH($C$1,Database!$A$1:$AS$1,0),FALSE)</f>
        <v>93.22</v>
      </c>
      <c r="D75" s="85">
        <f>VLOOKUP(A75,Database!$A:$AS,MATCH($D$1,Database!$A$1:$AS$1,0),FALSE)</f>
        <v>68.694275477000005</v>
      </c>
      <c r="E75" s="85">
        <f>VLOOKUP(A75,Database!$A:$AS,MATCH($E$1,Database!$A$1:$AS$1,0),FALSE)</f>
        <v>100.627083856</v>
      </c>
      <c r="F75" s="85">
        <f>VLOOKUP(A75,Database!$A:$AS,MATCH($F$1,Database!$A$1:$AS$1,0),FALSE)</f>
        <v>81.599999999999994</v>
      </c>
      <c r="G75" s="85">
        <f>VLOOKUP(A75,Database!$A:$AS,MATCH($G$1,Database!$A$1:$AS$1,0),FALSE)</f>
        <v>87.327478042999999</v>
      </c>
      <c r="H75" s="85">
        <f>(((Table134567891011121314151617343[[#This Row],[ITA]]-VLOOKUP($U$1,A:B,2,))/VLOOKUP($U$1,A:B,2,))*100)+100</f>
        <v>97.779605262950255</v>
      </c>
      <c r="I75" s="85">
        <f>(((Table134567891011121314151617343[[#This Row],[FRA]]-VLOOKUP($U$1,A:C,3,))/VLOOKUP($U$1,A:C,3,))*100)+100</f>
        <v>90.955215142940773</v>
      </c>
      <c r="J75" s="85">
        <f>(((Table134567891011121314151617343[[#This Row],[DEU]]-VLOOKUP($U$1,A:D,4,))/VLOOKUP($U$1,A:D,4,))*100)+100</f>
        <v>91.356382978072617</v>
      </c>
      <c r="K75" s="85">
        <f>(((Table134567891011121314151617343[[#This Row],[ESP]]-VLOOKUP($U$1,A:E,5,))/VLOOKUP($U$1,A:E,5,))*100)+100</f>
        <v>84.581827351336244</v>
      </c>
      <c r="L75" s="85">
        <f>(((Table134567891011121314151617343[[#This Row],[EA19]]-VLOOKUP($U$1,A:F,6,))/VLOOKUP($U$1,A:F,6,))*100)+100</f>
        <v>91.275167785234885</v>
      </c>
      <c r="M75" s="85">
        <f>(((Table134567891011121314151617343[[#This Row],[GBR]]-VLOOKUP($U$1,A:G,7,))/VLOOKUP($U$1,A:G,7,))*100)+100</f>
        <v>94.749124854287956</v>
      </c>
      <c r="N75" s="85">
        <f>VLOOKUP(A75,Database!$A:$AS,MATCH($N$1,Database!$A$1:$AS$1,0),FALSE)</f>
        <v>73.303290982999997</v>
      </c>
      <c r="O75" s="85">
        <f>(((Table134567891011121314151617343[[#This Row],[USA]]-VLOOKUP($U$1,A:N,14,))/VLOOKUP($U$1,A:N,14,))*100)+100</f>
        <v>84.389124523245883</v>
      </c>
      <c r="P75" s="85">
        <f>VLOOKUP(A75,Database!$A:$AS,MATCH($P$1,Database!$A$1:$AS$1,0),FALSE)</f>
        <v>101.815843157</v>
      </c>
      <c r="Q75" s="85">
        <f>(((Table134567891011121314151617343[[#This Row],[JPN]]-VLOOKUP($U$1,A:Q,16,))/VLOOKUP($U$1,A:Q,16,))*100)+100</f>
        <v>102.22101745538902</v>
      </c>
    </row>
    <row r="76" spans="1:17" s="87" customFormat="1" x14ac:dyDescent="0.2">
      <c r="A76" s="22">
        <v>35125</v>
      </c>
      <c r="B76" s="85">
        <f>VLOOKUP(A76,Database!$A:$AS,MATCH($B$1,Database!$A$1:$AS$1,0),FALSE)</f>
        <v>117.69019248399999</v>
      </c>
      <c r="C76" s="85">
        <f>VLOOKUP(A76,Database!$A:$AS,MATCH($C$1,Database!$A$1:$AS$1,0),FALSE)</f>
        <v>93.87</v>
      </c>
      <c r="D76" s="85">
        <f>VLOOKUP(A76,Database!$A:$AS,MATCH($D$1,Database!$A$1:$AS$1,0),FALSE)</f>
        <v>68.794267144000003</v>
      </c>
      <c r="E76" s="85">
        <f>VLOOKUP(A76,Database!$A:$AS,MATCH($E$1,Database!$A$1:$AS$1,0),FALSE)</f>
        <v>102.04308503599999</v>
      </c>
      <c r="F76" s="85">
        <f>VLOOKUP(A76,Database!$A:$AS,MATCH($F$1,Database!$A$1:$AS$1,0),FALSE)</f>
        <v>81.599999999999994</v>
      </c>
      <c r="G76" s="85">
        <f>VLOOKUP(A76,Database!$A:$AS,MATCH($G$1,Database!$A$1:$AS$1,0),FALSE)</f>
        <v>87.435024197999994</v>
      </c>
      <c r="H76" s="85">
        <f>(((Table134567891011121314151617343[[#This Row],[ITA]]-VLOOKUP($U$1,A:B,2,))/VLOOKUP($U$1,A:B,2,))*100)+100</f>
        <v>96.792763157960337</v>
      </c>
      <c r="I76" s="85">
        <f>(((Table134567891011121314151617343[[#This Row],[FRA]]-VLOOKUP($U$1,A:C,3,))/VLOOKUP($U$1,A:C,3,))*100)+100</f>
        <v>91.589423358376436</v>
      </c>
      <c r="J76" s="85">
        <f>(((Table134567891011121314151617343[[#This Row],[DEU]]-VLOOKUP($U$1,A:D,4,))/VLOOKUP($U$1,A:D,4,))*100)+100</f>
        <v>91.489361700995843</v>
      </c>
      <c r="K76" s="85">
        <f>(((Table134567891011121314151617343[[#This Row],[ESP]]-VLOOKUP($U$1,A:E,5,))/VLOOKUP($U$1,A:E,5,))*100)+100</f>
        <v>85.772043372178501</v>
      </c>
      <c r="L76" s="85">
        <f>(((Table134567891011121314151617343[[#This Row],[EA19]]-VLOOKUP($U$1,A:F,6,))/VLOOKUP($U$1,A:F,6,))*100)+100</f>
        <v>91.275167785234885</v>
      </c>
      <c r="M76" s="85">
        <f>(((Table134567891011121314151617343[[#This Row],[GBR]]-VLOOKUP($U$1,A:G,7,))/VLOOKUP($U$1,A:G,7,))*100)+100</f>
        <v>94.865810968396005</v>
      </c>
      <c r="N76" s="85">
        <f>VLOOKUP(A76,Database!$A:$AS,MATCH($N$1,Database!$A$1:$AS$1,0),FALSE)</f>
        <v>73.203775731999997</v>
      </c>
      <c r="O76" s="85">
        <f>(((Table134567891011121314151617343[[#This Row],[USA]]-VLOOKUP($U$1,A:N,14,))/VLOOKUP($U$1,A:N,14,))*100)+100</f>
        <v>84.274559340755658</v>
      </c>
      <c r="P76" s="85">
        <f>VLOOKUP(A76,Database!$A:$AS,MATCH($P$1,Database!$A$1:$AS$1,0),FALSE)</f>
        <v>101.71443295500001</v>
      </c>
      <c r="Q76" s="85">
        <f>(((Table134567891011121314151617343[[#This Row],[JPN]]-VLOOKUP($U$1,A:Q,16,))/VLOOKUP($U$1,A:Q,16,))*100)+100</f>
        <v>102.11920369333224</v>
      </c>
    </row>
    <row r="77" spans="1:17" s="87" customFormat="1" x14ac:dyDescent="0.2">
      <c r="A77" s="22">
        <v>35156</v>
      </c>
      <c r="B77" s="85">
        <f>VLOOKUP(A77,Database!$A:$AS,MATCH($B$1,Database!$A$1:$AS$1,0),FALSE)</f>
        <v>116.39030080800001</v>
      </c>
      <c r="C77" s="85">
        <f>VLOOKUP(A77,Database!$A:$AS,MATCH($C$1,Database!$A$1:$AS$1,0),FALSE)</f>
        <v>92.92</v>
      </c>
      <c r="D77" s="85">
        <f>VLOOKUP(A77,Database!$A:$AS,MATCH($D$1,Database!$A$1:$AS$1,0),FALSE)</f>
        <v>68.794267144000003</v>
      </c>
      <c r="E77" s="85">
        <f>VLOOKUP(A77,Database!$A:$AS,MATCH($E$1,Database!$A$1:$AS$1,0),FALSE)</f>
        <v>100.24408353699999</v>
      </c>
      <c r="F77" s="85">
        <f>VLOOKUP(A77,Database!$A:$AS,MATCH($F$1,Database!$A$1:$AS$1,0),FALSE)</f>
        <v>81</v>
      </c>
      <c r="G77" s="85">
        <f>VLOOKUP(A77,Database!$A:$AS,MATCH($G$1,Database!$A$1:$AS$1,0),FALSE)</f>
        <v>86.467108800999995</v>
      </c>
      <c r="H77" s="85">
        <f>(((Table134567891011121314151617343[[#This Row],[ITA]]-VLOOKUP($U$1,A:B,2,))/VLOOKUP($U$1,A:B,2,))*100)+100</f>
        <v>95.723684210339655</v>
      </c>
      <c r="I77" s="85">
        <f>(((Table134567891011121314151617343[[#This Row],[FRA]]-VLOOKUP($U$1,A:C,3,))/VLOOKUP($U$1,A:C,3,))*100)+100</f>
        <v>90.662503658893556</v>
      </c>
      <c r="J77" s="85">
        <f>(((Table134567891011121314151617343[[#This Row],[DEU]]-VLOOKUP($U$1,A:D,4,))/VLOOKUP($U$1,A:D,4,))*100)+100</f>
        <v>91.489361700995843</v>
      </c>
      <c r="K77" s="85">
        <f>(((Table134567891011121314151617343[[#This Row],[ESP]]-VLOOKUP($U$1,A:E,5,))/VLOOKUP($U$1,A:E,5,))*100)+100</f>
        <v>84.259897453183541</v>
      </c>
      <c r="L77" s="85">
        <f>(((Table134567891011121314151617343[[#This Row],[EA19]]-VLOOKUP($U$1,A:F,6,))/VLOOKUP($U$1,A:F,6,))*100)+100</f>
        <v>90.604026845637577</v>
      </c>
      <c r="M77" s="85">
        <f>(((Table134567891011121314151617343[[#This Row],[GBR]]-VLOOKUP($U$1,A:G,7,))/VLOOKUP($U$1,A:G,7,))*100)+100</f>
        <v>93.815635939253596</v>
      </c>
      <c r="N77" s="85">
        <f>VLOOKUP(A77,Database!$A:$AS,MATCH($N$1,Database!$A$1:$AS$1,0),FALSE)</f>
        <v>73.957673143999997</v>
      </c>
      <c r="O77" s="85">
        <f>(((Table134567891011121314151617343[[#This Row],[USA]]-VLOOKUP($U$1,A:N,14,))/VLOOKUP($U$1,A:N,14,))*100)+100</f>
        <v>85.142470477157104</v>
      </c>
      <c r="P77" s="85">
        <f>VLOOKUP(A77,Database!$A:$AS,MATCH($P$1,Database!$A$1:$AS$1,0),FALSE)</f>
        <v>102.018663562</v>
      </c>
      <c r="Q77" s="85">
        <f>(((Table134567891011121314151617343[[#This Row],[JPN]]-VLOOKUP($U$1,A:Q,16,))/VLOOKUP($U$1,A:Q,16,))*100)+100</f>
        <v>102.42464498050653</v>
      </c>
    </row>
    <row r="78" spans="1:17" s="87" customFormat="1" x14ac:dyDescent="0.2">
      <c r="A78" s="22">
        <v>35186</v>
      </c>
      <c r="B78" s="85">
        <f>VLOOKUP(A78,Database!$A:$AS,MATCH($B$1,Database!$A$1:$AS$1,0),FALSE)</f>
        <v>116.29030914099999</v>
      </c>
      <c r="C78" s="85">
        <f>VLOOKUP(A78,Database!$A:$AS,MATCH($C$1,Database!$A$1:$AS$1,0),FALSE)</f>
        <v>94.78</v>
      </c>
      <c r="D78" s="85">
        <f>VLOOKUP(A78,Database!$A:$AS,MATCH($D$1,Database!$A$1:$AS$1,0),FALSE)</f>
        <v>69.394217148999999</v>
      </c>
      <c r="E78" s="85">
        <f>VLOOKUP(A78,Database!$A:$AS,MATCH($E$1,Database!$A$1:$AS$1,0),FALSE)</f>
        <v>101.955084963</v>
      </c>
      <c r="F78" s="85">
        <f>VLOOKUP(A78,Database!$A:$AS,MATCH($F$1,Database!$A$1:$AS$1,0),FALSE)</f>
        <v>81.900000000000006</v>
      </c>
      <c r="G78" s="85">
        <f>VLOOKUP(A78,Database!$A:$AS,MATCH($G$1,Database!$A$1:$AS$1,0),FALSE)</f>
        <v>86.897293422000004</v>
      </c>
      <c r="H78" s="85">
        <f>(((Table134567891011121314151617343[[#This Row],[ITA]]-VLOOKUP($U$1,A:B,2,))/VLOOKUP($U$1,A:B,2,))*100)+100</f>
        <v>95.641447368531303</v>
      </c>
      <c r="I78" s="85">
        <f>(((Table134567891011121314151617343[[#This Row],[FRA]]-VLOOKUP($U$1,A:C,3,))/VLOOKUP($U$1,A:C,3,))*100)+100</f>
        <v>92.47731485998635</v>
      </c>
      <c r="J78" s="85">
        <f>(((Table134567891011121314151617343[[#This Row],[DEU]]-VLOOKUP($U$1,A:D,4,))/VLOOKUP($U$1,A:D,4,))*100)+100</f>
        <v>92.287234042524901</v>
      </c>
      <c r="K78" s="85">
        <f>(((Table134567891011121314151617343[[#This Row],[ESP]]-VLOOKUP($U$1,A:E,5,))/VLOOKUP($U$1,A:E,5,))*100)+100</f>
        <v>85.698075145174712</v>
      </c>
      <c r="L78" s="85">
        <f>(((Table134567891011121314151617343[[#This Row],[EA19]]-VLOOKUP($U$1,A:F,6,))/VLOOKUP($U$1,A:F,6,))*100)+100</f>
        <v>91.610738255033553</v>
      </c>
      <c r="M78" s="85">
        <f>(((Table134567891011121314151617343[[#This Row],[GBR]]-VLOOKUP($U$1,A:G,7,))/VLOOKUP($U$1,A:G,7,))*100)+100</f>
        <v>94.282380396770776</v>
      </c>
      <c r="N78" s="85">
        <f>VLOOKUP(A78,Database!$A:$AS,MATCH($N$1,Database!$A$1:$AS$1,0),FALSE)</f>
        <v>74.487760359000006</v>
      </c>
      <c r="O78" s="85">
        <f>(((Table134567891011121314151617343[[#This Row],[USA]]-VLOOKUP($U$1,A:N,14,))/VLOOKUP($U$1,A:N,14,))*100)+100</f>
        <v>85.752724060522013</v>
      </c>
      <c r="P78" s="85">
        <f>VLOOKUP(A78,Database!$A:$AS,MATCH($P$1,Database!$A$1:$AS$1,0),FALSE)</f>
        <v>102.627124776</v>
      </c>
      <c r="Q78" s="85">
        <f>(((Table134567891011121314151617343[[#This Row],[JPN]]-VLOOKUP($U$1,A:Q,16,))/VLOOKUP($U$1,A:Q,16,))*100)+100</f>
        <v>103.03552755485514</v>
      </c>
    </row>
    <row r="79" spans="1:17" s="87" customFormat="1" x14ac:dyDescent="0.2">
      <c r="A79" s="22">
        <v>35217</v>
      </c>
      <c r="B79" s="85">
        <f>VLOOKUP(A79,Database!$A:$AS,MATCH($B$1,Database!$A$1:$AS$1,0),FALSE)</f>
        <v>116.49029247599999</v>
      </c>
      <c r="C79" s="85">
        <f>VLOOKUP(A79,Database!$A:$AS,MATCH($C$1,Database!$A$1:$AS$1,0),FALSE)</f>
        <v>94.04</v>
      </c>
      <c r="D79" s="85">
        <f>VLOOKUP(A79,Database!$A:$AS,MATCH($D$1,Database!$A$1:$AS$1,0),FALSE)</f>
        <v>69.794183817999993</v>
      </c>
      <c r="E79" s="85">
        <f>VLOOKUP(A79,Database!$A:$AS,MATCH($E$1,Database!$A$1:$AS$1,0),FALSE)</f>
        <v>103.730086442</v>
      </c>
      <c r="F79" s="85">
        <f>VLOOKUP(A79,Database!$A:$AS,MATCH($F$1,Database!$A$1:$AS$1,0),FALSE)</f>
        <v>81.900000000000006</v>
      </c>
      <c r="G79" s="85">
        <f>VLOOKUP(A79,Database!$A:$AS,MATCH($G$1,Database!$A$1:$AS$1,0),FALSE)</f>
        <v>86.574654956000003</v>
      </c>
      <c r="H79" s="85">
        <f>(((Table134567891011121314151617343[[#This Row],[ITA]]-VLOOKUP($U$1,A:B,2,))/VLOOKUP($U$1,A:B,2,))*100)+100</f>
        <v>95.805921052970433</v>
      </c>
      <c r="I79" s="85">
        <f>(((Table134567891011121314151617343[[#This Row],[FRA]]-VLOOKUP($U$1,A:C,3,))/VLOOKUP($U$1,A:C,3,))*100)+100</f>
        <v>91.755293199336535</v>
      </c>
      <c r="J79" s="85">
        <f>(((Table134567891011121314151617343[[#This Row],[DEU]]-VLOOKUP($U$1,A:D,4,))/VLOOKUP($U$1,A:D,4,))*100)+100</f>
        <v>92.819148935547702</v>
      </c>
      <c r="K79" s="85">
        <f>(((Table134567891011121314151617343[[#This Row],[ESP]]-VLOOKUP($U$1,A:E,5,))/VLOOKUP($U$1,A:E,5,))*100)+100</f>
        <v>87.190047911274021</v>
      </c>
      <c r="L79" s="85">
        <f>(((Table134567891011121314151617343[[#This Row],[EA19]]-VLOOKUP($U$1,A:F,6,))/VLOOKUP($U$1,A:F,6,))*100)+100</f>
        <v>91.610738255033553</v>
      </c>
      <c r="M79" s="85">
        <f>(((Table134567891011121314151617343[[#This Row],[GBR]]-VLOOKUP($U$1,A:G,7,))/VLOOKUP($U$1,A:G,7,))*100)+100</f>
        <v>93.932322053361645</v>
      </c>
      <c r="N79" s="85">
        <f>VLOOKUP(A79,Database!$A:$AS,MATCH($N$1,Database!$A$1:$AS$1,0),FALSE)</f>
        <v>75.051746195999996</v>
      </c>
      <c r="O79" s="85">
        <f>(((Table134567891011121314151617343[[#This Row],[USA]]-VLOOKUP($U$1,A:N,14,))/VLOOKUP($U$1,A:N,14,))*100)+100</f>
        <v>86.402002836272715</v>
      </c>
      <c r="P79" s="85">
        <f>VLOOKUP(A79,Database!$A:$AS,MATCH($P$1,Database!$A$1:$AS$1,0),FALSE)</f>
        <v>102.829945181</v>
      </c>
      <c r="Q79" s="85">
        <f>(((Table134567891011121314151617343[[#This Row],[JPN]]-VLOOKUP($U$1,A:Q,16,))/VLOOKUP($U$1,A:Q,16,))*100)+100</f>
        <v>103.23915507997265</v>
      </c>
    </row>
    <row r="80" spans="1:17" s="87" customFormat="1" x14ac:dyDescent="0.2">
      <c r="A80" s="22">
        <v>35247</v>
      </c>
      <c r="B80" s="85">
        <f>VLOOKUP(A80,Database!$A:$AS,MATCH($B$1,Database!$A$1:$AS$1,0),FALSE)</f>
        <v>116.39030080800001</v>
      </c>
      <c r="C80" s="85">
        <f>VLOOKUP(A80,Database!$A:$AS,MATCH($C$1,Database!$A$1:$AS$1,0),FALSE)</f>
        <v>92.37</v>
      </c>
      <c r="D80" s="85">
        <f>VLOOKUP(A80,Database!$A:$AS,MATCH($D$1,Database!$A$1:$AS$1,0),FALSE)</f>
        <v>68.994250479000002</v>
      </c>
      <c r="E80" s="85">
        <f>VLOOKUP(A80,Database!$A:$AS,MATCH($E$1,Database!$A$1:$AS$1,0),FALSE)</f>
        <v>101.75908479899999</v>
      </c>
      <c r="F80" s="85">
        <f>VLOOKUP(A80,Database!$A:$AS,MATCH($F$1,Database!$A$1:$AS$1,0),FALSE)</f>
        <v>81.2</v>
      </c>
      <c r="G80" s="85">
        <f>VLOOKUP(A80,Database!$A:$AS,MATCH($G$1,Database!$A$1:$AS$1,0),FALSE)</f>
        <v>86.467108800999995</v>
      </c>
      <c r="H80" s="85">
        <f>(((Table134567891011121314151617343[[#This Row],[ITA]]-VLOOKUP($U$1,A:B,2,))/VLOOKUP($U$1,A:B,2,))*100)+100</f>
        <v>95.723684210339655</v>
      </c>
      <c r="I80" s="85">
        <f>(((Table134567891011121314151617343[[#This Row],[FRA]]-VLOOKUP($U$1,A:C,3,))/VLOOKUP($U$1,A:C,3,))*100)+100</f>
        <v>90.125865938140322</v>
      </c>
      <c r="J80" s="85">
        <f>(((Table134567891011121314151617343[[#This Row],[DEU]]-VLOOKUP($U$1,A:D,4,))/VLOOKUP($U$1,A:D,4,))*100)+100</f>
        <v>91.755319148172191</v>
      </c>
      <c r="K80" s="85">
        <f>(((Table134567891011121314151617343[[#This Row],[ESP]]-VLOOKUP($U$1,A:E,5,))/VLOOKUP($U$1,A:E,5,))*100)+100</f>
        <v>85.533327729300012</v>
      </c>
      <c r="L80" s="85">
        <f>(((Table134567891011121314151617343[[#This Row],[EA19]]-VLOOKUP($U$1,A:F,6,))/VLOOKUP($U$1,A:F,6,))*100)+100</f>
        <v>90.827740492170022</v>
      </c>
      <c r="M80" s="85">
        <f>(((Table134567891011121314151617343[[#This Row],[GBR]]-VLOOKUP($U$1,A:G,7,))/VLOOKUP($U$1,A:G,7,))*100)+100</f>
        <v>93.815635939253596</v>
      </c>
      <c r="N80" s="85">
        <f>VLOOKUP(A80,Database!$A:$AS,MATCH($N$1,Database!$A$1:$AS$1,0),FALSE)</f>
        <v>75.051647076999998</v>
      </c>
      <c r="O80" s="85">
        <f>(((Table134567891011121314151617343[[#This Row],[USA]]-VLOOKUP($U$1,A:N,14,))/VLOOKUP($U$1,A:N,14,))*100)+100</f>
        <v>86.40188872726722</v>
      </c>
      <c r="P80" s="85">
        <f>VLOOKUP(A80,Database!$A:$AS,MATCH($P$1,Database!$A$1:$AS$1,0),FALSE)</f>
        <v>103.438406395</v>
      </c>
      <c r="Q80" s="85">
        <f>(((Table134567891011121314151617343[[#This Row],[JPN]]-VLOOKUP($U$1,A:Q,16,))/VLOOKUP($U$1,A:Q,16,))*100)+100</f>
        <v>103.85003765432126</v>
      </c>
    </row>
    <row r="81" spans="1:17" s="87" customFormat="1" x14ac:dyDescent="0.2">
      <c r="A81" s="22">
        <v>35278</v>
      </c>
      <c r="B81" s="85">
        <f>VLOOKUP(A81,Database!$A:$AS,MATCH($B$1,Database!$A$1:$AS$1,0),FALSE)</f>
        <v>116.990250812</v>
      </c>
      <c r="C81" s="85">
        <f>VLOOKUP(A81,Database!$A:$AS,MATCH($C$1,Database!$A$1:$AS$1,0),FALSE)</f>
        <v>94.38</v>
      </c>
      <c r="D81" s="85">
        <f>VLOOKUP(A81,Database!$A:$AS,MATCH($D$1,Database!$A$1:$AS$1,0),FALSE)</f>
        <v>69.894175485000005</v>
      </c>
      <c r="E81" s="85">
        <f>VLOOKUP(A81,Database!$A:$AS,MATCH($E$1,Database!$A$1:$AS$1,0),FALSE)</f>
        <v>102.781085651</v>
      </c>
      <c r="F81" s="85">
        <f>VLOOKUP(A81,Database!$A:$AS,MATCH($F$1,Database!$A$1:$AS$1,0),FALSE)</f>
        <v>82.2</v>
      </c>
      <c r="G81" s="85">
        <f>VLOOKUP(A81,Database!$A:$AS,MATCH($G$1,Database!$A$1:$AS$1,0),FALSE)</f>
        <v>87.112385732000007</v>
      </c>
      <c r="H81" s="85">
        <f>(((Table134567891011121314151617343[[#This Row],[ITA]]-VLOOKUP($U$1,A:B,2,))/VLOOKUP($U$1,A:B,2,))*100)+100</f>
        <v>96.217105262834608</v>
      </c>
      <c r="I81" s="85">
        <f>(((Table134567891011121314151617343[[#This Row],[FRA]]-VLOOKUP($U$1,A:C,3,))/VLOOKUP($U$1,A:C,3,))*100)+100</f>
        <v>92.087032881256704</v>
      </c>
      <c r="J81" s="85">
        <f>(((Table134567891011121314151617343[[#This Row],[DEU]]-VLOOKUP($U$1,A:D,4,))/VLOOKUP($U$1,A:D,4,))*100)+100</f>
        <v>92.952127658470943</v>
      </c>
      <c r="K81" s="85">
        <f>(((Table134567891011121314151617343[[#This Row],[ESP]]-VLOOKUP($U$1,A:E,5,))/VLOOKUP($U$1,A:E,5,))*100)+100</f>
        <v>86.392367823719169</v>
      </c>
      <c r="L81" s="85">
        <f>(((Table134567891011121314151617343[[#This Row],[EA19]]-VLOOKUP($U$1,A:F,6,))/VLOOKUP($U$1,A:F,6,))*100)+100</f>
        <v>91.946308724832207</v>
      </c>
      <c r="M81" s="85">
        <f>(((Table134567891011121314151617343[[#This Row],[GBR]]-VLOOKUP($U$1,A:G,7,))/VLOOKUP($U$1,A:G,7,))*100)+100</f>
        <v>94.515752624986888</v>
      </c>
      <c r="N81" s="85">
        <f>VLOOKUP(A81,Database!$A:$AS,MATCH($N$1,Database!$A$1:$AS$1,0),FALSE)</f>
        <v>75.416998887000005</v>
      </c>
      <c r="O81" s="85">
        <f>(((Table134567891011121314151617343[[#This Row],[USA]]-VLOOKUP($U$1,A:N,14,))/VLOOKUP($U$1,A:N,14,))*100)+100</f>
        <v>86.822493572908243</v>
      </c>
      <c r="P81" s="85">
        <f>VLOOKUP(A81,Database!$A:$AS,MATCH($P$1,Database!$A$1:$AS$1,0),FALSE)</f>
        <v>103.539816597</v>
      </c>
      <c r="Q81" s="85">
        <f>(((Table134567891011121314151617343[[#This Row],[JPN]]-VLOOKUP($U$1,A:Q,16,))/VLOOKUP($U$1,A:Q,16,))*100)+100</f>
        <v>103.95185141637802</v>
      </c>
    </row>
    <row r="82" spans="1:17" s="87" customFormat="1" x14ac:dyDescent="0.2">
      <c r="A82" s="22">
        <v>35309</v>
      </c>
      <c r="B82" s="85">
        <f>VLOOKUP(A82,Database!$A:$AS,MATCH($B$1,Database!$A$1:$AS$1,0),FALSE)</f>
        <v>115.39038413500001</v>
      </c>
      <c r="C82" s="85">
        <f>VLOOKUP(A82,Database!$A:$AS,MATCH($C$1,Database!$A$1:$AS$1,0),FALSE)</f>
        <v>94.52</v>
      </c>
      <c r="D82" s="85">
        <f>VLOOKUP(A82,Database!$A:$AS,MATCH($D$1,Database!$A$1:$AS$1,0),FALSE)</f>
        <v>70.494125490000002</v>
      </c>
      <c r="E82" s="85">
        <f>VLOOKUP(A82,Database!$A:$AS,MATCH($E$1,Database!$A$1:$AS$1,0),FALSE)</f>
        <v>103.23208602699999</v>
      </c>
      <c r="F82" s="85">
        <f>VLOOKUP(A82,Database!$A:$AS,MATCH($F$1,Database!$A$1:$AS$1,0),FALSE)</f>
        <v>82.2</v>
      </c>
      <c r="G82" s="85">
        <f>VLOOKUP(A82,Database!$A:$AS,MATCH($G$1,Database!$A$1:$AS$1,0),FALSE)</f>
        <v>87.650116507999996</v>
      </c>
      <c r="H82" s="85">
        <f>(((Table134567891011121314151617343[[#This Row],[ITA]]-VLOOKUP($U$1,A:B,2,))/VLOOKUP($U$1,A:B,2,))*100)+100</f>
        <v>94.901315789788868</v>
      </c>
      <c r="I82" s="85">
        <f>(((Table134567891011121314151617343[[#This Row],[FRA]]-VLOOKUP($U$1,A:C,3,))/VLOOKUP($U$1,A:C,3,))*100)+100</f>
        <v>92.223631573812085</v>
      </c>
      <c r="J82" s="85">
        <f>(((Table134567891011121314151617343[[#This Row],[DEU]]-VLOOKUP($U$1,A:D,4,))/VLOOKUP($U$1,A:D,4,))*100)+100</f>
        <v>93.750000000000014</v>
      </c>
      <c r="K82" s="85">
        <f>(((Table134567891011121314151617343[[#This Row],[ESP]]-VLOOKUP($U$1,A:E,5,))/VLOOKUP($U$1,A:E,5,))*100)+100</f>
        <v>86.771454988689669</v>
      </c>
      <c r="L82" s="85">
        <f>(((Table134567891011121314151617343[[#This Row],[EA19]]-VLOOKUP($U$1,A:F,6,))/VLOOKUP($U$1,A:F,6,))*100)+100</f>
        <v>91.946308724832207</v>
      </c>
      <c r="M82" s="85">
        <f>(((Table134567891011121314151617343[[#This Row],[GBR]]-VLOOKUP($U$1,A:G,7,))/VLOOKUP($U$1,A:G,7,))*100)+100</f>
        <v>95.099183196612103</v>
      </c>
      <c r="N82" s="85">
        <f>VLOOKUP(A82,Database!$A:$AS,MATCH($N$1,Database!$A$1:$AS$1,0),FALSE)</f>
        <v>75.920918744999994</v>
      </c>
      <c r="O82" s="85">
        <f>(((Table134567891011121314151617343[[#This Row],[USA]]-VLOOKUP($U$1,A:N,14,))/VLOOKUP($U$1,A:N,14,))*100)+100</f>
        <v>87.402622446745013</v>
      </c>
      <c r="P82" s="85">
        <f>VLOOKUP(A82,Database!$A:$AS,MATCH($P$1,Database!$A$1:$AS$1,0),FALSE)</f>
        <v>104.655328823</v>
      </c>
      <c r="Q82" s="85">
        <f>(((Table134567891011121314151617343[[#This Row],[JPN]]-VLOOKUP($U$1,A:Q,16,))/VLOOKUP($U$1,A:Q,16,))*100)+100</f>
        <v>105.07180280301846</v>
      </c>
    </row>
    <row r="83" spans="1:17" s="87" customFormat="1" x14ac:dyDescent="0.2">
      <c r="A83" s="22">
        <v>35339</v>
      </c>
      <c r="B83" s="85">
        <f>VLOOKUP(A83,Database!$A:$AS,MATCH($B$1,Database!$A$1:$AS$1,0),FALSE)</f>
        <v>115.890342471</v>
      </c>
      <c r="C83" s="85">
        <f>VLOOKUP(A83,Database!$A:$AS,MATCH($C$1,Database!$A$1:$AS$1,0),FALSE)</f>
        <v>93.55</v>
      </c>
      <c r="D83" s="85">
        <f>VLOOKUP(A83,Database!$A:$AS,MATCH($D$1,Database!$A$1:$AS$1,0),FALSE)</f>
        <v>69.494208815999997</v>
      </c>
      <c r="E83" s="85">
        <f>VLOOKUP(A83,Database!$A:$AS,MATCH($E$1,Database!$A$1:$AS$1,0),FALSE)</f>
        <v>103.269086058</v>
      </c>
      <c r="F83" s="85">
        <f>VLOOKUP(A83,Database!$A:$AS,MATCH($F$1,Database!$A$1:$AS$1,0),FALSE)</f>
        <v>81.8</v>
      </c>
      <c r="G83" s="85">
        <f>VLOOKUP(A83,Database!$A:$AS,MATCH($G$1,Database!$A$1:$AS$1,0),FALSE)</f>
        <v>87.435024197999994</v>
      </c>
      <c r="H83" s="85">
        <f>(((Table134567891011121314151617343[[#This Row],[ITA]]-VLOOKUP($U$1,A:B,2,))/VLOOKUP($U$1,A:B,2,))*100)+100</f>
        <v>95.312499999653042</v>
      </c>
      <c r="I83" s="85">
        <f>(((Table134567891011121314151617343[[#This Row],[FRA]]-VLOOKUP($U$1,A:C,3,))/VLOOKUP($U$1,A:C,3,))*100)+100</f>
        <v>91.277197775392722</v>
      </c>
      <c r="J83" s="85">
        <f>(((Table134567891011121314151617343[[#This Row],[DEU]]-VLOOKUP($U$1,A:D,4,))/VLOOKUP($U$1,A:D,4,))*100)+100</f>
        <v>92.420212765448127</v>
      </c>
      <c r="K83" s="85">
        <f>(((Table134567891011121314151617343[[#This Row],[ESP]]-VLOOKUP($U$1,A:E,5,))/VLOOKUP($U$1,A:E,5,))*100)+100</f>
        <v>86.802555266210518</v>
      </c>
      <c r="L83" s="85">
        <f>(((Table134567891011121314151617343[[#This Row],[EA19]]-VLOOKUP($U$1,A:F,6,))/VLOOKUP($U$1,A:F,6,))*100)+100</f>
        <v>91.49888143176733</v>
      </c>
      <c r="M83" s="85">
        <f>(((Table134567891011121314151617343[[#This Row],[GBR]]-VLOOKUP($U$1,A:G,7,))/VLOOKUP($U$1,A:G,7,))*100)+100</f>
        <v>94.865810968396005</v>
      </c>
      <c r="N83" s="85">
        <f>VLOOKUP(A83,Database!$A:$AS,MATCH($N$1,Database!$A$1:$AS$1,0),FALSE)</f>
        <v>75.891480469000001</v>
      </c>
      <c r="O83" s="85">
        <f>(((Table134567891011121314151617343[[#This Row],[USA]]-VLOOKUP($U$1,A:N,14,))/VLOOKUP($U$1,A:N,14,))*100)+100</f>
        <v>87.368732149245417</v>
      </c>
      <c r="P83" s="85">
        <f>VLOOKUP(A83,Database!$A:$AS,MATCH($P$1,Database!$A$1:$AS$1,0),FALSE)</f>
        <v>105.26379003700001</v>
      </c>
      <c r="Q83" s="85">
        <f>(((Table134567891011121314151617343[[#This Row],[JPN]]-VLOOKUP($U$1,A:Q,16,))/VLOOKUP($U$1,A:Q,16,))*100)+100</f>
        <v>105.68268537736705</v>
      </c>
    </row>
    <row r="84" spans="1:17" s="87" customFormat="1" x14ac:dyDescent="0.2">
      <c r="A84" s="22">
        <v>35370</v>
      </c>
      <c r="B84" s="85">
        <f>VLOOKUP(A84,Database!$A:$AS,MATCH($B$1,Database!$A$1:$AS$1,0),FALSE)</f>
        <v>115.39038413500001</v>
      </c>
      <c r="C84" s="85">
        <f>VLOOKUP(A84,Database!$A:$AS,MATCH($C$1,Database!$A$1:$AS$1,0),FALSE)</f>
        <v>94.69</v>
      </c>
      <c r="D84" s="85">
        <f>VLOOKUP(A84,Database!$A:$AS,MATCH($D$1,Database!$A$1:$AS$1,0),FALSE)</f>
        <v>70.494125490000002</v>
      </c>
      <c r="E84" s="85">
        <f>VLOOKUP(A84,Database!$A:$AS,MATCH($E$1,Database!$A$1:$AS$1,0),FALSE)</f>
        <v>104.810087342</v>
      </c>
      <c r="F84" s="85">
        <f>VLOOKUP(A84,Database!$A:$AS,MATCH($F$1,Database!$A$1:$AS$1,0),FALSE)</f>
        <v>82.5</v>
      </c>
      <c r="G84" s="85">
        <f>VLOOKUP(A84,Database!$A:$AS,MATCH($G$1,Database!$A$1:$AS$1,0),FALSE)</f>
        <v>87.865208819000003</v>
      </c>
      <c r="H84" s="85">
        <f>(((Table134567891011121314151617343[[#This Row],[ITA]]-VLOOKUP($U$1,A:B,2,))/VLOOKUP($U$1,A:B,2,))*100)+100</f>
        <v>94.901315789788868</v>
      </c>
      <c r="I84" s="85">
        <f>(((Table134567891011121314151617343[[#This Row],[FRA]]-VLOOKUP($U$1,A:C,3,))/VLOOKUP($U$1,A:C,3,))*100)+100</f>
        <v>92.38950141477217</v>
      </c>
      <c r="J84" s="85">
        <f>(((Table134567891011121314151617343[[#This Row],[DEU]]-VLOOKUP($U$1,A:D,4,))/VLOOKUP($U$1,A:D,4,))*100)+100</f>
        <v>93.750000000000014</v>
      </c>
      <c r="K84" s="85">
        <f>(((Table134567891011121314151617343[[#This Row],[ESP]]-VLOOKUP($U$1,A:E,5,))/VLOOKUP($U$1,A:E,5,))*100)+100</f>
        <v>88.097839791577442</v>
      </c>
      <c r="L84" s="85">
        <f>(((Table134567891011121314151617343[[#This Row],[EA19]]-VLOOKUP($U$1,A:F,6,))/VLOOKUP($U$1,A:F,6,))*100)+100</f>
        <v>92.281879194630861</v>
      </c>
      <c r="M84" s="85">
        <f>(((Table134567891011121314151617343[[#This Row],[GBR]]-VLOOKUP($U$1,A:G,7,))/VLOOKUP($U$1,A:G,7,))*100)+100</f>
        <v>95.332555425913185</v>
      </c>
      <c r="N84" s="85">
        <f>VLOOKUP(A84,Database!$A:$AS,MATCH($N$1,Database!$A$1:$AS$1,0),FALSE)</f>
        <v>76.568560829000006</v>
      </c>
      <c r="O84" s="85">
        <f>(((Table134567891011121314151617343[[#This Row],[USA]]-VLOOKUP($U$1,A:N,14,))/VLOOKUP($U$1,A:N,14,))*100)+100</f>
        <v>88.148209005551038</v>
      </c>
      <c r="P84" s="85">
        <f>VLOOKUP(A84,Database!$A:$AS,MATCH($P$1,Database!$A$1:$AS$1,0),FALSE)</f>
        <v>105.770841049</v>
      </c>
      <c r="Q84" s="85">
        <f>(((Table134567891011121314151617343[[#This Row],[JPN]]-VLOOKUP($U$1,A:Q,16,))/VLOOKUP($U$1,A:Q,16,))*100)+100</f>
        <v>106.19175418965887</v>
      </c>
    </row>
    <row r="85" spans="1:17" s="87" customFormat="1" x14ac:dyDescent="0.2">
      <c r="A85" s="22">
        <v>35400</v>
      </c>
      <c r="B85" s="85">
        <f>VLOOKUP(A85,Database!$A:$AS,MATCH($B$1,Database!$A$1:$AS$1,0),FALSE)</f>
        <v>115.09040913299999</v>
      </c>
      <c r="C85" s="85">
        <f>VLOOKUP(A85,Database!$A:$AS,MATCH($C$1,Database!$A$1:$AS$1,0),FALSE)</f>
        <v>94.85</v>
      </c>
      <c r="D85" s="85">
        <f>VLOOKUP(A85,Database!$A:$AS,MATCH($D$1,Database!$A$1:$AS$1,0),FALSE)</f>
        <v>70.494125490000002</v>
      </c>
      <c r="E85" s="85">
        <f>VLOOKUP(A85,Database!$A:$AS,MATCH($E$1,Database!$A$1:$AS$1,0),FALSE)</f>
        <v>103.193085994</v>
      </c>
      <c r="F85" s="85">
        <f>VLOOKUP(A85,Database!$A:$AS,MATCH($F$1,Database!$A$1:$AS$1,0),FALSE)</f>
        <v>82.4</v>
      </c>
      <c r="G85" s="85">
        <f>VLOOKUP(A85,Database!$A:$AS,MATCH($G$1,Database!$A$1:$AS$1,0),FALSE)</f>
        <v>88.295393439999998</v>
      </c>
      <c r="H85" s="85">
        <f>(((Table134567891011121314151617343[[#This Row],[ITA]]-VLOOKUP($U$1,A:B,2,))/VLOOKUP($U$1,A:B,2,))*100)+100</f>
        <v>94.654605263541384</v>
      </c>
      <c r="I85" s="85">
        <f>(((Table134567891011121314151617343[[#This Row],[FRA]]-VLOOKUP($U$1,A:C,3,))/VLOOKUP($U$1,A:C,3,))*100)+100</f>
        <v>92.54561420626402</v>
      </c>
      <c r="J85" s="85">
        <f>(((Table134567891011121314151617343[[#This Row],[DEU]]-VLOOKUP($U$1,A:D,4,))/VLOOKUP($U$1,A:D,4,))*100)+100</f>
        <v>93.750000000000014</v>
      </c>
      <c r="K85" s="85">
        <f>(((Table134567891011121314151617343[[#This Row],[ESP]]-VLOOKUP($U$1,A:E,5,))/VLOOKUP($U$1,A:E,5,))*100)+100</f>
        <v>86.73867361481399</v>
      </c>
      <c r="L85" s="85">
        <f>(((Table134567891011121314151617343[[#This Row],[EA19]]-VLOOKUP($U$1,A:F,6,))/VLOOKUP($U$1,A:F,6,))*100)+100</f>
        <v>92.170022371364652</v>
      </c>
      <c r="M85" s="85">
        <f>(((Table134567891011121314151617343[[#This Row],[GBR]]-VLOOKUP($U$1,A:G,7,))/VLOOKUP($U$1,A:G,7,))*100)+100</f>
        <v>95.799299883430365</v>
      </c>
      <c r="N85" s="85">
        <f>VLOOKUP(A85,Database!$A:$AS,MATCH($N$1,Database!$A$1:$AS$1,0),FALSE)</f>
        <v>77.049187774999993</v>
      </c>
      <c r="O85" s="85">
        <f>(((Table134567891011121314151617343[[#This Row],[USA]]-VLOOKUP($U$1,A:N,14,))/VLOOKUP($U$1,A:N,14,))*100)+100</f>
        <v>88.701522324111679</v>
      </c>
      <c r="P85" s="85">
        <f>VLOOKUP(A85,Database!$A:$AS,MATCH($P$1,Database!$A$1:$AS$1,0),FALSE)</f>
        <v>106.784943072</v>
      </c>
      <c r="Q85" s="85">
        <f>(((Table134567891011121314151617343[[#This Row],[JPN]]-VLOOKUP($U$1,A:Q,16,))/VLOOKUP($U$1,A:Q,16,))*100)+100</f>
        <v>107.20989181323854</v>
      </c>
    </row>
    <row r="86" spans="1:17" s="87" customFormat="1" x14ac:dyDescent="0.2">
      <c r="A86" s="22">
        <v>35431</v>
      </c>
      <c r="B86" s="85">
        <f>VLOOKUP(A86,Database!$A:$AS,MATCH($B$1,Database!$A$1:$AS$1,0),FALSE)</f>
        <v>115.990334139</v>
      </c>
      <c r="C86" s="85">
        <f>VLOOKUP(A86,Database!$A:$AS,MATCH($C$1,Database!$A$1:$AS$1,0),FALSE)</f>
        <v>94.03</v>
      </c>
      <c r="D86" s="85">
        <f>VLOOKUP(A86,Database!$A:$AS,MATCH($D$1,Database!$A$1:$AS$1,0),FALSE)</f>
        <v>69.594200482999995</v>
      </c>
      <c r="E86" s="85">
        <f>VLOOKUP(A86,Database!$A:$AS,MATCH($E$1,Database!$A$1:$AS$1,0),FALSE)</f>
        <v>106.057088381</v>
      </c>
      <c r="F86" s="85">
        <f>VLOOKUP(A86,Database!$A:$AS,MATCH($F$1,Database!$A$1:$AS$1,0),FALSE)</f>
        <v>82.6</v>
      </c>
      <c r="G86" s="85">
        <f>VLOOKUP(A86,Database!$A:$AS,MATCH($G$1,Database!$A$1:$AS$1,0),FALSE)</f>
        <v>88.187847284</v>
      </c>
      <c r="H86" s="85">
        <f>(((Table134567891011121314151617343[[#This Row],[ITA]]-VLOOKUP($U$1,A:B,2,))/VLOOKUP($U$1,A:B,2,))*100)+100</f>
        <v>95.39473684228382</v>
      </c>
      <c r="I86" s="85">
        <f>(((Table134567891011121314151617343[[#This Row],[FRA]]-VLOOKUP($U$1,A:C,3,))/VLOOKUP($U$1,A:C,3,))*100)+100</f>
        <v>91.745536149868286</v>
      </c>
      <c r="J86" s="85">
        <f>(((Table134567891011121314151617343[[#This Row],[DEU]]-VLOOKUP($U$1,A:D,4,))/VLOOKUP($U$1,A:D,4,))*100)+100</f>
        <v>92.553191488371354</v>
      </c>
      <c r="K86" s="85">
        <f>(((Table134567891011121314151617343[[#This Row],[ESP]]-VLOOKUP($U$1,A:E,5,))/VLOOKUP($U$1,A:E,5,))*100)+100</f>
        <v>89.146003193972859</v>
      </c>
      <c r="L86" s="85">
        <f>(((Table134567891011121314151617343[[#This Row],[EA19]]-VLOOKUP($U$1,A:F,6,))/VLOOKUP($U$1,A:F,6,))*100)+100</f>
        <v>92.393736017897083</v>
      </c>
      <c r="M86" s="85">
        <f>(((Table134567891011121314151617343[[#This Row],[GBR]]-VLOOKUP($U$1,A:G,7,))/VLOOKUP($U$1,A:G,7,))*100)+100</f>
        <v>95.682613768237331</v>
      </c>
      <c r="N86" s="85">
        <f>VLOOKUP(A86,Database!$A:$AS,MATCH($N$1,Database!$A$1:$AS$1,0),FALSE)</f>
        <v>77.184881379999993</v>
      </c>
      <c r="O86" s="85">
        <f>(((Table134567891011121314151617343[[#This Row],[USA]]-VLOOKUP($U$1,A:N,14,))/VLOOKUP($U$1,A:N,14,))*100)+100</f>
        <v>88.857737200357946</v>
      </c>
      <c r="P86" s="85">
        <f>VLOOKUP(A86,Database!$A:$AS,MATCH($P$1,Database!$A$1:$AS$1,0),FALSE)</f>
        <v>108.40750631</v>
      </c>
      <c r="Q86" s="85">
        <f>(((Table134567891011121314151617343[[#This Row],[JPN]]-VLOOKUP($U$1,A:Q,16,))/VLOOKUP($U$1,A:Q,16,))*100)+100</f>
        <v>108.83891201217079</v>
      </c>
    </row>
    <row r="87" spans="1:17" s="87" customFormat="1" x14ac:dyDescent="0.2">
      <c r="A87" s="22">
        <v>35462</v>
      </c>
      <c r="B87" s="85">
        <f>VLOOKUP(A87,Database!$A:$AS,MATCH($B$1,Database!$A$1:$AS$1,0),FALSE)</f>
        <v>117.990167486</v>
      </c>
      <c r="C87" s="85">
        <f>VLOOKUP(A87,Database!$A:$AS,MATCH($C$1,Database!$A$1:$AS$1,0),FALSE)</f>
        <v>94.79</v>
      </c>
      <c r="D87" s="85">
        <f>VLOOKUP(A87,Database!$A:$AS,MATCH($D$1,Database!$A$1:$AS$1,0),FALSE)</f>
        <v>70.594117156999999</v>
      </c>
      <c r="E87" s="85">
        <f>VLOOKUP(A87,Database!$A:$AS,MATCH($E$1,Database!$A$1:$AS$1,0),FALSE)</f>
        <v>104.855087379</v>
      </c>
      <c r="F87" s="85">
        <f>VLOOKUP(A87,Database!$A:$AS,MATCH($F$1,Database!$A$1:$AS$1,0),FALSE)</f>
        <v>83.1</v>
      </c>
      <c r="G87" s="85">
        <f>VLOOKUP(A87,Database!$A:$AS,MATCH($G$1,Database!$A$1:$AS$1,0),FALSE)</f>
        <v>88.402939595000007</v>
      </c>
      <c r="H87" s="85">
        <f>(((Table134567891011121314151617343[[#This Row],[ITA]]-VLOOKUP($U$1,A:B,2,))/VLOOKUP($U$1,A:B,2,))*100)+100</f>
        <v>97.039473684207834</v>
      </c>
      <c r="I87" s="85">
        <f>(((Table134567891011121314151617343[[#This Row],[FRA]]-VLOOKUP($U$1,A:C,3,))/VLOOKUP($U$1,A:C,3,))*100)+100</f>
        <v>92.487071909454585</v>
      </c>
      <c r="J87" s="85">
        <f>(((Table134567891011121314151617343[[#This Row],[DEU]]-VLOOKUP($U$1,A:D,4,))/VLOOKUP($U$1,A:D,4,))*100)+100</f>
        <v>93.882978722923241</v>
      </c>
      <c r="K87" s="85">
        <f>(((Table134567891011121314151617343[[#This Row],[ESP]]-VLOOKUP($U$1,A:E,5,))/VLOOKUP($U$1,A:E,5,))*100)+100</f>
        <v>88.135664452836465</v>
      </c>
      <c r="L87" s="85">
        <f>(((Table134567891011121314151617343[[#This Row],[EA19]]-VLOOKUP($U$1,A:F,6,))/VLOOKUP($U$1,A:F,6,))*100)+100</f>
        <v>92.953020134228183</v>
      </c>
      <c r="M87" s="85">
        <f>(((Table134567891011121314151617343[[#This Row],[GBR]]-VLOOKUP($U$1,A:G,7,))/VLOOKUP($U$1,A:G,7,))*100)+100</f>
        <v>95.915985997538428</v>
      </c>
      <c r="N87" s="85">
        <f>VLOOKUP(A87,Database!$A:$AS,MATCH($N$1,Database!$A$1:$AS$1,0),FALSE)</f>
        <v>78.104901861000002</v>
      </c>
      <c r="O87" s="85">
        <f>(((Table134567891011121314151617343[[#This Row],[USA]]-VLOOKUP($U$1,A:N,14,))/VLOOKUP($U$1,A:N,14,))*100)+100</f>
        <v>89.916894598257755</v>
      </c>
      <c r="P87" s="85">
        <f>VLOOKUP(A87,Database!$A:$AS,MATCH($P$1,Database!$A$1:$AS$1,0),FALSE)</f>
        <v>108.40750631</v>
      </c>
      <c r="Q87" s="85">
        <f>(((Table134567891011121314151617343[[#This Row],[JPN]]-VLOOKUP($U$1,A:Q,16,))/VLOOKUP($U$1,A:Q,16,))*100)+100</f>
        <v>108.83891201217079</v>
      </c>
    </row>
    <row r="88" spans="1:17" s="87" customFormat="1" x14ac:dyDescent="0.2">
      <c r="A88" s="22">
        <v>35490</v>
      </c>
      <c r="B88" s="85">
        <f>VLOOKUP(A88,Database!$A:$AS,MATCH($B$1,Database!$A$1:$AS$1,0),FALSE)</f>
        <v>118.59011749</v>
      </c>
      <c r="C88" s="85">
        <f>VLOOKUP(A88,Database!$A:$AS,MATCH($C$1,Database!$A$1:$AS$1,0),FALSE)</f>
        <v>95.1</v>
      </c>
      <c r="D88" s="85">
        <f>VLOOKUP(A88,Database!$A:$AS,MATCH($D$1,Database!$A$1:$AS$1,0),FALSE)</f>
        <v>71.394050496000006</v>
      </c>
      <c r="E88" s="85">
        <f>VLOOKUP(A88,Database!$A:$AS,MATCH($E$1,Database!$A$1:$AS$1,0),FALSE)</f>
        <v>109.613091344</v>
      </c>
      <c r="F88" s="85">
        <f>VLOOKUP(A88,Database!$A:$AS,MATCH($F$1,Database!$A$1:$AS$1,0),FALSE)</f>
        <v>84.1</v>
      </c>
      <c r="G88" s="85">
        <f>VLOOKUP(A88,Database!$A:$AS,MATCH($G$1,Database!$A$1:$AS$1,0),FALSE)</f>
        <v>87.757662663999994</v>
      </c>
      <c r="H88" s="85">
        <f>(((Table134567891011121314151617343[[#This Row],[ITA]]-VLOOKUP($U$1,A:B,2,))/VLOOKUP($U$1,A:B,2,))*100)+100</f>
        <v>97.532894736702787</v>
      </c>
      <c r="I88" s="85">
        <f>(((Table134567891011121314151617343[[#This Row],[FRA]]-VLOOKUP($U$1,A:C,3,))/VLOOKUP($U$1,A:C,3,))*100)+100</f>
        <v>92.789540442970051</v>
      </c>
      <c r="J88" s="85">
        <f>(((Table134567891011121314151617343[[#This Row],[DEU]]-VLOOKUP($U$1,A:D,4,))/VLOOKUP($U$1,A:D,4,))*100)+100</f>
        <v>94.946808510298766</v>
      </c>
      <c r="K88" s="85">
        <f>(((Table134567891011121314151617343[[#This Row],[ESP]]-VLOOKUP($U$1,A:E,5,))/VLOOKUP($U$1,A:E,5,))*100)+100</f>
        <v>92.134992014395408</v>
      </c>
      <c r="L88" s="85">
        <f>(((Table134567891011121314151617343[[#This Row],[EA19]]-VLOOKUP($U$1,A:F,6,))/VLOOKUP($U$1,A:F,6,))*100)+100</f>
        <v>94.071588366890367</v>
      </c>
      <c r="M88" s="85">
        <f>(((Table134567891011121314151617343[[#This Row],[GBR]]-VLOOKUP($U$1,A:G,7,))/VLOOKUP($U$1,A:G,7,))*100)+100</f>
        <v>95.215869311805136</v>
      </c>
      <c r="N88" s="85">
        <f>VLOOKUP(A88,Database!$A:$AS,MATCH($N$1,Database!$A$1:$AS$1,0),FALSE)</f>
        <v>78.576013404999998</v>
      </c>
      <c r="O88" s="85">
        <f>(((Table134567891011121314151617343[[#This Row],[USA]]-VLOOKUP($U$1,A:N,14,))/VLOOKUP($U$1,A:N,14,))*100)+100</f>
        <v>90.459253477617949</v>
      </c>
      <c r="P88" s="85">
        <f>VLOOKUP(A88,Database!$A:$AS,MATCH($P$1,Database!$A$1:$AS$1,0),FALSE)</f>
        <v>108.81314711900001</v>
      </c>
      <c r="Q88" s="85">
        <f>(((Table134567891011121314151617343[[#This Row],[JPN]]-VLOOKUP($U$1,A:Q,16,))/VLOOKUP($U$1,A:Q,16,))*100)+100</f>
        <v>109.24616706140186</v>
      </c>
    </row>
    <row r="89" spans="1:17" s="87" customFormat="1" x14ac:dyDescent="0.2">
      <c r="A89" s="22">
        <v>35521</v>
      </c>
      <c r="B89" s="85">
        <f>VLOOKUP(A89,Database!$A:$AS,MATCH($B$1,Database!$A$1:$AS$1,0),FALSE)</f>
        <v>120.689942505</v>
      </c>
      <c r="C89" s="85">
        <f>VLOOKUP(A89,Database!$A:$AS,MATCH($C$1,Database!$A$1:$AS$1,0),FALSE)</f>
        <v>98.49</v>
      </c>
      <c r="D89" s="85">
        <f>VLOOKUP(A89,Database!$A:$AS,MATCH($D$1,Database!$A$1:$AS$1,0),FALSE)</f>
        <v>71.094075493999995</v>
      </c>
      <c r="E89" s="85">
        <f>VLOOKUP(A89,Database!$A:$AS,MATCH($E$1,Database!$A$1:$AS$1,0),FALSE)</f>
        <v>108.979090816</v>
      </c>
      <c r="F89" s="85">
        <f>VLOOKUP(A89,Database!$A:$AS,MATCH($F$1,Database!$A$1:$AS$1,0),FALSE)</f>
        <v>85</v>
      </c>
      <c r="G89" s="85">
        <f>VLOOKUP(A89,Database!$A:$AS,MATCH($G$1,Database!$A$1:$AS$1,0),FALSE)</f>
        <v>88.187847284</v>
      </c>
      <c r="H89" s="85">
        <f>(((Table134567891011121314151617343[[#This Row],[ITA]]-VLOOKUP($U$1,A:B,2,))/VLOOKUP($U$1,A:B,2,))*100)+100</f>
        <v>99.259868421257579</v>
      </c>
      <c r="I89" s="85">
        <f>(((Table134567891011121314151617343[[#This Row],[FRA]]-VLOOKUP($U$1,A:C,3,))/VLOOKUP($U$1,A:C,3,))*100)+100</f>
        <v>96.097180212703677</v>
      </c>
      <c r="J89" s="85">
        <f>(((Table134567891011121314151617343[[#This Row],[DEU]]-VLOOKUP($U$1,A:D,4,))/VLOOKUP($U$1,A:D,4,))*100)+100</f>
        <v>94.547872340199163</v>
      </c>
      <c r="K89" s="85">
        <f>(((Table134567891011121314151617343[[#This Row],[ESP]]-VLOOKUP($U$1,A:E,5,))/VLOOKUP($U$1,A:E,5,))*100)+100</f>
        <v>91.602084559015992</v>
      </c>
      <c r="L89" s="85">
        <f>(((Table134567891011121314151617343[[#This Row],[EA19]]-VLOOKUP($U$1,A:F,6,))/VLOOKUP($U$1,A:F,6,))*100)+100</f>
        <v>95.078299776286343</v>
      </c>
      <c r="M89" s="85">
        <f>(((Table134567891011121314151617343[[#This Row],[GBR]]-VLOOKUP($U$1,A:G,7,))/VLOOKUP($U$1,A:G,7,))*100)+100</f>
        <v>95.682613768237331</v>
      </c>
      <c r="N89" s="85">
        <f>VLOOKUP(A89,Database!$A:$AS,MATCH($N$1,Database!$A$1:$AS$1,0),FALSE)</f>
        <v>78.647180685999999</v>
      </c>
      <c r="O89" s="85">
        <f>(((Table134567891011121314151617343[[#This Row],[USA]]-VLOOKUP($U$1,A:N,14,))/VLOOKUP($U$1,A:N,14,))*100)+100</f>
        <v>90.541183558215323</v>
      </c>
      <c r="P89" s="85">
        <f>VLOOKUP(A89,Database!$A:$AS,MATCH($P$1,Database!$A$1:$AS$1,0),FALSE)</f>
        <v>106.07507165600001</v>
      </c>
      <c r="Q89" s="85">
        <f>(((Table134567891011121314151617343[[#This Row],[JPN]]-VLOOKUP($U$1,A:Q,16,))/VLOOKUP($U$1,A:Q,16,))*100)+100</f>
        <v>106.49719547683317</v>
      </c>
    </row>
    <row r="90" spans="1:17" s="87" customFormat="1" x14ac:dyDescent="0.2">
      <c r="A90" s="22">
        <v>35551</v>
      </c>
      <c r="B90" s="85">
        <f>VLOOKUP(A90,Database!$A:$AS,MATCH($B$1,Database!$A$1:$AS$1,0),FALSE)</f>
        <v>120.38996750299999</v>
      </c>
      <c r="C90" s="85">
        <f>VLOOKUP(A90,Database!$A:$AS,MATCH($C$1,Database!$A$1:$AS$1,0),FALSE)</f>
        <v>96.66</v>
      </c>
      <c r="D90" s="85">
        <f>VLOOKUP(A90,Database!$A:$AS,MATCH($D$1,Database!$A$1:$AS$1,0),FALSE)</f>
        <v>70.194150487000002</v>
      </c>
      <c r="E90" s="85">
        <f>VLOOKUP(A90,Database!$A:$AS,MATCH($E$1,Database!$A$1:$AS$1,0),FALSE)</f>
        <v>107.610089675</v>
      </c>
      <c r="F90" s="85">
        <f>VLOOKUP(A90,Database!$A:$AS,MATCH($F$1,Database!$A$1:$AS$1,0),FALSE)</f>
        <v>84.2</v>
      </c>
      <c r="G90" s="85">
        <f>VLOOKUP(A90,Database!$A:$AS,MATCH($G$1,Database!$A$1:$AS$1,0),FALSE)</f>
        <v>88.187847284</v>
      </c>
      <c r="H90" s="85">
        <f>(((Table134567891011121314151617343[[#This Row],[ITA]]-VLOOKUP($U$1,A:B,2,))/VLOOKUP($U$1,A:B,2,))*100)+100</f>
        <v>99.013157895010082</v>
      </c>
      <c r="I90" s="85">
        <f>(((Table134567891011121314151617343[[#This Row],[FRA]]-VLOOKUP($U$1,A:C,3,))/VLOOKUP($U$1,A:C,3,))*100)+100</f>
        <v>94.311640160015614</v>
      </c>
      <c r="J90" s="85">
        <f>(((Table134567891011121314151617343[[#This Row],[DEU]]-VLOOKUP($U$1,A:D,4,))/VLOOKUP($U$1,A:D,4,))*100)+100</f>
        <v>93.351063828570531</v>
      </c>
      <c r="K90" s="85">
        <f>(((Table134567891011121314151617343[[#This Row],[ESP]]-VLOOKUP($U$1,A:E,5,))/VLOOKUP($U$1,A:E,5,))*100)+100</f>
        <v>90.451374295787588</v>
      </c>
      <c r="L90" s="85">
        <f>(((Table134567891011121314151617343[[#This Row],[EA19]]-VLOOKUP($U$1,A:F,6,))/VLOOKUP($U$1,A:F,6,))*100)+100</f>
        <v>94.18344519015659</v>
      </c>
      <c r="M90" s="85">
        <f>(((Table134567891011121314151617343[[#This Row],[GBR]]-VLOOKUP($U$1,A:G,7,))/VLOOKUP($U$1,A:G,7,))*100)+100</f>
        <v>95.682613768237331</v>
      </c>
      <c r="N90" s="85">
        <f>VLOOKUP(A90,Database!$A:$AS,MATCH($N$1,Database!$A$1:$AS$1,0),FALSE)</f>
        <v>79.070021385999993</v>
      </c>
      <c r="O90" s="85">
        <f>(((Table134567891011121314151617343[[#This Row],[USA]]-VLOOKUP($U$1,A:N,14,))/VLOOKUP($U$1,A:N,14,))*100)+100</f>
        <v>91.027971477383517</v>
      </c>
      <c r="P90" s="85">
        <f>VLOOKUP(A90,Database!$A:$AS,MATCH($P$1,Database!$A$1:$AS$1,0),FALSE)</f>
        <v>109.218787929</v>
      </c>
      <c r="Q90" s="85">
        <f>(((Table134567891011121314151617343[[#This Row],[JPN]]-VLOOKUP($U$1,A:Q,16,))/VLOOKUP($U$1,A:Q,16,))*100)+100</f>
        <v>109.65342211163691</v>
      </c>
    </row>
    <row r="91" spans="1:17" s="87" customFormat="1" x14ac:dyDescent="0.2">
      <c r="A91" s="22">
        <v>35582</v>
      </c>
      <c r="B91" s="85">
        <f>VLOOKUP(A91,Database!$A:$AS,MATCH($B$1,Database!$A$1:$AS$1,0),FALSE)</f>
        <v>121.389884176</v>
      </c>
      <c r="C91" s="85">
        <f>VLOOKUP(A91,Database!$A:$AS,MATCH($C$1,Database!$A$1:$AS$1,0),FALSE)</f>
        <v>97.37</v>
      </c>
      <c r="D91" s="85">
        <f>VLOOKUP(A91,Database!$A:$AS,MATCH($D$1,Database!$A$1:$AS$1,0),FALSE)</f>
        <v>72.993917174000003</v>
      </c>
      <c r="E91" s="85">
        <f>VLOOKUP(A91,Database!$A:$AS,MATCH($E$1,Database!$A$1:$AS$1,0),FALSE)</f>
        <v>109.12109093399999</v>
      </c>
      <c r="F91" s="85">
        <f>VLOOKUP(A91,Database!$A:$AS,MATCH($F$1,Database!$A$1:$AS$1,0),FALSE)</f>
        <v>85.6</v>
      </c>
      <c r="G91" s="85">
        <f>VLOOKUP(A91,Database!$A:$AS,MATCH($G$1,Database!$A$1:$AS$1,0),FALSE)</f>
        <v>88.510485750000001</v>
      </c>
      <c r="H91" s="85">
        <f>(((Table134567891011121314151617343[[#This Row],[ITA]]-VLOOKUP($U$1,A:B,2,))/VLOOKUP($U$1,A:B,2,))*100)+100</f>
        <v>99.83552631556087</v>
      </c>
      <c r="I91" s="85">
        <f>(((Table134567891011121314151617343[[#This Row],[FRA]]-VLOOKUP($U$1,A:C,3,))/VLOOKUP($U$1,A:C,3,))*100)+100</f>
        <v>95.004390672260712</v>
      </c>
      <c r="J91" s="85">
        <f>(((Table134567891011121314151617343[[#This Row],[DEU]]-VLOOKUP($U$1,A:D,4,))/VLOOKUP($U$1,A:D,4,))*100)+100</f>
        <v>97.074468085049801</v>
      </c>
      <c r="K91" s="85">
        <f>(((Table134567891011121314151617343[[#This Row],[ESP]]-VLOOKUP($U$1,A:E,5,))/VLOOKUP($U$1,A:E,5,))*100)+100</f>
        <v>91.721442380034958</v>
      </c>
      <c r="L91" s="85">
        <f>(((Table134567891011121314151617343[[#This Row],[EA19]]-VLOOKUP($U$1,A:F,6,))/VLOOKUP($U$1,A:F,6,))*100)+100</f>
        <v>95.749440715883651</v>
      </c>
      <c r="M91" s="85">
        <f>(((Table134567891011121314151617343[[#This Row],[GBR]]-VLOOKUP($U$1,A:G,7,))/VLOOKUP($U$1,A:G,7,))*100)+100</f>
        <v>96.032672111646463</v>
      </c>
      <c r="N91" s="85">
        <f>VLOOKUP(A91,Database!$A:$AS,MATCH($N$1,Database!$A$1:$AS$1,0),FALSE)</f>
        <v>79.430318137</v>
      </c>
      <c r="O91" s="85">
        <f>(((Table134567891011121314151617343[[#This Row],[USA]]-VLOOKUP($U$1,A:N,14,))/VLOOKUP($U$1,A:N,14,))*100)+100</f>
        <v>91.442756775256598</v>
      </c>
      <c r="P91" s="85">
        <f>VLOOKUP(A91,Database!$A:$AS,MATCH($P$1,Database!$A$1:$AS$1,0),FALSE)</f>
        <v>108.610326715</v>
      </c>
      <c r="Q91" s="85">
        <f>(((Table134567891011121314151617343[[#This Row],[JPN]]-VLOOKUP($U$1,A:Q,16,))/VLOOKUP($U$1,A:Q,16,))*100)+100</f>
        <v>109.04253953728831</v>
      </c>
    </row>
    <row r="92" spans="1:17" s="87" customFormat="1" x14ac:dyDescent="0.2">
      <c r="A92" s="22">
        <v>35612</v>
      </c>
      <c r="B92" s="85">
        <f>VLOOKUP(A92,Database!$A:$AS,MATCH($B$1,Database!$A$1:$AS$1,0),FALSE)</f>
        <v>122.189817515</v>
      </c>
      <c r="C92" s="85">
        <f>VLOOKUP(A92,Database!$A:$AS,MATCH($C$1,Database!$A$1:$AS$1,0),FALSE)</f>
        <v>97.56</v>
      </c>
      <c r="D92" s="85">
        <f>VLOOKUP(A92,Database!$A:$AS,MATCH($D$1,Database!$A$1:$AS$1,0),FALSE)</f>
        <v>73.793850512000006</v>
      </c>
      <c r="E92" s="85">
        <f>VLOOKUP(A92,Database!$A:$AS,MATCH($E$1,Database!$A$1:$AS$1,0),FALSE)</f>
        <v>110.362091968</v>
      </c>
      <c r="F92" s="85">
        <f>VLOOKUP(A92,Database!$A:$AS,MATCH($F$1,Database!$A$1:$AS$1,0),FALSE)</f>
        <v>86.3</v>
      </c>
      <c r="G92" s="85">
        <f>VLOOKUP(A92,Database!$A:$AS,MATCH($G$1,Database!$A$1:$AS$1,0),FALSE)</f>
        <v>89.693493458000006</v>
      </c>
      <c r="H92" s="85">
        <f>(((Table134567891011121314151617343[[#This Row],[ITA]]-VLOOKUP($U$1,A:B,2,))/VLOOKUP($U$1,A:B,2,))*100)+100</f>
        <v>100.49342105249497</v>
      </c>
      <c r="I92" s="85">
        <f>(((Table134567891011121314151617343[[#This Row],[FRA]]-VLOOKUP($U$1,A:C,3,))/VLOOKUP($U$1,A:C,3,))*100)+100</f>
        <v>95.189774612157294</v>
      </c>
      <c r="J92" s="85">
        <f>(((Table134567891011121314151617343[[#This Row],[DEU]]-VLOOKUP($U$1,A:D,4,))/VLOOKUP($U$1,A:D,4,))*100)+100</f>
        <v>98.138297871095432</v>
      </c>
      <c r="K92" s="85">
        <f>(((Table134567891011121314151617343[[#This Row],[ESP]]-VLOOKUP($U$1,A:E,5,))/VLOOKUP($U$1,A:E,5,))*100)+100</f>
        <v>92.764562494206487</v>
      </c>
      <c r="L92" s="85">
        <f>(((Table134567891011121314151617343[[#This Row],[EA19]]-VLOOKUP($U$1,A:F,6,))/VLOOKUP($U$1,A:F,6,))*100)+100</f>
        <v>96.532438478747196</v>
      </c>
      <c r="M92" s="85">
        <f>(((Table134567891011121314151617343[[#This Row],[GBR]]-VLOOKUP($U$1,A:G,7,))/VLOOKUP($U$1,A:G,7,))*100)+100</f>
        <v>97.316219370089968</v>
      </c>
      <c r="N92" s="85">
        <f>VLOOKUP(A92,Database!$A:$AS,MATCH($N$1,Database!$A$1:$AS$1,0),FALSE)</f>
        <v>80.067949225000007</v>
      </c>
      <c r="O92" s="85">
        <f>(((Table134567891011121314151617343[[#This Row],[USA]]-VLOOKUP($U$1,A:N,14,))/VLOOKUP($U$1,A:N,14,))*100)+100</f>
        <v>92.176818350985911</v>
      </c>
      <c r="P92" s="85">
        <f>VLOOKUP(A92,Database!$A:$AS,MATCH($P$1,Database!$A$1:$AS$1,0),FALSE)</f>
        <v>108.91455732199999</v>
      </c>
      <c r="Q92" s="85">
        <f>(((Table134567891011121314151617343[[#This Row],[JPN]]-VLOOKUP($U$1,A:Q,16,))/VLOOKUP($U$1,A:Q,16,))*100)+100</f>
        <v>109.34798082446261</v>
      </c>
    </row>
    <row r="93" spans="1:17" s="87" customFormat="1" x14ac:dyDescent="0.2">
      <c r="A93" s="22">
        <v>35643</v>
      </c>
      <c r="B93" s="85">
        <f>VLOOKUP(A93,Database!$A:$AS,MATCH($B$1,Database!$A$1:$AS$1,0),FALSE)</f>
        <v>122.889759187</v>
      </c>
      <c r="C93" s="85">
        <f>VLOOKUP(A93,Database!$A:$AS,MATCH($C$1,Database!$A$1:$AS$1,0),FALSE)</f>
        <v>101.34</v>
      </c>
      <c r="D93" s="85">
        <f>VLOOKUP(A93,Database!$A:$AS,MATCH($D$1,Database!$A$1:$AS$1,0),FALSE)</f>
        <v>71.394050496000006</v>
      </c>
      <c r="E93" s="85">
        <f>VLOOKUP(A93,Database!$A:$AS,MATCH($E$1,Database!$A$1:$AS$1,0),FALSE)</f>
        <v>112.179093483</v>
      </c>
      <c r="F93" s="85">
        <f>VLOOKUP(A93,Database!$A:$AS,MATCH($F$1,Database!$A$1:$AS$1,0),FALSE)</f>
        <v>86.4</v>
      </c>
      <c r="G93" s="85">
        <f>VLOOKUP(A93,Database!$A:$AS,MATCH($G$1,Database!$A$1:$AS$1,0),FALSE)</f>
        <v>88.940670370999996</v>
      </c>
      <c r="H93" s="85">
        <f>(((Table134567891011121314151617343[[#This Row],[ITA]]-VLOOKUP($U$1,A:B,2,))/VLOOKUP($U$1,A:B,2,))*100)+100</f>
        <v>101.0690789476207</v>
      </c>
      <c r="I93" s="85">
        <f>(((Table134567891011121314151617343[[#This Row],[FRA]]-VLOOKUP($U$1,A:C,3,))/VLOOKUP($U$1,A:C,3,))*100)+100</f>
        <v>98.877939311152318</v>
      </c>
      <c r="J93" s="85">
        <f>(((Table134567891011121314151617343[[#This Row],[DEU]]-VLOOKUP($U$1,A:D,4,))/VLOOKUP($U$1,A:D,4,))*100)+100</f>
        <v>94.946808510298766</v>
      </c>
      <c r="K93" s="85">
        <f>(((Table134567891011121314151617343[[#This Row],[ESP]]-VLOOKUP($U$1,A:E,5,))/VLOOKUP($U$1,A:E,5,))*100)+100</f>
        <v>94.291838278713712</v>
      </c>
      <c r="L93" s="85">
        <f>(((Table134567891011121314151617343[[#This Row],[EA19]]-VLOOKUP($U$1,A:F,6,))/VLOOKUP($U$1,A:F,6,))*100)+100</f>
        <v>96.644295302013418</v>
      </c>
      <c r="M93" s="85">
        <f>(((Table134567891011121314151617343[[#This Row],[GBR]]-VLOOKUP($U$1,A:G,7,))/VLOOKUP($U$1,A:G,7,))*100)+100</f>
        <v>96.499416569163643</v>
      </c>
      <c r="N93" s="85">
        <f>VLOOKUP(A93,Database!$A:$AS,MATCH($N$1,Database!$A$1:$AS$1,0),FALSE)</f>
        <v>80.892716562000004</v>
      </c>
      <c r="O93" s="85">
        <f>(((Table134567891011121314151617343[[#This Row],[USA]]-VLOOKUP($U$1,A:N,14,))/VLOOKUP($U$1,A:N,14,))*100)+100</f>
        <v>93.12631724211947</v>
      </c>
      <c r="P93" s="85">
        <f>VLOOKUP(A93,Database!$A:$AS,MATCH($P$1,Database!$A$1:$AS$1,0),FALSE)</f>
        <v>108.40750631</v>
      </c>
      <c r="Q93" s="85">
        <f>(((Table134567891011121314151617343[[#This Row],[JPN]]-VLOOKUP($U$1,A:Q,16,))/VLOOKUP($U$1,A:Q,16,))*100)+100</f>
        <v>108.83891201217079</v>
      </c>
    </row>
    <row r="94" spans="1:17" s="87" customFormat="1" x14ac:dyDescent="0.2">
      <c r="A94" s="22">
        <v>35674</v>
      </c>
      <c r="B94" s="85">
        <f>VLOOKUP(A94,Database!$A:$AS,MATCH($B$1,Database!$A$1:$AS$1,0),FALSE)</f>
        <v>122.78976751899999</v>
      </c>
      <c r="C94" s="85">
        <f>VLOOKUP(A94,Database!$A:$AS,MATCH($C$1,Database!$A$1:$AS$1,0),FALSE)</f>
        <v>98.94</v>
      </c>
      <c r="D94" s="85">
        <f>VLOOKUP(A94,Database!$A:$AS,MATCH($D$1,Database!$A$1:$AS$1,0),FALSE)</f>
        <v>71.994000499999999</v>
      </c>
      <c r="E94" s="85">
        <f>VLOOKUP(A94,Database!$A:$AS,MATCH($E$1,Database!$A$1:$AS$1,0),FALSE)</f>
        <v>111.50809292300001</v>
      </c>
      <c r="F94" s="85">
        <f>VLOOKUP(A94,Database!$A:$AS,MATCH($F$1,Database!$A$1:$AS$1,0),FALSE)</f>
        <v>86.2</v>
      </c>
      <c r="G94" s="85">
        <f>VLOOKUP(A94,Database!$A:$AS,MATCH($G$1,Database!$A$1:$AS$1,0),FALSE)</f>
        <v>90.016131923000003</v>
      </c>
      <c r="H94" s="85">
        <f>(((Table134567891011121314151617343[[#This Row],[ITA]]-VLOOKUP($U$1,A:B,2,))/VLOOKUP($U$1,A:B,2,))*100)+100</f>
        <v>100.98684210498992</v>
      </c>
      <c r="I94" s="85">
        <f>(((Table134567891011121314151617343[[#This Row],[FRA]]-VLOOKUP($U$1,A:C,3,))/VLOOKUP($U$1,A:C,3,))*100)+100</f>
        <v>96.536247438774524</v>
      </c>
      <c r="J94" s="85">
        <f>(((Table134567891011121314151617343[[#This Row],[DEU]]-VLOOKUP($U$1,A:D,4,))/VLOOKUP($U$1,A:D,4,))*100)+100</f>
        <v>95.744680850497915</v>
      </c>
      <c r="K94" s="85">
        <f>(((Table134567891011121314151617343[[#This Row],[ESP]]-VLOOKUP($U$1,A:E,5,))/VLOOKUP($U$1,A:E,5,))*100)+100</f>
        <v>93.727830544972889</v>
      </c>
      <c r="L94" s="85">
        <f>(((Table134567891011121314151617343[[#This Row],[EA19]]-VLOOKUP($U$1,A:F,6,))/VLOOKUP($U$1,A:F,6,))*100)+100</f>
        <v>96.420581655480987</v>
      </c>
      <c r="M94" s="85">
        <f>(((Table134567891011121314151617343[[#This Row],[GBR]]-VLOOKUP($U$1,A:G,7,))/VLOOKUP($U$1,A:G,7,))*100)+100</f>
        <v>97.666277712414114</v>
      </c>
      <c r="N94" s="85">
        <f>VLOOKUP(A94,Database!$A:$AS,MATCH($N$1,Database!$A$1:$AS$1,0),FALSE)</f>
        <v>81.676052251000002</v>
      </c>
      <c r="O94" s="85">
        <f>(((Table134567891011121314151617343[[#This Row],[USA]]-VLOOKUP($U$1,A:N,14,))/VLOOKUP($U$1,A:N,14,))*100)+100</f>
        <v>94.028118677171733</v>
      </c>
      <c r="P94" s="85">
        <f>VLOOKUP(A94,Database!$A:$AS,MATCH($P$1,Database!$A$1:$AS$1,0),FALSE)</f>
        <v>107.697634893</v>
      </c>
      <c r="Q94" s="85">
        <f>(((Table134567891011121314151617343[[#This Row],[JPN]]-VLOOKUP($U$1,A:Q,16,))/VLOOKUP($U$1,A:Q,16,))*100)+100</f>
        <v>108.12621567476144</v>
      </c>
    </row>
    <row r="95" spans="1:17" s="87" customFormat="1" x14ac:dyDescent="0.2">
      <c r="A95" s="22">
        <v>35704</v>
      </c>
      <c r="B95" s="85">
        <f>VLOOKUP(A95,Database!$A:$AS,MATCH($B$1,Database!$A$1:$AS$1,0),FALSE)</f>
        <v>124.28964252999999</v>
      </c>
      <c r="C95" s="85">
        <f>VLOOKUP(A95,Database!$A:$AS,MATCH($C$1,Database!$A$1:$AS$1,0),FALSE)</f>
        <v>101.42</v>
      </c>
      <c r="D95" s="85">
        <f>VLOOKUP(A95,Database!$A:$AS,MATCH($D$1,Database!$A$1:$AS$1,0),FALSE)</f>
        <v>72.993917174000003</v>
      </c>
      <c r="E95" s="85">
        <f>VLOOKUP(A95,Database!$A:$AS,MATCH($E$1,Database!$A$1:$AS$1,0),FALSE)</f>
        <v>112.86109405099999</v>
      </c>
      <c r="F95" s="85">
        <f>VLOOKUP(A95,Database!$A:$AS,MATCH($F$1,Database!$A$1:$AS$1,0),FALSE)</f>
        <v>87.4</v>
      </c>
      <c r="G95" s="85">
        <f>VLOOKUP(A95,Database!$A:$AS,MATCH($G$1,Database!$A$1:$AS$1,0),FALSE)</f>
        <v>91.091593476</v>
      </c>
      <c r="H95" s="85">
        <f>(((Table134567891011121314151617343[[#This Row],[ITA]]-VLOOKUP($U$1,A:B,2,))/VLOOKUP($U$1,A:B,2,))*100)+100</f>
        <v>102.22039473704974</v>
      </c>
      <c r="I95" s="85">
        <f>(((Table134567891011121314151617343[[#This Row],[FRA]]-VLOOKUP($U$1,A:C,3,))/VLOOKUP($U$1,A:C,3,))*100)+100</f>
        <v>98.955995706898236</v>
      </c>
      <c r="J95" s="85">
        <f>(((Table134567891011121314151617343[[#This Row],[DEU]]-VLOOKUP($U$1,A:D,4,))/VLOOKUP($U$1,A:D,4,))*100)+100</f>
        <v>97.074468085049801</v>
      </c>
      <c r="K95" s="85">
        <f>(((Table134567891011121314151617343[[#This Row],[ESP]]-VLOOKUP($U$1,A:E,5,))/VLOOKUP($U$1,A:E,5,))*100)+100</f>
        <v>94.865092039884388</v>
      </c>
      <c r="L95" s="85">
        <f>(((Table134567891011121314151617343[[#This Row],[EA19]]-VLOOKUP($U$1,A:F,6,))/VLOOKUP($U$1,A:F,6,))*100)+100</f>
        <v>97.762863534675617</v>
      </c>
      <c r="M95" s="85">
        <f>(((Table134567891011121314151617343[[#This Row],[GBR]]-VLOOKUP($U$1,A:G,7,))/VLOOKUP($U$1,A:G,7,))*100)+100</f>
        <v>98.833138856749542</v>
      </c>
      <c r="N95" s="85">
        <f>VLOOKUP(A95,Database!$A:$AS,MATCH($N$1,Database!$A$1:$AS$1,0),FALSE)</f>
        <v>82.374046673999999</v>
      </c>
      <c r="O95" s="85">
        <f>(((Table134567891011121314151617343[[#This Row],[USA]]-VLOOKUP($U$1,A:N,14,))/VLOOKUP($U$1,A:N,14,))*100)+100</f>
        <v>94.831672480680211</v>
      </c>
      <c r="P95" s="85">
        <f>VLOOKUP(A95,Database!$A:$AS,MATCH($P$1,Database!$A$1:$AS$1,0),FALSE)</f>
        <v>106.987763477</v>
      </c>
      <c r="Q95" s="85">
        <f>(((Table134567891011121314151617343[[#This Row],[JPN]]-VLOOKUP($U$1,A:Q,16,))/VLOOKUP($U$1,A:Q,16,))*100)+100</f>
        <v>107.41351933835607</v>
      </c>
    </row>
    <row r="96" spans="1:17" s="87" customFormat="1" x14ac:dyDescent="0.2">
      <c r="A96" s="22">
        <v>35735</v>
      </c>
      <c r="B96" s="85">
        <f>VLOOKUP(A96,Database!$A:$AS,MATCH($B$1,Database!$A$1:$AS$1,0),FALSE)</f>
        <v>123.589700858</v>
      </c>
      <c r="C96" s="85">
        <f>VLOOKUP(A96,Database!$A:$AS,MATCH($C$1,Database!$A$1:$AS$1,0),FALSE)</f>
        <v>99.09</v>
      </c>
      <c r="D96" s="85">
        <f>VLOOKUP(A96,Database!$A:$AS,MATCH($D$1,Database!$A$1:$AS$1,0),FALSE)</f>
        <v>73.393883842999998</v>
      </c>
      <c r="E96" s="85">
        <f>VLOOKUP(A96,Database!$A:$AS,MATCH($E$1,Database!$A$1:$AS$1,0),FALSE)</f>
        <v>111.789093158</v>
      </c>
      <c r="F96" s="85">
        <f>VLOOKUP(A96,Database!$A:$AS,MATCH($F$1,Database!$A$1:$AS$1,0),FALSE)</f>
        <v>87.1</v>
      </c>
      <c r="G96" s="85">
        <f>VLOOKUP(A96,Database!$A:$AS,MATCH($G$1,Database!$A$1:$AS$1,0),FALSE)</f>
        <v>91.736870406999998</v>
      </c>
      <c r="H96" s="85">
        <f>(((Table134567891011121314151617343[[#This Row],[ITA]]-VLOOKUP($U$1,A:B,2,))/VLOOKUP($U$1,A:B,2,))*100)+100</f>
        <v>101.64473684192401</v>
      </c>
      <c r="I96" s="85">
        <f>(((Table134567891011121314151617343[[#This Row],[FRA]]-VLOOKUP($U$1,A:C,3,))/VLOOKUP($U$1,A:C,3,))*100)+100</f>
        <v>96.682603180798139</v>
      </c>
      <c r="J96" s="85">
        <f>(((Table134567891011121314151617343[[#This Row],[DEU]]-VLOOKUP($U$1,A:D,4,))/VLOOKUP($U$1,A:D,4,))*100)+100</f>
        <v>97.606382978072602</v>
      </c>
      <c r="K96" s="85">
        <f>(((Table134567891011121314151617343[[#This Row],[ESP]]-VLOOKUP($U$1,A:E,5,))/VLOOKUP($U$1,A:E,5,))*100)+100</f>
        <v>93.964024544159699</v>
      </c>
      <c r="L96" s="85">
        <f>(((Table134567891011121314151617343[[#This Row],[EA19]]-VLOOKUP($U$1,A:F,6,))/VLOOKUP($U$1,A:F,6,))*100)+100</f>
        <v>97.427293064876949</v>
      </c>
      <c r="M96" s="85">
        <f>(((Table134567891011121314151617343[[#This Row],[GBR]]-VLOOKUP($U$1,A:G,7,))/VLOOKUP($U$1,A:G,7,))*100)+100</f>
        <v>99.53325554248282</v>
      </c>
      <c r="N96" s="85">
        <f>VLOOKUP(A96,Database!$A:$AS,MATCH($N$1,Database!$A$1:$AS$1,0),FALSE)</f>
        <v>83.015345155999995</v>
      </c>
      <c r="O96" s="85">
        <f>(((Table134567891011121314151617343[[#This Row],[USA]]-VLOOKUP($U$1,A:N,14,))/VLOOKUP($U$1,A:N,14,))*100)+100</f>
        <v>95.569956079251753</v>
      </c>
      <c r="P96" s="85">
        <f>VLOOKUP(A96,Database!$A:$AS,MATCH($P$1,Database!$A$1:$AS$1,0),FALSE)</f>
        <v>105.669430846</v>
      </c>
      <c r="Q96" s="85">
        <f>(((Table134567891011121314151617343[[#This Row],[JPN]]-VLOOKUP($U$1,A:Q,16,))/VLOOKUP($U$1,A:Q,16,))*100)+100</f>
        <v>106.08994042659812</v>
      </c>
    </row>
    <row r="97" spans="1:17" s="87" customFormat="1" x14ac:dyDescent="0.2">
      <c r="A97" s="22">
        <v>35765</v>
      </c>
      <c r="B97" s="85">
        <f>VLOOKUP(A97,Database!$A:$AS,MATCH($B$1,Database!$A$1:$AS$1,0),FALSE)</f>
        <v>124.48962586499999</v>
      </c>
      <c r="C97" s="85">
        <f>VLOOKUP(A97,Database!$A:$AS,MATCH($C$1,Database!$A$1:$AS$1,0),FALSE)</f>
        <v>101.07</v>
      </c>
      <c r="D97" s="85">
        <f>VLOOKUP(A97,Database!$A:$AS,MATCH($D$1,Database!$A$1:$AS$1,0),FALSE)</f>
        <v>74.093825515000006</v>
      </c>
      <c r="E97" s="85">
        <f>VLOOKUP(A97,Database!$A:$AS,MATCH($E$1,Database!$A$1:$AS$1,0),FALSE)</f>
        <v>111.369092808</v>
      </c>
      <c r="F97" s="85">
        <f>VLOOKUP(A97,Database!$A:$AS,MATCH($F$1,Database!$A$1:$AS$1,0),FALSE)</f>
        <v>88</v>
      </c>
      <c r="G97" s="85">
        <f>VLOOKUP(A97,Database!$A:$AS,MATCH($G$1,Database!$A$1:$AS$1,0),FALSE)</f>
        <v>92.167055027999993</v>
      </c>
      <c r="H97" s="85">
        <f>(((Table134567891011121314151617343[[#This Row],[ITA]]-VLOOKUP($U$1,A:B,2,))/VLOOKUP($U$1,A:B,2,))*100)+100</f>
        <v>102.38486842148887</v>
      </c>
      <c r="I97" s="85">
        <f>(((Table134567891011121314151617343[[#This Row],[FRA]]-VLOOKUP($U$1,A:C,3,))/VLOOKUP($U$1,A:C,3,))*100)+100</f>
        <v>98.614498975509804</v>
      </c>
      <c r="J97" s="85">
        <f>(((Table134567891011121314151617343[[#This Row],[DEU]]-VLOOKUP($U$1,A:D,4,))/VLOOKUP($U$1,A:D,4,))*100)+100</f>
        <v>98.537234042524915</v>
      </c>
      <c r="K97" s="85">
        <f>(((Table134567891011121314151617343[[#This Row],[ESP]]-VLOOKUP($U$1,A:E,5,))/VLOOKUP($U$1,A:E,5,))*100)+100</f>
        <v>93.610994368486146</v>
      </c>
      <c r="L97" s="85">
        <f>(((Table134567891011121314151617343[[#This Row],[EA19]]-VLOOKUP($U$1,A:F,6,))/VLOOKUP($U$1,A:F,6,))*100)+100</f>
        <v>98.434004474272925</v>
      </c>
      <c r="M97" s="85">
        <f>(((Table134567891011121314151617343[[#This Row],[GBR]]-VLOOKUP($U$1,A:G,7,))/VLOOKUP($U$1,A:G,7,))*100)+100</f>
        <v>100</v>
      </c>
      <c r="N97" s="85">
        <f>VLOOKUP(A97,Database!$A:$AS,MATCH($N$1,Database!$A$1:$AS$1,0),FALSE)</f>
        <v>83.391699149000004</v>
      </c>
      <c r="O97" s="85">
        <f>(((Table134567891011121314151617343[[#This Row],[USA]]-VLOOKUP($U$1,A:N,14,))/VLOOKUP($U$1,A:N,14,))*100)+100</f>
        <v>96.003226994570738</v>
      </c>
      <c r="P97" s="85">
        <f>VLOOKUP(A97,Database!$A:$AS,MATCH($P$1,Database!$A$1:$AS$1,0),FALSE)</f>
        <v>104.655328823</v>
      </c>
      <c r="Q97" s="85">
        <f>(((Table134567891011121314151617343[[#This Row],[JPN]]-VLOOKUP($U$1,A:Q,16,))/VLOOKUP($U$1,A:Q,16,))*100)+100</f>
        <v>105.07180280301846</v>
      </c>
    </row>
    <row r="98" spans="1:17" s="87" customFormat="1" x14ac:dyDescent="0.2">
      <c r="A98" s="22">
        <v>35796</v>
      </c>
      <c r="B98" s="85">
        <f>VLOOKUP(A98,Database!$A:$AS,MATCH($B$1,Database!$A$1:$AS$1,0),FALSE)</f>
        <v>123.589700858</v>
      </c>
      <c r="C98" s="85">
        <f>VLOOKUP(A98,Database!$A:$AS,MATCH($C$1,Database!$A$1:$AS$1,0),FALSE)</f>
        <v>101.07</v>
      </c>
      <c r="D98" s="85">
        <f>VLOOKUP(A98,Database!$A:$AS,MATCH($D$1,Database!$A$1:$AS$1,0),FALSE)</f>
        <v>74.893758852999994</v>
      </c>
      <c r="E98" s="85">
        <f>VLOOKUP(A98,Database!$A:$AS,MATCH($E$1,Database!$A$1:$AS$1,0),FALSE)</f>
        <v>113.52709460600001</v>
      </c>
      <c r="F98" s="85">
        <f>VLOOKUP(A98,Database!$A:$AS,MATCH($F$1,Database!$A$1:$AS$1,0),FALSE)</f>
        <v>88.3</v>
      </c>
      <c r="G98" s="85">
        <f>VLOOKUP(A98,Database!$A:$AS,MATCH($G$1,Database!$A$1:$AS$1,0),FALSE)</f>
        <v>93.134970425000006</v>
      </c>
      <c r="H98" s="85">
        <f>(((Table134567891011121314151617343[[#This Row],[ITA]]-VLOOKUP($U$1,A:B,2,))/VLOOKUP($U$1,A:B,2,))*100)+100</f>
        <v>101.64473684192401</v>
      </c>
      <c r="I98" s="85">
        <f>(((Table134567891011121314151617343[[#This Row],[FRA]]-VLOOKUP($U$1,A:C,3,))/VLOOKUP($U$1,A:C,3,))*100)+100</f>
        <v>98.614498975509804</v>
      </c>
      <c r="J98" s="85">
        <f>(((Table134567891011121314151617343[[#This Row],[DEU]]-VLOOKUP($U$1,A:D,4,))/VLOOKUP($U$1,A:D,4,))*100)+100</f>
        <v>99.601063828570517</v>
      </c>
      <c r="K98" s="85">
        <f>(((Table134567891011121314151617343[[#This Row],[ESP]]-VLOOKUP($U$1,A:E,5,))/VLOOKUP($U$1,A:E,5,))*100)+100</f>
        <v>95.424897032738158</v>
      </c>
      <c r="L98" s="85">
        <f>(((Table134567891011121314151617343[[#This Row],[EA19]]-VLOOKUP($U$1,A:F,6,))/VLOOKUP($U$1,A:F,6,))*100)+100</f>
        <v>98.769574944071579</v>
      </c>
      <c r="M98" s="85">
        <f>(((Table134567891011121314151617343[[#This Row],[GBR]]-VLOOKUP($U$1,A:G,7,))/VLOOKUP($U$1,A:G,7,))*100)+100</f>
        <v>101.05017502914242</v>
      </c>
      <c r="N98" s="85">
        <f>VLOOKUP(A98,Database!$A:$AS,MATCH($N$1,Database!$A$1:$AS$1,0),FALSE)</f>
        <v>83.766566361000002</v>
      </c>
      <c r="O98" s="85">
        <f>(((Table134567891011121314151617343[[#This Row],[USA]]-VLOOKUP($U$1,A:N,14,))/VLOOKUP($U$1,A:N,14,))*100)+100</f>
        <v>96.434786279412208</v>
      </c>
      <c r="P98" s="85">
        <f>VLOOKUP(A98,Database!$A:$AS,MATCH($P$1,Database!$A$1:$AS$1,0),FALSE)</f>
        <v>106.19426418099999</v>
      </c>
      <c r="Q98" s="85">
        <f>(((Table134567891011121314151617343[[#This Row],[JPN]]-VLOOKUP($U$1,A:Q,16,))/VLOOKUP($U$1,A:Q,16,))*100)+100</f>
        <v>106.6168623263213</v>
      </c>
    </row>
    <row r="99" spans="1:17" s="87" customFormat="1" x14ac:dyDescent="0.2">
      <c r="A99" s="22">
        <v>35827</v>
      </c>
      <c r="B99" s="85">
        <f>VLOOKUP(A99,Database!$A:$AS,MATCH($B$1,Database!$A$1:$AS$1,0),FALSE)</f>
        <v>123.489709191</v>
      </c>
      <c r="C99" s="85">
        <f>VLOOKUP(A99,Database!$A:$AS,MATCH($C$1,Database!$A$1:$AS$1,0),FALSE)</f>
        <v>101.77</v>
      </c>
      <c r="D99" s="85">
        <f>VLOOKUP(A99,Database!$A:$AS,MATCH($D$1,Database!$A$1:$AS$1,0),FALSE)</f>
        <v>74.693775518999999</v>
      </c>
      <c r="E99" s="85">
        <f>VLOOKUP(A99,Database!$A:$AS,MATCH($E$1,Database!$A$1:$AS$1,0),FALSE)</f>
        <v>116.421097018</v>
      </c>
      <c r="F99" s="85">
        <f>VLOOKUP(A99,Database!$A:$AS,MATCH($F$1,Database!$A$1:$AS$1,0),FALSE)</f>
        <v>88.7</v>
      </c>
      <c r="G99" s="85">
        <f>VLOOKUP(A99,Database!$A:$AS,MATCH($G$1,Database!$A$1:$AS$1,0),FALSE)</f>
        <v>93.887793510999998</v>
      </c>
      <c r="H99" s="85">
        <f>(((Table134567891011121314151617343[[#This Row],[ITA]]-VLOOKUP($U$1,A:B,2,))/VLOOKUP($U$1,A:B,2,))*100)+100</f>
        <v>101.56250000011566</v>
      </c>
      <c r="I99" s="85">
        <f>(((Table134567891011121314151617343[[#This Row],[FRA]]-VLOOKUP($U$1,A:C,3,))/VLOOKUP($U$1,A:C,3,))*100)+100</f>
        <v>99.297492438286667</v>
      </c>
      <c r="J99" s="85">
        <f>(((Table134567891011121314151617343[[#This Row],[DEU]]-VLOOKUP($U$1,A:D,4,))/VLOOKUP($U$1,A:D,4,))*100)+100</f>
        <v>99.335106382724064</v>
      </c>
      <c r="K99" s="85">
        <f>(((Table134567891011121314151617343[[#This Row],[ESP]]-VLOOKUP($U$1,A:E,5,))/VLOOKUP($U$1,A:E,5,))*100)+100</f>
        <v>97.857443053016567</v>
      </c>
      <c r="L99" s="85">
        <f>(((Table134567891011121314151617343[[#This Row],[EA19]]-VLOOKUP($U$1,A:F,6,))/VLOOKUP($U$1,A:F,6,))*100)+100</f>
        <v>99.217002237136455</v>
      </c>
      <c r="M99" s="85">
        <f>(((Table134567891011121314151617343[[#This Row],[GBR]]-VLOOKUP($U$1,A:G,7,))/VLOOKUP($U$1,A:G,7,))*100)+100</f>
        <v>101.86697782898374</v>
      </c>
      <c r="N99" s="85">
        <f>VLOOKUP(A99,Database!$A:$AS,MATCH($N$1,Database!$A$1:$AS$1,0),FALSE)</f>
        <v>83.895024294999999</v>
      </c>
      <c r="O99" s="85">
        <f>(((Table134567891011121314151617343[[#This Row],[USA]]-VLOOKUP($U$1,A:N,14,))/VLOOKUP($U$1,A:N,14,))*100)+100</f>
        <v>96.582671216677014</v>
      </c>
      <c r="P99" s="85">
        <f>VLOOKUP(A99,Database!$A:$AS,MATCH($P$1,Database!$A$1:$AS$1,0),FALSE)</f>
        <v>103.430449498</v>
      </c>
      <c r="Q99" s="85">
        <f>(((Table134567891011121314151617343[[#This Row],[JPN]]-VLOOKUP($U$1,A:Q,16,))/VLOOKUP($U$1,A:Q,16,))*100)+100</f>
        <v>103.84204909299417</v>
      </c>
    </row>
    <row r="100" spans="1:17" s="87" customFormat="1" x14ac:dyDescent="0.2">
      <c r="A100" s="22">
        <v>35855</v>
      </c>
      <c r="B100" s="85">
        <f>VLOOKUP(A100,Database!$A:$AS,MATCH($B$1,Database!$A$1:$AS$1,0),FALSE)</f>
        <v>122.889759187</v>
      </c>
      <c r="C100" s="85">
        <f>VLOOKUP(A100,Database!$A:$AS,MATCH($C$1,Database!$A$1:$AS$1,0),FALSE)</f>
        <v>100.57</v>
      </c>
      <c r="D100" s="85">
        <f>VLOOKUP(A100,Database!$A:$AS,MATCH($D$1,Database!$A$1:$AS$1,0),FALSE)</f>
        <v>75.693692192</v>
      </c>
      <c r="E100" s="85">
        <f>VLOOKUP(A100,Database!$A:$AS,MATCH($E$1,Database!$A$1:$AS$1,0),FALSE)</f>
        <v>114.311095259</v>
      </c>
      <c r="F100" s="85">
        <f>VLOOKUP(A100,Database!$A:$AS,MATCH($F$1,Database!$A$1:$AS$1,0),FALSE)</f>
        <v>88.7</v>
      </c>
      <c r="G100" s="85">
        <f>VLOOKUP(A100,Database!$A:$AS,MATCH($G$1,Database!$A$1:$AS$1,0),FALSE)</f>
        <v>94.425524288000005</v>
      </c>
      <c r="H100" s="85">
        <f>(((Table134567891011121314151617343[[#This Row],[ITA]]-VLOOKUP($U$1,A:B,2,))/VLOOKUP($U$1,A:B,2,))*100)+100</f>
        <v>101.0690789476207</v>
      </c>
      <c r="I100" s="85">
        <f>(((Table134567891011121314151617343[[#This Row],[FRA]]-VLOOKUP($U$1,A:C,3,))/VLOOKUP($U$1,A:C,3,))*100)+100</f>
        <v>98.126646502097771</v>
      </c>
      <c r="J100" s="85">
        <f>(((Table134567891011121314151617343[[#This Row],[DEU]]-VLOOKUP($U$1,A:D,4,))/VLOOKUP($U$1,A:D,4,))*100)+100</f>
        <v>100.66489361594604</v>
      </c>
      <c r="K100" s="85">
        <f>(((Table134567891011121314151617343[[#This Row],[ESP]]-VLOOKUP($U$1,A:E,5,))/VLOOKUP($U$1,A:E,5,))*100)+100</f>
        <v>96.083886693715272</v>
      </c>
      <c r="L100" s="85">
        <f>(((Table134567891011121314151617343[[#This Row],[EA19]]-VLOOKUP($U$1,A:F,6,))/VLOOKUP($U$1,A:F,6,))*100)+100</f>
        <v>99.217002237136455</v>
      </c>
      <c r="M100" s="85">
        <f>(((Table134567891011121314151617343[[#This Row],[GBR]]-VLOOKUP($U$1,A:G,7,))/VLOOKUP($U$1,A:G,7,))*100)+100</f>
        <v>102.45040840169396</v>
      </c>
      <c r="N100" s="85">
        <f>VLOOKUP(A100,Database!$A:$AS,MATCH($N$1,Database!$A$1:$AS$1,0),FALSE)</f>
        <v>83.922281959000003</v>
      </c>
      <c r="O100" s="85">
        <f>(((Table134567891011121314151617343[[#This Row],[USA]]-VLOOKUP($U$1,A:N,14,))/VLOOKUP($U$1,A:N,14,))*100)+100</f>
        <v>96.614051122963119</v>
      </c>
      <c r="P100" s="85">
        <f>VLOOKUP(A100,Database!$A:$AS,MATCH($P$1,Database!$A$1:$AS$1,0),FALSE)</f>
        <v>101.19813763800001</v>
      </c>
      <c r="Q100" s="85">
        <f>(((Table134567891011121314151617343[[#This Row],[JPN]]-VLOOKUP($U$1,A:Q,16,))/VLOOKUP($U$1,A:Q,16,))*100)+100</f>
        <v>101.60085378849659</v>
      </c>
    </row>
    <row r="101" spans="1:17" s="87" customFormat="1" x14ac:dyDescent="0.2">
      <c r="A101" s="22">
        <v>35886</v>
      </c>
      <c r="B101" s="85">
        <f>VLOOKUP(A101,Database!$A:$AS,MATCH($B$1,Database!$A$1:$AS$1,0),FALSE)</f>
        <v>123.88967586</v>
      </c>
      <c r="C101" s="85">
        <f>VLOOKUP(A101,Database!$A:$AS,MATCH($C$1,Database!$A$1:$AS$1,0),FALSE)</f>
        <v>101.87</v>
      </c>
      <c r="D101" s="85">
        <f>VLOOKUP(A101,Database!$A:$AS,MATCH($D$1,Database!$A$1:$AS$1,0),FALSE)</f>
        <v>74.993750520999996</v>
      </c>
      <c r="E101" s="85">
        <f>VLOOKUP(A101,Database!$A:$AS,MATCH($E$1,Database!$A$1:$AS$1,0),FALSE)</f>
        <v>115.154095962</v>
      </c>
      <c r="F101" s="85">
        <f>VLOOKUP(A101,Database!$A:$AS,MATCH($F$1,Database!$A$1:$AS$1,0),FALSE)</f>
        <v>89</v>
      </c>
      <c r="G101" s="85">
        <f>VLOOKUP(A101,Database!$A:$AS,MATCH($G$1,Database!$A$1:$AS$1,0),FALSE)</f>
        <v>94.102885822000005</v>
      </c>
      <c r="H101" s="85">
        <f>(((Table134567891011121314151617343[[#This Row],[ITA]]-VLOOKUP($U$1,A:B,2,))/VLOOKUP($U$1,A:B,2,))*100)+100</f>
        <v>101.89144736817148</v>
      </c>
      <c r="I101" s="85">
        <f>(((Table134567891011121314151617343[[#This Row],[FRA]]-VLOOKUP($U$1,A:C,3,))/VLOOKUP($U$1,A:C,3,))*100)+100</f>
        <v>99.395062932969083</v>
      </c>
      <c r="J101" s="85">
        <f>(((Table134567891011121314151617343[[#This Row],[DEU]]-VLOOKUP($U$1,A:D,4,))/VLOOKUP($U$1,A:D,4,))*100)+100</f>
        <v>99.734042552823652</v>
      </c>
      <c r="K101" s="85">
        <f>(((Table134567891011121314151617343[[#This Row],[ESP]]-VLOOKUP($U$1,A:E,5,))/VLOOKUP($U$1,A:E,5,))*100)+100</f>
        <v>96.7924686895946</v>
      </c>
      <c r="L101" s="85">
        <f>(((Table134567891011121314151617343[[#This Row],[EA19]]-VLOOKUP($U$1,A:F,6,))/VLOOKUP($U$1,A:F,6,))*100)+100</f>
        <v>99.552572706935123</v>
      </c>
      <c r="M101" s="85">
        <f>(((Table134567891011121314151617343[[#This Row],[GBR]]-VLOOKUP($U$1,A:G,7,))/VLOOKUP($U$1,A:G,7,))*100)+100</f>
        <v>102.10035005828483</v>
      </c>
      <c r="N101" s="85">
        <f>VLOOKUP(A101,Database!$A:$AS,MATCH($N$1,Database!$A$1:$AS$1,0),FALSE)</f>
        <v>84.233812272999998</v>
      </c>
      <c r="O101" s="85">
        <f>(((Table134567891011121314151617343[[#This Row],[USA]]-VLOOKUP($U$1,A:N,14,))/VLOOKUP($U$1,A:N,14,))*100)+100</f>
        <v>96.972694917919171</v>
      </c>
      <c r="P101" s="85">
        <f>VLOOKUP(A101,Database!$A:$AS,MATCH($P$1,Database!$A$1:$AS$1,0),FALSE)</f>
        <v>100.985536509</v>
      </c>
      <c r="Q101" s="85">
        <f>(((Table134567891011121314151617343[[#This Row],[JPN]]-VLOOKUP($U$1,A:Q,16,))/VLOOKUP($U$1,A:Q,16,))*100)+100</f>
        <v>101.38740661716557</v>
      </c>
    </row>
    <row r="102" spans="1:17" s="87" customFormat="1" x14ac:dyDescent="0.2">
      <c r="A102" s="22">
        <v>35916</v>
      </c>
      <c r="B102" s="85">
        <f>VLOOKUP(A102,Database!$A:$AS,MATCH($B$1,Database!$A$1:$AS$1,0),FALSE)</f>
        <v>123.689692526</v>
      </c>
      <c r="C102" s="85">
        <f>VLOOKUP(A102,Database!$A:$AS,MATCH($C$1,Database!$A$1:$AS$1,0),FALSE)</f>
        <v>103.15</v>
      </c>
      <c r="D102" s="85">
        <f>VLOOKUP(A102,Database!$A:$AS,MATCH($D$1,Database!$A$1:$AS$1,0),FALSE)</f>
        <v>75.393717190000004</v>
      </c>
      <c r="E102" s="85">
        <f>VLOOKUP(A102,Database!$A:$AS,MATCH($E$1,Database!$A$1:$AS$1,0),FALSE)</f>
        <v>116.034096695</v>
      </c>
      <c r="F102" s="85">
        <f>VLOOKUP(A102,Database!$A:$AS,MATCH($F$1,Database!$A$1:$AS$1,0),FALSE)</f>
        <v>89.3</v>
      </c>
      <c r="G102" s="85">
        <f>VLOOKUP(A102,Database!$A:$AS,MATCH($G$1,Database!$A$1:$AS$1,0),FALSE)</f>
        <v>92.704785803999997</v>
      </c>
      <c r="H102" s="85">
        <f>(((Table134567891011121314151617343[[#This Row],[ITA]]-VLOOKUP($U$1,A:B,2,))/VLOOKUP($U$1,A:B,2,))*100)+100</f>
        <v>101.72697368455479</v>
      </c>
      <c r="I102" s="85">
        <f>(((Table134567891011121314151617343[[#This Row],[FRA]]-VLOOKUP($U$1,A:C,3,))/VLOOKUP($U$1,A:C,3,))*100)+100</f>
        <v>100.6439652649039</v>
      </c>
      <c r="J102" s="85">
        <f>(((Table134567891011121314151617343[[#This Row],[DEU]]-VLOOKUP($U$1,A:D,4,))/VLOOKUP($U$1,A:D,4,))*100)+100</f>
        <v>100.26595744584647</v>
      </c>
      <c r="K102" s="85">
        <f>(((Table134567891011121314151617343[[#This Row],[ESP]]-VLOOKUP($U$1,A:E,5,))/VLOOKUP($U$1,A:E,5,))*100)+100</f>
        <v>97.532150962154248</v>
      </c>
      <c r="L102" s="85">
        <f>(((Table134567891011121314151617343[[#This Row],[EA19]]-VLOOKUP($U$1,A:F,6,))/VLOOKUP($U$1,A:F,6,))*100)+100</f>
        <v>99.888143176733777</v>
      </c>
      <c r="M102" s="85">
        <f>(((Table134567891011121314151617343[[#This Row],[GBR]]-VLOOKUP($U$1,A:G,7,))/VLOOKUP($U$1,A:G,7,))*100)+100</f>
        <v>100.58343057162523</v>
      </c>
      <c r="N102" s="85">
        <f>VLOOKUP(A102,Database!$A:$AS,MATCH($N$1,Database!$A$1:$AS$1,0),FALSE)</f>
        <v>84.759340023999997</v>
      </c>
      <c r="O102" s="85">
        <f>(((Table134567891011121314151617343[[#This Row],[USA]]-VLOOKUP($U$1,A:N,14,))/VLOOKUP($U$1,A:N,14,))*100)+100</f>
        <v>97.577699498543595</v>
      </c>
      <c r="P102" s="85">
        <f>VLOOKUP(A102,Database!$A:$AS,MATCH($P$1,Database!$A$1:$AS$1,0),FALSE)</f>
        <v>100.24143255600001</v>
      </c>
      <c r="Q102" s="85">
        <f>(((Table134567891011121314151617343[[#This Row],[JPN]]-VLOOKUP($U$1,A:Q,16,))/VLOOKUP($U$1,A:Q,16,))*100)+100</f>
        <v>100.64034151600103</v>
      </c>
    </row>
    <row r="103" spans="1:17" s="87" customFormat="1" x14ac:dyDescent="0.2">
      <c r="A103" s="22">
        <v>35947</v>
      </c>
      <c r="B103" s="85">
        <f>VLOOKUP(A103,Database!$A:$AS,MATCH($B$1,Database!$A$1:$AS$1,0),FALSE)</f>
        <v>123.489709191</v>
      </c>
      <c r="C103" s="85">
        <f>VLOOKUP(A103,Database!$A:$AS,MATCH($C$1,Database!$A$1:$AS$1,0),FALSE)</f>
        <v>102.48</v>
      </c>
      <c r="D103" s="85">
        <f>VLOOKUP(A103,Database!$A:$AS,MATCH($D$1,Database!$A$1:$AS$1,0),FALSE)</f>
        <v>74.793767185999997</v>
      </c>
      <c r="E103" s="85">
        <f>VLOOKUP(A103,Database!$A:$AS,MATCH($E$1,Database!$A$1:$AS$1,0),FALSE)</f>
        <v>115.53909628300001</v>
      </c>
      <c r="F103" s="85">
        <f>VLOOKUP(A103,Database!$A:$AS,MATCH($F$1,Database!$A$1:$AS$1,0),FALSE)</f>
        <v>88.9</v>
      </c>
      <c r="G103" s="85">
        <f>VLOOKUP(A103,Database!$A:$AS,MATCH($G$1,Database!$A$1:$AS$1,0),FALSE)</f>
        <v>91.951962717000001</v>
      </c>
      <c r="H103" s="85">
        <f>(((Table134567891011121314151617343[[#This Row],[ITA]]-VLOOKUP($U$1,A:B,2,))/VLOOKUP($U$1,A:B,2,))*100)+100</f>
        <v>101.56250000011566</v>
      </c>
      <c r="I103" s="85">
        <f>(((Table134567891011121314151617343[[#This Row],[FRA]]-VLOOKUP($U$1,A:C,3,))/VLOOKUP($U$1,A:C,3,))*100)+100</f>
        <v>99.990242950531766</v>
      </c>
      <c r="J103" s="85">
        <f>(((Table134567891011121314151617343[[#This Row],[DEU]]-VLOOKUP($U$1,A:D,4,))/VLOOKUP($U$1,A:D,4,))*100)+100</f>
        <v>99.46808510564729</v>
      </c>
      <c r="K103" s="85">
        <f>(((Table134567891011121314151617343[[#This Row],[ESP]]-VLOOKUP($U$1,A:E,5,))/VLOOKUP($U$1,A:E,5,))*100)+100</f>
        <v>97.116079684102118</v>
      </c>
      <c r="L103" s="85">
        <f>(((Table134567891011121314151617343[[#This Row],[EA19]]-VLOOKUP($U$1,A:F,6,))/VLOOKUP($U$1,A:F,6,))*100)+100</f>
        <v>99.440715883668901</v>
      </c>
      <c r="M103" s="85">
        <f>(((Table134567891011121314151617343[[#This Row],[GBR]]-VLOOKUP($U$1,A:G,7,))/VLOOKUP($U$1,A:G,7,))*100)+100</f>
        <v>99.766627770698932</v>
      </c>
      <c r="N103" s="85">
        <f>VLOOKUP(A103,Database!$A:$AS,MATCH($N$1,Database!$A$1:$AS$1,0),FALSE)</f>
        <v>84.248977444999994</v>
      </c>
      <c r="O103" s="85">
        <f>(((Table134567891011121314151617343[[#This Row],[USA]]-VLOOKUP($U$1,A:N,14,))/VLOOKUP($U$1,A:N,14,))*100)+100</f>
        <v>96.990153555466847</v>
      </c>
      <c r="P103" s="85">
        <f>VLOOKUP(A103,Database!$A:$AS,MATCH($P$1,Database!$A$1:$AS$1,0),FALSE)</f>
        <v>100.24143255600001</v>
      </c>
      <c r="Q103" s="85">
        <f>(((Table134567891011121314151617343[[#This Row],[JPN]]-VLOOKUP($U$1,A:Q,16,))/VLOOKUP($U$1,A:Q,16,))*100)+100</f>
        <v>100.64034151600103</v>
      </c>
    </row>
    <row r="104" spans="1:17" s="87" customFormat="1" x14ac:dyDescent="0.2">
      <c r="A104" s="22">
        <v>35977</v>
      </c>
      <c r="B104" s="85">
        <f>VLOOKUP(A104,Database!$A:$AS,MATCH($B$1,Database!$A$1:$AS$1,0),FALSE)</f>
        <v>123.289725856</v>
      </c>
      <c r="C104" s="85">
        <f>VLOOKUP(A104,Database!$A:$AS,MATCH($C$1,Database!$A$1:$AS$1,0),FALSE)</f>
        <v>103.1</v>
      </c>
      <c r="D104" s="85">
        <f>VLOOKUP(A104,Database!$A:$AS,MATCH($D$1,Database!$A$1:$AS$1,0),FALSE)</f>
        <v>76.393633863999995</v>
      </c>
      <c r="E104" s="85">
        <f>VLOOKUP(A104,Database!$A:$AS,MATCH($E$1,Database!$A$1:$AS$1,0),FALSE)</f>
        <v>115.458096215</v>
      </c>
      <c r="F104" s="85">
        <f>VLOOKUP(A104,Database!$A:$AS,MATCH($F$1,Database!$A$1:$AS$1,0),FALSE)</f>
        <v>89.9</v>
      </c>
      <c r="G104" s="85">
        <f>VLOOKUP(A104,Database!$A:$AS,MATCH($G$1,Database!$A$1:$AS$1,0),FALSE)</f>
        <v>91.414231940999997</v>
      </c>
      <c r="H104" s="85">
        <f>(((Table134567891011121314151617343[[#This Row],[ITA]]-VLOOKUP($U$1,A:B,2,))/VLOOKUP($U$1,A:B,2,))*100)+100</f>
        <v>101.39802631567653</v>
      </c>
      <c r="I104" s="85">
        <f>(((Table134567891011121314151617343[[#This Row],[FRA]]-VLOOKUP($U$1,A:C,3,))/VLOOKUP($U$1,A:C,3,))*100)+100</f>
        <v>100.59518001756268</v>
      </c>
      <c r="J104" s="85">
        <f>(((Table134567891011121314151617343[[#This Row],[DEU]]-VLOOKUP($U$1,A:D,4,))/VLOOKUP($U$1,A:D,4,))*100)+100</f>
        <v>101.59574468039833</v>
      </c>
      <c r="K104" s="85">
        <f>(((Table134567891011121314151617343[[#This Row],[ESP]]-VLOOKUP($U$1,A:E,5,))/VLOOKUP($U$1,A:E,5,))*100)+100</f>
        <v>97.047995292659081</v>
      </c>
      <c r="L104" s="85">
        <f>(((Table134567891011121314151617343[[#This Row],[EA19]]-VLOOKUP($U$1,A:F,6,))/VLOOKUP($U$1,A:F,6,))*100)+100</f>
        <v>100.5592841163311</v>
      </c>
      <c r="M104" s="85">
        <f>(((Table134567891011121314151617343[[#This Row],[GBR]]-VLOOKUP($U$1,A:G,7,))/VLOOKUP($U$1,A:G,7,))*100)+100</f>
        <v>99.183197199073689</v>
      </c>
      <c r="N104" s="85">
        <f>VLOOKUP(A104,Database!$A:$AS,MATCH($N$1,Database!$A$1:$AS$1,0),FALSE)</f>
        <v>83.920299583000002</v>
      </c>
      <c r="O104" s="85">
        <f>(((Table134567891011121314151617343[[#This Row],[USA]]-VLOOKUP($U$1,A:N,14,))/VLOOKUP($U$1,A:N,14,))*100)+100</f>
        <v>96.611768947458131</v>
      </c>
      <c r="P104" s="85">
        <f>VLOOKUP(A104,Database!$A:$AS,MATCH($P$1,Database!$A$1:$AS$1,0),FALSE)</f>
        <v>100.028831426</v>
      </c>
      <c r="Q104" s="85">
        <f>(((Table134567891011121314151617343[[#This Row],[JPN]]-VLOOKUP($U$1,A:Q,16,))/VLOOKUP($U$1,A:Q,16,))*100)+100</f>
        <v>100.42689434366602</v>
      </c>
    </row>
    <row r="105" spans="1:17" s="87" customFormat="1" x14ac:dyDescent="0.2">
      <c r="A105" s="22">
        <v>36008</v>
      </c>
      <c r="B105" s="85">
        <f>VLOOKUP(A105,Database!$A:$AS,MATCH($B$1,Database!$A$1:$AS$1,0),FALSE)</f>
        <v>121.58986751099999</v>
      </c>
      <c r="C105" s="85">
        <f>VLOOKUP(A105,Database!$A:$AS,MATCH($C$1,Database!$A$1:$AS$1,0),FALSE)</f>
        <v>100.48</v>
      </c>
      <c r="D105" s="85">
        <f>VLOOKUP(A105,Database!$A:$AS,MATCH($D$1,Database!$A$1:$AS$1,0),FALSE)</f>
        <v>74.693775518999999</v>
      </c>
      <c r="E105" s="85">
        <f>VLOOKUP(A105,Database!$A:$AS,MATCH($E$1,Database!$A$1:$AS$1,0),FALSE)</f>
        <v>115.39209615999999</v>
      </c>
      <c r="F105" s="85">
        <f>VLOOKUP(A105,Database!$A:$AS,MATCH($F$1,Database!$A$1:$AS$1,0),FALSE)</f>
        <v>88.6</v>
      </c>
      <c r="G105" s="85">
        <f>VLOOKUP(A105,Database!$A:$AS,MATCH($G$1,Database!$A$1:$AS$1,0),FALSE)</f>
        <v>91.629324252000004</v>
      </c>
      <c r="H105" s="85">
        <f>(((Table134567891011121314151617343[[#This Row],[ITA]]-VLOOKUP($U$1,A:B,2,))/VLOOKUP($U$1,A:B,2,))*100)+100</f>
        <v>100</v>
      </c>
      <c r="I105" s="85">
        <f>(((Table134567891011121314151617343[[#This Row],[FRA]]-VLOOKUP($U$1,A:C,3,))/VLOOKUP($U$1,A:C,3,))*100)+100</f>
        <v>98.038833056883604</v>
      </c>
      <c r="J105" s="85">
        <f>(((Table134567891011121314151617343[[#This Row],[DEU]]-VLOOKUP($U$1,A:D,4,))/VLOOKUP($U$1,A:D,4,))*100)+100</f>
        <v>99.335106382724064</v>
      </c>
      <c r="K105" s="85">
        <f>(((Table134567891011121314151617343[[#This Row],[ESP]]-VLOOKUP($U$1,A:E,5,))/VLOOKUP($U$1,A:E,5,))*100)+100</f>
        <v>96.992519122196086</v>
      </c>
      <c r="L105" s="85">
        <f>(((Table134567891011121314151617343[[#This Row],[EA19]]-VLOOKUP($U$1,A:F,6,))/VLOOKUP($U$1,A:F,6,))*100)+100</f>
        <v>99.105145413870233</v>
      </c>
      <c r="M105" s="85">
        <f>(((Table134567891011121314151617343[[#This Row],[GBR]]-VLOOKUP($U$1,A:G,7,))/VLOOKUP($U$1,A:G,7,))*100)+100</f>
        <v>99.416569428374785</v>
      </c>
      <c r="N105" s="85">
        <f>VLOOKUP(A105,Database!$A:$AS,MATCH($N$1,Database!$A$1:$AS$1,0),FALSE)</f>
        <v>85.656761423999995</v>
      </c>
      <c r="O105" s="85">
        <f>(((Table134567891011121314151617343[[#This Row],[USA]]-VLOOKUP($U$1,A:N,14,))/VLOOKUP($U$1,A:N,14,))*100)+100</f>
        <v>98.610840101903264</v>
      </c>
      <c r="P105" s="85">
        <f>VLOOKUP(A105,Database!$A:$AS,MATCH($P$1,Database!$A$1:$AS$1,0),FALSE)</f>
        <v>98.221721825000003</v>
      </c>
      <c r="Q105" s="85">
        <f>(((Table134567891011121314151617343[[#This Row],[JPN]]-VLOOKUP($U$1,A:Q,16,))/VLOOKUP($U$1,A:Q,16,))*100)+100</f>
        <v>98.612593382834447</v>
      </c>
    </row>
    <row r="106" spans="1:17" s="87" customFormat="1" x14ac:dyDescent="0.2">
      <c r="A106" s="22">
        <v>36039</v>
      </c>
      <c r="B106" s="85">
        <f>VLOOKUP(A106,Database!$A:$AS,MATCH($B$1,Database!$A$1:$AS$1,0),FALSE)</f>
        <v>123.38971752400001</v>
      </c>
      <c r="C106" s="85">
        <f>VLOOKUP(A106,Database!$A:$AS,MATCH($C$1,Database!$A$1:$AS$1,0),FALSE)</f>
        <v>102.33</v>
      </c>
      <c r="D106" s="85">
        <f>VLOOKUP(A106,Database!$A:$AS,MATCH($D$1,Database!$A$1:$AS$1,0),FALSE)</f>
        <v>74.193817182000004</v>
      </c>
      <c r="E106" s="85">
        <f>VLOOKUP(A106,Database!$A:$AS,MATCH($E$1,Database!$A$1:$AS$1,0),FALSE)</f>
        <v>115.675096396</v>
      </c>
      <c r="F106" s="85">
        <f>VLOOKUP(A106,Database!$A:$AS,MATCH($F$1,Database!$A$1:$AS$1,0),FALSE)</f>
        <v>88.9</v>
      </c>
      <c r="G106" s="85">
        <f>VLOOKUP(A106,Database!$A:$AS,MATCH($G$1,Database!$A$1:$AS$1,0),FALSE)</f>
        <v>90.768955009999999</v>
      </c>
      <c r="H106" s="85">
        <f>(((Table134567891011121314151617343[[#This Row],[ITA]]-VLOOKUP($U$1,A:B,2,))/VLOOKUP($U$1,A:B,2,))*100)+100</f>
        <v>101.48026315830732</v>
      </c>
      <c r="I106" s="85">
        <f>(((Table134567891011121314151617343[[#This Row],[FRA]]-VLOOKUP($U$1,A:C,3,))/VLOOKUP($U$1,A:C,3,))*100)+100</f>
        <v>99.84388720850815</v>
      </c>
      <c r="J106" s="85">
        <f>(((Table134567891011121314151617343[[#This Row],[DEU]]-VLOOKUP($U$1,A:D,4,))/VLOOKUP($U$1,A:D,4,))*100)+100</f>
        <v>98.670212765448142</v>
      </c>
      <c r="K106" s="85">
        <f>(((Table134567891011121314151617343[[#This Row],[ESP]]-VLOOKUP($U$1,A:E,5,))/VLOOKUP($U$1,A:E,5,))*100)+100</f>
        <v>97.230394216897182</v>
      </c>
      <c r="L106" s="85">
        <f>(((Table134567891011121314151617343[[#This Row],[EA19]]-VLOOKUP($U$1,A:F,6,))/VLOOKUP($U$1,A:F,6,))*100)+100</f>
        <v>99.440715883668901</v>
      </c>
      <c r="M106" s="85">
        <f>(((Table134567891011121314151617343[[#This Row],[GBR]]-VLOOKUP($U$1,A:G,7,))/VLOOKUP($U$1,A:G,7,))*100)+100</f>
        <v>98.483080513340411</v>
      </c>
      <c r="N106" s="85">
        <f>VLOOKUP(A106,Database!$A:$AS,MATCH($N$1,Database!$A$1:$AS$1,0),FALSE)</f>
        <v>85.567951000999997</v>
      </c>
      <c r="O106" s="85">
        <f>(((Table134567891011121314151617343[[#This Row],[USA]]-VLOOKUP($U$1,A:N,14,))/VLOOKUP($U$1,A:N,14,))*100)+100</f>
        <v>98.50859866437699</v>
      </c>
      <c r="P106" s="85">
        <f>VLOOKUP(A106,Database!$A:$AS,MATCH($P$1,Database!$A$1:$AS$1,0),FALSE)</f>
        <v>99.497328601999996</v>
      </c>
      <c r="Q106" s="85">
        <f>(((Table134567891011121314151617343[[#This Row],[JPN]]-VLOOKUP($U$1,A:Q,16,))/VLOOKUP($U$1,A:Q,16,))*100)+100</f>
        <v>99.893276413832496</v>
      </c>
    </row>
    <row r="107" spans="1:17" s="87" customFormat="1" x14ac:dyDescent="0.2">
      <c r="A107" s="22">
        <v>36069</v>
      </c>
      <c r="B107" s="85">
        <f>VLOOKUP(A107,Database!$A:$AS,MATCH($B$1,Database!$A$1:$AS$1,0),FALSE)</f>
        <v>122.589784185</v>
      </c>
      <c r="C107" s="85">
        <f>VLOOKUP(A107,Database!$A:$AS,MATCH($C$1,Database!$A$1:$AS$1,0),FALSE)</f>
        <v>102.39</v>
      </c>
      <c r="D107" s="85">
        <f>VLOOKUP(A107,Database!$A:$AS,MATCH($D$1,Database!$A$1:$AS$1,0),FALSE)</f>
        <v>74.693775518999999</v>
      </c>
      <c r="E107" s="85">
        <f>VLOOKUP(A107,Database!$A:$AS,MATCH($E$1,Database!$A$1:$AS$1,0),FALSE)</f>
        <v>117.363097803</v>
      </c>
      <c r="F107" s="85">
        <f>VLOOKUP(A107,Database!$A:$AS,MATCH($F$1,Database!$A$1:$AS$1,0),FALSE)</f>
        <v>89.1</v>
      </c>
      <c r="G107" s="85">
        <f>VLOOKUP(A107,Database!$A:$AS,MATCH($G$1,Database!$A$1:$AS$1,0),FALSE)</f>
        <v>90.876501164999993</v>
      </c>
      <c r="H107" s="85">
        <f>(((Table134567891011121314151617343[[#This Row],[ITA]]-VLOOKUP($U$1,A:B,2,))/VLOOKUP($U$1,A:B,2,))*100)+100</f>
        <v>100.82236842137323</v>
      </c>
      <c r="I107" s="85">
        <f>(((Table134567891011121314151617343[[#This Row],[FRA]]-VLOOKUP($U$1,A:C,3,))/VLOOKUP($U$1,A:C,3,))*100)+100</f>
        <v>99.902429505317599</v>
      </c>
      <c r="J107" s="85">
        <f>(((Table134567891011121314151617343[[#This Row],[DEU]]-VLOOKUP($U$1,A:D,4,))/VLOOKUP($U$1,A:D,4,))*100)+100</f>
        <v>99.335106382724064</v>
      </c>
      <c r="K107" s="85">
        <f>(((Table134567891011121314151617343[[#This Row],[ESP]]-VLOOKUP($U$1,A:E,5,))/VLOOKUP($U$1,A:E,5,))*100)+100</f>
        <v>98.649239304170109</v>
      </c>
      <c r="L107" s="85">
        <f>(((Table134567891011121314151617343[[#This Row],[EA19]]-VLOOKUP($U$1,A:F,6,))/VLOOKUP($U$1,A:F,6,))*100)+100</f>
        <v>99.664429530201332</v>
      </c>
      <c r="M107" s="85">
        <f>(((Table134567891011121314151617343[[#This Row],[GBR]]-VLOOKUP($U$1,A:G,7,))/VLOOKUP($U$1,A:G,7,))*100)+100</f>
        <v>98.59976662744846</v>
      </c>
      <c r="N107" s="85">
        <f>VLOOKUP(A107,Database!$A:$AS,MATCH($N$1,Database!$A$1:$AS$1,0),FALSE)</f>
        <v>86.210240670999994</v>
      </c>
      <c r="O107" s="85">
        <f>(((Table134567891011121314151617343[[#This Row],[USA]]-VLOOKUP($U$1,A:N,14,))/VLOOKUP($U$1,A:N,14,))*100)+100</f>
        <v>99.248023350701018</v>
      </c>
      <c r="P107" s="85">
        <f>VLOOKUP(A107,Database!$A:$AS,MATCH($P$1,Database!$A$1:$AS$1,0),FALSE)</f>
        <v>98.965825778999999</v>
      </c>
      <c r="Q107" s="85">
        <f>(((Table134567891011121314151617343[[#This Row],[JPN]]-VLOOKUP($U$1,A:Q,16,))/VLOOKUP($U$1,A:Q,16,))*100)+100</f>
        <v>99.359658485002967</v>
      </c>
    </row>
    <row r="108" spans="1:17" s="87" customFormat="1" x14ac:dyDescent="0.2">
      <c r="A108" s="22">
        <v>36100</v>
      </c>
      <c r="B108" s="85">
        <f>VLOOKUP(A108,Database!$A:$AS,MATCH($B$1,Database!$A$1:$AS$1,0),FALSE)</f>
        <v>122.189817515</v>
      </c>
      <c r="C108" s="85">
        <f>VLOOKUP(A108,Database!$A:$AS,MATCH($C$1,Database!$A$1:$AS$1,0),FALSE)</f>
        <v>102.99</v>
      </c>
      <c r="D108" s="85">
        <f>VLOOKUP(A108,Database!$A:$AS,MATCH($D$1,Database!$A$1:$AS$1,0),FALSE)</f>
        <v>73.693858844999994</v>
      </c>
      <c r="E108" s="85">
        <f>VLOOKUP(A108,Database!$A:$AS,MATCH($E$1,Database!$A$1:$AS$1,0),FALSE)</f>
        <v>116.13109677600001</v>
      </c>
      <c r="F108" s="85">
        <f>VLOOKUP(A108,Database!$A:$AS,MATCH($F$1,Database!$A$1:$AS$1,0),FALSE)</f>
        <v>88.6</v>
      </c>
      <c r="G108" s="85">
        <f>VLOOKUP(A108,Database!$A:$AS,MATCH($G$1,Database!$A$1:$AS$1,0),FALSE)</f>
        <v>90.984047320000002</v>
      </c>
      <c r="H108" s="85">
        <f>(((Table134567891011121314151617343[[#This Row],[ITA]]-VLOOKUP($U$1,A:B,2,))/VLOOKUP($U$1,A:B,2,))*100)+100</f>
        <v>100.49342105249497</v>
      </c>
      <c r="I108" s="85">
        <f>(((Table134567891011121314151617343[[#This Row],[FRA]]-VLOOKUP($U$1,A:C,3,))/VLOOKUP($U$1,A:C,3,))*100)+100</f>
        <v>100.48785247341203</v>
      </c>
      <c r="J108" s="85">
        <f>(((Table134567891011121314151617343[[#This Row],[DEU]]-VLOOKUP($U$1,A:D,4,))/VLOOKUP($U$1,A:D,4,))*100)+100</f>
        <v>98.005319148172191</v>
      </c>
      <c r="K108" s="85">
        <f>(((Table134567891011121314151617343[[#This Row],[ESP]]-VLOOKUP($U$1,A:E,5,))/VLOOKUP($U$1,A:E,5,))*100)+100</f>
        <v>97.613684121914176</v>
      </c>
      <c r="L108" s="85">
        <f>(((Table134567891011121314151617343[[#This Row],[EA19]]-VLOOKUP($U$1,A:F,6,))/VLOOKUP($U$1,A:F,6,))*100)+100</f>
        <v>99.105145413870233</v>
      </c>
      <c r="M108" s="85">
        <f>(((Table134567891011121314151617343[[#This Row],[GBR]]-VLOOKUP($U$1,A:G,7,))/VLOOKUP($U$1,A:G,7,))*100)+100</f>
        <v>98.716452741556523</v>
      </c>
      <c r="N108" s="85">
        <f>VLOOKUP(A108,Database!$A:$AS,MATCH($N$1,Database!$A$1:$AS$1,0),FALSE)</f>
        <v>86.134712164000007</v>
      </c>
      <c r="O108" s="85">
        <f>(((Table134567891011121314151617343[[#This Row],[USA]]-VLOOKUP($U$1,A:N,14,))/VLOOKUP($U$1,A:N,14,))*100)+100</f>
        <v>99.161072485374191</v>
      </c>
      <c r="P108" s="85">
        <f>VLOOKUP(A108,Database!$A:$AS,MATCH($P$1,Database!$A$1:$AS$1,0),FALSE)</f>
        <v>98.434322954999999</v>
      </c>
      <c r="Q108" s="85">
        <f>(((Table134567891011121314151617343[[#This Row],[JPN]]-VLOOKUP($U$1,A:Q,16,))/VLOOKUP($U$1,A:Q,16,))*100)+100</f>
        <v>98.826040555169442</v>
      </c>
    </row>
    <row r="109" spans="1:17" s="87" customFormat="1" x14ac:dyDescent="0.2">
      <c r="A109" s="22">
        <v>36130</v>
      </c>
      <c r="B109" s="85">
        <f>VLOOKUP(A109,Database!$A:$AS,MATCH($B$1,Database!$A$1:$AS$1,0),FALSE)</f>
        <v>119.29005916200001</v>
      </c>
      <c r="C109" s="85">
        <f>VLOOKUP(A109,Database!$A:$AS,MATCH($C$1,Database!$A$1:$AS$1,0),FALSE)</f>
        <v>102.21</v>
      </c>
      <c r="D109" s="85">
        <f>VLOOKUP(A109,Database!$A:$AS,MATCH($D$1,Database!$A$1:$AS$1,0),FALSE)</f>
        <v>73.993833847000005</v>
      </c>
      <c r="E109" s="85">
        <f>VLOOKUP(A109,Database!$A:$AS,MATCH($E$1,Database!$A$1:$AS$1,0),FALSE)</f>
        <v>117.09809758199999</v>
      </c>
      <c r="F109" s="85">
        <f>VLOOKUP(A109,Database!$A:$AS,MATCH($F$1,Database!$A$1:$AS$1,0),FALSE)</f>
        <v>88.1</v>
      </c>
      <c r="G109" s="85">
        <f>VLOOKUP(A109,Database!$A:$AS,MATCH($G$1,Database!$A$1:$AS$1,0),FALSE)</f>
        <v>91.414231940999997</v>
      </c>
      <c r="H109" s="85">
        <f>(((Table134567891011121314151617343[[#This Row],[ITA]]-VLOOKUP($U$1,A:B,2,))/VLOOKUP($U$1,A:B,2,))*100)+100</f>
        <v>98.10855263182853</v>
      </c>
      <c r="I109" s="85">
        <f>(((Table134567891011121314151617343[[#This Row],[FRA]]-VLOOKUP($U$1,A:C,3,))/VLOOKUP($U$1,A:C,3,))*100)+100</f>
        <v>99.726802614889252</v>
      </c>
      <c r="J109" s="85">
        <f>(((Table134567891011121314151617343[[#This Row],[DEU]]-VLOOKUP($U$1,A:D,4,))/VLOOKUP($U$1,A:D,4,))*100)+100</f>
        <v>98.40425531827178</v>
      </c>
      <c r="K109" s="85">
        <f>(((Table134567891011121314151617343[[#This Row],[ESP]]-VLOOKUP($U$1,A:E,5,))/VLOOKUP($U$1,A:E,5,))*100)+100</f>
        <v>98.426494074140749</v>
      </c>
      <c r="L109" s="85">
        <f>(((Table134567891011121314151617343[[#This Row],[EA19]]-VLOOKUP($U$1,A:F,6,))/VLOOKUP($U$1,A:F,6,))*100)+100</f>
        <v>98.545861297539133</v>
      </c>
      <c r="M109" s="85">
        <f>(((Table134567891011121314151617343[[#This Row],[GBR]]-VLOOKUP($U$1,A:G,7,))/VLOOKUP($U$1,A:G,7,))*100)+100</f>
        <v>99.183197199073689</v>
      </c>
      <c r="N109" s="85">
        <f>VLOOKUP(A109,Database!$A:$AS,MATCH($N$1,Database!$A$1:$AS$1,0),FALSE)</f>
        <v>86.482519949999997</v>
      </c>
      <c r="O109" s="85">
        <f>(((Table134567891011121314151617343[[#This Row],[USA]]-VLOOKUP($U$1,A:N,14,))/VLOOKUP($U$1,A:N,14,))*100)+100</f>
        <v>99.561480081940545</v>
      </c>
      <c r="P109" s="85">
        <f>VLOOKUP(A109,Database!$A:$AS,MATCH($P$1,Database!$A$1:$AS$1,0),FALSE)</f>
        <v>98.328022390000001</v>
      </c>
      <c r="Q109" s="85">
        <f>(((Table134567891011121314151617343[[#This Row],[JPN]]-VLOOKUP($U$1,A:Q,16,))/VLOOKUP($U$1,A:Q,16,))*100)+100</f>
        <v>98.719316969001952</v>
      </c>
    </row>
    <row r="110" spans="1:17" s="87" customFormat="1" x14ac:dyDescent="0.2">
      <c r="A110" s="22">
        <v>36161</v>
      </c>
      <c r="B110" s="85">
        <f>VLOOKUP(A110,Database!$A:$AS,MATCH($B$1,Database!$A$1:$AS$1,0),FALSE)</f>
        <v>121.58986751099999</v>
      </c>
      <c r="C110" s="85">
        <f>VLOOKUP(A110,Database!$A:$AS,MATCH($C$1,Database!$A$1:$AS$1,0),FALSE)</f>
        <v>102.49</v>
      </c>
      <c r="D110" s="85">
        <f>VLOOKUP(A110,Database!$A:$AS,MATCH($D$1,Database!$A$1:$AS$1,0),FALSE)</f>
        <v>75.193733855999994</v>
      </c>
      <c r="E110" s="85">
        <f>VLOOKUP(A110,Database!$A:$AS,MATCH($E$1,Database!$A$1:$AS$1,0),FALSE)</f>
        <v>118.970099142</v>
      </c>
      <c r="F110" s="85">
        <f>VLOOKUP(A110,Database!$A:$AS,MATCH($F$1,Database!$A$1:$AS$1,0),FALSE)</f>
        <v>89.4</v>
      </c>
      <c r="G110" s="85">
        <f>VLOOKUP(A110,Database!$A:$AS,MATCH($G$1,Database!$A$1:$AS$1,0),FALSE)</f>
        <v>92.167055027999993</v>
      </c>
      <c r="H110" s="85">
        <f>(((Table134567891011121314151617343[[#This Row],[ITA]]-VLOOKUP($U$1,A:B,2,))/VLOOKUP($U$1,A:B,2,))*100)+100</f>
        <v>100</v>
      </c>
      <c r="I110" s="85">
        <f>(((Table134567891011121314151617343[[#This Row],[FRA]]-VLOOKUP($U$1,A:C,3,))/VLOOKUP($U$1,A:C,3,))*100)+100</f>
        <v>100</v>
      </c>
      <c r="J110" s="85">
        <f>(((Table134567891011121314151617343[[#This Row],[DEU]]-VLOOKUP($U$1,A:D,4,))/VLOOKUP($U$1,A:D,4,))*100)+100</f>
        <v>100</v>
      </c>
      <c r="K110" s="85">
        <f>(((Table134567891011121314151617343[[#This Row],[ESP]]-VLOOKUP($U$1,A:E,5,))/VLOOKUP($U$1,A:E,5,))*100)+100</f>
        <v>100</v>
      </c>
      <c r="L110" s="85">
        <f>(((Table134567891011121314151617343[[#This Row],[EA19]]-VLOOKUP($U$1,A:F,6,))/VLOOKUP($U$1,A:F,6,))*100)+100</f>
        <v>100</v>
      </c>
      <c r="M110" s="85">
        <f>(((Table134567891011121314151617343[[#This Row],[GBR]]-VLOOKUP($U$1,A:G,7,))/VLOOKUP($U$1,A:G,7,))*100)+100</f>
        <v>100</v>
      </c>
      <c r="N110" s="85">
        <f>VLOOKUP(A110,Database!$A:$AS,MATCH($N$1,Database!$A$1:$AS$1,0),FALSE)</f>
        <v>86.863433407000002</v>
      </c>
      <c r="O110" s="85">
        <f>(((Table134567891011121314151617343[[#This Row],[USA]]-VLOOKUP($U$1,A:N,14,))/VLOOKUP($U$1,A:N,14,))*100)+100</f>
        <v>100</v>
      </c>
      <c r="P110" s="85">
        <f>VLOOKUP(A110,Database!$A:$AS,MATCH($P$1,Database!$A$1:$AS$1,0),FALSE)</f>
        <v>99.603629166999994</v>
      </c>
      <c r="Q110" s="85">
        <f>(((Table134567891011121314151617343[[#This Row],[JPN]]-VLOOKUP($U$1,A:Q,16,))/VLOOKUP($U$1,A:Q,16,))*100)+100</f>
        <v>100</v>
      </c>
    </row>
    <row r="111" spans="1:17" s="87" customFormat="1" x14ac:dyDescent="0.2">
      <c r="A111" s="22">
        <v>36192</v>
      </c>
      <c r="B111" s="85">
        <f>VLOOKUP(A111,Database!$A:$AS,MATCH($B$1,Database!$A$1:$AS$1,0),FALSE)</f>
        <v>120.989917507</v>
      </c>
      <c r="C111" s="85">
        <f>VLOOKUP(A111,Database!$A:$AS,MATCH($C$1,Database!$A$1:$AS$1,0),FALSE)</f>
        <v>102.18</v>
      </c>
      <c r="D111" s="85">
        <f>VLOOKUP(A111,Database!$A:$AS,MATCH($D$1,Database!$A$1:$AS$1,0),FALSE)</f>
        <v>73.793850512000006</v>
      </c>
      <c r="E111" s="85">
        <f>VLOOKUP(A111,Database!$A:$AS,MATCH($E$1,Database!$A$1:$AS$1,0),FALSE)</f>
        <v>116.38409698700001</v>
      </c>
      <c r="F111" s="85">
        <f>VLOOKUP(A111,Database!$A:$AS,MATCH($F$1,Database!$A$1:$AS$1,0),FALSE)</f>
        <v>88.4</v>
      </c>
      <c r="G111" s="85">
        <f>VLOOKUP(A111,Database!$A:$AS,MATCH($G$1,Database!$A$1:$AS$1,0),FALSE)</f>
        <v>92.167055027999993</v>
      </c>
      <c r="H111" s="43">
        <f>(((Table134567891011121314151617343[[#This Row],[ITA]]-VLOOKUP($U$1,A:B,2,))/VLOOKUP($U$1,A:B,2,))*100)+100</f>
        <v>99.506578947505048</v>
      </c>
      <c r="I111" s="85">
        <f>(((Table134567891011121314151617343[[#This Row],[FRA]]-VLOOKUP($U$1,A:C,3,))/VLOOKUP($U$1,A:C,3,))*100)+100</f>
        <v>99.697531466484548</v>
      </c>
      <c r="J111" s="85">
        <f>(((Table134567891011121314151617343[[#This Row],[DEU]]-VLOOKUP($U$1,A:D,4,))/VLOOKUP($U$1,A:D,4,))*100)+100</f>
        <v>98.138297871095432</v>
      </c>
      <c r="K111" s="85">
        <f>(((Table134567891011121314151617343[[#This Row],[ESP]]-VLOOKUP($U$1,A:E,5,))/VLOOKUP($U$1,A:E,5,))*100)+100</f>
        <v>97.826342775495718</v>
      </c>
      <c r="L111" s="85">
        <f>(((Table134567891011121314151617343[[#This Row],[EA19]]-VLOOKUP($U$1,A:F,6,))/VLOOKUP($U$1,A:F,6,))*100)+100</f>
        <v>98.881431767337801</v>
      </c>
      <c r="M111" s="85">
        <f>(((Table134567891011121314151617343[[#This Row],[GBR]]-VLOOKUP($U$1,A:G,7,))/VLOOKUP($U$1,A:G,7,))*100)+100</f>
        <v>100</v>
      </c>
      <c r="N111" s="85">
        <f>VLOOKUP(A111,Database!$A:$AS,MATCH($N$1,Database!$A$1:$AS$1,0),FALSE)</f>
        <v>87.353179280000006</v>
      </c>
      <c r="O111" s="85">
        <f>(((Table134567891011121314151617343[[#This Row],[USA]]-VLOOKUP($U$1,A:N,14,))/VLOOKUP($U$1,A:N,14,))*100)+100</f>
        <v>100.56381132289037</v>
      </c>
      <c r="P111" s="85">
        <f>VLOOKUP(A111,Database!$A:$AS,MATCH($P$1,Database!$A$1:$AS$1,0),FALSE)</f>
        <v>99.603629166999994</v>
      </c>
      <c r="Q111" s="85">
        <f>(((Table134567891011121314151617343[[#This Row],[JPN]]-VLOOKUP($U$1,A:Q,16,))/VLOOKUP($U$1,A:Q,16,))*100)+100</f>
        <v>100</v>
      </c>
    </row>
    <row r="112" spans="1:17" s="87" customFormat="1" x14ac:dyDescent="0.2">
      <c r="A112" s="22">
        <v>36220</v>
      </c>
      <c r="B112" s="85">
        <f>VLOOKUP(A112,Database!$A:$AS,MATCH($B$1,Database!$A$1:$AS$1,0),FALSE)</f>
        <v>121.389884176</v>
      </c>
      <c r="C112" s="85">
        <f>VLOOKUP(A112,Database!$A:$AS,MATCH($C$1,Database!$A$1:$AS$1,0),FALSE)</f>
        <v>102.13</v>
      </c>
      <c r="D112" s="85">
        <f>VLOOKUP(A112,Database!$A:$AS,MATCH($D$1,Database!$A$1:$AS$1,0),FALSE)</f>
        <v>74.293808849000001</v>
      </c>
      <c r="E112" s="85">
        <f>VLOOKUP(A112,Database!$A:$AS,MATCH($E$1,Database!$A$1:$AS$1,0),FALSE)</f>
        <v>114.753095628</v>
      </c>
      <c r="F112" s="85">
        <f>VLOOKUP(A112,Database!$A:$AS,MATCH($F$1,Database!$A$1:$AS$1,0),FALSE)</f>
        <v>88.6</v>
      </c>
      <c r="G112" s="85">
        <f>VLOOKUP(A112,Database!$A:$AS,MATCH($G$1,Database!$A$1:$AS$1,0),FALSE)</f>
        <v>93.995339666999996</v>
      </c>
      <c r="H112" s="85">
        <f>(((Table134567891011121314151617343[[#This Row],[ITA]]-VLOOKUP($U$1,A:B,2,))/VLOOKUP($U$1,A:B,2,))*100)+100</f>
        <v>99.83552631556087</v>
      </c>
      <c r="I112" s="85">
        <f>(((Table134567891011121314151617343[[#This Row],[FRA]]-VLOOKUP($U$1,A:C,3,))/VLOOKUP($U$1,A:C,3,))*100)+100</f>
        <v>99.648746219143334</v>
      </c>
      <c r="J112" s="85">
        <f>(((Table134567891011121314151617343[[#This Row],[DEU]]-VLOOKUP($U$1,A:D,4,))/VLOOKUP($U$1,A:D,4,))*100)+100</f>
        <v>98.803191488371368</v>
      </c>
      <c r="K112" s="85">
        <f>(((Table134567891011121314151617343[[#This Row],[ESP]]-VLOOKUP($U$1,A:E,5,))/VLOOKUP($U$1,A:E,5,))*100)+100</f>
        <v>96.455408926770176</v>
      </c>
      <c r="L112" s="85">
        <f>(((Table134567891011121314151617343[[#This Row],[EA19]]-VLOOKUP($U$1,A:F,6,))/VLOOKUP($U$1,A:F,6,))*100)+100</f>
        <v>99.105145413870233</v>
      </c>
      <c r="M112" s="85">
        <f>(((Table134567891011121314151617343[[#This Row],[GBR]]-VLOOKUP($U$1,A:G,7,))/VLOOKUP($U$1,A:G,7,))*100)+100</f>
        <v>101.98366394417677</v>
      </c>
      <c r="N112" s="85">
        <f>VLOOKUP(A112,Database!$A:$AS,MATCH($N$1,Database!$A$1:$AS$1,0),FALSE)</f>
        <v>87.520590893000005</v>
      </c>
      <c r="O112" s="85">
        <f>(((Table134567891011121314151617343[[#This Row],[USA]]-VLOOKUP($U$1,A:N,14,))/VLOOKUP($U$1,A:N,14,))*100)+100</f>
        <v>100.75654099800647</v>
      </c>
      <c r="P112" s="85">
        <f>VLOOKUP(A112,Database!$A:$AS,MATCH($P$1,Database!$A$1:$AS$1,0),FALSE)</f>
        <v>100.879235944</v>
      </c>
      <c r="Q112" s="85">
        <f>(((Table134567891011121314151617343[[#This Row],[JPN]]-VLOOKUP($U$1,A:Q,16,))/VLOOKUP($U$1,A:Q,16,))*100)+100</f>
        <v>101.28068303099806</v>
      </c>
    </row>
    <row r="113" spans="1:17" s="87" customFormat="1" x14ac:dyDescent="0.2">
      <c r="A113" s="22">
        <v>36251</v>
      </c>
      <c r="B113" s="85">
        <f>VLOOKUP(A113,Database!$A:$AS,MATCH($B$1,Database!$A$1:$AS$1,0),FALSE)</f>
        <v>120.48995917000001</v>
      </c>
      <c r="C113" s="85">
        <f>VLOOKUP(A113,Database!$A:$AS,MATCH($C$1,Database!$A$1:$AS$1,0),FALSE)</f>
        <v>102.92</v>
      </c>
      <c r="D113" s="85">
        <f>VLOOKUP(A113,Database!$A:$AS,MATCH($D$1,Database!$A$1:$AS$1,0),FALSE)</f>
        <v>74.793767185999997</v>
      </c>
      <c r="E113" s="85">
        <f>VLOOKUP(A113,Database!$A:$AS,MATCH($E$1,Database!$A$1:$AS$1,0),FALSE)</f>
        <v>117.61309801100001</v>
      </c>
      <c r="F113" s="85">
        <f>VLOOKUP(A113,Database!$A:$AS,MATCH($F$1,Database!$A$1:$AS$1,0),FALSE)</f>
        <v>89.1</v>
      </c>
      <c r="G113" s="85">
        <f>VLOOKUP(A113,Database!$A:$AS,MATCH($G$1,Database!$A$1:$AS$1,0),FALSE)</f>
        <v>95.285893529000006</v>
      </c>
      <c r="H113" s="85">
        <f>(((Table134567891011121314151617343[[#This Row],[ITA]]-VLOOKUP($U$1,A:B,2,))/VLOOKUP($U$1,A:B,2,))*100)+100</f>
        <v>99.095394736818449</v>
      </c>
      <c r="I113" s="85">
        <f>(((Table134567891011121314151617343[[#This Row],[FRA]]-VLOOKUP($U$1,A:C,3,))/VLOOKUP($U$1,A:C,3,))*100)+100</f>
        <v>100.41955312713436</v>
      </c>
      <c r="J113" s="85">
        <f>(((Table134567891011121314151617343[[#This Row],[DEU]]-VLOOKUP($U$1,A:D,4,))/VLOOKUP($U$1,A:D,4,))*100)+100</f>
        <v>99.46808510564729</v>
      </c>
      <c r="K113" s="85">
        <f>(((Table134567891011121314151617343[[#This Row],[ESP]]-VLOOKUP($U$1,A:E,5,))/VLOOKUP($U$1,A:E,5,))*100)+100</f>
        <v>98.859376313219428</v>
      </c>
      <c r="L113" s="85">
        <f>(((Table134567891011121314151617343[[#This Row],[EA19]]-VLOOKUP($U$1,A:F,6,))/VLOOKUP($U$1,A:F,6,))*100)+100</f>
        <v>99.664429530201332</v>
      </c>
      <c r="M113" s="85">
        <f>(((Table134567891011121314151617343[[#This Row],[GBR]]-VLOOKUP($U$1,A:G,7,))/VLOOKUP($U$1,A:G,7,))*100)+100</f>
        <v>103.38389731564334</v>
      </c>
      <c r="N113" s="85">
        <f>VLOOKUP(A113,Database!$A:$AS,MATCH($N$1,Database!$A$1:$AS$1,0),FALSE)</f>
        <v>87.714863695000005</v>
      </c>
      <c r="O113" s="85">
        <f>(((Table134567891011121314151617343[[#This Row],[USA]]-VLOOKUP($U$1,A:N,14,))/VLOOKUP($U$1,A:N,14,))*100)+100</f>
        <v>100.98019414453792</v>
      </c>
      <c r="P113" s="85">
        <f>VLOOKUP(A113,Database!$A:$AS,MATCH($P$1,Database!$A$1:$AS$1,0),FALSE)</f>
        <v>99.178426908000006</v>
      </c>
      <c r="Q113" s="85">
        <f>(((Table134567891011121314151617343[[#This Row],[JPN]]-VLOOKUP($U$1,A:Q,16,))/VLOOKUP($U$1,A:Q,16,))*100)+100</f>
        <v>99.573105656333993</v>
      </c>
    </row>
    <row r="114" spans="1:17" s="87" customFormat="1" x14ac:dyDescent="0.2">
      <c r="A114" s="22">
        <v>36281</v>
      </c>
      <c r="B114" s="85">
        <f>VLOOKUP(A114,Database!$A:$AS,MATCH($B$1,Database!$A$1:$AS$1,0),FALSE)</f>
        <v>119.590034164</v>
      </c>
      <c r="C114" s="85">
        <f>VLOOKUP(A114,Database!$A:$AS,MATCH($C$1,Database!$A$1:$AS$1,0),FALSE)</f>
        <v>103.35</v>
      </c>
      <c r="D114" s="85">
        <f>VLOOKUP(A114,Database!$A:$AS,MATCH($D$1,Database!$A$1:$AS$1,0),FALSE)</f>
        <v>75.293725523000006</v>
      </c>
      <c r="E114" s="85">
        <f>VLOOKUP(A114,Database!$A:$AS,MATCH($E$1,Database!$A$1:$AS$1,0),FALSE)</f>
        <v>116.84509737099999</v>
      </c>
      <c r="F114" s="85">
        <f>VLOOKUP(A114,Database!$A:$AS,MATCH($F$1,Database!$A$1:$AS$1,0),FALSE)</f>
        <v>89.2</v>
      </c>
      <c r="G114" s="85">
        <f>VLOOKUP(A114,Database!$A:$AS,MATCH($G$1,Database!$A$1:$AS$1,0),FALSE)</f>
        <v>97.221724323000004</v>
      </c>
      <c r="H114" s="85">
        <f>(((Table134567891011121314151617343[[#This Row],[ITA]]-VLOOKUP($U$1,A:B,2,))/VLOOKUP($U$1,A:B,2,))*100)+100</f>
        <v>98.355263158075999</v>
      </c>
      <c r="I114" s="85">
        <f>(((Table134567891011121314151617343[[#This Row],[FRA]]-VLOOKUP($U$1,A:C,3,))/VLOOKUP($U$1,A:C,3,))*100)+100</f>
        <v>100.83910625426871</v>
      </c>
      <c r="J114" s="85">
        <f>(((Table134567891011121314151617343[[#This Row],[DEU]]-VLOOKUP($U$1,A:D,4,))/VLOOKUP($U$1,A:D,4,))*100)+100</f>
        <v>100.13297872292324</v>
      </c>
      <c r="K114" s="85">
        <f>(((Table134567891011121314151617343[[#This Row],[ESP]]-VLOOKUP($U$1,A:E,5,))/VLOOKUP($U$1,A:E,5,))*100)+100</f>
        <v>98.213835420559207</v>
      </c>
      <c r="L114" s="85">
        <f>(((Table134567891011121314151617343[[#This Row],[EA19]]-VLOOKUP($U$1,A:F,6,))/VLOOKUP($U$1,A:F,6,))*100)+100</f>
        <v>99.776286353467555</v>
      </c>
      <c r="M114" s="85">
        <f>(((Table134567891011121314151617343[[#This Row],[GBR]]-VLOOKUP($U$1,A:G,7,))/VLOOKUP($U$1,A:G,7,))*100)+100</f>
        <v>105.48424737392816</v>
      </c>
      <c r="N114" s="85">
        <f>VLOOKUP(A114,Database!$A:$AS,MATCH($N$1,Database!$A$1:$AS$1,0),FALSE)</f>
        <v>88.260016964000002</v>
      </c>
      <c r="O114" s="85">
        <f>(((Table134567891011121314151617343[[#This Row],[USA]]-VLOOKUP($U$1,A:N,14,))/VLOOKUP($U$1,A:N,14,))*100)+100</f>
        <v>101.60779225759623</v>
      </c>
      <c r="P114" s="85">
        <f>VLOOKUP(A114,Database!$A:$AS,MATCH($P$1,Database!$A$1:$AS$1,0),FALSE)</f>
        <v>100.772935379</v>
      </c>
      <c r="Q114" s="85">
        <f>(((Table134567891011121314151617343[[#This Row],[JPN]]-VLOOKUP($U$1,A:Q,16,))/VLOOKUP($U$1,A:Q,16,))*100)+100</f>
        <v>101.17395944483057</v>
      </c>
    </row>
    <row r="115" spans="1:17" s="87" customFormat="1" x14ac:dyDescent="0.2">
      <c r="A115" s="22">
        <v>36312</v>
      </c>
      <c r="B115" s="85">
        <f>VLOOKUP(A115,Database!$A:$AS,MATCH($B$1,Database!$A$1:$AS$1,0),FALSE)</f>
        <v>121.489875844</v>
      </c>
      <c r="C115" s="85">
        <f>VLOOKUP(A115,Database!$A:$AS,MATCH($C$1,Database!$A$1:$AS$1,0),FALSE)</f>
        <v>104.77</v>
      </c>
      <c r="D115" s="85">
        <f>VLOOKUP(A115,Database!$A:$AS,MATCH($D$1,Database!$A$1:$AS$1,0),FALSE)</f>
        <v>75.293725523000006</v>
      </c>
      <c r="E115" s="85">
        <f>VLOOKUP(A115,Database!$A:$AS,MATCH($E$1,Database!$A$1:$AS$1,0),FALSE)</f>
        <v>117.988098323</v>
      </c>
      <c r="F115" s="85">
        <f>VLOOKUP(A115,Database!$A:$AS,MATCH($F$1,Database!$A$1:$AS$1,0),FALSE)</f>
        <v>90</v>
      </c>
      <c r="G115" s="85">
        <f>VLOOKUP(A115,Database!$A:$AS,MATCH($G$1,Database!$A$1:$AS$1,0),FALSE)</f>
        <v>97.114178167999995</v>
      </c>
      <c r="H115" s="85">
        <f>(((Table134567891011121314151617343[[#This Row],[ITA]]-VLOOKUP($U$1,A:B,2,))/VLOOKUP($U$1,A:B,2,))*100)+100</f>
        <v>99.917763158191661</v>
      </c>
      <c r="I115" s="85">
        <f>(((Table134567891011121314151617343[[#This Row],[FRA]]-VLOOKUP($U$1,A:C,3,))/VLOOKUP($U$1,A:C,3,))*100)+100</f>
        <v>102.22460727875891</v>
      </c>
      <c r="J115" s="85">
        <f>(((Table134567891011121314151617343[[#This Row],[DEU]]-VLOOKUP($U$1,A:D,4,))/VLOOKUP($U$1,A:D,4,))*100)+100</f>
        <v>100.13297872292324</v>
      </c>
      <c r="K115" s="85">
        <f>(((Table134567891011121314151617343[[#This Row],[ESP]]-VLOOKUP($U$1,A:E,5,))/VLOOKUP($U$1,A:E,5,))*100)+100</f>
        <v>99.174581826793386</v>
      </c>
      <c r="L115" s="85">
        <f>(((Table134567891011121314151617343[[#This Row],[EA19]]-VLOOKUP($U$1,A:F,6,))/VLOOKUP($U$1,A:F,6,))*100)+100</f>
        <v>100.67114093959731</v>
      </c>
      <c r="M115" s="85">
        <f>(((Table134567891011121314151617343[[#This Row],[GBR]]-VLOOKUP($U$1,A:G,7,))/VLOOKUP($U$1,A:G,7,))*100)+100</f>
        <v>105.36756125982011</v>
      </c>
      <c r="N115" s="85">
        <f>VLOOKUP(A115,Database!$A:$AS,MATCH($N$1,Database!$A$1:$AS$1,0),FALSE)</f>
        <v>88.196085353000001</v>
      </c>
      <c r="O115" s="85">
        <f>(((Table134567891011121314151617343[[#This Row],[USA]]-VLOOKUP($U$1,A:N,14,))/VLOOKUP($U$1,A:N,14,))*100)+100</f>
        <v>101.53419211482907</v>
      </c>
      <c r="P115" s="85">
        <f>VLOOKUP(A115,Database!$A:$AS,MATCH($P$1,Database!$A$1:$AS$1,0),FALSE)</f>
        <v>100.028831426</v>
      </c>
      <c r="Q115" s="85">
        <f>(((Table134567891011121314151617343[[#This Row],[JPN]]-VLOOKUP($U$1,A:Q,16,))/VLOOKUP($U$1,A:Q,16,))*100)+100</f>
        <v>100.42689434366602</v>
      </c>
    </row>
    <row r="116" spans="1:17" s="87" customFormat="1" x14ac:dyDescent="0.2">
      <c r="A116" s="22">
        <v>36342</v>
      </c>
      <c r="B116" s="85">
        <f>VLOOKUP(A116,Database!$A:$AS,MATCH($B$1,Database!$A$1:$AS$1,0),FALSE)</f>
        <v>122.38980085</v>
      </c>
      <c r="C116" s="85">
        <f>VLOOKUP(A116,Database!$A:$AS,MATCH($C$1,Database!$A$1:$AS$1,0),FALSE)</f>
        <v>105.02</v>
      </c>
      <c r="D116" s="85">
        <f>VLOOKUP(A116,Database!$A:$AS,MATCH($D$1,Database!$A$1:$AS$1,0),FALSE)</f>
        <v>75.893675526999999</v>
      </c>
      <c r="E116" s="85">
        <f>VLOOKUP(A116,Database!$A:$AS,MATCH($E$1,Database!$A$1:$AS$1,0),FALSE)</f>
        <v>120.17510014600001</v>
      </c>
      <c r="F116" s="85">
        <f>VLOOKUP(A116,Database!$A:$AS,MATCH($F$1,Database!$A$1:$AS$1,0),FALSE)</f>
        <v>90.6</v>
      </c>
      <c r="G116" s="85">
        <f>VLOOKUP(A116,Database!$A:$AS,MATCH($G$1,Database!$A$1:$AS$1,0),FALSE)</f>
        <v>98.619824340999998</v>
      </c>
      <c r="H116" s="85">
        <f>(((Table134567891011121314151617343[[#This Row],[ITA]]-VLOOKUP($U$1,A:B,2,))/VLOOKUP($U$1,A:B,2,))*100)+100</f>
        <v>100.6578947369341</v>
      </c>
      <c r="I116" s="85">
        <f>(((Table134567891011121314151617343[[#This Row],[FRA]]-VLOOKUP($U$1,A:C,3,))/VLOOKUP($U$1,A:C,3,))*100)+100</f>
        <v>102.46853351546493</v>
      </c>
      <c r="J116" s="85">
        <f>(((Table134567891011121314151617343[[#This Row],[DEU]]-VLOOKUP($U$1,A:D,4,))/VLOOKUP($U$1,A:D,4,))*100)+100</f>
        <v>100.9308510631224</v>
      </c>
      <c r="K116" s="85">
        <f>(((Table134567891011121314151617343[[#This Row],[ESP]]-VLOOKUP($U$1,A:E,5,))/VLOOKUP($U$1,A:E,5,))*100)+100</f>
        <v>101.01286038482809</v>
      </c>
      <c r="L116" s="85">
        <f>(((Table134567891011121314151617343[[#This Row],[EA19]]-VLOOKUP($U$1,A:F,6,))/VLOOKUP($U$1,A:F,6,))*100)+100</f>
        <v>101.34228187919462</v>
      </c>
      <c r="M116" s="85">
        <f>(((Table134567891011121314151617343[[#This Row],[GBR]]-VLOOKUP($U$1,A:G,7,))/VLOOKUP($U$1,A:G,7,))*100)+100</f>
        <v>107.00116686058774</v>
      </c>
      <c r="N116" s="85">
        <f>VLOOKUP(A116,Database!$A:$AS,MATCH($N$1,Database!$A$1:$AS$1,0),FALSE)</f>
        <v>88.726668162999999</v>
      </c>
      <c r="O116" s="85">
        <f>(((Table134567891011121314151617343[[#This Row],[USA]]-VLOOKUP($U$1,A:N,14,))/VLOOKUP($U$1,A:N,14,))*100)+100</f>
        <v>102.14501624322145</v>
      </c>
      <c r="P116" s="85">
        <f>VLOOKUP(A116,Database!$A:$AS,MATCH($P$1,Database!$A$1:$AS$1,0),FALSE)</f>
        <v>100.56033425</v>
      </c>
      <c r="Q116" s="85">
        <f>(((Table134567891011121314151617343[[#This Row],[JPN]]-VLOOKUP($U$1,A:Q,16,))/VLOOKUP($U$1,A:Q,16,))*100)+100</f>
        <v>100.96051227349955</v>
      </c>
    </row>
    <row r="117" spans="1:17" s="87" customFormat="1" x14ac:dyDescent="0.2">
      <c r="A117" s="22">
        <v>36373</v>
      </c>
      <c r="B117" s="85">
        <f>VLOOKUP(A117,Database!$A:$AS,MATCH($B$1,Database!$A$1:$AS$1,0),FALSE)</f>
        <v>123.18973418900001</v>
      </c>
      <c r="C117" s="85">
        <f>VLOOKUP(A117,Database!$A:$AS,MATCH($C$1,Database!$A$1:$AS$1,0),FALSE)</f>
        <v>103.04</v>
      </c>
      <c r="D117" s="85">
        <f>VLOOKUP(A117,Database!$A:$AS,MATCH($D$1,Database!$A$1:$AS$1,0),FALSE)</f>
        <v>76.593617198999993</v>
      </c>
      <c r="E117" s="85">
        <f>VLOOKUP(A117,Database!$A:$AS,MATCH($E$1,Database!$A$1:$AS$1,0),FALSE)</f>
        <v>118.26509855400001</v>
      </c>
      <c r="F117" s="85">
        <f>VLOOKUP(A117,Database!$A:$AS,MATCH($F$1,Database!$A$1:$AS$1,0),FALSE)</f>
        <v>90.6</v>
      </c>
      <c r="G117" s="85">
        <f>VLOOKUP(A117,Database!$A:$AS,MATCH($G$1,Database!$A$1:$AS$1,0),FALSE)</f>
        <v>99.372647427999993</v>
      </c>
      <c r="H117" s="85">
        <f>(((Table134567891011121314151617343[[#This Row],[ITA]]-VLOOKUP($U$1,A:B,2,))/VLOOKUP($U$1,A:B,2,))*100)+100</f>
        <v>101.31578947386819</v>
      </c>
      <c r="I117" s="85">
        <f>(((Table134567891011121314151617343[[#This Row],[FRA]]-VLOOKUP($U$1,A:C,3,))/VLOOKUP($U$1,A:C,3,))*100)+100</f>
        <v>100.53663772075326</v>
      </c>
      <c r="J117" s="85">
        <f>(((Table134567891011121314151617343[[#This Row],[DEU]]-VLOOKUP($U$1,A:D,4,))/VLOOKUP($U$1,A:D,4,))*100)+100</f>
        <v>101.86170212757469</v>
      </c>
      <c r="K117" s="85">
        <f>(((Table134567891011121314151617343[[#This Row],[ESP]]-VLOOKUP($U$1,A:E,5,))/VLOOKUP($U$1,A:E,5,))*100)+100</f>
        <v>99.407413633270565</v>
      </c>
      <c r="L117" s="85">
        <f>(((Table134567891011121314151617343[[#This Row],[EA19]]-VLOOKUP($U$1,A:F,6,))/VLOOKUP($U$1,A:F,6,))*100)+100</f>
        <v>101.34228187919462</v>
      </c>
      <c r="M117" s="85">
        <f>(((Table134567891011121314151617343[[#This Row],[GBR]]-VLOOKUP($U$1,A:G,7,))/VLOOKUP($U$1,A:G,7,))*100)+100</f>
        <v>107.81796966151406</v>
      </c>
      <c r="N117" s="85">
        <f>VLOOKUP(A117,Database!$A:$AS,MATCH($N$1,Database!$A$1:$AS$1,0),FALSE)</f>
        <v>89.106193957000002</v>
      </c>
      <c r="O117" s="85">
        <f>(((Table134567891011121314151617343[[#This Row],[USA]]-VLOOKUP($U$1,A:N,14,))/VLOOKUP($U$1,A:N,14,))*100)+100</f>
        <v>102.58193863865766</v>
      </c>
      <c r="P117" s="85">
        <f>VLOOKUP(A117,Database!$A:$AS,MATCH($P$1,Database!$A$1:$AS$1,0),FALSE)</f>
        <v>101.517039333</v>
      </c>
      <c r="Q117" s="85">
        <f>(((Table134567891011121314151617343[[#This Row],[JPN]]-VLOOKUP($U$1,A:Q,16,))/VLOOKUP($U$1,A:Q,16,))*100)+100</f>
        <v>101.92102454699908</v>
      </c>
    </row>
    <row r="118" spans="1:17" s="87" customFormat="1" x14ac:dyDescent="0.2">
      <c r="A118" s="22">
        <v>36404</v>
      </c>
      <c r="B118" s="85">
        <f>VLOOKUP(A118,Database!$A:$AS,MATCH($B$1,Database!$A$1:$AS$1,0),FALSE)</f>
        <v>123.689692526</v>
      </c>
      <c r="C118" s="85">
        <f>VLOOKUP(A118,Database!$A:$AS,MATCH($C$1,Database!$A$1:$AS$1,0),FALSE)</f>
        <v>105.87</v>
      </c>
      <c r="D118" s="85">
        <f>VLOOKUP(A118,Database!$A:$AS,MATCH($D$1,Database!$A$1:$AS$1,0),FALSE)</f>
        <v>76.293642195999993</v>
      </c>
      <c r="E118" s="85">
        <f>VLOOKUP(A118,Database!$A:$AS,MATCH($E$1,Database!$A$1:$AS$1,0),FALSE)</f>
        <v>119.847099873</v>
      </c>
      <c r="F118" s="85">
        <f>VLOOKUP(A118,Database!$A:$AS,MATCH($F$1,Database!$A$1:$AS$1,0),FALSE)</f>
        <v>91.4</v>
      </c>
      <c r="G118" s="85">
        <f>VLOOKUP(A118,Database!$A:$AS,MATCH($G$1,Database!$A$1:$AS$1,0),FALSE)</f>
        <v>99.372647427999993</v>
      </c>
      <c r="H118" s="85">
        <f>(((Table134567891011121314151617343[[#This Row],[ITA]]-VLOOKUP($U$1,A:B,2,))/VLOOKUP($U$1,A:B,2,))*100)+100</f>
        <v>101.72697368455479</v>
      </c>
      <c r="I118" s="85">
        <f>(((Table134567891011121314151617343[[#This Row],[FRA]]-VLOOKUP($U$1,A:C,3,))/VLOOKUP($U$1,A:C,3,))*100)+100</f>
        <v>103.29788272026541</v>
      </c>
      <c r="J118" s="85">
        <f>(((Table134567891011121314151617343[[#This Row],[DEU]]-VLOOKUP($U$1,A:D,4,))/VLOOKUP($U$1,A:D,4,))*100)+100</f>
        <v>101.4627659561452</v>
      </c>
      <c r="K118" s="85">
        <f>(((Table134567891011121314151617343[[#This Row],[ESP]]-VLOOKUP($U$1,A:E,5,))/VLOOKUP($U$1,A:E,5,))*100)+100</f>
        <v>100.73716062886797</v>
      </c>
      <c r="L118" s="85">
        <f>(((Table134567891011121314151617343[[#This Row],[EA19]]-VLOOKUP($U$1,A:F,6,))/VLOOKUP($U$1,A:F,6,))*100)+100</f>
        <v>102.23713646532438</v>
      </c>
      <c r="M118" s="85">
        <f>(((Table134567891011121314151617343[[#This Row],[GBR]]-VLOOKUP($U$1,A:G,7,))/VLOOKUP($U$1,A:G,7,))*100)+100</f>
        <v>107.81796966151406</v>
      </c>
      <c r="N118" s="85">
        <f>VLOOKUP(A118,Database!$A:$AS,MATCH($N$1,Database!$A$1:$AS$1,0),FALSE)</f>
        <v>88.707340001000006</v>
      </c>
      <c r="O118" s="85">
        <f>(((Table134567891011121314151617343[[#This Row],[USA]]-VLOOKUP($U$1,A:N,14,))/VLOOKUP($U$1,A:N,14,))*100)+100</f>
        <v>102.12276503665282</v>
      </c>
      <c r="P118" s="85">
        <f>VLOOKUP(A118,Database!$A:$AS,MATCH($P$1,Database!$A$1:$AS$1,0),FALSE)</f>
        <v>102.26114328600001</v>
      </c>
      <c r="Q118" s="85">
        <f>(((Table134567891011121314151617343[[#This Row],[JPN]]-VLOOKUP($U$1,A:Q,16,))/VLOOKUP($U$1,A:Q,16,))*100)+100</f>
        <v>102.66808964816363</v>
      </c>
    </row>
    <row r="119" spans="1:17" s="87" customFormat="1" x14ac:dyDescent="0.2">
      <c r="A119" s="22">
        <v>36434</v>
      </c>
      <c r="B119" s="85">
        <f>VLOOKUP(A119,Database!$A:$AS,MATCH($B$1,Database!$A$1:$AS$1,0),FALSE)</f>
        <v>124.889592534</v>
      </c>
      <c r="C119" s="85">
        <f>VLOOKUP(A119,Database!$A:$AS,MATCH($C$1,Database!$A$1:$AS$1,0),FALSE)</f>
        <v>107.21</v>
      </c>
      <c r="D119" s="85">
        <f>VLOOKUP(A119,Database!$A:$AS,MATCH($D$1,Database!$A$1:$AS$1,0),FALSE)</f>
        <v>77.093575534999999</v>
      </c>
      <c r="E119" s="85">
        <f>VLOOKUP(A119,Database!$A:$AS,MATCH($E$1,Database!$A$1:$AS$1,0),FALSE)</f>
        <v>120.593100494</v>
      </c>
      <c r="F119" s="85">
        <f>VLOOKUP(A119,Database!$A:$AS,MATCH($F$1,Database!$A$1:$AS$1,0),FALSE)</f>
        <v>92.3</v>
      </c>
      <c r="G119" s="85">
        <f>VLOOKUP(A119,Database!$A:$AS,MATCH($G$1,Database!$A$1:$AS$1,0),FALSE)</f>
        <v>98.404732030999995</v>
      </c>
      <c r="H119" s="85">
        <f>(((Table134567891011121314151617343[[#This Row],[ITA]]-VLOOKUP($U$1,A:B,2,))/VLOOKUP($U$1,A:B,2,))*100)+100</f>
        <v>102.71381578954471</v>
      </c>
      <c r="I119" s="85">
        <f>(((Table134567891011121314151617343[[#This Row],[FRA]]-VLOOKUP($U$1,A:C,3,))/VLOOKUP($U$1,A:C,3,))*100)+100</f>
        <v>104.60532734900966</v>
      </c>
      <c r="J119" s="85">
        <f>(((Table134567891011121314151617343[[#This Row],[DEU]]-VLOOKUP($U$1,A:D,4,))/VLOOKUP($U$1,A:D,4,))*100)+100</f>
        <v>102.52659574352073</v>
      </c>
      <c r="K119" s="85">
        <f>(((Table134567891011121314151617343[[#This Row],[ESP]]-VLOOKUP($U$1,A:E,5,))/VLOOKUP($U$1,A:E,5,))*100)+100</f>
        <v>101.36420946414681</v>
      </c>
      <c r="L119" s="85">
        <f>(((Table134567891011121314151617343[[#This Row],[EA19]]-VLOOKUP($U$1,A:F,6,))/VLOOKUP($U$1,A:F,6,))*100)+100</f>
        <v>103.24384787472034</v>
      </c>
      <c r="M119" s="85">
        <f>(((Table134567891011121314151617343[[#This Row],[GBR]]-VLOOKUP($U$1,A:G,7,))/VLOOKUP($U$1,A:G,7,))*100)+100</f>
        <v>106.76779463237165</v>
      </c>
      <c r="N119" s="85">
        <f>VLOOKUP(A119,Database!$A:$AS,MATCH($N$1,Database!$A$1:$AS$1,0),FALSE)</f>
        <v>89.873472403999997</v>
      </c>
      <c r="O119" s="85">
        <f>(((Table134567891011121314151617343[[#This Row],[USA]]-VLOOKUP($U$1,A:N,14,))/VLOOKUP($U$1,A:N,14,))*100)+100</f>
        <v>103.46525445626402</v>
      </c>
      <c r="P119" s="85">
        <f>VLOOKUP(A119,Database!$A:$AS,MATCH($P$1,Database!$A$1:$AS$1,0),FALSE)</f>
        <v>102.15484272099999</v>
      </c>
      <c r="Q119" s="85">
        <f>(((Table134567891011121314151617343[[#This Row],[JPN]]-VLOOKUP($U$1,A:Q,16,))/VLOOKUP($U$1,A:Q,16,))*100)+100</f>
        <v>102.56136606199611</v>
      </c>
    </row>
    <row r="120" spans="1:17" s="87" customFormat="1" x14ac:dyDescent="0.2">
      <c r="A120" s="22">
        <v>36465</v>
      </c>
      <c r="B120" s="85">
        <f>VLOOKUP(A120,Database!$A:$AS,MATCH($B$1,Database!$A$1:$AS$1,0),FALSE)</f>
        <v>125.68952587299999</v>
      </c>
      <c r="C120" s="85">
        <f>VLOOKUP(A120,Database!$A:$AS,MATCH($C$1,Database!$A$1:$AS$1,0),FALSE)</f>
        <v>107.26</v>
      </c>
      <c r="D120" s="85">
        <f>VLOOKUP(A120,Database!$A:$AS,MATCH($D$1,Database!$A$1:$AS$1,0),FALSE)</f>
        <v>76.993583868000002</v>
      </c>
      <c r="E120" s="85">
        <f>VLOOKUP(A120,Database!$A:$AS,MATCH($E$1,Database!$A$1:$AS$1,0),FALSE)</f>
        <v>121.059100883</v>
      </c>
      <c r="F120" s="85">
        <f>VLOOKUP(A120,Database!$A:$AS,MATCH($F$1,Database!$A$1:$AS$1,0),FALSE)</f>
        <v>92.7</v>
      </c>
      <c r="G120" s="85">
        <f>VLOOKUP(A120,Database!$A:$AS,MATCH($G$1,Database!$A$1:$AS$1,0),FALSE)</f>
        <v>98.512278186000003</v>
      </c>
      <c r="H120" s="85">
        <f>(((Table134567891011121314151617343[[#This Row],[ITA]]-VLOOKUP($U$1,A:B,2,))/VLOOKUP($U$1,A:B,2,))*100)+100</f>
        <v>103.37171052647879</v>
      </c>
      <c r="I120" s="85">
        <f>(((Table134567891011121314151617343[[#This Row],[FRA]]-VLOOKUP($U$1,A:C,3,))/VLOOKUP($U$1,A:C,3,))*100)+100</f>
        <v>104.65411259635087</v>
      </c>
      <c r="J120" s="85">
        <f>(((Table134567891011121314151617343[[#This Row],[DEU]]-VLOOKUP($U$1,A:D,4,))/VLOOKUP($U$1,A:D,4,))*100)+100</f>
        <v>102.3936170205975</v>
      </c>
      <c r="K120" s="85">
        <f>(((Table134567891011121314151617343[[#This Row],[ESP]]-VLOOKUP($U$1,A:E,5,))/VLOOKUP($U$1,A:E,5,))*100)+100</f>
        <v>101.75590485009735</v>
      </c>
      <c r="L120" s="85">
        <f>(((Table134567891011121314151617343[[#This Row],[EA19]]-VLOOKUP($U$1,A:F,6,))/VLOOKUP($U$1,A:F,6,))*100)+100</f>
        <v>103.69127516778524</v>
      </c>
      <c r="M120" s="85">
        <f>(((Table134567891011121314151617343[[#This Row],[GBR]]-VLOOKUP($U$1,A:G,7,))/VLOOKUP($U$1,A:G,7,))*100)+100</f>
        <v>106.8844807464797</v>
      </c>
      <c r="N120" s="85">
        <f>VLOOKUP(A120,Database!$A:$AS,MATCH($N$1,Database!$A$1:$AS$1,0),FALSE)</f>
        <v>90.340619196999995</v>
      </c>
      <c r="O120" s="85">
        <f>(((Table134567891011121314151617343[[#This Row],[USA]]-VLOOKUP($U$1,A:N,14,))/VLOOKUP($U$1,A:N,14,))*100)+100</f>
        <v>104.00304898576549</v>
      </c>
      <c r="P120" s="85">
        <f>VLOOKUP(A120,Database!$A:$AS,MATCH($P$1,Database!$A$1:$AS$1,0),FALSE)</f>
        <v>103.217848369</v>
      </c>
      <c r="Q120" s="85">
        <f>(((Table134567891011121314151617343[[#This Row],[JPN]]-VLOOKUP($U$1,A:Q,16,))/VLOOKUP($U$1,A:Q,16,))*100)+100</f>
        <v>103.62860192166315</v>
      </c>
    </row>
    <row r="121" spans="1:17" s="87" customFormat="1" x14ac:dyDescent="0.2">
      <c r="A121" s="22">
        <v>36495</v>
      </c>
      <c r="B121" s="85">
        <f>VLOOKUP(A121,Database!$A:$AS,MATCH($B$1,Database!$A$1:$AS$1,0),FALSE)</f>
        <v>124.28964252999999</v>
      </c>
      <c r="C121" s="85">
        <f>VLOOKUP(A121,Database!$A:$AS,MATCH($C$1,Database!$A$1:$AS$1,0),FALSE)</f>
        <v>106.36</v>
      </c>
      <c r="D121" s="85">
        <f>VLOOKUP(A121,Database!$A:$AS,MATCH($D$1,Database!$A$1:$AS$1,0),FALSE)</f>
        <v>77.093575534999999</v>
      </c>
      <c r="E121" s="85">
        <f>VLOOKUP(A121,Database!$A:$AS,MATCH($E$1,Database!$A$1:$AS$1,0),FALSE)</f>
        <v>122.077101731</v>
      </c>
      <c r="F121" s="85">
        <f>VLOOKUP(A121,Database!$A:$AS,MATCH($F$1,Database!$A$1:$AS$1,0),FALSE)</f>
        <v>92.4</v>
      </c>
      <c r="G121" s="85">
        <f>VLOOKUP(A121,Database!$A:$AS,MATCH($G$1,Database!$A$1:$AS$1,0),FALSE)</f>
        <v>96.038716616000002</v>
      </c>
      <c r="H121" s="85">
        <f>(((Table134567891011121314151617343[[#This Row],[ITA]]-VLOOKUP($U$1,A:B,2,))/VLOOKUP($U$1,A:B,2,))*100)+100</f>
        <v>102.22039473704974</v>
      </c>
      <c r="I121" s="85">
        <f>(((Table134567891011121314151617343[[#This Row],[FRA]]-VLOOKUP($U$1,A:C,3,))/VLOOKUP($U$1,A:C,3,))*100)+100</f>
        <v>103.77597814420919</v>
      </c>
      <c r="J121" s="85">
        <f>(((Table134567891011121314151617343[[#This Row],[DEU]]-VLOOKUP($U$1,A:D,4,))/VLOOKUP($U$1,A:D,4,))*100)+100</f>
        <v>102.52659574352073</v>
      </c>
      <c r="K121" s="85">
        <f>(((Table134567891011121314151617343[[#This Row],[ESP]]-VLOOKUP($U$1,A:E,5,))/VLOOKUP($U$1,A:E,5,))*100)+100</f>
        <v>102.61158275180686</v>
      </c>
      <c r="L121" s="85">
        <f>(((Table134567891011121314151617343[[#This Row],[EA19]]-VLOOKUP($U$1,A:F,6,))/VLOOKUP($U$1,A:F,6,))*100)+100</f>
        <v>103.35570469798658</v>
      </c>
      <c r="M121" s="85">
        <f>(((Table134567891011121314151617343[[#This Row],[GBR]]-VLOOKUP($U$1,A:G,7,))/VLOOKUP($U$1,A:G,7,))*100)+100</f>
        <v>104.20070011656965</v>
      </c>
      <c r="N121" s="85">
        <f>VLOOKUP(A121,Database!$A:$AS,MATCH($N$1,Database!$A$1:$AS$1,0),FALSE)</f>
        <v>91.035045342999993</v>
      </c>
      <c r="O121" s="85">
        <f>(((Table134567891011121314151617343[[#This Row],[USA]]-VLOOKUP($U$1,A:N,14,))/VLOOKUP($U$1,A:N,14,))*100)+100</f>
        <v>104.80249487313475</v>
      </c>
      <c r="P121" s="85">
        <f>VLOOKUP(A121,Database!$A:$AS,MATCH($P$1,Database!$A$1:$AS$1,0),FALSE)</f>
        <v>103.111547804</v>
      </c>
      <c r="Q121" s="85">
        <f>(((Table134567891011121314151617343[[#This Row],[JPN]]-VLOOKUP($U$1,A:Q,16,))/VLOOKUP($U$1,A:Q,16,))*100)+100</f>
        <v>103.52187833549566</v>
      </c>
    </row>
    <row r="122" spans="1:17" s="87" customFormat="1" x14ac:dyDescent="0.2">
      <c r="A122" s="22">
        <v>36526</v>
      </c>
      <c r="B122" s="85">
        <f>VLOOKUP(A122,Database!$A:$AS,MATCH($B$1,Database!$A$1:$AS$1,0),FALSE)</f>
        <v>124.58961753200001</v>
      </c>
      <c r="C122" s="85">
        <f>VLOOKUP(A122,Database!$A:$AS,MATCH($C$1,Database!$A$1:$AS$1,0),FALSE)</f>
        <v>107.12</v>
      </c>
      <c r="D122" s="85">
        <f>VLOOKUP(A122,Database!$A:$AS,MATCH($D$1,Database!$A$1:$AS$1,0),FALSE)</f>
        <v>76.493625531000006</v>
      </c>
      <c r="E122" s="85">
        <f>VLOOKUP(A122,Database!$A:$AS,MATCH($E$1,Database!$A$1:$AS$1,0),FALSE)</f>
        <v>122.447102039</v>
      </c>
      <c r="F122" s="85">
        <f>VLOOKUP(A122,Database!$A:$AS,MATCH($F$1,Database!$A$1:$AS$1,0),FALSE)</f>
        <v>92.1</v>
      </c>
      <c r="G122" s="85">
        <f>VLOOKUP(A122,Database!$A:$AS,MATCH($G$1,Database!$A$1:$AS$1,0),FALSE)</f>
        <v>95.823624304999996</v>
      </c>
      <c r="H122" s="85">
        <f>(((Table134567891011121314151617343[[#This Row],[ITA]]-VLOOKUP($U$1,A:B,2,))/VLOOKUP($U$1,A:B,2,))*100)+100</f>
        <v>102.46710526329723</v>
      </c>
      <c r="I122" s="85">
        <f>(((Table134567891011121314151617343[[#This Row],[FRA]]-VLOOKUP($U$1,A:C,3,))/VLOOKUP($U$1,A:C,3,))*100)+100</f>
        <v>104.5175139037955</v>
      </c>
      <c r="J122" s="85">
        <f>(((Table134567891011121314151617343[[#This Row],[DEU]]-VLOOKUP($U$1,A:D,4,))/VLOOKUP($U$1,A:D,4,))*100)+100</f>
        <v>101.72872340332158</v>
      </c>
      <c r="K122" s="85">
        <f>(((Table134567891011121314151617343[[#This Row],[ESP]]-VLOOKUP($U$1,A:E,5,))/VLOOKUP($U$1,A:E,5,))*100)+100</f>
        <v>102.92258552533434</v>
      </c>
      <c r="L122" s="85">
        <f>(((Table134567891011121314151617343[[#This Row],[EA19]]-VLOOKUP($U$1,A:F,6,))/VLOOKUP($U$1,A:F,6,))*100)+100</f>
        <v>103.02013422818791</v>
      </c>
      <c r="M122" s="85">
        <f>(((Table134567891011121314151617343[[#This Row],[GBR]]-VLOOKUP($U$1,A:G,7,))/VLOOKUP($U$1,A:G,7,))*100)+100</f>
        <v>103.96732788726855</v>
      </c>
      <c r="N122" s="85">
        <f>VLOOKUP(A122,Database!$A:$AS,MATCH($N$1,Database!$A$1:$AS$1,0),FALSE)</f>
        <v>90.985287717000006</v>
      </c>
      <c r="O122" s="85">
        <f>(((Table134567891011121314151617343[[#This Row],[USA]]-VLOOKUP($U$1,A:N,14,))/VLOOKUP($U$1,A:N,14,))*100)+100</f>
        <v>104.74521228131404</v>
      </c>
      <c r="P122" s="85">
        <f>VLOOKUP(A122,Database!$A:$AS,MATCH($P$1,Database!$A$1:$AS$1,0),FALSE)</f>
        <v>103.005247239</v>
      </c>
      <c r="Q122" s="85">
        <f>(((Table134567891011121314151617343[[#This Row],[JPN]]-VLOOKUP($U$1,A:Q,16,))/VLOOKUP($U$1,A:Q,16,))*100)+100</f>
        <v>103.41515474932815</v>
      </c>
    </row>
    <row r="123" spans="1:17" s="87" customFormat="1" x14ac:dyDescent="0.2">
      <c r="A123" s="22">
        <v>36557</v>
      </c>
      <c r="B123" s="85">
        <f>VLOOKUP(A123,Database!$A:$AS,MATCH($B$1,Database!$A$1:$AS$1,0),FALSE)</f>
        <v>125.189567536</v>
      </c>
      <c r="C123" s="85">
        <f>VLOOKUP(A123,Database!$A:$AS,MATCH($C$1,Database!$A$1:$AS$1,0),FALSE)</f>
        <v>107.45</v>
      </c>
      <c r="D123" s="85">
        <f>VLOOKUP(A123,Database!$A:$AS,MATCH($D$1,Database!$A$1:$AS$1,0),FALSE)</f>
        <v>78.393467211000001</v>
      </c>
      <c r="E123" s="85">
        <f>VLOOKUP(A123,Database!$A:$AS,MATCH($E$1,Database!$A$1:$AS$1,0),FALSE)</f>
        <v>122.39310199400001</v>
      </c>
      <c r="F123" s="85">
        <f>VLOOKUP(A123,Database!$A:$AS,MATCH($F$1,Database!$A$1:$AS$1,0),FALSE)</f>
        <v>93.2</v>
      </c>
      <c r="G123" s="85">
        <f>VLOOKUP(A123,Database!$A:$AS,MATCH($G$1,Database!$A$1:$AS$1,0),FALSE)</f>
        <v>96.038716616000002</v>
      </c>
      <c r="H123" s="85">
        <f>(((Table134567891011121314151617343[[#This Row],[ITA]]-VLOOKUP($U$1,A:B,2,))/VLOOKUP($U$1,A:B,2,))*100)+100</f>
        <v>102.96052631579218</v>
      </c>
      <c r="I123" s="85">
        <f>(((Table134567891011121314151617343[[#This Row],[FRA]]-VLOOKUP($U$1,A:C,3,))/VLOOKUP($U$1,A:C,3,))*100)+100</f>
        <v>104.83949653624745</v>
      </c>
      <c r="J123" s="85">
        <f>(((Table134567891011121314151617343[[#This Row],[DEU]]-VLOOKUP($U$1,A:D,4,))/VLOOKUP($U$1,A:D,4,))*100)+100</f>
        <v>104.25531914817219</v>
      </c>
      <c r="K123" s="85">
        <f>(((Table134567891011121314151617343[[#This Row],[ESP]]-VLOOKUP($U$1,A:E,5,))/VLOOKUP($U$1,A:E,5,))*100)+100</f>
        <v>102.87719593131918</v>
      </c>
      <c r="L123" s="85">
        <f>(((Table134567891011121314151617343[[#This Row],[EA19]]-VLOOKUP($U$1,A:F,6,))/VLOOKUP($U$1,A:F,6,))*100)+100</f>
        <v>104.25055928411632</v>
      </c>
      <c r="M123" s="85">
        <f>(((Table134567891011121314151617343[[#This Row],[GBR]]-VLOOKUP($U$1,A:G,7,))/VLOOKUP($U$1,A:G,7,))*100)+100</f>
        <v>104.20070011656965</v>
      </c>
      <c r="N123" s="85">
        <f>VLOOKUP(A123,Database!$A:$AS,MATCH($N$1,Database!$A$1:$AS$1,0),FALSE)</f>
        <v>91.315353242</v>
      </c>
      <c r="O123" s="85">
        <f>(((Table134567891011121314151617343[[#This Row],[USA]]-VLOOKUP($U$1,A:N,14,))/VLOOKUP($U$1,A:N,14,))*100)+100</f>
        <v>105.125194411946</v>
      </c>
      <c r="P123" s="85">
        <f>VLOOKUP(A123,Database!$A:$AS,MATCH($P$1,Database!$A$1:$AS$1,0),FALSE)</f>
        <v>102.898946674</v>
      </c>
      <c r="Q123" s="85">
        <f>(((Table134567891011121314151617343[[#This Row],[JPN]]-VLOOKUP($U$1,A:Q,16,))/VLOOKUP($U$1,A:Q,16,))*100)+100</f>
        <v>103.30843116316066</v>
      </c>
    </row>
    <row r="124" spans="1:17" s="87" customFormat="1" x14ac:dyDescent="0.2">
      <c r="A124" s="22">
        <v>36586</v>
      </c>
      <c r="B124" s="85">
        <f>VLOOKUP(A124,Database!$A:$AS,MATCH($B$1,Database!$A$1:$AS$1,0),FALSE)</f>
        <v>126.289475877</v>
      </c>
      <c r="C124" s="85">
        <f>VLOOKUP(A124,Database!$A:$AS,MATCH($C$1,Database!$A$1:$AS$1,0),FALSE)</f>
        <v>108.14</v>
      </c>
      <c r="D124" s="85">
        <f>VLOOKUP(A124,Database!$A:$AS,MATCH($D$1,Database!$A$1:$AS$1,0),FALSE)</f>
        <v>78.493458877999998</v>
      </c>
      <c r="E124" s="85">
        <f>VLOOKUP(A124,Database!$A:$AS,MATCH($E$1,Database!$A$1:$AS$1,0),FALSE)</f>
        <v>124.065103388</v>
      </c>
      <c r="F124" s="85">
        <f>VLOOKUP(A124,Database!$A:$AS,MATCH($F$1,Database!$A$1:$AS$1,0),FALSE)</f>
        <v>93.6</v>
      </c>
      <c r="G124" s="85">
        <f>VLOOKUP(A124,Database!$A:$AS,MATCH($G$1,Database!$A$1:$AS$1,0),FALSE)</f>
        <v>95.823624304999996</v>
      </c>
      <c r="H124" s="85">
        <f>(((Table134567891011121314151617343[[#This Row],[ITA]]-VLOOKUP($U$1,A:B,2,))/VLOOKUP($U$1,A:B,2,))*100)+100</f>
        <v>103.86513157897375</v>
      </c>
      <c r="I124" s="85">
        <f>(((Table134567891011121314151617343[[#This Row],[FRA]]-VLOOKUP($U$1,A:C,3,))/VLOOKUP($U$1,A:C,3,))*100)+100</f>
        <v>105.51273294955607</v>
      </c>
      <c r="J124" s="85">
        <f>(((Table134567891011121314151617343[[#This Row],[DEU]]-VLOOKUP($U$1,A:D,4,))/VLOOKUP($U$1,A:D,4,))*100)+100</f>
        <v>104.38829787109542</v>
      </c>
      <c r="K124" s="85">
        <f>(((Table134567891011121314151617343[[#This Row],[ESP]]-VLOOKUP($U$1,A:E,5,))/VLOOKUP($U$1,A:E,5,))*100)+100</f>
        <v>104.28259225027519</v>
      </c>
      <c r="L124" s="85">
        <f>(((Table134567891011121314151617343[[#This Row],[EA19]]-VLOOKUP($U$1,A:F,6,))/VLOOKUP($U$1,A:F,6,))*100)+100</f>
        <v>104.6979865771812</v>
      </c>
      <c r="M124" s="85">
        <f>(((Table134567891011121314151617343[[#This Row],[GBR]]-VLOOKUP($U$1,A:G,7,))/VLOOKUP($U$1,A:G,7,))*100)+100</f>
        <v>103.96732788726855</v>
      </c>
      <c r="N124" s="85">
        <f>VLOOKUP(A124,Database!$A:$AS,MATCH($N$1,Database!$A$1:$AS$1,0),FALSE)</f>
        <v>91.658403327000002</v>
      </c>
      <c r="O124" s="85">
        <f>(((Table134567891011121314151617343[[#This Row],[USA]]-VLOOKUP($U$1,A:N,14,))/VLOOKUP($U$1,A:N,14,))*100)+100</f>
        <v>105.52012478891214</v>
      </c>
      <c r="P124" s="85">
        <f>VLOOKUP(A124,Database!$A:$AS,MATCH($P$1,Database!$A$1:$AS$1,0),FALSE)</f>
        <v>104.387154581</v>
      </c>
      <c r="Q124" s="85">
        <f>(((Table134567891011121314151617343[[#This Row],[JPN]]-VLOOKUP($U$1,A:Q,16,))/VLOOKUP($U$1,A:Q,16,))*100)+100</f>
        <v>104.80256136649372</v>
      </c>
    </row>
    <row r="125" spans="1:17" s="87" customFormat="1" x14ac:dyDescent="0.2">
      <c r="A125" s="22">
        <v>36617</v>
      </c>
      <c r="B125" s="85">
        <f>VLOOKUP(A125,Database!$A:$AS,MATCH($B$1,Database!$A$1:$AS$1,0),FALSE)</f>
        <v>127.28939255100001</v>
      </c>
      <c r="C125" s="85">
        <f>VLOOKUP(A125,Database!$A:$AS,MATCH($C$1,Database!$A$1:$AS$1,0),FALSE)</f>
        <v>108.76</v>
      </c>
      <c r="D125" s="85">
        <f>VLOOKUP(A125,Database!$A:$AS,MATCH($D$1,Database!$A$1:$AS$1,0),FALSE)</f>
        <v>79.493375552000003</v>
      </c>
      <c r="E125" s="85">
        <f>VLOOKUP(A125,Database!$A:$AS,MATCH($E$1,Database!$A$1:$AS$1,0),FALSE)</f>
        <v>123.60410300300001</v>
      </c>
      <c r="F125" s="85">
        <f>VLOOKUP(A125,Database!$A:$AS,MATCH($F$1,Database!$A$1:$AS$1,0),FALSE)</f>
        <v>94.7</v>
      </c>
      <c r="G125" s="85">
        <f>VLOOKUP(A125,Database!$A:$AS,MATCH($G$1,Database!$A$1:$AS$1,0),FALSE)</f>
        <v>97.329270479000002</v>
      </c>
      <c r="H125" s="85">
        <f>(((Table134567891011121314151617343[[#This Row],[ITA]]-VLOOKUP($U$1,A:B,2,))/VLOOKUP($U$1,A:B,2,))*100)+100</f>
        <v>104.68750000034697</v>
      </c>
      <c r="I125" s="85">
        <f>(((Table134567891011121314151617343[[#This Row],[FRA]]-VLOOKUP($U$1,A:C,3,))/VLOOKUP($U$1,A:C,3,))*100)+100</f>
        <v>106.117670016587</v>
      </c>
      <c r="J125" s="85">
        <f>(((Table134567891011121314151617343[[#This Row],[DEU]]-VLOOKUP($U$1,A:D,4,))/VLOOKUP($U$1,A:D,4,))*100)+100</f>
        <v>105.7180851056473</v>
      </c>
      <c r="K125" s="85">
        <f>(((Table134567891011121314151617343[[#This Row],[ESP]]-VLOOKUP($U$1,A:E,5,))/VLOOKUP($U$1,A:E,5,))*100)+100</f>
        <v>103.89509960437115</v>
      </c>
      <c r="L125" s="85">
        <f>(((Table134567891011121314151617343[[#This Row],[EA19]]-VLOOKUP($U$1,A:F,6,))/VLOOKUP($U$1,A:F,6,))*100)+100</f>
        <v>105.92841163310962</v>
      </c>
      <c r="M125" s="85">
        <f>(((Table134567891011121314151617343[[#This Row],[GBR]]-VLOOKUP($U$1,A:G,7,))/VLOOKUP($U$1,A:G,7,))*100)+100</f>
        <v>105.60093348912119</v>
      </c>
      <c r="N125" s="85">
        <f>VLOOKUP(A125,Database!$A:$AS,MATCH($N$1,Database!$A$1:$AS$1,0),FALSE)</f>
        <v>92.241816443999994</v>
      </c>
      <c r="O125" s="85">
        <f>(((Table134567891011121314151617343[[#This Row],[USA]]-VLOOKUP($U$1,A:N,14,))/VLOOKUP($U$1,A:N,14,))*100)+100</f>
        <v>106.19176887908574</v>
      </c>
      <c r="P125" s="85">
        <f>VLOOKUP(A125,Database!$A:$AS,MATCH($P$1,Database!$A$1:$AS$1,0),FALSE)</f>
        <v>105.981663052</v>
      </c>
      <c r="Q125" s="85">
        <f>(((Table134567891011121314151617343[[#This Row],[JPN]]-VLOOKUP($U$1,A:Q,16,))/VLOOKUP($U$1,A:Q,16,))*100)+100</f>
        <v>106.40341515499028</v>
      </c>
    </row>
    <row r="126" spans="1:17" s="87" customFormat="1" x14ac:dyDescent="0.2">
      <c r="A126" s="22">
        <v>36647</v>
      </c>
      <c r="B126" s="85">
        <f>VLOOKUP(A126,Database!$A:$AS,MATCH($B$1,Database!$A$1:$AS$1,0),FALSE)</f>
        <v>127.989334222</v>
      </c>
      <c r="C126" s="85">
        <f>VLOOKUP(A126,Database!$A:$AS,MATCH($C$1,Database!$A$1:$AS$1,0),FALSE)</f>
        <v>110.11</v>
      </c>
      <c r="D126" s="85">
        <f>VLOOKUP(A126,Database!$A:$AS,MATCH($D$1,Database!$A$1:$AS$1,0),FALSE)</f>
        <v>81.393217231999998</v>
      </c>
      <c r="E126" s="85">
        <f>VLOOKUP(A126,Database!$A:$AS,MATCH($E$1,Database!$A$1:$AS$1,0),FALSE)</f>
        <v>124.840104033</v>
      </c>
      <c r="F126" s="85">
        <f>VLOOKUP(A126,Database!$A:$AS,MATCH($F$1,Database!$A$1:$AS$1,0),FALSE)</f>
        <v>96</v>
      </c>
      <c r="G126" s="85">
        <f>VLOOKUP(A126,Database!$A:$AS,MATCH($G$1,Database!$A$1:$AS$1,0),FALSE)</f>
        <v>98.082093564999994</v>
      </c>
      <c r="H126" s="85">
        <f>(((Table134567891011121314151617343[[#This Row],[ITA]]-VLOOKUP($U$1,A:B,2,))/VLOOKUP($U$1,A:B,2,))*100)+100</f>
        <v>105.26315789465028</v>
      </c>
      <c r="I126" s="85">
        <f>(((Table134567891011121314151617343[[#This Row],[FRA]]-VLOOKUP($U$1,A:C,3,))/VLOOKUP($U$1,A:C,3,))*100)+100</f>
        <v>107.4348716947995</v>
      </c>
      <c r="J126" s="85">
        <f>(((Table134567891011121314151617343[[#This Row],[DEU]]-VLOOKUP($U$1,A:D,4,))/VLOOKUP($U$1,A:D,4,))*100)+100</f>
        <v>108.24468085049793</v>
      </c>
      <c r="K126" s="85">
        <f>(((Table134567891011121314151617343[[#This Row],[ESP]]-VLOOKUP($U$1,A:E,5,))/VLOOKUP($U$1,A:E,5,))*100)+100</f>
        <v>104.93401697849617</v>
      </c>
      <c r="L126" s="85">
        <f>(((Table134567891011121314151617343[[#This Row],[EA19]]-VLOOKUP($U$1,A:F,6,))/VLOOKUP($U$1,A:F,6,))*100)+100</f>
        <v>107.38255033557046</v>
      </c>
      <c r="M126" s="85">
        <f>(((Table134567891011121314151617343[[#This Row],[GBR]]-VLOOKUP($U$1,A:G,7,))/VLOOKUP($U$1,A:G,7,))*100)+100</f>
        <v>106.41773628896252</v>
      </c>
      <c r="N126" s="85">
        <f>VLOOKUP(A126,Database!$A:$AS,MATCH($N$1,Database!$A$1:$AS$1,0),FALSE)</f>
        <v>92.520141968000004</v>
      </c>
      <c r="O126" s="85">
        <f>(((Table134567891011121314151617343[[#This Row],[USA]]-VLOOKUP($U$1,A:N,14,))/VLOOKUP($U$1,A:N,14,))*100)+100</f>
        <v>106.51218624354324</v>
      </c>
      <c r="P126" s="85">
        <f>VLOOKUP(A126,Database!$A:$AS,MATCH($P$1,Database!$A$1:$AS$1,0),FALSE)</f>
        <v>105.343859663</v>
      </c>
      <c r="Q126" s="85">
        <f>(((Table134567891011121314151617343[[#This Row],[JPN]]-VLOOKUP($U$1,A:Q,16,))/VLOOKUP($U$1,A:Q,16,))*100)+100</f>
        <v>105.76307363898927</v>
      </c>
    </row>
    <row r="127" spans="1:17" s="87" customFormat="1" x14ac:dyDescent="0.2">
      <c r="A127" s="22">
        <v>36678</v>
      </c>
      <c r="B127" s="85">
        <f>VLOOKUP(A127,Database!$A:$AS,MATCH($B$1,Database!$A$1:$AS$1,0),FALSE)</f>
        <v>127.789350887</v>
      </c>
      <c r="C127" s="85">
        <f>VLOOKUP(A127,Database!$A:$AS,MATCH($C$1,Database!$A$1:$AS$1,0),FALSE)</f>
        <v>108.69</v>
      </c>
      <c r="D127" s="85">
        <f>VLOOKUP(A127,Database!$A:$AS,MATCH($D$1,Database!$A$1:$AS$1,0),FALSE)</f>
        <v>79.593367219000001</v>
      </c>
      <c r="E127" s="85">
        <f>VLOOKUP(A127,Database!$A:$AS,MATCH($E$1,Database!$A$1:$AS$1,0),FALSE)</f>
        <v>123.52810294</v>
      </c>
      <c r="F127" s="85">
        <f>VLOOKUP(A127,Database!$A:$AS,MATCH($F$1,Database!$A$1:$AS$1,0),FALSE)</f>
        <v>94.7</v>
      </c>
      <c r="G127" s="85">
        <f>VLOOKUP(A127,Database!$A:$AS,MATCH($G$1,Database!$A$1:$AS$1,0),FALSE)</f>
        <v>99.157555117000001</v>
      </c>
      <c r="H127" s="85">
        <f>(((Table134567891011121314151617343[[#This Row],[ITA]]-VLOOKUP($U$1,A:B,2,))/VLOOKUP($U$1,A:B,2,))*100)+100</f>
        <v>105.09868421021115</v>
      </c>
      <c r="I127" s="85">
        <f>(((Table134567891011121314151617343[[#This Row],[FRA]]-VLOOKUP($U$1,A:C,3,))/VLOOKUP($U$1,A:C,3,))*100)+100</f>
        <v>106.0493706703093</v>
      </c>
      <c r="J127" s="85">
        <f>(((Table134567891011121314151617343[[#This Row],[DEU]]-VLOOKUP($U$1,A:D,4,))/VLOOKUP($U$1,A:D,4,))*100)+100</f>
        <v>105.85106382857053</v>
      </c>
      <c r="K127" s="85">
        <f>(((Table134567891011121314151617343[[#This Row],[ESP]]-VLOOKUP($U$1,A:E,5,))/VLOOKUP($U$1,A:E,5,))*100)+100</f>
        <v>103.83121795381516</v>
      </c>
      <c r="L127" s="85">
        <f>(((Table134567891011121314151617343[[#This Row],[EA19]]-VLOOKUP($U$1,A:F,6,))/VLOOKUP($U$1,A:F,6,))*100)+100</f>
        <v>105.92841163310962</v>
      </c>
      <c r="M127" s="85">
        <f>(((Table134567891011121314151617343[[#This Row],[GBR]]-VLOOKUP($U$1,A:G,7,))/VLOOKUP($U$1,A:G,7,))*100)+100</f>
        <v>107.58459743221297</v>
      </c>
      <c r="N127" s="85">
        <f>VLOOKUP(A127,Database!$A:$AS,MATCH($N$1,Database!$A$1:$AS$1,0),FALSE)</f>
        <v>92.567818098999993</v>
      </c>
      <c r="O127" s="85">
        <f>(((Table134567891011121314151617343[[#This Row],[USA]]-VLOOKUP($U$1,A:N,14,))/VLOOKUP($U$1,A:N,14,))*100)+100</f>
        <v>106.56707255085348</v>
      </c>
      <c r="P127" s="85">
        <f>VLOOKUP(A127,Database!$A:$AS,MATCH($P$1,Database!$A$1:$AS$1,0),FALSE)</f>
        <v>106.72576700499999</v>
      </c>
      <c r="Q127" s="85">
        <f>(((Table134567891011121314151617343[[#This Row],[JPN]]-VLOOKUP($U$1,A:Q,16,))/VLOOKUP($U$1,A:Q,16,))*100)+100</f>
        <v>107.15048025615482</v>
      </c>
    </row>
    <row r="128" spans="1:17" s="87" customFormat="1" x14ac:dyDescent="0.2">
      <c r="A128" s="22">
        <v>36708</v>
      </c>
      <c r="B128" s="85">
        <f>VLOOKUP(A128,Database!$A:$AS,MATCH($B$1,Database!$A$1:$AS$1,0),FALSE)</f>
        <v>126.789434214</v>
      </c>
      <c r="C128" s="85">
        <f>VLOOKUP(A128,Database!$A:$AS,MATCH($C$1,Database!$A$1:$AS$1,0),FALSE)</f>
        <v>109.96</v>
      </c>
      <c r="D128" s="85">
        <f>VLOOKUP(A128,Database!$A:$AS,MATCH($D$1,Database!$A$1:$AS$1,0),FALSE)</f>
        <v>80.893258895000002</v>
      </c>
      <c r="E128" s="85">
        <f>VLOOKUP(A128,Database!$A:$AS,MATCH($E$1,Database!$A$1:$AS$1,0),FALSE)</f>
        <v>124.550103792</v>
      </c>
      <c r="F128" s="85">
        <f>VLOOKUP(A128,Database!$A:$AS,MATCH($F$1,Database!$A$1:$AS$1,0),FALSE)</f>
        <v>95.9</v>
      </c>
      <c r="G128" s="85">
        <f>VLOOKUP(A128,Database!$A:$AS,MATCH($G$1,Database!$A$1:$AS$1,0),FALSE)</f>
        <v>98.834916652000004</v>
      </c>
      <c r="H128" s="85">
        <f>(((Table134567891011121314151617343[[#This Row],[ITA]]-VLOOKUP($U$1,A:B,2,))/VLOOKUP($U$1,A:B,2,))*100)+100</f>
        <v>104.27631578966036</v>
      </c>
      <c r="I128" s="85">
        <f>(((Table134567891011121314151617343[[#This Row],[FRA]]-VLOOKUP($U$1,A:C,3,))/VLOOKUP($U$1,A:C,3,))*100)+100</f>
        <v>107.28851595277588</v>
      </c>
      <c r="J128" s="85">
        <f>(((Table134567891011121314151617343[[#This Row],[DEU]]-VLOOKUP($U$1,A:D,4,))/VLOOKUP($U$1,A:D,4,))*100)+100</f>
        <v>107.57978723322199</v>
      </c>
      <c r="K128" s="85">
        <f>(((Table134567891011121314151617343[[#This Row],[ESP]]-VLOOKUP($U$1,A:E,5,))/VLOOKUP($U$1,A:E,5,))*100)+100</f>
        <v>104.69025804823433</v>
      </c>
      <c r="L128" s="85">
        <f>(((Table134567891011121314151617343[[#This Row],[EA19]]-VLOOKUP($U$1,A:F,6,))/VLOOKUP($U$1,A:F,6,))*100)+100</f>
        <v>107.27069351230425</v>
      </c>
      <c r="M128" s="85">
        <f>(((Table134567891011121314151617343[[#This Row],[GBR]]-VLOOKUP($U$1,A:G,7,))/VLOOKUP($U$1,A:G,7,))*100)+100</f>
        <v>107.23453908988883</v>
      </c>
      <c r="N128" s="85">
        <f>VLOOKUP(A128,Database!$A:$AS,MATCH($N$1,Database!$A$1:$AS$1,0),FALSE)</f>
        <v>92.382664224999999</v>
      </c>
      <c r="O128" s="85">
        <f>(((Table134567891011121314151617343[[#This Row],[USA]]-VLOOKUP($U$1,A:N,14,))/VLOOKUP($U$1,A:N,14,))*100)+100</f>
        <v>106.35391740980299</v>
      </c>
      <c r="P128" s="85">
        <f>VLOOKUP(A128,Database!$A:$AS,MATCH($P$1,Database!$A$1:$AS$1,0),FALSE)</f>
        <v>106.513165876</v>
      </c>
      <c r="Q128" s="85">
        <f>(((Table134567891011121314151617343[[#This Row],[JPN]]-VLOOKUP($U$1,A:Q,16,))/VLOOKUP($U$1,A:Q,16,))*100)+100</f>
        <v>106.93703308482381</v>
      </c>
    </row>
    <row r="129" spans="1:17" s="87" customFormat="1" x14ac:dyDescent="0.2">
      <c r="A129" s="22">
        <v>36739</v>
      </c>
      <c r="B129" s="85">
        <f>VLOOKUP(A129,Database!$A:$AS,MATCH($B$1,Database!$A$1:$AS$1,0),FALSE)</f>
        <v>127.989334222</v>
      </c>
      <c r="C129" s="85">
        <f>VLOOKUP(A129,Database!$A:$AS,MATCH($C$1,Database!$A$1:$AS$1,0),FALSE)</f>
        <v>108.97</v>
      </c>
      <c r="D129" s="85">
        <f>VLOOKUP(A129,Database!$A:$AS,MATCH($D$1,Database!$A$1:$AS$1,0),FALSE)</f>
        <v>81.693192233999994</v>
      </c>
      <c r="E129" s="85">
        <f>VLOOKUP(A129,Database!$A:$AS,MATCH($E$1,Database!$A$1:$AS$1,0),FALSE)</f>
        <v>123.858103215</v>
      </c>
      <c r="F129" s="85">
        <f>VLOOKUP(A129,Database!$A:$AS,MATCH($F$1,Database!$A$1:$AS$1,0),FALSE)</f>
        <v>95.9</v>
      </c>
      <c r="G129" s="85">
        <f>VLOOKUP(A129,Database!$A:$AS,MATCH($G$1,Database!$A$1:$AS$1,0),FALSE)</f>
        <v>100.23301667</v>
      </c>
      <c r="H129" s="85">
        <f>(((Table134567891011121314151617343[[#This Row],[ITA]]-VLOOKUP($U$1,A:B,2,))/VLOOKUP($U$1,A:B,2,))*100)+100</f>
        <v>105.26315789465028</v>
      </c>
      <c r="I129" s="85">
        <f>(((Table134567891011121314151617343[[#This Row],[FRA]]-VLOOKUP($U$1,A:C,3,))/VLOOKUP($U$1,A:C,3,))*100)+100</f>
        <v>106.32256805542005</v>
      </c>
      <c r="J129" s="85">
        <f>(((Table134567891011121314151617343[[#This Row],[DEU]]-VLOOKUP($U$1,A:D,4,))/VLOOKUP($U$1,A:D,4,))*100)+100</f>
        <v>108.6436170205975</v>
      </c>
      <c r="K129" s="85">
        <f>(((Table134567891011121314151617343[[#This Row],[ESP]]-VLOOKUP($U$1,A:E,5,))/VLOOKUP($U$1,A:E,5,))*100)+100</f>
        <v>104.10859880613009</v>
      </c>
      <c r="L129" s="85">
        <f>(((Table134567891011121314151617343[[#This Row],[EA19]]-VLOOKUP($U$1,A:F,6,))/VLOOKUP($U$1,A:F,6,))*100)+100</f>
        <v>107.27069351230425</v>
      </c>
      <c r="M129" s="85">
        <f>(((Table134567891011121314151617343[[#This Row],[GBR]]-VLOOKUP($U$1,A:G,7,))/VLOOKUP($U$1,A:G,7,))*100)+100</f>
        <v>108.75145857654842</v>
      </c>
      <c r="N129" s="85">
        <f>VLOOKUP(A129,Database!$A:$AS,MATCH($N$1,Database!$A$1:$AS$1,0),FALSE)</f>
        <v>92.144481806000002</v>
      </c>
      <c r="O129" s="85">
        <f>(((Table134567891011121314151617343[[#This Row],[USA]]-VLOOKUP($U$1,A:N,14,))/VLOOKUP($U$1,A:N,14,))*100)+100</f>
        <v>106.07971408896027</v>
      </c>
      <c r="P129" s="85">
        <f>VLOOKUP(A129,Database!$A:$AS,MATCH($P$1,Database!$A$1:$AS$1,0),FALSE)</f>
        <v>108.001373782</v>
      </c>
      <c r="Q129" s="85">
        <f>(((Table134567891011121314151617343[[#This Row],[JPN]]-VLOOKUP($U$1,A:Q,16,))/VLOOKUP($U$1,A:Q,16,))*100)+100</f>
        <v>108.43116328715288</v>
      </c>
    </row>
    <row r="130" spans="1:17" s="87" customFormat="1" x14ac:dyDescent="0.2">
      <c r="A130" s="22">
        <v>36770</v>
      </c>
      <c r="B130" s="85">
        <f>VLOOKUP(A130,Database!$A:$AS,MATCH($B$1,Database!$A$1:$AS$1,0),FALSE)</f>
        <v>127.889342555</v>
      </c>
      <c r="C130" s="85">
        <f>VLOOKUP(A130,Database!$A:$AS,MATCH($C$1,Database!$A$1:$AS$1,0),FALSE)</f>
        <v>109.26</v>
      </c>
      <c r="D130" s="85">
        <f>VLOOKUP(A130,Database!$A:$AS,MATCH($D$1,Database!$A$1:$AS$1,0),FALSE)</f>
        <v>81.793183901000006</v>
      </c>
      <c r="E130" s="85">
        <f>VLOOKUP(A130,Database!$A:$AS,MATCH($E$1,Database!$A$1:$AS$1,0),FALSE)</f>
        <v>123.834103195</v>
      </c>
      <c r="F130" s="85">
        <f>VLOOKUP(A130,Database!$A:$AS,MATCH($F$1,Database!$A$1:$AS$1,0),FALSE)</f>
        <v>96</v>
      </c>
      <c r="G130" s="85">
        <f>VLOOKUP(A130,Database!$A:$AS,MATCH($G$1,Database!$A$1:$AS$1,0),FALSE)</f>
        <v>100.44810898</v>
      </c>
      <c r="H130" s="85">
        <f>(((Table134567891011121314151617343[[#This Row],[ITA]]-VLOOKUP($U$1,A:B,2,))/VLOOKUP($U$1,A:B,2,))*100)+100</f>
        <v>105.18092105284192</v>
      </c>
      <c r="I130" s="85">
        <f>(((Table134567891011121314151617343[[#This Row],[FRA]]-VLOOKUP($U$1,A:C,3,))/VLOOKUP($U$1,A:C,3,))*100)+100</f>
        <v>106.60552248999903</v>
      </c>
      <c r="J130" s="85">
        <f>(((Table134567891011121314151617343[[#This Row],[DEU]]-VLOOKUP($U$1,A:D,4,))/VLOOKUP($U$1,A:D,4,))*100)+100</f>
        <v>108.77659574352074</v>
      </c>
      <c r="K130" s="85">
        <f>(((Table134567891011121314151617343[[#This Row],[ESP]]-VLOOKUP($U$1,A:E,5,))/VLOOKUP($U$1,A:E,5,))*100)+100</f>
        <v>104.08842565323447</v>
      </c>
      <c r="L130" s="85">
        <f>(((Table134567891011121314151617343[[#This Row],[EA19]]-VLOOKUP($U$1,A:F,6,))/VLOOKUP($U$1,A:F,6,))*100)+100</f>
        <v>107.38255033557046</v>
      </c>
      <c r="M130" s="85">
        <f>(((Table134567891011121314151617343[[#This Row],[GBR]]-VLOOKUP($U$1,A:G,7,))/VLOOKUP($U$1,A:G,7,))*100)+100</f>
        <v>108.98483080476451</v>
      </c>
      <c r="N130" s="85">
        <f>VLOOKUP(A130,Database!$A:$AS,MATCH($N$1,Database!$A$1:$AS$1,0),FALSE)</f>
        <v>92.530648557999996</v>
      </c>
      <c r="O130" s="85">
        <f>(((Table134567891011121314151617343[[#This Row],[USA]]-VLOOKUP($U$1,A:N,14,))/VLOOKUP($U$1,A:N,14,))*100)+100</f>
        <v>106.52428177049619</v>
      </c>
      <c r="P130" s="85">
        <f>VLOOKUP(A130,Database!$A:$AS,MATCH($P$1,Database!$A$1:$AS$1,0),FALSE)</f>
        <v>105.76906192200001</v>
      </c>
      <c r="Q130" s="85">
        <f>(((Table134567891011121314151617343[[#This Row],[JPN]]-VLOOKUP($U$1,A:Q,16,))/VLOOKUP($U$1,A:Q,16,))*100)+100</f>
        <v>106.18996798265529</v>
      </c>
    </row>
    <row r="131" spans="1:17" s="87" customFormat="1" x14ac:dyDescent="0.2">
      <c r="A131" s="22">
        <v>36800</v>
      </c>
      <c r="B131" s="85">
        <f>VLOOKUP(A131,Database!$A:$AS,MATCH($B$1,Database!$A$1:$AS$1,0),FALSE)</f>
        <v>128.38930089199999</v>
      </c>
      <c r="C131" s="85">
        <f>VLOOKUP(A131,Database!$A:$AS,MATCH($C$1,Database!$A$1:$AS$1,0),FALSE)</f>
        <v>110.46</v>
      </c>
      <c r="D131" s="85">
        <f>VLOOKUP(A131,Database!$A:$AS,MATCH($D$1,Database!$A$1:$AS$1,0),FALSE)</f>
        <v>81.493208898999995</v>
      </c>
      <c r="E131" s="85">
        <f>VLOOKUP(A131,Database!$A:$AS,MATCH($E$1,Database!$A$1:$AS$1,0),FALSE)</f>
        <v>121.640101367</v>
      </c>
      <c r="F131" s="85">
        <f>VLOOKUP(A131,Database!$A:$AS,MATCH($F$1,Database!$A$1:$AS$1,0),FALSE)</f>
        <v>96.2</v>
      </c>
      <c r="G131" s="85">
        <f>VLOOKUP(A131,Database!$A:$AS,MATCH($G$1,Database!$A$1:$AS$1,0),FALSE)</f>
        <v>101.953755153</v>
      </c>
      <c r="H131" s="85">
        <f>(((Table134567891011121314151617343[[#This Row],[ITA]]-VLOOKUP($U$1,A:B,2,))/VLOOKUP($U$1,A:B,2,))*100)+100</f>
        <v>105.59210526352854</v>
      </c>
      <c r="I131" s="85">
        <f>(((Table134567891011121314151617343[[#This Row],[FRA]]-VLOOKUP($U$1,A:C,3,))/VLOOKUP($U$1,A:C,3,))*100)+100</f>
        <v>107.77636842618791</v>
      </c>
      <c r="J131" s="85">
        <f>(((Table134567891011121314151617343[[#This Row],[DEU]]-VLOOKUP($U$1,A:D,4,))/VLOOKUP($U$1,A:D,4,))*100)+100</f>
        <v>108.37765957342114</v>
      </c>
      <c r="K131" s="85">
        <f>(((Table134567891011121314151617343[[#This Row],[ESP]]-VLOOKUP($U$1,A:E,5,))/VLOOKUP($U$1,A:E,5,))*100)+100</f>
        <v>102.244263259639</v>
      </c>
      <c r="L131" s="85">
        <f>(((Table134567891011121314151617343[[#This Row],[EA19]]-VLOOKUP($U$1,A:F,6,))/VLOOKUP($U$1,A:F,6,))*100)+100</f>
        <v>107.6062639821029</v>
      </c>
      <c r="M131" s="85">
        <f>(((Table134567891011121314151617343[[#This Row],[GBR]]-VLOOKUP($U$1,A:G,7,))/VLOOKUP($U$1,A:G,7,))*100)+100</f>
        <v>110.61843640553217</v>
      </c>
      <c r="N131" s="85">
        <f>VLOOKUP(A131,Database!$A:$AS,MATCH($N$1,Database!$A$1:$AS$1,0),FALSE)</f>
        <v>92.182345178000006</v>
      </c>
      <c r="O131" s="85">
        <f>(((Table134567891011121314151617343[[#This Row],[USA]]-VLOOKUP($U$1,A:N,14,))/VLOOKUP($U$1,A:N,14,))*100)+100</f>
        <v>106.12330363005358</v>
      </c>
      <c r="P131" s="85">
        <f>VLOOKUP(A131,Database!$A:$AS,MATCH($P$1,Database!$A$1:$AS$1,0),FALSE)</f>
        <v>107.36357039400001</v>
      </c>
      <c r="Q131" s="85">
        <f>(((Table134567891011121314151617343[[#This Row],[JPN]]-VLOOKUP($U$1,A:Q,16,))/VLOOKUP($U$1,A:Q,16,))*100)+100</f>
        <v>107.79082177215585</v>
      </c>
    </row>
    <row r="132" spans="1:17" s="87" customFormat="1" x14ac:dyDescent="0.2">
      <c r="A132" s="22">
        <v>36831</v>
      </c>
      <c r="B132" s="85">
        <f>VLOOKUP(A132,Database!$A:$AS,MATCH($B$1,Database!$A$1:$AS$1,0),FALSE)</f>
        <v>129.98916756899999</v>
      </c>
      <c r="C132" s="85">
        <f>VLOOKUP(A132,Database!$A:$AS,MATCH($C$1,Database!$A$1:$AS$1,0),FALSE)</f>
        <v>110.25</v>
      </c>
      <c r="D132" s="85">
        <f>VLOOKUP(A132,Database!$A:$AS,MATCH($D$1,Database!$A$1:$AS$1,0),FALSE)</f>
        <v>82.193150571000004</v>
      </c>
      <c r="E132" s="85">
        <f>VLOOKUP(A132,Database!$A:$AS,MATCH($E$1,Database!$A$1:$AS$1,0),FALSE)</f>
        <v>125.60910467399999</v>
      </c>
      <c r="F132" s="85">
        <f>VLOOKUP(A132,Database!$A:$AS,MATCH($F$1,Database!$A$1:$AS$1,0),FALSE)</f>
        <v>97.2</v>
      </c>
      <c r="G132" s="85">
        <f>VLOOKUP(A132,Database!$A:$AS,MATCH($G$1,Database!$A$1:$AS$1,0),FALSE)</f>
        <v>102.383939774</v>
      </c>
      <c r="H132" s="85">
        <f>(((Table134567891011121314151617343[[#This Row],[ITA]]-VLOOKUP($U$1,A:B,2,))/VLOOKUP($U$1,A:B,2,))*100)+100</f>
        <v>106.90789473657426</v>
      </c>
      <c r="I132" s="85">
        <f>(((Table134567891011121314151617343[[#This Row],[FRA]]-VLOOKUP($U$1,A:C,3,))/VLOOKUP($U$1,A:C,3,))*100)+100</f>
        <v>107.57147038735486</v>
      </c>
      <c r="J132" s="85">
        <f>(((Table134567891011121314151617343[[#This Row],[DEU]]-VLOOKUP($U$1,A:D,4,))/VLOOKUP($U$1,A:D,4,))*100)+100</f>
        <v>109.30851063787345</v>
      </c>
      <c r="K132" s="85">
        <f>(((Table134567891011121314151617343[[#This Row],[ESP]]-VLOOKUP($U$1,A:E,5,))/VLOOKUP($U$1,A:E,5,))*100)+100</f>
        <v>105.58039841933378</v>
      </c>
      <c r="L132" s="85">
        <f>(((Table134567891011121314151617343[[#This Row],[EA19]]-VLOOKUP($U$1,A:F,6,))/VLOOKUP($U$1,A:F,6,))*100)+100</f>
        <v>108.7248322147651</v>
      </c>
      <c r="M132" s="85">
        <f>(((Table134567891011121314151617343[[#This Row],[GBR]]-VLOOKUP($U$1,A:G,7,))/VLOOKUP($U$1,A:G,7,))*100)+100</f>
        <v>111.08518086304933</v>
      </c>
      <c r="N132" s="85">
        <f>VLOOKUP(A132,Database!$A:$AS,MATCH($N$1,Database!$A$1:$AS$1,0),FALSE)</f>
        <v>92.194041193999993</v>
      </c>
      <c r="O132" s="85">
        <f>(((Table134567891011121314151617343[[#This Row],[USA]]-VLOOKUP($U$1,A:N,14,))/VLOOKUP($U$1,A:N,14,))*100)+100</f>
        <v>106.13676846276999</v>
      </c>
      <c r="P132" s="85">
        <f>VLOOKUP(A132,Database!$A:$AS,MATCH($P$1,Database!$A$1:$AS$1,0),FALSE)</f>
        <v>107.788772653</v>
      </c>
      <c r="Q132" s="85">
        <f>(((Table134567891011121314151617343[[#This Row],[JPN]]-VLOOKUP($U$1,A:Q,16,))/VLOOKUP($U$1,A:Q,16,))*100)+100</f>
        <v>108.21771611582186</v>
      </c>
    </row>
    <row r="133" spans="1:17" s="87" customFormat="1" x14ac:dyDescent="0.2">
      <c r="A133" s="22">
        <v>36861</v>
      </c>
      <c r="B133" s="85">
        <f>VLOOKUP(A133,Database!$A:$AS,MATCH($B$1,Database!$A$1:$AS$1,0),FALSE)</f>
        <v>131.78901758200001</v>
      </c>
      <c r="C133" s="85">
        <f>VLOOKUP(A133,Database!$A:$AS,MATCH($C$1,Database!$A$1:$AS$1,0),FALSE)</f>
        <v>111.22</v>
      </c>
      <c r="D133" s="85">
        <f>VLOOKUP(A133,Database!$A:$AS,MATCH($D$1,Database!$A$1:$AS$1,0),FALSE)</f>
        <v>82.693108907999999</v>
      </c>
      <c r="E133" s="85">
        <f>VLOOKUP(A133,Database!$A:$AS,MATCH($E$1,Database!$A$1:$AS$1,0),FALSE)</f>
        <v>127.035105863</v>
      </c>
      <c r="F133" s="85">
        <f>VLOOKUP(A133,Database!$A:$AS,MATCH($F$1,Database!$A$1:$AS$1,0),FALSE)</f>
        <v>97.8</v>
      </c>
      <c r="G133" s="85">
        <f>VLOOKUP(A133,Database!$A:$AS,MATCH($G$1,Database!$A$1:$AS$1,0),FALSE)</f>
        <v>102.061301308</v>
      </c>
      <c r="H133" s="85">
        <f>(((Table134567891011121314151617343[[#This Row],[ITA]]-VLOOKUP($U$1,A:B,2,))/VLOOKUP($U$1,A:B,2,))*100)+100</f>
        <v>108.3881578948816</v>
      </c>
      <c r="I133" s="85">
        <f>(((Table134567891011121314151617343[[#This Row],[FRA]]-VLOOKUP($U$1,A:C,3,))/VLOOKUP($U$1,A:C,3,))*100)+100</f>
        <v>108.51790418577423</v>
      </c>
      <c r="J133" s="85">
        <f>(((Table134567891011121314151617343[[#This Row],[DEU]]-VLOOKUP($U$1,A:D,4,))/VLOOKUP($U$1,A:D,4,))*100)+100</f>
        <v>109.97340425514938</v>
      </c>
      <c r="K133" s="85">
        <f>(((Table134567891011121314151617343[[#This Row],[ESP]]-VLOOKUP($U$1,A:E,5,))/VLOOKUP($U$1,A:E,5,))*100)+100</f>
        <v>106.77901992110958</v>
      </c>
      <c r="L133" s="85">
        <f>(((Table134567891011121314151617343[[#This Row],[EA19]]-VLOOKUP($U$1,A:F,6,))/VLOOKUP($U$1,A:F,6,))*100)+100</f>
        <v>109.39597315436241</v>
      </c>
      <c r="M133" s="85">
        <f>(((Table134567891011121314151617343[[#This Row],[GBR]]-VLOOKUP($U$1,A:G,7,))/VLOOKUP($U$1,A:G,7,))*100)+100</f>
        <v>110.7351225196402</v>
      </c>
      <c r="N133" s="85">
        <f>VLOOKUP(A133,Database!$A:$AS,MATCH($N$1,Database!$A$1:$AS$1,0),FALSE)</f>
        <v>91.921563677999998</v>
      </c>
      <c r="O133" s="85">
        <f>(((Table134567891011121314151617343[[#This Row],[USA]]-VLOOKUP($U$1,A:N,14,))/VLOOKUP($U$1,A:N,14,))*100)+100</f>
        <v>105.82308351467071</v>
      </c>
      <c r="P133" s="85">
        <f>VLOOKUP(A133,Database!$A:$AS,MATCH($P$1,Database!$A$1:$AS$1,0),FALSE)</f>
        <v>108.85177830000001</v>
      </c>
      <c r="Q133" s="85">
        <f>(((Table134567891011121314151617343[[#This Row],[JPN]]-VLOOKUP($U$1,A:Q,16,))/VLOOKUP($U$1,A:Q,16,))*100)+100</f>
        <v>109.28495197448493</v>
      </c>
    </row>
    <row r="134" spans="1:17" s="87" customFormat="1" x14ac:dyDescent="0.2">
      <c r="A134" s="22">
        <v>36892</v>
      </c>
      <c r="B134" s="85">
        <f>VLOOKUP(A134,Database!$A:$AS,MATCH($B$1,Database!$A$1:$AS$1,0),FALSE)</f>
        <v>128.18931755700001</v>
      </c>
      <c r="C134" s="85">
        <f>VLOOKUP(A134,Database!$A:$AS,MATCH($C$1,Database!$A$1:$AS$1,0),FALSE)</f>
        <v>110.79</v>
      </c>
      <c r="D134" s="85">
        <f>VLOOKUP(A134,Database!$A:$AS,MATCH($D$1,Database!$A$1:$AS$1,0),FALSE)</f>
        <v>82.493125573</v>
      </c>
      <c r="E134" s="85">
        <f>VLOOKUP(A134,Database!$A:$AS,MATCH($E$1,Database!$A$1:$AS$1,0),FALSE)</f>
        <v>122.687102239</v>
      </c>
      <c r="F134" s="85">
        <f>VLOOKUP(A134,Database!$A:$AS,MATCH($F$1,Database!$A$1:$AS$1,0),FALSE)</f>
        <v>97</v>
      </c>
      <c r="G134" s="85">
        <f>VLOOKUP(A134,Database!$A:$AS,MATCH($G$1,Database!$A$1:$AS$1,0),FALSE)</f>
        <v>98.297185876</v>
      </c>
      <c r="H134" s="85">
        <f>(((Table134567891011121314151617343[[#This Row],[ITA]]-VLOOKUP($U$1,A:B,2,))/VLOOKUP($U$1,A:B,2,))*100)+100</f>
        <v>105.42763157908941</v>
      </c>
      <c r="I134" s="85">
        <f>(((Table134567891011121314151617343[[#This Row],[FRA]]-VLOOKUP($U$1,A:C,3,))/VLOOKUP($U$1,A:C,3,))*100)+100</f>
        <v>108.09835105863988</v>
      </c>
      <c r="J134" s="85">
        <f>(((Table134567891011121314151617343[[#This Row],[DEU]]-VLOOKUP($U$1,A:D,4,))/VLOOKUP($U$1,A:D,4,))*100)+100</f>
        <v>109.70744680797303</v>
      </c>
      <c r="K134" s="85">
        <f>(((Table134567891011121314151617343[[#This Row],[ESP]]-VLOOKUP($U$1,A:E,5,))/VLOOKUP($U$1,A:E,5,))*100)+100</f>
        <v>103.12431705429066</v>
      </c>
      <c r="L134" s="85">
        <f>(((Table134567891011121314151617343[[#This Row],[EA19]]-VLOOKUP($U$1,A:F,6,))/VLOOKUP($U$1,A:F,6,))*100)+100</f>
        <v>108.50111856823266</v>
      </c>
      <c r="M134" s="85">
        <f>(((Table134567891011121314151617343[[#This Row],[GBR]]-VLOOKUP($U$1,A:G,7,))/VLOOKUP($U$1,A:G,7,))*100)+100</f>
        <v>106.6511085182636</v>
      </c>
      <c r="N134" s="85">
        <f>VLOOKUP(A134,Database!$A:$AS,MATCH($N$1,Database!$A$1:$AS$1,0),FALSE)</f>
        <v>91.392864125000003</v>
      </c>
      <c r="O134" s="85">
        <f>(((Table134567891011121314151617343[[#This Row],[USA]]-VLOOKUP($U$1,A:N,14,))/VLOOKUP($U$1,A:N,14,))*100)+100</f>
        <v>105.21442745277784</v>
      </c>
      <c r="P134" s="85">
        <f>VLOOKUP(A134,Database!$A:$AS,MATCH($P$1,Database!$A$1:$AS$1,0),FALSE)</f>
        <v>104.81235684000001</v>
      </c>
      <c r="Q134" s="85">
        <f>(((Table134567891011121314151617343[[#This Row],[JPN]]-VLOOKUP($U$1,A:Q,16,))/VLOOKUP($U$1,A:Q,16,))*100)+100</f>
        <v>105.22945571015974</v>
      </c>
    </row>
    <row r="135" spans="1:17" s="87" customFormat="1" x14ac:dyDescent="0.2">
      <c r="A135" s="22">
        <v>36923</v>
      </c>
      <c r="B135" s="85">
        <f>VLOOKUP(A135,Database!$A:$AS,MATCH($B$1,Database!$A$1:$AS$1,0),FALSE)</f>
        <v>127.389384218</v>
      </c>
      <c r="C135" s="85">
        <f>VLOOKUP(A135,Database!$A:$AS,MATCH($C$1,Database!$A$1:$AS$1,0),FALSE)</f>
        <v>111.52</v>
      </c>
      <c r="D135" s="85">
        <f>VLOOKUP(A135,Database!$A:$AS,MATCH($D$1,Database!$A$1:$AS$1,0),FALSE)</f>
        <v>83.393050579000004</v>
      </c>
      <c r="E135" s="85">
        <f>VLOOKUP(A135,Database!$A:$AS,MATCH($E$1,Database!$A$1:$AS$1,0),FALSE)</f>
        <v>123.57510297899999</v>
      </c>
      <c r="F135" s="85">
        <f>VLOOKUP(A135,Database!$A:$AS,MATCH($F$1,Database!$A$1:$AS$1,0),FALSE)</f>
        <v>97.3</v>
      </c>
      <c r="G135" s="85">
        <f>VLOOKUP(A135,Database!$A:$AS,MATCH($G$1,Database!$A$1:$AS$1,0),FALSE)</f>
        <v>96.576447392000006</v>
      </c>
      <c r="H135" s="85">
        <f>(((Table134567891011121314151617343[[#This Row],[ITA]]-VLOOKUP($U$1,A:B,2,))/VLOOKUP($U$1,A:B,2,))*100)+100</f>
        <v>104.76973684215533</v>
      </c>
      <c r="I135" s="85">
        <f>(((Table134567891011121314151617343[[#This Row],[FRA]]-VLOOKUP($U$1,A:C,3,))/VLOOKUP($U$1,A:C,3,))*100)+100</f>
        <v>108.81061566982144</v>
      </c>
      <c r="J135" s="85">
        <f>(((Table134567891011121314151617343[[#This Row],[DEU]]-VLOOKUP($U$1,A:D,4,))/VLOOKUP($U$1,A:D,4,))*100)+100</f>
        <v>110.90425531827178</v>
      </c>
      <c r="K135" s="85">
        <f>(((Table134567891011121314151617343[[#This Row],[ESP]]-VLOOKUP($U$1,A:E,5,))/VLOOKUP($U$1,A:E,5,))*100)+100</f>
        <v>103.87072371142901</v>
      </c>
      <c r="L135" s="85">
        <f>(((Table134567891011121314151617343[[#This Row],[EA19]]-VLOOKUP($U$1,A:F,6,))/VLOOKUP($U$1,A:F,6,))*100)+100</f>
        <v>108.83668903803131</v>
      </c>
      <c r="M135" s="85">
        <f>(((Table134567891011121314151617343[[#This Row],[GBR]]-VLOOKUP($U$1,A:G,7,))/VLOOKUP($U$1,A:G,7,))*100)+100</f>
        <v>104.78413068819488</v>
      </c>
      <c r="N135" s="85">
        <f>VLOOKUP(A135,Database!$A:$AS,MATCH($N$1,Database!$A$1:$AS$1,0),FALSE)</f>
        <v>90.774263843</v>
      </c>
      <c r="O135" s="85">
        <f>(((Table134567891011121314151617343[[#This Row],[USA]]-VLOOKUP($U$1,A:N,14,))/VLOOKUP($U$1,A:N,14,))*100)+100</f>
        <v>104.50227475775191</v>
      </c>
      <c r="P135" s="85">
        <f>VLOOKUP(A135,Database!$A:$AS,MATCH($P$1,Database!$A$1:$AS$1,0),FALSE)</f>
        <v>105.76906192200001</v>
      </c>
      <c r="Q135" s="85">
        <f>(((Table134567891011121314151617343[[#This Row],[JPN]]-VLOOKUP($U$1,A:Q,16,))/VLOOKUP($U$1,A:Q,16,))*100)+100</f>
        <v>106.18996798265529</v>
      </c>
    </row>
    <row r="136" spans="1:17" s="87" customFormat="1" x14ac:dyDescent="0.2">
      <c r="A136" s="22">
        <v>36951</v>
      </c>
      <c r="B136" s="85">
        <f>VLOOKUP(A136,Database!$A:$AS,MATCH($B$1,Database!$A$1:$AS$1,0),FALSE)</f>
        <v>127.489375885</v>
      </c>
      <c r="C136" s="85">
        <f>VLOOKUP(A136,Database!$A:$AS,MATCH($C$1,Database!$A$1:$AS$1,0),FALSE)</f>
        <v>111.99</v>
      </c>
      <c r="D136" s="85">
        <f>VLOOKUP(A136,Database!$A:$AS,MATCH($D$1,Database!$A$1:$AS$1,0),FALSE)</f>
        <v>81.993167236000005</v>
      </c>
      <c r="E136" s="85">
        <f>VLOOKUP(A136,Database!$A:$AS,MATCH($E$1,Database!$A$1:$AS$1,0),FALSE)</f>
        <v>122.950102458</v>
      </c>
      <c r="F136" s="85">
        <f>VLOOKUP(A136,Database!$A:$AS,MATCH($F$1,Database!$A$1:$AS$1,0),FALSE)</f>
        <v>96.7</v>
      </c>
      <c r="G136" s="85">
        <f>VLOOKUP(A136,Database!$A:$AS,MATCH($G$1,Database!$A$1:$AS$1,0),FALSE)</f>
        <v>97.221724323000004</v>
      </c>
      <c r="H136" s="85">
        <f>(((Table134567891011121314151617343[[#This Row],[ITA]]-VLOOKUP($U$1,A:B,2,))/VLOOKUP($U$1,A:B,2,))*100)+100</f>
        <v>104.85197368396366</v>
      </c>
      <c r="I136" s="85">
        <f>(((Table134567891011121314151617343[[#This Row],[FRA]]-VLOOKUP($U$1,A:C,3,))/VLOOKUP($U$1,A:C,3,))*100)+100</f>
        <v>109.26919699482876</v>
      </c>
      <c r="J136" s="85">
        <f>(((Table134567891011121314151617343[[#This Row],[DEU]]-VLOOKUP($U$1,A:D,4,))/VLOOKUP($U$1,A:D,4,))*100)+100</f>
        <v>109.04255319069709</v>
      </c>
      <c r="K136" s="85">
        <f>(((Table134567891011121314151617343[[#This Row],[ESP]]-VLOOKUP($U$1,A:E,5,))/VLOOKUP($U$1,A:E,5,))*100)+100</f>
        <v>103.34538118796519</v>
      </c>
      <c r="L136" s="85">
        <f>(((Table134567891011121314151617343[[#This Row],[EA19]]-VLOOKUP($U$1,A:F,6,))/VLOOKUP($U$1,A:F,6,))*100)+100</f>
        <v>108.165548098434</v>
      </c>
      <c r="M136" s="85">
        <f>(((Table134567891011121314151617343[[#This Row],[GBR]]-VLOOKUP($U$1,A:G,7,))/VLOOKUP($U$1,A:G,7,))*100)+100</f>
        <v>105.48424737392816</v>
      </c>
      <c r="N136" s="85">
        <f>VLOOKUP(A136,Database!$A:$AS,MATCH($N$1,Database!$A$1:$AS$1,0),FALSE)</f>
        <v>90.551643071000001</v>
      </c>
      <c r="O136" s="85">
        <f>(((Table134567891011121314151617343[[#This Row],[USA]]-VLOOKUP($U$1,A:N,14,))/VLOOKUP($U$1,A:N,14,))*100)+100</f>
        <v>104.24598650932762</v>
      </c>
      <c r="P136" s="85">
        <f>VLOOKUP(A136,Database!$A:$AS,MATCH($P$1,Database!$A$1:$AS$1,0),FALSE)</f>
        <v>103.961952322</v>
      </c>
      <c r="Q136" s="85">
        <f>(((Table134567891011121314151617343[[#This Row],[JPN]]-VLOOKUP($U$1,A:Q,16,))/VLOOKUP($U$1,A:Q,16,))*100)+100</f>
        <v>104.3756670228277</v>
      </c>
    </row>
    <row r="137" spans="1:17" s="87" customFormat="1" x14ac:dyDescent="0.2">
      <c r="A137" s="22">
        <v>36982</v>
      </c>
      <c r="B137" s="85">
        <f>VLOOKUP(A137,Database!$A:$AS,MATCH($B$1,Database!$A$1:$AS$1,0),FALSE)</f>
        <v>126.18948421</v>
      </c>
      <c r="C137" s="85">
        <f>VLOOKUP(A137,Database!$A:$AS,MATCH($C$1,Database!$A$1:$AS$1,0),FALSE)</f>
        <v>110.16</v>
      </c>
      <c r="D137" s="85">
        <f>VLOOKUP(A137,Database!$A:$AS,MATCH($D$1,Database!$A$1:$AS$1,0),FALSE)</f>
        <v>80.593283893000006</v>
      </c>
      <c r="E137" s="85">
        <f>VLOOKUP(A137,Database!$A:$AS,MATCH($E$1,Database!$A$1:$AS$1,0),FALSE)</f>
        <v>120.85810071500001</v>
      </c>
      <c r="F137" s="85">
        <f>VLOOKUP(A137,Database!$A:$AS,MATCH($F$1,Database!$A$1:$AS$1,0),FALSE)</f>
        <v>95.9</v>
      </c>
      <c r="G137" s="85">
        <f>VLOOKUP(A137,Database!$A:$AS,MATCH($G$1,Database!$A$1:$AS$1,0),FALSE)</f>
        <v>99.372647427999993</v>
      </c>
      <c r="H137" s="85">
        <f>(((Table134567891011121314151617343[[#This Row],[ITA]]-VLOOKUP($U$1,A:B,2,))/VLOOKUP($U$1,A:B,2,))*100)+100</f>
        <v>103.78289473716541</v>
      </c>
      <c r="I137" s="85">
        <f>(((Table134567891011121314151617343[[#This Row],[FRA]]-VLOOKUP($U$1,A:C,3,))/VLOOKUP($U$1,A:C,3,))*100)+100</f>
        <v>107.4836569421407</v>
      </c>
      <c r="J137" s="85">
        <f>(((Table134567891011121314151617343[[#This Row],[DEU]]-VLOOKUP($U$1,A:D,4,))/VLOOKUP($U$1,A:D,4,))*100)+100</f>
        <v>107.18085106312242</v>
      </c>
      <c r="K137" s="85">
        <f>(((Table134567891011121314151617343[[#This Row],[ESP]]-VLOOKUP($U$1,A:E,5,))/VLOOKUP($U$1,A:E,5,))*100)+100</f>
        <v>101.58695469417617</v>
      </c>
      <c r="L137" s="85">
        <f>(((Table134567891011121314151617343[[#This Row],[EA19]]-VLOOKUP($U$1,A:F,6,))/VLOOKUP($U$1,A:F,6,))*100)+100</f>
        <v>107.27069351230425</v>
      </c>
      <c r="M137" s="85">
        <f>(((Table134567891011121314151617343[[#This Row],[GBR]]-VLOOKUP($U$1,A:G,7,))/VLOOKUP($U$1,A:G,7,))*100)+100</f>
        <v>107.81796966151406</v>
      </c>
      <c r="N137" s="85">
        <f>VLOOKUP(A137,Database!$A:$AS,MATCH($N$1,Database!$A$1:$AS$1,0),FALSE)</f>
        <v>90.269451915000005</v>
      </c>
      <c r="O137" s="85">
        <f>(((Table134567891011121314151617343[[#This Row],[USA]]-VLOOKUP($U$1,A:N,14,))/VLOOKUP($U$1,A:N,14,))*100)+100</f>
        <v>103.92111890401689</v>
      </c>
      <c r="P137" s="85">
        <f>VLOOKUP(A137,Database!$A:$AS,MATCH($P$1,Database!$A$1:$AS$1,0),FALSE)</f>
        <v>103.217848369</v>
      </c>
      <c r="Q137" s="85">
        <f>(((Table134567891011121314151617343[[#This Row],[JPN]]-VLOOKUP($U$1,A:Q,16,))/VLOOKUP($U$1,A:Q,16,))*100)+100</f>
        <v>103.62860192166315</v>
      </c>
    </row>
    <row r="138" spans="1:17" s="87" customFormat="1" x14ac:dyDescent="0.2">
      <c r="A138" s="22">
        <v>37012</v>
      </c>
      <c r="B138" s="85">
        <f>VLOOKUP(A138,Database!$A:$AS,MATCH($B$1,Database!$A$1:$AS$1,0),FALSE)</f>
        <v>126.089492542</v>
      </c>
      <c r="C138" s="85">
        <f>VLOOKUP(A138,Database!$A:$AS,MATCH($C$1,Database!$A$1:$AS$1,0),FALSE)</f>
        <v>110.99</v>
      </c>
      <c r="D138" s="85">
        <f>VLOOKUP(A138,Database!$A:$AS,MATCH($D$1,Database!$A$1:$AS$1,0),FALSE)</f>
        <v>81.493208898999995</v>
      </c>
      <c r="E138" s="85">
        <f>VLOOKUP(A138,Database!$A:$AS,MATCH($E$1,Database!$A$1:$AS$1,0),FALSE)</f>
        <v>123.645103038</v>
      </c>
      <c r="F138" s="85">
        <f>VLOOKUP(A138,Database!$A:$AS,MATCH($F$1,Database!$A$1:$AS$1,0),FALSE)</f>
        <v>96.2</v>
      </c>
      <c r="G138" s="85">
        <f>VLOOKUP(A138,Database!$A:$AS,MATCH($G$1,Database!$A$1:$AS$1,0),FALSE)</f>
        <v>99.802832049000003</v>
      </c>
      <c r="H138" s="85">
        <f>(((Table134567891011121314151617343[[#This Row],[ITA]]-VLOOKUP($U$1,A:B,2,))/VLOOKUP($U$1,A:B,2,))*100)+100</f>
        <v>103.70065789453461</v>
      </c>
      <c r="I138" s="85">
        <f>(((Table134567891011121314151617343[[#This Row],[FRA]]-VLOOKUP($U$1,A:C,3,))/VLOOKUP($U$1,A:C,3,))*100)+100</f>
        <v>108.29349204800468</v>
      </c>
      <c r="J138" s="85">
        <f>(((Table134567891011121314151617343[[#This Row],[DEU]]-VLOOKUP($U$1,A:D,4,))/VLOOKUP($U$1,A:D,4,))*100)+100</f>
        <v>108.37765957342114</v>
      </c>
      <c r="K138" s="85">
        <f>(((Table134567891011121314151617343[[#This Row],[ESP]]-VLOOKUP($U$1,A:E,5,))/VLOOKUP($U$1,A:E,5,))*100)+100</f>
        <v>103.92956207460165</v>
      </c>
      <c r="L138" s="85">
        <f>(((Table134567891011121314151617343[[#This Row],[EA19]]-VLOOKUP($U$1,A:F,6,))/VLOOKUP($U$1,A:F,6,))*100)+100</f>
        <v>107.6062639821029</v>
      </c>
      <c r="M138" s="85">
        <f>(((Table134567891011121314151617343[[#This Row],[GBR]]-VLOOKUP($U$1,A:G,7,))/VLOOKUP($U$1,A:G,7,))*100)+100</f>
        <v>108.28471411903124</v>
      </c>
      <c r="N138" s="85">
        <f>VLOOKUP(A138,Database!$A:$AS,MATCH($N$1,Database!$A$1:$AS$1,0),FALSE)</f>
        <v>89.735697305000002</v>
      </c>
      <c r="O138" s="85">
        <f>(((Table134567891011121314151617343[[#This Row],[USA]]-VLOOKUP($U$1,A:N,14,))/VLOOKUP($U$1,A:N,14,))*100)+100</f>
        <v>103.30664329665852</v>
      </c>
      <c r="P138" s="85">
        <f>VLOOKUP(A138,Database!$A:$AS,MATCH($P$1,Database!$A$1:$AS$1,0),FALSE)</f>
        <v>101.19813763800001</v>
      </c>
      <c r="Q138" s="85">
        <f>(((Table134567891011121314151617343[[#This Row],[JPN]]-VLOOKUP($U$1,A:Q,16,))/VLOOKUP($U$1,A:Q,16,))*100)+100</f>
        <v>101.60085378849659</v>
      </c>
    </row>
    <row r="139" spans="1:17" s="87" customFormat="1" x14ac:dyDescent="0.2">
      <c r="A139" s="22">
        <v>37043</v>
      </c>
      <c r="B139" s="85">
        <f>VLOOKUP(A139,Database!$A:$AS,MATCH($B$1,Database!$A$1:$AS$1,0),FALSE)</f>
        <v>126.289475877</v>
      </c>
      <c r="C139" s="85">
        <f>VLOOKUP(A139,Database!$A:$AS,MATCH($C$1,Database!$A$1:$AS$1,0),FALSE)</f>
        <v>111.02</v>
      </c>
      <c r="D139" s="85">
        <f>VLOOKUP(A139,Database!$A:$AS,MATCH($D$1,Database!$A$1:$AS$1,0),FALSE)</f>
        <v>81.893175568999993</v>
      </c>
      <c r="E139" s="85">
        <f>VLOOKUP(A139,Database!$A:$AS,MATCH($E$1,Database!$A$1:$AS$1,0),FALSE)</f>
        <v>123.615103013</v>
      </c>
      <c r="F139" s="85">
        <f>VLOOKUP(A139,Database!$A:$AS,MATCH($F$1,Database!$A$1:$AS$1,0),FALSE)</f>
        <v>96.2</v>
      </c>
      <c r="G139" s="85">
        <f>VLOOKUP(A139,Database!$A:$AS,MATCH($G$1,Database!$A$1:$AS$1,0),FALSE)</f>
        <v>101.416024377</v>
      </c>
      <c r="H139" s="85">
        <f>(((Table134567891011121314151617343[[#This Row],[ITA]]-VLOOKUP($U$1,A:B,2,))/VLOOKUP($U$1,A:B,2,))*100)+100</f>
        <v>103.86513157897375</v>
      </c>
      <c r="I139" s="85">
        <f>(((Table134567891011121314151617343[[#This Row],[FRA]]-VLOOKUP($U$1,A:C,3,))/VLOOKUP($U$1,A:C,3,))*100)+100</f>
        <v>108.32276319640941</v>
      </c>
      <c r="J139" s="85">
        <f>(((Table134567891011121314151617343[[#This Row],[DEU]]-VLOOKUP($U$1,A:D,4,))/VLOOKUP($U$1,A:D,4,))*100)+100</f>
        <v>108.90957446777385</v>
      </c>
      <c r="K139" s="85">
        <f>(((Table134567891011121314151617343[[#This Row],[ESP]]-VLOOKUP($U$1,A:E,5,))/VLOOKUP($U$1,A:E,5,))*100)+100</f>
        <v>103.90434563348209</v>
      </c>
      <c r="L139" s="85">
        <f>(((Table134567891011121314151617343[[#This Row],[EA19]]-VLOOKUP($U$1,A:F,6,))/VLOOKUP($U$1,A:F,6,))*100)+100</f>
        <v>107.6062639821029</v>
      </c>
      <c r="M139" s="85">
        <f>(((Table134567891011121314151617343[[#This Row],[GBR]]-VLOOKUP($U$1,A:G,7,))/VLOOKUP($U$1,A:G,7,))*100)+100</f>
        <v>110.03500583390692</v>
      </c>
      <c r="N139" s="85">
        <f>VLOOKUP(A139,Database!$A:$AS,MATCH($N$1,Database!$A$1:$AS$1,0),FALSE)</f>
        <v>89.238814880000007</v>
      </c>
      <c r="O139" s="85">
        <f>(((Table134567891011121314151617343[[#This Row],[USA]]-VLOOKUP($U$1,A:N,14,))/VLOOKUP($U$1,A:N,14,))*100)+100</f>
        <v>102.73461614379219</v>
      </c>
      <c r="P139" s="85">
        <f>VLOOKUP(A139,Database!$A:$AS,MATCH($P$1,Database!$A$1:$AS$1,0),FALSE)</f>
        <v>100.13513199099999</v>
      </c>
      <c r="Q139" s="85">
        <f>(((Table134567891011121314151617343[[#This Row],[JPN]]-VLOOKUP($U$1,A:Q,16,))/VLOOKUP($U$1,A:Q,16,))*100)+100</f>
        <v>100.53361792983353</v>
      </c>
    </row>
    <row r="140" spans="1:17" s="87" customFormat="1" x14ac:dyDescent="0.2">
      <c r="A140" s="22">
        <v>37073</v>
      </c>
      <c r="B140" s="85">
        <f>VLOOKUP(A140,Database!$A:$AS,MATCH($B$1,Database!$A$1:$AS$1,0),FALSE)</f>
        <v>123.88967586</v>
      </c>
      <c r="C140" s="85">
        <f>VLOOKUP(A140,Database!$A:$AS,MATCH($C$1,Database!$A$1:$AS$1,0),FALSE)</f>
        <v>109.48</v>
      </c>
      <c r="D140" s="85">
        <f>VLOOKUP(A140,Database!$A:$AS,MATCH($D$1,Database!$A$1:$AS$1,0),FALSE)</f>
        <v>79.393383885000006</v>
      </c>
      <c r="E140" s="85">
        <f>VLOOKUP(A140,Database!$A:$AS,MATCH($E$1,Database!$A$1:$AS$1,0),FALSE)</f>
        <v>120.848100707</v>
      </c>
      <c r="F140" s="85">
        <f>VLOOKUP(A140,Database!$A:$AS,MATCH($F$1,Database!$A$1:$AS$1,0),FALSE)</f>
        <v>94.5</v>
      </c>
      <c r="G140" s="85">
        <f>VLOOKUP(A140,Database!$A:$AS,MATCH($G$1,Database!$A$1:$AS$1,0),FALSE)</f>
        <v>101.416024377</v>
      </c>
      <c r="H140" s="85">
        <f>(((Table134567891011121314151617343[[#This Row],[ITA]]-VLOOKUP($U$1,A:B,2,))/VLOOKUP($U$1,A:B,2,))*100)+100</f>
        <v>101.89144736817148</v>
      </c>
      <c r="I140" s="85">
        <f>(((Table134567891011121314151617343[[#This Row],[FRA]]-VLOOKUP($U$1,A:C,3,))/VLOOKUP($U$1,A:C,3,))*100)+100</f>
        <v>106.82017757830033</v>
      </c>
      <c r="J140" s="85">
        <f>(((Table134567891011121314151617343[[#This Row],[DEU]]-VLOOKUP($U$1,A:D,4,))/VLOOKUP($U$1,A:D,4,))*100)+100</f>
        <v>105.58510638272408</v>
      </c>
      <c r="K140" s="85">
        <f>(((Table134567891011121314151617343[[#This Row],[ESP]]-VLOOKUP($U$1,A:E,5,))/VLOOKUP($U$1,A:E,5,))*100)+100</f>
        <v>101.57854921408317</v>
      </c>
      <c r="L140" s="85">
        <f>(((Table134567891011121314151617343[[#This Row],[EA19]]-VLOOKUP($U$1,A:F,6,))/VLOOKUP($U$1,A:F,6,))*100)+100</f>
        <v>105.70469798657717</v>
      </c>
      <c r="M140" s="85">
        <f>(((Table134567891011121314151617343[[#This Row],[GBR]]-VLOOKUP($U$1,A:G,7,))/VLOOKUP($U$1,A:G,7,))*100)+100</f>
        <v>110.03500583390692</v>
      </c>
      <c r="N140" s="85">
        <f>VLOOKUP(A140,Database!$A:$AS,MATCH($N$1,Database!$A$1:$AS$1,0),FALSE)</f>
        <v>88.689300384000006</v>
      </c>
      <c r="O140" s="85">
        <f>(((Table134567891011121314151617343[[#This Row],[USA]]-VLOOKUP($U$1,A:N,14,))/VLOOKUP($U$1,A:N,14,))*100)+100</f>
        <v>102.10199724485317</v>
      </c>
      <c r="P140" s="85">
        <f>VLOOKUP(A140,Database!$A:$AS,MATCH($P$1,Database!$A$1:$AS$1,0),FALSE)</f>
        <v>98.753224649000003</v>
      </c>
      <c r="Q140" s="85">
        <f>(((Table134567891011121314151617343[[#This Row],[JPN]]-VLOOKUP($U$1,A:Q,16,))/VLOOKUP($U$1,A:Q,16,))*100)+100</f>
        <v>99.146211312667972</v>
      </c>
    </row>
    <row r="141" spans="1:17" s="87" customFormat="1" x14ac:dyDescent="0.2">
      <c r="A141" s="22">
        <v>37104</v>
      </c>
      <c r="B141" s="85">
        <f>VLOOKUP(A141,Database!$A:$AS,MATCH($B$1,Database!$A$1:$AS$1,0),FALSE)</f>
        <v>126.089492542</v>
      </c>
      <c r="C141" s="85">
        <f>VLOOKUP(A141,Database!$A:$AS,MATCH($C$1,Database!$A$1:$AS$1,0),FALSE)</f>
        <v>112.19</v>
      </c>
      <c r="D141" s="85">
        <f>VLOOKUP(A141,Database!$A:$AS,MATCH($D$1,Database!$A$1:$AS$1,0),FALSE)</f>
        <v>81.593200566999997</v>
      </c>
      <c r="E141" s="85">
        <f>VLOOKUP(A141,Database!$A:$AS,MATCH($E$1,Database!$A$1:$AS$1,0),FALSE)</f>
        <v>125.783104819</v>
      </c>
      <c r="F141" s="85">
        <f>VLOOKUP(A141,Database!$A:$AS,MATCH($F$1,Database!$A$1:$AS$1,0),FALSE)</f>
        <v>96.8</v>
      </c>
      <c r="G141" s="85">
        <f>VLOOKUP(A141,Database!$A:$AS,MATCH($G$1,Database!$A$1:$AS$1,0),FALSE)</f>
        <v>103.997132103</v>
      </c>
      <c r="H141" s="85">
        <f>(((Table134567891011121314151617343[[#This Row],[ITA]]-VLOOKUP($U$1,A:B,2,))/VLOOKUP($U$1,A:B,2,))*100)+100</f>
        <v>103.70065789453461</v>
      </c>
      <c r="I141" s="85">
        <f>(((Table134567891011121314151617343[[#This Row],[FRA]]-VLOOKUP($U$1,A:C,3,))/VLOOKUP($U$1,A:C,3,))*100)+100</f>
        <v>109.46433798419358</v>
      </c>
      <c r="J141" s="85">
        <f>(((Table134567891011121314151617343[[#This Row],[DEU]]-VLOOKUP($U$1,A:D,4,))/VLOOKUP($U$1,A:D,4,))*100)+100</f>
        <v>108.51063829767428</v>
      </c>
      <c r="K141" s="85">
        <f>(((Table134567891011121314151617343[[#This Row],[ESP]]-VLOOKUP($U$1,A:E,5,))/VLOOKUP($U$1,A:E,5,))*100)+100</f>
        <v>105.72665377782711</v>
      </c>
      <c r="L141" s="85">
        <f>(((Table134567891011121314151617343[[#This Row],[EA19]]-VLOOKUP($U$1,A:F,6,))/VLOOKUP($U$1,A:F,6,))*100)+100</f>
        <v>108.27740492170021</v>
      </c>
      <c r="M141" s="85">
        <f>(((Table134567891011121314151617343[[#This Row],[GBR]]-VLOOKUP($U$1,A:G,7,))/VLOOKUP($U$1,A:G,7,))*100)+100</f>
        <v>112.83547257901</v>
      </c>
      <c r="N141" s="85">
        <f>VLOOKUP(A141,Database!$A:$AS,MATCH($N$1,Database!$A$1:$AS$1,0),FALSE)</f>
        <v>88.596128734000004</v>
      </c>
      <c r="O141" s="85">
        <f>(((Table134567891011121314151617343[[#This Row],[USA]]-VLOOKUP($U$1,A:N,14,))/VLOOKUP($U$1,A:N,14,))*100)+100</f>
        <v>101.99473502144617</v>
      </c>
      <c r="P141" s="85">
        <f>VLOOKUP(A141,Database!$A:$AS,MATCH($P$1,Database!$A$1:$AS$1,0),FALSE)</f>
        <v>97.371317306999998</v>
      </c>
      <c r="Q141" s="85">
        <f>(((Table134567891011121314151617343[[#This Row],[JPN]]-VLOOKUP($U$1,A:Q,16,))/VLOOKUP($U$1,A:Q,16,))*100)+100</f>
        <v>97.758804695502405</v>
      </c>
    </row>
    <row r="142" spans="1:17" s="87" customFormat="1" x14ac:dyDescent="0.2">
      <c r="A142" s="22">
        <v>37135</v>
      </c>
      <c r="B142" s="85">
        <f>VLOOKUP(A142,Database!$A:$AS,MATCH($B$1,Database!$A$1:$AS$1,0),FALSE)</f>
        <v>124.18965086199999</v>
      </c>
      <c r="C142" s="85">
        <f>VLOOKUP(A142,Database!$A:$AS,MATCH($C$1,Database!$A$1:$AS$1,0),FALSE)</f>
        <v>110.49</v>
      </c>
      <c r="D142" s="85">
        <f>VLOOKUP(A142,Database!$A:$AS,MATCH($D$1,Database!$A$1:$AS$1,0),FALSE)</f>
        <v>80.493292225999994</v>
      </c>
      <c r="E142" s="85">
        <f>VLOOKUP(A142,Database!$A:$AS,MATCH($E$1,Database!$A$1:$AS$1,0),FALSE)</f>
        <v>123.029102524</v>
      </c>
      <c r="F142" s="85">
        <f>VLOOKUP(A142,Database!$A:$AS,MATCH($F$1,Database!$A$1:$AS$1,0),FALSE)</f>
        <v>95.4</v>
      </c>
      <c r="G142" s="85">
        <f>VLOOKUP(A142,Database!$A:$AS,MATCH($G$1,Database!$A$1:$AS$1,0),FALSE)</f>
        <v>103.674493637</v>
      </c>
      <c r="H142" s="85">
        <f>(((Table134567891011121314151617343[[#This Row],[ITA]]-VLOOKUP($U$1,A:B,2,))/VLOOKUP($U$1,A:B,2,))*100)+100</f>
        <v>102.13815789441895</v>
      </c>
      <c r="I142" s="85">
        <f>(((Table134567891011121314151617343[[#This Row],[FRA]]-VLOOKUP($U$1,A:C,3,))/VLOOKUP($U$1,A:C,3,))*100)+100</f>
        <v>107.80563957459265</v>
      </c>
      <c r="J142" s="85">
        <f>(((Table134567891011121314151617343[[#This Row],[DEU]]-VLOOKUP($U$1,A:D,4,))/VLOOKUP($U$1,A:D,4,))*100)+100</f>
        <v>107.04787234019916</v>
      </c>
      <c r="K142" s="85">
        <f>(((Table134567891011121314151617343[[#This Row],[ESP]]-VLOOKUP($U$1,A:E,5,))/VLOOKUP($U$1,A:E,5,))*100)+100</f>
        <v>103.4117844830534</v>
      </c>
      <c r="L142" s="85">
        <f>(((Table134567891011121314151617343[[#This Row],[EA19]]-VLOOKUP($U$1,A:F,6,))/VLOOKUP($U$1,A:F,6,))*100)+100</f>
        <v>106.71140939597315</v>
      </c>
      <c r="M142" s="85">
        <f>(((Table134567891011121314151617343[[#This Row],[GBR]]-VLOOKUP($U$1,A:G,7,))/VLOOKUP($U$1,A:G,7,))*100)+100</f>
        <v>112.48541423560087</v>
      </c>
      <c r="N142" s="85">
        <f>VLOOKUP(A142,Database!$A:$AS,MATCH($N$1,Database!$A$1:$AS$1,0),FALSE)</f>
        <v>88.142561213999997</v>
      </c>
      <c r="O142" s="85">
        <f>(((Table134567891011121314151617343[[#This Row],[USA]]-VLOOKUP($U$1,A:N,14,))/VLOOKUP($U$1,A:N,14,))*100)+100</f>
        <v>101.47257339116061</v>
      </c>
      <c r="P142" s="85">
        <f>VLOOKUP(A142,Database!$A:$AS,MATCH($P$1,Database!$A$1:$AS$1,0),FALSE)</f>
        <v>95.564207706999994</v>
      </c>
      <c r="Q142" s="85">
        <f>(((Table134567891011121314151617343[[#This Row],[JPN]]-VLOOKUP($U$1,A:Q,16,))/VLOOKUP($U$1,A:Q,16,))*100)+100</f>
        <v>95.944503735674814</v>
      </c>
    </row>
    <row r="143" spans="1:17" s="87" customFormat="1" x14ac:dyDescent="0.2">
      <c r="A143" s="22">
        <v>37165</v>
      </c>
      <c r="B143" s="85">
        <f>VLOOKUP(A143,Database!$A:$AS,MATCH($B$1,Database!$A$1:$AS$1,0),FALSE)</f>
        <v>123.489709191</v>
      </c>
      <c r="C143" s="85">
        <f>VLOOKUP(A143,Database!$A:$AS,MATCH($C$1,Database!$A$1:$AS$1,0),FALSE)</f>
        <v>109.73</v>
      </c>
      <c r="D143" s="85">
        <f>VLOOKUP(A143,Database!$A:$AS,MATCH($D$1,Database!$A$1:$AS$1,0),FALSE)</f>
        <v>79.093408882999995</v>
      </c>
      <c r="E143" s="85">
        <f>VLOOKUP(A143,Database!$A:$AS,MATCH($E$1,Database!$A$1:$AS$1,0),FALSE)</f>
        <v>121.710101425</v>
      </c>
      <c r="F143" s="85">
        <f>VLOOKUP(A143,Database!$A:$AS,MATCH($F$1,Database!$A$1:$AS$1,0),FALSE)</f>
        <v>94.2</v>
      </c>
      <c r="G143" s="85">
        <f>VLOOKUP(A143,Database!$A:$AS,MATCH($G$1,Database!$A$1:$AS$1,0),FALSE)</f>
        <v>103.674493637</v>
      </c>
      <c r="H143" s="85">
        <f>(((Table134567891011121314151617343[[#This Row],[ITA]]-VLOOKUP($U$1,A:B,2,))/VLOOKUP($U$1,A:B,2,))*100)+100</f>
        <v>101.56250000011566</v>
      </c>
      <c r="I143" s="85">
        <f>(((Table134567891011121314151617343[[#This Row],[FRA]]-VLOOKUP($U$1,A:C,3,))/VLOOKUP($U$1,A:C,3,))*100)+100</f>
        <v>107.06410381500635</v>
      </c>
      <c r="J143" s="85">
        <f>(((Table134567891011121314151617343[[#This Row],[DEU]]-VLOOKUP($U$1,A:D,4,))/VLOOKUP($U$1,A:D,4,))*100)+100</f>
        <v>105.18617021262448</v>
      </c>
      <c r="K143" s="85">
        <f>(((Table134567891011121314151617343[[#This Row],[ESP]]-VLOOKUP($U$1,A:E,5,))/VLOOKUP($U$1,A:E,5,))*100)+100</f>
        <v>102.30310162197108</v>
      </c>
      <c r="L143" s="85">
        <f>(((Table134567891011121314151617343[[#This Row],[EA19]]-VLOOKUP($U$1,A:F,6,))/VLOOKUP($U$1,A:F,6,))*100)+100</f>
        <v>105.36912751677852</v>
      </c>
      <c r="M143" s="85">
        <f>(((Table134567891011121314151617343[[#This Row],[GBR]]-VLOOKUP($U$1,A:G,7,))/VLOOKUP($U$1,A:G,7,))*100)+100</f>
        <v>112.48541423560087</v>
      </c>
      <c r="N143" s="85">
        <f>VLOOKUP(A143,Database!$A:$AS,MATCH($N$1,Database!$A$1:$AS$1,0),FALSE)</f>
        <v>87.855414119000002</v>
      </c>
      <c r="O143" s="85">
        <f>(((Table134567891011121314151617343[[#This Row],[USA]]-VLOOKUP($U$1,A:N,14,))/VLOOKUP($U$1,A:N,14,))*100)+100</f>
        <v>101.14200034823867</v>
      </c>
      <c r="P143" s="85">
        <f>VLOOKUP(A143,Database!$A:$AS,MATCH($P$1,Database!$A$1:$AS$1,0),FALSE)</f>
        <v>95.564207706999994</v>
      </c>
      <c r="Q143" s="85">
        <f>(((Table134567891011121314151617343[[#This Row],[JPN]]-VLOOKUP($U$1,A:Q,16,))/VLOOKUP($U$1,A:Q,16,))*100)+100</f>
        <v>95.944503735674814</v>
      </c>
    </row>
    <row r="144" spans="1:17" s="87" customFormat="1" x14ac:dyDescent="0.2">
      <c r="A144" s="22">
        <v>37196</v>
      </c>
      <c r="B144" s="85">
        <f>VLOOKUP(A144,Database!$A:$AS,MATCH($B$1,Database!$A$1:$AS$1,0),FALSE)</f>
        <v>121.68985917800001</v>
      </c>
      <c r="C144" s="85">
        <f>VLOOKUP(A144,Database!$A:$AS,MATCH($C$1,Database!$A$1:$AS$1,0),FALSE)</f>
        <v>108.49</v>
      </c>
      <c r="D144" s="85">
        <f>VLOOKUP(A144,Database!$A:$AS,MATCH($D$1,Database!$A$1:$AS$1,0),FALSE)</f>
        <v>78.093492209000004</v>
      </c>
      <c r="E144" s="85">
        <f>VLOOKUP(A144,Database!$A:$AS,MATCH($E$1,Database!$A$1:$AS$1,0),FALSE)</f>
        <v>119.88909990800001</v>
      </c>
      <c r="F144" s="85">
        <f>VLOOKUP(A144,Database!$A:$AS,MATCH($F$1,Database!$A$1:$AS$1,0),FALSE)</f>
        <v>93.5</v>
      </c>
      <c r="G144" s="85">
        <f>VLOOKUP(A144,Database!$A:$AS,MATCH($G$1,Database!$A$1:$AS$1,0),FALSE)</f>
        <v>104.534862879</v>
      </c>
      <c r="H144" s="85">
        <f>(((Table134567891011121314151617343[[#This Row],[ITA]]-VLOOKUP($U$1,A:B,2,))/VLOOKUP($U$1,A:B,2,))*100)+100</f>
        <v>100.08223684180835</v>
      </c>
      <c r="I144" s="85">
        <f>(((Table134567891011121314151617343[[#This Row],[FRA]]-VLOOKUP($U$1,A:C,3,))/VLOOKUP($U$1,A:C,3,))*100)+100</f>
        <v>105.85422968094448</v>
      </c>
      <c r="J144" s="85">
        <f>(((Table134567891011121314151617343[[#This Row],[DEU]]-VLOOKUP($U$1,A:D,4,))/VLOOKUP($U$1,A:D,4,))*100)+100</f>
        <v>103.85638297807262</v>
      </c>
      <c r="K144" s="85">
        <f>(((Table134567891011121314151617343[[#This Row],[ESP]]-VLOOKUP($U$1,A:E,5,))/VLOOKUP($U$1,A:E,5,))*100)+100</f>
        <v>100.77246364643533</v>
      </c>
      <c r="L144" s="85">
        <f>(((Table134567891011121314151617343[[#This Row],[EA19]]-VLOOKUP($U$1,A:F,6,))/VLOOKUP($U$1,A:F,6,))*100)+100</f>
        <v>104.58612975391499</v>
      </c>
      <c r="M144" s="85">
        <f>(((Table134567891011121314151617343[[#This Row],[GBR]]-VLOOKUP($U$1,A:G,7,))/VLOOKUP($U$1,A:G,7,))*100)+100</f>
        <v>113.41890315063524</v>
      </c>
      <c r="N144" s="85">
        <f>VLOOKUP(A144,Database!$A:$AS,MATCH($N$1,Database!$A$1:$AS$1,0),FALSE)</f>
        <v>87.329390774000004</v>
      </c>
      <c r="O144" s="85">
        <f>(((Table134567891011121314151617343[[#This Row],[USA]]-VLOOKUP($U$1,A:N,14,))/VLOOKUP($U$1,A:N,14,))*100)+100</f>
        <v>100.53642522373799</v>
      </c>
      <c r="P144" s="85">
        <f>VLOOKUP(A144,Database!$A:$AS,MATCH($P$1,Database!$A$1:$AS$1,0),FALSE)</f>
        <v>94.075999800000005</v>
      </c>
      <c r="Q144" s="85">
        <f>(((Table134567891011121314151617343[[#This Row],[JPN]]-VLOOKUP($U$1,A:Q,16,))/VLOOKUP($U$1,A:Q,16,))*100)+100</f>
        <v>94.450373532341771</v>
      </c>
    </row>
    <row r="145" spans="1:17" s="87" customFormat="1" x14ac:dyDescent="0.2">
      <c r="A145" s="22">
        <v>37226</v>
      </c>
      <c r="B145" s="85">
        <f>VLOOKUP(A145,Database!$A:$AS,MATCH($B$1,Database!$A$1:$AS$1,0),FALSE)</f>
        <v>123.38971752400001</v>
      </c>
      <c r="C145" s="85">
        <f>VLOOKUP(A145,Database!$A:$AS,MATCH($C$1,Database!$A$1:$AS$1,0),FALSE)</f>
        <v>109.19</v>
      </c>
      <c r="D145" s="85">
        <f>VLOOKUP(A145,Database!$A:$AS,MATCH($D$1,Database!$A$1:$AS$1,0),FALSE)</f>
        <v>78.593450546</v>
      </c>
      <c r="E145" s="85">
        <f>VLOOKUP(A145,Database!$A:$AS,MATCH($E$1,Database!$A$1:$AS$1,0),FALSE)</f>
        <v>119.76409980299999</v>
      </c>
      <c r="F145" s="85">
        <f>VLOOKUP(A145,Database!$A:$AS,MATCH($F$1,Database!$A$1:$AS$1,0),FALSE)</f>
        <v>94.2</v>
      </c>
      <c r="G145" s="85">
        <f>VLOOKUP(A145,Database!$A:$AS,MATCH($G$1,Database!$A$1:$AS$1,0),FALSE)</f>
        <v>105.502778276</v>
      </c>
      <c r="H145" s="85">
        <f>(((Table134567891011121314151617343[[#This Row],[ITA]]-VLOOKUP($U$1,A:B,2,))/VLOOKUP($U$1,A:B,2,))*100)+100</f>
        <v>101.48026315830732</v>
      </c>
      <c r="I145" s="85">
        <f>(((Table134567891011121314151617343[[#This Row],[FRA]]-VLOOKUP($U$1,A:C,3,))/VLOOKUP($U$1,A:C,3,))*100)+100</f>
        <v>106.53722314372135</v>
      </c>
      <c r="J145" s="85">
        <f>(((Table134567891011121314151617343[[#This Row],[DEU]]-VLOOKUP($U$1,A:D,4,))/VLOOKUP($U$1,A:D,4,))*100)+100</f>
        <v>104.52127659534855</v>
      </c>
      <c r="K145" s="85">
        <f>(((Table134567891011121314151617343[[#This Row],[ESP]]-VLOOKUP($U$1,A:E,5,))/VLOOKUP($U$1,A:E,5,))*100)+100</f>
        <v>100.6673951410701</v>
      </c>
      <c r="L145" s="85">
        <f>(((Table134567891011121314151617343[[#This Row],[EA19]]-VLOOKUP($U$1,A:F,6,))/VLOOKUP($U$1,A:F,6,))*100)+100</f>
        <v>105.36912751677852</v>
      </c>
      <c r="M145" s="85">
        <f>(((Table134567891011121314151617343[[#This Row],[GBR]]-VLOOKUP($U$1,A:G,7,))/VLOOKUP($U$1,A:G,7,))*100)+100</f>
        <v>114.46907817977765</v>
      </c>
      <c r="N145" s="85">
        <f>VLOOKUP(A145,Database!$A:$AS,MATCH($N$1,Database!$A$1:$AS$1,0),FALSE)</f>
        <v>87.313432650999999</v>
      </c>
      <c r="O145" s="85">
        <f>(((Table134567891011121314151617343[[#This Row],[USA]]-VLOOKUP($U$1,A:N,14,))/VLOOKUP($U$1,A:N,14,))*100)+100</f>
        <v>100.51805371529757</v>
      </c>
      <c r="P145" s="85">
        <f>VLOOKUP(A145,Database!$A:$AS,MATCH($P$1,Database!$A$1:$AS$1,0),FALSE)</f>
        <v>95.032704882999994</v>
      </c>
      <c r="Q145" s="85">
        <f>(((Table134567891011121314151617343[[#This Row],[JPN]]-VLOOKUP($U$1,A:Q,16,))/VLOOKUP($U$1,A:Q,16,))*100)+100</f>
        <v>95.410885805841289</v>
      </c>
    </row>
    <row r="146" spans="1:17" s="87" customFormat="1" x14ac:dyDescent="0.2">
      <c r="A146" s="22">
        <v>37257</v>
      </c>
      <c r="B146" s="85">
        <f>VLOOKUP(A146,Database!$A:$AS,MATCH($B$1,Database!$A$1:$AS$1,0),FALSE)</f>
        <v>122.289809183</v>
      </c>
      <c r="C146" s="85">
        <f>VLOOKUP(A146,Database!$A:$AS,MATCH($C$1,Database!$A$1:$AS$1,0),FALSE)</f>
        <v>109.15</v>
      </c>
      <c r="D146" s="85">
        <f>VLOOKUP(A146,Database!$A:$AS,MATCH($D$1,Database!$A$1:$AS$1,0),FALSE)</f>
        <v>78.993417214999994</v>
      </c>
      <c r="E146" s="85">
        <f>VLOOKUP(A146,Database!$A:$AS,MATCH($E$1,Database!$A$1:$AS$1,0),FALSE)</f>
        <v>121.36110113399999</v>
      </c>
      <c r="F146" s="85">
        <f>VLOOKUP(A146,Database!$A:$AS,MATCH($F$1,Database!$A$1:$AS$1,0),FALSE)</f>
        <v>94.2</v>
      </c>
      <c r="G146" s="85">
        <f>VLOOKUP(A146,Database!$A:$AS,MATCH($G$1,Database!$A$1:$AS$1,0),FALSE)</f>
        <v>106.793332138</v>
      </c>
      <c r="H146" s="85">
        <f>(((Table134567891011121314151617343[[#This Row],[ITA]]-VLOOKUP($U$1,A:B,2,))/VLOOKUP($U$1,A:B,2,))*100)+100</f>
        <v>100.57565789512574</v>
      </c>
      <c r="I146" s="85">
        <f>(((Table134567891011121314151617343[[#This Row],[FRA]]-VLOOKUP($U$1,A:C,3,))/VLOOKUP($U$1,A:C,3,))*100)+100</f>
        <v>106.49819494584838</v>
      </c>
      <c r="J146" s="85">
        <f>(((Table134567891011121314151617343[[#This Row],[DEU]]-VLOOKUP($U$1,A:D,4,))/VLOOKUP($U$1,A:D,4,))*100)+100</f>
        <v>105.05319148837135</v>
      </c>
      <c r="K146" s="85">
        <f>(((Table134567891011121314151617343[[#This Row],[ESP]]-VLOOKUP($U$1,A:E,5,))/VLOOKUP($U$1,A:E,5,))*100)+100</f>
        <v>102.00975035680702</v>
      </c>
      <c r="L146" s="85">
        <f>(((Table134567891011121314151617343[[#This Row],[EA19]]-VLOOKUP($U$1,A:F,6,))/VLOOKUP($U$1,A:F,6,))*100)+100</f>
        <v>105.36912751677852</v>
      </c>
      <c r="M146" s="85">
        <f>(((Table134567891011121314151617343[[#This Row],[GBR]]-VLOOKUP($U$1,A:G,7,))/VLOOKUP($U$1,A:G,7,))*100)+100</f>
        <v>115.86931155124421</v>
      </c>
      <c r="N146" s="85">
        <f>VLOOKUP(A146,Database!$A:$AS,MATCH($N$1,Database!$A$1:$AS$1,0),FALSE)</f>
        <v>87.889213622</v>
      </c>
      <c r="O146" s="85">
        <f>(((Table134567891011121314151617343[[#This Row],[USA]]-VLOOKUP($U$1,A:N,14,))/VLOOKUP($U$1,A:N,14,))*100)+100</f>
        <v>101.18091143161898</v>
      </c>
      <c r="P146" s="85">
        <f>VLOOKUP(A146,Database!$A:$AS,MATCH($P$1,Database!$A$1:$AS$1,0),FALSE)</f>
        <v>94.501202058999993</v>
      </c>
      <c r="Q146" s="85">
        <f>(((Table134567891011121314151617343[[#This Row],[JPN]]-VLOOKUP($U$1,A:Q,16,))/VLOOKUP($U$1,A:Q,16,))*100)+100</f>
        <v>94.877267876007778</v>
      </c>
    </row>
    <row r="147" spans="1:17" s="87" customFormat="1" x14ac:dyDescent="0.2">
      <c r="A147" s="22">
        <v>37288</v>
      </c>
      <c r="B147" s="85">
        <f>VLOOKUP(A147,Database!$A:$AS,MATCH($B$1,Database!$A$1:$AS$1,0),FALSE)</f>
        <v>123.789684193</v>
      </c>
      <c r="C147" s="85">
        <f>VLOOKUP(A147,Database!$A:$AS,MATCH($C$1,Database!$A$1:$AS$1,0),FALSE)</f>
        <v>109.53</v>
      </c>
      <c r="D147" s="85">
        <f>VLOOKUP(A147,Database!$A:$AS,MATCH($D$1,Database!$A$1:$AS$1,0),FALSE)</f>
        <v>79.193400550000007</v>
      </c>
      <c r="E147" s="85">
        <f>VLOOKUP(A147,Database!$A:$AS,MATCH($E$1,Database!$A$1:$AS$1,0),FALSE)</f>
        <v>121.901101584</v>
      </c>
      <c r="F147" s="85">
        <f>VLOOKUP(A147,Database!$A:$AS,MATCH($F$1,Database!$A$1:$AS$1,0),FALSE)</f>
        <v>94.5</v>
      </c>
      <c r="G147" s="85">
        <f>VLOOKUP(A147,Database!$A:$AS,MATCH($G$1,Database!$A$1:$AS$1,0),FALSE)</f>
        <v>107.54615522500001</v>
      </c>
      <c r="H147" s="85">
        <f>(((Table134567891011121314151617343[[#This Row],[ITA]]-VLOOKUP($U$1,A:B,2,))/VLOOKUP($U$1,A:B,2,))*100)+100</f>
        <v>101.80921052636313</v>
      </c>
      <c r="I147" s="85">
        <f>(((Table134567891011121314151617343[[#This Row],[FRA]]-VLOOKUP($U$1,A:C,3,))/VLOOKUP($U$1,A:C,3,))*100)+100</f>
        <v>106.86896282564153</v>
      </c>
      <c r="J147" s="85">
        <f>(((Table134567891011121314151617343[[#This Row],[DEU]]-VLOOKUP($U$1,A:D,4,))/VLOOKUP($U$1,A:D,4,))*100)+100</f>
        <v>105.31914893554773</v>
      </c>
      <c r="K147" s="85">
        <f>(((Table134567891011121314151617343[[#This Row],[ESP]]-VLOOKUP($U$1,A:E,5,))/VLOOKUP($U$1,A:E,5,))*100)+100</f>
        <v>102.46364629695873</v>
      </c>
      <c r="L147" s="85">
        <f>(((Table134567891011121314151617343[[#This Row],[EA19]]-VLOOKUP($U$1,A:F,6,))/VLOOKUP($U$1,A:F,6,))*100)+100</f>
        <v>105.70469798657717</v>
      </c>
      <c r="M147" s="85">
        <f>(((Table134567891011121314151617343[[#This Row],[GBR]]-VLOOKUP($U$1,A:G,7,))/VLOOKUP($U$1,A:G,7,))*100)+100</f>
        <v>116.68611435217053</v>
      </c>
      <c r="N147" s="85">
        <f>VLOOKUP(A147,Database!$A:$AS,MATCH($N$1,Database!$A$1:$AS$1,0),FALSE)</f>
        <v>87.890898641000007</v>
      </c>
      <c r="O147" s="85">
        <f>(((Table134567891011121314151617343[[#This Row],[USA]]-VLOOKUP($U$1,A:N,14,))/VLOOKUP($U$1,A:N,14,))*100)+100</f>
        <v>101.18285128010747</v>
      </c>
      <c r="P147" s="85">
        <f>VLOOKUP(A147,Database!$A:$AS,MATCH($P$1,Database!$A$1:$AS$1,0),FALSE)</f>
        <v>95.670508272000006</v>
      </c>
      <c r="Q147" s="85">
        <f>(((Table134567891011121314151617343[[#This Row],[JPN]]-VLOOKUP($U$1,A:Q,16,))/VLOOKUP($U$1,A:Q,16,))*100)+100</f>
        <v>96.051227321842319</v>
      </c>
    </row>
    <row r="148" spans="1:17" s="87" customFormat="1" x14ac:dyDescent="0.2">
      <c r="A148" s="22">
        <v>37316</v>
      </c>
      <c r="B148" s="85">
        <f>VLOOKUP(A148,Database!$A:$AS,MATCH($B$1,Database!$A$1:$AS$1,0),FALSE)</f>
        <v>124.58961753200001</v>
      </c>
      <c r="C148" s="85">
        <f>VLOOKUP(A148,Database!$A:$AS,MATCH($C$1,Database!$A$1:$AS$1,0),FALSE)</f>
        <v>110.07</v>
      </c>
      <c r="D148" s="85">
        <f>VLOOKUP(A148,Database!$A:$AS,MATCH($D$1,Database!$A$1:$AS$1,0),FALSE)</f>
        <v>79.393383885000006</v>
      </c>
      <c r="E148" s="85">
        <f>VLOOKUP(A148,Database!$A:$AS,MATCH($E$1,Database!$A$1:$AS$1,0),FALSE)</f>
        <v>121.159100966</v>
      </c>
      <c r="F148" s="85">
        <f>VLOOKUP(A148,Database!$A:$AS,MATCH($F$1,Database!$A$1:$AS$1,0),FALSE)</f>
        <v>95.3</v>
      </c>
      <c r="G148" s="85">
        <f>VLOOKUP(A148,Database!$A:$AS,MATCH($G$1,Database!$A$1:$AS$1,0),FALSE)</f>
        <v>109.80462448500001</v>
      </c>
      <c r="H148" s="85">
        <f>(((Table134567891011121314151617343[[#This Row],[ITA]]-VLOOKUP($U$1,A:B,2,))/VLOOKUP($U$1,A:B,2,))*100)+100</f>
        <v>102.46710526329723</v>
      </c>
      <c r="I148" s="85">
        <f>(((Table134567891011121314151617343[[#This Row],[FRA]]-VLOOKUP($U$1,A:C,3,))/VLOOKUP($U$1,A:C,3,))*100)+100</f>
        <v>107.39584349692653</v>
      </c>
      <c r="J148" s="85">
        <f>(((Table134567891011121314151617343[[#This Row],[DEU]]-VLOOKUP($U$1,A:D,4,))/VLOOKUP($U$1,A:D,4,))*100)+100</f>
        <v>105.58510638272408</v>
      </c>
      <c r="K148" s="85">
        <f>(((Table134567891011121314151617343[[#This Row],[ESP]]-VLOOKUP($U$1,A:E,5,))/VLOOKUP($U$1,A:E,5,))*100)+100</f>
        <v>101.83995965354896</v>
      </c>
      <c r="L148" s="85">
        <f>(((Table134567891011121314151617343[[#This Row],[EA19]]-VLOOKUP($U$1,A:F,6,))/VLOOKUP($U$1,A:F,6,))*100)+100</f>
        <v>106.59955257270693</v>
      </c>
      <c r="M148" s="85">
        <f>(((Table134567891011121314151617343[[#This Row],[GBR]]-VLOOKUP($U$1,A:G,7,))/VLOOKUP($U$1,A:G,7,))*100)+100</f>
        <v>119.13652275386448</v>
      </c>
      <c r="N148" s="85">
        <f>VLOOKUP(A148,Database!$A:$AS,MATCH($N$1,Database!$A$1:$AS$1,0),FALSE)</f>
        <v>88.574917315999997</v>
      </c>
      <c r="O148" s="85">
        <f>(((Table134567891011121314151617343[[#This Row],[USA]]-VLOOKUP($U$1,A:N,14,))/VLOOKUP($U$1,A:N,14,))*100)+100</f>
        <v>101.97031574952928</v>
      </c>
      <c r="P148" s="85">
        <f>VLOOKUP(A148,Database!$A:$AS,MATCH($P$1,Database!$A$1:$AS$1,0),FALSE)</f>
        <v>96.095710530999995</v>
      </c>
      <c r="Q148" s="85">
        <f>(((Table134567891011121314151617343[[#This Row],[JPN]]-VLOOKUP($U$1,A:Q,16,))/VLOOKUP($U$1,A:Q,16,))*100)+100</f>
        <v>96.478121665508326</v>
      </c>
    </row>
    <row r="149" spans="1:17" s="87" customFormat="1" x14ac:dyDescent="0.2">
      <c r="A149" s="22">
        <v>37347</v>
      </c>
      <c r="B149" s="85">
        <f>VLOOKUP(A149,Database!$A:$AS,MATCH($B$1,Database!$A$1:$AS$1,0),FALSE)</f>
        <v>120.88992584</v>
      </c>
      <c r="C149" s="85">
        <f>VLOOKUP(A149,Database!$A:$AS,MATCH($C$1,Database!$A$1:$AS$1,0),FALSE)</f>
        <v>110.76</v>
      </c>
      <c r="D149" s="85">
        <f>VLOOKUP(A149,Database!$A:$AS,MATCH($D$1,Database!$A$1:$AS$1,0),FALSE)</f>
        <v>79.493375552000003</v>
      </c>
      <c r="E149" s="85">
        <f>VLOOKUP(A149,Database!$A:$AS,MATCH($E$1,Database!$A$1:$AS$1,0),FALSE)</f>
        <v>122.742102285</v>
      </c>
      <c r="F149" s="85">
        <f>VLOOKUP(A149,Database!$A:$AS,MATCH($F$1,Database!$A$1:$AS$1,0),FALSE)</f>
        <v>95.1</v>
      </c>
      <c r="G149" s="85">
        <f>VLOOKUP(A149,Database!$A:$AS,MATCH($G$1,Database!$A$1:$AS$1,0),FALSE)</f>
        <v>104.642409034</v>
      </c>
      <c r="H149" s="85">
        <f>(((Table134567891011121314151617343[[#This Row],[ITA]]-VLOOKUP($U$1,A:B,2,))/VLOOKUP($U$1,A:B,2,))*100)+100</f>
        <v>99.424342105696709</v>
      </c>
      <c r="I149" s="85">
        <f>(((Table134567891011121314151617343[[#This Row],[FRA]]-VLOOKUP($U$1,A:C,3,))/VLOOKUP($U$1,A:C,3,))*100)+100</f>
        <v>108.06907991023516</v>
      </c>
      <c r="J149" s="85">
        <f>(((Table134567891011121314151617343[[#This Row],[DEU]]-VLOOKUP($U$1,A:D,4,))/VLOOKUP($U$1,A:D,4,))*100)+100</f>
        <v>105.7180851056473</v>
      </c>
      <c r="K149" s="85">
        <f>(((Table134567891011121314151617343[[#This Row],[ESP]]-VLOOKUP($U$1,A:E,5,))/VLOOKUP($U$1,A:E,5,))*100)+100</f>
        <v>103.17054719648324</v>
      </c>
      <c r="L149" s="85">
        <f>(((Table134567891011121314151617343[[#This Row],[EA19]]-VLOOKUP($U$1,A:F,6,))/VLOOKUP($U$1,A:F,6,))*100)+100</f>
        <v>106.37583892617448</v>
      </c>
      <c r="M149" s="85">
        <f>(((Table134567891011121314151617343[[#This Row],[GBR]]-VLOOKUP($U$1,A:G,7,))/VLOOKUP($U$1,A:G,7,))*100)+100</f>
        <v>113.53558926474329</v>
      </c>
      <c r="N149" s="85">
        <f>VLOOKUP(A149,Database!$A:$AS,MATCH($N$1,Database!$A$1:$AS$1,0),FALSE)</f>
        <v>89.002020122999994</v>
      </c>
      <c r="O149" s="85">
        <f>(((Table134567891011121314151617343[[#This Row],[USA]]-VLOOKUP($U$1,A:N,14,))/VLOOKUP($U$1,A:N,14,))*100)+100</f>
        <v>102.46201034442147</v>
      </c>
      <c r="P149" s="85">
        <f>VLOOKUP(A149,Database!$A:$AS,MATCH($P$1,Database!$A$1:$AS$1,0),FALSE)</f>
        <v>95.989409965999997</v>
      </c>
      <c r="Q149" s="85">
        <f>(((Table134567891011121314151617343[[#This Row],[JPN]]-VLOOKUP($U$1,A:Q,16,))/VLOOKUP($U$1,A:Q,16,))*100)+100</f>
        <v>96.371398079340835</v>
      </c>
    </row>
    <row r="150" spans="1:17" s="87" customFormat="1" x14ac:dyDescent="0.2">
      <c r="A150" s="22">
        <v>37377</v>
      </c>
      <c r="B150" s="85">
        <f>VLOOKUP(A150,Database!$A:$AS,MATCH($B$1,Database!$A$1:$AS$1,0),FALSE)</f>
        <v>125.189567536</v>
      </c>
      <c r="C150" s="85">
        <f>VLOOKUP(A150,Database!$A:$AS,MATCH($C$1,Database!$A$1:$AS$1,0),FALSE)</f>
        <v>109.81</v>
      </c>
      <c r="D150" s="85">
        <f>VLOOKUP(A150,Database!$A:$AS,MATCH($D$1,Database!$A$1:$AS$1,0),FALSE)</f>
        <v>78.693442212999997</v>
      </c>
      <c r="E150" s="85">
        <f>VLOOKUP(A150,Database!$A:$AS,MATCH($E$1,Database!$A$1:$AS$1,0),FALSE)</f>
        <v>121.43210119299999</v>
      </c>
      <c r="F150" s="85">
        <f>VLOOKUP(A150,Database!$A:$AS,MATCH($F$1,Database!$A$1:$AS$1,0),FALSE)</f>
        <v>95.5</v>
      </c>
      <c r="G150" s="85">
        <f>VLOOKUP(A150,Database!$A:$AS,MATCH($G$1,Database!$A$1:$AS$1,0),FALSE)</f>
        <v>106.148055207</v>
      </c>
      <c r="H150" s="85">
        <f>(((Table134567891011121314151617343[[#This Row],[ITA]]-VLOOKUP($U$1,A:B,2,))/VLOOKUP($U$1,A:B,2,))*100)+100</f>
        <v>102.96052631579218</v>
      </c>
      <c r="I150" s="85">
        <f>(((Table134567891011121314151617343[[#This Row],[FRA]]-VLOOKUP($U$1,A:C,3,))/VLOOKUP($U$1,A:C,3,))*100)+100</f>
        <v>107.14216021075228</v>
      </c>
      <c r="J150" s="85">
        <f>(((Table134567891011121314151617343[[#This Row],[DEU]]-VLOOKUP($U$1,A:D,4,))/VLOOKUP($U$1,A:D,4,))*100)+100</f>
        <v>104.65425531827178</v>
      </c>
      <c r="K150" s="85">
        <f>(((Table134567891011121314151617343[[#This Row],[ESP]]-VLOOKUP($U$1,A:E,5,))/VLOOKUP($U$1,A:E,5,))*100)+100</f>
        <v>102.06942926731649</v>
      </c>
      <c r="L150" s="85">
        <f>(((Table134567891011121314151617343[[#This Row],[EA19]]-VLOOKUP($U$1,A:F,6,))/VLOOKUP($U$1,A:F,6,))*100)+100</f>
        <v>106.82326621923937</v>
      </c>
      <c r="M150" s="85">
        <f>(((Table134567891011121314151617343[[#This Row],[GBR]]-VLOOKUP($U$1,A:G,7,))/VLOOKUP($U$1,A:G,7,))*100)+100</f>
        <v>115.16919486551093</v>
      </c>
      <c r="N150" s="85">
        <f>VLOOKUP(A150,Database!$A:$AS,MATCH($N$1,Database!$A$1:$AS$1,0),FALSE)</f>
        <v>89.368363119999998</v>
      </c>
      <c r="O150" s="85">
        <f>(((Table134567891011121314151617343[[#This Row],[USA]]-VLOOKUP($U$1,A:N,14,))/VLOOKUP($U$1,A:N,14,))*100)+100</f>
        <v>102.88375627666375</v>
      </c>
      <c r="P150" s="85">
        <f>VLOOKUP(A150,Database!$A:$AS,MATCH($P$1,Database!$A$1:$AS$1,0),FALSE)</f>
        <v>99.816230297000004</v>
      </c>
      <c r="Q150" s="85">
        <f>(((Table134567891011121314151617343[[#This Row],[JPN]]-VLOOKUP($U$1,A:Q,16,))/VLOOKUP($U$1,A:Q,16,))*100)+100</f>
        <v>100.21344717233501</v>
      </c>
    </row>
    <row r="151" spans="1:17" s="87" customFormat="1" x14ac:dyDescent="0.2">
      <c r="A151" s="22">
        <v>37408</v>
      </c>
      <c r="B151" s="85">
        <f>VLOOKUP(A151,Database!$A:$AS,MATCH($B$1,Database!$A$1:$AS$1,0),FALSE)</f>
        <v>123.88967586</v>
      </c>
      <c r="C151" s="85">
        <f>VLOOKUP(A151,Database!$A:$AS,MATCH($C$1,Database!$A$1:$AS$1,0),FALSE)</f>
        <v>109.61</v>
      </c>
      <c r="D151" s="85">
        <f>VLOOKUP(A151,Database!$A:$AS,MATCH($D$1,Database!$A$1:$AS$1,0),FALSE)</f>
        <v>80.893258895000002</v>
      </c>
      <c r="E151" s="85">
        <f>VLOOKUP(A151,Database!$A:$AS,MATCH($E$1,Database!$A$1:$AS$1,0),FALSE)</f>
        <v>121.263101053</v>
      </c>
      <c r="F151" s="85">
        <f>VLOOKUP(A151,Database!$A:$AS,MATCH($F$1,Database!$A$1:$AS$1,0),FALSE)</f>
        <v>95.9</v>
      </c>
      <c r="G151" s="85">
        <f>VLOOKUP(A151,Database!$A:$AS,MATCH($G$1,Database!$A$1:$AS$1,0),FALSE)</f>
        <v>100.34056282500001</v>
      </c>
      <c r="H151" s="85">
        <f>(((Table134567891011121314151617343[[#This Row],[ITA]]-VLOOKUP($U$1,A:B,2,))/VLOOKUP($U$1,A:B,2,))*100)+100</f>
        <v>101.89144736817148</v>
      </c>
      <c r="I151" s="85">
        <f>(((Table134567891011121314151617343[[#This Row],[FRA]]-VLOOKUP($U$1,A:C,3,))/VLOOKUP($U$1,A:C,3,))*100)+100</f>
        <v>106.94701922138745</v>
      </c>
      <c r="J151" s="85">
        <f>(((Table134567891011121314151617343[[#This Row],[DEU]]-VLOOKUP($U$1,A:D,4,))/VLOOKUP($U$1,A:D,4,))*100)+100</f>
        <v>107.57978723322199</v>
      </c>
      <c r="K151" s="85">
        <f>(((Table134567891011121314151617343[[#This Row],[ESP]]-VLOOKUP($U$1,A:E,5,))/VLOOKUP($U$1,A:E,5,))*100)+100</f>
        <v>101.92737664971021</v>
      </c>
      <c r="L151" s="85">
        <f>(((Table134567891011121314151617343[[#This Row],[EA19]]-VLOOKUP($U$1,A:F,6,))/VLOOKUP($U$1,A:F,6,))*100)+100</f>
        <v>107.27069351230425</v>
      </c>
      <c r="M151" s="85">
        <f>(((Table134567891011121314151617343[[#This Row],[GBR]]-VLOOKUP($U$1,A:G,7,))/VLOOKUP($U$1,A:G,7,))*100)+100</f>
        <v>108.86814469065648</v>
      </c>
      <c r="N151" s="85">
        <f>VLOOKUP(A151,Database!$A:$AS,MATCH($N$1,Database!$A$1:$AS$1,0),FALSE)</f>
        <v>90.106698885</v>
      </c>
      <c r="O151" s="85">
        <f>(((Table134567891011121314151617343[[#This Row],[USA]]-VLOOKUP($U$1,A:N,14,))/VLOOKUP($U$1,A:N,14,))*100)+100</f>
        <v>103.73375234064676</v>
      </c>
      <c r="P151" s="85">
        <f>VLOOKUP(A151,Database!$A:$AS,MATCH($P$1,Database!$A$1:$AS$1,0),FALSE)</f>
        <v>98.646924084000005</v>
      </c>
      <c r="Q151" s="85">
        <f>(((Table134567891011121314151617343[[#This Row],[JPN]]-VLOOKUP($U$1,A:Q,16,))/VLOOKUP($U$1,A:Q,16,))*100)+100</f>
        <v>99.039487726500468</v>
      </c>
    </row>
    <row r="152" spans="1:17" s="87" customFormat="1" x14ac:dyDescent="0.2">
      <c r="A152" s="22">
        <v>37438</v>
      </c>
      <c r="B152" s="85">
        <f>VLOOKUP(A152,Database!$A:$AS,MATCH($B$1,Database!$A$1:$AS$1,0),FALSE)</f>
        <v>123.489709191</v>
      </c>
      <c r="C152" s="85">
        <f>VLOOKUP(A152,Database!$A:$AS,MATCH($C$1,Database!$A$1:$AS$1,0),FALSE)</f>
        <v>108.49</v>
      </c>
      <c r="D152" s="85">
        <f>VLOOKUP(A152,Database!$A:$AS,MATCH($D$1,Database!$A$1:$AS$1,0),FALSE)</f>
        <v>79.393383885000006</v>
      </c>
      <c r="E152" s="85">
        <f>VLOOKUP(A152,Database!$A:$AS,MATCH($E$1,Database!$A$1:$AS$1,0),FALSE)</f>
        <v>122.14910179100001</v>
      </c>
      <c r="F152" s="85">
        <f>VLOOKUP(A152,Database!$A:$AS,MATCH($F$1,Database!$A$1:$AS$1,0),FALSE)</f>
        <v>95.2</v>
      </c>
      <c r="G152" s="85">
        <f>VLOOKUP(A152,Database!$A:$AS,MATCH($G$1,Database!$A$1:$AS$1,0),FALSE)</f>
        <v>102.168847464</v>
      </c>
      <c r="H152" s="85">
        <f>(((Table134567891011121314151617343[[#This Row],[ITA]]-VLOOKUP($U$1,A:B,2,))/VLOOKUP($U$1,A:B,2,))*100)+100</f>
        <v>101.56250000011566</v>
      </c>
      <c r="I152" s="85">
        <f>(((Table134567891011121314151617343[[#This Row],[FRA]]-VLOOKUP($U$1,A:C,3,))/VLOOKUP($U$1,A:C,3,))*100)+100</f>
        <v>105.85422968094448</v>
      </c>
      <c r="J152" s="85">
        <f>(((Table134567891011121314151617343[[#This Row],[DEU]]-VLOOKUP($U$1,A:D,4,))/VLOOKUP($U$1,A:D,4,))*100)+100</f>
        <v>105.58510638272408</v>
      </c>
      <c r="K152" s="85">
        <f>(((Table134567891011121314151617343[[#This Row],[ESP]]-VLOOKUP($U$1,A:E,5,))/VLOOKUP($U$1,A:E,5,))*100)+100</f>
        <v>102.67210221049378</v>
      </c>
      <c r="L152" s="85">
        <f>(((Table134567891011121314151617343[[#This Row],[EA19]]-VLOOKUP($U$1,A:F,6,))/VLOOKUP($U$1,A:F,6,))*100)+100</f>
        <v>106.48769574944072</v>
      </c>
      <c r="M152" s="85">
        <f>(((Table134567891011121314151617343[[#This Row],[GBR]]-VLOOKUP($U$1,A:G,7,))/VLOOKUP($U$1,A:G,7,))*100)+100</f>
        <v>110.85180863483323</v>
      </c>
      <c r="N152" s="85">
        <f>VLOOKUP(A152,Database!$A:$AS,MATCH($N$1,Database!$A$1:$AS$1,0),FALSE)</f>
        <v>90.075278233000006</v>
      </c>
      <c r="O152" s="85">
        <f>(((Table134567891011121314151617343[[#This Row],[USA]]-VLOOKUP($U$1,A:N,14,))/VLOOKUP($U$1,A:N,14,))*100)+100</f>
        <v>103.69757986764218</v>
      </c>
      <c r="P152" s="85">
        <f>VLOOKUP(A152,Database!$A:$AS,MATCH($P$1,Database!$A$1:$AS$1,0),FALSE)</f>
        <v>99.391028038000002</v>
      </c>
      <c r="Q152" s="85">
        <f>(((Table134567891011121314151617343[[#This Row],[JPN]]-VLOOKUP($U$1,A:Q,16,))/VLOOKUP($U$1,A:Q,16,))*100)+100</f>
        <v>99.786552828668988</v>
      </c>
    </row>
    <row r="153" spans="1:17" s="87" customFormat="1" x14ac:dyDescent="0.2">
      <c r="A153" s="22">
        <v>37469</v>
      </c>
      <c r="B153" s="85">
        <f>VLOOKUP(A153,Database!$A:$AS,MATCH($B$1,Database!$A$1:$AS$1,0),FALSE)</f>
        <v>121.889842513</v>
      </c>
      <c r="C153" s="85">
        <f>VLOOKUP(A153,Database!$A:$AS,MATCH($C$1,Database!$A$1:$AS$1,0),FALSE)</f>
        <v>110.52</v>
      </c>
      <c r="D153" s="85">
        <f>VLOOKUP(A153,Database!$A:$AS,MATCH($D$1,Database!$A$1:$AS$1,0),FALSE)</f>
        <v>81.293225565</v>
      </c>
      <c r="E153" s="85">
        <f>VLOOKUP(A153,Database!$A:$AS,MATCH($E$1,Database!$A$1:$AS$1,0),FALSE)</f>
        <v>122.92810244</v>
      </c>
      <c r="F153" s="85">
        <f>VLOOKUP(A153,Database!$A:$AS,MATCH($F$1,Database!$A$1:$AS$1,0),FALSE)</f>
        <v>95.6</v>
      </c>
      <c r="G153" s="85">
        <f>VLOOKUP(A153,Database!$A:$AS,MATCH($G$1,Database!$A$1:$AS$1,0),FALSE)</f>
        <v>100.985839756</v>
      </c>
      <c r="H153" s="85">
        <f>(((Table134567891011121314151617343[[#This Row],[ITA]]-VLOOKUP($U$1,A:B,2,))/VLOOKUP($U$1,A:B,2,))*100)+100</f>
        <v>100.24671052624748</v>
      </c>
      <c r="I153" s="85">
        <f>(((Table134567891011121314151617343[[#This Row],[FRA]]-VLOOKUP($U$1,A:C,3,))/VLOOKUP($U$1,A:C,3,))*100)+100</f>
        <v>107.83491072299736</v>
      </c>
      <c r="J153" s="85">
        <f>(((Table134567891011121314151617343[[#This Row],[DEU]]-VLOOKUP($U$1,A:D,4,))/VLOOKUP($U$1,A:D,4,))*100)+100</f>
        <v>108.11170212757469</v>
      </c>
      <c r="K153" s="85">
        <f>(((Table134567891011121314151617343[[#This Row],[ESP]]-VLOOKUP($U$1,A:E,5,))/VLOOKUP($U$1,A:E,5,))*100)+100</f>
        <v>103.32688913142438</v>
      </c>
      <c r="L153" s="85">
        <f>(((Table134567891011121314151617343[[#This Row],[EA19]]-VLOOKUP($U$1,A:F,6,))/VLOOKUP($U$1,A:F,6,))*100)+100</f>
        <v>106.93512304250558</v>
      </c>
      <c r="M153" s="85">
        <f>(((Table134567891011121314151617343[[#This Row],[GBR]]-VLOOKUP($U$1,A:G,7,))/VLOOKUP($U$1,A:G,7,))*100)+100</f>
        <v>109.56826137638976</v>
      </c>
      <c r="N153" s="85">
        <f>VLOOKUP(A153,Database!$A:$AS,MATCH($N$1,Database!$A$1:$AS$1,0),FALSE)</f>
        <v>89.984981027000003</v>
      </c>
      <c r="O153" s="85">
        <f>(((Table134567891011121314151617343[[#This Row],[USA]]-VLOOKUP($U$1,A:N,14,))/VLOOKUP($U$1,A:N,14,))*100)+100</f>
        <v>103.59362679733593</v>
      </c>
      <c r="P153" s="85">
        <f>VLOOKUP(A153,Database!$A:$AS,MATCH($P$1,Database!$A$1:$AS$1,0),FALSE)</f>
        <v>99.816230297000004</v>
      </c>
      <c r="Q153" s="85">
        <f>(((Table134567891011121314151617343[[#This Row],[JPN]]-VLOOKUP($U$1,A:Q,16,))/VLOOKUP($U$1,A:Q,16,))*100)+100</f>
        <v>100.21344717233501</v>
      </c>
    </row>
    <row r="154" spans="1:17" s="87" customFormat="1" x14ac:dyDescent="0.2">
      <c r="A154" s="22">
        <v>37500</v>
      </c>
      <c r="B154" s="85">
        <f>VLOOKUP(A154,Database!$A:$AS,MATCH($B$1,Database!$A$1:$AS$1,0),FALSE)</f>
        <v>124.28964252999999</v>
      </c>
      <c r="C154" s="85">
        <f>VLOOKUP(A154,Database!$A:$AS,MATCH($C$1,Database!$A$1:$AS$1,0),FALSE)</f>
        <v>109.15</v>
      </c>
      <c r="D154" s="85">
        <f>VLOOKUP(A154,Database!$A:$AS,MATCH($D$1,Database!$A$1:$AS$1,0),FALSE)</f>
        <v>80.193317223999998</v>
      </c>
      <c r="E154" s="85">
        <f>VLOOKUP(A154,Database!$A:$AS,MATCH($E$1,Database!$A$1:$AS$1,0),FALSE)</f>
        <v>122.949102458</v>
      </c>
      <c r="F154" s="85">
        <f>VLOOKUP(A154,Database!$A:$AS,MATCH($F$1,Database!$A$1:$AS$1,0),FALSE)</f>
        <v>95.9</v>
      </c>
      <c r="G154" s="85">
        <f>VLOOKUP(A154,Database!$A:$AS,MATCH($G$1,Database!$A$1:$AS$1,0),FALSE)</f>
        <v>101.52357053199999</v>
      </c>
      <c r="H154" s="85">
        <f>(((Table134567891011121314151617343[[#This Row],[ITA]]-VLOOKUP($U$1,A:B,2,))/VLOOKUP($U$1,A:B,2,))*100)+100</f>
        <v>102.22039473704974</v>
      </c>
      <c r="I154" s="85">
        <f>(((Table134567891011121314151617343[[#This Row],[FRA]]-VLOOKUP($U$1,A:C,3,))/VLOOKUP($U$1,A:C,3,))*100)+100</f>
        <v>106.49819494584838</v>
      </c>
      <c r="J154" s="85">
        <f>(((Table134567891011121314151617343[[#This Row],[DEU]]-VLOOKUP($U$1,A:D,4,))/VLOOKUP($U$1,A:D,4,))*100)+100</f>
        <v>106.64893617009959</v>
      </c>
      <c r="K154" s="85">
        <f>(((Table134567891011121314151617343[[#This Row],[ESP]]-VLOOKUP($U$1,A:E,5,))/VLOOKUP($U$1,A:E,5,))*100)+100</f>
        <v>103.34454064062832</v>
      </c>
      <c r="L154" s="85">
        <f>(((Table134567891011121314151617343[[#This Row],[EA19]]-VLOOKUP($U$1,A:F,6,))/VLOOKUP($U$1,A:F,6,))*100)+100</f>
        <v>107.27069351230425</v>
      </c>
      <c r="M154" s="85">
        <f>(((Table134567891011121314151617343[[#This Row],[GBR]]-VLOOKUP($U$1,A:G,7,))/VLOOKUP($U$1,A:G,7,))*100)+100</f>
        <v>110.15169194801497</v>
      </c>
      <c r="N154" s="85">
        <f>VLOOKUP(A154,Database!$A:$AS,MATCH($N$1,Database!$A$1:$AS$1,0),FALSE)</f>
        <v>90.092128424999999</v>
      </c>
      <c r="O154" s="85">
        <f>(((Table134567891011121314151617343[[#This Row],[USA]]-VLOOKUP($U$1,A:N,14,))/VLOOKUP($U$1,A:N,14,))*100)+100</f>
        <v>103.71697835482958</v>
      </c>
      <c r="P154" s="85">
        <f>VLOOKUP(A154,Database!$A:$AS,MATCH($P$1,Database!$A$1:$AS$1,0),FALSE)</f>
        <v>100.454033685</v>
      </c>
      <c r="Q154" s="85">
        <f>(((Table134567891011121314151617343[[#This Row],[JPN]]-VLOOKUP($U$1,A:Q,16,))/VLOOKUP($U$1,A:Q,16,))*100)+100</f>
        <v>100.85378868733204</v>
      </c>
    </row>
    <row r="155" spans="1:17" s="87" customFormat="1" x14ac:dyDescent="0.2">
      <c r="A155" s="22">
        <v>37530</v>
      </c>
      <c r="B155" s="85">
        <f>VLOOKUP(A155,Database!$A:$AS,MATCH($B$1,Database!$A$1:$AS$1,0),FALSE)</f>
        <v>122.78976751899999</v>
      </c>
      <c r="C155" s="85">
        <f>VLOOKUP(A155,Database!$A:$AS,MATCH($C$1,Database!$A$1:$AS$1,0),FALSE)</f>
        <v>108.29</v>
      </c>
      <c r="D155" s="85">
        <f>VLOOKUP(A155,Database!$A:$AS,MATCH($D$1,Database!$A$1:$AS$1,0),FALSE)</f>
        <v>79.593367219000001</v>
      </c>
      <c r="E155" s="85">
        <f>VLOOKUP(A155,Database!$A:$AS,MATCH($E$1,Database!$A$1:$AS$1,0),FALSE)</f>
        <v>124.03910336600001</v>
      </c>
      <c r="F155" s="85">
        <f>VLOOKUP(A155,Database!$A:$AS,MATCH($F$1,Database!$A$1:$AS$1,0),FALSE)</f>
        <v>95.3</v>
      </c>
      <c r="G155" s="85">
        <f>VLOOKUP(A155,Database!$A:$AS,MATCH($G$1,Database!$A$1:$AS$1,0),FALSE)</f>
        <v>98.297185876</v>
      </c>
      <c r="H155" s="85">
        <f>(((Table134567891011121314151617343[[#This Row],[ITA]]-VLOOKUP($U$1,A:B,2,))/VLOOKUP($U$1,A:B,2,))*100)+100</f>
        <v>100.98684210498992</v>
      </c>
      <c r="I155" s="85">
        <f>(((Table134567891011121314151617343[[#This Row],[FRA]]-VLOOKUP($U$1,A:C,3,))/VLOOKUP($U$1,A:C,3,))*100)+100</f>
        <v>105.65908869157968</v>
      </c>
      <c r="J155" s="85">
        <f>(((Table134567891011121314151617343[[#This Row],[DEU]]-VLOOKUP($U$1,A:D,4,))/VLOOKUP($U$1,A:D,4,))*100)+100</f>
        <v>105.85106382857053</v>
      </c>
      <c r="K155" s="85">
        <f>(((Table134567891011121314151617343[[#This Row],[ESP]]-VLOOKUP($U$1,A:E,5,))/VLOOKUP($U$1,A:E,5,))*100)+100</f>
        <v>104.26073800102475</v>
      </c>
      <c r="L155" s="85">
        <f>(((Table134567891011121314151617343[[#This Row],[EA19]]-VLOOKUP($U$1,A:F,6,))/VLOOKUP($U$1,A:F,6,))*100)+100</f>
        <v>106.59955257270693</v>
      </c>
      <c r="M155" s="85">
        <f>(((Table134567891011121314151617343[[#This Row],[GBR]]-VLOOKUP($U$1,A:G,7,))/VLOOKUP($U$1,A:G,7,))*100)+100</f>
        <v>106.6511085182636</v>
      </c>
      <c r="N155" s="85">
        <f>VLOOKUP(A155,Database!$A:$AS,MATCH($N$1,Database!$A$1:$AS$1,0),FALSE)</f>
        <v>89.830256618000007</v>
      </c>
      <c r="O155" s="85">
        <f>(((Table134567891011121314151617343[[#This Row],[USA]]-VLOOKUP($U$1,A:N,14,))/VLOOKUP($U$1,A:N,14,))*100)+100</f>
        <v>103.41550304268875</v>
      </c>
      <c r="P155" s="85">
        <f>VLOOKUP(A155,Database!$A:$AS,MATCH($P$1,Database!$A$1:$AS$1,0),FALSE)</f>
        <v>100.454033685</v>
      </c>
      <c r="Q155" s="85">
        <f>(((Table134567891011121314151617343[[#This Row],[JPN]]-VLOOKUP($U$1,A:Q,16,))/VLOOKUP($U$1,A:Q,16,))*100)+100</f>
        <v>100.85378868733204</v>
      </c>
    </row>
    <row r="156" spans="1:17" s="87" customFormat="1" x14ac:dyDescent="0.2">
      <c r="A156" s="22">
        <v>37561</v>
      </c>
      <c r="B156" s="85">
        <f>VLOOKUP(A156,Database!$A:$AS,MATCH($B$1,Database!$A$1:$AS$1,0),FALSE)</f>
        <v>124.989584201</v>
      </c>
      <c r="C156" s="85">
        <f>VLOOKUP(A156,Database!$A:$AS,MATCH($C$1,Database!$A$1:$AS$1,0),FALSE)</f>
        <v>109.34</v>
      </c>
      <c r="D156" s="85">
        <f>VLOOKUP(A156,Database!$A:$AS,MATCH($D$1,Database!$A$1:$AS$1,0),FALSE)</f>
        <v>80.993250562</v>
      </c>
      <c r="E156" s="85">
        <f>VLOOKUP(A156,Database!$A:$AS,MATCH($E$1,Database!$A$1:$AS$1,0),FALSE)</f>
        <v>123.50410291999999</v>
      </c>
      <c r="F156" s="85">
        <f>VLOOKUP(A156,Database!$A:$AS,MATCH($F$1,Database!$A$1:$AS$1,0),FALSE)</f>
        <v>95.9</v>
      </c>
      <c r="G156" s="85">
        <f>VLOOKUP(A156,Database!$A:$AS,MATCH($G$1,Database!$A$1:$AS$1,0),FALSE)</f>
        <v>98.512278186000003</v>
      </c>
      <c r="H156" s="85">
        <f>(((Table134567891011121314151617343[[#This Row],[ITA]]-VLOOKUP($U$1,A:B,2,))/VLOOKUP($U$1,A:B,2,))*100)+100</f>
        <v>102.79605263135305</v>
      </c>
      <c r="I156" s="85">
        <f>(((Table134567891011121314151617343[[#This Row],[FRA]]-VLOOKUP($U$1,A:C,3,))/VLOOKUP($U$1,A:C,3,))*100)+100</f>
        <v>106.68357888574496</v>
      </c>
      <c r="J156" s="85">
        <f>(((Table134567891011121314151617343[[#This Row],[DEU]]-VLOOKUP($U$1,A:D,4,))/VLOOKUP($U$1,A:D,4,))*100)+100</f>
        <v>107.71276595614522</v>
      </c>
      <c r="K156" s="85">
        <f>(((Table134567891011121314151617343[[#This Row],[ESP]]-VLOOKUP($U$1,A:E,5,))/VLOOKUP($U$1,A:E,5,))*100)+100</f>
        <v>103.81104480091953</v>
      </c>
      <c r="L156" s="85">
        <f>(((Table134567891011121314151617343[[#This Row],[EA19]]-VLOOKUP($U$1,A:F,6,))/VLOOKUP($U$1,A:F,6,))*100)+100</f>
        <v>107.27069351230425</v>
      </c>
      <c r="M156" s="85">
        <f>(((Table134567891011121314151617343[[#This Row],[GBR]]-VLOOKUP($U$1,A:G,7,))/VLOOKUP($U$1,A:G,7,))*100)+100</f>
        <v>106.8844807464797</v>
      </c>
      <c r="N156" s="85">
        <f>VLOOKUP(A156,Database!$A:$AS,MATCH($N$1,Database!$A$1:$AS$1,0),FALSE)</f>
        <v>90.333482645000004</v>
      </c>
      <c r="O156" s="85">
        <f>(((Table134567891011121314151617343[[#This Row],[USA]]-VLOOKUP($U$1,A:N,14,))/VLOOKUP($U$1,A:N,14,))*100)+100</f>
        <v>103.99483315578954</v>
      </c>
      <c r="P156" s="85">
        <f>VLOOKUP(A156,Database!$A:$AS,MATCH($P$1,Database!$A$1:$AS$1,0),FALSE)</f>
        <v>100.34773312</v>
      </c>
      <c r="Q156" s="85">
        <f>(((Table134567891011121314151617343[[#This Row],[JPN]]-VLOOKUP($U$1,A:Q,16,))/VLOOKUP($U$1,A:Q,16,))*100)+100</f>
        <v>100.74706510116455</v>
      </c>
    </row>
    <row r="157" spans="1:17" s="87" customFormat="1" x14ac:dyDescent="0.2">
      <c r="A157" s="22">
        <v>37591</v>
      </c>
      <c r="B157" s="85">
        <f>VLOOKUP(A157,Database!$A:$AS,MATCH($B$1,Database!$A$1:$AS$1,0),FALSE)</f>
        <v>123.689692526</v>
      </c>
      <c r="C157" s="85">
        <f>VLOOKUP(A157,Database!$A:$AS,MATCH($C$1,Database!$A$1:$AS$1,0),FALSE)</f>
        <v>106.75</v>
      </c>
      <c r="D157" s="85">
        <f>VLOOKUP(A157,Database!$A:$AS,MATCH($D$1,Database!$A$1:$AS$1,0),FALSE)</f>
        <v>79.593367219000001</v>
      </c>
      <c r="E157" s="85">
        <f>VLOOKUP(A157,Database!$A:$AS,MATCH($E$1,Database!$A$1:$AS$1,0),FALSE)</f>
        <v>122.358101965</v>
      </c>
      <c r="F157" s="85">
        <f>VLOOKUP(A157,Database!$A:$AS,MATCH($F$1,Database!$A$1:$AS$1,0),FALSE)</f>
        <v>94.4</v>
      </c>
      <c r="G157" s="85">
        <f>VLOOKUP(A157,Database!$A:$AS,MATCH($G$1,Database!$A$1:$AS$1,0),FALSE)</f>
        <v>98.942462806999998</v>
      </c>
      <c r="H157" s="85">
        <f>(((Table134567891011121314151617343[[#This Row],[ITA]]-VLOOKUP($U$1,A:B,2,))/VLOOKUP($U$1,A:B,2,))*100)+100</f>
        <v>101.72697368455479</v>
      </c>
      <c r="I157" s="85">
        <f>(((Table134567891011121314151617343[[#This Row],[FRA]]-VLOOKUP($U$1,A:C,3,))/VLOOKUP($U$1,A:C,3,))*100)+100</f>
        <v>104.15650307347059</v>
      </c>
      <c r="J157" s="85">
        <f>(((Table134567891011121314151617343[[#This Row],[DEU]]-VLOOKUP($U$1,A:D,4,))/VLOOKUP($U$1,A:D,4,))*100)+100</f>
        <v>105.85106382857053</v>
      </c>
      <c r="K157" s="85">
        <f>(((Table134567891011121314151617343[[#This Row],[ESP]]-VLOOKUP($U$1,A:E,5,))/VLOOKUP($U$1,A:E,5,))*100)+100</f>
        <v>102.84777675015313</v>
      </c>
      <c r="L157" s="85">
        <f>(((Table134567891011121314151617343[[#This Row],[EA19]]-VLOOKUP($U$1,A:F,6,))/VLOOKUP($U$1,A:F,6,))*100)+100</f>
        <v>105.59284116331096</v>
      </c>
      <c r="M157" s="85">
        <f>(((Table134567891011121314151617343[[#This Row],[GBR]]-VLOOKUP($U$1,A:G,7,))/VLOOKUP($U$1,A:G,7,))*100)+100</f>
        <v>107.35122520399688</v>
      </c>
      <c r="N157" s="85">
        <f>VLOOKUP(A157,Database!$A:$AS,MATCH($N$1,Database!$A$1:$AS$1,0),FALSE)</f>
        <v>89.838681714000003</v>
      </c>
      <c r="O157" s="85">
        <f>(((Table134567891011121314151617343[[#This Row],[USA]]-VLOOKUP($U$1,A:N,14,))/VLOOKUP($U$1,A:N,14,))*100)+100</f>
        <v>103.42520228628246</v>
      </c>
      <c r="P157" s="85">
        <f>VLOOKUP(A157,Database!$A:$AS,MATCH($P$1,Database!$A$1:$AS$1,0),FALSE)</f>
        <v>100.24143255600001</v>
      </c>
      <c r="Q157" s="85">
        <f>(((Table134567891011121314151617343[[#This Row],[JPN]]-VLOOKUP($U$1,A:Q,16,))/VLOOKUP($U$1,A:Q,16,))*100)+100</f>
        <v>100.64034151600103</v>
      </c>
    </row>
    <row r="158" spans="1:17" s="87" customFormat="1" x14ac:dyDescent="0.2">
      <c r="A158" s="22">
        <v>37622</v>
      </c>
      <c r="B158" s="85">
        <f>VLOOKUP(A158,Database!$A:$AS,MATCH($B$1,Database!$A$1:$AS$1,0),FALSE)</f>
        <v>124.989584201</v>
      </c>
      <c r="C158" s="85">
        <f>VLOOKUP(A158,Database!$A:$AS,MATCH($C$1,Database!$A$1:$AS$1,0),FALSE)</f>
        <v>108.95</v>
      </c>
      <c r="D158" s="85">
        <f>VLOOKUP(A158,Database!$A:$AS,MATCH($D$1,Database!$A$1:$AS$1,0),FALSE)</f>
        <v>80.193317223999998</v>
      </c>
      <c r="E158" s="85">
        <f>VLOOKUP(A158,Database!$A:$AS,MATCH($E$1,Database!$A$1:$AS$1,0),FALSE)</f>
        <v>123.762103135</v>
      </c>
      <c r="F158" s="85">
        <f>VLOOKUP(A158,Database!$A:$AS,MATCH($F$1,Database!$A$1:$AS$1,0),FALSE)</f>
        <v>96</v>
      </c>
      <c r="G158" s="85">
        <f>VLOOKUP(A158,Database!$A:$AS,MATCH($G$1,Database!$A$1:$AS$1,0),FALSE)</f>
        <v>99.480193583000002</v>
      </c>
      <c r="H158" s="85">
        <f>(((Table134567891011121314151617343[[#This Row],[ITA]]-VLOOKUP($U$1,A:B,2,))/VLOOKUP($U$1,A:B,2,))*100)+100</f>
        <v>102.79605263135305</v>
      </c>
      <c r="I158" s="85">
        <f>(((Table134567891011121314151617343[[#This Row],[FRA]]-VLOOKUP($U$1,A:C,3,))/VLOOKUP($U$1,A:C,3,))*100)+100</f>
        <v>106.30305395648357</v>
      </c>
      <c r="J158" s="85">
        <f>(((Table134567891011121314151617343[[#This Row],[DEU]]-VLOOKUP($U$1,A:D,4,))/VLOOKUP($U$1,A:D,4,))*100)+100</f>
        <v>106.64893617009959</v>
      </c>
      <c r="K158" s="85">
        <f>(((Table134567891011121314151617343[[#This Row],[ESP]]-VLOOKUP($U$1,A:E,5,))/VLOOKUP($U$1,A:E,5,))*100)+100</f>
        <v>104.02790619454757</v>
      </c>
      <c r="L158" s="85">
        <f>(((Table134567891011121314151617343[[#This Row],[EA19]]-VLOOKUP($U$1,A:F,6,))/VLOOKUP($U$1,A:F,6,))*100)+100</f>
        <v>107.38255033557046</v>
      </c>
      <c r="M158" s="85">
        <f>(((Table134567891011121314151617343[[#This Row],[GBR]]-VLOOKUP($U$1,A:G,7,))/VLOOKUP($U$1,A:G,7,))*100)+100</f>
        <v>107.9346557756221</v>
      </c>
      <c r="N158" s="85">
        <f>VLOOKUP(A158,Database!$A:$AS,MATCH($N$1,Database!$A$1:$AS$1,0),FALSE)</f>
        <v>90.579891923000005</v>
      </c>
      <c r="O158" s="85">
        <f>(((Table134567891011121314151617343[[#This Row],[USA]]-VLOOKUP($U$1,A:N,14,))/VLOOKUP($U$1,A:N,14,))*100)+100</f>
        <v>104.2785075033662</v>
      </c>
      <c r="P158" s="85">
        <f>VLOOKUP(A158,Database!$A:$AS,MATCH($P$1,Database!$A$1:$AS$1,0),FALSE)</f>
        <v>101.62333989699999</v>
      </c>
      <c r="Q158" s="85">
        <f>(((Table134567891011121314151617343[[#This Row],[JPN]]-VLOOKUP($U$1,A:Q,16,))/VLOOKUP($U$1,A:Q,16,))*100)+100</f>
        <v>102.0277481321626</v>
      </c>
    </row>
    <row r="159" spans="1:17" s="87" customFormat="1" x14ac:dyDescent="0.2">
      <c r="A159" s="22">
        <v>37653</v>
      </c>
      <c r="B159" s="85">
        <f>VLOOKUP(A159,Database!$A:$AS,MATCH($B$1,Database!$A$1:$AS$1,0),FALSE)</f>
        <v>122.489792517</v>
      </c>
      <c r="C159" s="85">
        <f>VLOOKUP(A159,Database!$A:$AS,MATCH($C$1,Database!$A$1:$AS$1,0),FALSE)</f>
        <v>109.95</v>
      </c>
      <c r="D159" s="85">
        <f>VLOOKUP(A159,Database!$A:$AS,MATCH($D$1,Database!$A$1:$AS$1,0),FALSE)</f>
        <v>80.193317223999998</v>
      </c>
      <c r="E159" s="85">
        <f>VLOOKUP(A159,Database!$A:$AS,MATCH($E$1,Database!$A$1:$AS$1,0),FALSE)</f>
        <v>124.302103585</v>
      </c>
      <c r="F159" s="85">
        <f>VLOOKUP(A159,Database!$A:$AS,MATCH($F$1,Database!$A$1:$AS$1,0),FALSE)</f>
        <v>96.2</v>
      </c>
      <c r="G159" s="85">
        <f>VLOOKUP(A159,Database!$A:$AS,MATCH($G$1,Database!$A$1:$AS$1,0),FALSE)</f>
        <v>101.84620899799999</v>
      </c>
      <c r="H159" s="85">
        <f>(((Table134567891011121314151617343[[#This Row],[ITA]]-VLOOKUP($U$1,A:B,2,))/VLOOKUP($U$1,A:B,2,))*100)+100</f>
        <v>100.74013157874244</v>
      </c>
      <c r="I159" s="85">
        <f>(((Table134567891011121314151617343[[#This Row],[FRA]]-VLOOKUP($U$1,A:C,3,))/VLOOKUP($U$1,A:C,3,))*100)+100</f>
        <v>107.27875890330765</v>
      </c>
      <c r="J159" s="85">
        <f>(((Table134567891011121314151617343[[#This Row],[DEU]]-VLOOKUP($U$1,A:D,4,))/VLOOKUP($U$1,A:D,4,))*100)+100</f>
        <v>106.64893617009959</v>
      </c>
      <c r="K159" s="85">
        <f>(((Table134567891011121314151617343[[#This Row],[ESP]]-VLOOKUP($U$1,A:E,5,))/VLOOKUP($U$1,A:E,5,))*100)+100</f>
        <v>104.48180213469928</v>
      </c>
      <c r="L159" s="85">
        <f>(((Table134567891011121314151617343[[#This Row],[EA19]]-VLOOKUP($U$1,A:F,6,))/VLOOKUP($U$1,A:F,6,))*100)+100</f>
        <v>107.6062639821029</v>
      </c>
      <c r="M159" s="85">
        <f>(((Table134567891011121314151617343[[#This Row],[GBR]]-VLOOKUP($U$1,A:G,7,))/VLOOKUP($U$1,A:G,7,))*100)+100</f>
        <v>110.5017502914241</v>
      </c>
      <c r="N159" s="85">
        <f>VLOOKUP(A159,Database!$A:$AS,MATCH($N$1,Database!$A$1:$AS$1,0),FALSE)</f>
        <v>90.687733151000003</v>
      </c>
      <c r="O159" s="85">
        <f>(((Table134567891011121314151617343[[#This Row],[USA]]-VLOOKUP($U$1,A:N,14,))/VLOOKUP($U$1,A:N,14,))*100)+100</f>
        <v>104.40265782044463</v>
      </c>
      <c r="P159" s="85">
        <f>VLOOKUP(A159,Database!$A:$AS,MATCH($P$1,Database!$A$1:$AS$1,0),FALSE)</f>
        <v>101.188587641</v>
      </c>
      <c r="Q159" s="85">
        <f>(((Table134567891011121314151617343[[#This Row],[JPN]]-VLOOKUP($U$1,A:Q,16,))/VLOOKUP($U$1,A:Q,16,))*100)+100</f>
        <v>101.59126578745699</v>
      </c>
    </row>
    <row r="160" spans="1:17" s="87" customFormat="1" x14ac:dyDescent="0.2">
      <c r="A160" s="22">
        <v>37681</v>
      </c>
      <c r="B160" s="85">
        <f>VLOOKUP(A160,Database!$A:$AS,MATCH($B$1,Database!$A$1:$AS$1,0),FALSE)</f>
        <v>122.589784185</v>
      </c>
      <c r="C160" s="85">
        <f>VLOOKUP(A160,Database!$A:$AS,MATCH($C$1,Database!$A$1:$AS$1,0),FALSE)</f>
        <v>109.08</v>
      </c>
      <c r="D160" s="85">
        <f>VLOOKUP(A160,Database!$A:$AS,MATCH($D$1,Database!$A$1:$AS$1,0),FALSE)</f>
        <v>79.993333888999999</v>
      </c>
      <c r="E160" s="85">
        <f>VLOOKUP(A160,Database!$A:$AS,MATCH($E$1,Database!$A$1:$AS$1,0),FALSE)</f>
        <v>123.55210296</v>
      </c>
      <c r="F160" s="85">
        <f>VLOOKUP(A160,Database!$A:$AS,MATCH($F$1,Database!$A$1:$AS$1,0),FALSE)</f>
        <v>95.4</v>
      </c>
      <c r="G160" s="85">
        <f>VLOOKUP(A160,Database!$A:$AS,MATCH($G$1,Database!$A$1:$AS$1,0),FALSE)</f>
        <v>104.10467825800001</v>
      </c>
      <c r="H160" s="85">
        <f>(((Table134567891011121314151617343[[#This Row],[ITA]]-VLOOKUP($U$1,A:B,2,))/VLOOKUP($U$1,A:B,2,))*100)+100</f>
        <v>100.82236842137323</v>
      </c>
      <c r="I160" s="85">
        <f>(((Table134567891011121314151617343[[#This Row],[FRA]]-VLOOKUP($U$1,A:C,3,))/VLOOKUP($U$1,A:C,3,))*100)+100</f>
        <v>106.4298955995707</v>
      </c>
      <c r="J160" s="85">
        <f>(((Table134567891011121314151617343[[#This Row],[DEU]]-VLOOKUP($U$1,A:D,4,))/VLOOKUP($U$1,A:D,4,))*100)+100</f>
        <v>106.38297872292324</v>
      </c>
      <c r="K160" s="85">
        <f>(((Table134567891011121314151617343[[#This Row],[ESP]]-VLOOKUP($U$1,A:E,5,))/VLOOKUP($U$1,A:E,5,))*100)+100</f>
        <v>103.85139110671079</v>
      </c>
      <c r="L160" s="85">
        <f>(((Table134567891011121314151617343[[#This Row],[EA19]]-VLOOKUP($U$1,A:F,6,))/VLOOKUP($U$1,A:F,6,))*100)+100</f>
        <v>106.71140939597315</v>
      </c>
      <c r="M160" s="85">
        <f>(((Table134567891011121314151617343[[#This Row],[GBR]]-VLOOKUP($U$1,A:G,7,))/VLOOKUP($U$1,A:G,7,))*100)+100</f>
        <v>112.95215869311807</v>
      </c>
      <c r="N160" s="85">
        <f>VLOOKUP(A160,Database!$A:$AS,MATCH($N$1,Database!$A$1:$AS$1,0),FALSE)</f>
        <v>90.417138891999997</v>
      </c>
      <c r="O160" s="85">
        <f>(((Table134567891011121314151617343[[#This Row],[USA]]-VLOOKUP($U$1,A:N,14,))/VLOOKUP($U$1,A:N,14,))*100)+100</f>
        <v>104.09114093884483</v>
      </c>
      <c r="P160" s="85">
        <f>VLOOKUP(A160,Database!$A:$AS,MATCH($P$1,Database!$A$1:$AS$1,0),FALSE)</f>
        <v>101.94940409</v>
      </c>
      <c r="Q160" s="85">
        <f>(((Table134567891011121314151617343[[#This Row],[JPN]]-VLOOKUP($U$1,A:Q,16,))/VLOOKUP($U$1,A:Q,16,))*100)+100</f>
        <v>102.35510989169579</v>
      </c>
    </row>
    <row r="161" spans="1:17" s="87" customFormat="1" x14ac:dyDescent="0.2">
      <c r="A161" s="22">
        <v>37712</v>
      </c>
      <c r="B161" s="85">
        <f>VLOOKUP(A161,Database!$A:$AS,MATCH($B$1,Database!$A$1:$AS$1,0),FALSE)</f>
        <v>124.28964252999999</v>
      </c>
      <c r="C161" s="85">
        <f>VLOOKUP(A161,Database!$A:$AS,MATCH($C$1,Database!$A$1:$AS$1,0),FALSE)</f>
        <v>109.11</v>
      </c>
      <c r="D161" s="85">
        <f>VLOOKUP(A161,Database!$A:$AS,MATCH($D$1,Database!$A$1:$AS$1,0),FALSE)</f>
        <v>79.793350554</v>
      </c>
      <c r="E161" s="85">
        <f>VLOOKUP(A161,Database!$A:$AS,MATCH($E$1,Database!$A$1:$AS$1,0),FALSE)</f>
        <v>124.131103443</v>
      </c>
      <c r="F161" s="85">
        <f>VLOOKUP(A161,Database!$A:$AS,MATCH($F$1,Database!$A$1:$AS$1,0),FALSE)</f>
        <v>95.8</v>
      </c>
      <c r="G161" s="85">
        <f>VLOOKUP(A161,Database!$A:$AS,MATCH($G$1,Database!$A$1:$AS$1,0),FALSE)</f>
        <v>104.534862879</v>
      </c>
      <c r="H161" s="85">
        <f>(((Table134567891011121314151617343[[#This Row],[ITA]]-VLOOKUP($U$1,A:B,2,))/VLOOKUP($U$1,A:B,2,))*100)+100</f>
        <v>102.22039473704974</v>
      </c>
      <c r="I161" s="85">
        <f>(((Table134567891011121314151617343[[#This Row],[FRA]]-VLOOKUP($U$1,A:C,3,))/VLOOKUP($U$1,A:C,3,))*100)+100</f>
        <v>106.45916674797542</v>
      </c>
      <c r="J161" s="85">
        <f>(((Table134567891011121314151617343[[#This Row],[DEU]]-VLOOKUP($U$1,A:D,4,))/VLOOKUP($U$1,A:D,4,))*100)+100</f>
        <v>106.11702127574688</v>
      </c>
      <c r="K161" s="85">
        <f>(((Table134567891011121314151617343[[#This Row],[ESP]]-VLOOKUP($U$1,A:E,5,))/VLOOKUP($U$1,A:E,5,))*100)+100</f>
        <v>104.33806842073818</v>
      </c>
      <c r="L161" s="85">
        <f>(((Table134567891011121314151617343[[#This Row],[EA19]]-VLOOKUP($U$1,A:F,6,))/VLOOKUP($U$1,A:F,6,))*100)+100</f>
        <v>107.15883668903803</v>
      </c>
      <c r="M161" s="85">
        <f>(((Table134567891011121314151617343[[#This Row],[GBR]]-VLOOKUP($U$1,A:G,7,))/VLOOKUP($U$1,A:G,7,))*100)+100</f>
        <v>113.41890315063524</v>
      </c>
      <c r="N161" s="85">
        <f>VLOOKUP(A161,Database!$A:$AS,MATCH($N$1,Database!$A$1:$AS$1,0),FALSE)</f>
        <v>89.846016503000001</v>
      </c>
      <c r="O161" s="85">
        <f>(((Table134567891011121314151617343[[#This Row],[USA]]-VLOOKUP($U$1,A:N,14,))/VLOOKUP($U$1,A:N,14,))*100)+100</f>
        <v>103.43364633311818</v>
      </c>
      <c r="P161" s="85">
        <f>VLOOKUP(A161,Database!$A:$AS,MATCH($P$1,Database!$A$1:$AS$1,0),FALSE)</f>
        <v>100.536459257</v>
      </c>
      <c r="Q161" s="85">
        <f>(((Table134567891011121314151617343[[#This Row],[JPN]]-VLOOKUP($U$1,A:Q,16,))/VLOOKUP($U$1,A:Q,16,))*100)+100</f>
        <v>100.93654227039859</v>
      </c>
    </row>
    <row r="162" spans="1:17" s="87" customFormat="1" x14ac:dyDescent="0.2">
      <c r="A162" s="22">
        <v>37742</v>
      </c>
      <c r="B162" s="85">
        <f>VLOOKUP(A162,Database!$A:$AS,MATCH($B$1,Database!$A$1:$AS$1,0),FALSE)</f>
        <v>120.189984168</v>
      </c>
      <c r="C162" s="85">
        <f>VLOOKUP(A162,Database!$A:$AS,MATCH($C$1,Database!$A$1:$AS$1,0),FALSE)</f>
        <v>106.52</v>
      </c>
      <c r="D162" s="85">
        <f>VLOOKUP(A162,Database!$A:$AS,MATCH($D$1,Database!$A$1:$AS$1,0),FALSE)</f>
        <v>79.093408882999995</v>
      </c>
      <c r="E162" s="85">
        <f>VLOOKUP(A162,Database!$A:$AS,MATCH($E$1,Database!$A$1:$AS$1,0),FALSE)</f>
        <v>122.826102355</v>
      </c>
      <c r="F162" s="85">
        <f>VLOOKUP(A162,Database!$A:$AS,MATCH($F$1,Database!$A$1:$AS$1,0),FALSE)</f>
        <v>94.2</v>
      </c>
      <c r="G162" s="85">
        <f>VLOOKUP(A162,Database!$A:$AS,MATCH($G$1,Database!$A$1:$AS$1,0),FALSE)</f>
        <v>105.610324431</v>
      </c>
      <c r="H162" s="85">
        <f>(((Table134567891011121314151617343[[#This Row],[ITA]]-VLOOKUP($U$1,A:B,2,))/VLOOKUP($U$1,A:B,2,))*100)+100</f>
        <v>98.848684210570951</v>
      </c>
      <c r="I162" s="85">
        <f>(((Table134567891011121314151617343[[#This Row],[FRA]]-VLOOKUP($U$1,A:C,3,))/VLOOKUP($U$1,A:C,3,))*100)+100</f>
        <v>103.93209093570104</v>
      </c>
      <c r="J162" s="85">
        <f>(((Table134567891011121314151617343[[#This Row],[DEU]]-VLOOKUP($U$1,A:D,4,))/VLOOKUP($U$1,A:D,4,))*100)+100</f>
        <v>105.18617021262448</v>
      </c>
      <c r="K162" s="85">
        <f>(((Table134567891011121314151617343[[#This Row],[ESP]]-VLOOKUP($U$1,A:E,5,))/VLOOKUP($U$1,A:E,5,))*100)+100</f>
        <v>103.24115323161794</v>
      </c>
      <c r="L162" s="85">
        <f>(((Table134567891011121314151617343[[#This Row],[EA19]]-VLOOKUP($U$1,A:F,6,))/VLOOKUP($U$1,A:F,6,))*100)+100</f>
        <v>105.36912751677852</v>
      </c>
      <c r="M162" s="85">
        <f>(((Table134567891011121314151617343[[#This Row],[GBR]]-VLOOKUP($U$1,A:G,7,))/VLOOKUP($U$1,A:G,7,))*100)+100</f>
        <v>114.58576429388569</v>
      </c>
      <c r="N162" s="85">
        <f>VLOOKUP(A162,Database!$A:$AS,MATCH($N$1,Database!$A$1:$AS$1,0),FALSE)</f>
        <v>89.817767652000001</v>
      </c>
      <c r="O162" s="85">
        <f>(((Table134567891011121314151617343[[#This Row],[USA]]-VLOOKUP($U$1,A:N,14,))/VLOOKUP($U$1,A:N,14,))*100)+100</f>
        <v>103.40112534023082</v>
      </c>
      <c r="P162" s="85">
        <f>VLOOKUP(A162,Database!$A:$AS,MATCH($P$1,Database!$A$1:$AS$1,0),FALSE)</f>
        <v>101.84071602500001</v>
      </c>
      <c r="Q162" s="85">
        <f>(((Table134567891011121314151617343[[#This Row],[JPN]]-VLOOKUP($U$1,A:Q,16,))/VLOOKUP($U$1,A:Q,16,))*100)+100</f>
        <v>102.2459893045154</v>
      </c>
    </row>
    <row r="163" spans="1:17" s="87" customFormat="1" x14ac:dyDescent="0.2">
      <c r="A163" s="22">
        <v>37773</v>
      </c>
      <c r="B163" s="85">
        <f>VLOOKUP(A163,Database!$A:$AS,MATCH($B$1,Database!$A$1:$AS$1,0),FALSE)</f>
        <v>121.68985917800001</v>
      </c>
      <c r="C163" s="85">
        <f>VLOOKUP(A163,Database!$A:$AS,MATCH($C$1,Database!$A$1:$AS$1,0),FALSE)</f>
        <v>106.26</v>
      </c>
      <c r="D163" s="85">
        <f>VLOOKUP(A163,Database!$A:$AS,MATCH($D$1,Database!$A$1:$AS$1,0),FALSE)</f>
        <v>78.693442212999997</v>
      </c>
      <c r="E163" s="85">
        <f>VLOOKUP(A163,Database!$A:$AS,MATCH($E$1,Database!$A$1:$AS$1,0),FALSE)</f>
        <v>123.190102658</v>
      </c>
      <c r="F163" s="85">
        <f>VLOOKUP(A163,Database!$A:$AS,MATCH($F$1,Database!$A$1:$AS$1,0),FALSE)</f>
        <v>94.2</v>
      </c>
      <c r="G163" s="85">
        <f>VLOOKUP(A163,Database!$A:$AS,MATCH($G$1,Database!$A$1:$AS$1,0),FALSE)</f>
        <v>107.008424449</v>
      </c>
      <c r="H163" s="85">
        <f>(((Table134567891011121314151617343[[#This Row],[ITA]]-VLOOKUP($U$1,A:B,2,))/VLOOKUP($U$1,A:B,2,))*100)+100</f>
        <v>100.08223684180835</v>
      </c>
      <c r="I163" s="85">
        <f>(((Table134567891011121314151617343[[#This Row],[FRA]]-VLOOKUP($U$1,A:C,3,))/VLOOKUP($U$1,A:C,3,))*100)+100</f>
        <v>103.67840764952679</v>
      </c>
      <c r="J163" s="85">
        <f>(((Table134567891011121314151617343[[#This Row],[DEU]]-VLOOKUP($U$1,A:D,4,))/VLOOKUP($U$1,A:D,4,))*100)+100</f>
        <v>104.65425531827178</v>
      </c>
      <c r="K163" s="85">
        <f>(((Table134567891011121314151617343[[#This Row],[ESP]]-VLOOKUP($U$1,A:E,5,))/VLOOKUP($U$1,A:E,5,))*100)+100</f>
        <v>103.5471127169215</v>
      </c>
      <c r="L163" s="85">
        <f>(((Table134567891011121314151617343[[#This Row],[EA19]]-VLOOKUP($U$1,A:F,6,))/VLOOKUP($U$1,A:F,6,))*100)+100</f>
        <v>105.36912751677852</v>
      </c>
      <c r="M163" s="85">
        <f>(((Table134567891011121314151617343[[#This Row],[GBR]]-VLOOKUP($U$1,A:G,7,))/VLOOKUP($U$1,A:G,7,))*100)+100</f>
        <v>116.10268378054529</v>
      </c>
      <c r="N163" s="85">
        <f>VLOOKUP(A163,Database!$A:$AS,MATCH($N$1,Database!$A$1:$AS$1,0),FALSE)</f>
        <v>89.937602252000005</v>
      </c>
      <c r="O163" s="85">
        <f>(((Table134567891011121314151617343[[#This Row],[USA]]-VLOOKUP($U$1,A:N,14,))/VLOOKUP($U$1,A:N,14,))*100)+100</f>
        <v>103.53908281589094</v>
      </c>
      <c r="P163" s="85">
        <f>VLOOKUP(A163,Database!$A:$AS,MATCH($P$1,Database!$A$1:$AS$1,0),FALSE)</f>
        <v>100.971211513</v>
      </c>
      <c r="Q163" s="85">
        <f>(((Table134567891011121314151617343[[#This Row],[JPN]]-VLOOKUP($U$1,A:Q,16,))/VLOOKUP($U$1,A:Q,16,))*100)+100</f>
        <v>101.37302461510419</v>
      </c>
    </row>
    <row r="164" spans="1:17" s="87" customFormat="1" x14ac:dyDescent="0.2">
      <c r="A164" s="22">
        <v>37803</v>
      </c>
      <c r="B164" s="85">
        <f>VLOOKUP(A164,Database!$A:$AS,MATCH($B$1,Database!$A$1:$AS$1,0),FALSE)</f>
        <v>123.38971752400001</v>
      </c>
      <c r="C164" s="85">
        <f>VLOOKUP(A164,Database!$A:$AS,MATCH($C$1,Database!$A$1:$AS$1,0),FALSE)</f>
        <v>108.12</v>
      </c>
      <c r="D164" s="85">
        <f>VLOOKUP(A164,Database!$A:$AS,MATCH($D$1,Database!$A$1:$AS$1,0),FALSE)</f>
        <v>80.593283893000006</v>
      </c>
      <c r="E164" s="85">
        <f>VLOOKUP(A164,Database!$A:$AS,MATCH($E$1,Database!$A$1:$AS$1,0),FALSE)</f>
        <v>124.037103364</v>
      </c>
      <c r="F164" s="85">
        <f>VLOOKUP(A164,Database!$A:$AS,MATCH($F$1,Database!$A$1:$AS$1,0),FALSE)</f>
        <v>95.8</v>
      </c>
      <c r="G164" s="85">
        <f>VLOOKUP(A164,Database!$A:$AS,MATCH($G$1,Database!$A$1:$AS$1,0),FALSE)</f>
        <v>108.621616777</v>
      </c>
      <c r="H164" s="85">
        <f>(((Table134567891011121314151617343[[#This Row],[ITA]]-VLOOKUP($U$1,A:B,2,))/VLOOKUP($U$1,A:B,2,))*100)+100</f>
        <v>101.48026315830732</v>
      </c>
      <c r="I164" s="85">
        <f>(((Table134567891011121314151617343[[#This Row],[FRA]]-VLOOKUP($U$1,A:C,3,))/VLOOKUP($U$1,A:C,3,))*100)+100</f>
        <v>105.49321885061958</v>
      </c>
      <c r="J164" s="85">
        <f>(((Table134567891011121314151617343[[#This Row],[DEU]]-VLOOKUP($U$1,A:D,4,))/VLOOKUP($U$1,A:D,4,))*100)+100</f>
        <v>107.18085106312242</v>
      </c>
      <c r="K164" s="85">
        <f>(((Table134567891011121314151617343[[#This Row],[ESP]]-VLOOKUP($U$1,A:E,5,))/VLOOKUP($U$1,A:E,5,))*100)+100</f>
        <v>104.25905690466993</v>
      </c>
      <c r="L164" s="85">
        <f>(((Table134567891011121314151617343[[#This Row],[EA19]]-VLOOKUP($U$1,A:F,6,))/VLOOKUP($U$1,A:F,6,))*100)+100</f>
        <v>107.15883668903803</v>
      </c>
      <c r="M164" s="85">
        <f>(((Table134567891011121314151617343[[#This Row],[GBR]]-VLOOKUP($U$1,A:G,7,))/VLOOKUP($U$1,A:G,7,))*100)+100</f>
        <v>117.85297549542098</v>
      </c>
      <c r="N164" s="85">
        <f>VLOOKUP(A164,Database!$A:$AS,MATCH($N$1,Database!$A$1:$AS$1,0),FALSE)</f>
        <v>90.399099274999998</v>
      </c>
      <c r="O164" s="85">
        <f>(((Table134567891011121314151617343[[#This Row],[USA]]-VLOOKUP($U$1,A:N,14,))/VLOOKUP($U$1,A:N,14,))*100)+100</f>
        <v>104.07037314704517</v>
      </c>
      <c r="P164" s="85">
        <f>VLOOKUP(A164,Database!$A:$AS,MATCH($P$1,Database!$A$1:$AS$1,0),FALSE)</f>
        <v>101.405963769</v>
      </c>
      <c r="Q164" s="85">
        <f>(((Table134567891011121314151617343[[#This Row],[JPN]]-VLOOKUP($U$1,A:Q,16,))/VLOOKUP($U$1,A:Q,16,))*100)+100</f>
        <v>101.8095069598098</v>
      </c>
    </row>
    <row r="165" spans="1:17" s="87" customFormat="1" x14ac:dyDescent="0.2">
      <c r="A165" s="22">
        <v>37834</v>
      </c>
      <c r="B165" s="85">
        <f>VLOOKUP(A165,Database!$A:$AS,MATCH($B$1,Database!$A$1:$AS$1,0),FALSE)</f>
        <v>120.789934172</v>
      </c>
      <c r="C165" s="85">
        <f>VLOOKUP(A165,Database!$A:$AS,MATCH($C$1,Database!$A$1:$AS$1,0),FALSE)</f>
        <v>107.69</v>
      </c>
      <c r="D165" s="85">
        <f>VLOOKUP(A165,Database!$A:$AS,MATCH($D$1,Database!$A$1:$AS$1,0),FALSE)</f>
        <v>78.593450546</v>
      </c>
      <c r="E165" s="85">
        <f>VLOOKUP(A165,Database!$A:$AS,MATCH($E$1,Database!$A$1:$AS$1,0),FALSE)</f>
        <v>123.88810324000001</v>
      </c>
      <c r="F165" s="85">
        <f>VLOOKUP(A165,Database!$A:$AS,MATCH($F$1,Database!$A$1:$AS$1,0),FALSE)</f>
        <v>94.7</v>
      </c>
      <c r="G165" s="85">
        <f>VLOOKUP(A165,Database!$A:$AS,MATCH($G$1,Database!$A$1:$AS$1,0),FALSE)</f>
        <v>108.83670908800001</v>
      </c>
      <c r="H165" s="85">
        <f>(((Table134567891011121314151617343[[#This Row],[ITA]]-VLOOKUP($U$1,A:B,2,))/VLOOKUP($U$1,A:B,2,))*100)+100</f>
        <v>99.342105263065918</v>
      </c>
      <c r="I165" s="85">
        <f>(((Table134567891011121314151617343[[#This Row],[FRA]]-VLOOKUP($U$1,A:C,3,))/VLOOKUP($U$1,A:C,3,))*100)+100</f>
        <v>105.07366572348522</v>
      </c>
      <c r="J165" s="85">
        <f>(((Table134567891011121314151617343[[#This Row],[DEU]]-VLOOKUP($U$1,A:D,4,))/VLOOKUP($U$1,A:D,4,))*100)+100</f>
        <v>104.52127659534855</v>
      </c>
      <c r="K165" s="85">
        <f>(((Table134567891011121314151617343[[#This Row],[ESP]]-VLOOKUP($U$1,A:E,5,))/VLOOKUP($U$1,A:E,5,))*100)+100</f>
        <v>104.13381524724964</v>
      </c>
      <c r="L165" s="85">
        <f>(((Table134567891011121314151617343[[#This Row],[EA19]]-VLOOKUP($U$1,A:F,6,))/VLOOKUP($U$1,A:F,6,))*100)+100</f>
        <v>105.92841163310962</v>
      </c>
      <c r="M165" s="85">
        <f>(((Table134567891011121314151617343[[#This Row],[GBR]]-VLOOKUP($U$1,A:G,7,))/VLOOKUP($U$1,A:G,7,))*100)+100</f>
        <v>118.08634772472206</v>
      </c>
      <c r="N165" s="85">
        <f>VLOOKUP(A165,Database!$A:$AS,MATCH($N$1,Database!$A$1:$AS$1,0),FALSE)</f>
        <v>90.209881530999994</v>
      </c>
      <c r="O165" s="85">
        <f>(((Table134567891011121314151617343[[#This Row],[USA]]-VLOOKUP($U$1,A:N,14,))/VLOOKUP($U$1,A:N,14,))*100)+100</f>
        <v>103.85253954713045</v>
      </c>
      <c r="P165" s="85">
        <f>VLOOKUP(A165,Database!$A:$AS,MATCH($P$1,Database!$A$1:$AS$1,0),FALSE)</f>
        <v>100.427771193</v>
      </c>
      <c r="Q165" s="85">
        <f>(((Table134567891011121314151617343[[#This Row],[JPN]]-VLOOKUP($U$1,A:Q,16,))/VLOOKUP($U$1,A:Q,16,))*100)+100</f>
        <v>100.82742168422217</v>
      </c>
    </row>
    <row r="166" spans="1:17" s="87" customFormat="1" x14ac:dyDescent="0.2">
      <c r="A166" s="22">
        <v>37865</v>
      </c>
      <c r="B166" s="85">
        <f>VLOOKUP(A166,Database!$A:$AS,MATCH($B$1,Database!$A$1:$AS$1,0),FALSE)</f>
        <v>121.289892509</v>
      </c>
      <c r="C166" s="85">
        <f>VLOOKUP(A166,Database!$A:$AS,MATCH($C$1,Database!$A$1:$AS$1,0),FALSE)</f>
        <v>107.28</v>
      </c>
      <c r="D166" s="85">
        <f>VLOOKUP(A166,Database!$A:$AS,MATCH($D$1,Database!$A$1:$AS$1,0),FALSE)</f>
        <v>78.393467211000001</v>
      </c>
      <c r="E166" s="85">
        <f>VLOOKUP(A166,Database!$A:$AS,MATCH($E$1,Database!$A$1:$AS$1,0),FALSE)</f>
        <v>122.785102321</v>
      </c>
      <c r="F166" s="85">
        <f>VLOOKUP(A166,Database!$A:$AS,MATCH($F$1,Database!$A$1:$AS$1,0),FALSE)</f>
        <v>94.4</v>
      </c>
      <c r="G166" s="85">
        <f>VLOOKUP(A166,Database!$A:$AS,MATCH($G$1,Database!$A$1:$AS$1,0),FALSE)</f>
        <v>108.406524467</v>
      </c>
      <c r="H166" s="85">
        <f>(((Table134567891011121314151617343[[#This Row],[ITA]]-VLOOKUP($U$1,A:B,2,))/VLOOKUP($U$1,A:B,2,))*100)+100</f>
        <v>99.753289473752531</v>
      </c>
      <c r="I166" s="85">
        <f>(((Table134567891011121314151617343[[#This Row],[FRA]]-VLOOKUP($U$1,A:C,3,))/VLOOKUP($U$1,A:C,3,))*100)+100</f>
        <v>104.67362669528735</v>
      </c>
      <c r="J166" s="85">
        <f>(((Table134567891011121314151617343[[#This Row],[DEU]]-VLOOKUP($U$1,A:D,4,))/VLOOKUP($U$1,A:D,4,))*100)+100</f>
        <v>104.25531914817219</v>
      </c>
      <c r="K166" s="85">
        <f>(((Table134567891011121314151617343[[#This Row],[ESP]]-VLOOKUP($U$1,A:E,5,))/VLOOKUP($U$1,A:E,5,))*100)+100</f>
        <v>103.20669076222799</v>
      </c>
      <c r="L166" s="85">
        <f>(((Table134567891011121314151617343[[#This Row],[EA19]]-VLOOKUP($U$1,A:F,6,))/VLOOKUP($U$1,A:F,6,))*100)+100</f>
        <v>105.59284116331096</v>
      </c>
      <c r="M166" s="85">
        <f>(((Table134567891011121314151617343[[#This Row],[GBR]]-VLOOKUP($U$1,A:G,7,))/VLOOKUP($U$1,A:G,7,))*100)+100</f>
        <v>117.61960326720488</v>
      </c>
      <c r="N166" s="85">
        <f>VLOOKUP(A166,Database!$A:$AS,MATCH($N$1,Database!$A$1:$AS$1,0),FALSE)</f>
        <v>90.82798622</v>
      </c>
      <c r="O166" s="85">
        <f>(((Table134567891011121314151617343[[#This Row],[USA]]-VLOOKUP($U$1,A:N,14,))/VLOOKUP($U$1,A:N,14,))*100)+100</f>
        <v>104.56412169943137</v>
      </c>
      <c r="P166" s="85">
        <f>VLOOKUP(A166,Database!$A:$AS,MATCH($P$1,Database!$A$1:$AS$1,0),FALSE)</f>
        <v>103.471036986</v>
      </c>
      <c r="Q166" s="85">
        <f>(((Table134567891011121314151617343[[#This Row],[JPN]]-VLOOKUP($U$1,A:Q,16,))/VLOOKUP($U$1,A:Q,16,))*100)+100</f>
        <v>103.88279809816541</v>
      </c>
    </row>
    <row r="167" spans="1:17" s="87" customFormat="1" x14ac:dyDescent="0.2">
      <c r="A167" s="22">
        <v>37895</v>
      </c>
      <c r="B167" s="85">
        <f>VLOOKUP(A167,Database!$A:$AS,MATCH($B$1,Database!$A$1:$AS$1,0),FALSE)</f>
        <v>122.589784185</v>
      </c>
      <c r="C167" s="85">
        <f>VLOOKUP(A167,Database!$A:$AS,MATCH($C$1,Database!$A$1:$AS$1,0),FALSE)</f>
        <v>109.88</v>
      </c>
      <c r="D167" s="85">
        <f>VLOOKUP(A167,Database!$A:$AS,MATCH($D$1,Database!$A$1:$AS$1,0),FALSE)</f>
        <v>80.793267228000005</v>
      </c>
      <c r="E167" s="85">
        <f>VLOOKUP(A167,Database!$A:$AS,MATCH($E$1,Database!$A$1:$AS$1,0),FALSE)</f>
        <v>125.50310458600001</v>
      </c>
      <c r="F167" s="85">
        <f>VLOOKUP(A167,Database!$A:$AS,MATCH($F$1,Database!$A$1:$AS$1,0),FALSE)</f>
        <v>96.8</v>
      </c>
      <c r="G167" s="85">
        <f>VLOOKUP(A167,Database!$A:$AS,MATCH($G$1,Database!$A$1:$AS$1,0),FALSE)</f>
        <v>110.880086037</v>
      </c>
      <c r="H167" s="85">
        <f>(((Table134567891011121314151617343[[#This Row],[ITA]]-VLOOKUP($U$1,A:B,2,))/VLOOKUP($U$1,A:B,2,))*100)+100</f>
        <v>100.82236842137323</v>
      </c>
      <c r="I167" s="85">
        <f>(((Table134567891011121314151617343[[#This Row],[FRA]]-VLOOKUP($U$1,A:C,3,))/VLOOKUP($U$1,A:C,3,))*100)+100</f>
        <v>107.21045955702995</v>
      </c>
      <c r="J167" s="85">
        <f>(((Table134567891011121314151617343[[#This Row],[DEU]]-VLOOKUP($U$1,A:D,4,))/VLOOKUP($U$1,A:D,4,))*100)+100</f>
        <v>107.44680851029877</v>
      </c>
      <c r="K167" s="85">
        <f>(((Table134567891011121314151617343[[#This Row],[ESP]]-VLOOKUP($U$1,A:E,5,))/VLOOKUP($U$1,A:E,5,))*100)+100</f>
        <v>105.49130032765827</v>
      </c>
      <c r="L167" s="85">
        <f>(((Table134567891011121314151617343[[#This Row],[EA19]]-VLOOKUP($U$1,A:F,6,))/VLOOKUP($U$1,A:F,6,))*100)+100</f>
        <v>108.27740492170021</v>
      </c>
      <c r="M167" s="85">
        <f>(((Table134567891011121314151617343[[#This Row],[GBR]]-VLOOKUP($U$1,A:G,7,))/VLOOKUP($U$1,A:G,7,))*100)+100</f>
        <v>120.30338389711493</v>
      </c>
      <c r="N167" s="85">
        <f>VLOOKUP(A167,Database!$A:$AS,MATCH($N$1,Database!$A$1:$AS$1,0),FALSE)</f>
        <v>90.928790015000004</v>
      </c>
      <c r="O167" s="85">
        <f>(((Table134567891011121314151617343[[#This Row],[USA]]-VLOOKUP($U$1,A:N,14,))/VLOOKUP($U$1,A:N,14,))*100)+100</f>
        <v>104.68017029553933</v>
      </c>
      <c r="P167" s="85">
        <f>VLOOKUP(A167,Database!$A:$AS,MATCH($P$1,Database!$A$1:$AS$1,0),FALSE)</f>
        <v>104.666605691</v>
      </c>
      <c r="Q167" s="85">
        <f>(((Table134567891011121314151617343[[#This Row],[JPN]]-VLOOKUP($U$1,A:Q,16,))/VLOOKUP($U$1,A:Q,16,))*100)+100</f>
        <v>105.08312454710982</v>
      </c>
    </row>
    <row r="168" spans="1:17" s="87" customFormat="1" x14ac:dyDescent="0.2">
      <c r="A168" s="22">
        <v>37926</v>
      </c>
      <c r="B168" s="85">
        <f>VLOOKUP(A168,Database!$A:$AS,MATCH($B$1,Database!$A$1:$AS$1,0),FALSE)</f>
        <v>123.989667528</v>
      </c>
      <c r="C168" s="85">
        <f>VLOOKUP(A168,Database!$A:$AS,MATCH($C$1,Database!$A$1:$AS$1,0),FALSE)</f>
        <v>107.75</v>
      </c>
      <c r="D168" s="85">
        <f>VLOOKUP(A168,Database!$A:$AS,MATCH($D$1,Database!$A$1:$AS$1,0),FALSE)</f>
        <v>81.593200566999997</v>
      </c>
      <c r="E168" s="85">
        <f>VLOOKUP(A168,Database!$A:$AS,MATCH($E$1,Database!$A$1:$AS$1,0),FALSE)</f>
        <v>124.46510372100001</v>
      </c>
      <c r="F168" s="85">
        <f>VLOOKUP(A168,Database!$A:$AS,MATCH($F$1,Database!$A$1:$AS$1,0),FALSE)</f>
        <v>96.5</v>
      </c>
      <c r="G168" s="85">
        <f>VLOOKUP(A168,Database!$A:$AS,MATCH($G$1,Database!$A$1:$AS$1,0),FALSE)</f>
        <v>107.43860907</v>
      </c>
      <c r="H168" s="85">
        <f>(((Table134567891011121314151617343[[#This Row],[ITA]]-VLOOKUP($U$1,A:B,2,))/VLOOKUP($U$1,A:B,2,))*100)+100</f>
        <v>101.97368421080228</v>
      </c>
      <c r="I168" s="85">
        <f>(((Table134567891011121314151617343[[#This Row],[FRA]]-VLOOKUP($U$1,A:C,3,))/VLOOKUP($U$1,A:C,3,))*100)+100</f>
        <v>105.13220802029467</v>
      </c>
      <c r="J168" s="85">
        <f>(((Table134567891011121314151617343[[#This Row],[DEU]]-VLOOKUP($U$1,A:D,4,))/VLOOKUP($U$1,A:D,4,))*100)+100</f>
        <v>108.51063829767428</v>
      </c>
      <c r="K168" s="85">
        <f>(((Table134567891011121314151617343[[#This Row],[ESP]]-VLOOKUP($U$1,A:E,5,))/VLOOKUP($U$1,A:E,5,))*100)+100</f>
        <v>104.6188114649222</v>
      </c>
      <c r="L168" s="85">
        <f>(((Table134567891011121314151617343[[#This Row],[EA19]]-VLOOKUP($U$1,A:F,6,))/VLOOKUP($U$1,A:F,6,))*100)+100</f>
        <v>107.94183445190156</v>
      </c>
      <c r="M168" s="85">
        <f>(((Table134567891011121314151617343[[#This Row],[GBR]]-VLOOKUP($U$1,A:G,7,))/VLOOKUP($U$1,A:G,7,))*100)+100</f>
        <v>116.56942823806247</v>
      </c>
      <c r="N168" s="85">
        <f>VLOOKUP(A168,Database!$A:$AS,MATCH($N$1,Database!$A$1:$AS$1,0),FALSE)</f>
        <v>91.536685469999995</v>
      </c>
      <c r="O168" s="85">
        <f>(((Table134567891011121314151617343[[#This Row],[USA]]-VLOOKUP($U$1,A:N,14,))/VLOOKUP($U$1,A:N,14,))*100)+100</f>
        <v>105.37999924675253</v>
      </c>
      <c r="P168" s="85">
        <f>VLOOKUP(A168,Database!$A:$AS,MATCH($P$1,Database!$A$1:$AS$1,0),FALSE)</f>
        <v>104.883981819</v>
      </c>
      <c r="Q168" s="85">
        <f>(((Table134567891011121314151617343[[#This Row],[JPN]]-VLOOKUP($U$1,A:Q,16,))/VLOOKUP($U$1,A:Q,16,))*100)+100</f>
        <v>105.30136571946261</v>
      </c>
    </row>
    <row r="169" spans="1:17" s="87" customFormat="1" x14ac:dyDescent="0.2">
      <c r="A169" s="22">
        <v>37956</v>
      </c>
      <c r="B169" s="85">
        <f>VLOOKUP(A169,Database!$A:$AS,MATCH($B$1,Database!$A$1:$AS$1,0),FALSE)</f>
        <v>124.089659195</v>
      </c>
      <c r="C169" s="85">
        <f>VLOOKUP(A169,Database!$A:$AS,MATCH($C$1,Database!$A$1:$AS$1,0),FALSE)</f>
        <v>108.4</v>
      </c>
      <c r="D169" s="85">
        <f>VLOOKUP(A169,Database!$A:$AS,MATCH($D$1,Database!$A$1:$AS$1,0),FALSE)</f>
        <v>81.993167236000005</v>
      </c>
      <c r="E169" s="85">
        <f>VLOOKUP(A169,Database!$A:$AS,MATCH($E$1,Database!$A$1:$AS$1,0),FALSE)</f>
        <v>123.445102871</v>
      </c>
      <c r="F169" s="85">
        <f>VLOOKUP(A169,Database!$A:$AS,MATCH($F$1,Database!$A$1:$AS$1,0),FALSE)</f>
        <v>96.8</v>
      </c>
      <c r="G169" s="85">
        <f>VLOOKUP(A169,Database!$A:$AS,MATCH($G$1,Database!$A$1:$AS$1,0),FALSE)</f>
        <v>103.244309016</v>
      </c>
      <c r="H169" s="85">
        <f>(((Table134567891011121314151617343[[#This Row],[ITA]]-VLOOKUP($U$1,A:B,2,))/VLOOKUP($U$1,A:B,2,))*100)+100</f>
        <v>102.05592105261061</v>
      </c>
      <c r="I169" s="85">
        <f>(((Table134567891011121314151617343[[#This Row],[FRA]]-VLOOKUP($U$1,A:C,3,))/VLOOKUP($U$1,A:C,3,))*100)+100</f>
        <v>105.76641623573033</v>
      </c>
      <c r="J169" s="85">
        <f>(((Table134567891011121314151617343[[#This Row],[DEU]]-VLOOKUP($U$1,A:D,4,))/VLOOKUP($U$1,A:D,4,))*100)+100</f>
        <v>109.04255319069709</v>
      </c>
      <c r="K169" s="85">
        <f>(((Table134567891011121314151617343[[#This Row],[ESP]]-VLOOKUP($U$1,A:E,5,))/VLOOKUP($U$1,A:E,5,))*100)+100</f>
        <v>103.76145246685786</v>
      </c>
      <c r="L169" s="85">
        <f>(((Table134567891011121314151617343[[#This Row],[EA19]]-VLOOKUP($U$1,A:F,6,))/VLOOKUP($U$1,A:F,6,))*100)+100</f>
        <v>108.27740492170021</v>
      </c>
      <c r="M169" s="85">
        <f>(((Table134567891011121314151617343[[#This Row],[GBR]]-VLOOKUP($U$1,A:G,7,))/VLOOKUP($U$1,A:G,7,))*100)+100</f>
        <v>112.01866977808371</v>
      </c>
      <c r="N169" s="85">
        <f>VLOOKUP(A169,Database!$A:$AS,MATCH($N$1,Database!$A$1:$AS$1,0),FALSE)</f>
        <v>91.587632521000003</v>
      </c>
      <c r="O169" s="85">
        <f>(((Table134567891011121314151617343[[#This Row],[USA]]-VLOOKUP($U$1,A:N,14,))/VLOOKUP($U$1,A:N,14,))*100)+100</f>
        <v>105.43865114318552</v>
      </c>
      <c r="P169" s="85">
        <f>VLOOKUP(A169,Database!$A:$AS,MATCH($P$1,Database!$A$1:$AS$1,0),FALSE)</f>
        <v>104.55791762699999</v>
      </c>
      <c r="Q169" s="85">
        <f>(((Table134567891011121314151617343[[#This Row],[JPN]]-VLOOKUP($U$1,A:Q,16,))/VLOOKUP($U$1,A:Q,16,))*100)+100</f>
        <v>104.9740039609334</v>
      </c>
    </row>
    <row r="170" spans="1:17" s="87" customFormat="1" x14ac:dyDescent="0.2">
      <c r="A170" s="22">
        <v>37987</v>
      </c>
      <c r="B170" s="85">
        <f>VLOOKUP(A170,Database!$A:$AS,MATCH($B$1,Database!$A$1:$AS$1,0),FALSE)</f>
        <v>124.089659195</v>
      </c>
      <c r="C170" s="85">
        <f>VLOOKUP(A170,Database!$A:$AS,MATCH($C$1,Database!$A$1:$AS$1,0),FALSE)</f>
        <v>109.1</v>
      </c>
      <c r="D170" s="85">
        <f>VLOOKUP(A170,Database!$A:$AS,MATCH($D$1,Database!$A$1:$AS$1,0),FALSE)</f>
        <v>81.293225565</v>
      </c>
      <c r="E170" s="85">
        <f>VLOOKUP(A170,Database!$A:$AS,MATCH($E$1,Database!$A$1:$AS$1,0),FALSE)</f>
        <v>123.71910309899999</v>
      </c>
      <c r="F170" s="85">
        <f>VLOOKUP(A170,Database!$A:$AS,MATCH($F$1,Database!$A$1:$AS$1,0),FALSE)</f>
        <v>96.7</v>
      </c>
      <c r="G170" s="85">
        <f>VLOOKUP(A170,Database!$A:$AS,MATCH($G$1,Database!$A$1:$AS$1,0),FALSE)</f>
        <v>100.01792435900001</v>
      </c>
      <c r="H170" s="85">
        <f>(((Table134567891011121314151617343[[#This Row],[ITA]]-VLOOKUP($U$1,A:B,2,))/VLOOKUP($U$1,A:B,2,))*100)+100</f>
        <v>102.05592105261061</v>
      </c>
      <c r="I170" s="85">
        <f>(((Table134567891011121314151617343[[#This Row],[FRA]]-VLOOKUP($U$1,A:C,3,))/VLOOKUP($U$1,A:C,3,))*100)+100</f>
        <v>106.44940969850717</v>
      </c>
      <c r="J170" s="85">
        <f>(((Table134567891011121314151617343[[#This Row],[DEU]]-VLOOKUP($U$1,A:D,4,))/VLOOKUP($U$1,A:D,4,))*100)+100</f>
        <v>108.11170212757469</v>
      </c>
      <c r="K170" s="85">
        <f>(((Table134567891011121314151617343[[#This Row],[ESP]]-VLOOKUP($U$1,A:E,5,))/VLOOKUP($U$1,A:E,5,))*100)+100</f>
        <v>103.9917626288028</v>
      </c>
      <c r="L170" s="85">
        <f>(((Table134567891011121314151617343[[#This Row],[EA19]]-VLOOKUP($U$1,A:F,6,))/VLOOKUP($U$1,A:F,6,))*100)+100</f>
        <v>108.165548098434</v>
      </c>
      <c r="M170" s="85">
        <f>(((Table134567891011121314151617343[[#This Row],[GBR]]-VLOOKUP($U$1,A:G,7,))/VLOOKUP($U$1,A:G,7,))*100)+100</f>
        <v>108.51808634724735</v>
      </c>
      <c r="N170" s="85">
        <f>VLOOKUP(A170,Database!$A:$AS,MATCH($N$1,Database!$A$1:$AS$1,0),FALSE)</f>
        <v>91.748601413000003</v>
      </c>
      <c r="O170" s="85">
        <f>(((Table134567891011121314151617343[[#This Row],[USA]]-VLOOKUP($U$1,A:N,14,))/VLOOKUP($U$1,A:N,14,))*100)+100</f>
        <v>105.62396374906166</v>
      </c>
      <c r="P170" s="85">
        <f>VLOOKUP(A170,Database!$A:$AS,MATCH($P$1,Database!$A$1:$AS$1,0),FALSE)</f>
        <v>106.405614716</v>
      </c>
      <c r="Q170" s="85">
        <f>(((Table134567891011121314151617343[[#This Row],[JPN]]-VLOOKUP($U$1,A:Q,16,))/VLOOKUP($U$1,A:Q,16,))*100)+100</f>
        <v>106.82905392693623</v>
      </c>
    </row>
    <row r="171" spans="1:17" s="87" customFormat="1" x14ac:dyDescent="0.2">
      <c r="A171" s="22">
        <v>38018</v>
      </c>
      <c r="B171" s="85">
        <f>VLOOKUP(A171,Database!$A:$AS,MATCH($B$1,Database!$A$1:$AS$1,0),FALSE)</f>
        <v>123.689692526</v>
      </c>
      <c r="C171" s="85">
        <f>VLOOKUP(A171,Database!$A:$AS,MATCH($C$1,Database!$A$1:$AS$1,0),FALSE)</f>
        <v>110.19</v>
      </c>
      <c r="D171" s="85">
        <f>VLOOKUP(A171,Database!$A:$AS,MATCH($D$1,Database!$A$1:$AS$1,0),FALSE)</f>
        <v>81.693192233999994</v>
      </c>
      <c r="E171" s="85">
        <f>VLOOKUP(A171,Database!$A:$AS,MATCH($E$1,Database!$A$1:$AS$1,0),FALSE)</f>
        <v>124.14110345100001</v>
      </c>
      <c r="F171" s="85">
        <f>VLOOKUP(A171,Database!$A:$AS,MATCH($F$1,Database!$A$1:$AS$1,0),FALSE)</f>
        <v>97.1</v>
      </c>
      <c r="G171" s="85">
        <f>VLOOKUP(A171,Database!$A:$AS,MATCH($G$1,Database!$A$1:$AS$1,0),FALSE)</f>
        <v>100.44810898</v>
      </c>
      <c r="H171" s="85">
        <f>(((Table134567891011121314151617343[[#This Row],[ITA]]-VLOOKUP($U$1,A:B,2,))/VLOOKUP($U$1,A:B,2,))*100)+100</f>
        <v>101.72697368455479</v>
      </c>
      <c r="I171" s="85">
        <f>(((Table134567891011121314151617343[[#This Row],[FRA]]-VLOOKUP($U$1,A:C,3,))/VLOOKUP($U$1,A:C,3,))*100)+100</f>
        <v>107.51292809054542</v>
      </c>
      <c r="J171" s="85">
        <f>(((Table134567891011121314151617343[[#This Row],[DEU]]-VLOOKUP($U$1,A:D,4,))/VLOOKUP($U$1,A:D,4,))*100)+100</f>
        <v>108.6436170205975</v>
      </c>
      <c r="K171" s="85">
        <f>(((Table134567891011121314151617343[[#This Row],[ESP]]-VLOOKUP($U$1,A:E,5,))/VLOOKUP($U$1,A:E,5,))*100)+100</f>
        <v>104.34647390083119</v>
      </c>
      <c r="L171" s="85">
        <f>(((Table134567891011121314151617343[[#This Row],[EA19]]-VLOOKUP($U$1,A:F,6,))/VLOOKUP($U$1,A:F,6,))*100)+100</f>
        <v>108.61297539149886</v>
      </c>
      <c r="M171" s="85">
        <f>(((Table134567891011121314151617343[[#This Row],[GBR]]-VLOOKUP($U$1,A:G,7,))/VLOOKUP($U$1,A:G,7,))*100)+100</f>
        <v>108.98483080476451</v>
      </c>
      <c r="N171" s="85">
        <f>VLOOKUP(A171,Database!$A:$AS,MATCH($N$1,Database!$A$1:$AS$1,0),FALSE)</f>
        <v>92.288699625000007</v>
      </c>
      <c r="O171" s="85">
        <f>(((Table134567891011121314151617343[[#This Row],[USA]]-VLOOKUP($U$1,A:N,14,))/VLOOKUP($U$1,A:N,14,))*100)+100</f>
        <v>106.2457423166545</v>
      </c>
      <c r="P171" s="85">
        <f>VLOOKUP(A171,Database!$A:$AS,MATCH($P$1,Database!$A$1:$AS$1,0),FALSE)</f>
        <v>106.079550524</v>
      </c>
      <c r="Q171" s="85">
        <f>(((Table134567891011121314151617343[[#This Row],[JPN]]-VLOOKUP($U$1,A:Q,16,))/VLOOKUP($U$1,A:Q,16,))*100)+100</f>
        <v>106.50169216840702</v>
      </c>
    </row>
    <row r="172" spans="1:17" s="87" customFormat="1" x14ac:dyDescent="0.2">
      <c r="A172" s="22">
        <v>38047</v>
      </c>
      <c r="B172" s="85">
        <f>VLOOKUP(A172,Database!$A:$AS,MATCH($B$1,Database!$A$1:$AS$1,0),FALSE)</f>
        <v>121.489875844</v>
      </c>
      <c r="C172" s="85">
        <f>VLOOKUP(A172,Database!$A:$AS,MATCH($C$1,Database!$A$1:$AS$1,0),FALSE)</f>
        <v>109.83</v>
      </c>
      <c r="D172" s="85">
        <f>VLOOKUP(A172,Database!$A:$AS,MATCH($D$1,Database!$A$1:$AS$1,0),FALSE)</f>
        <v>81.193233896999999</v>
      </c>
      <c r="E172" s="85">
        <f>VLOOKUP(A172,Database!$A:$AS,MATCH($E$1,Database!$A$1:$AS$1,0),FALSE)</f>
        <v>126.238105198</v>
      </c>
      <c r="F172" s="85">
        <f>VLOOKUP(A172,Database!$A:$AS,MATCH($F$1,Database!$A$1:$AS$1,0),FALSE)</f>
        <v>96.9</v>
      </c>
      <c r="G172" s="85">
        <f>VLOOKUP(A172,Database!$A:$AS,MATCH($G$1,Database!$A$1:$AS$1,0),FALSE)</f>
        <v>101.30847822200001</v>
      </c>
      <c r="H172" s="85">
        <f>(((Table134567891011121314151617343[[#This Row],[ITA]]-VLOOKUP($U$1,A:B,2,))/VLOOKUP($U$1,A:B,2,))*100)+100</f>
        <v>99.917763158191661</v>
      </c>
      <c r="I172" s="85">
        <f>(((Table134567891011121314151617343[[#This Row],[FRA]]-VLOOKUP($U$1,A:C,3,))/VLOOKUP($U$1,A:C,3,))*100)+100</f>
        <v>107.16167430968875</v>
      </c>
      <c r="J172" s="85">
        <f>(((Table134567891011121314151617343[[#This Row],[DEU]]-VLOOKUP($U$1,A:D,4,))/VLOOKUP($U$1,A:D,4,))*100)+100</f>
        <v>107.97872340332157</v>
      </c>
      <c r="K172" s="85">
        <f>(((Table134567891011121314151617343[[#This Row],[ESP]]-VLOOKUP($U$1,A:E,5,))/VLOOKUP($U$1,A:E,5,))*100)+100</f>
        <v>106.1091031346667</v>
      </c>
      <c r="L172" s="85">
        <f>(((Table134567891011121314151617343[[#This Row],[EA19]]-VLOOKUP($U$1,A:F,6,))/VLOOKUP($U$1,A:F,6,))*100)+100</f>
        <v>108.38926174496645</v>
      </c>
      <c r="M172" s="85">
        <f>(((Table134567891011121314151617343[[#This Row],[GBR]]-VLOOKUP($U$1,A:G,7,))/VLOOKUP($U$1,A:G,7,))*100)+100</f>
        <v>109.91831971979889</v>
      </c>
      <c r="N172" s="85">
        <f>VLOOKUP(A172,Database!$A:$AS,MATCH($N$1,Database!$A$1:$AS$1,0),FALSE)</f>
        <v>91.923050459999999</v>
      </c>
      <c r="O172" s="85">
        <f>(((Table134567891011121314151617343[[#This Row],[USA]]-VLOOKUP($U$1,A:N,14,))/VLOOKUP($U$1,A:N,14,))*100)+100</f>
        <v>105.82479514629945</v>
      </c>
      <c r="P172" s="85">
        <f>VLOOKUP(A172,Database!$A:$AS,MATCH($P$1,Database!$A$1:$AS$1,0),FALSE)</f>
        <v>105.536110204</v>
      </c>
      <c r="Q172" s="85">
        <f>(((Table134567891011121314151617343[[#This Row],[JPN]]-VLOOKUP($U$1,A:Q,16,))/VLOOKUP($U$1,A:Q,16,))*100)+100</f>
        <v>105.95608923752501</v>
      </c>
    </row>
    <row r="173" spans="1:17" s="87" customFormat="1" x14ac:dyDescent="0.2">
      <c r="A173" s="22">
        <v>38078</v>
      </c>
      <c r="B173" s="85">
        <f>VLOOKUP(A173,Database!$A:$AS,MATCH($B$1,Database!$A$1:$AS$1,0),FALSE)</f>
        <v>123.789684193</v>
      </c>
      <c r="C173" s="85">
        <f>VLOOKUP(A173,Database!$A:$AS,MATCH($C$1,Database!$A$1:$AS$1,0),FALSE)</f>
        <v>109.86</v>
      </c>
      <c r="D173" s="85">
        <f>VLOOKUP(A173,Database!$A:$AS,MATCH($D$1,Database!$A$1:$AS$1,0),FALSE)</f>
        <v>82.393133906000003</v>
      </c>
      <c r="E173" s="85">
        <f>VLOOKUP(A173,Database!$A:$AS,MATCH($E$1,Database!$A$1:$AS$1,0),FALSE)</f>
        <v>125.442104535</v>
      </c>
      <c r="F173" s="85">
        <f>VLOOKUP(A173,Database!$A:$AS,MATCH($F$1,Database!$A$1:$AS$1,0),FALSE)</f>
        <v>97.8</v>
      </c>
      <c r="G173" s="85">
        <f>VLOOKUP(A173,Database!$A:$AS,MATCH($G$1,Database!$A$1:$AS$1,0),FALSE)</f>
        <v>102.061301308</v>
      </c>
      <c r="H173" s="85">
        <f>(((Table134567891011121314151617343[[#This Row],[ITA]]-VLOOKUP($U$1,A:B,2,))/VLOOKUP($U$1,A:B,2,))*100)+100</f>
        <v>101.80921052636313</v>
      </c>
      <c r="I173" s="85">
        <f>(((Table134567891011121314151617343[[#This Row],[FRA]]-VLOOKUP($U$1,A:C,3,))/VLOOKUP($U$1,A:C,3,))*100)+100</f>
        <v>107.19094545809348</v>
      </c>
      <c r="J173" s="85">
        <f>(((Table134567891011121314151617343[[#This Row],[DEU]]-VLOOKUP($U$1,A:D,4,))/VLOOKUP($U$1,A:D,4,))*100)+100</f>
        <v>109.5744680850498</v>
      </c>
      <c r="K173" s="85">
        <f>(((Table134567891011121314151617343[[#This Row],[ESP]]-VLOOKUP($U$1,A:E,5,))/VLOOKUP($U$1,A:E,5,))*100)+100</f>
        <v>105.44002689724178</v>
      </c>
      <c r="L173" s="85">
        <f>(((Table134567891011121314151617343[[#This Row],[EA19]]-VLOOKUP($U$1,A:F,6,))/VLOOKUP($U$1,A:F,6,))*100)+100</f>
        <v>109.39597315436241</v>
      </c>
      <c r="M173" s="85">
        <f>(((Table134567891011121314151617343[[#This Row],[GBR]]-VLOOKUP($U$1,A:G,7,))/VLOOKUP($U$1,A:G,7,))*100)+100</f>
        <v>110.7351225196402</v>
      </c>
      <c r="N173" s="85">
        <f>VLOOKUP(A173,Database!$A:$AS,MATCH($N$1,Database!$A$1:$AS$1,0),FALSE)</f>
        <v>92.304855986000007</v>
      </c>
      <c r="O173" s="85">
        <f>(((Table134567891011121314151617343[[#This Row],[USA]]-VLOOKUP($U$1,A:N,14,))/VLOOKUP($U$1,A:N,14,))*100)+100</f>
        <v>106.26434204310591</v>
      </c>
      <c r="P173" s="85">
        <f>VLOOKUP(A173,Database!$A:$AS,MATCH($P$1,Database!$A$1:$AS$1,0),FALSE)</f>
        <v>107.383807293</v>
      </c>
      <c r="Q173" s="85">
        <f>(((Table134567891011121314151617343[[#This Row],[JPN]]-VLOOKUP($U$1,A:Q,16,))/VLOOKUP($U$1,A:Q,16,))*100)+100</f>
        <v>107.81113920352783</v>
      </c>
    </row>
    <row r="174" spans="1:17" s="87" customFormat="1" x14ac:dyDescent="0.2">
      <c r="A174" s="22">
        <v>38108</v>
      </c>
      <c r="B174" s="85">
        <f>VLOOKUP(A174,Database!$A:$AS,MATCH($B$1,Database!$A$1:$AS$1,0),FALSE)</f>
        <v>123.489709191</v>
      </c>
      <c r="C174" s="85">
        <f>VLOOKUP(A174,Database!$A:$AS,MATCH($C$1,Database!$A$1:$AS$1,0),FALSE)</f>
        <v>109.26</v>
      </c>
      <c r="D174" s="85">
        <f>VLOOKUP(A174,Database!$A:$AS,MATCH($D$1,Database!$A$1:$AS$1,0),FALSE)</f>
        <v>83.293058912000006</v>
      </c>
      <c r="E174" s="85">
        <f>VLOOKUP(A174,Database!$A:$AS,MATCH($E$1,Database!$A$1:$AS$1,0),FALSE)</f>
        <v>126.12610510499999</v>
      </c>
      <c r="F174" s="85">
        <f>VLOOKUP(A174,Database!$A:$AS,MATCH($F$1,Database!$A$1:$AS$1,0),FALSE)</f>
        <v>97.9</v>
      </c>
      <c r="G174" s="85">
        <f>VLOOKUP(A174,Database!$A:$AS,MATCH($G$1,Database!$A$1:$AS$1,0),FALSE)</f>
        <v>103.78203979200001</v>
      </c>
      <c r="H174" s="85">
        <f>(((Table134567891011121314151617343[[#This Row],[ITA]]-VLOOKUP($U$1,A:B,2,))/VLOOKUP($U$1,A:B,2,))*100)+100</f>
        <v>101.56250000011566</v>
      </c>
      <c r="I174" s="85">
        <f>(((Table134567891011121314151617343[[#This Row],[FRA]]-VLOOKUP($U$1,A:C,3,))/VLOOKUP($U$1,A:C,3,))*100)+100</f>
        <v>106.60552248999903</v>
      </c>
      <c r="J174" s="85">
        <f>(((Table134567891011121314151617343[[#This Row],[DEU]]-VLOOKUP($U$1,A:D,4,))/VLOOKUP($U$1,A:D,4,))*100)+100</f>
        <v>110.77127659534855</v>
      </c>
      <c r="K174" s="85">
        <f>(((Table134567891011121314151617343[[#This Row],[ESP]]-VLOOKUP($U$1,A:E,5,))/VLOOKUP($U$1,A:E,5,))*100)+100</f>
        <v>106.01496175476727</v>
      </c>
      <c r="L174" s="85">
        <f>(((Table134567891011121314151617343[[#This Row],[EA19]]-VLOOKUP($U$1,A:F,6,))/VLOOKUP($U$1,A:F,6,))*100)+100</f>
        <v>109.50782997762863</v>
      </c>
      <c r="M174" s="85">
        <f>(((Table134567891011121314151617343[[#This Row],[GBR]]-VLOOKUP($U$1,A:G,7,))/VLOOKUP($U$1,A:G,7,))*100)+100</f>
        <v>112.60210034970893</v>
      </c>
      <c r="N174" s="85">
        <f>VLOOKUP(A174,Database!$A:$AS,MATCH($N$1,Database!$A$1:$AS$1,0),FALSE)</f>
        <v>92.970438568000006</v>
      </c>
      <c r="O174" s="85">
        <f>(((Table134567891011121314151617343[[#This Row],[USA]]-VLOOKUP($U$1,A:N,14,))/VLOOKUP($U$1,A:N,14,))*100)+100</f>
        <v>107.03058228470609</v>
      </c>
      <c r="P174" s="85">
        <f>VLOOKUP(A174,Database!$A:$AS,MATCH($P$1,Database!$A$1:$AS$1,0),FALSE)</f>
        <v>107.492495357</v>
      </c>
      <c r="Q174" s="85">
        <f>(((Table134567891011121314151617343[[#This Row],[JPN]]-VLOOKUP($U$1,A:Q,16,))/VLOOKUP($U$1,A:Q,16,))*100)+100</f>
        <v>107.92025978970422</v>
      </c>
    </row>
    <row r="175" spans="1:17" s="87" customFormat="1" x14ac:dyDescent="0.2">
      <c r="A175" s="22">
        <v>38139</v>
      </c>
      <c r="B175" s="85">
        <f>VLOOKUP(A175,Database!$A:$AS,MATCH($B$1,Database!$A$1:$AS$1,0),FALSE)</f>
        <v>122.78976751899999</v>
      </c>
      <c r="C175" s="85">
        <f>VLOOKUP(A175,Database!$A:$AS,MATCH($C$1,Database!$A$1:$AS$1,0),FALSE)</f>
        <v>110.32</v>
      </c>
      <c r="D175" s="85">
        <f>VLOOKUP(A175,Database!$A:$AS,MATCH($D$1,Database!$A$1:$AS$1,0),FALSE)</f>
        <v>82.693108907999999</v>
      </c>
      <c r="E175" s="85">
        <f>VLOOKUP(A175,Database!$A:$AS,MATCH($E$1,Database!$A$1:$AS$1,0),FALSE)</f>
        <v>126.784105653</v>
      </c>
      <c r="F175" s="85">
        <f>VLOOKUP(A175,Database!$A:$AS,MATCH($F$1,Database!$A$1:$AS$1,0),FALSE)</f>
        <v>97.8</v>
      </c>
      <c r="G175" s="85">
        <f>VLOOKUP(A175,Database!$A:$AS,MATCH($G$1,Database!$A$1:$AS$1,0),FALSE)</f>
        <v>105.610324431</v>
      </c>
      <c r="H175" s="85">
        <f>(((Table134567891011121314151617343[[#This Row],[ITA]]-VLOOKUP($U$1,A:B,2,))/VLOOKUP($U$1,A:B,2,))*100)+100</f>
        <v>100.98684210498992</v>
      </c>
      <c r="I175" s="85">
        <f>(((Table134567891011121314151617343[[#This Row],[FRA]]-VLOOKUP($U$1,A:C,3,))/VLOOKUP($U$1,A:C,3,))*100)+100</f>
        <v>107.63976973363255</v>
      </c>
      <c r="J175" s="85">
        <f>(((Table134567891011121314151617343[[#This Row],[DEU]]-VLOOKUP($U$1,A:D,4,))/VLOOKUP($U$1,A:D,4,))*100)+100</f>
        <v>109.97340425514938</v>
      </c>
      <c r="K175" s="85">
        <f>(((Table134567891011121314151617343[[#This Row],[ESP]]-VLOOKUP($U$1,A:E,5,))/VLOOKUP($U$1,A:E,5,))*100)+100</f>
        <v>106.56804236304231</v>
      </c>
      <c r="L175" s="85">
        <f>(((Table134567891011121314151617343[[#This Row],[EA19]]-VLOOKUP($U$1,A:F,6,))/VLOOKUP($U$1,A:F,6,))*100)+100</f>
        <v>109.39597315436241</v>
      </c>
      <c r="M175" s="85">
        <f>(((Table134567891011121314151617343[[#This Row],[GBR]]-VLOOKUP($U$1,A:G,7,))/VLOOKUP($U$1,A:G,7,))*100)+100</f>
        <v>114.58576429388569</v>
      </c>
      <c r="N175" s="85">
        <f>VLOOKUP(A175,Database!$A:$AS,MATCH($N$1,Database!$A$1:$AS$1,0),FALSE)</f>
        <v>92.247565332999997</v>
      </c>
      <c r="O175" s="85">
        <f>(((Table134567891011121314151617343[[#This Row],[USA]]-VLOOKUP($U$1,A:N,14,))/VLOOKUP($U$1,A:N,14,))*100)+100</f>
        <v>106.19838718643847</v>
      </c>
      <c r="P175" s="85">
        <f>VLOOKUP(A175,Database!$A:$AS,MATCH($P$1,Database!$A$1:$AS$1,0),FALSE)</f>
        <v>107.818559549</v>
      </c>
      <c r="Q175" s="85">
        <f>(((Table134567891011121314151617343[[#This Row],[JPN]]-VLOOKUP($U$1,A:Q,16,))/VLOOKUP($U$1,A:Q,16,))*100)+100</f>
        <v>108.24762154823343</v>
      </c>
    </row>
    <row r="176" spans="1:17" s="87" customFormat="1" x14ac:dyDescent="0.2">
      <c r="A176" s="22">
        <v>38169</v>
      </c>
      <c r="B176" s="85">
        <f>VLOOKUP(A176,Database!$A:$AS,MATCH($B$1,Database!$A$1:$AS$1,0),FALSE)</f>
        <v>123.08974252100001</v>
      </c>
      <c r="C176" s="85">
        <f>VLOOKUP(A176,Database!$A:$AS,MATCH($C$1,Database!$A$1:$AS$1,0),FALSE)</f>
        <v>110.78</v>
      </c>
      <c r="D176" s="85">
        <f>VLOOKUP(A176,Database!$A:$AS,MATCH($D$1,Database!$A$1:$AS$1,0),FALSE)</f>
        <v>83.693025581000001</v>
      </c>
      <c r="E176" s="85">
        <f>VLOOKUP(A176,Database!$A:$AS,MATCH($E$1,Database!$A$1:$AS$1,0),FALSE)</f>
        <v>126.762105635</v>
      </c>
      <c r="F176" s="85">
        <f>VLOOKUP(A176,Database!$A:$AS,MATCH($F$1,Database!$A$1:$AS$1,0),FALSE)</f>
        <v>98.7</v>
      </c>
      <c r="G176" s="85">
        <f>VLOOKUP(A176,Database!$A:$AS,MATCH($G$1,Database!$A$1:$AS$1,0),FALSE)</f>
        <v>104.857501344</v>
      </c>
      <c r="H176" s="85">
        <f>(((Table134567891011121314151617343[[#This Row],[ITA]]-VLOOKUP($U$1,A:B,2,))/VLOOKUP($U$1,A:B,2,))*100)+100</f>
        <v>101.2335526312374</v>
      </c>
      <c r="I176" s="85">
        <f>(((Table134567891011121314151617343[[#This Row],[FRA]]-VLOOKUP($U$1,A:C,3,))/VLOOKUP($U$1,A:C,3,))*100)+100</f>
        <v>108.08859400917163</v>
      </c>
      <c r="J176" s="85">
        <f>(((Table134567891011121314151617343[[#This Row],[DEU]]-VLOOKUP($U$1,A:D,4,))/VLOOKUP($U$1,A:D,4,))*100)+100</f>
        <v>111.30319148837137</v>
      </c>
      <c r="K176" s="85">
        <f>(((Table134567891011121314151617343[[#This Row],[ESP]]-VLOOKUP($U$1,A:E,5,))/VLOOKUP($U$1,A:E,5,))*100)+100</f>
        <v>106.5495503065015</v>
      </c>
      <c r="L176" s="85">
        <f>(((Table134567891011121314151617343[[#This Row],[EA19]]-VLOOKUP($U$1,A:F,6,))/VLOOKUP($U$1,A:F,6,))*100)+100</f>
        <v>110.40268456375838</v>
      </c>
      <c r="M176" s="85">
        <f>(((Table134567891011121314151617343[[#This Row],[GBR]]-VLOOKUP($U$1,A:G,7,))/VLOOKUP($U$1,A:G,7,))*100)+100</f>
        <v>113.76896149295939</v>
      </c>
      <c r="N176" s="85">
        <f>VLOOKUP(A176,Database!$A:$AS,MATCH($N$1,Database!$A$1:$AS$1,0),FALSE)</f>
        <v>92.938324085000005</v>
      </c>
      <c r="O176" s="85">
        <f>(((Table134567891011121314151617343[[#This Row],[USA]]-VLOOKUP($U$1,A:N,14,))/VLOOKUP($U$1,A:N,14,))*100)+100</f>
        <v>106.99361105096548</v>
      </c>
      <c r="P176" s="85">
        <f>VLOOKUP(A176,Database!$A:$AS,MATCH($P$1,Database!$A$1:$AS$1,0),FALSE)</f>
        <v>109.340192446</v>
      </c>
      <c r="Q176" s="85">
        <f>(((Table134567891011121314151617343[[#This Row],[JPN]]-VLOOKUP($U$1,A:Q,16,))/VLOOKUP($U$1,A:Q,16,))*100)+100</f>
        <v>109.77530975570704</v>
      </c>
    </row>
    <row r="177" spans="1:17" s="87" customFormat="1" x14ac:dyDescent="0.2">
      <c r="A177" s="22">
        <v>38200</v>
      </c>
      <c r="B177" s="85">
        <f>VLOOKUP(A177,Database!$A:$AS,MATCH($B$1,Database!$A$1:$AS$1,0),FALSE)</f>
        <v>120.48995917000001</v>
      </c>
      <c r="C177" s="85">
        <f>VLOOKUP(A177,Database!$A:$AS,MATCH($C$1,Database!$A$1:$AS$1,0),FALSE)</f>
        <v>106.87</v>
      </c>
      <c r="D177" s="85">
        <f>VLOOKUP(A177,Database!$A:$AS,MATCH($D$1,Database!$A$1:$AS$1,0),FALSE)</f>
        <v>82.893092241999994</v>
      </c>
      <c r="E177" s="85">
        <f>VLOOKUP(A177,Database!$A:$AS,MATCH($E$1,Database!$A$1:$AS$1,0),FALSE)</f>
        <v>124.779103983</v>
      </c>
      <c r="F177" s="85">
        <f>VLOOKUP(A177,Database!$A:$AS,MATCH($F$1,Database!$A$1:$AS$1,0),FALSE)</f>
        <v>96.6</v>
      </c>
      <c r="G177" s="85">
        <f>VLOOKUP(A177,Database!$A:$AS,MATCH($G$1,Database!$A$1:$AS$1,0),FALSE)</f>
        <v>105.28768596499999</v>
      </c>
      <c r="H177" s="85">
        <f>(((Table134567891011121314151617343[[#This Row],[ITA]]-VLOOKUP($U$1,A:B,2,))/VLOOKUP($U$1,A:B,2,))*100)+100</f>
        <v>99.095394736818449</v>
      </c>
      <c r="I177" s="85">
        <f>(((Table134567891011121314151617343[[#This Row],[FRA]]-VLOOKUP($U$1,A:C,3,))/VLOOKUP($U$1,A:C,3,))*100)+100</f>
        <v>104.27358766708949</v>
      </c>
      <c r="J177" s="85">
        <f>(((Table134567891011121314151617343[[#This Row],[DEU]]-VLOOKUP($U$1,A:D,4,))/VLOOKUP($U$1,A:D,4,))*100)+100</f>
        <v>110.23936170099583</v>
      </c>
      <c r="K177" s="85">
        <f>(((Table134567891011121314151617343[[#This Row],[ESP]]-VLOOKUP($U$1,A:E,5,))/VLOOKUP($U$1,A:E,5,))*100)+100</f>
        <v>104.88274354892023</v>
      </c>
      <c r="L177" s="85">
        <f>(((Table134567891011121314151617343[[#This Row],[EA19]]-VLOOKUP($U$1,A:F,6,))/VLOOKUP($U$1,A:F,6,))*100)+100</f>
        <v>108.05369127516778</v>
      </c>
      <c r="M177" s="85">
        <f>(((Table134567891011121314151617343[[#This Row],[GBR]]-VLOOKUP($U$1,A:G,7,))/VLOOKUP($U$1,A:G,7,))*100)+100</f>
        <v>114.23570595047656</v>
      </c>
      <c r="N177" s="85">
        <f>VLOOKUP(A177,Database!$A:$AS,MATCH($N$1,Database!$A$1:$AS$1,0),FALSE)</f>
        <v>93.024557419999994</v>
      </c>
      <c r="O177" s="85">
        <f>(((Table134567891011121314151617343[[#This Row],[USA]]-VLOOKUP($U$1,A:N,14,))/VLOOKUP($U$1,A:N,14,))*100)+100</f>
        <v>107.09288566125628</v>
      </c>
      <c r="P177" s="85">
        <f>VLOOKUP(A177,Database!$A:$AS,MATCH($P$1,Database!$A$1:$AS$1,0),FALSE)</f>
        <v>107.818559549</v>
      </c>
      <c r="Q177" s="85">
        <f>(((Table134567891011121314151617343[[#This Row],[JPN]]-VLOOKUP($U$1,A:Q,16,))/VLOOKUP($U$1,A:Q,16,))*100)+100</f>
        <v>108.24762154823343</v>
      </c>
    </row>
    <row r="178" spans="1:17" s="87" customFormat="1" x14ac:dyDescent="0.2">
      <c r="A178" s="22">
        <v>38231</v>
      </c>
      <c r="B178" s="85">
        <f>VLOOKUP(A178,Database!$A:$AS,MATCH($B$1,Database!$A$1:$AS$1,0),FALSE)</f>
        <v>122.189817515</v>
      </c>
      <c r="C178" s="85">
        <f>VLOOKUP(A178,Database!$A:$AS,MATCH($C$1,Database!$A$1:$AS$1,0),FALSE)</f>
        <v>110.61</v>
      </c>
      <c r="D178" s="85">
        <f>VLOOKUP(A178,Database!$A:$AS,MATCH($D$1,Database!$A$1:$AS$1,0),FALSE)</f>
        <v>82.693108907999999</v>
      </c>
      <c r="E178" s="85">
        <f>VLOOKUP(A178,Database!$A:$AS,MATCH($E$1,Database!$A$1:$AS$1,0),FALSE)</f>
        <v>127.05810588200001</v>
      </c>
      <c r="F178" s="85">
        <f>VLOOKUP(A178,Database!$A:$AS,MATCH($F$1,Database!$A$1:$AS$1,0),FALSE)</f>
        <v>98.1</v>
      </c>
      <c r="G178" s="85">
        <f>VLOOKUP(A178,Database!$A:$AS,MATCH($G$1,Database!$A$1:$AS$1,0),FALSE)</f>
        <v>106.148055207</v>
      </c>
      <c r="H178" s="85">
        <f>(((Table134567891011121314151617343[[#This Row],[ITA]]-VLOOKUP($U$1,A:B,2,))/VLOOKUP($U$1,A:B,2,))*100)+100</f>
        <v>100.49342105249497</v>
      </c>
      <c r="I178" s="85">
        <f>(((Table134567891011121314151617343[[#This Row],[FRA]]-VLOOKUP($U$1,A:C,3,))/VLOOKUP($U$1,A:C,3,))*100)+100</f>
        <v>107.92272416821154</v>
      </c>
      <c r="J178" s="85">
        <f>(((Table134567891011121314151617343[[#This Row],[DEU]]-VLOOKUP($U$1,A:D,4,))/VLOOKUP($U$1,A:D,4,))*100)+100</f>
        <v>109.97340425514938</v>
      </c>
      <c r="K178" s="85">
        <f>(((Table134567891011121314151617343[[#This Row],[ESP]]-VLOOKUP($U$1,A:E,5,))/VLOOKUP($U$1,A:E,5,))*100)+100</f>
        <v>106.79835252582781</v>
      </c>
      <c r="L178" s="85">
        <f>(((Table134567891011121314151617343[[#This Row],[EA19]]-VLOOKUP($U$1,A:F,6,))/VLOOKUP($U$1,A:F,6,))*100)+100</f>
        <v>109.73154362416106</v>
      </c>
      <c r="M178" s="85">
        <f>(((Table134567891011121314151617343[[#This Row],[GBR]]-VLOOKUP($U$1,A:G,7,))/VLOOKUP($U$1,A:G,7,))*100)+100</f>
        <v>115.16919486551093</v>
      </c>
      <c r="N178" s="85">
        <f>VLOOKUP(A178,Database!$A:$AS,MATCH($N$1,Database!$A$1:$AS$1,0),FALSE)</f>
        <v>93.111484587000007</v>
      </c>
      <c r="O178" s="85">
        <f>(((Table134567891011121314151617343[[#This Row],[USA]]-VLOOKUP($U$1,A:N,14,))/VLOOKUP($U$1,A:N,14,))*100)+100</f>
        <v>107.19295903343431</v>
      </c>
      <c r="P178" s="85">
        <f>VLOOKUP(A178,Database!$A:$AS,MATCH($P$1,Database!$A$1:$AS$1,0),FALSE)</f>
        <v>108.144623741</v>
      </c>
      <c r="Q178" s="85">
        <f>(((Table134567891011121314151617343[[#This Row],[JPN]]-VLOOKUP($U$1,A:Q,16,))/VLOOKUP($U$1,A:Q,16,))*100)+100</f>
        <v>108.57498330676263</v>
      </c>
    </row>
    <row r="179" spans="1:17" s="87" customFormat="1" x14ac:dyDescent="0.2">
      <c r="A179" s="22">
        <v>38261</v>
      </c>
      <c r="B179" s="85">
        <f>VLOOKUP(A179,Database!$A:$AS,MATCH($B$1,Database!$A$1:$AS$1,0),FALSE)</f>
        <v>123.18973418900001</v>
      </c>
      <c r="C179" s="85">
        <f>VLOOKUP(A179,Database!$A:$AS,MATCH($C$1,Database!$A$1:$AS$1,0),FALSE)</f>
        <v>111.44</v>
      </c>
      <c r="D179" s="85">
        <f>VLOOKUP(A179,Database!$A:$AS,MATCH($D$1,Database!$A$1:$AS$1,0),FALSE)</f>
        <v>83.693025581000001</v>
      </c>
      <c r="E179" s="85">
        <f>VLOOKUP(A179,Database!$A:$AS,MATCH($E$1,Database!$A$1:$AS$1,0),FALSE)</f>
        <v>125.972104977</v>
      </c>
      <c r="F179" s="85">
        <f>VLOOKUP(A179,Database!$A:$AS,MATCH($F$1,Database!$A$1:$AS$1,0),FALSE)</f>
        <v>98.6</v>
      </c>
      <c r="G179" s="85">
        <f>VLOOKUP(A179,Database!$A:$AS,MATCH($G$1,Database!$A$1:$AS$1,0),FALSE)</f>
        <v>108.406524467</v>
      </c>
      <c r="H179" s="85">
        <f>(((Table134567891011121314151617343[[#This Row],[ITA]]-VLOOKUP($U$1,A:B,2,))/VLOOKUP($U$1,A:B,2,))*100)+100</f>
        <v>101.31578947386819</v>
      </c>
      <c r="I179" s="85">
        <f>(((Table134567891011121314151617343[[#This Row],[FRA]]-VLOOKUP($U$1,A:C,3,))/VLOOKUP($U$1,A:C,3,))*100)+100</f>
        <v>108.73255927407553</v>
      </c>
      <c r="J179" s="85">
        <f>(((Table134567891011121314151617343[[#This Row],[DEU]]-VLOOKUP($U$1,A:D,4,))/VLOOKUP($U$1,A:D,4,))*100)+100</f>
        <v>111.30319148837137</v>
      </c>
      <c r="K179" s="85">
        <f>(((Table134567891011121314151617343[[#This Row],[ESP]]-VLOOKUP($U$1,A:E,5,))/VLOOKUP($U$1,A:E,5,))*100)+100</f>
        <v>105.88551735730049</v>
      </c>
      <c r="L179" s="85">
        <f>(((Table134567891011121314151617343[[#This Row],[EA19]]-VLOOKUP($U$1,A:F,6,))/VLOOKUP($U$1,A:F,6,))*100)+100</f>
        <v>110.29082774049216</v>
      </c>
      <c r="M179" s="85">
        <f>(((Table134567891011121314151617343[[#This Row],[GBR]]-VLOOKUP($U$1,A:G,7,))/VLOOKUP($U$1,A:G,7,))*100)+100</f>
        <v>117.61960326720488</v>
      </c>
      <c r="N179" s="85">
        <f>VLOOKUP(A179,Database!$A:$AS,MATCH($N$1,Database!$A$1:$AS$1,0),FALSE)</f>
        <v>93.965789319999999</v>
      </c>
      <c r="O179" s="85">
        <f>(((Table134567891011121314151617343[[#This Row],[USA]]-VLOOKUP($U$1,A:N,14,))/VLOOKUP($U$1,A:N,14,))*100)+100</f>
        <v>108.17646233222419</v>
      </c>
      <c r="P179" s="85">
        <f>VLOOKUP(A179,Database!$A:$AS,MATCH($P$1,Database!$A$1:$AS$1,0),FALSE)</f>
        <v>106.079550524</v>
      </c>
      <c r="Q179" s="85">
        <f>(((Table134567891011121314151617343[[#This Row],[JPN]]-VLOOKUP($U$1,A:Q,16,))/VLOOKUP($U$1,A:Q,16,))*100)+100</f>
        <v>106.50169216840702</v>
      </c>
    </row>
    <row r="180" spans="1:17" s="87" customFormat="1" x14ac:dyDescent="0.2">
      <c r="A180" s="22">
        <v>38292</v>
      </c>
      <c r="B180" s="85">
        <f>VLOOKUP(A180,Database!$A:$AS,MATCH($B$1,Database!$A$1:$AS$1,0),FALSE)</f>
        <v>121.189900842</v>
      </c>
      <c r="C180" s="85">
        <f>VLOOKUP(A180,Database!$A:$AS,MATCH($C$1,Database!$A$1:$AS$1,0),FALSE)</f>
        <v>109.59</v>
      </c>
      <c r="D180" s="85">
        <f>VLOOKUP(A180,Database!$A:$AS,MATCH($D$1,Database!$A$1:$AS$1,0),FALSE)</f>
        <v>82.293142238000001</v>
      </c>
      <c r="E180" s="85">
        <f>VLOOKUP(A180,Database!$A:$AS,MATCH($E$1,Database!$A$1:$AS$1,0),FALSE)</f>
        <v>126.963105803</v>
      </c>
      <c r="F180" s="85">
        <f>VLOOKUP(A180,Database!$A:$AS,MATCH($F$1,Database!$A$1:$AS$1,0),FALSE)</f>
        <v>97.4</v>
      </c>
      <c r="G180" s="85">
        <f>VLOOKUP(A180,Database!$A:$AS,MATCH($G$1,Database!$A$1:$AS$1,0),FALSE)</f>
        <v>109.374439864</v>
      </c>
      <c r="H180" s="85">
        <f>(((Table134567891011121314151617343[[#This Row],[ITA]]-VLOOKUP($U$1,A:B,2,))/VLOOKUP($U$1,A:B,2,))*100)+100</f>
        <v>99.671052631944178</v>
      </c>
      <c r="I180" s="85">
        <f>(((Table134567891011121314151617343[[#This Row],[FRA]]-VLOOKUP($U$1,A:C,3,))/VLOOKUP($U$1,A:C,3,))*100)+100</f>
        <v>106.92750512245098</v>
      </c>
      <c r="J180" s="85">
        <f>(((Table134567891011121314151617343[[#This Row],[DEU]]-VLOOKUP($U$1,A:D,4,))/VLOOKUP($U$1,A:D,4,))*100)+100</f>
        <v>109.44148936079668</v>
      </c>
      <c r="K180" s="85">
        <f>(((Table134567891011121314151617343[[#This Row],[ESP]]-VLOOKUP($U$1,A:E,5,))/VLOOKUP($U$1,A:E,5,))*100)+100</f>
        <v>106.7185004624227</v>
      </c>
      <c r="L180" s="85">
        <f>(((Table134567891011121314151617343[[#This Row],[EA19]]-VLOOKUP($U$1,A:F,6,))/VLOOKUP($U$1,A:F,6,))*100)+100</f>
        <v>108.94854586129753</v>
      </c>
      <c r="M180" s="85">
        <f>(((Table134567891011121314151617343[[#This Row],[GBR]]-VLOOKUP($U$1,A:G,7,))/VLOOKUP($U$1,A:G,7,))*100)+100</f>
        <v>118.66977829634729</v>
      </c>
      <c r="N180" s="85">
        <f>VLOOKUP(A180,Database!$A:$AS,MATCH($N$1,Database!$A$1:$AS$1,0),FALSE)</f>
        <v>94.200403463000001</v>
      </c>
      <c r="O180" s="85">
        <f>(((Table134567891011121314151617343[[#This Row],[USA]]-VLOOKUP($U$1,A:N,14,))/VLOOKUP($U$1,A:N,14,))*100)+100</f>
        <v>108.44655773807894</v>
      </c>
      <c r="P180" s="85">
        <f>VLOOKUP(A180,Database!$A:$AS,MATCH($P$1,Database!$A$1:$AS$1,0),FALSE)</f>
        <v>107.383807293</v>
      </c>
      <c r="Q180" s="85">
        <f>(((Table134567891011121314151617343[[#This Row],[JPN]]-VLOOKUP($U$1,A:Q,16,))/VLOOKUP($U$1,A:Q,16,))*100)+100</f>
        <v>107.81113920352783</v>
      </c>
    </row>
    <row r="181" spans="1:17" s="87" customFormat="1" x14ac:dyDescent="0.2">
      <c r="A181" s="22">
        <v>38322</v>
      </c>
      <c r="B181" s="85">
        <f>VLOOKUP(A181,Database!$A:$AS,MATCH($B$1,Database!$A$1:$AS$1,0),FALSE)</f>
        <v>120.28997583500001</v>
      </c>
      <c r="C181" s="85">
        <f>VLOOKUP(A181,Database!$A:$AS,MATCH($C$1,Database!$A$1:$AS$1,0),FALSE)</f>
        <v>109.82</v>
      </c>
      <c r="D181" s="85">
        <f>VLOOKUP(A181,Database!$A:$AS,MATCH($D$1,Database!$A$1:$AS$1,0),FALSE)</f>
        <v>81.893175568999993</v>
      </c>
      <c r="E181" s="85">
        <f>VLOOKUP(A181,Database!$A:$AS,MATCH($E$1,Database!$A$1:$AS$1,0),FALSE)</f>
        <v>124.150103458</v>
      </c>
      <c r="F181" s="85">
        <f>VLOOKUP(A181,Database!$A:$AS,MATCH($F$1,Database!$A$1:$AS$1,0),FALSE)</f>
        <v>97.5</v>
      </c>
      <c r="G181" s="85">
        <f>VLOOKUP(A181,Database!$A:$AS,MATCH($G$1,Database!$A$1:$AS$1,0),FALSE)</f>
        <v>106.793332138</v>
      </c>
      <c r="H181" s="85">
        <f>(((Table134567891011121314151617343[[#This Row],[ITA]]-VLOOKUP($U$1,A:B,2,))/VLOOKUP($U$1,A:B,2,))*100)+100</f>
        <v>98.930921052379318</v>
      </c>
      <c r="I181" s="85">
        <f>(((Table134567891011121314151617343[[#This Row],[FRA]]-VLOOKUP($U$1,A:C,3,))/VLOOKUP($U$1,A:C,3,))*100)+100</f>
        <v>107.15191726022051</v>
      </c>
      <c r="J181" s="85">
        <f>(((Table134567891011121314151617343[[#This Row],[DEU]]-VLOOKUP($U$1,A:D,4,))/VLOOKUP($U$1,A:D,4,))*100)+100</f>
        <v>108.90957446777385</v>
      </c>
      <c r="K181" s="85">
        <f>(((Table134567891011121314151617343[[#This Row],[ESP]]-VLOOKUP($U$1,A:E,5,))/VLOOKUP($U$1,A:E,5,))*100)+100</f>
        <v>104.35403883274677</v>
      </c>
      <c r="L181" s="85">
        <f>(((Table134567891011121314151617343[[#This Row],[EA19]]-VLOOKUP($U$1,A:F,6,))/VLOOKUP($U$1,A:F,6,))*100)+100</f>
        <v>109.06040268456375</v>
      </c>
      <c r="M181" s="85">
        <f>(((Table134567891011121314151617343[[#This Row],[GBR]]-VLOOKUP($U$1,A:G,7,))/VLOOKUP($U$1,A:G,7,))*100)+100</f>
        <v>115.86931155124421</v>
      </c>
      <c r="N181" s="85">
        <f>VLOOKUP(A181,Database!$A:$AS,MATCH($N$1,Database!$A$1:$AS$1,0),FALSE)</f>
        <v>94.899587311000005</v>
      </c>
      <c r="O181" s="85">
        <f>(((Table134567891011121314151617343[[#This Row],[USA]]-VLOOKUP($U$1,A:N,14,))/VLOOKUP($U$1,A:N,14,))*100)+100</f>
        <v>109.25148084619966</v>
      </c>
      <c r="P181" s="85">
        <f>VLOOKUP(A181,Database!$A:$AS,MATCH($P$1,Database!$A$1:$AS$1,0),FALSE)</f>
        <v>105.97086246000001</v>
      </c>
      <c r="Q181" s="85">
        <f>(((Table134567891011121314151617343[[#This Row],[JPN]]-VLOOKUP($U$1,A:Q,16,))/VLOOKUP($U$1,A:Q,16,))*100)+100</f>
        <v>106.39257158223062</v>
      </c>
    </row>
    <row r="182" spans="1:17" s="87" customFormat="1" x14ac:dyDescent="0.2">
      <c r="A182" s="22">
        <v>38353</v>
      </c>
      <c r="B182" s="85">
        <f>VLOOKUP(A182,Database!$A:$AS,MATCH($B$1,Database!$A$1:$AS$1,0),FALSE)</f>
        <v>120.38996750299999</v>
      </c>
      <c r="C182" s="85">
        <f>VLOOKUP(A182,Database!$A:$AS,MATCH($C$1,Database!$A$1:$AS$1,0),FALSE)</f>
        <v>111.62</v>
      </c>
      <c r="D182" s="85">
        <f>VLOOKUP(A182,Database!$A:$AS,MATCH($D$1,Database!$A$1:$AS$1,0),FALSE)</f>
        <v>84.392967252999995</v>
      </c>
      <c r="E182" s="85">
        <f>VLOOKUP(A182,Database!$A:$AS,MATCH($E$1,Database!$A$1:$AS$1,0),FALSE)</f>
        <v>124.796103997</v>
      </c>
      <c r="F182" s="85">
        <f>VLOOKUP(A182,Database!$A:$AS,MATCH($F$1,Database!$A$1:$AS$1,0),FALSE)</f>
        <v>98.3</v>
      </c>
      <c r="G182" s="85">
        <f>VLOOKUP(A182,Database!$A:$AS,MATCH($G$1,Database!$A$1:$AS$1,0),FALSE)</f>
        <v>104.10467825800001</v>
      </c>
      <c r="H182" s="85">
        <f>(((Table134567891011121314151617343[[#This Row],[ITA]]-VLOOKUP($U$1,A:B,2,))/VLOOKUP($U$1,A:B,2,))*100)+100</f>
        <v>99.013157895010082</v>
      </c>
      <c r="I182" s="85">
        <f>(((Table134567891011121314151617343[[#This Row],[FRA]]-VLOOKUP($U$1,A:C,3,))/VLOOKUP($U$1,A:C,3,))*100)+100</f>
        <v>108.90818616450386</v>
      </c>
      <c r="J182" s="85">
        <f>(((Table134567891011121314151617343[[#This Row],[DEU]]-VLOOKUP($U$1,A:D,4,))/VLOOKUP($U$1,A:D,4,))*100)+100</f>
        <v>112.23404255282365</v>
      </c>
      <c r="K182" s="85">
        <f>(((Table134567891011121314151617343[[#This Row],[ESP]]-VLOOKUP($U$1,A:E,5,))/VLOOKUP($U$1,A:E,5,))*100)+100</f>
        <v>104.89703286541454</v>
      </c>
      <c r="L182" s="85">
        <f>(((Table134567891011121314151617343[[#This Row],[EA19]]-VLOOKUP($U$1,A:F,6,))/VLOOKUP($U$1,A:F,6,))*100)+100</f>
        <v>109.95525727069349</v>
      </c>
      <c r="M182" s="85">
        <f>(((Table134567891011121314151617343[[#This Row],[GBR]]-VLOOKUP($U$1,A:G,7,))/VLOOKUP($U$1,A:G,7,))*100)+100</f>
        <v>112.95215869311807</v>
      </c>
      <c r="N182" s="85">
        <f>VLOOKUP(A182,Database!$A:$AS,MATCH($N$1,Database!$A$1:$AS$1,0),FALSE)</f>
        <v>95.269399465000006</v>
      </c>
      <c r="O182" s="85">
        <f>(((Table134567891011121314151617343[[#This Row],[USA]]-VLOOKUP($U$1,A:N,14,))/VLOOKUP($U$1,A:N,14,))*100)+100</f>
        <v>109.67722058442442</v>
      </c>
      <c r="P182" s="85">
        <f>VLOOKUP(A182,Database!$A:$AS,MATCH($P$1,Database!$A$1:$AS$1,0),FALSE)</f>
        <v>108.47068793299999</v>
      </c>
      <c r="Q182" s="85">
        <f>(((Table134567891011121314151617343[[#This Row],[JPN]]-VLOOKUP($U$1,A:Q,16,))/VLOOKUP($U$1,A:Q,16,))*100)+100</f>
        <v>108.90234506529183</v>
      </c>
    </row>
    <row r="183" spans="1:17" s="87" customFormat="1" x14ac:dyDescent="0.2">
      <c r="A183" s="22">
        <v>38384</v>
      </c>
      <c r="B183" s="85">
        <f>VLOOKUP(A183,Database!$A:$AS,MATCH($B$1,Database!$A$1:$AS$1,0),FALSE)</f>
        <v>120.88992584</v>
      </c>
      <c r="C183" s="85">
        <f>VLOOKUP(A183,Database!$A:$AS,MATCH($C$1,Database!$A$1:$AS$1,0),FALSE)</f>
        <v>110.35</v>
      </c>
      <c r="D183" s="85">
        <f>VLOOKUP(A183,Database!$A:$AS,MATCH($D$1,Database!$A$1:$AS$1,0),FALSE)</f>
        <v>83.093075576999993</v>
      </c>
      <c r="E183" s="85">
        <f>VLOOKUP(A183,Database!$A:$AS,MATCH($E$1,Database!$A$1:$AS$1,0),FALSE)</f>
        <v>125.642104702</v>
      </c>
      <c r="F183" s="85">
        <f>VLOOKUP(A183,Database!$A:$AS,MATCH($F$1,Database!$A$1:$AS$1,0),FALSE)</f>
        <v>98.1</v>
      </c>
      <c r="G183" s="85">
        <f>VLOOKUP(A183,Database!$A:$AS,MATCH($G$1,Database!$A$1:$AS$1,0),FALSE)</f>
        <v>101.52357053199999</v>
      </c>
      <c r="H183" s="85">
        <f>(((Table134567891011121314151617343[[#This Row],[ITA]]-VLOOKUP($U$1,A:B,2,))/VLOOKUP($U$1,A:B,2,))*100)+100</f>
        <v>99.424342105696709</v>
      </c>
      <c r="I183" s="85">
        <f>(((Table134567891011121314151617343[[#This Row],[FRA]]-VLOOKUP($U$1,A:C,3,))/VLOOKUP($U$1,A:C,3,))*100)+100</f>
        <v>107.66904088203727</v>
      </c>
      <c r="J183" s="85">
        <f>(((Table134567891011121314151617343[[#This Row],[DEU]]-VLOOKUP($U$1,A:D,4,))/VLOOKUP($U$1,A:D,4,))*100)+100</f>
        <v>110.50531914817219</v>
      </c>
      <c r="K183" s="85">
        <f>(((Table134567891011121314151617343[[#This Row],[ESP]]-VLOOKUP($U$1,A:E,5,))/VLOOKUP($U$1,A:E,5,))*100)+100</f>
        <v>105.60813650498555</v>
      </c>
      <c r="L183" s="85">
        <f>(((Table134567891011121314151617343[[#This Row],[EA19]]-VLOOKUP($U$1,A:F,6,))/VLOOKUP($U$1,A:F,6,))*100)+100</f>
        <v>109.73154362416106</v>
      </c>
      <c r="M183" s="85">
        <f>(((Table134567891011121314151617343[[#This Row],[GBR]]-VLOOKUP($U$1,A:G,7,))/VLOOKUP($U$1,A:G,7,))*100)+100</f>
        <v>110.15169194801497</v>
      </c>
      <c r="N183" s="85">
        <f>VLOOKUP(A183,Database!$A:$AS,MATCH($N$1,Database!$A$1:$AS$1,0),FALSE)</f>
        <v>95.966799175000006</v>
      </c>
      <c r="O183" s="85">
        <f>(((Table134567891011121314151617343[[#This Row],[USA]]-VLOOKUP($U$1,A:N,14,))/VLOOKUP($U$1,A:N,14,))*100)+100</f>
        <v>110.48008973505115</v>
      </c>
      <c r="P183" s="85">
        <f>VLOOKUP(A183,Database!$A:$AS,MATCH($P$1,Database!$A$1:$AS$1,0),FALSE)</f>
        <v>108.47068793299999</v>
      </c>
      <c r="Q183" s="85">
        <f>(((Table134567891011121314151617343[[#This Row],[JPN]]-VLOOKUP($U$1,A:Q,16,))/VLOOKUP($U$1,A:Q,16,))*100)+100</f>
        <v>108.90234506529183</v>
      </c>
    </row>
    <row r="184" spans="1:17" s="87" customFormat="1" x14ac:dyDescent="0.2">
      <c r="A184" s="22">
        <v>38412</v>
      </c>
      <c r="B184" s="85">
        <f>VLOOKUP(A184,Database!$A:$AS,MATCH($B$1,Database!$A$1:$AS$1,0),FALSE)</f>
        <v>120.989917507</v>
      </c>
      <c r="C184" s="85">
        <f>VLOOKUP(A184,Database!$A:$AS,MATCH($C$1,Database!$A$1:$AS$1,0),FALSE)</f>
        <v>107.96</v>
      </c>
      <c r="D184" s="85">
        <f>VLOOKUP(A184,Database!$A:$AS,MATCH($D$1,Database!$A$1:$AS$1,0),FALSE)</f>
        <v>84.192983917999996</v>
      </c>
      <c r="E184" s="85">
        <f>VLOOKUP(A184,Database!$A:$AS,MATCH($E$1,Database!$A$1:$AS$1,0),FALSE)</f>
        <v>126.178105148</v>
      </c>
      <c r="F184" s="85">
        <f>VLOOKUP(A184,Database!$A:$AS,MATCH($F$1,Database!$A$1:$AS$1,0),FALSE)</f>
        <v>98</v>
      </c>
      <c r="G184" s="85">
        <f>VLOOKUP(A184,Database!$A:$AS,MATCH($G$1,Database!$A$1:$AS$1,0),FALSE)</f>
        <v>98.189639720000002</v>
      </c>
      <c r="H184" s="85">
        <f>(((Table134567891011121314151617343[[#This Row],[ITA]]-VLOOKUP($U$1,A:B,2,))/VLOOKUP($U$1,A:B,2,))*100)+100</f>
        <v>99.506578947505048</v>
      </c>
      <c r="I184" s="85">
        <f>(((Table134567891011121314151617343[[#This Row],[FRA]]-VLOOKUP($U$1,A:C,3,))/VLOOKUP($U$1,A:C,3,))*100)+100</f>
        <v>105.33710605912772</v>
      </c>
      <c r="J184" s="85">
        <f>(((Table134567891011121314151617343[[#This Row],[DEU]]-VLOOKUP($U$1,A:D,4,))/VLOOKUP($U$1,A:D,4,))*100)+100</f>
        <v>111.96808510564729</v>
      </c>
      <c r="K184" s="85">
        <f>(((Table134567891011121314151617343[[#This Row],[ESP]]-VLOOKUP($U$1,A:E,5,))/VLOOKUP($U$1,A:E,5,))*100)+100</f>
        <v>106.05867025242762</v>
      </c>
      <c r="L184" s="85">
        <f>(((Table134567891011121314151617343[[#This Row],[EA19]]-VLOOKUP($U$1,A:F,6,))/VLOOKUP($U$1,A:F,6,))*100)+100</f>
        <v>109.61968680089484</v>
      </c>
      <c r="M184" s="85">
        <f>(((Table134567891011121314151617343[[#This Row],[GBR]]-VLOOKUP($U$1,A:G,7,))/VLOOKUP($U$1,A:G,7,))*100)+100</f>
        <v>106.53442240307056</v>
      </c>
      <c r="N184" s="85">
        <f>VLOOKUP(A184,Database!$A:$AS,MATCH($N$1,Database!$A$1:$AS$1,0),FALSE)</f>
        <v>95.82059898</v>
      </c>
      <c r="O184" s="85">
        <f>(((Table134567891011121314151617343[[#This Row],[USA]]-VLOOKUP($U$1,A:N,14,))/VLOOKUP($U$1,A:N,14,))*100)+100</f>
        <v>110.31177933185194</v>
      </c>
      <c r="P184" s="85">
        <f>VLOOKUP(A184,Database!$A:$AS,MATCH($P$1,Database!$A$1:$AS$1,0),FALSE)</f>
        <v>108.796752125</v>
      </c>
      <c r="Q184" s="85">
        <f>(((Table134567891011121314151617343[[#This Row],[JPN]]-VLOOKUP($U$1,A:Q,16,))/VLOOKUP($U$1,A:Q,16,))*100)+100</f>
        <v>109.22970682382105</v>
      </c>
    </row>
    <row r="185" spans="1:17" s="87" customFormat="1" x14ac:dyDescent="0.2">
      <c r="A185" s="22">
        <v>38443</v>
      </c>
      <c r="B185" s="85">
        <f>VLOOKUP(A185,Database!$A:$AS,MATCH($B$1,Database!$A$1:$AS$1,0),FALSE)</f>
        <v>123.489709191</v>
      </c>
      <c r="C185" s="85">
        <f>VLOOKUP(A185,Database!$A:$AS,MATCH($C$1,Database!$A$1:$AS$1,0),FALSE)</f>
        <v>110.73</v>
      </c>
      <c r="D185" s="85">
        <f>VLOOKUP(A185,Database!$A:$AS,MATCH($D$1,Database!$A$1:$AS$1,0),FALSE)</f>
        <v>84.792933922000003</v>
      </c>
      <c r="E185" s="85">
        <f>VLOOKUP(A185,Database!$A:$AS,MATCH($E$1,Database!$A$1:$AS$1,0),FALSE)</f>
        <v>127.66810639000001</v>
      </c>
      <c r="F185" s="85">
        <f>VLOOKUP(A185,Database!$A:$AS,MATCH($F$1,Database!$A$1:$AS$1,0),FALSE)</f>
        <v>99.4</v>
      </c>
      <c r="G185" s="85">
        <f>VLOOKUP(A185,Database!$A:$AS,MATCH($G$1,Database!$A$1:$AS$1,0),FALSE)</f>
        <v>103.351855171</v>
      </c>
      <c r="H185" s="85">
        <f>(((Table134567891011121314151617343[[#This Row],[ITA]]-VLOOKUP($U$1,A:B,2,))/VLOOKUP($U$1,A:B,2,))*100)+100</f>
        <v>101.56250000011566</v>
      </c>
      <c r="I185" s="85">
        <f>(((Table134567891011121314151617343[[#This Row],[FRA]]-VLOOKUP($U$1,A:C,3,))/VLOOKUP($U$1,A:C,3,))*100)+100</f>
        <v>108.03980876183043</v>
      </c>
      <c r="J185" s="85">
        <f>(((Table134567891011121314151617343[[#This Row],[DEU]]-VLOOKUP($U$1,A:D,4,))/VLOOKUP($U$1,A:D,4,))*100)+100</f>
        <v>112.76595744584647</v>
      </c>
      <c r="K185" s="85">
        <f>(((Table134567891011121314151617343[[#This Row],[ESP]]-VLOOKUP($U$1,A:E,5,))/VLOOKUP($U$1,A:E,5,))*100)+100</f>
        <v>107.3110868283116</v>
      </c>
      <c r="L185" s="85">
        <f>(((Table134567891011121314151617343[[#This Row],[EA19]]-VLOOKUP($U$1,A:F,6,))/VLOOKUP($U$1,A:F,6,))*100)+100</f>
        <v>111.18568232662193</v>
      </c>
      <c r="M185" s="85">
        <f>(((Table134567891011121314151617343[[#This Row],[GBR]]-VLOOKUP($U$1,A:G,7,))/VLOOKUP($U$1,A:G,7,))*100)+100</f>
        <v>112.13535589219174</v>
      </c>
      <c r="N185" s="85">
        <f>VLOOKUP(A185,Database!$A:$AS,MATCH($N$1,Database!$A$1:$AS$1,0),FALSE)</f>
        <v>96.010213199000006</v>
      </c>
      <c r="O185" s="85">
        <f>(((Table134567891011121314151617343[[#This Row],[USA]]-VLOOKUP($U$1,A:N,14,))/VLOOKUP($U$1,A:N,14,))*100)+100</f>
        <v>110.53006936663742</v>
      </c>
      <c r="P185" s="85">
        <f>VLOOKUP(A185,Database!$A:$AS,MATCH($P$1,Database!$A$1:$AS$1,0),FALSE)</f>
        <v>109.231504382</v>
      </c>
      <c r="Q185" s="85">
        <f>(((Table134567891011121314151617343[[#This Row],[JPN]]-VLOOKUP($U$1,A:Q,16,))/VLOOKUP($U$1,A:Q,16,))*100)+100</f>
        <v>109.66618916953063</v>
      </c>
    </row>
    <row r="186" spans="1:17" s="87" customFormat="1" x14ac:dyDescent="0.2">
      <c r="A186" s="22">
        <v>38473</v>
      </c>
      <c r="B186" s="85">
        <f>VLOOKUP(A186,Database!$A:$AS,MATCH($B$1,Database!$A$1:$AS$1,0),FALSE)</f>
        <v>120.689942505</v>
      </c>
      <c r="C186" s="85">
        <f>VLOOKUP(A186,Database!$A:$AS,MATCH($C$1,Database!$A$1:$AS$1,0),FALSE)</f>
        <v>109.54</v>
      </c>
      <c r="D186" s="85">
        <f>VLOOKUP(A186,Database!$A:$AS,MATCH($D$1,Database!$A$1:$AS$1,0),FALSE)</f>
        <v>83.693025581000001</v>
      </c>
      <c r="E186" s="85">
        <f>VLOOKUP(A186,Database!$A:$AS,MATCH($E$1,Database!$A$1:$AS$1,0),FALSE)</f>
        <v>126.356105297</v>
      </c>
      <c r="F186" s="85">
        <f>VLOOKUP(A186,Database!$A:$AS,MATCH($F$1,Database!$A$1:$AS$1,0),FALSE)</f>
        <v>98.1</v>
      </c>
      <c r="G186" s="85">
        <f>VLOOKUP(A186,Database!$A:$AS,MATCH($G$1,Database!$A$1:$AS$1,0),FALSE)</f>
        <v>103.566947482</v>
      </c>
      <c r="H186" s="85">
        <f>(((Table134567891011121314151617343[[#This Row],[ITA]]-VLOOKUP($U$1,A:B,2,))/VLOOKUP($U$1,A:B,2,))*100)+100</f>
        <v>99.259868421257579</v>
      </c>
      <c r="I186" s="85">
        <f>(((Table134567891011121314151617343[[#This Row],[FRA]]-VLOOKUP($U$1,A:C,3,))/VLOOKUP($U$1,A:C,3,))*100)+100</f>
        <v>106.87871987510978</v>
      </c>
      <c r="J186" s="85">
        <f>(((Table134567891011121314151617343[[#This Row],[DEU]]-VLOOKUP($U$1,A:D,4,))/VLOOKUP($U$1,A:D,4,))*100)+100</f>
        <v>111.30319148837137</v>
      </c>
      <c r="K186" s="85">
        <f>(((Table134567891011121314151617343[[#This Row],[ESP]]-VLOOKUP($U$1,A:E,5,))/VLOOKUP($U$1,A:E,5,))*100)+100</f>
        <v>106.20828780363058</v>
      </c>
      <c r="L186" s="85">
        <f>(((Table134567891011121314151617343[[#This Row],[EA19]]-VLOOKUP($U$1,A:F,6,))/VLOOKUP($U$1,A:F,6,))*100)+100</f>
        <v>109.73154362416106</v>
      </c>
      <c r="M186" s="85">
        <f>(((Table134567891011121314151617343[[#This Row],[GBR]]-VLOOKUP($U$1,A:G,7,))/VLOOKUP($U$1,A:G,7,))*100)+100</f>
        <v>112.36872812149284</v>
      </c>
      <c r="N186" s="85">
        <f>VLOOKUP(A186,Database!$A:$AS,MATCH($N$1,Database!$A$1:$AS$1,0),FALSE)</f>
        <v>96.107746074999994</v>
      </c>
      <c r="O186" s="85">
        <f>(((Table134567891011121314151617343[[#This Row],[USA]]-VLOOKUP($U$1,A:N,14,))/VLOOKUP($U$1,A:N,14,))*100)+100</f>
        <v>110.64235237477388</v>
      </c>
      <c r="P186" s="85">
        <f>VLOOKUP(A186,Database!$A:$AS,MATCH($P$1,Database!$A$1:$AS$1,0),FALSE)</f>
        <v>108.361999869</v>
      </c>
      <c r="Q186" s="85">
        <f>(((Table134567891011121314151617343[[#This Row],[JPN]]-VLOOKUP($U$1,A:Q,16,))/VLOOKUP($U$1,A:Q,16,))*100)+100</f>
        <v>108.79322447911544</v>
      </c>
    </row>
    <row r="187" spans="1:17" s="87" customFormat="1" x14ac:dyDescent="0.2">
      <c r="A187" s="22">
        <v>38504</v>
      </c>
      <c r="B187" s="85">
        <f>VLOOKUP(A187,Database!$A:$AS,MATCH($B$1,Database!$A$1:$AS$1,0),FALSE)</f>
        <v>120.689942505</v>
      </c>
      <c r="C187" s="85">
        <f>VLOOKUP(A187,Database!$A:$AS,MATCH($C$1,Database!$A$1:$AS$1,0),FALSE)</f>
        <v>109.45</v>
      </c>
      <c r="D187" s="85">
        <f>VLOOKUP(A187,Database!$A:$AS,MATCH($D$1,Database!$A$1:$AS$1,0),FALSE)</f>
        <v>85.492875593999997</v>
      </c>
      <c r="E187" s="85">
        <f>VLOOKUP(A187,Database!$A:$AS,MATCH($E$1,Database!$A$1:$AS$1,0),FALSE)</f>
        <v>126.926105772</v>
      </c>
      <c r="F187" s="85">
        <f>VLOOKUP(A187,Database!$A:$AS,MATCH($F$1,Database!$A$1:$AS$1,0),FALSE)</f>
        <v>99</v>
      </c>
      <c r="G187" s="85">
        <f>VLOOKUP(A187,Database!$A:$AS,MATCH($G$1,Database!$A$1:$AS$1,0),FALSE)</f>
        <v>104.642409034</v>
      </c>
      <c r="H187" s="85">
        <f>(((Table134567891011121314151617343[[#This Row],[ITA]]-VLOOKUP($U$1,A:B,2,))/VLOOKUP($U$1,A:B,2,))*100)+100</f>
        <v>99.259868421257579</v>
      </c>
      <c r="I187" s="85">
        <f>(((Table134567891011121314151617343[[#This Row],[FRA]]-VLOOKUP($U$1,A:C,3,))/VLOOKUP($U$1,A:C,3,))*100)+100</f>
        <v>106.79090642989561</v>
      </c>
      <c r="J187" s="85">
        <f>(((Table134567891011121314151617343[[#This Row],[DEU]]-VLOOKUP($U$1,A:D,4,))/VLOOKUP($U$1,A:D,4,))*100)+100</f>
        <v>113.69680851029875</v>
      </c>
      <c r="K187" s="85">
        <f>(((Table134567891011121314151617343[[#This Row],[ESP]]-VLOOKUP($U$1,A:E,5,))/VLOOKUP($U$1,A:E,5,))*100)+100</f>
        <v>106.68740018490183</v>
      </c>
      <c r="L187" s="85">
        <f>(((Table134567891011121314151617343[[#This Row],[EA19]]-VLOOKUP($U$1,A:F,6,))/VLOOKUP($U$1,A:F,6,))*100)+100</f>
        <v>110.73825503355704</v>
      </c>
      <c r="M187" s="85">
        <f>(((Table134567891011121314151617343[[#This Row],[GBR]]-VLOOKUP($U$1,A:G,7,))/VLOOKUP($U$1,A:G,7,))*100)+100</f>
        <v>113.53558926474329</v>
      </c>
      <c r="N187" s="85">
        <f>VLOOKUP(A187,Database!$A:$AS,MATCH($N$1,Database!$A$1:$AS$1,0),FALSE)</f>
        <v>96.495102251999995</v>
      </c>
      <c r="O187" s="85">
        <f>(((Table134567891011121314151617343[[#This Row],[USA]]-VLOOKUP($U$1,A:N,14,))/VLOOKUP($U$1,A:N,14,))*100)+100</f>
        <v>111.08828936092205</v>
      </c>
      <c r="P187" s="85">
        <f>VLOOKUP(A187,Database!$A:$AS,MATCH($P$1,Database!$A$1:$AS$1,0),FALSE)</f>
        <v>108.796752125</v>
      </c>
      <c r="Q187" s="85">
        <f>(((Table134567891011121314151617343[[#This Row],[JPN]]-VLOOKUP($U$1,A:Q,16,))/VLOOKUP($U$1,A:Q,16,))*100)+100</f>
        <v>109.22970682382105</v>
      </c>
    </row>
    <row r="188" spans="1:17" s="87" customFormat="1" x14ac:dyDescent="0.2">
      <c r="A188" s="22">
        <v>38534</v>
      </c>
      <c r="B188" s="85">
        <f>VLOOKUP(A188,Database!$A:$AS,MATCH($B$1,Database!$A$1:$AS$1,0),FALSE)</f>
        <v>122.38980085</v>
      </c>
      <c r="C188" s="85">
        <f>VLOOKUP(A188,Database!$A:$AS,MATCH($C$1,Database!$A$1:$AS$1,0),FALSE)</f>
        <v>109.1</v>
      </c>
      <c r="D188" s="85">
        <f>VLOOKUP(A188,Database!$A:$AS,MATCH($D$1,Database!$A$1:$AS$1,0),FALSE)</f>
        <v>86.792767268999995</v>
      </c>
      <c r="E188" s="85">
        <f>VLOOKUP(A188,Database!$A:$AS,MATCH($E$1,Database!$A$1:$AS$1,0),FALSE)</f>
        <v>127.159105966</v>
      </c>
      <c r="F188" s="85">
        <f>VLOOKUP(A188,Database!$A:$AS,MATCH($F$1,Database!$A$1:$AS$1,0),FALSE)</f>
        <v>99.5</v>
      </c>
      <c r="G188" s="85">
        <f>VLOOKUP(A188,Database!$A:$AS,MATCH($G$1,Database!$A$1:$AS$1,0),FALSE)</f>
        <v>103.78203979200001</v>
      </c>
      <c r="H188" s="85">
        <f>(((Table134567891011121314151617343[[#This Row],[ITA]]-VLOOKUP($U$1,A:B,2,))/VLOOKUP($U$1,A:B,2,))*100)+100</f>
        <v>100.6578947369341</v>
      </c>
      <c r="I188" s="85">
        <f>(((Table134567891011121314151617343[[#This Row],[FRA]]-VLOOKUP($U$1,A:C,3,))/VLOOKUP($U$1,A:C,3,))*100)+100</f>
        <v>106.44940969850717</v>
      </c>
      <c r="J188" s="85">
        <f>(((Table134567891011121314151617343[[#This Row],[DEU]]-VLOOKUP($U$1,A:D,4,))/VLOOKUP($U$1,A:D,4,))*100)+100</f>
        <v>115.42553191362032</v>
      </c>
      <c r="K188" s="85">
        <f>(((Table134567891011121314151617343[[#This Row],[ESP]]-VLOOKUP($U$1,A:E,5,))/VLOOKUP($U$1,A:E,5,))*100)+100</f>
        <v>106.88324787745682</v>
      </c>
      <c r="L188" s="85">
        <f>(((Table134567891011121314151617343[[#This Row],[EA19]]-VLOOKUP($U$1,A:F,6,))/VLOOKUP($U$1,A:F,6,))*100)+100</f>
        <v>111.29753914988814</v>
      </c>
      <c r="M188" s="85">
        <f>(((Table134567891011121314151617343[[#This Row],[GBR]]-VLOOKUP($U$1,A:G,7,))/VLOOKUP($U$1,A:G,7,))*100)+100</f>
        <v>112.60210034970893</v>
      </c>
      <c r="N188" s="85">
        <f>VLOOKUP(A188,Database!$A:$AS,MATCH($N$1,Database!$A$1:$AS$1,0),FALSE)</f>
        <v>96.187338452000006</v>
      </c>
      <c r="O188" s="85">
        <f>(((Table134567891011121314151617343[[#This Row],[USA]]-VLOOKUP($U$1,A:N,14,))/VLOOKUP($U$1,A:N,14,))*100)+100</f>
        <v>110.73398169896497</v>
      </c>
      <c r="P188" s="85">
        <f>VLOOKUP(A188,Database!$A:$AS,MATCH($P$1,Database!$A$1:$AS$1,0),FALSE)</f>
        <v>108.144623741</v>
      </c>
      <c r="Q188" s="85">
        <f>(((Table134567891011121314151617343[[#This Row],[JPN]]-VLOOKUP($U$1,A:Q,16,))/VLOOKUP($U$1,A:Q,16,))*100)+100</f>
        <v>108.57498330676263</v>
      </c>
    </row>
    <row r="189" spans="1:17" s="87" customFormat="1" x14ac:dyDescent="0.2">
      <c r="A189" s="22">
        <v>38565</v>
      </c>
      <c r="B189" s="85">
        <f>VLOOKUP(A189,Database!$A:$AS,MATCH($B$1,Database!$A$1:$AS$1,0),FALSE)</f>
        <v>121.489875844</v>
      </c>
      <c r="C189" s="85">
        <f>VLOOKUP(A189,Database!$A:$AS,MATCH($C$1,Database!$A$1:$AS$1,0),FALSE)</f>
        <v>108.51</v>
      </c>
      <c r="D189" s="85">
        <f>VLOOKUP(A189,Database!$A:$AS,MATCH($D$1,Database!$A$1:$AS$1,0),FALSE)</f>
        <v>84.292975584999994</v>
      </c>
      <c r="E189" s="85">
        <f>VLOOKUP(A189,Database!$A:$AS,MATCH($E$1,Database!$A$1:$AS$1,0),FALSE)</f>
        <v>128.283106903</v>
      </c>
      <c r="F189" s="85">
        <f>VLOOKUP(A189,Database!$A:$AS,MATCH($F$1,Database!$A$1:$AS$1,0),FALSE)</f>
        <v>98.4</v>
      </c>
      <c r="G189" s="85">
        <f>VLOOKUP(A189,Database!$A:$AS,MATCH($G$1,Database!$A$1:$AS$1,0),FALSE)</f>
        <v>103.889585947</v>
      </c>
      <c r="H189" s="85">
        <f>(((Table134567891011121314151617343[[#This Row],[ITA]]-VLOOKUP($U$1,A:B,2,))/VLOOKUP($U$1,A:B,2,))*100)+100</f>
        <v>99.917763158191661</v>
      </c>
      <c r="I189" s="85">
        <f>(((Table134567891011121314151617343[[#This Row],[FRA]]-VLOOKUP($U$1,A:C,3,))/VLOOKUP($U$1,A:C,3,))*100)+100</f>
        <v>105.87374377988097</v>
      </c>
      <c r="J189" s="85">
        <f>(((Table134567891011121314151617343[[#This Row],[DEU]]-VLOOKUP($U$1,A:D,4,))/VLOOKUP($U$1,A:D,4,))*100)+100</f>
        <v>112.10106382857052</v>
      </c>
      <c r="K189" s="85">
        <f>(((Table134567891011121314151617343[[#This Row],[ESP]]-VLOOKUP($U$1,A:E,5,))/VLOOKUP($U$1,A:E,5,))*100)+100</f>
        <v>107.82802387168243</v>
      </c>
      <c r="L189" s="85">
        <f>(((Table134567891011121314151617343[[#This Row],[EA19]]-VLOOKUP($U$1,A:F,6,))/VLOOKUP($U$1,A:F,6,))*100)+100</f>
        <v>110.06711409395973</v>
      </c>
      <c r="M189" s="85">
        <f>(((Table134567891011121314151617343[[#This Row],[GBR]]-VLOOKUP($U$1,A:G,7,))/VLOOKUP($U$1,A:G,7,))*100)+100</f>
        <v>112.71878646381698</v>
      </c>
      <c r="N189" s="85">
        <f>VLOOKUP(A189,Database!$A:$AS,MATCH($N$1,Database!$A$1:$AS$1,0),FALSE)</f>
        <v>96.527414973000006</v>
      </c>
      <c r="O189" s="85">
        <f>(((Table134567891011121314151617343[[#This Row],[USA]]-VLOOKUP($U$1,A:N,14,))/VLOOKUP($U$1,A:N,14,))*100)+100</f>
        <v>111.12548881267364</v>
      </c>
      <c r="P189" s="85">
        <f>VLOOKUP(A189,Database!$A:$AS,MATCH($P$1,Database!$A$1:$AS$1,0),FALSE)</f>
        <v>108.144623741</v>
      </c>
      <c r="Q189" s="85">
        <f>(((Table134567891011121314151617343[[#This Row],[JPN]]-VLOOKUP($U$1,A:Q,16,))/VLOOKUP($U$1,A:Q,16,))*100)+100</f>
        <v>108.57498330676263</v>
      </c>
    </row>
    <row r="190" spans="1:17" s="87" customFormat="1" x14ac:dyDescent="0.2">
      <c r="A190" s="22">
        <v>38596</v>
      </c>
      <c r="B190" s="85">
        <f>VLOOKUP(A190,Database!$A:$AS,MATCH($B$1,Database!$A$1:$AS$1,0),FALSE)</f>
        <v>122.089825848</v>
      </c>
      <c r="C190" s="85">
        <f>VLOOKUP(A190,Database!$A:$AS,MATCH($C$1,Database!$A$1:$AS$1,0),FALSE)</f>
        <v>111.25</v>
      </c>
      <c r="D190" s="85">
        <f>VLOOKUP(A190,Database!$A:$AS,MATCH($D$1,Database!$A$1:$AS$1,0),FALSE)</f>
        <v>86.692775601999998</v>
      </c>
      <c r="E190" s="85">
        <f>VLOOKUP(A190,Database!$A:$AS,MATCH($E$1,Database!$A$1:$AS$1,0),FALSE)</f>
        <v>127.626106355</v>
      </c>
      <c r="F190" s="85">
        <f>VLOOKUP(A190,Database!$A:$AS,MATCH($F$1,Database!$A$1:$AS$1,0),FALSE)</f>
        <v>99.7</v>
      </c>
      <c r="G190" s="85">
        <f>VLOOKUP(A190,Database!$A:$AS,MATCH($G$1,Database!$A$1:$AS$1,0),FALSE)</f>
        <v>104.427316723</v>
      </c>
      <c r="H190" s="85">
        <f>(((Table134567891011121314151617343[[#This Row],[ITA]]-VLOOKUP($U$1,A:B,2,))/VLOOKUP($U$1,A:B,2,))*100)+100</f>
        <v>100.41118421068661</v>
      </c>
      <c r="I190" s="85">
        <f>(((Table134567891011121314151617343[[#This Row],[FRA]]-VLOOKUP($U$1,A:C,3,))/VLOOKUP($U$1,A:C,3,))*100)+100</f>
        <v>108.54717533417895</v>
      </c>
      <c r="J190" s="85">
        <f>(((Table134567891011121314151617343[[#This Row],[DEU]]-VLOOKUP($U$1,A:D,4,))/VLOOKUP($U$1,A:D,4,))*100)+100</f>
        <v>115.29255319069709</v>
      </c>
      <c r="K190" s="85">
        <f>(((Table134567891011121314151617343[[#This Row],[ESP]]-VLOOKUP($U$1,A:E,5,))/VLOOKUP($U$1,A:E,5,))*100)+100</f>
        <v>107.27578381074424</v>
      </c>
      <c r="L190" s="85">
        <f>(((Table134567891011121314151617343[[#This Row],[EA19]]-VLOOKUP($U$1,A:F,6,))/VLOOKUP($U$1,A:F,6,))*100)+100</f>
        <v>111.52125279642058</v>
      </c>
      <c r="M190" s="85">
        <f>(((Table134567891011121314151617343[[#This Row],[GBR]]-VLOOKUP($U$1,A:G,7,))/VLOOKUP($U$1,A:G,7,))*100)+100</f>
        <v>113.30221703544221</v>
      </c>
      <c r="N190" s="85">
        <f>VLOOKUP(A190,Database!$A:$AS,MATCH($N$1,Database!$A$1:$AS$1,0),FALSE)</f>
        <v>94.667352018000003</v>
      </c>
      <c r="O190" s="85">
        <f>(((Table134567891011121314151617343[[#This Row],[USA]]-VLOOKUP($U$1,A:N,14,))/VLOOKUP($U$1,A:N,14,))*100)+100</f>
        <v>108.98412404956942</v>
      </c>
      <c r="P190" s="85">
        <f>VLOOKUP(A190,Database!$A:$AS,MATCH($P$1,Database!$A$1:$AS$1,0),FALSE)</f>
        <v>109.014128254</v>
      </c>
      <c r="Q190" s="85">
        <f>(((Table134567891011121314151617343[[#This Row],[JPN]]-VLOOKUP($U$1,A:Q,16,))/VLOOKUP($U$1,A:Q,16,))*100)+100</f>
        <v>109.44794799717782</v>
      </c>
    </row>
    <row r="191" spans="1:17" s="87" customFormat="1" x14ac:dyDescent="0.2">
      <c r="A191" s="22">
        <v>38626</v>
      </c>
      <c r="B191" s="85">
        <f>VLOOKUP(A191,Database!$A:$AS,MATCH($B$1,Database!$A$1:$AS$1,0),FALSE)</f>
        <v>122.189817515</v>
      </c>
      <c r="C191" s="85">
        <f>VLOOKUP(A191,Database!$A:$AS,MATCH($C$1,Database!$A$1:$AS$1,0),FALSE)</f>
        <v>107.98</v>
      </c>
      <c r="D191" s="85">
        <f>VLOOKUP(A191,Database!$A:$AS,MATCH($D$1,Database!$A$1:$AS$1,0),FALSE)</f>
        <v>88.392633946999993</v>
      </c>
      <c r="E191" s="85">
        <f>VLOOKUP(A191,Database!$A:$AS,MATCH($E$1,Database!$A$1:$AS$1,0),FALSE)</f>
        <v>126.604105503</v>
      </c>
      <c r="F191" s="85">
        <f>VLOOKUP(A191,Database!$A:$AS,MATCH($F$1,Database!$A$1:$AS$1,0),FALSE)</f>
        <v>99.9</v>
      </c>
      <c r="G191" s="85">
        <f>VLOOKUP(A191,Database!$A:$AS,MATCH($G$1,Database!$A$1:$AS$1,0),FALSE)</f>
        <v>104.9650475</v>
      </c>
      <c r="H191" s="85">
        <f>(((Table134567891011121314151617343[[#This Row],[ITA]]-VLOOKUP($U$1,A:B,2,))/VLOOKUP($U$1,A:B,2,))*100)+100</f>
        <v>100.49342105249497</v>
      </c>
      <c r="I191" s="85">
        <f>(((Table134567891011121314151617343[[#This Row],[FRA]]-VLOOKUP($U$1,A:C,3,))/VLOOKUP($U$1,A:C,3,))*100)+100</f>
        <v>105.3566201580642</v>
      </c>
      <c r="J191" s="85">
        <f>(((Table134567891011121314151617343[[#This Row],[DEU]]-VLOOKUP($U$1,A:D,4,))/VLOOKUP($U$1,A:D,4,))*100)+100</f>
        <v>117.55319148837135</v>
      </c>
      <c r="K191" s="85">
        <f>(((Table134567891011121314151617343[[#This Row],[ESP]]-VLOOKUP($U$1,A:E,5,))/VLOOKUP($U$1,A:E,5,))*100)+100</f>
        <v>106.41674371632509</v>
      </c>
      <c r="L191" s="85">
        <f>(((Table134567891011121314151617343[[#This Row],[EA19]]-VLOOKUP($U$1,A:F,6,))/VLOOKUP($U$1,A:F,6,))*100)+100</f>
        <v>111.74496644295301</v>
      </c>
      <c r="M191" s="85">
        <f>(((Table134567891011121314151617343[[#This Row],[GBR]]-VLOOKUP($U$1,A:G,7,))/VLOOKUP($U$1,A:G,7,))*100)+100</f>
        <v>113.88564760815242</v>
      </c>
      <c r="N191" s="85">
        <f>VLOOKUP(A191,Database!$A:$AS,MATCH($N$1,Database!$A$1:$AS$1,0),FALSE)</f>
        <v>95.792845721999996</v>
      </c>
      <c r="O191" s="85">
        <f>(((Table134567891011121314151617343[[#This Row],[USA]]-VLOOKUP($U$1,A:N,14,))/VLOOKUP($U$1,A:N,14,))*100)+100</f>
        <v>110.2798288816896</v>
      </c>
      <c r="P191" s="85">
        <f>VLOOKUP(A191,Database!$A:$AS,MATCH($P$1,Database!$A$1:$AS$1,0),FALSE)</f>
        <v>108.035935677</v>
      </c>
      <c r="Q191" s="85">
        <f>(((Table134567891011121314151617343[[#This Row],[JPN]]-VLOOKUP($U$1,A:Q,16,))/VLOOKUP($U$1,A:Q,16,))*100)+100</f>
        <v>108.46586272058623</v>
      </c>
    </row>
    <row r="192" spans="1:17" s="87" customFormat="1" x14ac:dyDescent="0.2">
      <c r="A192" s="22">
        <v>38657</v>
      </c>
      <c r="B192" s="85">
        <f>VLOOKUP(A192,Database!$A:$AS,MATCH($B$1,Database!$A$1:$AS$1,0),FALSE)</f>
        <v>123.489709191</v>
      </c>
      <c r="C192" s="85">
        <f>VLOOKUP(A192,Database!$A:$AS,MATCH($C$1,Database!$A$1:$AS$1,0),FALSE)</f>
        <v>112.32</v>
      </c>
      <c r="D192" s="85">
        <f>VLOOKUP(A192,Database!$A:$AS,MATCH($D$1,Database!$A$1:$AS$1,0),FALSE)</f>
        <v>87.392717274000006</v>
      </c>
      <c r="E192" s="85">
        <f>VLOOKUP(A192,Database!$A:$AS,MATCH($E$1,Database!$A$1:$AS$1,0),FALSE)</f>
        <v>128.57810714799999</v>
      </c>
      <c r="F192" s="85">
        <f>VLOOKUP(A192,Database!$A:$AS,MATCH($F$1,Database!$A$1:$AS$1,0),FALSE)</f>
        <v>101.6</v>
      </c>
      <c r="G192" s="85">
        <f>VLOOKUP(A192,Database!$A:$AS,MATCH($G$1,Database!$A$1:$AS$1,0),FALSE)</f>
        <v>105.610324431</v>
      </c>
      <c r="H192" s="85">
        <f>(((Table134567891011121314151617343[[#This Row],[ITA]]-VLOOKUP($U$1,A:B,2,))/VLOOKUP($U$1,A:B,2,))*100)+100</f>
        <v>101.56250000011566</v>
      </c>
      <c r="I192" s="85">
        <f>(((Table134567891011121314151617343[[#This Row],[FRA]]-VLOOKUP($U$1,A:C,3,))/VLOOKUP($U$1,A:C,3,))*100)+100</f>
        <v>109.59117962728071</v>
      </c>
      <c r="J192" s="85">
        <f>(((Table134567891011121314151617343[[#This Row],[DEU]]-VLOOKUP($U$1,A:D,4,))/VLOOKUP($U$1,A:D,4,))*100)+100</f>
        <v>116.22340425514939</v>
      </c>
      <c r="K192" s="85">
        <f>(((Table134567891011121314151617343[[#This Row],[ESP]]-VLOOKUP($U$1,A:E,5,))/VLOOKUP($U$1,A:E,5,))*100)+100</f>
        <v>108.07598554199076</v>
      </c>
      <c r="L192" s="85">
        <f>(((Table134567891011121314151617343[[#This Row],[EA19]]-VLOOKUP($U$1,A:F,6,))/VLOOKUP($U$1,A:F,6,))*100)+100</f>
        <v>113.64653243847873</v>
      </c>
      <c r="M192" s="85">
        <f>(((Table134567891011121314151617343[[#This Row],[GBR]]-VLOOKUP($U$1,A:G,7,))/VLOOKUP($U$1,A:G,7,))*100)+100</f>
        <v>114.58576429388569</v>
      </c>
      <c r="N192" s="85">
        <f>VLOOKUP(A192,Database!$A:$AS,MATCH($N$1,Database!$A$1:$AS$1,0),FALSE)</f>
        <v>96.812877048999994</v>
      </c>
      <c r="O192" s="85">
        <f>(((Table134567891011121314151617343[[#This Row],[USA]]-VLOOKUP($U$1,A:N,14,))/VLOOKUP($U$1,A:N,14,))*100)+100</f>
        <v>111.45412200710709</v>
      </c>
      <c r="P192" s="85">
        <f>VLOOKUP(A192,Database!$A:$AS,MATCH($P$1,Database!$A$1:$AS$1,0),FALSE)</f>
        <v>110.20969695799999</v>
      </c>
      <c r="Q192" s="85">
        <f>(((Table134567891011121314151617343[[#This Row],[JPN]]-VLOOKUP($U$1,A:Q,16,))/VLOOKUP($U$1,A:Q,16,))*100)+100</f>
        <v>110.64827444511825</v>
      </c>
    </row>
    <row r="193" spans="1:17" s="87" customFormat="1" x14ac:dyDescent="0.2">
      <c r="A193" s="22">
        <v>38687</v>
      </c>
      <c r="B193" s="85">
        <f>VLOOKUP(A193,Database!$A:$AS,MATCH($B$1,Database!$A$1:$AS$1,0),FALSE)</f>
        <v>121.68985917800001</v>
      </c>
      <c r="C193" s="85">
        <f>VLOOKUP(A193,Database!$A:$AS,MATCH($C$1,Database!$A$1:$AS$1,0),FALSE)</f>
        <v>110.97</v>
      </c>
      <c r="D193" s="85">
        <f>VLOOKUP(A193,Database!$A:$AS,MATCH($D$1,Database!$A$1:$AS$1,0),FALSE)</f>
        <v>87.192733938999993</v>
      </c>
      <c r="E193" s="85">
        <f>VLOOKUP(A193,Database!$A:$AS,MATCH($E$1,Database!$A$1:$AS$1,0),FALSE)</f>
        <v>129.97510831299999</v>
      </c>
      <c r="F193" s="85">
        <f>VLOOKUP(A193,Database!$A:$AS,MATCH($F$1,Database!$A$1:$AS$1,0),FALSE)</f>
        <v>100.5</v>
      </c>
      <c r="G193" s="85">
        <f>VLOOKUP(A193,Database!$A:$AS,MATCH($G$1,Database!$A$1:$AS$1,0),FALSE)</f>
        <v>105.825416741</v>
      </c>
      <c r="H193" s="85">
        <f>(((Table134567891011121314151617343[[#This Row],[ITA]]-VLOOKUP($U$1,A:B,2,))/VLOOKUP($U$1,A:B,2,))*100)+100</f>
        <v>100.08223684180835</v>
      </c>
      <c r="I193" s="85">
        <f>(((Table134567891011121314151617343[[#This Row],[FRA]]-VLOOKUP($U$1,A:C,3,))/VLOOKUP($U$1,A:C,3,))*100)+100</f>
        <v>108.27397794906821</v>
      </c>
      <c r="J193" s="85">
        <f>(((Table134567891011121314151617343[[#This Row],[DEU]]-VLOOKUP($U$1,A:D,4,))/VLOOKUP($U$1,A:D,4,))*100)+100</f>
        <v>115.95744680797301</v>
      </c>
      <c r="K193" s="85">
        <f>(((Table134567891011121314151617343[[#This Row],[ESP]]-VLOOKUP($U$1,A:E,5,))/VLOOKUP($U$1,A:E,5,))*100)+100</f>
        <v>109.25023115082443</v>
      </c>
      <c r="L193" s="85">
        <f>(((Table134567891011121314151617343[[#This Row],[EA19]]-VLOOKUP($U$1,A:F,6,))/VLOOKUP($U$1,A:F,6,))*100)+100</f>
        <v>112.41610738255034</v>
      </c>
      <c r="M193" s="85">
        <f>(((Table134567891011121314151617343[[#This Row],[GBR]]-VLOOKUP($U$1,A:G,7,))/VLOOKUP($U$1,A:G,7,))*100)+100</f>
        <v>114.8191365221018</v>
      </c>
      <c r="N193" s="85">
        <f>VLOOKUP(A193,Database!$A:$AS,MATCH($N$1,Database!$A$1:$AS$1,0),FALSE)</f>
        <v>97.345343115000006</v>
      </c>
      <c r="O193" s="85">
        <f>(((Table134567891011121314151617343[[#This Row],[USA]]-VLOOKUP($U$1,A:N,14,))/VLOOKUP($U$1,A:N,14,))*100)+100</f>
        <v>112.06711420084773</v>
      </c>
      <c r="P193" s="85">
        <f>VLOOKUP(A193,Database!$A:$AS,MATCH($P$1,Database!$A$1:$AS$1,0),FALSE)</f>
        <v>110.64444921400001</v>
      </c>
      <c r="Q193" s="85">
        <f>(((Table134567891011121314151617343[[#This Row],[JPN]]-VLOOKUP($U$1,A:Q,16,))/VLOOKUP($U$1,A:Q,16,))*100)+100</f>
        <v>111.08475678982386</v>
      </c>
    </row>
    <row r="194" spans="1:17" s="87" customFormat="1" x14ac:dyDescent="0.2">
      <c r="A194" s="22">
        <v>38718</v>
      </c>
      <c r="B194" s="85">
        <f>VLOOKUP(A194,Database!$A:$AS,MATCH($B$1,Database!$A$1:$AS$1,0),FALSE)</f>
        <v>122.189817515</v>
      </c>
      <c r="C194" s="85">
        <f>VLOOKUP(A194,Database!$A:$AS,MATCH($C$1,Database!$A$1:$AS$1,0),FALSE)</f>
        <v>110.24</v>
      </c>
      <c r="D194" s="85">
        <f>VLOOKUP(A194,Database!$A:$AS,MATCH($D$1,Database!$A$1:$AS$1,0),FALSE)</f>
        <v>87.692692276000002</v>
      </c>
      <c r="E194" s="85">
        <f>VLOOKUP(A194,Database!$A:$AS,MATCH($E$1,Database!$A$1:$AS$1,0),FALSE)</f>
        <v>130.468108723</v>
      </c>
      <c r="F194" s="85">
        <f>VLOOKUP(A194,Database!$A:$AS,MATCH($F$1,Database!$A$1:$AS$1,0),FALSE)</f>
        <v>101.3</v>
      </c>
      <c r="G194" s="85">
        <f>VLOOKUP(A194,Database!$A:$AS,MATCH($G$1,Database!$A$1:$AS$1,0),FALSE)</f>
        <v>106.57823982799999</v>
      </c>
      <c r="H194" s="85">
        <f>(((Table134567891011121314151617343[[#This Row],[ITA]]-VLOOKUP($U$1,A:B,2,))/VLOOKUP($U$1,A:B,2,))*100)+100</f>
        <v>100.49342105249497</v>
      </c>
      <c r="I194" s="85">
        <f>(((Table134567891011121314151617343[[#This Row],[FRA]]-VLOOKUP($U$1,A:C,3,))/VLOOKUP($U$1,A:C,3,))*100)+100</f>
        <v>107.56171333788663</v>
      </c>
      <c r="J194" s="85">
        <f>(((Table134567891011121314151617343[[#This Row],[DEU]]-VLOOKUP($U$1,A:D,4,))/VLOOKUP($U$1,A:D,4,))*100)+100</f>
        <v>116.62234042524896</v>
      </c>
      <c r="K194" s="85">
        <f>(((Table134567891011121314151617343[[#This Row],[ESP]]-VLOOKUP($U$1,A:E,5,))/VLOOKUP($U$1,A:E,5,))*100)+100</f>
        <v>109.66462133252175</v>
      </c>
      <c r="L194" s="85">
        <f>(((Table134567891011121314151617343[[#This Row],[EA19]]-VLOOKUP($U$1,A:F,6,))/VLOOKUP($U$1,A:F,6,))*100)+100</f>
        <v>113.31096196868008</v>
      </c>
      <c r="M194" s="85">
        <f>(((Table134567891011121314151617343[[#This Row],[GBR]]-VLOOKUP($U$1,A:G,7,))/VLOOKUP($U$1,A:G,7,))*100)+100</f>
        <v>115.6359393230281</v>
      </c>
      <c r="N194" s="85">
        <f>VLOOKUP(A194,Database!$A:$AS,MATCH($N$1,Database!$A$1:$AS$1,0),FALSE)</f>
        <v>97.468745991000006</v>
      </c>
      <c r="O194" s="85">
        <f>(((Table134567891011121314151617343[[#This Row],[USA]]-VLOOKUP($U$1,A:N,14,))/VLOOKUP($U$1,A:N,14,))*100)+100</f>
        <v>112.20917959149581</v>
      </c>
      <c r="P194" s="85">
        <f>VLOOKUP(A194,Database!$A:$AS,MATCH($P$1,Database!$A$1:$AS$1,0),FALSE)</f>
        <v>110.970513407</v>
      </c>
      <c r="Q194" s="85">
        <f>(((Table134567891011121314151617343[[#This Row],[JPN]]-VLOOKUP($U$1,A:Q,16,))/VLOOKUP($U$1,A:Q,16,))*100)+100</f>
        <v>111.41211854935705</v>
      </c>
    </row>
    <row r="195" spans="1:17" s="87" customFormat="1" x14ac:dyDescent="0.2">
      <c r="A195" s="22">
        <v>38749</v>
      </c>
      <c r="B195" s="85">
        <f>VLOOKUP(A195,Database!$A:$AS,MATCH($B$1,Database!$A$1:$AS$1,0),FALSE)</f>
        <v>124.48962586499999</v>
      </c>
      <c r="C195" s="85">
        <f>VLOOKUP(A195,Database!$A:$AS,MATCH($C$1,Database!$A$1:$AS$1,0),FALSE)</f>
        <v>109.51</v>
      </c>
      <c r="D195" s="85">
        <f>VLOOKUP(A195,Database!$A:$AS,MATCH($D$1,Database!$A$1:$AS$1,0),FALSE)</f>
        <v>88.192650611999994</v>
      </c>
      <c r="E195" s="85">
        <f>VLOOKUP(A195,Database!$A:$AS,MATCH($E$1,Database!$A$1:$AS$1,0),FALSE)</f>
        <v>130.57510881300001</v>
      </c>
      <c r="F195" s="85">
        <f>VLOOKUP(A195,Database!$A:$AS,MATCH($F$1,Database!$A$1:$AS$1,0),FALSE)</f>
        <v>101.2</v>
      </c>
      <c r="G195" s="85">
        <f>VLOOKUP(A195,Database!$A:$AS,MATCH($G$1,Database!$A$1:$AS$1,0),FALSE)</f>
        <v>104.857501344</v>
      </c>
      <c r="H195" s="85">
        <f>(((Table134567891011121314151617343[[#This Row],[ITA]]-VLOOKUP($U$1,A:B,2,))/VLOOKUP($U$1,A:B,2,))*100)+100</f>
        <v>102.38486842148887</v>
      </c>
      <c r="I195" s="85">
        <f>(((Table134567891011121314151617343[[#This Row],[FRA]]-VLOOKUP($U$1,A:C,3,))/VLOOKUP($U$1,A:C,3,))*100)+100</f>
        <v>106.84944872670505</v>
      </c>
      <c r="J195" s="85">
        <f>(((Table134567891011121314151617343[[#This Row],[DEU]]-VLOOKUP($U$1,A:D,4,))/VLOOKUP($U$1,A:D,4,))*100)+100</f>
        <v>117.28723404119501</v>
      </c>
      <c r="K195" s="85">
        <f>(((Table134567891011121314151617343[[#This Row],[ESP]]-VLOOKUP($U$1,A:E,5,))/VLOOKUP($U$1,A:E,5,))*100)+100</f>
        <v>109.75455997321524</v>
      </c>
      <c r="L195" s="85">
        <f>(((Table134567891011121314151617343[[#This Row],[EA19]]-VLOOKUP($U$1,A:F,6,))/VLOOKUP($U$1,A:F,6,))*100)+100</f>
        <v>113.19910514541387</v>
      </c>
      <c r="M195" s="85">
        <f>(((Table134567891011121314151617343[[#This Row],[GBR]]-VLOOKUP($U$1,A:G,7,))/VLOOKUP($U$1,A:G,7,))*100)+100</f>
        <v>113.76896149295939</v>
      </c>
      <c r="N195" s="85">
        <f>VLOOKUP(A195,Database!$A:$AS,MATCH($N$1,Database!$A$1:$AS$1,0),FALSE)</f>
        <v>97.474593999000007</v>
      </c>
      <c r="O195" s="85">
        <f>(((Table134567891011121314151617343[[#This Row],[USA]]-VLOOKUP($U$1,A:N,14,))/VLOOKUP($U$1,A:N,14,))*100)+100</f>
        <v>112.21591200785403</v>
      </c>
      <c r="P195" s="85">
        <f>VLOOKUP(A195,Database!$A:$AS,MATCH($P$1,Database!$A$1:$AS$1,0),FALSE)</f>
        <v>110.753137278</v>
      </c>
      <c r="Q195" s="85">
        <f>(((Table134567891011121314151617343[[#This Row],[JPN]]-VLOOKUP($U$1,A:Q,16,))/VLOOKUP($U$1,A:Q,16,))*100)+100</f>
        <v>111.19387737600026</v>
      </c>
    </row>
    <row r="196" spans="1:17" s="87" customFormat="1" x14ac:dyDescent="0.2">
      <c r="A196" s="22">
        <v>38777</v>
      </c>
      <c r="B196" s="85">
        <f>VLOOKUP(A196,Database!$A:$AS,MATCH($B$1,Database!$A$1:$AS$1,0),FALSE)</f>
        <v>125.089575869</v>
      </c>
      <c r="C196" s="85">
        <f>VLOOKUP(A196,Database!$A:$AS,MATCH($C$1,Database!$A$1:$AS$1,0),FALSE)</f>
        <v>111.53</v>
      </c>
      <c r="D196" s="85">
        <f>VLOOKUP(A196,Database!$A:$AS,MATCH($D$1,Database!$A$1:$AS$1,0),FALSE)</f>
        <v>87.392717274000006</v>
      </c>
      <c r="E196" s="85">
        <f>VLOOKUP(A196,Database!$A:$AS,MATCH($E$1,Database!$A$1:$AS$1,0),FALSE)</f>
        <v>131.25610938</v>
      </c>
      <c r="F196" s="85">
        <f>VLOOKUP(A196,Database!$A:$AS,MATCH($F$1,Database!$A$1:$AS$1,0),FALSE)</f>
        <v>101.9</v>
      </c>
      <c r="G196" s="85">
        <f>VLOOKUP(A196,Database!$A:$AS,MATCH($G$1,Database!$A$1:$AS$1,0),FALSE)</f>
        <v>106.363147517</v>
      </c>
      <c r="H196" s="85">
        <f>(((Table134567891011121314151617343[[#This Row],[ITA]]-VLOOKUP($U$1,A:B,2,))/VLOOKUP($U$1,A:B,2,))*100)+100</f>
        <v>102.87828947398384</v>
      </c>
      <c r="I196" s="85">
        <f>(((Table134567891011121314151617343[[#This Row],[FRA]]-VLOOKUP($U$1,A:C,3,))/VLOOKUP($U$1,A:C,3,))*100)+100</f>
        <v>108.82037271928969</v>
      </c>
      <c r="J196" s="85">
        <f>(((Table134567891011121314151617343[[#This Row],[DEU]]-VLOOKUP($U$1,A:D,4,))/VLOOKUP($U$1,A:D,4,))*100)+100</f>
        <v>116.22340425514939</v>
      </c>
      <c r="K196" s="85">
        <f>(((Table134567891011121314151617343[[#This Row],[ESP]]-VLOOKUP($U$1,A:E,5,))/VLOOKUP($U$1,A:E,5,))*100)+100</f>
        <v>110.32697318620849</v>
      </c>
      <c r="L196" s="85">
        <f>(((Table134567891011121314151617343[[#This Row],[EA19]]-VLOOKUP($U$1,A:F,6,))/VLOOKUP($U$1,A:F,6,))*100)+100</f>
        <v>113.9821029082774</v>
      </c>
      <c r="M196" s="85">
        <f>(((Table134567891011121314151617343[[#This Row],[GBR]]-VLOOKUP($U$1,A:G,7,))/VLOOKUP($U$1,A:G,7,))*100)+100</f>
        <v>115.40256709372703</v>
      </c>
      <c r="N196" s="85">
        <f>VLOOKUP(A196,Database!$A:$AS,MATCH($N$1,Database!$A$1:$AS$1,0),FALSE)</f>
        <v>97.722688296000001</v>
      </c>
      <c r="O196" s="85">
        <f>(((Table134567891011121314151617343[[#This Row],[USA]]-VLOOKUP($U$1,A:N,14,))/VLOOKUP($U$1,A:N,14,))*100)+100</f>
        <v>112.50152620391918</v>
      </c>
      <c r="P196" s="85">
        <f>VLOOKUP(A196,Database!$A:$AS,MATCH($P$1,Database!$A$1:$AS$1,0),FALSE)</f>
        <v>111.513953727</v>
      </c>
      <c r="Q196" s="85">
        <f>(((Table134567891011121314151617343[[#This Row],[JPN]]-VLOOKUP($U$1,A:Q,16,))/VLOOKUP($U$1,A:Q,16,))*100)+100</f>
        <v>111.95772148023904</v>
      </c>
    </row>
    <row r="197" spans="1:17" s="87" customFormat="1" x14ac:dyDescent="0.2">
      <c r="A197" s="22">
        <v>38808</v>
      </c>
      <c r="B197" s="85">
        <f>VLOOKUP(A197,Database!$A:$AS,MATCH($B$1,Database!$A$1:$AS$1,0),FALSE)</f>
        <v>124.089659195</v>
      </c>
      <c r="C197" s="85">
        <f>VLOOKUP(A197,Database!$A:$AS,MATCH($C$1,Database!$A$1:$AS$1,0),FALSE)</f>
        <v>110.97</v>
      </c>
      <c r="D197" s="85">
        <f>VLOOKUP(A197,Database!$A:$AS,MATCH($D$1,Database!$A$1:$AS$1,0),FALSE)</f>
        <v>89.392550620999998</v>
      </c>
      <c r="E197" s="85">
        <f>VLOOKUP(A197,Database!$A:$AS,MATCH($E$1,Database!$A$1:$AS$1,0),FALSE)</f>
        <v>129.93310827799999</v>
      </c>
      <c r="F197" s="85">
        <f>VLOOKUP(A197,Database!$A:$AS,MATCH($F$1,Database!$A$1:$AS$1,0),FALSE)</f>
        <v>102.3</v>
      </c>
      <c r="G197" s="85">
        <f>VLOOKUP(A197,Database!$A:$AS,MATCH($G$1,Database!$A$1:$AS$1,0),FALSE)</f>
        <v>104.534862879</v>
      </c>
      <c r="H197" s="85">
        <f>(((Table134567891011121314151617343[[#This Row],[ITA]]-VLOOKUP($U$1,A:B,2,))/VLOOKUP($U$1,A:B,2,))*100)+100</f>
        <v>102.05592105261061</v>
      </c>
      <c r="I197" s="85">
        <f>(((Table134567891011121314151617343[[#This Row],[FRA]]-VLOOKUP($U$1,A:C,3,))/VLOOKUP($U$1,A:C,3,))*100)+100</f>
        <v>108.27397794906821</v>
      </c>
      <c r="J197" s="85">
        <f>(((Table134567891011121314151617343[[#This Row],[DEU]]-VLOOKUP($U$1,A:D,4,))/VLOOKUP($U$1,A:D,4,))*100)+100</f>
        <v>118.88297872292324</v>
      </c>
      <c r="K197" s="85">
        <f>(((Table134567891011121314151617343[[#This Row],[ESP]]-VLOOKUP($U$1,A:E,5,))/VLOOKUP($U$1,A:E,5,))*100)+100</f>
        <v>109.21492813325708</v>
      </c>
      <c r="L197" s="85">
        <f>(((Table134567891011121314151617343[[#This Row],[EA19]]-VLOOKUP($U$1,A:F,6,))/VLOOKUP($U$1,A:F,6,))*100)+100</f>
        <v>114.42953020134227</v>
      </c>
      <c r="M197" s="85">
        <f>(((Table134567891011121314151617343[[#This Row],[GBR]]-VLOOKUP($U$1,A:G,7,))/VLOOKUP($U$1,A:G,7,))*100)+100</f>
        <v>113.41890315063524</v>
      </c>
      <c r="N197" s="85">
        <f>VLOOKUP(A197,Database!$A:$AS,MATCH($N$1,Database!$A$1:$AS$1,0),FALSE)</f>
        <v>98.032632710000001</v>
      </c>
      <c r="O197" s="85">
        <f>(((Table134567891011121314151617343[[#This Row],[USA]]-VLOOKUP($U$1,A:N,14,))/VLOOKUP($U$1,A:N,14,))*100)+100</f>
        <v>112.85834425939225</v>
      </c>
      <c r="P197" s="85">
        <f>VLOOKUP(A197,Database!$A:$AS,MATCH($P$1,Database!$A$1:$AS$1,0),FALSE)</f>
        <v>113.57902694400001</v>
      </c>
      <c r="Q197" s="85">
        <f>(((Table134567891011121314151617343[[#This Row],[JPN]]-VLOOKUP($U$1,A:Q,16,))/VLOOKUP($U$1,A:Q,16,))*100)+100</f>
        <v>114.03101261859467</v>
      </c>
    </row>
    <row r="198" spans="1:17" s="87" customFormat="1" x14ac:dyDescent="0.2">
      <c r="A198" s="22">
        <v>38838</v>
      </c>
      <c r="B198" s="85">
        <f>VLOOKUP(A198,Database!$A:$AS,MATCH($B$1,Database!$A$1:$AS$1,0),FALSE)</f>
        <v>126.989417549</v>
      </c>
      <c r="C198" s="85">
        <f>VLOOKUP(A198,Database!$A:$AS,MATCH($C$1,Database!$A$1:$AS$1,0),FALSE)</f>
        <v>112.74</v>
      </c>
      <c r="D198" s="85">
        <f>VLOOKUP(A198,Database!$A:$AS,MATCH($D$1,Database!$A$1:$AS$1,0),FALSE)</f>
        <v>90.692442295999996</v>
      </c>
      <c r="E198" s="85">
        <f>VLOOKUP(A198,Database!$A:$AS,MATCH($E$1,Database!$A$1:$AS$1,0),FALSE)</f>
        <v>131.85110987600001</v>
      </c>
      <c r="F198" s="85">
        <f>VLOOKUP(A198,Database!$A:$AS,MATCH($F$1,Database!$A$1:$AS$1,0),FALSE)</f>
        <v>103.8</v>
      </c>
      <c r="G198" s="85">
        <f>VLOOKUP(A198,Database!$A:$AS,MATCH($G$1,Database!$A$1:$AS$1,0),FALSE)</f>
        <v>106.040509052</v>
      </c>
      <c r="H198" s="85">
        <f>(((Table134567891011121314151617343[[#This Row],[ITA]]-VLOOKUP($U$1,A:B,2,))/VLOOKUP($U$1,A:B,2,))*100)+100</f>
        <v>104.44078947409949</v>
      </c>
      <c r="I198" s="85">
        <f>(((Table134567891011121314151617343[[#This Row],[FRA]]-VLOOKUP($U$1,A:C,3,))/VLOOKUP($U$1,A:C,3,))*100)+100</f>
        <v>110.00097570494682</v>
      </c>
      <c r="J198" s="85">
        <f>(((Table134567891011121314151617343[[#This Row],[DEU]]-VLOOKUP($U$1,A:D,4,))/VLOOKUP($U$1,A:D,4,))*100)+100</f>
        <v>120.61170212624479</v>
      </c>
      <c r="K198" s="85">
        <f>(((Table134567891011121314151617343[[#This Row],[ESP]]-VLOOKUP($U$1,A:E,5,))/VLOOKUP($U$1,A:E,5,))*100)+100</f>
        <v>110.82709926855279</v>
      </c>
      <c r="L198" s="85">
        <f>(((Table134567891011121314151617343[[#This Row],[EA19]]-VLOOKUP($U$1,A:F,6,))/VLOOKUP($U$1,A:F,6,))*100)+100</f>
        <v>116.10738255033556</v>
      </c>
      <c r="M198" s="85">
        <f>(((Table134567891011121314151617343[[#This Row],[GBR]]-VLOOKUP($U$1,A:G,7,))/VLOOKUP($U$1,A:G,7,))*100)+100</f>
        <v>115.05250875140288</v>
      </c>
      <c r="N198" s="85">
        <f>VLOOKUP(A198,Database!$A:$AS,MATCH($N$1,Database!$A$1:$AS$1,0),FALSE)</f>
        <v>98.028370601999995</v>
      </c>
      <c r="O198" s="85">
        <f>(((Table134567891011121314151617343[[#This Row],[USA]]-VLOOKUP($U$1,A:N,14,))/VLOOKUP($U$1,A:N,14,))*100)+100</f>
        <v>112.85343758251703</v>
      </c>
      <c r="P198" s="85">
        <f>VLOOKUP(A198,Database!$A:$AS,MATCH($P$1,Database!$A$1:$AS$1,0),FALSE)</f>
        <v>111.840017919</v>
      </c>
      <c r="Q198" s="85">
        <f>(((Table134567891011121314151617343[[#This Row],[JPN]]-VLOOKUP($U$1,A:Q,16,))/VLOOKUP($U$1,A:Q,16,))*100)+100</f>
        <v>112.28508323876827</v>
      </c>
    </row>
    <row r="199" spans="1:17" s="87" customFormat="1" x14ac:dyDescent="0.2">
      <c r="A199" s="22">
        <v>38869</v>
      </c>
      <c r="B199" s="85">
        <f>VLOOKUP(A199,Database!$A:$AS,MATCH($B$1,Database!$A$1:$AS$1,0),FALSE)</f>
        <v>127.389384218</v>
      </c>
      <c r="C199" s="85">
        <f>VLOOKUP(A199,Database!$A:$AS,MATCH($C$1,Database!$A$1:$AS$1,0),FALSE)</f>
        <v>112.55</v>
      </c>
      <c r="D199" s="85">
        <f>VLOOKUP(A199,Database!$A:$AS,MATCH($D$1,Database!$A$1:$AS$1,0),FALSE)</f>
        <v>90.192483960000004</v>
      </c>
      <c r="E199" s="85">
        <f>VLOOKUP(A199,Database!$A:$AS,MATCH($E$1,Database!$A$1:$AS$1,0),FALSE)</f>
        <v>132.52511043800001</v>
      </c>
      <c r="F199" s="85">
        <f>VLOOKUP(A199,Database!$A:$AS,MATCH($F$1,Database!$A$1:$AS$1,0),FALSE)</f>
        <v>103.7</v>
      </c>
      <c r="G199" s="85">
        <f>VLOOKUP(A199,Database!$A:$AS,MATCH($G$1,Database!$A$1:$AS$1,0),FALSE)</f>
        <v>107.331062915</v>
      </c>
      <c r="H199" s="85">
        <f>(((Table134567891011121314151617343[[#This Row],[ITA]]-VLOOKUP($U$1,A:B,2,))/VLOOKUP($U$1,A:B,2,))*100)+100</f>
        <v>104.76973684215533</v>
      </c>
      <c r="I199" s="85">
        <f>(((Table134567891011121314151617343[[#This Row],[FRA]]-VLOOKUP($U$1,A:C,3,))/VLOOKUP($U$1,A:C,3,))*100)+100</f>
        <v>109.81559176505024</v>
      </c>
      <c r="J199" s="85">
        <f>(((Table134567891011121314151617343[[#This Row],[DEU]]-VLOOKUP($U$1,A:D,4,))/VLOOKUP($U$1,A:D,4,))*100)+100</f>
        <v>119.94680851029877</v>
      </c>
      <c r="K199" s="85">
        <f>(((Table134567891011121314151617343[[#This Row],[ESP]]-VLOOKUP($U$1,A:E,5,))/VLOOKUP($U$1,A:E,5,))*100)+100</f>
        <v>111.3936286459853</v>
      </c>
      <c r="L199" s="85">
        <f>(((Table134567891011121314151617343[[#This Row],[EA19]]-VLOOKUP($U$1,A:F,6,))/VLOOKUP($U$1,A:F,6,))*100)+100</f>
        <v>115.99552572706935</v>
      </c>
      <c r="M199" s="85">
        <f>(((Table134567891011121314151617343[[#This Row],[GBR]]-VLOOKUP($U$1,A:G,7,))/VLOOKUP($U$1,A:G,7,))*100)+100</f>
        <v>116.45274212395442</v>
      </c>
      <c r="N199" s="85">
        <f>VLOOKUP(A199,Database!$A:$AS,MATCH($N$1,Database!$A$1:$AS$1,0),FALSE)</f>
        <v>98.33474674</v>
      </c>
      <c r="O199" s="85">
        <f>(((Table134567891011121314151617343[[#This Row],[USA]]-VLOOKUP($U$1,A:N,14,))/VLOOKUP($U$1,A:N,14,))*100)+100</f>
        <v>113.20614772300212</v>
      </c>
      <c r="P199" s="85">
        <f>VLOOKUP(A199,Database!$A:$AS,MATCH($P$1,Database!$A$1:$AS$1,0),FALSE)</f>
        <v>113.36165081599999</v>
      </c>
      <c r="Q199" s="85">
        <f>(((Table134567891011121314151617343[[#This Row],[JPN]]-VLOOKUP($U$1,A:Q,16,))/VLOOKUP($U$1,A:Q,16,))*100)+100</f>
        <v>113.81277144624185</v>
      </c>
    </row>
    <row r="200" spans="1:17" s="87" customFormat="1" x14ac:dyDescent="0.2">
      <c r="A200" s="22">
        <v>38899</v>
      </c>
      <c r="B200" s="85">
        <f>VLOOKUP(A200,Database!$A:$AS,MATCH($B$1,Database!$A$1:$AS$1,0),FALSE)</f>
        <v>125.48954253799999</v>
      </c>
      <c r="C200" s="85">
        <f>VLOOKUP(A200,Database!$A:$AS,MATCH($C$1,Database!$A$1:$AS$1,0),FALSE)</f>
        <v>111</v>
      </c>
      <c r="D200" s="85">
        <f>VLOOKUP(A200,Database!$A:$AS,MATCH($D$1,Database!$A$1:$AS$1,0),FALSE)</f>
        <v>91.792350636999998</v>
      </c>
      <c r="E200" s="85">
        <f>VLOOKUP(A200,Database!$A:$AS,MATCH($E$1,Database!$A$1:$AS$1,0),FALSE)</f>
        <v>131.63710969799999</v>
      </c>
      <c r="F200" s="85">
        <f>VLOOKUP(A200,Database!$A:$AS,MATCH($F$1,Database!$A$1:$AS$1,0),FALSE)</f>
        <v>103.5</v>
      </c>
      <c r="G200" s="85">
        <f>VLOOKUP(A200,Database!$A:$AS,MATCH($G$1,Database!$A$1:$AS$1,0),FALSE)</f>
        <v>106.25560136199999</v>
      </c>
      <c r="H200" s="85">
        <f>(((Table134567891011121314151617343[[#This Row],[ITA]]-VLOOKUP($U$1,A:B,2,))/VLOOKUP($U$1,A:B,2,))*100)+100</f>
        <v>103.20723684203966</v>
      </c>
      <c r="I200" s="85">
        <f>(((Table134567891011121314151617343[[#This Row],[FRA]]-VLOOKUP($U$1,A:C,3,))/VLOOKUP($U$1,A:C,3,))*100)+100</f>
        <v>108.30324909747293</v>
      </c>
      <c r="J200" s="85">
        <f>(((Table134567891011121314151617343[[#This Row],[DEU]]-VLOOKUP($U$1,A:D,4,))/VLOOKUP($U$1,A:D,4,))*100)+100</f>
        <v>122.07446808371989</v>
      </c>
      <c r="K200" s="85">
        <f>(((Table134567891011121314151617343[[#This Row],[ESP]]-VLOOKUP($U$1,A:E,5,))/VLOOKUP($U$1,A:E,5,))*100)+100</f>
        <v>110.64722198884691</v>
      </c>
      <c r="L200" s="85">
        <f>(((Table134567891011121314151617343[[#This Row],[EA19]]-VLOOKUP($U$1,A:F,6,))/VLOOKUP($U$1,A:F,6,))*100)+100</f>
        <v>115.7718120805369</v>
      </c>
      <c r="M200" s="85">
        <f>(((Table134567891011121314151617343[[#This Row],[GBR]]-VLOOKUP($U$1,A:G,7,))/VLOOKUP($U$1,A:G,7,))*100)+100</f>
        <v>115.28588097961897</v>
      </c>
      <c r="N200" s="85">
        <f>VLOOKUP(A200,Database!$A:$AS,MATCH($N$1,Database!$A$1:$AS$1,0),FALSE)</f>
        <v>98.273590455000004</v>
      </c>
      <c r="O200" s="85">
        <f>(((Table134567891011121314151617343[[#This Row],[USA]]-VLOOKUP($U$1,A:N,14,))/VLOOKUP($U$1,A:N,14,))*100)+100</f>
        <v>113.13574262548146</v>
      </c>
      <c r="P200" s="85">
        <f>VLOOKUP(A200,Database!$A:$AS,MATCH($P$1,Database!$A$1:$AS$1,0),FALSE)</f>
        <v>113.796403072</v>
      </c>
      <c r="Q200" s="85">
        <f>(((Table134567891011121314151617343[[#This Row],[JPN]]-VLOOKUP($U$1,A:Q,16,))/VLOOKUP($U$1,A:Q,16,))*100)+100</f>
        <v>114.24925379094748</v>
      </c>
    </row>
    <row r="201" spans="1:17" s="87" customFormat="1" x14ac:dyDescent="0.2">
      <c r="A201" s="22">
        <v>38930</v>
      </c>
      <c r="B201" s="85">
        <f>VLOOKUP(A201,Database!$A:$AS,MATCH($B$1,Database!$A$1:$AS$1,0),FALSE)</f>
        <v>127.189400883</v>
      </c>
      <c r="C201" s="85">
        <f>VLOOKUP(A201,Database!$A:$AS,MATCH($C$1,Database!$A$1:$AS$1,0),FALSE)</f>
        <v>110.26</v>
      </c>
      <c r="D201" s="85">
        <f>VLOOKUP(A201,Database!$A:$AS,MATCH($D$1,Database!$A$1:$AS$1,0),FALSE)</f>
        <v>92.392300641999995</v>
      </c>
      <c r="E201" s="85">
        <f>VLOOKUP(A201,Database!$A:$AS,MATCH($E$1,Database!$A$1:$AS$1,0),FALSE)</f>
        <v>131.45410954499999</v>
      </c>
      <c r="F201" s="85">
        <f>VLOOKUP(A201,Database!$A:$AS,MATCH($F$1,Database!$A$1:$AS$1,0),FALSE)</f>
        <v>103.8</v>
      </c>
      <c r="G201" s="85">
        <f>VLOOKUP(A201,Database!$A:$AS,MATCH($G$1,Database!$A$1:$AS$1,0),FALSE)</f>
        <v>107.65370138</v>
      </c>
      <c r="H201" s="85">
        <f>(((Table134567891011121314151617343[[#This Row],[ITA]]-VLOOKUP($U$1,A:B,2,))/VLOOKUP($U$1,A:B,2,))*100)+100</f>
        <v>104.60526315771619</v>
      </c>
      <c r="I201" s="85">
        <f>(((Table134567891011121314151617343[[#This Row],[FRA]]-VLOOKUP($U$1,A:C,3,))/VLOOKUP($U$1,A:C,3,))*100)+100</f>
        <v>107.58122743682311</v>
      </c>
      <c r="J201" s="85">
        <f>(((Table134567891011121314151617343[[#This Row],[DEU]]-VLOOKUP($U$1,A:D,4,))/VLOOKUP($U$1,A:D,4,))*100)+100</f>
        <v>122.87234042524896</v>
      </c>
      <c r="K201" s="85">
        <f>(((Table134567891011121314151617343[[#This Row],[ESP]]-VLOOKUP($U$1,A:E,5,))/VLOOKUP($U$1,A:E,5,))*100)+100</f>
        <v>110.49340169759745</v>
      </c>
      <c r="L201" s="85">
        <f>(((Table134567891011121314151617343[[#This Row],[EA19]]-VLOOKUP($U$1,A:F,6,))/VLOOKUP($U$1,A:F,6,))*100)+100</f>
        <v>116.10738255033556</v>
      </c>
      <c r="M201" s="85">
        <f>(((Table134567891011121314151617343[[#This Row],[GBR]]-VLOOKUP($U$1,A:G,7,))/VLOOKUP($U$1,A:G,7,))*100)+100</f>
        <v>116.80280046627857</v>
      </c>
      <c r="N201" s="85">
        <f>VLOOKUP(A201,Database!$A:$AS,MATCH($N$1,Database!$A$1:$AS$1,0),FALSE)</f>
        <v>98.703964181000003</v>
      </c>
      <c r="O201" s="85">
        <f>(((Table134567891011121314151617343[[#This Row],[USA]]-VLOOKUP($U$1,A:N,14,))/VLOOKUP($U$1,A:N,14,))*100)+100</f>
        <v>113.63120280834515</v>
      </c>
      <c r="P201" s="85">
        <f>VLOOKUP(A201,Database!$A:$AS,MATCH($P$1,Database!$A$1:$AS$1,0),FALSE)</f>
        <v>114.12246726399999</v>
      </c>
      <c r="Q201" s="85">
        <f>(((Table134567891011121314151617343[[#This Row],[JPN]]-VLOOKUP($U$1,A:Q,16,))/VLOOKUP($U$1,A:Q,16,))*100)+100</f>
        <v>114.57661554947667</v>
      </c>
    </row>
    <row r="202" spans="1:17" s="87" customFormat="1" x14ac:dyDescent="0.2">
      <c r="A202" s="22">
        <v>38961</v>
      </c>
      <c r="B202" s="85">
        <f>VLOOKUP(A202,Database!$A:$AS,MATCH($B$1,Database!$A$1:$AS$1,0),FALSE)</f>
        <v>126.88942588099999</v>
      </c>
      <c r="C202" s="85">
        <f>VLOOKUP(A202,Database!$A:$AS,MATCH($C$1,Database!$A$1:$AS$1,0),FALSE)</f>
        <v>111.95</v>
      </c>
      <c r="D202" s="85">
        <f>VLOOKUP(A202,Database!$A:$AS,MATCH($D$1,Database!$A$1:$AS$1,0),FALSE)</f>
        <v>92.292308973999994</v>
      </c>
      <c r="E202" s="85">
        <f>VLOOKUP(A202,Database!$A:$AS,MATCH($E$1,Database!$A$1:$AS$1,0),FALSE)</f>
        <v>132.820110683</v>
      </c>
      <c r="F202" s="85">
        <f>VLOOKUP(A202,Database!$A:$AS,MATCH($F$1,Database!$A$1:$AS$1,0),FALSE)</f>
        <v>103.9</v>
      </c>
      <c r="G202" s="85">
        <f>VLOOKUP(A202,Database!$A:$AS,MATCH($G$1,Database!$A$1:$AS$1,0),FALSE)</f>
        <v>108.944255243</v>
      </c>
      <c r="H202" s="85">
        <f>(((Table134567891011121314151617343[[#This Row],[ITA]]-VLOOKUP($U$1,A:B,2,))/VLOOKUP($U$1,A:B,2,))*100)+100</f>
        <v>104.3585526314687</v>
      </c>
      <c r="I202" s="85">
        <f>(((Table134567891011121314151617343[[#This Row],[FRA]]-VLOOKUP($U$1,A:C,3,))/VLOOKUP($U$1,A:C,3,))*100)+100</f>
        <v>109.23016879695581</v>
      </c>
      <c r="J202" s="85">
        <f>(((Table134567891011121314151617343[[#This Row],[DEU]]-VLOOKUP($U$1,A:D,4,))/VLOOKUP($U$1,A:D,4,))*100)+100</f>
        <v>122.73936170099583</v>
      </c>
      <c r="K202" s="85">
        <f>(((Table134567891011121314151617343[[#This Row],[ESP]]-VLOOKUP($U$1,A:E,5,))/VLOOKUP($U$1,A:E,5,))*100)+100</f>
        <v>111.64159031629363</v>
      </c>
      <c r="L202" s="85">
        <f>(((Table134567891011121314151617343[[#This Row],[EA19]]-VLOOKUP($U$1,A:F,6,))/VLOOKUP($U$1,A:F,6,))*100)+100</f>
        <v>116.21923937360179</v>
      </c>
      <c r="M202" s="85">
        <f>(((Table134567891011121314151617343[[#This Row],[GBR]]-VLOOKUP($U$1,A:G,7,))/VLOOKUP($U$1,A:G,7,))*100)+100</f>
        <v>118.20303383883011</v>
      </c>
      <c r="N202" s="85">
        <f>VLOOKUP(A202,Database!$A:$AS,MATCH($N$1,Database!$A$1:$AS$1,0),FALSE)</f>
        <v>98.537246398999997</v>
      </c>
      <c r="O202" s="85">
        <f>(((Table134567891011121314151617343[[#This Row],[USA]]-VLOOKUP($U$1,A:N,14,))/VLOOKUP($U$1,A:N,14,))*100)+100</f>
        <v>113.43927189396504</v>
      </c>
      <c r="P202" s="85">
        <f>VLOOKUP(A202,Database!$A:$AS,MATCH($P$1,Database!$A$1:$AS$1,0),FALSE)</f>
        <v>114.0137792</v>
      </c>
      <c r="Q202" s="85">
        <f>(((Table134567891011121314151617343[[#This Row],[JPN]]-VLOOKUP($U$1,A:Q,16,))/VLOOKUP($U$1,A:Q,16,))*100)+100</f>
        <v>114.46749496330028</v>
      </c>
    </row>
    <row r="203" spans="1:17" s="87" customFormat="1" x14ac:dyDescent="0.2">
      <c r="A203" s="22">
        <v>38991</v>
      </c>
      <c r="B203" s="85">
        <f>VLOOKUP(A203,Database!$A:$AS,MATCH($B$1,Database!$A$1:$AS$1,0),FALSE)</f>
        <v>127.08940921600001</v>
      </c>
      <c r="C203" s="85">
        <f>VLOOKUP(A203,Database!$A:$AS,MATCH($C$1,Database!$A$1:$AS$1,0),FALSE)</f>
        <v>111.03</v>
      </c>
      <c r="D203" s="85">
        <f>VLOOKUP(A203,Database!$A:$AS,MATCH($D$1,Database!$A$1:$AS$1,0),FALSE)</f>
        <v>92.092325639999999</v>
      </c>
      <c r="E203" s="85">
        <f>VLOOKUP(A203,Database!$A:$AS,MATCH($E$1,Database!$A$1:$AS$1,0),FALSE)</f>
        <v>131.71210976</v>
      </c>
      <c r="F203" s="85">
        <f>VLOOKUP(A203,Database!$A:$AS,MATCH($F$1,Database!$A$1:$AS$1,0),FALSE)</f>
        <v>103.6</v>
      </c>
      <c r="G203" s="85">
        <f>VLOOKUP(A203,Database!$A:$AS,MATCH($G$1,Database!$A$1:$AS$1,0),FALSE)</f>
        <v>108.406524467</v>
      </c>
      <c r="H203" s="85">
        <f>(((Table134567891011121314151617343[[#This Row],[ITA]]-VLOOKUP($U$1,A:B,2,))/VLOOKUP($U$1,A:B,2,))*100)+100</f>
        <v>104.52302631590784</v>
      </c>
      <c r="I203" s="85">
        <f>(((Table134567891011121314151617343[[#This Row],[FRA]]-VLOOKUP($U$1,A:C,3,))/VLOOKUP($U$1,A:C,3,))*100)+100</f>
        <v>108.33252024587765</v>
      </c>
      <c r="J203" s="85">
        <f>(((Table134567891011121314151617343[[#This Row],[DEU]]-VLOOKUP($U$1,A:D,4,))/VLOOKUP($U$1,A:D,4,))*100)+100</f>
        <v>122.47340425514938</v>
      </c>
      <c r="K203" s="85">
        <f>(((Table134567891011121314151617343[[#This Row],[ESP]]-VLOOKUP($U$1,A:E,5,))/VLOOKUP($U$1,A:E,5,))*100)+100</f>
        <v>110.7102630912255</v>
      </c>
      <c r="L203" s="85">
        <f>(((Table134567891011121314151617343[[#This Row],[EA19]]-VLOOKUP($U$1,A:F,6,))/VLOOKUP($U$1,A:F,6,))*100)+100</f>
        <v>115.88366890380311</v>
      </c>
      <c r="M203" s="85">
        <f>(((Table134567891011121314151617343[[#This Row],[GBR]]-VLOOKUP($U$1,A:G,7,))/VLOOKUP($U$1,A:G,7,))*100)+100</f>
        <v>117.61960326720488</v>
      </c>
      <c r="N203" s="85">
        <f>VLOOKUP(A203,Database!$A:$AS,MATCH($N$1,Database!$A$1:$AS$1,0),FALSE)</f>
        <v>98.418105629999999</v>
      </c>
      <c r="O203" s="85">
        <f>(((Table134567891011121314151617343[[#This Row],[USA]]-VLOOKUP($U$1,A:N,14,))/VLOOKUP($U$1,A:N,14,))*100)+100</f>
        <v>113.30211317904094</v>
      </c>
      <c r="P203" s="85">
        <f>VLOOKUP(A203,Database!$A:$AS,MATCH($P$1,Database!$A$1:$AS$1,0),FALSE)</f>
        <v>114.448531457</v>
      </c>
      <c r="Q203" s="85">
        <f>(((Table134567891011121314151617343[[#This Row],[JPN]]-VLOOKUP($U$1,A:Q,16,))/VLOOKUP($U$1,A:Q,16,))*100)+100</f>
        <v>114.90397730900986</v>
      </c>
    </row>
    <row r="204" spans="1:17" s="87" customFormat="1" x14ac:dyDescent="0.2">
      <c r="A204" s="22">
        <v>39022</v>
      </c>
      <c r="B204" s="85">
        <f>VLOOKUP(A204,Database!$A:$AS,MATCH($B$1,Database!$A$1:$AS$1,0),FALSE)</f>
        <v>127.28939255100001</v>
      </c>
      <c r="C204" s="85">
        <f>VLOOKUP(A204,Database!$A:$AS,MATCH($C$1,Database!$A$1:$AS$1,0),FALSE)</f>
        <v>110.4</v>
      </c>
      <c r="D204" s="85">
        <f>VLOOKUP(A204,Database!$A:$AS,MATCH($D$1,Database!$A$1:$AS$1,0),FALSE)</f>
        <v>93.692192317000007</v>
      </c>
      <c r="E204" s="85">
        <f>VLOOKUP(A204,Database!$A:$AS,MATCH($E$1,Database!$A$1:$AS$1,0),FALSE)</f>
        <v>133.58811132299999</v>
      </c>
      <c r="F204" s="85">
        <f>VLOOKUP(A204,Database!$A:$AS,MATCH($F$1,Database!$A$1:$AS$1,0),FALSE)</f>
        <v>104.6</v>
      </c>
      <c r="G204" s="85">
        <f>VLOOKUP(A204,Database!$A:$AS,MATCH($G$1,Database!$A$1:$AS$1,0),FALSE)</f>
        <v>109.266893709</v>
      </c>
      <c r="H204" s="85">
        <f>(((Table134567891011121314151617343[[#This Row],[ITA]]-VLOOKUP($U$1,A:B,2,))/VLOOKUP($U$1,A:B,2,))*100)+100</f>
        <v>104.68750000034697</v>
      </c>
      <c r="I204" s="85">
        <f>(((Table134567891011121314151617343[[#This Row],[FRA]]-VLOOKUP($U$1,A:C,3,))/VLOOKUP($U$1,A:C,3,))*100)+100</f>
        <v>107.71782612937849</v>
      </c>
      <c r="J204" s="85">
        <f>(((Table134567891011121314151617343[[#This Row],[DEU]]-VLOOKUP($U$1,A:D,4,))/VLOOKUP($U$1,A:D,4,))*100)+100</f>
        <v>124.60106382857055</v>
      </c>
      <c r="K204" s="85">
        <f>(((Table134567891011121314151617343[[#This Row],[ESP]]-VLOOKUP($U$1,A:E,5,))/VLOOKUP($U$1,A:E,5,))*100)+100</f>
        <v>112.28713120895384</v>
      </c>
      <c r="L204" s="85">
        <f>(((Table134567891011121314151617343[[#This Row],[EA19]]-VLOOKUP($U$1,A:F,6,))/VLOOKUP($U$1,A:F,6,))*100)+100</f>
        <v>117.00223713646531</v>
      </c>
      <c r="M204" s="85">
        <f>(((Table134567891011121314151617343[[#This Row],[GBR]]-VLOOKUP($U$1,A:G,7,))/VLOOKUP($U$1,A:G,7,))*100)+100</f>
        <v>118.55309218223924</v>
      </c>
      <c r="N204" s="85">
        <f>VLOOKUP(A204,Database!$A:$AS,MATCH($N$1,Database!$A$1:$AS$1,0),FALSE)</f>
        <v>98.363094709999999</v>
      </c>
      <c r="O204" s="85">
        <f>(((Table134567891011121314151617343[[#This Row],[USA]]-VLOOKUP($U$1,A:N,14,))/VLOOKUP($U$1,A:N,14,))*100)+100</f>
        <v>113.23878282489497</v>
      </c>
      <c r="P204" s="85">
        <f>VLOOKUP(A204,Database!$A:$AS,MATCH($P$1,Database!$A$1:$AS$1,0),FALSE)</f>
        <v>115.53541209700001</v>
      </c>
      <c r="Q204" s="85">
        <f>(((Table134567891011121314151617343[[#This Row],[JPN]]-VLOOKUP($U$1,A:Q,16,))/VLOOKUP($U$1,A:Q,16,))*100)+100</f>
        <v>115.99518317077388</v>
      </c>
    </row>
    <row r="205" spans="1:17" s="87" customFormat="1" x14ac:dyDescent="0.2">
      <c r="A205" s="22">
        <v>39052</v>
      </c>
      <c r="B205" s="85">
        <f>VLOOKUP(A205,Database!$A:$AS,MATCH($B$1,Database!$A$1:$AS$1,0),FALSE)</f>
        <v>129.389217565</v>
      </c>
      <c r="C205" s="85">
        <f>VLOOKUP(A205,Database!$A:$AS,MATCH($C$1,Database!$A$1:$AS$1,0),FALSE)</f>
        <v>112.27</v>
      </c>
      <c r="D205" s="85">
        <f>VLOOKUP(A205,Database!$A:$AS,MATCH($D$1,Database!$A$1:$AS$1,0),FALSE)</f>
        <v>94.592117324</v>
      </c>
      <c r="E205" s="85">
        <f>VLOOKUP(A205,Database!$A:$AS,MATCH($E$1,Database!$A$1:$AS$1,0),FALSE)</f>
        <v>136.647113873</v>
      </c>
      <c r="F205" s="85">
        <f>VLOOKUP(A205,Database!$A:$AS,MATCH($F$1,Database!$A$1:$AS$1,0),FALSE)</f>
        <v>106.1</v>
      </c>
      <c r="G205" s="85">
        <f>VLOOKUP(A205,Database!$A:$AS,MATCH($G$1,Database!$A$1:$AS$1,0),FALSE)</f>
        <v>108.406524467</v>
      </c>
      <c r="H205" s="85">
        <f>(((Table134567891011121314151617343[[#This Row],[ITA]]-VLOOKUP($U$1,A:B,2,))/VLOOKUP($U$1,A:B,2,))*100)+100</f>
        <v>106.41447368407931</v>
      </c>
      <c r="I205" s="85">
        <f>(((Table134567891011121314151617343[[#This Row],[FRA]]-VLOOKUP($U$1,A:C,3,))/VLOOKUP($U$1,A:C,3,))*100)+100</f>
        <v>109.54239437993951</v>
      </c>
      <c r="J205" s="85">
        <f>(((Table134567891011121314151617343[[#This Row],[DEU]]-VLOOKUP($U$1,A:D,4,))/VLOOKUP($U$1,A:D,4,))*100)+100</f>
        <v>125.79787234019918</v>
      </c>
      <c r="K205" s="85">
        <f>(((Table134567891011121314151617343[[#This Row],[ESP]]-VLOOKUP($U$1,A:E,5,))/VLOOKUP($U$1,A:E,5,))*100)+100</f>
        <v>114.85836765580999</v>
      </c>
      <c r="L205" s="85">
        <f>(((Table134567891011121314151617343[[#This Row],[EA19]]-VLOOKUP($U$1,A:F,6,))/VLOOKUP($U$1,A:F,6,))*100)+100</f>
        <v>118.68008948545859</v>
      </c>
      <c r="M205" s="85">
        <f>(((Table134567891011121314151617343[[#This Row],[GBR]]-VLOOKUP($U$1,A:G,7,))/VLOOKUP($U$1,A:G,7,))*100)+100</f>
        <v>117.61960326720488</v>
      </c>
      <c r="N205" s="85">
        <f>VLOOKUP(A205,Database!$A:$AS,MATCH($N$1,Database!$A$1:$AS$1,0),FALSE)</f>
        <v>99.369150289000004</v>
      </c>
      <c r="O205" s="85">
        <f>(((Table134567891011121314151617343[[#This Row],[USA]]-VLOOKUP($U$1,A:N,14,))/VLOOKUP($U$1,A:N,14,))*100)+100</f>
        <v>114.3969866162258</v>
      </c>
      <c r="P205" s="85">
        <f>VLOOKUP(A205,Database!$A:$AS,MATCH($P$1,Database!$A$1:$AS$1,0),FALSE)</f>
        <v>115.644100161</v>
      </c>
      <c r="Q205" s="85">
        <f>(((Table134567891011121314151617343[[#This Row],[JPN]]-VLOOKUP($U$1,A:Q,16,))/VLOOKUP($U$1,A:Q,16,))*100)+100</f>
        <v>116.10430375695027</v>
      </c>
    </row>
    <row r="206" spans="1:17" s="87" customFormat="1" x14ac:dyDescent="0.2">
      <c r="A206" s="22">
        <v>39083</v>
      </c>
      <c r="B206" s="85">
        <f>VLOOKUP(A206,Database!$A:$AS,MATCH($B$1,Database!$A$1:$AS$1,0),FALSE)</f>
        <v>128.08932589</v>
      </c>
      <c r="C206" s="85">
        <f>VLOOKUP(A206,Database!$A:$AS,MATCH($C$1,Database!$A$1:$AS$1,0),FALSE)</f>
        <v>111</v>
      </c>
      <c r="D206" s="85">
        <f>VLOOKUP(A206,Database!$A:$AS,MATCH($D$1,Database!$A$1:$AS$1,0),FALSE)</f>
        <v>95.092075660000006</v>
      </c>
      <c r="E206" s="85">
        <f>VLOOKUP(A206,Database!$A:$AS,MATCH($E$1,Database!$A$1:$AS$1,0),FALSE)</f>
        <v>134.55311212800001</v>
      </c>
      <c r="F206" s="85">
        <f>VLOOKUP(A206,Database!$A:$AS,MATCH($F$1,Database!$A$1:$AS$1,0),FALSE)</f>
        <v>105.7</v>
      </c>
      <c r="G206" s="85">
        <f>VLOOKUP(A206,Database!$A:$AS,MATCH($G$1,Database!$A$1:$AS$1,0),FALSE)</f>
        <v>109.69707832899999</v>
      </c>
      <c r="H206" s="85">
        <f>(((Table134567891011121314151617343[[#This Row],[ITA]]-VLOOKUP($U$1,A:B,2,))/VLOOKUP($U$1,A:B,2,))*100)+100</f>
        <v>105.34539473728105</v>
      </c>
      <c r="I206" s="85">
        <f>(((Table134567891011121314151617343[[#This Row],[FRA]]-VLOOKUP($U$1,A:C,3,))/VLOOKUP($U$1,A:C,3,))*100)+100</f>
        <v>108.30324909747293</v>
      </c>
      <c r="J206" s="85">
        <f>(((Table134567891011121314151617343[[#This Row],[DEU]]-VLOOKUP($U$1,A:D,4,))/VLOOKUP($U$1,A:D,4,))*100)+100</f>
        <v>126.46276595614522</v>
      </c>
      <c r="K206" s="85">
        <f>(((Table134567891011121314151617343[[#This Row],[ESP]]-VLOOKUP($U$1,A:E,5,))/VLOOKUP($U$1,A:E,5,))*100)+100</f>
        <v>113.09826006566615</v>
      </c>
      <c r="L206" s="85">
        <f>(((Table134567891011121314151617343[[#This Row],[EA19]]-VLOOKUP($U$1,A:F,6,))/VLOOKUP($U$1,A:F,6,))*100)+100</f>
        <v>118.23266219239373</v>
      </c>
      <c r="M206" s="85">
        <f>(((Table134567891011121314151617343[[#This Row],[GBR]]-VLOOKUP($U$1,A:G,7,))/VLOOKUP($U$1,A:G,7,))*100)+100</f>
        <v>119.01983663867142</v>
      </c>
      <c r="N206" s="85">
        <f>VLOOKUP(A206,Database!$A:$AS,MATCH($N$1,Database!$A$1:$AS$1,0),FALSE)</f>
        <v>98.980009972999994</v>
      </c>
      <c r="O206" s="85">
        <f>(((Table134567891011121314151617343[[#This Row],[USA]]-VLOOKUP($U$1,A:N,14,))/VLOOKUP($U$1,A:N,14,))*100)+100</f>
        <v>113.9489956714324</v>
      </c>
      <c r="P206" s="85">
        <f>VLOOKUP(A206,Database!$A:$AS,MATCH($P$1,Database!$A$1:$AS$1,0),FALSE)</f>
        <v>114.448531457</v>
      </c>
      <c r="Q206" s="85">
        <f>(((Table134567891011121314151617343[[#This Row],[JPN]]-VLOOKUP($U$1,A:Q,16,))/VLOOKUP($U$1,A:Q,16,))*100)+100</f>
        <v>114.90397730900986</v>
      </c>
    </row>
    <row r="207" spans="1:17" s="87" customFormat="1" x14ac:dyDescent="0.2">
      <c r="A207" s="22">
        <v>39114</v>
      </c>
      <c r="B207" s="85">
        <f>VLOOKUP(A207,Database!$A:$AS,MATCH($B$1,Database!$A$1:$AS$1,0),FALSE)</f>
        <v>128.88925922799999</v>
      </c>
      <c r="C207" s="85">
        <f>VLOOKUP(A207,Database!$A:$AS,MATCH($C$1,Database!$A$1:$AS$1,0),FALSE)</f>
        <v>112.02</v>
      </c>
      <c r="D207" s="85">
        <f>VLOOKUP(A207,Database!$A:$AS,MATCH($D$1,Database!$A$1:$AS$1,0),FALSE)</f>
        <v>95.492042330000004</v>
      </c>
      <c r="E207" s="85">
        <f>VLOOKUP(A207,Database!$A:$AS,MATCH($E$1,Database!$A$1:$AS$1,0),FALSE)</f>
        <v>134.48111206799999</v>
      </c>
      <c r="F207" s="85">
        <f>VLOOKUP(A207,Database!$A:$AS,MATCH($F$1,Database!$A$1:$AS$1,0),FALSE)</f>
        <v>106.3</v>
      </c>
      <c r="G207" s="85">
        <f>VLOOKUP(A207,Database!$A:$AS,MATCH($G$1,Database!$A$1:$AS$1,0),FALSE)</f>
        <v>108.191432156</v>
      </c>
      <c r="H207" s="85">
        <f>(((Table134567891011121314151617343[[#This Row],[ITA]]-VLOOKUP($U$1,A:B,2,))/VLOOKUP($U$1,A:B,2,))*100)+100</f>
        <v>106.0032894733927</v>
      </c>
      <c r="I207" s="85">
        <f>(((Table134567891011121314151617343[[#This Row],[FRA]]-VLOOKUP($U$1,A:C,3,))/VLOOKUP($U$1,A:C,3,))*100)+100</f>
        <v>109.29846814323349</v>
      </c>
      <c r="J207" s="85">
        <f>(((Table134567891011121314151617343[[#This Row],[DEU]]-VLOOKUP($U$1,A:D,4,))/VLOOKUP($U$1,A:D,4,))*100)+100</f>
        <v>126.99468085049793</v>
      </c>
      <c r="K207" s="85">
        <f>(((Table134567891011121314151617343[[#This Row],[ESP]]-VLOOKUP($U$1,A:E,5,))/VLOOKUP($U$1,A:E,5,))*100)+100</f>
        <v>113.03774060697924</v>
      </c>
      <c r="L207" s="85">
        <f>(((Table134567891011121314151617343[[#This Row],[EA19]]-VLOOKUP($U$1,A:F,6,))/VLOOKUP($U$1,A:F,6,))*100)+100</f>
        <v>118.90380313199104</v>
      </c>
      <c r="M207" s="85">
        <f>(((Table134567891011121314151617343[[#This Row],[GBR]]-VLOOKUP($U$1,A:G,7,))/VLOOKUP($U$1,A:G,7,))*100)+100</f>
        <v>117.3862310379038</v>
      </c>
      <c r="N207" s="85">
        <f>VLOOKUP(A207,Database!$A:$AS,MATCH($N$1,Database!$A$1:$AS$1,0),FALSE)</f>
        <v>99.921241871999996</v>
      </c>
      <c r="O207" s="85">
        <f>(((Table134567891011121314151617343[[#This Row],[USA]]-VLOOKUP($U$1,A:N,14,))/VLOOKUP($U$1,A:N,14,))*100)+100</f>
        <v>115.03257234124908</v>
      </c>
      <c r="P207" s="85">
        <f>VLOOKUP(A207,Database!$A:$AS,MATCH($P$1,Database!$A$1:$AS$1,0),FALSE)</f>
        <v>115.100659841</v>
      </c>
      <c r="Q207" s="85">
        <f>(((Table134567891011121314151617343[[#This Row],[JPN]]-VLOOKUP($U$1,A:Q,16,))/VLOOKUP($U$1,A:Q,16,))*100)+100</f>
        <v>115.55870082606826</v>
      </c>
    </row>
    <row r="208" spans="1:17" s="87" customFormat="1" x14ac:dyDescent="0.2">
      <c r="A208" s="22">
        <v>39142</v>
      </c>
      <c r="B208" s="85">
        <f>VLOOKUP(A208,Database!$A:$AS,MATCH($B$1,Database!$A$1:$AS$1,0),FALSE)</f>
        <v>129.78918423499999</v>
      </c>
      <c r="C208" s="85">
        <f>VLOOKUP(A208,Database!$A:$AS,MATCH($C$1,Database!$A$1:$AS$1,0),FALSE)</f>
        <v>112.87</v>
      </c>
      <c r="D208" s="85">
        <f>VLOOKUP(A208,Database!$A:$AS,MATCH($D$1,Database!$A$1:$AS$1,0),FALSE)</f>
        <v>95.992000666999999</v>
      </c>
      <c r="E208" s="85">
        <f>VLOOKUP(A208,Database!$A:$AS,MATCH($E$1,Database!$A$1:$AS$1,0),FALSE)</f>
        <v>136.48111373399999</v>
      </c>
      <c r="F208" s="85">
        <f>VLOOKUP(A208,Database!$A:$AS,MATCH($F$1,Database!$A$1:$AS$1,0),FALSE)</f>
        <v>106.8</v>
      </c>
      <c r="G208" s="85">
        <f>VLOOKUP(A208,Database!$A:$AS,MATCH($G$1,Database!$A$1:$AS$1,0),FALSE)</f>
        <v>107.976339846</v>
      </c>
      <c r="H208" s="85">
        <f>(((Table134567891011121314151617343[[#This Row],[ITA]]-VLOOKUP($U$1,A:B,2,))/VLOOKUP($U$1,A:B,2,))*100)+100</f>
        <v>106.74342105295757</v>
      </c>
      <c r="I208" s="85">
        <f>(((Table134567891011121314151617343[[#This Row],[FRA]]-VLOOKUP($U$1,A:C,3,))/VLOOKUP($U$1,A:C,3,))*100)+100</f>
        <v>110.12781734803397</v>
      </c>
      <c r="J208" s="85">
        <f>(((Table134567891011121314151617343[[#This Row],[DEU]]-VLOOKUP($U$1,A:D,4,))/VLOOKUP($U$1,A:D,4,))*100)+100</f>
        <v>127.65957446777387</v>
      </c>
      <c r="K208" s="85">
        <f>(((Table134567891011121314151617343[[#This Row],[ESP]]-VLOOKUP($U$1,A:E,5,))/VLOOKUP($U$1,A:E,5,))*100)+100</f>
        <v>114.71883668105482</v>
      </c>
      <c r="L208" s="85">
        <f>(((Table134567891011121314151617343[[#This Row],[EA19]]-VLOOKUP($U$1,A:F,6,))/VLOOKUP($U$1,A:F,6,))*100)+100</f>
        <v>119.46308724832214</v>
      </c>
      <c r="M208" s="85">
        <f>(((Table134567891011121314151617343[[#This Row],[GBR]]-VLOOKUP($U$1,A:G,7,))/VLOOKUP($U$1,A:G,7,))*100)+100</f>
        <v>117.1528588096877</v>
      </c>
      <c r="N208" s="85">
        <f>VLOOKUP(A208,Database!$A:$AS,MATCH($N$1,Database!$A$1:$AS$1,0),FALSE)</f>
        <v>100.135437548</v>
      </c>
      <c r="O208" s="85">
        <f>(((Table134567891011121314151617343[[#This Row],[USA]]-VLOOKUP($U$1,A:N,14,))/VLOOKUP($U$1,A:N,14,))*100)+100</f>
        <v>115.27916134607966</v>
      </c>
      <c r="P208" s="85">
        <f>VLOOKUP(A208,Database!$A:$AS,MATCH($P$1,Database!$A$1:$AS$1,0),FALSE)</f>
        <v>115.100659841</v>
      </c>
      <c r="Q208" s="85">
        <f>(((Table134567891011121314151617343[[#This Row],[JPN]]-VLOOKUP($U$1,A:Q,16,))/VLOOKUP($U$1,A:Q,16,))*100)+100</f>
        <v>115.55870082606826</v>
      </c>
    </row>
    <row r="209" spans="1:17" s="87" customFormat="1" x14ac:dyDescent="0.2">
      <c r="A209" s="22">
        <v>39173</v>
      </c>
      <c r="B209" s="85">
        <f>VLOOKUP(A209,Database!$A:$AS,MATCH($B$1,Database!$A$1:$AS$1,0),FALSE)</f>
        <v>127.389384218</v>
      </c>
      <c r="C209" s="85">
        <f>VLOOKUP(A209,Database!$A:$AS,MATCH($C$1,Database!$A$1:$AS$1,0),FALSE)</f>
        <v>111.02</v>
      </c>
      <c r="D209" s="85">
        <f>VLOOKUP(A209,Database!$A:$AS,MATCH($D$1,Database!$A$1:$AS$1,0),FALSE)</f>
        <v>95.092075660000006</v>
      </c>
      <c r="E209" s="85">
        <f>VLOOKUP(A209,Database!$A:$AS,MATCH($E$1,Database!$A$1:$AS$1,0),FALSE)</f>
        <v>132.51111042599999</v>
      </c>
      <c r="F209" s="85">
        <f>VLOOKUP(A209,Database!$A:$AS,MATCH($F$1,Database!$A$1:$AS$1,0),FALSE)</f>
        <v>105.5</v>
      </c>
      <c r="G209" s="85">
        <f>VLOOKUP(A209,Database!$A:$AS,MATCH($G$1,Database!$A$1:$AS$1,0),FALSE)</f>
        <v>107.115970604</v>
      </c>
      <c r="H209" s="85">
        <f>(((Table134567891011121314151617343[[#This Row],[ITA]]-VLOOKUP($U$1,A:B,2,))/VLOOKUP($U$1,A:B,2,))*100)+100</f>
        <v>104.76973684215533</v>
      </c>
      <c r="I209" s="85">
        <f>(((Table134567891011121314151617343[[#This Row],[FRA]]-VLOOKUP($U$1,A:C,3,))/VLOOKUP($U$1,A:C,3,))*100)+100</f>
        <v>108.32276319640941</v>
      </c>
      <c r="J209" s="85">
        <f>(((Table134567891011121314151617343[[#This Row],[DEU]]-VLOOKUP($U$1,A:D,4,))/VLOOKUP($U$1,A:D,4,))*100)+100</f>
        <v>126.46276595614522</v>
      </c>
      <c r="K209" s="85">
        <f>(((Table134567891011121314151617343[[#This Row],[ESP]]-VLOOKUP($U$1,A:E,5,))/VLOOKUP($U$1,A:E,5,))*100)+100</f>
        <v>111.38186097318264</v>
      </c>
      <c r="L209" s="85">
        <f>(((Table134567891011121314151617343[[#This Row],[EA19]]-VLOOKUP($U$1,A:F,6,))/VLOOKUP($U$1,A:F,6,))*100)+100</f>
        <v>118.00894854586129</v>
      </c>
      <c r="M209" s="85">
        <f>(((Table134567891011121314151617343[[#This Row],[GBR]]-VLOOKUP($U$1,A:G,7,))/VLOOKUP($U$1,A:G,7,))*100)+100</f>
        <v>116.21936989465334</v>
      </c>
      <c r="N209" s="85">
        <f>VLOOKUP(A209,Database!$A:$AS,MATCH($N$1,Database!$A$1:$AS$1,0),FALSE)</f>
        <v>100.853057488</v>
      </c>
      <c r="O209" s="85">
        <f>(((Table134567891011121314151617343[[#This Row],[USA]]-VLOOKUP($U$1,A:N,14,))/VLOOKUP($U$1,A:N,14,))*100)+100</f>
        <v>116.10530868087081</v>
      </c>
      <c r="P209" s="85">
        <f>VLOOKUP(A209,Database!$A:$AS,MATCH($P$1,Database!$A$1:$AS$1,0),FALSE)</f>
        <v>114.77459564900001</v>
      </c>
      <c r="Q209" s="85">
        <f>(((Table134567891011121314151617343[[#This Row],[JPN]]-VLOOKUP($U$1,A:Q,16,))/VLOOKUP($U$1,A:Q,16,))*100)+100</f>
        <v>115.23133906753907</v>
      </c>
    </row>
    <row r="210" spans="1:17" s="87" customFormat="1" x14ac:dyDescent="0.2">
      <c r="A210" s="22">
        <v>39203</v>
      </c>
      <c r="B210" s="85">
        <f>VLOOKUP(A210,Database!$A:$AS,MATCH($B$1,Database!$A$1:$AS$1,0),FALSE)</f>
        <v>130.08915923699999</v>
      </c>
      <c r="C210" s="85">
        <f>VLOOKUP(A210,Database!$A:$AS,MATCH($C$1,Database!$A$1:$AS$1,0),FALSE)</f>
        <v>113.68</v>
      </c>
      <c r="D210" s="85">
        <f>VLOOKUP(A210,Database!$A:$AS,MATCH($D$1,Database!$A$1:$AS$1,0),FALSE)</f>
        <v>96.791934005000002</v>
      </c>
      <c r="E210" s="85">
        <f>VLOOKUP(A210,Database!$A:$AS,MATCH($E$1,Database!$A$1:$AS$1,0),FALSE)</f>
        <v>136.492113743</v>
      </c>
      <c r="F210" s="85">
        <f>VLOOKUP(A210,Database!$A:$AS,MATCH($F$1,Database!$A$1:$AS$1,0),FALSE)</f>
        <v>107.3</v>
      </c>
      <c r="G210" s="85">
        <f>VLOOKUP(A210,Database!$A:$AS,MATCH($G$1,Database!$A$1:$AS$1,0),FALSE)</f>
        <v>107.976339846</v>
      </c>
      <c r="H210" s="85">
        <f>(((Table134567891011121314151617343[[#This Row],[ITA]]-VLOOKUP($U$1,A:B,2,))/VLOOKUP($U$1,A:B,2,))*100)+100</f>
        <v>106.99013157920506</v>
      </c>
      <c r="I210" s="85">
        <f>(((Table134567891011121314151617343[[#This Row],[FRA]]-VLOOKUP($U$1,A:C,3,))/VLOOKUP($U$1,A:C,3,))*100)+100</f>
        <v>110.91813835496147</v>
      </c>
      <c r="J210" s="85">
        <f>(((Table134567891011121314151617343[[#This Row],[DEU]]-VLOOKUP($U$1,A:D,4,))/VLOOKUP($U$1,A:D,4,))*100)+100</f>
        <v>128.7234042538195</v>
      </c>
      <c r="K210" s="85">
        <f>(((Table134567891011121314151617343[[#This Row],[ESP]]-VLOOKUP($U$1,A:E,5,))/VLOOKUP($U$1,A:E,5,))*100)+100</f>
        <v>114.72808270932525</v>
      </c>
      <c r="L210" s="85">
        <f>(((Table134567891011121314151617343[[#This Row],[EA19]]-VLOOKUP($U$1,A:F,6,))/VLOOKUP($U$1,A:F,6,))*100)+100</f>
        <v>120.02237136465322</v>
      </c>
      <c r="M210" s="85">
        <f>(((Table134567891011121314151617343[[#This Row],[GBR]]-VLOOKUP($U$1,A:G,7,))/VLOOKUP($U$1,A:G,7,))*100)+100</f>
        <v>117.1528588096877</v>
      </c>
      <c r="N210" s="85">
        <f>VLOOKUP(A210,Database!$A:$AS,MATCH($N$1,Database!$A$1:$AS$1,0),FALSE)</f>
        <v>100.917583811</v>
      </c>
      <c r="O210" s="85">
        <f>(((Table134567891011121314151617343[[#This Row],[USA]]-VLOOKUP($U$1,A:N,14,))/VLOOKUP($U$1,A:N,14,))*100)+100</f>
        <v>116.17959347536846</v>
      </c>
      <c r="P210" s="85">
        <f>VLOOKUP(A210,Database!$A:$AS,MATCH($P$1,Database!$A$1:$AS$1,0),FALSE)</f>
        <v>116.07885241699999</v>
      </c>
      <c r="Q210" s="85">
        <f>(((Table134567891011121314151617343[[#This Row],[JPN]]-VLOOKUP($U$1,A:Q,16,))/VLOOKUP($U$1,A:Q,16,))*100)+100</f>
        <v>116.54078610165588</v>
      </c>
    </row>
    <row r="211" spans="1:17" s="87" customFormat="1" x14ac:dyDescent="0.2">
      <c r="A211" s="22">
        <v>39234</v>
      </c>
      <c r="B211" s="85">
        <f>VLOOKUP(A211,Database!$A:$AS,MATCH($B$1,Database!$A$1:$AS$1,0),FALSE)</f>
        <v>129.28922589800001</v>
      </c>
      <c r="C211" s="85">
        <f>VLOOKUP(A211,Database!$A:$AS,MATCH($C$1,Database!$A$1:$AS$1,0),FALSE)</f>
        <v>113.24</v>
      </c>
      <c r="D211" s="85">
        <f>VLOOKUP(A211,Database!$A:$AS,MATCH($D$1,Database!$A$1:$AS$1,0),FALSE)</f>
        <v>96.691942338000004</v>
      </c>
      <c r="E211" s="85">
        <f>VLOOKUP(A211,Database!$A:$AS,MATCH($E$1,Database!$A$1:$AS$1,0),FALSE)</f>
        <v>136.75711396400001</v>
      </c>
      <c r="F211" s="85">
        <f>VLOOKUP(A211,Database!$A:$AS,MATCH($F$1,Database!$A$1:$AS$1,0),FALSE)</f>
        <v>107.4</v>
      </c>
      <c r="G211" s="85">
        <f>VLOOKUP(A211,Database!$A:$AS,MATCH($G$1,Database!$A$1:$AS$1,0),FALSE)</f>
        <v>105.932962897</v>
      </c>
      <c r="H211" s="85">
        <f>(((Table134567891011121314151617343[[#This Row],[ITA]]-VLOOKUP($U$1,A:B,2,))/VLOOKUP($U$1,A:B,2,))*100)+100</f>
        <v>106.33223684227099</v>
      </c>
      <c r="I211" s="85">
        <f>(((Table134567891011121314151617343[[#This Row],[FRA]]-VLOOKUP($U$1,A:C,3,))/VLOOKUP($U$1,A:C,3,))*100)+100</f>
        <v>110.48882817835886</v>
      </c>
      <c r="J211" s="85">
        <f>(((Table134567891011121314151617343[[#This Row],[DEU]]-VLOOKUP($U$1,A:D,4,))/VLOOKUP($U$1,A:D,4,))*100)+100</f>
        <v>128.59042553089625</v>
      </c>
      <c r="K211" s="85">
        <f>(((Table134567891011121314151617343[[#This Row],[ESP]]-VLOOKUP($U$1,A:E,5,))/VLOOKUP($U$1,A:E,5,))*100)+100</f>
        <v>114.95082793935461</v>
      </c>
      <c r="L211" s="85">
        <f>(((Table134567891011121314151617343[[#This Row],[EA19]]-VLOOKUP($U$1,A:F,6,))/VLOOKUP($U$1,A:F,6,))*100)+100</f>
        <v>120.13422818791946</v>
      </c>
      <c r="M211" s="85">
        <f>(((Table134567891011121314151617343[[#This Row],[GBR]]-VLOOKUP($U$1,A:G,7,))/VLOOKUP($U$1,A:G,7,))*100)+100</f>
        <v>114.93582263729482</v>
      </c>
      <c r="N211" s="85">
        <f>VLOOKUP(A211,Database!$A:$AS,MATCH($N$1,Database!$A$1:$AS$1,0),FALSE)</f>
        <v>100.944940594</v>
      </c>
      <c r="O211" s="85">
        <f>(((Table134567891011121314151617343[[#This Row],[USA]]-VLOOKUP($U$1,A:N,14,))/VLOOKUP($U$1,A:N,14,))*100)+100</f>
        <v>116.21108749066005</v>
      </c>
      <c r="P211" s="85">
        <f>VLOOKUP(A211,Database!$A:$AS,MATCH($P$1,Database!$A$1:$AS$1,0),FALSE)</f>
        <v>116.07885241699999</v>
      </c>
      <c r="Q211" s="85">
        <f>(((Table134567891011121314151617343[[#This Row],[JPN]]-VLOOKUP($U$1,A:Q,16,))/VLOOKUP($U$1,A:Q,16,))*100)+100</f>
        <v>116.54078610165588</v>
      </c>
    </row>
    <row r="212" spans="1:17" s="87" customFormat="1" x14ac:dyDescent="0.2">
      <c r="A212" s="22">
        <v>39264</v>
      </c>
      <c r="B212" s="85">
        <f>VLOOKUP(A212,Database!$A:$AS,MATCH($B$1,Database!$A$1:$AS$1,0),FALSE)</f>
        <v>128.48929255900001</v>
      </c>
      <c r="C212" s="85">
        <f>VLOOKUP(A212,Database!$A:$AS,MATCH($C$1,Database!$A$1:$AS$1,0),FALSE)</f>
        <v>113.38</v>
      </c>
      <c r="D212" s="85">
        <f>VLOOKUP(A212,Database!$A:$AS,MATCH($D$1,Database!$A$1:$AS$1,0),FALSE)</f>
        <v>97.391884009999998</v>
      </c>
      <c r="E212" s="85">
        <f>VLOOKUP(A212,Database!$A:$AS,MATCH($E$1,Database!$A$1:$AS$1,0),FALSE)</f>
        <v>133.070110892</v>
      </c>
      <c r="F212" s="85">
        <f>VLOOKUP(A212,Database!$A:$AS,MATCH($F$1,Database!$A$1:$AS$1,0),FALSE)</f>
        <v>107.6</v>
      </c>
      <c r="G212" s="85">
        <f>VLOOKUP(A212,Database!$A:$AS,MATCH($G$1,Database!$A$1:$AS$1,0),FALSE)</f>
        <v>105.28768596499999</v>
      </c>
      <c r="H212" s="85">
        <f>(((Table134567891011121314151617343[[#This Row],[ITA]]-VLOOKUP($U$1,A:B,2,))/VLOOKUP($U$1,A:B,2,))*100)+100</f>
        <v>105.67434210533689</v>
      </c>
      <c r="I212" s="85">
        <f>(((Table134567891011121314151617343[[#This Row],[FRA]]-VLOOKUP($U$1,A:C,3,))/VLOOKUP($U$1,A:C,3,))*100)+100</f>
        <v>110.62542687091424</v>
      </c>
      <c r="J212" s="85">
        <f>(((Table134567891011121314151617343[[#This Row],[DEU]]-VLOOKUP($U$1,A:D,4,))/VLOOKUP($U$1,A:D,4,))*100)+100</f>
        <v>129.52127659534855</v>
      </c>
      <c r="K212" s="85">
        <f>(((Table134567891011121314151617343[[#This Row],[ESP]]-VLOOKUP($U$1,A:E,5,))/VLOOKUP($U$1,A:E,5,))*100)+100</f>
        <v>111.85172732618349</v>
      </c>
      <c r="L212" s="85">
        <f>(((Table134567891011121314151617343[[#This Row],[EA19]]-VLOOKUP($U$1,A:F,6,))/VLOOKUP($U$1,A:F,6,))*100)+100</f>
        <v>120.35794183445188</v>
      </c>
      <c r="M212" s="85">
        <f>(((Table134567891011121314151617343[[#This Row],[GBR]]-VLOOKUP($U$1,A:G,7,))/VLOOKUP($U$1,A:G,7,))*100)+100</f>
        <v>114.23570595047656</v>
      </c>
      <c r="N212" s="85">
        <f>VLOOKUP(A212,Database!$A:$AS,MATCH($N$1,Database!$A$1:$AS$1,0),FALSE)</f>
        <v>100.82451128</v>
      </c>
      <c r="O212" s="85">
        <f>(((Table134567891011121314151617343[[#This Row],[USA]]-VLOOKUP($U$1,A:N,14,))/VLOOKUP($U$1,A:N,14,))*100)+100</f>
        <v>116.07244536096695</v>
      </c>
      <c r="P212" s="85">
        <f>VLOOKUP(A212,Database!$A:$AS,MATCH($P$1,Database!$A$1:$AS$1,0),FALSE)</f>
        <v>116.187540482</v>
      </c>
      <c r="Q212" s="85">
        <f>(((Table134567891011121314151617343[[#This Row],[JPN]]-VLOOKUP($U$1,A:Q,16,))/VLOOKUP($U$1,A:Q,16,))*100)+100</f>
        <v>116.64990668883627</v>
      </c>
    </row>
    <row r="213" spans="1:17" s="87" customFormat="1" x14ac:dyDescent="0.2">
      <c r="A213" s="22">
        <v>39295</v>
      </c>
      <c r="B213" s="85">
        <f>VLOOKUP(A213,Database!$A:$AS,MATCH($B$1,Database!$A$1:$AS$1,0),FALSE)</f>
        <v>133.288892592</v>
      </c>
      <c r="C213" s="85">
        <f>VLOOKUP(A213,Database!$A:$AS,MATCH($C$1,Database!$A$1:$AS$1,0),FALSE)</f>
        <v>114.05</v>
      </c>
      <c r="D213" s="85">
        <f>VLOOKUP(A213,Database!$A:$AS,MATCH($D$1,Database!$A$1:$AS$1,0),FALSE)</f>
        <v>97.691859011999995</v>
      </c>
      <c r="E213" s="85">
        <f>VLOOKUP(A213,Database!$A:$AS,MATCH($E$1,Database!$A$1:$AS$1,0),FALSE)</f>
        <v>133.44411120300001</v>
      </c>
      <c r="F213" s="85">
        <f>VLOOKUP(A213,Database!$A:$AS,MATCH($F$1,Database!$A$1:$AS$1,0),FALSE)</f>
        <v>108.3</v>
      </c>
      <c r="G213" s="85">
        <f>VLOOKUP(A213,Database!$A:$AS,MATCH($G$1,Database!$A$1:$AS$1,0),FALSE)</f>
        <v>104.749955189</v>
      </c>
      <c r="H213" s="85">
        <f>(((Table134567891011121314151617343[[#This Row],[ITA]]-VLOOKUP($U$1,A:B,2,))/VLOOKUP($U$1,A:B,2,))*100)+100</f>
        <v>109.62171052611897</v>
      </c>
      <c r="I213" s="85">
        <f>(((Table134567891011121314151617343[[#This Row],[FRA]]-VLOOKUP($U$1,A:C,3,))/VLOOKUP($U$1,A:C,3,))*100)+100</f>
        <v>111.27914918528637</v>
      </c>
      <c r="J213" s="85">
        <f>(((Table134567891011121314151617343[[#This Row],[DEU]]-VLOOKUP($U$1,A:D,4,))/VLOOKUP($U$1,A:D,4,))*100)+100</f>
        <v>129.92021276544813</v>
      </c>
      <c r="K213" s="85">
        <f>(((Table134567891011121314151617343[[#This Row],[ESP]]-VLOOKUP($U$1,A:E,5,))/VLOOKUP($U$1,A:E,5,))*100)+100</f>
        <v>112.16609229158006</v>
      </c>
      <c r="L213" s="85">
        <f>(((Table134567891011121314151617343[[#This Row],[EA19]]-VLOOKUP($U$1,A:F,6,))/VLOOKUP($U$1,A:F,6,))*100)+100</f>
        <v>121.14093959731542</v>
      </c>
      <c r="M213" s="85">
        <f>(((Table134567891011121314151617343[[#This Row],[GBR]]-VLOOKUP($U$1,A:G,7,))/VLOOKUP($U$1,A:G,7,))*100)+100</f>
        <v>113.65227537885134</v>
      </c>
      <c r="N213" s="85">
        <f>VLOOKUP(A213,Database!$A:$AS,MATCH($N$1,Database!$A$1:$AS$1,0),FALSE)</f>
        <v>101.065369907</v>
      </c>
      <c r="O213" s="85">
        <f>(((Table134567891011121314151617343[[#This Row],[USA]]-VLOOKUP($U$1,A:N,14,))/VLOOKUP($U$1,A:N,14,))*100)+100</f>
        <v>116.34972961920191</v>
      </c>
      <c r="P213" s="85">
        <f>VLOOKUP(A213,Database!$A:$AS,MATCH($P$1,Database!$A$1:$AS$1,0),FALSE)</f>
        <v>119.122118211</v>
      </c>
      <c r="Q213" s="85">
        <f>(((Table134567891011121314151617343[[#This Row],[JPN]]-VLOOKUP($U$1,A:Q,16,))/VLOOKUP($U$1,A:Q,16,))*100)+100</f>
        <v>119.5961625166031</v>
      </c>
    </row>
    <row r="214" spans="1:17" s="87" customFormat="1" x14ac:dyDescent="0.2">
      <c r="A214" s="22">
        <v>39326</v>
      </c>
      <c r="B214" s="85">
        <f>VLOOKUP(A214,Database!$A:$AS,MATCH($B$1,Database!$A$1:$AS$1,0),FALSE)</f>
        <v>129.78918423499999</v>
      </c>
      <c r="C214" s="85">
        <f>VLOOKUP(A214,Database!$A:$AS,MATCH($C$1,Database!$A$1:$AS$1,0),FALSE)</f>
        <v>111.44</v>
      </c>
      <c r="D214" s="85">
        <f>VLOOKUP(A214,Database!$A:$AS,MATCH($D$1,Database!$A$1:$AS$1,0),FALSE)</f>
        <v>98.691775684999996</v>
      </c>
      <c r="E214" s="85">
        <f>VLOOKUP(A214,Database!$A:$AS,MATCH($E$1,Database!$A$1:$AS$1,0),FALSE)</f>
        <v>134.41911201600001</v>
      </c>
      <c r="F214" s="85">
        <f>VLOOKUP(A214,Database!$A:$AS,MATCH($F$1,Database!$A$1:$AS$1,0),FALSE)</f>
        <v>107.8</v>
      </c>
      <c r="G214" s="85">
        <f>VLOOKUP(A214,Database!$A:$AS,MATCH($G$1,Database!$A$1:$AS$1,0),FALSE)</f>
        <v>103.566947482</v>
      </c>
      <c r="H214" s="85">
        <f>(((Table134567891011121314151617343[[#This Row],[ITA]]-VLOOKUP($U$1,A:B,2,))/VLOOKUP($U$1,A:B,2,))*100)+100</f>
        <v>106.74342105295757</v>
      </c>
      <c r="I214" s="85">
        <f>(((Table134567891011121314151617343[[#This Row],[FRA]]-VLOOKUP($U$1,A:C,3,))/VLOOKUP($U$1,A:C,3,))*100)+100</f>
        <v>108.73255927407553</v>
      </c>
      <c r="J214" s="85">
        <f>(((Table134567891011121314151617343[[#This Row],[DEU]]-VLOOKUP($U$1,A:D,4,))/VLOOKUP($U$1,A:D,4,))*100)+100</f>
        <v>131.24999999867012</v>
      </c>
      <c r="K214" s="85">
        <f>(((Table134567891011121314151617343[[#This Row],[ESP]]-VLOOKUP($U$1,A:E,5,))/VLOOKUP($U$1,A:E,5,))*100)+100</f>
        <v>112.98562662838536</v>
      </c>
      <c r="L214" s="85">
        <f>(((Table134567891011121314151617343[[#This Row],[EA19]]-VLOOKUP($U$1,A:F,6,))/VLOOKUP($U$1,A:F,6,))*100)+100</f>
        <v>120.58165548098432</v>
      </c>
      <c r="M214" s="85">
        <f>(((Table134567891011121314151617343[[#This Row],[GBR]]-VLOOKUP($U$1,A:G,7,))/VLOOKUP($U$1,A:G,7,))*100)+100</f>
        <v>112.36872812149284</v>
      </c>
      <c r="N214" s="85">
        <f>VLOOKUP(A214,Database!$A:$AS,MATCH($N$1,Database!$A$1:$AS$1,0),FALSE)</f>
        <v>101.301669069</v>
      </c>
      <c r="O214" s="85">
        <f>(((Table134567891011121314151617343[[#This Row],[USA]]-VLOOKUP($U$1,A:N,14,))/VLOOKUP($U$1,A:N,14,))*100)+100</f>
        <v>116.62176487354513</v>
      </c>
      <c r="P214" s="85">
        <f>VLOOKUP(A214,Database!$A:$AS,MATCH($P$1,Database!$A$1:$AS$1,0),FALSE)</f>
        <v>117.383109186</v>
      </c>
      <c r="Q214" s="85">
        <f>(((Table134567891011121314151617343[[#This Row],[JPN]]-VLOOKUP($U$1,A:Q,16,))/VLOOKUP($U$1,A:Q,16,))*100)+100</f>
        <v>117.85023313677669</v>
      </c>
    </row>
    <row r="215" spans="1:17" s="87" customFormat="1" x14ac:dyDescent="0.2">
      <c r="A215" s="22">
        <v>39356</v>
      </c>
      <c r="B215" s="85">
        <f>VLOOKUP(A215,Database!$A:$AS,MATCH($B$1,Database!$A$1:$AS$1,0),FALSE)</f>
        <v>128.48929255900001</v>
      </c>
      <c r="C215" s="85">
        <f>VLOOKUP(A215,Database!$A:$AS,MATCH($C$1,Database!$A$1:$AS$1,0),FALSE)</f>
        <v>113.98</v>
      </c>
      <c r="D215" s="85">
        <f>VLOOKUP(A215,Database!$A:$AS,MATCH($D$1,Database!$A$1:$AS$1,0),FALSE)</f>
        <v>98.791767352999997</v>
      </c>
      <c r="E215" s="85">
        <f>VLOOKUP(A215,Database!$A:$AS,MATCH($E$1,Database!$A$1:$AS$1,0),FALSE)</f>
        <v>134.15111179300001</v>
      </c>
      <c r="F215" s="85">
        <f>VLOOKUP(A215,Database!$A:$AS,MATCH($F$1,Database!$A$1:$AS$1,0),FALSE)</f>
        <v>108.7</v>
      </c>
      <c r="G215" s="85">
        <f>VLOOKUP(A215,Database!$A:$AS,MATCH($G$1,Database!$A$1:$AS$1,0),FALSE)</f>
        <v>104.642409034</v>
      </c>
      <c r="H215" s="85">
        <f>(((Table134567891011121314151617343[[#This Row],[ITA]]-VLOOKUP($U$1,A:B,2,))/VLOOKUP($U$1,A:B,2,))*100)+100</f>
        <v>105.67434210533689</v>
      </c>
      <c r="I215" s="85">
        <f>(((Table134567891011121314151617343[[#This Row],[FRA]]-VLOOKUP($U$1,A:C,3,))/VLOOKUP($U$1,A:C,3,))*100)+100</f>
        <v>111.21084983900869</v>
      </c>
      <c r="J215" s="85">
        <f>(((Table134567891011121314151617343[[#This Row],[DEU]]-VLOOKUP($U$1,A:D,4,))/VLOOKUP($U$1,A:D,4,))*100)+100</f>
        <v>131.38297872292324</v>
      </c>
      <c r="K215" s="85">
        <f>(((Table134567891011121314151617343[[#This Row],[ESP]]-VLOOKUP($U$1,A:E,5,))/VLOOKUP($U$1,A:E,5,))*100)+100</f>
        <v>112.76035975466432</v>
      </c>
      <c r="L215" s="85">
        <f>(((Table134567891011121314151617343[[#This Row],[EA19]]-VLOOKUP($U$1,A:F,6,))/VLOOKUP($U$1,A:F,6,))*100)+100</f>
        <v>121.58836689038031</v>
      </c>
      <c r="M215" s="85">
        <f>(((Table134567891011121314151617343[[#This Row],[GBR]]-VLOOKUP($U$1,A:G,7,))/VLOOKUP($U$1,A:G,7,))*100)+100</f>
        <v>113.53558926474329</v>
      </c>
      <c r="N215" s="85">
        <f>VLOOKUP(A215,Database!$A:$AS,MATCH($N$1,Database!$A$1:$AS$1,0),FALSE)</f>
        <v>100.989444924</v>
      </c>
      <c r="O215" s="85">
        <f>(((Table134567891011121314151617343[[#This Row],[USA]]-VLOOKUP($U$1,A:N,14,))/VLOOKUP($U$1,A:N,14,))*100)+100</f>
        <v>116.26232231785306</v>
      </c>
      <c r="P215" s="85">
        <f>VLOOKUP(A215,Database!$A:$AS,MATCH($P$1,Database!$A$1:$AS$1,0),FALSE)</f>
        <v>118.904742083</v>
      </c>
      <c r="Q215" s="85">
        <f>(((Table134567891011121314151617343[[#This Row],[JPN]]-VLOOKUP($U$1,A:Q,16,))/VLOOKUP($U$1,A:Q,16,))*100)+100</f>
        <v>119.3779213442503</v>
      </c>
    </row>
    <row r="216" spans="1:17" s="87" customFormat="1" x14ac:dyDescent="0.2">
      <c r="A216" s="22">
        <v>39387</v>
      </c>
      <c r="B216" s="85">
        <f>VLOOKUP(A216,Database!$A:$AS,MATCH($B$1,Database!$A$1:$AS$1,0),FALSE)</f>
        <v>127.08940921600001</v>
      </c>
      <c r="C216" s="85">
        <f>VLOOKUP(A216,Database!$A:$AS,MATCH($C$1,Database!$A$1:$AS$1,0),FALSE)</f>
        <v>111.98</v>
      </c>
      <c r="D216" s="85">
        <f>VLOOKUP(A216,Database!$A:$AS,MATCH($D$1,Database!$A$1:$AS$1,0),FALSE)</f>
        <v>98.591784017999998</v>
      </c>
      <c r="E216" s="85">
        <f>VLOOKUP(A216,Database!$A:$AS,MATCH($E$1,Database!$A$1:$AS$1,0),FALSE)</f>
        <v>132.71211059300001</v>
      </c>
      <c r="F216" s="85">
        <f>VLOOKUP(A216,Database!$A:$AS,MATCH($F$1,Database!$A$1:$AS$1,0),FALSE)</f>
        <v>108</v>
      </c>
      <c r="G216" s="85">
        <f>VLOOKUP(A216,Database!$A:$AS,MATCH($G$1,Database!$A$1:$AS$1,0),FALSE)</f>
        <v>104.642409034</v>
      </c>
      <c r="H216" s="85">
        <f>(((Table134567891011121314151617343[[#This Row],[ITA]]-VLOOKUP($U$1,A:B,2,))/VLOOKUP($U$1,A:B,2,))*100)+100</f>
        <v>104.52302631590784</v>
      </c>
      <c r="I216" s="85">
        <f>(((Table134567891011121314151617343[[#This Row],[FRA]]-VLOOKUP($U$1,A:C,3,))/VLOOKUP($U$1,A:C,3,))*100)+100</f>
        <v>109.25943994536053</v>
      </c>
      <c r="J216" s="85">
        <f>(((Table134567891011121314151617343[[#This Row],[DEU]]-VLOOKUP($U$1,A:D,4,))/VLOOKUP($U$1,A:D,4,))*100)+100</f>
        <v>131.11702127574688</v>
      </c>
      <c r="K216" s="85">
        <f>(((Table134567891011121314151617343[[#This Row],[ESP]]-VLOOKUP($U$1,A:E,5,))/VLOOKUP($U$1,A:E,5,))*100)+100</f>
        <v>111.55081112826329</v>
      </c>
      <c r="L216" s="85">
        <f>(((Table134567891011121314151617343[[#This Row],[EA19]]-VLOOKUP($U$1,A:F,6,))/VLOOKUP($U$1,A:F,6,))*100)+100</f>
        <v>120.80536912751677</v>
      </c>
      <c r="M216" s="85">
        <f>(((Table134567891011121314151617343[[#This Row],[GBR]]-VLOOKUP($U$1,A:G,7,))/VLOOKUP($U$1,A:G,7,))*100)+100</f>
        <v>113.53558926474329</v>
      </c>
      <c r="N216" s="85">
        <f>VLOOKUP(A216,Database!$A:$AS,MATCH($N$1,Database!$A$1:$AS$1,0),FALSE)</f>
        <v>101.568695053</v>
      </c>
      <c r="O216" s="85">
        <f>(((Table134567891011121314151617343[[#This Row],[USA]]-VLOOKUP($U$1,A:N,14,))/VLOOKUP($U$1,A:N,14,))*100)+100</f>
        <v>116.92917384130818</v>
      </c>
      <c r="P216" s="85">
        <f>VLOOKUP(A216,Database!$A:$AS,MATCH($P$1,Database!$A$1:$AS$1,0),FALSE)</f>
        <v>117.709173378</v>
      </c>
      <c r="Q216" s="85">
        <f>(((Table134567891011121314151617343[[#This Row],[JPN]]-VLOOKUP($U$1,A:Q,16,))/VLOOKUP($U$1,A:Q,16,))*100)+100</f>
        <v>118.1775948953059</v>
      </c>
    </row>
    <row r="217" spans="1:17" s="87" customFormat="1" x14ac:dyDescent="0.2">
      <c r="A217" s="22">
        <v>39417</v>
      </c>
      <c r="B217" s="85">
        <f>VLOOKUP(A217,Database!$A:$AS,MATCH($B$1,Database!$A$1:$AS$1,0),FALSE)</f>
        <v>127.989334222</v>
      </c>
      <c r="C217" s="85">
        <f>VLOOKUP(A217,Database!$A:$AS,MATCH($C$1,Database!$A$1:$AS$1,0),FALSE)</f>
        <v>112.16</v>
      </c>
      <c r="D217" s="85">
        <f>VLOOKUP(A217,Database!$A:$AS,MATCH($D$1,Database!$A$1:$AS$1,0),FALSE)</f>
        <v>99.591700692000003</v>
      </c>
      <c r="E217" s="85">
        <f>VLOOKUP(A217,Database!$A:$AS,MATCH($E$1,Database!$A$1:$AS$1,0),FALSE)</f>
        <v>133.78411148699999</v>
      </c>
      <c r="F217" s="85">
        <f>VLOOKUP(A217,Database!$A:$AS,MATCH($F$1,Database!$A$1:$AS$1,0),FALSE)</f>
        <v>108.6</v>
      </c>
      <c r="G217" s="85">
        <f>VLOOKUP(A217,Database!$A:$AS,MATCH($G$1,Database!$A$1:$AS$1,0),FALSE)</f>
        <v>104.10467825800001</v>
      </c>
      <c r="H217" s="85">
        <f>(((Table134567891011121314151617343[[#This Row],[ITA]]-VLOOKUP($U$1,A:B,2,))/VLOOKUP($U$1,A:B,2,))*100)+100</f>
        <v>105.26315789465028</v>
      </c>
      <c r="I217" s="85">
        <f>(((Table134567891011121314151617343[[#This Row],[FRA]]-VLOOKUP($U$1,A:C,3,))/VLOOKUP($U$1,A:C,3,))*100)+100</f>
        <v>109.43506683578886</v>
      </c>
      <c r="J217" s="85">
        <f>(((Table134567891011121314151617343[[#This Row],[DEU]]-VLOOKUP($U$1,A:D,4,))/VLOOKUP($U$1,A:D,4,))*100)+100</f>
        <v>132.44680851029875</v>
      </c>
      <c r="K217" s="85">
        <f>(((Table134567891011121314151617343[[#This Row],[ESP]]-VLOOKUP($U$1,A:E,5,))/VLOOKUP($U$1,A:E,5,))*100)+100</f>
        <v>112.45187862482852</v>
      </c>
      <c r="L217" s="85">
        <f>(((Table134567891011121314151617343[[#This Row],[EA19]]-VLOOKUP($U$1,A:F,6,))/VLOOKUP($U$1,A:F,6,))*100)+100</f>
        <v>121.47651006711408</v>
      </c>
      <c r="M217" s="85">
        <f>(((Table134567891011121314151617343[[#This Row],[GBR]]-VLOOKUP($U$1,A:G,7,))/VLOOKUP($U$1,A:G,7,))*100)+100</f>
        <v>112.95215869311807</v>
      </c>
      <c r="N217" s="85">
        <f>VLOOKUP(A217,Database!$A:$AS,MATCH($N$1,Database!$A$1:$AS$1,0),FALSE)</f>
        <v>101.55917965</v>
      </c>
      <c r="O217" s="85">
        <f>(((Table134567891011121314151617343[[#This Row],[USA]]-VLOOKUP($U$1,A:N,14,))/VLOOKUP($U$1,A:N,14,))*100)+100</f>
        <v>116.9182194009565</v>
      </c>
      <c r="P217" s="85">
        <f>VLOOKUP(A217,Database!$A:$AS,MATCH($P$1,Database!$A$1:$AS$1,0),FALSE)</f>
        <v>118.361301763</v>
      </c>
      <c r="Q217" s="85">
        <f>(((Table134567891011121314151617343[[#This Row],[JPN]]-VLOOKUP($U$1,A:Q,16,))/VLOOKUP($U$1,A:Q,16,))*100)+100</f>
        <v>118.83231841336828</v>
      </c>
    </row>
    <row r="218" spans="1:17" s="87" customFormat="1" x14ac:dyDescent="0.2">
      <c r="A218" s="22">
        <v>39448</v>
      </c>
      <c r="B218" s="85">
        <f>VLOOKUP(A218,Database!$A:$AS,MATCH($B$1,Database!$A$1:$AS$1,0),FALSE)</f>
        <v>130.68910924100001</v>
      </c>
      <c r="C218" s="85">
        <f>VLOOKUP(A218,Database!$A:$AS,MATCH($C$1,Database!$A$1:$AS$1,0),FALSE)</f>
        <v>113.18</v>
      </c>
      <c r="D218" s="85">
        <f>VLOOKUP(A218,Database!$A:$AS,MATCH($D$1,Database!$A$1:$AS$1,0),FALSE)</f>
        <v>101.091575702</v>
      </c>
      <c r="E218" s="85">
        <f>VLOOKUP(A218,Database!$A:$AS,MATCH($E$1,Database!$A$1:$AS$1,0),FALSE)</f>
        <v>134.77911231600001</v>
      </c>
      <c r="F218" s="85">
        <f>VLOOKUP(A218,Database!$A:$AS,MATCH($F$1,Database!$A$1:$AS$1,0),FALSE)</f>
        <v>109.5</v>
      </c>
      <c r="G218" s="85">
        <f>VLOOKUP(A218,Database!$A:$AS,MATCH($G$1,Database!$A$1:$AS$1,0),FALSE)</f>
        <v>104.857501344</v>
      </c>
      <c r="H218" s="85">
        <f>(((Table134567891011121314151617343[[#This Row],[ITA]]-VLOOKUP($U$1,A:B,2,))/VLOOKUP($U$1,A:B,2,))*100)+100</f>
        <v>107.48355263170002</v>
      </c>
      <c r="I218" s="85">
        <f>(((Table134567891011121314151617343[[#This Row],[FRA]]-VLOOKUP($U$1,A:C,3,))/VLOOKUP($U$1,A:C,3,))*100)+100</f>
        <v>110.43028588154944</v>
      </c>
      <c r="J218" s="85">
        <f>(((Table134567891011121314151617343[[#This Row],[DEU]]-VLOOKUP($U$1,A:D,4,))/VLOOKUP($U$1,A:D,4,))*100)+100</f>
        <v>134.44148936079668</v>
      </c>
      <c r="K218" s="85">
        <f>(((Table134567891011121314151617343[[#This Row],[ESP]]-VLOOKUP($U$1,A:E,5,))/VLOOKUP($U$1,A:E,5,))*100)+100</f>
        <v>113.28822392181984</v>
      </c>
      <c r="L218" s="85">
        <f>(((Table134567891011121314151617343[[#This Row],[EA19]]-VLOOKUP($U$1,A:F,6,))/VLOOKUP($U$1,A:F,6,))*100)+100</f>
        <v>122.48322147651007</v>
      </c>
      <c r="M218" s="85">
        <f>(((Table134567891011121314151617343[[#This Row],[GBR]]-VLOOKUP($U$1,A:G,7,))/VLOOKUP($U$1,A:G,7,))*100)+100</f>
        <v>113.76896149295939</v>
      </c>
      <c r="N218" s="85">
        <f>VLOOKUP(A218,Database!$A:$AS,MATCH($N$1,Database!$A$1:$AS$1,0),FALSE)</f>
        <v>101.41317769299999</v>
      </c>
      <c r="O218" s="85">
        <f>(((Table134567891011121314151617343[[#This Row],[USA]]-VLOOKUP($U$1,A:N,14,))/VLOOKUP($U$1,A:N,14,))*100)+100</f>
        <v>116.75013721576826</v>
      </c>
      <c r="P218" s="85">
        <f>VLOOKUP(A218,Database!$A:$AS,MATCH($P$1,Database!$A$1:$AS$1,0),FALSE)</f>
        <v>119.16530175600001</v>
      </c>
      <c r="Q218" s="85">
        <f>(((Table134567891011121314151617343[[#This Row],[JPN]]-VLOOKUP($U$1,A:Q,16,))/VLOOKUP($U$1,A:Q,16,))*100)+100</f>
        <v>119.63951790973601</v>
      </c>
    </row>
    <row r="219" spans="1:17" s="87" customFormat="1" x14ac:dyDescent="0.2">
      <c r="A219" s="22">
        <v>39479</v>
      </c>
      <c r="B219" s="85">
        <f>VLOOKUP(A219,Database!$A:$AS,MATCH($B$1,Database!$A$1:$AS$1,0),FALSE)</f>
        <v>129.68919256699999</v>
      </c>
      <c r="C219" s="85">
        <f>VLOOKUP(A219,Database!$A:$AS,MATCH($C$1,Database!$A$1:$AS$1,0),FALSE)</f>
        <v>114.18</v>
      </c>
      <c r="D219" s="85">
        <f>VLOOKUP(A219,Database!$A:$AS,MATCH($D$1,Database!$A$1:$AS$1,0),FALSE)</f>
        <v>100.7916007</v>
      </c>
      <c r="E219" s="85">
        <f>VLOOKUP(A219,Database!$A:$AS,MATCH($E$1,Database!$A$1:$AS$1,0),FALSE)</f>
        <v>133.49811124799999</v>
      </c>
      <c r="F219" s="85">
        <f>VLOOKUP(A219,Database!$A:$AS,MATCH($F$1,Database!$A$1:$AS$1,0),FALSE)</f>
        <v>109.3</v>
      </c>
      <c r="G219" s="85">
        <f>VLOOKUP(A219,Database!$A:$AS,MATCH($G$1,Database!$A$1:$AS$1,0),FALSE)</f>
        <v>105.717870586</v>
      </c>
      <c r="H219" s="85">
        <f>(((Table134567891011121314151617343[[#This Row],[ITA]]-VLOOKUP($U$1,A:B,2,))/VLOOKUP($U$1,A:B,2,))*100)+100</f>
        <v>106.66118421032679</v>
      </c>
      <c r="I219" s="85">
        <f>(((Table134567891011121314151617343[[#This Row],[FRA]]-VLOOKUP($U$1,A:C,3,))/VLOOKUP($U$1,A:C,3,))*100)+100</f>
        <v>111.40599082837352</v>
      </c>
      <c r="J219" s="85">
        <f>(((Table134567891011121314151617343[[#This Row],[DEU]]-VLOOKUP($U$1,A:D,4,))/VLOOKUP($U$1,A:D,4,))*100)+100</f>
        <v>134.04255319069711</v>
      </c>
      <c r="K219" s="85">
        <f>(((Table134567891011121314151617343[[#This Row],[ESP]]-VLOOKUP($U$1,A:E,5,))/VLOOKUP($U$1,A:E,5,))*100)+100</f>
        <v>112.21148188559521</v>
      </c>
      <c r="L219" s="85">
        <f>(((Table134567891011121314151617343[[#This Row],[EA19]]-VLOOKUP($U$1,A:F,6,))/VLOOKUP($U$1,A:F,6,))*100)+100</f>
        <v>122.25950782997762</v>
      </c>
      <c r="M219" s="85">
        <f>(((Table134567891011121314151617343[[#This Row],[GBR]]-VLOOKUP($U$1,A:G,7,))/VLOOKUP($U$1,A:G,7,))*100)+100</f>
        <v>114.70245040799375</v>
      </c>
      <c r="N219" s="85">
        <f>VLOOKUP(A219,Database!$A:$AS,MATCH($N$1,Database!$A$1:$AS$1,0),FALSE)</f>
        <v>101.040094619</v>
      </c>
      <c r="O219" s="85">
        <f>(((Table134567891011121314151617343[[#This Row],[USA]]-VLOOKUP($U$1,A:N,14,))/VLOOKUP($U$1,A:N,14,))*100)+100</f>
        <v>116.32063188842079</v>
      </c>
      <c r="P219" s="85">
        <f>VLOOKUP(A219,Database!$A:$AS,MATCH($P$1,Database!$A$1:$AS$1,0),FALSE)</f>
        <v>119.473222433</v>
      </c>
      <c r="Q219" s="85">
        <f>(((Table134567891011121314151617343[[#This Row],[JPN]]-VLOOKUP($U$1,A:Q,16,))/VLOOKUP($U$1,A:Q,16,))*100)+100</f>
        <v>119.94866395147685</v>
      </c>
    </row>
    <row r="220" spans="1:17" s="87" customFormat="1" x14ac:dyDescent="0.2">
      <c r="A220" s="22">
        <v>39508</v>
      </c>
      <c r="B220" s="85">
        <f>VLOOKUP(A220,Database!$A:$AS,MATCH($B$1,Database!$A$1:$AS$1,0),FALSE)</f>
        <v>130.38913423899999</v>
      </c>
      <c r="C220" s="85">
        <f>VLOOKUP(A220,Database!$A:$AS,MATCH($C$1,Database!$A$1:$AS$1,0),FALSE)</f>
        <v>112.86</v>
      </c>
      <c r="D220" s="85">
        <f>VLOOKUP(A220,Database!$A:$AS,MATCH($D$1,Database!$A$1:$AS$1,0),FALSE)</f>
        <v>100.091659028</v>
      </c>
      <c r="E220" s="85">
        <f>VLOOKUP(A220,Database!$A:$AS,MATCH($E$1,Database!$A$1:$AS$1,0),FALSE)</f>
        <v>130.79310899399999</v>
      </c>
      <c r="F220" s="85">
        <f>VLOOKUP(A220,Database!$A:$AS,MATCH($F$1,Database!$A$1:$AS$1,0),FALSE)</f>
        <v>108.8</v>
      </c>
      <c r="G220" s="85">
        <f>VLOOKUP(A220,Database!$A:$AS,MATCH($G$1,Database!$A$1:$AS$1,0),FALSE)</f>
        <v>104.10467825800001</v>
      </c>
      <c r="H220" s="85">
        <f>(((Table134567891011121314151617343[[#This Row],[ITA]]-VLOOKUP($U$1,A:B,2,))/VLOOKUP($U$1,A:B,2,))*100)+100</f>
        <v>107.23684210545252</v>
      </c>
      <c r="I220" s="85">
        <f>(((Table134567891011121314151617343[[#This Row],[FRA]]-VLOOKUP($U$1,A:C,3,))/VLOOKUP($U$1,A:C,3,))*100)+100</f>
        <v>110.11806029856572</v>
      </c>
      <c r="J220" s="85">
        <f>(((Table134567891011121314151617343[[#This Row],[DEU]]-VLOOKUP($U$1,A:D,4,))/VLOOKUP($U$1,A:D,4,))*100)+100</f>
        <v>133.11170212624478</v>
      </c>
      <c r="K220" s="85">
        <f>(((Table134567891011121314151617343[[#This Row],[ESP]]-VLOOKUP($U$1,A:E,5,))/VLOOKUP($U$1,A:E,5,))*100)+100</f>
        <v>109.93779944479017</v>
      </c>
      <c r="L220" s="85">
        <f>(((Table134567891011121314151617343[[#This Row],[EA19]]-VLOOKUP($U$1,A:F,6,))/VLOOKUP($U$1,A:F,6,))*100)+100</f>
        <v>121.70022371364652</v>
      </c>
      <c r="M220" s="85">
        <f>(((Table134567891011121314151617343[[#This Row],[GBR]]-VLOOKUP($U$1,A:G,7,))/VLOOKUP($U$1,A:G,7,))*100)+100</f>
        <v>112.95215869311807</v>
      </c>
      <c r="N220" s="85">
        <f>VLOOKUP(A220,Database!$A:$AS,MATCH($N$1,Database!$A$1:$AS$1,0),FALSE)</f>
        <v>100.695161277</v>
      </c>
      <c r="O220" s="85">
        <f>(((Table134567891011121314151617343[[#This Row],[USA]]-VLOOKUP($U$1,A:N,14,))/VLOOKUP($U$1,A:N,14,))*100)+100</f>
        <v>115.92353344495515</v>
      </c>
      <c r="P220" s="85">
        <f>VLOOKUP(A220,Database!$A:$AS,MATCH($P$1,Database!$A$1:$AS$1,0),FALSE)</f>
        <v>118.241539727</v>
      </c>
      <c r="Q220" s="85">
        <f>(((Table134567891011121314151617343[[#This Row],[JPN]]-VLOOKUP($U$1,A:Q,16,))/VLOOKUP($U$1,A:Q,16,))*100)+100</f>
        <v>118.71207978652147</v>
      </c>
    </row>
    <row r="221" spans="1:17" s="87" customFormat="1" x14ac:dyDescent="0.2">
      <c r="A221" s="22">
        <v>39539</v>
      </c>
      <c r="B221" s="85">
        <f>VLOOKUP(A221,Database!$A:$AS,MATCH($B$1,Database!$A$1:$AS$1,0),FALSE)</f>
        <v>131.689025915</v>
      </c>
      <c r="C221" s="85">
        <f>VLOOKUP(A221,Database!$A:$AS,MATCH($C$1,Database!$A$1:$AS$1,0),FALSE)</f>
        <v>115.29</v>
      </c>
      <c r="D221" s="85">
        <f>VLOOKUP(A221,Database!$A:$AS,MATCH($D$1,Database!$A$1:$AS$1,0),FALSE)</f>
        <v>100.29164236299999</v>
      </c>
      <c r="E221" s="85">
        <f>VLOOKUP(A221,Database!$A:$AS,MATCH($E$1,Database!$A$1:$AS$1,0),FALSE)</f>
        <v>133.08811090699999</v>
      </c>
      <c r="F221" s="85">
        <f>VLOOKUP(A221,Database!$A:$AS,MATCH($F$1,Database!$A$1:$AS$1,0),FALSE)</f>
        <v>110.1</v>
      </c>
      <c r="G221" s="85">
        <f>VLOOKUP(A221,Database!$A:$AS,MATCH($G$1,Database!$A$1:$AS$1,0),FALSE)</f>
        <v>104.749955189</v>
      </c>
      <c r="H221" s="85">
        <f>(((Table134567891011121314151617343[[#This Row],[ITA]]-VLOOKUP($U$1,A:B,2,))/VLOOKUP($U$1,A:B,2,))*100)+100</f>
        <v>108.30592105307323</v>
      </c>
      <c r="I221" s="85">
        <f>(((Table134567891011121314151617343[[#This Row],[FRA]]-VLOOKUP($U$1,A:C,3,))/VLOOKUP($U$1,A:C,3,))*100)+100</f>
        <v>112.48902331934823</v>
      </c>
      <c r="J221" s="85">
        <f>(((Table134567891011121314151617343[[#This Row],[DEU]]-VLOOKUP($U$1,A:D,4,))/VLOOKUP($U$1,A:D,4,))*100)+100</f>
        <v>133.37765957342114</v>
      </c>
      <c r="K221" s="85">
        <f>(((Table134567891011121314151617343[[#This Row],[ESP]]-VLOOKUP($U$1,A:E,5,))/VLOOKUP($U$1,A:E,5,))*100)+100</f>
        <v>111.8668571908552</v>
      </c>
      <c r="L221" s="85">
        <f>(((Table134567891011121314151617343[[#This Row],[EA19]]-VLOOKUP($U$1,A:F,6,))/VLOOKUP($U$1,A:F,6,))*100)+100</f>
        <v>123.15436241610738</v>
      </c>
      <c r="M221" s="85">
        <f>(((Table134567891011121314151617343[[#This Row],[GBR]]-VLOOKUP($U$1,A:G,7,))/VLOOKUP($U$1,A:G,7,))*100)+100</f>
        <v>113.65227537885134</v>
      </c>
      <c r="N221" s="85">
        <f>VLOOKUP(A221,Database!$A:$AS,MATCH($N$1,Database!$A$1:$AS$1,0),FALSE)</f>
        <v>100.020558886</v>
      </c>
      <c r="O221" s="85">
        <f>(((Table134567891011121314151617343[[#This Row],[USA]]-VLOOKUP($U$1,A:N,14,))/VLOOKUP($U$1,A:N,14,))*100)+100</f>
        <v>115.14690930687955</v>
      </c>
      <c r="P221" s="85">
        <f>VLOOKUP(A221,Database!$A:$AS,MATCH($P$1,Database!$A$1:$AS$1,0),FALSE)</f>
        <v>117.7283386</v>
      </c>
      <c r="Q221" s="85">
        <f>(((Table134567891011121314151617343[[#This Row],[JPN]]-VLOOKUP($U$1,A:Q,16,))/VLOOKUP($U$1,A:Q,16,))*100)+100</f>
        <v>118.19683638495871</v>
      </c>
    </row>
    <row r="222" spans="1:17" s="87" customFormat="1" x14ac:dyDescent="0.2">
      <c r="A222" s="22">
        <v>39569</v>
      </c>
      <c r="B222" s="85">
        <f>VLOOKUP(A222,Database!$A:$AS,MATCH($B$1,Database!$A$1:$AS$1,0),FALSE)</f>
        <v>127.08940921600001</v>
      </c>
      <c r="C222" s="85">
        <f>VLOOKUP(A222,Database!$A:$AS,MATCH($C$1,Database!$A$1:$AS$1,0),FALSE)</f>
        <v>109.87</v>
      </c>
      <c r="D222" s="85">
        <f>VLOOKUP(A222,Database!$A:$AS,MATCH($D$1,Database!$A$1:$AS$1,0),FALSE)</f>
        <v>98.291809016000002</v>
      </c>
      <c r="E222" s="85">
        <f>VLOOKUP(A222,Database!$A:$AS,MATCH($E$1,Database!$A$1:$AS$1,0),FALSE)</f>
        <v>128.69610724699999</v>
      </c>
      <c r="F222" s="85">
        <f>VLOOKUP(A222,Database!$A:$AS,MATCH($F$1,Database!$A$1:$AS$1,0),FALSE)</f>
        <v>106.9</v>
      </c>
      <c r="G222" s="85">
        <f>VLOOKUP(A222,Database!$A:$AS,MATCH($G$1,Database!$A$1:$AS$1,0),FALSE)</f>
        <v>104.212224413</v>
      </c>
      <c r="H222" s="85">
        <f>(((Table134567891011121314151617343[[#This Row],[ITA]]-VLOOKUP($U$1,A:B,2,))/VLOOKUP($U$1,A:B,2,))*100)+100</f>
        <v>104.52302631590784</v>
      </c>
      <c r="I222" s="85">
        <f>(((Table134567891011121314151617343[[#This Row],[FRA]]-VLOOKUP($U$1,A:C,3,))/VLOOKUP($U$1,A:C,3,))*100)+100</f>
        <v>107.20070250756173</v>
      </c>
      <c r="J222" s="85">
        <f>(((Table134567891011121314151617343[[#This Row],[DEU]]-VLOOKUP($U$1,A:D,4,))/VLOOKUP($U$1,A:D,4,))*100)+100</f>
        <v>130.7180851056473</v>
      </c>
      <c r="K222" s="85">
        <f>(((Table134567891011121314151617343[[#This Row],[ESP]]-VLOOKUP($U$1,A:E,5,))/VLOOKUP($U$1,A:E,5,))*100)+100</f>
        <v>108.17517021095465</v>
      </c>
      <c r="L222" s="85">
        <f>(((Table134567891011121314151617343[[#This Row],[EA19]]-VLOOKUP($U$1,A:F,6,))/VLOOKUP($U$1,A:F,6,))*100)+100</f>
        <v>119.57494407158836</v>
      </c>
      <c r="M222" s="85">
        <f>(((Table134567891011121314151617343[[#This Row],[GBR]]-VLOOKUP($U$1,A:G,7,))/VLOOKUP($U$1,A:G,7,))*100)+100</f>
        <v>113.06884480722611</v>
      </c>
      <c r="N222" s="85">
        <f>VLOOKUP(A222,Database!$A:$AS,MATCH($N$1,Database!$A$1:$AS$1,0),FALSE)</f>
        <v>99.423368259</v>
      </c>
      <c r="O222" s="85">
        <f>(((Table134567891011121314151617343[[#This Row],[USA]]-VLOOKUP($U$1,A:N,14,))/VLOOKUP($U$1,A:N,14,))*100)+100</f>
        <v>114.45940410063027</v>
      </c>
      <c r="P222" s="85">
        <f>VLOOKUP(A222,Database!$A:$AS,MATCH($P$1,Database!$A$1:$AS$1,0),FALSE)</f>
        <v>118.34417995299999</v>
      </c>
      <c r="Q222" s="85">
        <f>(((Table134567891011121314151617343[[#This Row],[JPN]]-VLOOKUP($U$1,A:Q,16,))/VLOOKUP($U$1,A:Q,16,))*100)+100</f>
        <v>118.81512846743639</v>
      </c>
    </row>
    <row r="223" spans="1:17" s="87" customFormat="1" x14ac:dyDescent="0.2">
      <c r="A223" s="22">
        <v>39600</v>
      </c>
      <c r="B223" s="85">
        <f>VLOOKUP(A223,Database!$A:$AS,MATCH($B$1,Database!$A$1:$AS$1,0),FALSE)</f>
        <v>128.48929255900001</v>
      </c>
      <c r="C223" s="85">
        <f>VLOOKUP(A223,Database!$A:$AS,MATCH($C$1,Database!$A$1:$AS$1,0),FALSE)</f>
        <v>109.55</v>
      </c>
      <c r="D223" s="85">
        <f>VLOOKUP(A223,Database!$A:$AS,MATCH($D$1,Database!$A$1:$AS$1,0),FALSE)</f>
        <v>99.391717357000005</v>
      </c>
      <c r="E223" s="85">
        <f>VLOOKUP(A223,Database!$A:$AS,MATCH($E$1,Database!$A$1:$AS$1,0),FALSE)</f>
        <v>123.762103135</v>
      </c>
      <c r="F223" s="85">
        <f>VLOOKUP(A223,Database!$A:$AS,MATCH($F$1,Database!$A$1:$AS$1,0),FALSE)</f>
        <v>107.1</v>
      </c>
      <c r="G223" s="85">
        <f>VLOOKUP(A223,Database!$A:$AS,MATCH($G$1,Database!$A$1:$AS$1,0),FALSE)</f>
        <v>103.997132103</v>
      </c>
      <c r="H223" s="85">
        <f>(((Table134567891011121314151617343[[#This Row],[ITA]]-VLOOKUP($U$1,A:B,2,))/VLOOKUP($U$1,A:B,2,))*100)+100</f>
        <v>105.67434210533689</v>
      </c>
      <c r="I223" s="85">
        <f>(((Table134567891011121314151617343[[#This Row],[FRA]]-VLOOKUP($U$1,A:C,3,))/VLOOKUP($U$1,A:C,3,))*100)+100</f>
        <v>106.88847692457801</v>
      </c>
      <c r="J223" s="85">
        <f>(((Table134567891011121314151617343[[#This Row],[DEU]]-VLOOKUP($U$1,A:D,4,))/VLOOKUP($U$1,A:D,4,))*100)+100</f>
        <v>132.18085106312242</v>
      </c>
      <c r="K223" s="85">
        <f>(((Table134567891011121314151617343[[#This Row],[ESP]]-VLOOKUP($U$1,A:E,5,))/VLOOKUP($U$1,A:E,5,))*100)+100</f>
        <v>104.02790619454757</v>
      </c>
      <c r="L223" s="85">
        <f>(((Table134567891011121314151617343[[#This Row],[EA19]]-VLOOKUP($U$1,A:F,6,))/VLOOKUP($U$1,A:F,6,))*100)+100</f>
        <v>119.79865771812079</v>
      </c>
      <c r="M223" s="85">
        <f>(((Table134567891011121314151617343[[#This Row],[GBR]]-VLOOKUP($U$1,A:G,7,))/VLOOKUP($U$1,A:G,7,))*100)+100</f>
        <v>112.83547257901</v>
      </c>
      <c r="N223" s="85">
        <f>VLOOKUP(A223,Database!$A:$AS,MATCH($N$1,Database!$A$1:$AS$1,0),FALSE)</f>
        <v>99.203324576</v>
      </c>
      <c r="O223" s="85">
        <f>(((Table134567891011121314151617343[[#This Row],[USA]]-VLOOKUP($U$1,A:N,14,))/VLOOKUP($U$1,A:N,14,))*100)+100</f>
        <v>114.2060826805927</v>
      </c>
      <c r="P223" s="85">
        <f>VLOOKUP(A223,Database!$A:$AS,MATCH($P$1,Database!$A$1:$AS$1,0),FALSE)</f>
        <v>115.162332963</v>
      </c>
      <c r="Q223" s="85">
        <f>(((Table134567891011121314151617343[[#This Row],[JPN]]-VLOOKUP($U$1,A:Q,16,))/VLOOKUP($U$1,A:Q,16,))*100)+100</f>
        <v>115.620619375137</v>
      </c>
    </row>
    <row r="224" spans="1:17" s="87" customFormat="1" x14ac:dyDescent="0.2">
      <c r="A224" s="22">
        <v>39630</v>
      </c>
      <c r="B224" s="85">
        <f>VLOOKUP(A224,Database!$A:$AS,MATCH($B$1,Database!$A$1:$AS$1,0),FALSE)</f>
        <v>124.38963419700001</v>
      </c>
      <c r="C224" s="85">
        <f>VLOOKUP(A224,Database!$A:$AS,MATCH($C$1,Database!$A$1:$AS$1,0),FALSE)</f>
        <v>110.35</v>
      </c>
      <c r="D224" s="85">
        <f>VLOOKUP(A224,Database!$A:$AS,MATCH($D$1,Database!$A$1:$AS$1,0),FALSE)</f>
        <v>97.691859011999995</v>
      </c>
      <c r="E224" s="85">
        <f>VLOOKUP(A224,Database!$A:$AS,MATCH($E$1,Database!$A$1:$AS$1,0),FALSE)</f>
        <v>127.23310602799999</v>
      </c>
      <c r="F224" s="85">
        <f>VLOOKUP(A224,Database!$A:$AS,MATCH($F$1,Database!$A$1:$AS$1,0),FALSE)</f>
        <v>106</v>
      </c>
      <c r="G224" s="85">
        <f>VLOOKUP(A224,Database!$A:$AS,MATCH($G$1,Database!$A$1:$AS$1,0),FALSE)</f>
        <v>104.10467825800001</v>
      </c>
      <c r="H224" s="85">
        <f>(((Table134567891011121314151617343[[#This Row],[ITA]]-VLOOKUP($U$1,A:B,2,))/VLOOKUP($U$1,A:B,2,))*100)+100</f>
        <v>102.3026315788581</v>
      </c>
      <c r="I224" s="85">
        <f>(((Table134567891011121314151617343[[#This Row],[FRA]]-VLOOKUP($U$1,A:C,3,))/VLOOKUP($U$1,A:C,3,))*100)+100</f>
        <v>107.66904088203727</v>
      </c>
      <c r="J224" s="85">
        <f>(((Table134567891011121314151617343[[#This Row],[DEU]]-VLOOKUP($U$1,A:D,4,))/VLOOKUP($U$1,A:D,4,))*100)+100</f>
        <v>129.92021276544813</v>
      </c>
      <c r="K224" s="85">
        <f>(((Table134567891011121314151617343[[#This Row],[ESP]]-VLOOKUP($U$1,A:E,5,))/VLOOKUP($U$1,A:E,5,))*100)+100</f>
        <v>106.94544843249854</v>
      </c>
      <c r="L224" s="85">
        <f>(((Table134567891011121314151617343[[#This Row],[EA19]]-VLOOKUP($U$1,A:F,6,))/VLOOKUP($U$1,A:F,6,))*100)+100</f>
        <v>118.56823266219239</v>
      </c>
      <c r="M224" s="85">
        <f>(((Table134567891011121314151617343[[#This Row],[GBR]]-VLOOKUP($U$1,A:G,7,))/VLOOKUP($U$1,A:G,7,))*100)+100</f>
        <v>112.95215869311807</v>
      </c>
      <c r="N224" s="85">
        <f>VLOOKUP(A224,Database!$A:$AS,MATCH($N$1,Database!$A$1:$AS$1,0),FALSE)</f>
        <v>98.734591882999993</v>
      </c>
      <c r="O224" s="85">
        <f>(((Table134567891011121314151617343[[#This Row],[USA]]-VLOOKUP($U$1,A:N,14,))/VLOOKUP($U$1,A:N,14,))*100)+100</f>
        <v>113.66646241160822</v>
      </c>
      <c r="P224" s="85">
        <f>VLOOKUP(A224,Database!$A:$AS,MATCH($P$1,Database!$A$1:$AS$1,0),FALSE)</f>
        <v>115.162332963</v>
      </c>
      <c r="Q224" s="85">
        <f>(((Table134567891011121314151617343[[#This Row],[JPN]]-VLOOKUP($U$1,A:Q,16,))/VLOOKUP($U$1,A:Q,16,))*100)+100</f>
        <v>115.620619375137</v>
      </c>
    </row>
    <row r="225" spans="1:17" s="87" customFormat="1" x14ac:dyDescent="0.2">
      <c r="A225" s="22">
        <v>39661</v>
      </c>
      <c r="B225" s="85">
        <f>VLOOKUP(A225,Database!$A:$AS,MATCH($B$1,Database!$A$1:$AS$1,0),FALSE)</f>
        <v>121.189900842</v>
      </c>
      <c r="C225" s="85">
        <f>VLOOKUP(A225,Database!$A:$AS,MATCH($C$1,Database!$A$1:$AS$1,0),FALSE)</f>
        <v>108.84</v>
      </c>
      <c r="D225" s="85">
        <f>VLOOKUP(A225,Database!$A:$AS,MATCH($D$1,Database!$A$1:$AS$1,0),FALSE)</f>
        <v>99.691692359000001</v>
      </c>
      <c r="E225" s="85">
        <f>VLOOKUP(A225,Database!$A:$AS,MATCH($E$1,Database!$A$1:$AS$1,0),FALSE)</f>
        <v>122.57910214899999</v>
      </c>
      <c r="F225" s="85">
        <f>VLOOKUP(A225,Database!$A:$AS,MATCH($F$1,Database!$A$1:$AS$1,0),FALSE)</f>
        <v>105.6</v>
      </c>
      <c r="G225" s="85">
        <f>VLOOKUP(A225,Database!$A:$AS,MATCH($G$1,Database!$A$1:$AS$1,0),FALSE)</f>
        <v>104.9650475</v>
      </c>
      <c r="H225" s="85">
        <f>(((Table134567891011121314151617343[[#This Row],[ITA]]-VLOOKUP($U$1,A:B,2,))/VLOOKUP($U$1,A:B,2,))*100)+100</f>
        <v>99.671052631944178</v>
      </c>
      <c r="I225" s="85">
        <f>(((Table134567891011121314151617343[[#This Row],[FRA]]-VLOOKUP($U$1,A:C,3,))/VLOOKUP($U$1,A:C,3,))*100)+100</f>
        <v>106.19572641233292</v>
      </c>
      <c r="J225" s="85">
        <f>(((Table134567891011121314151617343[[#This Row],[DEU]]-VLOOKUP($U$1,A:D,4,))/VLOOKUP($U$1,A:D,4,))*100)+100</f>
        <v>132.57978723322199</v>
      </c>
      <c r="K225" s="85">
        <f>(((Table134567891011121314151617343[[#This Row],[ESP]]-VLOOKUP($U$1,A:E,5,))/VLOOKUP($U$1,A:E,5,))*100)+100</f>
        <v>103.0335378662603</v>
      </c>
      <c r="L225" s="85">
        <f>(((Table134567891011121314151617343[[#This Row],[EA19]]-VLOOKUP($U$1,A:F,6,))/VLOOKUP($U$1,A:F,6,))*100)+100</f>
        <v>118.12080536912751</v>
      </c>
      <c r="M225" s="85">
        <f>(((Table134567891011121314151617343[[#This Row],[GBR]]-VLOOKUP($U$1,A:G,7,))/VLOOKUP($U$1,A:G,7,))*100)+100</f>
        <v>113.88564760815242</v>
      </c>
      <c r="N225" s="85">
        <f>VLOOKUP(A225,Database!$A:$AS,MATCH($N$1,Database!$A$1:$AS$1,0),FALSE)</f>
        <v>97.195971119000006</v>
      </c>
      <c r="O225" s="85">
        <f>(((Table134567891011121314151617343[[#This Row],[USA]]-VLOOKUP($U$1,A:N,14,))/VLOOKUP($U$1,A:N,14,))*100)+100</f>
        <v>111.89515231753128</v>
      </c>
      <c r="P225" s="85">
        <f>VLOOKUP(A225,Database!$A:$AS,MATCH($P$1,Database!$A$1:$AS$1,0),FALSE)</f>
        <v>110.95408372</v>
      </c>
      <c r="Q225" s="85">
        <f>(((Table134567891011121314151617343[[#This Row],[JPN]]-VLOOKUP($U$1,A:Q,16,))/VLOOKUP($U$1,A:Q,16,))*100)+100</f>
        <v>111.39562348071607</v>
      </c>
    </row>
    <row r="226" spans="1:17" s="87" customFormat="1" x14ac:dyDescent="0.2">
      <c r="A226" s="22">
        <v>39692</v>
      </c>
      <c r="B226" s="85">
        <f>VLOOKUP(A226,Database!$A:$AS,MATCH($B$1,Database!$A$1:$AS$1,0),FALSE)</f>
        <v>120.38996750299999</v>
      </c>
      <c r="C226" s="85">
        <f>VLOOKUP(A226,Database!$A:$AS,MATCH($C$1,Database!$A$1:$AS$1,0),FALSE)</f>
        <v>108.38</v>
      </c>
      <c r="D226" s="85">
        <f>VLOOKUP(A226,Database!$A:$AS,MATCH($D$1,Database!$A$1:$AS$1,0),FALSE)</f>
        <v>97.391884009999998</v>
      </c>
      <c r="E226" s="85">
        <f>VLOOKUP(A226,Database!$A:$AS,MATCH($E$1,Database!$A$1:$AS$1,0),FALSE)</f>
        <v>121.708101423</v>
      </c>
      <c r="F226" s="85">
        <f>VLOOKUP(A226,Database!$A:$AS,MATCH($F$1,Database!$A$1:$AS$1,0),FALSE)</f>
        <v>104.8</v>
      </c>
      <c r="G226" s="85">
        <f>VLOOKUP(A226,Database!$A:$AS,MATCH($G$1,Database!$A$1:$AS$1,0),FALSE)</f>
        <v>105.39523212</v>
      </c>
      <c r="H226" s="85">
        <f>(((Table134567891011121314151617343[[#This Row],[ITA]]-VLOOKUP($U$1,A:B,2,))/VLOOKUP($U$1,A:B,2,))*100)+100</f>
        <v>99.013157895010082</v>
      </c>
      <c r="I226" s="85">
        <f>(((Table134567891011121314151617343[[#This Row],[FRA]]-VLOOKUP($U$1,A:C,3,))/VLOOKUP($U$1,A:C,3,))*100)+100</f>
        <v>105.74690213679384</v>
      </c>
      <c r="J226" s="85">
        <f>(((Table134567891011121314151617343[[#This Row],[DEU]]-VLOOKUP($U$1,A:D,4,))/VLOOKUP($U$1,A:D,4,))*100)+100</f>
        <v>129.52127659534855</v>
      </c>
      <c r="K226" s="85">
        <f>(((Table134567891011121314151617343[[#This Row],[ESP]]-VLOOKUP($U$1,A:E,5,))/VLOOKUP($U$1,A:E,5,))*100)+100</f>
        <v>102.30142052561627</v>
      </c>
      <c r="L226" s="85">
        <f>(((Table134567891011121314151617343[[#This Row],[EA19]]-VLOOKUP($U$1,A:F,6,))/VLOOKUP($U$1,A:F,6,))*100)+100</f>
        <v>117.22595078299776</v>
      </c>
      <c r="M226" s="85">
        <f>(((Table134567891011121314151617343[[#This Row],[GBR]]-VLOOKUP($U$1,A:G,7,))/VLOOKUP($U$1,A:G,7,))*100)+100</f>
        <v>114.35239206458462</v>
      </c>
      <c r="N226" s="85">
        <f>VLOOKUP(A226,Database!$A:$AS,MATCH($N$1,Database!$A$1:$AS$1,0),FALSE)</f>
        <v>93.018114699999998</v>
      </c>
      <c r="O226" s="85">
        <f>(((Table134567891011121314151617343[[#This Row],[USA]]-VLOOKUP($U$1,A:N,14,))/VLOOKUP($U$1,A:N,14,))*100)+100</f>
        <v>107.08546859316755</v>
      </c>
      <c r="P226" s="85">
        <f>VLOOKUP(A226,Database!$A:$AS,MATCH($P$1,Database!$A$1:$AS$1,0),FALSE)</f>
        <v>112.391046876</v>
      </c>
      <c r="Q226" s="85">
        <f>(((Table134567891011121314151617343[[#This Row],[JPN]]-VLOOKUP($U$1,A:Q,16,))/VLOOKUP($U$1,A:Q,16,))*100)+100</f>
        <v>112.83830500549337</v>
      </c>
    </row>
    <row r="227" spans="1:17" s="87" customFormat="1" x14ac:dyDescent="0.2">
      <c r="A227" s="22">
        <v>39722</v>
      </c>
      <c r="B227" s="85">
        <f>VLOOKUP(A227,Database!$A:$AS,MATCH($B$1,Database!$A$1:$AS$1,0),FALSE)</f>
        <v>117.89017581900001</v>
      </c>
      <c r="C227" s="85">
        <f>VLOOKUP(A227,Database!$A:$AS,MATCH($C$1,Database!$A$1:$AS$1,0),FALSE)</f>
        <v>106.34</v>
      </c>
      <c r="D227" s="85">
        <f>VLOOKUP(A227,Database!$A:$AS,MATCH($D$1,Database!$A$1:$AS$1,0),FALSE)</f>
        <v>95.292058995000005</v>
      </c>
      <c r="E227" s="85">
        <f>VLOOKUP(A227,Database!$A:$AS,MATCH($E$1,Database!$A$1:$AS$1,0),FALSE)</f>
        <v>114.870095725</v>
      </c>
      <c r="F227" s="85">
        <f>VLOOKUP(A227,Database!$A:$AS,MATCH($F$1,Database!$A$1:$AS$1,0),FALSE)</f>
        <v>102.1</v>
      </c>
      <c r="G227" s="85">
        <f>VLOOKUP(A227,Database!$A:$AS,MATCH($G$1,Database!$A$1:$AS$1,0),FALSE)</f>
        <v>106.040509052</v>
      </c>
      <c r="H227" s="85">
        <f>(((Table134567891011121314151617343[[#This Row],[ITA]]-VLOOKUP($U$1,A:B,2,))/VLOOKUP($U$1,A:B,2,))*100)+100</f>
        <v>96.957236842399482</v>
      </c>
      <c r="I227" s="85">
        <f>(((Table134567891011121314151617343[[#This Row],[FRA]]-VLOOKUP($U$1,A:C,3,))/VLOOKUP($U$1,A:C,3,))*100)+100</f>
        <v>103.75646404527272</v>
      </c>
      <c r="J227" s="85">
        <f>(((Table134567891011121314151617343[[#This Row],[DEU]]-VLOOKUP($U$1,A:D,4,))/VLOOKUP($U$1,A:D,4,))*100)+100</f>
        <v>126.72872340332157</v>
      </c>
      <c r="K227" s="85">
        <f>(((Table134567891011121314151617343[[#This Row],[ESP]]-VLOOKUP($U$1,A:E,5,))/VLOOKUP($U$1,A:E,5,))*100)+100</f>
        <v>96.55375304671611</v>
      </c>
      <c r="L227" s="85">
        <f>(((Table134567891011121314151617343[[#This Row],[EA19]]-VLOOKUP($U$1,A:F,6,))/VLOOKUP($U$1,A:F,6,))*100)+100</f>
        <v>114.20581655480983</v>
      </c>
      <c r="M227" s="85">
        <f>(((Table134567891011121314151617343[[#This Row],[GBR]]-VLOOKUP($U$1,A:G,7,))/VLOOKUP($U$1,A:G,7,))*100)+100</f>
        <v>115.05250875140288</v>
      </c>
      <c r="N227" s="85">
        <f>VLOOKUP(A227,Database!$A:$AS,MATCH($N$1,Database!$A$1:$AS$1,0),FALSE)</f>
        <v>93.869049394000001</v>
      </c>
      <c r="O227" s="85">
        <f>(((Table134567891011121314151617343[[#This Row],[USA]]-VLOOKUP($U$1,A:N,14,))/VLOOKUP($U$1,A:N,14,))*100)+100</f>
        <v>108.06509219382922</v>
      </c>
      <c r="P227" s="85">
        <f>VLOOKUP(A227,Database!$A:$AS,MATCH($P$1,Database!$A$1:$AS$1,0),FALSE)</f>
        <v>109.92768146500001</v>
      </c>
      <c r="Q227" s="85">
        <f>(((Table134567891011121314151617343[[#This Row],[JPN]]-VLOOKUP($U$1,A:Q,16,))/VLOOKUP($U$1,A:Q,16,))*100)+100</f>
        <v>110.36513667658659</v>
      </c>
    </row>
    <row r="228" spans="1:17" s="87" customFormat="1" x14ac:dyDescent="0.2">
      <c r="A228" s="22">
        <v>39753</v>
      </c>
      <c r="B228" s="85">
        <f>VLOOKUP(A228,Database!$A:$AS,MATCH($B$1,Database!$A$1:$AS$1,0),FALSE)</f>
        <v>113.890509124</v>
      </c>
      <c r="C228" s="85">
        <f>VLOOKUP(A228,Database!$A:$AS,MATCH($C$1,Database!$A$1:$AS$1,0),FALSE)</f>
        <v>101.01</v>
      </c>
      <c r="D228" s="85">
        <f>VLOOKUP(A228,Database!$A:$AS,MATCH($D$1,Database!$A$1:$AS$1,0),FALSE)</f>
        <v>91.092408965999994</v>
      </c>
      <c r="E228" s="85">
        <f>VLOOKUP(A228,Database!$A:$AS,MATCH($E$1,Database!$A$1:$AS$1,0),FALSE)</f>
        <v>111.086092572</v>
      </c>
      <c r="F228" s="85">
        <f>VLOOKUP(A228,Database!$A:$AS,MATCH($F$1,Database!$A$1:$AS$1,0),FALSE)</f>
        <v>98.4</v>
      </c>
      <c r="G228" s="85">
        <f>VLOOKUP(A228,Database!$A:$AS,MATCH($G$1,Database!$A$1:$AS$1,0),FALSE)</f>
        <v>103.029216706</v>
      </c>
      <c r="H228" s="85">
        <f>(((Table134567891011121314151617343[[#This Row],[ITA]]-VLOOKUP($U$1,A:B,2,))/VLOOKUP($U$1,A:B,2,))*100)+100</f>
        <v>93.667763157729041</v>
      </c>
      <c r="I228" s="85">
        <f>(((Table134567891011121314151617343[[#This Row],[FRA]]-VLOOKUP($U$1,A:C,3,))/VLOOKUP($U$1,A:C,3,))*100)+100</f>
        <v>98.555956678700369</v>
      </c>
      <c r="J228" s="85">
        <f>(((Table134567891011121314151617343[[#This Row],[DEU]]-VLOOKUP($U$1,A:D,4,))/VLOOKUP($U$1,A:D,4,))*100)+100</f>
        <v>121.1436170205975</v>
      </c>
      <c r="K228" s="85">
        <f>(((Table134567891011121314151617343[[#This Row],[ESP]]-VLOOKUP($U$1,A:E,5,))/VLOOKUP($U$1,A:E,5,))*100)+100</f>
        <v>93.373119273785065</v>
      </c>
      <c r="L228" s="85">
        <f>(((Table134567891011121314151617343[[#This Row],[EA19]]-VLOOKUP($U$1,A:F,6,))/VLOOKUP($U$1,A:F,6,))*100)+100</f>
        <v>110.06711409395973</v>
      </c>
      <c r="M228" s="85">
        <f>(((Table134567891011121314151617343[[#This Row],[GBR]]-VLOOKUP($U$1,A:G,7,))/VLOOKUP($U$1,A:G,7,))*100)+100</f>
        <v>111.78529754986761</v>
      </c>
      <c r="N228" s="85">
        <f>VLOOKUP(A228,Database!$A:$AS,MATCH($N$1,Database!$A$1:$AS$1,0),FALSE)</f>
        <v>92.649987565000004</v>
      </c>
      <c r="O228" s="85">
        <f>(((Table134567891011121314151617343[[#This Row],[USA]]-VLOOKUP($U$1,A:N,14,))/VLOOKUP($U$1,A:N,14,))*100)+100</f>
        <v>106.66166870343129</v>
      </c>
      <c r="P228" s="85">
        <f>VLOOKUP(A228,Database!$A:$AS,MATCH($P$1,Database!$A$1:$AS$1,0),FALSE)</f>
        <v>102.845505909</v>
      </c>
      <c r="Q228" s="85">
        <f>(((Table134567891011121314151617343[[#This Row],[JPN]]-VLOOKUP($U$1,A:Q,16,))/VLOOKUP($U$1,A:Q,16,))*100)+100</f>
        <v>103.25477773160708</v>
      </c>
    </row>
    <row r="229" spans="1:17" s="87" customFormat="1" x14ac:dyDescent="0.2">
      <c r="A229" s="22">
        <v>39783</v>
      </c>
      <c r="B229" s="85">
        <f>VLOOKUP(A229,Database!$A:$AS,MATCH($B$1,Database!$A$1:$AS$1,0),FALSE)</f>
        <v>109.190900758</v>
      </c>
      <c r="C229" s="85">
        <f>VLOOKUP(A229,Database!$A:$AS,MATCH($C$1,Database!$A$1:$AS$1,0),FALSE)</f>
        <v>99.62</v>
      </c>
      <c r="D229" s="85">
        <f>VLOOKUP(A229,Database!$A:$AS,MATCH($D$1,Database!$A$1:$AS$1,0),FALSE)</f>
        <v>87.692692276000002</v>
      </c>
      <c r="E229" s="85">
        <f>VLOOKUP(A229,Database!$A:$AS,MATCH($E$1,Database!$A$1:$AS$1,0),FALSE)</f>
        <v>107.09808924799999</v>
      </c>
      <c r="F229" s="85">
        <f>VLOOKUP(A229,Database!$A:$AS,MATCH($F$1,Database!$A$1:$AS$1,0),FALSE)</f>
        <v>95</v>
      </c>
      <c r="G229" s="85">
        <f>VLOOKUP(A229,Database!$A:$AS,MATCH($G$1,Database!$A$1:$AS$1,0),FALSE)</f>
        <v>102.168847464</v>
      </c>
      <c r="H229" s="85">
        <f>(((Table134567891011121314151617343[[#This Row],[ITA]]-VLOOKUP($U$1,A:B,2,))/VLOOKUP($U$1,A:B,2,))*100)+100</f>
        <v>89.802631578755296</v>
      </c>
      <c r="I229" s="85">
        <f>(((Table134567891011121314151617343[[#This Row],[FRA]]-VLOOKUP($U$1,A:C,3,))/VLOOKUP($U$1,A:C,3,))*100)+100</f>
        <v>97.199726802614904</v>
      </c>
      <c r="J229" s="85">
        <f>(((Table134567891011121314151617343[[#This Row],[DEU]]-VLOOKUP($U$1,A:D,4,))/VLOOKUP($U$1,A:D,4,))*100)+100</f>
        <v>116.62234042524896</v>
      </c>
      <c r="K229" s="85">
        <f>(((Table134567891011121314151617343[[#This Row],[ESP]]-VLOOKUP($U$1,A:E,5,))/VLOOKUP($U$1,A:E,5,))*100)+100</f>
        <v>90.021013700400601</v>
      </c>
      <c r="L229" s="85">
        <f>(((Table134567891011121314151617343[[#This Row],[EA19]]-VLOOKUP($U$1,A:F,6,))/VLOOKUP($U$1,A:F,6,))*100)+100</f>
        <v>106.26398210290827</v>
      </c>
      <c r="M229" s="85">
        <f>(((Table134567891011121314151617343[[#This Row],[GBR]]-VLOOKUP($U$1,A:G,7,))/VLOOKUP($U$1,A:G,7,))*100)+100</f>
        <v>110.85180863483323</v>
      </c>
      <c r="N229" s="85">
        <f>VLOOKUP(A229,Database!$A:$AS,MATCH($N$1,Database!$A$1:$AS$1,0),FALSE)</f>
        <v>90.024628538000002</v>
      </c>
      <c r="O229" s="85">
        <f>(((Table134567891011121314151617343[[#This Row],[USA]]-VLOOKUP($U$1,A:N,14,))/VLOOKUP($U$1,A:N,14,))*100)+100</f>
        <v>103.63927029707446</v>
      </c>
      <c r="P229" s="85">
        <f>VLOOKUP(A229,Database!$A:$AS,MATCH($P$1,Database!$A$1:$AS$1,0),FALSE)</f>
        <v>94.531647645999996</v>
      </c>
      <c r="Q229" s="85">
        <f>(((Table134567891011121314151617343[[#This Row],[JPN]]-VLOOKUP($U$1,A:Q,16,))/VLOOKUP($U$1,A:Q,16,))*100)+100</f>
        <v>94.907834620668211</v>
      </c>
    </row>
    <row r="230" spans="1:17" s="87" customFormat="1" x14ac:dyDescent="0.2">
      <c r="A230" s="22">
        <v>39814</v>
      </c>
      <c r="B230" s="85">
        <f>VLOOKUP(A230,Database!$A:$AS,MATCH($B$1,Database!$A$1:$AS$1,0),FALSE)</f>
        <v>104.991250729</v>
      </c>
      <c r="C230" s="85">
        <f>VLOOKUP(A230,Database!$A:$AS,MATCH($C$1,Database!$A$1:$AS$1,0),FALSE)</f>
        <v>95.93</v>
      </c>
      <c r="D230" s="85">
        <f>VLOOKUP(A230,Database!$A:$AS,MATCH($D$1,Database!$A$1:$AS$1,0),FALSE)</f>
        <v>80.693275560000004</v>
      </c>
      <c r="E230" s="85">
        <f>VLOOKUP(A230,Database!$A:$AS,MATCH($E$1,Database!$A$1:$AS$1,0),FALSE)</f>
        <v>106.65708888100001</v>
      </c>
      <c r="F230" s="85">
        <f>VLOOKUP(A230,Database!$A:$AS,MATCH($F$1,Database!$A$1:$AS$1,0),FALSE)</f>
        <v>91.1</v>
      </c>
      <c r="G230" s="85">
        <f>VLOOKUP(A230,Database!$A:$AS,MATCH($G$1,Database!$A$1:$AS$1,0),FALSE)</f>
        <v>101.093385911</v>
      </c>
      <c r="H230" s="85">
        <f>(((Table134567891011121314151617343[[#This Row],[ITA]]-VLOOKUP($U$1,A:B,2,))/VLOOKUP($U$1,A:B,2,))*100)+100</f>
        <v>86.34868421046815</v>
      </c>
      <c r="I230" s="85">
        <f>(((Table134567891011121314151617343[[#This Row],[FRA]]-VLOOKUP($U$1,A:C,3,))/VLOOKUP($U$1,A:C,3,))*100)+100</f>
        <v>93.599375548834047</v>
      </c>
      <c r="J230" s="85">
        <f>(((Table134567891011121314151617343[[#This Row],[DEU]]-VLOOKUP($U$1,A:D,4,))/VLOOKUP($U$1,A:D,4,))*100)+100</f>
        <v>107.31382978604563</v>
      </c>
      <c r="K230" s="85">
        <f>(((Table134567891011121314151617343[[#This Row],[ESP]]-VLOOKUP($U$1,A:E,5,))/VLOOKUP($U$1,A:E,5,))*100)+100</f>
        <v>89.650332016363663</v>
      </c>
      <c r="L230" s="85">
        <f>(((Table134567891011121314151617343[[#This Row],[EA19]]-VLOOKUP($U$1,A:F,6,))/VLOOKUP($U$1,A:F,6,))*100)+100</f>
        <v>101.90156599552571</v>
      </c>
      <c r="M230" s="85">
        <f>(((Table134567891011121314151617343[[#This Row],[GBR]]-VLOOKUP($U$1,A:G,7,))/VLOOKUP($U$1,A:G,7,))*100)+100</f>
        <v>109.68494749049779</v>
      </c>
      <c r="N230" s="85">
        <f>VLOOKUP(A230,Database!$A:$AS,MATCH($N$1,Database!$A$1:$AS$1,0),FALSE)</f>
        <v>87.802385573999999</v>
      </c>
      <c r="O230" s="85">
        <f>(((Table134567891011121314151617343[[#This Row],[USA]]-VLOOKUP($U$1,A:N,14,))/VLOOKUP($U$1,A:N,14,))*100)+100</f>
        <v>101.08095216844644</v>
      </c>
      <c r="P230" s="85">
        <f>VLOOKUP(A230,Database!$A:$AS,MATCH($P$1,Database!$A$1:$AS$1,0),FALSE)</f>
        <v>86.936270962999998</v>
      </c>
      <c r="Q230" s="85">
        <f>(((Table134567891011121314151617343[[#This Row],[JPN]]-VLOOKUP($U$1,A:Q,16,))/VLOOKUP($U$1,A:Q,16,))*100)+100</f>
        <v>87.282232274125946</v>
      </c>
    </row>
    <row r="231" spans="1:17" s="87" customFormat="1" x14ac:dyDescent="0.2">
      <c r="A231" s="22">
        <v>39845</v>
      </c>
      <c r="B231" s="85">
        <f>VLOOKUP(A231,Database!$A:$AS,MATCH($B$1,Database!$A$1:$AS$1,0),FALSE)</f>
        <v>101.191567369</v>
      </c>
      <c r="C231" s="85">
        <f>VLOOKUP(A231,Database!$A:$AS,MATCH($C$1,Database!$A$1:$AS$1,0),FALSE)</f>
        <v>94.59</v>
      </c>
      <c r="D231" s="85">
        <f>VLOOKUP(A231,Database!$A:$AS,MATCH($D$1,Database!$A$1:$AS$1,0),FALSE)</f>
        <v>78.193483876000002</v>
      </c>
      <c r="E231" s="85">
        <f>VLOOKUP(A231,Database!$A:$AS,MATCH($E$1,Database!$A$1:$AS$1,0),FALSE)</f>
        <v>106.03108835899999</v>
      </c>
      <c r="F231" s="85">
        <f>VLOOKUP(A231,Database!$A:$AS,MATCH($F$1,Database!$A$1:$AS$1,0),FALSE)</f>
        <v>89.1</v>
      </c>
      <c r="G231" s="85">
        <f>VLOOKUP(A231,Database!$A:$AS,MATCH($G$1,Database!$A$1:$AS$1,0),FALSE)</f>
        <v>99.587739737999996</v>
      </c>
      <c r="H231" s="85">
        <f>(((Table134567891011121314151617343[[#This Row],[ITA]]-VLOOKUP($U$1,A:B,2,))/VLOOKUP($U$1,A:B,2,))*100)+100</f>
        <v>83.22368421023684</v>
      </c>
      <c r="I231" s="85">
        <f>(((Table134567891011121314151617343[[#This Row],[FRA]]-VLOOKUP($U$1,A:C,3,))/VLOOKUP($U$1,A:C,3,))*100)+100</f>
        <v>92.291930920089769</v>
      </c>
      <c r="J231" s="85">
        <f>(((Table134567891011121314151617343[[#This Row],[DEU]]-VLOOKUP($U$1,A:D,4,))/VLOOKUP($U$1,A:D,4,))*100)+100</f>
        <v>103.98936170099584</v>
      </c>
      <c r="K231" s="85">
        <f>(((Table134567891011121314151617343[[#This Row],[ESP]]-VLOOKUP($U$1,A:E,5,))/VLOOKUP($U$1,A:E,5,))*100)+100</f>
        <v>89.124148944722407</v>
      </c>
      <c r="L231" s="85">
        <f>(((Table134567891011121314151617343[[#This Row],[EA19]]-VLOOKUP($U$1,A:F,6,))/VLOOKUP($U$1,A:F,6,))*100)+100</f>
        <v>99.664429530201332</v>
      </c>
      <c r="M231" s="85">
        <f>(((Table134567891011121314151617343[[#This Row],[GBR]]-VLOOKUP($U$1,A:G,7,))/VLOOKUP($U$1,A:G,7,))*100)+100</f>
        <v>108.05134188973015</v>
      </c>
      <c r="N231" s="85">
        <f>VLOOKUP(A231,Database!$A:$AS,MATCH($N$1,Database!$A$1:$AS$1,0),FALSE)</f>
        <v>87.231362304000001</v>
      </c>
      <c r="O231" s="85">
        <f>(((Table134567891011121314151617343[[#This Row],[USA]]-VLOOKUP($U$1,A:N,14,))/VLOOKUP($U$1,A:N,14,))*100)+100</f>
        <v>100.42357167172527</v>
      </c>
      <c r="P231" s="85">
        <f>VLOOKUP(A231,Database!$A:$AS,MATCH($P$1,Database!$A$1:$AS$1,0),FALSE)</f>
        <v>79.648814955000006</v>
      </c>
      <c r="Q231" s="85">
        <f>(((Table134567891011121314151617343[[#This Row],[JPN]]-VLOOKUP($U$1,A:Q,16,))/VLOOKUP($U$1,A:Q,16,))*100)+100</f>
        <v>79.965775967316574</v>
      </c>
    </row>
    <row r="232" spans="1:17" s="87" customFormat="1" x14ac:dyDescent="0.2">
      <c r="A232" s="22">
        <v>39873</v>
      </c>
      <c r="B232" s="85">
        <f>VLOOKUP(A232,Database!$A:$AS,MATCH($B$1,Database!$A$1:$AS$1,0),FALSE)</f>
        <v>97.191900674999999</v>
      </c>
      <c r="C232" s="85">
        <f>VLOOKUP(A232,Database!$A:$AS,MATCH($C$1,Database!$A$1:$AS$1,0),FALSE)</f>
        <v>92.85</v>
      </c>
      <c r="D232" s="85">
        <f>VLOOKUP(A232,Database!$A:$AS,MATCH($D$1,Database!$A$1:$AS$1,0),FALSE)</f>
        <v>78.493458877999998</v>
      </c>
      <c r="E232" s="85">
        <f>VLOOKUP(A232,Database!$A:$AS,MATCH($E$1,Database!$A$1:$AS$1,0),FALSE)</f>
        <v>102.710085592</v>
      </c>
      <c r="F232" s="85">
        <f>VLOOKUP(A232,Database!$A:$AS,MATCH($F$1,Database!$A$1:$AS$1,0),FALSE)</f>
        <v>87.9</v>
      </c>
      <c r="G232" s="85">
        <f>VLOOKUP(A232,Database!$A:$AS,MATCH($G$1,Database!$A$1:$AS$1,0),FALSE)</f>
        <v>99.050008962000007</v>
      </c>
      <c r="H232" s="85">
        <f>(((Table134567891011121314151617343[[#This Row],[ITA]]-VLOOKUP($U$1,A:B,2,))/VLOOKUP($U$1,A:B,2,))*100)+100</f>
        <v>79.934210526388839</v>
      </c>
      <c r="I232" s="85">
        <f>(((Table134567891011121314151617343[[#This Row],[FRA]]-VLOOKUP($U$1,A:C,3,))/VLOOKUP($U$1,A:C,3,))*100)+100</f>
        <v>90.594204312615858</v>
      </c>
      <c r="J232" s="85">
        <f>(((Table134567891011121314151617343[[#This Row],[DEU]]-VLOOKUP($U$1,A:D,4,))/VLOOKUP($U$1,A:D,4,))*100)+100</f>
        <v>104.38829787109542</v>
      </c>
      <c r="K232" s="85">
        <f>(((Table134567891011121314151617343[[#This Row],[ESP]]-VLOOKUP($U$1,A:E,5,))/VLOOKUP($U$1,A:E,5,))*100)+100</f>
        <v>86.33268891320968</v>
      </c>
      <c r="L232" s="85">
        <f>(((Table134567891011121314151617343[[#This Row],[EA19]]-VLOOKUP($U$1,A:F,6,))/VLOOKUP($U$1,A:F,6,))*100)+100</f>
        <v>98.322147651006716</v>
      </c>
      <c r="M232" s="85">
        <f>(((Table134567891011121314151617343[[#This Row],[GBR]]-VLOOKUP($U$1,A:G,7,))/VLOOKUP($U$1,A:G,7,))*100)+100</f>
        <v>107.46791131810494</v>
      </c>
      <c r="N232" s="85">
        <f>VLOOKUP(A232,Database!$A:$AS,MATCH($N$1,Database!$A$1:$AS$1,0),FALSE)</f>
        <v>85.841320585999995</v>
      </c>
      <c r="O232" s="85">
        <f>(((Table134567891011121314151617343[[#This Row],[USA]]-VLOOKUP($U$1,A:N,14,))/VLOOKUP($U$1,A:N,14,))*100)+100</f>
        <v>98.823310591223262</v>
      </c>
      <c r="P232" s="85">
        <f>VLOOKUP(A232,Database!$A:$AS,MATCH($P$1,Database!$A$1:$AS$1,0),FALSE)</f>
        <v>80.367296533000001</v>
      </c>
      <c r="Q232" s="85">
        <f>(((Table134567891011121314151617343[[#This Row],[JPN]]-VLOOKUP($U$1,A:Q,16,))/VLOOKUP($U$1,A:Q,16,))*100)+100</f>
        <v>80.687116729705224</v>
      </c>
    </row>
    <row r="233" spans="1:17" s="87" customFormat="1" x14ac:dyDescent="0.2">
      <c r="A233" s="22">
        <v>39904</v>
      </c>
      <c r="B233" s="85">
        <f>VLOOKUP(A233,Database!$A:$AS,MATCH($B$1,Database!$A$1:$AS$1,0),FALSE)</f>
        <v>97.691859011999995</v>
      </c>
      <c r="C233" s="85">
        <f>VLOOKUP(A233,Database!$A:$AS,MATCH($C$1,Database!$A$1:$AS$1,0),FALSE)</f>
        <v>92.81</v>
      </c>
      <c r="D233" s="85">
        <f>VLOOKUP(A233,Database!$A:$AS,MATCH($D$1,Database!$A$1:$AS$1,0),FALSE)</f>
        <v>76.193650528999996</v>
      </c>
      <c r="E233" s="85">
        <f>VLOOKUP(A233,Database!$A:$AS,MATCH($E$1,Database!$A$1:$AS$1,0),FALSE)</f>
        <v>103.96208663500001</v>
      </c>
      <c r="F233" s="85">
        <f>VLOOKUP(A233,Database!$A:$AS,MATCH($F$1,Database!$A$1:$AS$1,0),FALSE)</f>
        <v>86.6</v>
      </c>
      <c r="G233" s="85">
        <f>VLOOKUP(A233,Database!$A:$AS,MATCH($G$1,Database!$A$1:$AS$1,0),FALSE)</f>
        <v>99.910378203999997</v>
      </c>
      <c r="H233" s="85">
        <f>(((Table134567891011121314151617343[[#This Row],[ITA]]-VLOOKUP($U$1,A:B,2,))/VLOOKUP($U$1,A:B,2,))*100)+100</f>
        <v>80.345394737075438</v>
      </c>
      <c r="I233" s="85">
        <f>(((Table134567891011121314151617343[[#This Row],[FRA]]-VLOOKUP($U$1,A:C,3,))/VLOOKUP($U$1,A:C,3,))*100)+100</f>
        <v>90.555176114742906</v>
      </c>
      <c r="J233" s="85">
        <f>(((Table134567891011121314151617343[[#This Row],[DEU]]-VLOOKUP($U$1,A:D,4,))/VLOOKUP($U$1,A:D,4,))*100)+100</f>
        <v>101.32978723322198</v>
      </c>
      <c r="K233" s="85">
        <f>(((Table134567891011121314151617343[[#This Row],[ESP]]-VLOOKUP($U$1,A:E,5,))/VLOOKUP($U$1,A:E,5,))*100)+100</f>
        <v>87.38505505565162</v>
      </c>
      <c r="L233" s="85">
        <f>(((Table134567891011121314151617343[[#This Row],[EA19]]-VLOOKUP($U$1,A:F,6,))/VLOOKUP($U$1,A:F,6,))*100)+100</f>
        <v>96.86800894854585</v>
      </c>
      <c r="M233" s="85">
        <f>(((Table134567891011121314151617343[[#This Row],[GBR]]-VLOOKUP($U$1,A:G,7,))/VLOOKUP($U$1,A:G,7,))*100)+100</f>
        <v>108.40140023313928</v>
      </c>
      <c r="N233" s="85">
        <f>VLOOKUP(A233,Database!$A:$AS,MATCH($N$1,Database!$A$1:$AS$1,0),FALSE)</f>
        <v>85.18327103</v>
      </c>
      <c r="O233" s="85">
        <f>(((Table134567891011121314151617343[[#This Row],[USA]]-VLOOKUP($U$1,A:N,14,))/VLOOKUP($U$1,A:N,14,))*100)+100</f>
        <v>98.065742613318577</v>
      </c>
      <c r="P233" s="85">
        <f>VLOOKUP(A233,Database!$A:$AS,MATCH($P$1,Database!$A$1:$AS$1,0),FALSE)</f>
        <v>83.857064199000007</v>
      </c>
      <c r="Q233" s="85">
        <f>(((Table134567891011121314151617343[[#This Row],[JPN]]-VLOOKUP($U$1,A:Q,16,))/VLOOKUP($U$1,A:Q,16,))*100)+100</f>
        <v>84.190771862741485</v>
      </c>
    </row>
    <row r="234" spans="1:17" s="87" customFormat="1" x14ac:dyDescent="0.2">
      <c r="A234" s="22">
        <v>39934</v>
      </c>
      <c r="B234" s="85">
        <f>VLOOKUP(A234,Database!$A:$AS,MATCH($B$1,Database!$A$1:$AS$1,0),FALSE)</f>
        <v>99.391717357000005</v>
      </c>
      <c r="C234" s="85">
        <f>VLOOKUP(A234,Database!$A:$AS,MATCH($C$1,Database!$A$1:$AS$1,0),FALSE)</f>
        <v>93.93</v>
      </c>
      <c r="D234" s="85">
        <f>VLOOKUP(A234,Database!$A:$AS,MATCH($D$1,Database!$A$1:$AS$1,0),FALSE)</f>
        <v>79.693358887000002</v>
      </c>
      <c r="E234" s="85">
        <f>VLOOKUP(A234,Database!$A:$AS,MATCH($E$1,Database!$A$1:$AS$1,0),FALSE)</f>
        <v>103.02008585</v>
      </c>
      <c r="F234" s="85">
        <f>VLOOKUP(A234,Database!$A:$AS,MATCH($F$1,Database!$A$1:$AS$1,0),FALSE)</f>
        <v>88.7</v>
      </c>
      <c r="G234" s="85">
        <f>VLOOKUP(A234,Database!$A:$AS,MATCH($G$1,Database!$A$1:$AS$1,0),FALSE)</f>
        <v>98.082093564999994</v>
      </c>
      <c r="H234" s="85">
        <f>(((Table134567891011121314151617343[[#This Row],[ITA]]-VLOOKUP($U$1,A:B,2,))/VLOOKUP($U$1,A:B,2,))*100)+100</f>
        <v>81.743421052751984</v>
      </c>
      <c r="I234" s="85">
        <f>(((Table134567891011121314151617343[[#This Row],[FRA]]-VLOOKUP($U$1,A:C,3,))/VLOOKUP($U$1,A:C,3,))*100)+100</f>
        <v>91.647965655185885</v>
      </c>
      <c r="J234" s="85">
        <f>(((Table134567891011121314151617343[[#This Row],[DEU]]-VLOOKUP($U$1,A:D,4,))/VLOOKUP($U$1,A:D,4,))*100)+100</f>
        <v>105.98404255282365</v>
      </c>
      <c r="K234" s="85">
        <f>(((Table134567891011121314151617343[[#This Row],[ESP]]-VLOOKUP($U$1,A:E,5,))/VLOOKUP($U$1,A:E,5,))*100)+100</f>
        <v>86.593258804498078</v>
      </c>
      <c r="L234" s="85">
        <f>(((Table134567891011121314151617343[[#This Row],[EA19]]-VLOOKUP($U$1,A:F,6,))/VLOOKUP($U$1,A:F,6,))*100)+100</f>
        <v>99.217002237136455</v>
      </c>
      <c r="M234" s="85">
        <f>(((Table134567891011121314151617343[[#This Row],[GBR]]-VLOOKUP($U$1,A:G,7,))/VLOOKUP($U$1,A:G,7,))*100)+100</f>
        <v>106.41773628896252</v>
      </c>
      <c r="N234" s="85">
        <f>VLOOKUP(A234,Database!$A:$AS,MATCH($N$1,Database!$A$1:$AS$1,0),FALSE)</f>
        <v>84.313900243999996</v>
      </c>
      <c r="O234" s="85">
        <f>(((Table134567891011121314151617343[[#This Row],[USA]]-VLOOKUP($U$1,A:N,14,))/VLOOKUP($U$1,A:N,14,))*100)+100</f>
        <v>97.064894785986496</v>
      </c>
      <c r="P234" s="85">
        <f>VLOOKUP(A234,Database!$A:$AS,MATCH($P$1,Database!$A$1:$AS$1,0),FALSE)</f>
        <v>86.936270962999998</v>
      </c>
      <c r="Q234" s="85">
        <f>(((Table134567891011121314151617343[[#This Row],[JPN]]-VLOOKUP($U$1,A:Q,16,))/VLOOKUP($U$1,A:Q,16,))*100)+100</f>
        <v>87.282232274125946</v>
      </c>
    </row>
    <row r="235" spans="1:17" s="87" customFormat="1" x14ac:dyDescent="0.2">
      <c r="A235" s="22">
        <v>39965</v>
      </c>
      <c r="B235" s="85">
        <f>VLOOKUP(A235,Database!$A:$AS,MATCH($B$1,Database!$A$1:$AS$1,0),FALSE)</f>
        <v>98.691775684999996</v>
      </c>
      <c r="C235" s="85">
        <f>VLOOKUP(A235,Database!$A:$AS,MATCH($C$1,Database!$A$1:$AS$1,0),FALSE)</f>
        <v>95.13</v>
      </c>
      <c r="D235" s="85">
        <f>VLOOKUP(A235,Database!$A:$AS,MATCH($D$1,Database!$A$1:$AS$1,0),FALSE)</f>
        <v>80.293308890999995</v>
      </c>
      <c r="E235" s="85">
        <f>VLOOKUP(A235,Database!$A:$AS,MATCH($E$1,Database!$A$1:$AS$1,0),FALSE)</f>
        <v>103.712086427</v>
      </c>
      <c r="F235" s="85">
        <f>VLOOKUP(A235,Database!$A:$AS,MATCH($F$1,Database!$A$1:$AS$1,0),FALSE)</f>
        <v>89.3</v>
      </c>
      <c r="G235" s="85">
        <f>VLOOKUP(A235,Database!$A:$AS,MATCH($G$1,Database!$A$1:$AS$1,0),FALSE)</f>
        <v>98.727370496999995</v>
      </c>
      <c r="H235" s="85">
        <f>(((Table134567891011121314151617343[[#This Row],[ITA]]-VLOOKUP($U$1,A:B,2,))/VLOOKUP($U$1,A:B,2,))*100)+100</f>
        <v>81.167763157626226</v>
      </c>
      <c r="I235" s="85">
        <f>(((Table134567891011121314151617343[[#This Row],[FRA]]-VLOOKUP($U$1,A:C,3,))/VLOOKUP($U$1,A:C,3,))*100)+100</f>
        <v>92.818811591374768</v>
      </c>
      <c r="J235" s="85">
        <f>(((Table134567891011121314151617343[[#This Row],[DEU]]-VLOOKUP($U$1,A:D,4,))/VLOOKUP($U$1,A:D,4,))*100)+100</f>
        <v>106.78191489302282</v>
      </c>
      <c r="K235" s="85">
        <f>(((Table134567891011121314151617343[[#This Row],[ESP]]-VLOOKUP($U$1,A:E,5,))/VLOOKUP($U$1,A:E,5,))*100)+100</f>
        <v>87.174918046602301</v>
      </c>
      <c r="L235" s="85">
        <f>(((Table134567891011121314151617343[[#This Row],[EA19]]-VLOOKUP($U$1,A:F,6,))/VLOOKUP($U$1,A:F,6,))*100)+100</f>
        <v>99.888143176733777</v>
      </c>
      <c r="M235" s="85">
        <f>(((Table134567891011121314151617343[[#This Row],[GBR]]-VLOOKUP($U$1,A:G,7,))/VLOOKUP($U$1,A:G,7,))*100)+100</f>
        <v>107.11785297578078</v>
      </c>
      <c r="N235" s="85">
        <f>VLOOKUP(A235,Database!$A:$AS,MATCH($N$1,Database!$A$1:$AS$1,0),FALSE)</f>
        <v>84.036962383000002</v>
      </c>
      <c r="O235" s="85">
        <f>(((Table134567891011121314151617343[[#This Row],[USA]]-VLOOKUP($U$1,A:N,14,))/VLOOKUP($U$1,A:N,14,))*100)+100</f>
        <v>96.746074944152241</v>
      </c>
      <c r="P235" s="85">
        <f>VLOOKUP(A235,Database!$A:$AS,MATCH($P$1,Database!$A$1:$AS$1,0),FALSE)</f>
        <v>88.373234119000003</v>
      </c>
      <c r="Q235" s="85">
        <f>(((Table134567891011121314151617343[[#This Row],[JPN]]-VLOOKUP($U$1,A:Q,16,))/VLOOKUP($U$1,A:Q,16,))*100)+100</f>
        <v>88.724913798903259</v>
      </c>
    </row>
    <row r="236" spans="1:17" s="87" customFormat="1" x14ac:dyDescent="0.2">
      <c r="A236" s="22">
        <v>39995</v>
      </c>
      <c r="B236" s="85">
        <f>VLOOKUP(A236,Database!$A:$AS,MATCH($B$1,Database!$A$1:$AS$1,0),FALSE)</f>
        <v>100.891592367</v>
      </c>
      <c r="C236" s="85">
        <f>VLOOKUP(A236,Database!$A:$AS,MATCH($C$1,Database!$A$1:$AS$1,0),FALSE)</f>
        <v>94.8</v>
      </c>
      <c r="D236" s="85">
        <f>VLOOKUP(A236,Database!$A:$AS,MATCH($D$1,Database!$A$1:$AS$1,0),FALSE)</f>
        <v>79.493375552000003</v>
      </c>
      <c r="E236" s="85">
        <f>VLOOKUP(A236,Database!$A:$AS,MATCH($E$1,Database!$A$1:$AS$1,0),FALSE)</f>
        <v>104.768087307</v>
      </c>
      <c r="F236" s="85">
        <f>VLOOKUP(A236,Database!$A:$AS,MATCH($F$1,Database!$A$1:$AS$1,0),FALSE)</f>
        <v>89.4</v>
      </c>
      <c r="G236" s="85">
        <f>VLOOKUP(A236,Database!$A:$AS,MATCH($G$1,Database!$A$1:$AS$1,0),FALSE)</f>
        <v>99.157555117000001</v>
      </c>
      <c r="H236" s="85">
        <f>(((Table134567891011121314151617343[[#This Row],[ITA]]-VLOOKUP($U$1,A:B,2,))/VLOOKUP($U$1,A:B,2,))*100)+100</f>
        <v>82.976973683989371</v>
      </c>
      <c r="I236" s="85">
        <f>(((Table134567891011121314151617343[[#This Row],[FRA]]-VLOOKUP($U$1,A:C,3,))/VLOOKUP($U$1,A:C,3,))*100)+100</f>
        <v>92.496828958922819</v>
      </c>
      <c r="J236" s="85">
        <f>(((Table134567891011121314151617343[[#This Row],[DEU]]-VLOOKUP($U$1,A:D,4,))/VLOOKUP($U$1,A:D,4,))*100)+100</f>
        <v>105.7180851056473</v>
      </c>
      <c r="K236" s="85">
        <f>(((Table134567891011121314151617343[[#This Row],[ESP]]-VLOOKUP($U$1,A:E,5,))/VLOOKUP($U$1,A:E,5,))*100)+100</f>
        <v>88.062536774010084</v>
      </c>
      <c r="L236" s="85">
        <f>(((Table134567891011121314151617343[[#This Row],[EA19]]-VLOOKUP($U$1,A:F,6,))/VLOOKUP($U$1,A:F,6,))*100)+100</f>
        <v>100</v>
      </c>
      <c r="M236" s="85">
        <f>(((Table134567891011121314151617343[[#This Row],[GBR]]-VLOOKUP($U$1,A:G,7,))/VLOOKUP($U$1,A:G,7,))*100)+100</f>
        <v>107.58459743221297</v>
      </c>
      <c r="N236" s="85">
        <f>VLOOKUP(A236,Database!$A:$AS,MATCH($N$1,Database!$A$1:$AS$1,0),FALSE)</f>
        <v>84.991476198000001</v>
      </c>
      <c r="O236" s="85">
        <f>(((Table134567891011121314151617343[[#This Row],[USA]]-VLOOKUP($U$1,A:N,14,))/VLOOKUP($U$1,A:N,14,))*100)+100</f>
        <v>97.844942186168353</v>
      </c>
      <c r="P236" s="85">
        <f>VLOOKUP(A236,Database!$A:$AS,MATCH($P$1,Database!$A$1:$AS$1,0),FALSE)</f>
        <v>89.399636373999996</v>
      </c>
      <c r="Q236" s="85">
        <f>(((Table134567891011121314151617343[[#This Row],[JPN]]-VLOOKUP($U$1,A:Q,16,))/VLOOKUP($U$1,A:Q,16,))*100)+100</f>
        <v>89.755400603032726</v>
      </c>
    </row>
    <row r="237" spans="1:17" s="87" customFormat="1" x14ac:dyDescent="0.2">
      <c r="A237" s="22">
        <v>40026</v>
      </c>
      <c r="B237" s="85">
        <f>VLOOKUP(A237,Database!$A:$AS,MATCH($B$1,Database!$A$1:$AS$1,0),FALSE)</f>
        <v>98.591784017999998</v>
      </c>
      <c r="C237" s="85">
        <f>VLOOKUP(A237,Database!$A:$AS,MATCH($C$1,Database!$A$1:$AS$1,0),FALSE)</f>
        <v>96.35</v>
      </c>
      <c r="D237" s="85">
        <f>VLOOKUP(A237,Database!$A:$AS,MATCH($D$1,Database!$A$1:$AS$1,0),FALSE)</f>
        <v>80.493292225999994</v>
      </c>
      <c r="E237" s="85">
        <f>VLOOKUP(A237,Database!$A:$AS,MATCH($E$1,Database!$A$1:$AS$1,0),FALSE)</f>
        <v>104.86708738900001</v>
      </c>
      <c r="F237" s="85">
        <f>VLOOKUP(A237,Database!$A:$AS,MATCH($F$1,Database!$A$1:$AS$1,0),FALSE)</f>
        <v>89.4</v>
      </c>
      <c r="G237" s="85">
        <f>VLOOKUP(A237,Database!$A:$AS,MATCH($G$1,Database!$A$1:$AS$1,0),FALSE)</f>
        <v>96.361355082000003</v>
      </c>
      <c r="H237" s="85">
        <f>(((Table134567891011121314151617343[[#This Row],[ITA]]-VLOOKUP($U$1,A:B,2,))/VLOOKUP($U$1,A:B,2,))*100)+100</f>
        <v>81.085526315817887</v>
      </c>
      <c r="I237" s="85">
        <f>(((Table134567891011121314151617343[[#This Row],[FRA]]-VLOOKUP($U$1,A:C,3,))/VLOOKUP($U$1,A:C,3,))*100)+100</f>
        <v>94.009171626500148</v>
      </c>
      <c r="J237" s="85">
        <f>(((Table134567891011121314151617343[[#This Row],[DEU]]-VLOOKUP($U$1,A:D,4,))/VLOOKUP($U$1,A:D,4,))*100)+100</f>
        <v>107.04787234019916</v>
      </c>
      <c r="K237" s="85">
        <f>(((Table134567891011121314151617343[[#This Row],[ESP]]-VLOOKUP($U$1,A:E,5,))/VLOOKUP($U$1,A:E,5,))*100)+100</f>
        <v>88.145751029284298</v>
      </c>
      <c r="L237" s="85">
        <f>(((Table134567891011121314151617343[[#This Row],[EA19]]-VLOOKUP($U$1,A:F,6,))/VLOOKUP($U$1,A:F,6,))*100)+100</f>
        <v>100</v>
      </c>
      <c r="M237" s="85">
        <f>(((Table134567891011121314151617343[[#This Row],[GBR]]-VLOOKUP($U$1,A:G,7,))/VLOOKUP($U$1,A:G,7,))*100)+100</f>
        <v>104.55075845997878</v>
      </c>
      <c r="N237" s="85">
        <f>VLOOKUP(A237,Database!$A:$AS,MATCH($N$1,Database!$A$1:$AS$1,0),FALSE)</f>
        <v>85.945296182000007</v>
      </c>
      <c r="O237" s="85">
        <f>(((Table134567891011121314151617343[[#This Row],[USA]]-VLOOKUP($U$1,A:N,14,))/VLOOKUP($U$1,A:N,14,))*100)+100</f>
        <v>98.943010667448462</v>
      </c>
      <c r="P237" s="85">
        <f>VLOOKUP(A237,Database!$A:$AS,MATCH($P$1,Database!$A$1:$AS$1,0),FALSE)</f>
        <v>90.733959304999999</v>
      </c>
      <c r="Q237" s="85">
        <f>(((Table134567891011121314151617343[[#This Row],[JPN]]-VLOOKUP($U$1,A:Q,16,))/VLOOKUP($U$1,A:Q,16,))*100)+100</f>
        <v>91.09503344789907</v>
      </c>
    </row>
    <row r="238" spans="1:17" s="87" customFormat="1" x14ac:dyDescent="0.2">
      <c r="A238" s="22">
        <v>40057</v>
      </c>
      <c r="B238" s="85">
        <f>VLOOKUP(A238,Database!$A:$AS,MATCH($B$1,Database!$A$1:$AS$1,0),FALSE)</f>
        <v>101.49154237099999</v>
      </c>
      <c r="C238" s="85">
        <f>VLOOKUP(A238,Database!$A:$AS,MATCH($C$1,Database!$A$1:$AS$1,0),FALSE)</f>
        <v>96.84</v>
      </c>
      <c r="D238" s="85">
        <f>VLOOKUP(A238,Database!$A:$AS,MATCH($D$1,Database!$A$1:$AS$1,0),FALSE)</f>
        <v>84.092992250999998</v>
      </c>
      <c r="E238" s="85">
        <f>VLOOKUP(A238,Database!$A:$AS,MATCH($E$1,Database!$A$1:$AS$1,0),FALSE)</f>
        <v>106.012088343</v>
      </c>
      <c r="F238" s="85">
        <f>VLOOKUP(A238,Database!$A:$AS,MATCH($F$1,Database!$A$1:$AS$1,0),FALSE)</f>
        <v>91.6</v>
      </c>
      <c r="G238" s="85">
        <f>VLOOKUP(A238,Database!$A:$AS,MATCH($G$1,Database!$A$1:$AS$1,0),FALSE)</f>
        <v>97.436816633999996</v>
      </c>
      <c r="H238" s="85">
        <f>(((Table134567891011121314151617343[[#This Row],[ITA]]-VLOOKUP($U$1,A:B,2,))/VLOOKUP($U$1,A:B,2,))*100)+100</f>
        <v>83.470394736484323</v>
      </c>
      <c r="I238" s="85">
        <f>(((Table134567891011121314151617343[[#This Row],[FRA]]-VLOOKUP($U$1,A:C,3,))/VLOOKUP($U$1,A:C,3,))*100)+100</f>
        <v>94.487267050443961</v>
      </c>
      <c r="J238" s="85">
        <f>(((Table134567891011121314151617343[[#This Row],[DEU]]-VLOOKUP($U$1,A:D,4,))/VLOOKUP($U$1,A:D,4,))*100)+100</f>
        <v>111.83510638272406</v>
      </c>
      <c r="K238" s="85">
        <f>(((Table134567891011121314151617343[[#This Row],[ESP]]-VLOOKUP($U$1,A:E,5,))/VLOOKUP($U$1,A:E,5,))*100)+100</f>
        <v>89.108178531873278</v>
      </c>
      <c r="L238" s="85">
        <f>(((Table134567891011121314151617343[[#This Row],[EA19]]-VLOOKUP($U$1,A:F,6,))/VLOOKUP($U$1,A:F,6,))*100)+100</f>
        <v>102.46085011185681</v>
      </c>
      <c r="M238" s="85">
        <f>(((Table134567891011121314151617343[[#This Row],[GBR]]-VLOOKUP($U$1,A:G,7,))/VLOOKUP($U$1,A:G,7,))*100)+100</f>
        <v>105.71761960322924</v>
      </c>
      <c r="N238" s="85">
        <f>VLOOKUP(A238,Database!$A:$AS,MATCH($N$1,Database!$A$1:$AS$1,0),FALSE)</f>
        <v>86.636947003000003</v>
      </c>
      <c r="O238" s="85">
        <f>(((Table134567891011121314151617343[[#This Row],[USA]]-VLOOKUP($U$1,A:N,14,))/VLOOKUP($U$1,A:N,14,))*100)+100</f>
        <v>99.739261510722471</v>
      </c>
      <c r="P238" s="85">
        <f>VLOOKUP(A238,Database!$A:$AS,MATCH($P$1,Database!$A$1:$AS$1,0),FALSE)</f>
        <v>93.505245392000006</v>
      </c>
      <c r="Q238" s="85">
        <f>(((Table134567891011121314151617343[[#This Row],[JPN]]-VLOOKUP($U$1,A:Q,16,))/VLOOKUP($U$1,A:Q,16,))*100)+100</f>
        <v>93.877347817542713</v>
      </c>
    </row>
    <row r="239" spans="1:17" s="87" customFormat="1" x14ac:dyDescent="0.2">
      <c r="A239" s="22">
        <v>40087</v>
      </c>
      <c r="B239" s="85">
        <f>VLOOKUP(A239,Database!$A:$AS,MATCH($B$1,Database!$A$1:$AS$1,0),FALSE)</f>
        <v>103.19140071699999</v>
      </c>
      <c r="C239" s="85">
        <f>VLOOKUP(A239,Database!$A:$AS,MATCH($C$1,Database!$A$1:$AS$1,0),FALSE)</f>
        <v>96.19</v>
      </c>
      <c r="D239" s="85">
        <f>VLOOKUP(A239,Database!$A:$AS,MATCH($D$1,Database!$A$1:$AS$1,0),FALSE)</f>
        <v>82.293142238000001</v>
      </c>
      <c r="E239" s="85">
        <f>VLOOKUP(A239,Database!$A:$AS,MATCH($E$1,Database!$A$1:$AS$1,0),FALSE)</f>
        <v>105.349087791</v>
      </c>
      <c r="F239" s="85">
        <f>VLOOKUP(A239,Database!$A:$AS,MATCH($F$1,Database!$A$1:$AS$1,0),FALSE)</f>
        <v>91.2</v>
      </c>
      <c r="G239" s="85">
        <f>VLOOKUP(A239,Database!$A:$AS,MATCH($G$1,Database!$A$1:$AS$1,0),FALSE)</f>
        <v>97.114178167999995</v>
      </c>
      <c r="H239" s="85">
        <f>(((Table134567891011121314151617343[[#This Row],[ITA]]-VLOOKUP($U$1,A:B,2,))/VLOOKUP($U$1,A:B,2,))*100)+100</f>
        <v>84.86842105298328</v>
      </c>
      <c r="I239" s="85">
        <f>(((Table134567891011121314151617343[[#This Row],[FRA]]-VLOOKUP($U$1,A:C,3,))/VLOOKUP($U$1,A:C,3,))*100)+100</f>
        <v>93.853058835008298</v>
      </c>
      <c r="J239" s="85">
        <f>(((Table134567891011121314151617343[[#This Row],[DEU]]-VLOOKUP($U$1,A:D,4,))/VLOOKUP($U$1,A:D,4,))*100)+100</f>
        <v>109.44148936079668</v>
      </c>
      <c r="K239" s="85">
        <f>(((Table134567891011121314151617343[[#This Row],[ESP]]-VLOOKUP($U$1,A:E,5,))/VLOOKUP($U$1,A:E,5,))*100)+100</f>
        <v>88.550895183551745</v>
      </c>
      <c r="L239" s="85">
        <f>(((Table134567891011121314151617343[[#This Row],[EA19]]-VLOOKUP($U$1,A:F,6,))/VLOOKUP($U$1,A:F,6,))*100)+100</f>
        <v>102.01342281879194</v>
      </c>
      <c r="M239" s="85">
        <f>(((Table134567891011121314151617343[[#This Row],[GBR]]-VLOOKUP($U$1,A:G,7,))/VLOOKUP($U$1,A:G,7,))*100)+100</f>
        <v>105.36756125982011</v>
      </c>
      <c r="N239" s="85">
        <f>VLOOKUP(A239,Database!$A:$AS,MATCH($N$1,Database!$A$1:$AS$1,0),FALSE)</f>
        <v>86.887023674999995</v>
      </c>
      <c r="O239" s="85">
        <f>(((Table134567891011121314151617343[[#This Row],[USA]]-VLOOKUP($U$1,A:N,14,))/VLOOKUP($U$1,A:N,14,))*100)+100</f>
        <v>100.02715788114138</v>
      </c>
      <c r="P239" s="85">
        <f>VLOOKUP(A239,Database!$A:$AS,MATCH($P$1,Database!$A$1:$AS$1,0),FALSE)</f>
        <v>96.071251028000006</v>
      </c>
      <c r="Q239" s="85">
        <f>(((Table134567891011121314151617343[[#This Row],[JPN]]-VLOOKUP($U$1,A:Q,16,))/VLOOKUP($U$1,A:Q,16,))*100)+100</f>
        <v>96.453564826360449</v>
      </c>
    </row>
    <row r="240" spans="1:17" s="87" customFormat="1" x14ac:dyDescent="0.2">
      <c r="A240" s="22">
        <v>40118</v>
      </c>
      <c r="B240" s="85">
        <f>VLOOKUP(A240,Database!$A:$AS,MATCH($B$1,Database!$A$1:$AS$1,0),FALSE)</f>
        <v>103.491375719</v>
      </c>
      <c r="C240" s="85">
        <f>VLOOKUP(A240,Database!$A:$AS,MATCH($C$1,Database!$A$1:$AS$1,0),FALSE)</f>
        <v>97.14</v>
      </c>
      <c r="D240" s="85">
        <f>VLOOKUP(A240,Database!$A:$AS,MATCH($D$1,Database!$A$1:$AS$1,0),FALSE)</f>
        <v>83.293058912000006</v>
      </c>
      <c r="E240" s="85">
        <f>VLOOKUP(A240,Database!$A:$AS,MATCH($E$1,Database!$A$1:$AS$1,0),FALSE)</f>
        <v>104.77408731200001</v>
      </c>
      <c r="F240" s="85">
        <f>VLOOKUP(A240,Database!$A:$AS,MATCH($F$1,Database!$A$1:$AS$1,0),FALSE)</f>
        <v>91.5</v>
      </c>
      <c r="G240" s="85">
        <f>VLOOKUP(A240,Database!$A:$AS,MATCH($G$1,Database!$A$1:$AS$1,0),FALSE)</f>
        <v>97.114178167999995</v>
      </c>
      <c r="H240" s="85">
        <f>(((Table134567891011121314151617343[[#This Row],[ITA]]-VLOOKUP($U$1,A:B,2,))/VLOOKUP($U$1,A:B,2,))*100)+100</f>
        <v>85.115131579230763</v>
      </c>
      <c r="I240" s="85">
        <f>(((Table134567891011121314151617343[[#This Row],[FRA]]-VLOOKUP($U$1,A:C,3,))/VLOOKUP($U$1,A:C,3,))*100)+100</f>
        <v>94.779978534491178</v>
      </c>
      <c r="J240" s="85">
        <f>(((Table134567891011121314151617343[[#This Row],[DEU]]-VLOOKUP($U$1,A:D,4,))/VLOOKUP($U$1,A:D,4,))*100)+100</f>
        <v>110.77127659534855</v>
      </c>
      <c r="K240" s="85">
        <f>(((Table134567891011121314151617343[[#This Row],[ESP]]-VLOOKUP($U$1,A:E,5,))/VLOOKUP($U$1,A:E,5,))*100)+100</f>
        <v>88.067580062234001</v>
      </c>
      <c r="L240" s="85">
        <f>(((Table134567891011121314151617343[[#This Row],[EA19]]-VLOOKUP($U$1,A:F,6,))/VLOOKUP($U$1,A:F,6,))*100)+100</f>
        <v>102.34899328859059</v>
      </c>
      <c r="M240" s="85">
        <f>(((Table134567891011121314151617343[[#This Row],[GBR]]-VLOOKUP($U$1,A:G,7,))/VLOOKUP($U$1,A:G,7,))*100)+100</f>
        <v>105.36756125982011</v>
      </c>
      <c r="N240" s="85">
        <f>VLOOKUP(A240,Database!$A:$AS,MATCH($N$1,Database!$A$1:$AS$1,0),FALSE)</f>
        <v>87.230569353999996</v>
      </c>
      <c r="O240" s="85">
        <f>(((Table134567891011121314151617343[[#This Row],[USA]]-VLOOKUP($U$1,A:N,14,))/VLOOKUP($U$1,A:N,14,))*100)+100</f>
        <v>100.42265880198377</v>
      </c>
      <c r="P240" s="85">
        <f>VLOOKUP(A240,Database!$A:$AS,MATCH($P$1,Database!$A$1:$AS$1,0),FALSE)</f>
        <v>98.021415312000002</v>
      </c>
      <c r="Q240" s="85">
        <f>(((Table134567891011121314151617343[[#This Row],[JPN]]-VLOOKUP($U$1,A:Q,16,))/VLOOKUP($U$1,A:Q,16,))*100)+100</f>
        <v>98.411489753704473</v>
      </c>
    </row>
    <row r="241" spans="1:17" s="87" customFormat="1" x14ac:dyDescent="0.2">
      <c r="A241" s="22">
        <v>40148</v>
      </c>
      <c r="B241" s="85">
        <f>VLOOKUP(A241,Database!$A:$AS,MATCH($B$1,Database!$A$1:$AS$1,0),FALSE)</f>
        <v>101.991500708</v>
      </c>
      <c r="C241" s="85">
        <f>VLOOKUP(A241,Database!$A:$AS,MATCH($C$1,Database!$A$1:$AS$1,0),FALSE)</f>
        <v>96.84</v>
      </c>
      <c r="D241" s="85">
        <f>VLOOKUP(A241,Database!$A:$AS,MATCH($D$1,Database!$A$1:$AS$1,0),FALSE)</f>
        <v>83.293058912000006</v>
      </c>
      <c r="E241" s="85">
        <f>VLOOKUP(A241,Database!$A:$AS,MATCH($E$1,Database!$A$1:$AS$1,0),FALSE)</f>
        <v>105.671088059</v>
      </c>
      <c r="F241" s="85">
        <f>VLOOKUP(A241,Database!$A:$AS,MATCH($F$1,Database!$A$1:$AS$1,0),FALSE)</f>
        <v>91.5</v>
      </c>
      <c r="G241" s="85">
        <f>VLOOKUP(A241,Database!$A:$AS,MATCH($G$1,Database!$A$1:$AS$1,0),FALSE)</f>
        <v>96.683993547</v>
      </c>
      <c r="H241" s="85">
        <f>(((Table134567891011121314151617343[[#This Row],[ITA]]-VLOOKUP($U$1,A:B,2,))/VLOOKUP($U$1,A:B,2,))*100)+100</f>
        <v>83.881578947170937</v>
      </c>
      <c r="I241" s="85">
        <f>(((Table134567891011121314151617343[[#This Row],[FRA]]-VLOOKUP($U$1,A:C,3,))/VLOOKUP($U$1,A:C,3,))*100)+100</f>
        <v>94.487267050443961</v>
      </c>
      <c r="J241" s="85">
        <f>(((Table134567891011121314151617343[[#This Row],[DEU]]-VLOOKUP($U$1,A:D,4,))/VLOOKUP($U$1,A:D,4,))*100)+100</f>
        <v>110.77127659534855</v>
      </c>
      <c r="K241" s="85">
        <f>(((Table134567891011121314151617343[[#This Row],[ESP]]-VLOOKUP($U$1,A:E,5,))/VLOOKUP($U$1,A:E,5,))*100)+100</f>
        <v>88.821551651287947</v>
      </c>
      <c r="L241" s="85">
        <f>(((Table134567891011121314151617343[[#This Row],[EA19]]-VLOOKUP($U$1,A:F,6,))/VLOOKUP($U$1,A:F,6,))*100)+100</f>
        <v>102.34899328859059</v>
      </c>
      <c r="M241" s="85">
        <f>(((Table134567891011121314151617343[[#This Row],[GBR]]-VLOOKUP($U$1,A:G,7,))/VLOOKUP($U$1,A:G,7,))*100)+100</f>
        <v>104.90081680230293</v>
      </c>
      <c r="N241" s="85">
        <f>VLOOKUP(A241,Database!$A:$AS,MATCH($N$1,Database!$A$1:$AS$1,0),FALSE)</f>
        <v>87.503938938999994</v>
      </c>
      <c r="O241" s="85">
        <f>(((Table134567891011121314151617343[[#This Row],[USA]]-VLOOKUP($U$1,A:N,14,))/VLOOKUP($U$1,A:N,14,))*100)+100</f>
        <v>100.73737072883004</v>
      </c>
      <c r="P241" s="85">
        <f>VLOOKUP(A241,Database!$A:$AS,MATCH($P$1,Database!$A$1:$AS$1,0),FALSE)</f>
        <v>98.842537116000003</v>
      </c>
      <c r="Q241" s="85">
        <f>(((Table134567891011121314151617343[[#This Row],[JPN]]-VLOOKUP($U$1,A:Q,16,))/VLOOKUP($U$1,A:Q,16,))*100)+100</f>
        <v>99.23587919700806</v>
      </c>
    </row>
    <row r="242" spans="1:17" s="87" customFormat="1" x14ac:dyDescent="0.2">
      <c r="A242" s="22">
        <v>40179</v>
      </c>
      <c r="B242" s="85">
        <f>VLOOKUP(A242,Database!$A:$AS,MATCH($B$1,Database!$A$1:$AS$1,0),FALSE)</f>
        <v>105.59120073299999</v>
      </c>
      <c r="C242" s="85">
        <f>VLOOKUP(A242,Database!$A:$AS,MATCH($C$1,Database!$A$1:$AS$1,0),FALSE)</f>
        <v>97.87</v>
      </c>
      <c r="D242" s="85">
        <f>VLOOKUP(A242,Database!$A:$AS,MATCH($D$1,Database!$A$1:$AS$1,0),FALSE)</f>
        <v>84.092992250999998</v>
      </c>
      <c r="E242" s="85">
        <f>VLOOKUP(A242,Database!$A:$AS,MATCH($E$1,Database!$A$1:$AS$1,0),FALSE)</f>
        <v>104.33708694800001</v>
      </c>
      <c r="F242" s="85">
        <f>VLOOKUP(A242,Database!$A:$AS,MATCH($F$1,Database!$A$1:$AS$1,0),FALSE)</f>
        <v>93.1</v>
      </c>
      <c r="G242" s="85">
        <f>VLOOKUP(A242,Database!$A:$AS,MATCH($G$1,Database!$A$1:$AS$1,0),FALSE)</f>
        <v>96.791539701999994</v>
      </c>
      <c r="H242" s="85">
        <f>(((Table134567891011121314151617343[[#This Row],[ITA]]-VLOOKUP($U$1,A:B,2,))/VLOOKUP($U$1,A:B,2,))*100)+100</f>
        <v>86.842105262963102</v>
      </c>
      <c r="I242" s="85">
        <f>(((Table134567891011121314151617343[[#This Row],[FRA]]-VLOOKUP($U$1,A:C,3,))/VLOOKUP($U$1,A:C,3,))*100)+100</f>
        <v>95.492243145672759</v>
      </c>
      <c r="J242" s="85">
        <f>(((Table134567891011121314151617343[[#This Row],[DEU]]-VLOOKUP($U$1,A:D,4,))/VLOOKUP($U$1,A:D,4,))*100)+100</f>
        <v>111.83510638272406</v>
      </c>
      <c r="K242" s="85">
        <f>(((Table134567891011121314151617343[[#This Row],[ESP]]-VLOOKUP($U$1,A:E,5,))/VLOOKUP($U$1,A:E,5,))*100)+100</f>
        <v>87.700260570066135</v>
      </c>
      <c r="L242" s="85">
        <f>(((Table134567891011121314151617343[[#This Row],[EA19]]-VLOOKUP($U$1,A:F,6,))/VLOOKUP($U$1,A:F,6,))*100)+100</f>
        <v>104.1387024608501</v>
      </c>
      <c r="M242" s="85">
        <f>(((Table134567891011121314151617343[[#This Row],[GBR]]-VLOOKUP($U$1,A:G,7,))/VLOOKUP($U$1,A:G,7,))*100)+100</f>
        <v>105.01750291641096</v>
      </c>
      <c r="N242" s="85">
        <f>VLOOKUP(A242,Database!$A:$AS,MATCH($N$1,Database!$A$1:$AS$1,0),FALSE)</f>
        <v>88.487692792999994</v>
      </c>
      <c r="O242" s="85">
        <f>(((Table134567891011121314151617343[[#This Row],[USA]]-VLOOKUP($U$1,A:N,14,))/VLOOKUP($U$1,A:N,14,))*100)+100</f>
        <v>101.86990005148598</v>
      </c>
      <c r="P242" s="85">
        <f>VLOOKUP(A242,Database!$A:$AS,MATCH($P$1,Database!$A$1:$AS$1,0),FALSE)</f>
        <v>101.10062207599999</v>
      </c>
      <c r="Q242" s="85">
        <f>(((Table134567891011121314151617343[[#This Row],[JPN]]-VLOOKUP($U$1,A:Q,16,))/VLOOKUP($U$1,A:Q,16,))*100)+100</f>
        <v>101.50295016508893</v>
      </c>
    </row>
    <row r="243" spans="1:17" s="87" customFormat="1" x14ac:dyDescent="0.2">
      <c r="A243" s="22">
        <v>40210</v>
      </c>
      <c r="B243" s="85">
        <f>VLOOKUP(A243,Database!$A:$AS,MATCH($B$1,Database!$A$1:$AS$1,0),FALSE)</f>
        <v>104.59128406000001</v>
      </c>
      <c r="C243" s="85">
        <f>VLOOKUP(A243,Database!$A:$AS,MATCH($C$1,Database!$A$1:$AS$1,0),FALSE)</f>
        <v>97.23</v>
      </c>
      <c r="D243" s="85">
        <f>VLOOKUP(A243,Database!$A:$AS,MATCH($D$1,Database!$A$1:$AS$1,0),FALSE)</f>
        <v>83.293058912000006</v>
      </c>
      <c r="E243" s="85">
        <f>VLOOKUP(A243,Database!$A:$AS,MATCH($E$1,Database!$A$1:$AS$1,0),FALSE)</f>
        <v>104.19008682499999</v>
      </c>
      <c r="F243" s="85">
        <f>VLOOKUP(A243,Database!$A:$AS,MATCH($F$1,Database!$A$1:$AS$1,0),FALSE)</f>
        <v>92.6</v>
      </c>
      <c r="G243" s="85">
        <f>VLOOKUP(A243,Database!$A:$AS,MATCH($G$1,Database!$A$1:$AS$1,0),FALSE)</f>
        <v>97.114178167999995</v>
      </c>
      <c r="H243" s="85">
        <f>(((Table134567891011121314151617343[[#This Row],[ITA]]-VLOOKUP($U$1,A:B,2,))/VLOOKUP($U$1,A:B,2,))*100)+100</f>
        <v>86.019736842412328</v>
      </c>
      <c r="I243" s="85">
        <f>(((Table134567891011121314151617343[[#This Row],[FRA]]-VLOOKUP($U$1,A:C,3,))/VLOOKUP($U$1,A:C,3,))*100)+100</f>
        <v>94.867791979705345</v>
      </c>
      <c r="J243" s="85">
        <f>(((Table134567891011121314151617343[[#This Row],[DEU]]-VLOOKUP($U$1,A:D,4,))/VLOOKUP($U$1,A:D,4,))*100)+100</f>
        <v>110.77127659534855</v>
      </c>
      <c r="K243" s="85">
        <f>(((Table134567891011121314151617343[[#This Row],[ESP]]-VLOOKUP($U$1,A:E,5,))/VLOOKUP($U$1,A:E,5,))*100)+100</f>
        <v>87.576700008160103</v>
      </c>
      <c r="L243" s="85">
        <f>(((Table134567891011121314151617343[[#This Row],[EA19]]-VLOOKUP($U$1,A:F,6,))/VLOOKUP($U$1,A:F,6,))*100)+100</f>
        <v>103.579418344519</v>
      </c>
      <c r="M243" s="85">
        <f>(((Table134567891011121314151617343[[#This Row],[GBR]]-VLOOKUP($U$1,A:G,7,))/VLOOKUP($U$1,A:G,7,))*100)+100</f>
        <v>105.36756125982011</v>
      </c>
      <c r="N243" s="85">
        <f>VLOOKUP(A243,Database!$A:$AS,MATCH($N$1,Database!$A$1:$AS$1,0),FALSE)</f>
        <v>88.775533719999999</v>
      </c>
      <c r="O243" s="85">
        <f>(((Table134567891011121314151617343[[#This Row],[USA]]-VLOOKUP($U$1,A:N,14,))/VLOOKUP($U$1,A:N,14,))*100)+100</f>
        <v>102.20127185629518</v>
      </c>
      <c r="P243" s="85">
        <f>VLOOKUP(A243,Database!$A:$AS,MATCH($P$1,Database!$A$1:$AS$1,0),FALSE)</f>
        <v>101.408542752</v>
      </c>
      <c r="Q243" s="85">
        <f>(((Table134567891011121314151617343[[#This Row],[JPN]]-VLOOKUP($U$1,A:Q,16,))/VLOOKUP($U$1,A:Q,16,))*100)+100</f>
        <v>101.8120962058258</v>
      </c>
    </row>
    <row r="244" spans="1:17" s="87" customFormat="1" x14ac:dyDescent="0.2">
      <c r="A244" s="22">
        <v>40238</v>
      </c>
      <c r="B244" s="85">
        <f>VLOOKUP(A244,Database!$A:$AS,MATCH($B$1,Database!$A$1:$AS$1,0),FALSE)</f>
        <v>105.191234064</v>
      </c>
      <c r="C244" s="85">
        <f>VLOOKUP(A244,Database!$A:$AS,MATCH($C$1,Database!$A$1:$AS$1,0),FALSE)</f>
        <v>99.16</v>
      </c>
      <c r="D244" s="85">
        <f>VLOOKUP(A244,Database!$A:$AS,MATCH($D$1,Database!$A$1:$AS$1,0),FALSE)</f>
        <v>86.092825598000005</v>
      </c>
      <c r="E244" s="85">
        <f>VLOOKUP(A244,Database!$A:$AS,MATCH($E$1,Database!$A$1:$AS$1,0),FALSE)</f>
        <v>106.846089038</v>
      </c>
      <c r="F244" s="85">
        <f>VLOOKUP(A244,Database!$A:$AS,MATCH($F$1,Database!$A$1:$AS$1,0),FALSE)</f>
        <v>94.3</v>
      </c>
      <c r="G244" s="85">
        <f>VLOOKUP(A244,Database!$A:$AS,MATCH($G$1,Database!$A$1:$AS$1,0),FALSE)</f>
        <v>98.727370496999995</v>
      </c>
      <c r="H244" s="85">
        <f>(((Table134567891011121314151617343[[#This Row],[ITA]]-VLOOKUP($U$1,A:B,2,))/VLOOKUP($U$1,A:B,2,))*100)+100</f>
        <v>86.51315789490728</v>
      </c>
      <c r="I244" s="85">
        <f>(((Table134567891011121314151617343[[#This Row],[FRA]]-VLOOKUP($U$1,A:C,3,))/VLOOKUP($U$1,A:C,3,))*100)+100</f>
        <v>96.750902527075809</v>
      </c>
      <c r="J244" s="85">
        <f>(((Table134567891011121314151617343[[#This Row],[DEU]]-VLOOKUP($U$1,A:D,4,))/VLOOKUP($U$1,A:D,4,))*100)+100</f>
        <v>114.49468085049793</v>
      </c>
      <c r="K244" s="85">
        <f>(((Table134567891011121314151617343[[#This Row],[ESP]]-VLOOKUP($U$1,A:E,5,))/VLOOKUP($U$1,A:E,5,))*100)+100</f>
        <v>89.809195594996481</v>
      </c>
      <c r="L244" s="85">
        <f>(((Table134567891011121314151617343[[#This Row],[EA19]]-VLOOKUP($U$1,A:F,6,))/VLOOKUP($U$1,A:F,6,))*100)+100</f>
        <v>105.48098434004473</v>
      </c>
      <c r="M244" s="85">
        <f>(((Table134567891011121314151617343[[#This Row],[GBR]]-VLOOKUP($U$1,A:G,7,))/VLOOKUP($U$1,A:G,7,))*100)+100</f>
        <v>107.11785297578078</v>
      </c>
      <c r="N244" s="85">
        <f>VLOOKUP(A244,Database!$A:$AS,MATCH($N$1,Database!$A$1:$AS$1,0),FALSE)</f>
        <v>89.434475344000006</v>
      </c>
      <c r="O244" s="85">
        <f>(((Table134567891011121314151617343[[#This Row],[USA]]-VLOOKUP($U$1,A:N,14,))/VLOOKUP($U$1,A:N,14,))*100)+100</f>
        <v>102.95986681179565</v>
      </c>
      <c r="P244" s="85">
        <f>VLOOKUP(A244,Database!$A:$AS,MATCH($P$1,Database!$A$1:$AS$1,0),FALSE)</f>
        <v>101.716463429</v>
      </c>
      <c r="Q244" s="85">
        <f>(((Table134567891011121314151617343[[#This Row],[JPN]]-VLOOKUP($U$1,A:Q,16,))/VLOOKUP($U$1,A:Q,16,))*100)+100</f>
        <v>102.12124224756664</v>
      </c>
    </row>
    <row r="245" spans="1:17" s="87" customFormat="1" x14ac:dyDescent="0.2">
      <c r="A245" s="22">
        <v>40269</v>
      </c>
      <c r="B245" s="85">
        <f>VLOOKUP(A245,Database!$A:$AS,MATCH($B$1,Database!$A$1:$AS$1,0),FALSE)</f>
        <v>106.09115907</v>
      </c>
      <c r="C245" s="85">
        <f>VLOOKUP(A245,Database!$A:$AS,MATCH($C$1,Database!$A$1:$AS$1,0),FALSE)</f>
        <v>98.76</v>
      </c>
      <c r="D245" s="85">
        <f>VLOOKUP(A245,Database!$A:$AS,MATCH($D$1,Database!$A$1:$AS$1,0),FALSE)</f>
        <v>87.692692276000002</v>
      </c>
      <c r="E245" s="85">
        <f>VLOOKUP(A245,Database!$A:$AS,MATCH($E$1,Database!$A$1:$AS$1,0),FALSE)</f>
        <v>106.840089033</v>
      </c>
      <c r="F245" s="85">
        <f>VLOOKUP(A245,Database!$A:$AS,MATCH($F$1,Database!$A$1:$AS$1,0),FALSE)</f>
        <v>94.8</v>
      </c>
      <c r="G245" s="85">
        <f>VLOOKUP(A245,Database!$A:$AS,MATCH($G$1,Database!$A$1:$AS$1,0),FALSE)</f>
        <v>98.942462806999998</v>
      </c>
      <c r="H245" s="85">
        <f>(((Table134567891011121314151617343[[#This Row],[ITA]]-VLOOKUP($U$1,A:B,2,))/VLOOKUP($U$1,A:B,2,))*100)+100</f>
        <v>87.253289473649716</v>
      </c>
      <c r="I245" s="85">
        <f>(((Table134567891011121314151617343[[#This Row],[FRA]]-VLOOKUP($U$1,A:C,3,))/VLOOKUP($U$1,A:C,3,))*100)+100</f>
        <v>96.360620548346191</v>
      </c>
      <c r="J245" s="85">
        <f>(((Table134567891011121314151617343[[#This Row],[DEU]]-VLOOKUP($U$1,A:D,4,))/VLOOKUP($U$1,A:D,4,))*100)+100</f>
        <v>116.62234042524896</v>
      </c>
      <c r="K245" s="85">
        <f>(((Table134567891011121314151617343[[#This Row],[ESP]]-VLOOKUP($U$1,A:E,5,))/VLOOKUP($U$1,A:E,5,))*100)+100</f>
        <v>89.804152306772565</v>
      </c>
      <c r="L245" s="85">
        <f>(((Table134567891011121314151617343[[#This Row],[EA19]]-VLOOKUP($U$1,A:F,6,))/VLOOKUP($U$1,A:F,6,))*100)+100</f>
        <v>106.04026845637583</v>
      </c>
      <c r="M245" s="85">
        <f>(((Table134567891011121314151617343[[#This Row],[GBR]]-VLOOKUP($U$1,A:G,7,))/VLOOKUP($U$1,A:G,7,))*100)+100</f>
        <v>107.35122520399688</v>
      </c>
      <c r="N245" s="85">
        <f>VLOOKUP(A245,Database!$A:$AS,MATCH($N$1,Database!$A$1:$AS$1,0),FALSE)</f>
        <v>89.770785352000004</v>
      </c>
      <c r="O245" s="85">
        <f>(((Table134567891011121314151617343[[#This Row],[USA]]-VLOOKUP($U$1,A:N,14,))/VLOOKUP($U$1,A:N,14,))*100)+100</f>
        <v>103.34703779365658</v>
      </c>
      <c r="P245" s="85">
        <f>VLOOKUP(A245,Database!$A:$AS,MATCH($P$1,Database!$A$1:$AS$1,0),FALSE)</f>
        <v>102.948146134</v>
      </c>
      <c r="Q245" s="85">
        <f>(((Table134567891011121314151617343[[#This Row],[JPN]]-VLOOKUP($U$1,A:Q,16,))/VLOOKUP($U$1,A:Q,16,))*100)+100</f>
        <v>103.35782641151803</v>
      </c>
    </row>
    <row r="246" spans="1:17" s="87" customFormat="1" x14ac:dyDescent="0.2">
      <c r="A246" s="22">
        <v>40299</v>
      </c>
      <c r="B246" s="85">
        <f>VLOOKUP(A246,Database!$A:$AS,MATCH($B$1,Database!$A$1:$AS$1,0),FALSE)</f>
        <v>106.49112574</v>
      </c>
      <c r="C246" s="85">
        <f>VLOOKUP(A246,Database!$A:$AS,MATCH($C$1,Database!$A$1:$AS$1,0),FALSE)</f>
        <v>99.55</v>
      </c>
      <c r="D246" s="85">
        <f>VLOOKUP(A246,Database!$A:$AS,MATCH($D$1,Database!$A$1:$AS$1,0),FALSE)</f>
        <v>90.392467293999999</v>
      </c>
      <c r="E246" s="85">
        <f>VLOOKUP(A246,Database!$A:$AS,MATCH($E$1,Database!$A$1:$AS$1,0),FALSE)</f>
        <v>105.933088278</v>
      </c>
      <c r="F246" s="85">
        <f>VLOOKUP(A246,Database!$A:$AS,MATCH($F$1,Database!$A$1:$AS$1,0),FALSE)</f>
        <v>96.5</v>
      </c>
      <c r="G246" s="85">
        <f>VLOOKUP(A246,Database!$A:$AS,MATCH($G$1,Database!$A$1:$AS$1,0),FALSE)</f>
        <v>98.834916652000004</v>
      </c>
      <c r="H246" s="85">
        <f>(((Table134567891011121314151617343[[#This Row],[ITA]]-VLOOKUP($U$1,A:B,2,))/VLOOKUP($U$1,A:B,2,))*100)+100</f>
        <v>87.58223684252799</v>
      </c>
      <c r="I246" s="85">
        <f>(((Table134567891011121314151617343[[#This Row],[FRA]]-VLOOKUP($U$1,A:C,3,))/VLOOKUP($U$1,A:C,3,))*100)+100</f>
        <v>97.131427456337207</v>
      </c>
      <c r="J246" s="85">
        <f>(((Table134567891011121314151617343[[#This Row],[DEU]]-VLOOKUP($U$1,A:D,4,))/VLOOKUP($U$1,A:D,4,))*100)+100</f>
        <v>120.21276595614522</v>
      </c>
      <c r="K246" s="85">
        <f>(((Table134567891011121314151617343[[#This Row],[ESP]]-VLOOKUP($U$1,A:E,5,))/VLOOKUP($U$1,A:E,5,))*100)+100</f>
        <v>89.041775237625615</v>
      </c>
      <c r="L246" s="85">
        <f>(((Table134567891011121314151617343[[#This Row],[EA19]]-VLOOKUP($U$1,A:F,6,))/VLOOKUP($U$1,A:F,6,))*100)+100</f>
        <v>107.94183445190156</v>
      </c>
      <c r="M246" s="85">
        <f>(((Table134567891011121314151617343[[#This Row],[GBR]]-VLOOKUP($U$1,A:G,7,))/VLOOKUP($U$1,A:G,7,))*100)+100</f>
        <v>107.23453908988883</v>
      </c>
      <c r="N246" s="85">
        <f>VLOOKUP(A246,Database!$A:$AS,MATCH($N$1,Database!$A$1:$AS$1,0),FALSE)</f>
        <v>91.015518943999993</v>
      </c>
      <c r="O246" s="85">
        <f>(((Table134567891011121314151617343[[#This Row],[USA]]-VLOOKUP($U$1,A:N,14,))/VLOOKUP($U$1,A:N,14,))*100)+100</f>
        <v>104.78001544970635</v>
      </c>
      <c r="P246" s="85">
        <f>VLOOKUP(A246,Database!$A:$AS,MATCH($P$1,Database!$A$1:$AS$1,0),FALSE)</f>
        <v>102.537585232</v>
      </c>
      <c r="Q246" s="85">
        <f>(((Table134567891011121314151617343[[#This Row],[JPN]]-VLOOKUP($U$1,A:Q,16,))/VLOOKUP($U$1,A:Q,16,))*100)+100</f>
        <v>102.94563168986623</v>
      </c>
    </row>
    <row r="247" spans="1:17" s="87" customFormat="1" x14ac:dyDescent="0.2">
      <c r="A247" s="22">
        <v>40330</v>
      </c>
      <c r="B247" s="85">
        <f>VLOOKUP(A247,Database!$A:$AS,MATCH($B$1,Database!$A$1:$AS$1,0),FALSE)</f>
        <v>109.090909091</v>
      </c>
      <c r="C247" s="85">
        <f>VLOOKUP(A247,Database!$A:$AS,MATCH($C$1,Database!$A$1:$AS$1,0),FALSE)</f>
        <v>99.15</v>
      </c>
      <c r="D247" s="85">
        <f>VLOOKUP(A247,Database!$A:$AS,MATCH($D$1,Database!$A$1:$AS$1,0),FALSE)</f>
        <v>90.092492292000003</v>
      </c>
      <c r="E247" s="85">
        <f>VLOOKUP(A247,Database!$A:$AS,MATCH($E$1,Database!$A$1:$AS$1,0),FALSE)</f>
        <v>106.47608873</v>
      </c>
      <c r="F247" s="85">
        <f>VLOOKUP(A247,Database!$A:$AS,MATCH($F$1,Database!$A$1:$AS$1,0),FALSE)</f>
        <v>96.6</v>
      </c>
      <c r="G247" s="85">
        <f>VLOOKUP(A247,Database!$A:$AS,MATCH($G$1,Database!$A$1:$AS$1,0),FALSE)</f>
        <v>97.544362789000004</v>
      </c>
      <c r="H247" s="85">
        <f>(((Table134567891011121314151617343[[#This Row],[ITA]]-VLOOKUP($U$1,A:B,2,))/VLOOKUP($U$1,A:B,2,))*100)+100</f>
        <v>89.720394736946943</v>
      </c>
      <c r="I247" s="85">
        <f>(((Table134567891011121314151617343[[#This Row],[FRA]]-VLOOKUP($U$1,A:C,3,))/VLOOKUP($U$1,A:C,3,))*100)+100</f>
        <v>96.741145477607589</v>
      </c>
      <c r="J247" s="85">
        <f>(((Table134567891011121314151617343[[#This Row],[DEU]]-VLOOKUP($U$1,A:D,4,))/VLOOKUP($U$1,A:D,4,))*100)+100</f>
        <v>119.81382978604563</v>
      </c>
      <c r="K247" s="85">
        <f>(((Table134567891011121314151617343[[#This Row],[ESP]]-VLOOKUP($U$1,A:E,5,))/VLOOKUP($U$1,A:E,5,))*100)+100</f>
        <v>89.498192821469004</v>
      </c>
      <c r="L247" s="85">
        <f>(((Table134567891011121314151617343[[#This Row],[EA19]]-VLOOKUP($U$1,A:F,6,))/VLOOKUP($U$1,A:F,6,))*100)+100</f>
        <v>108.05369127516778</v>
      </c>
      <c r="M247" s="85">
        <f>(((Table134567891011121314151617343[[#This Row],[GBR]]-VLOOKUP($U$1,A:G,7,))/VLOOKUP($U$1,A:G,7,))*100)+100</f>
        <v>105.83430571733729</v>
      </c>
      <c r="N247" s="85">
        <f>VLOOKUP(A247,Database!$A:$AS,MATCH($N$1,Database!$A$1:$AS$1,0),FALSE)</f>
        <v>91.196212473000003</v>
      </c>
      <c r="O247" s="85">
        <f>(((Table134567891011121314151617343[[#This Row],[USA]]-VLOOKUP($U$1,A:N,14,))/VLOOKUP($U$1,A:N,14,))*100)+100</f>
        <v>104.9880356970219</v>
      </c>
      <c r="P247" s="85">
        <f>VLOOKUP(A247,Database!$A:$AS,MATCH($P$1,Database!$A$1:$AS$1,0),FALSE)</f>
        <v>101.921743879</v>
      </c>
      <c r="Q247" s="85">
        <f>(((Table134567891011121314151617343[[#This Row],[JPN]]-VLOOKUP($U$1,A:Q,16,))/VLOOKUP($U$1,A:Q,16,))*100)+100</f>
        <v>102.32733960738855</v>
      </c>
    </row>
    <row r="248" spans="1:17" s="87" customFormat="1" x14ac:dyDescent="0.2">
      <c r="A248" s="22">
        <v>40360</v>
      </c>
      <c r="B248" s="85">
        <f>VLOOKUP(A248,Database!$A:$AS,MATCH($B$1,Database!$A$1:$AS$1,0),FALSE)</f>
        <v>108.790934089</v>
      </c>
      <c r="C248" s="85">
        <f>VLOOKUP(A248,Database!$A:$AS,MATCH($C$1,Database!$A$1:$AS$1,0),FALSE)</f>
        <v>99.88</v>
      </c>
      <c r="D248" s="85">
        <f>VLOOKUP(A248,Database!$A:$AS,MATCH($D$1,Database!$A$1:$AS$1,0),FALSE)</f>
        <v>89.492542287999996</v>
      </c>
      <c r="E248" s="85">
        <f>VLOOKUP(A248,Database!$A:$AS,MATCH($E$1,Database!$A$1:$AS$1,0),FALSE)</f>
        <v>105.196087663</v>
      </c>
      <c r="F248" s="85">
        <f>VLOOKUP(A248,Database!$A:$AS,MATCH($F$1,Database!$A$1:$AS$1,0),FALSE)</f>
        <v>96.2</v>
      </c>
      <c r="G248" s="85">
        <f>VLOOKUP(A248,Database!$A:$AS,MATCH($G$1,Database!$A$1:$AS$1,0),FALSE)</f>
        <v>97.006632013000001</v>
      </c>
      <c r="H248" s="85">
        <f>(((Table134567891011121314151617343[[#This Row],[ITA]]-VLOOKUP($U$1,A:B,2,))/VLOOKUP($U$1,A:B,2,))*100)+100</f>
        <v>89.473684210699474</v>
      </c>
      <c r="I248" s="85">
        <f>(((Table134567891011121314151617343[[#This Row],[FRA]]-VLOOKUP($U$1,A:C,3,))/VLOOKUP($U$1,A:C,3,))*100)+100</f>
        <v>97.453410088789155</v>
      </c>
      <c r="J248" s="85">
        <f>(((Table134567891011121314151617343[[#This Row],[DEU]]-VLOOKUP($U$1,A:D,4,))/VLOOKUP($U$1,A:D,4,))*100)+100</f>
        <v>119.01595744584645</v>
      </c>
      <c r="K248" s="85">
        <f>(((Table134567891011121314151617343[[#This Row],[ESP]]-VLOOKUP($U$1,A:E,5,))/VLOOKUP($U$1,A:E,5,))*100)+100</f>
        <v>88.422291333421811</v>
      </c>
      <c r="L248" s="85">
        <f>(((Table134567891011121314151617343[[#This Row],[EA19]]-VLOOKUP($U$1,A:F,6,))/VLOOKUP($U$1,A:F,6,))*100)+100</f>
        <v>107.6062639821029</v>
      </c>
      <c r="M248" s="85">
        <f>(((Table134567891011121314151617343[[#This Row],[GBR]]-VLOOKUP($U$1,A:G,7,))/VLOOKUP($U$1,A:G,7,))*100)+100</f>
        <v>105.25087514571206</v>
      </c>
      <c r="N248" s="85">
        <f>VLOOKUP(A248,Database!$A:$AS,MATCH($N$1,Database!$A$1:$AS$1,0),FALSE)</f>
        <v>91.582478343999995</v>
      </c>
      <c r="O248" s="85">
        <f>(((Table134567891011121314151617343[[#This Row],[USA]]-VLOOKUP($U$1,A:N,14,))/VLOOKUP($U$1,A:N,14,))*100)+100</f>
        <v>105.43271748756331</v>
      </c>
      <c r="P248" s="85">
        <f>VLOOKUP(A248,Database!$A:$AS,MATCH($P$1,Database!$A$1:$AS$1,0),FALSE)</f>
        <v>103.15342658500001</v>
      </c>
      <c r="Q248" s="85">
        <f>(((Table134567891011121314151617343[[#This Row],[JPN]]-VLOOKUP($U$1,A:Q,16,))/VLOOKUP($U$1,A:Q,16,))*100)+100</f>
        <v>103.56392377234394</v>
      </c>
    </row>
    <row r="249" spans="1:17" s="87" customFormat="1" x14ac:dyDescent="0.2">
      <c r="A249" s="22">
        <v>40391</v>
      </c>
      <c r="B249" s="85">
        <f>VLOOKUP(A249,Database!$A:$AS,MATCH($B$1,Database!$A$1:$AS$1,0),FALSE)</f>
        <v>112.39063411399999</v>
      </c>
      <c r="C249" s="85">
        <f>VLOOKUP(A249,Database!$A:$AS,MATCH($C$1,Database!$A$1:$AS$1,0),FALSE)</f>
        <v>98.72</v>
      </c>
      <c r="D249" s="85">
        <f>VLOOKUP(A249,Database!$A:$AS,MATCH($D$1,Database!$A$1:$AS$1,0),FALSE)</f>
        <v>90.992417298999996</v>
      </c>
      <c r="E249" s="85">
        <f>VLOOKUP(A249,Database!$A:$AS,MATCH($E$1,Database!$A$1:$AS$1,0),FALSE)</f>
        <v>104.20108683399999</v>
      </c>
      <c r="F249" s="85">
        <f>VLOOKUP(A249,Database!$A:$AS,MATCH($F$1,Database!$A$1:$AS$1,0),FALSE)</f>
        <v>97</v>
      </c>
      <c r="G249" s="85">
        <f>VLOOKUP(A249,Database!$A:$AS,MATCH($G$1,Database!$A$1:$AS$1,0),FALSE)</f>
        <v>97.221724323000004</v>
      </c>
      <c r="H249" s="85">
        <f>(((Table134567891011121314151617343[[#This Row],[ITA]]-VLOOKUP($U$1,A:B,2,))/VLOOKUP($U$1,A:B,2,))*100)+100</f>
        <v>92.43421052649164</v>
      </c>
      <c r="I249" s="85">
        <f>(((Table134567891011121314151617343[[#This Row],[FRA]]-VLOOKUP($U$1,A:C,3,))/VLOOKUP($U$1,A:C,3,))*100)+100</f>
        <v>96.321592350473225</v>
      </c>
      <c r="J249" s="85">
        <f>(((Table134567891011121314151617343[[#This Row],[DEU]]-VLOOKUP($U$1,A:D,4,))/VLOOKUP($U$1,A:D,4,))*100)+100</f>
        <v>121.01063829767428</v>
      </c>
      <c r="K249" s="85">
        <f>(((Table134567891011121314151617343[[#This Row],[ESP]]-VLOOKUP($U$1,A:E,5,))/VLOOKUP($U$1,A:E,5,))*100)+100</f>
        <v>87.585946036430514</v>
      </c>
      <c r="L249" s="85">
        <f>(((Table134567891011121314151617343[[#This Row],[EA19]]-VLOOKUP($U$1,A:F,6,))/VLOOKUP($U$1,A:F,6,))*100)+100</f>
        <v>108.50111856823266</v>
      </c>
      <c r="M249" s="85">
        <f>(((Table134567891011121314151617343[[#This Row],[GBR]]-VLOOKUP($U$1,A:G,7,))/VLOOKUP($U$1,A:G,7,))*100)+100</f>
        <v>105.48424737392816</v>
      </c>
      <c r="N249" s="85">
        <f>VLOOKUP(A249,Database!$A:$AS,MATCH($N$1,Database!$A$1:$AS$1,0),FALSE)</f>
        <v>91.894801607999995</v>
      </c>
      <c r="O249" s="85">
        <f>(((Table134567891011121314151617343[[#This Row],[USA]]-VLOOKUP($U$1,A:N,14,))/VLOOKUP($U$1,A:N,14,))*100)+100</f>
        <v>105.79227415226087</v>
      </c>
      <c r="P249" s="85">
        <f>VLOOKUP(A249,Database!$A:$AS,MATCH($P$1,Database!$A$1:$AS$1,0),FALSE)</f>
        <v>103.66662771199999</v>
      </c>
      <c r="Q249" s="85">
        <f>(((Table134567891011121314151617343[[#This Row],[JPN]]-VLOOKUP($U$1,A:Q,16,))/VLOOKUP($U$1,A:Q,16,))*100)+100</f>
        <v>104.07916717390668</v>
      </c>
    </row>
    <row r="250" spans="1:17" s="87" customFormat="1" x14ac:dyDescent="0.2">
      <c r="A250" s="22">
        <v>40422</v>
      </c>
      <c r="B250" s="85">
        <f>VLOOKUP(A250,Database!$A:$AS,MATCH($B$1,Database!$A$1:$AS$1,0),FALSE)</f>
        <v>107.99100075</v>
      </c>
      <c r="C250" s="85">
        <f>VLOOKUP(A250,Database!$A:$AS,MATCH($C$1,Database!$A$1:$AS$1,0),FALSE)</f>
        <v>100.02</v>
      </c>
      <c r="D250" s="85">
        <f>VLOOKUP(A250,Database!$A:$AS,MATCH($D$1,Database!$A$1:$AS$1,0),FALSE)</f>
        <v>92.392300641999995</v>
      </c>
      <c r="E250" s="85">
        <f>VLOOKUP(A250,Database!$A:$AS,MATCH($E$1,Database!$A$1:$AS$1,0),FALSE)</f>
        <v>104.509087091</v>
      </c>
      <c r="F250" s="85">
        <f>VLOOKUP(A250,Database!$A:$AS,MATCH($F$1,Database!$A$1:$AS$1,0),FALSE)</f>
        <v>97.2</v>
      </c>
      <c r="G250" s="85">
        <f>VLOOKUP(A250,Database!$A:$AS,MATCH($G$1,Database!$A$1:$AS$1,0),FALSE)</f>
        <v>97.329270479000002</v>
      </c>
      <c r="H250" s="85">
        <f>(((Table134567891011121314151617343[[#This Row],[ITA]]-VLOOKUP($U$1,A:B,2,))/VLOOKUP($U$1,A:B,2,))*100)+100</f>
        <v>88.815789473765378</v>
      </c>
      <c r="I250" s="85">
        <f>(((Table134567891011121314151617343[[#This Row],[FRA]]-VLOOKUP($U$1,A:C,3,))/VLOOKUP($U$1,A:C,3,))*100)+100</f>
        <v>97.590008781344523</v>
      </c>
      <c r="J250" s="85">
        <f>(((Table134567891011121314151617343[[#This Row],[DEU]]-VLOOKUP($U$1,A:D,4,))/VLOOKUP($U$1,A:D,4,))*100)+100</f>
        <v>122.87234042524896</v>
      </c>
      <c r="K250" s="85">
        <f>(((Table134567891011121314151617343[[#This Row],[ESP]]-VLOOKUP($U$1,A:E,5,))/VLOOKUP($U$1,A:E,5,))*100)+100</f>
        <v>87.84483483220464</v>
      </c>
      <c r="L250" s="85">
        <f>(((Table134567891011121314151617343[[#This Row],[EA19]]-VLOOKUP($U$1,A:F,6,))/VLOOKUP($U$1,A:F,6,))*100)+100</f>
        <v>108.7248322147651</v>
      </c>
      <c r="M250" s="85">
        <f>(((Table134567891011121314151617343[[#This Row],[GBR]]-VLOOKUP($U$1,A:G,7,))/VLOOKUP($U$1,A:G,7,))*100)+100</f>
        <v>105.60093348912119</v>
      </c>
      <c r="N250" s="85">
        <f>VLOOKUP(A250,Database!$A:$AS,MATCH($N$1,Database!$A$1:$AS$1,0),FALSE)</f>
        <v>92.106321077000004</v>
      </c>
      <c r="O250" s="85">
        <f>(((Table134567891011121314151617343[[#This Row],[USA]]-VLOOKUP($U$1,A:N,14,))/VLOOKUP($U$1,A:N,14,))*100)+100</f>
        <v>106.03578222085048</v>
      </c>
      <c r="P250" s="85">
        <f>VLOOKUP(A250,Database!$A:$AS,MATCH($P$1,Database!$A$1:$AS$1,0),FALSE)</f>
        <v>105.000950643</v>
      </c>
      <c r="Q250" s="85">
        <f>(((Table134567891011121314151617343[[#This Row],[JPN]]-VLOOKUP($U$1,A:Q,16,))/VLOOKUP($U$1,A:Q,16,))*100)+100</f>
        <v>105.41880001877301</v>
      </c>
    </row>
    <row r="251" spans="1:17" s="87" customFormat="1" x14ac:dyDescent="0.2">
      <c r="A251" s="22">
        <v>40452</v>
      </c>
      <c r="B251" s="85">
        <f>VLOOKUP(A251,Database!$A:$AS,MATCH($B$1,Database!$A$1:$AS$1,0),FALSE)</f>
        <v>108.39096741900001</v>
      </c>
      <c r="C251" s="85">
        <f>VLOOKUP(A251,Database!$A:$AS,MATCH($C$1,Database!$A$1:$AS$1,0),FALSE)</f>
        <v>99.85</v>
      </c>
      <c r="D251" s="85">
        <f>VLOOKUP(A251,Database!$A:$AS,MATCH($D$1,Database!$A$1:$AS$1,0),FALSE)</f>
        <v>94.392133989000001</v>
      </c>
      <c r="E251" s="85">
        <f>VLOOKUP(A251,Database!$A:$AS,MATCH($E$1,Database!$A$1:$AS$1,0),FALSE)</f>
        <v>105.210087675</v>
      </c>
      <c r="F251" s="85">
        <f>VLOOKUP(A251,Database!$A:$AS,MATCH($F$1,Database!$A$1:$AS$1,0),FALSE)</f>
        <v>98</v>
      </c>
      <c r="G251" s="85">
        <f>VLOOKUP(A251,Database!$A:$AS,MATCH($G$1,Database!$A$1:$AS$1,0),FALSE)</f>
        <v>98.189639720000002</v>
      </c>
      <c r="H251" s="85">
        <f>(((Table134567891011121314151617343[[#This Row],[ITA]]-VLOOKUP($U$1,A:B,2,))/VLOOKUP($U$1,A:B,2,))*100)+100</f>
        <v>89.144736841821214</v>
      </c>
      <c r="I251" s="85">
        <f>(((Table134567891011121314151617343[[#This Row],[FRA]]-VLOOKUP($U$1,A:C,3,))/VLOOKUP($U$1,A:C,3,))*100)+100</f>
        <v>97.424138940384424</v>
      </c>
      <c r="J251" s="85">
        <f>(((Table134567891011121314151617343[[#This Row],[DEU]]-VLOOKUP($U$1,A:D,4,))/VLOOKUP($U$1,A:D,4,))*100)+100</f>
        <v>125.53191489302282</v>
      </c>
      <c r="K251" s="85">
        <f>(((Table134567891011121314151617343[[#This Row],[ESP]]-VLOOKUP($U$1,A:E,5,))/VLOOKUP($U$1,A:E,5,))*100)+100</f>
        <v>88.434059006224444</v>
      </c>
      <c r="L251" s="85">
        <f>(((Table134567891011121314151617343[[#This Row],[EA19]]-VLOOKUP($U$1,A:F,6,))/VLOOKUP($U$1,A:F,6,))*100)+100</f>
        <v>109.61968680089484</v>
      </c>
      <c r="M251" s="85">
        <f>(((Table134567891011121314151617343[[#This Row],[GBR]]-VLOOKUP($U$1,A:G,7,))/VLOOKUP($U$1,A:G,7,))*100)+100</f>
        <v>106.53442240307056</v>
      </c>
      <c r="N251" s="85">
        <f>VLOOKUP(A251,Database!$A:$AS,MATCH($N$1,Database!$A$1:$AS$1,0),FALSE)</f>
        <v>91.894504252000004</v>
      </c>
      <c r="O251" s="85">
        <f>(((Table134567891011121314151617343[[#This Row],[USA]]-VLOOKUP($U$1,A:N,14,))/VLOOKUP($U$1,A:N,14,))*100)+100</f>
        <v>105.79193182639563</v>
      </c>
      <c r="P251" s="85">
        <f>VLOOKUP(A251,Database!$A:$AS,MATCH($P$1,Database!$A$1:$AS$1,0),FALSE)</f>
        <v>102.024384105</v>
      </c>
      <c r="Q251" s="85">
        <f>(((Table134567891011121314151617343[[#This Row],[JPN]]-VLOOKUP($U$1,A:Q,16,))/VLOOKUP($U$1,A:Q,16,))*100)+100</f>
        <v>102.43038828830349</v>
      </c>
    </row>
    <row r="252" spans="1:17" s="87" customFormat="1" x14ac:dyDescent="0.2">
      <c r="A252" s="22">
        <v>40483</v>
      </c>
      <c r="B252" s="85">
        <f>VLOOKUP(A252,Database!$A:$AS,MATCH($B$1,Database!$A$1:$AS$1,0),FALSE)</f>
        <v>108.990917424</v>
      </c>
      <c r="C252" s="85">
        <f>VLOOKUP(A252,Database!$A:$AS,MATCH($C$1,Database!$A$1:$AS$1,0),FALSE)</f>
        <v>101.16</v>
      </c>
      <c r="D252" s="85">
        <f>VLOOKUP(A252,Database!$A:$AS,MATCH($D$1,Database!$A$1:$AS$1,0),FALSE)</f>
        <v>93.892175652000006</v>
      </c>
      <c r="E252" s="85">
        <f>VLOOKUP(A252,Database!$A:$AS,MATCH($E$1,Database!$A$1:$AS$1,0),FALSE)</f>
        <v>108.23009019200001</v>
      </c>
      <c r="F252" s="85">
        <f>VLOOKUP(A252,Database!$A:$AS,MATCH($F$1,Database!$A$1:$AS$1,0),FALSE)</f>
        <v>98.9</v>
      </c>
      <c r="G252" s="85">
        <f>VLOOKUP(A252,Database!$A:$AS,MATCH($G$1,Database!$A$1:$AS$1,0),FALSE)</f>
        <v>97.221724323000004</v>
      </c>
      <c r="H252" s="85">
        <f>(((Table134567891011121314151617343[[#This Row],[ITA]]-VLOOKUP($U$1,A:B,2,))/VLOOKUP($U$1,A:B,2,))*100)+100</f>
        <v>89.63815789513859</v>
      </c>
      <c r="I252" s="85">
        <f>(((Table134567891011121314151617343[[#This Row],[FRA]]-VLOOKUP($U$1,A:C,3,))/VLOOKUP($U$1,A:C,3,))*100)+100</f>
        <v>98.70231242072397</v>
      </c>
      <c r="J252" s="85">
        <f>(((Table134567891011121314151617343[[#This Row],[DEU]]-VLOOKUP($U$1,A:D,4,))/VLOOKUP($U$1,A:D,4,))*100)+100</f>
        <v>124.86702127574689</v>
      </c>
      <c r="K252" s="85">
        <f>(((Table134567891011121314151617343[[#This Row],[ESP]]-VLOOKUP($U$1,A:E,5,))/VLOOKUP($U$1,A:E,5,))*100)+100</f>
        <v>90.972514079204927</v>
      </c>
      <c r="L252" s="85">
        <f>(((Table134567891011121314151617343[[#This Row],[EA19]]-VLOOKUP($U$1,A:F,6,))/VLOOKUP($U$1,A:F,6,))*100)+100</f>
        <v>110.62639821029083</v>
      </c>
      <c r="M252" s="85">
        <f>(((Table134567891011121314151617343[[#This Row],[GBR]]-VLOOKUP($U$1,A:G,7,))/VLOOKUP($U$1,A:G,7,))*100)+100</f>
        <v>105.48424737392816</v>
      </c>
      <c r="N252" s="85">
        <f>VLOOKUP(A252,Database!$A:$AS,MATCH($N$1,Database!$A$1:$AS$1,0),FALSE)</f>
        <v>91.936134138</v>
      </c>
      <c r="O252" s="85">
        <f>(((Table134567891011121314151617343[[#This Row],[USA]]-VLOOKUP($U$1,A:N,14,))/VLOOKUP($U$1,A:N,14,))*100)+100</f>
        <v>105.83985750048789</v>
      </c>
      <c r="P252" s="85">
        <f>VLOOKUP(A252,Database!$A:$AS,MATCH($P$1,Database!$A$1:$AS$1,0),FALSE)</f>
        <v>103.769267938</v>
      </c>
      <c r="Q252" s="85">
        <f>(((Table134567891011121314151617343[[#This Row],[JPN]]-VLOOKUP($U$1,A:Q,16,))/VLOOKUP($U$1,A:Q,16,))*100)+100</f>
        <v>104.18221585482162</v>
      </c>
    </row>
    <row r="253" spans="1:17" s="87" customFormat="1" x14ac:dyDescent="0.2">
      <c r="A253" s="22">
        <v>40513</v>
      </c>
      <c r="B253" s="85">
        <f>VLOOKUP(A253,Database!$A:$AS,MATCH($B$1,Database!$A$1:$AS$1,0),FALSE)</f>
        <v>109.89084243000001</v>
      </c>
      <c r="C253" s="85">
        <f>VLOOKUP(A253,Database!$A:$AS,MATCH($C$1,Database!$A$1:$AS$1,0),FALSE)</f>
        <v>102.47</v>
      </c>
      <c r="D253" s="85">
        <f>VLOOKUP(A253,Database!$A:$AS,MATCH($D$1,Database!$A$1:$AS$1,0),FALSE)</f>
        <v>95.392050662000003</v>
      </c>
      <c r="E253" s="85">
        <f>VLOOKUP(A253,Database!$A:$AS,MATCH($E$1,Database!$A$1:$AS$1,0),FALSE)</f>
        <v>105.143087619</v>
      </c>
      <c r="F253" s="85">
        <f>VLOOKUP(A253,Database!$A:$AS,MATCH($F$1,Database!$A$1:$AS$1,0),FALSE)</f>
        <v>99.7</v>
      </c>
      <c r="G253" s="85">
        <f>VLOOKUP(A253,Database!$A:$AS,MATCH($G$1,Database!$A$1:$AS$1,0),FALSE)</f>
        <v>95.608531995000007</v>
      </c>
      <c r="H253" s="85">
        <f>(((Table134567891011121314151617343[[#This Row],[ITA]]-VLOOKUP($U$1,A:B,2,))/VLOOKUP($U$1,A:B,2,))*100)+100</f>
        <v>90.37828947388104</v>
      </c>
      <c r="I253" s="85">
        <f>(((Table134567891011121314151617343[[#This Row],[FRA]]-VLOOKUP($U$1,A:C,3,))/VLOOKUP($U$1,A:C,3,))*100)+100</f>
        <v>99.980485901063517</v>
      </c>
      <c r="J253" s="85">
        <f>(((Table134567891011121314151617343[[#This Row],[DEU]]-VLOOKUP($U$1,A:D,4,))/VLOOKUP($U$1,A:D,4,))*100)+100</f>
        <v>126.86170212624481</v>
      </c>
      <c r="K253" s="85">
        <f>(((Table134567891011121314151617343[[#This Row],[ESP]]-VLOOKUP($U$1,A:E,5,))/VLOOKUP($U$1,A:E,5,))*100)+100</f>
        <v>88.377742287584056</v>
      </c>
      <c r="L253" s="85">
        <f>(((Table134567891011121314151617343[[#This Row],[EA19]]-VLOOKUP($U$1,A:F,6,))/VLOOKUP($U$1,A:F,6,))*100)+100</f>
        <v>111.52125279642058</v>
      </c>
      <c r="M253" s="85">
        <f>(((Table134567891011121314151617343[[#This Row],[GBR]]-VLOOKUP($U$1,A:G,7,))/VLOOKUP($U$1,A:G,7,))*100)+100</f>
        <v>103.73395565905247</v>
      </c>
      <c r="N253" s="85">
        <f>VLOOKUP(A253,Database!$A:$AS,MATCH($N$1,Database!$A$1:$AS$1,0),FALSE)</f>
        <v>92.823941016999996</v>
      </c>
      <c r="O253" s="85">
        <f>(((Table134567891011121314151617343[[#This Row],[USA]]-VLOOKUP($U$1,A:N,14,))/VLOOKUP($U$1,A:N,14,))*100)+100</f>
        <v>106.86192955564159</v>
      </c>
      <c r="P253" s="85">
        <f>VLOOKUP(A253,Database!$A:$AS,MATCH($P$1,Database!$A$1:$AS$1,0),FALSE)</f>
        <v>104.07718861399999</v>
      </c>
      <c r="Q253" s="85">
        <f>(((Table134567891011121314151617343[[#This Row],[JPN]]-VLOOKUP($U$1,A:Q,16,))/VLOOKUP($U$1,A:Q,16,))*100)+100</f>
        <v>104.49136189555847</v>
      </c>
    </row>
    <row r="254" spans="1:17" s="87" customFormat="1" x14ac:dyDescent="0.2">
      <c r="A254" s="22">
        <v>40544</v>
      </c>
      <c r="B254" s="85">
        <f>VLOOKUP(A254,Database!$A:$AS,MATCH($B$1,Database!$A$1:$AS$1,0),FALSE)</f>
        <v>107.791017415</v>
      </c>
      <c r="C254" s="85">
        <f>VLOOKUP(A254,Database!$A:$AS,MATCH($C$1,Database!$A$1:$AS$1,0),FALSE)</f>
        <v>103.66</v>
      </c>
      <c r="D254" s="85">
        <f>VLOOKUP(A254,Database!$A:$AS,MATCH($D$1,Database!$A$1:$AS$1,0),FALSE)</f>
        <v>95.192067327999993</v>
      </c>
      <c r="E254" s="85">
        <f>VLOOKUP(A254,Database!$A:$AS,MATCH($E$1,Database!$A$1:$AS$1,0),FALSE)</f>
        <v>105.73208811000001</v>
      </c>
      <c r="F254" s="85">
        <f>VLOOKUP(A254,Database!$A:$AS,MATCH($F$1,Database!$A$1:$AS$1,0),FALSE)</f>
        <v>99.1</v>
      </c>
      <c r="G254" s="85">
        <f>VLOOKUP(A254,Database!$A:$AS,MATCH($G$1,Database!$A$1:$AS$1,0),FALSE)</f>
        <v>93.780247356000004</v>
      </c>
      <c r="H254" s="85">
        <f>(((Table134567891011121314151617343[[#This Row],[ITA]]-VLOOKUP($U$1,A:B,2,))/VLOOKUP($U$1,A:B,2,))*100)+100</f>
        <v>88.651315789326247</v>
      </c>
      <c r="I254" s="85">
        <f>(((Table134567891011121314151617343[[#This Row],[FRA]]-VLOOKUP($U$1,A:C,3,))/VLOOKUP($U$1,A:C,3,))*100)+100</f>
        <v>101.14157478778418</v>
      </c>
      <c r="J254" s="85">
        <f>(((Table134567891011121314151617343[[#This Row],[DEU]]-VLOOKUP($U$1,A:D,4,))/VLOOKUP($U$1,A:D,4,))*100)+100</f>
        <v>126.59574468039833</v>
      </c>
      <c r="K254" s="85">
        <f>(((Table134567891011121314151617343[[#This Row],[ESP]]-VLOOKUP($U$1,A:E,5,))/VLOOKUP($U$1,A:E,5,))*100)+100</f>
        <v>88.872825081704434</v>
      </c>
      <c r="L254" s="85">
        <f>(((Table134567891011121314151617343[[#This Row],[EA19]]-VLOOKUP($U$1,A:F,6,))/VLOOKUP($U$1,A:F,6,))*100)+100</f>
        <v>110.85011185682325</v>
      </c>
      <c r="M254" s="85">
        <f>(((Table134567891011121314151617343[[#This Row],[GBR]]-VLOOKUP($U$1,A:G,7,))/VLOOKUP($U$1,A:G,7,))*100)+100</f>
        <v>101.7502917148757</v>
      </c>
      <c r="N254" s="85">
        <f>VLOOKUP(A254,Database!$A:$AS,MATCH($N$1,Database!$A$1:$AS$1,0),FALSE)</f>
        <v>92.653060246999999</v>
      </c>
      <c r="O254" s="85">
        <f>(((Table134567891011121314151617343[[#This Row],[USA]]-VLOOKUP($U$1,A:N,14,))/VLOOKUP($U$1,A:N,14,))*100)+100</f>
        <v>106.66520607454302</v>
      </c>
      <c r="P254" s="85">
        <f>VLOOKUP(A254,Database!$A:$AS,MATCH($P$1,Database!$A$1:$AS$1,0),FALSE)</f>
        <v>104.795670192</v>
      </c>
      <c r="Q254" s="85">
        <f>(((Table134567891011121314151617343[[#This Row],[JPN]]-VLOOKUP($U$1,A:Q,16,))/VLOOKUP($U$1,A:Q,16,))*100)+100</f>
        <v>105.21270265794713</v>
      </c>
    </row>
    <row r="255" spans="1:17" s="87" customFormat="1" x14ac:dyDescent="0.2">
      <c r="A255" s="22">
        <v>40575</v>
      </c>
      <c r="B255" s="85">
        <f>VLOOKUP(A255,Database!$A:$AS,MATCH($B$1,Database!$A$1:$AS$1,0),FALSE)</f>
        <v>110.590784101</v>
      </c>
      <c r="C255" s="85">
        <f>VLOOKUP(A255,Database!$A:$AS,MATCH($C$1,Database!$A$1:$AS$1,0),FALSE)</f>
        <v>104.02</v>
      </c>
      <c r="D255" s="85">
        <f>VLOOKUP(A255,Database!$A:$AS,MATCH($D$1,Database!$A$1:$AS$1,0),FALSE)</f>
        <v>96.291975668999996</v>
      </c>
      <c r="E255" s="85">
        <f>VLOOKUP(A255,Database!$A:$AS,MATCH($E$1,Database!$A$1:$AS$1,0),FALSE)</f>
        <v>106.93208911000001</v>
      </c>
      <c r="F255" s="85">
        <f>VLOOKUP(A255,Database!$A:$AS,MATCH($F$1,Database!$A$1:$AS$1,0),FALSE)</f>
        <v>100.1</v>
      </c>
      <c r="G255" s="85">
        <f>VLOOKUP(A255,Database!$A:$AS,MATCH($G$1,Database!$A$1:$AS$1,0),FALSE)</f>
        <v>90.661408855000005</v>
      </c>
      <c r="H255" s="85">
        <f>(((Table134567891011121314151617343[[#This Row],[ITA]]-VLOOKUP($U$1,A:B,2,))/VLOOKUP($U$1,A:B,2,))*100)+100</f>
        <v>90.95394736818433</v>
      </c>
      <c r="I255" s="85">
        <f>(((Table134567891011121314151617343[[#This Row],[FRA]]-VLOOKUP($U$1,A:C,3,))/VLOOKUP($U$1,A:C,3,))*100)+100</f>
        <v>101.49282856864085</v>
      </c>
      <c r="J255" s="85">
        <f>(((Table134567891011121314151617343[[#This Row],[DEU]]-VLOOKUP($U$1,A:D,4,))/VLOOKUP($U$1,A:D,4,))*100)+100</f>
        <v>128.05851063787344</v>
      </c>
      <c r="K255" s="85">
        <f>(((Table134567891011121314151617343[[#This Row],[ESP]]-VLOOKUP($U$1,A:E,5,))/VLOOKUP($U$1,A:E,5,))*100)+100</f>
        <v>89.881482726486013</v>
      </c>
      <c r="L255" s="85">
        <f>(((Table134567891011121314151617343[[#This Row],[EA19]]-VLOOKUP($U$1,A:F,6,))/VLOOKUP($U$1,A:F,6,))*100)+100</f>
        <v>111.96868008948545</v>
      </c>
      <c r="M255" s="85">
        <f>(((Table134567891011121314151617343[[#This Row],[GBR]]-VLOOKUP($U$1,A:G,7,))/VLOOKUP($U$1,A:G,7,))*100)+100</f>
        <v>98.366394399232377</v>
      </c>
      <c r="N255" s="85">
        <f>VLOOKUP(A255,Database!$A:$AS,MATCH($N$1,Database!$A$1:$AS$1,0),FALSE)</f>
        <v>92.241618207000002</v>
      </c>
      <c r="O255" s="85">
        <f>(((Table134567891011121314151617343[[#This Row],[USA]]-VLOOKUP($U$1,A:N,14,))/VLOOKUP($U$1,A:N,14,))*100)+100</f>
        <v>106.19154066222599</v>
      </c>
      <c r="P255" s="85">
        <f>VLOOKUP(A255,Database!$A:$AS,MATCH($P$1,Database!$A$1:$AS$1,0),FALSE)</f>
        <v>105.206231094</v>
      </c>
      <c r="Q255" s="85">
        <f>(((Table134567891011121314151617343[[#This Row],[JPN]]-VLOOKUP($U$1,A:Q,16,))/VLOOKUP($U$1,A:Q,16,))*100)+100</f>
        <v>105.62489737959892</v>
      </c>
    </row>
    <row r="256" spans="1:17" s="87" customFormat="1" x14ac:dyDescent="0.2">
      <c r="A256" s="22">
        <v>40603</v>
      </c>
      <c r="B256" s="85">
        <f>VLOOKUP(A256,Database!$A:$AS,MATCH($B$1,Database!$A$1:$AS$1,0),FALSE)</f>
        <v>110.790767436</v>
      </c>
      <c r="C256" s="85">
        <f>VLOOKUP(A256,Database!$A:$AS,MATCH($C$1,Database!$A$1:$AS$1,0),FALSE)</f>
        <v>102.71</v>
      </c>
      <c r="D256" s="85">
        <f>VLOOKUP(A256,Database!$A:$AS,MATCH($D$1,Database!$A$1:$AS$1,0),FALSE)</f>
        <v>96.891925673000003</v>
      </c>
      <c r="E256" s="85">
        <f>VLOOKUP(A256,Database!$A:$AS,MATCH($E$1,Database!$A$1:$AS$1,0),FALSE)</f>
        <v>105.410087842</v>
      </c>
      <c r="F256" s="85">
        <f>VLOOKUP(A256,Database!$A:$AS,MATCH($F$1,Database!$A$1:$AS$1,0),FALSE)</f>
        <v>100.2</v>
      </c>
      <c r="G256" s="85">
        <f>VLOOKUP(A256,Database!$A:$AS,MATCH($G$1,Database!$A$1:$AS$1,0),FALSE)</f>
        <v>90.446316543999998</v>
      </c>
      <c r="H256" s="85">
        <f>(((Table134567891011121314151617343[[#This Row],[ITA]]-VLOOKUP($U$1,A:B,2,))/VLOOKUP($U$1,A:B,2,))*100)+100</f>
        <v>91.118421052623461</v>
      </c>
      <c r="I256" s="85">
        <f>(((Table134567891011121314151617343[[#This Row],[FRA]]-VLOOKUP($U$1,A:C,3,))/VLOOKUP($U$1,A:C,3,))*100)+100</f>
        <v>100.2146550883013</v>
      </c>
      <c r="J256" s="85">
        <f>(((Table134567891011121314151617343[[#This Row],[DEU]]-VLOOKUP($U$1,A:D,4,))/VLOOKUP($U$1,A:D,4,))*100)+100</f>
        <v>128.85638297807262</v>
      </c>
      <c r="K256" s="85">
        <f>(((Table134567891011121314151617343[[#This Row],[ESP]]-VLOOKUP($U$1,A:E,5,))/VLOOKUP($U$1,A:E,5,))*100)+100</f>
        <v>88.602168613968217</v>
      </c>
      <c r="L256" s="85">
        <f>(((Table134567891011121314151617343[[#This Row],[EA19]]-VLOOKUP($U$1,A:F,6,))/VLOOKUP($U$1,A:F,6,))*100)+100</f>
        <v>112.08053691275167</v>
      </c>
      <c r="M256" s="85">
        <f>(((Table134567891011121314151617343[[#This Row],[GBR]]-VLOOKUP($U$1,A:G,7,))/VLOOKUP($U$1,A:G,7,))*100)+100</f>
        <v>98.13302216993128</v>
      </c>
      <c r="N256" s="85">
        <f>VLOOKUP(A256,Database!$A:$AS,MATCH($N$1,Database!$A$1:$AS$1,0),FALSE)</f>
        <v>93.195834665999996</v>
      </c>
      <c r="O256" s="85">
        <f>(((Table134567891011121314151617343[[#This Row],[USA]]-VLOOKUP($U$1,A:N,14,))/VLOOKUP($U$1,A:N,14,))*100)+100</f>
        <v>107.29006557837684</v>
      </c>
      <c r="P256" s="85">
        <f>VLOOKUP(A256,Database!$A:$AS,MATCH($P$1,Database!$A$1:$AS$1,0),FALSE)</f>
        <v>88.578514569999996</v>
      </c>
      <c r="Q256" s="85">
        <f>(((Table134567891011121314151617343[[#This Row],[JPN]]-VLOOKUP($U$1,A:Q,16,))/VLOOKUP($U$1,A:Q,16,))*100)+100</f>
        <v>88.931011159729138</v>
      </c>
    </row>
    <row r="257" spans="1:17" s="87" customFormat="1" x14ac:dyDescent="0.2">
      <c r="A257" s="22">
        <v>40634</v>
      </c>
      <c r="B257" s="85">
        <f>VLOOKUP(A257,Database!$A:$AS,MATCH($B$1,Database!$A$1:$AS$1,0),FALSE)</f>
        <v>111.890675777</v>
      </c>
      <c r="C257" s="85">
        <f>VLOOKUP(A257,Database!$A:$AS,MATCH($C$1,Database!$A$1:$AS$1,0),FALSE)</f>
        <v>100.97</v>
      </c>
      <c r="D257" s="85">
        <f>VLOOKUP(A257,Database!$A:$AS,MATCH($D$1,Database!$A$1:$AS$1,0),FALSE)</f>
        <v>97.491875676999996</v>
      </c>
      <c r="E257" s="85">
        <f>VLOOKUP(A257,Database!$A:$AS,MATCH($E$1,Database!$A$1:$AS$1,0),FALSE)</f>
        <v>104.919087433</v>
      </c>
      <c r="F257" s="85">
        <f>VLOOKUP(A257,Database!$A:$AS,MATCH($F$1,Database!$A$1:$AS$1,0),FALSE)</f>
        <v>99.8</v>
      </c>
      <c r="G257" s="85">
        <f>VLOOKUP(A257,Database!$A:$AS,MATCH($G$1,Database!$A$1:$AS$1,0),FALSE)</f>
        <v>90.338770389000004</v>
      </c>
      <c r="H257" s="85">
        <f>(((Table134567891011121314151617343[[#This Row],[ITA]]-VLOOKUP($U$1,A:B,2,))/VLOOKUP($U$1,A:B,2,))*100)+100</f>
        <v>92.023026315805026</v>
      </c>
      <c r="I257" s="85">
        <f>(((Table134567891011121314151617343[[#This Row],[FRA]]-VLOOKUP($U$1,A:C,3,))/VLOOKUP($U$1,A:C,3,))*100)+100</f>
        <v>98.516928480827403</v>
      </c>
      <c r="J257" s="85">
        <f>(((Table134567891011121314151617343[[#This Row],[DEU]]-VLOOKUP($U$1,A:D,4,))/VLOOKUP($U$1,A:D,4,))*100)+100</f>
        <v>129.65425531827177</v>
      </c>
      <c r="K257" s="85">
        <f>(((Table134567891011121314151617343[[#This Row],[ESP]]-VLOOKUP($U$1,A:E,5,))/VLOOKUP($U$1,A:E,5,))*100)+100</f>
        <v>88.189459527785189</v>
      </c>
      <c r="L257" s="85">
        <f>(((Table134567891011121314151617343[[#This Row],[EA19]]-VLOOKUP($U$1,A:F,6,))/VLOOKUP($U$1,A:F,6,))*100)+100</f>
        <v>111.63310961968679</v>
      </c>
      <c r="M257" s="85">
        <f>(((Table134567891011121314151617343[[#This Row],[GBR]]-VLOOKUP($U$1,A:G,7,))/VLOOKUP($U$1,A:G,7,))*100)+100</f>
        <v>98.016336055823245</v>
      </c>
      <c r="N257" s="85">
        <f>VLOOKUP(A257,Database!$A:$AS,MATCH($N$1,Database!$A$1:$AS$1,0),FALSE)</f>
        <v>92.875383662000004</v>
      </c>
      <c r="O257" s="85">
        <f>(((Table134567891011121314151617343[[#This Row],[USA]]-VLOOKUP($U$1,A:N,14,))/VLOOKUP($U$1,A:N,14,))*100)+100</f>
        <v>106.92115199595084</v>
      </c>
      <c r="P257" s="85">
        <f>VLOOKUP(A257,Database!$A:$AS,MATCH($P$1,Database!$A$1:$AS$1,0),FALSE)</f>
        <v>90.220758176999993</v>
      </c>
      <c r="Q257" s="85">
        <f>(((Table134567891011121314151617343[[#This Row],[JPN]]-VLOOKUP($U$1,A:Q,16,))/VLOOKUP($U$1,A:Q,16,))*100)+100</f>
        <v>90.579790045332331</v>
      </c>
    </row>
    <row r="258" spans="1:17" s="87" customFormat="1" x14ac:dyDescent="0.2">
      <c r="A258" s="22">
        <v>40664</v>
      </c>
      <c r="B258" s="85">
        <f>VLOOKUP(A258,Database!$A:$AS,MATCH($B$1,Database!$A$1:$AS$1,0),FALSE)</f>
        <v>109.69085909499999</v>
      </c>
      <c r="C258" s="85">
        <f>VLOOKUP(A258,Database!$A:$AS,MATCH($C$1,Database!$A$1:$AS$1,0),FALSE)</f>
        <v>104.27</v>
      </c>
      <c r="D258" s="85">
        <f>VLOOKUP(A258,Database!$A:$AS,MATCH($D$1,Database!$A$1:$AS$1,0),FALSE)</f>
        <v>98.691775684999996</v>
      </c>
      <c r="E258" s="85">
        <f>VLOOKUP(A258,Database!$A:$AS,MATCH($E$1,Database!$A$1:$AS$1,0),FALSE)</f>
        <v>104.07508672900001</v>
      </c>
      <c r="F258" s="85">
        <f>VLOOKUP(A258,Database!$A:$AS,MATCH($F$1,Database!$A$1:$AS$1,0),FALSE)</f>
        <v>100.4</v>
      </c>
      <c r="G258" s="85">
        <f>VLOOKUP(A258,Database!$A:$AS,MATCH($G$1,Database!$A$1:$AS$1,0),FALSE)</f>
        <v>91.736870406999998</v>
      </c>
      <c r="H258" s="85">
        <f>(((Table134567891011121314151617343[[#This Row],[ITA]]-VLOOKUP($U$1,A:B,2,))/VLOOKUP($U$1,A:B,2,))*100)+100</f>
        <v>90.213815789441895</v>
      </c>
      <c r="I258" s="85">
        <f>(((Table134567891011121314151617343[[#This Row],[FRA]]-VLOOKUP($U$1,A:C,3,))/VLOOKUP($U$1,A:C,3,))*100)+100</f>
        <v>101.73675480534686</v>
      </c>
      <c r="J258" s="85">
        <f>(((Table134567891011121314151617343[[#This Row],[DEU]]-VLOOKUP($U$1,A:D,4,))/VLOOKUP($U$1,A:D,4,))*100)+100</f>
        <v>131.24999999867012</v>
      </c>
      <c r="K258" s="85">
        <f>(((Table134567891011121314151617343[[#This Row],[ESP]]-VLOOKUP($U$1,A:E,5,))/VLOOKUP($U$1,A:E,5,))*100)+100</f>
        <v>87.480036983728453</v>
      </c>
      <c r="L258" s="85">
        <f>(((Table134567891011121314151617343[[#This Row],[EA19]]-VLOOKUP($U$1,A:F,6,))/VLOOKUP($U$1,A:F,6,))*100)+100</f>
        <v>112.30425055928411</v>
      </c>
      <c r="M258" s="85">
        <f>(((Table134567891011121314151617343[[#This Row],[GBR]]-VLOOKUP($U$1,A:G,7,))/VLOOKUP($U$1,A:G,7,))*100)+100</f>
        <v>99.53325554248282</v>
      </c>
      <c r="N258" s="85">
        <f>VLOOKUP(A258,Database!$A:$AS,MATCH($N$1,Database!$A$1:$AS$1,0),FALSE)</f>
        <v>93.021980331999998</v>
      </c>
      <c r="O258" s="85">
        <f>(((Table134567891011121314151617343[[#This Row],[USA]]-VLOOKUP($U$1,A:N,14,))/VLOOKUP($U$1,A:N,14,))*100)+100</f>
        <v>107.08991883402078</v>
      </c>
      <c r="P258" s="85">
        <f>VLOOKUP(A258,Database!$A:$AS,MATCH($P$1,Database!$A$1:$AS$1,0),FALSE)</f>
        <v>96.173891253999997</v>
      </c>
      <c r="Q258" s="85">
        <f>(((Table134567891011121314151617343[[#This Row],[JPN]]-VLOOKUP($U$1,A:Q,16,))/VLOOKUP($U$1,A:Q,16,))*100)+100</f>
        <v>96.556613507275387</v>
      </c>
    </row>
    <row r="259" spans="1:17" s="87" customFormat="1" x14ac:dyDescent="0.2">
      <c r="A259" s="22">
        <v>40695</v>
      </c>
      <c r="B259" s="85">
        <f>VLOOKUP(A259,Database!$A:$AS,MATCH($B$1,Database!$A$1:$AS$1,0),FALSE)</f>
        <v>108.890925756</v>
      </c>
      <c r="C259" s="85">
        <f>VLOOKUP(A259,Database!$A:$AS,MATCH($C$1,Database!$A$1:$AS$1,0),FALSE)</f>
        <v>101.47</v>
      </c>
      <c r="D259" s="85">
        <f>VLOOKUP(A259,Database!$A:$AS,MATCH($D$1,Database!$A$1:$AS$1,0),FALSE)</f>
        <v>97.091909008000002</v>
      </c>
      <c r="E259" s="85">
        <f>VLOOKUP(A259,Database!$A:$AS,MATCH($E$1,Database!$A$1:$AS$1,0),FALSE)</f>
        <v>104.425087021</v>
      </c>
      <c r="F259" s="85">
        <f>VLOOKUP(A259,Database!$A:$AS,MATCH($F$1,Database!$A$1:$AS$1,0),FALSE)</f>
        <v>99</v>
      </c>
      <c r="G259" s="85">
        <f>VLOOKUP(A259,Database!$A:$AS,MATCH($G$1,Database!$A$1:$AS$1,0),FALSE)</f>
        <v>92.274601183000001</v>
      </c>
      <c r="H259" s="85">
        <f>(((Table134567891011121314151617343[[#This Row],[ITA]]-VLOOKUP($U$1,A:B,2,))/VLOOKUP($U$1,A:B,2,))*100)+100</f>
        <v>89.555921052507813</v>
      </c>
      <c r="I259" s="85">
        <f>(((Table134567891011121314151617343[[#This Row],[FRA]]-VLOOKUP($U$1,A:C,3,))/VLOOKUP($U$1,A:C,3,))*100)+100</f>
        <v>99.004780954239436</v>
      </c>
      <c r="J259" s="85">
        <f>(((Table134567891011121314151617343[[#This Row],[DEU]]-VLOOKUP($U$1,A:D,4,))/VLOOKUP($U$1,A:D,4,))*100)+100</f>
        <v>129.12234042524898</v>
      </c>
      <c r="K259" s="85">
        <f>(((Table134567891011121314151617343[[#This Row],[ESP]]-VLOOKUP($U$1,A:E,5,))/VLOOKUP($U$1,A:E,5,))*100)+100</f>
        <v>87.774228797069924</v>
      </c>
      <c r="L259" s="85">
        <f>(((Table134567891011121314151617343[[#This Row],[EA19]]-VLOOKUP($U$1,A:F,6,))/VLOOKUP($U$1,A:F,6,))*100)+100</f>
        <v>110.73825503355704</v>
      </c>
      <c r="M259" s="85">
        <f>(((Table134567891011121314151617343[[#This Row],[GBR]]-VLOOKUP($U$1,A:G,7,))/VLOOKUP($U$1,A:G,7,))*100)+100</f>
        <v>100.11668611410806</v>
      </c>
      <c r="N259" s="85">
        <f>VLOOKUP(A259,Database!$A:$AS,MATCH($N$1,Database!$A$1:$AS$1,0),FALSE)</f>
        <v>93.255305930999995</v>
      </c>
      <c r="O259" s="85">
        <f>(((Table134567891011121314151617343[[#This Row],[USA]]-VLOOKUP($U$1,A:N,14,))/VLOOKUP($U$1,A:N,14,))*100)+100</f>
        <v>107.35853082625778</v>
      </c>
      <c r="P259" s="85">
        <f>VLOOKUP(A259,Database!$A:$AS,MATCH($P$1,Database!$A$1:$AS$1,0),FALSE)</f>
        <v>100.074219821</v>
      </c>
      <c r="Q259" s="85">
        <f>(((Table134567891011121314151617343[[#This Row],[JPN]]-VLOOKUP($U$1,A:Q,16,))/VLOOKUP($U$1,A:Q,16,))*100)+100</f>
        <v>100.47246336095947</v>
      </c>
    </row>
    <row r="260" spans="1:17" s="87" customFormat="1" x14ac:dyDescent="0.2">
      <c r="A260" s="22">
        <v>40725</v>
      </c>
      <c r="B260" s="85">
        <f>VLOOKUP(A260,Database!$A:$AS,MATCH($B$1,Database!$A$1:$AS$1,0),FALSE)</f>
        <v>108.49095908699999</v>
      </c>
      <c r="C260" s="85">
        <f>VLOOKUP(A260,Database!$A:$AS,MATCH($C$1,Database!$A$1:$AS$1,0),FALSE)</f>
        <v>102.56</v>
      </c>
      <c r="D260" s="85">
        <f>VLOOKUP(A260,Database!$A:$AS,MATCH($D$1,Database!$A$1:$AS$1,0),FALSE)</f>
        <v>100.091659028</v>
      </c>
      <c r="E260" s="85">
        <f>VLOOKUP(A260,Database!$A:$AS,MATCH($E$1,Database!$A$1:$AS$1,0),FALSE)</f>
        <v>104.646087205</v>
      </c>
      <c r="F260" s="85">
        <f>VLOOKUP(A260,Database!$A:$AS,MATCH($F$1,Database!$A$1:$AS$1,0),FALSE)</f>
        <v>100</v>
      </c>
      <c r="G260" s="85">
        <f>VLOOKUP(A260,Database!$A:$AS,MATCH($G$1,Database!$A$1:$AS$1,0),FALSE)</f>
        <v>92.059508872999999</v>
      </c>
      <c r="H260" s="85">
        <f>(((Table134567891011121314151617343[[#This Row],[ITA]]-VLOOKUP($U$1,A:B,2,))/VLOOKUP($U$1,A:B,2,))*100)+100</f>
        <v>89.226973684451977</v>
      </c>
      <c r="I260" s="85">
        <f>(((Table134567891011121314151617343[[#This Row],[FRA]]-VLOOKUP($U$1,A:C,3,))/VLOOKUP($U$1,A:C,3,))*100)+100</f>
        <v>100.0682993462777</v>
      </c>
      <c r="J260" s="85">
        <f>(((Table134567891011121314151617343[[#This Row],[DEU]]-VLOOKUP($U$1,A:D,4,))/VLOOKUP($U$1,A:D,4,))*100)+100</f>
        <v>133.11170212624478</v>
      </c>
      <c r="K260" s="85">
        <f>(((Table134567891011121314151617343[[#This Row],[ESP]]-VLOOKUP($U$1,A:E,5,))/VLOOKUP($U$1,A:E,5,))*100)+100</f>
        <v>87.959989913177111</v>
      </c>
      <c r="L260" s="85">
        <f>(((Table134567891011121314151617343[[#This Row],[EA19]]-VLOOKUP($U$1,A:F,6,))/VLOOKUP($U$1,A:F,6,))*100)+100</f>
        <v>111.85682326621924</v>
      </c>
      <c r="M260" s="85">
        <f>(((Table134567891011121314151617343[[#This Row],[GBR]]-VLOOKUP($U$1,A:G,7,))/VLOOKUP($U$1,A:G,7,))*100)+100</f>
        <v>99.883313885891951</v>
      </c>
      <c r="N260" s="85">
        <f>VLOOKUP(A260,Database!$A:$AS,MATCH($N$1,Database!$A$1:$AS$1,0),FALSE)</f>
        <v>93.754567206999994</v>
      </c>
      <c r="O260" s="85">
        <f>(((Table134567891011121314151617343[[#This Row],[USA]]-VLOOKUP($U$1,A:N,14,))/VLOOKUP($U$1,A:N,14,))*100)+100</f>
        <v>107.93329658949983</v>
      </c>
      <c r="P260" s="85">
        <f>VLOOKUP(A260,Database!$A:$AS,MATCH($P$1,Database!$A$1:$AS$1,0),FALSE)</f>
        <v>100.99798185</v>
      </c>
      <c r="Q260" s="85">
        <f>(((Table134567891011121314151617343[[#This Row],[JPN]]-VLOOKUP($U$1,A:Q,16,))/VLOOKUP($U$1,A:Q,16,))*100)+100</f>
        <v>101.39990148417401</v>
      </c>
    </row>
    <row r="261" spans="1:17" s="87" customFormat="1" x14ac:dyDescent="0.2">
      <c r="A261" s="22">
        <v>40756</v>
      </c>
      <c r="B261" s="85">
        <f>VLOOKUP(A261,Database!$A:$AS,MATCH($B$1,Database!$A$1:$AS$1,0),FALSE)</f>
        <v>107.791017415</v>
      </c>
      <c r="C261" s="85">
        <f>VLOOKUP(A261,Database!$A:$AS,MATCH($C$1,Database!$A$1:$AS$1,0),FALSE)</f>
        <v>101.71</v>
      </c>
      <c r="D261" s="85">
        <f>VLOOKUP(A261,Database!$A:$AS,MATCH($D$1,Database!$A$1:$AS$1,0),FALSE)</f>
        <v>99.291725690000007</v>
      </c>
      <c r="E261" s="85">
        <f>VLOOKUP(A261,Database!$A:$AS,MATCH($E$1,Database!$A$1:$AS$1,0),FALSE)</f>
        <v>104.65608721300001</v>
      </c>
      <c r="F261" s="85">
        <f>VLOOKUP(A261,Database!$A:$AS,MATCH($F$1,Database!$A$1:$AS$1,0),FALSE)</f>
        <v>100.1</v>
      </c>
      <c r="G261" s="85">
        <f>VLOOKUP(A261,Database!$A:$AS,MATCH($G$1,Database!$A$1:$AS$1,0),FALSE)</f>
        <v>91.736870406999998</v>
      </c>
      <c r="H261" s="85">
        <f>(((Table134567891011121314151617343[[#This Row],[ITA]]-VLOOKUP($U$1,A:B,2,))/VLOOKUP($U$1,A:B,2,))*100)+100</f>
        <v>88.651315789326247</v>
      </c>
      <c r="I261" s="85">
        <f>(((Table134567891011121314151617343[[#This Row],[FRA]]-VLOOKUP($U$1,A:C,3,))/VLOOKUP($U$1,A:C,3,))*100)+100</f>
        <v>99.238950141477218</v>
      </c>
      <c r="J261" s="85">
        <f>(((Table134567891011121314151617343[[#This Row],[DEU]]-VLOOKUP($U$1,A:D,4,))/VLOOKUP($U$1,A:D,4,))*100)+100</f>
        <v>132.04787234019918</v>
      </c>
      <c r="K261" s="85">
        <f>(((Table134567891011121314151617343[[#This Row],[ESP]]-VLOOKUP($U$1,A:E,5,))/VLOOKUP($U$1,A:E,5,))*100)+100</f>
        <v>87.968395393270114</v>
      </c>
      <c r="L261" s="85">
        <f>(((Table134567891011121314151617343[[#This Row],[EA19]]-VLOOKUP($U$1,A:F,6,))/VLOOKUP($U$1,A:F,6,))*100)+100</f>
        <v>111.96868008948545</v>
      </c>
      <c r="M261" s="85">
        <f>(((Table134567891011121314151617343[[#This Row],[GBR]]-VLOOKUP($U$1,A:G,7,))/VLOOKUP($U$1,A:G,7,))*100)+100</f>
        <v>99.53325554248282</v>
      </c>
      <c r="N261" s="85">
        <f>VLOOKUP(A261,Database!$A:$AS,MATCH($N$1,Database!$A$1:$AS$1,0),FALSE)</f>
        <v>94.321923083000001</v>
      </c>
      <c r="O261" s="85">
        <f>(((Table134567891011121314151617343[[#This Row],[USA]]-VLOOKUP($U$1,A:N,14,))/VLOOKUP($U$1,A:N,14,))*100)+100</f>
        <v>108.58645506337876</v>
      </c>
      <c r="P261" s="85">
        <f>VLOOKUP(A261,Database!$A:$AS,MATCH($P$1,Database!$A$1:$AS$1,0),FALSE)</f>
        <v>102.537585232</v>
      </c>
      <c r="Q261" s="85">
        <f>(((Table134567891011121314151617343[[#This Row],[JPN]]-VLOOKUP($U$1,A:Q,16,))/VLOOKUP($U$1,A:Q,16,))*100)+100</f>
        <v>102.94563168986623</v>
      </c>
    </row>
    <row r="262" spans="1:17" s="87" customFormat="1" x14ac:dyDescent="0.2">
      <c r="A262" s="22">
        <v>40787</v>
      </c>
      <c r="B262" s="85">
        <f>VLOOKUP(A262,Database!$A:$AS,MATCH($B$1,Database!$A$1:$AS$1,0),FALSE)</f>
        <v>107.291059078</v>
      </c>
      <c r="C262" s="85">
        <f>VLOOKUP(A262,Database!$A:$AS,MATCH($C$1,Database!$A$1:$AS$1,0),FALSE)</f>
        <v>100.98</v>
      </c>
      <c r="D262" s="85">
        <f>VLOOKUP(A262,Database!$A:$AS,MATCH($D$1,Database!$A$1:$AS$1,0),FALSE)</f>
        <v>97.791850679000007</v>
      </c>
      <c r="E262" s="85">
        <f>VLOOKUP(A262,Database!$A:$AS,MATCH($E$1,Database!$A$1:$AS$1,0),FALSE)</f>
        <v>103.207086006</v>
      </c>
      <c r="F262" s="85">
        <f>VLOOKUP(A262,Database!$A:$AS,MATCH($F$1,Database!$A$1:$AS$1,0),FALSE)</f>
        <v>99.1</v>
      </c>
      <c r="G262" s="85">
        <f>VLOOKUP(A262,Database!$A:$AS,MATCH($G$1,Database!$A$1:$AS$1,0),FALSE)</f>
        <v>91.951962717000001</v>
      </c>
      <c r="H262" s="85">
        <f>(((Table134567891011121314151617343[[#This Row],[ITA]]-VLOOKUP($U$1,A:B,2,))/VLOOKUP($U$1,A:B,2,))*100)+100</f>
        <v>88.240131578639634</v>
      </c>
      <c r="I262" s="85">
        <f>(((Table134567891011121314151617343[[#This Row],[FRA]]-VLOOKUP($U$1,A:C,3,))/VLOOKUP($U$1,A:C,3,))*100)+100</f>
        <v>98.526685530295651</v>
      </c>
      <c r="J262" s="85">
        <f>(((Table134567891011121314151617343[[#This Row],[DEU]]-VLOOKUP($U$1,A:D,4,))/VLOOKUP($U$1,A:D,4,))*100)+100</f>
        <v>130.05319148837137</v>
      </c>
      <c r="K262" s="85">
        <f>(((Table134567891011121314151617343[[#This Row],[ESP]]-VLOOKUP($U$1,A:E,5,))/VLOOKUP($U$1,A:E,5,))*100)+100</f>
        <v>86.750441287616624</v>
      </c>
      <c r="L262" s="85">
        <f>(((Table134567891011121314151617343[[#This Row],[EA19]]-VLOOKUP($U$1,A:F,6,))/VLOOKUP($U$1,A:F,6,))*100)+100</f>
        <v>110.85011185682325</v>
      </c>
      <c r="M262" s="85">
        <f>(((Table134567891011121314151617343[[#This Row],[GBR]]-VLOOKUP($U$1,A:G,7,))/VLOOKUP($U$1,A:G,7,))*100)+100</f>
        <v>99.766627770698932</v>
      </c>
      <c r="N262" s="85">
        <f>VLOOKUP(A262,Database!$A:$AS,MATCH($N$1,Database!$A$1:$AS$1,0),FALSE)</f>
        <v>94.247584000000003</v>
      </c>
      <c r="O262" s="85">
        <f>(((Table134567891011121314151617343[[#This Row],[USA]]-VLOOKUP($U$1,A:N,14,))/VLOOKUP($U$1,A:N,14,))*100)+100</f>
        <v>108.50087350151294</v>
      </c>
      <c r="P262" s="85">
        <f>VLOOKUP(A262,Database!$A:$AS,MATCH($P$1,Database!$A$1:$AS$1,0),FALSE)</f>
        <v>101.921743879</v>
      </c>
      <c r="Q262" s="85">
        <f>(((Table134567891011121314151617343[[#This Row],[JPN]]-VLOOKUP($U$1,A:Q,16,))/VLOOKUP($U$1,A:Q,16,))*100)+100</f>
        <v>102.32733960738855</v>
      </c>
    </row>
    <row r="263" spans="1:17" s="87" customFormat="1" x14ac:dyDescent="0.2">
      <c r="A263" s="22">
        <v>40817</v>
      </c>
      <c r="B263" s="85">
        <f>VLOOKUP(A263,Database!$A:$AS,MATCH($B$1,Database!$A$1:$AS$1,0),FALSE)</f>
        <v>105.99116740300001</v>
      </c>
      <c r="C263" s="85">
        <f>VLOOKUP(A263,Database!$A:$AS,MATCH($C$1,Database!$A$1:$AS$1,0),FALSE)</f>
        <v>101.18</v>
      </c>
      <c r="D263" s="85">
        <f>VLOOKUP(A263,Database!$A:$AS,MATCH($D$1,Database!$A$1:$AS$1,0),FALSE)</f>
        <v>98.891759019999995</v>
      </c>
      <c r="E263" s="85">
        <f>VLOOKUP(A263,Database!$A:$AS,MATCH($E$1,Database!$A$1:$AS$1,0),FALSE)</f>
        <v>101.283084403</v>
      </c>
      <c r="F263" s="85">
        <f>VLOOKUP(A263,Database!$A:$AS,MATCH($F$1,Database!$A$1:$AS$1,0),FALSE)</f>
        <v>98.8</v>
      </c>
      <c r="G263" s="85">
        <f>VLOOKUP(A263,Database!$A:$AS,MATCH($G$1,Database!$A$1:$AS$1,0),FALSE)</f>
        <v>92.489693493000004</v>
      </c>
      <c r="H263" s="85">
        <f>(((Table134567891011121314151617343[[#This Row],[ITA]]-VLOOKUP($U$1,A:B,2,))/VLOOKUP($U$1,A:B,2,))*100)+100</f>
        <v>87.171052631841377</v>
      </c>
      <c r="I263" s="85">
        <f>(((Table134567891011121314151617343[[#This Row],[FRA]]-VLOOKUP($U$1,A:C,3,))/VLOOKUP($U$1,A:C,3,))*100)+100</f>
        <v>98.721826519660468</v>
      </c>
      <c r="J263" s="85">
        <f>(((Table134567891011121314151617343[[#This Row],[DEU]]-VLOOKUP($U$1,A:D,4,))/VLOOKUP($U$1,A:D,4,))*100)+100</f>
        <v>131.51595744584645</v>
      </c>
      <c r="K263" s="85">
        <f>(((Table134567891011121314151617343[[#This Row],[ESP]]-VLOOKUP($U$1,A:E,5,))/VLOOKUP($U$1,A:E,5,))*100)+100</f>
        <v>85.133226864097026</v>
      </c>
      <c r="L263" s="85">
        <f>(((Table134567891011121314151617343[[#This Row],[EA19]]-VLOOKUP($U$1,A:F,6,))/VLOOKUP($U$1,A:F,6,))*100)+100</f>
        <v>110.51454138702459</v>
      </c>
      <c r="M263" s="85">
        <f>(((Table134567891011121314151617343[[#This Row],[GBR]]-VLOOKUP($U$1,A:G,7,))/VLOOKUP($U$1,A:G,7,))*100)+100</f>
        <v>100.35005834232416</v>
      </c>
      <c r="N263" s="85">
        <f>VLOOKUP(A263,Database!$A:$AS,MATCH($N$1,Database!$A$1:$AS$1,0),FALSE)</f>
        <v>94.846955241000003</v>
      </c>
      <c r="O263" s="85">
        <f>(((Table134567891011121314151617343[[#This Row],[USA]]-VLOOKUP($U$1,A:N,14,))/VLOOKUP($U$1,A:N,14,))*100)+100</f>
        <v>109.19088910127819</v>
      </c>
      <c r="P263" s="85">
        <f>VLOOKUP(A263,Database!$A:$AS,MATCH($P$1,Database!$A$1:$AS$1,0),FALSE)</f>
        <v>103.56398748700001</v>
      </c>
      <c r="Q263" s="85">
        <f>(((Table134567891011121314151617343[[#This Row],[JPN]]-VLOOKUP($U$1,A:Q,16,))/VLOOKUP($U$1,A:Q,16,))*100)+100</f>
        <v>103.97611849399573</v>
      </c>
    </row>
    <row r="264" spans="1:17" s="87" customFormat="1" x14ac:dyDescent="0.2">
      <c r="A264" s="22">
        <v>40848</v>
      </c>
      <c r="B264" s="85">
        <f>VLOOKUP(A264,Database!$A:$AS,MATCH($B$1,Database!$A$1:$AS$1,0),FALSE)</f>
        <v>106.791100742</v>
      </c>
      <c r="C264" s="85">
        <f>VLOOKUP(A264,Database!$A:$AS,MATCH($C$1,Database!$A$1:$AS$1,0),FALSE)</f>
        <v>103.23</v>
      </c>
      <c r="D264" s="85">
        <f>VLOOKUP(A264,Database!$A:$AS,MATCH($D$1,Database!$A$1:$AS$1,0),FALSE)</f>
        <v>98.191817349000004</v>
      </c>
      <c r="E264" s="85">
        <f>VLOOKUP(A264,Database!$A:$AS,MATCH($E$1,Database!$A$1:$AS$1,0),FALSE)</f>
        <v>100.82108401799999</v>
      </c>
      <c r="F264" s="85">
        <f>VLOOKUP(A264,Database!$A:$AS,MATCH($F$1,Database!$A$1:$AS$1,0),FALSE)</f>
        <v>99.1</v>
      </c>
      <c r="G264" s="85">
        <f>VLOOKUP(A264,Database!$A:$AS,MATCH($G$1,Database!$A$1:$AS$1,0),FALSE)</f>
        <v>91.736870406999998</v>
      </c>
      <c r="H264" s="85">
        <f>(((Table134567891011121314151617343[[#This Row],[ITA]]-VLOOKUP($U$1,A:B,2,))/VLOOKUP($U$1,A:B,2,))*100)+100</f>
        <v>87.828947368775459</v>
      </c>
      <c r="I264" s="85">
        <f>(((Table134567891011121314151617343[[#This Row],[FRA]]-VLOOKUP($U$1,A:C,3,))/VLOOKUP($U$1,A:C,3,))*100)+100</f>
        <v>100.72202166064983</v>
      </c>
      <c r="J264" s="85">
        <f>(((Table134567891011121314151617343[[#This Row],[DEU]]-VLOOKUP($U$1,A:D,4,))/VLOOKUP($U$1,A:D,4,))*100)+100</f>
        <v>130.58510638272406</v>
      </c>
      <c r="K264" s="85">
        <f>(((Table134567891011121314151617343[[#This Row],[ESP]]-VLOOKUP($U$1,A:E,5,))/VLOOKUP($U$1,A:E,5,))*100)+100</f>
        <v>84.744893670856115</v>
      </c>
      <c r="L264" s="85">
        <f>(((Table134567891011121314151617343[[#This Row],[EA19]]-VLOOKUP($U$1,A:F,6,))/VLOOKUP($U$1,A:F,6,))*100)+100</f>
        <v>110.85011185682325</v>
      </c>
      <c r="M264" s="85">
        <f>(((Table134567891011121314151617343[[#This Row],[GBR]]-VLOOKUP($U$1,A:G,7,))/VLOOKUP($U$1,A:G,7,))*100)+100</f>
        <v>99.53325554248282</v>
      </c>
      <c r="N264" s="85">
        <f>VLOOKUP(A264,Database!$A:$AS,MATCH($N$1,Database!$A$1:$AS$1,0),FALSE)</f>
        <v>94.887098344999998</v>
      </c>
      <c r="O264" s="85">
        <f>(((Table134567891011121314151617343[[#This Row],[USA]]-VLOOKUP($U$1,A:N,14,))/VLOOKUP($U$1,A:N,14,))*100)+100</f>
        <v>109.23710314374172</v>
      </c>
      <c r="P264" s="85">
        <f>VLOOKUP(A264,Database!$A:$AS,MATCH($P$1,Database!$A$1:$AS$1,0),FALSE)</f>
        <v>101.51118297799999</v>
      </c>
      <c r="Q264" s="85">
        <f>(((Table134567891011121314151617343[[#This Row],[JPN]]-VLOOKUP($U$1,A:Q,16,))/VLOOKUP($U$1,A:Q,16,))*100)+100</f>
        <v>101.91514488674073</v>
      </c>
    </row>
    <row r="265" spans="1:17" s="87" customFormat="1" x14ac:dyDescent="0.2">
      <c r="A265" s="22">
        <v>40878</v>
      </c>
      <c r="B265" s="85">
        <f>VLOOKUP(A265,Database!$A:$AS,MATCH($B$1,Database!$A$1:$AS$1,0),FALSE)</f>
        <v>107.691025748</v>
      </c>
      <c r="C265" s="85">
        <f>VLOOKUP(A265,Database!$A:$AS,MATCH($C$1,Database!$A$1:$AS$1,0),FALSE)</f>
        <v>101.18</v>
      </c>
      <c r="D265" s="85">
        <f>VLOOKUP(A265,Database!$A:$AS,MATCH($D$1,Database!$A$1:$AS$1,0),FALSE)</f>
        <v>96.791934005000002</v>
      </c>
      <c r="E265" s="85">
        <f>VLOOKUP(A265,Database!$A:$AS,MATCH($E$1,Database!$A$1:$AS$1,0),FALSE)</f>
        <v>102.674085562</v>
      </c>
      <c r="F265" s="85">
        <f>VLOOKUP(A265,Database!$A:$AS,MATCH($F$1,Database!$A$1:$AS$1,0),FALSE)</f>
        <v>98.5</v>
      </c>
      <c r="G265" s="85">
        <f>VLOOKUP(A265,Database!$A:$AS,MATCH($G$1,Database!$A$1:$AS$1,0),FALSE)</f>
        <v>91.629324252000004</v>
      </c>
      <c r="H265" s="85">
        <f>(((Table134567891011121314151617343[[#This Row],[ITA]]-VLOOKUP($U$1,A:B,2,))/VLOOKUP($U$1,A:B,2,))*100)+100</f>
        <v>88.569078947517895</v>
      </c>
      <c r="I265" s="85">
        <f>(((Table134567891011121314151617343[[#This Row],[FRA]]-VLOOKUP($U$1,A:C,3,))/VLOOKUP($U$1,A:C,3,))*100)+100</f>
        <v>98.721826519660468</v>
      </c>
      <c r="J265" s="85">
        <f>(((Table134567891011121314151617343[[#This Row],[DEU]]-VLOOKUP($U$1,A:D,4,))/VLOOKUP($U$1,A:D,4,))*100)+100</f>
        <v>128.7234042538195</v>
      </c>
      <c r="K265" s="85">
        <f>(((Table134567891011121314151617343[[#This Row],[ESP]]-VLOOKUP($U$1,A:E,5,))/VLOOKUP($U$1,A:E,5,))*100)+100</f>
        <v>86.302429183866238</v>
      </c>
      <c r="L265" s="85">
        <f>(((Table134567891011121314151617343[[#This Row],[EA19]]-VLOOKUP($U$1,A:F,6,))/VLOOKUP($U$1,A:F,6,))*100)+100</f>
        <v>110.17897091722594</v>
      </c>
      <c r="M265" s="85">
        <f>(((Table134567891011121314151617343[[#This Row],[GBR]]-VLOOKUP($U$1,A:G,7,))/VLOOKUP($U$1,A:G,7,))*100)+100</f>
        <v>99.416569428374785</v>
      </c>
      <c r="N265" s="85">
        <f>VLOOKUP(A265,Database!$A:$AS,MATCH($N$1,Database!$A$1:$AS$1,0),FALSE)</f>
        <v>95.356921344</v>
      </c>
      <c r="O265" s="85">
        <f>(((Table134567891011121314151617343[[#This Row],[USA]]-VLOOKUP($U$1,A:N,14,))/VLOOKUP($U$1,A:N,14,))*100)+100</f>
        <v>109.77797860833294</v>
      </c>
      <c r="P265" s="85">
        <f>VLOOKUP(A265,Database!$A:$AS,MATCH($P$1,Database!$A$1:$AS$1,0),FALSE)</f>
        <v>103.56398748700001</v>
      </c>
      <c r="Q265" s="85">
        <f>(((Table134567891011121314151617343[[#This Row],[JPN]]-VLOOKUP($U$1,A:Q,16,))/VLOOKUP($U$1,A:Q,16,))*100)+100</f>
        <v>103.97611849399573</v>
      </c>
    </row>
    <row r="266" spans="1:17" s="87" customFormat="1" x14ac:dyDescent="0.2">
      <c r="A266" s="22">
        <v>40909</v>
      </c>
      <c r="B266" s="85">
        <f>VLOOKUP(A266,Database!$A:$AS,MATCH($B$1,Database!$A$1:$AS$1,0),FALSE)</f>
        <v>103.591367386</v>
      </c>
      <c r="C266" s="85">
        <f>VLOOKUP(A266,Database!$A:$AS,MATCH($C$1,Database!$A$1:$AS$1,0),FALSE)</f>
        <v>100.75</v>
      </c>
      <c r="D266" s="85">
        <f>VLOOKUP(A266,Database!$A:$AS,MATCH($D$1,Database!$A$1:$AS$1,0),FALSE)</f>
        <v>97.291892341999997</v>
      </c>
      <c r="E266" s="85">
        <f>VLOOKUP(A266,Database!$A:$AS,MATCH($E$1,Database!$A$1:$AS$1,0),FALSE)</f>
        <v>100.671083893</v>
      </c>
      <c r="F266" s="85">
        <f>VLOOKUP(A266,Database!$A:$AS,MATCH($F$1,Database!$A$1:$AS$1,0),FALSE)</f>
        <v>97.8</v>
      </c>
      <c r="G266" s="85">
        <f>VLOOKUP(A266,Database!$A:$AS,MATCH($G$1,Database!$A$1:$AS$1,0),FALSE)</f>
        <v>91.199139630999994</v>
      </c>
      <c r="H266" s="85">
        <f>(((Table134567891011121314151617343[[#This Row],[ITA]]-VLOOKUP($U$1,A:B,2,))/VLOOKUP($U$1,A:B,2,))*100)+100</f>
        <v>85.197368421039116</v>
      </c>
      <c r="I266" s="85">
        <f>(((Table134567891011121314151617343[[#This Row],[FRA]]-VLOOKUP($U$1,A:C,3,))/VLOOKUP($U$1,A:C,3,))*100)+100</f>
        <v>98.302273392526104</v>
      </c>
      <c r="J266" s="85">
        <f>(((Table134567891011121314151617343[[#This Row],[DEU]]-VLOOKUP($U$1,A:D,4,))/VLOOKUP($U$1,A:D,4,))*100)+100</f>
        <v>129.38829787109543</v>
      </c>
      <c r="K266" s="85">
        <f>(((Table134567891011121314151617343[[#This Row],[ESP]]-VLOOKUP($U$1,A:E,5,))/VLOOKUP($U$1,A:E,5,))*100)+100</f>
        <v>84.618811465258418</v>
      </c>
      <c r="L266" s="85">
        <f>(((Table134567891011121314151617343[[#This Row],[EA19]]-VLOOKUP($U$1,A:F,6,))/VLOOKUP($U$1,A:F,6,))*100)+100</f>
        <v>109.39597315436241</v>
      </c>
      <c r="M266" s="85">
        <f>(((Table134567891011121314151617343[[#This Row],[GBR]]-VLOOKUP($U$1,A:G,7,))/VLOOKUP($U$1,A:G,7,))*100)+100</f>
        <v>98.949824970857591</v>
      </c>
      <c r="N266" s="85">
        <f>VLOOKUP(A266,Database!$A:$AS,MATCH($N$1,Database!$A$1:$AS$1,0),FALSE)</f>
        <v>95.924376338000002</v>
      </c>
      <c r="O266" s="85">
        <f>(((Table134567891011121314151617343[[#This Row],[USA]]-VLOOKUP($U$1,A:N,14,))/VLOOKUP($U$1,A:N,14,))*100)+100</f>
        <v>110.43125119006615</v>
      </c>
      <c r="P266" s="85">
        <f>VLOOKUP(A266,Database!$A:$AS,MATCH($P$1,Database!$A$1:$AS$1,0),FALSE)</f>
        <v>103.871908163</v>
      </c>
      <c r="Q266" s="85">
        <f>(((Table134567891011121314151617343[[#This Row],[JPN]]-VLOOKUP($U$1,A:Q,16,))/VLOOKUP($U$1,A:Q,16,))*100)+100</f>
        <v>104.28526453473258</v>
      </c>
    </row>
    <row r="267" spans="1:17" s="87" customFormat="1" x14ac:dyDescent="0.2">
      <c r="A267" s="22">
        <v>40940</v>
      </c>
      <c r="B267" s="85">
        <f>VLOOKUP(A267,Database!$A:$AS,MATCH($B$1,Database!$A$1:$AS$1,0),FALSE)</f>
        <v>103.891342388</v>
      </c>
      <c r="C267" s="85">
        <f>VLOOKUP(A267,Database!$A:$AS,MATCH($C$1,Database!$A$1:$AS$1,0),FALSE)</f>
        <v>101.6</v>
      </c>
      <c r="D267" s="85">
        <f>VLOOKUP(A267,Database!$A:$AS,MATCH($D$1,Database!$A$1:$AS$1,0),FALSE)</f>
        <v>97.191900674999999</v>
      </c>
      <c r="E267" s="85">
        <f>VLOOKUP(A267,Database!$A:$AS,MATCH($E$1,Database!$A$1:$AS$1,0),FALSE)</f>
        <v>99.040082533000003</v>
      </c>
      <c r="F267" s="85">
        <f>VLOOKUP(A267,Database!$A:$AS,MATCH($F$1,Database!$A$1:$AS$1,0),FALSE)</f>
        <v>98.4</v>
      </c>
      <c r="G267" s="85">
        <f>VLOOKUP(A267,Database!$A:$AS,MATCH($G$1,Database!$A$1:$AS$1,0),FALSE)</f>
        <v>91.091593476</v>
      </c>
      <c r="H267" s="85">
        <f>(((Table134567891011121314151617343[[#This Row],[ITA]]-VLOOKUP($U$1,A:B,2,))/VLOOKUP($U$1,A:B,2,))*100)+100</f>
        <v>85.444078947286584</v>
      </c>
      <c r="I267" s="85">
        <f>(((Table134567891011121314151617343[[#This Row],[FRA]]-VLOOKUP($U$1,A:C,3,))/VLOOKUP($U$1,A:C,3,))*100)+100</f>
        <v>99.131622597326569</v>
      </c>
      <c r="J267" s="85">
        <f>(((Table134567891011121314151617343[[#This Row],[DEU]]-VLOOKUP($U$1,A:D,4,))/VLOOKUP($U$1,A:D,4,))*100)+100</f>
        <v>129.25531914817219</v>
      </c>
      <c r="K267" s="85">
        <f>(((Table134567891011121314151617343[[#This Row],[ESP]]-VLOOKUP($U$1,A:E,5,))/VLOOKUP($U$1,A:E,5,))*100)+100</f>
        <v>83.247877615692346</v>
      </c>
      <c r="L267" s="85">
        <f>(((Table134567891011121314151617343[[#This Row],[EA19]]-VLOOKUP($U$1,A:F,6,))/VLOOKUP($U$1,A:F,6,))*100)+100</f>
        <v>110.06711409395973</v>
      </c>
      <c r="M267" s="85">
        <f>(((Table134567891011121314151617343[[#This Row],[GBR]]-VLOOKUP($U$1,A:G,7,))/VLOOKUP($U$1,A:G,7,))*100)+100</f>
        <v>98.833138856749542</v>
      </c>
      <c r="N267" s="85">
        <f>VLOOKUP(A267,Database!$A:$AS,MATCH($N$1,Database!$A$1:$AS$1,0),FALSE)</f>
        <v>96.195763548000002</v>
      </c>
      <c r="O267" s="85">
        <f>(((Table134567891011121314151617343[[#This Row],[USA]]-VLOOKUP($U$1,A:N,14,))/VLOOKUP($U$1,A:N,14,))*100)+100</f>
        <v>110.74368094255867</v>
      </c>
      <c r="P267" s="85">
        <f>VLOOKUP(A267,Database!$A:$AS,MATCH($P$1,Database!$A$1:$AS$1,0),FALSE)</f>
        <v>103.66662771199999</v>
      </c>
      <c r="Q267" s="85">
        <f>(((Table134567891011121314151617343[[#This Row],[JPN]]-VLOOKUP($U$1,A:Q,16,))/VLOOKUP($U$1,A:Q,16,))*100)+100</f>
        <v>104.07916717390668</v>
      </c>
    </row>
    <row r="268" spans="1:17" s="87" customFormat="1" x14ac:dyDescent="0.2">
      <c r="A268" s="22">
        <v>40969</v>
      </c>
      <c r="B268" s="85">
        <f>VLOOKUP(A268,Database!$A:$AS,MATCH($B$1,Database!$A$1:$AS$1,0),FALSE)</f>
        <v>104.291309058</v>
      </c>
      <c r="C268" s="85">
        <f>VLOOKUP(A268,Database!$A:$AS,MATCH($C$1,Database!$A$1:$AS$1,0),FALSE)</f>
        <v>100.67</v>
      </c>
      <c r="D268" s="85">
        <f>VLOOKUP(A268,Database!$A:$AS,MATCH($D$1,Database!$A$1:$AS$1,0),FALSE)</f>
        <v>98.391800683</v>
      </c>
      <c r="E268" s="85">
        <f>VLOOKUP(A268,Database!$A:$AS,MATCH($E$1,Database!$A$1:$AS$1,0),FALSE)</f>
        <v>97.986081655000007</v>
      </c>
      <c r="F268" s="85">
        <f>VLOOKUP(A268,Database!$A:$AS,MATCH($F$1,Database!$A$1:$AS$1,0),FALSE)</f>
        <v>98.2</v>
      </c>
      <c r="G268" s="85">
        <f>VLOOKUP(A268,Database!$A:$AS,MATCH($G$1,Database!$A$1:$AS$1,0),FALSE)</f>
        <v>90.553862699000007</v>
      </c>
      <c r="H268" s="85">
        <f>(((Table134567891011121314151617343[[#This Row],[ITA]]-VLOOKUP($U$1,A:B,2,))/VLOOKUP($U$1,A:B,2,))*100)+100</f>
        <v>85.773026316164845</v>
      </c>
      <c r="I268" s="85">
        <f>(((Table134567891011121314151617343[[#This Row],[FRA]]-VLOOKUP($U$1,A:C,3,))/VLOOKUP($U$1,A:C,3,))*100)+100</f>
        <v>98.224216996780186</v>
      </c>
      <c r="J268" s="85">
        <f>(((Table134567891011121314151617343[[#This Row],[DEU]]-VLOOKUP($U$1,A:D,4,))/VLOOKUP($U$1,A:D,4,))*100)+100</f>
        <v>130.85106382857055</v>
      </c>
      <c r="K268" s="85">
        <f>(((Table134567891011121314151617343[[#This Row],[ESP]]-VLOOKUP($U$1,A:E,5,))/VLOOKUP($U$1,A:E,5,))*100)+100</f>
        <v>82.361939984639378</v>
      </c>
      <c r="L268" s="85">
        <f>(((Table134567891011121314151617343[[#This Row],[EA19]]-VLOOKUP($U$1,A:F,6,))/VLOOKUP($U$1,A:F,6,))*100)+100</f>
        <v>109.84340044742729</v>
      </c>
      <c r="M268" s="85">
        <f>(((Table134567891011121314151617343[[#This Row],[GBR]]-VLOOKUP($U$1,A:G,7,))/VLOOKUP($U$1,A:G,7,))*100)+100</f>
        <v>98.249708284039343</v>
      </c>
      <c r="N268" s="85">
        <f>VLOOKUP(A268,Database!$A:$AS,MATCH($N$1,Database!$A$1:$AS$1,0),FALSE)</f>
        <v>95.720389897000004</v>
      </c>
      <c r="O268" s="85">
        <f>(((Table134567891011121314151617343[[#This Row],[USA]]-VLOOKUP($U$1,A:N,14,))/VLOOKUP($U$1,A:N,14,))*100)+100</f>
        <v>110.19641538747449</v>
      </c>
      <c r="P268" s="85">
        <f>VLOOKUP(A268,Database!$A:$AS,MATCH($P$1,Database!$A$1:$AS$1,0),FALSE)</f>
        <v>103.461347261</v>
      </c>
      <c r="Q268" s="85">
        <f>(((Table134567891011121314151617343[[#This Row],[JPN]]-VLOOKUP($U$1,A:Q,16,))/VLOOKUP($U$1,A:Q,16,))*100)+100</f>
        <v>103.87306981308079</v>
      </c>
    </row>
    <row r="269" spans="1:17" s="87" customFormat="1" x14ac:dyDescent="0.2">
      <c r="A269" s="22">
        <v>41000</v>
      </c>
      <c r="B269" s="85">
        <f>VLOOKUP(A269,Database!$A:$AS,MATCH($B$1,Database!$A$1:$AS$1,0),FALSE)</f>
        <v>102.791434047</v>
      </c>
      <c r="C269" s="85">
        <f>VLOOKUP(A269,Database!$A:$AS,MATCH($C$1,Database!$A$1:$AS$1,0),FALSE)</f>
        <v>100.98</v>
      </c>
      <c r="D269" s="85">
        <f>VLOOKUP(A269,Database!$A:$AS,MATCH($D$1,Database!$A$1:$AS$1,0),FALSE)</f>
        <v>96.591950671000006</v>
      </c>
      <c r="E269" s="85">
        <f>VLOOKUP(A269,Database!$A:$AS,MATCH($E$1,Database!$A$1:$AS$1,0),FALSE)</f>
        <v>96.996080829999997</v>
      </c>
      <c r="F269" s="85">
        <f>VLOOKUP(A269,Database!$A:$AS,MATCH($F$1,Database!$A$1:$AS$1,0),FALSE)</f>
        <v>97.5</v>
      </c>
      <c r="G269" s="85">
        <f>VLOOKUP(A269,Database!$A:$AS,MATCH($G$1,Database!$A$1:$AS$1,0),FALSE)</f>
        <v>91.521778096000006</v>
      </c>
      <c r="H269" s="85">
        <f>(((Table134567891011121314151617343[[#This Row],[ITA]]-VLOOKUP($U$1,A:B,2,))/VLOOKUP($U$1,A:B,2,))*100)+100</f>
        <v>84.539473684105019</v>
      </c>
      <c r="I269" s="85">
        <f>(((Table134567891011121314151617343[[#This Row],[FRA]]-VLOOKUP($U$1,A:C,3,))/VLOOKUP($U$1,A:C,3,))*100)+100</f>
        <v>98.526685530295651</v>
      </c>
      <c r="J269" s="85">
        <f>(((Table134567891011121314151617343[[#This Row],[DEU]]-VLOOKUP($U$1,A:D,4,))/VLOOKUP($U$1,A:D,4,))*100)+100</f>
        <v>128.45744680797304</v>
      </c>
      <c r="K269" s="85">
        <f>(((Table134567891011121314151617343[[#This Row],[ESP]]-VLOOKUP($U$1,A:E,5,))/VLOOKUP($U$1,A:E,5,))*100)+100</f>
        <v>81.529797427694575</v>
      </c>
      <c r="L269" s="85">
        <f>(((Table134567891011121314151617343[[#This Row],[EA19]]-VLOOKUP($U$1,A:F,6,))/VLOOKUP($U$1,A:F,6,))*100)+100</f>
        <v>109.06040268456375</v>
      </c>
      <c r="M269" s="85">
        <f>(((Table134567891011121314151617343[[#This Row],[GBR]]-VLOOKUP($U$1,A:G,7,))/VLOOKUP($U$1,A:G,7,))*100)+100</f>
        <v>99.299883313181752</v>
      </c>
      <c r="N269" s="85">
        <f>VLOOKUP(A269,Database!$A:$AS,MATCH($N$1,Database!$A$1:$AS$1,0),FALSE)</f>
        <v>96.456346811000003</v>
      </c>
      <c r="O269" s="85">
        <f>(((Table134567891011121314151617343[[#This Row],[USA]]-VLOOKUP($U$1,A:N,14,))/VLOOKUP($U$1,A:N,14,))*100)+100</f>
        <v>111.04367284108176</v>
      </c>
      <c r="P269" s="85">
        <f>VLOOKUP(A269,Database!$A:$AS,MATCH($P$1,Database!$A$1:$AS$1,0),FALSE)</f>
        <v>102.948146134</v>
      </c>
      <c r="Q269" s="85">
        <f>(((Table134567891011121314151617343[[#This Row],[JPN]]-VLOOKUP($U$1,A:Q,16,))/VLOOKUP($U$1,A:Q,16,))*100)+100</f>
        <v>103.35782641151803</v>
      </c>
    </row>
    <row r="270" spans="1:17" s="87" customFormat="1" x14ac:dyDescent="0.2">
      <c r="A270" s="22">
        <v>41030</v>
      </c>
      <c r="B270" s="85">
        <f>VLOOKUP(A270,Database!$A:$AS,MATCH($B$1,Database!$A$1:$AS$1,0),FALSE)</f>
        <v>104.291309058</v>
      </c>
      <c r="C270" s="85">
        <f>VLOOKUP(A270,Database!$A:$AS,MATCH($C$1,Database!$A$1:$AS$1,0),FALSE)</f>
        <v>99.52</v>
      </c>
      <c r="D270" s="85">
        <f>VLOOKUP(A270,Database!$A:$AS,MATCH($D$1,Database!$A$1:$AS$1,0),FALSE)</f>
        <v>98.491792351000001</v>
      </c>
      <c r="E270" s="85">
        <f>VLOOKUP(A270,Database!$A:$AS,MATCH($E$1,Database!$A$1:$AS$1,0),FALSE)</f>
        <v>97.977081647999995</v>
      </c>
      <c r="F270" s="85">
        <f>VLOOKUP(A270,Database!$A:$AS,MATCH($F$1,Database!$A$1:$AS$1,0),FALSE)</f>
        <v>98.3</v>
      </c>
      <c r="G270" s="85">
        <f>VLOOKUP(A270,Database!$A:$AS,MATCH($G$1,Database!$A$1:$AS$1,0),FALSE)</f>
        <v>93.027424269999997</v>
      </c>
      <c r="H270" s="85">
        <f>(((Table134567891011121314151617343[[#This Row],[ITA]]-VLOOKUP($U$1,A:B,2,))/VLOOKUP($U$1,A:B,2,))*100)+100</f>
        <v>85.773026316164845</v>
      </c>
      <c r="I270" s="85">
        <f>(((Table134567891011121314151617343[[#This Row],[FRA]]-VLOOKUP($U$1,A:C,3,))/VLOOKUP($U$1,A:C,3,))*100)+100</f>
        <v>97.102156307932489</v>
      </c>
      <c r="J270" s="85">
        <f>(((Table134567891011121314151617343[[#This Row],[DEU]]-VLOOKUP($U$1,A:D,4,))/VLOOKUP($U$1,A:D,4,))*100)+100</f>
        <v>130.98404255282367</v>
      </c>
      <c r="K270" s="85">
        <f>(((Table134567891011121314151617343[[#This Row],[ESP]]-VLOOKUP($U$1,A:E,5,))/VLOOKUP($U$1,A:E,5,))*100)+100</f>
        <v>82.354375052723782</v>
      </c>
      <c r="L270" s="85">
        <f>(((Table134567891011121314151617343[[#This Row],[EA19]]-VLOOKUP($U$1,A:F,6,))/VLOOKUP($U$1,A:F,6,))*100)+100</f>
        <v>109.95525727069349</v>
      </c>
      <c r="M270" s="85">
        <f>(((Table134567891011121314151617343[[#This Row],[GBR]]-VLOOKUP($U$1,A:G,7,))/VLOOKUP($U$1,A:G,7,))*100)+100</f>
        <v>100.93348891503436</v>
      </c>
      <c r="N270" s="85">
        <f>VLOOKUP(A270,Database!$A:$AS,MATCH($N$1,Database!$A$1:$AS$1,0),FALSE)</f>
        <v>96.607998538000004</v>
      </c>
      <c r="O270" s="85">
        <f>(((Table134567891011121314151617343[[#This Row],[USA]]-VLOOKUP($U$1,A:N,14,))/VLOOKUP($U$1,A:N,14,))*100)+100</f>
        <v>111.21825922461721</v>
      </c>
      <c r="P270" s="85">
        <f>VLOOKUP(A270,Database!$A:$AS,MATCH($P$1,Database!$A$1:$AS$1,0),FALSE)</f>
        <v>101.10062207599999</v>
      </c>
      <c r="Q270" s="85">
        <f>(((Table134567891011121314151617343[[#This Row],[JPN]]-VLOOKUP($U$1,A:Q,16,))/VLOOKUP($U$1,A:Q,16,))*100)+100</f>
        <v>101.50295016508893</v>
      </c>
    </row>
    <row r="271" spans="1:17" s="87" customFormat="1" x14ac:dyDescent="0.2">
      <c r="A271" s="22">
        <v>41061</v>
      </c>
      <c r="B271" s="85">
        <f>VLOOKUP(A271,Database!$A:$AS,MATCH($B$1,Database!$A$1:$AS$1,0),FALSE)</f>
        <v>102.191484043</v>
      </c>
      <c r="C271" s="85">
        <f>VLOOKUP(A271,Database!$A:$AS,MATCH($C$1,Database!$A$1:$AS$1,0),FALSE)</f>
        <v>98.75</v>
      </c>
      <c r="D271" s="85">
        <f>VLOOKUP(A271,Database!$A:$AS,MATCH($D$1,Database!$A$1:$AS$1,0),FALSE)</f>
        <v>97.291892341999997</v>
      </c>
      <c r="E271" s="85">
        <f>VLOOKUP(A271,Database!$A:$AS,MATCH($E$1,Database!$A$1:$AS$1,0),FALSE)</f>
        <v>97.559081298999999</v>
      </c>
      <c r="F271" s="85">
        <f>VLOOKUP(A271,Database!$A:$AS,MATCH($F$1,Database!$A$1:$AS$1,0),FALSE)</f>
        <v>97.4</v>
      </c>
      <c r="G271" s="85">
        <f>VLOOKUP(A271,Database!$A:$AS,MATCH($G$1,Database!$A$1:$AS$1,0),FALSE)</f>
        <v>91.629324252000004</v>
      </c>
      <c r="H271" s="85">
        <f>(((Table134567891011121314151617343[[#This Row],[ITA]]-VLOOKUP($U$1,A:B,2,))/VLOOKUP($U$1,A:B,2,))*100)+100</f>
        <v>84.046052631610067</v>
      </c>
      <c r="I271" s="85">
        <f>(((Table134567891011121314151617343[[#This Row],[FRA]]-VLOOKUP($U$1,A:C,3,))/VLOOKUP($U$1,A:C,3,))*100)+100</f>
        <v>96.350863498877942</v>
      </c>
      <c r="J271" s="85">
        <f>(((Table134567891011121314151617343[[#This Row],[DEU]]-VLOOKUP($U$1,A:D,4,))/VLOOKUP($U$1,A:D,4,))*100)+100</f>
        <v>129.38829787109543</v>
      </c>
      <c r="K271" s="85">
        <f>(((Table134567891011121314151617343[[#This Row],[ESP]]-VLOOKUP($U$1,A:E,5,))/VLOOKUP($U$1,A:E,5,))*100)+100</f>
        <v>82.003025972564501</v>
      </c>
      <c r="L271" s="85">
        <f>(((Table134567891011121314151617343[[#This Row],[EA19]]-VLOOKUP($U$1,A:F,6,))/VLOOKUP($U$1,A:F,6,))*100)+100</f>
        <v>108.94854586129753</v>
      </c>
      <c r="M271" s="85">
        <f>(((Table134567891011121314151617343[[#This Row],[GBR]]-VLOOKUP($U$1,A:G,7,))/VLOOKUP($U$1,A:G,7,))*100)+100</f>
        <v>99.416569428374785</v>
      </c>
      <c r="N271" s="85">
        <f>VLOOKUP(A271,Database!$A:$AS,MATCH($N$1,Database!$A$1:$AS$1,0),FALSE)</f>
        <v>96.598879611000001</v>
      </c>
      <c r="O271" s="85">
        <f>(((Table134567891011121314151617343[[#This Row],[USA]]-VLOOKUP($U$1,A:N,14,))/VLOOKUP($U$1,A:N,14,))*100)+100</f>
        <v>111.20776122028749</v>
      </c>
      <c r="P271" s="85">
        <f>VLOOKUP(A271,Database!$A:$AS,MATCH($P$1,Database!$A$1:$AS$1,0),FALSE)</f>
        <v>100.382140498</v>
      </c>
      <c r="Q271" s="85">
        <f>(((Table134567891011121314151617343[[#This Row],[JPN]]-VLOOKUP($U$1,A:Q,16,))/VLOOKUP($U$1,A:Q,16,))*100)+100</f>
        <v>100.7816094027003</v>
      </c>
    </row>
    <row r="272" spans="1:17" s="87" customFormat="1" x14ac:dyDescent="0.2">
      <c r="A272" s="22">
        <v>41091</v>
      </c>
      <c r="B272" s="85">
        <f>VLOOKUP(A272,Database!$A:$AS,MATCH($B$1,Database!$A$1:$AS$1,0),FALSE)</f>
        <v>103.19140071699999</v>
      </c>
      <c r="C272" s="85">
        <f>VLOOKUP(A272,Database!$A:$AS,MATCH($C$1,Database!$A$1:$AS$1,0),FALSE)</f>
        <v>99.44</v>
      </c>
      <c r="D272" s="85">
        <f>VLOOKUP(A272,Database!$A:$AS,MATCH($D$1,Database!$A$1:$AS$1,0),FALSE)</f>
        <v>98.391800683</v>
      </c>
      <c r="E272" s="85">
        <f>VLOOKUP(A272,Database!$A:$AS,MATCH($E$1,Database!$A$1:$AS$1,0),FALSE)</f>
        <v>96.752080626999998</v>
      </c>
      <c r="F272" s="85">
        <f>VLOOKUP(A272,Database!$A:$AS,MATCH($F$1,Database!$A$1:$AS$1,0),FALSE)</f>
        <v>97.7</v>
      </c>
      <c r="G272" s="85">
        <f>VLOOKUP(A272,Database!$A:$AS,MATCH($G$1,Database!$A$1:$AS$1,0),FALSE)</f>
        <v>94.533070443</v>
      </c>
      <c r="H272" s="85">
        <f>(((Table134567891011121314151617343[[#This Row],[ITA]]-VLOOKUP($U$1,A:B,2,))/VLOOKUP($U$1,A:B,2,))*100)+100</f>
        <v>84.86842105298328</v>
      </c>
      <c r="I272" s="85">
        <f>(((Table134567891011121314151617343[[#This Row],[FRA]]-VLOOKUP($U$1,A:C,3,))/VLOOKUP($U$1,A:C,3,))*100)+100</f>
        <v>97.024099912186557</v>
      </c>
      <c r="J272" s="85">
        <f>(((Table134567891011121314151617343[[#This Row],[DEU]]-VLOOKUP($U$1,A:D,4,))/VLOOKUP($U$1,A:D,4,))*100)+100</f>
        <v>130.85106382857055</v>
      </c>
      <c r="K272" s="85">
        <f>(((Table134567891011121314151617343[[#This Row],[ESP]]-VLOOKUP($U$1,A:E,5,))/VLOOKUP($U$1,A:E,5,))*100)+100</f>
        <v>81.324703706869172</v>
      </c>
      <c r="L272" s="85">
        <f>(((Table134567891011121314151617343[[#This Row],[EA19]]-VLOOKUP($U$1,A:F,6,))/VLOOKUP($U$1,A:F,6,))*100)+100</f>
        <v>109.28411633109619</v>
      </c>
      <c r="M272" s="85">
        <f>(((Table134567891011121314151617343[[#This Row],[GBR]]-VLOOKUP($U$1,A:G,7,))/VLOOKUP($U$1,A:G,7,))*100)+100</f>
        <v>102.56709451580201</v>
      </c>
      <c r="N272" s="85">
        <f>VLOOKUP(A272,Database!$A:$AS,MATCH($N$1,Database!$A$1:$AS$1,0),FALSE)</f>
        <v>96.817832988000006</v>
      </c>
      <c r="O272" s="85">
        <f>(((Table134567891011121314151617343[[#This Row],[USA]]-VLOOKUP($U$1,A:N,14,))/VLOOKUP($U$1,A:N,14,))*100)+100</f>
        <v>111.45982744471831</v>
      </c>
      <c r="P272" s="85">
        <f>VLOOKUP(A272,Database!$A:$AS,MATCH($P$1,Database!$A$1:$AS$1,0),FALSE)</f>
        <v>99.868939370000007</v>
      </c>
      <c r="Q272" s="85">
        <f>(((Table134567891011121314151617343[[#This Row],[JPN]]-VLOOKUP($U$1,A:Q,16,))/VLOOKUP($U$1,A:Q,16,))*100)+100</f>
        <v>100.26636600013357</v>
      </c>
    </row>
    <row r="273" spans="1:17" s="87" customFormat="1" x14ac:dyDescent="0.2">
      <c r="A273" s="22">
        <v>41122</v>
      </c>
      <c r="B273" s="85">
        <f>VLOOKUP(A273,Database!$A:$AS,MATCH($B$1,Database!$A$1:$AS$1,0),FALSE)</f>
        <v>102.591450712</v>
      </c>
      <c r="C273" s="85">
        <f>VLOOKUP(A273,Database!$A:$AS,MATCH($C$1,Database!$A$1:$AS$1,0),FALSE)</f>
        <v>101.66</v>
      </c>
      <c r="D273" s="85">
        <f>VLOOKUP(A273,Database!$A:$AS,MATCH($D$1,Database!$A$1:$AS$1,0),FALSE)</f>
        <v>98.391800683</v>
      </c>
      <c r="E273" s="85">
        <f>VLOOKUP(A273,Database!$A:$AS,MATCH($E$1,Database!$A$1:$AS$1,0),FALSE)</f>
        <v>99.226082688000005</v>
      </c>
      <c r="F273" s="85">
        <f>VLOOKUP(A273,Database!$A:$AS,MATCH($F$1,Database!$A$1:$AS$1,0),FALSE)</f>
        <v>98.4</v>
      </c>
      <c r="G273" s="85">
        <f>VLOOKUP(A273,Database!$A:$AS,MATCH($G$1,Database!$A$1:$AS$1,0),FALSE)</f>
        <v>93.780247356000004</v>
      </c>
      <c r="H273" s="85">
        <f>(((Table134567891011121314151617343[[#This Row],[ITA]]-VLOOKUP($U$1,A:B,2,))/VLOOKUP($U$1,A:B,2,))*100)+100</f>
        <v>84.374999999665889</v>
      </c>
      <c r="I273" s="85">
        <f>(((Table134567891011121314151617343[[#This Row],[FRA]]-VLOOKUP($U$1,A:C,3,))/VLOOKUP($U$1,A:C,3,))*100)+100</f>
        <v>99.190164894136018</v>
      </c>
      <c r="J273" s="85">
        <f>(((Table134567891011121314151617343[[#This Row],[DEU]]-VLOOKUP($U$1,A:D,4,))/VLOOKUP($U$1,A:D,4,))*100)+100</f>
        <v>130.85106382857055</v>
      </c>
      <c r="K273" s="85">
        <f>(((Table134567891011121314151617343[[#This Row],[ESP]]-VLOOKUP($U$1,A:E,5,))/VLOOKUP($U$1,A:E,5,))*100)+100</f>
        <v>83.404219550633485</v>
      </c>
      <c r="L273" s="85">
        <f>(((Table134567891011121314151617343[[#This Row],[EA19]]-VLOOKUP($U$1,A:F,6,))/VLOOKUP($U$1,A:F,6,))*100)+100</f>
        <v>110.06711409395973</v>
      </c>
      <c r="M273" s="85">
        <f>(((Table134567891011121314151617343[[#This Row],[GBR]]-VLOOKUP($U$1,A:G,7,))/VLOOKUP($U$1,A:G,7,))*100)+100</f>
        <v>101.7502917148757</v>
      </c>
      <c r="N273" s="85">
        <f>VLOOKUP(A273,Database!$A:$AS,MATCH($N$1,Database!$A$1:$AS$1,0),FALSE)</f>
        <v>96.426908534000006</v>
      </c>
      <c r="O273" s="85">
        <f>(((Table134567891011121314151617343[[#This Row],[USA]]-VLOOKUP($U$1,A:N,14,))/VLOOKUP($U$1,A:N,14,))*100)+100</f>
        <v>111.00978254243093</v>
      </c>
      <c r="P273" s="85">
        <f>VLOOKUP(A273,Database!$A:$AS,MATCH($P$1,Database!$A$1:$AS$1,0),FALSE)</f>
        <v>98.637256664999995</v>
      </c>
      <c r="Q273" s="85">
        <f>(((Table134567891011121314151617343[[#This Row],[JPN]]-VLOOKUP($U$1,A:Q,16,))/VLOOKUP($U$1,A:Q,16,))*100)+100</f>
        <v>99.029781836182153</v>
      </c>
    </row>
    <row r="274" spans="1:17" s="87" customFormat="1" x14ac:dyDescent="0.2">
      <c r="A274" s="22">
        <v>41153</v>
      </c>
      <c r="B274" s="85">
        <f>VLOOKUP(A274,Database!$A:$AS,MATCH($B$1,Database!$A$1:$AS$1,0),FALSE)</f>
        <v>102.391467378</v>
      </c>
      <c r="C274" s="85">
        <f>VLOOKUP(A274,Database!$A:$AS,MATCH($C$1,Database!$A$1:$AS$1,0),FALSE)</f>
        <v>99.41</v>
      </c>
      <c r="D274" s="85">
        <f>VLOOKUP(A274,Database!$A:$AS,MATCH($D$1,Database!$A$1:$AS$1,0),FALSE)</f>
        <v>97.091909008000002</v>
      </c>
      <c r="E274" s="85">
        <f>VLOOKUP(A274,Database!$A:$AS,MATCH($E$1,Database!$A$1:$AS$1,0),FALSE)</f>
        <v>95.559079632999996</v>
      </c>
      <c r="F274" s="85">
        <f>VLOOKUP(A274,Database!$A:$AS,MATCH($F$1,Database!$A$1:$AS$1,0),FALSE)</f>
        <v>96.6</v>
      </c>
      <c r="G274" s="85">
        <f>VLOOKUP(A274,Database!$A:$AS,MATCH($G$1,Database!$A$1:$AS$1,0),FALSE)</f>
        <v>91.414231940999997</v>
      </c>
      <c r="H274" s="85">
        <f>(((Table134567891011121314151617343[[#This Row],[ITA]]-VLOOKUP($U$1,A:B,2,))/VLOOKUP($U$1,A:B,2,))*100)+100</f>
        <v>84.210526316049197</v>
      </c>
      <c r="I274" s="85">
        <f>(((Table134567891011121314151617343[[#This Row],[FRA]]-VLOOKUP($U$1,A:C,3,))/VLOOKUP($U$1,A:C,3,))*100)+100</f>
        <v>96.99482876378184</v>
      </c>
      <c r="J274" s="85">
        <f>(((Table134567891011121314151617343[[#This Row],[DEU]]-VLOOKUP($U$1,A:D,4,))/VLOOKUP($U$1,A:D,4,))*100)+100</f>
        <v>129.12234042524898</v>
      </c>
      <c r="K274" s="85">
        <f>(((Table134567891011121314151617343[[#This Row],[ESP]]-VLOOKUP($U$1,A:E,5,))/VLOOKUP($U$1,A:E,5,))*100)+100</f>
        <v>80.321929898488918</v>
      </c>
      <c r="L274" s="85">
        <f>(((Table134567891011121314151617343[[#This Row],[EA19]]-VLOOKUP($U$1,A:F,6,))/VLOOKUP($U$1,A:F,6,))*100)+100</f>
        <v>108.05369127516778</v>
      </c>
      <c r="M274" s="85">
        <f>(((Table134567891011121314151617343[[#This Row],[GBR]]-VLOOKUP($U$1,A:G,7,))/VLOOKUP($U$1,A:G,7,))*100)+100</f>
        <v>99.183197199073689</v>
      </c>
      <c r="N274" s="85">
        <f>VLOOKUP(A274,Database!$A:$AS,MATCH($N$1,Database!$A$1:$AS$1,0),FALSE)</f>
        <v>96.372690563000006</v>
      </c>
      <c r="O274" s="85">
        <f>(((Table134567891011121314151617343[[#This Row],[USA]]-VLOOKUP($U$1,A:N,14,))/VLOOKUP($U$1,A:N,14,))*100)+100</f>
        <v>110.94736505687523</v>
      </c>
      <c r="P274" s="85">
        <f>VLOOKUP(A274,Database!$A:$AS,MATCH($P$1,Database!$A$1:$AS$1,0),FALSE)</f>
        <v>96.481811930000006</v>
      </c>
      <c r="Q274" s="85">
        <f>(((Table134567891011121314151617343[[#This Row],[JPN]]-VLOOKUP($U$1,A:Q,16,))/VLOOKUP($U$1,A:Q,16,))*100)+100</f>
        <v>96.86575954801225</v>
      </c>
    </row>
    <row r="275" spans="1:17" s="87" customFormat="1" x14ac:dyDescent="0.2">
      <c r="A275" s="22">
        <v>41183</v>
      </c>
      <c r="B275" s="85">
        <f>VLOOKUP(A275,Database!$A:$AS,MATCH($B$1,Database!$A$1:$AS$1,0),FALSE)</f>
        <v>100.49162569800001</v>
      </c>
      <c r="C275" s="85">
        <f>VLOOKUP(A275,Database!$A:$AS,MATCH($C$1,Database!$A$1:$AS$1,0),FALSE)</f>
        <v>97.95</v>
      </c>
      <c r="D275" s="85">
        <f>VLOOKUP(A275,Database!$A:$AS,MATCH($D$1,Database!$A$1:$AS$1,0),FALSE)</f>
        <v>95.792017332</v>
      </c>
      <c r="E275" s="85">
        <f>VLOOKUP(A275,Database!$A:$AS,MATCH($E$1,Database!$A$1:$AS$1,0),FALSE)</f>
        <v>96.259080216000001</v>
      </c>
      <c r="F275" s="85">
        <f>VLOOKUP(A275,Database!$A:$AS,MATCH($F$1,Database!$A$1:$AS$1,0),FALSE)</f>
        <v>95.8</v>
      </c>
      <c r="G275" s="85">
        <f>VLOOKUP(A275,Database!$A:$AS,MATCH($G$1,Database!$A$1:$AS$1,0),FALSE)</f>
        <v>91.199139630999994</v>
      </c>
      <c r="H275" s="85">
        <f>(((Table134567891011121314151617343[[#This Row],[ITA]]-VLOOKUP($U$1,A:B,2,))/VLOOKUP($U$1,A:B,2,))*100)+100</f>
        <v>82.648026315933549</v>
      </c>
      <c r="I275" s="85">
        <f>(((Table134567891011121314151617343[[#This Row],[FRA]]-VLOOKUP($U$1,A:C,3,))/VLOOKUP($U$1,A:C,3,))*100)+100</f>
        <v>95.570299541418677</v>
      </c>
      <c r="J275" s="85">
        <f>(((Table134567891011121314151617343[[#This Row],[DEU]]-VLOOKUP($U$1,A:D,4,))/VLOOKUP($U$1,A:D,4,))*100)+100</f>
        <v>127.3936170205975</v>
      </c>
      <c r="K275" s="85">
        <f>(((Table134567891011121314151617343[[#This Row],[ESP]]-VLOOKUP($U$1,A:E,5,))/VLOOKUP($U$1,A:E,5,))*100)+100</f>
        <v>80.910313524331315</v>
      </c>
      <c r="L275" s="85">
        <f>(((Table134567891011121314151617343[[#This Row],[EA19]]-VLOOKUP($U$1,A:F,6,))/VLOOKUP($U$1,A:F,6,))*100)+100</f>
        <v>107.15883668903803</v>
      </c>
      <c r="M275" s="85">
        <f>(((Table134567891011121314151617343[[#This Row],[GBR]]-VLOOKUP($U$1,A:G,7,))/VLOOKUP($U$1,A:G,7,))*100)+100</f>
        <v>98.949824970857591</v>
      </c>
      <c r="N275" s="85">
        <f>VLOOKUP(A275,Database!$A:$AS,MATCH($N$1,Database!$A$1:$AS$1,0),FALSE)</f>
        <v>96.674903712000003</v>
      </c>
      <c r="O275" s="85">
        <f>(((Table134567891011121314151617343[[#This Row],[USA]]-VLOOKUP($U$1,A:N,14,))/VLOOKUP($U$1,A:N,14,))*100)+100</f>
        <v>111.2952826294906</v>
      </c>
      <c r="P275" s="85">
        <f>VLOOKUP(A275,Database!$A:$AS,MATCH($P$1,Database!$A$1:$AS$1,0),FALSE)</f>
        <v>96.789732607000005</v>
      </c>
      <c r="Q275" s="85">
        <f>(((Table134567891011121314151617343[[#This Row],[JPN]]-VLOOKUP($U$1,A:Q,16,))/VLOOKUP($U$1,A:Q,16,))*100)+100</f>
        <v>97.174905589753081</v>
      </c>
    </row>
    <row r="276" spans="1:17" s="87" customFormat="1" x14ac:dyDescent="0.2">
      <c r="A276" s="22">
        <v>41214</v>
      </c>
      <c r="B276" s="85">
        <f>VLOOKUP(A276,Database!$A:$AS,MATCH($B$1,Database!$A$1:$AS$1,0),FALSE)</f>
        <v>99.091742354999994</v>
      </c>
      <c r="C276" s="85">
        <f>VLOOKUP(A276,Database!$A:$AS,MATCH($C$1,Database!$A$1:$AS$1,0),FALSE)</f>
        <v>97.9</v>
      </c>
      <c r="D276" s="85">
        <f>VLOOKUP(A276,Database!$A:$AS,MATCH($D$1,Database!$A$1:$AS$1,0),FALSE)</f>
        <v>95.092075660000006</v>
      </c>
      <c r="E276" s="85">
        <f>VLOOKUP(A276,Database!$A:$AS,MATCH($E$1,Database!$A$1:$AS$1,0),FALSE)</f>
        <v>93.832078193000001</v>
      </c>
      <c r="F276" s="85">
        <f>VLOOKUP(A276,Database!$A:$AS,MATCH($F$1,Database!$A$1:$AS$1,0),FALSE)</f>
        <v>95.1</v>
      </c>
      <c r="G276" s="85">
        <f>VLOOKUP(A276,Database!$A:$AS,MATCH($G$1,Database!$A$1:$AS$1,0),FALSE)</f>
        <v>91.199139630999994</v>
      </c>
      <c r="H276" s="85">
        <f>(((Table134567891011121314151617343[[#This Row],[ITA]]-VLOOKUP($U$1,A:B,2,))/VLOOKUP($U$1,A:B,2,))*100)+100</f>
        <v>81.496710526504486</v>
      </c>
      <c r="I276" s="85">
        <f>(((Table134567891011121314151617343[[#This Row],[FRA]]-VLOOKUP($U$1,A:C,3,))/VLOOKUP($U$1,A:C,3,))*100)+100</f>
        <v>95.521514294077477</v>
      </c>
      <c r="J276" s="85">
        <f>(((Table134567891011121314151617343[[#This Row],[DEU]]-VLOOKUP($U$1,A:D,4,))/VLOOKUP($U$1,A:D,4,))*100)+100</f>
        <v>126.46276595614522</v>
      </c>
      <c r="K276" s="85">
        <f>(((Table134567891011121314151617343[[#This Row],[ESP]]-VLOOKUP($U$1,A:E,5,))/VLOOKUP($U$1,A:E,5,))*100)+100</f>
        <v>78.870303437340311</v>
      </c>
      <c r="L276" s="85">
        <f>(((Table134567891011121314151617343[[#This Row],[EA19]]-VLOOKUP($U$1,A:F,6,))/VLOOKUP($U$1,A:F,6,))*100)+100</f>
        <v>106.37583892617448</v>
      </c>
      <c r="M276" s="85">
        <f>(((Table134567891011121314151617343[[#This Row],[GBR]]-VLOOKUP($U$1,A:G,7,))/VLOOKUP($U$1,A:G,7,))*100)+100</f>
        <v>98.949824970857591</v>
      </c>
      <c r="N276" s="85">
        <f>VLOOKUP(A276,Database!$A:$AS,MATCH($N$1,Database!$A$1:$AS$1,0),FALSE)</f>
        <v>97.120244373999995</v>
      </c>
      <c r="O276" s="85">
        <f>(((Table134567891011121314151617343[[#This Row],[USA]]-VLOOKUP($U$1,A:N,14,))/VLOOKUP($U$1,A:N,14,))*100)+100</f>
        <v>111.80797323419343</v>
      </c>
      <c r="P276" s="85">
        <f>VLOOKUP(A276,Database!$A:$AS,MATCH($P$1,Database!$A$1:$AS$1,0),FALSE)</f>
        <v>96.071251028000006</v>
      </c>
      <c r="Q276" s="85">
        <f>(((Table134567891011121314151617343[[#This Row],[JPN]]-VLOOKUP($U$1,A:Q,16,))/VLOOKUP($U$1,A:Q,16,))*100)+100</f>
        <v>96.453564826360449</v>
      </c>
    </row>
    <row r="277" spans="1:17" s="87" customFormat="1" x14ac:dyDescent="0.2">
      <c r="A277" s="22">
        <v>41244</v>
      </c>
      <c r="B277" s="85">
        <f>VLOOKUP(A277,Database!$A:$AS,MATCH($B$1,Database!$A$1:$AS$1,0),FALSE)</f>
        <v>99.891675694</v>
      </c>
      <c r="C277" s="85">
        <f>VLOOKUP(A277,Database!$A:$AS,MATCH($C$1,Database!$A$1:$AS$1,0),FALSE)</f>
        <v>98.82</v>
      </c>
      <c r="D277" s="85">
        <f>VLOOKUP(A277,Database!$A:$AS,MATCH($D$1,Database!$A$1:$AS$1,0),FALSE)</f>
        <v>95.892008998999998</v>
      </c>
      <c r="E277" s="85">
        <f>VLOOKUP(A277,Database!$A:$AS,MATCH($E$1,Database!$A$1:$AS$1,0),FALSE)</f>
        <v>94.371078643000004</v>
      </c>
      <c r="F277" s="85">
        <f>VLOOKUP(A277,Database!$A:$AS,MATCH($F$1,Database!$A$1:$AS$1,0),FALSE)</f>
        <v>95.6</v>
      </c>
      <c r="G277" s="85">
        <f>VLOOKUP(A277,Database!$A:$AS,MATCH($G$1,Database!$A$1:$AS$1,0),FALSE)</f>
        <v>91.091593476</v>
      </c>
      <c r="H277" s="85">
        <f>(((Table134567891011121314151617343[[#This Row],[ITA]]-VLOOKUP($U$1,A:B,2,))/VLOOKUP($U$1,A:B,2,))*100)+100</f>
        <v>82.154605263438583</v>
      </c>
      <c r="I277" s="85">
        <f>(((Table134567891011121314151617343[[#This Row],[FRA]]-VLOOKUP($U$1,A:C,3,))/VLOOKUP($U$1,A:C,3,))*100)+100</f>
        <v>96.419162845155626</v>
      </c>
      <c r="J277" s="85">
        <f>(((Table134567891011121314151617343[[#This Row],[DEU]]-VLOOKUP($U$1,A:D,4,))/VLOOKUP($U$1,A:D,4,))*100)+100</f>
        <v>127.52659574352073</v>
      </c>
      <c r="K277" s="85">
        <f>(((Table134567891011121314151617343[[#This Row],[ESP]]-VLOOKUP($U$1,A:E,5,))/VLOOKUP($U$1,A:E,5,))*100)+100</f>
        <v>79.323358830155172</v>
      </c>
      <c r="L277" s="85">
        <f>(((Table134567891011121314151617343[[#This Row],[EA19]]-VLOOKUP($U$1,A:F,6,))/VLOOKUP($U$1,A:F,6,))*100)+100</f>
        <v>106.93512304250558</v>
      </c>
      <c r="M277" s="85">
        <f>(((Table134567891011121314151617343[[#This Row],[GBR]]-VLOOKUP($U$1,A:G,7,))/VLOOKUP($U$1,A:G,7,))*100)+100</f>
        <v>98.833138856749542</v>
      </c>
      <c r="N277" s="85">
        <f>VLOOKUP(A277,Database!$A:$AS,MATCH($N$1,Database!$A$1:$AS$1,0),FALSE)</f>
        <v>97.346730777999994</v>
      </c>
      <c r="O277" s="85">
        <f>(((Table134567891011121314151617343[[#This Row],[USA]]-VLOOKUP($U$1,A:N,14,))/VLOOKUP($U$1,A:N,14,))*100)+100</f>
        <v>112.06871172347095</v>
      </c>
      <c r="P277" s="85">
        <f>VLOOKUP(A277,Database!$A:$AS,MATCH($P$1,Database!$A$1:$AS$1,0),FALSE)</f>
        <v>97.405573958999994</v>
      </c>
      <c r="Q277" s="85">
        <f>(((Table134567891011121314151617343[[#This Row],[JPN]]-VLOOKUP($U$1,A:Q,16,))/VLOOKUP($U$1,A:Q,16,))*100)+100</f>
        <v>97.793197671226778</v>
      </c>
    </row>
    <row r="278" spans="1:17" s="87" customFormat="1" x14ac:dyDescent="0.2">
      <c r="A278" s="22">
        <v>41275</v>
      </c>
      <c r="B278" s="85">
        <f>VLOOKUP(A278,Database!$A:$AS,MATCH($B$1,Database!$A$1:$AS$1,0),FALSE)</f>
        <v>99.891675694</v>
      </c>
      <c r="C278" s="85">
        <f>VLOOKUP(A278,Database!$A:$AS,MATCH($C$1,Database!$A$1:$AS$1,0),FALSE)</f>
        <v>98.64</v>
      </c>
      <c r="D278" s="85">
        <f>VLOOKUP(A278,Database!$A:$AS,MATCH($D$1,Database!$A$1:$AS$1,0),FALSE)</f>
        <v>94.692108990999998</v>
      </c>
      <c r="E278" s="85">
        <f>VLOOKUP(A278,Database!$A:$AS,MATCH($E$1,Database!$A$1:$AS$1,0),FALSE)</f>
        <v>95.332079442999998</v>
      </c>
      <c r="F278" s="85">
        <f>VLOOKUP(A278,Database!$A:$AS,MATCH($F$1,Database!$A$1:$AS$1,0),FALSE)</f>
        <v>95.2</v>
      </c>
      <c r="G278" s="85">
        <f>VLOOKUP(A278,Database!$A:$AS,MATCH($G$1,Database!$A$1:$AS$1,0),FALSE)</f>
        <v>88.833124216000002</v>
      </c>
      <c r="H278" s="85">
        <f>(((Table134567891011121314151617343[[#This Row],[ITA]]-VLOOKUP($U$1,A:B,2,))/VLOOKUP($U$1,A:B,2,))*100)+100</f>
        <v>82.154605263438583</v>
      </c>
      <c r="I278" s="85">
        <f>(((Table134567891011121314151617343[[#This Row],[FRA]]-VLOOKUP($U$1,A:C,3,))/VLOOKUP($U$1,A:C,3,))*100)+100</f>
        <v>96.243535954727292</v>
      </c>
      <c r="J278" s="85">
        <f>(((Table134567891011121314151617343[[#This Row],[DEU]]-VLOOKUP($U$1,A:D,4,))/VLOOKUP($U$1,A:D,4,))*100)+100</f>
        <v>125.9308510631224</v>
      </c>
      <c r="K278" s="85">
        <f>(((Table134567891011121314151617343[[#This Row],[ESP]]-VLOOKUP($U$1,A:E,5,))/VLOOKUP($U$1,A:E,5,))*100)+100</f>
        <v>80.131125493317285</v>
      </c>
      <c r="L278" s="85">
        <f>(((Table134567891011121314151617343[[#This Row],[EA19]]-VLOOKUP($U$1,A:F,6,))/VLOOKUP($U$1,A:F,6,))*100)+100</f>
        <v>106.48769574944072</v>
      </c>
      <c r="M278" s="85">
        <f>(((Table134567891011121314151617343[[#This Row],[GBR]]-VLOOKUP($U$1,A:G,7,))/VLOOKUP($U$1,A:G,7,))*100)+100</f>
        <v>96.382730455055594</v>
      </c>
      <c r="N278" s="85">
        <f>VLOOKUP(A278,Database!$A:$AS,MATCH($N$1,Database!$A$1:$AS$1,0),FALSE)</f>
        <v>97.301334378000007</v>
      </c>
      <c r="O278" s="85">
        <f>(((Table134567891011121314151617343[[#This Row],[USA]]-VLOOKUP($U$1,A:N,14,))/VLOOKUP($U$1,A:N,14,))*100)+100</f>
        <v>112.01644991637971</v>
      </c>
      <c r="P278" s="85">
        <f>VLOOKUP(A278,Database!$A:$AS,MATCH($P$1,Database!$A$1:$AS$1,0),FALSE)</f>
        <v>95.392050662000003</v>
      </c>
      <c r="Q278" s="85">
        <f>(((Table134567891011121314151617343[[#This Row],[JPN]]-VLOOKUP($U$1,A:Q,16,))/VLOOKUP($U$1,A:Q,16,))*100)+100</f>
        <v>95.771661594841419</v>
      </c>
    </row>
    <row r="279" spans="1:17" s="87" customFormat="1" x14ac:dyDescent="0.2">
      <c r="A279" s="22">
        <v>41306</v>
      </c>
      <c r="B279" s="85">
        <f>VLOOKUP(A279,Database!$A:$AS,MATCH($B$1,Database!$A$1:$AS$1,0),FALSE)</f>
        <v>99.291725690000007</v>
      </c>
      <c r="C279" s="85">
        <f>VLOOKUP(A279,Database!$A:$AS,MATCH($C$1,Database!$A$1:$AS$1,0),FALSE)</f>
        <v>99.71</v>
      </c>
      <c r="D279" s="85">
        <f>VLOOKUP(A279,Database!$A:$AS,MATCH($D$1,Database!$A$1:$AS$1,0),FALSE)</f>
        <v>95.492042330000004</v>
      </c>
      <c r="E279" s="85">
        <f>VLOOKUP(A279,Database!$A:$AS,MATCH($E$1,Database!$A$1:$AS$1,0),FALSE)</f>
        <v>94.670078892000006</v>
      </c>
      <c r="F279" s="85">
        <f>VLOOKUP(A279,Database!$A:$AS,MATCH($F$1,Database!$A$1:$AS$1,0),FALSE)</f>
        <v>95.4</v>
      </c>
      <c r="G279" s="85">
        <f>VLOOKUP(A279,Database!$A:$AS,MATCH($G$1,Database!$A$1:$AS$1,0),FALSE)</f>
        <v>88.940670370999996</v>
      </c>
      <c r="H279" s="85">
        <f>(((Table134567891011121314151617343[[#This Row],[ITA]]-VLOOKUP($U$1,A:B,2,))/VLOOKUP($U$1,A:B,2,))*100)+100</f>
        <v>81.661184210943631</v>
      </c>
      <c r="I279" s="85">
        <f>(((Table134567891011121314151617343[[#This Row],[FRA]]-VLOOKUP($U$1,A:C,3,))/VLOOKUP($U$1,A:C,3,))*100)+100</f>
        <v>97.287540247829057</v>
      </c>
      <c r="J279" s="85">
        <f>(((Table134567891011121314151617343[[#This Row],[DEU]]-VLOOKUP($U$1,A:D,4,))/VLOOKUP($U$1,A:D,4,))*100)+100</f>
        <v>126.99468085049793</v>
      </c>
      <c r="K279" s="85">
        <f>(((Table134567891011121314151617343[[#This Row],[ESP]]-VLOOKUP($U$1,A:E,5,))/VLOOKUP($U$1,A:E,5,))*100)+100</f>
        <v>79.574682693173145</v>
      </c>
      <c r="L279" s="85">
        <f>(((Table134567891011121314151617343[[#This Row],[EA19]]-VLOOKUP($U$1,A:F,6,))/VLOOKUP($U$1,A:F,6,))*100)+100</f>
        <v>106.71140939597315</v>
      </c>
      <c r="M279" s="85">
        <f>(((Table134567891011121314151617343[[#This Row],[GBR]]-VLOOKUP($U$1,A:G,7,))/VLOOKUP($U$1,A:G,7,))*100)+100</f>
        <v>96.499416569163643</v>
      </c>
      <c r="N279" s="85">
        <f>VLOOKUP(A279,Database!$A:$AS,MATCH($N$1,Database!$A$1:$AS$1,0),FALSE)</f>
        <v>97.776509791999999</v>
      </c>
      <c r="O279" s="85">
        <f>(((Table134567891011121314151617343[[#This Row],[USA]]-VLOOKUP($U$1,A:N,14,))/VLOOKUP($U$1,A:N,14,))*100)+100</f>
        <v>112.56348725460414</v>
      </c>
      <c r="P279" s="85">
        <f>VLOOKUP(A279,Database!$A:$AS,MATCH($P$1,Database!$A$1:$AS$1,0),FALSE)</f>
        <v>96.991917340000001</v>
      </c>
      <c r="Q279" s="85">
        <f>(((Table134567891011121314151617343[[#This Row],[JPN]]-VLOOKUP($U$1,A:Q,16,))/VLOOKUP($U$1,A:Q,16,))*100)+100</f>
        <v>97.377894913225418</v>
      </c>
    </row>
    <row r="280" spans="1:17" s="87" customFormat="1" x14ac:dyDescent="0.2">
      <c r="A280" s="22">
        <v>41334</v>
      </c>
      <c r="B280" s="85">
        <f>VLOOKUP(A280,Database!$A:$AS,MATCH($B$1,Database!$A$1:$AS$1,0),FALSE)</f>
        <v>98.791767352999997</v>
      </c>
      <c r="C280" s="85">
        <f>VLOOKUP(A280,Database!$A:$AS,MATCH($C$1,Database!$A$1:$AS$1,0),FALSE)</f>
        <v>99.84</v>
      </c>
      <c r="D280" s="85">
        <f>VLOOKUP(A280,Database!$A:$AS,MATCH($D$1,Database!$A$1:$AS$1,0),FALSE)</f>
        <v>96.791934005000002</v>
      </c>
      <c r="E280" s="85">
        <f>VLOOKUP(A280,Database!$A:$AS,MATCH($E$1,Database!$A$1:$AS$1,0),FALSE)</f>
        <v>95.546079621999993</v>
      </c>
      <c r="F280" s="85">
        <f>VLOOKUP(A280,Database!$A:$AS,MATCH($F$1,Database!$A$1:$AS$1,0),FALSE)</f>
        <v>96.4</v>
      </c>
      <c r="G280" s="85">
        <f>VLOOKUP(A280,Database!$A:$AS,MATCH($G$1,Database!$A$1:$AS$1,0),FALSE)</f>
        <v>90.984047320000002</v>
      </c>
      <c r="H280" s="85">
        <f>(((Table134567891011121314151617343[[#This Row],[ITA]]-VLOOKUP($U$1,A:B,2,))/VLOOKUP($U$1,A:B,2,))*100)+100</f>
        <v>81.250000000257018</v>
      </c>
      <c r="I280" s="85">
        <f>(((Table134567891011121314151617343[[#This Row],[FRA]]-VLOOKUP($U$1,A:C,3,))/VLOOKUP($U$1,A:C,3,))*100)+100</f>
        <v>97.414381890916189</v>
      </c>
      <c r="J280" s="85">
        <f>(((Table134567891011121314151617343[[#This Row],[DEU]]-VLOOKUP($U$1,A:D,4,))/VLOOKUP($U$1,A:D,4,))*100)+100</f>
        <v>128.7234042538195</v>
      </c>
      <c r="K280" s="85">
        <f>(((Table134567891011121314151617343[[#This Row],[ESP]]-VLOOKUP($U$1,A:E,5,))/VLOOKUP($U$1,A:E,5,))*100)+100</f>
        <v>80.311002773863692</v>
      </c>
      <c r="L280" s="85">
        <f>(((Table134567891011121314151617343[[#This Row],[EA19]]-VLOOKUP($U$1,A:F,6,))/VLOOKUP($U$1,A:F,6,))*100)+100</f>
        <v>107.82997762863535</v>
      </c>
      <c r="M280" s="85">
        <f>(((Table134567891011121314151617343[[#This Row],[GBR]]-VLOOKUP($U$1,A:G,7,))/VLOOKUP($U$1,A:G,7,))*100)+100</f>
        <v>98.716452741556523</v>
      </c>
      <c r="N280" s="85">
        <f>VLOOKUP(A280,Database!$A:$AS,MATCH($N$1,Database!$A$1:$AS$1,0),FALSE)</f>
        <v>98.186762407000003</v>
      </c>
      <c r="O280" s="85">
        <f>(((Table134567891011121314151617343[[#This Row],[USA]]-VLOOKUP($U$1,A:N,14,))/VLOOKUP($U$1,A:N,14,))*100)+100</f>
        <v>113.03578336230893</v>
      </c>
      <c r="P280" s="85">
        <f>VLOOKUP(A280,Database!$A:$AS,MATCH($P$1,Database!$A$1:$AS$1,0),FALSE)</f>
        <v>97.891842346000004</v>
      </c>
      <c r="Q280" s="85">
        <f>(((Table134567891011121314151617343[[#This Row],[JPN]]-VLOOKUP($U$1,A:Q,16,))/VLOOKUP($U$1,A:Q,16,))*100)+100</f>
        <v>98.281401154439934</v>
      </c>
    </row>
    <row r="281" spans="1:17" s="87" customFormat="1" x14ac:dyDescent="0.2">
      <c r="A281" s="22">
        <v>41365</v>
      </c>
      <c r="B281" s="85">
        <f>VLOOKUP(A281,Database!$A:$AS,MATCH($B$1,Database!$A$1:$AS$1,0),FALSE)</f>
        <v>97.991834014000005</v>
      </c>
      <c r="C281" s="85">
        <f>VLOOKUP(A281,Database!$A:$AS,MATCH($C$1,Database!$A$1:$AS$1,0),FALSE)</f>
        <v>101.47</v>
      </c>
      <c r="D281" s="85">
        <f>VLOOKUP(A281,Database!$A:$AS,MATCH($D$1,Database!$A$1:$AS$1,0),FALSE)</f>
        <v>97.091909008000002</v>
      </c>
      <c r="E281" s="85">
        <f>VLOOKUP(A281,Database!$A:$AS,MATCH($E$1,Database!$A$1:$AS$1,0),FALSE)</f>
        <v>94.282078568000003</v>
      </c>
      <c r="F281" s="85">
        <f>VLOOKUP(A281,Database!$A:$AS,MATCH($F$1,Database!$A$1:$AS$1,0),FALSE)</f>
        <v>96.6</v>
      </c>
      <c r="G281" s="85">
        <f>VLOOKUP(A281,Database!$A:$AS,MATCH($G$1,Database!$A$1:$AS$1,0),FALSE)</f>
        <v>92.382147337999996</v>
      </c>
      <c r="H281" s="85">
        <f>(((Table134567891011121314151617343[[#This Row],[ITA]]-VLOOKUP($U$1,A:B,2,))/VLOOKUP($U$1,A:B,2,))*100)+100</f>
        <v>80.592105263322935</v>
      </c>
      <c r="I281" s="85">
        <f>(((Table134567891011121314151617343[[#This Row],[FRA]]-VLOOKUP($U$1,A:C,3,))/VLOOKUP($U$1,A:C,3,))*100)+100</f>
        <v>99.004780954239436</v>
      </c>
      <c r="J281" s="85">
        <f>(((Table134567891011121314151617343[[#This Row],[DEU]]-VLOOKUP($U$1,A:D,4,))/VLOOKUP($U$1,A:D,4,))*100)+100</f>
        <v>129.12234042524898</v>
      </c>
      <c r="K281" s="85">
        <f>(((Table134567891011121314151617343[[#This Row],[ESP]]-VLOOKUP($U$1,A:E,5,))/VLOOKUP($U$1,A:E,5,))*100)+100</f>
        <v>79.248550054133403</v>
      </c>
      <c r="L281" s="85">
        <f>(((Table134567891011121314151617343[[#This Row],[EA19]]-VLOOKUP($U$1,A:F,6,))/VLOOKUP($U$1,A:F,6,))*100)+100</f>
        <v>108.05369127516778</v>
      </c>
      <c r="M281" s="85">
        <f>(((Table134567891011121314151617343[[#This Row],[GBR]]-VLOOKUP($U$1,A:G,7,))/VLOOKUP($U$1,A:G,7,))*100)+100</f>
        <v>100.2333722282161</v>
      </c>
      <c r="N281" s="85">
        <f>VLOOKUP(A281,Database!$A:$AS,MATCH($N$1,Database!$A$1:$AS$1,0),FALSE)</f>
        <v>98.120352826000001</v>
      </c>
      <c r="O281" s="85">
        <f>(((Table134567891011121314151617343[[#This Row],[USA]]-VLOOKUP($U$1,A:N,14,))/VLOOKUP($U$1,A:N,14,))*100)+100</f>
        <v>112.95933050016055</v>
      </c>
      <c r="P281" s="85">
        <f>VLOOKUP(A281,Database!$A:$AS,MATCH($P$1,Database!$A$1:$AS$1,0),FALSE)</f>
        <v>98.091825681000003</v>
      </c>
      <c r="Q281" s="85">
        <f>(((Table134567891011121314151617343[[#This Row],[JPN]]-VLOOKUP($U$1,A:Q,16,))/VLOOKUP($U$1,A:Q,16,))*100)+100</f>
        <v>98.482180319488933</v>
      </c>
    </row>
    <row r="282" spans="1:17" s="87" customFormat="1" x14ac:dyDescent="0.2">
      <c r="A282" s="22">
        <v>41395</v>
      </c>
      <c r="B282" s="85">
        <f>VLOOKUP(A282,Database!$A:$AS,MATCH($B$1,Database!$A$1:$AS$1,0),FALSE)</f>
        <v>99.791684025999999</v>
      </c>
      <c r="C282" s="85">
        <f>VLOOKUP(A282,Database!$A:$AS,MATCH($C$1,Database!$A$1:$AS$1,0),FALSE)</f>
        <v>101.07</v>
      </c>
      <c r="D282" s="85">
        <f>VLOOKUP(A282,Database!$A:$AS,MATCH($D$1,Database!$A$1:$AS$1,0),FALSE)</f>
        <v>96.491959003000005</v>
      </c>
      <c r="E282" s="85">
        <f>VLOOKUP(A282,Database!$A:$AS,MATCH($E$1,Database!$A$1:$AS$1,0),FALSE)</f>
        <v>94.939079116000002</v>
      </c>
      <c r="F282" s="85">
        <f>VLOOKUP(A282,Database!$A:$AS,MATCH($F$1,Database!$A$1:$AS$1,0),FALSE)</f>
        <v>96.8</v>
      </c>
      <c r="G282" s="85">
        <f>VLOOKUP(A282,Database!$A:$AS,MATCH($G$1,Database!$A$1:$AS$1,0),FALSE)</f>
        <v>93.995339666999996</v>
      </c>
      <c r="H282" s="85">
        <f>(((Table134567891011121314151617343[[#This Row],[ITA]]-VLOOKUP($U$1,A:B,2,))/VLOOKUP($U$1,A:B,2,))*100)+100</f>
        <v>82.072368420807805</v>
      </c>
      <c r="I282" s="85">
        <f>(((Table134567891011121314151617343[[#This Row],[FRA]]-VLOOKUP($U$1,A:C,3,))/VLOOKUP($U$1,A:C,3,))*100)+100</f>
        <v>98.614498975509804</v>
      </c>
      <c r="J282" s="85">
        <f>(((Table134567891011121314151617343[[#This Row],[DEU]]-VLOOKUP($U$1,A:D,4,))/VLOOKUP($U$1,A:D,4,))*100)+100</f>
        <v>128.32446808371992</v>
      </c>
      <c r="K282" s="85">
        <f>(((Table134567891011121314151617343[[#This Row],[ESP]]-VLOOKUP($U$1,A:E,5,))/VLOOKUP($U$1,A:E,5,))*100)+100</f>
        <v>79.800790115071592</v>
      </c>
      <c r="L282" s="85">
        <f>(((Table134567891011121314151617343[[#This Row],[EA19]]-VLOOKUP($U$1,A:F,6,))/VLOOKUP($U$1,A:F,6,))*100)+100</f>
        <v>108.27740492170021</v>
      </c>
      <c r="M282" s="85">
        <f>(((Table134567891011121314151617343[[#This Row],[GBR]]-VLOOKUP($U$1,A:G,7,))/VLOOKUP($U$1,A:G,7,))*100)+100</f>
        <v>101.98366394417677</v>
      </c>
      <c r="N282" s="85">
        <f>VLOOKUP(A282,Database!$A:$AS,MATCH($N$1,Database!$A$1:$AS$1,0),FALSE)</f>
        <v>98.199548729</v>
      </c>
      <c r="O282" s="85">
        <f>(((Table134567891011121314151617343[[#This Row],[USA]]-VLOOKUP($U$1,A:N,14,))/VLOOKUP($U$1,A:N,14,))*100)+100</f>
        <v>113.0505033906321</v>
      </c>
      <c r="P282" s="85">
        <f>VLOOKUP(A282,Database!$A:$AS,MATCH($P$1,Database!$A$1:$AS$1,0),FALSE)</f>
        <v>99.591700692000003</v>
      </c>
      <c r="Q282" s="85">
        <f>(((Table134567891011121314151617343[[#This Row],[JPN]]-VLOOKUP($U$1,A:Q,16,))/VLOOKUP($U$1,A:Q,16,))*100)+100</f>
        <v>99.988024055850431</v>
      </c>
    </row>
    <row r="283" spans="1:17" s="87" customFormat="1" x14ac:dyDescent="0.2">
      <c r="A283" s="22">
        <v>41426</v>
      </c>
      <c r="B283" s="85">
        <f>VLOOKUP(A283,Database!$A:$AS,MATCH($B$1,Database!$A$1:$AS$1,0),FALSE)</f>
        <v>99.691692359000001</v>
      </c>
      <c r="C283" s="85">
        <f>VLOOKUP(A283,Database!$A:$AS,MATCH($C$1,Database!$A$1:$AS$1,0),FALSE)</f>
        <v>99.82</v>
      </c>
      <c r="D283" s="85">
        <f>VLOOKUP(A283,Database!$A:$AS,MATCH($D$1,Database!$A$1:$AS$1,0),FALSE)</f>
        <v>98.191817349000004</v>
      </c>
      <c r="E283" s="85">
        <f>VLOOKUP(A283,Database!$A:$AS,MATCH($E$1,Database!$A$1:$AS$1,0),FALSE)</f>
        <v>96.053080043999998</v>
      </c>
      <c r="F283" s="85">
        <f>VLOOKUP(A283,Database!$A:$AS,MATCH($F$1,Database!$A$1:$AS$1,0),FALSE)</f>
        <v>96.8</v>
      </c>
      <c r="G283" s="85">
        <f>VLOOKUP(A283,Database!$A:$AS,MATCH($G$1,Database!$A$1:$AS$1,0),FALSE)</f>
        <v>95.178347373999998</v>
      </c>
      <c r="H283" s="85">
        <f>(((Table134567891011121314151617343[[#This Row],[ITA]]-VLOOKUP($U$1,A:B,2,))/VLOOKUP($U$1,A:B,2,))*100)+100</f>
        <v>81.990131578999453</v>
      </c>
      <c r="I283" s="85">
        <f>(((Table134567891011121314151617343[[#This Row],[FRA]]-VLOOKUP($U$1,A:C,3,))/VLOOKUP($U$1,A:C,3,))*100)+100</f>
        <v>97.394867791979706</v>
      </c>
      <c r="J283" s="85">
        <f>(((Table134567891011121314151617343[[#This Row],[DEU]]-VLOOKUP($U$1,A:D,4,))/VLOOKUP($U$1,A:D,4,))*100)+100</f>
        <v>130.58510638272406</v>
      </c>
      <c r="K283" s="85">
        <f>(((Table134567891011121314151617343[[#This Row],[ESP]]-VLOOKUP($U$1,A:E,5,))/VLOOKUP($U$1,A:E,5,))*100)+100</f>
        <v>80.737160628363625</v>
      </c>
      <c r="L283" s="85">
        <f>(((Table134567891011121314151617343[[#This Row],[EA19]]-VLOOKUP($U$1,A:F,6,))/VLOOKUP($U$1,A:F,6,))*100)+100</f>
        <v>108.27740492170021</v>
      </c>
      <c r="M283" s="85">
        <f>(((Table134567891011121314151617343[[#This Row],[GBR]]-VLOOKUP($U$1,A:G,7,))/VLOOKUP($U$1,A:G,7,))*100)+100</f>
        <v>103.26721120153529</v>
      </c>
      <c r="N283" s="85">
        <f>VLOOKUP(A283,Database!$A:$AS,MATCH($N$1,Database!$A$1:$AS$1,0),FALSE)</f>
        <v>98.332268769999999</v>
      </c>
      <c r="O283" s="85">
        <f>(((Table134567891011121314151617343[[#This Row],[USA]]-VLOOKUP($U$1,A:N,14,))/VLOOKUP($U$1,A:N,14,))*100)+100</f>
        <v>113.20329500362089</v>
      </c>
      <c r="P283" s="85">
        <f>VLOOKUP(A283,Database!$A:$AS,MATCH($P$1,Database!$A$1:$AS$1,0),FALSE)</f>
        <v>98.591784017999998</v>
      </c>
      <c r="Q283" s="85">
        <f>(((Table134567891011121314151617343[[#This Row],[JPN]]-VLOOKUP($U$1,A:Q,16,))/VLOOKUP($U$1,A:Q,16,))*100)+100</f>
        <v>98.984128231609418</v>
      </c>
    </row>
    <row r="284" spans="1:17" s="87" customFormat="1" x14ac:dyDescent="0.2">
      <c r="A284" s="22">
        <v>41456</v>
      </c>
      <c r="B284" s="85">
        <f>VLOOKUP(A284,Database!$A:$AS,MATCH($B$1,Database!$A$1:$AS$1,0),FALSE)</f>
        <v>99.491709024000002</v>
      </c>
      <c r="C284" s="85">
        <f>VLOOKUP(A284,Database!$A:$AS,MATCH($C$1,Database!$A$1:$AS$1,0),FALSE)</f>
        <v>99.12</v>
      </c>
      <c r="D284" s="85">
        <f>VLOOKUP(A284,Database!$A:$AS,MATCH($D$1,Database!$A$1:$AS$1,0),FALSE)</f>
        <v>96.491959003000005</v>
      </c>
      <c r="E284" s="85">
        <f>VLOOKUP(A284,Database!$A:$AS,MATCH($E$1,Database!$A$1:$AS$1,0),FALSE)</f>
        <v>95.640079700000001</v>
      </c>
      <c r="F284" s="85">
        <f>VLOOKUP(A284,Database!$A:$AS,MATCH($F$1,Database!$A$1:$AS$1,0),FALSE)</f>
        <v>96</v>
      </c>
      <c r="G284" s="85">
        <f>VLOOKUP(A284,Database!$A:$AS,MATCH($G$1,Database!$A$1:$AS$1,0),FALSE)</f>
        <v>94.855708907999997</v>
      </c>
      <c r="H284" s="85">
        <f>(((Table134567891011121314151617343[[#This Row],[ITA]]-VLOOKUP($U$1,A:B,2,))/VLOOKUP($U$1,A:B,2,))*100)+100</f>
        <v>81.825657894560322</v>
      </c>
      <c r="I284" s="85">
        <f>(((Table134567891011121314151617343[[#This Row],[FRA]]-VLOOKUP($U$1,A:C,3,))/VLOOKUP($U$1,A:C,3,))*100)+100</f>
        <v>96.711874329202857</v>
      </c>
      <c r="J284" s="85">
        <f>(((Table134567891011121314151617343[[#This Row],[DEU]]-VLOOKUP($U$1,A:D,4,))/VLOOKUP($U$1,A:D,4,))*100)+100</f>
        <v>128.32446808371992</v>
      </c>
      <c r="K284" s="85">
        <f>(((Table134567891011121314151617343[[#This Row],[ESP]]-VLOOKUP($U$1,A:E,5,))/VLOOKUP($U$1,A:E,5,))*100)+100</f>
        <v>80.390014289091397</v>
      </c>
      <c r="L284" s="85">
        <f>(((Table134567891011121314151617343[[#This Row],[EA19]]-VLOOKUP($U$1,A:F,6,))/VLOOKUP($U$1,A:F,6,))*100)+100</f>
        <v>107.38255033557046</v>
      </c>
      <c r="M284" s="85">
        <f>(((Table134567891011121314151617343[[#This Row],[GBR]]-VLOOKUP($U$1,A:G,7,))/VLOOKUP($U$1,A:G,7,))*100)+100</f>
        <v>102.91715285812614</v>
      </c>
      <c r="N284" s="85">
        <f>VLOOKUP(A284,Database!$A:$AS,MATCH($N$1,Database!$A$1:$AS$1,0),FALSE)</f>
        <v>98.048689951</v>
      </c>
      <c r="O284" s="85">
        <f>(((Table134567891011121314151617343[[#This Row],[USA]]-VLOOKUP($U$1,A:N,14,))/VLOOKUP($U$1,A:N,14,))*100)+100</f>
        <v>112.87682987568692</v>
      </c>
      <c r="P284" s="85">
        <f>VLOOKUP(A284,Database!$A:$AS,MATCH($P$1,Database!$A$1:$AS$1,0),FALSE)</f>
        <v>100.091659028</v>
      </c>
      <c r="Q284" s="85">
        <f>(((Table134567891011121314151617343[[#This Row],[JPN]]-VLOOKUP($U$1,A:Q,16,))/VLOOKUP($U$1,A:Q,16,))*100)+100</f>
        <v>100.48997196696693</v>
      </c>
    </row>
    <row r="285" spans="1:17" s="87" customFormat="1" x14ac:dyDescent="0.2">
      <c r="A285" s="22">
        <v>41487</v>
      </c>
      <c r="B285" s="85">
        <f>VLOOKUP(A285,Database!$A:$AS,MATCH($B$1,Database!$A$1:$AS$1,0),FALSE)</f>
        <v>97.891842346000004</v>
      </c>
      <c r="C285" s="85">
        <f>VLOOKUP(A285,Database!$A:$AS,MATCH($C$1,Database!$A$1:$AS$1,0),FALSE)</f>
        <v>98.34</v>
      </c>
      <c r="D285" s="85">
        <f>VLOOKUP(A285,Database!$A:$AS,MATCH($D$1,Database!$A$1:$AS$1,0),FALSE)</f>
        <v>98.691775684999996</v>
      </c>
      <c r="E285" s="85">
        <f>VLOOKUP(A285,Database!$A:$AS,MATCH($E$1,Database!$A$1:$AS$1,0),FALSE)</f>
        <v>96.851080709000001</v>
      </c>
      <c r="F285" s="85">
        <f>VLOOKUP(A285,Database!$A:$AS,MATCH($F$1,Database!$A$1:$AS$1,0),FALSE)</f>
        <v>96.4</v>
      </c>
      <c r="G285" s="85">
        <f>VLOOKUP(A285,Database!$A:$AS,MATCH($G$1,Database!$A$1:$AS$1,0),FALSE)</f>
        <v>94.210431976999999</v>
      </c>
      <c r="H285" s="85">
        <f>(((Table134567891011121314151617343[[#This Row],[ITA]]-VLOOKUP($U$1,A:B,2,))/VLOOKUP($U$1,A:B,2,))*100)+100</f>
        <v>80.509868420692143</v>
      </c>
      <c r="I285" s="85">
        <f>(((Table134567891011121314151617343[[#This Row],[FRA]]-VLOOKUP($U$1,A:C,3,))/VLOOKUP($U$1,A:C,3,))*100)+100</f>
        <v>95.950824470680075</v>
      </c>
      <c r="J285" s="85">
        <f>(((Table134567891011121314151617343[[#This Row],[DEU]]-VLOOKUP($U$1,A:D,4,))/VLOOKUP($U$1,A:D,4,))*100)+100</f>
        <v>131.24999999867012</v>
      </c>
      <c r="K285" s="85">
        <f>(((Table134567891011121314151617343[[#This Row],[ESP]]-VLOOKUP($U$1,A:E,5,))/VLOOKUP($U$1,A:E,5,))*100)+100</f>
        <v>81.407917962143387</v>
      </c>
      <c r="L285" s="85">
        <f>(((Table134567891011121314151617343[[#This Row],[EA19]]-VLOOKUP($U$1,A:F,6,))/VLOOKUP($U$1,A:F,6,))*100)+100</f>
        <v>107.82997762863535</v>
      </c>
      <c r="M285" s="85">
        <f>(((Table134567891011121314151617343[[#This Row],[GBR]]-VLOOKUP($U$1,A:G,7,))/VLOOKUP($U$1,A:G,7,))*100)+100</f>
        <v>102.21703617239288</v>
      </c>
      <c r="N285" s="85">
        <f>VLOOKUP(A285,Database!$A:$AS,MATCH($N$1,Database!$A$1:$AS$1,0),FALSE)</f>
        <v>98.622785902999993</v>
      </c>
      <c r="O285" s="85">
        <f>(((Table134567891011121314151617343[[#This Row],[USA]]-VLOOKUP($U$1,A:N,14,))/VLOOKUP($U$1,A:N,14,))*100)+100</f>
        <v>113.53774774351983</v>
      </c>
      <c r="P285" s="85">
        <f>VLOOKUP(A285,Database!$A:$AS,MATCH($P$1,Database!$A$1:$AS$1,0),FALSE)</f>
        <v>100.39163403000001</v>
      </c>
      <c r="Q285" s="85">
        <f>(((Table134567891011121314151617343[[#This Row],[JPN]]-VLOOKUP($U$1,A:Q,16,))/VLOOKUP($U$1,A:Q,16,))*100)+100</f>
        <v>100.79114071403845</v>
      </c>
    </row>
    <row r="286" spans="1:17" s="87" customFormat="1" x14ac:dyDescent="0.2">
      <c r="A286" s="22">
        <v>41518</v>
      </c>
      <c r="B286" s="85">
        <f>VLOOKUP(A286,Database!$A:$AS,MATCH($B$1,Database!$A$1:$AS$1,0),FALSE)</f>
        <v>99.691692359000001</v>
      </c>
      <c r="C286" s="85">
        <f>VLOOKUP(A286,Database!$A:$AS,MATCH($C$1,Database!$A$1:$AS$1,0),FALSE)</f>
        <v>98.9</v>
      </c>
      <c r="D286" s="85">
        <f>VLOOKUP(A286,Database!$A:$AS,MATCH($D$1,Database!$A$1:$AS$1,0),FALSE)</f>
        <v>98.191817349000004</v>
      </c>
      <c r="E286" s="85">
        <f>VLOOKUP(A286,Database!$A:$AS,MATCH($E$1,Database!$A$1:$AS$1,0),FALSE)</f>
        <v>96.419080348999998</v>
      </c>
      <c r="F286" s="85">
        <f>VLOOKUP(A286,Database!$A:$AS,MATCH($F$1,Database!$A$1:$AS$1,0),FALSE)</f>
        <v>96.6</v>
      </c>
      <c r="G286" s="85">
        <f>VLOOKUP(A286,Database!$A:$AS,MATCH($G$1,Database!$A$1:$AS$1,0),FALSE)</f>
        <v>96.253808926000005</v>
      </c>
      <c r="H286" s="85">
        <f>(((Table134567891011121314151617343[[#This Row],[ITA]]-VLOOKUP($U$1,A:B,2,))/VLOOKUP($U$1,A:B,2,))*100)+100</f>
        <v>81.990131578999453</v>
      </c>
      <c r="I286" s="85">
        <f>(((Table134567891011121314151617343[[#This Row],[FRA]]-VLOOKUP($U$1,A:C,3,))/VLOOKUP($U$1,A:C,3,))*100)+100</f>
        <v>96.497219240901558</v>
      </c>
      <c r="J286" s="85">
        <f>(((Table134567891011121314151617343[[#This Row],[DEU]]-VLOOKUP($U$1,A:D,4,))/VLOOKUP($U$1,A:D,4,))*100)+100</f>
        <v>130.58510638272406</v>
      </c>
      <c r="K286" s="85">
        <f>(((Table134567891011121314151617343[[#This Row],[ESP]]-VLOOKUP($U$1,A:E,5,))/VLOOKUP($U$1,A:E,5,))*100)+100</f>
        <v>81.044801210022015</v>
      </c>
      <c r="L286" s="85">
        <f>(((Table134567891011121314151617343[[#This Row],[EA19]]-VLOOKUP($U$1,A:F,6,))/VLOOKUP($U$1,A:F,6,))*100)+100</f>
        <v>108.05369127516778</v>
      </c>
      <c r="M286" s="85">
        <f>(((Table134567891011121314151617343[[#This Row],[GBR]]-VLOOKUP($U$1,A:G,7,))/VLOOKUP($U$1,A:G,7,))*100)+100</f>
        <v>104.43407234478575</v>
      </c>
      <c r="N286" s="85">
        <f>VLOOKUP(A286,Database!$A:$AS,MATCH($N$1,Database!$A$1:$AS$1,0),FALSE)</f>
        <v>99.175075724999999</v>
      </c>
      <c r="O286" s="85">
        <f>(((Table134567891011121314151617343[[#This Row],[USA]]-VLOOKUP($U$1,A:N,14,))/VLOOKUP($U$1,A:N,14,))*100)+100</f>
        <v>114.17356168770534</v>
      </c>
      <c r="P286" s="85">
        <f>VLOOKUP(A286,Database!$A:$AS,MATCH($P$1,Database!$A$1:$AS$1,0),FALSE)</f>
        <v>101.191567369</v>
      </c>
      <c r="Q286" s="85">
        <f>(((Table134567891011121314151617343[[#This Row],[JPN]]-VLOOKUP($U$1,A:Q,16,))/VLOOKUP($U$1,A:Q,16,))*100)+100</f>
        <v>101.59425737323045</v>
      </c>
    </row>
    <row r="287" spans="1:17" s="87" customFormat="1" x14ac:dyDescent="0.2">
      <c r="A287" s="22">
        <v>41548</v>
      </c>
      <c r="B287" s="85">
        <f>VLOOKUP(A287,Database!$A:$AS,MATCH($B$1,Database!$A$1:$AS$1,0),FALSE)</f>
        <v>100.091659028</v>
      </c>
      <c r="C287" s="85">
        <f>VLOOKUP(A287,Database!$A:$AS,MATCH($C$1,Database!$A$1:$AS$1,0),FALSE)</f>
        <v>99.07</v>
      </c>
      <c r="D287" s="85">
        <f>VLOOKUP(A287,Database!$A:$AS,MATCH($D$1,Database!$A$1:$AS$1,0),FALSE)</f>
        <v>97.491875676999996</v>
      </c>
      <c r="E287" s="85">
        <f>VLOOKUP(A287,Database!$A:$AS,MATCH($E$1,Database!$A$1:$AS$1,0),FALSE)</f>
        <v>95.269079391000005</v>
      </c>
      <c r="F287" s="85">
        <f>VLOOKUP(A287,Database!$A:$AS,MATCH($F$1,Database!$A$1:$AS$1,0),FALSE)</f>
        <v>96.1</v>
      </c>
      <c r="G287" s="85">
        <f>VLOOKUP(A287,Database!$A:$AS,MATCH($G$1,Database!$A$1:$AS$1,0),FALSE)</f>
        <v>97.114178167999995</v>
      </c>
      <c r="H287" s="85">
        <f>(((Table134567891011121314151617343[[#This Row],[ITA]]-VLOOKUP($U$1,A:B,2,))/VLOOKUP($U$1,A:B,2,))*100)+100</f>
        <v>82.319078947055274</v>
      </c>
      <c r="I287" s="85">
        <f>(((Table134567891011121314151617343[[#This Row],[FRA]]-VLOOKUP($U$1,A:C,3,))/VLOOKUP($U$1,A:C,3,))*100)+100</f>
        <v>96.663089081861642</v>
      </c>
      <c r="J287" s="85">
        <f>(((Table134567891011121314151617343[[#This Row],[DEU]]-VLOOKUP($U$1,A:D,4,))/VLOOKUP($U$1,A:D,4,))*100)+100</f>
        <v>129.65425531827177</v>
      </c>
      <c r="K287" s="85">
        <f>(((Table134567891011121314151617343[[#This Row],[ESP]]-VLOOKUP($U$1,A:E,5,))/VLOOKUP($U$1,A:E,5,))*100)+100</f>
        <v>80.078170967386527</v>
      </c>
      <c r="L287" s="85">
        <f>(((Table134567891011121314151617343[[#This Row],[EA19]]-VLOOKUP($U$1,A:F,6,))/VLOOKUP($U$1,A:F,6,))*100)+100</f>
        <v>107.49440715883668</v>
      </c>
      <c r="M287" s="85">
        <f>(((Table134567891011121314151617343[[#This Row],[GBR]]-VLOOKUP($U$1,A:G,7,))/VLOOKUP($U$1,A:G,7,))*100)+100</f>
        <v>105.36756125982011</v>
      </c>
      <c r="N287" s="85">
        <f>VLOOKUP(A287,Database!$A:$AS,MATCH($N$1,Database!$A$1:$AS$1,0),FALSE)</f>
        <v>99.036309438000004</v>
      </c>
      <c r="O287" s="85">
        <f>(((Table134567891011121314151617343[[#This Row],[USA]]-VLOOKUP($U$1,A:N,14,))/VLOOKUP($U$1,A:N,14,))*100)+100</f>
        <v>114.01380944034736</v>
      </c>
      <c r="P287" s="85">
        <f>VLOOKUP(A287,Database!$A:$AS,MATCH($P$1,Database!$A$1:$AS$1,0),FALSE)</f>
        <v>101.49154237099999</v>
      </c>
      <c r="Q287" s="85">
        <f>(((Table134567891011121314151617343[[#This Row],[JPN]]-VLOOKUP($U$1,A:Q,16,))/VLOOKUP($U$1,A:Q,16,))*100)+100</f>
        <v>101.89542612030193</v>
      </c>
    </row>
    <row r="288" spans="1:17" s="87" customFormat="1" x14ac:dyDescent="0.2">
      <c r="A288" s="22">
        <v>41579</v>
      </c>
      <c r="B288" s="85">
        <f>VLOOKUP(A288,Database!$A:$AS,MATCH($B$1,Database!$A$1:$AS$1,0),FALSE)</f>
        <v>99.691692359000001</v>
      </c>
      <c r="C288" s="85">
        <f>VLOOKUP(A288,Database!$A:$AS,MATCH($C$1,Database!$A$1:$AS$1,0),FALSE)</f>
        <v>100.75</v>
      </c>
      <c r="D288" s="85">
        <f>VLOOKUP(A288,Database!$A:$AS,MATCH($D$1,Database!$A$1:$AS$1,0),FALSE)</f>
        <v>99.691692359000001</v>
      </c>
      <c r="E288" s="85">
        <f>VLOOKUP(A288,Database!$A:$AS,MATCH($E$1,Database!$A$1:$AS$1,0),FALSE)</f>
        <v>96.490080407999997</v>
      </c>
      <c r="F288" s="85">
        <f>VLOOKUP(A288,Database!$A:$AS,MATCH($F$1,Database!$A$1:$AS$1,0),FALSE)</f>
        <v>97.4</v>
      </c>
      <c r="G288" s="85">
        <f>VLOOKUP(A288,Database!$A:$AS,MATCH($G$1,Database!$A$1:$AS$1,0),FALSE)</f>
        <v>97.651908943999999</v>
      </c>
      <c r="H288" s="85">
        <f>(((Table134567891011121314151617343[[#This Row],[ITA]]-VLOOKUP($U$1,A:B,2,))/VLOOKUP($U$1,A:B,2,))*100)+100</f>
        <v>81.990131578999453</v>
      </c>
      <c r="I288" s="85">
        <f>(((Table134567891011121314151617343[[#This Row],[FRA]]-VLOOKUP($U$1,A:C,3,))/VLOOKUP($U$1,A:C,3,))*100)+100</f>
        <v>98.302273392526104</v>
      </c>
      <c r="J288" s="85">
        <f>(((Table134567891011121314151617343[[#This Row],[DEU]]-VLOOKUP($U$1,A:D,4,))/VLOOKUP($U$1,A:D,4,))*100)+100</f>
        <v>132.57978723322199</v>
      </c>
      <c r="K288" s="85">
        <f>(((Table134567891011121314151617343[[#This Row],[ESP]]-VLOOKUP($U$1,A:E,5,))/VLOOKUP($U$1,A:E,5,))*100)+100</f>
        <v>81.104480120531491</v>
      </c>
      <c r="L288" s="85">
        <f>(((Table134567891011121314151617343[[#This Row],[EA19]]-VLOOKUP($U$1,A:F,6,))/VLOOKUP($U$1,A:F,6,))*100)+100</f>
        <v>108.94854586129753</v>
      </c>
      <c r="M288" s="85">
        <f>(((Table134567891011121314151617343[[#This Row],[GBR]]-VLOOKUP($U$1,A:G,7,))/VLOOKUP($U$1,A:G,7,))*100)+100</f>
        <v>105.95099183144534</v>
      </c>
      <c r="N288" s="85">
        <f>VLOOKUP(A288,Database!$A:$AS,MATCH($N$1,Database!$A$1:$AS$1,0),FALSE)</f>
        <v>99.293423544000007</v>
      </c>
      <c r="O288" s="85">
        <f>(((Table134567891011121314151617343[[#This Row],[USA]]-VLOOKUP($U$1,A:N,14,))/VLOOKUP($U$1,A:N,14,))*100)+100</f>
        <v>114.30980753288796</v>
      </c>
      <c r="P288" s="85">
        <f>VLOOKUP(A288,Database!$A:$AS,MATCH($P$1,Database!$A$1:$AS$1,0),FALSE)</f>
        <v>101.89150904100001</v>
      </c>
      <c r="Q288" s="85">
        <f>(((Table134567891011121314151617343[[#This Row],[JPN]]-VLOOKUP($U$1,A:Q,16,))/VLOOKUP($U$1,A:Q,16,))*100)+100</f>
        <v>102.29698445039995</v>
      </c>
    </row>
    <row r="289" spans="1:17" s="87" customFormat="1" x14ac:dyDescent="0.2">
      <c r="A289" s="22">
        <v>41609</v>
      </c>
      <c r="B289" s="85">
        <f>VLOOKUP(A289,Database!$A:$AS,MATCH($B$1,Database!$A$1:$AS$1,0),FALSE)</f>
        <v>98.691775684999996</v>
      </c>
      <c r="C289" s="85">
        <f>VLOOKUP(A289,Database!$A:$AS,MATCH($C$1,Database!$A$1:$AS$1,0),FALSE)</f>
        <v>99.51</v>
      </c>
      <c r="D289" s="85">
        <f>VLOOKUP(A289,Database!$A:$AS,MATCH($D$1,Database!$A$1:$AS$1,0),FALSE)</f>
        <v>99.791684025999999</v>
      </c>
      <c r="E289" s="85">
        <f>VLOOKUP(A289,Database!$A:$AS,MATCH($E$1,Database!$A$1:$AS$1,0),FALSE)</f>
        <v>96.706080588000006</v>
      </c>
      <c r="F289" s="85">
        <f>VLOOKUP(A289,Database!$A:$AS,MATCH($F$1,Database!$A$1:$AS$1,0),FALSE)</f>
        <v>97.3</v>
      </c>
      <c r="G289" s="85">
        <f>VLOOKUP(A289,Database!$A:$AS,MATCH($G$1,Database!$A$1:$AS$1,0),FALSE)</f>
        <v>98.297185876</v>
      </c>
      <c r="H289" s="85">
        <f>(((Table134567891011121314151617343[[#This Row],[ITA]]-VLOOKUP($U$1,A:B,2,))/VLOOKUP($U$1,A:B,2,))*100)+100</f>
        <v>81.167763157626226</v>
      </c>
      <c r="I289" s="85">
        <f>(((Table134567891011121314151617343[[#This Row],[FRA]]-VLOOKUP($U$1,A:C,3,))/VLOOKUP($U$1,A:C,3,))*100)+100</f>
        <v>97.092399258464255</v>
      </c>
      <c r="J289" s="85">
        <f>(((Table134567891011121314151617343[[#This Row],[DEU]]-VLOOKUP($U$1,A:D,4,))/VLOOKUP($U$1,A:D,4,))*100)+100</f>
        <v>132.7127659561452</v>
      </c>
      <c r="K289" s="85">
        <f>(((Table134567891011121314151617343[[#This Row],[ESP]]-VLOOKUP($U$1,A:E,5,))/VLOOKUP($U$1,A:E,5,))*100)+100</f>
        <v>81.286038496592184</v>
      </c>
      <c r="L289" s="85">
        <f>(((Table134567891011121314151617343[[#This Row],[EA19]]-VLOOKUP($U$1,A:F,6,))/VLOOKUP($U$1,A:F,6,))*100)+100</f>
        <v>108.83668903803131</v>
      </c>
      <c r="M289" s="85">
        <f>(((Table134567891011121314151617343[[#This Row],[GBR]]-VLOOKUP($U$1,A:G,7,))/VLOOKUP($U$1,A:G,7,))*100)+100</f>
        <v>106.6511085182636</v>
      </c>
      <c r="N289" s="85">
        <f>VLOOKUP(A289,Database!$A:$AS,MATCH($N$1,Database!$A$1:$AS$1,0),FALSE)</f>
        <v>99.481352743000002</v>
      </c>
      <c r="O289" s="85">
        <f>(((Table134567891011121314151617343[[#This Row],[USA]]-VLOOKUP($U$1,A:N,14,))/VLOOKUP($U$1,A:N,14,))*100)+100</f>
        <v>114.5261577180337</v>
      </c>
      <c r="P289" s="85">
        <f>VLOOKUP(A289,Database!$A:$AS,MATCH($P$1,Database!$A$1:$AS$1,0),FALSE)</f>
        <v>101.89150904100001</v>
      </c>
      <c r="Q289" s="85">
        <f>(((Table134567891011121314151617343[[#This Row],[JPN]]-VLOOKUP($U$1,A:Q,16,))/VLOOKUP($U$1,A:Q,16,))*100)+100</f>
        <v>102.29698445039995</v>
      </c>
    </row>
    <row r="290" spans="1:17" s="87" customFormat="1" x14ac:dyDescent="0.2">
      <c r="A290" s="22">
        <v>41640</v>
      </c>
      <c r="B290" s="85">
        <f>VLOOKUP(A290,Database!$A:$AS,MATCH($B$1,Database!$A$1:$AS$1,0),FALSE)</f>
        <v>100.29164236299999</v>
      </c>
      <c r="C290" s="85">
        <f>VLOOKUP(A290,Database!$A:$AS,MATCH($C$1,Database!$A$1:$AS$1,0),FALSE)</f>
        <v>98</v>
      </c>
      <c r="D290" s="85">
        <f>VLOOKUP(A290,Database!$A:$AS,MATCH($D$1,Database!$A$1:$AS$1,0),FALSE)</f>
        <v>99.291725690000007</v>
      </c>
      <c r="E290" s="85">
        <f>VLOOKUP(A290,Database!$A:$AS,MATCH($E$1,Database!$A$1:$AS$1,0),FALSE)</f>
        <v>96.475080395999996</v>
      </c>
      <c r="F290" s="85">
        <f>VLOOKUP(A290,Database!$A:$AS,MATCH($F$1,Database!$A$1:$AS$1,0),FALSE)</f>
        <v>96.9</v>
      </c>
      <c r="G290" s="85">
        <f>VLOOKUP(A290,Database!$A:$AS,MATCH($G$1,Database!$A$1:$AS$1,0),FALSE)</f>
        <v>98.619824340999998</v>
      </c>
      <c r="H290" s="85">
        <f>(((Table134567891011121314151617343[[#This Row],[ITA]]-VLOOKUP($U$1,A:B,2,))/VLOOKUP($U$1,A:B,2,))*100)+100</f>
        <v>82.483552631494405</v>
      </c>
      <c r="I290" s="85">
        <f>(((Table134567891011121314151617343[[#This Row],[FRA]]-VLOOKUP($U$1,A:C,3,))/VLOOKUP($U$1,A:C,3,))*100)+100</f>
        <v>95.619084788759878</v>
      </c>
      <c r="J290" s="85">
        <f>(((Table134567891011121314151617343[[#This Row],[DEU]]-VLOOKUP($U$1,A:D,4,))/VLOOKUP($U$1,A:D,4,))*100)+100</f>
        <v>132.04787234019918</v>
      </c>
      <c r="K290" s="85">
        <f>(((Table134567891011121314151617343[[#This Row],[ESP]]-VLOOKUP($U$1,A:E,5,))/VLOOKUP($U$1,A:E,5,))*100)+100</f>
        <v>81.091871900391993</v>
      </c>
      <c r="L290" s="85">
        <f>(((Table134567891011121314151617343[[#This Row],[EA19]]-VLOOKUP($U$1,A:F,6,))/VLOOKUP($U$1,A:F,6,))*100)+100</f>
        <v>108.38926174496645</v>
      </c>
      <c r="M290" s="85">
        <f>(((Table134567891011121314151617343[[#This Row],[GBR]]-VLOOKUP($U$1,A:G,7,))/VLOOKUP($U$1,A:G,7,))*100)+100</f>
        <v>107.00116686058774</v>
      </c>
      <c r="N290" s="85">
        <f>VLOOKUP(A290,Database!$A:$AS,MATCH($N$1,Database!$A$1:$AS$1,0),FALSE)</f>
        <v>99.156441395000002</v>
      </c>
      <c r="O290" s="85">
        <f>(((Table134567891011121314151617343[[#This Row],[USA]]-VLOOKUP($U$1,A:N,14,))/VLOOKUP($U$1,A:N,14,))*100)+100</f>
        <v>114.15210924302394</v>
      </c>
      <c r="P290" s="85">
        <f>VLOOKUP(A290,Database!$A:$AS,MATCH($P$1,Database!$A$1:$AS$1,0),FALSE)</f>
        <v>103.591367386</v>
      </c>
      <c r="Q290" s="85">
        <f>(((Table134567891011121314151617343[[#This Row],[JPN]]-VLOOKUP($U$1,A:Q,16,))/VLOOKUP($U$1,A:Q,16,))*100)+100</f>
        <v>104.00360735080645</v>
      </c>
    </row>
    <row r="291" spans="1:17" s="87" customFormat="1" x14ac:dyDescent="0.2">
      <c r="A291" s="22">
        <v>41671</v>
      </c>
      <c r="B291" s="85">
        <f>VLOOKUP(A291,Database!$A:$AS,MATCH($B$1,Database!$A$1:$AS$1,0),FALSE)</f>
        <v>99.491709024000002</v>
      </c>
      <c r="C291" s="85">
        <f>VLOOKUP(A291,Database!$A:$AS,MATCH($C$1,Database!$A$1:$AS$1,0),FALSE)</f>
        <v>99.49</v>
      </c>
      <c r="D291" s="85">
        <f>VLOOKUP(A291,Database!$A:$AS,MATCH($D$1,Database!$A$1:$AS$1,0),FALSE)</f>
        <v>99.391717357000005</v>
      </c>
      <c r="E291" s="85">
        <f>VLOOKUP(A291,Database!$A:$AS,MATCH($E$1,Database!$A$1:$AS$1,0),FALSE)</f>
        <v>97.305081087999994</v>
      </c>
      <c r="F291" s="85">
        <f>VLOOKUP(A291,Database!$A:$AS,MATCH($F$1,Database!$A$1:$AS$1,0),FALSE)</f>
        <v>97.6</v>
      </c>
      <c r="G291" s="85">
        <f>VLOOKUP(A291,Database!$A:$AS,MATCH($G$1,Database!$A$1:$AS$1,0),FALSE)</f>
        <v>98.619824340999998</v>
      </c>
      <c r="H291" s="85">
        <f>(((Table134567891011121314151617343[[#This Row],[ITA]]-VLOOKUP($U$1,A:B,2,))/VLOOKUP($U$1,A:B,2,))*100)+100</f>
        <v>81.825657894560322</v>
      </c>
      <c r="I291" s="85">
        <f>(((Table134567891011121314151617343[[#This Row],[FRA]]-VLOOKUP($U$1,A:C,3,))/VLOOKUP($U$1,A:C,3,))*100)+100</f>
        <v>97.072885159527758</v>
      </c>
      <c r="J291" s="85">
        <f>(((Table134567891011121314151617343[[#This Row],[DEU]]-VLOOKUP($U$1,A:D,4,))/VLOOKUP($U$1,A:D,4,))*100)+100</f>
        <v>132.18085106312242</v>
      </c>
      <c r="K291" s="85">
        <f>(((Table134567891011121314151617343[[#This Row],[ESP]]-VLOOKUP($U$1,A:E,5,))/VLOOKUP($U$1,A:E,5,))*100)+100</f>
        <v>81.789526771646109</v>
      </c>
      <c r="L291" s="85">
        <f>(((Table134567891011121314151617343[[#This Row],[EA19]]-VLOOKUP($U$1,A:F,6,))/VLOOKUP($U$1,A:F,6,))*100)+100</f>
        <v>109.17225950782996</v>
      </c>
      <c r="M291" s="85">
        <f>(((Table134567891011121314151617343[[#This Row],[GBR]]-VLOOKUP($U$1,A:G,7,))/VLOOKUP($U$1,A:G,7,))*100)+100</f>
        <v>107.00116686058774</v>
      </c>
      <c r="N291" s="85">
        <f>VLOOKUP(A291,Database!$A:$AS,MATCH($N$1,Database!$A$1:$AS$1,0),FALSE)</f>
        <v>99.903598729999999</v>
      </c>
      <c r="O291" s="85">
        <f>(((Table134567891011121314151617343[[#This Row],[USA]]-VLOOKUP($U$1,A:N,14,))/VLOOKUP($U$1,A:N,14,))*100)+100</f>
        <v>115.01226098432016</v>
      </c>
      <c r="P291" s="85">
        <f>VLOOKUP(A291,Database!$A:$AS,MATCH($P$1,Database!$A$1:$AS$1,0),FALSE)</f>
        <v>102.891425715</v>
      </c>
      <c r="Q291" s="85">
        <f>(((Table134567891011121314151617343[[#This Row],[JPN]]-VLOOKUP($U$1,A:Q,16,))/VLOOKUP($U$1,A:Q,16,))*100)+100</f>
        <v>103.30088027464093</v>
      </c>
    </row>
    <row r="292" spans="1:17" s="87" customFormat="1" x14ac:dyDescent="0.2">
      <c r="A292" s="22">
        <v>41699</v>
      </c>
      <c r="B292" s="85">
        <f>VLOOKUP(A292,Database!$A:$AS,MATCH($B$1,Database!$A$1:$AS$1,0),FALSE)</f>
        <v>98.491792351000001</v>
      </c>
      <c r="C292" s="85">
        <f>VLOOKUP(A292,Database!$A:$AS,MATCH($C$1,Database!$A$1:$AS$1,0),FALSE)</f>
        <v>98.77</v>
      </c>
      <c r="D292" s="85">
        <f>VLOOKUP(A292,Database!$A:$AS,MATCH($D$1,Database!$A$1:$AS$1,0),FALSE)</f>
        <v>99.791684025999999</v>
      </c>
      <c r="E292" s="85">
        <f>VLOOKUP(A292,Database!$A:$AS,MATCH($E$1,Database!$A$1:$AS$1,0),FALSE)</f>
        <v>96.330080275</v>
      </c>
      <c r="F292" s="85">
        <f>VLOOKUP(A292,Database!$A:$AS,MATCH($F$1,Database!$A$1:$AS$1,0),FALSE)</f>
        <v>97.1</v>
      </c>
      <c r="G292" s="85">
        <f>VLOOKUP(A292,Database!$A:$AS,MATCH($G$1,Database!$A$1:$AS$1,0),FALSE)</f>
        <v>97.544362789000004</v>
      </c>
      <c r="H292" s="85">
        <f>(((Table134567891011121314151617343[[#This Row],[ITA]]-VLOOKUP($U$1,A:B,2,))/VLOOKUP($U$1,A:B,2,))*100)+100</f>
        <v>81.003289474009534</v>
      </c>
      <c r="I292" s="85">
        <f>(((Table134567891011121314151617343[[#This Row],[FRA]]-VLOOKUP($U$1,A:C,3,))/VLOOKUP($U$1,A:C,3,))*100)+100</f>
        <v>96.370377597814425</v>
      </c>
      <c r="J292" s="85">
        <f>(((Table134567891011121314151617343[[#This Row],[DEU]]-VLOOKUP($U$1,A:D,4,))/VLOOKUP($U$1,A:D,4,))*100)+100</f>
        <v>132.7127659561452</v>
      </c>
      <c r="K292" s="85">
        <f>(((Table134567891011121314151617343[[#This Row],[ESP]]-VLOOKUP($U$1,A:E,5,))/VLOOKUP($U$1,A:E,5,))*100)+100</f>
        <v>80.969992434840805</v>
      </c>
      <c r="L292" s="85">
        <f>(((Table134567891011121314151617343[[#This Row],[EA19]]-VLOOKUP($U$1,A:F,6,))/VLOOKUP($U$1,A:F,6,))*100)+100</f>
        <v>108.61297539149886</v>
      </c>
      <c r="M292" s="85">
        <f>(((Table134567891011121314151617343[[#This Row],[GBR]]-VLOOKUP($U$1,A:G,7,))/VLOOKUP($U$1,A:G,7,))*100)+100</f>
        <v>105.83430571733729</v>
      </c>
      <c r="N292" s="85">
        <f>VLOOKUP(A292,Database!$A:$AS,MATCH($N$1,Database!$A$1:$AS$1,0),FALSE)</f>
        <v>100.88130633900001</v>
      </c>
      <c r="O292" s="85">
        <f>(((Table134567891011121314151617343[[#This Row],[USA]]-VLOOKUP($U$1,A:N,14,))/VLOOKUP($U$1,A:N,14,))*100)+100</f>
        <v>116.13782967375816</v>
      </c>
      <c r="P292" s="85">
        <f>VLOOKUP(A292,Database!$A:$AS,MATCH($P$1,Database!$A$1:$AS$1,0),FALSE)</f>
        <v>104.291309058</v>
      </c>
      <c r="Q292" s="85">
        <f>(((Table134567891011121314151617343[[#This Row],[JPN]]-VLOOKUP($U$1,A:Q,16,))/VLOOKUP($U$1,A:Q,16,))*100)+100</f>
        <v>104.70633442797593</v>
      </c>
    </row>
    <row r="293" spans="1:17" s="87" customFormat="1" x14ac:dyDescent="0.2">
      <c r="A293" s="22">
        <v>41730</v>
      </c>
      <c r="B293" s="85">
        <f>VLOOKUP(A293,Database!$A:$AS,MATCH($B$1,Database!$A$1:$AS$1,0),FALSE)</f>
        <v>99.491709024000002</v>
      </c>
      <c r="C293" s="85">
        <f>VLOOKUP(A293,Database!$A:$AS,MATCH($C$1,Database!$A$1:$AS$1,0),FALSE)</f>
        <v>99.15</v>
      </c>
      <c r="D293" s="85">
        <f>VLOOKUP(A293,Database!$A:$AS,MATCH($D$1,Database!$A$1:$AS$1,0),FALSE)</f>
        <v>99.391717357000005</v>
      </c>
      <c r="E293" s="85">
        <f>VLOOKUP(A293,Database!$A:$AS,MATCH($E$1,Database!$A$1:$AS$1,0),FALSE)</f>
        <v>97.572081310000002</v>
      </c>
      <c r="F293" s="85">
        <f>VLOOKUP(A293,Database!$A:$AS,MATCH($F$1,Database!$A$1:$AS$1,0),FALSE)</f>
        <v>98.6</v>
      </c>
      <c r="G293" s="85">
        <f>VLOOKUP(A293,Database!$A:$AS,MATCH($G$1,Database!$A$1:$AS$1,0),FALSE)</f>
        <v>96.361355082000003</v>
      </c>
      <c r="H293" s="85">
        <f>(((Table134567891011121314151617343[[#This Row],[ITA]]-VLOOKUP($U$1,A:B,2,))/VLOOKUP($U$1,A:B,2,))*100)+100</f>
        <v>81.825657894560322</v>
      </c>
      <c r="I293" s="85">
        <f>(((Table134567891011121314151617343[[#This Row],[FRA]]-VLOOKUP($U$1,A:C,3,))/VLOOKUP($U$1,A:C,3,))*100)+100</f>
        <v>96.741145477607589</v>
      </c>
      <c r="J293" s="85">
        <f>(((Table134567891011121314151617343[[#This Row],[DEU]]-VLOOKUP($U$1,A:D,4,))/VLOOKUP($U$1,A:D,4,))*100)+100</f>
        <v>132.18085106312242</v>
      </c>
      <c r="K293" s="85">
        <f>(((Table134567891011121314151617343[[#This Row],[ESP]]-VLOOKUP($U$1,A:E,5,))/VLOOKUP($U$1,A:E,5,))*100)+100</f>
        <v>82.013953097189727</v>
      </c>
      <c r="L293" s="85">
        <f>(((Table134567891011121314151617343[[#This Row],[EA19]]-VLOOKUP($U$1,A:F,6,))/VLOOKUP($U$1,A:F,6,))*100)+100</f>
        <v>110.29082774049216</v>
      </c>
      <c r="M293" s="85">
        <f>(((Table134567891011121314151617343[[#This Row],[GBR]]-VLOOKUP($U$1,A:G,7,))/VLOOKUP($U$1,A:G,7,))*100)+100</f>
        <v>104.55075845997878</v>
      </c>
      <c r="N293" s="85">
        <f>VLOOKUP(A293,Database!$A:$AS,MATCH($N$1,Database!$A$1:$AS$1,0),FALSE)</f>
        <v>100.93631726</v>
      </c>
      <c r="O293" s="85">
        <f>(((Table134567891011121314151617343[[#This Row],[USA]]-VLOOKUP($U$1,A:N,14,))/VLOOKUP($U$1,A:N,14,))*100)+100</f>
        <v>116.20116002905534</v>
      </c>
      <c r="P293" s="85">
        <f>VLOOKUP(A293,Database!$A:$AS,MATCH($P$1,Database!$A$1:$AS$1,0),FALSE)</f>
        <v>99.791684025999999</v>
      </c>
      <c r="Q293" s="85">
        <f>(((Table134567891011121314151617343[[#This Row],[JPN]]-VLOOKUP($U$1,A:Q,16,))/VLOOKUP($U$1,A:Q,16,))*100)+100</f>
        <v>100.18880321989543</v>
      </c>
    </row>
    <row r="294" spans="1:17" s="87" customFormat="1" x14ac:dyDescent="0.2">
      <c r="A294" s="22">
        <v>41760</v>
      </c>
      <c r="B294" s="85">
        <f>VLOOKUP(A294,Database!$A:$AS,MATCH($B$1,Database!$A$1:$AS$1,0),FALSE)</f>
        <v>97.991834014000005</v>
      </c>
      <c r="C294" s="85">
        <f>VLOOKUP(A294,Database!$A:$AS,MATCH($C$1,Database!$A$1:$AS$1,0),FALSE)</f>
        <v>96.94</v>
      </c>
      <c r="D294" s="85">
        <f>VLOOKUP(A294,Database!$A:$AS,MATCH($D$1,Database!$A$1:$AS$1,0),FALSE)</f>
        <v>98.691775684999996</v>
      </c>
      <c r="E294" s="85">
        <f>VLOOKUP(A294,Database!$A:$AS,MATCH($E$1,Database!$A$1:$AS$1,0),FALSE)</f>
        <v>97.349081123999994</v>
      </c>
      <c r="F294" s="85">
        <f>VLOOKUP(A294,Database!$A:$AS,MATCH($F$1,Database!$A$1:$AS$1,0),FALSE)</f>
        <v>97.8</v>
      </c>
      <c r="G294" s="85">
        <f>VLOOKUP(A294,Database!$A:$AS,MATCH($G$1,Database!$A$1:$AS$1,0),FALSE)</f>
        <v>95.070801219000003</v>
      </c>
      <c r="H294" s="85">
        <f>(((Table134567891011121314151617343[[#This Row],[ITA]]-VLOOKUP($U$1,A:B,2,))/VLOOKUP($U$1,A:B,2,))*100)+100</f>
        <v>80.592105263322935</v>
      </c>
      <c r="I294" s="85">
        <f>(((Table134567891011121314151617343[[#This Row],[FRA]]-VLOOKUP($U$1,A:C,3,))/VLOOKUP($U$1,A:C,3,))*100)+100</f>
        <v>94.584837545126362</v>
      </c>
      <c r="J294" s="85">
        <f>(((Table134567891011121314151617343[[#This Row],[DEU]]-VLOOKUP($U$1,A:D,4,))/VLOOKUP($U$1,A:D,4,))*100)+100</f>
        <v>131.24999999867012</v>
      </c>
      <c r="K294" s="85">
        <f>(((Table134567891011121314151617343[[#This Row],[ESP]]-VLOOKUP($U$1,A:E,5,))/VLOOKUP($U$1,A:E,5,))*100)+100</f>
        <v>81.826510884727725</v>
      </c>
      <c r="L294" s="85">
        <f>(((Table134567891011121314151617343[[#This Row],[EA19]]-VLOOKUP($U$1,A:F,6,))/VLOOKUP($U$1,A:F,6,))*100)+100</f>
        <v>109.39597315436241</v>
      </c>
      <c r="M294" s="85">
        <f>(((Table134567891011121314151617343[[#This Row],[GBR]]-VLOOKUP($U$1,A:G,7,))/VLOOKUP($U$1,A:G,7,))*100)+100</f>
        <v>103.15052508742724</v>
      </c>
      <c r="N294" s="85">
        <f>VLOOKUP(A294,Database!$A:$AS,MATCH($N$1,Database!$A$1:$AS$1,0),FALSE)</f>
        <v>101.33160294</v>
      </c>
      <c r="O294" s="85">
        <f>(((Table134567891011121314151617343[[#This Row],[USA]]-VLOOKUP($U$1,A:N,14,))/VLOOKUP($U$1,A:N,14,))*100)+100</f>
        <v>116.65622571607221</v>
      </c>
      <c r="P294" s="85">
        <f>VLOOKUP(A294,Database!$A:$AS,MATCH($P$1,Database!$A$1:$AS$1,0),FALSE)</f>
        <v>101.89150904100001</v>
      </c>
      <c r="Q294" s="85">
        <f>(((Table134567891011121314151617343[[#This Row],[JPN]]-VLOOKUP($U$1,A:Q,16,))/VLOOKUP($U$1,A:Q,16,))*100)+100</f>
        <v>102.29698445039995</v>
      </c>
    </row>
    <row r="295" spans="1:17" s="87" customFormat="1" x14ac:dyDescent="0.2">
      <c r="A295" s="22">
        <v>41791</v>
      </c>
      <c r="B295" s="85">
        <f>VLOOKUP(A295,Database!$A:$AS,MATCH($B$1,Database!$A$1:$AS$1,0),FALSE)</f>
        <v>99.891675694</v>
      </c>
      <c r="C295" s="85">
        <f>VLOOKUP(A295,Database!$A:$AS,MATCH($C$1,Database!$A$1:$AS$1,0),FALSE)</f>
        <v>99</v>
      </c>
      <c r="D295" s="85">
        <f>VLOOKUP(A295,Database!$A:$AS,MATCH($D$1,Database!$A$1:$AS$1,0),FALSE)</f>
        <v>98.791767352999997</v>
      </c>
      <c r="E295" s="85">
        <f>VLOOKUP(A295,Database!$A:$AS,MATCH($E$1,Database!$A$1:$AS$1,0),FALSE)</f>
        <v>96.608080506999997</v>
      </c>
      <c r="F295" s="85">
        <f>VLOOKUP(A295,Database!$A:$AS,MATCH($F$1,Database!$A$1:$AS$1,0),FALSE)</f>
        <v>97.3</v>
      </c>
      <c r="G295" s="85">
        <f>VLOOKUP(A295,Database!$A:$AS,MATCH($G$1,Database!$A$1:$AS$1,0),FALSE)</f>
        <v>94.748162753000003</v>
      </c>
      <c r="H295" s="85">
        <f>(((Table134567891011121314151617343[[#This Row],[ITA]]-VLOOKUP($U$1,A:B,2,))/VLOOKUP($U$1,A:B,2,))*100)+100</f>
        <v>82.154605263438583</v>
      </c>
      <c r="I295" s="85">
        <f>(((Table134567891011121314151617343[[#This Row],[FRA]]-VLOOKUP($U$1,A:C,3,))/VLOOKUP($U$1,A:C,3,))*100)+100</f>
        <v>96.594789735583959</v>
      </c>
      <c r="J295" s="85">
        <f>(((Table134567891011121314151617343[[#This Row],[DEU]]-VLOOKUP($U$1,A:D,4,))/VLOOKUP($U$1,A:D,4,))*100)+100</f>
        <v>131.38297872292324</v>
      </c>
      <c r="K295" s="85">
        <f>(((Table134567891011121314151617343[[#This Row],[ESP]]-VLOOKUP($U$1,A:E,5,))/VLOOKUP($U$1,A:E,5,))*100)+100</f>
        <v>81.203664789495377</v>
      </c>
      <c r="L295" s="85">
        <f>(((Table134567891011121314151617343[[#This Row],[EA19]]-VLOOKUP($U$1,A:F,6,))/VLOOKUP($U$1,A:F,6,))*100)+100</f>
        <v>108.83668903803131</v>
      </c>
      <c r="M295" s="85">
        <f>(((Table134567891011121314151617343[[#This Row],[GBR]]-VLOOKUP($U$1,A:G,7,))/VLOOKUP($U$1,A:G,7,))*100)+100</f>
        <v>102.80046674401811</v>
      </c>
      <c r="N295" s="85">
        <f>VLOOKUP(A295,Database!$A:$AS,MATCH($N$1,Database!$A$1:$AS$1,0),FALSE)</f>
        <v>101.668309423</v>
      </c>
      <c r="O295" s="85">
        <f>(((Table134567891011121314151617343[[#This Row],[USA]]-VLOOKUP($U$1,A:N,14,))/VLOOKUP($U$1,A:N,14,))*100)+100</f>
        <v>117.04385313280389</v>
      </c>
      <c r="P295" s="85">
        <f>VLOOKUP(A295,Database!$A:$AS,MATCH($P$1,Database!$A$1:$AS$1,0),FALSE)</f>
        <v>100.591617365</v>
      </c>
      <c r="Q295" s="85">
        <f>(((Table134567891011121314151617343[[#This Row],[JPN]]-VLOOKUP($U$1,A:Q,16,))/VLOOKUP($U$1,A:Q,16,))*100)+100</f>
        <v>100.99191987908745</v>
      </c>
    </row>
    <row r="296" spans="1:17" s="87" customFormat="1" x14ac:dyDescent="0.2">
      <c r="A296" s="22">
        <v>41821</v>
      </c>
      <c r="B296" s="85">
        <f>VLOOKUP(A296,Database!$A:$AS,MATCH($B$1,Database!$A$1:$AS$1,0),FALSE)</f>
        <v>98.491792351000001</v>
      </c>
      <c r="C296" s="85">
        <f>VLOOKUP(A296,Database!$A:$AS,MATCH($C$1,Database!$A$1:$AS$1,0),FALSE)</f>
        <v>100.33</v>
      </c>
      <c r="D296" s="85">
        <f>VLOOKUP(A296,Database!$A:$AS,MATCH($D$1,Database!$A$1:$AS$1,0),FALSE)</f>
        <v>100.891592367</v>
      </c>
      <c r="E296" s="85">
        <f>VLOOKUP(A296,Database!$A:$AS,MATCH($E$1,Database!$A$1:$AS$1,0),FALSE)</f>
        <v>96.518080432000005</v>
      </c>
      <c r="F296" s="85">
        <f>VLOOKUP(A296,Database!$A:$AS,MATCH($F$1,Database!$A$1:$AS$1,0),FALSE)</f>
        <v>98.1</v>
      </c>
      <c r="G296" s="85">
        <f>VLOOKUP(A296,Database!$A:$AS,MATCH($G$1,Database!$A$1:$AS$1,0),FALSE)</f>
        <v>94.748162753000003</v>
      </c>
      <c r="H296" s="85">
        <f>(((Table134567891011121314151617343[[#This Row],[ITA]]-VLOOKUP($U$1,A:B,2,))/VLOOKUP($U$1,A:B,2,))*100)+100</f>
        <v>81.003289474009534</v>
      </c>
      <c r="I296" s="85">
        <f>(((Table134567891011121314151617343[[#This Row],[FRA]]-VLOOKUP($U$1,A:C,3,))/VLOOKUP($U$1,A:C,3,))*100)+100</f>
        <v>97.892477314859988</v>
      </c>
      <c r="J296" s="85">
        <f>(((Table134567891011121314151617343[[#This Row],[DEU]]-VLOOKUP($U$1,A:D,4,))/VLOOKUP($U$1,A:D,4,))*100)+100</f>
        <v>134.17553191362032</v>
      </c>
      <c r="K296" s="85">
        <f>(((Table134567891011121314151617343[[#This Row],[ESP]]-VLOOKUP($U$1,A:E,5,))/VLOOKUP($U$1,A:E,5,))*100)+100</f>
        <v>81.128015466136773</v>
      </c>
      <c r="L296" s="85">
        <f>(((Table134567891011121314151617343[[#This Row],[EA19]]-VLOOKUP($U$1,A:F,6,))/VLOOKUP($U$1,A:F,6,))*100)+100</f>
        <v>109.73154362416106</v>
      </c>
      <c r="M296" s="85">
        <f>(((Table134567891011121314151617343[[#This Row],[GBR]]-VLOOKUP($U$1,A:G,7,))/VLOOKUP($U$1,A:G,7,))*100)+100</f>
        <v>102.80046674401811</v>
      </c>
      <c r="N296" s="85">
        <f>VLOOKUP(A296,Database!$A:$AS,MATCH($N$1,Database!$A$1:$AS$1,0),FALSE)</f>
        <v>101.941579889</v>
      </c>
      <c r="O296" s="85">
        <f>(((Table134567891011121314151617343[[#This Row],[USA]]-VLOOKUP($U$1,A:N,14,))/VLOOKUP($U$1,A:N,14,))*100)+100</f>
        <v>117.35845095064467</v>
      </c>
      <c r="P296" s="85">
        <f>VLOOKUP(A296,Database!$A:$AS,MATCH($P$1,Database!$A$1:$AS$1,0),FALSE)</f>
        <v>100.39163403000001</v>
      </c>
      <c r="Q296" s="85">
        <f>(((Table134567891011121314151617343[[#This Row],[JPN]]-VLOOKUP($U$1,A:Q,16,))/VLOOKUP($U$1,A:Q,16,))*100)+100</f>
        <v>100.79114071403845</v>
      </c>
    </row>
    <row r="297" spans="1:17" s="87" customFormat="1" x14ac:dyDescent="0.2">
      <c r="A297" s="22">
        <v>41852</v>
      </c>
      <c r="B297" s="85">
        <f>VLOOKUP(A297,Database!$A:$AS,MATCH($B$1,Database!$A$1:$AS$1,0),FALSE)</f>
        <v>97.191900674999999</v>
      </c>
      <c r="C297" s="85">
        <f>VLOOKUP(A297,Database!$A:$AS,MATCH($C$1,Database!$A$1:$AS$1,0),FALSE)</f>
        <v>98.14</v>
      </c>
      <c r="D297" s="85">
        <f>VLOOKUP(A297,Database!$A:$AS,MATCH($D$1,Database!$A$1:$AS$1,0),FALSE)</f>
        <v>96.691942338000004</v>
      </c>
      <c r="E297" s="85">
        <f>VLOOKUP(A297,Database!$A:$AS,MATCH($E$1,Database!$A$1:$AS$1,0),FALSE)</f>
        <v>97.132080943000005</v>
      </c>
      <c r="F297" s="85">
        <f>VLOOKUP(A297,Database!$A:$AS,MATCH($F$1,Database!$A$1:$AS$1,0),FALSE)</f>
        <v>96.4</v>
      </c>
      <c r="G297" s="85">
        <f>VLOOKUP(A297,Database!$A:$AS,MATCH($G$1,Database!$A$1:$AS$1,0),FALSE)</f>
        <v>93.780247356000004</v>
      </c>
      <c r="H297" s="85">
        <f>(((Table134567891011121314151617343[[#This Row],[ITA]]-VLOOKUP($U$1,A:B,2,))/VLOOKUP($U$1,A:B,2,))*100)+100</f>
        <v>79.934210526388839</v>
      </c>
      <c r="I297" s="85">
        <f>(((Table134567891011121314151617343[[#This Row],[FRA]]-VLOOKUP($U$1,A:C,3,))/VLOOKUP($U$1,A:C,3,))*100)+100</f>
        <v>95.755683481315259</v>
      </c>
      <c r="J297" s="85">
        <f>(((Table134567891011121314151617343[[#This Row],[DEU]]-VLOOKUP($U$1,A:D,4,))/VLOOKUP($U$1,A:D,4,))*100)+100</f>
        <v>128.59042553089625</v>
      </c>
      <c r="K297" s="85">
        <f>(((Table134567891011121314151617343[[#This Row],[ESP]]-VLOOKUP($U$1,A:E,5,))/VLOOKUP($U$1,A:E,5,))*100)+100</f>
        <v>81.644111960489639</v>
      </c>
      <c r="L297" s="85">
        <f>(((Table134567891011121314151617343[[#This Row],[EA19]]-VLOOKUP($U$1,A:F,6,))/VLOOKUP($U$1,A:F,6,))*100)+100</f>
        <v>107.82997762863535</v>
      </c>
      <c r="M297" s="85">
        <f>(((Table134567891011121314151617343[[#This Row],[GBR]]-VLOOKUP($U$1,A:G,7,))/VLOOKUP($U$1,A:G,7,))*100)+100</f>
        <v>101.7502917148757</v>
      </c>
      <c r="N297" s="85">
        <f>VLOOKUP(A297,Database!$A:$AS,MATCH($N$1,Database!$A$1:$AS$1,0),FALSE)</f>
        <v>101.74453176199999</v>
      </c>
      <c r="O297" s="85">
        <f>(((Table134567891011121314151617343[[#This Row],[USA]]-VLOOKUP($U$1,A:N,14,))/VLOOKUP($U$1,A:N,14,))*100)+100</f>
        <v>117.13160276001798</v>
      </c>
      <c r="P297" s="85">
        <f>VLOOKUP(A297,Database!$A:$AS,MATCH($P$1,Database!$A$1:$AS$1,0),FALSE)</f>
        <v>99.491709024000002</v>
      </c>
      <c r="Q297" s="85">
        <f>(((Table134567891011121314151617343[[#This Row],[JPN]]-VLOOKUP($U$1,A:Q,16,))/VLOOKUP($U$1,A:Q,16,))*100)+100</f>
        <v>99.887634472823933</v>
      </c>
    </row>
    <row r="298" spans="1:17" s="87" customFormat="1" x14ac:dyDescent="0.2">
      <c r="A298" s="22">
        <v>41883</v>
      </c>
      <c r="B298" s="85">
        <f>VLOOKUP(A298,Database!$A:$AS,MATCH($B$1,Database!$A$1:$AS$1,0),FALSE)</f>
        <v>97.891842346000004</v>
      </c>
      <c r="C298" s="85">
        <f>VLOOKUP(A298,Database!$A:$AS,MATCH($C$1,Database!$A$1:$AS$1,0),FALSE)</f>
        <v>99.16</v>
      </c>
      <c r="D298" s="85">
        <f>VLOOKUP(A298,Database!$A:$AS,MATCH($D$1,Database!$A$1:$AS$1,0),FALSE)</f>
        <v>99.091742354999994</v>
      </c>
      <c r="E298" s="85">
        <f>VLOOKUP(A298,Database!$A:$AS,MATCH($E$1,Database!$A$1:$AS$1,0),FALSE)</f>
        <v>97.337081114</v>
      </c>
      <c r="F298" s="85">
        <f>VLOOKUP(A298,Database!$A:$AS,MATCH($F$1,Database!$A$1:$AS$1,0),FALSE)</f>
        <v>97.4</v>
      </c>
      <c r="G298" s="85">
        <f>VLOOKUP(A298,Database!$A:$AS,MATCH($G$1,Database!$A$1:$AS$1,0),FALSE)</f>
        <v>94.102885822000005</v>
      </c>
      <c r="H298" s="85">
        <f>(((Table134567891011121314151617343[[#This Row],[ITA]]-VLOOKUP($U$1,A:B,2,))/VLOOKUP($U$1,A:B,2,))*100)+100</f>
        <v>80.509868420692143</v>
      </c>
      <c r="I298" s="85">
        <f>(((Table134567891011121314151617343[[#This Row],[FRA]]-VLOOKUP($U$1,A:C,3,))/VLOOKUP($U$1,A:C,3,))*100)+100</f>
        <v>96.750902527075809</v>
      </c>
      <c r="J298" s="85">
        <f>(((Table134567891011121314151617343[[#This Row],[DEU]]-VLOOKUP($U$1,A:D,4,))/VLOOKUP($U$1,A:D,4,))*100)+100</f>
        <v>131.78191489302282</v>
      </c>
      <c r="K298" s="85">
        <f>(((Table134567891011121314151617343[[#This Row],[ESP]]-VLOOKUP($U$1,A:E,5,))/VLOOKUP($U$1,A:E,5,))*100)+100</f>
        <v>81.81642430827992</v>
      </c>
      <c r="L298" s="85">
        <f>(((Table134567891011121314151617343[[#This Row],[EA19]]-VLOOKUP($U$1,A:F,6,))/VLOOKUP($U$1,A:F,6,))*100)+100</f>
        <v>108.94854586129753</v>
      </c>
      <c r="M298" s="85">
        <f>(((Table134567891011121314151617343[[#This Row],[GBR]]-VLOOKUP($U$1,A:G,7,))/VLOOKUP($U$1,A:G,7,))*100)+100</f>
        <v>102.10035005828483</v>
      </c>
      <c r="N298" s="85">
        <f>VLOOKUP(A298,Database!$A:$AS,MATCH($N$1,Database!$A$1:$AS$1,0),FALSE)</f>
        <v>102.07826468099999</v>
      </c>
      <c r="O298" s="85">
        <f>(((Table134567891011121314151617343[[#This Row],[USA]]-VLOOKUP($U$1,A:N,14,))/VLOOKUP($U$1,A:N,14,))*100)+100</f>
        <v>117.51580691349218</v>
      </c>
      <c r="P298" s="85">
        <f>VLOOKUP(A298,Database!$A:$AS,MATCH($P$1,Database!$A$1:$AS$1,0),FALSE)</f>
        <v>100.591617365</v>
      </c>
      <c r="Q298" s="85">
        <f>(((Table134567891011121314151617343[[#This Row],[JPN]]-VLOOKUP($U$1,A:Q,16,))/VLOOKUP($U$1,A:Q,16,))*100)+100</f>
        <v>100.99191987908745</v>
      </c>
    </row>
    <row r="299" spans="1:17" s="87" customFormat="1" x14ac:dyDescent="0.2">
      <c r="A299" s="22">
        <v>41913</v>
      </c>
      <c r="B299" s="85">
        <f>VLOOKUP(A299,Database!$A:$AS,MATCH($B$1,Database!$A$1:$AS$1,0),FALSE)</f>
        <v>97.691859011999995</v>
      </c>
      <c r="C299" s="85">
        <f>VLOOKUP(A299,Database!$A:$AS,MATCH($C$1,Database!$A$1:$AS$1,0),FALSE)</f>
        <v>97.64</v>
      </c>
      <c r="D299" s="85">
        <f>VLOOKUP(A299,Database!$A:$AS,MATCH($D$1,Database!$A$1:$AS$1,0),FALSE)</f>
        <v>99.291725690000007</v>
      </c>
      <c r="E299" s="85">
        <f>VLOOKUP(A299,Database!$A:$AS,MATCH($E$1,Database!$A$1:$AS$1,0),FALSE)</f>
        <v>96.675080562999995</v>
      </c>
      <c r="F299" s="85">
        <f>VLOOKUP(A299,Database!$A:$AS,MATCH($F$1,Database!$A$1:$AS$1,0),FALSE)</f>
        <v>97.1</v>
      </c>
      <c r="G299" s="85">
        <f>VLOOKUP(A299,Database!$A:$AS,MATCH($G$1,Database!$A$1:$AS$1,0),FALSE)</f>
        <v>93.457608890000003</v>
      </c>
      <c r="H299" s="85">
        <f>(((Table134567891011121314151617343[[#This Row],[ITA]]-VLOOKUP($U$1,A:B,2,))/VLOOKUP($U$1,A:B,2,))*100)+100</f>
        <v>80.345394737075438</v>
      </c>
      <c r="I299" s="85">
        <f>(((Table134567891011121314151617343[[#This Row],[FRA]]-VLOOKUP($U$1,A:C,3,))/VLOOKUP($U$1,A:C,3,))*100)+100</f>
        <v>95.267831007903212</v>
      </c>
      <c r="J299" s="85">
        <f>(((Table134567891011121314151617343[[#This Row],[DEU]]-VLOOKUP($U$1,A:D,4,))/VLOOKUP($U$1,A:D,4,))*100)+100</f>
        <v>132.04787234019918</v>
      </c>
      <c r="K299" s="85">
        <f>(((Table134567891011121314151617343[[#This Row],[ESP]]-VLOOKUP($U$1,A:E,5,))/VLOOKUP($U$1,A:E,5,))*100)+100</f>
        <v>81.25998150813578</v>
      </c>
      <c r="L299" s="85">
        <f>(((Table134567891011121314151617343[[#This Row],[EA19]]-VLOOKUP($U$1,A:F,6,))/VLOOKUP($U$1,A:F,6,))*100)+100</f>
        <v>108.61297539149886</v>
      </c>
      <c r="M299" s="85">
        <f>(((Table134567891011121314151617343[[#This Row],[GBR]]-VLOOKUP($U$1,A:G,7,))/VLOOKUP($U$1,A:G,7,))*100)+100</f>
        <v>101.40023337146657</v>
      </c>
      <c r="N299" s="85">
        <f>VLOOKUP(A299,Database!$A:$AS,MATCH($N$1,Database!$A$1:$AS$1,0),FALSE)</f>
        <v>102.083517976</v>
      </c>
      <c r="O299" s="85">
        <f>(((Table134567891011121314151617343[[#This Row],[USA]]-VLOOKUP($U$1,A:N,14,))/VLOOKUP($U$1,A:N,14,))*100)+100</f>
        <v>117.52185467696867</v>
      </c>
      <c r="P299" s="85">
        <f>VLOOKUP(A299,Database!$A:$AS,MATCH($P$1,Database!$A$1:$AS$1,0),FALSE)</f>
        <v>100.591617365</v>
      </c>
      <c r="Q299" s="85">
        <f>(((Table134567891011121314151617343[[#This Row],[JPN]]-VLOOKUP($U$1,A:Q,16,))/VLOOKUP($U$1,A:Q,16,))*100)+100</f>
        <v>100.99191987908745</v>
      </c>
    </row>
    <row r="300" spans="1:17" s="87" customFormat="1" x14ac:dyDescent="0.2">
      <c r="A300" s="22">
        <v>41944</v>
      </c>
      <c r="B300" s="85">
        <f>VLOOKUP(A300,Database!$A:$AS,MATCH($B$1,Database!$A$1:$AS$1,0),FALSE)</f>
        <v>97.791850679000007</v>
      </c>
      <c r="C300" s="85">
        <f>VLOOKUP(A300,Database!$A:$AS,MATCH($C$1,Database!$A$1:$AS$1,0),FALSE)</f>
        <v>96.62</v>
      </c>
      <c r="D300" s="85">
        <f>VLOOKUP(A300,Database!$A:$AS,MATCH($D$1,Database!$A$1:$AS$1,0),FALSE)</f>
        <v>99.391717357000005</v>
      </c>
      <c r="E300" s="85">
        <f>VLOOKUP(A300,Database!$A:$AS,MATCH($E$1,Database!$A$1:$AS$1,0),FALSE)</f>
        <v>96.371080309000007</v>
      </c>
      <c r="F300" s="85">
        <f>VLOOKUP(A300,Database!$A:$AS,MATCH($F$1,Database!$A$1:$AS$1,0),FALSE)</f>
        <v>96.8</v>
      </c>
      <c r="G300" s="85">
        <f>VLOOKUP(A300,Database!$A:$AS,MATCH($G$1,Database!$A$1:$AS$1,0),FALSE)</f>
        <v>94.317978131999993</v>
      </c>
      <c r="H300" s="85">
        <f>(((Table134567891011121314151617343[[#This Row],[ITA]]-VLOOKUP($U$1,A:B,2,))/VLOOKUP($U$1,A:B,2,))*100)+100</f>
        <v>80.427631578883805</v>
      </c>
      <c r="I300" s="85">
        <f>(((Table134567891011121314151617343[[#This Row],[FRA]]-VLOOKUP($U$1,A:C,3,))/VLOOKUP($U$1,A:C,3,))*100)+100</f>
        <v>94.272611962142662</v>
      </c>
      <c r="J300" s="85">
        <f>(((Table134567891011121314151617343[[#This Row],[DEU]]-VLOOKUP($U$1,A:D,4,))/VLOOKUP($U$1,A:D,4,))*100)+100</f>
        <v>132.18085106312242</v>
      </c>
      <c r="K300" s="85">
        <f>(((Table134567891011121314151617343[[#This Row],[ESP]]-VLOOKUP($U$1,A:E,5,))/VLOOKUP($U$1,A:E,5,))*100)+100</f>
        <v>81.004454904230755</v>
      </c>
      <c r="L300" s="85">
        <f>(((Table134567891011121314151617343[[#This Row],[EA19]]-VLOOKUP($U$1,A:F,6,))/VLOOKUP($U$1,A:F,6,))*100)+100</f>
        <v>108.27740492170021</v>
      </c>
      <c r="M300" s="85">
        <f>(((Table134567891011121314151617343[[#This Row],[GBR]]-VLOOKUP($U$1,A:G,7,))/VLOOKUP($U$1,A:G,7,))*100)+100</f>
        <v>102.33372228650092</v>
      </c>
      <c r="N300" s="85">
        <f>VLOOKUP(A300,Database!$A:$AS,MATCH($N$1,Database!$A$1:$AS$1,0),FALSE)</f>
        <v>102.753362666</v>
      </c>
      <c r="O300" s="85">
        <f>(((Table134567891011121314151617343[[#This Row],[USA]]-VLOOKUP($U$1,A:N,14,))/VLOOKUP($U$1,A:N,14,))*100)+100</f>
        <v>118.29300159544405</v>
      </c>
      <c r="P300" s="85">
        <f>VLOOKUP(A300,Database!$A:$AS,MATCH($P$1,Database!$A$1:$AS$1,0),FALSE)</f>
        <v>100.591617365</v>
      </c>
      <c r="Q300" s="85">
        <f>(((Table134567891011121314151617343[[#This Row],[JPN]]-VLOOKUP($U$1,A:Q,16,))/VLOOKUP($U$1,A:Q,16,))*100)+100</f>
        <v>100.99191987908745</v>
      </c>
    </row>
    <row r="301" spans="1:17" s="87" customFormat="1" x14ac:dyDescent="0.2">
      <c r="A301" s="22">
        <v>41974</v>
      </c>
      <c r="B301" s="85">
        <f>VLOOKUP(A301,Database!$A:$AS,MATCH($B$1,Database!$A$1:$AS$1,0),FALSE)</f>
        <v>98.791767352999997</v>
      </c>
      <c r="C301" s="85">
        <f>VLOOKUP(A301,Database!$A:$AS,MATCH($C$1,Database!$A$1:$AS$1,0),FALSE)</f>
        <v>99.47</v>
      </c>
      <c r="D301" s="85">
        <f>VLOOKUP(A301,Database!$A:$AS,MATCH($D$1,Database!$A$1:$AS$1,0),FALSE)</f>
        <v>101.091575702</v>
      </c>
      <c r="E301" s="85">
        <f>VLOOKUP(A301,Database!$A:$AS,MATCH($E$1,Database!$A$1:$AS$1,0),FALSE)</f>
        <v>96.656080547000002</v>
      </c>
      <c r="F301" s="85">
        <f>VLOOKUP(A301,Database!$A:$AS,MATCH($F$1,Database!$A$1:$AS$1,0),FALSE)</f>
        <v>98.1</v>
      </c>
      <c r="G301" s="85">
        <f>VLOOKUP(A301,Database!$A:$AS,MATCH($G$1,Database!$A$1:$AS$1,0),FALSE)</f>
        <v>96.468901236999997</v>
      </c>
      <c r="H301" s="85">
        <f>(((Table134567891011121314151617343[[#This Row],[ITA]]-VLOOKUP($U$1,A:B,2,))/VLOOKUP($U$1,A:B,2,))*100)+100</f>
        <v>81.250000000257018</v>
      </c>
      <c r="I301" s="85">
        <f>(((Table134567891011121314151617343[[#This Row],[FRA]]-VLOOKUP($U$1,A:C,3,))/VLOOKUP($U$1,A:C,3,))*100)+100</f>
        <v>97.053371060591274</v>
      </c>
      <c r="J301" s="85">
        <f>(((Table134567891011121314151617343[[#This Row],[DEU]]-VLOOKUP($U$1,A:D,4,))/VLOOKUP($U$1,A:D,4,))*100)+100</f>
        <v>134.44148936079668</v>
      </c>
      <c r="K301" s="85">
        <f>(((Table134567891011121314151617343[[#This Row],[ESP]]-VLOOKUP($U$1,A:E,5,))/VLOOKUP($U$1,A:E,5,))*100)+100</f>
        <v>81.244011095286652</v>
      </c>
      <c r="L301" s="85">
        <f>(((Table134567891011121314151617343[[#This Row],[EA19]]-VLOOKUP($U$1,A:F,6,))/VLOOKUP($U$1,A:F,6,))*100)+100</f>
        <v>109.73154362416106</v>
      </c>
      <c r="M301" s="85">
        <f>(((Table134567891011121314151617343[[#This Row],[GBR]]-VLOOKUP($U$1,A:G,7,))/VLOOKUP($U$1,A:G,7,))*100)+100</f>
        <v>104.66744457408683</v>
      </c>
      <c r="N301" s="85">
        <f>VLOOKUP(A301,Database!$A:$AS,MATCH($N$1,Database!$A$1:$AS$1,0),FALSE)</f>
        <v>102.700829715</v>
      </c>
      <c r="O301" s="85">
        <f>(((Table134567891011121314151617343[[#This Row],[USA]]-VLOOKUP($U$1,A:N,14,))/VLOOKUP($U$1,A:N,14,))*100)+100</f>
        <v>118.23252395952808</v>
      </c>
      <c r="P301" s="85">
        <f>VLOOKUP(A301,Database!$A:$AS,MATCH($P$1,Database!$A$1:$AS$1,0),FALSE)</f>
        <v>100.191650696</v>
      </c>
      <c r="Q301" s="85">
        <f>(((Table134567891011121314151617343[[#This Row],[JPN]]-VLOOKUP($U$1,A:Q,16,))/VLOOKUP($U$1,A:Q,16,))*100)+100</f>
        <v>100.59036154999342</v>
      </c>
    </row>
    <row r="302" spans="1:17" s="87" customFormat="1" x14ac:dyDescent="0.2">
      <c r="A302" s="22">
        <v>42005</v>
      </c>
      <c r="B302" s="85">
        <f>VLOOKUP(A302,Database!$A:$AS,MATCH($B$1,Database!$A$1:$AS$1,0),FALSE)</f>
        <v>98.291809016000002</v>
      </c>
      <c r="C302" s="85">
        <f>VLOOKUP(A302,Database!$A:$AS,MATCH($C$1,Database!$A$1:$AS$1,0),FALSE)</f>
        <v>99.51</v>
      </c>
      <c r="D302" s="85">
        <f>VLOOKUP(A302,Database!$A:$AS,MATCH($D$1,Database!$A$1:$AS$1,0),FALSE)</f>
        <v>98.791767352999997</v>
      </c>
      <c r="E302" s="85">
        <f>VLOOKUP(A302,Database!$A:$AS,MATCH($E$1,Database!$A$1:$AS$1,0),FALSE)</f>
        <v>96.799080665999995</v>
      </c>
      <c r="F302" s="85">
        <f>VLOOKUP(A302,Database!$A:$AS,MATCH($F$1,Database!$A$1:$AS$1,0),FALSE)</f>
        <v>97.8</v>
      </c>
      <c r="G302" s="85">
        <f>VLOOKUP(A302,Database!$A:$AS,MATCH($G$1,Database!$A$1:$AS$1,0),FALSE)</f>
        <v>98.942462806999998</v>
      </c>
      <c r="H302" s="85">
        <f>(((Table134567891011121314151617343[[#This Row],[ITA]]-VLOOKUP($U$1,A:B,2,))/VLOOKUP($U$1,A:B,2,))*100)+100</f>
        <v>80.838815789570404</v>
      </c>
      <c r="I302" s="85">
        <f>(((Table134567891011121314151617343[[#This Row],[FRA]]-VLOOKUP($U$1,A:C,3,))/VLOOKUP($U$1,A:C,3,))*100)+100</f>
        <v>97.092399258464255</v>
      </c>
      <c r="J302" s="85">
        <f>(((Table134567891011121314151617343[[#This Row],[DEU]]-VLOOKUP($U$1,A:D,4,))/VLOOKUP($U$1,A:D,4,))*100)+100</f>
        <v>131.38297872292324</v>
      </c>
      <c r="K302" s="85">
        <f>(((Table134567891011121314151617343[[#This Row],[ESP]]-VLOOKUP($U$1,A:E,5,))/VLOOKUP($U$1,A:E,5,))*100)+100</f>
        <v>81.364209464483025</v>
      </c>
      <c r="L302" s="85">
        <f>(((Table134567891011121314151617343[[#This Row],[EA19]]-VLOOKUP($U$1,A:F,6,))/VLOOKUP($U$1,A:F,6,))*100)+100</f>
        <v>109.39597315436241</v>
      </c>
      <c r="M302" s="85">
        <f>(((Table134567891011121314151617343[[#This Row],[GBR]]-VLOOKUP($U$1,A:G,7,))/VLOOKUP($U$1,A:G,7,))*100)+100</f>
        <v>107.35122520399688</v>
      </c>
      <c r="N302" s="85">
        <f>VLOOKUP(A302,Database!$A:$AS,MATCH($N$1,Database!$A$1:$AS$1,0),FALSE)</f>
        <v>101.941579889</v>
      </c>
      <c r="O302" s="85">
        <f>(((Table134567891011121314151617343[[#This Row],[USA]]-VLOOKUP($U$1,A:N,14,))/VLOOKUP($U$1,A:N,14,))*100)+100</f>
        <v>117.35845095064467</v>
      </c>
      <c r="P302" s="85">
        <f>VLOOKUP(A302,Database!$A:$AS,MATCH($P$1,Database!$A$1:$AS$1,0),FALSE)</f>
        <v>102.69144238</v>
      </c>
      <c r="Q302" s="85">
        <f>(((Table134567891011121314151617343[[#This Row],[JPN]]-VLOOKUP($U$1,A:Q,16,))/VLOOKUP($U$1,A:Q,16,))*100)+100</f>
        <v>103.10010110959193</v>
      </c>
    </row>
    <row r="303" spans="1:17" s="87" customFormat="1" x14ac:dyDescent="0.2">
      <c r="A303" s="22">
        <v>42036</v>
      </c>
      <c r="B303" s="85">
        <f>VLOOKUP(A303,Database!$A:$AS,MATCH($B$1,Database!$A$1:$AS$1,0),FALSE)</f>
        <v>99.091742354999994</v>
      </c>
      <c r="C303" s="85">
        <f>VLOOKUP(A303,Database!$A:$AS,MATCH($C$1,Database!$A$1:$AS$1,0),FALSE)</f>
        <v>100.09</v>
      </c>
      <c r="D303" s="85">
        <f>VLOOKUP(A303,Database!$A:$AS,MATCH($D$1,Database!$A$1:$AS$1,0),FALSE)</f>
        <v>99.391717357000005</v>
      </c>
      <c r="E303" s="85">
        <f>VLOOKUP(A303,Database!$A:$AS,MATCH($E$1,Database!$A$1:$AS$1,0),FALSE)</f>
        <v>98.314081927999993</v>
      </c>
      <c r="F303" s="85">
        <f>VLOOKUP(A303,Database!$A:$AS,MATCH($F$1,Database!$A$1:$AS$1,0),FALSE)</f>
        <v>100.3</v>
      </c>
      <c r="G303" s="85">
        <f>VLOOKUP(A303,Database!$A:$AS,MATCH($G$1,Database!$A$1:$AS$1,0),FALSE)</f>
        <v>100.66320129099999</v>
      </c>
      <c r="H303" s="85">
        <f>(((Table134567891011121314151617343[[#This Row],[ITA]]-VLOOKUP($U$1,A:B,2,))/VLOOKUP($U$1,A:B,2,))*100)+100</f>
        <v>81.496710526504486</v>
      </c>
      <c r="I303" s="85">
        <f>(((Table134567891011121314151617343[[#This Row],[FRA]]-VLOOKUP($U$1,A:C,3,))/VLOOKUP($U$1,A:C,3,))*100)+100</f>
        <v>97.65830812762222</v>
      </c>
      <c r="J303" s="85">
        <f>(((Table134567891011121314151617343[[#This Row],[DEU]]-VLOOKUP($U$1,A:D,4,))/VLOOKUP($U$1,A:D,4,))*100)+100</f>
        <v>132.18085106312242</v>
      </c>
      <c r="K303" s="85">
        <f>(((Table134567891011121314151617343[[#This Row],[ESP]]-VLOOKUP($U$1,A:E,5,))/VLOOKUP($U$1,A:E,5,))*100)+100</f>
        <v>82.637639740599482</v>
      </c>
      <c r="L303" s="85">
        <f>(((Table134567891011121314151617343[[#This Row],[EA19]]-VLOOKUP($U$1,A:F,6,))/VLOOKUP($U$1,A:F,6,))*100)+100</f>
        <v>112.19239373601789</v>
      </c>
      <c r="M303" s="85">
        <f>(((Table134567891011121314151617343[[#This Row],[GBR]]-VLOOKUP($U$1,A:G,7,))/VLOOKUP($U$1,A:G,7,))*100)+100</f>
        <v>109.2182030340656</v>
      </c>
      <c r="N303" s="85">
        <f>VLOOKUP(A303,Database!$A:$AS,MATCH($N$1,Database!$A$1:$AS$1,0),FALSE)</f>
        <v>101.32833202</v>
      </c>
      <c r="O303" s="85">
        <f>(((Table134567891011121314151617343[[#This Row],[USA]]-VLOOKUP($U$1,A:N,14,))/VLOOKUP($U$1,A:N,14,))*100)+100</f>
        <v>116.65246012694949</v>
      </c>
      <c r="P303" s="85">
        <f>VLOOKUP(A303,Database!$A:$AS,MATCH($P$1,Database!$A$1:$AS$1,0),FALSE)</f>
        <v>99.791684025999999</v>
      </c>
      <c r="Q303" s="85">
        <f>(((Table134567891011121314151617343[[#This Row],[JPN]]-VLOOKUP($U$1,A:Q,16,))/VLOOKUP($U$1,A:Q,16,))*100)+100</f>
        <v>100.18880321989543</v>
      </c>
    </row>
    <row r="304" spans="1:17" s="87" customFormat="1" x14ac:dyDescent="0.2">
      <c r="A304" s="22">
        <v>42064</v>
      </c>
      <c r="B304" s="85">
        <f>VLOOKUP(A304,Database!$A:$AS,MATCH($B$1,Database!$A$1:$AS$1,0),FALSE)</f>
        <v>99.391717357000005</v>
      </c>
      <c r="C304" s="85">
        <f>VLOOKUP(A304,Database!$A:$AS,MATCH($C$1,Database!$A$1:$AS$1,0),FALSE)</f>
        <v>99.89</v>
      </c>
      <c r="D304" s="85">
        <f>VLOOKUP(A304,Database!$A:$AS,MATCH($D$1,Database!$A$1:$AS$1,0),FALSE)</f>
        <v>99.391717357000005</v>
      </c>
      <c r="E304" s="85">
        <f>VLOOKUP(A304,Database!$A:$AS,MATCH($E$1,Database!$A$1:$AS$1,0),FALSE)</f>
        <v>98.852082377000002</v>
      </c>
      <c r="F304" s="85">
        <f>VLOOKUP(A304,Database!$A:$AS,MATCH($F$1,Database!$A$1:$AS$1,0),FALSE)</f>
        <v>100.4</v>
      </c>
      <c r="G304" s="85">
        <f>VLOOKUP(A304,Database!$A:$AS,MATCH($G$1,Database!$A$1:$AS$1,0),FALSE)</f>
        <v>101.63111668800001</v>
      </c>
      <c r="H304" s="85">
        <f>(((Table134567891011121314151617343[[#This Row],[ITA]]-VLOOKUP($U$1,A:B,2,))/VLOOKUP($U$1,A:B,2,))*100)+100</f>
        <v>81.743421052751984</v>
      </c>
      <c r="I304" s="85">
        <f>(((Table134567891011121314151617343[[#This Row],[FRA]]-VLOOKUP($U$1,A:C,3,))/VLOOKUP($U$1,A:C,3,))*100)+100</f>
        <v>97.46316713825739</v>
      </c>
      <c r="J304" s="85">
        <f>(((Table134567891011121314151617343[[#This Row],[DEU]]-VLOOKUP($U$1,A:D,4,))/VLOOKUP($U$1,A:D,4,))*100)+100</f>
        <v>132.18085106312242</v>
      </c>
      <c r="K304" s="85">
        <f>(((Table134567891011121314151617343[[#This Row],[ESP]]-VLOOKUP($U$1,A:E,5,))/VLOOKUP($U$1,A:E,5,))*100)+100</f>
        <v>83.089854585236935</v>
      </c>
      <c r="L304" s="85">
        <f>(((Table134567891011121314151617343[[#This Row],[EA19]]-VLOOKUP($U$1,A:F,6,))/VLOOKUP($U$1,A:F,6,))*100)+100</f>
        <v>112.30425055928411</v>
      </c>
      <c r="M304" s="85">
        <f>(((Table134567891011121314151617343[[#This Row],[GBR]]-VLOOKUP($U$1,A:G,7,))/VLOOKUP($U$1,A:G,7,))*100)+100</f>
        <v>110.26837806320802</v>
      </c>
      <c r="N304" s="85">
        <f>VLOOKUP(A304,Database!$A:$AS,MATCH($N$1,Database!$A$1:$AS$1,0),FALSE)</f>
        <v>100.996581476</v>
      </c>
      <c r="O304" s="85">
        <f>(((Table134567891011121314151617343[[#This Row],[USA]]-VLOOKUP($U$1,A:N,14,))/VLOOKUP($U$1,A:N,14,))*100)+100</f>
        <v>116.27053814782903</v>
      </c>
      <c r="P304" s="85">
        <f>VLOOKUP(A304,Database!$A:$AS,MATCH($P$1,Database!$A$1:$AS$1,0),FALSE)</f>
        <v>99.291725690000007</v>
      </c>
      <c r="Q304" s="85">
        <f>(((Table134567891011121314151617343[[#This Row],[JPN]]-VLOOKUP($U$1,A:Q,16,))/VLOOKUP($U$1,A:Q,16,))*100)+100</f>
        <v>99.686855308778931</v>
      </c>
    </row>
    <row r="305" spans="1:17" s="87" customFormat="1" x14ac:dyDescent="0.2">
      <c r="A305" s="22">
        <v>42095</v>
      </c>
      <c r="B305" s="85">
        <f>VLOOKUP(A305,Database!$A:$AS,MATCH($B$1,Database!$A$1:$AS$1,0),FALSE)</f>
        <v>99.691692359000001</v>
      </c>
      <c r="C305" s="85">
        <f>VLOOKUP(A305,Database!$A:$AS,MATCH($C$1,Database!$A$1:$AS$1,0),FALSE)</f>
        <v>99.4</v>
      </c>
      <c r="D305" s="85">
        <f>VLOOKUP(A305,Database!$A:$AS,MATCH($D$1,Database!$A$1:$AS$1,0),FALSE)</f>
        <v>99.991667360999998</v>
      </c>
      <c r="E305" s="85">
        <f>VLOOKUP(A305,Database!$A:$AS,MATCH($E$1,Database!$A$1:$AS$1,0),FALSE)</f>
        <v>99.730083108000002</v>
      </c>
      <c r="F305" s="85">
        <f>VLOOKUP(A305,Database!$A:$AS,MATCH($F$1,Database!$A$1:$AS$1,0),FALSE)</f>
        <v>99.9</v>
      </c>
      <c r="G305" s="85">
        <f>VLOOKUP(A305,Database!$A:$AS,MATCH($G$1,Database!$A$1:$AS$1,0),FALSE)</f>
        <v>100.878293601</v>
      </c>
      <c r="H305" s="85">
        <f>(((Table134567891011121314151617343[[#This Row],[ITA]]-VLOOKUP($U$1,A:B,2,))/VLOOKUP($U$1,A:B,2,))*100)+100</f>
        <v>81.990131578999453</v>
      </c>
      <c r="I305" s="85">
        <f>(((Table134567891011121314151617343[[#This Row],[FRA]]-VLOOKUP($U$1,A:C,3,))/VLOOKUP($U$1,A:C,3,))*100)+100</f>
        <v>96.985071714313605</v>
      </c>
      <c r="J305" s="85">
        <f>(((Table134567891011121314151617343[[#This Row],[DEU]]-VLOOKUP($U$1,A:D,4,))/VLOOKUP($U$1,A:D,4,))*100)+100</f>
        <v>132.97872340332157</v>
      </c>
      <c r="K305" s="85">
        <f>(((Table134567891011121314151617343[[#This Row],[ESP]]-VLOOKUP($U$1,A:E,5,))/VLOOKUP($U$1,A:E,5,))*100)+100</f>
        <v>83.827855761441754</v>
      </c>
      <c r="L305" s="85">
        <f>(((Table134567891011121314151617343[[#This Row],[EA19]]-VLOOKUP($U$1,A:F,6,))/VLOOKUP($U$1,A:F,6,))*100)+100</f>
        <v>111.74496644295301</v>
      </c>
      <c r="M305" s="85">
        <f>(((Table134567891011121314151617343[[#This Row],[GBR]]-VLOOKUP($U$1,A:G,7,))/VLOOKUP($U$1,A:G,7,))*100)+100</f>
        <v>109.45157526228169</v>
      </c>
      <c r="N305" s="85">
        <f>VLOOKUP(A305,Database!$A:$AS,MATCH($N$1,Database!$A$1:$AS$1,0),FALSE)</f>
        <v>100.39334460400001</v>
      </c>
      <c r="O305" s="85">
        <f>(((Table134567891011121314151617343[[#This Row],[USA]]-VLOOKUP($U$1,A:N,14,))/VLOOKUP($U$1,A:N,14,))*100)+100</f>
        <v>115.57607230836179</v>
      </c>
      <c r="P305" s="85">
        <f>VLOOKUP(A305,Database!$A:$AS,MATCH($P$1,Database!$A$1:$AS$1,0),FALSE)</f>
        <v>99.691692359000001</v>
      </c>
      <c r="Q305" s="85">
        <f>(((Table134567891011121314151617343[[#This Row],[JPN]]-VLOOKUP($U$1,A:Q,16,))/VLOOKUP($U$1,A:Q,16,))*100)+100</f>
        <v>100.08841363787293</v>
      </c>
    </row>
    <row r="306" spans="1:17" s="87" customFormat="1" x14ac:dyDescent="0.2">
      <c r="A306" s="22">
        <v>42125</v>
      </c>
      <c r="B306" s="85">
        <f>VLOOKUP(A306,Database!$A:$AS,MATCH($B$1,Database!$A$1:$AS$1,0),FALSE)</f>
        <v>100.49162569800001</v>
      </c>
      <c r="C306" s="85">
        <f>VLOOKUP(A306,Database!$A:$AS,MATCH($C$1,Database!$A$1:$AS$1,0),FALSE)</f>
        <v>100.21</v>
      </c>
      <c r="D306" s="85">
        <f>VLOOKUP(A306,Database!$A:$AS,MATCH($D$1,Database!$A$1:$AS$1,0),FALSE)</f>
        <v>100.091659028</v>
      </c>
      <c r="E306" s="85">
        <f>VLOOKUP(A306,Database!$A:$AS,MATCH($E$1,Database!$A$1:$AS$1,0),FALSE)</f>
        <v>100.906084088</v>
      </c>
      <c r="F306" s="85">
        <f>VLOOKUP(A306,Database!$A:$AS,MATCH($F$1,Database!$A$1:$AS$1,0),FALSE)</f>
        <v>100.2</v>
      </c>
      <c r="G306" s="85">
        <f>VLOOKUP(A306,Database!$A:$AS,MATCH($G$1,Database!$A$1:$AS$1,0),FALSE)</f>
        <v>100.23301667</v>
      </c>
      <c r="H306" s="85">
        <f>(((Table134567891011121314151617343[[#This Row],[ITA]]-VLOOKUP($U$1,A:B,2,))/VLOOKUP($U$1,A:B,2,))*100)+100</f>
        <v>82.648026315933549</v>
      </c>
      <c r="I306" s="85">
        <f>(((Table134567891011121314151617343[[#This Row],[FRA]]-VLOOKUP($U$1,A:C,3,))/VLOOKUP($U$1,A:C,3,))*100)+100</f>
        <v>97.77539272124109</v>
      </c>
      <c r="J306" s="85">
        <f>(((Table134567891011121314151617343[[#This Row],[DEU]]-VLOOKUP($U$1,A:D,4,))/VLOOKUP($U$1,A:D,4,))*100)+100</f>
        <v>133.11170212624478</v>
      </c>
      <c r="K306" s="85">
        <f>(((Table134567891011121314151617343[[#This Row],[ESP]]-VLOOKUP($U$1,A:E,5,))/VLOOKUP($U$1,A:E,5,))*100)+100</f>
        <v>84.816340253327695</v>
      </c>
      <c r="L306" s="85">
        <f>(((Table134567891011121314151617343[[#This Row],[EA19]]-VLOOKUP($U$1,A:F,6,))/VLOOKUP($U$1,A:F,6,))*100)+100</f>
        <v>112.08053691275167</v>
      </c>
      <c r="M306" s="85">
        <f>(((Table134567891011121314151617343[[#This Row],[GBR]]-VLOOKUP($U$1,A:G,7,))/VLOOKUP($U$1,A:G,7,))*100)+100</f>
        <v>108.75145857654842</v>
      </c>
      <c r="N306" s="85">
        <f>VLOOKUP(A306,Database!$A:$AS,MATCH($N$1,Database!$A$1:$AS$1,0),FALSE)</f>
        <v>99.952166930999994</v>
      </c>
      <c r="O306" s="85">
        <f>(((Table134567891011121314151617343[[#This Row],[USA]]-VLOOKUP($U$1,A:N,14,))/VLOOKUP($U$1,A:N,14,))*100)+100</f>
        <v>115.06817427152865</v>
      </c>
      <c r="P306" s="85">
        <f>VLOOKUP(A306,Database!$A:$AS,MATCH($P$1,Database!$A$1:$AS$1,0),FALSE)</f>
        <v>99.691692359000001</v>
      </c>
      <c r="Q306" s="85">
        <f>(((Table134567891011121314151617343[[#This Row],[JPN]]-VLOOKUP($U$1,A:Q,16,))/VLOOKUP($U$1,A:Q,16,))*100)+100</f>
        <v>100.08841363787293</v>
      </c>
    </row>
    <row r="307" spans="1:17" s="87" customFormat="1" x14ac:dyDescent="0.2">
      <c r="A307" s="22">
        <v>42156</v>
      </c>
      <c r="B307" s="85">
        <f>VLOOKUP(A307,Database!$A:$AS,MATCH($B$1,Database!$A$1:$AS$1,0),FALSE)</f>
        <v>99.991667360999998</v>
      </c>
      <c r="C307" s="85">
        <f>VLOOKUP(A307,Database!$A:$AS,MATCH($C$1,Database!$A$1:$AS$1,0),FALSE)</f>
        <v>100.22</v>
      </c>
      <c r="D307" s="85">
        <f>VLOOKUP(A307,Database!$A:$AS,MATCH($D$1,Database!$A$1:$AS$1,0),FALSE)</f>
        <v>100.091659028</v>
      </c>
      <c r="E307" s="85">
        <f>VLOOKUP(A307,Database!$A:$AS,MATCH($E$1,Database!$A$1:$AS$1,0),FALSE)</f>
        <v>101.285084404</v>
      </c>
      <c r="F307" s="85">
        <f>VLOOKUP(A307,Database!$A:$AS,MATCH($F$1,Database!$A$1:$AS$1,0),FALSE)</f>
        <v>100.5</v>
      </c>
      <c r="G307" s="85">
        <f>VLOOKUP(A307,Database!$A:$AS,MATCH($G$1,Database!$A$1:$AS$1,0),FALSE)</f>
        <v>100.34056282500001</v>
      </c>
      <c r="H307" s="85">
        <f>(((Table134567891011121314151617343[[#This Row],[ITA]]-VLOOKUP($U$1,A:B,2,))/VLOOKUP($U$1,A:B,2,))*100)+100</f>
        <v>82.236842105246922</v>
      </c>
      <c r="I307" s="85">
        <f>(((Table134567891011121314151617343[[#This Row],[FRA]]-VLOOKUP($U$1,A:C,3,))/VLOOKUP($U$1,A:C,3,))*100)+100</f>
        <v>97.785149770709339</v>
      </c>
      <c r="J307" s="85">
        <f>(((Table134567891011121314151617343[[#This Row],[DEU]]-VLOOKUP($U$1,A:D,4,))/VLOOKUP($U$1,A:D,4,))*100)+100</f>
        <v>133.11170212624478</v>
      </c>
      <c r="K307" s="85">
        <f>(((Table134567891011121314151617343[[#This Row],[ESP]]-VLOOKUP($U$1,A:E,5,))/VLOOKUP($U$1,A:E,5,))*100)+100</f>
        <v>85.134907959611297</v>
      </c>
      <c r="L307" s="85">
        <f>(((Table134567891011121314151617343[[#This Row],[EA19]]-VLOOKUP($U$1,A:F,6,))/VLOOKUP($U$1,A:F,6,))*100)+100</f>
        <v>112.41610738255034</v>
      </c>
      <c r="M307" s="85">
        <f>(((Table134567891011121314151617343[[#This Row],[GBR]]-VLOOKUP($U$1,A:G,7,))/VLOOKUP($U$1,A:G,7,))*100)+100</f>
        <v>108.86814469065648</v>
      </c>
      <c r="N307" s="85">
        <f>VLOOKUP(A307,Database!$A:$AS,MATCH($N$1,Database!$A$1:$AS$1,0),FALSE)</f>
        <v>99.620614623999998</v>
      </c>
      <c r="O307" s="85">
        <f>(((Table134567891011121314151617343[[#This Row],[USA]]-VLOOKUP($U$1,A:N,14,))/VLOOKUP($U$1,A:N,14,))*100)+100</f>
        <v>114.68648050926794</v>
      </c>
      <c r="P307" s="85">
        <f>VLOOKUP(A307,Database!$A:$AS,MATCH($P$1,Database!$A$1:$AS$1,0),FALSE)</f>
        <v>100.49162569800001</v>
      </c>
      <c r="Q307" s="85">
        <f>(((Table134567891011121314151617343[[#This Row],[JPN]]-VLOOKUP($U$1,A:Q,16,))/VLOOKUP($U$1,A:Q,16,))*100)+100</f>
        <v>100.89153029706493</v>
      </c>
    </row>
    <row r="308" spans="1:17" s="87" customFormat="1" x14ac:dyDescent="0.2">
      <c r="A308" s="22">
        <v>42186</v>
      </c>
      <c r="B308" s="85">
        <f>VLOOKUP(A308,Database!$A:$AS,MATCH($B$1,Database!$A$1:$AS$1,0),FALSE)</f>
        <v>100.991584035</v>
      </c>
      <c r="C308" s="85">
        <f>VLOOKUP(A308,Database!$A:$AS,MATCH($C$1,Database!$A$1:$AS$1,0),FALSE)</f>
        <v>99.11</v>
      </c>
      <c r="D308" s="85">
        <f>VLOOKUP(A308,Database!$A:$AS,MATCH($D$1,Database!$A$1:$AS$1,0),FALSE)</f>
        <v>101.49154237099999</v>
      </c>
      <c r="E308" s="85">
        <f>VLOOKUP(A308,Database!$A:$AS,MATCH($E$1,Database!$A$1:$AS$1,0),FALSE)</f>
        <v>102.31208526</v>
      </c>
      <c r="F308" s="85">
        <f>VLOOKUP(A308,Database!$A:$AS,MATCH($F$1,Database!$A$1:$AS$1,0),FALSE)</f>
        <v>101</v>
      </c>
      <c r="G308" s="85">
        <f>VLOOKUP(A308,Database!$A:$AS,MATCH($G$1,Database!$A$1:$AS$1,0),FALSE)</f>
        <v>99.802832049000003</v>
      </c>
      <c r="H308" s="85">
        <f>(((Table134567891011121314151617343[[#This Row],[ITA]]-VLOOKUP($U$1,A:B,2,))/VLOOKUP($U$1,A:B,2,))*100)+100</f>
        <v>83.059210526620149</v>
      </c>
      <c r="I308" s="85">
        <f>(((Table134567891011121314151617343[[#This Row],[FRA]]-VLOOKUP($U$1,A:C,3,))/VLOOKUP($U$1,A:C,3,))*100)+100</f>
        <v>96.702117279734608</v>
      </c>
      <c r="J308" s="85">
        <f>(((Table134567891011121314151617343[[#This Row],[DEU]]-VLOOKUP($U$1,A:D,4,))/VLOOKUP($U$1,A:D,4,))*100)+100</f>
        <v>134.97340425381947</v>
      </c>
      <c r="K308" s="85">
        <f>(((Table134567891011121314151617343[[#This Row],[ESP]]-VLOOKUP($U$1,A:E,5,))/VLOOKUP($U$1,A:E,5,))*100)+100</f>
        <v>85.998150794076949</v>
      </c>
      <c r="L308" s="85">
        <f>(((Table134567891011121314151617343[[#This Row],[EA19]]-VLOOKUP($U$1,A:F,6,))/VLOOKUP($U$1,A:F,6,))*100)+100</f>
        <v>112.97539149888142</v>
      </c>
      <c r="M308" s="85">
        <f>(((Table134567891011121314151617343[[#This Row],[GBR]]-VLOOKUP($U$1,A:G,7,))/VLOOKUP($U$1,A:G,7,))*100)+100</f>
        <v>108.28471411903124</v>
      </c>
      <c r="N308" s="85">
        <f>VLOOKUP(A308,Database!$A:$AS,MATCH($N$1,Database!$A$1:$AS$1,0),FALSE)</f>
        <v>100.291450502</v>
      </c>
      <c r="O308" s="85">
        <f>(((Table134567891011121314151617343[[#This Row],[USA]]-VLOOKUP($U$1,A:N,14,))/VLOOKUP($U$1,A:N,14,))*100)+100</f>
        <v>115.45876851549582</v>
      </c>
      <c r="P308" s="85">
        <f>VLOOKUP(A308,Database!$A:$AS,MATCH($P$1,Database!$A$1:$AS$1,0),FALSE)</f>
        <v>100.39163403000001</v>
      </c>
      <c r="Q308" s="85">
        <f>(((Table134567891011121314151617343[[#This Row],[JPN]]-VLOOKUP($U$1,A:Q,16,))/VLOOKUP($U$1,A:Q,16,))*100)+100</f>
        <v>100.79114071403845</v>
      </c>
    </row>
    <row r="309" spans="1:17" s="87" customFormat="1" x14ac:dyDescent="0.2">
      <c r="A309" s="22">
        <v>42217</v>
      </c>
      <c r="B309" s="85">
        <f>VLOOKUP(A309,Database!$A:$AS,MATCH($B$1,Database!$A$1:$AS$1,0),FALSE)</f>
        <v>98.791767352999997</v>
      </c>
      <c r="C309" s="85">
        <f>VLOOKUP(A309,Database!$A:$AS,MATCH($C$1,Database!$A$1:$AS$1,0),FALSE)</f>
        <v>99.81</v>
      </c>
      <c r="D309" s="85">
        <f>VLOOKUP(A309,Database!$A:$AS,MATCH($D$1,Database!$A$1:$AS$1,0),FALSE)</f>
        <v>98.791767352999997</v>
      </c>
      <c r="E309" s="85">
        <f>VLOOKUP(A309,Database!$A:$AS,MATCH($E$1,Database!$A$1:$AS$1,0),FALSE)</f>
        <v>99.42008285</v>
      </c>
      <c r="F309" s="85">
        <f>VLOOKUP(A309,Database!$A:$AS,MATCH($F$1,Database!$A$1:$AS$1,0),FALSE)</f>
        <v>99.7</v>
      </c>
      <c r="G309" s="85">
        <f>VLOOKUP(A309,Database!$A:$AS,MATCH($G$1,Database!$A$1:$AS$1,0),FALSE)</f>
        <v>100.34056282500001</v>
      </c>
      <c r="H309" s="85">
        <f>(((Table134567891011121314151617343[[#This Row],[ITA]]-VLOOKUP($U$1,A:B,2,))/VLOOKUP($U$1,A:B,2,))*100)+100</f>
        <v>81.250000000257018</v>
      </c>
      <c r="I309" s="85">
        <f>(((Table134567891011121314151617343[[#This Row],[FRA]]-VLOOKUP($U$1,A:C,3,))/VLOOKUP($U$1,A:C,3,))*100)+100</f>
        <v>97.385110742511472</v>
      </c>
      <c r="J309" s="85">
        <f>(((Table134567891011121314151617343[[#This Row],[DEU]]-VLOOKUP($U$1,A:D,4,))/VLOOKUP($U$1,A:D,4,))*100)+100</f>
        <v>131.38297872292324</v>
      </c>
      <c r="K309" s="85">
        <f>(((Table134567891011121314151617343[[#This Row],[ESP]]-VLOOKUP($U$1,A:E,5,))/VLOOKUP($U$1,A:E,5,))*100)+100</f>
        <v>83.567285870153356</v>
      </c>
      <c r="L309" s="85">
        <f>(((Table134567891011121314151617343[[#This Row],[EA19]]-VLOOKUP($U$1,A:F,6,))/VLOOKUP($U$1,A:F,6,))*100)+100</f>
        <v>111.52125279642058</v>
      </c>
      <c r="M309" s="85">
        <f>(((Table134567891011121314151617343[[#This Row],[GBR]]-VLOOKUP($U$1,A:G,7,))/VLOOKUP($U$1,A:G,7,))*100)+100</f>
        <v>108.86814469065648</v>
      </c>
      <c r="N309" s="85">
        <f>VLOOKUP(A309,Database!$A:$AS,MATCH($N$1,Database!$A$1:$AS$1,0),FALSE)</f>
        <v>100.022243905</v>
      </c>
      <c r="O309" s="85">
        <f>(((Table134567891011121314151617343[[#This Row],[USA]]-VLOOKUP($U$1,A:N,14,))/VLOOKUP($U$1,A:N,14,))*100)+100</f>
        <v>115.14884915536803</v>
      </c>
      <c r="P309" s="85">
        <f>VLOOKUP(A309,Database!$A:$AS,MATCH($P$1,Database!$A$1:$AS$1,0),FALSE)</f>
        <v>98.791767352999997</v>
      </c>
      <c r="Q309" s="85">
        <f>(((Table134567891011121314151617343[[#This Row],[JPN]]-VLOOKUP($U$1,A:Q,16,))/VLOOKUP($U$1,A:Q,16,))*100)+100</f>
        <v>99.184907396658417</v>
      </c>
    </row>
    <row r="310" spans="1:17" s="87" customFormat="1" x14ac:dyDescent="0.2">
      <c r="A310" s="22">
        <v>42248</v>
      </c>
      <c r="B310" s="85">
        <f>VLOOKUP(A310,Database!$A:$AS,MATCH($B$1,Database!$A$1:$AS$1,0),FALSE)</f>
        <v>99.791684025999999</v>
      </c>
      <c r="C310" s="85">
        <f>VLOOKUP(A310,Database!$A:$AS,MATCH($C$1,Database!$A$1:$AS$1,0),FALSE)</f>
        <v>101.2</v>
      </c>
      <c r="D310" s="85">
        <f>VLOOKUP(A310,Database!$A:$AS,MATCH($D$1,Database!$A$1:$AS$1,0),FALSE)</f>
        <v>99.191734022000006</v>
      </c>
      <c r="E310" s="85">
        <f>VLOOKUP(A310,Database!$A:$AS,MATCH($E$1,Database!$A$1:$AS$1,0),FALSE)</f>
        <v>101.23808436500001</v>
      </c>
      <c r="F310" s="85">
        <f>VLOOKUP(A310,Database!$A:$AS,MATCH($F$1,Database!$A$1:$AS$1,0),FALSE)</f>
        <v>100.2</v>
      </c>
      <c r="G310" s="85">
        <f>VLOOKUP(A310,Database!$A:$AS,MATCH($G$1,Database!$A$1:$AS$1,0),FALSE)</f>
        <v>99.695285893999994</v>
      </c>
      <c r="H310" s="85">
        <f>(((Table134567891011121314151617343[[#This Row],[ITA]]-VLOOKUP($U$1,A:B,2,))/VLOOKUP($U$1,A:B,2,))*100)+100</f>
        <v>82.072368420807805</v>
      </c>
      <c r="I310" s="85">
        <f>(((Table134567891011121314151617343[[#This Row],[FRA]]-VLOOKUP($U$1,A:C,3,))/VLOOKUP($U$1,A:C,3,))*100)+100</f>
        <v>98.741340618596951</v>
      </c>
      <c r="J310" s="85">
        <f>(((Table134567891011121314151617343[[#This Row],[DEU]]-VLOOKUP($U$1,A:D,4,))/VLOOKUP($U$1,A:D,4,))*100)+100</f>
        <v>131.91489361594606</v>
      </c>
      <c r="K310" s="85">
        <f>(((Table134567891011121314151617343[[#This Row],[ESP]]-VLOOKUP($U$1,A:E,5,))/VLOOKUP($U$1,A:E,5,))*100)+100</f>
        <v>85.095402201997445</v>
      </c>
      <c r="L310" s="85">
        <f>(((Table134567891011121314151617343[[#This Row],[EA19]]-VLOOKUP($U$1,A:F,6,))/VLOOKUP($U$1,A:F,6,))*100)+100</f>
        <v>112.08053691275167</v>
      </c>
      <c r="M310" s="85">
        <f>(((Table134567891011121314151617343[[#This Row],[GBR]]-VLOOKUP($U$1,A:G,7,))/VLOOKUP($U$1,A:G,7,))*100)+100</f>
        <v>108.16802800492319</v>
      </c>
      <c r="N310" s="85">
        <f>VLOOKUP(A310,Database!$A:$AS,MATCH($N$1,Database!$A$1:$AS$1,0),FALSE)</f>
        <v>99.681770908999994</v>
      </c>
      <c r="O310" s="85">
        <f>(((Table134567891011121314151617343[[#This Row],[USA]]-VLOOKUP($U$1,A:N,14,))/VLOOKUP($U$1,A:N,14,))*100)+100</f>
        <v>114.75688560678861</v>
      </c>
      <c r="P310" s="85">
        <f>VLOOKUP(A310,Database!$A:$AS,MATCH($P$1,Database!$A$1:$AS$1,0),FALSE)</f>
        <v>100.49162569800001</v>
      </c>
      <c r="Q310" s="85">
        <f>(((Table134567891011121314151617343[[#This Row],[JPN]]-VLOOKUP($U$1,A:Q,16,))/VLOOKUP($U$1,A:Q,16,))*100)+100</f>
        <v>100.89153029706493</v>
      </c>
    </row>
    <row r="311" spans="1:17" s="87" customFormat="1" x14ac:dyDescent="0.2">
      <c r="A311" s="22">
        <v>42278</v>
      </c>
      <c r="B311" s="85">
        <f>VLOOKUP(A311,Database!$A:$AS,MATCH($B$1,Database!$A$1:$AS$1,0),FALSE)</f>
        <v>99.891675694</v>
      </c>
      <c r="C311" s="85">
        <f>VLOOKUP(A311,Database!$A:$AS,MATCH($C$1,Database!$A$1:$AS$1,0),FALSE)</f>
        <v>101.52</v>
      </c>
      <c r="D311" s="85">
        <f>VLOOKUP(A311,Database!$A:$AS,MATCH($D$1,Database!$A$1:$AS$1,0),FALSE)</f>
        <v>100.191650696</v>
      </c>
      <c r="E311" s="85">
        <f>VLOOKUP(A311,Database!$A:$AS,MATCH($E$1,Database!$A$1:$AS$1,0),FALSE)</f>
        <v>100.82408402</v>
      </c>
      <c r="F311" s="85">
        <f>VLOOKUP(A311,Database!$A:$AS,MATCH($F$1,Database!$A$1:$AS$1,0),FALSE)</f>
        <v>100.3</v>
      </c>
      <c r="G311" s="85">
        <f>VLOOKUP(A311,Database!$A:$AS,MATCH($G$1,Database!$A$1:$AS$1,0),FALSE)</f>
        <v>99.910378203999997</v>
      </c>
      <c r="H311" s="85">
        <f>(((Table134567891011121314151617343[[#This Row],[ITA]]-VLOOKUP($U$1,A:B,2,))/VLOOKUP($U$1,A:B,2,))*100)+100</f>
        <v>82.154605263438583</v>
      </c>
      <c r="I311" s="85">
        <f>(((Table134567891011121314151617343[[#This Row],[FRA]]-VLOOKUP($U$1,A:C,3,))/VLOOKUP($U$1,A:C,3,))*100)+100</f>
        <v>99.053566201580637</v>
      </c>
      <c r="J311" s="85">
        <f>(((Table134567891011121314151617343[[#This Row],[DEU]]-VLOOKUP($U$1,A:D,4,))/VLOOKUP($U$1,A:D,4,))*100)+100</f>
        <v>133.24468085049793</v>
      </c>
      <c r="K311" s="85">
        <f>(((Table134567891011121314151617343[[#This Row],[ESP]]-VLOOKUP($U$1,A:E,5,))/VLOOKUP($U$1,A:E,5,))*100)+100</f>
        <v>84.747415314547794</v>
      </c>
      <c r="L311" s="85">
        <f>(((Table134567891011121314151617343[[#This Row],[EA19]]-VLOOKUP($U$1,A:F,6,))/VLOOKUP($U$1,A:F,6,))*100)+100</f>
        <v>112.19239373601789</v>
      </c>
      <c r="M311" s="85">
        <f>(((Table134567891011121314151617343[[#This Row],[GBR]]-VLOOKUP($U$1,A:G,7,))/VLOOKUP($U$1,A:G,7,))*100)+100</f>
        <v>108.40140023313928</v>
      </c>
      <c r="N311" s="85">
        <f>VLOOKUP(A311,Database!$A:$AS,MATCH($N$1,Database!$A$1:$AS$1,0),FALSE)</f>
        <v>99.276176875999994</v>
      </c>
      <c r="O311" s="85">
        <f>(((Table134567891011121314151617343[[#This Row],[USA]]-VLOOKUP($U$1,A:N,14,))/VLOOKUP($U$1,A:N,14,))*100)+100</f>
        <v>114.28995260967855</v>
      </c>
      <c r="P311" s="85">
        <f>VLOOKUP(A311,Database!$A:$AS,MATCH($P$1,Database!$A$1:$AS$1,0),FALSE)</f>
        <v>100.591617365</v>
      </c>
      <c r="Q311" s="85">
        <f>(((Table134567891011121314151617343[[#This Row],[JPN]]-VLOOKUP($U$1,A:Q,16,))/VLOOKUP($U$1,A:Q,16,))*100)+100</f>
        <v>100.99191987908745</v>
      </c>
    </row>
    <row r="312" spans="1:17" s="87" customFormat="1" x14ac:dyDescent="0.2">
      <c r="A312" s="22">
        <v>42309</v>
      </c>
      <c r="B312" s="85">
        <f>VLOOKUP(A312,Database!$A:$AS,MATCH($B$1,Database!$A$1:$AS$1,0),FALSE)</f>
        <v>100.591617365</v>
      </c>
      <c r="C312" s="85">
        <f>VLOOKUP(A312,Database!$A:$AS,MATCH($C$1,Database!$A$1:$AS$1,0),FALSE)</f>
        <v>99.3</v>
      </c>
      <c r="D312" s="85">
        <f>VLOOKUP(A312,Database!$A:$AS,MATCH($D$1,Database!$A$1:$AS$1,0),FALSE)</f>
        <v>99.191734022000006</v>
      </c>
      <c r="E312" s="85">
        <f>VLOOKUP(A312,Database!$A:$AS,MATCH($E$1,Database!$A$1:$AS$1,0),FALSE)</f>
        <v>100.15208346</v>
      </c>
      <c r="F312" s="85">
        <f>VLOOKUP(A312,Database!$A:$AS,MATCH($F$1,Database!$A$1:$AS$1,0),FALSE)</f>
        <v>99.8</v>
      </c>
      <c r="G312" s="85">
        <f>VLOOKUP(A312,Database!$A:$AS,MATCH($G$1,Database!$A$1:$AS$1,0),FALSE)</f>
        <v>98.727370496999995</v>
      </c>
      <c r="H312" s="85">
        <f>(((Table134567891011121314151617343[[#This Row],[ITA]]-VLOOKUP($U$1,A:B,2,))/VLOOKUP($U$1,A:B,2,))*100)+100</f>
        <v>82.730263157741888</v>
      </c>
      <c r="I312" s="85">
        <f>(((Table134567891011121314151617343[[#This Row],[FRA]]-VLOOKUP($U$1,A:C,3,))/VLOOKUP($U$1,A:C,3,))*100)+100</f>
        <v>96.88750121963119</v>
      </c>
      <c r="J312" s="85">
        <f>(((Table134567891011121314151617343[[#This Row],[DEU]]-VLOOKUP($U$1,A:D,4,))/VLOOKUP($U$1,A:D,4,))*100)+100</f>
        <v>131.91489361594606</v>
      </c>
      <c r="K312" s="85">
        <f>(((Table134567891011121314151617343[[#This Row],[ESP]]-VLOOKUP($U$1,A:E,5,))/VLOOKUP($U$1,A:E,5,))*100)+100</f>
        <v>84.182567033470121</v>
      </c>
      <c r="L312" s="85">
        <f>(((Table134567891011121314151617343[[#This Row],[EA19]]-VLOOKUP($U$1,A:F,6,))/VLOOKUP($U$1,A:F,6,))*100)+100</f>
        <v>111.63310961968679</v>
      </c>
      <c r="M312" s="85">
        <f>(((Table134567891011121314151617343[[#This Row],[GBR]]-VLOOKUP($U$1,A:G,7,))/VLOOKUP($U$1,A:G,7,))*100)+100</f>
        <v>107.11785297578078</v>
      </c>
      <c r="N312" s="85">
        <f>VLOOKUP(A312,Database!$A:$AS,MATCH($N$1,Database!$A$1:$AS$1,0),FALSE)</f>
        <v>98.533876360999997</v>
      </c>
      <c r="O312" s="85">
        <f>(((Table134567891011121314151617343[[#This Row],[USA]]-VLOOKUP($U$1,A:N,14,))/VLOOKUP($U$1,A:N,14,))*100)+100</f>
        <v>113.43539219698806</v>
      </c>
      <c r="P312" s="85">
        <f>VLOOKUP(A312,Database!$A:$AS,MATCH($P$1,Database!$A$1:$AS$1,0),FALSE)</f>
        <v>99.991667360999998</v>
      </c>
      <c r="Q312" s="85">
        <f>(((Table134567891011121314151617343[[#This Row],[JPN]]-VLOOKUP($U$1,A:Q,16,))/VLOOKUP($U$1,A:Q,16,))*100)+100</f>
        <v>100.38958238494443</v>
      </c>
    </row>
    <row r="313" spans="1:17" s="87" customFormat="1" x14ac:dyDescent="0.2">
      <c r="A313" s="22">
        <v>42339</v>
      </c>
      <c r="B313" s="85">
        <f>VLOOKUP(A313,Database!$A:$AS,MATCH($B$1,Database!$A$1:$AS$1,0),FALSE)</f>
        <v>98.691775684999996</v>
      </c>
      <c r="C313" s="85">
        <f>VLOOKUP(A313,Database!$A:$AS,MATCH($C$1,Database!$A$1:$AS$1,0),FALSE)</f>
        <v>99.75</v>
      </c>
      <c r="D313" s="85">
        <f>VLOOKUP(A313,Database!$A:$AS,MATCH($D$1,Database!$A$1:$AS$1,0),FALSE)</f>
        <v>99.991667360999998</v>
      </c>
      <c r="E313" s="85">
        <f>VLOOKUP(A313,Database!$A:$AS,MATCH($E$1,Database!$A$1:$AS$1,0),FALSE)</f>
        <v>100.16708347300001</v>
      </c>
      <c r="F313" s="85">
        <f>VLOOKUP(A313,Database!$A:$AS,MATCH($F$1,Database!$A$1:$AS$1,0),FALSE)</f>
        <v>100</v>
      </c>
      <c r="G313" s="85">
        <f>VLOOKUP(A313,Database!$A:$AS,MATCH($G$1,Database!$A$1:$AS$1,0),FALSE)</f>
        <v>98.834916652000004</v>
      </c>
      <c r="H313" s="85">
        <f>(((Table134567891011121314151617343[[#This Row],[ITA]]-VLOOKUP($U$1,A:B,2,))/VLOOKUP($U$1,A:B,2,))*100)+100</f>
        <v>81.167763157626226</v>
      </c>
      <c r="I313" s="85">
        <f>(((Table134567891011121314151617343[[#This Row],[FRA]]-VLOOKUP($U$1,A:C,3,))/VLOOKUP($U$1,A:C,3,))*100)+100</f>
        <v>97.326568445702023</v>
      </c>
      <c r="J313" s="85">
        <f>(((Table134567891011121314151617343[[#This Row],[DEU]]-VLOOKUP($U$1,A:D,4,))/VLOOKUP($U$1,A:D,4,))*100)+100</f>
        <v>132.97872340332157</v>
      </c>
      <c r="K313" s="85">
        <f>(((Table134567891011121314151617343[[#This Row],[ESP]]-VLOOKUP($U$1,A:E,5,))/VLOOKUP($U$1,A:E,5,))*100)+100</f>
        <v>84.195175254450163</v>
      </c>
      <c r="L313" s="85">
        <f>(((Table134567891011121314151617343[[#This Row],[EA19]]-VLOOKUP($U$1,A:F,6,))/VLOOKUP($U$1,A:F,6,))*100)+100</f>
        <v>111.85682326621924</v>
      </c>
      <c r="M313" s="85">
        <f>(((Table134567891011121314151617343[[#This Row],[GBR]]-VLOOKUP($U$1,A:G,7,))/VLOOKUP($U$1,A:G,7,))*100)+100</f>
        <v>107.23453908988883</v>
      </c>
      <c r="N313" s="85">
        <f>VLOOKUP(A313,Database!$A:$AS,MATCH($N$1,Database!$A$1:$AS$1,0),FALSE)</f>
        <v>97.961961021999997</v>
      </c>
      <c r="O313" s="85">
        <f>(((Table134567891011121314151617343[[#This Row],[USA]]-VLOOKUP($U$1,A:N,14,))/VLOOKUP($U$1,A:N,14,))*100)+100</f>
        <v>112.7769847215199</v>
      </c>
      <c r="P313" s="85">
        <f>VLOOKUP(A313,Database!$A:$AS,MATCH($P$1,Database!$A$1:$AS$1,0),FALSE)</f>
        <v>98.091825681000003</v>
      </c>
      <c r="Q313" s="85">
        <f>(((Table134567891011121314151617343[[#This Row],[JPN]]-VLOOKUP($U$1,A:Q,16,))/VLOOKUP($U$1,A:Q,16,))*100)+100</f>
        <v>98.482180319488933</v>
      </c>
    </row>
    <row r="314" spans="1:17" s="87" customFormat="1" x14ac:dyDescent="0.2">
      <c r="A314" s="22">
        <v>42370</v>
      </c>
      <c r="B314" s="85">
        <f>VLOOKUP(A314,Database!$A:$AS,MATCH($B$1,Database!$A$1:$AS$1,0),FALSE)</f>
        <v>101.69152570599999</v>
      </c>
      <c r="C314" s="85">
        <f>VLOOKUP(A314,Database!$A:$AS,MATCH($C$1,Database!$A$1:$AS$1,0),FALSE)</f>
        <v>101.59</v>
      </c>
      <c r="D314" s="85">
        <f>VLOOKUP(A314,Database!$A:$AS,MATCH($D$1,Database!$A$1:$AS$1,0),FALSE)</f>
        <v>101.89150904100001</v>
      </c>
      <c r="E314" s="85">
        <f>VLOOKUP(A314,Database!$A:$AS,MATCH($E$1,Database!$A$1:$AS$1,0),FALSE)</f>
        <v>102.064085053</v>
      </c>
      <c r="F314" s="85">
        <f>VLOOKUP(A314,Database!$A:$AS,MATCH($F$1,Database!$A$1:$AS$1,0),FALSE)</f>
        <v>102.9</v>
      </c>
      <c r="G314" s="85">
        <f>VLOOKUP(A314,Database!$A:$AS,MATCH($G$1,Database!$A$1:$AS$1,0),FALSE)</f>
        <v>101.52357053199999</v>
      </c>
      <c r="H314" s="85">
        <f>(((Table134567891011121314151617343[[#This Row],[ITA]]-VLOOKUP($U$1,A:B,2,))/VLOOKUP($U$1,A:B,2,))*100)+100</f>
        <v>83.634868420923453</v>
      </c>
      <c r="I314" s="85">
        <f>(((Table134567891011121314151617343[[#This Row],[FRA]]-VLOOKUP($U$1,A:C,3,))/VLOOKUP($U$1,A:C,3,))*100)+100</f>
        <v>99.121865547858334</v>
      </c>
      <c r="J314" s="85">
        <f>(((Table134567891011121314151617343[[#This Row],[DEU]]-VLOOKUP($U$1,A:D,4,))/VLOOKUP($U$1,A:D,4,))*100)+100</f>
        <v>135.50531914817219</v>
      </c>
      <c r="K314" s="85">
        <f>(((Table134567891011121314151617343[[#This Row],[ESP]]-VLOOKUP($U$1,A:E,5,))/VLOOKUP($U$1,A:E,5,))*100)+100</f>
        <v>85.789694880541902</v>
      </c>
      <c r="L314" s="85">
        <f>(((Table134567891011121314151617343[[#This Row],[EA19]]-VLOOKUP($U$1,A:F,6,))/VLOOKUP($U$1,A:F,6,))*100)+100</f>
        <v>115.1006711409396</v>
      </c>
      <c r="M314" s="85">
        <f>(((Table134567891011121314151617343[[#This Row],[GBR]]-VLOOKUP($U$1,A:G,7,))/VLOOKUP($U$1,A:G,7,))*100)+100</f>
        <v>110.15169194801497</v>
      </c>
      <c r="N314" s="85">
        <f>VLOOKUP(A314,Database!$A:$AS,MATCH($N$1,Database!$A$1:$AS$1,0),FALSE)</f>
        <v>98.603061267000001</v>
      </c>
      <c r="O314" s="85">
        <f>(((Table134567891011121314151617343[[#This Row],[USA]]-VLOOKUP($U$1,A:N,14,))/VLOOKUP($U$1,A:N,14,))*100)+100</f>
        <v>113.51504010323168</v>
      </c>
      <c r="P314" s="85">
        <f>VLOOKUP(A314,Database!$A:$AS,MATCH($P$1,Database!$A$1:$AS$1,0),FALSE)</f>
        <v>100.29164236299999</v>
      </c>
      <c r="Q314" s="85">
        <f>(((Table134567891011121314151617343[[#This Row],[JPN]]-VLOOKUP($U$1,A:Q,16,))/VLOOKUP($U$1,A:Q,16,))*100)+100</f>
        <v>100.69075113201593</v>
      </c>
    </row>
    <row r="315" spans="1:17" s="87" customFormat="1" x14ac:dyDescent="0.2">
      <c r="A315" s="22">
        <v>42401</v>
      </c>
      <c r="B315" s="85">
        <f>VLOOKUP(A315,Database!$A:$AS,MATCH($B$1,Database!$A$1:$AS$1,0),FALSE)</f>
        <v>100.39163403000001</v>
      </c>
      <c r="C315" s="85">
        <f>VLOOKUP(A315,Database!$A:$AS,MATCH($C$1,Database!$A$1:$AS$1,0),FALSE)</f>
        <v>100.64</v>
      </c>
      <c r="D315" s="85">
        <f>VLOOKUP(A315,Database!$A:$AS,MATCH($D$1,Database!$A$1:$AS$1,0),FALSE)</f>
        <v>101.79151737399999</v>
      </c>
      <c r="E315" s="85">
        <f>VLOOKUP(A315,Database!$A:$AS,MATCH($E$1,Database!$A$1:$AS$1,0),FALSE)</f>
        <v>100.563083803</v>
      </c>
      <c r="F315" s="85">
        <f>VLOOKUP(A315,Database!$A:$AS,MATCH($F$1,Database!$A$1:$AS$1,0),FALSE)</f>
        <v>100.9</v>
      </c>
      <c r="G315" s="85">
        <f>VLOOKUP(A315,Database!$A:$AS,MATCH($G$1,Database!$A$1:$AS$1,0),FALSE)</f>
        <v>101.953755153</v>
      </c>
      <c r="H315" s="85">
        <f>(((Table134567891011121314151617343[[#This Row],[ITA]]-VLOOKUP($U$1,A:B,2,))/VLOOKUP($U$1,A:B,2,))*100)+100</f>
        <v>82.565789473302758</v>
      </c>
      <c r="I315" s="85">
        <f>(((Table134567891011121314151617343[[#This Row],[FRA]]-VLOOKUP($U$1,A:C,3,))/VLOOKUP($U$1,A:C,3,))*100)+100</f>
        <v>98.194945848375454</v>
      </c>
      <c r="J315" s="85">
        <f>(((Table134567891011121314151617343[[#This Row],[DEU]]-VLOOKUP($U$1,A:D,4,))/VLOOKUP($U$1,A:D,4,))*100)+100</f>
        <v>135.37234042524895</v>
      </c>
      <c r="K315" s="85">
        <f>(((Table134567891011121314151617343[[#This Row],[ESP]]-VLOOKUP($U$1,A:E,5,))/VLOOKUP($U$1,A:E,5,))*100)+100</f>
        <v>84.528032277228078</v>
      </c>
      <c r="L315" s="85">
        <f>(((Table134567891011121314151617343[[#This Row],[EA19]]-VLOOKUP($U$1,A:F,6,))/VLOOKUP($U$1,A:F,6,))*100)+100</f>
        <v>112.86353467561521</v>
      </c>
      <c r="M315" s="85">
        <f>(((Table134567891011121314151617343[[#This Row],[GBR]]-VLOOKUP($U$1,A:G,7,))/VLOOKUP($U$1,A:G,7,))*100)+100</f>
        <v>110.61843640553217</v>
      </c>
      <c r="N315" s="85">
        <f>VLOOKUP(A315,Database!$A:$AS,MATCH($N$1,Database!$A$1:$AS$1,0),FALSE)</f>
        <v>98.086255967</v>
      </c>
      <c r="O315" s="85">
        <f>(((Table134567891011121314151617343[[#This Row],[USA]]-VLOOKUP($U$1,A:N,14,))/VLOOKUP($U$1,A:N,14,))*100)+100</f>
        <v>112.92007709091499</v>
      </c>
      <c r="P315" s="85">
        <f>VLOOKUP(A315,Database!$A:$AS,MATCH($P$1,Database!$A$1:$AS$1,0),FALSE)</f>
        <v>99.491709024000002</v>
      </c>
      <c r="Q315" s="85">
        <f>(((Table134567891011121314151617343[[#This Row],[JPN]]-VLOOKUP($U$1,A:Q,16,))/VLOOKUP($U$1,A:Q,16,))*100)+100</f>
        <v>99.887634472823933</v>
      </c>
    </row>
    <row r="316" spans="1:17" s="87" customFormat="1" x14ac:dyDescent="0.2">
      <c r="A316" s="22">
        <v>42430</v>
      </c>
      <c r="B316" s="85">
        <f>VLOOKUP(A316,Database!$A:$AS,MATCH($B$1,Database!$A$1:$AS$1,0),FALSE)</f>
        <v>100.49162569800001</v>
      </c>
      <c r="C316" s="85">
        <f>VLOOKUP(A316,Database!$A:$AS,MATCH($C$1,Database!$A$1:$AS$1,0),FALSE)</f>
        <v>100.2</v>
      </c>
      <c r="D316" s="85">
        <f>VLOOKUP(A316,Database!$A:$AS,MATCH($D$1,Database!$A$1:$AS$1,0),FALSE)</f>
        <v>100.49162569800001</v>
      </c>
      <c r="E316" s="85">
        <f>VLOOKUP(A316,Database!$A:$AS,MATCH($E$1,Database!$A$1:$AS$1,0),FALSE)</f>
        <v>102.22008518299999</v>
      </c>
      <c r="F316" s="85">
        <f>VLOOKUP(A316,Database!$A:$AS,MATCH($F$1,Database!$A$1:$AS$1,0),FALSE)</f>
        <v>100.3</v>
      </c>
      <c r="G316" s="85">
        <f>VLOOKUP(A316,Database!$A:$AS,MATCH($G$1,Database!$A$1:$AS$1,0),FALSE)</f>
        <v>101.63111668800001</v>
      </c>
      <c r="H316" s="85">
        <f>(((Table134567891011121314151617343[[#This Row],[ITA]]-VLOOKUP($U$1,A:B,2,))/VLOOKUP($U$1,A:B,2,))*100)+100</f>
        <v>82.648026315933549</v>
      </c>
      <c r="I316" s="85">
        <f>(((Table134567891011121314151617343[[#This Row],[FRA]]-VLOOKUP($U$1,A:C,3,))/VLOOKUP($U$1,A:C,3,))*100)+100</f>
        <v>97.76563567177287</v>
      </c>
      <c r="J316" s="85">
        <f>(((Table134567891011121314151617343[[#This Row],[DEU]]-VLOOKUP($U$1,A:D,4,))/VLOOKUP($U$1,A:D,4,))*100)+100</f>
        <v>133.6436170205975</v>
      </c>
      <c r="K316" s="85">
        <f>(((Table134567891011121314151617343[[#This Row],[ESP]]-VLOOKUP($U$1,A:E,5,))/VLOOKUP($U$1,A:E,5,))*100)+100</f>
        <v>85.920820374363501</v>
      </c>
      <c r="L316" s="85">
        <f>(((Table134567891011121314151617343[[#This Row],[EA19]]-VLOOKUP($U$1,A:F,6,))/VLOOKUP($U$1,A:F,6,))*100)+100</f>
        <v>112.19239373601789</v>
      </c>
      <c r="M316" s="85">
        <f>(((Table134567891011121314151617343[[#This Row],[GBR]]-VLOOKUP($U$1,A:G,7,))/VLOOKUP($U$1,A:G,7,))*100)+100</f>
        <v>110.26837806320802</v>
      </c>
      <c r="N316" s="85">
        <f>VLOOKUP(A316,Database!$A:$AS,MATCH($N$1,Database!$A$1:$AS$1,0),FALSE)</f>
        <v>97.330078822999994</v>
      </c>
      <c r="O316" s="85">
        <f>(((Table134567891011121314151617343[[#This Row],[USA]]-VLOOKUP($U$1,A:N,14,))/VLOOKUP($U$1,A:N,14,))*100)+100</f>
        <v>112.04954145314331</v>
      </c>
      <c r="P316" s="85">
        <f>VLOOKUP(A316,Database!$A:$AS,MATCH($P$1,Database!$A$1:$AS$1,0),FALSE)</f>
        <v>99.891675694</v>
      </c>
      <c r="Q316" s="85">
        <f>(((Table134567891011121314151617343[[#This Row],[JPN]]-VLOOKUP($U$1,A:Q,16,))/VLOOKUP($U$1,A:Q,16,))*100)+100</f>
        <v>100.28919280292192</v>
      </c>
    </row>
    <row r="317" spans="1:17" s="87" customFormat="1" x14ac:dyDescent="0.2">
      <c r="A317" s="22">
        <v>42461</v>
      </c>
      <c r="B317" s="85">
        <f>VLOOKUP(A317,Database!$A:$AS,MATCH($B$1,Database!$A$1:$AS$1,0),FALSE)</f>
        <v>102.09149237600001</v>
      </c>
      <c r="C317" s="85">
        <f>VLOOKUP(A317,Database!$A:$AS,MATCH($C$1,Database!$A$1:$AS$1,0),FALSE)</f>
        <v>101.21</v>
      </c>
      <c r="D317" s="85">
        <f>VLOOKUP(A317,Database!$A:$AS,MATCH($D$1,Database!$A$1:$AS$1,0),FALSE)</f>
        <v>101.291559037</v>
      </c>
      <c r="E317" s="85">
        <f>VLOOKUP(A317,Database!$A:$AS,MATCH($E$1,Database!$A$1:$AS$1,0),FALSE)</f>
        <v>102.902085752</v>
      </c>
      <c r="F317" s="85">
        <f>VLOOKUP(A317,Database!$A:$AS,MATCH($F$1,Database!$A$1:$AS$1,0),FALSE)</f>
        <v>101.6</v>
      </c>
      <c r="G317" s="85">
        <f>VLOOKUP(A317,Database!$A:$AS,MATCH($G$1,Database!$A$1:$AS$1,0),FALSE)</f>
        <v>103.674493637</v>
      </c>
      <c r="H317" s="85">
        <f>(((Table134567891011121314151617343[[#This Row],[ITA]]-VLOOKUP($U$1,A:B,2,))/VLOOKUP($U$1,A:B,2,))*100)+100</f>
        <v>83.963815789801714</v>
      </c>
      <c r="I317" s="85">
        <f>(((Table134567891011121314151617343[[#This Row],[FRA]]-VLOOKUP($U$1,A:C,3,))/VLOOKUP($U$1,A:C,3,))*100)+100</f>
        <v>98.751097668065171</v>
      </c>
      <c r="J317" s="85">
        <f>(((Table134567891011121314151617343[[#This Row],[DEU]]-VLOOKUP($U$1,A:D,4,))/VLOOKUP($U$1,A:D,4,))*100)+100</f>
        <v>134.70744680797304</v>
      </c>
      <c r="K317" s="85">
        <f>(((Table134567891011121314151617343[[#This Row],[ESP]]-VLOOKUP($U$1,A:E,5,))/VLOOKUP($U$1,A:E,5,))*100)+100</f>
        <v>86.494074136374735</v>
      </c>
      <c r="L317" s="85">
        <f>(((Table134567891011121314151617343[[#This Row],[EA19]]-VLOOKUP($U$1,A:F,6,))/VLOOKUP($U$1,A:F,6,))*100)+100</f>
        <v>113.64653243847873</v>
      </c>
      <c r="M317" s="85">
        <f>(((Table134567891011121314151617343[[#This Row],[GBR]]-VLOOKUP($U$1,A:G,7,))/VLOOKUP($U$1,A:G,7,))*100)+100</f>
        <v>112.48541423560087</v>
      </c>
      <c r="N317" s="85">
        <f>VLOOKUP(A317,Database!$A:$AS,MATCH($N$1,Database!$A$1:$AS$1,0),FALSE)</f>
        <v>97.599582776000005</v>
      </c>
      <c r="O317" s="85">
        <f>(((Table134567891011121314151617343[[#This Row],[USA]]-VLOOKUP($U$1,A:N,14,))/VLOOKUP($U$1,A:N,14,))*100)+100</f>
        <v>112.35980313913636</v>
      </c>
      <c r="P317" s="85">
        <f>VLOOKUP(A317,Database!$A:$AS,MATCH($P$1,Database!$A$1:$AS$1,0),FALSE)</f>
        <v>99.191734022000006</v>
      </c>
      <c r="Q317" s="85">
        <f>(((Table134567891011121314151617343[[#This Row],[JPN]]-VLOOKUP($U$1,A:Q,16,))/VLOOKUP($U$1,A:Q,16,))*100)+100</f>
        <v>99.586465725752433</v>
      </c>
    </row>
    <row r="318" spans="1:17" s="87" customFormat="1" x14ac:dyDescent="0.2">
      <c r="A318" s="22">
        <v>42491</v>
      </c>
      <c r="B318" s="85">
        <f>VLOOKUP(A318,Database!$A:$AS,MATCH($B$1,Database!$A$1:$AS$1,0),FALSE)</f>
        <v>100.49162569800001</v>
      </c>
      <c r="C318" s="85">
        <f>VLOOKUP(A318,Database!$A:$AS,MATCH($C$1,Database!$A$1:$AS$1,0),FALSE)</f>
        <v>99.6</v>
      </c>
      <c r="D318" s="85">
        <f>VLOOKUP(A318,Database!$A:$AS,MATCH($D$1,Database!$A$1:$AS$1,0),FALSE)</f>
        <v>99.391717357000005</v>
      </c>
      <c r="E318" s="85">
        <f>VLOOKUP(A318,Database!$A:$AS,MATCH($E$1,Database!$A$1:$AS$1,0),FALSE)</f>
        <v>100.407083673</v>
      </c>
      <c r="F318" s="85">
        <f>VLOOKUP(A318,Database!$A:$AS,MATCH($F$1,Database!$A$1:$AS$1,0),FALSE)</f>
        <v>100.3</v>
      </c>
      <c r="G318" s="85">
        <f>VLOOKUP(A318,Database!$A:$AS,MATCH($G$1,Database!$A$1:$AS$1,0),FALSE)</f>
        <v>101.30847822200001</v>
      </c>
      <c r="H318" s="85">
        <f>(((Table134567891011121314151617343[[#This Row],[ITA]]-VLOOKUP($U$1,A:B,2,))/VLOOKUP($U$1,A:B,2,))*100)+100</f>
        <v>82.648026315933549</v>
      </c>
      <c r="I318" s="85">
        <f>(((Table134567891011121314151617343[[#This Row],[FRA]]-VLOOKUP($U$1,A:C,3,))/VLOOKUP($U$1,A:C,3,))*100)+100</f>
        <v>97.180212703678407</v>
      </c>
      <c r="J318" s="85">
        <f>(((Table134567891011121314151617343[[#This Row],[DEU]]-VLOOKUP($U$1,A:D,4,))/VLOOKUP($U$1,A:D,4,))*100)+100</f>
        <v>132.18085106312242</v>
      </c>
      <c r="K318" s="85">
        <f>(((Table134567891011121314151617343[[#This Row],[ESP]]-VLOOKUP($U$1,A:E,5,))/VLOOKUP($U$1,A:E,5,))*100)+100</f>
        <v>84.396906783406479</v>
      </c>
      <c r="L318" s="85">
        <f>(((Table134567891011121314151617343[[#This Row],[EA19]]-VLOOKUP($U$1,A:F,6,))/VLOOKUP($U$1,A:F,6,))*100)+100</f>
        <v>112.19239373601789</v>
      </c>
      <c r="M318" s="85">
        <f>(((Table134567891011121314151617343[[#This Row],[GBR]]-VLOOKUP($U$1,A:G,7,))/VLOOKUP($U$1,A:G,7,))*100)+100</f>
        <v>109.91831971979889</v>
      </c>
      <c r="N318" s="85">
        <f>VLOOKUP(A318,Database!$A:$AS,MATCH($N$1,Database!$A$1:$AS$1,0),FALSE)</f>
        <v>97.422754878999996</v>
      </c>
      <c r="O318" s="85">
        <f>(((Table134567891011121314151617343[[#This Row],[USA]]-VLOOKUP($U$1,A:N,14,))/VLOOKUP($U$1,A:N,14,))*100)+100</f>
        <v>112.15623313267405</v>
      </c>
      <c r="P318" s="85">
        <f>VLOOKUP(A318,Database!$A:$AS,MATCH($P$1,Database!$A$1:$AS$1,0),FALSE)</f>
        <v>98.691775684999996</v>
      </c>
      <c r="Q318" s="85">
        <f>(((Table134567891011121314151617343[[#This Row],[JPN]]-VLOOKUP($U$1,A:Q,16,))/VLOOKUP($U$1,A:Q,16,))*100)+100</f>
        <v>99.084517813631933</v>
      </c>
    </row>
    <row r="319" spans="1:17" s="87" customFormat="1" x14ac:dyDescent="0.2">
      <c r="A319" s="22">
        <v>42522</v>
      </c>
      <c r="B319" s="85">
        <f>VLOOKUP(A319,Database!$A:$AS,MATCH($B$1,Database!$A$1:$AS$1,0),FALSE)</f>
        <v>99.291725690000007</v>
      </c>
      <c r="C319" s="85">
        <f>VLOOKUP(A319,Database!$A:$AS,MATCH($C$1,Database!$A$1:$AS$1,0),FALSE)</f>
        <v>99.31</v>
      </c>
      <c r="D319" s="85">
        <f>VLOOKUP(A319,Database!$A:$AS,MATCH($D$1,Database!$A$1:$AS$1,0),FALSE)</f>
        <v>101.69152570599999</v>
      </c>
      <c r="E319" s="85">
        <f>VLOOKUP(A319,Database!$A:$AS,MATCH($E$1,Database!$A$1:$AS$1,0),FALSE)</f>
        <v>100.785083988</v>
      </c>
      <c r="F319" s="85">
        <f>VLOOKUP(A319,Database!$A:$AS,MATCH($F$1,Database!$A$1:$AS$1,0),FALSE)</f>
        <v>101.1</v>
      </c>
      <c r="G319" s="85">
        <f>VLOOKUP(A319,Database!$A:$AS,MATCH($G$1,Database!$A$1:$AS$1,0),FALSE)</f>
        <v>99.587739737999996</v>
      </c>
      <c r="H319" s="85">
        <f>(((Table134567891011121314151617343[[#This Row],[ITA]]-VLOOKUP($U$1,A:B,2,))/VLOOKUP($U$1,A:B,2,))*100)+100</f>
        <v>81.661184210943631</v>
      </c>
      <c r="I319" s="85">
        <f>(((Table134567891011121314151617343[[#This Row],[FRA]]-VLOOKUP($U$1,A:C,3,))/VLOOKUP($U$1,A:C,3,))*100)+100</f>
        <v>96.897258269099424</v>
      </c>
      <c r="J319" s="85">
        <f>(((Table134567891011121314151617343[[#This Row],[DEU]]-VLOOKUP($U$1,A:D,4,))/VLOOKUP($U$1,A:D,4,))*100)+100</f>
        <v>135.23936170099583</v>
      </c>
      <c r="K319" s="85">
        <f>(((Table134567891011121314151617343[[#This Row],[ESP]]-VLOOKUP($U$1,A:E,5,))/VLOOKUP($U$1,A:E,5,))*100)+100</f>
        <v>84.714633941512659</v>
      </c>
      <c r="L319" s="85">
        <f>(((Table134567891011121314151617343[[#This Row],[EA19]]-VLOOKUP($U$1,A:F,6,))/VLOOKUP($U$1,A:F,6,))*100)+100</f>
        <v>113.08724832214764</v>
      </c>
      <c r="M319" s="85">
        <f>(((Table134567891011121314151617343[[#This Row],[GBR]]-VLOOKUP($U$1,A:G,7,))/VLOOKUP($U$1,A:G,7,))*100)+100</f>
        <v>108.05134188973015</v>
      </c>
      <c r="N319" s="85">
        <f>VLOOKUP(A319,Database!$A:$AS,MATCH($N$1,Database!$A$1:$AS$1,0),FALSE)</f>
        <v>97.850155041999997</v>
      </c>
      <c r="O319" s="85">
        <f>(((Table134567891011121314151617343[[#This Row],[USA]]-VLOOKUP($U$1,A:N,14,))/VLOOKUP($U$1,A:N,14,))*100)+100</f>
        <v>112.6482700534315</v>
      </c>
      <c r="P319" s="85">
        <f>VLOOKUP(A319,Database!$A:$AS,MATCH($P$1,Database!$A$1:$AS$1,0),FALSE)</f>
        <v>99.191734022000006</v>
      </c>
      <c r="Q319" s="85">
        <f>(((Table134567891011121314151617343[[#This Row],[JPN]]-VLOOKUP($U$1,A:Q,16,))/VLOOKUP($U$1,A:Q,16,))*100)+100</f>
        <v>99.586465725752433</v>
      </c>
    </row>
    <row r="320" spans="1:17" s="87" customFormat="1" x14ac:dyDescent="0.2">
      <c r="A320" s="22">
        <v>42552</v>
      </c>
      <c r="B320" s="85">
        <f>VLOOKUP(A320,Database!$A:$AS,MATCH($B$1,Database!$A$1:$AS$1,0),FALSE)</f>
        <v>101.191567369</v>
      </c>
      <c r="C320" s="85">
        <f>VLOOKUP(A320,Database!$A:$AS,MATCH($C$1,Database!$A$1:$AS$1,0),FALSE)</f>
        <v>99</v>
      </c>
      <c r="D320" s="85">
        <f>VLOOKUP(A320,Database!$A:$AS,MATCH($D$1,Database!$A$1:$AS$1,0),FALSE)</f>
        <v>99.991667360999998</v>
      </c>
      <c r="E320" s="85">
        <f>VLOOKUP(A320,Database!$A:$AS,MATCH($E$1,Database!$A$1:$AS$1,0),FALSE)</f>
        <v>101.068084223</v>
      </c>
      <c r="F320" s="85">
        <f>VLOOKUP(A320,Database!$A:$AS,MATCH($F$1,Database!$A$1:$AS$1,0),FALSE)</f>
        <v>101.1</v>
      </c>
      <c r="G320" s="85">
        <f>VLOOKUP(A320,Database!$A:$AS,MATCH($G$1,Database!$A$1:$AS$1,0),FALSE)</f>
        <v>99.372647427999993</v>
      </c>
      <c r="H320" s="85">
        <f>(((Table134567891011121314151617343[[#This Row],[ITA]]-VLOOKUP($U$1,A:B,2,))/VLOOKUP($U$1,A:B,2,))*100)+100</f>
        <v>83.22368421023684</v>
      </c>
      <c r="I320" s="85">
        <f>(((Table134567891011121314151617343[[#This Row],[FRA]]-VLOOKUP($U$1,A:C,3,))/VLOOKUP($U$1,A:C,3,))*100)+100</f>
        <v>96.594789735583959</v>
      </c>
      <c r="J320" s="85">
        <f>(((Table134567891011121314151617343[[#This Row],[DEU]]-VLOOKUP($U$1,A:D,4,))/VLOOKUP($U$1,A:D,4,))*100)+100</f>
        <v>132.97872340332157</v>
      </c>
      <c r="K320" s="85">
        <f>(((Table134567891011121314151617343[[#This Row],[ESP]]-VLOOKUP($U$1,A:E,5,))/VLOOKUP($U$1,A:E,5,))*100)+100</f>
        <v>84.952509035373197</v>
      </c>
      <c r="L320" s="85">
        <f>(((Table134567891011121314151617343[[#This Row],[EA19]]-VLOOKUP($U$1,A:F,6,))/VLOOKUP($U$1,A:F,6,))*100)+100</f>
        <v>113.08724832214764</v>
      </c>
      <c r="M320" s="85">
        <f>(((Table134567891011121314151617343[[#This Row],[GBR]]-VLOOKUP($U$1,A:G,7,))/VLOOKUP($U$1,A:G,7,))*100)+100</f>
        <v>107.81796966151406</v>
      </c>
      <c r="N320" s="85">
        <f>VLOOKUP(A320,Database!$A:$AS,MATCH($N$1,Database!$A$1:$AS$1,0),FALSE)</f>
        <v>98.027676771000003</v>
      </c>
      <c r="O320" s="85">
        <f>(((Table134567891011121314151617343[[#This Row],[USA]]-VLOOKUP($U$1,A:N,14,))/VLOOKUP($U$1,A:N,14,))*100)+100</f>
        <v>112.85263882178104</v>
      </c>
      <c r="P320" s="85">
        <f>VLOOKUP(A320,Database!$A:$AS,MATCH($P$1,Database!$A$1:$AS$1,0),FALSE)</f>
        <v>99.691692359000001</v>
      </c>
      <c r="Q320" s="85">
        <f>(((Table134567891011121314151617343[[#This Row],[JPN]]-VLOOKUP($U$1,A:Q,16,))/VLOOKUP($U$1,A:Q,16,))*100)+100</f>
        <v>100.08841363787293</v>
      </c>
    </row>
    <row r="321" spans="1:17" s="87" customFormat="1" x14ac:dyDescent="0.2">
      <c r="A321" s="22">
        <v>42583</v>
      </c>
      <c r="B321" s="85">
        <f>VLOOKUP(A321,Database!$A:$AS,MATCH($B$1,Database!$A$1:$AS$1,0),FALSE)</f>
        <v>102.09149237600001</v>
      </c>
      <c r="C321" s="85">
        <f>VLOOKUP(A321,Database!$A:$AS,MATCH($C$1,Database!$A$1:$AS$1,0),FALSE)</f>
        <v>100.94</v>
      </c>
      <c r="D321" s="85">
        <f>VLOOKUP(A321,Database!$A:$AS,MATCH($D$1,Database!$A$1:$AS$1,0),FALSE)</f>
        <v>101.69152570599999</v>
      </c>
      <c r="E321" s="85">
        <f>VLOOKUP(A321,Database!$A:$AS,MATCH($E$1,Database!$A$1:$AS$1,0),FALSE)</f>
        <v>102.331085276</v>
      </c>
      <c r="F321" s="85">
        <f>VLOOKUP(A321,Database!$A:$AS,MATCH($F$1,Database!$A$1:$AS$1,0),FALSE)</f>
        <v>101.1</v>
      </c>
      <c r="G321" s="85">
        <f>VLOOKUP(A321,Database!$A:$AS,MATCH($G$1,Database!$A$1:$AS$1,0),FALSE)</f>
        <v>98.727370496999995</v>
      </c>
      <c r="H321" s="85">
        <f>(((Table134567891011121314151617343[[#This Row],[ITA]]-VLOOKUP($U$1,A:B,2,))/VLOOKUP($U$1,A:B,2,))*100)+100</f>
        <v>83.963815789801714</v>
      </c>
      <c r="I321" s="85">
        <f>(((Table134567891011121314151617343[[#This Row],[FRA]]-VLOOKUP($U$1,A:C,3,))/VLOOKUP($U$1,A:C,3,))*100)+100</f>
        <v>98.487657332422671</v>
      </c>
      <c r="J321" s="85">
        <f>(((Table134567891011121314151617343[[#This Row],[DEU]]-VLOOKUP($U$1,A:D,4,))/VLOOKUP($U$1,A:D,4,))*100)+100</f>
        <v>135.23936170099583</v>
      </c>
      <c r="K321" s="85">
        <f>(((Table134567891011121314151617343[[#This Row],[ESP]]-VLOOKUP($U$1,A:E,5,))/VLOOKUP($U$1,A:E,5,))*100)+100</f>
        <v>86.014121206926077</v>
      </c>
      <c r="L321" s="85">
        <f>(((Table134567891011121314151617343[[#This Row],[EA19]]-VLOOKUP($U$1,A:F,6,))/VLOOKUP($U$1,A:F,6,))*100)+100</f>
        <v>113.08724832214764</v>
      </c>
      <c r="M321" s="85">
        <f>(((Table134567891011121314151617343[[#This Row],[GBR]]-VLOOKUP($U$1,A:G,7,))/VLOOKUP($U$1,A:G,7,))*100)+100</f>
        <v>107.11785297578078</v>
      </c>
      <c r="N321" s="85">
        <f>VLOOKUP(A321,Database!$A:$AS,MATCH($N$1,Database!$A$1:$AS$1,0),FALSE)</f>
        <v>97.854912744000003</v>
      </c>
      <c r="O321" s="85">
        <f>(((Table134567891011121314151617343[[#This Row],[USA]]-VLOOKUP($U$1,A:N,14,))/VLOOKUP($U$1,A:N,14,))*100)+100</f>
        <v>112.65374727418296</v>
      </c>
      <c r="P321" s="85">
        <f>VLOOKUP(A321,Database!$A:$AS,MATCH($P$1,Database!$A$1:$AS$1,0),FALSE)</f>
        <v>100.591617365</v>
      </c>
      <c r="Q321" s="85">
        <f>(((Table134567891011121314151617343[[#This Row],[JPN]]-VLOOKUP($U$1,A:Q,16,))/VLOOKUP($U$1,A:Q,16,))*100)+100</f>
        <v>100.99191987908745</v>
      </c>
    </row>
    <row r="322" spans="1:17" s="87" customFormat="1" x14ac:dyDescent="0.2">
      <c r="A322" s="22">
        <v>42614</v>
      </c>
      <c r="B322" s="85">
        <f>VLOOKUP(A322,Database!$A:$AS,MATCH($B$1,Database!$A$1:$AS$1,0),FALSE)</f>
        <v>101.991500708</v>
      </c>
      <c r="C322" s="85">
        <f>VLOOKUP(A322,Database!$A:$AS,MATCH($C$1,Database!$A$1:$AS$1,0),FALSE)</f>
        <v>100.03</v>
      </c>
      <c r="D322" s="85">
        <f>VLOOKUP(A322,Database!$A:$AS,MATCH($D$1,Database!$A$1:$AS$1,0),FALSE)</f>
        <v>101.49154237099999</v>
      </c>
      <c r="E322" s="85">
        <f>VLOOKUP(A322,Database!$A:$AS,MATCH($E$1,Database!$A$1:$AS$1,0),FALSE)</f>
        <v>101.74408478700001</v>
      </c>
      <c r="F322" s="85">
        <f>VLOOKUP(A322,Database!$A:$AS,MATCH($F$1,Database!$A$1:$AS$1,0),FALSE)</f>
        <v>101.4</v>
      </c>
      <c r="G322" s="85">
        <f>VLOOKUP(A322,Database!$A:$AS,MATCH($G$1,Database!$A$1:$AS$1,0),FALSE)</f>
        <v>98.619824340999998</v>
      </c>
      <c r="H322" s="85">
        <f>(((Table134567891011121314151617343[[#This Row],[ITA]]-VLOOKUP($U$1,A:B,2,))/VLOOKUP($U$1,A:B,2,))*100)+100</f>
        <v>83.881578947170937</v>
      </c>
      <c r="I322" s="85">
        <f>(((Table134567891011121314151617343[[#This Row],[FRA]]-VLOOKUP($U$1,A:C,3,))/VLOOKUP($U$1,A:C,3,))*100)+100</f>
        <v>97.599765830812771</v>
      </c>
      <c r="J322" s="85">
        <f>(((Table134567891011121314151617343[[#This Row],[DEU]]-VLOOKUP($U$1,A:D,4,))/VLOOKUP($U$1,A:D,4,))*100)+100</f>
        <v>134.97340425381947</v>
      </c>
      <c r="K322" s="85">
        <f>(((Table134567891011121314151617343[[#This Row],[ESP]]-VLOOKUP($U$1,A:E,5,))/VLOOKUP($U$1,A:E,5,))*100)+100</f>
        <v>85.520719509160529</v>
      </c>
      <c r="L322" s="85">
        <f>(((Table134567891011121314151617343[[#This Row],[EA19]]-VLOOKUP($U$1,A:F,6,))/VLOOKUP($U$1,A:F,6,))*100)+100</f>
        <v>113.42281879194631</v>
      </c>
      <c r="M322" s="85">
        <f>(((Table134567891011121314151617343[[#This Row],[GBR]]-VLOOKUP($U$1,A:G,7,))/VLOOKUP($U$1,A:G,7,))*100)+100</f>
        <v>107.00116686058774</v>
      </c>
      <c r="N322" s="85">
        <f>VLOOKUP(A322,Database!$A:$AS,MATCH($N$1,Database!$A$1:$AS$1,0),FALSE)</f>
        <v>97.737060518999996</v>
      </c>
      <c r="O322" s="85">
        <f>(((Table134567891011121314151617343[[#This Row],[USA]]-VLOOKUP($U$1,A:N,14,))/VLOOKUP($U$1,A:N,14,))*100)+100</f>
        <v>112.5180719728766</v>
      </c>
      <c r="P322" s="85">
        <f>VLOOKUP(A322,Database!$A:$AS,MATCH($P$1,Database!$A$1:$AS$1,0),FALSE)</f>
        <v>100.991584035</v>
      </c>
      <c r="Q322" s="85">
        <f>(((Table134567891011121314151617343[[#This Row],[JPN]]-VLOOKUP($U$1,A:Q,16,))/VLOOKUP($U$1,A:Q,16,))*100)+100</f>
        <v>101.39347820918543</v>
      </c>
    </row>
    <row r="323" spans="1:17" s="87" customFormat="1" x14ac:dyDescent="0.2">
      <c r="A323" s="22">
        <v>42644</v>
      </c>
      <c r="B323" s="85">
        <f>VLOOKUP(A323,Database!$A:$AS,MATCH($B$1,Database!$A$1:$AS$1,0),FALSE)</f>
        <v>102.391467378</v>
      </c>
      <c r="C323" s="85">
        <f>VLOOKUP(A323,Database!$A:$AS,MATCH($C$1,Database!$A$1:$AS$1,0),FALSE)</f>
        <v>99.56</v>
      </c>
      <c r="D323" s="85">
        <f>VLOOKUP(A323,Database!$A:$AS,MATCH($D$1,Database!$A$1:$AS$1,0),FALSE)</f>
        <v>102.09149237600001</v>
      </c>
      <c r="E323" s="85">
        <f>VLOOKUP(A323,Database!$A:$AS,MATCH($E$1,Database!$A$1:$AS$1,0),FALSE)</f>
        <v>101.993084994</v>
      </c>
      <c r="F323" s="85">
        <f>VLOOKUP(A323,Database!$A:$AS,MATCH($F$1,Database!$A$1:$AS$1,0),FALSE)</f>
        <v>102.5</v>
      </c>
      <c r="G323" s="85">
        <f>VLOOKUP(A323,Database!$A:$AS,MATCH($G$1,Database!$A$1:$AS$1,0),FALSE)</f>
        <v>97.436816633999996</v>
      </c>
      <c r="H323" s="85">
        <f>(((Table134567891011121314151617343[[#This Row],[ITA]]-VLOOKUP($U$1,A:B,2,))/VLOOKUP($U$1,A:B,2,))*100)+100</f>
        <v>84.210526316049197</v>
      </c>
      <c r="I323" s="85">
        <f>(((Table134567891011121314151617343[[#This Row],[FRA]]-VLOOKUP($U$1,A:C,3,))/VLOOKUP($U$1,A:C,3,))*100)+100</f>
        <v>97.141184505805455</v>
      </c>
      <c r="J323" s="85">
        <f>(((Table134567891011121314151617343[[#This Row],[DEU]]-VLOOKUP($U$1,A:D,4,))/VLOOKUP($U$1,A:D,4,))*100)+100</f>
        <v>135.77127659534855</v>
      </c>
      <c r="K323" s="85">
        <f>(((Table134567891011121314151617343[[#This Row],[ESP]]-VLOOKUP($U$1,A:E,5,))/VLOOKUP($U$1,A:E,5,))*100)+100</f>
        <v>85.730015970032426</v>
      </c>
      <c r="L323" s="85">
        <f>(((Table134567891011121314151617343[[#This Row],[EA19]]-VLOOKUP($U$1,A:F,6,))/VLOOKUP($U$1,A:F,6,))*100)+100</f>
        <v>114.65324384787472</v>
      </c>
      <c r="M323" s="85">
        <f>(((Table134567891011121314151617343[[#This Row],[GBR]]-VLOOKUP($U$1,A:G,7,))/VLOOKUP($U$1,A:G,7,))*100)+100</f>
        <v>105.71761960322924</v>
      </c>
      <c r="N323" s="85">
        <f>VLOOKUP(A323,Database!$A:$AS,MATCH($N$1,Database!$A$1:$AS$1,0),FALSE)</f>
        <v>97.800793892000002</v>
      </c>
      <c r="O323" s="85">
        <f>(((Table134567891011121314151617343[[#This Row],[USA]]-VLOOKUP($U$1,A:N,14,))/VLOOKUP($U$1,A:N,14,))*100)+100</f>
        <v>112.59144389763276</v>
      </c>
      <c r="P323" s="85">
        <f>VLOOKUP(A323,Database!$A:$AS,MATCH($P$1,Database!$A$1:$AS$1,0),FALSE)</f>
        <v>101.091575702</v>
      </c>
      <c r="Q323" s="85">
        <f>(((Table134567891011121314151617343[[#This Row],[JPN]]-VLOOKUP($U$1,A:Q,16,))/VLOOKUP($U$1,A:Q,16,))*100)+100</f>
        <v>101.49386779120793</v>
      </c>
    </row>
    <row r="324" spans="1:17" s="87" customFormat="1" x14ac:dyDescent="0.2">
      <c r="A324" s="22">
        <v>42675</v>
      </c>
      <c r="B324" s="85">
        <f>VLOOKUP(A324,Database!$A:$AS,MATCH($B$1,Database!$A$1:$AS$1,0),FALSE)</f>
        <v>103.391384051</v>
      </c>
      <c r="C324" s="85">
        <f>VLOOKUP(A324,Database!$A:$AS,MATCH($C$1,Database!$A$1:$AS$1,0),FALSE)</f>
        <v>102.25</v>
      </c>
      <c r="D324" s="85">
        <f>VLOOKUP(A324,Database!$A:$AS,MATCH($D$1,Database!$A$1:$AS$1,0),FALSE)</f>
        <v>101.79151737399999</v>
      </c>
      <c r="E324" s="85">
        <f>VLOOKUP(A324,Database!$A:$AS,MATCH($E$1,Database!$A$1:$AS$1,0),FALSE)</f>
        <v>103.20808600700001</v>
      </c>
      <c r="F324" s="85">
        <f>VLOOKUP(A324,Database!$A:$AS,MATCH($F$1,Database!$A$1:$AS$1,0),FALSE)</f>
        <v>102.8</v>
      </c>
      <c r="G324" s="85">
        <f>VLOOKUP(A324,Database!$A:$AS,MATCH($G$1,Database!$A$1:$AS$1,0),FALSE)</f>
        <v>98.297185876</v>
      </c>
      <c r="H324" s="85">
        <f>(((Table134567891011121314151617343[[#This Row],[ITA]]-VLOOKUP($U$1,A:B,2,))/VLOOKUP($U$1,A:B,2,))*100)+100</f>
        <v>85.032894736599985</v>
      </c>
      <c r="I324" s="85">
        <f>(((Table134567891011121314151617343[[#This Row],[FRA]]-VLOOKUP($U$1,A:C,3,))/VLOOKUP($U$1,A:C,3,))*100)+100</f>
        <v>99.765830812762232</v>
      </c>
      <c r="J324" s="85">
        <f>(((Table134567891011121314151617343[[#This Row],[DEU]]-VLOOKUP($U$1,A:D,4,))/VLOOKUP($U$1,A:D,4,))*100)+100</f>
        <v>135.37234042524895</v>
      </c>
      <c r="K324" s="85">
        <f>(((Table134567891011121314151617343[[#This Row],[ESP]]-VLOOKUP($U$1,A:E,5,))/VLOOKUP($U$1,A:E,5,))*100)+100</f>
        <v>86.751281835794046</v>
      </c>
      <c r="L324" s="85">
        <f>(((Table134567891011121314151617343[[#This Row],[EA19]]-VLOOKUP($U$1,A:F,6,))/VLOOKUP($U$1,A:F,6,))*100)+100</f>
        <v>114.98881431767337</v>
      </c>
      <c r="M324" s="85">
        <f>(((Table134567891011121314151617343[[#This Row],[GBR]]-VLOOKUP($U$1,A:G,7,))/VLOOKUP($U$1,A:G,7,))*100)+100</f>
        <v>106.6511085182636</v>
      </c>
      <c r="N324" s="85">
        <f>VLOOKUP(A324,Database!$A:$AS,MATCH($N$1,Database!$A$1:$AS$1,0),FALSE)</f>
        <v>97.363184494999999</v>
      </c>
      <c r="O324" s="85">
        <f>(((Table134567891011121314151617343[[#This Row],[USA]]-VLOOKUP($U$1,A:N,14,))/VLOOKUP($U$1,A:N,14,))*100)+100</f>
        <v>112.08765377578762</v>
      </c>
      <c r="P324" s="85">
        <f>VLOOKUP(A324,Database!$A:$AS,MATCH($P$1,Database!$A$1:$AS$1,0),FALSE)</f>
        <v>102.09149237600001</v>
      </c>
      <c r="Q324" s="85">
        <f>(((Table134567891011121314151617343[[#This Row],[JPN]]-VLOOKUP($U$1,A:Q,16,))/VLOOKUP($U$1,A:Q,16,))*100)+100</f>
        <v>102.49776361544893</v>
      </c>
    </row>
    <row r="325" spans="1:17" s="87" customFormat="1" x14ac:dyDescent="0.2">
      <c r="A325" s="22">
        <v>42705</v>
      </c>
      <c r="B325" s="85">
        <f>VLOOKUP(A325,Database!$A:$AS,MATCH($B$1,Database!$A$1:$AS$1,0),FALSE)</f>
        <v>104.891259062</v>
      </c>
      <c r="C325" s="85">
        <f>VLOOKUP(A325,Database!$A:$AS,MATCH($C$1,Database!$A$1:$AS$1,0),FALSE)</f>
        <v>100.87</v>
      </c>
      <c r="D325" s="85">
        <f>VLOOKUP(A325,Database!$A:$AS,MATCH($D$1,Database!$A$1:$AS$1,0),FALSE)</f>
        <v>99.991667360999998</v>
      </c>
      <c r="E325" s="85">
        <f>VLOOKUP(A325,Database!$A:$AS,MATCH($E$1,Database!$A$1:$AS$1,0),FALSE)</f>
        <v>103.005085838</v>
      </c>
      <c r="F325" s="85">
        <f>VLOOKUP(A325,Database!$A:$AS,MATCH($F$1,Database!$A$1:$AS$1,0),FALSE)</f>
        <v>102.5</v>
      </c>
      <c r="G325" s="85">
        <f>VLOOKUP(A325,Database!$A:$AS,MATCH($G$1,Database!$A$1:$AS$1,0),FALSE)</f>
        <v>100.44810898</v>
      </c>
      <c r="H325" s="85">
        <f>(((Table134567891011121314151617343[[#This Row],[ITA]]-VLOOKUP($U$1,A:B,2,))/VLOOKUP($U$1,A:B,2,))*100)+100</f>
        <v>86.266447368659811</v>
      </c>
      <c r="I325" s="85">
        <f>(((Table134567891011121314151617343[[#This Row],[FRA]]-VLOOKUP($U$1,A:C,3,))/VLOOKUP($U$1,A:C,3,))*100)+100</f>
        <v>98.419357986145002</v>
      </c>
      <c r="J325" s="85">
        <f>(((Table134567891011121314151617343[[#This Row],[DEU]]-VLOOKUP($U$1,A:D,4,))/VLOOKUP($U$1,A:D,4,))*100)+100</f>
        <v>132.97872340332157</v>
      </c>
      <c r="K325" s="85">
        <f>(((Table134567891011121314151617343[[#This Row],[ESP]]-VLOOKUP($U$1,A:E,5,))/VLOOKUP($U$1,A:E,5,))*100)+100</f>
        <v>86.58065058435858</v>
      </c>
      <c r="L325" s="85">
        <f>(((Table134567891011121314151617343[[#This Row],[EA19]]-VLOOKUP($U$1,A:F,6,))/VLOOKUP($U$1,A:F,6,))*100)+100</f>
        <v>114.65324384787472</v>
      </c>
      <c r="M325" s="85">
        <f>(((Table134567891011121314151617343[[#This Row],[GBR]]-VLOOKUP($U$1,A:G,7,))/VLOOKUP($U$1,A:G,7,))*100)+100</f>
        <v>108.98483080476451</v>
      </c>
      <c r="N325" s="85">
        <f>VLOOKUP(A325,Database!$A:$AS,MATCH($N$1,Database!$A$1:$AS$1,0),FALSE)</f>
        <v>98.024306731999999</v>
      </c>
      <c r="O325" s="85">
        <f>(((Table134567891011121314151617343[[#This Row],[USA]]-VLOOKUP($U$1,A:N,14,))/VLOOKUP($U$1,A:N,14,))*100)+100</f>
        <v>112.84875912365281</v>
      </c>
      <c r="P325" s="85">
        <f>VLOOKUP(A325,Database!$A:$AS,MATCH($P$1,Database!$A$1:$AS$1,0),FALSE)</f>
        <v>101.49154237099999</v>
      </c>
      <c r="Q325" s="85">
        <f>(((Table134567891011121314151617343[[#This Row],[JPN]]-VLOOKUP($U$1,A:Q,16,))/VLOOKUP($U$1,A:Q,16,))*100)+100</f>
        <v>101.89542612030193</v>
      </c>
    </row>
    <row r="326" spans="1:17" s="87" customFormat="1" x14ac:dyDescent="0.2">
      <c r="A326" s="22">
        <v>42736</v>
      </c>
      <c r="B326" s="85">
        <f>VLOOKUP(A326,Database!$A:$AS,MATCH($B$1,Database!$A$1:$AS$1,0),FALSE)</f>
        <v>101.89150904100001</v>
      </c>
      <c r="C326" s="85">
        <f>VLOOKUP(A326,Database!$A:$AS,MATCH($C$1,Database!$A$1:$AS$1,0),FALSE)</f>
        <v>101.34</v>
      </c>
      <c r="D326" s="85">
        <f>VLOOKUP(A326,Database!$A:$AS,MATCH($D$1,Database!$A$1:$AS$1,0),FALSE)</f>
        <v>101.591534039</v>
      </c>
      <c r="E326" s="85">
        <f>VLOOKUP(A326,Database!$A:$AS,MATCH($E$1,Database!$A$1:$AS$1,0),FALSE)</f>
        <v>104.094086745</v>
      </c>
      <c r="F326" s="85">
        <f>VLOOKUP(A326,Database!$A:$AS,MATCH($F$1,Database!$A$1:$AS$1,0),FALSE)</f>
        <v>102.2</v>
      </c>
      <c r="G326" s="85">
        <f>VLOOKUP(A326,Database!$A:$AS,MATCH($G$1,Database!$A$1:$AS$1,0),FALSE)</f>
        <v>99.587739737999996</v>
      </c>
      <c r="H326" s="85">
        <f>(((Table134567891011121314151617343[[#This Row],[ITA]]-VLOOKUP($U$1,A:B,2,))/VLOOKUP($U$1,A:B,2,))*100)+100</f>
        <v>83.799342105362598</v>
      </c>
      <c r="I326" s="85">
        <f>(((Table134567891011121314151617343[[#This Row],[FRA]]-VLOOKUP($U$1,A:C,3,))/VLOOKUP($U$1,A:C,3,))*100)+100</f>
        <v>98.877939311152318</v>
      </c>
      <c r="J326" s="85">
        <f>(((Table134567891011121314151617343[[#This Row],[DEU]]-VLOOKUP($U$1,A:D,4,))/VLOOKUP($U$1,A:D,4,))*100)+100</f>
        <v>135.10638297807262</v>
      </c>
      <c r="K326" s="85">
        <f>(((Table134567891011121314151617343[[#This Row],[ESP]]-VLOOKUP($U$1,A:E,5,))/VLOOKUP($U$1,A:E,5,))*100)+100</f>
        <v>87.496007396577582</v>
      </c>
      <c r="L326" s="85">
        <f>(((Table134567891011121314151617343[[#This Row],[EA19]]-VLOOKUP($U$1,A:F,6,))/VLOOKUP($U$1,A:F,6,))*100)+100</f>
        <v>114.31767337807607</v>
      </c>
      <c r="M326" s="85">
        <f>(((Table134567891011121314151617343[[#This Row],[GBR]]-VLOOKUP($U$1,A:G,7,))/VLOOKUP($U$1,A:G,7,))*100)+100</f>
        <v>108.05134188973015</v>
      </c>
      <c r="N326" s="85">
        <f>VLOOKUP(A326,Database!$A:$AS,MATCH($N$1,Database!$A$1:$AS$1,0),FALSE)</f>
        <v>97.874439143000004</v>
      </c>
      <c r="O326" s="85">
        <f>(((Table134567891011121314151617343[[#This Row],[USA]]-VLOOKUP($U$1,A:N,14,))/VLOOKUP($U$1,A:N,14,))*100)+100</f>
        <v>112.67622669761136</v>
      </c>
      <c r="P326" s="85">
        <f>VLOOKUP(A326,Database!$A:$AS,MATCH($P$1,Database!$A$1:$AS$1,0),FALSE)</f>
        <v>100.69160903300001</v>
      </c>
      <c r="Q326" s="85">
        <f>(((Table134567891011121314151617343[[#This Row],[JPN]]-VLOOKUP($U$1,A:Q,16,))/VLOOKUP($U$1,A:Q,16,))*100)+100</f>
        <v>101.09230946211393</v>
      </c>
    </row>
    <row r="327" spans="1:17" s="87" customFormat="1" x14ac:dyDescent="0.2">
      <c r="A327" s="22">
        <v>42767</v>
      </c>
      <c r="B327" s="85">
        <f>VLOOKUP(A327,Database!$A:$AS,MATCH($B$1,Database!$A$1:$AS$1,0),FALSE)</f>
        <v>102.99141738199999</v>
      </c>
      <c r="C327" s="85">
        <f>VLOOKUP(A327,Database!$A:$AS,MATCH($C$1,Database!$A$1:$AS$1,0),FALSE)</f>
        <v>100.15</v>
      </c>
      <c r="D327" s="85">
        <f>VLOOKUP(A327,Database!$A:$AS,MATCH($D$1,Database!$A$1:$AS$1,0),FALSE)</f>
        <v>102.891425715</v>
      </c>
      <c r="E327" s="85">
        <f>VLOOKUP(A327,Database!$A:$AS,MATCH($E$1,Database!$A$1:$AS$1,0),FALSE)</f>
        <v>103.55608629699999</v>
      </c>
      <c r="F327" s="85">
        <f>VLOOKUP(A327,Database!$A:$AS,MATCH($F$1,Database!$A$1:$AS$1,0),FALSE)</f>
        <v>102.9</v>
      </c>
      <c r="G327" s="85">
        <f>VLOOKUP(A327,Database!$A:$AS,MATCH($G$1,Database!$A$1:$AS$1,0),FALSE)</f>
        <v>98.834916652000004</v>
      </c>
      <c r="H327" s="85">
        <f>(((Table134567891011121314151617343[[#This Row],[ITA]]-VLOOKUP($U$1,A:B,2,))/VLOOKUP($U$1,A:B,2,))*100)+100</f>
        <v>84.703947368544149</v>
      </c>
      <c r="I327" s="85">
        <f>(((Table134567891011121314151617343[[#This Row],[FRA]]-VLOOKUP($U$1,A:C,3,))/VLOOKUP($U$1,A:C,3,))*100)+100</f>
        <v>97.716850424431669</v>
      </c>
      <c r="J327" s="85">
        <f>(((Table134567891011121314151617343[[#This Row],[DEU]]-VLOOKUP($U$1,A:D,4,))/VLOOKUP($U$1,A:D,4,))*100)+100</f>
        <v>136.83510638272406</v>
      </c>
      <c r="K327" s="85">
        <f>(((Table134567891011121314151617343[[#This Row],[ESP]]-VLOOKUP($U$1,A:E,5,))/VLOOKUP($U$1,A:E,5,))*100)+100</f>
        <v>87.043792552780687</v>
      </c>
      <c r="L327" s="85">
        <f>(((Table134567891011121314151617343[[#This Row],[EA19]]-VLOOKUP($U$1,A:F,6,))/VLOOKUP($U$1,A:F,6,))*100)+100</f>
        <v>115.1006711409396</v>
      </c>
      <c r="M327" s="85">
        <f>(((Table134567891011121314151617343[[#This Row],[GBR]]-VLOOKUP($U$1,A:G,7,))/VLOOKUP($U$1,A:G,7,))*100)+100</f>
        <v>107.23453908988883</v>
      </c>
      <c r="N327" s="85">
        <f>VLOOKUP(A327,Database!$A:$AS,MATCH($N$1,Database!$A$1:$AS$1,0),FALSE)</f>
        <v>97.500761355999998</v>
      </c>
      <c r="O327" s="85">
        <f>(((Table134567891011121314151617343[[#This Row],[USA]]-VLOOKUP($U$1,A:N,14,))/VLOOKUP($U$1,A:N,14,))*100)+100</f>
        <v>112.24603671738213</v>
      </c>
      <c r="P327" s="85">
        <f>VLOOKUP(A327,Database!$A:$AS,MATCH($P$1,Database!$A$1:$AS$1,0),FALSE)</f>
        <v>101.391550704</v>
      </c>
      <c r="Q327" s="85">
        <f>(((Table134567891011121314151617343[[#This Row],[JPN]]-VLOOKUP($U$1,A:Q,16,))/VLOOKUP($U$1,A:Q,16,))*100)+100</f>
        <v>101.79503653827943</v>
      </c>
    </row>
    <row r="328" spans="1:17" s="87" customFormat="1" x14ac:dyDescent="0.2">
      <c r="A328" s="22">
        <v>42795</v>
      </c>
      <c r="B328" s="85">
        <f>VLOOKUP(A328,Database!$A:$AS,MATCH($B$1,Database!$A$1:$AS$1,0),FALSE)</f>
        <v>103.891342388</v>
      </c>
      <c r="C328" s="85">
        <f>VLOOKUP(A328,Database!$A:$AS,MATCH($C$1,Database!$A$1:$AS$1,0),FALSE)</f>
        <v>101.39</v>
      </c>
      <c r="D328" s="85">
        <f>VLOOKUP(A328,Database!$A:$AS,MATCH($D$1,Database!$A$1:$AS$1,0),FALSE)</f>
        <v>102.391467378</v>
      </c>
      <c r="E328" s="85">
        <f>VLOOKUP(A328,Database!$A:$AS,MATCH($E$1,Database!$A$1:$AS$1,0),FALSE)</f>
        <v>103.067085889</v>
      </c>
      <c r="F328" s="85">
        <f>VLOOKUP(A328,Database!$A:$AS,MATCH($F$1,Database!$A$1:$AS$1,0),FALSE)</f>
        <v>102.7</v>
      </c>
      <c r="G328" s="85">
        <f>VLOOKUP(A328,Database!$A:$AS,MATCH($G$1,Database!$A$1:$AS$1,0),FALSE)</f>
        <v>98.297185876</v>
      </c>
      <c r="H328" s="85">
        <f>(((Table134567891011121314151617343[[#This Row],[ITA]]-VLOOKUP($U$1,A:B,2,))/VLOOKUP($U$1,A:B,2,))*100)+100</f>
        <v>85.444078947286584</v>
      </c>
      <c r="I328" s="85">
        <f>(((Table134567891011121314151617343[[#This Row],[FRA]]-VLOOKUP($U$1,A:C,3,))/VLOOKUP($U$1,A:C,3,))*100)+100</f>
        <v>98.926724558493518</v>
      </c>
      <c r="J328" s="85">
        <f>(((Table134567891011121314151617343[[#This Row],[DEU]]-VLOOKUP($U$1,A:D,4,))/VLOOKUP($U$1,A:D,4,))*100)+100</f>
        <v>136.17021276544813</v>
      </c>
      <c r="K328" s="85">
        <f>(((Table134567891011121314151617343[[#This Row],[ESP]]-VLOOKUP($U$1,A:E,5,))/VLOOKUP($U$1,A:E,5,))*100)+100</f>
        <v>86.63276456211193</v>
      </c>
      <c r="L328" s="85">
        <f>(((Table134567891011121314151617343[[#This Row],[EA19]]-VLOOKUP($U$1,A:F,6,))/VLOOKUP($U$1,A:F,6,))*100)+100</f>
        <v>114.87695749440715</v>
      </c>
      <c r="M328" s="85">
        <f>(((Table134567891011121314151617343[[#This Row],[GBR]]-VLOOKUP($U$1,A:G,7,))/VLOOKUP($U$1,A:G,7,))*100)+100</f>
        <v>106.6511085182636</v>
      </c>
      <c r="N328" s="85">
        <f>VLOOKUP(A328,Database!$A:$AS,MATCH($N$1,Database!$A$1:$AS$1,0),FALSE)</f>
        <v>98.233149994000001</v>
      </c>
      <c r="O328" s="85">
        <f>(((Table134567891011121314151617343[[#This Row],[USA]]-VLOOKUP($U$1,A:N,14,))/VLOOKUP($U$1,A:N,14,))*100)+100</f>
        <v>113.08918625600143</v>
      </c>
      <c r="P328" s="85">
        <f>VLOOKUP(A328,Database!$A:$AS,MATCH($P$1,Database!$A$1:$AS$1,0),FALSE)</f>
        <v>101.49154237099999</v>
      </c>
      <c r="Q328" s="85">
        <f>(((Table134567891011121314151617343[[#This Row],[JPN]]-VLOOKUP($U$1,A:Q,16,))/VLOOKUP($U$1,A:Q,16,))*100)+100</f>
        <v>101.89542612030193</v>
      </c>
    </row>
    <row r="329" spans="1:17" s="87" customFormat="1" x14ac:dyDescent="0.2">
      <c r="A329" s="22">
        <v>42826</v>
      </c>
      <c r="B329" s="85">
        <f>VLOOKUP(A329,Database!$A:$AS,MATCH($B$1,Database!$A$1:$AS$1,0),FALSE)</f>
        <v>103.591367386</v>
      </c>
      <c r="C329" s="85">
        <f>VLOOKUP(A329,Database!$A:$AS,MATCH($C$1,Database!$A$1:$AS$1,0),FALSE)</f>
        <v>101.07</v>
      </c>
      <c r="D329" s="85">
        <f>VLOOKUP(A329,Database!$A:$AS,MATCH($D$1,Database!$A$1:$AS$1,0),FALSE)</f>
        <v>103.591367386</v>
      </c>
      <c r="E329" s="85">
        <f>VLOOKUP(A329,Database!$A:$AS,MATCH($E$1,Database!$A$1:$AS$1,0),FALSE)</f>
        <v>103.143085953</v>
      </c>
      <c r="F329" s="85">
        <f>VLOOKUP(A329,Database!$A:$AS,MATCH($F$1,Database!$A$1:$AS$1,0),FALSE)</f>
        <v>103.5</v>
      </c>
      <c r="G329" s="85">
        <f>VLOOKUP(A329,Database!$A:$AS,MATCH($G$1,Database!$A$1:$AS$1,0),FALSE)</f>
        <v>98.727370496999995</v>
      </c>
      <c r="H329" s="85">
        <f>(((Table134567891011121314151617343[[#This Row],[ITA]]-VLOOKUP($U$1,A:B,2,))/VLOOKUP($U$1,A:B,2,))*100)+100</f>
        <v>85.197368421039116</v>
      </c>
      <c r="I329" s="85">
        <f>(((Table134567891011121314151617343[[#This Row],[FRA]]-VLOOKUP($U$1,A:C,3,))/VLOOKUP($U$1,A:C,3,))*100)+100</f>
        <v>98.614498975509804</v>
      </c>
      <c r="J329" s="85">
        <f>(((Table134567891011121314151617343[[#This Row],[DEU]]-VLOOKUP($U$1,A:D,4,))/VLOOKUP($U$1,A:D,4,))*100)+100</f>
        <v>137.76595744584648</v>
      </c>
      <c r="K329" s="85">
        <f>(((Table134567891011121314151617343[[#This Row],[ESP]]-VLOOKUP($U$1,A:E,5,))/VLOOKUP($U$1,A:E,5,))*100)+100</f>
        <v>86.696646213508458</v>
      </c>
      <c r="L329" s="85">
        <f>(((Table134567891011121314151617343[[#This Row],[EA19]]-VLOOKUP($U$1,A:F,6,))/VLOOKUP($U$1,A:F,6,))*100)+100</f>
        <v>115.7718120805369</v>
      </c>
      <c r="M329" s="85">
        <f>(((Table134567891011121314151617343[[#This Row],[GBR]]-VLOOKUP($U$1,A:G,7,))/VLOOKUP($U$1,A:G,7,))*100)+100</f>
        <v>107.11785297578078</v>
      </c>
      <c r="N329" s="85">
        <f>VLOOKUP(A329,Database!$A:$AS,MATCH($N$1,Database!$A$1:$AS$1,0),FALSE)</f>
        <v>99.154756375999995</v>
      </c>
      <c r="O329" s="85">
        <f>(((Table134567891011121314151617343[[#This Row],[USA]]-VLOOKUP($U$1,A:N,14,))/VLOOKUP($U$1,A:N,14,))*100)+100</f>
        <v>114.15016939453544</v>
      </c>
      <c r="P329" s="85">
        <f>VLOOKUP(A329,Database!$A:$AS,MATCH($P$1,Database!$A$1:$AS$1,0),FALSE)</f>
        <v>103.791350721</v>
      </c>
      <c r="Q329" s="85">
        <f>(((Table134567891011121314151617343[[#This Row],[JPN]]-VLOOKUP($U$1,A:Q,16,))/VLOOKUP($U$1,A:Q,16,))*100)+100</f>
        <v>104.20438651585545</v>
      </c>
    </row>
    <row r="330" spans="1:17" s="87" customFormat="1" x14ac:dyDescent="0.2">
      <c r="A330" s="22">
        <v>42856</v>
      </c>
      <c r="B330" s="85">
        <f>VLOOKUP(A330,Database!$A:$AS,MATCH($B$1,Database!$A$1:$AS$1,0),FALSE)</f>
        <v>104.39130072499999</v>
      </c>
      <c r="C330" s="85">
        <f>VLOOKUP(A330,Database!$A:$AS,MATCH($C$1,Database!$A$1:$AS$1,0),FALSE)</f>
        <v>103.22</v>
      </c>
      <c r="D330" s="85">
        <f>VLOOKUP(A330,Database!$A:$AS,MATCH($D$1,Database!$A$1:$AS$1,0),FALSE)</f>
        <v>104.091325723</v>
      </c>
      <c r="E330" s="85">
        <f>VLOOKUP(A330,Database!$A:$AS,MATCH($E$1,Database!$A$1:$AS$1,0),FALSE)</f>
        <v>105.236087697</v>
      </c>
      <c r="F330" s="85">
        <f>VLOOKUP(A330,Database!$A:$AS,MATCH($F$1,Database!$A$1:$AS$1,0),FALSE)</f>
        <v>103.9</v>
      </c>
      <c r="G330" s="85">
        <f>VLOOKUP(A330,Database!$A:$AS,MATCH($G$1,Database!$A$1:$AS$1,0),FALSE)</f>
        <v>99.265101272999999</v>
      </c>
      <c r="H330" s="85">
        <f>(((Table134567891011121314151617343[[#This Row],[ITA]]-VLOOKUP($U$1,A:B,2,))/VLOOKUP($U$1,A:B,2,))*100)+100</f>
        <v>85.855263157973184</v>
      </c>
      <c r="I330" s="85">
        <f>(((Table134567891011121314151617343[[#This Row],[FRA]]-VLOOKUP($U$1,A:C,3,))/VLOOKUP($U$1,A:C,3,))*100)+100</f>
        <v>100.71226461118158</v>
      </c>
      <c r="J330" s="85">
        <f>(((Table134567891011121314151617343[[#This Row],[DEU]]-VLOOKUP($U$1,A:D,4,))/VLOOKUP($U$1,A:D,4,))*100)+100</f>
        <v>138.43085106312242</v>
      </c>
      <c r="K330" s="85">
        <f>(((Table134567891011121314151617343[[#This Row],[ESP]]-VLOOKUP($U$1,A:E,5,))/VLOOKUP($U$1,A:E,5,))*100)+100</f>
        <v>88.455913255474897</v>
      </c>
      <c r="L330" s="85">
        <f>(((Table134567891011121314151617343[[#This Row],[EA19]]-VLOOKUP($U$1,A:F,6,))/VLOOKUP($U$1,A:F,6,))*100)+100</f>
        <v>116.21923937360179</v>
      </c>
      <c r="M330" s="85">
        <f>(((Table134567891011121314151617343[[#This Row],[GBR]]-VLOOKUP($U$1,A:G,7,))/VLOOKUP($U$1,A:G,7,))*100)+100</f>
        <v>107.70128354740601</v>
      </c>
      <c r="N330" s="85">
        <f>VLOOKUP(A330,Database!$A:$AS,MATCH($N$1,Database!$A$1:$AS$1,0),FALSE)</f>
        <v>99.264480860999996</v>
      </c>
      <c r="O330" s="85">
        <f>(((Table134567891011121314151617343[[#This Row],[USA]]-VLOOKUP($U$1,A:N,14,))/VLOOKUP($U$1,A:N,14,))*100)+100</f>
        <v>114.27648777811336</v>
      </c>
      <c r="P330" s="85">
        <f>VLOOKUP(A330,Database!$A:$AS,MATCH($P$1,Database!$A$1:$AS$1,0),FALSE)</f>
        <v>102.191484043</v>
      </c>
      <c r="Q330" s="85">
        <f>(((Table134567891011121314151617343[[#This Row],[JPN]]-VLOOKUP($U$1,A:Q,16,))/VLOOKUP($U$1,A:Q,16,))*100)+100</f>
        <v>102.59815319747145</v>
      </c>
    </row>
    <row r="331" spans="1:17" s="87" customFormat="1" x14ac:dyDescent="0.2">
      <c r="A331" s="22">
        <v>42887</v>
      </c>
      <c r="B331" s="85">
        <f>VLOOKUP(A331,Database!$A:$AS,MATCH($B$1,Database!$A$1:$AS$1,0),FALSE)</f>
        <v>105.59120073299999</v>
      </c>
      <c r="C331" s="85">
        <f>VLOOKUP(A331,Database!$A:$AS,MATCH($C$1,Database!$A$1:$AS$1,0),FALSE)</f>
        <v>102.05</v>
      </c>
      <c r="D331" s="85">
        <f>VLOOKUP(A331,Database!$A:$AS,MATCH($D$1,Database!$A$1:$AS$1,0),FALSE)</f>
        <v>104.19131738999999</v>
      </c>
      <c r="E331" s="85">
        <f>VLOOKUP(A331,Database!$A:$AS,MATCH($E$1,Database!$A$1:$AS$1,0),FALSE)</f>
        <v>105.04908754100001</v>
      </c>
      <c r="F331" s="85">
        <f>VLOOKUP(A331,Database!$A:$AS,MATCH($F$1,Database!$A$1:$AS$1,0),FALSE)</f>
        <v>103.5</v>
      </c>
      <c r="G331" s="85">
        <f>VLOOKUP(A331,Database!$A:$AS,MATCH($G$1,Database!$A$1:$AS$1,0),FALSE)</f>
        <v>99.372647427999993</v>
      </c>
      <c r="H331" s="85">
        <f>(((Table134567891011121314151617343[[#This Row],[ITA]]-VLOOKUP($U$1,A:B,2,))/VLOOKUP($U$1,A:B,2,))*100)+100</f>
        <v>86.842105262963102</v>
      </c>
      <c r="I331" s="85">
        <f>(((Table134567891011121314151617343[[#This Row],[FRA]]-VLOOKUP($U$1,A:C,3,))/VLOOKUP($U$1,A:C,3,))*100)+100</f>
        <v>99.570689823397402</v>
      </c>
      <c r="J331" s="85">
        <f>(((Table134567891011121314151617343[[#This Row],[DEU]]-VLOOKUP($U$1,A:D,4,))/VLOOKUP($U$1,A:D,4,))*100)+100</f>
        <v>138.56382978604563</v>
      </c>
      <c r="K331" s="85">
        <f>(((Table134567891011121314151617343[[#This Row],[ESP]]-VLOOKUP($U$1,A:E,5,))/VLOOKUP($U$1,A:E,5,))*100)+100</f>
        <v>88.29873077235635</v>
      </c>
      <c r="L331" s="85">
        <f>(((Table134567891011121314151617343[[#This Row],[EA19]]-VLOOKUP($U$1,A:F,6,))/VLOOKUP($U$1,A:F,6,))*100)+100</f>
        <v>115.7718120805369</v>
      </c>
      <c r="M331" s="85">
        <f>(((Table134567891011121314151617343[[#This Row],[GBR]]-VLOOKUP($U$1,A:G,7,))/VLOOKUP($U$1,A:G,7,))*100)+100</f>
        <v>107.81796966151406</v>
      </c>
      <c r="N331" s="85">
        <f>VLOOKUP(A331,Database!$A:$AS,MATCH($N$1,Database!$A$1:$AS$1,0),FALSE)</f>
        <v>99.420295577000005</v>
      </c>
      <c r="O331" s="85">
        <f>(((Table134567891011121314151617343[[#This Row],[USA]]-VLOOKUP($U$1,A:N,14,))/VLOOKUP($U$1,A:N,14,))*100)+100</f>
        <v>114.45586672951853</v>
      </c>
      <c r="P331" s="85">
        <f>VLOOKUP(A331,Database!$A:$AS,MATCH($P$1,Database!$A$1:$AS$1,0),FALSE)</f>
        <v>102.99141738199999</v>
      </c>
      <c r="Q331" s="85">
        <f>(((Table134567891011121314151617343[[#This Row],[JPN]]-VLOOKUP($U$1,A:Q,16,))/VLOOKUP($U$1,A:Q,16,))*100)+100</f>
        <v>103.40126985666343</v>
      </c>
    </row>
    <row r="332" spans="1:17" s="87" customFormat="1" x14ac:dyDescent="0.2">
      <c r="A332" s="22">
        <v>42917</v>
      </c>
      <c r="B332" s="85">
        <f>VLOOKUP(A332,Database!$A:$AS,MATCH($B$1,Database!$A$1:$AS$1,0),FALSE)</f>
        <v>106.391134072</v>
      </c>
      <c r="C332" s="85">
        <f>VLOOKUP(A332,Database!$A:$AS,MATCH($C$1,Database!$A$1:$AS$1,0),FALSE)</f>
        <v>102.61</v>
      </c>
      <c r="D332" s="85">
        <f>VLOOKUP(A332,Database!$A:$AS,MATCH($D$1,Database!$A$1:$AS$1,0),FALSE)</f>
        <v>104.691275727</v>
      </c>
      <c r="E332" s="85">
        <f>VLOOKUP(A332,Database!$A:$AS,MATCH($E$1,Database!$A$1:$AS$1,0),FALSE)</f>
        <v>104.322086935</v>
      </c>
      <c r="F332" s="85">
        <f>VLOOKUP(A332,Database!$A:$AS,MATCH($F$1,Database!$A$1:$AS$1,0),FALSE)</f>
        <v>105</v>
      </c>
      <c r="G332" s="85">
        <f>VLOOKUP(A332,Database!$A:$AS,MATCH($G$1,Database!$A$1:$AS$1,0),FALSE)</f>
        <v>99.910378203999997</v>
      </c>
      <c r="H332" s="85">
        <f>(((Table134567891011121314151617343[[#This Row],[ITA]]-VLOOKUP($U$1,A:B,2,))/VLOOKUP($U$1,A:B,2,))*100)+100</f>
        <v>87.499999999897199</v>
      </c>
      <c r="I332" s="85">
        <f>(((Table134567891011121314151617343[[#This Row],[FRA]]-VLOOKUP($U$1,A:C,3,))/VLOOKUP($U$1,A:C,3,))*100)+100</f>
        <v>100.1170845936189</v>
      </c>
      <c r="J332" s="85">
        <f>(((Table134567891011121314151617343[[#This Row],[DEU]]-VLOOKUP($U$1,A:D,4,))/VLOOKUP($U$1,A:D,4,))*100)+100</f>
        <v>139.22872340332157</v>
      </c>
      <c r="K332" s="85">
        <f>(((Table134567891011121314151617343[[#This Row],[ESP]]-VLOOKUP($U$1,A:E,5,))/VLOOKUP($U$1,A:E,5,))*100)+100</f>
        <v>87.687652349086079</v>
      </c>
      <c r="L332" s="85">
        <f>(((Table134567891011121314151617343[[#This Row],[EA19]]-VLOOKUP($U$1,A:F,6,))/VLOOKUP($U$1,A:F,6,))*100)+100</f>
        <v>117.44966442953019</v>
      </c>
      <c r="M332" s="85">
        <f>(((Table134567891011121314151617343[[#This Row],[GBR]]-VLOOKUP($U$1,A:G,7,))/VLOOKUP($U$1,A:G,7,))*100)+100</f>
        <v>108.40140023313928</v>
      </c>
      <c r="N332" s="85">
        <f>VLOOKUP(A332,Database!$A:$AS,MATCH($N$1,Database!$A$1:$AS$1,0),FALSE)</f>
        <v>99.326132740000006</v>
      </c>
      <c r="O332" s="85">
        <f>(((Table134567891011121314151617343[[#This Row],[USA]]-VLOOKUP($U$1,A:N,14,))/VLOOKUP($U$1,A:N,14,))*100)+100</f>
        <v>114.34746341951029</v>
      </c>
      <c r="P332" s="85">
        <f>VLOOKUP(A332,Database!$A:$AS,MATCH($P$1,Database!$A$1:$AS$1,0),FALSE)</f>
        <v>102.491459045</v>
      </c>
      <c r="Q332" s="85">
        <f>(((Table134567891011121314151617343[[#This Row],[JPN]]-VLOOKUP($U$1,A:Q,16,))/VLOOKUP($U$1,A:Q,16,))*100)+100</f>
        <v>102.89932194454295</v>
      </c>
    </row>
    <row r="333" spans="1:17" s="87" customFormat="1" x14ac:dyDescent="0.2">
      <c r="A333" s="22">
        <v>42948</v>
      </c>
      <c r="B333" s="85">
        <f>VLOOKUP(A333,Database!$A:$AS,MATCH($B$1,Database!$A$1:$AS$1,0),FALSE)</f>
        <v>108.190984085</v>
      </c>
      <c r="C333" s="85">
        <f>VLOOKUP(A333,Database!$A:$AS,MATCH($C$1,Database!$A$1:$AS$1,0),FALSE)</f>
        <v>102.81</v>
      </c>
      <c r="D333" s="85">
        <f>VLOOKUP(A333,Database!$A:$AS,MATCH($D$1,Database!$A$1:$AS$1,0),FALSE)</f>
        <v>106.99108407600001</v>
      </c>
      <c r="E333" s="85">
        <f>VLOOKUP(A333,Database!$A:$AS,MATCH($E$1,Database!$A$1:$AS$1,0),FALSE)</f>
        <v>104.821087351</v>
      </c>
      <c r="F333" s="85">
        <f>VLOOKUP(A333,Database!$A:$AS,MATCH($F$1,Database!$A$1:$AS$1,0),FALSE)</f>
        <v>105.6</v>
      </c>
      <c r="G333" s="85">
        <f>VLOOKUP(A333,Database!$A:$AS,MATCH($G$1,Database!$A$1:$AS$1,0),FALSE)</f>
        <v>100.01792435900001</v>
      </c>
      <c r="H333" s="85">
        <f>(((Table134567891011121314151617343[[#This Row],[ITA]]-VLOOKUP($U$1,A:B,2,))/VLOOKUP($U$1,A:B,2,))*100)+100</f>
        <v>88.980263158204508</v>
      </c>
      <c r="I333" s="85">
        <f>(((Table134567891011121314151617343[[#This Row],[FRA]]-VLOOKUP($U$1,A:C,3,))/VLOOKUP($U$1,A:C,3,))*100)+100</f>
        <v>100.31222558298371</v>
      </c>
      <c r="J333" s="85">
        <f>(((Table134567891011121314151617343[[#This Row],[DEU]]-VLOOKUP($U$1,A:D,4,))/VLOOKUP($U$1,A:D,4,))*100)+100</f>
        <v>142.28723404119501</v>
      </c>
      <c r="K333" s="85">
        <f>(((Table134567891011121314151617343[[#This Row],[ESP]]-VLOOKUP($U$1,A:E,5,))/VLOOKUP($U$1,A:E,5,))*100)+100</f>
        <v>88.107085819847839</v>
      </c>
      <c r="L333" s="85">
        <f>(((Table134567891011121314151617343[[#This Row],[EA19]]-VLOOKUP($U$1,A:F,6,))/VLOOKUP($U$1,A:F,6,))*100)+100</f>
        <v>118.12080536912751</v>
      </c>
      <c r="M333" s="85">
        <f>(((Table134567891011121314151617343[[#This Row],[GBR]]-VLOOKUP($U$1,A:G,7,))/VLOOKUP($U$1,A:G,7,))*100)+100</f>
        <v>108.51808634724735</v>
      </c>
      <c r="N333" s="85">
        <f>VLOOKUP(A333,Database!$A:$AS,MATCH($N$1,Database!$A$1:$AS$1,0),FALSE)</f>
        <v>98.826871464000007</v>
      </c>
      <c r="O333" s="85">
        <f>(((Table134567891011121314151617343[[#This Row],[USA]]-VLOOKUP($U$1,A:N,14,))/VLOOKUP($U$1,A:N,14,))*100)+100</f>
        <v>113.77269765626824</v>
      </c>
      <c r="P333" s="85">
        <f>VLOOKUP(A333,Database!$A:$AS,MATCH($P$1,Database!$A$1:$AS$1,0),FALSE)</f>
        <v>103.791350721</v>
      </c>
      <c r="Q333" s="85">
        <f>(((Table134567891011121314151617343[[#This Row],[JPN]]-VLOOKUP($U$1,A:Q,16,))/VLOOKUP($U$1,A:Q,16,))*100)+100</f>
        <v>104.20438651585545</v>
      </c>
    </row>
    <row r="334" spans="1:17" s="87" customFormat="1" x14ac:dyDescent="0.2">
      <c r="A334" s="22">
        <v>42979</v>
      </c>
      <c r="B334" s="85">
        <f>VLOOKUP(A334,Database!$A:$AS,MATCH($B$1,Database!$A$1:$AS$1,0),FALSE)</f>
        <v>105.191234064</v>
      </c>
      <c r="C334" s="85">
        <f>VLOOKUP(A334,Database!$A:$AS,MATCH($C$1,Database!$A$1:$AS$1,0),FALSE)</f>
        <v>103.72</v>
      </c>
      <c r="D334" s="85">
        <f>VLOOKUP(A334,Database!$A:$AS,MATCH($D$1,Database!$A$1:$AS$1,0),FALSE)</f>
        <v>105.99116740300001</v>
      </c>
      <c r="E334" s="85">
        <f>VLOOKUP(A334,Database!$A:$AS,MATCH($E$1,Database!$A$1:$AS$1,0),FALSE)</f>
        <v>105.429087858</v>
      </c>
      <c r="F334" s="85">
        <f>VLOOKUP(A334,Database!$A:$AS,MATCH($F$1,Database!$A$1:$AS$1,0),FALSE)</f>
        <v>105.2</v>
      </c>
      <c r="G334" s="85">
        <f>VLOOKUP(A334,Database!$A:$AS,MATCH($G$1,Database!$A$1:$AS$1,0),FALSE)</f>
        <v>102.061301308</v>
      </c>
      <c r="H334" s="85">
        <f>(((Table134567891011121314151617343[[#This Row],[ITA]]-VLOOKUP($U$1,A:B,2,))/VLOOKUP($U$1,A:B,2,))*100)+100</f>
        <v>86.51315789490728</v>
      </c>
      <c r="I334" s="85">
        <f>(((Table134567891011121314151617343[[#This Row],[FRA]]-VLOOKUP($U$1,A:C,3,))/VLOOKUP($U$1,A:C,3,))*100)+100</f>
        <v>101.20011708459363</v>
      </c>
      <c r="J334" s="85">
        <f>(((Table134567891011121314151617343[[#This Row],[DEU]]-VLOOKUP($U$1,A:D,4,))/VLOOKUP($U$1,A:D,4,))*100)+100</f>
        <v>140.95744680797304</v>
      </c>
      <c r="K334" s="85">
        <f>(((Table134567891011121314151617343[[#This Row],[ESP]]-VLOOKUP($U$1,A:E,5,))/VLOOKUP($U$1,A:E,5,))*100)+100</f>
        <v>88.61813902681736</v>
      </c>
      <c r="L334" s="85">
        <f>(((Table134567891011121314151617343[[#This Row],[EA19]]-VLOOKUP($U$1,A:F,6,))/VLOOKUP($U$1,A:F,6,))*100)+100</f>
        <v>117.67337807606263</v>
      </c>
      <c r="M334" s="85">
        <f>(((Table134567891011121314151617343[[#This Row],[GBR]]-VLOOKUP($U$1,A:G,7,))/VLOOKUP($U$1,A:G,7,))*100)+100</f>
        <v>110.7351225196402</v>
      </c>
      <c r="N334" s="85">
        <f>VLOOKUP(A334,Database!$A:$AS,MATCH($N$1,Database!$A$1:$AS$1,0),FALSE)</f>
        <v>98.869492536999999</v>
      </c>
      <c r="O334" s="85">
        <f>(((Table134567891011121314151617343[[#This Row],[USA]]-VLOOKUP($U$1,A:N,14,))/VLOOKUP($U$1,A:N,14,))*100)+100</f>
        <v>113.82176441696176</v>
      </c>
      <c r="P334" s="85">
        <f>VLOOKUP(A334,Database!$A:$AS,MATCH($P$1,Database!$A$1:$AS$1,0),FALSE)</f>
        <v>102.591450712</v>
      </c>
      <c r="Q334" s="85">
        <f>(((Table134567891011121314151617343[[#This Row],[JPN]]-VLOOKUP($U$1,A:Q,16,))/VLOOKUP($U$1,A:Q,16,))*100)+100</f>
        <v>102.99971152656545</v>
      </c>
    </row>
    <row r="335" spans="1:17" s="87" customFormat="1" x14ac:dyDescent="0.2">
      <c r="A335" s="22">
        <v>43009</v>
      </c>
      <c r="B335" s="85">
        <f>VLOOKUP(A335,Database!$A:$AS,MATCH($B$1,Database!$A$1:$AS$1,0),FALSE)</f>
        <v>105.691192401</v>
      </c>
      <c r="C335" s="85">
        <f>VLOOKUP(A335,Database!$A:$AS,MATCH($C$1,Database!$A$1:$AS$1,0),FALSE)</f>
        <v>104.11</v>
      </c>
      <c r="D335" s="85">
        <f>VLOOKUP(A335,Database!$A:$AS,MATCH($D$1,Database!$A$1:$AS$1,0),FALSE)</f>
        <v>104.291309058</v>
      </c>
      <c r="E335" s="85">
        <f>VLOOKUP(A335,Database!$A:$AS,MATCH($E$1,Database!$A$1:$AS$1,0),FALSE)</f>
        <v>105.655088046</v>
      </c>
      <c r="F335" s="85">
        <f>VLOOKUP(A335,Database!$A:$AS,MATCH($F$1,Database!$A$1:$AS$1,0),FALSE)</f>
        <v>105</v>
      </c>
      <c r="G335" s="85">
        <f>VLOOKUP(A335,Database!$A:$AS,MATCH($G$1,Database!$A$1:$AS$1,0),FALSE)</f>
        <v>103.244309016</v>
      </c>
      <c r="H335" s="85">
        <f>(((Table134567891011121314151617343[[#This Row],[ITA]]-VLOOKUP($U$1,A:B,2,))/VLOOKUP($U$1,A:B,2,))*100)+100</f>
        <v>86.924342105593894</v>
      </c>
      <c r="I335" s="85">
        <f>(((Table134567891011121314151617343[[#This Row],[FRA]]-VLOOKUP($U$1,A:C,3,))/VLOOKUP($U$1,A:C,3,))*100)+100</f>
        <v>101.58064201385501</v>
      </c>
      <c r="J335" s="85">
        <f>(((Table134567891011121314151617343[[#This Row],[DEU]]-VLOOKUP($U$1,A:D,4,))/VLOOKUP($U$1,A:D,4,))*100)+100</f>
        <v>138.69680851029875</v>
      </c>
      <c r="K335" s="85">
        <f>(((Table134567891011121314151617343[[#This Row],[ESP]]-VLOOKUP($U$1,A:E,5,))/VLOOKUP($U$1,A:E,5,))*100)+100</f>
        <v>88.808102882971042</v>
      </c>
      <c r="L335" s="85">
        <f>(((Table134567891011121314151617343[[#This Row],[EA19]]-VLOOKUP($U$1,A:F,6,))/VLOOKUP($U$1,A:F,6,))*100)+100</f>
        <v>117.44966442953019</v>
      </c>
      <c r="M335" s="85">
        <f>(((Table134567891011121314151617343[[#This Row],[GBR]]-VLOOKUP($U$1,A:G,7,))/VLOOKUP($U$1,A:G,7,))*100)+100</f>
        <v>112.01866977808371</v>
      </c>
      <c r="N335" s="85">
        <f>VLOOKUP(A335,Database!$A:$AS,MATCH($N$1,Database!$A$1:$AS$1,0),FALSE)</f>
        <v>100.09806976900001</v>
      </c>
      <c r="O335" s="85">
        <f>(((Table134567891011121314151617343[[#This Row],[USA]]-VLOOKUP($U$1,A:N,14,))/VLOOKUP($U$1,A:N,14,))*100)+100</f>
        <v>115.23614234771138</v>
      </c>
      <c r="P335" s="85">
        <f>VLOOKUP(A335,Database!$A:$AS,MATCH($P$1,Database!$A$1:$AS$1,0),FALSE)</f>
        <v>103.19140071699999</v>
      </c>
      <c r="Q335" s="85">
        <f>(((Table134567891011121314151617343[[#This Row],[JPN]]-VLOOKUP($U$1,A:Q,16,))/VLOOKUP($U$1,A:Q,16,))*100)+100</f>
        <v>103.60204902171243</v>
      </c>
    </row>
    <row r="336" spans="1:17" s="87" customFormat="1" x14ac:dyDescent="0.2">
      <c r="A336" s="22">
        <v>43040</v>
      </c>
      <c r="B336" s="85">
        <f>VLOOKUP(A336,Database!$A:$AS,MATCH($B$1,Database!$A$1:$AS$1,0),FALSE)</f>
        <v>107.391050746</v>
      </c>
      <c r="C336" s="85">
        <f>VLOOKUP(A336,Database!$A:$AS,MATCH($C$1,Database!$A$1:$AS$1,0),FALSE)</f>
        <v>104.69</v>
      </c>
      <c r="D336" s="85">
        <f>VLOOKUP(A336,Database!$A:$AS,MATCH($D$1,Database!$A$1:$AS$1,0),FALSE)</f>
        <v>108.29097575199999</v>
      </c>
      <c r="E336" s="85">
        <f>VLOOKUP(A336,Database!$A:$AS,MATCH($E$1,Database!$A$1:$AS$1,0),FALSE)</f>
        <v>107.504089587</v>
      </c>
      <c r="F336" s="85">
        <f>VLOOKUP(A336,Database!$A:$AS,MATCH($F$1,Database!$A$1:$AS$1,0),FALSE)</f>
        <v>107.4</v>
      </c>
      <c r="G336" s="85">
        <f>VLOOKUP(A336,Database!$A:$AS,MATCH($G$1,Database!$A$1:$AS$1,0),FALSE)</f>
        <v>103.029216706</v>
      </c>
      <c r="H336" s="85">
        <f>(((Table134567891011121314151617343[[#This Row],[ITA]]-VLOOKUP($U$1,A:B,2,))/VLOOKUP($U$1,A:B,2,))*100)+100</f>
        <v>88.322368421270426</v>
      </c>
      <c r="I336" s="85">
        <f>(((Table134567891011121314151617343[[#This Row],[FRA]]-VLOOKUP($U$1,A:C,3,))/VLOOKUP($U$1,A:C,3,))*100)+100</f>
        <v>102.14655088301298</v>
      </c>
      <c r="J336" s="85">
        <f>(((Table134567891011121314151617343[[#This Row],[DEU]]-VLOOKUP($U$1,A:D,4,))/VLOOKUP($U$1,A:D,4,))*100)+100</f>
        <v>144.01595744584645</v>
      </c>
      <c r="K336" s="85">
        <f>(((Table134567891011121314151617343[[#This Row],[ESP]]-VLOOKUP($U$1,A:E,5,))/VLOOKUP($U$1,A:E,5,))*100)+100</f>
        <v>90.362276204112064</v>
      </c>
      <c r="L336" s="85">
        <f>(((Table134567891011121314151617343[[#This Row],[EA19]]-VLOOKUP($U$1,A:F,6,))/VLOOKUP($U$1,A:F,6,))*100)+100</f>
        <v>120.13422818791946</v>
      </c>
      <c r="M336" s="85">
        <f>(((Table134567891011121314151617343[[#This Row],[GBR]]-VLOOKUP($U$1,A:G,7,))/VLOOKUP($U$1,A:G,7,))*100)+100</f>
        <v>111.78529754986761</v>
      </c>
      <c r="N336" s="85">
        <f>VLOOKUP(A336,Database!$A:$AS,MATCH($N$1,Database!$A$1:$AS$1,0),FALSE)</f>
        <v>100.380558282</v>
      </c>
      <c r="O336" s="85">
        <f>(((Table134567891011121314151617343[[#This Row],[USA]]-VLOOKUP($U$1,A:N,14,))/VLOOKUP($U$1,A:N,14,))*100)+100</f>
        <v>115.56135228003859</v>
      </c>
      <c r="P336" s="85">
        <f>VLOOKUP(A336,Database!$A:$AS,MATCH($P$1,Database!$A$1:$AS$1,0),FALSE)</f>
        <v>103.991334055</v>
      </c>
      <c r="Q336" s="85">
        <f>(((Table134567891011121314151617343[[#This Row],[JPN]]-VLOOKUP($U$1,A:Q,16,))/VLOOKUP($U$1,A:Q,16,))*100)+100</f>
        <v>104.40516567990045</v>
      </c>
    </row>
    <row r="337" spans="1:17" s="87" customFormat="1" x14ac:dyDescent="0.2">
      <c r="A337" s="22">
        <v>43070</v>
      </c>
      <c r="B337" s="85">
        <f>VLOOKUP(A337,Database!$A:$AS,MATCH($B$1,Database!$A$1:$AS$1,0),FALSE)</f>
        <v>110.590784101</v>
      </c>
      <c r="C337" s="85">
        <f>VLOOKUP(A337,Database!$A:$AS,MATCH($C$1,Database!$A$1:$AS$1,0),FALSE)</f>
        <v>105.7</v>
      </c>
      <c r="D337" s="85">
        <f>VLOOKUP(A337,Database!$A:$AS,MATCH($D$1,Database!$A$1:$AS$1,0),FALSE)</f>
        <v>107.791017415</v>
      </c>
      <c r="E337" s="85">
        <f>VLOOKUP(A337,Database!$A:$AS,MATCH($E$1,Database!$A$1:$AS$1,0),FALSE)</f>
        <v>109.79609149700001</v>
      </c>
      <c r="F337" s="85">
        <f>VLOOKUP(A337,Database!$A:$AS,MATCH($F$1,Database!$A$1:$AS$1,0),FALSE)</f>
        <v>108</v>
      </c>
      <c r="G337" s="85">
        <f>VLOOKUP(A337,Database!$A:$AS,MATCH($G$1,Database!$A$1:$AS$1,0),FALSE)</f>
        <v>101.52357053199999</v>
      </c>
      <c r="H337" s="85">
        <f>(((Table134567891011121314151617343[[#This Row],[ITA]]-VLOOKUP($U$1,A:B,2,))/VLOOKUP($U$1,A:B,2,))*100)+100</f>
        <v>90.95394736818433</v>
      </c>
      <c r="I337" s="85">
        <f>(((Table134567891011121314151617343[[#This Row],[FRA]]-VLOOKUP($U$1,A:C,3,))/VLOOKUP($U$1,A:C,3,))*100)+100</f>
        <v>103.13201287930531</v>
      </c>
      <c r="J337" s="85">
        <f>(((Table134567891011121314151617343[[#This Row],[DEU]]-VLOOKUP($U$1,A:D,4,))/VLOOKUP($U$1,A:D,4,))*100)+100</f>
        <v>143.35106382857055</v>
      </c>
      <c r="K337" s="85">
        <f>(((Table134567891011121314151617343[[#This Row],[ESP]]-VLOOKUP($U$1,A:E,5,))/VLOOKUP($U$1,A:E,5,))*100)+100</f>
        <v>92.288812305644882</v>
      </c>
      <c r="L337" s="85">
        <f>(((Table134567891011121314151617343[[#This Row],[EA19]]-VLOOKUP($U$1,A:F,6,))/VLOOKUP($U$1,A:F,6,))*100)+100</f>
        <v>120.80536912751677</v>
      </c>
      <c r="M337" s="85">
        <f>(((Table134567891011121314151617343[[#This Row],[GBR]]-VLOOKUP($U$1,A:G,7,))/VLOOKUP($U$1,A:G,7,))*100)+100</f>
        <v>110.15169194801497</v>
      </c>
      <c r="N337" s="85">
        <f>VLOOKUP(A337,Database!$A:$AS,MATCH($N$1,Database!$A$1:$AS$1,0),FALSE)</f>
        <v>100.476307019</v>
      </c>
      <c r="O337" s="85">
        <f>(((Table134567891011121314151617343[[#This Row],[USA]]-VLOOKUP($U$1,A:N,14,))/VLOOKUP($U$1,A:N,14,))*100)+100</f>
        <v>115.67158132952984</v>
      </c>
      <c r="P337" s="85">
        <f>VLOOKUP(A337,Database!$A:$AS,MATCH($P$1,Database!$A$1:$AS$1,0),FALSE)</f>
        <v>105.491209066</v>
      </c>
      <c r="Q337" s="85">
        <f>(((Table134567891011121314151617343[[#This Row],[JPN]]-VLOOKUP($U$1,A:Q,16,))/VLOOKUP($U$1,A:Q,16,))*100)+100</f>
        <v>105.91100941626195</v>
      </c>
    </row>
    <row r="338" spans="1:17" s="87" customFormat="1" x14ac:dyDescent="0.2">
      <c r="A338" s="22">
        <v>43101</v>
      </c>
      <c r="B338" s="85">
        <f>VLOOKUP(A338,Database!$A:$AS,MATCH($B$1,Database!$A$1:$AS$1,0),FALSE)</f>
        <v>106.291142405</v>
      </c>
      <c r="C338" s="85">
        <f>VLOOKUP(A338,Database!$A:$AS,MATCH($C$1,Database!$A$1:$AS$1,0),FALSE)</f>
        <v>102</v>
      </c>
      <c r="D338" s="85">
        <f>VLOOKUP(A338,Database!$A:$AS,MATCH($D$1,Database!$A$1:$AS$1,0),FALSE)</f>
        <v>107.09107574399999</v>
      </c>
      <c r="E338" s="85">
        <f>VLOOKUP(A338,Database!$A:$AS,MATCH($E$1,Database!$A$1:$AS$1,0),FALSE)</f>
        <v>104.07508672900001</v>
      </c>
      <c r="F338" s="85">
        <f>VLOOKUP(A338,Database!$A:$AS,MATCH($F$1,Database!$A$1:$AS$1,0),FALSE)</f>
        <v>105.9</v>
      </c>
      <c r="G338" s="85">
        <f>VLOOKUP(A338,Database!$A:$AS,MATCH($G$1,Database!$A$1:$AS$1,0),FALSE)</f>
        <v>99.802832049000003</v>
      </c>
      <c r="H338" s="85">
        <f>(((Table134567891011121314151617343[[#This Row],[ITA]]-VLOOKUP($U$1,A:B,2,))/VLOOKUP($U$1,A:B,2,))*100)+100</f>
        <v>87.41776315808886</v>
      </c>
      <c r="I338" s="85">
        <f>(((Table134567891011121314151617343[[#This Row],[FRA]]-VLOOKUP($U$1,A:C,3,))/VLOOKUP($U$1,A:C,3,))*100)+100</f>
        <v>99.521904576056201</v>
      </c>
      <c r="J338" s="85">
        <f>(((Table134567891011121314151617343[[#This Row],[DEU]]-VLOOKUP($U$1,A:D,4,))/VLOOKUP($U$1,A:D,4,))*100)+100</f>
        <v>142.42021276544813</v>
      </c>
      <c r="K338" s="85">
        <f>(((Table134567891011121314151617343[[#This Row],[ESP]]-VLOOKUP($U$1,A:E,5,))/VLOOKUP($U$1,A:E,5,))*100)+100</f>
        <v>87.480036983728453</v>
      </c>
      <c r="L338" s="85">
        <f>(((Table134567891011121314151617343[[#This Row],[EA19]]-VLOOKUP($U$1,A:F,6,))/VLOOKUP($U$1,A:F,6,))*100)+100</f>
        <v>118.45637583892618</v>
      </c>
      <c r="M338" s="85">
        <f>(((Table134567891011121314151617343[[#This Row],[GBR]]-VLOOKUP($U$1,A:G,7,))/VLOOKUP($U$1,A:G,7,))*100)+100</f>
        <v>108.28471411903124</v>
      </c>
      <c r="N338" s="85">
        <f>VLOOKUP(A338,Database!$A:$AS,MATCH($N$1,Database!$A$1:$AS$1,0),FALSE)</f>
        <v>100.462925985</v>
      </c>
      <c r="O338" s="85">
        <f>(((Table134567891011121314151617343[[#This Row],[USA]]-VLOOKUP($U$1,A:N,14,))/VLOOKUP($U$1,A:N,14,))*100)+100</f>
        <v>115.65617664947615</v>
      </c>
      <c r="P338" s="85">
        <f>VLOOKUP(A338,Database!$A:$AS,MATCH($P$1,Database!$A$1:$AS$1,0),FALSE)</f>
        <v>101.291559037</v>
      </c>
      <c r="Q338" s="85">
        <f>(((Table134567891011121314151617343[[#This Row],[JPN]]-VLOOKUP($U$1,A:Q,16,))/VLOOKUP($U$1,A:Q,16,))*100)+100</f>
        <v>101.69464695625693</v>
      </c>
    </row>
    <row r="339" spans="1:17" s="87" customFormat="1" x14ac:dyDescent="0.2">
      <c r="A339" s="22">
        <v>43132</v>
      </c>
      <c r="B339" s="85">
        <f>VLOOKUP(A339,Database!$A:$AS,MATCH($B$1,Database!$A$1:$AS$1,0),FALSE)</f>
        <v>105.99116740300001</v>
      </c>
      <c r="C339" s="85">
        <f>VLOOKUP(A339,Database!$A:$AS,MATCH($C$1,Database!$A$1:$AS$1,0),FALSE)</f>
        <v>103.27</v>
      </c>
      <c r="D339" s="85">
        <f>VLOOKUP(A339,Database!$A:$AS,MATCH($D$1,Database!$A$1:$AS$1,0),FALSE)</f>
        <v>105.491209066</v>
      </c>
      <c r="E339" s="85">
        <f>VLOOKUP(A339,Database!$A:$AS,MATCH($E$1,Database!$A$1:$AS$1,0),FALSE)</f>
        <v>106.170088475</v>
      </c>
      <c r="F339" s="85">
        <f>VLOOKUP(A339,Database!$A:$AS,MATCH($F$1,Database!$A$1:$AS$1,0),FALSE)</f>
        <v>105.2</v>
      </c>
      <c r="G339" s="85">
        <f>VLOOKUP(A339,Database!$A:$AS,MATCH($G$1,Database!$A$1:$AS$1,0),FALSE)</f>
        <v>99.372647427999993</v>
      </c>
      <c r="H339" s="85">
        <f>(((Table134567891011121314151617343[[#This Row],[ITA]]-VLOOKUP($U$1,A:B,2,))/VLOOKUP($U$1,A:B,2,))*100)+100</f>
        <v>87.171052631841377</v>
      </c>
      <c r="I339" s="85">
        <f>(((Table134567891011121314151617343[[#This Row],[FRA]]-VLOOKUP($U$1,A:C,3,))/VLOOKUP($U$1,A:C,3,))*100)+100</f>
        <v>100.76104985852278</v>
      </c>
      <c r="J339" s="85">
        <f>(((Table134567891011121314151617343[[#This Row],[DEU]]-VLOOKUP($U$1,A:D,4,))/VLOOKUP($U$1,A:D,4,))*100)+100</f>
        <v>140.29255319069711</v>
      </c>
      <c r="K339" s="85">
        <f>(((Table134567891011121314151617343[[#This Row],[ESP]]-VLOOKUP($U$1,A:E,5,))/VLOOKUP($U$1,A:E,5,))*100)+100</f>
        <v>89.240985122049707</v>
      </c>
      <c r="L339" s="85">
        <f>(((Table134567891011121314151617343[[#This Row],[EA19]]-VLOOKUP($U$1,A:F,6,))/VLOOKUP($U$1,A:F,6,))*100)+100</f>
        <v>117.67337807606263</v>
      </c>
      <c r="M339" s="85">
        <f>(((Table134567891011121314151617343[[#This Row],[GBR]]-VLOOKUP($U$1,A:G,7,))/VLOOKUP($U$1,A:G,7,))*100)+100</f>
        <v>107.81796966151406</v>
      </c>
      <c r="N339" s="85">
        <f>VLOOKUP(A339,Database!$A:$AS,MATCH($N$1,Database!$A$1:$AS$1,0),FALSE)</f>
        <v>100.753740474</v>
      </c>
      <c r="O339" s="85">
        <f>(((Table134567891011121314151617343[[#This Row],[USA]]-VLOOKUP($U$1,A:N,14,))/VLOOKUP($U$1,A:N,14,))*100)+100</f>
        <v>115.99097171524033</v>
      </c>
      <c r="P339" s="85">
        <f>VLOOKUP(A339,Database!$A:$AS,MATCH($P$1,Database!$A$1:$AS$1,0),FALSE)</f>
        <v>103.791350721</v>
      </c>
      <c r="Q339" s="85">
        <f>(((Table134567891011121314151617343[[#This Row],[JPN]]-VLOOKUP($U$1,A:Q,16,))/VLOOKUP($U$1,A:Q,16,))*100)+100</f>
        <v>104.20438651585545</v>
      </c>
    </row>
    <row r="340" spans="1:17" s="87" customFormat="1" x14ac:dyDescent="0.2">
      <c r="A340" s="22">
        <v>43160</v>
      </c>
      <c r="B340" s="85">
        <f>VLOOKUP(A340,Database!$A:$AS,MATCH($B$1,Database!$A$1:$AS$1,0),FALSE)</f>
        <v>107.59103408</v>
      </c>
      <c r="C340" s="85">
        <f>VLOOKUP(A340,Database!$A:$AS,MATCH($C$1,Database!$A$1:$AS$1,0),FALSE)</f>
        <v>104.28</v>
      </c>
      <c r="D340" s="85">
        <f>VLOOKUP(A340,Database!$A:$AS,MATCH($D$1,Database!$A$1:$AS$1,0),FALSE)</f>
        <v>106.691109074</v>
      </c>
      <c r="E340" s="85">
        <f>VLOOKUP(A340,Database!$A:$AS,MATCH($E$1,Database!$A$1:$AS$1,0),FALSE)</f>
        <v>108.118090098</v>
      </c>
      <c r="F340" s="85">
        <f>VLOOKUP(A340,Database!$A:$AS,MATCH($F$1,Database!$A$1:$AS$1,0),FALSE)</f>
        <v>105.4</v>
      </c>
      <c r="G340" s="85">
        <f>VLOOKUP(A340,Database!$A:$AS,MATCH($G$1,Database!$A$1:$AS$1,0),FALSE)</f>
        <v>99.802832049000003</v>
      </c>
      <c r="H340" s="85">
        <f>(((Table134567891011121314151617343[[#This Row],[ITA]]-VLOOKUP($U$1,A:B,2,))/VLOOKUP($U$1,A:B,2,))*100)+100</f>
        <v>88.486842104887117</v>
      </c>
      <c r="I340" s="85">
        <f>(((Table134567891011121314151617343[[#This Row],[FRA]]-VLOOKUP($U$1,A:C,3,))/VLOOKUP($U$1,A:C,3,))*100)+100</f>
        <v>101.74651185481511</v>
      </c>
      <c r="J340" s="85">
        <f>(((Table134567891011121314151617343[[#This Row],[DEU]]-VLOOKUP($U$1,A:D,4,))/VLOOKUP($U$1,A:D,4,))*100)+100</f>
        <v>141.8882978710954</v>
      </c>
      <c r="K340" s="85">
        <f>(((Table134567891011121314151617343[[#This Row],[ESP]]-VLOOKUP($U$1,A:E,5,))/VLOOKUP($U$1,A:E,5,))*100)+100</f>
        <v>90.878372698464943</v>
      </c>
      <c r="L340" s="85">
        <f>(((Table134567891011121314151617343[[#This Row],[EA19]]-VLOOKUP($U$1,A:F,6,))/VLOOKUP($U$1,A:F,6,))*100)+100</f>
        <v>117.89709172259508</v>
      </c>
      <c r="M340" s="85">
        <f>(((Table134567891011121314151617343[[#This Row],[GBR]]-VLOOKUP($U$1,A:G,7,))/VLOOKUP($U$1,A:G,7,))*100)+100</f>
        <v>108.28471411903124</v>
      </c>
      <c r="N340" s="85">
        <f>VLOOKUP(A340,Database!$A:$AS,MATCH($N$1,Database!$A$1:$AS$1,0),FALSE)</f>
        <v>101.39652573799999</v>
      </c>
      <c r="O340" s="85">
        <f>(((Table134567891011121314151617343[[#This Row],[USA]]-VLOOKUP($U$1,A:N,14,))/VLOOKUP($U$1,A:N,14,))*100)+100</f>
        <v>116.73096694544061</v>
      </c>
      <c r="P340" s="85">
        <f>VLOOKUP(A340,Database!$A:$AS,MATCH($P$1,Database!$A$1:$AS$1,0),FALSE)</f>
        <v>104.891259062</v>
      </c>
      <c r="Q340" s="85">
        <f>(((Table134567891011121314151617343[[#This Row],[JPN]]-VLOOKUP($U$1,A:Q,16,))/VLOOKUP($U$1,A:Q,16,))*100)+100</f>
        <v>105.30867192211895</v>
      </c>
    </row>
    <row r="341" spans="1:17" s="87" customFormat="1" x14ac:dyDescent="0.2">
      <c r="A341" s="22">
        <v>43191</v>
      </c>
      <c r="B341" s="85">
        <f>VLOOKUP(A341,Database!$A:$AS,MATCH($B$1,Database!$A$1:$AS$1,0),FALSE)</f>
        <v>105.99116740300001</v>
      </c>
      <c r="C341" s="85">
        <f>VLOOKUP(A341,Database!$A:$AS,MATCH($C$1,Database!$A$1:$AS$1,0),FALSE)</f>
        <v>102.91</v>
      </c>
      <c r="D341" s="85">
        <f>VLOOKUP(A341,Database!$A:$AS,MATCH($D$1,Database!$A$1:$AS$1,0),FALSE)</f>
        <v>106.09115907</v>
      </c>
      <c r="E341" s="85">
        <f>VLOOKUP(A341,Database!$A:$AS,MATCH($E$1,Database!$A$1:$AS$1,0),FALSE)</f>
        <v>104.76708730599999</v>
      </c>
      <c r="F341" s="85">
        <f>VLOOKUP(A341,Database!$A:$AS,MATCH($F$1,Database!$A$1:$AS$1,0),FALSE)</f>
        <v>105.1</v>
      </c>
      <c r="G341" s="85">
        <f>VLOOKUP(A341,Database!$A:$AS,MATCH($G$1,Database!$A$1:$AS$1,0),FALSE)</f>
        <v>100.985839756</v>
      </c>
      <c r="H341" s="85">
        <f>(((Table134567891011121314151617343[[#This Row],[ITA]]-VLOOKUP($U$1,A:B,2,))/VLOOKUP($U$1,A:B,2,))*100)+100</f>
        <v>87.171052631841377</v>
      </c>
      <c r="I341" s="85">
        <f>(((Table134567891011121314151617343[[#This Row],[FRA]]-VLOOKUP($U$1,A:C,3,))/VLOOKUP($U$1,A:C,3,))*100)+100</f>
        <v>100.40979607766612</v>
      </c>
      <c r="J341" s="85">
        <f>(((Table134567891011121314151617343[[#This Row],[DEU]]-VLOOKUP($U$1,A:D,4,))/VLOOKUP($U$1,A:D,4,))*100)+100</f>
        <v>141.09042553089625</v>
      </c>
      <c r="K341" s="85">
        <f>(((Table134567891011121314151617343[[#This Row],[ESP]]-VLOOKUP($U$1,A:E,5,))/VLOOKUP($U$1,A:E,5,))*100)+100</f>
        <v>88.061696225832662</v>
      </c>
      <c r="L341" s="85">
        <f>(((Table134567891011121314151617343[[#This Row],[EA19]]-VLOOKUP($U$1,A:F,6,))/VLOOKUP($U$1,A:F,6,))*100)+100</f>
        <v>117.56152125279641</v>
      </c>
      <c r="M341" s="85">
        <f>(((Table134567891011121314151617343[[#This Row],[GBR]]-VLOOKUP($U$1,A:G,7,))/VLOOKUP($U$1,A:G,7,))*100)+100</f>
        <v>109.56826137638976</v>
      </c>
      <c r="N341" s="85">
        <f>VLOOKUP(A341,Database!$A:$AS,MATCH($N$1,Database!$A$1:$AS$1,0),FALSE)</f>
        <v>102.498230936</v>
      </c>
      <c r="O341" s="85">
        <f>(((Table134567891011121314151617343[[#This Row],[USA]]-VLOOKUP($U$1,A:N,14,))/VLOOKUP($U$1,A:N,14,))*100)+100</f>
        <v>117.99928567840843</v>
      </c>
      <c r="P341" s="85">
        <f>VLOOKUP(A341,Database!$A:$AS,MATCH($P$1,Database!$A$1:$AS$1,0),FALSE)</f>
        <v>104.291309058</v>
      </c>
      <c r="Q341" s="85">
        <f>(((Table134567891011121314151617343[[#This Row],[JPN]]-VLOOKUP($U$1,A:Q,16,))/VLOOKUP($U$1,A:Q,16,))*100)+100</f>
        <v>104.70633442797593</v>
      </c>
    </row>
    <row r="342" spans="1:17" s="87" customFormat="1" x14ac:dyDescent="0.2">
      <c r="A342" s="22">
        <v>43221</v>
      </c>
      <c r="B342" s="85">
        <f>VLOOKUP(A342,Database!$A:$AS,MATCH($B$1,Database!$A$1:$AS$1,0),FALSE)</f>
        <v>106.791100742</v>
      </c>
      <c r="C342" s="85">
        <f>VLOOKUP(A342,Database!$A:$AS,MATCH($C$1,Database!$A$1:$AS$1,0),FALSE)</f>
        <v>101.89</v>
      </c>
      <c r="D342" s="85">
        <f>VLOOKUP(A342,Database!$A:$AS,MATCH($D$1,Database!$A$1:$AS$1,0),FALSE)</f>
        <v>107.99100075</v>
      </c>
      <c r="E342" s="85">
        <f>VLOOKUP(A342,Database!$A:$AS,MATCH($E$1,Database!$A$1:$AS$1,0),FALSE)</f>
        <v>106.922089102</v>
      </c>
      <c r="F342" s="85">
        <f>VLOOKUP(A342,Database!$A:$AS,MATCH($F$1,Database!$A$1:$AS$1,0),FALSE)</f>
        <v>106.5</v>
      </c>
      <c r="G342" s="85">
        <f>VLOOKUP(A342,Database!$A:$AS,MATCH($G$1,Database!$A$1:$AS$1,0),FALSE)</f>
        <v>101.953755153</v>
      </c>
      <c r="H342" s="85">
        <f>(((Table134567891011121314151617343[[#This Row],[ITA]]-VLOOKUP($U$1,A:B,2,))/VLOOKUP($U$1,A:B,2,))*100)+100</f>
        <v>87.828947368775459</v>
      </c>
      <c r="I342" s="85">
        <f>(((Table134567891011121314151617343[[#This Row],[FRA]]-VLOOKUP($U$1,A:C,3,))/VLOOKUP($U$1,A:C,3,))*100)+100</f>
        <v>99.414577031905552</v>
      </c>
      <c r="J342" s="85">
        <f>(((Table134567891011121314151617343[[#This Row],[DEU]]-VLOOKUP($U$1,A:D,4,))/VLOOKUP($U$1,A:D,4,))*100)+100</f>
        <v>143.61702127574688</v>
      </c>
      <c r="K342" s="85">
        <f>(((Table134567891011121314151617343[[#This Row],[ESP]]-VLOOKUP($U$1,A:E,5,))/VLOOKUP($U$1,A:E,5,))*100)+100</f>
        <v>89.873077246393009</v>
      </c>
      <c r="L342" s="85">
        <f>(((Table134567891011121314151617343[[#This Row],[EA19]]-VLOOKUP($U$1,A:F,6,))/VLOOKUP($U$1,A:F,6,))*100)+100</f>
        <v>119.12751677852349</v>
      </c>
      <c r="M342" s="85">
        <f>(((Table134567891011121314151617343[[#This Row],[GBR]]-VLOOKUP($U$1,A:G,7,))/VLOOKUP($U$1,A:G,7,))*100)+100</f>
        <v>110.61843640553217</v>
      </c>
      <c r="N342" s="85">
        <f>VLOOKUP(A342,Database!$A:$AS,MATCH($N$1,Database!$A$1:$AS$1,0),FALSE)</f>
        <v>101.63718612700001</v>
      </c>
      <c r="O342" s="85">
        <f>(((Table134567891011121314151617343[[#This Row],[USA]]-VLOOKUP($U$1,A:N,14,))/VLOOKUP($U$1,A:N,14,))*100)+100</f>
        <v>117.00802298566458</v>
      </c>
      <c r="P342" s="85">
        <f>VLOOKUP(A342,Database!$A:$AS,MATCH($P$1,Database!$A$1:$AS$1,0),FALSE)</f>
        <v>104.59128406000001</v>
      </c>
      <c r="Q342" s="85">
        <f>(((Table134567891011121314151617343[[#This Row],[JPN]]-VLOOKUP($U$1,A:Q,16,))/VLOOKUP($U$1,A:Q,16,))*100)+100</f>
        <v>105.00750317504745</v>
      </c>
    </row>
    <row r="343" spans="1:17" s="87" customFormat="1" x14ac:dyDescent="0.2">
      <c r="A343" s="22">
        <v>43252</v>
      </c>
      <c r="B343" s="85">
        <f>VLOOKUP(A343,Database!$A:$AS,MATCH($B$1,Database!$A$1:$AS$1,0),FALSE)</f>
        <v>107.09107574399999</v>
      </c>
      <c r="C343" s="85">
        <f>VLOOKUP(A343,Database!$A:$AS,MATCH($C$1,Database!$A$1:$AS$1,0),FALSE)</f>
        <v>103.8</v>
      </c>
      <c r="D343" s="85">
        <f>VLOOKUP(A343,Database!$A:$AS,MATCH($D$1,Database!$A$1:$AS$1,0),FALSE)</f>
        <v>107.891009083</v>
      </c>
      <c r="E343" s="85">
        <f>VLOOKUP(A343,Database!$A:$AS,MATCH($E$1,Database!$A$1:$AS$1,0),FALSE)</f>
        <v>105.77008814200001</v>
      </c>
      <c r="F343" s="85">
        <f>VLOOKUP(A343,Database!$A:$AS,MATCH($F$1,Database!$A$1:$AS$1,0),FALSE)</f>
        <v>106.3</v>
      </c>
      <c r="G343" s="85">
        <f>VLOOKUP(A343,Database!$A:$AS,MATCH($G$1,Database!$A$1:$AS$1,0),FALSE)</f>
        <v>104.642409034</v>
      </c>
      <c r="H343" s="85">
        <f>(((Table134567891011121314151617343[[#This Row],[ITA]]-VLOOKUP($U$1,A:B,2,))/VLOOKUP($U$1,A:B,2,))*100)+100</f>
        <v>88.075657895022943</v>
      </c>
      <c r="I343" s="85">
        <f>(((Table134567891011121314151617343[[#This Row],[FRA]]-VLOOKUP($U$1,A:C,3,))/VLOOKUP($U$1,A:C,3,))*100)+100</f>
        <v>101.27817348033955</v>
      </c>
      <c r="J343" s="85">
        <f>(((Table134567891011121314151617343[[#This Row],[DEU]]-VLOOKUP($U$1,A:D,4,))/VLOOKUP($U$1,A:D,4,))*100)+100</f>
        <v>143.48404255282367</v>
      </c>
      <c r="K343" s="85">
        <f>(((Table134567891011121314151617343[[#This Row],[ESP]]-VLOOKUP($U$1,A:E,5,))/VLOOKUP($U$1,A:E,5,))*100)+100</f>
        <v>88.904765907402705</v>
      </c>
      <c r="L343" s="85">
        <f>(((Table134567891011121314151617343[[#This Row],[EA19]]-VLOOKUP($U$1,A:F,6,))/VLOOKUP($U$1,A:F,6,))*100)+100</f>
        <v>118.90380313199104</v>
      </c>
      <c r="M343" s="85">
        <f>(((Table134567891011121314151617343[[#This Row],[GBR]]-VLOOKUP($U$1,A:G,7,))/VLOOKUP($U$1,A:G,7,))*100)+100</f>
        <v>113.53558926474329</v>
      </c>
      <c r="N343" s="85">
        <f>VLOOKUP(A343,Database!$A:$AS,MATCH($N$1,Database!$A$1:$AS$1,0),FALSE)</f>
        <v>102.394156221</v>
      </c>
      <c r="O343" s="85">
        <f>(((Table134567891011121314151617343[[#This Row],[USA]]-VLOOKUP($U$1,A:N,14,))/VLOOKUP($U$1,A:N,14,))*100)+100</f>
        <v>117.87947149317775</v>
      </c>
      <c r="P343" s="85">
        <f>VLOOKUP(A343,Database!$A:$AS,MATCH($P$1,Database!$A$1:$AS$1,0),FALSE)</f>
        <v>103.591367386</v>
      </c>
      <c r="Q343" s="85">
        <f>(((Table134567891011121314151617343[[#This Row],[JPN]]-VLOOKUP($U$1,A:Q,16,))/VLOOKUP($U$1,A:Q,16,))*100)+100</f>
        <v>104.00360735080645</v>
      </c>
    </row>
    <row r="344" spans="1:17" s="87" customFormat="1" x14ac:dyDescent="0.2">
      <c r="A344" s="22">
        <v>43282</v>
      </c>
      <c r="B344" s="85">
        <f>VLOOKUP(A344,Database!$A:$AS,MATCH($B$1,Database!$A$1:$AS$1,0),FALSE)</f>
        <v>105.99116740300001</v>
      </c>
      <c r="C344" s="85">
        <f>VLOOKUP(A344,Database!$A:$AS,MATCH($C$1,Database!$A$1:$AS$1,0),FALSE)</f>
        <v>103.6</v>
      </c>
      <c r="D344" s="85">
        <f>VLOOKUP(A344,Database!$A:$AS,MATCH($D$1,Database!$A$1:$AS$1,0),FALSE)</f>
        <v>105.59120073299999</v>
      </c>
      <c r="E344" s="85">
        <f>VLOOKUP(A344,Database!$A:$AS,MATCH($E$1,Database!$A$1:$AS$1,0),FALSE)</f>
        <v>105.172087643</v>
      </c>
      <c r="F344" s="85">
        <f>VLOOKUP(A344,Database!$A:$AS,MATCH($F$1,Database!$A$1:$AS$1,0),FALSE)</f>
        <v>105</v>
      </c>
      <c r="G344" s="85">
        <f>VLOOKUP(A344,Database!$A:$AS,MATCH($G$1,Database!$A$1:$AS$1,0),FALSE)</f>
        <v>104.642409034</v>
      </c>
      <c r="H344" s="85">
        <f>(((Table134567891011121314151617343[[#This Row],[ITA]]-VLOOKUP($U$1,A:B,2,))/VLOOKUP($U$1,A:B,2,))*100)+100</f>
        <v>87.171052631841377</v>
      </c>
      <c r="I344" s="85">
        <f>(((Table134567891011121314151617343[[#This Row],[FRA]]-VLOOKUP($U$1,A:C,3,))/VLOOKUP($U$1,A:C,3,))*100)+100</f>
        <v>101.08303249097473</v>
      </c>
      <c r="J344" s="85">
        <f>(((Table134567891011121314151617343[[#This Row],[DEU]]-VLOOKUP($U$1,A:D,4,))/VLOOKUP($U$1,A:D,4,))*100)+100</f>
        <v>140.42553191362032</v>
      </c>
      <c r="K344" s="85">
        <f>(((Table134567891011121314151617343[[#This Row],[ESP]]-VLOOKUP($U$1,A:E,5,))/VLOOKUP($U$1,A:E,5,))*100)+100</f>
        <v>88.402118180526173</v>
      </c>
      <c r="L344" s="85">
        <f>(((Table134567891011121314151617343[[#This Row],[EA19]]-VLOOKUP($U$1,A:F,6,))/VLOOKUP($U$1,A:F,6,))*100)+100</f>
        <v>117.44966442953019</v>
      </c>
      <c r="M344" s="85">
        <f>(((Table134567891011121314151617343[[#This Row],[GBR]]-VLOOKUP($U$1,A:G,7,))/VLOOKUP($U$1,A:G,7,))*100)+100</f>
        <v>113.53558926474329</v>
      </c>
      <c r="N344" s="85">
        <f>VLOOKUP(A344,Database!$A:$AS,MATCH($N$1,Database!$A$1:$AS$1,0),FALSE)</f>
        <v>102.634915729</v>
      </c>
      <c r="O344" s="85">
        <f>(((Table134567891011121314151617343[[#This Row],[USA]]-VLOOKUP($U$1,A:N,14,))/VLOOKUP($U$1,A:N,14,))*100)+100</f>
        <v>118.15664164240718</v>
      </c>
      <c r="P344" s="85">
        <f>VLOOKUP(A344,Database!$A:$AS,MATCH($P$1,Database!$A$1:$AS$1,0),FALSE)</f>
        <v>103.791350721</v>
      </c>
      <c r="Q344" s="85">
        <f>(((Table134567891011121314151617343[[#This Row],[JPN]]-VLOOKUP($U$1,A:Q,16,))/VLOOKUP($U$1,A:Q,16,))*100)+100</f>
        <v>104.20438651585545</v>
      </c>
    </row>
    <row r="345" spans="1:17" s="87" customFormat="1" x14ac:dyDescent="0.2">
      <c r="A345" s="22">
        <v>43313</v>
      </c>
      <c r="B345" s="85">
        <f>VLOOKUP(A345,Database!$A:$AS,MATCH($B$1,Database!$A$1:$AS$1,0),FALSE)</f>
        <v>106.99108407600001</v>
      </c>
      <c r="C345" s="85">
        <f>VLOOKUP(A345,Database!$A:$AS,MATCH($C$1,Database!$A$1:$AS$1,0),FALSE)</f>
        <v>104.19</v>
      </c>
      <c r="D345" s="85">
        <f>VLOOKUP(A345,Database!$A:$AS,MATCH($D$1,Database!$A$1:$AS$1,0),FALSE)</f>
        <v>105.891175735</v>
      </c>
      <c r="E345" s="85">
        <f>VLOOKUP(A345,Database!$A:$AS,MATCH($E$1,Database!$A$1:$AS$1,0),FALSE)</f>
        <v>105.538087948</v>
      </c>
      <c r="F345" s="85">
        <f>VLOOKUP(A345,Database!$A:$AS,MATCH($F$1,Database!$A$1:$AS$1,0),FALSE)</f>
        <v>106.2</v>
      </c>
      <c r="G345" s="85">
        <f>VLOOKUP(A345,Database!$A:$AS,MATCH($G$1,Database!$A$1:$AS$1,0),FALSE)</f>
        <v>105.932962897</v>
      </c>
      <c r="H345" s="85">
        <f>(((Table134567891011121314151617343[[#This Row],[ITA]]-VLOOKUP($U$1,A:B,2,))/VLOOKUP($U$1,A:B,2,))*100)+100</f>
        <v>87.993421052392165</v>
      </c>
      <c r="I345" s="85">
        <f>(((Table134567891011121314151617343[[#This Row],[FRA]]-VLOOKUP($U$1,A:C,3,))/VLOOKUP($U$1,A:C,3,))*100)+100</f>
        <v>101.65869840960094</v>
      </c>
      <c r="J345" s="85">
        <f>(((Table134567891011121314151617343[[#This Row],[DEU]]-VLOOKUP($U$1,A:D,4,))/VLOOKUP($U$1,A:D,4,))*100)+100</f>
        <v>140.82446808371992</v>
      </c>
      <c r="K345" s="85">
        <f>(((Table134567891011121314151617343[[#This Row],[ESP]]-VLOOKUP($U$1,A:E,5,))/VLOOKUP($U$1,A:E,5,))*100)+100</f>
        <v>88.709758762184563</v>
      </c>
      <c r="L345" s="85">
        <f>(((Table134567891011121314151617343[[#This Row],[EA19]]-VLOOKUP($U$1,A:F,6,))/VLOOKUP($U$1,A:F,6,))*100)+100</f>
        <v>118.79194630872483</v>
      </c>
      <c r="M345" s="85">
        <f>(((Table134567891011121314151617343[[#This Row],[GBR]]-VLOOKUP($U$1,A:G,7,))/VLOOKUP($U$1,A:G,7,))*100)+100</f>
        <v>114.93582263729482</v>
      </c>
      <c r="N345" s="85">
        <f>VLOOKUP(A345,Database!$A:$AS,MATCH($N$1,Database!$A$1:$AS$1,0),FALSE)</f>
        <v>103.24796535999999</v>
      </c>
      <c r="O345" s="85">
        <f>(((Table134567891011121314151617343[[#This Row],[USA]]-VLOOKUP($U$1,A:N,14,))/VLOOKUP($U$1,A:N,14,))*100)+100</f>
        <v>118.86240424809138</v>
      </c>
      <c r="P345" s="85">
        <f>VLOOKUP(A345,Database!$A:$AS,MATCH($P$1,Database!$A$1:$AS$1,0),FALSE)</f>
        <v>103.591367386</v>
      </c>
      <c r="Q345" s="85">
        <f>(((Table134567891011121314151617343[[#This Row],[JPN]]-VLOOKUP($U$1,A:Q,16,))/VLOOKUP($U$1,A:Q,16,))*100)+100</f>
        <v>104.00360735080645</v>
      </c>
    </row>
    <row r="346" spans="1:17" s="87" customFormat="1" x14ac:dyDescent="0.2">
      <c r="A346" s="22">
        <v>43344</v>
      </c>
      <c r="B346" s="85">
        <f>VLOOKUP(A346,Database!$A:$AS,MATCH($B$1,Database!$A$1:$AS$1,0),FALSE)</f>
        <v>107.09107574399999</v>
      </c>
      <c r="C346" s="85">
        <f>VLOOKUP(A346,Database!$A:$AS,MATCH($C$1,Database!$A$1:$AS$1,0),FALSE)</f>
        <v>102.99</v>
      </c>
      <c r="D346" s="85">
        <f>VLOOKUP(A346,Database!$A:$AS,MATCH($D$1,Database!$A$1:$AS$1,0),FALSE)</f>
        <v>105.59120073299999</v>
      </c>
      <c r="E346" s="85">
        <f>VLOOKUP(A346,Database!$A:$AS,MATCH($E$1,Database!$A$1:$AS$1,0),FALSE)</f>
        <v>104.94908745799999</v>
      </c>
      <c r="F346" s="85">
        <f>VLOOKUP(A346,Database!$A:$AS,MATCH($F$1,Database!$A$1:$AS$1,0),FALSE)</f>
        <v>105.5</v>
      </c>
      <c r="G346" s="85">
        <f>VLOOKUP(A346,Database!$A:$AS,MATCH($G$1,Database!$A$1:$AS$1,0),FALSE)</f>
        <v>106.363147517</v>
      </c>
      <c r="H346" s="85">
        <f>(((Table134567891011121314151617343[[#This Row],[ITA]]-VLOOKUP($U$1,A:B,2,))/VLOOKUP($U$1,A:B,2,))*100)+100</f>
        <v>88.075657895022943</v>
      </c>
      <c r="I346" s="85">
        <f>(((Table134567891011121314151617343[[#This Row],[FRA]]-VLOOKUP($U$1,A:C,3,))/VLOOKUP($U$1,A:C,3,))*100)+100</f>
        <v>100.48785247341203</v>
      </c>
      <c r="J346" s="85">
        <f>(((Table134567891011121314151617343[[#This Row],[DEU]]-VLOOKUP($U$1,A:D,4,))/VLOOKUP($U$1,A:D,4,))*100)+100</f>
        <v>140.42553191362032</v>
      </c>
      <c r="K346" s="85">
        <f>(((Table134567891011121314151617343[[#This Row],[ESP]]-VLOOKUP($U$1,A:E,5,))/VLOOKUP($U$1,A:E,5,))*100)+100</f>
        <v>88.214675968904729</v>
      </c>
      <c r="L346" s="85">
        <f>(((Table134567891011121314151617343[[#This Row],[EA19]]-VLOOKUP($U$1,A:F,6,))/VLOOKUP($U$1,A:F,6,))*100)+100</f>
        <v>118.00894854586129</v>
      </c>
      <c r="M346" s="85">
        <f>(((Table134567891011121314151617343[[#This Row],[GBR]]-VLOOKUP($U$1,A:G,7,))/VLOOKUP($U$1,A:G,7,))*100)+100</f>
        <v>115.40256709372703</v>
      </c>
      <c r="N346" s="85">
        <f>VLOOKUP(A346,Database!$A:$AS,MATCH($N$1,Database!$A$1:$AS$1,0),FALSE)</f>
        <v>103.21386850099999</v>
      </c>
      <c r="O346" s="85">
        <f>(((Table134567891011121314151617343[[#This Row],[USA]]-VLOOKUP($U$1,A:N,14,))/VLOOKUP($U$1,A:N,14,))*100)+100</f>
        <v>118.82315083884581</v>
      </c>
      <c r="P346" s="85">
        <f>VLOOKUP(A346,Database!$A:$AS,MATCH($P$1,Database!$A$1:$AS$1,0),FALSE)</f>
        <v>103.29139238400001</v>
      </c>
      <c r="Q346" s="85">
        <f>(((Table134567891011121314151617343[[#This Row],[JPN]]-VLOOKUP($U$1,A:Q,16,))/VLOOKUP($U$1,A:Q,16,))*100)+100</f>
        <v>103.70243860373495</v>
      </c>
    </row>
    <row r="347" spans="1:17" s="87" customFormat="1" x14ac:dyDescent="0.2">
      <c r="A347" s="22">
        <v>43374</v>
      </c>
      <c r="B347" s="85">
        <f>VLOOKUP(A347,Database!$A:$AS,MATCH($B$1,Database!$A$1:$AS$1,0),FALSE)</f>
        <v>106.691109074</v>
      </c>
      <c r="C347" s="85">
        <f>VLOOKUP(A347,Database!$A:$AS,MATCH($C$1,Database!$A$1:$AS$1,0),FALSE)</f>
        <v>103.81</v>
      </c>
      <c r="D347" s="85">
        <f>VLOOKUP(A347,Database!$A:$AS,MATCH($D$1,Database!$A$1:$AS$1,0),FALSE)</f>
        <v>105.391217399</v>
      </c>
      <c r="E347" s="85">
        <f>VLOOKUP(A347,Database!$A:$AS,MATCH($E$1,Database!$A$1:$AS$1,0),FALSE)</f>
        <v>106.223088519</v>
      </c>
      <c r="F347" s="85">
        <f>VLOOKUP(A347,Database!$A:$AS,MATCH($F$1,Database!$A$1:$AS$1,0),FALSE)</f>
        <v>105.6</v>
      </c>
      <c r="G347" s="85">
        <f>VLOOKUP(A347,Database!$A:$AS,MATCH($G$1,Database!$A$1:$AS$1,0),FALSE)</f>
        <v>107.115970604</v>
      </c>
      <c r="H347" s="85">
        <f>(((Table134567891011121314151617343[[#This Row],[ITA]]-VLOOKUP($U$1,A:B,2,))/VLOOKUP($U$1,A:B,2,))*100)+100</f>
        <v>87.746710526144682</v>
      </c>
      <c r="I347" s="85">
        <f>(((Table134567891011121314151617343[[#This Row],[FRA]]-VLOOKUP($U$1,A:C,3,))/VLOOKUP($U$1,A:C,3,))*100)+100</f>
        <v>101.2879305298078</v>
      </c>
      <c r="J347" s="85">
        <f>(((Table134567891011121314151617343[[#This Row],[DEU]]-VLOOKUP($U$1,A:D,4,))/VLOOKUP($U$1,A:D,4,))*100)+100</f>
        <v>140.15957446777387</v>
      </c>
      <c r="K347" s="85">
        <f>(((Table134567891011121314151617343[[#This Row],[ESP]]-VLOOKUP($U$1,A:E,5,))/VLOOKUP($U$1,A:E,5,))*100)+100</f>
        <v>89.285534167887462</v>
      </c>
      <c r="L347" s="85">
        <f>(((Table134567891011121314151617343[[#This Row],[EA19]]-VLOOKUP($U$1,A:F,6,))/VLOOKUP($U$1,A:F,6,))*100)+100</f>
        <v>118.12080536912751</v>
      </c>
      <c r="M347" s="85">
        <f>(((Table134567891011121314151617343[[#This Row],[GBR]]-VLOOKUP($U$1,A:G,7,))/VLOOKUP($U$1,A:G,7,))*100)+100</f>
        <v>116.21936989465334</v>
      </c>
      <c r="N347" s="85">
        <f>VLOOKUP(A347,Database!$A:$AS,MATCH($N$1,Database!$A$1:$AS$1,0),FALSE)</f>
        <v>103.071038344</v>
      </c>
      <c r="O347" s="85">
        <f>(((Table134567891011121314151617343[[#This Row],[USA]]-VLOOKUP($U$1,A:N,14,))/VLOOKUP($U$1,A:N,14,))*100)+100</f>
        <v>118.6587201326236</v>
      </c>
      <c r="P347" s="85">
        <f>VLOOKUP(A347,Database!$A:$AS,MATCH($P$1,Database!$A$1:$AS$1,0),FALSE)</f>
        <v>105.291225731</v>
      </c>
      <c r="Q347" s="85">
        <f>(((Table134567891011121314151617343[[#This Row],[JPN]]-VLOOKUP($U$1,A:Q,16,))/VLOOKUP($U$1,A:Q,16,))*100)+100</f>
        <v>105.71023025121295</v>
      </c>
    </row>
    <row r="348" spans="1:17" s="87" customFormat="1" x14ac:dyDescent="0.2">
      <c r="A348" s="22">
        <v>43405</v>
      </c>
      <c r="B348" s="85">
        <f>VLOOKUP(A348,Database!$A:$AS,MATCH($B$1,Database!$A$1:$AS$1,0),FALSE)</f>
        <v>104.991250729</v>
      </c>
      <c r="C348" s="85">
        <f>VLOOKUP(A348,Database!$A:$AS,MATCH($C$1,Database!$A$1:$AS$1,0),FALSE)</f>
        <v>103.09</v>
      </c>
      <c r="D348" s="85">
        <f>VLOOKUP(A348,Database!$A:$AS,MATCH($D$1,Database!$A$1:$AS$1,0),FALSE)</f>
        <v>103.491375719</v>
      </c>
      <c r="E348" s="85">
        <f>VLOOKUP(A348,Database!$A:$AS,MATCH($E$1,Database!$A$1:$AS$1,0),FALSE)</f>
        <v>103.961086634</v>
      </c>
      <c r="F348" s="85">
        <f>VLOOKUP(A348,Database!$A:$AS,MATCH($F$1,Database!$A$1:$AS$1,0),FALSE)</f>
        <v>104.2</v>
      </c>
      <c r="G348" s="85">
        <f>VLOOKUP(A348,Database!$A:$AS,MATCH($G$1,Database!$A$1:$AS$1,0),FALSE)</f>
        <v>107.65370138</v>
      </c>
      <c r="H348" s="85">
        <f>(((Table134567891011121314151617343[[#This Row],[ITA]]-VLOOKUP($U$1,A:B,2,))/VLOOKUP($U$1,A:B,2,))*100)+100</f>
        <v>86.34868421046815</v>
      </c>
      <c r="I348" s="85">
        <f>(((Table134567891011121314151617343[[#This Row],[FRA]]-VLOOKUP($U$1,A:C,3,))/VLOOKUP($U$1,A:C,3,))*100)+100</f>
        <v>100.58542296809446</v>
      </c>
      <c r="J348" s="85">
        <f>(((Table134567891011121314151617343[[#This Row],[DEU]]-VLOOKUP($U$1,A:D,4,))/VLOOKUP($U$1,A:D,4,))*100)+100</f>
        <v>137.63297872292324</v>
      </c>
      <c r="K348" s="85">
        <f>(((Table134567891011121314151617343[[#This Row],[ESP]]-VLOOKUP($U$1,A:E,5,))/VLOOKUP($U$1,A:E,5,))*100)+100</f>
        <v>87.384214507474198</v>
      </c>
      <c r="L348" s="85">
        <f>(((Table134567891011121314151617343[[#This Row],[EA19]]-VLOOKUP($U$1,A:F,6,))/VLOOKUP($U$1,A:F,6,))*100)+100</f>
        <v>116.55480984340045</v>
      </c>
      <c r="M348" s="85">
        <f>(((Table134567891011121314151617343[[#This Row],[GBR]]-VLOOKUP($U$1,A:G,7,))/VLOOKUP($U$1,A:G,7,))*100)+100</f>
        <v>116.80280046627857</v>
      </c>
      <c r="N348" s="85">
        <f>VLOOKUP(A348,Database!$A:$AS,MATCH($N$1,Database!$A$1:$AS$1,0),FALSE)</f>
        <v>102.996996618</v>
      </c>
      <c r="O348" s="85">
        <f>(((Table134567891011121314151617343[[#This Row],[USA]]-VLOOKUP($U$1,A:N,14,))/VLOOKUP($U$1,A:N,14,))*100)+100</f>
        <v>118.57348089777425</v>
      </c>
      <c r="P348" s="85">
        <f>VLOOKUP(A348,Database!$A:$AS,MATCH($P$1,Database!$A$1:$AS$1,0),FALSE)</f>
        <v>104.091325723</v>
      </c>
      <c r="Q348" s="85">
        <f>(((Table134567891011121314151617343[[#This Row],[JPN]]-VLOOKUP($U$1,A:Q,16,))/VLOOKUP($U$1,A:Q,16,))*100)+100</f>
        <v>104.50555526292695</v>
      </c>
    </row>
    <row r="349" spans="1:17" s="87" customFormat="1" x14ac:dyDescent="0.2">
      <c r="A349" s="22">
        <v>43435</v>
      </c>
      <c r="B349" s="85">
        <f>VLOOKUP(A349,Database!$A:$AS,MATCH($B$1,Database!$A$1:$AS$1,0),FALSE)</f>
        <v>105.391217399</v>
      </c>
      <c r="C349" s="85">
        <f>VLOOKUP(A349,Database!$A:$AS,MATCH($C$1,Database!$A$1:$AS$1,0),FALSE)</f>
        <v>104.13</v>
      </c>
      <c r="D349" s="85">
        <f>VLOOKUP(A349,Database!$A:$AS,MATCH($D$1,Database!$A$1:$AS$1,0),FALSE)</f>
        <v>104.691275727</v>
      </c>
      <c r="E349" s="85">
        <f>VLOOKUP(A349,Database!$A:$AS,MATCH($E$1,Database!$A$1:$AS$1,0),FALSE)</f>
        <v>103.085085904</v>
      </c>
      <c r="F349" s="85">
        <f>VLOOKUP(A349,Database!$A:$AS,MATCH($F$1,Database!$A$1:$AS$1,0),FALSE)</f>
        <v>104.6</v>
      </c>
      <c r="G349" s="85">
        <f>VLOOKUP(A349,Database!$A:$AS,MATCH($G$1,Database!$A$1:$AS$1,0),FALSE)</f>
        <v>107.761247535</v>
      </c>
      <c r="H349" s="85">
        <f>(((Table134567891011121314151617343[[#This Row],[ITA]]-VLOOKUP($U$1,A:B,2,))/VLOOKUP($U$1,A:B,2,))*100)+100</f>
        <v>86.677631579346411</v>
      </c>
      <c r="I349" s="85">
        <f>(((Table134567891011121314151617343[[#This Row],[FRA]]-VLOOKUP($U$1,A:C,3,))/VLOOKUP($U$1,A:C,3,))*100)+100</f>
        <v>101.6001561127915</v>
      </c>
      <c r="J349" s="85">
        <f>(((Table134567891011121314151617343[[#This Row],[DEU]]-VLOOKUP($U$1,A:D,4,))/VLOOKUP($U$1,A:D,4,))*100)+100</f>
        <v>139.22872340332157</v>
      </c>
      <c r="K349" s="85">
        <f>(((Table134567891011121314151617343[[#This Row],[ESP]]-VLOOKUP($U$1,A:E,5,))/VLOOKUP($U$1,A:E,5,))*100)+100</f>
        <v>86.647894426783651</v>
      </c>
      <c r="L349" s="85">
        <f>(((Table134567891011121314151617343[[#This Row],[EA19]]-VLOOKUP($U$1,A:F,6,))/VLOOKUP($U$1,A:F,6,))*100)+100</f>
        <v>117.00223713646531</v>
      </c>
      <c r="M349" s="85">
        <f>(((Table134567891011121314151617343[[#This Row],[GBR]]-VLOOKUP($U$1,A:G,7,))/VLOOKUP($U$1,A:G,7,))*100)+100</f>
        <v>116.9194865803866</v>
      </c>
      <c r="N349" s="85">
        <f>VLOOKUP(A349,Database!$A:$AS,MATCH($N$1,Database!$A$1:$AS$1,0),FALSE)</f>
        <v>102.951699338</v>
      </c>
      <c r="O349" s="85">
        <f>(((Table134567891011121314151617343[[#This Row],[USA]]-VLOOKUP($U$1,A:N,14,))/VLOOKUP($U$1,A:N,14,))*100)+100</f>
        <v>118.52133320083972</v>
      </c>
      <c r="P349" s="85">
        <f>VLOOKUP(A349,Database!$A:$AS,MATCH($P$1,Database!$A$1:$AS$1,0),FALSE)</f>
        <v>104.39130072499999</v>
      </c>
      <c r="Q349" s="85">
        <f>(((Table134567891011121314151617343[[#This Row],[JPN]]-VLOOKUP($U$1,A:Q,16,))/VLOOKUP($U$1,A:Q,16,))*100)+100</f>
        <v>104.80672400999845</v>
      </c>
    </row>
    <row r="350" spans="1:17" s="87" customFormat="1" x14ac:dyDescent="0.2">
      <c r="A350" s="22">
        <v>43466</v>
      </c>
      <c r="B350" s="85">
        <f>VLOOKUP(A350,Database!$A:$AS,MATCH($B$1,Database!$A$1:$AS$1,0),FALSE)</f>
        <v>105.691192401</v>
      </c>
      <c r="C350" s="85">
        <f>VLOOKUP(A350,Database!$A:$AS,MATCH($C$1,Database!$A$1:$AS$1,0),FALSE)</f>
        <v>104.69</v>
      </c>
      <c r="D350" s="85">
        <f>VLOOKUP(A350,Database!$A:$AS,MATCH($D$1,Database!$A$1:$AS$1,0),FALSE)</f>
        <v>103.491375719</v>
      </c>
      <c r="E350" s="85">
        <f>VLOOKUP(A350,Database!$A:$AS,MATCH($E$1,Database!$A$1:$AS$1,0),FALSE)</f>
        <v>106.995089163</v>
      </c>
      <c r="F350" s="85">
        <f>VLOOKUP(A350,Database!$A:$AS,MATCH($F$1,Database!$A$1:$AS$1,0),FALSE)</f>
        <v>105.3</v>
      </c>
      <c r="G350" s="85">
        <f>VLOOKUP(A350,Database!$A:$AS,MATCH($G$1,Database!$A$1:$AS$1,0),FALSE)</f>
        <v>108.51407062200001</v>
      </c>
      <c r="H350" s="85">
        <f>(((Table134567891011121314151617343[[#This Row],[ITA]]-VLOOKUP($U$1,A:B,2,))/VLOOKUP($U$1,A:B,2,))*100)+100</f>
        <v>86.924342105593894</v>
      </c>
      <c r="I350" s="85">
        <f>(((Table134567891011121314151617343[[#This Row],[FRA]]-VLOOKUP($U$1,A:C,3,))/VLOOKUP($U$1,A:C,3,))*100)+100</f>
        <v>102.14655088301298</v>
      </c>
      <c r="J350" s="85">
        <f>(((Table134567891011121314151617343[[#This Row],[DEU]]-VLOOKUP($U$1,A:D,4,))/VLOOKUP($U$1,A:D,4,))*100)+100</f>
        <v>137.63297872292324</v>
      </c>
      <c r="K350" s="85">
        <f>(((Table134567891011121314151617343[[#This Row],[ESP]]-VLOOKUP($U$1,A:E,5,))/VLOOKUP($U$1,A:E,5,))*100)+100</f>
        <v>89.934437253257315</v>
      </c>
      <c r="L350" s="85">
        <f>(((Table134567891011121314151617343[[#This Row],[EA19]]-VLOOKUP($U$1,A:F,6,))/VLOOKUP($U$1,A:F,6,))*100)+100</f>
        <v>117.78523489932886</v>
      </c>
      <c r="M350" s="85">
        <f>(((Table134567891011121314151617343[[#This Row],[GBR]]-VLOOKUP($U$1,A:G,7,))/VLOOKUP($U$1,A:G,7,))*100)+100</f>
        <v>117.73628938131293</v>
      </c>
      <c r="N350" s="85">
        <f>VLOOKUP(A350,Database!$A:$AS,MATCH($N$1,Database!$A$1:$AS$1,0),FALSE)</f>
        <v>102.391975608</v>
      </c>
      <c r="O350" s="85">
        <f>(((Table134567891011121314151617343[[#This Row],[USA]]-VLOOKUP($U$1,A:N,14,))/VLOOKUP($U$1,A:N,14,))*100)+100</f>
        <v>117.87696110081299</v>
      </c>
      <c r="P350" s="85">
        <f>VLOOKUP(A350,Database!$A:$AS,MATCH($P$1,Database!$A$1:$AS$1,0),FALSE)</f>
        <v>102.391467378</v>
      </c>
      <c r="Q350" s="85">
        <f>(((Table134567891011121314151617343[[#This Row],[JPN]]-VLOOKUP($U$1,A:Q,16,))/VLOOKUP($U$1,A:Q,16,))*100)+100</f>
        <v>102.79893236252043</v>
      </c>
    </row>
    <row r="351" spans="1:17" s="87" customFormat="1" x14ac:dyDescent="0.2">
      <c r="A351" s="22">
        <v>43497</v>
      </c>
      <c r="B351" s="85">
        <f>VLOOKUP(A351,Database!$A:$AS,MATCH($B$1,Database!$A$1:$AS$1,0),FALSE)</f>
        <v>106.591117407</v>
      </c>
      <c r="C351" s="85">
        <f>VLOOKUP(A351,Database!$A:$AS,MATCH($C$1,Database!$A$1:$AS$1,0),FALSE)</f>
        <v>104.61</v>
      </c>
      <c r="D351" s="85">
        <f>VLOOKUP(A351,Database!$A:$AS,MATCH($D$1,Database!$A$1:$AS$1,0),FALSE)</f>
        <v>103.891342388</v>
      </c>
      <c r="E351" s="85">
        <f>VLOOKUP(A351,Database!$A:$AS,MATCH($E$1,Database!$A$1:$AS$1,0),FALSE)</f>
        <v>105.962088302</v>
      </c>
      <c r="F351" s="85">
        <f>VLOOKUP(A351,Database!$A:$AS,MATCH($F$1,Database!$A$1:$AS$1,0),FALSE)</f>
        <v>105.2</v>
      </c>
      <c r="G351" s="85">
        <f>VLOOKUP(A351,Database!$A:$AS,MATCH($G$1,Database!$A$1:$AS$1,0),FALSE)</f>
        <v>108.72916293199999</v>
      </c>
      <c r="H351" s="85">
        <f>(((Table134567891011121314151617343[[#This Row],[ITA]]-VLOOKUP($U$1,A:B,2,))/VLOOKUP($U$1,A:B,2,))*100)+100</f>
        <v>87.664473684336329</v>
      </c>
      <c r="I351" s="85">
        <f>(((Table134567891011121314151617343[[#This Row],[FRA]]-VLOOKUP($U$1,A:C,3,))/VLOOKUP($U$1,A:C,3,))*100)+100</f>
        <v>102.06849448726706</v>
      </c>
      <c r="J351" s="85">
        <f>(((Table134567891011121314151617343[[#This Row],[DEU]]-VLOOKUP($U$1,A:D,4,))/VLOOKUP($U$1,A:D,4,))*100)+100</f>
        <v>138.16489361594606</v>
      </c>
      <c r="K351" s="85">
        <f>(((Table134567891011121314151617343[[#This Row],[ESP]]-VLOOKUP($U$1,A:E,5,))/VLOOKUP($U$1,A:E,5,))*100)+100</f>
        <v>89.066151130567746</v>
      </c>
      <c r="L351" s="85">
        <f>(((Table134567891011121314151617343[[#This Row],[EA19]]-VLOOKUP($U$1,A:F,6,))/VLOOKUP($U$1,A:F,6,))*100)+100</f>
        <v>117.67337807606263</v>
      </c>
      <c r="M351" s="85">
        <f>(((Table134567891011121314151617343[[#This Row],[GBR]]-VLOOKUP($U$1,A:G,7,))/VLOOKUP($U$1,A:G,7,))*100)+100</f>
        <v>117.96966160952903</v>
      </c>
      <c r="N351" s="85">
        <f>VLOOKUP(A351,Database!$A:$AS,MATCH($N$1,Database!$A$1:$AS$1,0),FALSE)</f>
        <v>101.822736476</v>
      </c>
      <c r="O351" s="85">
        <f>(((Table134567891011121314151617343[[#This Row],[USA]]-VLOOKUP($U$1,A:N,14,))/VLOOKUP($U$1,A:N,14,))*100)+100</f>
        <v>117.22163456158583</v>
      </c>
      <c r="P351" s="85">
        <f>VLOOKUP(A351,Database!$A:$AS,MATCH($P$1,Database!$A$1:$AS$1,0),FALSE)</f>
        <v>102.891425715</v>
      </c>
      <c r="Q351" s="85">
        <f>(((Table134567891011121314151617343[[#This Row],[JPN]]-VLOOKUP($U$1,A:Q,16,))/VLOOKUP($U$1,A:Q,16,))*100)+100</f>
        <v>103.30088027464093</v>
      </c>
    </row>
    <row r="352" spans="1:17" s="87" customFormat="1" x14ac:dyDescent="0.2">
      <c r="A352" s="22">
        <v>43525</v>
      </c>
      <c r="B352" s="85">
        <f>VLOOKUP(A352,Database!$A:$AS,MATCH($B$1,Database!$A$1:$AS$1,0),FALSE)</f>
        <v>105.691192401</v>
      </c>
      <c r="C352" s="85">
        <f>VLOOKUP(A352,Database!$A:$AS,MATCH($C$1,Database!$A$1:$AS$1,0),FALSE)</f>
        <v>104.36</v>
      </c>
      <c r="D352" s="85">
        <f>VLOOKUP(A352,Database!$A:$AS,MATCH($D$1,Database!$A$1:$AS$1,0),FALSE)</f>
        <v>104.691275727</v>
      </c>
      <c r="E352" s="85">
        <f>VLOOKUP(A352,Database!$A:$AS,MATCH($E$1,Database!$A$1:$AS$1,0),FALSE)</f>
        <v>105.25208771</v>
      </c>
      <c r="F352" s="85">
        <f>VLOOKUP(A352,Database!$A:$AS,MATCH($F$1,Database!$A$1:$AS$1,0),FALSE)</f>
        <v>105.3</v>
      </c>
      <c r="G352" s="85">
        <f>VLOOKUP(A352,Database!$A:$AS,MATCH($G$1,Database!$A$1:$AS$1,0),FALSE)</f>
        <v>110.01971679499999</v>
      </c>
      <c r="H352" s="85">
        <f>(((Table134567891011121314151617343[[#This Row],[ITA]]-VLOOKUP($U$1,A:B,2,))/VLOOKUP($U$1,A:B,2,))*100)+100</f>
        <v>86.924342105593894</v>
      </c>
      <c r="I352" s="85">
        <f>(((Table134567891011121314151617343[[#This Row],[FRA]]-VLOOKUP($U$1,A:C,3,))/VLOOKUP($U$1,A:C,3,))*100)+100</f>
        <v>101.82456825056103</v>
      </c>
      <c r="J352" s="85">
        <f>(((Table134567891011121314151617343[[#This Row],[DEU]]-VLOOKUP($U$1,A:D,4,))/VLOOKUP($U$1,A:D,4,))*100)+100</f>
        <v>139.22872340332157</v>
      </c>
      <c r="K352" s="85">
        <f>(((Table134567891011121314151617343[[#This Row],[ESP]]-VLOOKUP($U$1,A:E,5,))/VLOOKUP($U$1,A:E,5,))*100)+100</f>
        <v>88.469362023791803</v>
      </c>
      <c r="L352" s="85">
        <f>(((Table134567891011121314151617343[[#This Row],[EA19]]-VLOOKUP($U$1,A:F,6,))/VLOOKUP($U$1,A:F,6,))*100)+100</f>
        <v>117.78523489932886</v>
      </c>
      <c r="M352" s="85">
        <f>(((Table134567891011121314151617343[[#This Row],[GBR]]-VLOOKUP($U$1,A:G,7,))/VLOOKUP($U$1,A:G,7,))*100)+100</f>
        <v>119.36989498208057</v>
      </c>
      <c r="N352" s="85">
        <f>VLOOKUP(A352,Database!$A:$AS,MATCH($N$1,Database!$A$1:$AS$1,0),FALSE)</f>
        <v>101.957042418</v>
      </c>
      <c r="O352" s="85">
        <f>(((Table134567891011121314151617343[[#This Row],[USA]]-VLOOKUP($U$1,A:N,14,))/VLOOKUP($U$1,A:N,14,))*100)+100</f>
        <v>117.37625191520885</v>
      </c>
      <c r="P352" s="85">
        <f>VLOOKUP(A352,Database!$A:$AS,MATCH($P$1,Database!$A$1:$AS$1,0),FALSE)</f>
        <v>102.491459045</v>
      </c>
      <c r="Q352" s="85">
        <f>(((Table134567891011121314151617343[[#This Row],[JPN]]-VLOOKUP($U$1,A:Q,16,))/VLOOKUP($U$1,A:Q,16,))*100)+100</f>
        <v>102.89932194454295</v>
      </c>
    </row>
    <row r="353" spans="1:17" s="87" customFormat="1" x14ac:dyDescent="0.2">
      <c r="A353" s="22">
        <v>43556</v>
      </c>
      <c r="B353" s="85">
        <f>VLOOKUP(A353,Database!$A:$AS,MATCH($B$1,Database!$A$1:$AS$1,0),FALSE)</f>
        <v>104.59128406000001</v>
      </c>
      <c r="C353" s="85">
        <f>VLOOKUP(A353,Database!$A:$AS,MATCH($C$1,Database!$A$1:$AS$1,0),FALSE)</f>
        <v>104.38</v>
      </c>
      <c r="D353" s="85">
        <f>VLOOKUP(A353,Database!$A:$AS,MATCH($D$1,Database!$A$1:$AS$1,0),FALSE)</f>
        <v>101.89150904100001</v>
      </c>
      <c r="E353" s="85">
        <f>VLOOKUP(A353,Database!$A:$AS,MATCH($E$1,Database!$A$1:$AS$1,0),FALSE)</f>
        <v>106.22708852300001</v>
      </c>
      <c r="F353" s="85">
        <f>VLOOKUP(A353,Database!$A:$AS,MATCH($F$1,Database!$A$1:$AS$1,0),FALSE)</f>
        <v>104.2</v>
      </c>
      <c r="G353" s="85">
        <f>VLOOKUP(A353,Database!$A:$AS,MATCH($G$1,Database!$A$1:$AS$1,0),FALSE)</f>
        <v>106.685785983</v>
      </c>
      <c r="H353" s="85">
        <f>(((Table134567891011121314151617343[[#This Row],[ITA]]-VLOOKUP($U$1,A:B,2,))/VLOOKUP($U$1,A:B,2,))*100)+100</f>
        <v>86.019736842412328</v>
      </c>
      <c r="I353" s="85">
        <f>(((Table134567891011121314151617343[[#This Row],[FRA]]-VLOOKUP($U$1,A:C,3,))/VLOOKUP($U$1,A:C,3,))*100)+100</f>
        <v>101.84408234949751</v>
      </c>
      <c r="J353" s="85">
        <f>(((Table134567891011121314151617343[[#This Row],[DEU]]-VLOOKUP($U$1,A:D,4,))/VLOOKUP($U$1,A:D,4,))*100)+100</f>
        <v>135.50531914817219</v>
      </c>
      <c r="K353" s="85">
        <f>(((Table134567891011121314151617343[[#This Row],[ESP]]-VLOOKUP($U$1,A:E,5,))/VLOOKUP($U$1,A:E,5,))*100)+100</f>
        <v>89.288896360597107</v>
      </c>
      <c r="L353" s="85">
        <f>(((Table134567891011121314151617343[[#This Row],[EA19]]-VLOOKUP($U$1,A:F,6,))/VLOOKUP($U$1,A:F,6,))*100)+100</f>
        <v>116.55480984340045</v>
      </c>
      <c r="M353" s="85">
        <f>(((Table134567891011121314151617343[[#This Row],[GBR]]-VLOOKUP($U$1,A:G,7,))/VLOOKUP($U$1,A:G,7,))*100)+100</f>
        <v>115.75262543713616</v>
      </c>
      <c r="N353" s="85">
        <f>VLOOKUP(A353,Database!$A:$AS,MATCH($N$1,Database!$A$1:$AS$1,0),FALSE)</f>
        <v>101.35321083300001</v>
      </c>
      <c r="O353" s="85">
        <f>(((Table134567891011121314151617343[[#This Row],[USA]]-VLOOKUP($U$1,A:N,14,))/VLOOKUP($U$1,A:N,14,))*100)+100</f>
        <v>116.68110142285985</v>
      </c>
      <c r="P353" s="85">
        <f>VLOOKUP(A353,Database!$A:$AS,MATCH($P$1,Database!$A$1:$AS$1,0),FALSE)</f>
        <v>102.69144238</v>
      </c>
      <c r="Q353" s="85">
        <f>(((Table134567891011121314151617343[[#This Row],[JPN]]-VLOOKUP($U$1,A:Q,16,))/VLOOKUP($U$1,A:Q,16,))*100)+100</f>
        <v>103.10010110959193</v>
      </c>
    </row>
    <row r="354" spans="1:17" s="87" customFormat="1" x14ac:dyDescent="0.2">
      <c r="A354" s="22">
        <v>43586</v>
      </c>
      <c r="B354" s="85">
        <f>VLOOKUP(A354,Database!$A:$AS,MATCH($B$1,Database!$A$1:$AS$1,0),FALSE)</f>
        <v>106.49112574</v>
      </c>
      <c r="C354" s="85">
        <f>VLOOKUP(A354,Database!$A:$AS,MATCH($C$1,Database!$A$1:$AS$1,0),FALSE)</f>
        <v>105.78</v>
      </c>
      <c r="D354" s="85">
        <f>VLOOKUP(A354,Database!$A:$AS,MATCH($D$1,Database!$A$1:$AS$1,0),FALSE)</f>
        <v>102.891425715</v>
      </c>
      <c r="E354" s="85">
        <f>VLOOKUP(A354,Database!$A:$AS,MATCH($E$1,Database!$A$1:$AS$1,0),FALSE)</f>
        <v>109.66809139</v>
      </c>
      <c r="F354" s="85">
        <f>VLOOKUP(A354,Database!$A:$AS,MATCH($F$1,Database!$A$1:$AS$1,0),FALSE)</f>
        <v>105.4</v>
      </c>
      <c r="G354" s="85">
        <f>VLOOKUP(A354,Database!$A:$AS,MATCH($G$1,Database!$A$1:$AS$1,0),FALSE)</f>
        <v>107.761247535</v>
      </c>
      <c r="H354" s="85">
        <f>(((Table134567891011121314151617343[[#This Row],[ITA]]-VLOOKUP($U$1,A:B,2,))/VLOOKUP($U$1,A:B,2,))*100)+100</f>
        <v>87.58223684252799</v>
      </c>
      <c r="I354" s="85">
        <f>(((Table134567891011121314151617343[[#This Row],[FRA]]-VLOOKUP($U$1,A:C,3,))/VLOOKUP($U$1,A:C,3,))*100)+100</f>
        <v>103.21006927505123</v>
      </c>
      <c r="J354" s="85">
        <f>(((Table134567891011121314151617343[[#This Row],[DEU]]-VLOOKUP($U$1,A:D,4,))/VLOOKUP($U$1,A:D,4,))*100)+100</f>
        <v>136.83510638272406</v>
      </c>
      <c r="K354" s="85">
        <f>(((Table134567891011121314151617343[[#This Row],[ESP]]-VLOOKUP($U$1,A:E,5,))/VLOOKUP($U$1,A:E,5,))*100)+100</f>
        <v>92.181222156587992</v>
      </c>
      <c r="L354" s="85">
        <f>(((Table134567891011121314151617343[[#This Row],[EA19]]-VLOOKUP($U$1,A:F,6,))/VLOOKUP($U$1,A:F,6,))*100)+100</f>
        <v>117.89709172259508</v>
      </c>
      <c r="M354" s="85">
        <f>(((Table134567891011121314151617343[[#This Row],[GBR]]-VLOOKUP($U$1,A:G,7,))/VLOOKUP($U$1,A:G,7,))*100)+100</f>
        <v>116.9194865803866</v>
      </c>
      <c r="N354" s="85">
        <f>VLOOKUP(A354,Database!$A:$AS,MATCH($N$1,Database!$A$1:$AS$1,0),FALSE)</f>
        <v>101.549069535</v>
      </c>
      <c r="O354" s="85">
        <f>(((Table134567891011121314151617343[[#This Row],[USA]]-VLOOKUP($U$1,A:N,14,))/VLOOKUP($U$1,A:N,14,))*100)+100</f>
        <v>116.9065803088743</v>
      </c>
      <c r="P354" s="85">
        <f>VLOOKUP(A354,Database!$A:$AS,MATCH($P$1,Database!$A$1:$AS$1,0),FALSE)</f>
        <v>103.891342388</v>
      </c>
      <c r="Q354" s="85">
        <f>(((Table134567891011121314151617343[[#This Row],[JPN]]-VLOOKUP($U$1,A:Q,16,))/VLOOKUP($U$1,A:Q,16,))*100)+100</f>
        <v>104.30477609787795</v>
      </c>
    </row>
    <row r="355" spans="1:17" s="87" customFormat="1" x14ac:dyDescent="0.2">
      <c r="A355" s="22">
        <v>43617</v>
      </c>
      <c r="B355" s="85">
        <f>VLOOKUP(A355,Database!$A:$AS,MATCH($B$1,Database!$A$1:$AS$1,0),FALSE)</f>
        <v>105.79118406800001</v>
      </c>
      <c r="C355" s="85">
        <f>VLOOKUP(A355,Database!$A:$AS,MATCH($C$1,Database!$A$1:$AS$1,0),FALSE)</f>
        <v>103.45</v>
      </c>
      <c r="D355" s="85">
        <f>VLOOKUP(A355,Database!$A:$AS,MATCH($D$1,Database!$A$1:$AS$1,0),FALSE)</f>
        <v>101.89150904100001</v>
      </c>
      <c r="E355" s="85">
        <f>VLOOKUP(A355,Database!$A:$AS,MATCH($E$1,Database!$A$1:$AS$1,0),FALSE)</f>
        <v>108.32309026900001</v>
      </c>
      <c r="F355" s="85">
        <f>VLOOKUP(A355,Database!$A:$AS,MATCH($F$1,Database!$A$1:$AS$1,0),FALSE)</f>
        <v>104</v>
      </c>
      <c r="G355" s="85">
        <f>VLOOKUP(A355,Database!$A:$AS,MATCH($G$1,Database!$A$1:$AS$1,0),FALSE)</f>
        <v>107.008424449</v>
      </c>
      <c r="H355" s="85">
        <f>(((Table134567891011121314151617343[[#This Row],[ITA]]-VLOOKUP($U$1,A:B,2,))/VLOOKUP($U$1,A:B,2,))*100)+100</f>
        <v>87.006578947402247</v>
      </c>
      <c r="I355" s="85">
        <f>(((Table134567891011121314151617343[[#This Row],[FRA]]-VLOOKUP($U$1,A:C,3,))/VLOOKUP($U$1,A:C,3,))*100)+100</f>
        <v>100.93667674895113</v>
      </c>
      <c r="J355" s="85">
        <f>(((Table134567891011121314151617343[[#This Row],[DEU]]-VLOOKUP($U$1,A:D,4,))/VLOOKUP($U$1,A:D,4,))*100)+100</f>
        <v>135.50531914817219</v>
      </c>
      <c r="K355" s="85">
        <f>(((Table134567891011121314151617343[[#This Row],[ESP]]-VLOOKUP($U$1,A:E,5,))/VLOOKUP($U$1,A:E,5,))*100)+100</f>
        <v>91.050685046255225</v>
      </c>
      <c r="L355" s="85">
        <f>(((Table134567891011121314151617343[[#This Row],[EA19]]-VLOOKUP($U$1,A:F,6,))/VLOOKUP($U$1,A:F,6,))*100)+100</f>
        <v>116.331096196868</v>
      </c>
      <c r="M355" s="85">
        <f>(((Table134567891011121314151617343[[#This Row],[GBR]]-VLOOKUP($U$1,A:G,7,))/VLOOKUP($U$1,A:G,7,))*100)+100</f>
        <v>116.10268378054529</v>
      </c>
      <c r="N355" s="85">
        <f>VLOOKUP(A355,Database!$A:$AS,MATCH($N$1,Database!$A$1:$AS$1,0),FALSE)</f>
        <v>101.481767886</v>
      </c>
      <c r="O355" s="85">
        <f>(((Table134567891011121314151617343[[#This Row],[USA]]-VLOOKUP($U$1,A:N,14,))/VLOOKUP($U$1,A:N,14,))*100)+100</f>
        <v>116.82910046913015</v>
      </c>
      <c r="P355" s="85">
        <f>VLOOKUP(A355,Database!$A:$AS,MATCH($P$1,Database!$A$1:$AS$1,0),FALSE)</f>
        <v>101.391550704</v>
      </c>
      <c r="Q355" s="85">
        <f>(((Table134567891011121314151617343[[#This Row],[JPN]]-VLOOKUP($U$1,A:Q,16,))/VLOOKUP($U$1,A:Q,16,))*100)+100</f>
        <v>101.79503653827943</v>
      </c>
    </row>
    <row r="356" spans="1:17" s="87" customFormat="1" x14ac:dyDescent="0.2">
      <c r="A356" s="22">
        <v>43647</v>
      </c>
      <c r="B356" s="85">
        <f>VLOOKUP(A356,Database!$A:$AS,MATCH($B$1,Database!$A$1:$AS$1,0),FALSE)</f>
        <v>106.09115907</v>
      </c>
      <c r="C356" s="85">
        <f>VLOOKUP(A356,Database!$A:$AS,MATCH($C$1,Database!$A$1:$AS$1,0),FALSE)</f>
        <v>103.98</v>
      </c>
      <c r="D356" s="85">
        <f>VLOOKUP(A356,Database!$A:$AS,MATCH($D$1,Database!$A$1:$AS$1,0),FALSE)</f>
        <v>101.391550704</v>
      </c>
      <c r="E356" s="85">
        <f>VLOOKUP(A356,Database!$A:$AS,MATCH($E$1,Database!$A$1:$AS$1,0),FALSE)</f>
        <v>106.33208861</v>
      </c>
      <c r="F356" s="85">
        <f>VLOOKUP(A356,Database!$A:$AS,MATCH($F$1,Database!$A$1:$AS$1,0),FALSE)</f>
        <v>103.7</v>
      </c>
      <c r="G356" s="85">
        <f>VLOOKUP(A356,Database!$A:$AS,MATCH($G$1,Database!$A$1:$AS$1,0),FALSE)</f>
        <v>107.43860907</v>
      </c>
      <c r="H356" s="85">
        <f>(((Table134567891011121314151617343[[#This Row],[ITA]]-VLOOKUP($U$1,A:B,2,))/VLOOKUP($U$1,A:B,2,))*100)+100</f>
        <v>87.253289473649716</v>
      </c>
      <c r="I356" s="85">
        <f>(((Table134567891011121314151617343[[#This Row],[FRA]]-VLOOKUP($U$1,A:C,3,))/VLOOKUP($U$1,A:C,3,))*100)+100</f>
        <v>101.45380037076789</v>
      </c>
      <c r="J356" s="85">
        <f>(((Table134567891011121314151617343[[#This Row],[DEU]]-VLOOKUP($U$1,A:D,4,))/VLOOKUP($U$1,A:D,4,))*100)+100</f>
        <v>134.84042553089625</v>
      </c>
      <c r="K356" s="85">
        <f>(((Table134567891011121314151617343[[#This Row],[ESP]]-VLOOKUP($U$1,A:E,5,))/VLOOKUP($U$1,A:E,5,))*100)+100</f>
        <v>89.377153904095223</v>
      </c>
      <c r="L356" s="85">
        <f>(((Table134567891011121314151617343[[#This Row],[EA19]]-VLOOKUP($U$1,A:F,6,))/VLOOKUP($U$1,A:F,6,))*100)+100</f>
        <v>115.99552572706935</v>
      </c>
      <c r="M356" s="85">
        <f>(((Table134567891011121314151617343[[#This Row],[GBR]]-VLOOKUP($U$1,A:G,7,))/VLOOKUP($U$1,A:G,7,))*100)+100</f>
        <v>116.56942823806247</v>
      </c>
      <c r="N356" s="85">
        <f>VLOOKUP(A356,Database!$A:$AS,MATCH($N$1,Database!$A$1:$AS$1,0),FALSE)</f>
        <v>101.15745124999999</v>
      </c>
      <c r="O356" s="85">
        <f>(((Table134567891011121314151617343[[#This Row],[USA]]-VLOOKUP($U$1,A:N,14,))/VLOOKUP($U$1,A:N,14,))*100)+100</f>
        <v>116.45573664585089</v>
      </c>
      <c r="P356" s="85">
        <f>VLOOKUP(A356,Database!$A:$AS,MATCH($P$1,Database!$A$1:$AS$1,0),FALSE)</f>
        <v>101.79151737399999</v>
      </c>
      <c r="Q356" s="85">
        <f>(((Table134567891011121314151617343[[#This Row],[JPN]]-VLOOKUP($U$1,A:Q,16,))/VLOOKUP($U$1,A:Q,16,))*100)+100</f>
        <v>102.19659486837742</v>
      </c>
    </row>
    <row r="357" spans="1:17" s="87" customFormat="1" x14ac:dyDescent="0.2">
      <c r="A357" s="22">
        <v>43678</v>
      </c>
      <c r="B357" s="85">
        <f>VLOOKUP(A357,Database!$A:$AS,MATCH($B$1,Database!$A$1:$AS$1,0),FALSE)</f>
        <v>105.491209066</v>
      </c>
      <c r="C357" s="85">
        <f>VLOOKUP(A357,Database!$A:$AS,MATCH($C$1,Database!$A$1:$AS$1,0),FALSE)</f>
        <v>102.88</v>
      </c>
      <c r="D357" s="85">
        <f>VLOOKUP(A357,Database!$A:$AS,MATCH($D$1,Database!$A$1:$AS$1,0),FALSE)</f>
        <v>101.69152570599999</v>
      </c>
      <c r="E357" s="85">
        <f>VLOOKUP(A357,Database!$A:$AS,MATCH($E$1,Database!$A$1:$AS$1,0),FALSE)</f>
        <v>106.753088961</v>
      </c>
      <c r="F357" s="85">
        <f>VLOOKUP(A357,Database!$A:$AS,MATCH($F$1,Database!$A$1:$AS$1,0),FALSE)</f>
        <v>104</v>
      </c>
      <c r="G357" s="85">
        <f>VLOOKUP(A357,Database!$A:$AS,MATCH($G$1,Database!$A$1:$AS$1,0),FALSE)</f>
        <v>106.470693673</v>
      </c>
      <c r="H357" s="85">
        <f>(((Table134567891011121314151617343[[#This Row],[ITA]]-VLOOKUP($U$1,A:B,2,))/VLOOKUP($U$1,A:B,2,))*100)+100</f>
        <v>86.759868421154763</v>
      </c>
      <c r="I357" s="85">
        <f>(((Table134567891011121314151617343[[#This Row],[FRA]]-VLOOKUP($U$1,A:C,3,))/VLOOKUP($U$1,A:C,3,))*100)+100</f>
        <v>100.3805249292614</v>
      </c>
      <c r="J357" s="85">
        <f>(((Table134567891011121314151617343[[#This Row],[DEU]]-VLOOKUP($U$1,A:D,4,))/VLOOKUP($U$1,A:D,4,))*100)+100</f>
        <v>135.23936170099583</v>
      </c>
      <c r="K357" s="85">
        <f>(((Table134567891011121314151617343[[#This Row],[ESP]]-VLOOKUP($U$1,A:E,5,))/VLOOKUP($U$1,A:E,5,))*100)+100</f>
        <v>89.731024627946184</v>
      </c>
      <c r="L357" s="85">
        <f>(((Table134567891011121314151617343[[#This Row],[EA19]]-VLOOKUP($U$1,A:F,6,))/VLOOKUP($U$1,A:F,6,))*100)+100</f>
        <v>116.331096196868</v>
      </c>
      <c r="M357" s="85">
        <f>(((Table134567891011121314151617343[[#This Row],[GBR]]-VLOOKUP($U$1,A:G,7,))/VLOOKUP($U$1,A:G,7,))*100)+100</f>
        <v>115.51925320892006</v>
      </c>
      <c r="N357" s="85">
        <f>VLOOKUP(A357,Database!$A:$AS,MATCH($N$1,Database!$A$1:$AS$1,0),FALSE)</f>
        <v>101.783287203</v>
      </c>
      <c r="O357" s="85">
        <f>(((Table134567891011121314151617343[[#This Row],[USA]]-VLOOKUP($U$1,A:N,14,))/VLOOKUP($U$1,A:N,14,))*100)+100</f>
        <v>117.17621927985829</v>
      </c>
      <c r="P357" s="85">
        <f>VLOOKUP(A357,Database!$A:$AS,MATCH($P$1,Database!$A$1:$AS$1,0),FALSE)</f>
        <v>100.49162569800001</v>
      </c>
      <c r="Q357" s="85">
        <f>(((Table134567891011121314151617343[[#This Row],[JPN]]-VLOOKUP($U$1,A:Q,16,))/VLOOKUP($U$1,A:Q,16,))*100)+100</f>
        <v>100.89153029706493</v>
      </c>
    </row>
    <row r="358" spans="1:17" s="87" customFormat="1" x14ac:dyDescent="0.2">
      <c r="A358" s="16"/>
      <c r="C358" s="36"/>
      <c r="D358" s="37"/>
    </row>
    <row r="359" spans="1:17" s="87" customFormat="1" x14ac:dyDescent="0.2">
      <c r="A359" s="16"/>
      <c r="C359" s="36"/>
      <c r="D359" s="37"/>
    </row>
    <row r="360" spans="1:17" s="87" customFormat="1" x14ac:dyDescent="0.2">
      <c r="A360" s="16"/>
      <c r="C360" s="36"/>
      <c r="D360" s="37"/>
    </row>
    <row r="361" spans="1:17" s="87" customFormat="1" x14ac:dyDescent="0.2">
      <c r="A361" s="16"/>
      <c r="C361" s="36"/>
      <c r="D361" s="37"/>
    </row>
    <row r="362" spans="1:17" s="87" customFormat="1" x14ac:dyDescent="0.2">
      <c r="A362" s="16"/>
      <c r="C362" s="36"/>
      <c r="D362" s="37"/>
    </row>
    <row r="363" spans="1:17" s="87" customFormat="1" x14ac:dyDescent="0.2">
      <c r="A363" s="16"/>
      <c r="C363" s="36"/>
      <c r="D363" s="37"/>
    </row>
    <row r="364" spans="1:17" s="87" customFormat="1" x14ac:dyDescent="0.2">
      <c r="A364" s="16"/>
      <c r="C364" s="36"/>
      <c r="D364" s="37"/>
    </row>
    <row r="365" spans="1:17" s="87" customFormat="1" x14ac:dyDescent="0.2">
      <c r="A365" s="16"/>
      <c r="C365" s="36"/>
      <c r="D365" s="37"/>
    </row>
    <row r="366" spans="1:17" s="87" customFormat="1" x14ac:dyDescent="0.2">
      <c r="A366" s="16"/>
      <c r="C366" s="36"/>
      <c r="D366" s="37"/>
    </row>
    <row r="367" spans="1:17" s="87" customFormat="1" x14ac:dyDescent="0.2">
      <c r="A367" s="16"/>
      <c r="C367" s="36"/>
      <c r="D367" s="37"/>
    </row>
    <row r="368" spans="1:17" s="87" customFormat="1" x14ac:dyDescent="0.2">
      <c r="A368" s="16"/>
      <c r="C368" s="36"/>
      <c r="D368" s="37"/>
    </row>
    <row r="369" spans="1:4" s="87" customFormat="1" x14ac:dyDescent="0.2">
      <c r="A369" s="16"/>
      <c r="C369" s="36"/>
      <c r="D369" s="37"/>
    </row>
    <row r="370" spans="1:4" s="87" customFormat="1" x14ac:dyDescent="0.2">
      <c r="A370" s="16"/>
      <c r="C370" s="36"/>
      <c r="D370" s="37"/>
    </row>
    <row r="371" spans="1:4" s="87" customFormat="1" x14ac:dyDescent="0.2">
      <c r="A371" s="16"/>
      <c r="C371" s="36"/>
      <c r="D371" s="37"/>
    </row>
    <row r="372" spans="1:4" s="87" customFormat="1" x14ac:dyDescent="0.2">
      <c r="A372" s="16"/>
      <c r="C372" s="36"/>
      <c r="D372" s="37"/>
    </row>
    <row r="373" spans="1:4" s="87" customFormat="1" x14ac:dyDescent="0.2">
      <c r="A373" s="16"/>
      <c r="C373" s="36"/>
      <c r="D373" s="37"/>
    </row>
    <row r="374" spans="1:4" s="87" customFormat="1" x14ac:dyDescent="0.2">
      <c r="A374" s="16"/>
      <c r="C374" s="36"/>
      <c r="D374" s="37"/>
    </row>
    <row r="375" spans="1:4" s="87" customFormat="1" x14ac:dyDescent="0.2">
      <c r="A375" s="16"/>
      <c r="C375" s="36"/>
      <c r="D375" s="37"/>
    </row>
    <row r="376" spans="1:4" s="87" customFormat="1" x14ac:dyDescent="0.2">
      <c r="A376" s="16"/>
      <c r="C376" s="36"/>
      <c r="D376" s="37"/>
    </row>
    <row r="377" spans="1:4" s="87" customFormat="1" x14ac:dyDescent="0.2">
      <c r="A377" s="16"/>
      <c r="C377" s="36"/>
      <c r="D377" s="37"/>
    </row>
    <row r="378" spans="1:4" s="87" customFormat="1" x14ac:dyDescent="0.2">
      <c r="A378" s="16"/>
      <c r="C378" s="36"/>
      <c r="D378" s="37"/>
    </row>
    <row r="379" spans="1:4" s="87" customFormat="1" x14ac:dyDescent="0.2">
      <c r="A379" s="16"/>
      <c r="C379" s="36"/>
      <c r="D379" s="37"/>
    </row>
    <row r="380" spans="1:4" s="87" customFormat="1" x14ac:dyDescent="0.2">
      <c r="A380" s="16"/>
      <c r="C380" s="36"/>
      <c r="D380" s="37"/>
    </row>
    <row r="381" spans="1:4" s="87" customFormat="1" x14ac:dyDescent="0.2">
      <c r="A381" s="16"/>
      <c r="C381" s="36"/>
      <c r="D381" s="37"/>
    </row>
    <row r="382" spans="1:4" s="87" customFormat="1" x14ac:dyDescent="0.2">
      <c r="A382" s="16"/>
      <c r="C382" s="36"/>
      <c r="D382" s="37"/>
    </row>
    <row r="383" spans="1:4" s="87" customFormat="1" x14ac:dyDescent="0.2">
      <c r="A383" s="16"/>
      <c r="C383" s="36"/>
      <c r="D383" s="37"/>
    </row>
    <row r="384" spans="1:4" s="87" customFormat="1" x14ac:dyDescent="0.2">
      <c r="A384" s="16"/>
      <c r="C384" s="36"/>
      <c r="D384" s="37"/>
    </row>
    <row r="385" spans="1:4" s="87" customFormat="1" x14ac:dyDescent="0.2">
      <c r="A385" s="16"/>
      <c r="C385" s="36"/>
      <c r="D385" s="37"/>
    </row>
    <row r="386" spans="1:4" s="87" customFormat="1" x14ac:dyDescent="0.2">
      <c r="A386" s="16"/>
      <c r="C386" s="36"/>
      <c r="D386" s="37"/>
    </row>
    <row r="387" spans="1:4" s="87" customFormat="1" x14ac:dyDescent="0.2">
      <c r="A387" s="16"/>
      <c r="C387" s="36"/>
      <c r="D387" s="37"/>
    </row>
    <row r="388" spans="1:4" s="87" customFormat="1" x14ac:dyDescent="0.2">
      <c r="A388" s="16"/>
      <c r="C388" s="36"/>
      <c r="D388" s="37"/>
    </row>
    <row r="389" spans="1:4" s="87" customFormat="1" x14ac:dyDescent="0.2">
      <c r="A389" s="16"/>
      <c r="C389" s="36"/>
      <c r="D389" s="37"/>
    </row>
    <row r="390" spans="1:4" s="87" customFormat="1" x14ac:dyDescent="0.2">
      <c r="A390" s="16"/>
      <c r="C390" s="36"/>
      <c r="D390" s="37"/>
    </row>
    <row r="391" spans="1:4" s="87" customFormat="1" x14ac:dyDescent="0.2">
      <c r="A391" s="16"/>
      <c r="C391" s="36"/>
      <c r="D391" s="37"/>
    </row>
    <row r="392" spans="1:4" s="87" customFormat="1" x14ac:dyDescent="0.2">
      <c r="A392" s="16"/>
      <c r="C392" s="36"/>
      <c r="D392" s="37"/>
    </row>
    <row r="393" spans="1:4" s="87" customFormat="1" x14ac:dyDescent="0.2">
      <c r="A393" s="16"/>
      <c r="C393" s="36"/>
      <c r="D393" s="37"/>
    </row>
    <row r="394" spans="1:4" s="87" customFormat="1" x14ac:dyDescent="0.2">
      <c r="A394" s="16"/>
      <c r="C394" s="36"/>
      <c r="D394" s="37"/>
    </row>
    <row r="395" spans="1:4" s="87" customFormat="1" x14ac:dyDescent="0.2">
      <c r="A395" s="16"/>
      <c r="C395" s="36"/>
      <c r="D395" s="37"/>
    </row>
    <row r="396" spans="1:4" s="87" customFormat="1" x14ac:dyDescent="0.2">
      <c r="A396" s="16"/>
      <c r="C396" s="36"/>
      <c r="D396" s="37"/>
    </row>
    <row r="397" spans="1:4" s="87" customFormat="1" x14ac:dyDescent="0.2">
      <c r="A397" s="16"/>
      <c r="C397" s="36"/>
      <c r="D397" s="37"/>
    </row>
    <row r="398" spans="1:4" s="87" customFormat="1" x14ac:dyDescent="0.2">
      <c r="A398" s="16"/>
      <c r="C398" s="36"/>
      <c r="D398" s="37"/>
    </row>
    <row r="399" spans="1:4" s="87" customFormat="1" x14ac:dyDescent="0.2">
      <c r="A399" s="16"/>
      <c r="C399" s="36"/>
      <c r="D399" s="37"/>
    </row>
    <row r="400" spans="1:4" s="87" customFormat="1" x14ac:dyDescent="0.2">
      <c r="A400" s="16"/>
      <c r="C400" s="36"/>
      <c r="D400" s="37"/>
    </row>
    <row r="401" spans="1:4" s="87" customFormat="1" x14ac:dyDescent="0.2">
      <c r="A401" s="16"/>
      <c r="C401" s="36"/>
      <c r="D401" s="37"/>
    </row>
    <row r="402" spans="1:4" s="87" customFormat="1" x14ac:dyDescent="0.2">
      <c r="A402" s="16"/>
      <c r="C402" s="36"/>
      <c r="D402" s="37"/>
    </row>
    <row r="403" spans="1:4" s="87" customFormat="1" x14ac:dyDescent="0.2">
      <c r="A403" s="16"/>
      <c r="C403" s="36"/>
      <c r="D403" s="37"/>
    </row>
    <row r="404" spans="1:4" s="87" customFormat="1" x14ac:dyDescent="0.2">
      <c r="A404" s="16"/>
      <c r="C404" s="36"/>
      <c r="D404" s="37"/>
    </row>
    <row r="405" spans="1:4" s="87" customFormat="1" x14ac:dyDescent="0.2">
      <c r="A405" s="16"/>
      <c r="C405" s="36"/>
      <c r="D405" s="37"/>
    </row>
    <row r="406" spans="1:4" s="87" customFormat="1" x14ac:dyDescent="0.2">
      <c r="A406" s="16"/>
      <c r="C406" s="36"/>
      <c r="D406" s="37"/>
    </row>
    <row r="407" spans="1:4" s="87" customFormat="1" x14ac:dyDescent="0.2">
      <c r="A407" s="16"/>
      <c r="C407" s="36"/>
      <c r="D407" s="37"/>
    </row>
    <row r="408" spans="1:4" s="87" customFormat="1" x14ac:dyDescent="0.2">
      <c r="A408" s="16"/>
      <c r="C408" s="36"/>
      <c r="D408" s="37"/>
    </row>
    <row r="409" spans="1:4" s="87" customFormat="1" x14ac:dyDescent="0.2">
      <c r="A409" s="16"/>
      <c r="C409" s="36"/>
      <c r="D409" s="37"/>
    </row>
    <row r="410" spans="1:4" s="87" customFormat="1" x14ac:dyDescent="0.2">
      <c r="A410" s="16"/>
      <c r="C410" s="36"/>
      <c r="D410" s="37"/>
    </row>
    <row r="411" spans="1:4" s="87" customFormat="1" x14ac:dyDescent="0.2">
      <c r="A411" s="16"/>
      <c r="C411" s="36"/>
      <c r="D411" s="37"/>
    </row>
    <row r="412" spans="1:4" s="87" customFormat="1" x14ac:dyDescent="0.2">
      <c r="A412" s="16"/>
      <c r="C412" s="36"/>
      <c r="D412" s="37"/>
    </row>
    <row r="413" spans="1:4" s="87" customFormat="1" x14ac:dyDescent="0.2">
      <c r="A413" s="16"/>
      <c r="C413" s="36"/>
      <c r="D413" s="37"/>
    </row>
    <row r="414" spans="1:4" s="87" customFormat="1" x14ac:dyDescent="0.2">
      <c r="A414" s="16"/>
      <c r="C414" s="36"/>
      <c r="D414" s="37"/>
    </row>
    <row r="415" spans="1:4" s="87" customFormat="1" x14ac:dyDescent="0.2">
      <c r="A415" s="16"/>
      <c r="C415" s="36"/>
      <c r="D415" s="37"/>
    </row>
    <row r="416" spans="1:4" s="87" customFormat="1" x14ac:dyDescent="0.2">
      <c r="A416" s="16"/>
      <c r="C416" s="36"/>
      <c r="D416" s="37"/>
    </row>
    <row r="417" spans="1:4" s="87" customFormat="1" x14ac:dyDescent="0.2">
      <c r="A417" s="16"/>
      <c r="C417" s="36"/>
      <c r="D417" s="37"/>
    </row>
    <row r="418" spans="1:4" s="87" customFormat="1" x14ac:dyDescent="0.2">
      <c r="A418" s="16"/>
      <c r="C418" s="36"/>
      <c r="D418" s="37"/>
    </row>
    <row r="419" spans="1:4" s="87" customFormat="1" x14ac:dyDescent="0.2">
      <c r="A419" s="16"/>
      <c r="C419" s="36"/>
      <c r="D419" s="37"/>
    </row>
    <row r="420" spans="1:4" s="87" customFormat="1" x14ac:dyDescent="0.2">
      <c r="A420" s="16"/>
      <c r="C420" s="36"/>
      <c r="D420" s="37"/>
    </row>
    <row r="421" spans="1:4" s="87" customFormat="1" x14ac:dyDescent="0.2">
      <c r="A421" s="16"/>
      <c r="C421" s="36"/>
      <c r="D421" s="37"/>
    </row>
    <row r="422" spans="1:4" s="87" customFormat="1" x14ac:dyDescent="0.2">
      <c r="A422" s="16"/>
      <c r="C422" s="36"/>
      <c r="D422" s="37"/>
    </row>
    <row r="423" spans="1:4" s="87" customFormat="1" x14ac:dyDescent="0.2">
      <c r="A423" s="16"/>
      <c r="C423" s="36"/>
      <c r="D423" s="37"/>
    </row>
    <row r="424" spans="1:4" s="87" customFormat="1" x14ac:dyDescent="0.2">
      <c r="A424" s="16"/>
      <c r="C424" s="36"/>
      <c r="D424" s="37"/>
    </row>
    <row r="425" spans="1:4" s="87" customFormat="1" x14ac:dyDescent="0.2">
      <c r="A425" s="16"/>
      <c r="C425" s="36"/>
      <c r="D425" s="37"/>
    </row>
    <row r="426" spans="1:4" s="87" customFormat="1" x14ac:dyDescent="0.2">
      <c r="A426" s="16"/>
      <c r="C426" s="36"/>
      <c r="D426" s="37"/>
    </row>
    <row r="427" spans="1:4" s="87" customFormat="1" x14ac:dyDescent="0.2">
      <c r="A427" s="16"/>
      <c r="C427" s="36"/>
      <c r="D427" s="37"/>
    </row>
    <row r="428" spans="1:4" s="87" customFormat="1" x14ac:dyDescent="0.2">
      <c r="A428" s="16"/>
      <c r="C428" s="36"/>
      <c r="D428" s="37"/>
    </row>
    <row r="429" spans="1:4" s="87" customFormat="1" x14ac:dyDescent="0.2">
      <c r="A429" s="16"/>
      <c r="C429" s="36"/>
      <c r="D429" s="37"/>
    </row>
    <row r="430" spans="1:4" s="87" customFormat="1" x14ac:dyDescent="0.2">
      <c r="A430" s="16"/>
      <c r="C430" s="36"/>
      <c r="D430" s="37"/>
    </row>
    <row r="431" spans="1:4" s="87" customFormat="1" x14ac:dyDescent="0.2">
      <c r="A431" s="16"/>
      <c r="C431" s="36"/>
      <c r="D431" s="37"/>
    </row>
    <row r="432" spans="1:4" s="87" customFormat="1" x14ac:dyDescent="0.2">
      <c r="A432" s="16"/>
      <c r="C432" s="36"/>
      <c r="D432" s="37"/>
    </row>
    <row r="433" spans="1:4" s="87" customFormat="1" x14ac:dyDescent="0.2">
      <c r="A433" s="16"/>
      <c r="C433" s="36"/>
      <c r="D433" s="37"/>
    </row>
    <row r="434" spans="1:4" s="87" customFormat="1" x14ac:dyDescent="0.2">
      <c r="A434" s="16"/>
      <c r="C434" s="36"/>
      <c r="D434" s="37"/>
    </row>
    <row r="435" spans="1:4" s="87" customFormat="1" x14ac:dyDescent="0.2">
      <c r="A435" s="16"/>
      <c r="C435" s="36"/>
      <c r="D435" s="37"/>
    </row>
    <row r="436" spans="1:4" s="87" customFormat="1" x14ac:dyDescent="0.2">
      <c r="A436" s="16"/>
      <c r="C436" s="36"/>
      <c r="D436" s="37"/>
    </row>
    <row r="437" spans="1:4" s="87" customFormat="1" x14ac:dyDescent="0.2">
      <c r="A437" s="16"/>
      <c r="C437" s="36"/>
      <c r="D437" s="37"/>
    </row>
    <row r="438" spans="1:4" s="87" customFormat="1" x14ac:dyDescent="0.2">
      <c r="A438" s="16"/>
      <c r="C438" s="36"/>
      <c r="D438" s="37"/>
    </row>
    <row r="439" spans="1:4" s="87" customFormat="1" x14ac:dyDescent="0.2">
      <c r="A439" s="16"/>
      <c r="C439" s="36"/>
      <c r="D439" s="37"/>
    </row>
    <row r="440" spans="1:4" s="87" customFormat="1" x14ac:dyDescent="0.2">
      <c r="A440" s="16"/>
      <c r="C440" s="36"/>
      <c r="D440" s="37"/>
    </row>
    <row r="441" spans="1:4" s="87" customFormat="1" x14ac:dyDescent="0.2">
      <c r="A441" s="16"/>
      <c r="C441" s="36"/>
      <c r="D441" s="37"/>
    </row>
    <row r="442" spans="1:4" s="87" customFormat="1" x14ac:dyDescent="0.2">
      <c r="A442" s="16"/>
      <c r="C442" s="36"/>
      <c r="D442" s="37"/>
    </row>
    <row r="443" spans="1:4" s="87" customFormat="1" x14ac:dyDescent="0.2">
      <c r="A443" s="16"/>
      <c r="C443" s="36"/>
      <c r="D443" s="37"/>
    </row>
    <row r="444" spans="1:4" s="87" customFormat="1" x14ac:dyDescent="0.2">
      <c r="A444" s="16"/>
      <c r="C444" s="36"/>
      <c r="D444" s="37"/>
    </row>
    <row r="445" spans="1:4" s="87" customFormat="1" x14ac:dyDescent="0.2">
      <c r="A445" s="16"/>
      <c r="C445" s="36"/>
      <c r="D445" s="37"/>
    </row>
    <row r="446" spans="1:4" s="87" customFormat="1" x14ac:dyDescent="0.2">
      <c r="A446" s="16"/>
      <c r="C446" s="36"/>
      <c r="D446" s="37"/>
    </row>
    <row r="447" spans="1:4" s="87" customFormat="1" x14ac:dyDescent="0.2">
      <c r="A447" s="16"/>
      <c r="C447" s="36"/>
      <c r="D447" s="37"/>
    </row>
    <row r="448" spans="1:4" s="87" customFormat="1" x14ac:dyDescent="0.2">
      <c r="A448" s="16"/>
      <c r="C448" s="36"/>
      <c r="D448" s="37"/>
    </row>
    <row r="449" spans="1:4" s="87" customFormat="1" x14ac:dyDescent="0.2">
      <c r="A449" s="16"/>
      <c r="C449" s="36"/>
      <c r="D449" s="37"/>
    </row>
    <row r="450" spans="1:4" s="87" customFormat="1" x14ac:dyDescent="0.2">
      <c r="A450" s="16"/>
      <c r="C450" s="36"/>
      <c r="D450" s="37"/>
    </row>
    <row r="451" spans="1:4" s="87" customFormat="1" x14ac:dyDescent="0.2">
      <c r="A451" s="16"/>
      <c r="C451" s="36"/>
      <c r="D451" s="37"/>
    </row>
    <row r="452" spans="1:4" s="87" customFormat="1" x14ac:dyDescent="0.2">
      <c r="A452" s="16"/>
      <c r="C452" s="36"/>
      <c r="D452" s="37"/>
    </row>
    <row r="453" spans="1:4" s="87" customFormat="1" x14ac:dyDescent="0.2">
      <c r="A453" s="16"/>
      <c r="C453" s="36"/>
      <c r="D453" s="37"/>
    </row>
    <row r="454" spans="1:4" s="87" customFormat="1" x14ac:dyDescent="0.2">
      <c r="A454" s="16"/>
      <c r="C454" s="36"/>
      <c r="D454" s="37"/>
    </row>
    <row r="455" spans="1:4" s="87" customFormat="1" x14ac:dyDescent="0.2">
      <c r="A455" s="16"/>
      <c r="C455" s="36"/>
      <c r="D455" s="37"/>
    </row>
    <row r="456" spans="1:4" s="87" customFormat="1" x14ac:dyDescent="0.2">
      <c r="A456" s="16"/>
      <c r="C456" s="36"/>
      <c r="D456" s="37"/>
    </row>
    <row r="457" spans="1:4" s="87" customFormat="1" x14ac:dyDescent="0.2">
      <c r="A457" s="16"/>
      <c r="C457" s="36"/>
      <c r="D457" s="37"/>
    </row>
    <row r="458" spans="1:4" s="87" customFormat="1" x14ac:dyDescent="0.2">
      <c r="A458" s="16"/>
      <c r="C458" s="36"/>
      <c r="D458" s="37"/>
    </row>
    <row r="459" spans="1:4" s="87" customFormat="1" x14ac:dyDescent="0.2">
      <c r="A459" s="16"/>
      <c r="C459" s="36"/>
      <c r="D459" s="37"/>
    </row>
    <row r="460" spans="1:4" s="87" customFormat="1" x14ac:dyDescent="0.2">
      <c r="A460" s="16"/>
      <c r="C460" s="36"/>
      <c r="D460" s="37"/>
    </row>
    <row r="461" spans="1:4" s="87" customFormat="1" x14ac:dyDescent="0.2">
      <c r="A461" s="16"/>
      <c r="C461" s="36"/>
      <c r="D461" s="37"/>
    </row>
    <row r="462" spans="1:4" s="87" customFormat="1" x14ac:dyDescent="0.2">
      <c r="A462" s="16"/>
      <c r="C462" s="36"/>
      <c r="D462" s="37"/>
    </row>
    <row r="463" spans="1:4" s="87" customFormat="1" x14ac:dyDescent="0.2">
      <c r="A463" s="16"/>
      <c r="C463" s="36"/>
      <c r="D463" s="37"/>
    </row>
    <row r="464" spans="1:4" s="87" customFormat="1" x14ac:dyDescent="0.2">
      <c r="A464" s="16"/>
      <c r="C464" s="36"/>
      <c r="D464" s="37"/>
    </row>
    <row r="465" spans="1:4" s="87" customFormat="1" x14ac:dyDescent="0.2">
      <c r="A465" s="16"/>
      <c r="C465" s="36"/>
      <c r="D465" s="37"/>
    </row>
    <row r="466" spans="1:4" s="87" customFormat="1" x14ac:dyDescent="0.2">
      <c r="A466" s="16"/>
      <c r="C466" s="36"/>
      <c r="D466" s="37"/>
    </row>
    <row r="467" spans="1:4" s="87" customFormat="1" x14ac:dyDescent="0.2">
      <c r="A467" s="16"/>
      <c r="C467" s="36"/>
      <c r="D467" s="37"/>
    </row>
    <row r="468" spans="1:4" s="87" customFormat="1" x14ac:dyDescent="0.2">
      <c r="A468" s="16"/>
      <c r="C468" s="36"/>
      <c r="D468" s="37"/>
    </row>
    <row r="469" spans="1:4" s="87" customFormat="1" x14ac:dyDescent="0.2">
      <c r="A469" s="16"/>
      <c r="C469" s="36"/>
      <c r="D469" s="37"/>
    </row>
    <row r="470" spans="1:4" s="87" customFormat="1" x14ac:dyDescent="0.2">
      <c r="A470" s="16"/>
      <c r="C470" s="36"/>
      <c r="D470" s="37"/>
    </row>
    <row r="471" spans="1:4" s="87" customFormat="1" x14ac:dyDescent="0.2">
      <c r="A471" s="16"/>
      <c r="C471" s="36"/>
      <c r="D471" s="37"/>
    </row>
    <row r="472" spans="1:4" s="87" customFormat="1" x14ac:dyDescent="0.2">
      <c r="A472" s="16"/>
      <c r="C472" s="36"/>
      <c r="D472" s="37"/>
    </row>
    <row r="473" spans="1:4" s="87" customFormat="1" x14ac:dyDescent="0.2">
      <c r="A473" s="16"/>
      <c r="C473" s="36"/>
      <c r="D473" s="37"/>
    </row>
    <row r="474" spans="1:4" s="87" customFormat="1" x14ac:dyDescent="0.2">
      <c r="A474" s="16"/>
      <c r="C474" s="36"/>
      <c r="D474" s="37"/>
    </row>
    <row r="475" spans="1:4" s="87" customFormat="1" x14ac:dyDescent="0.2">
      <c r="A475" s="16"/>
      <c r="C475" s="36"/>
      <c r="D475" s="37"/>
    </row>
    <row r="476" spans="1:4" s="87" customFormat="1" x14ac:dyDescent="0.2">
      <c r="A476" s="16"/>
      <c r="C476" s="36"/>
      <c r="D476" s="37"/>
    </row>
    <row r="477" spans="1:4" s="87" customFormat="1" x14ac:dyDescent="0.2">
      <c r="A477" s="16"/>
      <c r="C477" s="36"/>
      <c r="D477" s="37"/>
    </row>
    <row r="478" spans="1:4" s="87" customFormat="1" x14ac:dyDescent="0.2">
      <c r="A478" s="16"/>
      <c r="C478" s="36"/>
      <c r="D478" s="37"/>
    </row>
    <row r="479" spans="1:4" s="87" customFormat="1" x14ac:dyDescent="0.2">
      <c r="A479" s="16"/>
      <c r="C479" s="36"/>
      <c r="D479" s="37"/>
    </row>
    <row r="480" spans="1:4" s="87" customFormat="1" x14ac:dyDescent="0.2">
      <c r="A480" s="16"/>
      <c r="C480" s="36"/>
      <c r="D480" s="37"/>
    </row>
    <row r="481" spans="1:4" s="87" customFormat="1" x14ac:dyDescent="0.2">
      <c r="A481" s="16"/>
      <c r="C481" s="36"/>
      <c r="D481" s="37"/>
    </row>
    <row r="482" spans="1:4" s="87" customFormat="1" x14ac:dyDescent="0.2">
      <c r="A482" s="16"/>
      <c r="C482" s="36"/>
      <c r="D482" s="37"/>
    </row>
    <row r="483" spans="1:4" s="87" customFormat="1" x14ac:dyDescent="0.2">
      <c r="A483" s="16"/>
      <c r="C483" s="36"/>
      <c r="D483" s="37"/>
    </row>
    <row r="484" spans="1:4" s="87" customFormat="1" x14ac:dyDescent="0.2">
      <c r="A484" s="16"/>
      <c r="C484" s="36"/>
      <c r="D484" s="37"/>
    </row>
    <row r="485" spans="1:4" s="87" customFormat="1" x14ac:dyDescent="0.2">
      <c r="A485" s="16"/>
      <c r="C485" s="36"/>
      <c r="D485" s="37"/>
    </row>
    <row r="486" spans="1:4" s="87" customFormat="1" x14ac:dyDescent="0.2">
      <c r="A486" s="16"/>
      <c r="C486" s="36"/>
      <c r="D486" s="37"/>
    </row>
    <row r="487" spans="1:4" s="87" customFormat="1" x14ac:dyDescent="0.2">
      <c r="A487" s="16"/>
      <c r="C487" s="36"/>
      <c r="D487" s="37"/>
    </row>
    <row r="488" spans="1:4" s="87" customFormat="1" x14ac:dyDescent="0.2">
      <c r="A488" s="16"/>
      <c r="C488" s="36"/>
      <c r="D488" s="37"/>
    </row>
    <row r="489" spans="1:4" s="87" customFormat="1" x14ac:dyDescent="0.2">
      <c r="A489" s="16"/>
      <c r="C489" s="36"/>
      <c r="D489" s="37"/>
    </row>
    <row r="490" spans="1:4" s="87" customFormat="1" x14ac:dyDescent="0.2">
      <c r="A490" s="16"/>
      <c r="C490" s="36"/>
      <c r="D490" s="37"/>
    </row>
    <row r="491" spans="1:4" s="87" customFormat="1" x14ac:dyDescent="0.2">
      <c r="A491" s="16"/>
      <c r="C491" s="36"/>
      <c r="D491" s="37"/>
    </row>
    <row r="492" spans="1:4" s="87" customFormat="1" x14ac:dyDescent="0.2">
      <c r="A492" s="16"/>
      <c r="C492" s="36"/>
      <c r="D492" s="37"/>
    </row>
    <row r="493" spans="1:4" s="87" customFormat="1" x14ac:dyDescent="0.2">
      <c r="A493" s="16"/>
      <c r="C493" s="36"/>
      <c r="D493" s="37"/>
    </row>
    <row r="494" spans="1:4" s="87" customFormat="1" x14ac:dyDescent="0.2">
      <c r="A494" s="16"/>
      <c r="C494" s="36"/>
      <c r="D494" s="37"/>
    </row>
    <row r="495" spans="1:4" s="87" customFormat="1" x14ac:dyDescent="0.2">
      <c r="A495" s="16"/>
      <c r="C495" s="36"/>
      <c r="D495" s="37"/>
    </row>
    <row r="496" spans="1:4" s="87" customFormat="1" x14ac:dyDescent="0.2">
      <c r="A496" s="16"/>
      <c r="C496" s="36"/>
      <c r="D496" s="37"/>
    </row>
    <row r="497" spans="1:4" s="87" customFormat="1" x14ac:dyDescent="0.2">
      <c r="A497" s="16"/>
      <c r="C497" s="36"/>
      <c r="D497" s="37"/>
    </row>
    <row r="498" spans="1:4" s="87" customFormat="1" x14ac:dyDescent="0.2">
      <c r="A498" s="16"/>
      <c r="C498" s="36"/>
      <c r="D498" s="37"/>
    </row>
    <row r="499" spans="1:4" s="87" customFormat="1" x14ac:dyDescent="0.2">
      <c r="A499" s="16"/>
      <c r="C499" s="36"/>
      <c r="D499" s="37"/>
    </row>
    <row r="500" spans="1:4" s="87" customFormat="1" x14ac:dyDescent="0.2">
      <c r="A500" s="16"/>
      <c r="C500" s="36"/>
      <c r="D500" s="37"/>
    </row>
    <row r="501" spans="1:4" s="87" customFormat="1" x14ac:dyDescent="0.2">
      <c r="A501" s="16"/>
      <c r="C501" s="36"/>
      <c r="D501" s="37"/>
    </row>
    <row r="502" spans="1:4" s="87" customFormat="1" x14ac:dyDescent="0.2">
      <c r="A502" s="16"/>
      <c r="C502" s="36"/>
      <c r="D502" s="37"/>
    </row>
    <row r="503" spans="1:4" s="87" customFormat="1" x14ac:dyDescent="0.2">
      <c r="A503" s="16"/>
      <c r="C503" s="36"/>
      <c r="D503" s="37"/>
    </row>
    <row r="504" spans="1:4" s="87" customFormat="1" x14ac:dyDescent="0.2">
      <c r="A504" s="16"/>
      <c r="C504" s="36"/>
      <c r="D504" s="37"/>
    </row>
    <row r="505" spans="1:4" s="87" customFormat="1" x14ac:dyDescent="0.2">
      <c r="A505" s="16"/>
      <c r="C505" s="36"/>
      <c r="D505" s="37"/>
    </row>
    <row r="506" spans="1:4" s="87" customFormat="1" x14ac:dyDescent="0.2">
      <c r="A506" s="16"/>
      <c r="C506" s="36"/>
      <c r="D506" s="37"/>
    </row>
    <row r="507" spans="1:4" s="87" customFormat="1" x14ac:dyDescent="0.2">
      <c r="A507" s="16"/>
      <c r="C507" s="36"/>
      <c r="D507" s="37"/>
    </row>
    <row r="508" spans="1:4" s="87" customFormat="1" x14ac:dyDescent="0.2">
      <c r="A508" s="16"/>
      <c r="C508" s="36"/>
      <c r="D508" s="37"/>
    </row>
    <row r="509" spans="1:4" s="87" customFormat="1" x14ac:dyDescent="0.2">
      <c r="A509" s="16"/>
      <c r="C509" s="36"/>
      <c r="D509" s="37"/>
    </row>
    <row r="510" spans="1:4" s="87" customFormat="1" x14ac:dyDescent="0.2">
      <c r="A510" s="16"/>
      <c r="C510" s="36"/>
      <c r="D510" s="37"/>
    </row>
    <row r="511" spans="1:4" s="87" customFormat="1" x14ac:dyDescent="0.2">
      <c r="A511" s="16"/>
      <c r="C511" s="36"/>
      <c r="D511" s="37"/>
    </row>
    <row r="512" spans="1:4" s="87" customFormat="1" x14ac:dyDescent="0.2">
      <c r="A512" s="16"/>
      <c r="C512" s="36"/>
      <c r="D512" s="37"/>
    </row>
    <row r="513" spans="1:4" s="87" customFormat="1" x14ac:dyDescent="0.2">
      <c r="A513" s="16"/>
      <c r="C513" s="36"/>
      <c r="D513" s="37"/>
    </row>
    <row r="514" spans="1:4" s="87" customFormat="1" x14ac:dyDescent="0.2">
      <c r="A514" s="16"/>
      <c r="C514" s="36"/>
      <c r="D514" s="37"/>
    </row>
    <row r="515" spans="1:4" s="87" customFormat="1" x14ac:dyDescent="0.2">
      <c r="A515" s="16"/>
      <c r="C515" s="36"/>
      <c r="D515" s="37"/>
    </row>
    <row r="516" spans="1:4" s="87" customFormat="1" x14ac:dyDescent="0.2">
      <c r="A516" s="16"/>
      <c r="C516" s="36"/>
      <c r="D516" s="37"/>
    </row>
    <row r="517" spans="1:4" s="87" customFormat="1" x14ac:dyDescent="0.2">
      <c r="A517" s="16"/>
      <c r="C517" s="36"/>
      <c r="D517" s="37"/>
    </row>
    <row r="518" spans="1:4" s="87" customFormat="1" x14ac:dyDescent="0.2">
      <c r="A518" s="16"/>
      <c r="C518" s="36"/>
      <c r="D518" s="37"/>
    </row>
    <row r="519" spans="1:4" s="87" customFormat="1" x14ac:dyDescent="0.2">
      <c r="A519" s="16"/>
      <c r="C519" s="36"/>
      <c r="D519" s="37"/>
    </row>
    <row r="520" spans="1:4" s="87" customFormat="1" x14ac:dyDescent="0.2">
      <c r="A520" s="16"/>
      <c r="C520" s="36"/>
      <c r="D520" s="37"/>
    </row>
    <row r="521" spans="1:4" s="87" customFormat="1" x14ac:dyDescent="0.2">
      <c r="A521" s="16"/>
      <c r="C521" s="36"/>
      <c r="D521" s="37"/>
    </row>
    <row r="522" spans="1:4" s="87" customFormat="1" x14ac:dyDescent="0.2">
      <c r="A522" s="16"/>
      <c r="C522" s="36"/>
      <c r="D522" s="37"/>
    </row>
    <row r="523" spans="1:4" s="87" customFormat="1" x14ac:dyDescent="0.2">
      <c r="A523" s="16"/>
      <c r="C523" s="36"/>
      <c r="D523" s="37"/>
    </row>
    <row r="524" spans="1:4" s="87" customFormat="1" x14ac:dyDescent="0.2">
      <c r="A524" s="16"/>
      <c r="C524" s="36"/>
      <c r="D524" s="37"/>
    </row>
    <row r="525" spans="1:4" s="87" customFormat="1" x14ac:dyDescent="0.2">
      <c r="A525" s="16"/>
      <c r="C525" s="36"/>
      <c r="D525" s="37"/>
    </row>
    <row r="526" spans="1:4" s="87" customFormat="1" x14ac:dyDescent="0.2">
      <c r="A526" s="16"/>
      <c r="C526" s="36"/>
      <c r="D526" s="37"/>
    </row>
    <row r="527" spans="1:4" s="87" customFormat="1" x14ac:dyDescent="0.2">
      <c r="A527" s="16"/>
      <c r="C527" s="36"/>
      <c r="D527" s="37"/>
    </row>
    <row r="528" spans="1:4" s="87" customFormat="1" x14ac:dyDescent="0.2">
      <c r="A528" s="16"/>
      <c r="C528" s="36"/>
      <c r="D528" s="37"/>
    </row>
    <row r="529" spans="1:4" s="87" customFormat="1" x14ac:dyDescent="0.2">
      <c r="A529" s="16"/>
      <c r="C529" s="36"/>
      <c r="D529" s="37"/>
    </row>
    <row r="530" spans="1:4" s="87" customFormat="1" x14ac:dyDescent="0.2">
      <c r="A530" s="16"/>
      <c r="C530" s="36"/>
      <c r="D530" s="37"/>
    </row>
    <row r="531" spans="1:4" s="87" customFormat="1" x14ac:dyDescent="0.2">
      <c r="A531" s="16"/>
      <c r="C531" s="36"/>
      <c r="D531" s="37"/>
    </row>
    <row r="532" spans="1:4" s="87" customFormat="1" x14ac:dyDescent="0.2">
      <c r="A532" s="16"/>
      <c r="C532" s="36"/>
      <c r="D532" s="37"/>
    </row>
    <row r="533" spans="1:4" s="87" customFormat="1" x14ac:dyDescent="0.2">
      <c r="A533" s="16"/>
      <c r="C533" s="36"/>
      <c r="D533" s="37"/>
    </row>
    <row r="534" spans="1:4" s="87" customFormat="1" x14ac:dyDescent="0.2">
      <c r="A534" s="16"/>
      <c r="C534" s="36"/>
      <c r="D534" s="37"/>
    </row>
    <row r="535" spans="1:4" s="87" customFormat="1" x14ac:dyDescent="0.2">
      <c r="A535" s="16"/>
      <c r="C535" s="36"/>
      <c r="D535" s="37"/>
    </row>
    <row r="536" spans="1:4" s="87" customFormat="1" x14ac:dyDescent="0.2">
      <c r="A536" s="16"/>
      <c r="C536" s="36"/>
      <c r="D536" s="37"/>
    </row>
    <row r="537" spans="1:4" s="87" customFormat="1" x14ac:dyDescent="0.2">
      <c r="A537" s="16"/>
      <c r="C537" s="36"/>
      <c r="D537" s="37"/>
    </row>
    <row r="538" spans="1:4" s="87" customFormat="1" x14ac:dyDescent="0.2">
      <c r="A538" s="16"/>
      <c r="C538" s="36"/>
      <c r="D538" s="37"/>
    </row>
    <row r="539" spans="1:4" s="87" customFormat="1" x14ac:dyDescent="0.2">
      <c r="A539" s="16"/>
      <c r="C539" s="36"/>
      <c r="D539" s="37"/>
    </row>
    <row r="540" spans="1:4" s="87" customFormat="1" x14ac:dyDescent="0.2">
      <c r="A540" s="16"/>
      <c r="C540" s="36"/>
      <c r="D540" s="37"/>
    </row>
    <row r="541" spans="1:4" s="87" customFormat="1" x14ac:dyDescent="0.2">
      <c r="A541" s="16"/>
      <c r="C541" s="36"/>
      <c r="D541" s="37"/>
    </row>
    <row r="542" spans="1:4" s="87" customFormat="1" x14ac:dyDescent="0.2">
      <c r="A542" s="16"/>
      <c r="C542" s="36"/>
      <c r="D542" s="37"/>
    </row>
    <row r="543" spans="1:4" s="87" customFormat="1" x14ac:dyDescent="0.2">
      <c r="A543" s="16"/>
      <c r="C543" s="36"/>
      <c r="D543" s="37"/>
    </row>
    <row r="544" spans="1:4" s="87" customFormat="1" x14ac:dyDescent="0.2">
      <c r="A544" s="16"/>
      <c r="C544" s="36"/>
      <c r="D544" s="37"/>
    </row>
    <row r="545" spans="1:4" s="87" customFormat="1" x14ac:dyDescent="0.2">
      <c r="A545" s="16"/>
      <c r="C545" s="36"/>
      <c r="D545" s="37"/>
    </row>
    <row r="546" spans="1:4" s="87" customFormat="1" x14ac:dyDescent="0.2">
      <c r="A546" s="16"/>
      <c r="C546" s="36"/>
      <c r="D546" s="37"/>
    </row>
    <row r="547" spans="1:4" s="87" customFormat="1" x14ac:dyDescent="0.2">
      <c r="A547" s="16"/>
      <c r="C547" s="36"/>
      <c r="D547" s="37"/>
    </row>
    <row r="548" spans="1:4" s="87" customFormat="1" x14ac:dyDescent="0.2">
      <c r="A548" s="16"/>
      <c r="C548" s="36"/>
      <c r="D548" s="37"/>
    </row>
    <row r="549" spans="1:4" s="87" customFormat="1" x14ac:dyDescent="0.2">
      <c r="A549" s="16"/>
      <c r="C549" s="36"/>
      <c r="D549" s="37"/>
    </row>
    <row r="550" spans="1:4" s="87" customFormat="1" x14ac:dyDescent="0.2">
      <c r="A550" s="16"/>
      <c r="C550" s="36"/>
      <c r="D550" s="37"/>
    </row>
    <row r="551" spans="1:4" s="87" customFormat="1" x14ac:dyDescent="0.2">
      <c r="A551" s="16"/>
      <c r="C551" s="36"/>
      <c r="D551" s="37"/>
    </row>
    <row r="552" spans="1:4" s="87" customFormat="1" x14ac:dyDescent="0.2">
      <c r="A552" s="16"/>
      <c r="C552" s="36"/>
      <c r="D552" s="37"/>
    </row>
    <row r="553" spans="1:4" s="87" customFormat="1" x14ac:dyDescent="0.2">
      <c r="A553" s="16"/>
      <c r="C553" s="36"/>
      <c r="D553" s="37"/>
    </row>
    <row r="554" spans="1:4" s="87" customFormat="1" x14ac:dyDescent="0.2">
      <c r="A554" s="16"/>
      <c r="C554" s="36"/>
      <c r="D554" s="37"/>
    </row>
    <row r="555" spans="1:4" s="87" customFormat="1" x14ac:dyDescent="0.2">
      <c r="A555" s="16"/>
      <c r="C555" s="36"/>
      <c r="D555" s="37"/>
    </row>
    <row r="556" spans="1:4" s="87" customFormat="1" x14ac:dyDescent="0.2">
      <c r="A556" s="16"/>
      <c r="C556" s="36"/>
      <c r="D556" s="37"/>
    </row>
    <row r="557" spans="1:4" s="87" customFormat="1" x14ac:dyDescent="0.2">
      <c r="A557" s="16"/>
      <c r="C557" s="36"/>
      <c r="D557" s="37"/>
    </row>
    <row r="558" spans="1:4" s="87" customFormat="1" x14ac:dyDescent="0.2">
      <c r="A558" s="16"/>
      <c r="C558" s="36"/>
      <c r="D558" s="37"/>
    </row>
    <row r="559" spans="1:4" s="87" customFormat="1" x14ac:dyDescent="0.2">
      <c r="A559" s="16"/>
      <c r="C559" s="36"/>
      <c r="D559" s="37"/>
    </row>
    <row r="560" spans="1:4" s="87" customFormat="1" x14ac:dyDescent="0.2">
      <c r="A560" s="16"/>
      <c r="C560" s="36"/>
      <c r="D560" s="37"/>
    </row>
    <row r="561" spans="1:4" s="87" customFormat="1" x14ac:dyDescent="0.2">
      <c r="A561" s="16"/>
      <c r="C561" s="36"/>
      <c r="D561" s="37"/>
    </row>
    <row r="562" spans="1:4" s="87" customFormat="1" x14ac:dyDescent="0.2">
      <c r="A562" s="16"/>
      <c r="C562" s="36"/>
      <c r="D562" s="37"/>
    </row>
    <row r="563" spans="1:4" s="87" customFormat="1" x14ac:dyDescent="0.2">
      <c r="A563" s="16"/>
      <c r="C563" s="36"/>
      <c r="D563" s="37"/>
    </row>
    <row r="564" spans="1:4" s="87" customFormat="1" x14ac:dyDescent="0.2">
      <c r="A564" s="16"/>
      <c r="C564" s="36"/>
      <c r="D564" s="37"/>
    </row>
    <row r="565" spans="1:4" s="87" customFormat="1" x14ac:dyDescent="0.2">
      <c r="A565" s="16"/>
      <c r="C565" s="36"/>
      <c r="D565" s="37"/>
    </row>
    <row r="566" spans="1:4" s="87" customFormat="1" x14ac:dyDescent="0.2">
      <c r="A566" s="16"/>
      <c r="C566" s="36"/>
      <c r="D566" s="37"/>
    </row>
    <row r="567" spans="1:4" s="87" customFormat="1" x14ac:dyDescent="0.2">
      <c r="A567" s="16"/>
      <c r="C567" s="36"/>
      <c r="D567" s="37"/>
    </row>
    <row r="568" spans="1:4" s="87" customFormat="1" x14ac:dyDescent="0.2">
      <c r="A568" s="16"/>
      <c r="C568" s="36"/>
      <c r="D568" s="37"/>
    </row>
    <row r="569" spans="1:4" s="87" customFormat="1" x14ac:dyDescent="0.2">
      <c r="A569" s="16"/>
      <c r="C569" s="36"/>
      <c r="D569" s="37"/>
    </row>
    <row r="570" spans="1:4" s="87" customFormat="1" x14ac:dyDescent="0.2">
      <c r="A570" s="16"/>
      <c r="C570" s="36"/>
      <c r="D570" s="37"/>
    </row>
    <row r="571" spans="1:4" s="87" customFormat="1" x14ac:dyDescent="0.2">
      <c r="A571" s="16"/>
      <c r="C571" s="36"/>
      <c r="D571" s="37"/>
    </row>
    <row r="572" spans="1:4" s="87" customFormat="1" x14ac:dyDescent="0.2">
      <c r="A572" s="16"/>
      <c r="C572" s="36"/>
      <c r="D572" s="37"/>
    </row>
    <row r="573" spans="1:4" s="87" customFormat="1" x14ac:dyDescent="0.2">
      <c r="A573" s="16"/>
      <c r="C573" s="36"/>
      <c r="D573" s="37"/>
    </row>
    <row r="574" spans="1:4" s="87" customFormat="1" x14ac:dyDescent="0.2">
      <c r="A574" s="16"/>
      <c r="C574" s="36"/>
      <c r="D574" s="37"/>
    </row>
    <row r="575" spans="1:4" s="87" customFormat="1" x14ac:dyDescent="0.2">
      <c r="A575" s="16"/>
      <c r="C575" s="36"/>
      <c r="D575" s="37"/>
    </row>
    <row r="576" spans="1:4" s="87" customFormat="1" x14ac:dyDescent="0.2">
      <c r="A576" s="16"/>
      <c r="C576" s="36"/>
      <c r="D576" s="37"/>
    </row>
    <row r="577" spans="1:4" s="87" customFormat="1" x14ac:dyDescent="0.2">
      <c r="A577" s="16"/>
      <c r="C577" s="36"/>
      <c r="D577" s="37"/>
    </row>
    <row r="578" spans="1:4" s="87" customFormat="1" x14ac:dyDescent="0.2">
      <c r="A578" s="16"/>
      <c r="C578" s="36"/>
      <c r="D578" s="37"/>
    </row>
    <row r="579" spans="1:4" s="87" customFormat="1" x14ac:dyDescent="0.2">
      <c r="A579" s="16"/>
      <c r="C579" s="36"/>
      <c r="D579" s="37"/>
    </row>
    <row r="580" spans="1:4" s="87" customFormat="1" x14ac:dyDescent="0.2">
      <c r="A580" s="16"/>
      <c r="C580" s="36"/>
      <c r="D580" s="37"/>
    </row>
    <row r="581" spans="1:4" s="87" customFormat="1" x14ac:dyDescent="0.2">
      <c r="A581" s="16"/>
      <c r="C581" s="36"/>
      <c r="D581" s="37"/>
    </row>
    <row r="582" spans="1:4" s="87" customFormat="1" x14ac:dyDescent="0.2">
      <c r="A582" s="16"/>
      <c r="C582" s="36"/>
      <c r="D582" s="37"/>
    </row>
    <row r="583" spans="1:4" s="87" customFormat="1" x14ac:dyDescent="0.2">
      <c r="A583" s="16"/>
      <c r="C583" s="36"/>
      <c r="D583" s="37"/>
    </row>
    <row r="584" spans="1:4" s="87" customFormat="1" x14ac:dyDescent="0.2">
      <c r="A584" s="16"/>
      <c r="C584" s="36"/>
      <c r="D584" s="37"/>
    </row>
    <row r="585" spans="1:4" s="87" customFormat="1" x14ac:dyDescent="0.2">
      <c r="A585" s="16"/>
      <c r="C585" s="36"/>
      <c r="D585" s="37"/>
    </row>
    <row r="586" spans="1:4" s="87" customFormat="1" x14ac:dyDescent="0.2">
      <c r="A586" s="16"/>
      <c r="C586" s="36"/>
      <c r="D586" s="37"/>
    </row>
    <row r="587" spans="1:4" s="87" customFormat="1" x14ac:dyDescent="0.2">
      <c r="A587" s="16"/>
      <c r="C587" s="36"/>
      <c r="D587" s="37"/>
    </row>
    <row r="588" spans="1:4" s="87" customFormat="1" x14ac:dyDescent="0.2">
      <c r="A588" s="16"/>
      <c r="C588" s="36"/>
      <c r="D588" s="37"/>
    </row>
    <row r="589" spans="1:4" s="87" customFormat="1" x14ac:dyDescent="0.2">
      <c r="A589" s="16"/>
      <c r="C589" s="36"/>
      <c r="D589" s="37"/>
    </row>
    <row r="590" spans="1:4" s="87" customFormat="1" x14ac:dyDescent="0.2">
      <c r="A590" s="16"/>
      <c r="C590" s="36"/>
      <c r="D590" s="37"/>
    </row>
    <row r="591" spans="1:4" s="87" customFormat="1" x14ac:dyDescent="0.2">
      <c r="A591" s="16"/>
      <c r="C591" s="36"/>
      <c r="D591" s="37"/>
    </row>
    <row r="592" spans="1:4" s="87" customFormat="1" x14ac:dyDescent="0.2">
      <c r="A592" s="16"/>
      <c r="C592" s="36"/>
      <c r="D592" s="37"/>
    </row>
    <row r="593" spans="1:4" s="87" customFormat="1" x14ac:dyDescent="0.2">
      <c r="A593" s="16"/>
      <c r="C593" s="36"/>
      <c r="D593" s="37"/>
    </row>
    <row r="594" spans="1:4" s="87" customFormat="1" x14ac:dyDescent="0.2">
      <c r="A594" s="16"/>
      <c r="C594" s="36"/>
      <c r="D594" s="37"/>
    </row>
    <row r="595" spans="1:4" s="87" customFormat="1" x14ac:dyDescent="0.2">
      <c r="A595" s="16"/>
      <c r="C595" s="36"/>
      <c r="D595" s="37"/>
    </row>
    <row r="596" spans="1:4" s="87" customFormat="1" x14ac:dyDescent="0.2">
      <c r="A596" s="16"/>
      <c r="C596" s="36"/>
      <c r="D596" s="37"/>
    </row>
    <row r="597" spans="1:4" s="87" customFormat="1" x14ac:dyDescent="0.2">
      <c r="A597" s="16"/>
      <c r="C597" s="36"/>
      <c r="D597" s="37"/>
    </row>
    <row r="598" spans="1:4" s="87" customFormat="1" x14ac:dyDescent="0.2">
      <c r="A598" s="16"/>
      <c r="C598" s="36"/>
      <c r="D598" s="37"/>
    </row>
    <row r="599" spans="1:4" s="87" customFormat="1" x14ac:dyDescent="0.2">
      <c r="A599" s="16"/>
      <c r="C599" s="36"/>
      <c r="D599" s="37"/>
    </row>
    <row r="600" spans="1:4" s="87" customFormat="1" x14ac:dyDescent="0.2">
      <c r="A600" s="16"/>
      <c r="C600" s="36"/>
      <c r="D600" s="37"/>
    </row>
    <row r="601" spans="1:4" s="87" customFormat="1" x14ac:dyDescent="0.2">
      <c r="A601" s="16"/>
      <c r="C601" s="36"/>
      <c r="D601" s="37"/>
    </row>
    <row r="602" spans="1:4" s="87" customFormat="1" x14ac:dyDescent="0.2">
      <c r="A602" s="16"/>
      <c r="C602" s="36"/>
      <c r="D602" s="37"/>
    </row>
    <row r="603" spans="1:4" s="87" customFormat="1" x14ac:dyDescent="0.2">
      <c r="A603" s="16"/>
      <c r="C603" s="36"/>
      <c r="D603" s="37"/>
    </row>
    <row r="604" spans="1:4" s="87" customFormat="1" x14ac:dyDescent="0.2">
      <c r="A604" s="16"/>
      <c r="C604" s="36"/>
      <c r="D604" s="37"/>
    </row>
    <row r="605" spans="1:4" s="87" customFormat="1" x14ac:dyDescent="0.2">
      <c r="A605" s="16"/>
      <c r="C605" s="36"/>
      <c r="D605" s="37"/>
    </row>
    <row r="606" spans="1:4" s="87" customFormat="1" x14ac:dyDescent="0.2">
      <c r="A606" s="16"/>
      <c r="C606" s="36"/>
      <c r="D606" s="37"/>
    </row>
    <row r="607" spans="1:4" s="87" customFormat="1" x14ac:dyDescent="0.2">
      <c r="A607" s="16"/>
      <c r="C607" s="36"/>
      <c r="D607" s="37"/>
    </row>
    <row r="608" spans="1:4" s="87" customFormat="1" x14ac:dyDescent="0.2">
      <c r="A608" s="16"/>
      <c r="C608" s="36"/>
      <c r="D608" s="37"/>
    </row>
    <row r="609" spans="1:4" s="87" customFormat="1" x14ac:dyDescent="0.2">
      <c r="A609" s="16"/>
      <c r="C609" s="36"/>
      <c r="D609" s="37"/>
    </row>
    <row r="610" spans="1:4" s="87" customFormat="1" x14ac:dyDescent="0.2">
      <c r="A610" s="16"/>
      <c r="C610" s="36"/>
      <c r="D610" s="37"/>
    </row>
    <row r="611" spans="1:4" s="87" customFormat="1" x14ac:dyDescent="0.2">
      <c r="A611" s="16"/>
      <c r="C611" s="36"/>
      <c r="D611" s="37"/>
    </row>
    <row r="612" spans="1:4" s="87" customFormat="1" x14ac:dyDescent="0.2">
      <c r="A612" s="16"/>
      <c r="C612" s="36"/>
      <c r="D612" s="37"/>
    </row>
    <row r="613" spans="1:4" s="87" customFormat="1" x14ac:dyDescent="0.2">
      <c r="A613" s="16"/>
      <c r="C613" s="36"/>
      <c r="D613" s="37"/>
    </row>
    <row r="614" spans="1:4" s="87" customFormat="1" x14ac:dyDescent="0.2">
      <c r="A614" s="16"/>
      <c r="C614" s="36"/>
      <c r="D614" s="37"/>
    </row>
    <row r="615" spans="1:4" s="87" customFormat="1" x14ac:dyDescent="0.2">
      <c r="A615" s="16"/>
      <c r="C615" s="36"/>
      <c r="D615" s="37"/>
    </row>
    <row r="616" spans="1:4" s="87" customFormat="1" x14ac:dyDescent="0.2">
      <c r="A616" s="16"/>
      <c r="C616" s="36"/>
      <c r="D616" s="37"/>
    </row>
    <row r="617" spans="1:4" s="87" customFormat="1" x14ac:dyDescent="0.2">
      <c r="A617" s="16"/>
      <c r="C617" s="36"/>
      <c r="D617" s="37"/>
    </row>
    <row r="618" spans="1:4" s="87" customFormat="1" x14ac:dyDescent="0.2">
      <c r="A618" s="16"/>
      <c r="C618" s="36"/>
      <c r="D618" s="37"/>
    </row>
    <row r="619" spans="1:4" s="87" customFormat="1" x14ac:dyDescent="0.2">
      <c r="A619" s="16"/>
      <c r="C619" s="36"/>
      <c r="D619" s="37"/>
    </row>
    <row r="620" spans="1:4" s="87" customFormat="1" x14ac:dyDescent="0.2">
      <c r="A620" s="16"/>
      <c r="C620" s="36"/>
      <c r="D620" s="37"/>
    </row>
    <row r="621" spans="1:4" s="87" customFormat="1" x14ac:dyDescent="0.2">
      <c r="A621" s="16"/>
      <c r="C621" s="36"/>
      <c r="D621" s="37"/>
    </row>
    <row r="622" spans="1:4" s="87" customFormat="1" x14ac:dyDescent="0.2">
      <c r="A622" s="16"/>
      <c r="C622" s="36"/>
      <c r="D622" s="37"/>
    </row>
    <row r="623" spans="1:4" s="87" customFormat="1" x14ac:dyDescent="0.2">
      <c r="A623" s="16"/>
      <c r="C623" s="36"/>
      <c r="D623" s="37"/>
    </row>
    <row r="624" spans="1:4" s="87" customFormat="1" x14ac:dyDescent="0.2">
      <c r="A624" s="16"/>
      <c r="C624" s="36"/>
      <c r="D624" s="37"/>
    </row>
    <row r="625" spans="1:4" s="87" customFormat="1" x14ac:dyDescent="0.2">
      <c r="A625" s="16"/>
      <c r="C625" s="36"/>
      <c r="D625" s="37"/>
    </row>
    <row r="626" spans="1:4" s="87" customFormat="1" x14ac:dyDescent="0.2">
      <c r="A626" s="16"/>
      <c r="C626" s="36"/>
      <c r="D626" s="37"/>
    </row>
    <row r="627" spans="1:4" s="87" customFormat="1" x14ac:dyDescent="0.2">
      <c r="A627" s="16"/>
      <c r="C627" s="36"/>
      <c r="D627" s="37"/>
    </row>
    <row r="628" spans="1:4" s="87" customFormat="1" x14ac:dyDescent="0.2">
      <c r="A628" s="16"/>
      <c r="C628" s="36"/>
      <c r="D628" s="37"/>
    </row>
    <row r="629" spans="1:4" s="87" customFormat="1" x14ac:dyDescent="0.2">
      <c r="A629" s="16"/>
      <c r="C629" s="36"/>
      <c r="D629" s="37"/>
    </row>
    <row r="630" spans="1:4" s="87" customFormat="1" x14ac:dyDescent="0.2">
      <c r="A630" s="16"/>
      <c r="C630" s="36"/>
      <c r="D630" s="37"/>
    </row>
    <row r="631" spans="1:4" s="87" customFormat="1" x14ac:dyDescent="0.2">
      <c r="A631" s="16"/>
      <c r="C631" s="36"/>
      <c r="D631" s="37"/>
    </row>
    <row r="632" spans="1:4" s="87" customFormat="1" x14ac:dyDescent="0.2">
      <c r="A632" s="16"/>
      <c r="C632" s="36"/>
      <c r="D632" s="37"/>
    </row>
    <row r="633" spans="1:4" s="87" customFormat="1" x14ac:dyDescent="0.2">
      <c r="A633" s="16"/>
      <c r="C633" s="36"/>
      <c r="D633" s="37"/>
    </row>
    <row r="634" spans="1:4" s="87" customFormat="1" x14ac:dyDescent="0.2">
      <c r="A634" s="16"/>
      <c r="C634" s="36"/>
      <c r="D634" s="37"/>
    </row>
    <row r="635" spans="1:4" s="87" customFormat="1" x14ac:dyDescent="0.2">
      <c r="A635" s="16"/>
      <c r="C635" s="36"/>
      <c r="D635" s="37"/>
    </row>
    <row r="636" spans="1:4" s="87" customFormat="1" x14ac:dyDescent="0.2">
      <c r="A636" s="16"/>
      <c r="C636" s="36"/>
      <c r="D636" s="37"/>
    </row>
    <row r="637" spans="1:4" s="87" customFormat="1" x14ac:dyDescent="0.2">
      <c r="A637" s="16"/>
      <c r="C637" s="36"/>
      <c r="D637" s="37"/>
    </row>
    <row r="638" spans="1:4" s="87" customFormat="1" x14ac:dyDescent="0.2">
      <c r="A638" s="16"/>
      <c r="C638" s="36"/>
      <c r="D638" s="37"/>
    </row>
    <row r="639" spans="1:4" s="87" customFormat="1" x14ac:dyDescent="0.2">
      <c r="A639" s="16"/>
      <c r="C639" s="36"/>
      <c r="D639" s="37"/>
    </row>
    <row r="640" spans="1:4" s="87" customFormat="1" x14ac:dyDescent="0.2">
      <c r="A640" s="16"/>
      <c r="C640" s="36"/>
      <c r="D640" s="37"/>
    </row>
    <row r="641" spans="1:4" s="87" customFormat="1" x14ac:dyDescent="0.2">
      <c r="A641" s="16"/>
      <c r="C641" s="36"/>
      <c r="D641" s="37"/>
    </row>
    <row r="642" spans="1:4" s="87" customFormat="1" x14ac:dyDescent="0.2">
      <c r="A642" s="16"/>
      <c r="C642" s="36"/>
      <c r="D642" s="37"/>
    </row>
    <row r="643" spans="1:4" s="87" customFormat="1" x14ac:dyDescent="0.2">
      <c r="A643" s="16"/>
      <c r="C643" s="36"/>
      <c r="D643" s="37"/>
    </row>
    <row r="644" spans="1:4" s="87" customFormat="1" x14ac:dyDescent="0.2">
      <c r="A644" s="16"/>
      <c r="C644" s="36"/>
      <c r="D644" s="37"/>
    </row>
    <row r="645" spans="1:4" s="87" customFormat="1" x14ac:dyDescent="0.2">
      <c r="A645" s="16"/>
      <c r="C645" s="36"/>
      <c r="D645" s="37"/>
    </row>
    <row r="646" spans="1:4" s="87" customFormat="1" x14ac:dyDescent="0.2">
      <c r="A646" s="16"/>
      <c r="C646" s="36"/>
      <c r="D646" s="37"/>
    </row>
    <row r="647" spans="1:4" s="87" customFormat="1" x14ac:dyDescent="0.2">
      <c r="A647" s="16"/>
      <c r="C647" s="36"/>
      <c r="D647" s="37"/>
    </row>
    <row r="648" spans="1:4" s="87" customFormat="1" x14ac:dyDescent="0.2">
      <c r="A648" s="16"/>
      <c r="C648" s="36"/>
      <c r="D648" s="37"/>
    </row>
    <row r="649" spans="1:4" s="87" customFormat="1" x14ac:dyDescent="0.2">
      <c r="A649" s="16"/>
      <c r="C649" s="36"/>
      <c r="D649" s="37"/>
    </row>
    <row r="650" spans="1:4" s="87" customFormat="1" x14ac:dyDescent="0.2">
      <c r="A650" s="16"/>
      <c r="C650" s="36"/>
      <c r="D650" s="37"/>
    </row>
    <row r="651" spans="1:4" s="87" customFormat="1" x14ac:dyDescent="0.2">
      <c r="A651" s="16"/>
      <c r="C651" s="36"/>
      <c r="D651" s="37"/>
    </row>
    <row r="652" spans="1:4" s="87" customFormat="1" x14ac:dyDescent="0.2">
      <c r="A652" s="16"/>
      <c r="C652" s="36"/>
      <c r="D652" s="37"/>
    </row>
    <row r="653" spans="1:4" s="87" customFormat="1" x14ac:dyDescent="0.2">
      <c r="A653" s="16"/>
      <c r="C653" s="36"/>
      <c r="D653" s="37"/>
    </row>
    <row r="654" spans="1:4" s="87" customFormat="1" x14ac:dyDescent="0.2">
      <c r="A654" s="16"/>
      <c r="C654" s="36"/>
      <c r="D654" s="37"/>
    </row>
    <row r="655" spans="1:4" s="87" customFormat="1" x14ac:dyDescent="0.2">
      <c r="A655" s="16"/>
      <c r="C655" s="36"/>
      <c r="D655" s="37"/>
    </row>
    <row r="656" spans="1:4" s="87" customFormat="1" x14ac:dyDescent="0.2">
      <c r="A656" s="16"/>
      <c r="C656" s="36"/>
      <c r="D656" s="37"/>
    </row>
    <row r="657" spans="1:4" s="87" customFormat="1" x14ac:dyDescent="0.2">
      <c r="A657" s="16"/>
      <c r="C657" s="36"/>
      <c r="D657" s="37"/>
    </row>
    <row r="658" spans="1:4" s="87" customFormat="1" x14ac:dyDescent="0.2">
      <c r="A658" s="16"/>
      <c r="C658" s="36"/>
      <c r="D658" s="37"/>
    </row>
    <row r="659" spans="1:4" s="87" customFormat="1" x14ac:dyDescent="0.2">
      <c r="A659" s="16"/>
      <c r="C659" s="36"/>
      <c r="D659" s="37"/>
    </row>
    <row r="660" spans="1:4" s="87" customFormat="1" x14ac:dyDescent="0.2">
      <c r="A660" s="16"/>
      <c r="C660" s="36"/>
      <c r="D660" s="37"/>
    </row>
    <row r="661" spans="1:4" s="87" customFormat="1" x14ac:dyDescent="0.2">
      <c r="A661" s="16"/>
      <c r="C661" s="36"/>
      <c r="D661" s="37"/>
    </row>
    <row r="662" spans="1:4" s="87" customFormat="1" x14ac:dyDescent="0.2">
      <c r="A662" s="16"/>
      <c r="C662" s="36"/>
      <c r="D662" s="37"/>
    </row>
    <row r="663" spans="1:4" s="87" customFormat="1" x14ac:dyDescent="0.2">
      <c r="A663" s="16"/>
      <c r="C663" s="36"/>
      <c r="D663" s="37"/>
    </row>
    <row r="664" spans="1:4" s="87" customFormat="1" x14ac:dyDescent="0.2">
      <c r="A664" s="16"/>
      <c r="C664" s="36"/>
      <c r="D664" s="37"/>
    </row>
    <row r="665" spans="1:4" s="87" customFormat="1" x14ac:dyDescent="0.2">
      <c r="A665" s="16"/>
      <c r="C665" s="36"/>
      <c r="D665" s="37"/>
    </row>
    <row r="666" spans="1:4" s="87" customFormat="1" x14ac:dyDescent="0.2">
      <c r="A666" s="16"/>
      <c r="C666" s="36"/>
      <c r="D666" s="37"/>
    </row>
    <row r="667" spans="1:4" s="87" customFormat="1" x14ac:dyDescent="0.2">
      <c r="A667" s="16"/>
      <c r="C667" s="36"/>
      <c r="D667" s="37"/>
    </row>
    <row r="668" spans="1:4" s="87" customFormat="1" x14ac:dyDescent="0.2">
      <c r="A668" s="16"/>
      <c r="C668" s="36"/>
      <c r="D668" s="37"/>
    </row>
    <row r="669" spans="1:4" s="87" customFormat="1" x14ac:dyDescent="0.2">
      <c r="A669" s="16"/>
      <c r="C669" s="36"/>
      <c r="D669" s="37"/>
    </row>
    <row r="670" spans="1:4" s="87" customFormat="1" x14ac:dyDescent="0.2">
      <c r="A670" s="16"/>
      <c r="C670" s="36"/>
      <c r="D670" s="37"/>
    </row>
    <row r="671" spans="1:4" s="87" customFormat="1" x14ac:dyDescent="0.2">
      <c r="A671" s="16"/>
      <c r="C671" s="36"/>
      <c r="D671" s="37"/>
    </row>
    <row r="672" spans="1:4" s="87" customFormat="1" x14ac:dyDescent="0.2">
      <c r="A672" s="16"/>
      <c r="C672" s="36"/>
      <c r="D672" s="37"/>
    </row>
    <row r="673" spans="1:4" s="87" customFormat="1" x14ac:dyDescent="0.2">
      <c r="A673" s="16"/>
      <c r="C673" s="36"/>
      <c r="D673" s="37"/>
    </row>
    <row r="674" spans="1:4" s="87" customFormat="1" x14ac:dyDescent="0.2">
      <c r="A674" s="16"/>
      <c r="C674" s="36"/>
      <c r="D674" s="37"/>
    </row>
    <row r="675" spans="1:4" s="87" customFormat="1" x14ac:dyDescent="0.2">
      <c r="A675" s="16"/>
      <c r="C675" s="36"/>
      <c r="D675" s="37"/>
    </row>
    <row r="676" spans="1:4" s="87" customFormat="1" x14ac:dyDescent="0.2">
      <c r="A676" s="16"/>
      <c r="C676" s="36"/>
      <c r="D676" s="37"/>
    </row>
    <row r="677" spans="1:4" s="87" customFormat="1" x14ac:dyDescent="0.2">
      <c r="A677" s="16"/>
      <c r="C677" s="36"/>
      <c r="D677" s="37"/>
    </row>
    <row r="678" spans="1:4" s="87" customFormat="1" x14ac:dyDescent="0.2">
      <c r="A678" s="16"/>
      <c r="C678" s="36"/>
      <c r="D678" s="37"/>
    </row>
    <row r="679" spans="1:4" s="87" customFormat="1" x14ac:dyDescent="0.2">
      <c r="A679" s="16"/>
      <c r="C679" s="36"/>
      <c r="D679" s="37"/>
    </row>
    <row r="680" spans="1:4" s="87" customFormat="1" x14ac:dyDescent="0.2">
      <c r="A680" s="16"/>
      <c r="C680" s="36"/>
      <c r="D680" s="37"/>
    </row>
    <row r="681" spans="1:4" s="87" customFormat="1" x14ac:dyDescent="0.2">
      <c r="A681" s="16"/>
      <c r="C681" s="36"/>
      <c r="D681" s="37"/>
    </row>
    <row r="682" spans="1:4" s="87" customFormat="1" x14ac:dyDescent="0.2">
      <c r="A682" s="16"/>
      <c r="C682" s="36"/>
      <c r="D682" s="37"/>
    </row>
    <row r="683" spans="1:4" s="87" customFormat="1" x14ac:dyDescent="0.2">
      <c r="A683" s="16"/>
      <c r="C683" s="36"/>
      <c r="D683" s="37"/>
    </row>
    <row r="684" spans="1:4" s="87" customFormat="1" x14ac:dyDescent="0.2">
      <c r="A684" s="16"/>
      <c r="C684" s="36"/>
      <c r="D684" s="37"/>
    </row>
    <row r="685" spans="1:4" s="87" customFormat="1" x14ac:dyDescent="0.2">
      <c r="A685" s="16"/>
      <c r="C685" s="36"/>
      <c r="D685" s="37"/>
    </row>
    <row r="686" spans="1:4" s="87" customFormat="1" x14ac:dyDescent="0.2">
      <c r="A686" s="16"/>
      <c r="C686" s="36"/>
      <c r="D686" s="37"/>
    </row>
    <row r="687" spans="1:4" s="87" customFormat="1" x14ac:dyDescent="0.2">
      <c r="A687" s="16"/>
      <c r="C687" s="36"/>
      <c r="D687" s="37"/>
    </row>
    <row r="688" spans="1:4" s="87" customFormat="1" x14ac:dyDescent="0.2">
      <c r="A688" s="16"/>
      <c r="C688" s="36"/>
      <c r="D688" s="37"/>
    </row>
    <row r="689" spans="1:4" s="87" customFormat="1" x14ac:dyDescent="0.2">
      <c r="A689" s="16"/>
      <c r="C689" s="36"/>
      <c r="D689" s="37"/>
    </row>
    <row r="690" spans="1:4" s="87" customFormat="1" x14ac:dyDescent="0.2">
      <c r="A690" s="16"/>
      <c r="C690" s="36"/>
      <c r="D690" s="37"/>
    </row>
    <row r="691" spans="1:4" s="87" customFormat="1" x14ac:dyDescent="0.2">
      <c r="A691" s="16"/>
      <c r="C691" s="36"/>
      <c r="D691" s="37"/>
    </row>
    <row r="692" spans="1:4" s="87" customFormat="1" x14ac:dyDescent="0.2">
      <c r="A692" s="16"/>
      <c r="C692" s="36"/>
      <c r="D692" s="37"/>
    </row>
    <row r="693" spans="1:4" s="87" customFormat="1" x14ac:dyDescent="0.2">
      <c r="A693" s="16"/>
      <c r="C693" s="36"/>
      <c r="D693" s="37"/>
    </row>
    <row r="694" spans="1:4" s="87" customFormat="1" x14ac:dyDescent="0.2">
      <c r="A694" s="16"/>
      <c r="C694" s="36"/>
      <c r="D694" s="37"/>
    </row>
    <row r="695" spans="1:4" s="87" customFormat="1" x14ac:dyDescent="0.2">
      <c r="A695" s="16"/>
      <c r="C695" s="36"/>
      <c r="D695" s="37"/>
    </row>
    <row r="696" spans="1:4" s="87" customFormat="1" x14ac:dyDescent="0.2">
      <c r="A696" s="16"/>
      <c r="C696" s="36"/>
      <c r="D696" s="37"/>
    </row>
    <row r="697" spans="1:4" s="87" customFormat="1" x14ac:dyDescent="0.2">
      <c r="A697" s="16"/>
      <c r="C697" s="36"/>
      <c r="D697" s="37"/>
    </row>
    <row r="698" spans="1:4" s="87" customFormat="1" x14ac:dyDescent="0.2">
      <c r="A698" s="16"/>
      <c r="C698" s="36"/>
      <c r="D698" s="37"/>
    </row>
    <row r="699" spans="1:4" s="87" customFormat="1" x14ac:dyDescent="0.2">
      <c r="A699" s="16"/>
      <c r="C699" s="36"/>
      <c r="D699" s="37"/>
    </row>
    <row r="700" spans="1:4" s="87" customFormat="1" x14ac:dyDescent="0.2">
      <c r="A700" s="16"/>
      <c r="C700" s="36"/>
      <c r="D700" s="37"/>
    </row>
    <row r="701" spans="1:4" s="87" customFormat="1" x14ac:dyDescent="0.2">
      <c r="A701" s="16"/>
      <c r="C701" s="36"/>
      <c r="D701" s="37"/>
    </row>
    <row r="702" spans="1:4" s="87" customFormat="1" x14ac:dyDescent="0.2">
      <c r="A702" s="16"/>
      <c r="C702" s="36"/>
      <c r="D702" s="37"/>
    </row>
    <row r="703" spans="1:4" s="87" customFormat="1" x14ac:dyDescent="0.2">
      <c r="A703" s="16"/>
      <c r="C703" s="36"/>
      <c r="D703" s="37"/>
    </row>
    <row r="704" spans="1:4" s="87" customFormat="1" x14ac:dyDescent="0.2">
      <c r="A704" s="16"/>
      <c r="C704" s="36"/>
      <c r="D704" s="37"/>
    </row>
    <row r="705" spans="1:4" s="87" customFormat="1" x14ac:dyDescent="0.2">
      <c r="A705" s="16"/>
      <c r="C705" s="36"/>
      <c r="D705" s="37"/>
    </row>
    <row r="706" spans="1:4" s="87" customFormat="1" x14ac:dyDescent="0.2">
      <c r="A706" s="16"/>
      <c r="C706" s="36"/>
      <c r="D706" s="37"/>
    </row>
    <row r="707" spans="1:4" s="87" customFormat="1" x14ac:dyDescent="0.2">
      <c r="A707" s="16"/>
      <c r="C707" s="36"/>
      <c r="D707" s="37"/>
    </row>
    <row r="708" spans="1:4" s="87" customFormat="1" x14ac:dyDescent="0.2">
      <c r="A708" s="16"/>
      <c r="C708" s="36"/>
      <c r="D708" s="37"/>
    </row>
    <row r="709" spans="1:4" s="87" customFormat="1" x14ac:dyDescent="0.2">
      <c r="A709" s="16"/>
      <c r="C709" s="36"/>
      <c r="D709" s="37"/>
    </row>
    <row r="710" spans="1:4" s="87" customFormat="1" x14ac:dyDescent="0.2">
      <c r="A710" s="16"/>
      <c r="C710" s="36"/>
      <c r="D710" s="37"/>
    </row>
    <row r="711" spans="1:4" s="87" customFormat="1" x14ac:dyDescent="0.2">
      <c r="A711" s="16"/>
      <c r="C711" s="36"/>
      <c r="D711" s="37"/>
    </row>
    <row r="712" spans="1:4" s="87" customFormat="1" x14ac:dyDescent="0.2">
      <c r="A712" s="16"/>
      <c r="C712" s="36"/>
      <c r="D712" s="37"/>
    </row>
    <row r="713" spans="1:4" s="87" customFormat="1" x14ac:dyDescent="0.2">
      <c r="A713" s="16"/>
      <c r="C713" s="36"/>
      <c r="D713" s="37"/>
    </row>
    <row r="714" spans="1:4" s="87" customFormat="1" x14ac:dyDescent="0.2">
      <c r="A714" s="16"/>
      <c r="C714" s="36"/>
      <c r="D714" s="37"/>
    </row>
    <row r="715" spans="1:4" s="87" customFormat="1" x14ac:dyDescent="0.2">
      <c r="A715" s="16"/>
      <c r="C715" s="36"/>
      <c r="D715" s="37"/>
    </row>
    <row r="716" spans="1:4" s="87" customFormat="1" x14ac:dyDescent="0.2">
      <c r="A716" s="16"/>
      <c r="C716" s="36"/>
      <c r="D716" s="37"/>
    </row>
    <row r="717" spans="1:4" s="87" customFormat="1" x14ac:dyDescent="0.2">
      <c r="A717" s="16"/>
      <c r="C717" s="36"/>
      <c r="D717" s="37"/>
    </row>
    <row r="718" spans="1:4" s="87" customFormat="1" x14ac:dyDescent="0.2">
      <c r="A718" s="16"/>
      <c r="C718" s="36"/>
      <c r="D718" s="37"/>
    </row>
    <row r="719" spans="1:4" s="87" customFormat="1" x14ac:dyDescent="0.2">
      <c r="A719" s="16"/>
      <c r="C719" s="36"/>
      <c r="D719" s="37"/>
    </row>
    <row r="720" spans="1:4" s="87" customFormat="1" x14ac:dyDescent="0.2">
      <c r="A720" s="16"/>
      <c r="C720" s="36"/>
      <c r="D720" s="37"/>
    </row>
    <row r="721" spans="1:4" s="87" customFormat="1" x14ac:dyDescent="0.2">
      <c r="A721" s="16"/>
      <c r="C721" s="36"/>
      <c r="D721" s="37"/>
    </row>
    <row r="722" spans="1:4" s="87" customFormat="1" x14ac:dyDescent="0.2">
      <c r="A722" s="16"/>
      <c r="C722" s="36"/>
      <c r="D722" s="37"/>
    </row>
    <row r="723" spans="1:4" s="87" customFormat="1" x14ac:dyDescent="0.2">
      <c r="A723" s="16"/>
      <c r="C723" s="36"/>
      <c r="D723" s="37"/>
    </row>
    <row r="724" spans="1:4" s="87" customFormat="1" x14ac:dyDescent="0.2">
      <c r="A724" s="16"/>
      <c r="C724" s="36"/>
      <c r="D724" s="37"/>
    </row>
    <row r="725" spans="1:4" s="87" customFormat="1" x14ac:dyDescent="0.2">
      <c r="A725" s="16"/>
      <c r="C725" s="36"/>
      <c r="D725" s="37"/>
    </row>
    <row r="726" spans="1:4" s="87" customFormat="1" x14ac:dyDescent="0.2">
      <c r="A726" s="16"/>
      <c r="C726" s="36"/>
      <c r="D726" s="37"/>
    </row>
    <row r="727" spans="1:4" s="87" customFormat="1" x14ac:dyDescent="0.2">
      <c r="A727" s="16"/>
      <c r="C727" s="36"/>
      <c r="D727" s="37"/>
    </row>
    <row r="728" spans="1:4" s="87" customFormat="1" x14ac:dyDescent="0.2">
      <c r="A728" s="16"/>
      <c r="C728" s="36"/>
      <c r="D728" s="37"/>
    </row>
    <row r="729" spans="1:4" s="87" customFormat="1" x14ac:dyDescent="0.2">
      <c r="A729" s="16"/>
      <c r="C729" s="36"/>
      <c r="D729" s="37"/>
    </row>
    <row r="730" spans="1:4" s="87" customFormat="1" x14ac:dyDescent="0.2">
      <c r="A730" s="16"/>
      <c r="C730" s="36"/>
      <c r="D730" s="37"/>
    </row>
    <row r="731" spans="1:4" s="87" customFormat="1" x14ac:dyDescent="0.2">
      <c r="A731" s="16"/>
      <c r="C731" s="36"/>
      <c r="D731" s="37"/>
    </row>
    <row r="732" spans="1:4" s="87" customFormat="1" x14ac:dyDescent="0.2">
      <c r="A732" s="16"/>
      <c r="C732" s="36"/>
      <c r="D732" s="37"/>
    </row>
    <row r="733" spans="1:4" s="87" customFormat="1" x14ac:dyDescent="0.2">
      <c r="A733" s="16"/>
      <c r="C733" s="36"/>
      <c r="D733" s="37"/>
    </row>
    <row r="734" spans="1:4" s="87" customFormat="1" x14ac:dyDescent="0.2">
      <c r="A734" s="16"/>
      <c r="C734" s="36"/>
      <c r="D734" s="37"/>
    </row>
    <row r="735" spans="1:4" s="87" customFormat="1" x14ac:dyDescent="0.2">
      <c r="A735" s="16"/>
      <c r="C735" s="36"/>
      <c r="D735" s="37"/>
    </row>
    <row r="736" spans="1:4" s="87" customFormat="1" x14ac:dyDescent="0.2">
      <c r="A736" s="16"/>
      <c r="C736" s="36"/>
      <c r="D736" s="37"/>
    </row>
    <row r="737" spans="1:4" s="87" customFormat="1" x14ac:dyDescent="0.2">
      <c r="A737" s="16"/>
      <c r="C737" s="36"/>
      <c r="D737" s="37"/>
    </row>
    <row r="738" spans="1:4" s="87" customFormat="1" x14ac:dyDescent="0.2">
      <c r="A738" s="16"/>
      <c r="C738" s="36"/>
      <c r="D738" s="37"/>
    </row>
    <row r="739" spans="1:4" s="87" customFormat="1" x14ac:dyDescent="0.2">
      <c r="A739" s="16"/>
      <c r="C739" s="36"/>
      <c r="D739" s="37"/>
    </row>
    <row r="740" spans="1:4" s="87" customFormat="1" x14ac:dyDescent="0.2">
      <c r="A740" s="16"/>
      <c r="C740" s="36"/>
      <c r="D740" s="37"/>
    </row>
    <row r="741" spans="1:4" s="87" customFormat="1" x14ac:dyDescent="0.2">
      <c r="A741" s="16"/>
      <c r="C741" s="36"/>
      <c r="D741" s="37"/>
    </row>
    <row r="742" spans="1:4" s="87" customFormat="1" x14ac:dyDescent="0.2">
      <c r="A742" s="16"/>
      <c r="C742" s="36"/>
      <c r="D742" s="37"/>
    </row>
    <row r="743" spans="1:4" s="87" customFormat="1" x14ac:dyDescent="0.2">
      <c r="A743" s="16"/>
      <c r="C743" s="36"/>
      <c r="D743" s="37"/>
    </row>
    <row r="744" spans="1:4" s="87" customFormat="1" x14ac:dyDescent="0.2">
      <c r="A744" s="16"/>
      <c r="C744" s="36"/>
      <c r="D744" s="37"/>
    </row>
    <row r="745" spans="1:4" s="87" customFormat="1" x14ac:dyDescent="0.2">
      <c r="A745" s="16"/>
      <c r="C745" s="36"/>
      <c r="D745" s="37"/>
    </row>
    <row r="746" spans="1:4" s="87" customFormat="1" x14ac:dyDescent="0.2">
      <c r="A746" s="16"/>
      <c r="C746" s="36"/>
      <c r="D746" s="37"/>
    </row>
    <row r="747" spans="1:4" s="87" customFormat="1" x14ac:dyDescent="0.2">
      <c r="A747" s="16"/>
      <c r="C747" s="36"/>
      <c r="D747" s="37"/>
    </row>
    <row r="748" spans="1:4" s="87" customFormat="1" x14ac:dyDescent="0.2">
      <c r="A748" s="16"/>
      <c r="C748" s="36"/>
      <c r="D748" s="37"/>
    </row>
    <row r="749" spans="1:4" s="87" customFormat="1" x14ac:dyDescent="0.2">
      <c r="A749" s="16"/>
      <c r="C749" s="36"/>
      <c r="D749" s="37"/>
    </row>
    <row r="750" spans="1:4" s="87" customFormat="1" x14ac:dyDescent="0.2">
      <c r="A750" s="16"/>
      <c r="C750" s="36"/>
      <c r="D750" s="37"/>
    </row>
    <row r="751" spans="1:4" s="87" customFormat="1" x14ac:dyDescent="0.2">
      <c r="A751" s="16"/>
      <c r="C751" s="36"/>
      <c r="D751" s="37"/>
    </row>
    <row r="752" spans="1:4" s="87" customFormat="1" x14ac:dyDescent="0.2">
      <c r="A752" s="16"/>
      <c r="C752" s="36"/>
      <c r="D752" s="37"/>
    </row>
    <row r="753" spans="1:4" s="87" customFormat="1" x14ac:dyDescent="0.2">
      <c r="A753" s="16"/>
      <c r="C753" s="36"/>
      <c r="D753" s="37"/>
    </row>
    <row r="754" spans="1:4" s="87" customFormat="1" x14ac:dyDescent="0.2">
      <c r="A754" s="16"/>
      <c r="C754" s="36"/>
      <c r="D754" s="37"/>
    </row>
    <row r="755" spans="1:4" s="87" customFormat="1" x14ac:dyDescent="0.2">
      <c r="A755" s="16"/>
      <c r="C755" s="36"/>
      <c r="D755" s="37"/>
    </row>
    <row r="756" spans="1:4" s="87" customFormat="1" x14ac:dyDescent="0.2">
      <c r="A756" s="16"/>
      <c r="C756" s="36"/>
      <c r="D756" s="37"/>
    </row>
    <row r="757" spans="1:4" s="87" customFormat="1" x14ac:dyDescent="0.2">
      <c r="A757" s="16"/>
      <c r="C757" s="36"/>
      <c r="D757" s="37"/>
    </row>
    <row r="758" spans="1:4" s="87" customFormat="1" x14ac:dyDescent="0.2">
      <c r="A758" s="16"/>
      <c r="C758" s="36"/>
      <c r="D758" s="37"/>
    </row>
    <row r="759" spans="1:4" s="87" customFormat="1" x14ac:dyDescent="0.2">
      <c r="A759" s="16"/>
      <c r="C759" s="36"/>
      <c r="D759" s="37"/>
    </row>
    <row r="760" spans="1:4" s="87" customFormat="1" x14ac:dyDescent="0.2">
      <c r="A760" s="16"/>
      <c r="C760" s="36"/>
      <c r="D760" s="37"/>
    </row>
    <row r="761" spans="1:4" s="87" customFormat="1" x14ac:dyDescent="0.2">
      <c r="A761" s="16"/>
      <c r="C761" s="36"/>
      <c r="D761" s="37"/>
    </row>
    <row r="762" spans="1:4" s="87" customFormat="1" x14ac:dyDescent="0.2">
      <c r="A762" s="16"/>
      <c r="C762" s="36"/>
      <c r="D762" s="37"/>
    </row>
    <row r="763" spans="1:4" s="87" customFormat="1" x14ac:dyDescent="0.2">
      <c r="A763" s="16"/>
      <c r="C763" s="36"/>
      <c r="D763" s="37"/>
    </row>
    <row r="764" spans="1:4" s="87" customFormat="1" x14ac:dyDescent="0.2">
      <c r="A764" s="16"/>
      <c r="C764" s="36"/>
      <c r="D764" s="37"/>
    </row>
    <row r="765" spans="1:4" s="87" customFormat="1" x14ac:dyDescent="0.2">
      <c r="A765" s="16"/>
      <c r="C765" s="36"/>
      <c r="D765" s="37"/>
    </row>
    <row r="766" spans="1:4" s="87" customFormat="1" x14ac:dyDescent="0.2">
      <c r="A766" s="16"/>
      <c r="C766" s="36"/>
      <c r="D766" s="37"/>
    </row>
    <row r="767" spans="1:4" s="87" customFormat="1" x14ac:dyDescent="0.2">
      <c r="A767" s="16"/>
      <c r="C767" s="36"/>
      <c r="D767" s="37"/>
    </row>
    <row r="768" spans="1:4" s="87" customFormat="1" x14ac:dyDescent="0.2">
      <c r="A768" s="16"/>
      <c r="C768" s="36"/>
      <c r="D768" s="37"/>
    </row>
    <row r="769" spans="1:4" s="87" customFormat="1" x14ac:dyDescent="0.2">
      <c r="A769" s="16"/>
      <c r="C769" s="36"/>
      <c r="D769" s="37"/>
    </row>
    <row r="770" spans="1:4" s="87" customFormat="1" x14ac:dyDescent="0.2">
      <c r="A770" s="16"/>
      <c r="C770" s="36"/>
      <c r="D770" s="37"/>
    </row>
    <row r="771" spans="1:4" s="87" customFormat="1" x14ac:dyDescent="0.2">
      <c r="A771" s="16"/>
      <c r="C771" s="36"/>
      <c r="D771" s="37"/>
    </row>
    <row r="772" spans="1:4" s="87" customFormat="1" x14ac:dyDescent="0.2">
      <c r="A772" s="16"/>
      <c r="C772" s="36"/>
      <c r="D772" s="37"/>
    </row>
    <row r="773" spans="1:4" s="87" customFormat="1" x14ac:dyDescent="0.2">
      <c r="A773" s="16"/>
      <c r="C773" s="36"/>
      <c r="D773" s="37"/>
    </row>
    <row r="774" spans="1:4" s="87" customFormat="1" x14ac:dyDescent="0.2">
      <c r="A774" s="16"/>
      <c r="C774" s="36"/>
      <c r="D774" s="37"/>
    </row>
    <row r="775" spans="1:4" s="87" customFormat="1" x14ac:dyDescent="0.2">
      <c r="A775" s="16"/>
      <c r="C775" s="36"/>
      <c r="D775" s="37"/>
    </row>
    <row r="776" spans="1:4" s="87" customFormat="1" x14ac:dyDescent="0.2">
      <c r="A776" s="16"/>
      <c r="C776" s="36"/>
      <c r="D776" s="37"/>
    </row>
    <row r="777" spans="1:4" s="87" customFormat="1" x14ac:dyDescent="0.2">
      <c r="A777" s="16"/>
      <c r="C777" s="36"/>
      <c r="D777" s="37"/>
    </row>
    <row r="778" spans="1:4" s="87" customFormat="1" x14ac:dyDescent="0.2">
      <c r="A778" s="16"/>
      <c r="C778" s="36"/>
      <c r="D778" s="37"/>
    </row>
    <row r="779" spans="1:4" s="87" customFormat="1" x14ac:dyDescent="0.2">
      <c r="A779" s="16"/>
      <c r="C779" s="36"/>
      <c r="D779" s="37"/>
    </row>
    <row r="780" spans="1:4" s="87" customFormat="1" x14ac:dyDescent="0.2">
      <c r="A780" s="16"/>
      <c r="C780" s="36"/>
      <c r="D780" s="37"/>
    </row>
    <row r="781" spans="1:4" s="87" customFormat="1" x14ac:dyDescent="0.2">
      <c r="A781" s="16"/>
      <c r="C781" s="36"/>
      <c r="D781" s="37"/>
    </row>
    <row r="782" spans="1:4" s="87" customFormat="1" x14ac:dyDescent="0.2">
      <c r="A782" s="16"/>
      <c r="C782" s="36"/>
      <c r="D782" s="37"/>
    </row>
    <row r="783" spans="1:4" s="87" customFormat="1" x14ac:dyDescent="0.2">
      <c r="A783" s="16"/>
      <c r="C783" s="36"/>
      <c r="D783" s="37"/>
    </row>
    <row r="784" spans="1:4" s="87" customFormat="1" x14ac:dyDescent="0.2">
      <c r="A784" s="16"/>
      <c r="C784" s="36"/>
      <c r="D784" s="37"/>
    </row>
    <row r="785" spans="1:4" s="87" customFormat="1" x14ac:dyDescent="0.2">
      <c r="A785" s="16"/>
      <c r="C785" s="36"/>
      <c r="D785" s="37"/>
    </row>
    <row r="786" spans="1:4" s="87" customFormat="1" x14ac:dyDescent="0.2">
      <c r="A786" s="16"/>
      <c r="C786" s="36"/>
      <c r="D786" s="37"/>
    </row>
    <row r="787" spans="1:4" s="87" customFormat="1" x14ac:dyDescent="0.2">
      <c r="A787" s="16"/>
      <c r="C787" s="36"/>
      <c r="D787" s="37"/>
    </row>
    <row r="788" spans="1:4" s="87" customFormat="1" x14ac:dyDescent="0.2">
      <c r="A788" s="16"/>
      <c r="C788" s="36"/>
      <c r="D788" s="37"/>
    </row>
    <row r="789" spans="1:4" s="87" customFormat="1" x14ac:dyDescent="0.2">
      <c r="A789" s="16"/>
      <c r="C789" s="36"/>
      <c r="D789" s="37"/>
    </row>
    <row r="790" spans="1:4" s="87" customFormat="1" x14ac:dyDescent="0.2">
      <c r="A790" s="16"/>
      <c r="C790" s="36"/>
      <c r="D790" s="37"/>
    </row>
    <row r="791" spans="1:4" s="87" customFormat="1" x14ac:dyDescent="0.2">
      <c r="A791" s="16"/>
      <c r="C791" s="36"/>
      <c r="D791" s="37"/>
    </row>
    <row r="792" spans="1:4" s="87" customFormat="1" x14ac:dyDescent="0.2">
      <c r="A792" s="16"/>
      <c r="C792" s="36"/>
      <c r="D792" s="37"/>
    </row>
    <row r="793" spans="1:4" s="87" customFormat="1" x14ac:dyDescent="0.2">
      <c r="A793" s="16"/>
      <c r="C793" s="36"/>
      <c r="D793" s="37"/>
    </row>
    <row r="794" spans="1:4" s="87" customFormat="1" x14ac:dyDescent="0.2">
      <c r="A794" s="16"/>
      <c r="C794" s="36"/>
      <c r="D794" s="37"/>
    </row>
    <row r="795" spans="1:4" s="87" customFormat="1" x14ac:dyDescent="0.2">
      <c r="A795" s="16"/>
      <c r="C795" s="36"/>
      <c r="D795" s="37"/>
    </row>
    <row r="796" spans="1:4" s="87" customFormat="1" x14ac:dyDescent="0.2">
      <c r="A796" s="16"/>
      <c r="C796" s="36"/>
      <c r="D796" s="37"/>
    </row>
    <row r="797" spans="1:4" s="87" customFormat="1" x14ac:dyDescent="0.2">
      <c r="A797" s="16"/>
      <c r="C797" s="36"/>
      <c r="D797" s="37"/>
    </row>
    <row r="798" spans="1:4" s="87" customFormat="1" x14ac:dyDescent="0.2">
      <c r="A798" s="16"/>
      <c r="C798" s="36"/>
      <c r="D798" s="37"/>
    </row>
    <row r="799" spans="1:4" s="87" customFormat="1" x14ac:dyDescent="0.2">
      <c r="A799" s="16"/>
      <c r="C799" s="36"/>
      <c r="D799" s="37"/>
    </row>
    <row r="800" spans="1:4" s="87" customFormat="1" x14ac:dyDescent="0.2">
      <c r="A800" s="16"/>
      <c r="C800" s="36"/>
      <c r="D800" s="37"/>
    </row>
    <row r="801" spans="1:17" s="87" customFormat="1" x14ac:dyDescent="0.2">
      <c r="A801" s="16"/>
      <c r="C801" s="36"/>
      <c r="D801" s="37"/>
    </row>
    <row r="802" spans="1:17" s="87" customFormat="1" x14ac:dyDescent="0.2">
      <c r="A802" s="16"/>
      <c r="C802" s="36"/>
      <c r="D802" s="37"/>
    </row>
    <row r="803" spans="1:17" s="87" customFormat="1" x14ac:dyDescent="0.2">
      <c r="A803" s="16"/>
      <c r="C803" s="36"/>
      <c r="D803" s="37"/>
    </row>
    <row r="804" spans="1:17" s="87" customFormat="1" x14ac:dyDescent="0.2">
      <c r="A804" s="16"/>
      <c r="C804" s="36"/>
      <c r="D804" s="37"/>
    </row>
    <row r="805" spans="1:17" s="87" customFormat="1" x14ac:dyDescent="0.2">
      <c r="A805" s="16"/>
      <c r="C805" s="36"/>
      <c r="D805" s="37"/>
    </row>
    <row r="806" spans="1:17" s="87" customFormat="1" x14ac:dyDescent="0.2">
      <c r="A806" s="16"/>
      <c r="C806" s="36"/>
      <c r="D806" s="37"/>
    </row>
    <row r="807" spans="1:17" s="87" customFormat="1" x14ac:dyDescent="0.2">
      <c r="A807" s="16"/>
      <c r="C807" s="36"/>
      <c r="D807" s="37"/>
    </row>
    <row r="808" spans="1:17" s="87" customFormat="1" x14ac:dyDescent="0.2">
      <c r="A808" s="16"/>
      <c r="C808" s="36"/>
      <c r="D808" s="37"/>
    </row>
    <row r="809" spans="1:17" s="87" customFormat="1" x14ac:dyDescent="0.2">
      <c r="A809" s="16"/>
      <c r="C809" s="36"/>
      <c r="D809" s="37"/>
    </row>
    <row r="810" spans="1:17" s="87" customFormat="1" x14ac:dyDescent="0.2">
      <c r="A810" s="16"/>
      <c r="C810" s="36"/>
      <c r="D810" s="37"/>
    </row>
    <row r="811" spans="1:17" s="87" customFormat="1" x14ac:dyDescent="0.2">
      <c r="A811" s="16"/>
      <c r="C811" s="36"/>
      <c r="D811" s="37"/>
    </row>
    <row r="812" spans="1:17" s="87" customFormat="1" x14ac:dyDescent="0.2">
      <c r="A812" s="16"/>
      <c r="C812" s="36"/>
      <c r="D812" s="37"/>
    </row>
    <row r="813" spans="1:17" s="87" customFormat="1" x14ac:dyDescent="0.2">
      <c r="A813" s="16"/>
      <c r="C813" s="36"/>
      <c r="D813" s="37"/>
    </row>
    <row r="814" spans="1:17" s="87" customFormat="1" x14ac:dyDescent="0.2">
      <c r="A814" s="16"/>
      <c r="C814" s="36"/>
      <c r="D814" s="37"/>
    </row>
    <row r="815" spans="1:17" s="87" customFormat="1" x14ac:dyDescent="0.2">
      <c r="A815" s="16"/>
      <c r="C815" s="36"/>
      <c r="D815" s="37"/>
    </row>
    <row r="816" spans="1:17" x14ac:dyDescent="0.2">
      <c r="A816" s="16"/>
      <c r="B816" s="87"/>
      <c r="C816" s="36"/>
      <c r="D816" s="3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</row>
    <row r="817" spans="1:17" x14ac:dyDescent="0.2">
      <c r="A817" s="16"/>
      <c r="B817" s="87"/>
      <c r="C817" s="36"/>
      <c r="D817" s="3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</row>
    <row r="818" spans="1:17" x14ac:dyDescent="0.2">
      <c r="A818" s="16"/>
      <c r="B818" s="87"/>
      <c r="C818" s="36"/>
      <c r="D818" s="3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</row>
    <row r="819" spans="1:17" x14ac:dyDescent="0.2">
      <c r="A819" s="16"/>
      <c r="B819" s="87"/>
      <c r="C819" s="36"/>
      <c r="D819" s="3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</row>
    <row r="820" spans="1:17" x14ac:dyDescent="0.2">
      <c r="A820" s="16"/>
      <c r="B820" s="87"/>
      <c r="C820" s="36"/>
      <c r="D820" s="3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</row>
    <row r="821" spans="1:17" x14ac:dyDescent="0.2">
      <c r="A821" s="16"/>
      <c r="B821" s="87"/>
      <c r="C821" s="36"/>
      <c r="D821" s="3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</row>
    <row r="822" spans="1:17" x14ac:dyDescent="0.2">
      <c r="A822" s="16"/>
      <c r="B822" s="87"/>
      <c r="C822" s="36"/>
      <c r="D822" s="3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</row>
    <row r="823" spans="1:17" x14ac:dyDescent="0.2">
      <c r="A823" s="16"/>
      <c r="B823" s="87"/>
      <c r="C823" s="36"/>
      <c r="D823" s="3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</row>
    <row r="824" spans="1:17" x14ac:dyDescent="0.2">
      <c r="A824" s="16"/>
      <c r="B824" s="87"/>
      <c r="C824" s="36"/>
      <c r="D824" s="3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</row>
    <row r="825" spans="1:17" x14ac:dyDescent="0.2">
      <c r="A825" s="16"/>
      <c r="B825" s="87"/>
      <c r="C825" s="36"/>
      <c r="D825" s="3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</row>
    <row r="826" spans="1:17" x14ac:dyDescent="0.2">
      <c r="A826" s="16"/>
      <c r="B826" s="87"/>
      <c r="C826" s="36"/>
      <c r="D826" s="3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</row>
    <row r="827" spans="1:17" x14ac:dyDescent="0.2">
      <c r="A827" s="16"/>
      <c r="B827" s="87"/>
      <c r="C827" s="36"/>
      <c r="D827" s="3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</row>
    <row r="828" spans="1:17" x14ac:dyDescent="0.2">
      <c r="A828" s="16"/>
      <c r="B828" s="87"/>
      <c r="C828" s="36"/>
      <c r="D828" s="3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</row>
    <row r="829" spans="1:17" x14ac:dyDescent="0.2">
      <c r="A829" s="16"/>
      <c r="B829" s="87"/>
      <c r="C829" s="36"/>
      <c r="D829" s="3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</row>
    <row r="830" spans="1:17" x14ac:dyDescent="0.2">
      <c r="A830" s="16"/>
      <c r="B830" s="87"/>
      <c r="C830" s="36"/>
      <c r="D830" s="3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</row>
    <row r="831" spans="1:17" x14ac:dyDescent="0.2">
      <c r="A831" s="16"/>
      <c r="B831" s="87"/>
      <c r="C831" s="36"/>
      <c r="D831" s="3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</row>
    <row r="832" spans="1:17" x14ac:dyDescent="0.2">
      <c r="A832" s="16"/>
      <c r="B832" s="87"/>
      <c r="C832" s="36"/>
      <c r="D832" s="3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</row>
    <row r="833" spans="1:17" x14ac:dyDescent="0.2">
      <c r="A833" s="16"/>
      <c r="B833" s="87"/>
      <c r="C833" s="36"/>
      <c r="D833" s="3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</row>
    <row r="834" spans="1:17" x14ac:dyDescent="0.2">
      <c r="A834" s="16"/>
      <c r="B834" s="87"/>
      <c r="C834" s="36"/>
      <c r="D834" s="3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DY1001"/>
  <sheetViews>
    <sheetView zoomScale="130" zoomScaleNormal="130" workbookViewId="0">
      <pane ySplit="4" topLeftCell="A297" activePane="bottomLeft" state="frozen"/>
      <selection pane="bottomLeft" activeCell="Y340" sqref="Y340"/>
    </sheetView>
  </sheetViews>
  <sheetFormatPr baseColWidth="10" defaultColWidth="8.83203125" defaultRowHeight="15" x14ac:dyDescent="0.2"/>
  <cols>
    <col min="1" max="1" width="14.1640625" style="1" customWidth="1"/>
    <col min="2" max="2" width="12.6640625" style="81" bestFit="1" customWidth="1"/>
    <col min="3" max="4" width="11.6640625" style="9" customWidth="1"/>
    <col min="5" max="129" width="9.1640625" style="87" customWidth="1"/>
  </cols>
  <sheetData>
    <row r="1" spans="1:129" s="27" customFormat="1" x14ac:dyDescent="0.2">
      <c r="A1" s="35" t="s">
        <v>577</v>
      </c>
      <c r="C1" s="31"/>
      <c r="D1" s="31"/>
      <c r="E1" s="28"/>
      <c r="F1" s="28"/>
      <c r="G1" s="30" t="str">
        <f>VLOOKUP(O1,Note!O:P,2,)</f>
        <v>France</v>
      </c>
      <c r="H1" s="28"/>
      <c r="I1" s="28"/>
      <c r="J1" s="28"/>
      <c r="K1" s="28"/>
      <c r="L1" s="28"/>
      <c r="M1" s="28"/>
      <c r="N1" s="28"/>
      <c r="O1" s="32" t="str">
        <f>Table13456789101112131415161734[[#Headers],[FRA]]</f>
        <v>FRA</v>
      </c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</row>
    <row r="2" spans="1:129" s="27" customFormat="1" x14ac:dyDescent="0.2">
      <c r="A2" s="34" t="s">
        <v>578</v>
      </c>
      <c r="B2" s="30"/>
      <c r="C2" s="31"/>
      <c r="D2" s="31"/>
      <c r="E2" s="28"/>
      <c r="F2" s="28"/>
      <c r="G2" s="30" t="str">
        <f>G1&amp;" Industrial Production mom"</f>
        <v>France Industrial Production mom</v>
      </c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</row>
    <row r="3" spans="1:129" s="27" customFormat="1" x14ac:dyDescent="0.2">
      <c r="A3" s="29"/>
      <c r="B3" s="30"/>
      <c r="C3" s="31"/>
      <c r="D3" s="31"/>
      <c r="E3" s="28"/>
      <c r="F3" s="28"/>
      <c r="G3" s="30" t="str">
        <f>G1&amp;" Industrial Production yoy"</f>
        <v>France Industrial Production yoy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</row>
    <row r="4" spans="1:129" x14ac:dyDescent="0.2">
      <c r="A4" s="25" t="s">
        <v>496</v>
      </c>
      <c r="B4" s="33" t="s">
        <v>158</v>
      </c>
      <c r="C4" s="26" t="s">
        <v>579</v>
      </c>
      <c r="D4" s="26" t="s">
        <v>580</v>
      </c>
      <c r="G4" s="30" t="str">
        <f>G1&amp;" Industrial Production"</f>
        <v>France Industrial Production</v>
      </c>
    </row>
    <row r="5" spans="1:129" x14ac:dyDescent="0.2">
      <c r="A5" s="22">
        <v>33208</v>
      </c>
      <c r="B5" s="85">
        <f>VLOOKUP(A5,Database!$A:$AS,MATCH($B$4,Database!$A$1:$AS$1,0),FALSE)</f>
        <v>91.59</v>
      </c>
      <c r="C5" s="23"/>
      <c r="D5" s="24"/>
    </row>
    <row r="6" spans="1:129" x14ac:dyDescent="0.2">
      <c r="A6" s="22">
        <v>33239</v>
      </c>
      <c r="B6" s="85">
        <f>VLOOKUP(A6,Database!$A:$AS,MATCH($B$4,Database!$A$1:$AS$1,0),FALSE)</f>
        <v>92.76</v>
      </c>
      <c r="C6" s="23">
        <f>(Table13456789101112131415161734[[#This Row],[FRA]]-B5)/B5</f>
        <v>1.277432034064856E-2</v>
      </c>
      <c r="D6" s="24"/>
    </row>
    <row r="7" spans="1:129" x14ac:dyDescent="0.2">
      <c r="A7" s="22">
        <v>33270</v>
      </c>
      <c r="B7" s="85">
        <f>VLOOKUP(A7,Database!$A:$AS,MATCH($B$4,Database!$A$1:$AS$1,0),FALSE)</f>
        <v>92.38</v>
      </c>
      <c r="C7" s="23">
        <f>(Table13456789101112131415161734[[#This Row],[FRA]]-B6)/B6</f>
        <v>-4.0965933592066583E-3</v>
      </c>
      <c r="D7" s="24"/>
    </row>
    <row r="8" spans="1:129" x14ac:dyDescent="0.2">
      <c r="A8" s="22">
        <v>33298</v>
      </c>
      <c r="B8" s="85">
        <f>VLOOKUP(A8,Database!$A:$AS,MATCH($B$4,Database!$A$1:$AS$1,0),FALSE)</f>
        <v>91.22</v>
      </c>
      <c r="C8" s="23">
        <f>(Table13456789101112131415161734[[#This Row],[FRA]]-B7)/B7</f>
        <v>-1.2556830482788446E-2</v>
      </c>
      <c r="D8" s="24"/>
    </row>
    <row r="9" spans="1:129" x14ac:dyDescent="0.2">
      <c r="A9" s="22">
        <v>33329</v>
      </c>
      <c r="B9" s="85">
        <f>VLOOKUP(A9,Database!$A:$AS,MATCH($B$4,Database!$A$1:$AS$1,0),FALSE)</f>
        <v>91.19</v>
      </c>
      <c r="C9" s="23">
        <f>(Table13456789101112131415161734[[#This Row],[FRA]]-B8)/B8</f>
        <v>-3.2887524665644745E-4</v>
      </c>
      <c r="D9" s="24"/>
    </row>
    <row r="10" spans="1:129" x14ac:dyDescent="0.2">
      <c r="A10" s="22">
        <v>33359</v>
      </c>
      <c r="B10" s="85">
        <f>VLOOKUP(A10,Database!$A:$AS,MATCH($B$4,Database!$A$1:$AS$1,0),FALSE)</f>
        <v>91.33</v>
      </c>
      <c r="C10" s="23">
        <f>(Table13456789101112131415161734[[#This Row],[FRA]]-B9)/B9</f>
        <v>1.5352560587783811E-3</v>
      </c>
      <c r="D10" s="24"/>
    </row>
    <row r="11" spans="1:129" x14ac:dyDescent="0.2">
      <c r="A11" s="22">
        <v>33390</v>
      </c>
      <c r="B11" s="85">
        <f>VLOOKUP(A11,Database!$A:$AS,MATCH($B$4,Database!$A$1:$AS$1,0),FALSE)</f>
        <v>91.69</v>
      </c>
      <c r="C11" s="23">
        <f>(Table13456789101112131415161734[[#This Row],[FRA]]-B10)/B10</f>
        <v>3.9417496988941141E-3</v>
      </c>
      <c r="D11" s="24"/>
    </row>
    <row r="12" spans="1:129" x14ac:dyDescent="0.2">
      <c r="A12" s="22">
        <v>33420</v>
      </c>
      <c r="B12" s="85">
        <f>VLOOKUP(A12,Database!$A:$AS,MATCH($B$4,Database!$A$1:$AS$1,0),FALSE)</f>
        <v>90.15</v>
      </c>
      <c r="C12" s="23">
        <f>(Table13456789101112131415161734[[#This Row],[FRA]]-B11)/B11</f>
        <v>-1.6795724724615466E-2</v>
      </c>
      <c r="D12" s="24"/>
    </row>
    <row r="13" spans="1:129" x14ac:dyDescent="0.2">
      <c r="A13" s="22">
        <v>33451</v>
      </c>
      <c r="B13" s="85">
        <f>VLOOKUP(A13,Database!$A:$AS,MATCH($B$4,Database!$A$1:$AS$1,0),FALSE)</f>
        <v>91.06</v>
      </c>
      <c r="C13" s="23">
        <f>(Table13456789101112131415161734[[#This Row],[FRA]]-B12)/B12</f>
        <v>1.0094287298946162E-2</v>
      </c>
      <c r="D13" s="24"/>
    </row>
    <row r="14" spans="1:129" x14ac:dyDescent="0.2">
      <c r="A14" s="22">
        <v>33482</v>
      </c>
      <c r="B14" s="85">
        <f>VLOOKUP(A14,Database!$A:$AS,MATCH($B$4,Database!$A$1:$AS$1,0),FALSE)</f>
        <v>91.38</v>
      </c>
      <c r="C14" s="23">
        <f>(Table13456789101112131415161734[[#This Row],[FRA]]-B13)/B13</f>
        <v>3.5141664836370874E-3</v>
      </c>
      <c r="D14" s="24"/>
    </row>
    <row r="15" spans="1:129" x14ac:dyDescent="0.2">
      <c r="A15" s="22">
        <v>33512</v>
      </c>
      <c r="B15" s="85">
        <f>VLOOKUP(A15,Database!$A:$AS,MATCH($B$4,Database!$A$1:$AS$1,0),FALSE)</f>
        <v>90.97</v>
      </c>
      <c r="C15" s="23">
        <f>(Table13456789101112131415161734[[#This Row],[FRA]]-B14)/B14</f>
        <v>-4.4867585905011666E-3</v>
      </c>
      <c r="D15" s="24"/>
    </row>
    <row r="16" spans="1:129" x14ac:dyDescent="0.2">
      <c r="A16" s="22">
        <v>33543</v>
      </c>
      <c r="B16" s="85">
        <f>VLOOKUP(A16,Database!$A:$AS,MATCH($B$4,Database!$A$1:$AS$1,0),FALSE)</f>
        <v>92.41</v>
      </c>
      <c r="C16" s="23">
        <f>(Table13456789101112131415161734[[#This Row],[FRA]]-B15)/B15</f>
        <v>1.5829394305815078E-2</v>
      </c>
      <c r="D16" s="24"/>
    </row>
    <row r="17" spans="1:4" x14ac:dyDescent="0.2">
      <c r="A17" s="22">
        <v>33573</v>
      </c>
      <c r="B17" s="85">
        <f>VLOOKUP(A17,Database!$A:$AS,MATCH($B$4,Database!$A$1:$AS$1,0),FALSE)</f>
        <v>91.58</v>
      </c>
      <c r="C17" s="23">
        <f>(Table13456789101112131415161734[[#This Row],[FRA]]-B16)/B16</f>
        <v>-8.9817119359376502E-3</v>
      </c>
      <c r="D17" s="24">
        <f>(Table13456789101112131415161734[[#This Row],[FRA]]-B5)/B5</f>
        <v>-1.0918222513380408E-4</v>
      </c>
    </row>
    <row r="18" spans="1:4" x14ac:dyDescent="0.2">
      <c r="A18" s="22">
        <v>33604</v>
      </c>
      <c r="B18" s="85">
        <f>VLOOKUP(A18,Database!$A:$AS,MATCH($B$4,Database!$A$1:$AS$1,0),FALSE)</f>
        <v>91.83</v>
      </c>
      <c r="C18" s="23">
        <f>(Table13456789101112131415161734[[#This Row],[FRA]]-B17)/B17</f>
        <v>2.7298536798427606E-3</v>
      </c>
      <c r="D18" s="24">
        <f>(Table13456789101112131415161734[[#This Row],[FRA]]-B6)/B6</f>
        <v>-1.0025873221216114E-2</v>
      </c>
    </row>
    <row r="19" spans="1:4" x14ac:dyDescent="0.2">
      <c r="A19" s="22">
        <v>33635</v>
      </c>
      <c r="B19" s="85">
        <f>VLOOKUP(A19,Database!$A:$AS,MATCH($B$4,Database!$A$1:$AS$1,0),FALSE)</f>
        <v>91.12</v>
      </c>
      <c r="C19" s="23">
        <f>(Table13456789101112131415161734[[#This Row],[FRA]]-B18)/B18</f>
        <v>-7.7316781008384379E-3</v>
      </c>
      <c r="D19" s="24">
        <f>(Table13456789101112131415161734[[#This Row],[FRA]]-B7)/B7</f>
        <v>-1.3639315869235667E-2</v>
      </c>
    </row>
    <row r="20" spans="1:4" x14ac:dyDescent="0.2">
      <c r="A20" s="22">
        <v>33664</v>
      </c>
      <c r="B20" s="85">
        <f>VLOOKUP(A20,Database!$A:$AS,MATCH($B$4,Database!$A$1:$AS$1,0),FALSE)</f>
        <v>92.01</v>
      </c>
      <c r="C20" s="23">
        <f>(Table13456789101112131415161734[[#This Row],[FRA]]-B19)/B19</f>
        <v>9.7673397717295933E-3</v>
      </c>
      <c r="D20" s="24">
        <f>(Table13456789101112131415161734[[#This Row],[FRA]]-B8)/B8</f>
        <v>8.6603814952861905E-3</v>
      </c>
    </row>
    <row r="21" spans="1:4" x14ac:dyDescent="0.2">
      <c r="A21" s="22">
        <v>33695</v>
      </c>
      <c r="B21" s="85">
        <f>VLOOKUP(A21,Database!$A:$AS,MATCH($B$4,Database!$A$1:$AS$1,0),FALSE)</f>
        <v>91.34</v>
      </c>
      <c r="C21" s="23">
        <f>(Table13456789101112131415161734[[#This Row],[FRA]]-B20)/B20</f>
        <v>-7.2818171937833022E-3</v>
      </c>
      <c r="D21" s="24">
        <f>(Table13456789101112131415161734[[#This Row],[FRA]]-B9)/B9</f>
        <v>1.6449172058340354E-3</v>
      </c>
    </row>
    <row r="22" spans="1:4" x14ac:dyDescent="0.2">
      <c r="A22" s="22">
        <v>33725</v>
      </c>
      <c r="B22" s="85">
        <f>VLOOKUP(A22,Database!$A:$AS,MATCH($B$4,Database!$A$1:$AS$1,0),FALSE)</f>
        <v>91.36</v>
      </c>
      <c r="C22" s="23">
        <f>(Table13456789101112131415161734[[#This Row],[FRA]]-B21)/B21</f>
        <v>2.189621195532737E-4</v>
      </c>
      <c r="D22" s="24">
        <f>(Table13456789101112131415161734[[#This Row],[FRA]]-B10)/B10</f>
        <v>3.2847914157452246E-4</v>
      </c>
    </row>
    <row r="23" spans="1:4" x14ac:dyDescent="0.2">
      <c r="A23" s="22">
        <v>33756</v>
      </c>
      <c r="B23" s="85">
        <f>VLOOKUP(A23,Database!$A:$AS,MATCH($B$4,Database!$A$1:$AS$1,0),FALSE)</f>
        <v>90.27</v>
      </c>
      <c r="C23" s="23">
        <f>(Table13456789101112131415161734[[#This Row],[FRA]]-B22)/B22</f>
        <v>-1.193082311733804E-2</v>
      </c>
      <c r="D23" s="24">
        <f>(Table13456789101112131415161734[[#This Row],[FRA]]-B11)/B11</f>
        <v>-1.5486966953866307E-2</v>
      </c>
    </row>
    <row r="24" spans="1:4" x14ac:dyDescent="0.2">
      <c r="A24" s="22">
        <v>33786</v>
      </c>
      <c r="B24" s="85">
        <f>VLOOKUP(A24,Database!$A:$AS,MATCH($B$4,Database!$A$1:$AS$1,0),FALSE)</f>
        <v>89.96</v>
      </c>
      <c r="C24" s="23">
        <f>(Table13456789101112131415161734[[#This Row],[FRA]]-B23)/B23</f>
        <v>-3.4341420183893021E-3</v>
      </c>
      <c r="D24" s="24">
        <f>(Table13456789101112131415161734[[#This Row],[FRA]]-B12)/B12</f>
        <v>-2.1075984470328556E-3</v>
      </c>
    </row>
    <row r="25" spans="1:4" x14ac:dyDescent="0.2">
      <c r="A25" s="22">
        <v>33817</v>
      </c>
      <c r="B25" s="85">
        <f>VLOOKUP(A25,Database!$A:$AS,MATCH($B$4,Database!$A$1:$AS$1,0),FALSE)</f>
        <v>90.23</v>
      </c>
      <c r="C25" s="23">
        <f>(Table13456789101112131415161734[[#This Row],[FRA]]-B24)/B24</f>
        <v>3.0013339261895314E-3</v>
      </c>
      <c r="D25" s="24">
        <f>(Table13456789101112131415161734[[#This Row],[FRA]]-B13)/B13</f>
        <v>-9.1148693169338709E-3</v>
      </c>
    </row>
    <row r="26" spans="1:4" x14ac:dyDescent="0.2">
      <c r="A26" s="22">
        <v>33848</v>
      </c>
      <c r="B26" s="85">
        <f>VLOOKUP(A26,Database!$A:$AS,MATCH($B$4,Database!$A$1:$AS$1,0),FALSE)</f>
        <v>88.96</v>
      </c>
      <c r="C26" s="23">
        <f>(Table13456789101112131415161734[[#This Row],[FRA]]-B25)/B25</f>
        <v>-1.407514130555259E-2</v>
      </c>
      <c r="D26" s="24">
        <f>(Table13456789101112131415161734[[#This Row],[FRA]]-B14)/B14</f>
        <v>-2.648281899759249E-2</v>
      </c>
    </row>
    <row r="27" spans="1:4" x14ac:dyDescent="0.2">
      <c r="A27" s="22">
        <v>33878</v>
      </c>
      <c r="B27" s="85">
        <f>VLOOKUP(A27,Database!$A:$AS,MATCH($B$4,Database!$A$1:$AS$1,0),FALSE)</f>
        <v>89.9</v>
      </c>
      <c r="C27" s="23">
        <f>(Table13456789101112131415161734[[#This Row],[FRA]]-B26)/B26</f>
        <v>1.0566546762590064E-2</v>
      </c>
      <c r="D27" s="24">
        <f>(Table13456789101112131415161734[[#This Row],[FRA]]-B15)/B15</f>
        <v>-1.1762119380015314E-2</v>
      </c>
    </row>
    <row r="28" spans="1:4" x14ac:dyDescent="0.2">
      <c r="A28" s="22">
        <v>33909</v>
      </c>
      <c r="B28" s="85">
        <f>VLOOKUP(A28,Database!$A:$AS,MATCH($B$4,Database!$A$1:$AS$1,0),FALSE)</f>
        <v>88.72</v>
      </c>
      <c r="C28" s="23">
        <f>(Table13456789101112131415161734[[#This Row],[FRA]]-B27)/B27</f>
        <v>-1.312569521690775E-2</v>
      </c>
      <c r="D28" s="24">
        <f>(Table13456789101112131415161734[[#This Row],[FRA]]-B16)/B16</f>
        <v>-3.9930743426036121E-2</v>
      </c>
    </row>
    <row r="29" spans="1:4" x14ac:dyDescent="0.2">
      <c r="A29" s="22">
        <v>33939</v>
      </c>
      <c r="B29" s="85">
        <f>VLOOKUP(A29,Database!$A:$AS,MATCH($B$4,Database!$A$1:$AS$1,0),FALSE)</f>
        <v>87.54</v>
      </c>
      <c r="C29" s="23">
        <f>(Table13456789101112131415161734[[#This Row],[FRA]]-B28)/B28</f>
        <v>-1.3300270513976472E-2</v>
      </c>
      <c r="D29" s="24">
        <f>(Table13456789101112131415161734[[#This Row],[FRA]]-B17)/B17</f>
        <v>-4.4114435466258921E-2</v>
      </c>
    </row>
    <row r="30" spans="1:4" x14ac:dyDescent="0.2">
      <c r="A30" s="22">
        <v>33970</v>
      </c>
      <c r="B30" s="85">
        <f>VLOOKUP(A30,Database!$A:$AS,MATCH($B$4,Database!$A$1:$AS$1,0),FALSE)</f>
        <v>87.43</v>
      </c>
      <c r="C30" s="23">
        <f>(Table13456789101112131415161734[[#This Row],[FRA]]-B29)/B29</f>
        <v>-1.2565684258624562E-3</v>
      </c>
      <c r="D30" s="24">
        <f>(Table13456789101112131415161734[[#This Row],[FRA]]-B18)/B18</f>
        <v>-4.7914624850266707E-2</v>
      </c>
    </row>
    <row r="31" spans="1:4" x14ac:dyDescent="0.2">
      <c r="A31" s="22">
        <v>34001</v>
      </c>
      <c r="B31" s="85">
        <f>VLOOKUP(A31,Database!$A:$AS,MATCH($B$4,Database!$A$1:$AS$1,0),FALSE)</f>
        <v>87.57</v>
      </c>
      <c r="C31" s="23">
        <f>(Table13456789101112131415161734[[#This Row],[FRA]]-B30)/B30</f>
        <v>1.6012810248196997E-3</v>
      </c>
      <c r="D31" s="24">
        <f>(Table13456789101112131415161734[[#This Row],[FRA]]-B19)/B19</f>
        <v>-3.895961369622488E-2</v>
      </c>
    </row>
    <row r="32" spans="1:4" x14ac:dyDescent="0.2">
      <c r="A32" s="22">
        <v>34029</v>
      </c>
      <c r="B32" s="85">
        <f>VLOOKUP(A32,Database!$A:$AS,MATCH($B$4,Database!$A$1:$AS$1,0),FALSE)</f>
        <v>87.16</v>
      </c>
      <c r="C32" s="23">
        <f>(Table13456789101112131415161734[[#This Row],[FRA]]-B31)/B31</f>
        <v>-4.6819687107456506E-3</v>
      </c>
      <c r="D32" s="24">
        <f>(Table13456789101112131415161734[[#This Row],[FRA]]-B20)/B20</f>
        <v>-5.2711661775894016E-2</v>
      </c>
    </row>
    <row r="33" spans="1:4" x14ac:dyDescent="0.2">
      <c r="A33" s="22">
        <v>34060</v>
      </c>
      <c r="B33" s="85">
        <f>VLOOKUP(A33,Database!$A:$AS,MATCH($B$4,Database!$A$1:$AS$1,0),FALSE)</f>
        <v>86.58</v>
      </c>
      <c r="C33" s="23">
        <f>(Table13456789101112131415161734[[#This Row],[FRA]]-B32)/B32</f>
        <v>-6.6544286369894252E-3</v>
      </c>
      <c r="D33" s="24">
        <f>(Table13456789101112131415161734[[#This Row],[FRA]]-B21)/B21</f>
        <v>-5.2112984453689566E-2</v>
      </c>
    </row>
    <row r="34" spans="1:4" x14ac:dyDescent="0.2">
      <c r="A34" s="22">
        <v>34090</v>
      </c>
      <c r="B34" s="85">
        <f>VLOOKUP(A34,Database!$A:$AS,MATCH($B$4,Database!$A$1:$AS$1,0),FALSE)</f>
        <v>86.48</v>
      </c>
      <c r="C34" s="23">
        <f>(Table13456789101112131415161734[[#This Row],[FRA]]-B33)/B33</f>
        <v>-1.1550011550010893E-3</v>
      </c>
      <c r="D34" s="24">
        <f>(Table13456789101112131415161734[[#This Row],[FRA]]-B22)/B22</f>
        <v>-5.3415061295971927E-2</v>
      </c>
    </row>
    <row r="35" spans="1:4" x14ac:dyDescent="0.2">
      <c r="A35" s="22">
        <v>34121</v>
      </c>
      <c r="B35" s="85">
        <f>VLOOKUP(A35,Database!$A:$AS,MATCH($B$4,Database!$A$1:$AS$1,0),FALSE)</f>
        <v>85.8</v>
      </c>
      <c r="C35" s="23">
        <f>(Table13456789101112131415161734[[#This Row],[FRA]]-B34)/B34</f>
        <v>-7.8630897317299581E-3</v>
      </c>
      <c r="D35" s="24">
        <f>(Table13456789101112131415161734[[#This Row],[FRA]]-B23)/B23</f>
        <v>-4.9518112329677622E-2</v>
      </c>
    </row>
    <row r="36" spans="1:4" x14ac:dyDescent="0.2">
      <c r="A36" s="22">
        <v>34151</v>
      </c>
      <c r="B36" s="85">
        <f>VLOOKUP(A36,Database!$A:$AS,MATCH($B$4,Database!$A$1:$AS$1,0),FALSE)</f>
        <v>86.98</v>
      </c>
      <c r="C36" s="23">
        <f>(Table13456789101112131415161734[[#This Row],[FRA]]-B35)/B35</f>
        <v>1.3752913752913832E-2</v>
      </c>
      <c r="D36" s="24">
        <f>(Table13456789101112131415161734[[#This Row],[FRA]]-B24)/B24</f>
        <v>-3.3125833703868277E-2</v>
      </c>
    </row>
    <row r="37" spans="1:4" x14ac:dyDescent="0.2">
      <c r="A37" s="22">
        <v>34182</v>
      </c>
      <c r="B37" s="85">
        <f>VLOOKUP(A37,Database!$A:$AS,MATCH($B$4,Database!$A$1:$AS$1,0),FALSE)</f>
        <v>86.36</v>
      </c>
      <c r="C37" s="23">
        <f>(Table13456789101112131415161734[[#This Row],[FRA]]-B36)/B36</f>
        <v>-7.12807541963675E-3</v>
      </c>
      <c r="D37" s="24">
        <f>(Table13456789101112131415161734[[#This Row],[FRA]]-B25)/B25</f>
        <v>-4.2890391222431615E-2</v>
      </c>
    </row>
    <row r="38" spans="1:4" x14ac:dyDescent="0.2">
      <c r="A38" s="22">
        <v>34213</v>
      </c>
      <c r="B38" s="85">
        <f>VLOOKUP(A38,Database!$A:$AS,MATCH($B$4,Database!$A$1:$AS$1,0),FALSE)</f>
        <v>86.93</v>
      </c>
      <c r="C38" s="23">
        <f>(Table13456789101112131415161734[[#This Row],[FRA]]-B37)/B37</f>
        <v>6.6002779064382516E-3</v>
      </c>
      <c r="D38" s="24">
        <f>(Table13456789101112131415161734[[#This Row],[FRA]]-B26)/B26</f>
        <v>-2.2819244604316401E-2</v>
      </c>
    </row>
    <row r="39" spans="1:4" x14ac:dyDescent="0.2">
      <c r="A39" s="22">
        <v>34243</v>
      </c>
      <c r="B39" s="85">
        <f>VLOOKUP(A39,Database!$A:$AS,MATCH($B$4,Database!$A$1:$AS$1,0),FALSE)</f>
        <v>87.3</v>
      </c>
      <c r="C39" s="23">
        <f>(Table13456789101112131415161734[[#This Row],[FRA]]-B38)/B38</f>
        <v>4.2562981709420257E-3</v>
      </c>
      <c r="D39" s="24">
        <f>(Table13456789101112131415161734[[#This Row],[FRA]]-B27)/B27</f>
        <v>-2.892102335928819E-2</v>
      </c>
    </row>
    <row r="40" spans="1:4" x14ac:dyDescent="0.2">
      <c r="A40" s="22">
        <v>34274</v>
      </c>
      <c r="B40" s="85">
        <f>VLOOKUP(A40,Database!$A:$AS,MATCH($B$4,Database!$A$1:$AS$1,0),FALSE)</f>
        <v>86.71</v>
      </c>
      <c r="C40" s="23">
        <f>(Table13456789101112131415161734[[#This Row],[FRA]]-B39)/B39</f>
        <v>-6.7583046964490657E-3</v>
      </c>
      <c r="D40" s="24">
        <f>(Table13456789101112131415161734[[#This Row],[FRA]]-B28)/B28</f>
        <v>-2.2655545536519446E-2</v>
      </c>
    </row>
    <row r="41" spans="1:4" x14ac:dyDescent="0.2">
      <c r="A41" s="22">
        <v>34304</v>
      </c>
      <c r="B41" s="85">
        <f>VLOOKUP(A41,Database!$A:$AS,MATCH($B$4,Database!$A$1:$AS$1,0),FALSE)</f>
        <v>85.91</v>
      </c>
      <c r="C41" s="23">
        <f>(Table13456789101112131415161734[[#This Row],[FRA]]-B40)/B40</f>
        <v>-9.2261561526928524E-3</v>
      </c>
      <c r="D41" s="24">
        <f>(Table13456789101112131415161734[[#This Row],[FRA]]-B29)/B29</f>
        <v>-1.8620059401416603E-2</v>
      </c>
    </row>
    <row r="42" spans="1:4" x14ac:dyDescent="0.2">
      <c r="A42" s="22">
        <v>34335</v>
      </c>
      <c r="B42" s="85">
        <f>VLOOKUP(A42,Database!$A:$AS,MATCH($B$4,Database!$A$1:$AS$1,0),FALSE)</f>
        <v>87.51</v>
      </c>
      <c r="C42" s="23">
        <f>(Table13456789101112131415161734[[#This Row],[FRA]]-B41)/B41</f>
        <v>1.8624141543475831E-2</v>
      </c>
      <c r="D42" s="24">
        <f>(Table13456789101112131415161734[[#This Row],[FRA]]-B30)/B30</f>
        <v>9.1501772846846953E-4</v>
      </c>
    </row>
    <row r="43" spans="1:4" x14ac:dyDescent="0.2">
      <c r="A43" s="22">
        <v>34366</v>
      </c>
      <c r="B43" s="85">
        <f>VLOOKUP(A43,Database!$A:$AS,MATCH($B$4,Database!$A$1:$AS$1,0),FALSE)</f>
        <v>87.26</v>
      </c>
      <c r="C43" s="23">
        <f>(Table13456789101112131415161734[[#This Row],[FRA]]-B42)/B42</f>
        <v>-2.8568163638441318E-3</v>
      </c>
      <c r="D43" s="24">
        <f>(Table13456789101112131415161734[[#This Row],[FRA]]-B31)/B31</f>
        <v>-3.5400251227587997E-3</v>
      </c>
    </row>
    <row r="44" spans="1:4" x14ac:dyDescent="0.2">
      <c r="A44" s="22">
        <v>34394</v>
      </c>
      <c r="B44" s="85">
        <f>VLOOKUP(A44,Database!$A:$AS,MATCH($B$4,Database!$A$1:$AS$1,0),FALSE)</f>
        <v>87.24</v>
      </c>
      <c r="C44" s="23">
        <f>(Table13456789101112131415161734[[#This Row],[FRA]]-B43)/B43</f>
        <v>-2.2920009168015391E-4</v>
      </c>
      <c r="D44" s="24">
        <f>(Table13456789101112131415161734[[#This Row],[FRA]]-B32)/B32</f>
        <v>9.1785222579162805E-4</v>
      </c>
    </row>
    <row r="45" spans="1:4" x14ac:dyDescent="0.2">
      <c r="A45" s="22">
        <v>34425</v>
      </c>
      <c r="B45" s="85">
        <f>VLOOKUP(A45,Database!$A:$AS,MATCH($B$4,Database!$A$1:$AS$1,0),FALSE)</f>
        <v>89.64</v>
      </c>
      <c r="C45" s="23">
        <f>(Table13456789101112131415161734[[#This Row],[FRA]]-B44)/B44</f>
        <v>2.7510316368638307E-2</v>
      </c>
      <c r="D45" s="24">
        <f>(Table13456789101112131415161734[[#This Row],[FRA]]-B33)/B33</f>
        <v>3.5343035343035373E-2</v>
      </c>
    </row>
    <row r="46" spans="1:4" x14ac:dyDescent="0.2">
      <c r="A46" s="22">
        <v>34455</v>
      </c>
      <c r="B46" s="85">
        <f>VLOOKUP(A46,Database!$A:$AS,MATCH($B$4,Database!$A$1:$AS$1,0),FALSE)</f>
        <v>89.58</v>
      </c>
      <c r="C46" s="23">
        <f>(Table13456789101112131415161734[[#This Row],[FRA]]-B45)/B45</f>
        <v>-6.6934404283804409E-4</v>
      </c>
      <c r="D46" s="24">
        <f>(Table13456789101112131415161734[[#This Row],[FRA]]-B34)/B34</f>
        <v>3.5846438482886149E-2</v>
      </c>
    </row>
    <row r="47" spans="1:4" x14ac:dyDescent="0.2">
      <c r="A47" s="22">
        <v>34486</v>
      </c>
      <c r="B47" s="85">
        <f>VLOOKUP(A47,Database!$A:$AS,MATCH($B$4,Database!$A$1:$AS$1,0),FALSE)</f>
        <v>90.05</v>
      </c>
      <c r="C47" s="23">
        <f>(Table13456789101112131415161734[[#This Row],[FRA]]-B46)/B46</f>
        <v>5.2467068542085158E-3</v>
      </c>
      <c r="D47" s="24">
        <f>(Table13456789101112131415161734[[#This Row],[FRA]]-B35)/B35</f>
        <v>4.9533799533799536E-2</v>
      </c>
    </row>
    <row r="48" spans="1:4" x14ac:dyDescent="0.2">
      <c r="A48" s="22">
        <v>34516</v>
      </c>
      <c r="B48" s="85">
        <f>VLOOKUP(A48,Database!$A:$AS,MATCH($B$4,Database!$A$1:$AS$1,0),FALSE)</f>
        <v>90.85</v>
      </c>
      <c r="C48" s="23">
        <f>(Table13456789101112131415161734[[#This Row],[FRA]]-B47)/B47</f>
        <v>8.8839533592448335E-3</v>
      </c>
      <c r="D48" s="24">
        <f>(Table13456789101112131415161734[[#This Row],[FRA]]-B36)/B36</f>
        <v>4.449298689353863E-2</v>
      </c>
    </row>
    <row r="49" spans="1:4" x14ac:dyDescent="0.2">
      <c r="A49" s="22">
        <v>34547</v>
      </c>
      <c r="B49" s="85">
        <f>VLOOKUP(A49,Database!$A:$AS,MATCH($B$4,Database!$A$1:$AS$1,0),FALSE)</f>
        <v>91.36</v>
      </c>
      <c r="C49" s="23">
        <f>(Table13456789101112131415161734[[#This Row],[FRA]]-B48)/B48</f>
        <v>5.6136488717667046E-3</v>
      </c>
      <c r="D49" s="24">
        <f>(Table13456789101112131415161734[[#This Row],[FRA]]-B37)/B37</f>
        <v>5.7897174617878647E-2</v>
      </c>
    </row>
    <row r="50" spans="1:4" x14ac:dyDescent="0.2">
      <c r="A50" s="22">
        <v>34578</v>
      </c>
      <c r="B50" s="85">
        <f>VLOOKUP(A50,Database!$A:$AS,MATCH($B$4,Database!$A$1:$AS$1,0),FALSE)</f>
        <v>91.07</v>
      </c>
      <c r="C50" s="23">
        <f>(Table13456789101112131415161734[[#This Row],[FRA]]-B49)/B49</f>
        <v>-3.1742556917688952E-3</v>
      </c>
      <c r="D50" s="24">
        <f>(Table13456789101112131415161734[[#This Row],[FRA]]-B38)/B38</f>
        <v>4.7624525480271324E-2</v>
      </c>
    </row>
    <row r="51" spans="1:4" x14ac:dyDescent="0.2">
      <c r="A51" s="22">
        <v>34608</v>
      </c>
      <c r="B51" s="85">
        <f>VLOOKUP(A51,Database!$A:$AS,MATCH($B$4,Database!$A$1:$AS$1,0),FALSE)</f>
        <v>91.95</v>
      </c>
      <c r="C51" s="23">
        <f>(Table13456789101112131415161734[[#This Row],[FRA]]-B50)/B50</f>
        <v>9.6628966728890941E-3</v>
      </c>
      <c r="D51" s="24">
        <f>(Table13456789101112131415161734[[#This Row],[FRA]]-B39)/B39</f>
        <v>5.3264604810996631E-2</v>
      </c>
    </row>
    <row r="52" spans="1:4" x14ac:dyDescent="0.2">
      <c r="A52" s="22">
        <v>34639</v>
      </c>
      <c r="B52" s="85">
        <f>VLOOKUP(A52,Database!$A:$AS,MATCH($B$4,Database!$A$1:$AS$1,0),FALSE)</f>
        <v>92.77</v>
      </c>
      <c r="C52" s="23">
        <f>(Table13456789101112131415161734[[#This Row],[FRA]]-B51)/B51</f>
        <v>8.9178901576943241E-3</v>
      </c>
      <c r="D52" s="24">
        <f>(Table13456789101112131415161734[[#This Row],[FRA]]-B40)/B40</f>
        <v>6.9888132856648633E-2</v>
      </c>
    </row>
    <row r="53" spans="1:4" x14ac:dyDescent="0.2">
      <c r="A53" s="22">
        <v>34669</v>
      </c>
      <c r="B53" s="85">
        <f>VLOOKUP(A53,Database!$A:$AS,MATCH($B$4,Database!$A$1:$AS$1,0),FALSE)</f>
        <v>92.65</v>
      </c>
      <c r="C53" s="23">
        <f>(Table13456789101112131415161734[[#This Row],[FRA]]-B52)/B52</f>
        <v>-1.293521612590173E-3</v>
      </c>
      <c r="D53" s="24">
        <f>(Table13456789101112131415161734[[#This Row],[FRA]]-B41)/B41</f>
        <v>7.8454196251891622E-2</v>
      </c>
    </row>
    <row r="54" spans="1:4" x14ac:dyDescent="0.2">
      <c r="A54" s="22">
        <v>34700</v>
      </c>
      <c r="B54" s="85">
        <f>VLOOKUP(A54,Database!$A:$AS,MATCH($B$4,Database!$A$1:$AS$1,0),FALSE)</f>
        <v>93.32</v>
      </c>
      <c r="C54" s="23">
        <f>(Table13456789101112131415161734[[#This Row],[FRA]]-B53)/B53</f>
        <v>7.231516459794792E-3</v>
      </c>
      <c r="D54" s="24">
        <f>(Table13456789101112131415161734[[#This Row],[FRA]]-B42)/B42</f>
        <v>6.6392412295737488E-2</v>
      </c>
    </row>
    <row r="55" spans="1:4" x14ac:dyDescent="0.2">
      <c r="A55" s="22">
        <v>34731</v>
      </c>
      <c r="B55" s="85">
        <f>VLOOKUP(A55,Database!$A:$AS,MATCH($B$4,Database!$A$1:$AS$1,0),FALSE)</f>
        <v>92.7</v>
      </c>
      <c r="C55" s="23">
        <f>(Table13456789101112131415161734[[#This Row],[FRA]]-B54)/B54</f>
        <v>-6.643806258036759E-3</v>
      </c>
      <c r="D55" s="24">
        <f>(Table13456789101112131415161734[[#This Row],[FRA]]-B43)/B43</f>
        <v>6.2342424936969947E-2</v>
      </c>
    </row>
    <row r="56" spans="1:4" x14ac:dyDescent="0.2">
      <c r="A56" s="22">
        <v>34759</v>
      </c>
      <c r="B56" s="85">
        <f>VLOOKUP(A56,Database!$A:$AS,MATCH($B$4,Database!$A$1:$AS$1,0),FALSE)</f>
        <v>93.48</v>
      </c>
      <c r="C56" s="23">
        <f>(Table13456789101112131415161734[[#This Row],[FRA]]-B55)/B55</f>
        <v>8.4142394822006601E-3</v>
      </c>
      <c r="D56" s="24">
        <f>(Table13456789101112131415161734[[#This Row],[FRA]]-B44)/B44</f>
        <v>7.1526822558459532E-2</v>
      </c>
    </row>
    <row r="57" spans="1:4" x14ac:dyDescent="0.2">
      <c r="A57" s="22">
        <v>34790</v>
      </c>
      <c r="B57" s="85">
        <f>VLOOKUP(A57,Database!$A:$AS,MATCH($B$4,Database!$A$1:$AS$1,0),FALSE)</f>
        <v>93.47</v>
      </c>
      <c r="C57" s="23">
        <f>(Table13456789101112131415161734[[#This Row],[FRA]]-B56)/B56</f>
        <v>-1.0697475395812062E-4</v>
      </c>
      <c r="D57" s="24">
        <f>(Table13456789101112131415161734[[#This Row],[FRA]]-B45)/B45</f>
        <v>4.2726461401160175E-2</v>
      </c>
    </row>
    <row r="58" spans="1:4" x14ac:dyDescent="0.2">
      <c r="A58" s="22">
        <v>34820</v>
      </c>
      <c r="B58" s="85">
        <f>VLOOKUP(A58,Database!$A:$AS,MATCH($B$4,Database!$A$1:$AS$1,0),FALSE)</f>
        <v>93.02</v>
      </c>
      <c r="C58" s="23">
        <f>(Table13456789101112131415161734[[#This Row],[FRA]]-B57)/B57</f>
        <v>-4.8143789451161106E-3</v>
      </c>
      <c r="D58" s="24">
        <f>(Table13456789101112131415161734[[#This Row],[FRA]]-B46)/B46</f>
        <v>3.8401428890377294E-2</v>
      </c>
    </row>
    <row r="59" spans="1:4" x14ac:dyDescent="0.2">
      <c r="A59" s="22">
        <v>34851</v>
      </c>
      <c r="B59" s="85">
        <f>VLOOKUP(A59,Database!$A:$AS,MATCH($B$4,Database!$A$1:$AS$1,0),FALSE)</f>
        <v>93.66</v>
      </c>
      <c r="C59" s="23">
        <f>(Table13456789101112131415161734[[#This Row],[FRA]]-B58)/B58</f>
        <v>6.880240808428301E-3</v>
      </c>
      <c r="D59" s="24">
        <f>(Table13456789101112131415161734[[#This Row],[FRA]]-B47)/B47</f>
        <v>4.0088839533592442E-2</v>
      </c>
    </row>
    <row r="60" spans="1:4" x14ac:dyDescent="0.2">
      <c r="A60" s="22">
        <v>34881</v>
      </c>
      <c r="B60" s="85">
        <f>VLOOKUP(A60,Database!$A:$AS,MATCH($B$4,Database!$A$1:$AS$1,0),FALSE)</f>
        <v>94.07</v>
      </c>
      <c r="C60" s="23">
        <f>(Table13456789101112131415161734[[#This Row],[FRA]]-B59)/B59</f>
        <v>4.3775357676702608E-3</v>
      </c>
      <c r="D60" s="24">
        <f>(Table13456789101112131415161734[[#This Row],[FRA]]-B48)/B48</f>
        <v>3.5443037974683532E-2</v>
      </c>
    </row>
    <row r="61" spans="1:4" x14ac:dyDescent="0.2">
      <c r="A61" s="22">
        <v>34912</v>
      </c>
      <c r="B61" s="85">
        <f>VLOOKUP(A61,Database!$A:$AS,MATCH($B$4,Database!$A$1:$AS$1,0),FALSE)</f>
        <v>93.5</v>
      </c>
      <c r="C61" s="23">
        <f>(Table13456789101112131415161734[[#This Row],[FRA]]-B60)/B60</f>
        <v>-6.0593175294992368E-3</v>
      </c>
      <c r="D61" s="24">
        <f>(Table13456789101112131415161734[[#This Row],[FRA]]-B49)/B49</f>
        <v>2.3423817863397554E-2</v>
      </c>
    </row>
    <row r="62" spans="1:4" x14ac:dyDescent="0.2">
      <c r="A62" s="22">
        <v>34943</v>
      </c>
      <c r="B62" s="85">
        <f>VLOOKUP(A62,Database!$A:$AS,MATCH($B$4,Database!$A$1:$AS$1,0),FALSE)</f>
        <v>93.64</v>
      </c>
      <c r="C62" s="23">
        <f>(Table13456789101112131415161734[[#This Row],[FRA]]-B61)/B61</f>
        <v>1.4973262032085622E-3</v>
      </c>
      <c r="D62" s="24">
        <f>(Table13456789101112131415161734[[#This Row],[FRA]]-B50)/B50</f>
        <v>2.8220050510596329E-2</v>
      </c>
    </row>
    <row r="63" spans="1:4" x14ac:dyDescent="0.2">
      <c r="A63" s="22">
        <v>34973</v>
      </c>
      <c r="B63" s="85">
        <f>VLOOKUP(A63,Database!$A:$AS,MATCH($B$4,Database!$A$1:$AS$1,0),FALSE)</f>
        <v>91.84</v>
      </c>
      <c r="C63" s="23">
        <f>(Table13456789101112131415161734[[#This Row],[FRA]]-B62)/B62</f>
        <v>-1.9222554463904282E-2</v>
      </c>
      <c r="D63" s="24">
        <f>(Table13456789101112131415161734[[#This Row],[FRA]]-B51)/B51</f>
        <v>-1.1963023382272912E-3</v>
      </c>
    </row>
    <row r="64" spans="1:4" x14ac:dyDescent="0.2">
      <c r="A64" s="22">
        <v>35004</v>
      </c>
      <c r="B64" s="85">
        <f>VLOOKUP(A64,Database!$A:$AS,MATCH($B$4,Database!$A$1:$AS$1,0),FALSE)</f>
        <v>91.81</v>
      </c>
      <c r="C64" s="23">
        <f>(Table13456789101112131415161734[[#This Row],[FRA]]-B63)/B63</f>
        <v>-3.2665505226482075E-4</v>
      </c>
      <c r="D64" s="24">
        <f>(Table13456789101112131415161734[[#This Row],[FRA]]-B52)/B52</f>
        <v>-1.0348172900722149E-2</v>
      </c>
    </row>
    <row r="65" spans="1:4" x14ac:dyDescent="0.2">
      <c r="A65" s="22">
        <v>35034</v>
      </c>
      <c r="B65" s="85">
        <f>VLOOKUP(A65,Database!$A:$AS,MATCH($B$4,Database!$A$1:$AS$1,0),FALSE)</f>
        <v>93.77</v>
      </c>
      <c r="C65" s="23">
        <f>(Table13456789101112131415161734[[#This Row],[FRA]]-B64)/B64</f>
        <v>2.1348436989434633E-2</v>
      </c>
      <c r="D65" s="24">
        <f>(Table13456789101112131415161734[[#This Row],[FRA]]-B53)/B53</f>
        <v>1.2088505126821266E-2</v>
      </c>
    </row>
    <row r="66" spans="1:4" x14ac:dyDescent="0.2">
      <c r="A66" s="22">
        <v>35065</v>
      </c>
      <c r="B66" s="85">
        <f>VLOOKUP(A66,Database!$A:$AS,MATCH($B$4,Database!$A$1:$AS$1,0),FALSE)</f>
        <v>92.93</v>
      </c>
      <c r="C66" s="23">
        <f>(Table13456789101112131415161734[[#This Row],[FRA]]-B65)/B65</f>
        <v>-8.9580889410258002E-3</v>
      </c>
      <c r="D66" s="24">
        <f>(Table13456789101112131415161734[[#This Row],[FRA]]-B54)/B54</f>
        <v>-4.1791684526359448E-3</v>
      </c>
    </row>
    <row r="67" spans="1:4" x14ac:dyDescent="0.2">
      <c r="A67" s="22">
        <v>35096</v>
      </c>
      <c r="B67" s="85">
        <f>VLOOKUP(A67,Database!$A:$AS,MATCH($B$4,Database!$A$1:$AS$1,0),FALSE)</f>
        <v>93.22</v>
      </c>
      <c r="C67" s="23">
        <f>(Table13456789101112131415161734[[#This Row],[FRA]]-B66)/B66</f>
        <v>3.1206284300009904E-3</v>
      </c>
      <c r="D67" s="24">
        <f>(Table13456789101112131415161734[[#This Row],[FRA]]-B55)/B55</f>
        <v>5.6094929881337213E-3</v>
      </c>
    </row>
    <row r="68" spans="1:4" x14ac:dyDescent="0.2">
      <c r="A68" s="22">
        <v>35125</v>
      </c>
      <c r="B68" s="85">
        <f>VLOOKUP(A68,Database!$A:$AS,MATCH($B$4,Database!$A$1:$AS$1,0),FALSE)</f>
        <v>93.87</v>
      </c>
      <c r="C68" s="23">
        <f>(Table13456789101112131415161734[[#This Row],[FRA]]-B67)/B67</f>
        <v>6.972752628191436E-3</v>
      </c>
      <c r="D68" s="24">
        <f>(Table13456789101112131415161734[[#This Row],[FRA]]-B56)/B56</f>
        <v>4.1720154043645759E-3</v>
      </c>
    </row>
    <row r="69" spans="1:4" x14ac:dyDescent="0.2">
      <c r="A69" s="22">
        <v>35156</v>
      </c>
      <c r="B69" s="85">
        <f>VLOOKUP(A69,Database!$A:$AS,MATCH($B$4,Database!$A$1:$AS$1,0),FALSE)</f>
        <v>92.92</v>
      </c>
      <c r="C69" s="23">
        <f>(Table13456789101112131415161734[[#This Row],[FRA]]-B68)/B68</f>
        <v>-1.0120379247896057E-2</v>
      </c>
      <c r="D69" s="24">
        <f>(Table13456789101112131415161734[[#This Row],[FRA]]-B57)/B57</f>
        <v>-5.8842409329196233E-3</v>
      </c>
    </row>
    <row r="70" spans="1:4" x14ac:dyDescent="0.2">
      <c r="A70" s="22">
        <v>35186</v>
      </c>
      <c r="B70" s="85">
        <f>VLOOKUP(A70,Database!$A:$AS,MATCH($B$4,Database!$A$1:$AS$1,0),FALSE)</f>
        <v>94.78</v>
      </c>
      <c r="C70" s="23">
        <f>(Table13456789101112131415161734[[#This Row],[FRA]]-B69)/B69</f>
        <v>2.0017219113215662E-2</v>
      </c>
      <c r="D70" s="24">
        <f>(Table13456789101112131415161734[[#This Row],[FRA]]-B58)/B58</f>
        <v>1.8920662223177866E-2</v>
      </c>
    </row>
    <row r="71" spans="1:4" x14ac:dyDescent="0.2">
      <c r="A71" s="22">
        <v>35217</v>
      </c>
      <c r="B71" s="85">
        <f>VLOOKUP(A71,Database!$A:$AS,MATCH($B$4,Database!$A$1:$AS$1,0),FALSE)</f>
        <v>94.04</v>
      </c>
      <c r="C71" s="23">
        <f>(Table13456789101112131415161734[[#This Row],[FRA]]-B70)/B70</f>
        <v>-7.8075543363578274E-3</v>
      </c>
      <c r="D71" s="24">
        <f>(Table13456789101112131415161734[[#This Row],[FRA]]-B59)/B59</f>
        <v>4.0572282724750126E-3</v>
      </c>
    </row>
    <row r="72" spans="1:4" x14ac:dyDescent="0.2">
      <c r="A72" s="22">
        <v>35247</v>
      </c>
      <c r="B72" s="85">
        <f>VLOOKUP(A72,Database!$A:$AS,MATCH($B$4,Database!$A$1:$AS$1,0),FALSE)</f>
        <v>92.37</v>
      </c>
      <c r="C72" s="23">
        <f>(Table13456789101112131415161734[[#This Row],[FRA]]-B71)/B71</f>
        <v>-1.7758400680561479E-2</v>
      </c>
      <c r="D72" s="24">
        <f>(Table13456789101112131415161734[[#This Row],[FRA]]-B60)/B60</f>
        <v>-1.8071648772190804E-2</v>
      </c>
    </row>
    <row r="73" spans="1:4" x14ac:dyDescent="0.2">
      <c r="A73" s="22">
        <v>35278</v>
      </c>
      <c r="B73" s="85">
        <f>VLOOKUP(A73,Database!$A:$AS,MATCH($B$4,Database!$A$1:$AS$1,0),FALSE)</f>
        <v>94.38</v>
      </c>
      <c r="C73" s="23">
        <f>(Table13456789101112131415161734[[#This Row],[FRA]]-B72)/B72</f>
        <v>2.1760311789541961E-2</v>
      </c>
      <c r="D73" s="24">
        <f>(Table13456789101112131415161734[[#This Row],[FRA]]-B61)/B61</f>
        <v>9.4117647058823035E-3</v>
      </c>
    </row>
    <row r="74" spans="1:4" x14ac:dyDescent="0.2">
      <c r="A74" s="22">
        <v>35309</v>
      </c>
      <c r="B74" s="85">
        <f>VLOOKUP(A74,Database!$A:$AS,MATCH($B$4,Database!$A$1:$AS$1,0),FALSE)</f>
        <v>94.52</v>
      </c>
      <c r="C74" s="23">
        <f>(Table13456789101112131415161734[[#This Row],[FRA]]-B73)/B73</f>
        <v>1.4833651197287622E-3</v>
      </c>
      <c r="D74" s="24">
        <f>(Table13456789101112131415161734[[#This Row],[FRA]]-B62)/B62</f>
        <v>9.3976932934642828E-3</v>
      </c>
    </row>
    <row r="75" spans="1:4" x14ac:dyDescent="0.2">
      <c r="A75" s="22">
        <v>35339</v>
      </c>
      <c r="B75" s="85">
        <f>VLOOKUP(A75,Database!$A:$AS,MATCH($B$4,Database!$A$1:$AS$1,0),FALSE)</f>
        <v>93.55</v>
      </c>
      <c r="C75" s="23">
        <f>(Table13456789101112131415161734[[#This Row],[FRA]]-B74)/B74</f>
        <v>-1.0262378332628004E-2</v>
      </c>
      <c r="D75" s="24">
        <f>(Table13456789101112131415161734[[#This Row],[FRA]]-B63)/B63</f>
        <v>1.8619337979094007E-2</v>
      </c>
    </row>
    <row r="76" spans="1:4" x14ac:dyDescent="0.2">
      <c r="A76" s="22">
        <v>35370</v>
      </c>
      <c r="B76" s="85">
        <f>VLOOKUP(A76,Database!$A:$AS,MATCH($B$4,Database!$A$1:$AS$1,0),FALSE)</f>
        <v>94.69</v>
      </c>
      <c r="C76" s="23">
        <f>(Table13456789101112131415161734[[#This Row],[FRA]]-B75)/B75</f>
        <v>1.2185996793158745E-2</v>
      </c>
      <c r="D76" s="24">
        <f>(Table13456789101112131415161734[[#This Row],[FRA]]-B64)/B64</f>
        <v>3.1369131902842774E-2</v>
      </c>
    </row>
    <row r="77" spans="1:4" x14ac:dyDescent="0.2">
      <c r="A77" s="22">
        <v>35400</v>
      </c>
      <c r="B77" s="85">
        <f>VLOOKUP(A77,Database!$A:$AS,MATCH($B$4,Database!$A$1:$AS$1,0),FALSE)</f>
        <v>94.85</v>
      </c>
      <c r="C77" s="23">
        <f>(Table13456789101112131415161734[[#This Row],[FRA]]-B76)/B76</f>
        <v>1.6897243637131333E-3</v>
      </c>
      <c r="D77" s="24">
        <f>(Table13456789101112131415161734[[#This Row],[FRA]]-B65)/B65</f>
        <v>1.1517542924176158E-2</v>
      </c>
    </row>
    <row r="78" spans="1:4" x14ac:dyDescent="0.2">
      <c r="A78" s="22">
        <v>35431</v>
      </c>
      <c r="B78" s="85">
        <f>VLOOKUP(A78,Database!$A:$AS,MATCH($B$4,Database!$A$1:$AS$1,0),FALSE)</f>
        <v>94.03</v>
      </c>
      <c r="C78" s="23">
        <f>(Table13456789101112131415161734[[#This Row],[FRA]]-B77)/B77</f>
        <v>-8.6452293094358805E-3</v>
      </c>
      <c r="D78" s="24">
        <f>(Table13456789101112131415161734[[#This Row],[FRA]]-B66)/B66</f>
        <v>1.1836866458624709E-2</v>
      </c>
    </row>
    <row r="79" spans="1:4" x14ac:dyDescent="0.2">
      <c r="A79" s="22">
        <v>35462</v>
      </c>
      <c r="B79" s="85">
        <f>VLOOKUP(A79,Database!$A:$AS,MATCH($B$4,Database!$A$1:$AS$1,0),FALSE)</f>
        <v>94.79</v>
      </c>
      <c r="C79" s="23">
        <f>(Table13456789101112131415161734[[#This Row],[FRA]]-B78)/B78</f>
        <v>8.0825268531320334E-3</v>
      </c>
      <c r="D79" s="24">
        <f>(Table13456789101112131415161734[[#This Row],[FRA]]-B67)/B67</f>
        <v>1.6841879425016172E-2</v>
      </c>
    </row>
    <row r="80" spans="1:4" x14ac:dyDescent="0.2">
      <c r="A80" s="22">
        <v>35490</v>
      </c>
      <c r="B80" s="85">
        <f>VLOOKUP(A80,Database!$A:$AS,MATCH($B$4,Database!$A$1:$AS$1,0),FALSE)</f>
        <v>95.1</v>
      </c>
      <c r="C80" s="23">
        <f>(Table13456789101112131415161734[[#This Row],[FRA]]-B79)/B79</f>
        <v>3.270387171642452E-3</v>
      </c>
      <c r="D80" s="24">
        <f>(Table13456789101112131415161734[[#This Row],[FRA]]-B68)/B68</f>
        <v>1.310322786832843E-2</v>
      </c>
    </row>
    <row r="81" spans="1:4" x14ac:dyDescent="0.2">
      <c r="A81" s="22">
        <v>35521</v>
      </c>
      <c r="B81" s="85">
        <f>VLOOKUP(A81,Database!$A:$AS,MATCH($B$4,Database!$A$1:$AS$1,0),FALSE)</f>
        <v>98.49</v>
      </c>
      <c r="C81" s="23">
        <f>(Table13456789101112131415161734[[#This Row],[FRA]]-B80)/B80</f>
        <v>3.5646687697160895E-2</v>
      </c>
      <c r="D81" s="24">
        <f>(Table13456789101112131415161734[[#This Row],[FRA]]-B69)/B69</f>
        <v>5.9944037882049002E-2</v>
      </c>
    </row>
    <row r="82" spans="1:4" x14ac:dyDescent="0.2">
      <c r="A82" s="22">
        <v>35551</v>
      </c>
      <c r="B82" s="85">
        <f>VLOOKUP(A82,Database!$A:$AS,MATCH($B$4,Database!$A$1:$AS$1,0),FALSE)</f>
        <v>96.66</v>
      </c>
      <c r="C82" s="23">
        <f>(Table13456789101112131415161734[[#This Row],[FRA]]-B81)/B81</f>
        <v>-1.8580566554980183E-2</v>
      </c>
      <c r="D82" s="24">
        <f>(Table13456789101112131415161734[[#This Row],[FRA]]-B70)/B70</f>
        <v>1.9835408313990246E-2</v>
      </c>
    </row>
    <row r="83" spans="1:4" x14ac:dyDescent="0.2">
      <c r="A83" s="22">
        <v>35582</v>
      </c>
      <c r="B83" s="85">
        <f>VLOOKUP(A83,Database!$A:$AS,MATCH($B$4,Database!$A$1:$AS$1,0),FALSE)</f>
        <v>97.37</v>
      </c>
      <c r="C83" s="23">
        <f>(Table13456789101112131415161734[[#This Row],[FRA]]-B82)/B82</f>
        <v>7.3453341609767018E-3</v>
      </c>
      <c r="D83" s="24">
        <f>(Table13456789101112131415161734[[#This Row],[FRA]]-B71)/B71</f>
        <v>3.5410463632496787E-2</v>
      </c>
    </row>
    <row r="84" spans="1:4" x14ac:dyDescent="0.2">
      <c r="A84" s="22">
        <v>35612</v>
      </c>
      <c r="B84" s="85">
        <f>VLOOKUP(A84,Database!$A:$AS,MATCH($B$4,Database!$A$1:$AS$1,0),FALSE)</f>
        <v>97.56</v>
      </c>
      <c r="C84" s="23">
        <f>(Table13456789101112131415161734[[#This Row],[FRA]]-B83)/B83</f>
        <v>1.9513197083290306E-3</v>
      </c>
      <c r="D84" s="24">
        <f>(Table13456789101112131415161734[[#This Row],[FRA]]-B72)/B72</f>
        <v>5.6187073725235438E-2</v>
      </c>
    </row>
    <row r="85" spans="1:4" x14ac:dyDescent="0.2">
      <c r="A85" s="22">
        <v>35643</v>
      </c>
      <c r="B85" s="85">
        <f>VLOOKUP(A85,Database!$A:$AS,MATCH($B$4,Database!$A$1:$AS$1,0),FALSE)</f>
        <v>101.34</v>
      </c>
      <c r="C85" s="23">
        <f>(Table13456789101112131415161734[[#This Row],[FRA]]-B84)/B84</f>
        <v>3.8745387453874548E-2</v>
      </c>
      <c r="D85" s="24">
        <f>(Table13456789101112131415161734[[#This Row],[FRA]]-B73)/B73</f>
        <v>7.3744437380801109E-2</v>
      </c>
    </row>
    <row r="86" spans="1:4" x14ac:dyDescent="0.2">
      <c r="A86" s="22">
        <v>35674</v>
      </c>
      <c r="B86" s="85">
        <f>VLOOKUP(A86,Database!$A:$AS,MATCH($B$4,Database!$A$1:$AS$1,0),FALSE)</f>
        <v>98.94</v>
      </c>
      <c r="C86" s="23">
        <f>(Table13456789101112131415161734[[#This Row],[FRA]]-B85)/B85</f>
        <v>-2.3682652457075248E-2</v>
      </c>
      <c r="D86" s="24">
        <f>(Table13456789101112131415161734[[#This Row],[FRA]]-B74)/B74</f>
        <v>4.6762589928057575E-2</v>
      </c>
    </row>
    <row r="87" spans="1:4" x14ac:dyDescent="0.2">
      <c r="A87" s="22">
        <v>35704</v>
      </c>
      <c r="B87" s="85">
        <f>VLOOKUP(A87,Database!$A:$AS,MATCH($B$4,Database!$A$1:$AS$1,0),FALSE)</f>
        <v>101.42</v>
      </c>
      <c r="C87" s="23">
        <f>(Table13456789101112131415161734[[#This Row],[FRA]]-B86)/B86</f>
        <v>2.5065696381645481E-2</v>
      </c>
      <c r="D87" s="24">
        <f>(Table13456789101112131415161734[[#This Row],[FRA]]-B75)/B75</f>
        <v>8.4126135756280113E-2</v>
      </c>
    </row>
    <row r="88" spans="1:4" x14ac:dyDescent="0.2">
      <c r="A88" s="22">
        <v>35735</v>
      </c>
      <c r="B88" s="85">
        <f>VLOOKUP(A88,Database!$A:$AS,MATCH($B$4,Database!$A$1:$AS$1,0),FALSE)</f>
        <v>99.09</v>
      </c>
      <c r="C88" s="23">
        <f>(Table13456789101112131415161734[[#This Row],[FRA]]-B87)/B87</f>
        <v>-2.2973772431473066E-2</v>
      </c>
      <c r="D88" s="24">
        <f>(Table13456789101112131415161734[[#This Row],[FRA]]-B76)/B76</f>
        <v>4.6467420002112216E-2</v>
      </c>
    </row>
    <row r="89" spans="1:4" x14ac:dyDescent="0.2">
      <c r="A89" s="22">
        <v>35765</v>
      </c>
      <c r="B89" s="85">
        <f>VLOOKUP(A89,Database!$A:$AS,MATCH($B$4,Database!$A$1:$AS$1,0),FALSE)</f>
        <v>101.07</v>
      </c>
      <c r="C89" s="23">
        <f>(Table13456789101112131415161734[[#This Row],[FRA]]-B88)/B88</f>
        <v>1.998183469573105E-2</v>
      </c>
      <c r="D89" s="24">
        <f>(Table13456789101112131415161734[[#This Row],[FRA]]-B77)/B77</f>
        <v>6.5577227200843427E-2</v>
      </c>
    </row>
    <row r="90" spans="1:4" x14ac:dyDescent="0.2">
      <c r="A90" s="22">
        <v>35796</v>
      </c>
      <c r="B90" s="85">
        <f>VLOOKUP(A90,Database!$A:$AS,MATCH($B$4,Database!$A$1:$AS$1,0),FALSE)</f>
        <v>101.07</v>
      </c>
      <c r="C90" s="23">
        <f>(Table13456789101112131415161734[[#This Row],[FRA]]-B89)/B89</f>
        <v>0</v>
      </c>
      <c r="D90" s="24">
        <f>(Table13456789101112131415161734[[#This Row],[FRA]]-B78)/B78</f>
        <v>7.4869722429011937E-2</v>
      </c>
    </row>
    <row r="91" spans="1:4" x14ac:dyDescent="0.2">
      <c r="A91" s="22">
        <v>35827</v>
      </c>
      <c r="B91" s="85">
        <f>VLOOKUP(A91,Database!$A:$AS,MATCH($B$4,Database!$A$1:$AS$1,0),FALSE)</f>
        <v>101.77</v>
      </c>
      <c r="C91" s="23">
        <f>(Table13456789101112131415161734[[#This Row],[FRA]]-B90)/B90</f>
        <v>6.9258929454833569E-3</v>
      </c>
      <c r="D91" s="24">
        <f>(Table13456789101112131415161734[[#This Row],[FRA]]-B79)/B79</f>
        <v>7.3636459542145677E-2</v>
      </c>
    </row>
    <row r="92" spans="1:4" x14ac:dyDescent="0.2">
      <c r="A92" s="22">
        <v>35855</v>
      </c>
      <c r="B92" s="85">
        <f>VLOOKUP(A92,Database!$A:$AS,MATCH($B$4,Database!$A$1:$AS$1,0),FALSE)</f>
        <v>100.57</v>
      </c>
      <c r="C92" s="23">
        <f>(Table13456789101112131415161734[[#This Row],[FRA]]-B91)/B91</f>
        <v>-1.1791294094526903E-2</v>
      </c>
      <c r="D92" s="24">
        <f>(Table13456789101112131415161734[[#This Row],[FRA]]-B80)/B80</f>
        <v>5.7518401682439532E-2</v>
      </c>
    </row>
    <row r="93" spans="1:4" x14ac:dyDescent="0.2">
      <c r="A93" s="22">
        <v>35886</v>
      </c>
      <c r="B93" s="85">
        <f>VLOOKUP(A93,Database!$A:$AS,MATCH($B$4,Database!$A$1:$AS$1,0),FALSE)</f>
        <v>101.87</v>
      </c>
      <c r="C93" s="23">
        <f>(Table13456789101112131415161734[[#This Row],[FRA]]-B92)/B92</f>
        <v>1.2926319976136139E-2</v>
      </c>
      <c r="D93" s="24">
        <f>(Table13456789101112131415161734[[#This Row],[FRA]]-B81)/B81</f>
        <v>3.4318204893897961E-2</v>
      </c>
    </row>
    <row r="94" spans="1:4" x14ac:dyDescent="0.2">
      <c r="A94" s="22">
        <v>35916</v>
      </c>
      <c r="B94" s="85">
        <f>VLOOKUP(A94,Database!$A:$AS,MATCH($B$4,Database!$A$1:$AS$1,0),FALSE)</f>
        <v>103.15</v>
      </c>
      <c r="C94" s="23">
        <f>(Table13456789101112131415161734[[#This Row],[FRA]]-B93)/B93</f>
        <v>1.2565033866692854E-2</v>
      </c>
      <c r="D94" s="24">
        <f>(Table13456789101112131415161734[[#This Row],[FRA]]-B82)/B82</f>
        <v>6.7142561555969468E-2</v>
      </c>
    </row>
    <row r="95" spans="1:4" x14ac:dyDescent="0.2">
      <c r="A95" s="22">
        <v>35947</v>
      </c>
      <c r="B95" s="85">
        <f>VLOOKUP(A95,Database!$A:$AS,MATCH($B$4,Database!$A$1:$AS$1,0),FALSE)</f>
        <v>102.48</v>
      </c>
      <c r="C95" s="23">
        <f>(Table13456789101112131415161734[[#This Row],[FRA]]-B94)/B94</f>
        <v>-6.4953950557440779E-3</v>
      </c>
      <c r="D95" s="24">
        <f>(Table13456789101112131415161734[[#This Row],[FRA]]-B83)/B83</f>
        <v>5.2480230050323498E-2</v>
      </c>
    </row>
    <row r="96" spans="1:4" x14ac:dyDescent="0.2">
      <c r="A96" s="22">
        <v>35977</v>
      </c>
      <c r="B96" s="85">
        <f>VLOOKUP(A96,Database!$A:$AS,MATCH($B$4,Database!$A$1:$AS$1,0),FALSE)</f>
        <v>103.1</v>
      </c>
      <c r="C96" s="23">
        <f>(Table13456789101112131415161734[[#This Row],[FRA]]-B95)/B95</f>
        <v>6.0499609679936601E-3</v>
      </c>
      <c r="D96" s="24">
        <f>(Table13456789101112131415161734[[#This Row],[FRA]]-B84)/B84</f>
        <v>5.6785567855678475E-2</v>
      </c>
    </row>
    <row r="97" spans="1:4" x14ac:dyDescent="0.2">
      <c r="A97" s="22">
        <v>36008</v>
      </c>
      <c r="B97" s="85">
        <f>VLOOKUP(A97,Database!$A:$AS,MATCH($B$4,Database!$A$1:$AS$1,0),FALSE)</f>
        <v>100.48</v>
      </c>
      <c r="C97" s="23">
        <f>(Table13456789101112131415161734[[#This Row],[FRA]]-B96)/B96</f>
        <v>-2.5412221144519791E-2</v>
      </c>
      <c r="D97" s="24">
        <f>(Table13456789101112131415161734[[#This Row],[FRA]]-B85)/B85</f>
        <v>-8.4862837971186045E-3</v>
      </c>
    </row>
    <row r="98" spans="1:4" x14ac:dyDescent="0.2">
      <c r="A98" s="22">
        <v>36039</v>
      </c>
      <c r="B98" s="85">
        <f>VLOOKUP(A98,Database!$A:$AS,MATCH($B$4,Database!$A$1:$AS$1,0),FALSE)</f>
        <v>102.33</v>
      </c>
      <c r="C98" s="23">
        <f>(Table13456789101112131415161734[[#This Row],[FRA]]-B97)/B97</f>
        <v>1.84116242038216E-2</v>
      </c>
      <c r="D98" s="24">
        <f>(Table13456789101112131415161734[[#This Row],[FRA]]-B86)/B86</f>
        <v>3.426318981200728E-2</v>
      </c>
    </row>
    <row r="99" spans="1:4" x14ac:dyDescent="0.2">
      <c r="A99" s="22">
        <v>36069</v>
      </c>
      <c r="B99" s="85">
        <f>VLOOKUP(A99,Database!$A:$AS,MATCH($B$4,Database!$A$1:$AS$1,0),FALSE)</f>
        <v>102.39</v>
      </c>
      <c r="C99" s="23">
        <f>(Table13456789101112131415161734[[#This Row],[FRA]]-B98)/B98</f>
        <v>5.8633831720905183E-4</v>
      </c>
      <c r="D99" s="24">
        <f>(Table13456789101112131415161734[[#This Row],[FRA]]-B87)/B87</f>
        <v>9.564188522973761E-3</v>
      </c>
    </row>
    <row r="100" spans="1:4" x14ac:dyDescent="0.2">
      <c r="A100" s="22">
        <v>36100</v>
      </c>
      <c r="B100" s="85">
        <f>VLOOKUP(A100,Database!$A:$AS,MATCH($B$4,Database!$A$1:$AS$1,0),FALSE)</f>
        <v>102.99</v>
      </c>
      <c r="C100" s="23">
        <f>(Table13456789101112131415161734[[#This Row],[FRA]]-B99)/B99</f>
        <v>5.8599472604746001E-3</v>
      </c>
      <c r="D100" s="24">
        <f>(Table13456789101112131415161734[[#This Row],[FRA]]-B88)/B88</f>
        <v>3.9358159249167336E-2</v>
      </c>
    </row>
    <row r="101" spans="1:4" x14ac:dyDescent="0.2">
      <c r="A101" s="22">
        <v>36130</v>
      </c>
      <c r="B101" s="85">
        <f>VLOOKUP(A101,Database!$A:$AS,MATCH($B$4,Database!$A$1:$AS$1,0),FALSE)</f>
        <v>102.21</v>
      </c>
      <c r="C101" s="23">
        <f>(Table13456789101112131415161734[[#This Row],[FRA]]-B100)/B100</f>
        <v>-7.5735508301776984E-3</v>
      </c>
      <c r="D101" s="24">
        <f>(Table13456789101112131415161734[[#This Row],[FRA]]-B89)/B89</f>
        <v>1.127931136835857E-2</v>
      </c>
    </row>
    <row r="102" spans="1:4" x14ac:dyDescent="0.2">
      <c r="A102" s="22">
        <v>36161</v>
      </c>
      <c r="B102" s="85">
        <f>VLOOKUP(A102,Database!$A:$AS,MATCH($B$4,Database!$A$1:$AS$1,0),FALSE)</f>
        <v>102.49</v>
      </c>
      <c r="C102" s="23">
        <f>(Table13456789101112131415161734[[#This Row],[FRA]]-B101)/B101</f>
        <v>2.7394579786713742E-3</v>
      </c>
      <c r="D102" s="24">
        <f>(Table13456789101112131415161734[[#This Row],[FRA]]-B90)/B90</f>
        <v>1.4049668546551913E-2</v>
      </c>
    </row>
    <row r="103" spans="1:4" x14ac:dyDescent="0.2">
      <c r="A103" s="22">
        <v>36192</v>
      </c>
      <c r="B103" s="85">
        <f>VLOOKUP(A103,Database!$A:$AS,MATCH($B$4,Database!$A$1:$AS$1,0),FALSE)</f>
        <v>102.18</v>
      </c>
      <c r="C103" s="23">
        <f>(Table13456789101112131415161734[[#This Row],[FRA]]-B102)/B102</f>
        <v>-3.0246853351545331E-3</v>
      </c>
      <c r="D103" s="24">
        <f>(Table13456789101112131415161734[[#This Row],[FRA]]-B91)/B91</f>
        <v>4.0286921489634548E-3</v>
      </c>
    </row>
    <row r="104" spans="1:4" x14ac:dyDescent="0.2">
      <c r="A104" s="22">
        <v>36220</v>
      </c>
      <c r="B104" s="85">
        <f>VLOOKUP(A104,Database!$A:$AS,MATCH($B$4,Database!$A$1:$AS$1,0),FALSE)</f>
        <v>102.13</v>
      </c>
      <c r="C104" s="23">
        <f>(Table13456789101112131415161734[[#This Row],[FRA]]-B103)/B103</f>
        <v>-4.893325504013639E-4</v>
      </c>
      <c r="D104" s="24">
        <f>(Table13456789101112131415161734[[#This Row],[FRA]]-B92)/B92</f>
        <v>1.5511583971363253E-2</v>
      </c>
    </row>
    <row r="105" spans="1:4" x14ac:dyDescent="0.2">
      <c r="A105" s="22">
        <v>36251</v>
      </c>
      <c r="B105" s="85">
        <f>VLOOKUP(A105,Database!$A:$AS,MATCH($B$4,Database!$A$1:$AS$1,0),FALSE)</f>
        <v>102.92</v>
      </c>
      <c r="C105" s="23">
        <f>(Table13456789101112131415161734[[#This Row],[FRA]]-B104)/B104</f>
        <v>7.7352394007637942E-3</v>
      </c>
      <c r="D105" s="24">
        <f>(Table13456789101112131415161734[[#This Row],[FRA]]-B93)/B93</f>
        <v>1.0307254343771445E-2</v>
      </c>
    </row>
    <row r="106" spans="1:4" x14ac:dyDescent="0.2">
      <c r="A106" s="22">
        <v>36281</v>
      </c>
      <c r="B106" s="85">
        <f>VLOOKUP(A106,Database!$A:$AS,MATCH($B$4,Database!$A$1:$AS$1,0),FALSE)</f>
        <v>103.35</v>
      </c>
      <c r="C106" s="23">
        <f>(Table13456789101112131415161734[[#This Row],[FRA]]-B105)/B105</f>
        <v>4.1780023319082068E-3</v>
      </c>
      <c r="D106" s="24">
        <f>(Table13456789101112131415161734[[#This Row],[FRA]]-B94)/B94</f>
        <v>1.9389238972369232E-3</v>
      </c>
    </row>
    <row r="107" spans="1:4" x14ac:dyDescent="0.2">
      <c r="A107" s="22">
        <v>36312</v>
      </c>
      <c r="B107" s="85">
        <f>VLOOKUP(A107,Database!$A:$AS,MATCH($B$4,Database!$A$1:$AS$1,0),FALSE)</f>
        <v>104.77</v>
      </c>
      <c r="C107" s="23">
        <f>(Table13456789101112131415161734[[#This Row],[FRA]]-B106)/B106</f>
        <v>1.3739719400096776E-2</v>
      </c>
      <c r="D107" s="24">
        <f>(Table13456789101112131415161734[[#This Row],[FRA]]-B95)/B95</f>
        <v>2.2345823575331693E-2</v>
      </c>
    </row>
    <row r="108" spans="1:4" x14ac:dyDescent="0.2">
      <c r="A108" s="22">
        <v>36342</v>
      </c>
      <c r="B108" s="85">
        <f>VLOOKUP(A108,Database!$A:$AS,MATCH($B$4,Database!$A$1:$AS$1,0),FALSE)</f>
        <v>105.02</v>
      </c>
      <c r="C108" s="23">
        <f>(Table13456789101112131415161734[[#This Row],[FRA]]-B107)/B107</f>
        <v>2.3861792497852441E-3</v>
      </c>
      <c r="D108" s="24">
        <f>(Table13456789101112131415161734[[#This Row],[FRA]]-B96)/B96</f>
        <v>1.8622696411251229E-2</v>
      </c>
    </row>
    <row r="109" spans="1:4" x14ac:dyDescent="0.2">
      <c r="A109" s="22">
        <v>36373</v>
      </c>
      <c r="B109" s="85">
        <f>VLOOKUP(A109,Database!$A:$AS,MATCH($B$4,Database!$A$1:$AS$1,0),FALSE)</f>
        <v>103.04</v>
      </c>
      <c r="C109" s="23">
        <f>(Table13456789101112131415161734[[#This Row],[FRA]]-B108)/B108</f>
        <v>-1.8853551704437154E-2</v>
      </c>
      <c r="D109" s="24">
        <f>(Table13456789101112131415161734[[#This Row],[FRA]]-B97)/B97</f>
        <v>2.5477707006369449E-2</v>
      </c>
    </row>
    <row r="110" spans="1:4" x14ac:dyDescent="0.2">
      <c r="A110" s="22">
        <v>36404</v>
      </c>
      <c r="B110" s="85">
        <f>VLOOKUP(A110,Database!$A:$AS,MATCH($B$4,Database!$A$1:$AS$1,0),FALSE)</f>
        <v>105.87</v>
      </c>
      <c r="C110" s="23">
        <f>(Table13456789101112131415161734[[#This Row],[FRA]]-B109)/B109</f>
        <v>2.7465062111801223E-2</v>
      </c>
      <c r="D110" s="24">
        <f>(Table13456789101112131415161734[[#This Row],[FRA]]-B98)/B98</f>
        <v>3.4593960715332807E-2</v>
      </c>
    </row>
    <row r="111" spans="1:4" x14ac:dyDescent="0.2">
      <c r="A111" s="22">
        <v>36434</v>
      </c>
      <c r="B111" s="85">
        <f>VLOOKUP(A111,Database!$A:$AS,MATCH($B$4,Database!$A$1:$AS$1,0),FALSE)</f>
        <v>107.21</v>
      </c>
      <c r="C111" s="23">
        <f>(Table13456789101112131415161734[[#This Row],[FRA]]-B110)/B110</f>
        <v>1.2657032209313206E-2</v>
      </c>
      <c r="D111" s="24">
        <f>(Table13456789101112131415161734[[#This Row],[FRA]]-B99)/B99</f>
        <v>4.7074909659146333E-2</v>
      </c>
    </row>
    <row r="112" spans="1:4" x14ac:dyDescent="0.2">
      <c r="A112" s="22">
        <v>36465</v>
      </c>
      <c r="B112" s="85">
        <f>VLOOKUP(A112,Database!$A:$AS,MATCH($B$4,Database!$A$1:$AS$1,0),FALSE)</f>
        <v>107.26</v>
      </c>
      <c r="C112" s="23">
        <f>(Table13456789101112131415161734[[#This Row],[FRA]]-B111)/B111</f>
        <v>4.6637440537273921E-4</v>
      </c>
      <c r="D112" s="24">
        <f>(Table13456789101112131415161734[[#This Row],[FRA]]-B100)/B100</f>
        <v>4.1460335954947185E-2</v>
      </c>
    </row>
    <row r="113" spans="1:4" x14ac:dyDescent="0.2">
      <c r="A113" s="22">
        <v>36495</v>
      </c>
      <c r="B113" s="85">
        <f>VLOOKUP(A113,Database!$A:$AS,MATCH($B$4,Database!$A$1:$AS$1,0),FALSE)</f>
        <v>106.36</v>
      </c>
      <c r="C113" s="23">
        <f>(Table13456789101112131415161734[[#This Row],[FRA]]-B112)/B112</f>
        <v>-8.3908260302070267E-3</v>
      </c>
      <c r="D113" s="24">
        <f>(Table13456789101112131415161734[[#This Row],[FRA]]-B101)/B101</f>
        <v>4.0602680755307756E-2</v>
      </c>
    </row>
    <row r="114" spans="1:4" x14ac:dyDescent="0.2">
      <c r="A114" s="22">
        <v>36526</v>
      </c>
      <c r="B114" s="85">
        <f>VLOOKUP(A114,Database!$A:$AS,MATCH($B$4,Database!$A$1:$AS$1,0),FALSE)</f>
        <v>107.12</v>
      </c>
      <c r="C114" s="23">
        <f>(Table13456789101112131415161734[[#This Row],[FRA]]-B113)/B113</f>
        <v>7.1455434373825224E-3</v>
      </c>
      <c r="D114" s="24">
        <f>(Table13456789101112131415161734[[#This Row],[FRA]]-B102)/B102</f>
        <v>4.5175139037955017E-2</v>
      </c>
    </row>
    <row r="115" spans="1:4" x14ac:dyDescent="0.2">
      <c r="A115" s="22">
        <v>36557</v>
      </c>
      <c r="B115" s="85">
        <f>VLOOKUP(A115,Database!$A:$AS,MATCH($B$4,Database!$A$1:$AS$1,0),FALSE)</f>
        <v>107.45</v>
      </c>
      <c r="C115" s="23">
        <f>(Table13456789101112131415161734[[#This Row],[FRA]]-B114)/B114</f>
        <v>3.0806572068707832E-3</v>
      </c>
      <c r="D115" s="24">
        <f>(Table13456789101112131415161734[[#This Row],[FRA]]-B103)/B103</f>
        <v>5.1575650812291991E-2</v>
      </c>
    </row>
    <row r="116" spans="1:4" x14ac:dyDescent="0.2">
      <c r="A116" s="22">
        <v>36586</v>
      </c>
      <c r="B116" s="85">
        <f>VLOOKUP(A116,Database!$A:$AS,MATCH($B$4,Database!$A$1:$AS$1,0),FALSE)</f>
        <v>108.14</v>
      </c>
      <c r="C116" s="23">
        <f>(Table13456789101112131415161734[[#This Row],[FRA]]-B115)/B115</f>
        <v>6.4215914378780619E-3</v>
      </c>
      <c r="D116" s="24">
        <f>(Table13456789101112131415161734[[#This Row],[FRA]]-B104)/B104</f>
        <v>5.8846568099481106E-2</v>
      </c>
    </row>
    <row r="117" spans="1:4" x14ac:dyDescent="0.2">
      <c r="A117" s="22">
        <v>36617</v>
      </c>
      <c r="B117" s="85">
        <f>VLOOKUP(A117,Database!$A:$AS,MATCH($B$4,Database!$A$1:$AS$1,0),FALSE)</f>
        <v>108.76</v>
      </c>
      <c r="C117" s="23">
        <f>(Table13456789101112131415161734[[#This Row],[FRA]]-B116)/B116</f>
        <v>5.7333086739412295E-3</v>
      </c>
      <c r="D117" s="24">
        <f>(Table13456789101112131415161734[[#This Row],[FRA]]-B105)/B105</f>
        <v>5.6743101438010139E-2</v>
      </c>
    </row>
    <row r="118" spans="1:4" x14ac:dyDescent="0.2">
      <c r="A118" s="22">
        <v>36647</v>
      </c>
      <c r="B118" s="85">
        <f>VLOOKUP(A118,Database!$A:$AS,MATCH($B$4,Database!$A$1:$AS$1,0),FALSE)</f>
        <v>110.11</v>
      </c>
      <c r="C118" s="23">
        <f>(Table13456789101112131415161734[[#This Row],[FRA]]-B117)/B117</f>
        <v>1.2412651710187517E-2</v>
      </c>
      <c r="D118" s="24">
        <f>(Table13456789101112131415161734[[#This Row],[FRA]]-B106)/B106</f>
        <v>6.5408805031446596E-2</v>
      </c>
    </row>
    <row r="119" spans="1:4" x14ac:dyDescent="0.2">
      <c r="A119" s="22">
        <v>36678</v>
      </c>
      <c r="B119" s="85">
        <f>VLOOKUP(A119,Database!$A:$AS,MATCH($B$4,Database!$A$1:$AS$1,0),FALSE)</f>
        <v>108.69</v>
      </c>
      <c r="C119" s="23">
        <f>(Table13456789101112131415161734[[#This Row],[FRA]]-B118)/B118</f>
        <v>-1.2896194714376549E-2</v>
      </c>
      <c r="D119" s="24">
        <f>(Table13456789101112131415161734[[#This Row],[FRA]]-B107)/B107</f>
        <v>3.7415290636632639E-2</v>
      </c>
    </row>
    <row r="120" spans="1:4" x14ac:dyDescent="0.2">
      <c r="A120" s="22">
        <v>36708</v>
      </c>
      <c r="B120" s="85">
        <f>VLOOKUP(A120,Database!$A:$AS,MATCH($B$4,Database!$A$1:$AS$1,0),FALSE)</f>
        <v>109.96</v>
      </c>
      <c r="C120" s="23">
        <f>(Table13456789101112131415161734[[#This Row],[FRA]]-B119)/B119</f>
        <v>1.1684607599595142E-2</v>
      </c>
      <c r="D120" s="24">
        <f>(Table13456789101112131415161734[[#This Row],[FRA]]-B108)/B108</f>
        <v>4.7038659302989887E-2</v>
      </c>
    </row>
    <row r="121" spans="1:4" x14ac:dyDescent="0.2">
      <c r="A121" s="22">
        <v>36739</v>
      </c>
      <c r="B121" s="85">
        <f>VLOOKUP(A121,Database!$A:$AS,MATCH($B$4,Database!$A$1:$AS$1,0),FALSE)</f>
        <v>108.97</v>
      </c>
      <c r="C121" s="23">
        <f>(Table13456789101112131415161734[[#This Row],[FRA]]-B120)/B120</f>
        <v>-9.0032739177882404E-3</v>
      </c>
      <c r="D121" s="24">
        <f>(Table13456789101112131415161734[[#This Row],[FRA]]-B109)/B109</f>
        <v>5.7550465838509243E-2</v>
      </c>
    </row>
    <row r="122" spans="1:4" x14ac:dyDescent="0.2">
      <c r="A122" s="22">
        <v>36770</v>
      </c>
      <c r="B122" s="85">
        <f>VLOOKUP(A122,Database!$A:$AS,MATCH($B$4,Database!$A$1:$AS$1,0),FALSE)</f>
        <v>109.26</v>
      </c>
      <c r="C122" s="23">
        <f>(Table13456789101112131415161734[[#This Row],[FRA]]-B121)/B121</f>
        <v>2.661282921905169E-3</v>
      </c>
      <c r="D122" s="24">
        <f>(Table13456789101112131415161734[[#This Row],[FRA]]-B110)/B110</f>
        <v>3.2020402380277702E-2</v>
      </c>
    </row>
    <row r="123" spans="1:4" x14ac:dyDescent="0.2">
      <c r="A123" s="22">
        <v>36800</v>
      </c>
      <c r="B123" s="85">
        <f>VLOOKUP(A123,Database!$A:$AS,MATCH($B$4,Database!$A$1:$AS$1,0),FALSE)</f>
        <v>110.46</v>
      </c>
      <c r="C123" s="23">
        <f>(Table13456789101112131415161734[[#This Row],[FRA]]-B122)/B122</f>
        <v>1.0982976386600665E-2</v>
      </c>
      <c r="D123" s="24">
        <f>(Table13456789101112131415161734[[#This Row],[FRA]]-B111)/B111</f>
        <v>3.0314336349221156E-2</v>
      </c>
    </row>
    <row r="124" spans="1:4" x14ac:dyDescent="0.2">
      <c r="A124" s="22">
        <v>36831</v>
      </c>
      <c r="B124" s="85">
        <f>VLOOKUP(A124,Database!$A:$AS,MATCH($B$4,Database!$A$1:$AS$1,0),FALSE)</f>
        <v>110.25</v>
      </c>
      <c r="C124" s="23">
        <f>(Table13456789101112131415161734[[#This Row],[FRA]]-B123)/B123</f>
        <v>-1.9011406844105898E-3</v>
      </c>
      <c r="D124" s="24">
        <f>(Table13456789101112131415161734[[#This Row],[FRA]]-B112)/B112</f>
        <v>2.7876188700354229E-2</v>
      </c>
    </row>
    <row r="125" spans="1:4" x14ac:dyDescent="0.2">
      <c r="A125" s="22">
        <v>36861</v>
      </c>
      <c r="B125" s="85">
        <f>VLOOKUP(A125,Database!$A:$AS,MATCH($B$4,Database!$A$1:$AS$1,0),FALSE)</f>
        <v>111.22</v>
      </c>
      <c r="C125" s="23">
        <f>(Table13456789101112131415161734[[#This Row],[FRA]]-B124)/B124</f>
        <v>8.7981859410430734E-3</v>
      </c>
      <c r="D125" s="24">
        <f>(Table13456789101112131415161734[[#This Row],[FRA]]-B113)/B113</f>
        <v>4.5693869875893189E-2</v>
      </c>
    </row>
    <row r="126" spans="1:4" x14ac:dyDescent="0.2">
      <c r="A126" s="22">
        <v>36892</v>
      </c>
      <c r="B126" s="85">
        <f>VLOOKUP(A126,Database!$A:$AS,MATCH($B$4,Database!$A$1:$AS$1,0),FALSE)</f>
        <v>110.79</v>
      </c>
      <c r="C126" s="23">
        <f>(Table13456789101112131415161734[[#This Row],[FRA]]-B125)/B125</f>
        <v>-3.8662111131090868E-3</v>
      </c>
      <c r="D126" s="24">
        <f>(Table13456789101112131415161734[[#This Row],[FRA]]-B114)/B114</f>
        <v>3.426064227035102E-2</v>
      </c>
    </row>
    <row r="127" spans="1:4" x14ac:dyDescent="0.2">
      <c r="A127" s="22">
        <v>36923</v>
      </c>
      <c r="B127" s="85">
        <f>VLOOKUP(A127,Database!$A:$AS,MATCH($B$4,Database!$A$1:$AS$1,0),FALSE)</f>
        <v>111.52</v>
      </c>
      <c r="C127" s="23">
        <f>(Table13456789101112131415161734[[#This Row],[FRA]]-B126)/B126</f>
        <v>6.5890423323403712E-3</v>
      </c>
      <c r="D127" s="24">
        <f>(Table13456789101112131415161734[[#This Row],[FRA]]-B115)/B115</f>
        <v>3.787808282922283E-2</v>
      </c>
    </row>
    <row r="128" spans="1:4" x14ac:dyDescent="0.2">
      <c r="A128" s="22">
        <v>36951</v>
      </c>
      <c r="B128" s="85">
        <f>VLOOKUP(A128,Database!$A:$AS,MATCH($B$4,Database!$A$1:$AS$1,0),FALSE)</f>
        <v>111.99</v>
      </c>
      <c r="C128" s="23">
        <f>(Table13456789101112131415161734[[#This Row],[FRA]]-B127)/B127</f>
        <v>4.2144906743184982E-3</v>
      </c>
      <c r="D128" s="24">
        <f>(Table13456789101112131415161734[[#This Row],[FRA]]-B116)/B116</f>
        <v>3.5601997410763773E-2</v>
      </c>
    </row>
    <row r="129" spans="1:4" x14ac:dyDescent="0.2">
      <c r="A129" s="22">
        <v>36982</v>
      </c>
      <c r="B129" s="85">
        <f>VLOOKUP(A129,Database!$A:$AS,MATCH($B$4,Database!$A$1:$AS$1,0),FALSE)</f>
        <v>110.16</v>
      </c>
      <c r="C129" s="23">
        <f>(Table13456789101112131415161734[[#This Row],[FRA]]-B128)/B128</f>
        <v>-1.6340744709349035E-2</v>
      </c>
      <c r="D129" s="24">
        <f>(Table13456789101112131415161734[[#This Row],[FRA]]-B117)/B117</f>
        <v>1.2872379551305548E-2</v>
      </c>
    </row>
    <row r="130" spans="1:4" x14ac:dyDescent="0.2">
      <c r="A130" s="22">
        <v>37012</v>
      </c>
      <c r="B130" s="85">
        <f>VLOOKUP(A130,Database!$A:$AS,MATCH($B$4,Database!$A$1:$AS$1,0),FALSE)</f>
        <v>110.99</v>
      </c>
      <c r="C130" s="23">
        <f>(Table13456789101112131415161734[[#This Row],[FRA]]-B129)/B129</f>
        <v>7.5344952795933038E-3</v>
      </c>
      <c r="D130" s="24">
        <f>(Table13456789101112131415161734[[#This Row],[FRA]]-B118)/B118</f>
        <v>7.9920079920079504E-3</v>
      </c>
    </row>
    <row r="131" spans="1:4" x14ac:dyDescent="0.2">
      <c r="A131" s="22">
        <v>37043</v>
      </c>
      <c r="B131" s="85">
        <f>VLOOKUP(A131,Database!$A:$AS,MATCH($B$4,Database!$A$1:$AS$1,0),FALSE)</f>
        <v>111.02</v>
      </c>
      <c r="C131" s="23">
        <f>(Table13456789101112131415161734[[#This Row],[FRA]]-B130)/B130</f>
        <v>2.7029462113704964E-4</v>
      </c>
      <c r="D131" s="24">
        <f>(Table13456789101112131415161734[[#This Row],[FRA]]-B119)/B119</f>
        <v>2.1437114729965942E-2</v>
      </c>
    </row>
    <row r="132" spans="1:4" x14ac:dyDescent="0.2">
      <c r="A132" s="22">
        <v>37073</v>
      </c>
      <c r="B132" s="85">
        <f>VLOOKUP(A132,Database!$A:$AS,MATCH($B$4,Database!$A$1:$AS$1,0),FALSE)</f>
        <v>109.48</v>
      </c>
      <c r="C132" s="23">
        <f>(Table13456789101112131415161734[[#This Row],[FRA]]-B131)/B131</f>
        <v>-1.387137452711216E-2</v>
      </c>
      <c r="D132" s="24">
        <f>(Table13456789101112131415161734[[#This Row],[FRA]]-B120)/B120</f>
        <v>-4.3652237177154397E-3</v>
      </c>
    </row>
    <row r="133" spans="1:4" x14ac:dyDescent="0.2">
      <c r="A133" s="22">
        <v>37104</v>
      </c>
      <c r="B133" s="85">
        <f>VLOOKUP(A133,Database!$A:$AS,MATCH($B$4,Database!$A$1:$AS$1,0),FALSE)</f>
        <v>112.19</v>
      </c>
      <c r="C133" s="23">
        <f>(Table13456789101112131415161734[[#This Row],[FRA]]-B132)/B132</f>
        <v>2.4753379612714593E-2</v>
      </c>
      <c r="D133" s="24">
        <f>(Table13456789101112131415161734[[#This Row],[FRA]]-B121)/B121</f>
        <v>2.9549417270808471E-2</v>
      </c>
    </row>
    <row r="134" spans="1:4" x14ac:dyDescent="0.2">
      <c r="A134" s="22">
        <v>37135</v>
      </c>
      <c r="B134" s="85">
        <f>VLOOKUP(A134,Database!$A:$AS,MATCH($B$4,Database!$A$1:$AS$1,0),FALSE)</f>
        <v>110.49</v>
      </c>
      <c r="C134" s="23">
        <f>(Table13456789101112131415161734[[#This Row],[FRA]]-B133)/B133</f>
        <v>-1.5152865674302548E-2</v>
      </c>
      <c r="D134" s="24">
        <f>(Table13456789101112131415161734[[#This Row],[FRA]]-B122)/B122</f>
        <v>1.1257550796265694E-2</v>
      </c>
    </row>
    <row r="135" spans="1:4" x14ac:dyDescent="0.2">
      <c r="A135" s="22">
        <v>37165</v>
      </c>
      <c r="B135" s="85">
        <f>VLOOKUP(A135,Database!$A:$AS,MATCH($B$4,Database!$A$1:$AS$1,0),FALSE)</f>
        <v>109.73</v>
      </c>
      <c r="C135" s="23">
        <f>(Table13456789101112131415161734[[#This Row],[FRA]]-B134)/B134</f>
        <v>-6.8784505385101908E-3</v>
      </c>
      <c r="D135" s="24">
        <f>(Table13456789101112131415161734[[#This Row],[FRA]]-B123)/B123</f>
        <v>-6.6087271410464402E-3</v>
      </c>
    </row>
    <row r="136" spans="1:4" x14ac:dyDescent="0.2">
      <c r="A136" s="22">
        <v>37196</v>
      </c>
      <c r="B136" s="85">
        <f>VLOOKUP(A136,Database!$A:$AS,MATCH($B$4,Database!$A$1:$AS$1,0),FALSE)</f>
        <v>108.49</v>
      </c>
      <c r="C136" s="23">
        <f>(Table13456789101112131415161734[[#This Row],[FRA]]-B135)/B135</f>
        <v>-1.1300464777180434E-2</v>
      </c>
      <c r="D136" s="24">
        <f>(Table13456789101112131415161734[[#This Row],[FRA]]-B124)/B124</f>
        <v>-1.5963718820861724E-2</v>
      </c>
    </row>
    <row r="137" spans="1:4" x14ac:dyDescent="0.2">
      <c r="A137" s="22">
        <v>37226</v>
      </c>
      <c r="B137" s="85">
        <f>VLOOKUP(A137,Database!$A:$AS,MATCH($B$4,Database!$A$1:$AS$1,0),FALSE)</f>
        <v>109.19</v>
      </c>
      <c r="C137" s="23">
        <f>(Table13456789101112131415161734[[#This Row],[FRA]]-B136)/B136</f>
        <v>6.4522075767352097E-3</v>
      </c>
      <c r="D137" s="24">
        <f>(Table13456789101112131415161734[[#This Row],[FRA]]-B125)/B125</f>
        <v>-1.8252112929329267E-2</v>
      </c>
    </row>
    <row r="138" spans="1:4" x14ac:dyDescent="0.2">
      <c r="A138" s="22">
        <v>37257</v>
      </c>
      <c r="B138" s="85">
        <f>VLOOKUP(A138,Database!$A:$AS,MATCH($B$4,Database!$A$1:$AS$1,0),FALSE)</f>
        <v>109.15</v>
      </c>
      <c r="C138" s="23">
        <f>(Table13456789101112131415161734[[#This Row],[FRA]]-B137)/B137</f>
        <v>-3.6633391336195664E-4</v>
      </c>
      <c r="D138" s="24">
        <f>(Table13456789101112131415161734[[#This Row],[FRA]]-B126)/B126</f>
        <v>-1.4802780034299129E-2</v>
      </c>
    </row>
    <row r="139" spans="1:4" x14ac:dyDescent="0.2">
      <c r="A139" s="22">
        <v>37288</v>
      </c>
      <c r="B139" s="85">
        <f>VLOOKUP(A139,Database!$A:$AS,MATCH($B$4,Database!$A$1:$AS$1,0),FALSE)</f>
        <v>109.53</v>
      </c>
      <c r="C139" s="23">
        <f>(Table13456789101112131415161734[[#This Row],[FRA]]-B138)/B138</f>
        <v>3.4814475492441176E-3</v>
      </c>
      <c r="D139" s="24">
        <f>(Table13456789101112131415161734[[#This Row],[FRA]]-B127)/B127</f>
        <v>-1.7844332855093212E-2</v>
      </c>
    </row>
    <row r="140" spans="1:4" x14ac:dyDescent="0.2">
      <c r="A140" s="22">
        <v>37316</v>
      </c>
      <c r="B140" s="85">
        <f>VLOOKUP(A140,Database!$A:$AS,MATCH($B$4,Database!$A$1:$AS$1,0),FALSE)</f>
        <v>110.07</v>
      </c>
      <c r="C140" s="23">
        <f>(Table13456789101112131415161734[[#This Row],[FRA]]-B139)/B139</f>
        <v>4.9301561216104446E-3</v>
      </c>
      <c r="D140" s="24">
        <f>(Table13456789101112131415161734[[#This Row],[FRA]]-B128)/B128</f>
        <v>-1.7144387891776067E-2</v>
      </c>
    </row>
    <row r="141" spans="1:4" x14ac:dyDescent="0.2">
      <c r="A141" s="22">
        <v>37347</v>
      </c>
      <c r="B141" s="85">
        <f>VLOOKUP(A141,Database!$A:$AS,MATCH($B$4,Database!$A$1:$AS$1,0),FALSE)</f>
        <v>110.76</v>
      </c>
      <c r="C141" s="23">
        <f>(Table13456789101112131415161734[[#This Row],[FRA]]-B140)/B140</f>
        <v>6.2687380757700736E-3</v>
      </c>
      <c r="D141" s="24">
        <f>(Table13456789101112131415161734[[#This Row],[FRA]]-B129)/B129</f>
        <v>5.4466230936819947E-3</v>
      </c>
    </row>
    <row r="142" spans="1:4" x14ac:dyDescent="0.2">
      <c r="A142" s="22">
        <v>37377</v>
      </c>
      <c r="B142" s="85">
        <f>VLOOKUP(A142,Database!$A:$AS,MATCH($B$4,Database!$A$1:$AS$1,0),FALSE)</f>
        <v>109.81</v>
      </c>
      <c r="C142" s="23">
        <f>(Table13456789101112131415161734[[#This Row],[FRA]]-B141)/B141</f>
        <v>-8.5771036475262089E-3</v>
      </c>
      <c r="D142" s="24">
        <f>(Table13456789101112131415161734[[#This Row],[FRA]]-B130)/B130</f>
        <v>-1.0631588431390148E-2</v>
      </c>
    </row>
    <row r="143" spans="1:4" x14ac:dyDescent="0.2">
      <c r="A143" s="22">
        <v>37408</v>
      </c>
      <c r="B143" s="85">
        <f>VLOOKUP(A143,Database!$A:$AS,MATCH($B$4,Database!$A$1:$AS$1,0),FALSE)</f>
        <v>109.61</v>
      </c>
      <c r="C143" s="23">
        <f>(Table13456789101112131415161734[[#This Row],[FRA]]-B142)/B142</f>
        <v>-1.8213277479282655E-3</v>
      </c>
      <c r="D143" s="24">
        <f>(Table13456789101112131415161734[[#This Row],[FRA]]-B131)/B131</f>
        <v>-1.2700414339758572E-2</v>
      </c>
    </row>
    <row r="144" spans="1:4" x14ac:dyDescent="0.2">
      <c r="A144" s="22">
        <v>37438</v>
      </c>
      <c r="B144" s="85">
        <f>VLOOKUP(A144,Database!$A:$AS,MATCH($B$4,Database!$A$1:$AS$1,0),FALSE)</f>
        <v>108.49</v>
      </c>
      <c r="C144" s="23">
        <f>(Table13456789101112131415161734[[#This Row],[FRA]]-B143)/B143</f>
        <v>-1.0218045798741032E-2</v>
      </c>
      <c r="D144" s="24">
        <f>(Table13456789101112131415161734[[#This Row],[FRA]]-B132)/B132</f>
        <v>-9.0427475337962106E-3</v>
      </c>
    </row>
    <row r="145" spans="1:4" x14ac:dyDescent="0.2">
      <c r="A145" s="22">
        <v>37469</v>
      </c>
      <c r="B145" s="85">
        <f>VLOOKUP(A145,Database!$A:$AS,MATCH($B$4,Database!$A$1:$AS$1,0),FALSE)</f>
        <v>110.52</v>
      </c>
      <c r="C145" s="23">
        <f>(Table13456789101112131415161734[[#This Row],[FRA]]-B144)/B144</f>
        <v>1.8711401972532044E-2</v>
      </c>
      <c r="D145" s="24">
        <f>(Table13456789101112131415161734[[#This Row],[FRA]]-B133)/B133</f>
        <v>-1.4885462162403081E-2</v>
      </c>
    </row>
    <row r="146" spans="1:4" x14ac:dyDescent="0.2">
      <c r="A146" s="22">
        <v>37500</v>
      </c>
      <c r="B146" s="85">
        <f>VLOOKUP(A146,Database!$A:$AS,MATCH($B$4,Database!$A$1:$AS$1,0),FALSE)</f>
        <v>109.15</v>
      </c>
      <c r="C146" s="23">
        <f>(Table13456789101112131415161734[[#This Row],[FRA]]-B145)/B145</f>
        <v>-1.2395946435034296E-2</v>
      </c>
      <c r="D146" s="24">
        <f>(Table13456789101112131415161734[[#This Row],[FRA]]-B134)/B134</f>
        <v>-1.2127794370531172E-2</v>
      </c>
    </row>
    <row r="147" spans="1:4" x14ac:dyDescent="0.2">
      <c r="A147" s="22">
        <v>37530</v>
      </c>
      <c r="B147" s="85">
        <f>VLOOKUP(A147,Database!$A:$AS,MATCH($B$4,Database!$A$1:$AS$1,0),FALSE)</f>
        <v>108.29</v>
      </c>
      <c r="C147" s="23">
        <f>(Table13456789101112131415161734[[#This Row],[FRA]]-B146)/B146</f>
        <v>-7.8790655061841443E-3</v>
      </c>
      <c r="D147" s="24">
        <f>(Table13456789101112131415161734[[#This Row],[FRA]]-B135)/B135</f>
        <v>-1.3123120386402967E-2</v>
      </c>
    </row>
    <row r="148" spans="1:4" x14ac:dyDescent="0.2">
      <c r="A148" s="22">
        <v>37561</v>
      </c>
      <c r="B148" s="85">
        <f>VLOOKUP(A148,Database!$A:$AS,MATCH($B$4,Database!$A$1:$AS$1,0),FALSE)</f>
        <v>109.34</v>
      </c>
      <c r="C148" s="23">
        <f>(Table13456789101112131415161734[[#This Row],[FRA]]-B147)/B147</f>
        <v>9.6961861667743746E-3</v>
      </c>
      <c r="D148" s="24">
        <f>(Table13456789101112131415161734[[#This Row],[FRA]]-B136)/B136</f>
        <v>7.8348234860356591E-3</v>
      </c>
    </row>
    <row r="149" spans="1:4" x14ac:dyDescent="0.2">
      <c r="A149" s="22">
        <v>37591</v>
      </c>
      <c r="B149" s="85">
        <f>VLOOKUP(A149,Database!$A:$AS,MATCH($B$4,Database!$A$1:$AS$1,0),FALSE)</f>
        <v>106.75</v>
      </c>
      <c r="C149" s="23">
        <f>(Table13456789101112131415161734[[#This Row],[FRA]]-B148)/B148</f>
        <v>-2.3687580025608224E-2</v>
      </c>
      <c r="D149" s="24">
        <f>(Table13456789101112131415161734[[#This Row],[FRA]]-B137)/B137</f>
        <v>-2.2346368715083779E-2</v>
      </c>
    </row>
    <row r="150" spans="1:4" x14ac:dyDescent="0.2">
      <c r="A150" s="22">
        <v>37622</v>
      </c>
      <c r="B150" s="85">
        <f>VLOOKUP(A150,Database!$A:$AS,MATCH($B$4,Database!$A$1:$AS$1,0),FALSE)</f>
        <v>108.95</v>
      </c>
      <c r="C150" s="23">
        <f>(Table13456789101112131415161734[[#This Row],[FRA]]-B149)/B149</f>
        <v>2.0608899297423915E-2</v>
      </c>
      <c r="D150" s="24">
        <f>(Table13456789101112131415161734[[#This Row],[FRA]]-B138)/B138</f>
        <v>-1.8323408153916889E-3</v>
      </c>
    </row>
    <row r="151" spans="1:4" x14ac:dyDescent="0.2">
      <c r="A151" s="22">
        <v>37653</v>
      </c>
      <c r="B151" s="85">
        <f>VLOOKUP(A151,Database!$A:$AS,MATCH($B$4,Database!$A$1:$AS$1,0),FALSE)</f>
        <v>109.95</v>
      </c>
      <c r="C151" s="23">
        <f>(Table13456789101112131415161734[[#This Row],[FRA]]-B150)/B150</f>
        <v>9.1785222579164744E-3</v>
      </c>
      <c r="D151" s="24">
        <f>(Table13456789101112131415161734[[#This Row],[FRA]]-B139)/B139</f>
        <v>3.8345658723637514E-3</v>
      </c>
    </row>
    <row r="152" spans="1:4" x14ac:dyDescent="0.2">
      <c r="A152" s="22">
        <v>37681</v>
      </c>
      <c r="B152" s="85">
        <f>VLOOKUP(A152,Database!$A:$AS,MATCH($B$4,Database!$A$1:$AS$1,0),FALSE)</f>
        <v>109.08</v>
      </c>
      <c r="C152" s="23">
        <f>(Table13456789101112131415161734[[#This Row],[FRA]]-B151)/B151</f>
        <v>-7.9126875852660716E-3</v>
      </c>
      <c r="D152" s="24">
        <f>(Table13456789101112131415161734[[#This Row],[FRA]]-B140)/B140</f>
        <v>-8.9942763695829465E-3</v>
      </c>
    </row>
    <row r="153" spans="1:4" x14ac:dyDescent="0.2">
      <c r="A153" s="22">
        <v>37712</v>
      </c>
      <c r="B153" s="85">
        <f>VLOOKUP(A153,Database!$A:$AS,MATCH($B$4,Database!$A$1:$AS$1,0),FALSE)</f>
        <v>109.11</v>
      </c>
      <c r="C153" s="23">
        <f>(Table13456789101112131415161734[[#This Row],[FRA]]-B152)/B152</f>
        <v>2.7502750275028548E-4</v>
      </c>
      <c r="D153" s="24">
        <f>(Table13456789101112131415161734[[#This Row],[FRA]]-B141)/B141</f>
        <v>-1.4897074756229737E-2</v>
      </c>
    </row>
    <row r="154" spans="1:4" x14ac:dyDescent="0.2">
      <c r="A154" s="22">
        <v>37742</v>
      </c>
      <c r="B154" s="85">
        <f>VLOOKUP(A154,Database!$A:$AS,MATCH($B$4,Database!$A$1:$AS$1,0),FALSE)</f>
        <v>106.52</v>
      </c>
      <c r="C154" s="23">
        <f>(Table13456789101112131415161734[[#This Row],[FRA]]-B153)/B153</f>
        <v>-2.3737512601961355E-2</v>
      </c>
      <c r="D154" s="24">
        <f>(Table13456789101112131415161734[[#This Row],[FRA]]-B142)/B142</f>
        <v>-2.9960841453419599E-2</v>
      </c>
    </row>
    <row r="155" spans="1:4" x14ac:dyDescent="0.2">
      <c r="A155" s="22">
        <v>37773</v>
      </c>
      <c r="B155" s="85">
        <f>VLOOKUP(A155,Database!$A:$AS,MATCH($B$4,Database!$A$1:$AS$1,0),FALSE)</f>
        <v>106.26</v>
      </c>
      <c r="C155" s="23">
        <f>(Table13456789101112131415161734[[#This Row],[FRA]]-B154)/B154</f>
        <v>-2.4408561772436247E-3</v>
      </c>
      <c r="D155" s="24">
        <f>(Table13456789101112131415161734[[#This Row],[FRA]]-B143)/B143</f>
        <v>-3.0562904844448447E-2</v>
      </c>
    </row>
    <row r="156" spans="1:4" x14ac:dyDescent="0.2">
      <c r="A156" s="22">
        <v>37803</v>
      </c>
      <c r="B156" s="85">
        <f>VLOOKUP(A156,Database!$A:$AS,MATCH($B$4,Database!$A$1:$AS$1,0),FALSE)</f>
        <v>108.12</v>
      </c>
      <c r="C156" s="23">
        <f>(Table13456789101112131415161734[[#This Row],[FRA]]-B155)/B155</f>
        <v>1.7504234895539237E-2</v>
      </c>
      <c r="D156" s="24">
        <f>(Table13456789101112131415161734[[#This Row],[FRA]]-B144)/B144</f>
        <v>-3.4104525762742219E-3</v>
      </c>
    </row>
    <row r="157" spans="1:4" x14ac:dyDescent="0.2">
      <c r="A157" s="22">
        <v>37834</v>
      </c>
      <c r="B157" s="85">
        <f>VLOOKUP(A157,Database!$A:$AS,MATCH($B$4,Database!$A$1:$AS$1,0),FALSE)</f>
        <v>107.69</v>
      </c>
      <c r="C157" s="23">
        <f>(Table13456789101112131415161734[[#This Row],[FRA]]-B156)/B156</f>
        <v>-3.9770625231225192E-3</v>
      </c>
      <c r="D157" s="24">
        <f>(Table13456789101112131415161734[[#This Row],[FRA]]-B145)/B145</f>
        <v>-2.5606225117625756E-2</v>
      </c>
    </row>
    <row r="158" spans="1:4" x14ac:dyDescent="0.2">
      <c r="A158" s="22">
        <v>37865</v>
      </c>
      <c r="B158" s="85">
        <f>VLOOKUP(A158,Database!$A:$AS,MATCH($B$4,Database!$A$1:$AS$1,0),FALSE)</f>
        <v>107.28</v>
      </c>
      <c r="C158" s="23">
        <f>(Table13456789101112131415161734[[#This Row],[FRA]]-B157)/B157</f>
        <v>-3.807224440523694E-3</v>
      </c>
      <c r="D158" s="24">
        <f>(Table13456789101112131415161734[[#This Row],[FRA]]-B146)/B146</f>
        <v>-1.7132386623912088E-2</v>
      </c>
    </row>
    <row r="159" spans="1:4" x14ac:dyDescent="0.2">
      <c r="A159" s="22">
        <v>37895</v>
      </c>
      <c r="B159" s="85">
        <f>VLOOKUP(A159,Database!$A:$AS,MATCH($B$4,Database!$A$1:$AS$1,0),FALSE)</f>
        <v>109.88</v>
      </c>
      <c r="C159" s="23">
        <f>(Table13456789101112131415161734[[#This Row],[FRA]]-B158)/B158</f>
        <v>2.4235645041014116E-2</v>
      </c>
      <c r="D159" s="24">
        <f>(Table13456789101112131415161734[[#This Row],[FRA]]-B147)/B147</f>
        <v>1.4682796195401138E-2</v>
      </c>
    </row>
    <row r="160" spans="1:4" x14ac:dyDescent="0.2">
      <c r="A160" s="22">
        <v>37926</v>
      </c>
      <c r="B160" s="85">
        <f>VLOOKUP(A160,Database!$A:$AS,MATCH($B$4,Database!$A$1:$AS$1,0),FALSE)</f>
        <v>107.75</v>
      </c>
      <c r="C160" s="23">
        <f>(Table13456789101112131415161734[[#This Row],[FRA]]-B159)/B159</f>
        <v>-1.9384783400072766E-2</v>
      </c>
      <c r="D160" s="24">
        <f>(Table13456789101112131415161734[[#This Row],[FRA]]-B148)/B148</f>
        <v>-1.4541796231937108E-2</v>
      </c>
    </row>
    <row r="161" spans="1:4" x14ac:dyDescent="0.2">
      <c r="A161" s="22">
        <v>37956</v>
      </c>
      <c r="B161" s="85">
        <f>VLOOKUP(A161,Database!$A:$AS,MATCH($B$4,Database!$A$1:$AS$1,0),FALSE)</f>
        <v>108.4</v>
      </c>
      <c r="C161" s="23">
        <f>(Table13456789101112131415161734[[#This Row],[FRA]]-B160)/B160</f>
        <v>6.0324825986079415E-3</v>
      </c>
      <c r="D161" s="24">
        <f>(Table13456789101112131415161734[[#This Row],[FRA]]-B149)/B149</f>
        <v>1.5456674473067969E-2</v>
      </c>
    </row>
    <row r="162" spans="1:4" x14ac:dyDescent="0.2">
      <c r="A162" s="22">
        <v>37987</v>
      </c>
      <c r="B162" s="85">
        <f>VLOOKUP(A162,Database!$A:$AS,MATCH($B$4,Database!$A$1:$AS$1,0),FALSE)</f>
        <v>109.1</v>
      </c>
      <c r="C162" s="23">
        <f>(Table13456789101112131415161734[[#This Row],[FRA]]-B161)/B161</f>
        <v>6.4575645756456516E-3</v>
      </c>
      <c r="D162" s="24">
        <f>(Table13456789101112131415161734[[#This Row],[FRA]]-B150)/B150</f>
        <v>1.376778338687393E-3</v>
      </c>
    </row>
    <row r="163" spans="1:4" x14ac:dyDescent="0.2">
      <c r="A163" s="22">
        <v>38018</v>
      </c>
      <c r="B163" s="85">
        <f>VLOOKUP(A163,Database!$A:$AS,MATCH($B$4,Database!$A$1:$AS$1,0),FALSE)</f>
        <v>110.19</v>
      </c>
      <c r="C163" s="23">
        <f>(Table13456789101112131415161734[[#This Row],[FRA]]-B162)/B162</f>
        <v>9.9908340971586011E-3</v>
      </c>
      <c r="D163" s="24">
        <f>(Table13456789101112131415161734[[#This Row],[FRA]]-B151)/B151</f>
        <v>2.182810368349203E-3</v>
      </c>
    </row>
    <row r="164" spans="1:4" x14ac:dyDescent="0.2">
      <c r="A164" s="22">
        <v>38047</v>
      </c>
      <c r="B164" s="85">
        <f>VLOOKUP(A164,Database!$A:$AS,MATCH($B$4,Database!$A$1:$AS$1,0),FALSE)</f>
        <v>109.83</v>
      </c>
      <c r="C164" s="23">
        <f>(Table13456789101112131415161734[[#This Row],[FRA]]-B163)/B163</f>
        <v>-3.2670841274162758E-3</v>
      </c>
      <c r="D164" s="24">
        <f>(Table13456789101112131415161734[[#This Row],[FRA]]-B152)/B152</f>
        <v>6.8756875687568759E-3</v>
      </c>
    </row>
    <row r="165" spans="1:4" x14ac:dyDescent="0.2">
      <c r="A165" s="22">
        <v>38078</v>
      </c>
      <c r="B165" s="85">
        <f>VLOOKUP(A165,Database!$A:$AS,MATCH($B$4,Database!$A$1:$AS$1,0),FALSE)</f>
        <v>109.86</v>
      </c>
      <c r="C165" s="23">
        <f>(Table13456789101112131415161734[[#This Row],[FRA]]-B164)/B164</f>
        <v>2.7314941272877296E-4</v>
      </c>
      <c r="D165" s="24">
        <f>(Table13456789101112131415161734[[#This Row],[FRA]]-B153)/B153</f>
        <v>6.8737970855100358E-3</v>
      </c>
    </row>
    <row r="166" spans="1:4" x14ac:dyDescent="0.2">
      <c r="A166" s="22">
        <v>38108</v>
      </c>
      <c r="B166" s="85">
        <f>VLOOKUP(A166,Database!$A:$AS,MATCH($B$4,Database!$A$1:$AS$1,0),FALSE)</f>
        <v>109.26</v>
      </c>
      <c r="C166" s="23">
        <f>(Table13456789101112131415161734[[#This Row],[FRA]]-B165)/B165</f>
        <v>-5.4614964500272556E-3</v>
      </c>
      <c r="D166" s="24">
        <f>(Table13456789101112131415161734[[#This Row],[FRA]]-B154)/B154</f>
        <v>2.5722868944799186E-2</v>
      </c>
    </row>
    <row r="167" spans="1:4" x14ac:dyDescent="0.2">
      <c r="A167" s="22">
        <v>38139</v>
      </c>
      <c r="B167" s="85">
        <f>VLOOKUP(A167,Database!$A:$AS,MATCH($B$4,Database!$A$1:$AS$1,0),FALSE)</f>
        <v>110.32</v>
      </c>
      <c r="C167" s="23">
        <f>(Table13456789101112131415161734[[#This Row],[FRA]]-B166)/B166</f>
        <v>9.7016291414972356E-3</v>
      </c>
      <c r="D167" s="24">
        <f>(Table13456789101112131415161734[[#This Row],[FRA]]-B155)/B155</f>
        <v>3.8208168642951137E-2</v>
      </c>
    </row>
    <row r="168" spans="1:4" x14ac:dyDescent="0.2">
      <c r="A168" s="22">
        <v>38169</v>
      </c>
      <c r="B168" s="85">
        <f>VLOOKUP(A168,Database!$A:$AS,MATCH($B$4,Database!$A$1:$AS$1,0),FALSE)</f>
        <v>110.78</v>
      </c>
      <c r="C168" s="23">
        <f>(Table13456789101112131415161734[[#This Row],[FRA]]-B167)/B167</f>
        <v>4.1696881798405361E-3</v>
      </c>
      <c r="D168" s="24">
        <f>(Table13456789101112131415161734[[#This Row],[FRA]]-B156)/B156</f>
        <v>2.4602293747687722E-2</v>
      </c>
    </row>
    <row r="169" spans="1:4" x14ac:dyDescent="0.2">
      <c r="A169" s="22">
        <v>38200</v>
      </c>
      <c r="B169" s="85">
        <f>VLOOKUP(A169,Database!$A:$AS,MATCH($B$4,Database!$A$1:$AS$1,0),FALSE)</f>
        <v>106.87</v>
      </c>
      <c r="C169" s="23">
        <f>(Table13456789101112131415161734[[#This Row],[FRA]]-B168)/B168</f>
        <v>-3.5295179635313201E-2</v>
      </c>
      <c r="D169" s="24">
        <f>(Table13456789101112131415161734[[#This Row],[FRA]]-B157)/B157</f>
        <v>-7.614448881047388E-3</v>
      </c>
    </row>
    <row r="170" spans="1:4" x14ac:dyDescent="0.2">
      <c r="A170" s="22">
        <v>38231</v>
      </c>
      <c r="B170" s="85">
        <f>VLOOKUP(A170,Database!$A:$AS,MATCH($B$4,Database!$A$1:$AS$1,0),FALSE)</f>
        <v>110.61</v>
      </c>
      <c r="C170" s="23">
        <f>(Table13456789101112131415161734[[#This Row],[FRA]]-B169)/B169</f>
        <v>3.499578927669126E-2</v>
      </c>
      <c r="D170" s="24">
        <f>(Table13456789101112131415161734[[#This Row],[FRA]]-B158)/B158</f>
        <v>3.1040268456375822E-2</v>
      </c>
    </row>
    <row r="171" spans="1:4" x14ac:dyDescent="0.2">
      <c r="A171" s="22">
        <v>38261</v>
      </c>
      <c r="B171" s="85">
        <f>VLOOKUP(A171,Database!$A:$AS,MATCH($B$4,Database!$A$1:$AS$1,0),FALSE)</f>
        <v>111.44</v>
      </c>
      <c r="C171" s="23">
        <f>(Table13456789101112131415161734[[#This Row],[FRA]]-B170)/B170</f>
        <v>7.5038423289033387E-3</v>
      </c>
      <c r="D171" s="24">
        <f>(Table13456789101112131415161734[[#This Row],[FRA]]-B159)/B159</f>
        <v>1.4197306152166021E-2</v>
      </c>
    </row>
    <row r="172" spans="1:4" x14ac:dyDescent="0.2">
      <c r="A172" s="22">
        <v>38292</v>
      </c>
      <c r="B172" s="85">
        <f>VLOOKUP(A172,Database!$A:$AS,MATCH($B$4,Database!$A$1:$AS$1,0),FALSE)</f>
        <v>109.59</v>
      </c>
      <c r="C172" s="23">
        <f>(Table13456789101112131415161734[[#This Row],[FRA]]-B171)/B171</f>
        <v>-1.660086145010763E-2</v>
      </c>
      <c r="D172" s="24">
        <f>(Table13456789101112131415161734[[#This Row],[FRA]]-B160)/B160</f>
        <v>1.7076566125290054E-2</v>
      </c>
    </row>
    <row r="173" spans="1:4" x14ac:dyDescent="0.2">
      <c r="A173" s="22">
        <v>38322</v>
      </c>
      <c r="B173" s="85">
        <f>VLOOKUP(A173,Database!$A:$AS,MATCH($B$4,Database!$A$1:$AS$1,0),FALSE)</f>
        <v>109.82</v>
      </c>
      <c r="C173" s="23">
        <f>(Table13456789101112131415161734[[#This Row],[FRA]]-B172)/B172</f>
        <v>2.0987316360980908E-3</v>
      </c>
      <c r="D173" s="24">
        <f>(Table13456789101112131415161734[[#This Row],[FRA]]-B161)/B161</f>
        <v>1.3099630996309846E-2</v>
      </c>
    </row>
    <row r="174" spans="1:4" x14ac:dyDescent="0.2">
      <c r="A174" s="22">
        <v>38353</v>
      </c>
      <c r="B174" s="85">
        <f>VLOOKUP(A174,Database!$A:$AS,MATCH($B$4,Database!$A$1:$AS$1,0),FALSE)</f>
        <v>111.62</v>
      </c>
      <c r="C174" s="23">
        <f>(Table13456789101112131415161734[[#This Row],[FRA]]-B173)/B173</f>
        <v>1.6390457111637328E-2</v>
      </c>
      <c r="D174" s="24">
        <f>(Table13456789101112131415161734[[#This Row],[FRA]]-B162)/B162</f>
        <v>2.3098075160403395E-2</v>
      </c>
    </row>
    <row r="175" spans="1:4" x14ac:dyDescent="0.2">
      <c r="A175" s="22">
        <v>38384</v>
      </c>
      <c r="B175" s="85">
        <f>VLOOKUP(A175,Database!$A:$AS,MATCH($B$4,Database!$A$1:$AS$1,0),FALSE)</f>
        <v>110.35</v>
      </c>
      <c r="C175" s="23">
        <f>(Table13456789101112131415161734[[#This Row],[FRA]]-B174)/B174</f>
        <v>-1.1377889267156514E-2</v>
      </c>
      <c r="D175" s="24">
        <f>(Table13456789101112131415161734[[#This Row],[FRA]]-B163)/B163</f>
        <v>1.4520373899627606E-3</v>
      </c>
    </row>
    <row r="176" spans="1:4" x14ac:dyDescent="0.2">
      <c r="A176" s="22">
        <v>38412</v>
      </c>
      <c r="B176" s="85">
        <f>VLOOKUP(A176,Database!$A:$AS,MATCH($B$4,Database!$A$1:$AS$1,0),FALSE)</f>
        <v>107.96</v>
      </c>
      <c r="C176" s="23">
        <f>(Table13456789101112131415161734[[#This Row],[FRA]]-B175)/B175</f>
        <v>-2.165835976438605E-2</v>
      </c>
      <c r="D176" s="24">
        <f>(Table13456789101112131415161734[[#This Row],[FRA]]-B164)/B164</f>
        <v>-1.7026313393426244E-2</v>
      </c>
    </row>
    <row r="177" spans="1:4" x14ac:dyDescent="0.2">
      <c r="A177" s="22">
        <v>38443</v>
      </c>
      <c r="B177" s="85">
        <f>VLOOKUP(A177,Database!$A:$AS,MATCH($B$4,Database!$A$1:$AS$1,0),FALSE)</f>
        <v>110.73</v>
      </c>
      <c r="C177" s="23">
        <f>(Table13456789101112131415161734[[#This Row],[FRA]]-B176)/B176</f>
        <v>2.5657650981845224E-2</v>
      </c>
      <c r="D177" s="24">
        <f>(Table13456789101112131415161734[[#This Row],[FRA]]-B165)/B165</f>
        <v>7.9191698525396381E-3</v>
      </c>
    </row>
    <row r="178" spans="1:4" x14ac:dyDescent="0.2">
      <c r="A178" s="22">
        <v>38473</v>
      </c>
      <c r="B178" s="85">
        <f>VLOOKUP(A178,Database!$A:$AS,MATCH($B$4,Database!$A$1:$AS$1,0),FALSE)</f>
        <v>109.54</v>
      </c>
      <c r="C178" s="23">
        <f>(Table13456789101112131415161734[[#This Row],[FRA]]-B177)/B177</f>
        <v>-1.0746861735753614E-2</v>
      </c>
      <c r="D178" s="24">
        <f>(Table13456789101112131415161734[[#This Row],[FRA]]-B166)/B166</f>
        <v>2.5626944902068564E-3</v>
      </c>
    </row>
    <row r="179" spans="1:4" x14ac:dyDescent="0.2">
      <c r="A179" s="22">
        <v>38504</v>
      </c>
      <c r="B179" s="85">
        <f>VLOOKUP(A179,Database!$A:$AS,MATCH($B$4,Database!$A$1:$AS$1,0),FALSE)</f>
        <v>109.45</v>
      </c>
      <c r="C179" s="23">
        <f>(Table13456789101112131415161734[[#This Row],[FRA]]-B178)/B178</f>
        <v>-8.2161767390910535E-4</v>
      </c>
      <c r="D179" s="24">
        <f>(Table13456789101112131415161734[[#This Row],[FRA]]-B167)/B167</f>
        <v>-7.8861493836112247E-3</v>
      </c>
    </row>
    <row r="180" spans="1:4" x14ac:dyDescent="0.2">
      <c r="A180" s="22">
        <v>38534</v>
      </c>
      <c r="B180" s="85">
        <f>VLOOKUP(A180,Database!$A:$AS,MATCH($B$4,Database!$A$1:$AS$1,0),FALSE)</f>
        <v>109.1</v>
      </c>
      <c r="C180" s="23">
        <f>(Table13456789101112131415161734[[#This Row],[FRA]]-B179)/B179</f>
        <v>-3.1978072179077981E-3</v>
      </c>
      <c r="D180" s="24">
        <f>(Table13456789101112131415161734[[#This Row],[FRA]]-B168)/B168</f>
        <v>-1.5165192272973521E-2</v>
      </c>
    </row>
    <row r="181" spans="1:4" x14ac:dyDescent="0.2">
      <c r="A181" s="22">
        <v>38565</v>
      </c>
      <c r="B181" s="85">
        <f>VLOOKUP(A181,Database!$A:$AS,MATCH($B$4,Database!$A$1:$AS$1,0),FALSE)</f>
        <v>108.51</v>
      </c>
      <c r="C181" s="23">
        <f>(Table13456789101112131415161734[[#This Row],[FRA]]-B180)/B180</f>
        <v>-5.4078826764435307E-3</v>
      </c>
      <c r="D181" s="24">
        <f>(Table13456789101112131415161734[[#This Row],[FRA]]-B169)/B169</f>
        <v>1.5345747169458225E-2</v>
      </c>
    </row>
    <row r="182" spans="1:4" x14ac:dyDescent="0.2">
      <c r="A182" s="22">
        <v>38596</v>
      </c>
      <c r="B182" s="85">
        <f>VLOOKUP(A182,Database!$A:$AS,MATCH($B$4,Database!$A$1:$AS$1,0),FALSE)</f>
        <v>111.25</v>
      </c>
      <c r="C182" s="23">
        <f>(Table13456789101112131415161734[[#This Row],[FRA]]-B181)/B181</f>
        <v>2.5251128928209333E-2</v>
      </c>
      <c r="D182" s="24">
        <f>(Table13456789101112131415161734[[#This Row],[FRA]]-B170)/B170</f>
        <v>5.7860952897568086E-3</v>
      </c>
    </row>
    <row r="183" spans="1:4" x14ac:dyDescent="0.2">
      <c r="A183" s="22">
        <v>38626</v>
      </c>
      <c r="B183" s="85">
        <f>VLOOKUP(A183,Database!$A:$AS,MATCH($B$4,Database!$A$1:$AS$1,0),FALSE)</f>
        <v>107.98</v>
      </c>
      <c r="C183" s="23">
        <f>(Table13456789101112131415161734[[#This Row],[FRA]]-B182)/B182</f>
        <v>-2.9393258426966256E-2</v>
      </c>
      <c r="D183" s="24">
        <f>(Table13456789101112131415161734[[#This Row],[FRA]]-B171)/B171</f>
        <v>-3.1048097631012149E-2</v>
      </c>
    </row>
    <row r="184" spans="1:4" x14ac:dyDescent="0.2">
      <c r="A184" s="22">
        <v>38657</v>
      </c>
      <c r="B184" s="85">
        <f>VLOOKUP(A184,Database!$A:$AS,MATCH($B$4,Database!$A$1:$AS$1,0),FALSE)</f>
        <v>112.32</v>
      </c>
      <c r="C184" s="23">
        <f>(Table13456789101112131415161734[[#This Row],[FRA]]-B183)/B183</f>
        <v>4.0192628264493324E-2</v>
      </c>
      <c r="D184" s="24">
        <f>(Table13456789101112131415161734[[#This Row],[FRA]]-B172)/B172</f>
        <v>2.4911032028469657E-2</v>
      </c>
    </row>
    <row r="185" spans="1:4" x14ac:dyDescent="0.2">
      <c r="A185" s="22">
        <v>38687</v>
      </c>
      <c r="B185" s="85">
        <f>VLOOKUP(A185,Database!$A:$AS,MATCH($B$4,Database!$A$1:$AS$1,0),FALSE)</f>
        <v>110.97</v>
      </c>
      <c r="C185" s="23">
        <f>(Table13456789101112131415161734[[#This Row],[FRA]]-B184)/B184</f>
        <v>-1.201923076923072E-2</v>
      </c>
      <c r="D185" s="24">
        <f>(Table13456789101112131415161734[[#This Row],[FRA]]-B173)/B173</f>
        <v>1.0471680932434946E-2</v>
      </c>
    </row>
    <row r="186" spans="1:4" x14ac:dyDescent="0.2">
      <c r="A186" s="22">
        <v>38718</v>
      </c>
      <c r="B186" s="85">
        <f>VLOOKUP(A186,Database!$A:$AS,MATCH($B$4,Database!$A$1:$AS$1,0),FALSE)</f>
        <v>110.24</v>
      </c>
      <c r="C186" s="23">
        <f>(Table13456789101112131415161734[[#This Row],[FRA]]-B185)/B185</f>
        <v>-6.5783545102280254E-3</v>
      </c>
      <c r="D186" s="24">
        <f>(Table13456789101112131415161734[[#This Row],[FRA]]-B174)/B174</f>
        <v>-1.236337573911494E-2</v>
      </c>
    </row>
    <row r="187" spans="1:4" x14ac:dyDescent="0.2">
      <c r="A187" s="22">
        <v>38749</v>
      </c>
      <c r="B187" s="85">
        <f>VLOOKUP(A187,Database!$A:$AS,MATCH($B$4,Database!$A$1:$AS$1,0),FALSE)</f>
        <v>109.51</v>
      </c>
      <c r="C187" s="23">
        <f>(Table13456789101112131415161734[[#This Row],[FRA]]-B186)/B186</f>
        <v>-6.6219158200289353E-3</v>
      </c>
      <c r="D187" s="24">
        <f>(Table13456789101112131415161734[[#This Row],[FRA]]-B175)/B175</f>
        <v>-7.6121431807883028E-3</v>
      </c>
    </row>
    <row r="188" spans="1:4" x14ac:dyDescent="0.2">
      <c r="A188" s="22">
        <v>38777</v>
      </c>
      <c r="B188" s="85">
        <f>VLOOKUP(A188,Database!$A:$AS,MATCH($B$4,Database!$A$1:$AS$1,0),FALSE)</f>
        <v>111.53</v>
      </c>
      <c r="C188" s="23">
        <f>(Table13456789101112131415161734[[#This Row],[FRA]]-B187)/B187</f>
        <v>1.8445804036161043E-2</v>
      </c>
      <c r="D188" s="24">
        <f>(Table13456789101112131415161734[[#This Row],[FRA]]-B176)/B176</f>
        <v>3.3067802889959315E-2</v>
      </c>
    </row>
    <row r="189" spans="1:4" x14ac:dyDescent="0.2">
      <c r="A189" s="22">
        <v>38808</v>
      </c>
      <c r="B189" s="85">
        <f>VLOOKUP(A189,Database!$A:$AS,MATCH($B$4,Database!$A$1:$AS$1,0),FALSE)</f>
        <v>110.97</v>
      </c>
      <c r="C189" s="23">
        <f>(Table13456789101112131415161734[[#This Row],[FRA]]-B188)/B188</f>
        <v>-5.0210705639738389E-3</v>
      </c>
      <c r="D189" s="24">
        <f>(Table13456789101112131415161734[[#This Row],[FRA]]-B177)/B177</f>
        <v>2.1674342996477456E-3</v>
      </c>
    </row>
    <row r="190" spans="1:4" x14ac:dyDescent="0.2">
      <c r="A190" s="22">
        <v>38838</v>
      </c>
      <c r="B190" s="85">
        <f>VLOOKUP(A190,Database!$A:$AS,MATCH($B$4,Database!$A$1:$AS$1,0),FALSE)</f>
        <v>112.74</v>
      </c>
      <c r="C190" s="23">
        <f>(Table13456789101112131415161734[[#This Row],[FRA]]-B189)/B189</f>
        <v>1.5950256826169198E-2</v>
      </c>
      <c r="D190" s="24">
        <f>(Table13456789101112131415161734[[#This Row],[FRA]]-B178)/B178</f>
        <v>2.9213072850100316E-2</v>
      </c>
    </row>
    <row r="191" spans="1:4" x14ac:dyDescent="0.2">
      <c r="A191" s="22">
        <v>38869</v>
      </c>
      <c r="B191" s="85">
        <f>VLOOKUP(A191,Database!$A:$AS,MATCH($B$4,Database!$A$1:$AS$1,0),FALSE)</f>
        <v>112.55</v>
      </c>
      <c r="C191" s="23">
        <f>(Table13456789101112131415161734[[#This Row],[FRA]]-B190)/B190</f>
        <v>-1.6852935958843154E-3</v>
      </c>
      <c r="D191" s="24">
        <f>(Table13456789101112131415161734[[#This Row],[FRA]]-B179)/B179</f>
        <v>2.8323435358611187E-2</v>
      </c>
    </row>
    <row r="192" spans="1:4" x14ac:dyDescent="0.2">
      <c r="A192" s="22">
        <v>38899</v>
      </c>
      <c r="B192" s="85">
        <f>VLOOKUP(A192,Database!$A:$AS,MATCH($B$4,Database!$A$1:$AS$1,0),FALSE)</f>
        <v>111</v>
      </c>
      <c r="C192" s="23">
        <f>(Table13456789101112131415161734[[#This Row],[FRA]]-B191)/B191</f>
        <v>-1.3771657041314946E-2</v>
      </c>
      <c r="D192" s="24">
        <f>(Table13456789101112131415161734[[#This Row],[FRA]]-B180)/B180</f>
        <v>1.7415215398716828E-2</v>
      </c>
    </row>
    <row r="193" spans="1:4" x14ac:dyDescent="0.2">
      <c r="A193" s="22">
        <v>38930</v>
      </c>
      <c r="B193" s="85">
        <f>VLOOKUP(A193,Database!$A:$AS,MATCH($B$4,Database!$A$1:$AS$1,0),FALSE)</f>
        <v>110.26</v>
      </c>
      <c r="C193" s="23">
        <f>(Table13456789101112131415161734[[#This Row],[FRA]]-B192)/B192</f>
        <v>-6.6666666666666203E-3</v>
      </c>
      <c r="D193" s="24">
        <f>(Table13456789101112131415161734[[#This Row],[FRA]]-B181)/B181</f>
        <v>1.6127545848308909E-2</v>
      </c>
    </row>
    <row r="194" spans="1:4" x14ac:dyDescent="0.2">
      <c r="A194" s="22">
        <v>38961</v>
      </c>
      <c r="B194" s="85">
        <f>VLOOKUP(A194,Database!$A:$AS,MATCH($B$4,Database!$A$1:$AS$1,0),FALSE)</f>
        <v>111.95</v>
      </c>
      <c r="C194" s="23">
        <f>(Table13456789101112131415161734[[#This Row],[FRA]]-B193)/B193</f>
        <v>1.5327407944857587E-2</v>
      </c>
      <c r="D194" s="24">
        <f>(Table13456789101112131415161734[[#This Row],[FRA]]-B182)/B182</f>
        <v>6.2921348314606993E-3</v>
      </c>
    </row>
    <row r="195" spans="1:4" x14ac:dyDescent="0.2">
      <c r="A195" s="22">
        <v>38991</v>
      </c>
      <c r="B195" s="85">
        <f>VLOOKUP(A195,Database!$A:$AS,MATCH($B$4,Database!$A$1:$AS$1,0),FALSE)</f>
        <v>111.03</v>
      </c>
      <c r="C195" s="23">
        <f>(Table13456789101112131415161734[[#This Row],[FRA]]-B194)/B194</f>
        <v>-8.2179544439482059E-3</v>
      </c>
      <c r="D195" s="24">
        <f>(Table13456789101112131415161734[[#This Row],[FRA]]-B183)/B183</f>
        <v>2.8245971476199269E-2</v>
      </c>
    </row>
    <row r="196" spans="1:4" x14ac:dyDescent="0.2">
      <c r="A196" s="22">
        <v>39022</v>
      </c>
      <c r="B196" s="85">
        <f>VLOOKUP(A196,Database!$A:$AS,MATCH($B$4,Database!$A$1:$AS$1,0),FALSE)</f>
        <v>110.4</v>
      </c>
      <c r="C196" s="23">
        <f>(Table13456789101112131415161734[[#This Row],[FRA]]-B195)/B195</f>
        <v>-5.6741421237502965E-3</v>
      </c>
      <c r="D196" s="24">
        <f>(Table13456789101112131415161734[[#This Row],[FRA]]-B184)/B184</f>
        <v>-1.7094017094016985E-2</v>
      </c>
    </row>
    <row r="197" spans="1:4" x14ac:dyDescent="0.2">
      <c r="A197" s="22">
        <v>39052</v>
      </c>
      <c r="B197" s="85">
        <f>VLOOKUP(A197,Database!$A:$AS,MATCH($B$4,Database!$A$1:$AS$1,0),FALSE)</f>
        <v>112.27</v>
      </c>
      <c r="C197" s="23">
        <f>(Table13456789101112131415161734[[#This Row],[FRA]]-B196)/B196</f>
        <v>1.6938405797101361E-2</v>
      </c>
      <c r="D197" s="24">
        <f>(Table13456789101112131415161734[[#This Row],[FRA]]-B185)/B185</f>
        <v>1.1714877894926531E-2</v>
      </c>
    </row>
    <row r="198" spans="1:4" x14ac:dyDescent="0.2">
      <c r="A198" s="22">
        <v>39083</v>
      </c>
      <c r="B198" s="85">
        <f>VLOOKUP(A198,Database!$A:$AS,MATCH($B$4,Database!$A$1:$AS$1,0),FALSE)</f>
        <v>111</v>
      </c>
      <c r="C198" s="23">
        <f>(Table13456789101112131415161734[[#This Row],[FRA]]-B197)/B197</f>
        <v>-1.1312015676494131E-2</v>
      </c>
      <c r="D198" s="24">
        <f>(Table13456789101112131415161734[[#This Row],[FRA]]-B186)/B186</f>
        <v>6.8940493468795825E-3</v>
      </c>
    </row>
    <row r="199" spans="1:4" x14ac:dyDescent="0.2">
      <c r="A199" s="22">
        <v>39114</v>
      </c>
      <c r="B199" s="85">
        <f>VLOOKUP(A199,Database!$A:$AS,MATCH($B$4,Database!$A$1:$AS$1,0),FALSE)</f>
        <v>112.02</v>
      </c>
      <c r="C199" s="23">
        <f>(Table13456789101112131415161734[[#This Row],[FRA]]-B198)/B198</f>
        <v>9.1891891891891526E-3</v>
      </c>
      <c r="D199" s="24">
        <f>(Table13456789101112131415161734[[#This Row],[FRA]]-B187)/B187</f>
        <v>2.2920281252853537E-2</v>
      </c>
    </row>
    <row r="200" spans="1:4" x14ac:dyDescent="0.2">
      <c r="A200" s="22">
        <v>39142</v>
      </c>
      <c r="B200" s="85">
        <f>VLOOKUP(A200,Database!$A:$AS,MATCH($B$4,Database!$A$1:$AS$1,0),FALSE)</f>
        <v>112.87</v>
      </c>
      <c r="C200" s="23">
        <f>(Table13456789101112131415161734[[#This Row],[FRA]]-B199)/B199</f>
        <v>7.587930726656031E-3</v>
      </c>
      <c r="D200" s="24">
        <f>(Table13456789101112131415161734[[#This Row],[FRA]]-B188)/B188</f>
        <v>1.2014704563794526E-2</v>
      </c>
    </row>
    <row r="201" spans="1:4" x14ac:dyDescent="0.2">
      <c r="A201" s="22">
        <v>39173</v>
      </c>
      <c r="B201" s="85">
        <f>VLOOKUP(A201,Database!$A:$AS,MATCH($B$4,Database!$A$1:$AS$1,0),FALSE)</f>
        <v>111.02</v>
      </c>
      <c r="C201" s="23">
        <f>(Table13456789101112131415161734[[#This Row],[FRA]]-B200)/B200</f>
        <v>-1.6390537786834487E-2</v>
      </c>
      <c r="D201" s="24">
        <f>(Table13456789101112131415161734[[#This Row],[FRA]]-B189)/B189</f>
        <v>4.5057222672791888E-4</v>
      </c>
    </row>
    <row r="202" spans="1:4" x14ac:dyDescent="0.2">
      <c r="A202" s="22">
        <v>39203</v>
      </c>
      <c r="B202" s="85">
        <f>VLOOKUP(A202,Database!$A:$AS,MATCH($B$4,Database!$A$1:$AS$1,0),FALSE)</f>
        <v>113.68</v>
      </c>
      <c r="C202" s="23">
        <f>(Table13456789101112131415161734[[#This Row],[FRA]]-B201)/B201</f>
        <v>2.3959646910466682E-2</v>
      </c>
      <c r="D202" s="24">
        <f>(Table13456789101112131415161734[[#This Row],[FRA]]-B190)/B190</f>
        <v>8.3377683164805039E-3</v>
      </c>
    </row>
    <row r="203" spans="1:4" x14ac:dyDescent="0.2">
      <c r="A203" s="22">
        <v>39234</v>
      </c>
      <c r="B203" s="85">
        <f>VLOOKUP(A203,Database!$A:$AS,MATCH($B$4,Database!$A$1:$AS$1,0),FALSE)</f>
        <v>113.24</v>
      </c>
      <c r="C203" s="23">
        <f>(Table13456789101112131415161734[[#This Row],[FRA]]-B202)/B202</f>
        <v>-3.8705137227305762E-3</v>
      </c>
      <c r="D203" s="24">
        <f>(Table13456789101112131415161734[[#This Row],[FRA]]-B191)/B191</f>
        <v>6.1306086183918057E-3</v>
      </c>
    </row>
    <row r="204" spans="1:4" x14ac:dyDescent="0.2">
      <c r="A204" s="22">
        <v>39264</v>
      </c>
      <c r="B204" s="85">
        <f>VLOOKUP(A204,Database!$A:$AS,MATCH($B$4,Database!$A$1:$AS$1,0),FALSE)</f>
        <v>113.38</v>
      </c>
      <c r="C204" s="23">
        <f>(Table13456789101112131415161734[[#This Row],[FRA]]-B203)/B203</f>
        <v>1.2363122571529546E-3</v>
      </c>
      <c r="D204" s="24">
        <f>(Table13456789101112131415161734[[#This Row],[FRA]]-B192)/B192</f>
        <v>2.1441441441441399E-2</v>
      </c>
    </row>
    <row r="205" spans="1:4" x14ac:dyDescent="0.2">
      <c r="A205" s="22">
        <v>39295</v>
      </c>
      <c r="B205" s="85">
        <f>VLOOKUP(A205,Database!$A:$AS,MATCH($B$4,Database!$A$1:$AS$1,0),FALSE)</f>
        <v>114.05</v>
      </c>
      <c r="C205" s="23">
        <f>(Table13456789101112131415161734[[#This Row],[FRA]]-B204)/B204</f>
        <v>5.9093314517551752E-3</v>
      </c>
      <c r="D205" s="24">
        <f>(Table13456789101112131415161734[[#This Row],[FRA]]-B193)/B193</f>
        <v>3.4373299473970539E-2</v>
      </c>
    </row>
    <row r="206" spans="1:4" x14ac:dyDescent="0.2">
      <c r="A206" s="22">
        <v>39326</v>
      </c>
      <c r="B206" s="85">
        <f>VLOOKUP(A206,Database!$A:$AS,MATCH($B$4,Database!$A$1:$AS$1,0),FALSE)</f>
        <v>111.44</v>
      </c>
      <c r="C206" s="23">
        <f>(Table13456789101112131415161734[[#This Row],[FRA]]-B205)/B205</f>
        <v>-2.2884699693117048E-2</v>
      </c>
      <c r="D206" s="24">
        <f>(Table13456789101112131415161734[[#This Row],[FRA]]-B194)/B194</f>
        <v>-4.555605180884369E-3</v>
      </c>
    </row>
    <row r="207" spans="1:4" x14ac:dyDescent="0.2">
      <c r="A207" s="22">
        <v>39356</v>
      </c>
      <c r="B207" s="85">
        <f>VLOOKUP(A207,Database!$A:$AS,MATCH($B$4,Database!$A$1:$AS$1,0),FALSE)</f>
        <v>113.98</v>
      </c>
      <c r="C207" s="23">
        <f>(Table13456789101112131415161734[[#This Row],[FRA]]-B206)/B206</f>
        <v>2.279253409906682E-2</v>
      </c>
      <c r="D207" s="24">
        <f>(Table13456789101112131415161734[[#This Row],[FRA]]-B195)/B195</f>
        <v>2.6569395658830972E-2</v>
      </c>
    </row>
    <row r="208" spans="1:4" x14ac:dyDescent="0.2">
      <c r="A208" s="22">
        <v>39387</v>
      </c>
      <c r="B208" s="85">
        <f>VLOOKUP(A208,Database!$A:$AS,MATCH($B$4,Database!$A$1:$AS$1,0),FALSE)</f>
        <v>111.98</v>
      </c>
      <c r="C208" s="23">
        <f>(Table13456789101112131415161734[[#This Row],[FRA]]-B207)/B207</f>
        <v>-1.754693805930865E-2</v>
      </c>
      <c r="D208" s="24">
        <f>(Table13456789101112131415161734[[#This Row],[FRA]]-B196)/B196</f>
        <v>1.4311594202898535E-2</v>
      </c>
    </row>
    <row r="209" spans="1:4" x14ac:dyDescent="0.2">
      <c r="A209" s="22">
        <v>39417</v>
      </c>
      <c r="B209" s="85">
        <f>VLOOKUP(A209,Database!$A:$AS,MATCH($B$4,Database!$A$1:$AS$1,0),FALSE)</f>
        <v>112.16</v>
      </c>
      <c r="C209" s="23">
        <f>(Table13456789101112131415161734[[#This Row],[FRA]]-B208)/B208</f>
        <v>1.6074298981960404E-3</v>
      </c>
      <c r="D209" s="24">
        <f>(Table13456789101112131415161734[[#This Row],[FRA]]-B197)/B197</f>
        <v>-9.7978088536563148E-4</v>
      </c>
    </row>
    <row r="210" spans="1:4" x14ac:dyDescent="0.2">
      <c r="A210" s="22">
        <v>39448</v>
      </c>
      <c r="B210" s="85">
        <f>VLOOKUP(A210,Database!$A:$AS,MATCH($B$4,Database!$A$1:$AS$1,0),FALSE)</f>
        <v>113.18</v>
      </c>
      <c r="C210" s="23">
        <f>(Table13456789101112131415161734[[#This Row],[FRA]]-B209)/B209</f>
        <v>9.0941512125535858E-3</v>
      </c>
      <c r="D210" s="24">
        <f>(Table13456789101112131415161734[[#This Row],[FRA]]-B198)/B198</f>
        <v>1.9639639639639703E-2</v>
      </c>
    </row>
    <row r="211" spans="1:4" x14ac:dyDescent="0.2">
      <c r="A211" s="22">
        <v>39479</v>
      </c>
      <c r="B211" s="85">
        <f>VLOOKUP(A211,Database!$A:$AS,MATCH($B$4,Database!$A$1:$AS$1,0),FALSE)</f>
        <v>114.18</v>
      </c>
      <c r="C211" s="23">
        <f>(Table13456789101112131415161734[[#This Row],[FRA]]-B210)/B210</f>
        <v>8.8354833009365603E-3</v>
      </c>
      <c r="D211" s="24">
        <f>(Table13456789101112131415161734[[#This Row],[FRA]]-B199)/B199</f>
        <v>1.9282271023031698E-2</v>
      </c>
    </row>
    <row r="212" spans="1:4" x14ac:dyDescent="0.2">
      <c r="A212" s="22">
        <v>39508</v>
      </c>
      <c r="B212" s="85">
        <f>VLOOKUP(A212,Database!$A:$AS,MATCH($B$4,Database!$A$1:$AS$1,0),FALSE)</f>
        <v>112.86</v>
      </c>
      <c r="C212" s="23">
        <f>(Table13456789101112131415161734[[#This Row],[FRA]]-B211)/B211</f>
        <v>-1.1560693641618561E-2</v>
      </c>
      <c r="D212" s="24">
        <f>(Table13456789101112131415161734[[#This Row],[FRA]]-B200)/B200</f>
        <v>-8.8597501550501603E-5</v>
      </c>
    </row>
    <row r="213" spans="1:4" x14ac:dyDescent="0.2">
      <c r="A213" s="22">
        <v>39539</v>
      </c>
      <c r="B213" s="85">
        <f>VLOOKUP(A213,Database!$A:$AS,MATCH($B$4,Database!$A$1:$AS$1,0),FALSE)</f>
        <v>115.29</v>
      </c>
      <c r="C213" s="23">
        <f>(Table13456789101112131415161734[[#This Row],[FRA]]-B212)/B212</f>
        <v>2.153110047846896E-2</v>
      </c>
      <c r="D213" s="24">
        <f>(Table13456789101112131415161734[[#This Row],[FRA]]-B201)/B201</f>
        <v>3.8461538461538554E-2</v>
      </c>
    </row>
    <row r="214" spans="1:4" x14ac:dyDescent="0.2">
      <c r="A214" s="22">
        <v>39569</v>
      </c>
      <c r="B214" s="85">
        <f>VLOOKUP(A214,Database!$A:$AS,MATCH($B$4,Database!$A$1:$AS$1,0),FALSE)</f>
        <v>109.87</v>
      </c>
      <c r="C214" s="23">
        <f>(Table13456789101112131415161734[[#This Row],[FRA]]-B213)/B213</f>
        <v>-4.7011883077456858E-2</v>
      </c>
      <c r="D214" s="24">
        <f>(Table13456789101112131415161734[[#This Row],[FRA]]-B202)/B202</f>
        <v>-3.3515130190007056E-2</v>
      </c>
    </row>
    <row r="215" spans="1:4" x14ac:dyDescent="0.2">
      <c r="A215" s="22">
        <v>39600</v>
      </c>
      <c r="B215" s="85">
        <f>VLOOKUP(A215,Database!$A:$AS,MATCH($B$4,Database!$A$1:$AS$1,0),FALSE)</f>
        <v>109.55</v>
      </c>
      <c r="C215" s="23">
        <f>(Table13456789101112131415161734[[#This Row],[FRA]]-B214)/B214</f>
        <v>-2.9125329935378846E-3</v>
      </c>
      <c r="D215" s="24">
        <f>(Table13456789101112131415161734[[#This Row],[FRA]]-B203)/B203</f>
        <v>-3.2585658777817009E-2</v>
      </c>
    </row>
    <row r="216" spans="1:4" x14ac:dyDescent="0.2">
      <c r="A216" s="22">
        <v>39630</v>
      </c>
      <c r="B216" s="85">
        <f>VLOOKUP(A216,Database!$A:$AS,MATCH($B$4,Database!$A$1:$AS$1,0),FALSE)</f>
        <v>110.35</v>
      </c>
      <c r="C216" s="23">
        <f>(Table13456789101112131415161734[[#This Row],[FRA]]-B215)/B215</f>
        <v>7.3026015518028037E-3</v>
      </c>
      <c r="D216" s="24">
        <f>(Table13456789101112131415161734[[#This Row],[FRA]]-B204)/B204</f>
        <v>-2.672428999823603E-2</v>
      </c>
    </row>
    <row r="217" spans="1:4" x14ac:dyDescent="0.2">
      <c r="A217" s="22">
        <v>39661</v>
      </c>
      <c r="B217" s="85">
        <f>VLOOKUP(A217,Database!$A:$AS,MATCH($B$4,Database!$A$1:$AS$1,0),FALSE)</f>
        <v>108.84</v>
      </c>
      <c r="C217" s="23">
        <f>(Table13456789101112131415161734[[#This Row],[FRA]]-B216)/B216</f>
        <v>-1.3683733574988591E-2</v>
      </c>
      <c r="D217" s="24">
        <f>(Table13456789101112131415161734[[#This Row],[FRA]]-B205)/B205</f>
        <v>-4.5681718544497971E-2</v>
      </c>
    </row>
    <row r="218" spans="1:4" x14ac:dyDescent="0.2">
      <c r="A218" s="22">
        <v>39692</v>
      </c>
      <c r="B218" s="85">
        <f>VLOOKUP(A218,Database!$A:$AS,MATCH($B$4,Database!$A$1:$AS$1,0),FALSE)</f>
        <v>108.38</v>
      </c>
      <c r="C218" s="23">
        <f>(Table13456789101112131415161734[[#This Row],[FRA]]-B217)/B217</f>
        <v>-4.2263873575891942E-3</v>
      </c>
      <c r="D218" s="24">
        <f>(Table13456789101112131415161734[[#This Row],[FRA]]-B206)/B206</f>
        <v>-2.7458722182340294E-2</v>
      </c>
    </row>
    <row r="219" spans="1:4" x14ac:dyDescent="0.2">
      <c r="A219" s="22">
        <v>39722</v>
      </c>
      <c r="B219" s="85">
        <f>VLOOKUP(A219,Database!$A:$AS,MATCH($B$4,Database!$A$1:$AS$1,0),FALSE)</f>
        <v>106.34</v>
      </c>
      <c r="C219" s="23">
        <f>(Table13456789101112131415161734[[#This Row],[FRA]]-B218)/B218</f>
        <v>-1.88226610075659E-2</v>
      </c>
      <c r="D219" s="24">
        <f>(Table13456789101112131415161734[[#This Row],[FRA]]-B207)/B207</f>
        <v>-6.7029303386559047E-2</v>
      </c>
    </row>
    <row r="220" spans="1:4" x14ac:dyDescent="0.2">
      <c r="A220" s="22">
        <v>39753</v>
      </c>
      <c r="B220" s="85">
        <f>VLOOKUP(A220,Database!$A:$AS,MATCH($B$4,Database!$A$1:$AS$1,0),FALSE)</f>
        <v>101.01</v>
      </c>
      <c r="C220" s="23">
        <f>(Table13456789101112131415161734[[#This Row],[FRA]]-B219)/B219</f>
        <v>-5.0122249388753037E-2</v>
      </c>
      <c r="D220" s="24">
        <f>(Table13456789101112131415161734[[#This Row],[FRA]]-B208)/B208</f>
        <v>-9.796392212895158E-2</v>
      </c>
    </row>
    <row r="221" spans="1:4" x14ac:dyDescent="0.2">
      <c r="A221" s="22">
        <v>39783</v>
      </c>
      <c r="B221" s="85">
        <f>VLOOKUP(A221,Database!$A:$AS,MATCH($B$4,Database!$A$1:$AS$1,0),FALSE)</f>
        <v>99.62</v>
      </c>
      <c r="C221" s="23">
        <f>(Table13456789101112131415161734[[#This Row],[FRA]]-B220)/B220</f>
        <v>-1.3761013761013767E-2</v>
      </c>
      <c r="D221" s="24">
        <f>(Table13456789101112131415161734[[#This Row],[FRA]]-B209)/B209</f>
        <v>-0.11180456490727525</v>
      </c>
    </row>
    <row r="222" spans="1:4" x14ac:dyDescent="0.2">
      <c r="A222" s="22">
        <v>39814</v>
      </c>
      <c r="B222" s="85">
        <f>VLOOKUP(A222,Database!$A:$AS,MATCH($B$4,Database!$A$1:$AS$1,0),FALSE)</f>
        <v>95.93</v>
      </c>
      <c r="C222" s="23">
        <f>(Table13456789101112131415161734[[#This Row],[FRA]]-B221)/B221</f>
        <v>-3.7040754868500274E-2</v>
      </c>
      <c r="D222" s="24">
        <f>(Table13456789101112131415161734[[#This Row],[FRA]]-B210)/B210</f>
        <v>-0.15241208694115568</v>
      </c>
    </row>
    <row r="223" spans="1:4" x14ac:dyDescent="0.2">
      <c r="A223" s="22">
        <v>39845</v>
      </c>
      <c r="B223" s="85">
        <f>VLOOKUP(A223,Database!$A:$AS,MATCH($B$4,Database!$A$1:$AS$1,0),FALSE)</f>
        <v>94.59</v>
      </c>
      <c r="C223" s="23">
        <f>(Table13456789101112131415161734[[#This Row],[FRA]]-B222)/B222</f>
        <v>-1.3968518711560548E-2</v>
      </c>
      <c r="D223" s="24">
        <f>(Table13456789101112131415161734[[#This Row],[FRA]]-B211)/B211</f>
        <v>-0.17157120336311091</v>
      </c>
    </row>
    <row r="224" spans="1:4" x14ac:dyDescent="0.2">
      <c r="A224" s="22">
        <v>39873</v>
      </c>
      <c r="B224" s="85">
        <f>VLOOKUP(A224,Database!$A:$AS,MATCH($B$4,Database!$A$1:$AS$1,0),FALSE)</f>
        <v>92.85</v>
      </c>
      <c r="C224" s="23">
        <f>(Table13456789101112131415161734[[#This Row],[FRA]]-B223)/B223</f>
        <v>-1.8395179194418111E-2</v>
      </c>
      <c r="D224" s="24">
        <f>(Table13456789101112131415161734[[#This Row],[FRA]]-B212)/B212</f>
        <v>-0.17729930887825629</v>
      </c>
    </row>
    <row r="225" spans="1:4" x14ac:dyDescent="0.2">
      <c r="A225" s="22">
        <v>39904</v>
      </c>
      <c r="B225" s="85">
        <f>VLOOKUP(A225,Database!$A:$AS,MATCH($B$4,Database!$A$1:$AS$1,0),FALSE)</f>
        <v>92.81</v>
      </c>
      <c r="C225" s="23">
        <f>(Table13456789101112131415161734[[#This Row],[FRA]]-B224)/B224</f>
        <v>-4.3080236941294607E-4</v>
      </c>
      <c r="D225" s="24">
        <f>(Table13456789101112131415161734[[#This Row],[FRA]]-B213)/B213</f>
        <v>-0.19498655564229336</v>
      </c>
    </row>
    <row r="226" spans="1:4" x14ac:dyDescent="0.2">
      <c r="A226" s="22">
        <v>39934</v>
      </c>
      <c r="B226" s="85">
        <f>VLOOKUP(A226,Database!$A:$AS,MATCH($B$4,Database!$A$1:$AS$1,0),FALSE)</f>
        <v>93.93</v>
      </c>
      <c r="C226" s="23">
        <f>(Table13456789101112131415161734[[#This Row],[FRA]]-B225)/B225</f>
        <v>1.2067665122292905E-2</v>
      </c>
      <c r="D226" s="24">
        <f>(Table13456789101112131415161734[[#This Row],[FRA]]-B214)/B214</f>
        <v>-0.1450805497406025</v>
      </c>
    </row>
    <row r="227" spans="1:4" x14ac:dyDescent="0.2">
      <c r="A227" s="22">
        <v>39965</v>
      </c>
      <c r="B227" s="85">
        <f>VLOOKUP(A227,Database!$A:$AS,MATCH($B$4,Database!$A$1:$AS$1,0),FALSE)</f>
        <v>95.13</v>
      </c>
      <c r="C227" s="23">
        <f>(Table13456789101112131415161734[[#This Row],[FRA]]-B226)/B226</f>
        <v>1.2775471095496524E-2</v>
      </c>
      <c r="D227" s="24">
        <f>(Table13456789101112131415161734[[#This Row],[FRA]]-B215)/B215</f>
        <v>-0.13162939297124601</v>
      </c>
    </row>
    <row r="228" spans="1:4" x14ac:dyDescent="0.2">
      <c r="A228" s="22">
        <v>39995</v>
      </c>
      <c r="B228" s="85">
        <f>VLOOKUP(A228,Database!$A:$AS,MATCH($B$4,Database!$A$1:$AS$1,0),FALSE)</f>
        <v>94.8</v>
      </c>
      <c r="C228" s="23">
        <f>(Table13456789101112131415161734[[#This Row],[FRA]]-B227)/B227</f>
        <v>-3.4689372437716631E-3</v>
      </c>
      <c r="D228" s="24">
        <f>(Table13456789101112131415161734[[#This Row],[FRA]]-B216)/B216</f>
        <v>-0.14091526959673764</v>
      </c>
    </row>
    <row r="229" spans="1:4" x14ac:dyDescent="0.2">
      <c r="A229" s="22">
        <v>40026</v>
      </c>
      <c r="B229" s="85">
        <f>VLOOKUP(A229,Database!$A:$AS,MATCH($B$4,Database!$A$1:$AS$1,0),FALSE)</f>
        <v>96.35</v>
      </c>
      <c r="C229" s="23">
        <f>(Table13456789101112131415161734[[#This Row],[FRA]]-B228)/B228</f>
        <v>1.6350210970464105E-2</v>
      </c>
      <c r="D229" s="24">
        <f>(Table13456789101112131415161734[[#This Row],[FRA]]-B217)/B217</f>
        <v>-0.11475560455714819</v>
      </c>
    </row>
    <row r="230" spans="1:4" x14ac:dyDescent="0.2">
      <c r="A230" s="22">
        <v>40057</v>
      </c>
      <c r="B230" s="85">
        <f>VLOOKUP(A230,Database!$A:$AS,MATCH($B$4,Database!$A$1:$AS$1,0),FALSE)</f>
        <v>96.84</v>
      </c>
      <c r="C230" s="23">
        <f>(Table13456789101112131415161734[[#This Row],[FRA]]-B229)/B229</f>
        <v>5.0856253243384449E-3</v>
      </c>
      <c r="D230" s="24">
        <f>(Table13456789101112131415161734[[#This Row],[FRA]]-B218)/B218</f>
        <v>-0.1064772098173094</v>
      </c>
    </row>
    <row r="231" spans="1:4" x14ac:dyDescent="0.2">
      <c r="A231" s="22">
        <v>40087</v>
      </c>
      <c r="B231" s="85">
        <f>VLOOKUP(A231,Database!$A:$AS,MATCH($B$4,Database!$A$1:$AS$1,0),FALSE)</f>
        <v>96.19</v>
      </c>
      <c r="C231" s="23">
        <f>(Table13456789101112131415161734[[#This Row],[FRA]]-B230)/B230</f>
        <v>-6.7121024370095589E-3</v>
      </c>
      <c r="D231" s="24">
        <f>(Table13456789101112131415161734[[#This Row],[FRA]]-B219)/B219</f>
        <v>-9.5448561218732422E-2</v>
      </c>
    </row>
    <row r="232" spans="1:4" x14ac:dyDescent="0.2">
      <c r="A232" s="22">
        <v>40118</v>
      </c>
      <c r="B232" s="85">
        <f>VLOOKUP(A232,Database!$A:$AS,MATCH($B$4,Database!$A$1:$AS$1,0),FALSE)</f>
        <v>97.14</v>
      </c>
      <c r="C232" s="23">
        <f>(Table13456789101112131415161734[[#This Row],[FRA]]-B231)/B231</f>
        <v>9.876286516269912E-3</v>
      </c>
      <c r="D232" s="24">
        <f>(Table13456789101112131415161734[[#This Row],[FRA]]-B220)/B220</f>
        <v>-3.8313038313038353E-2</v>
      </c>
    </row>
    <row r="233" spans="1:4" x14ac:dyDescent="0.2">
      <c r="A233" s="22">
        <v>40148</v>
      </c>
      <c r="B233" s="85">
        <f>VLOOKUP(A233,Database!$A:$AS,MATCH($B$4,Database!$A$1:$AS$1,0),FALSE)</f>
        <v>96.84</v>
      </c>
      <c r="C233" s="23">
        <f>(Table13456789101112131415161734[[#This Row],[FRA]]-B232)/B232</f>
        <v>-3.0883261272390073E-3</v>
      </c>
      <c r="D233" s="24">
        <f>(Table13456789101112131415161734[[#This Row],[FRA]]-B221)/B221</f>
        <v>-2.7906042963260401E-2</v>
      </c>
    </row>
    <row r="234" spans="1:4" x14ac:dyDescent="0.2">
      <c r="A234" s="22">
        <v>40179</v>
      </c>
      <c r="B234" s="85">
        <f>VLOOKUP(A234,Database!$A:$AS,MATCH($B$4,Database!$A$1:$AS$1,0),FALSE)</f>
        <v>97.87</v>
      </c>
      <c r="C234" s="23">
        <f>(Table13456789101112131415161734[[#This Row],[FRA]]-B233)/B233</f>
        <v>1.0636100784799681E-2</v>
      </c>
      <c r="D234" s="24">
        <f>(Table13456789101112131415161734[[#This Row],[FRA]]-B222)/B222</f>
        <v>2.0223079328677136E-2</v>
      </c>
    </row>
    <row r="235" spans="1:4" x14ac:dyDescent="0.2">
      <c r="A235" s="22">
        <v>40210</v>
      </c>
      <c r="B235" s="85">
        <f>VLOOKUP(A235,Database!$A:$AS,MATCH($B$4,Database!$A$1:$AS$1,0),FALSE)</f>
        <v>97.23</v>
      </c>
      <c r="C235" s="23">
        <f>(Table13456789101112131415161734[[#This Row],[FRA]]-B234)/B234</f>
        <v>-6.5392868090323958E-3</v>
      </c>
      <c r="D235" s="24">
        <f>(Table13456789101112131415161734[[#This Row],[FRA]]-B223)/B223</f>
        <v>2.7909927053599751E-2</v>
      </c>
    </row>
    <row r="236" spans="1:4" x14ac:dyDescent="0.2">
      <c r="A236" s="22">
        <v>40238</v>
      </c>
      <c r="B236" s="85">
        <f>VLOOKUP(A236,Database!$A:$AS,MATCH($B$4,Database!$A$1:$AS$1,0),FALSE)</f>
        <v>99.16</v>
      </c>
      <c r="C236" s="23">
        <f>(Table13456789101112131415161734[[#This Row],[FRA]]-B235)/B235</f>
        <v>1.9849840584181759E-2</v>
      </c>
      <c r="D236" s="24">
        <f>(Table13456789101112131415161734[[#This Row],[FRA]]-B224)/B224</f>
        <v>6.7959073774905787E-2</v>
      </c>
    </row>
    <row r="237" spans="1:4" x14ac:dyDescent="0.2">
      <c r="A237" s="22">
        <v>40269</v>
      </c>
      <c r="B237" s="85">
        <f>VLOOKUP(A237,Database!$A:$AS,MATCH($B$4,Database!$A$1:$AS$1,0),FALSE)</f>
        <v>98.76</v>
      </c>
      <c r="C237" s="23">
        <f>(Table13456789101112131415161734[[#This Row],[FRA]]-B236)/B236</f>
        <v>-4.0338846308994704E-3</v>
      </c>
      <c r="D237" s="24">
        <f>(Table13456789101112131415161734[[#This Row],[FRA]]-B225)/B225</f>
        <v>6.4109470962180823E-2</v>
      </c>
    </row>
    <row r="238" spans="1:4" x14ac:dyDescent="0.2">
      <c r="A238" s="22">
        <v>40299</v>
      </c>
      <c r="B238" s="85">
        <f>VLOOKUP(A238,Database!$A:$AS,MATCH($B$4,Database!$A$1:$AS$1,0),FALSE)</f>
        <v>99.55</v>
      </c>
      <c r="C238" s="23">
        <f>(Table13456789101112131415161734[[#This Row],[FRA]]-B237)/B237</f>
        <v>7.999189955447468E-3</v>
      </c>
      <c r="D238" s="24">
        <f>(Table13456789101112131415161734[[#This Row],[FRA]]-B226)/B226</f>
        <v>5.9831789630575852E-2</v>
      </c>
    </row>
    <row r="239" spans="1:4" x14ac:dyDescent="0.2">
      <c r="A239" s="22">
        <v>40330</v>
      </c>
      <c r="B239" s="85">
        <f>VLOOKUP(A239,Database!$A:$AS,MATCH($B$4,Database!$A$1:$AS$1,0),FALSE)</f>
        <v>99.15</v>
      </c>
      <c r="C239" s="23">
        <f>(Table13456789101112131415161734[[#This Row],[FRA]]-B238)/B238</f>
        <v>-4.018081366147579E-3</v>
      </c>
      <c r="D239" s="24">
        <f>(Table13456789101112131415161734[[#This Row],[FRA]]-B227)/B227</f>
        <v>4.2257962787764225E-2</v>
      </c>
    </row>
    <row r="240" spans="1:4" x14ac:dyDescent="0.2">
      <c r="A240" s="22">
        <v>40360</v>
      </c>
      <c r="B240" s="85">
        <f>VLOOKUP(A240,Database!$A:$AS,MATCH($B$4,Database!$A$1:$AS$1,0),FALSE)</f>
        <v>99.88</v>
      </c>
      <c r="C240" s="23">
        <f>(Table13456789101112131415161734[[#This Row],[FRA]]-B239)/B239</f>
        <v>7.3625819465455346E-3</v>
      </c>
      <c r="D240" s="24">
        <f>(Table13456789101112131415161734[[#This Row],[FRA]]-B228)/B228</f>
        <v>5.3586497890295341E-2</v>
      </c>
    </row>
    <row r="241" spans="1:4" x14ac:dyDescent="0.2">
      <c r="A241" s="22">
        <v>40391</v>
      </c>
      <c r="B241" s="85">
        <f>VLOOKUP(A241,Database!$A:$AS,MATCH($B$4,Database!$A$1:$AS$1,0),FALSE)</f>
        <v>98.72</v>
      </c>
      <c r="C241" s="23">
        <f>(Table13456789101112131415161734[[#This Row],[FRA]]-B240)/B240</f>
        <v>-1.1613936724068848E-2</v>
      </c>
      <c r="D241" s="24">
        <f>(Table13456789101112131415161734[[#This Row],[FRA]]-B229)/B229</f>
        <v>2.4597820446289619E-2</v>
      </c>
    </row>
    <row r="242" spans="1:4" x14ac:dyDescent="0.2">
      <c r="A242" s="22">
        <v>40422</v>
      </c>
      <c r="B242" s="85">
        <f>VLOOKUP(A242,Database!$A:$AS,MATCH($B$4,Database!$A$1:$AS$1,0),FALSE)</f>
        <v>100.02</v>
      </c>
      <c r="C242" s="23">
        <f>(Table13456789101112131415161734[[#This Row],[FRA]]-B241)/B241</f>
        <v>1.3168557536466747E-2</v>
      </c>
      <c r="D242" s="24">
        <f>(Table13456789101112131415161734[[#This Row],[FRA]]-B230)/B230</f>
        <v>3.2837670384138706E-2</v>
      </c>
    </row>
    <row r="243" spans="1:4" x14ac:dyDescent="0.2">
      <c r="A243" s="22">
        <v>40452</v>
      </c>
      <c r="B243" s="85">
        <f>VLOOKUP(A243,Database!$A:$AS,MATCH($B$4,Database!$A$1:$AS$1,0),FALSE)</f>
        <v>99.85</v>
      </c>
      <c r="C243" s="23">
        <f>(Table13456789101112131415161734[[#This Row],[FRA]]-B242)/B242</f>
        <v>-1.6996600679864199E-3</v>
      </c>
      <c r="D243" s="24">
        <f>(Table13456789101112131415161734[[#This Row],[FRA]]-B231)/B231</f>
        <v>3.804969331531341E-2</v>
      </c>
    </row>
    <row r="244" spans="1:4" x14ac:dyDescent="0.2">
      <c r="A244" s="22">
        <v>40483</v>
      </c>
      <c r="B244" s="85">
        <f>VLOOKUP(A244,Database!$A:$AS,MATCH($B$4,Database!$A$1:$AS$1,0),FALSE)</f>
        <v>101.16</v>
      </c>
      <c r="C244" s="23">
        <f>(Table13456789101112131415161734[[#This Row],[FRA]]-B243)/B243</f>
        <v>1.3119679519278941E-2</v>
      </c>
      <c r="D244" s="24">
        <f>(Table13456789101112131415161734[[#This Row],[FRA]]-B232)/B232</f>
        <v>4.1383570105003049E-2</v>
      </c>
    </row>
    <row r="245" spans="1:4" x14ac:dyDescent="0.2">
      <c r="A245" s="22">
        <v>40513</v>
      </c>
      <c r="B245" s="85">
        <f>VLOOKUP(A245,Database!$A:$AS,MATCH($B$4,Database!$A$1:$AS$1,0),FALSE)</f>
        <v>102.47</v>
      </c>
      <c r="C245" s="23">
        <f>(Table13456789101112131415161734[[#This Row],[FRA]]-B244)/B244</f>
        <v>1.2949782522736283E-2</v>
      </c>
      <c r="D245" s="24">
        <f>(Table13456789101112131415161734[[#This Row],[FRA]]-B233)/B233</f>
        <v>5.8137133415943773E-2</v>
      </c>
    </row>
    <row r="246" spans="1:4" x14ac:dyDescent="0.2">
      <c r="A246" s="22">
        <v>40544</v>
      </c>
      <c r="B246" s="85">
        <f>VLOOKUP(A246,Database!$A:$AS,MATCH($B$4,Database!$A$1:$AS$1,0),FALSE)</f>
        <v>103.66</v>
      </c>
      <c r="C246" s="23">
        <f>(Table13456789101112131415161734[[#This Row],[FRA]]-B245)/B245</f>
        <v>1.1613155069776497E-2</v>
      </c>
      <c r="D246" s="24">
        <f>(Table13456789101112131415161734[[#This Row],[FRA]]-B234)/B234</f>
        <v>5.9160110350464819E-2</v>
      </c>
    </row>
    <row r="247" spans="1:4" x14ac:dyDescent="0.2">
      <c r="A247" s="22">
        <v>40575</v>
      </c>
      <c r="B247" s="85">
        <f>VLOOKUP(A247,Database!$A:$AS,MATCH($B$4,Database!$A$1:$AS$1,0),FALSE)</f>
        <v>104.02</v>
      </c>
      <c r="C247" s="23">
        <f>(Table13456789101112131415161734[[#This Row],[FRA]]-B246)/B246</f>
        <v>3.4728921474049723E-3</v>
      </c>
      <c r="D247" s="24">
        <f>(Table13456789101112131415161734[[#This Row],[FRA]]-B235)/B235</f>
        <v>6.9834413246940161E-2</v>
      </c>
    </row>
    <row r="248" spans="1:4" x14ac:dyDescent="0.2">
      <c r="A248" s="22">
        <v>40603</v>
      </c>
      <c r="B248" s="85">
        <f>VLOOKUP(A248,Database!$A:$AS,MATCH($B$4,Database!$A$1:$AS$1,0),FALSE)</f>
        <v>102.71</v>
      </c>
      <c r="C248" s="23">
        <f>(Table13456789101112131415161734[[#This Row],[FRA]]-B247)/B247</f>
        <v>-1.2593731974620288E-2</v>
      </c>
      <c r="D248" s="24">
        <f>(Table13456789101112131415161734[[#This Row],[FRA]]-B236)/B236</f>
        <v>3.5800726099233536E-2</v>
      </c>
    </row>
    <row r="249" spans="1:4" x14ac:dyDescent="0.2">
      <c r="A249" s="22">
        <v>40634</v>
      </c>
      <c r="B249" s="85">
        <f>VLOOKUP(A249,Database!$A:$AS,MATCH($B$4,Database!$A$1:$AS$1,0),FALSE)</f>
        <v>100.97</v>
      </c>
      <c r="C249" s="23">
        <f>(Table13456789101112131415161734[[#This Row],[FRA]]-B248)/B248</f>
        <v>-1.6940901567520154E-2</v>
      </c>
      <c r="D249" s="24">
        <f>(Table13456789101112131415161734[[#This Row],[FRA]]-B237)/B237</f>
        <v>2.2377480761441814E-2</v>
      </c>
    </row>
    <row r="250" spans="1:4" x14ac:dyDescent="0.2">
      <c r="A250" s="22">
        <v>40664</v>
      </c>
      <c r="B250" s="85">
        <f>VLOOKUP(A250,Database!$A:$AS,MATCH($B$4,Database!$A$1:$AS$1,0),FALSE)</f>
        <v>104.27</v>
      </c>
      <c r="C250" s="23">
        <f>(Table13456789101112131415161734[[#This Row],[FRA]]-B249)/B249</f>
        <v>3.2682975141130999E-2</v>
      </c>
      <c r="D250" s="24">
        <f>(Table13456789101112131415161734[[#This Row],[FRA]]-B238)/B238</f>
        <v>4.7413360120542432E-2</v>
      </c>
    </row>
    <row r="251" spans="1:4" x14ac:dyDescent="0.2">
      <c r="A251" s="22">
        <v>40695</v>
      </c>
      <c r="B251" s="85">
        <f>VLOOKUP(A251,Database!$A:$AS,MATCH($B$4,Database!$A$1:$AS$1,0),FALSE)</f>
        <v>101.47</v>
      </c>
      <c r="C251" s="23">
        <f>(Table13456789101112131415161734[[#This Row],[FRA]]-B250)/B250</f>
        <v>-2.685336146542627E-2</v>
      </c>
      <c r="D251" s="24">
        <f>(Table13456789101112131415161734[[#This Row],[FRA]]-B239)/B239</f>
        <v>2.3398890569843601E-2</v>
      </c>
    </row>
    <row r="252" spans="1:4" x14ac:dyDescent="0.2">
      <c r="A252" s="22">
        <v>40725</v>
      </c>
      <c r="B252" s="85">
        <f>VLOOKUP(A252,Database!$A:$AS,MATCH($B$4,Database!$A$1:$AS$1,0),FALSE)</f>
        <v>102.56</v>
      </c>
      <c r="C252" s="23">
        <f>(Table13456789101112131415161734[[#This Row],[FRA]]-B251)/B251</f>
        <v>1.0742091258500083E-2</v>
      </c>
      <c r="D252" s="24">
        <f>(Table13456789101112131415161734[[#This Row],[FRA]]-B240)/B240</f>
        <v>2.6832198638366108E-2</v>
      </c>
    </row>
    <row r="253" spans="1:4" x14ac:dyDescent="0.2">
      <c r="A253" s="22">
        <v>40756</v>
      </c>
      <c r="B253" s="85">
        <f>VLOOKUP(A253,Database!$A:$AS,MATCH($B$4,Database!$A$1:$AS$1,0),FALSE)</f>
        <v>101.71</v>
      </c>
      <c r="C253" s="23">
        <f>(Table13456789101112131415161734[[#This Row],[FRA]]-B252)/B252</f>
        <v>-8.2878315132606135E-3</v>
      </c>
      <c r="D253" s="24">
        <f>(Table13456789101112131415161734[[#This Row],[FRA]]-B241)/B241</f>
        <v>3.0287682333873529E-2</v>
      </c>
    </row>
    <row r="254" spans="1:4" x14ac:dyDescent="0.2">
      <c r="A254" s="22">
        <v>40787</v>
      </c>
      <c r="B254" s="85">
        <f>VLOOKUP(A254,Database!$A:$AS,MATCH($B$4,Database!$A$1:$AS$1,0),FALSE)</f>
        <v>100.98</v>
      </c>
      <c r="C254" s="23">
        <f>(Table13456789101112131415161734[[#This Row],[FRA]]-B253)/B253</f>
        <v>-7.1772687051419705E-3</v>
      </c>
      <c r="D254" s="24">
        <f>(Table13456789101112131415161734[[#This Row],[FRA]]-B242)/B242</f>
        <v>9.5980803839232961E-3</v>
      </c>
    </row>
    <row r="255" spans="1:4" x14ac:dyDescent="0.2">
      <c r="A255" s="22">
        <v>40817</v>
      </c>
      <c r="B255" s="85">
        <f>VLOOKUP(A255,Database!$A:$AS,MATCH($B$4,Database!$A$1:$AS$1,0),FALSE)</f>
        <v>101.18</v>
      </c>
      <c r="C255" s="23">
        <f>(Table13456789101112131415161734[[#This Row],[FRA]]-B254)/B254</f>
        <v>1.9805902158843616E-3</v>
      </c>
      <c r="D255" s="24">
        <f>(Table13456789101112131415161734[[#This Row],[FRA]]-B243)/B243</f>
        <v>1.3319979969955058E-2</v>
      </c>
    </row>
    <row r="256" spans="1:4" x14ac:dyDescent="0.2">
      <c r="A256" s="22">
        <v>40848</v>
      </c>
      <c r="B256" s="85">
        <f>VLOOKUP(A256,Database!$A:$AS,MATCH($B$4,Database!$A$1:$AS$1,0),FALSE)</f>
        <v>103.23</v>
      </c>
      <c r="C256" s="23">
        <f>(Table13456789101112131415161734[[#This Row],[FRA]]-B255)/B255</f>
        <v>2.0260921130658204E-2</v>
      </c>
      <c r="D256" s="24">
        <f>(Table13456789101112131415161734[[#This Row],[FRA]]-B244)/B244</f>
        <v>2.0462633451957368E-2</v>
      </c>
    </row>
    <row r="257" spans="1:4" x14ac:dyDescent="0.2">
      <c r="A257" s="22">
        <v>40878</v>
      </c>
      <c r="B257" s="85">
        <f>VLOOKUP(A257,Database!$A:$AS,MATCH($B$4,Database!$A$1:$AS$1,0),FALSE)</f>
        <v>101.18</v>
      </c>
      <c r="C257" s="23">
        <f>(Table13456789101112131415161734[[#This Row],[FRA]]-B256)/B256</f>
        <v>-1.9858568245664992E-2</v>
      </c>
      <c r="D257" s="24">
        <f>(Table13456789101112131415161734[[#This Row],[FRA]]-B245)/B245</f>
        <v>-1.2589050453791276E-2</v>
      </c>
    </row>
    <row r="258" spans="1:4" x14ac:dyDescent="0.2">
      <c r="A258" s="22">
        <v>40909</v>
      </c>
      <c r="B258" s="85">
        <f>VLOOKUP(A258,Database!$A:$AS,MATCH($B$4,Database!$A$1:$AS$1,0),FALSE)</f>
        <v>100.75</v>
      </c>
      <c r="C258" s="23">
        <f>(Table13456789101112131415161734[[#This Row],[FRA]]-B257)/B257</f>
        <v>-4.2498517493576478E-3</v>
      </c>
      <c r="D258" s="24">
        <f>(Table13456789101112131415161734[[#This Row],[FRA]]-B246)/B246</f>
        <v>-2.8072544858190204E-2</v>
      </c>
    </row>
    <row r="259" spans="1:4" x14ac:dyDescent="0.2">
      <c r="A259" s="22">
        <v>40940</v>
      </c>
      <c r="B259" s="85">
        <f>VLOOKUP(A259,Database!$A:$AS,MATCH($B$4,Database!$A$1:$AS$1,0),FALSE)</f>
        <v>101.6</v>
      </c>
      <c r="C259" s="23">
        <f>(Table13456789101112131415161734[[#This Row],[FRA]]-B258)/B258</f>
        <v>8.4367245657567674E-3</v>
      </c>
      <c r="D259" s="24">
        <f>(Table13456789101112131415161734[[#This Row],[FRA]]-B247)/B247</f>
        <v>-2.3264756777542799E-2</v>
      </c>
    </row>
    <row r="260" spans="1:4" x14ac:dyDescent="0.2">
      <c r="A260" s="22">
        <v>40969</v>
      </c>
      <c r="B260" s="85">
        <f>VLOOKUP(A260,Database!$A:$AS,MATCH($B$4,Database!$A$1:$AS$1,0),FALSE)</f>
        <v>100.67</v>
      </c>
      <c r="C260" s="23">
        <f>(Table13456789101112131415161734[[#This Row],[FRA]]-B259)/B259</f>
        <v>-9.1535433070865421E-3</v>
      </c>
      <c r="D260" s="24">
        <f>(Table13456789101112131415161734[[#This Row],[FRA]]-B248)/B248</f>
        <v>-1.9861746665368437E-2</v>
      </c>
    </row>
    <row r="261" spans="1:4" x14ac:dyDescent="0.2">
      <c r="A261" s="22">
        <v>41000</v>
      </c>
      <c r="B261" s="85">
        <f>VLOOKUP(A261,Database!$A:$AS,MATCH($B$4,Database!$A$1:$AS$1,0),FALSE)</f>
        <v>100.98</v>
      </c>
      <c r="C261" s="23">
        <f>(Table13456789101112131415161734[[#This Row],[FRA]]-B260)/B260</f>
        <v>3.0793682328399945E-3</v>
      </c>
      <c r="D261" s="24">
        <f>(Table13456789101112131415161734[[#This Row],[FRA]]-B249)/B249</f>
        <v>9.9039318609538639E-5</v>
      </c>
    </row>
    <row r="262" spans="1:4" x14ac:dyDescent="0.2">
      <c r="A262" s="22">
        <v>41030</v>
      </c>
      <c r="B262" s="85">
        <f>VLOOKUP(A262,Database!$A:$AS,MATCH($B$4,Database!$A$1:$AS$1,0),FALSE)</f>
        <v>99.52</v>
      </c>
      <c r="C262" s="23">
        <f>(Table13456789101112131415161734[[#This Row],[FRA]]-B261)/B261</f>
        <v>-1.4458308575955713E-2</v>
      </c>
      <c r="D262" s="24">
        <f>(Table13456789101112131415161734[[#This Row],[FRA]]-B250)/B250</f>
        <v>-4.5554809628848184E-2</v>
      </c>
    </row>
    <row r="263" spans="1:4" x14ac:dyDescent="0.2">
      <c r="A263" s="22">
        <v>41061</v>
      </c>
      <c r="B263" s="85">
        <f>VLOOKUP(A263,Database!$A:$AS,MATCH($B$4,Database!$A$1:$AS$1,0),FALSE)</f>
        <v>98.75</v>
      </c>
      <c r="C263" s="23">
        <f>(Table13456789101112131415161734[[#This Row],[FRA]]-B262)/B262</f>
        <v>-7.7371382636655548E-3</v>
      </c>
      <c r="D263" s="24">
        <f>(Table13456789101112131415161734[[#This Row],[FRA]]-B251)/B251</f>
        <v>-2.6805952498275342E-2</v>
      </c>
    </row>
    <row r="264" spans="1:4" x14ac:dyDescent="0.2">
      <c r="A264" s="22">
        <v>41091</v>
      </c>
      <c r="B264" s="85">
        <f>VLOOKUP(A264,Database!$A:$AS,MATCH($B$4,Database!$A$1:$AS$1,0),FALSE)</f>
        <v>99.44</v>
      </c>
      <c r="C264" s="23">
        <f>(Table13456789101112131415161734[[#This Row],[FRA]]-B263)/B263</f>
        <v>6.9873417721518756E-3</v>
      </c>
      <c r="D264" s="24">
        <f>(Table13456789101112131415161734[[#This Row],[FRA]]-B252)/B252</f>
        <v>-3.042121684867399E-2</v>
      </c>
    </row>
    <row r="265" spans="1:4" x14ac:dyDescent="0.2">
      <c r="A265" s="22">
        <v>41122</v>
      </c>
      <c r="B265" s="85">
        <f>VLOOKUP(A265,Database!$A:$AS,MATCH($B$4,Database!$A$1:$AS$1,0),FALSE)</f>
        <v>101.66</v>
      </c>
      <c r="C265" s="23">
        <f>(Table13456789101112131415161734[[#This Row],[FRA]]-B264)/B264</f>
        <v>2.2325020112630722E-2</v>
      </c>
      <c r="D265" s="24">
        <f>(Table13456789101112131415161734[[#This Row],[FRA]]-B253)/B253</f>
        <v>-4.9159374692751118E-4</v>
      </c>
    </row>
    <row r="266" spans="1:4" x14ac:dyDescent="0.2">
      <c r="A266" s="22">
        <v>41153</v>
      </c>
      <c r="B266" s="85">
        <f>VLOOKUP(A266,Database!$A:$AS,MATCH($B$4,Database!$A$1:$AS$1,0),FALSE)</f>
        <v>99.41</v>
      </c>
      <c r="C266" s="23">
        <f>(Table13456789101112131415161734[[#This Row],[FRA]]-B265)/B265</f>
        <v>-2.2132598858941571E-2</v>
      </c>
      <c r="D266" s="24">
        <f>(Table13456789101112131415161734[[#This Row],[FRA]]-B254)/B254</f>
        <v>-1.5547633194692091E-2</v>
      </c>
    </row>
    <row r="267" spans="1:4" x14ac:dyDescent="0.2">
      <c r="A267" s="22">
        <v>41183</v>
      </c>
      <c r="B267" s="85">
        <f>VLOOKUP(A267,Database!$A:$AS,MATCH($B$4,Database!$A$1:$AS$1,0),FALSE)</f>
        <v>97.95</v>
      </c>
      <c r="C267" s="23">
        <f>(Table13456789101112131415161734[[#This Row],[FRA]]-B266)/B266</f>
        <v>-1.4686651242329683E-2</v>
      </c>
      <c r="D267" s="24">
        <f>(Table13456789101112131415161734[[#This Row],[FRA]]-B255)/B255</f>
        <v>-3.1923305000988375E-2</v>
      </c>
    </row>
    <row r="268" spans="1:4" x14ac:dyDescent="0.2">
      <c r="A268" s="22">
        <v>41214</v>
      </c>
      <c r="B268" s="85">
        <f>VLOOKUP(A268,Database!$A:$AS,MATCH($B$4,Database!$A$1:$AS$1,0),FALSE)</f>
        <v>97.9</v>
      </c>
      <c r="C268" s="23">
        <f>(Table13456789101112131415161734[[#This Row],[FRA]]-B267)/B267</f>
        <v>-5.1046452271564222E-4</v>
      </c>
      <c r="D268" s="24">
        <f>(Table13456789101112131415161734[[#This Row],[FRA]]-B256)/B256</f>
        <v>-5.1632277438729036E-2</v>
      </c>
    </row>
    <row r="269" spans="1:4" x14ac:dyDescent="0.2">
      <c r="A269" s="22">
        <v>41244</v>
      </c>
      <c r="B269" s="85">
        <f>VLOOKUP(A269,Database!$A:$AS,MATCH($B$4,Database!$A$1:$AS$1,0),FALSE)</f>
        <v>98.82</v>
      </c>
      <c r="C269" s="23">
        <f>(Table13456789101112131415161734[[#This Row],[FRA]]-B268)/B268</f>
        <v>9.3973442288047739E-3</v>
      </c>
      <c r="D269" s="24">
        <f>(Table13456789101112131415161734[[#This Row],[FRA]]-B257)/B257</f>
        <v>-2.3324767740660342E-2</v>
      </c>
    </row>
    <row r="270" spans="1:4" x14ac:dyDescent="0.2">
      <c r="A270" s="22">
        <v>41275</v>
      </c>
      <c r="B270" s="85">
        <f>VLOOKUP(A270,Database!$A:$AS,MATCH($B$4,Database!$A$1:$AS$1,0),FALSE)</f>
        <v>98.64</v>
      </c>
      <c r="C270" s="23">
        <f>(Table13456789101112131415161734[[#This Row],[FRA]]-B269)/B269</f>
        <v>-1.8214936247722387E-3</v>
      </c>
      <c r="D270" s="24">
        <f>(Table13456789101112131415161734[[#This Row],[FRA]]-B258)/B258</f>
        <v>-2.0942928039702227E-2</v>
      </c>
    </row>
    <row r="271" spans="1:4" x14ac:dyDescent="0.2">
      <c r="A271" s="22">
        <v>41306</v>
      </c>
      <c r="B271" s="85">
        <f>VLOOKUP(A271,Database!$A:$AS,MATCH($B$4,Database!$A$1:$AS$1,0),FALSE)</f>
        <v>99.71</v>
      </c>
      <c r="C271" s="23">
        <f>(Table13456789101112131415161734[[#This Row],[FRA]]-B270)/B270</f>
        <v>1.0847526358475194E-2</v>
      </c>
      <c r="D271" s="24">
        <f>(Table13456789101112131415161734[[#This Row],[FRA]]-B259)/B259</f>
        <v>-1.8602362204724415E-2</v>
      </c>
    </row>
    <row r="272" spans="1:4" x14ac:dyDescent="0.2">
      <c r="A272" s="22">
        <v>41334</v>
      </c>
      <c r="B272" s="85">
        <f>VLOOKUP(A272,Database!$A:$AS,MATCH($B$4,Database!$A$1:$AS$1,0),FALSE)</f>
        <v>99.84</v>
      </c>
      <c r="C272" s="23">
        <f>(Table13456789101112131415161734[[#This Row],[FRA]]-B271)/B271</f>
        <v>1.3037809647980108E-3</v>
      </c>
      <c r="D272" s="24">
        <f>(Table13456789101112131415161734[[#This Row],[FRA]]-B260)/B260</f>
        <v>-8.2447601072811981E-3</v>
      </c>
    </row>
    <row r="273" spans="1:4" x14ac:dyDescent="0.2">
      <c r="A273" s="22">
        <v>41365</v>
      </c>
      <c r="B273" s="85">
        <f>VLOOKUP(A273,Database!$A:$AS,MATCH($B$4,Database!$A$1:$AS$1,0),FALSE)</f>
        <v>101.47</v>
      </c>
      <c r="C273" s="23">
        <f>(Table13456789101112131415161734[[#This Row],[FRA]]-B272)/B272</f>
        <v>1.6326121794871747E-2</v>
      </c>
      <c r="D273" s="24">
        <f>(Table13456789101112131415161734[[#This Row],[FRA]]-B261)/B261</f>
        <v>4.852446028916566E-3</v>
      </c>
    </row>
    <row r="274" spans="1:4" x14ac:dyDescent="0.2">
      <c r="A274" s="22">
        <v>41395</v>
      </c>
      <c r="B274" s="85">
        <f>VLOOKUP(A274,Database!$A:$AS,MATCH($B$4,Database!$A$1:$AS$1,0),FALSE)</f>
        <v>101.07</v>
      </c>
      <c r="C274" s="23">
        <f>(Table13456789101112131415161734[[#This Row],[FRA]]-B273)/B273</f>
        <v>-3.9420518379817259E-3</v>
      </c>
      <c r="D274" s="24">
        <f>(Table13456789101112131415161734[[#This Row],[FRA]]-B262)/B262</f>
        <v>1.5574758842443703E-2</v>
      </c>
    </row>
    <row r="275" spans="1:4" x14ac:dyDescent="0.2">
      <c r="A275" s="22">
        <v>41426</v>
      </c>
      <c r="B275" s="85">
        <f>VLOOKUP(A275,Database!$A:$AS,MATCH($B$4,Database!$A$1:$AS$1,0),FALSE)</f>
        <v>99.82</v>
      </c>
      <c r="C275" s="23">
        <f>(Table13456789101112131415161734[[#This Row],[FRA]]-B274)/B274</f>
        <v>-1.2367665974077372E-2</v>
      </c>
      <c r="D275" s="24">
        <f>(Table13456789101112131415161734[[#This Row],[FRA]]-B263)/B263</f>
        <v>1.0835443037974615E-2</v>
      </c>
    </row>
    <row r="276" spans="1:4" x14ac:dyDescent="0.2">
      <c r="A276" s="22">
        <v>41456</v>
      </c>
      <c r="B276" s="85">
        <f>VLOOKUP(A276,Database!$A:$AS,MATCH($B$4,Database!$A$1:$AS$1,0),FALSE)</f>
        <v>99.12</v>
      </c>
      <c r="C276" s="23">
        <f>(Table13456789101112131415161734[[#This Row],[FRA]]-B275)/B275</f>
        <v>-7.0126227208975019E-3</v>
      </c>
      <c r="D276" s="24">
        <f>(Table13456789101112131415161734[[#This Row],[FRA]]-B264)/B264</f>
        <v>-3.2180209171358927E-3</v>
      </c>
    </row>
    <row r="277" spans="1:4" x14ac:dyDescent="0.2">
      <c r="A277" s="22">
        <v>41487</v>
      </c>
      <c r="B277" s="85">
        <f>VLOOKUP(A277,Database!$A:$AS,MATCH($B$4,Database!$A$1:$AS$1,0),FALSE)</f>
        <v>98.34</v>
      </c>
      <c r="C277" s="23">
        <f>(Table13456789101112131415161734[[#This Row],[FRA]]-B276)/B276</f>
        <v>-7.8692493946731345E-3</v>
      </c>
      <c r="D277" s="24">
        <f>(Table13456789101112131415161734[[#This Row],[FRA]]-B265)/B265</f>
        <v>-3.2657879205193717E-2</v>
      </c>
    </row>
    <row r="278" spans="1:4" x14ac:dyDescent="0.2">
      <c r="A278" s="22">
        <v>41518</v>
      </c>
      <c r="B278" s="85">
        <f>VLOOKUP(A278,Database!$A:$AS,MATCH($B$4,Database!$A$1:$AS$1,0),FALSE)</f>
        <v>98.9</v>
      </c>
      <c r="C278" s="23">
        <f>(Table13456789101112131415161734[[#This Row],[FRA]]-B277)/B277</f>
        <v>5.6945291844620934E-3</v>
      </c>
      <c r="D278" s="24">
        <f>(Table13456789101112131415161734[[#This Row],[FRA]]-B266)/B266</f>
        <v>-5.1302685846493406E-3</v>
      </c>
    </row>
    <row r="279" spans="1:4" x14ac:dyDescent="0.2">
      <c r="A279" s="22">
        <v>41548</v>
      </c>
      <c r="B279" s="85">
        <f>VLOOKUP(A279,Database!$A:$AS,MATCH($B$4,Database!$A$1:$AS$1,0),FALSE)</f>
        <v>99.07</v>
      </c>
      <c r="C279" s="23">
        <f>(Table13456789101112131415161734[[#This Row],[FRA]]-B278)/B278</f>
        <v>1.7189079878664052E-3</v>
      </c>
      <c r="D279" s="24">
        <f>(Table13456789101112131415161734[[#This Row],[FRA]]-B267)/B267</f>
        <v>1.1434405308830936E-2</v>
      </c>
    </row>
    <row r="280" spans="1:4" x14ac:dyDescent="0.2">
      <c r="A280" s="22">
        <v>41579</v>
      </c>
      <c r="B280" s="85">
        <f>VLOOKUP(A280,Database!$A:$AS,MATCH($B$4,Database!$A$1:$AS$1,0),FALSE)</f>
        <v>100.75</v>
      </c>
      <c r="C280" s="23">
        <f>(Table13456789101112131415161734[[#This Row],[FRA]]-B279)/B279</f>
        <v>1.6957706672050137E-2</v>
      </c>
      <c r="D280" s="24">
        <f>(Table13456789101112131415161734[[#This Row],[FRA]]-B268)/B268</f>
        <v>2.9111338100102087E-2</v>
      </c>
    </row>
    <row r="281" spans="1:4" x14ac:dyDescent="0.2">
      <c r="A281" s="22">
        <v>41609</v>
      </c>
      <c r="B281" s="85">
        <f>VLOOKUP(A281,Database!$A:$AS,MATCH($B$4,Database!$A$1:$AS$1,0),FALSE)</f>
        <v>99.51</v>
      </c>
      <c r="C281" s="23">
        <f>(Table13456789101112131415161734[[#This Row],[FRA]]-B280)/B280</f>
        <v>-1.2307692307692257E-2</v>
      </c>
      <c r="D281" s="24">
        <f>(Table13456789101112131415161734[[#This Row],[FRA]]-B269)/B269</f>
        <v>6.9823922282939892E-3</v>
      </c>
    </row>
    <row r="282" spans="1:4" x14ac:dyDescent="0.2">
      <c r="A282" s="22">
        <v>41640</v>
      </c>
      <c r="B282" s="85">
        <f>VLOOKUP(A282,Database!$A:$AS,MATCH($B$4,Database!$A$1:$AS$1,0),FALSE)</f>
        <v>98</v>
      </c>
      <c r="C282" s="23">
        <f>(Table13456789101112131415161734[[#This Row],[FRA]]-B281)/B281</f>
        <v>-1.5174354336247664E-2</v>
      </c>
      <c r="D282" s="24">
        <f>(Table13456789101112131415161734[[#This Row],[FRA]]-B270)/B270</f>
        <v>-6.488240064882406E-3</v>
      </c>
    </row>
    <row r="283" spans="1:4" x14ac:dyDescent="0.2">
      <c r="A283" s="22">
        <v>41671</v>
      </c>
      <c r="B283" s="85">
        <f>VLOOKUP(A283,Database!$A:$AS,MATCH($B$4,Database!$A$1:$AS$1,0),FALSE)</f>
        <v>99.49</v>
      </c>
      <c r="C283" s="23">
        <f>(Table13456789101112131415161734[[#This Row],[FRA]]-B282)/B282</f>
        <v>1.5204081632653009E-2</v>
      </c>
      <c r="D283" s="24">
        <f>(Table13456789101112131415161734[[#This Row],[FRA]]-B271)/B271</f>
        <v>-2.2063985558118432E-3</v>
      </c>
    </row>
    <row r="284" spans="1:4" x14ac:dyDescent="0.2">
      <c r="A284" s="22">
        <v>41699</v>
      </c>
      <c r="B284" s="85">
        <f>VLOOKUP(A284,Database!$A:$AS,MATCH($B$4,Database!$A$1:$AS$1,0),FALSE)</f>
        <v>98.77</v>
      </c>
      <c r="C284" s="23">
        <f>(Table13456789101112131415161734[[#This Row],[FRA]]-B283)/B283</f>
        <v>-7.2369082319831031E-3</v>
      </c>
      <c r="D284" s="24">
        <f>(Table13456789101112131415161734[[#This Row],[FRA]]-B272)/B272</f>
        <v>-1.0717147435897509E-2</v>
      </c>
    </row>
    <row r="285" spans="1:4" x14ac:dyDescent="0.2">
      <c r="A285" s="22">
        <v>41730</v>
      </c>
      <c r="B285" s="85">
        <f>VLOOKUP(A285,Database!$A:$AS,MATCH($B$4,Database!$A$1:$AS$1,0),FALSE)</f>
        <v>99.15</v>
      </c>
      <c r="C285" s="23">
        <f>(Table13456789101112131415161734[[#This Row],[FRA]]-B284)/B284</f>
        <v>3.8473220613547605E-3</v>
      </c>
      <c r="D285" s="24">
        <f>(Table13456789101112131415161734[[#This Row],[FRA]]-B273)/B273</f>
        <v>-2.2863900660293614E-2</v>
      </c>
    </row>
    <row r="286" spans="1:4" x14ac:dyDescent="0.2">
      <c r="A286" s="22">
        <v>41760</v>
      </c>
      <c r="B286" s="85">
        <f>VLOOKUP(A286,Database!$A:$AS,MATCH($B$4,Database!$A$1:$AS$1,0),FALSE)</f>
        <v>96.94</v>
      </c>
      <c r="C286" s="23">
        <f>(Table13456789101112131415161734[[#This Row],[FRA]]-B285)/B285</f>
        <v>-2.2289460413514955E-2</v>
      </c>
      <c r="D286" s="24">
        <f>(Table13456789101112131415161734[[#This Row],[FRA]]-B274)/B274</f>
        <v>-4.0862768378351594E-2</v>
      </c>
    </row>
    <row r="287" spans="1:4" x14ac:dyDescent="0.2">
      <c r="A287" s="22">
        <v>41791</v>
      </c>
      <c r="B287" s="85">
        <f>VLOOKUP(A287,Database!$A:$AS,MATCH($B$4,Database!$A$1:$AS$1,0),FALSE)</f>
        <v>99</v>
      </c>
      <c r="C287" s="23">
        <f>(Table13456789101112131415161734[[#This Row],[FRA]]-B286)/B286</f>
        <v>2.1250257891479288E-2</v>
      </c>
      <c r="D287" s="24">
        <f>(Table13456789101112131415161734[[#This Row],[FRA]]-B275)/B275</f>
        <v>-8.2147866159085672E-3</v>
      </c>
    </row>
    <row r="288" spans="1:4" x14ac:dyDescent="0.2">
      <c r="A288" s="22">
        <v>41821</v>
      </c>
      <c r="B288" s="85">
        <f>VLOOKUP(A288,Database!$A:$AS,MATCH($B$4,Database!$A$1:$AS$1,0),FALSE)</f>
        <v>100.33</v>
      </c>
      <c r="C288" s="23">
        <f>(Table13456789101112131415161734[[#This Row],[FRA]]-B287)/B287</f>
        <v>1.3434343434343417E-2</v>
      </c>
      <c r="D288" s="24">
        <f>(Table13456789101112131415161734[[#This Row],[FRA]]-B276)/B276</f>
        <v>1.22074253430185E-2</v>
      </c>
    </row>
    <row r="289" spans="1:4" x14ac:dyDescent="0.2">
      <c r="A289" s="22">
        <v>41852</v>
      </c>
      <c r="B289" s="85">
        <f>VLOOKUP(A289,Database!$A:$AS,MATCH($B$4,Database!$A$1:$AS$1,0),FALSE)</f>
        <v>98.14</v>
      </c>
      <c r="C289" s="23">
        <f>(Table13456789101112131415161734[[#This Row],[FRA]]-B288)/B288</f>
        <v>-2.1827967706568301E-2</v>
      </c>
      <c r="D289" s="24">
        <f>(Table13456789101112131415161734[[#This Row],[FRA]]-B277)/B277</f>
        <v>-2.0337604230221966E-3</v>
      </c>
    </row>
    <row r="290" spans="1:4" x14ac:dyDescent="0.2">
      <c r="A290" s="22">
        <v>41883</v>
      </c>
      <c r="B290" s="85">
        <f>VLOOKUP(A290,Database!$A:$AS,MATCH($B$4,Database!$A$1:$AS$1,0),FALSE)</f>
        <v>99.16</v>
      </c>
      <c r="C290" s="23">
        <f>(Table13456789101112131415161734[[#This Row],[FRA]]-B289)/B289</f>
        <v>1.0393315671489668E-2</v>
      </c>
      <c r="D290" s="24">
        <f>(Table13456789101112131415161734[[#This Row],[FRA]]-B278)/B278</f>
        <v>2.6289180990898978E-3</v>
      </c>
    </row>
    <row r="291" spans="1:4" x14ac:dyDescent="0.2">
      <c r="A291" s="22">
        <v>41913</v>
      </c>
      <c r="B291" s="85">
        <f>VLOOKUP(A291,Database!$A:$AS,MATCH($B$4,Database!$A$1:$AS$1,0),FALSE)</f>
        <v>97.64</v>
      </c>
      <c r="C291" s="23">
        <f>(Table13456789101112131415161734[[#This Row],[FRA]]-B290)/B290</f>
        <v>-1.5328761597418274E-2</v>
      </c>
      <c r="D291" s="24">
        <f>(Table13456789101112131415161734[[#This Row],[FRA]]-B279)/B279</f>
        <v>-1.4434238417280637E-2</v>
      </c>
    </row>
    <row r="292" spans="1:4" x14ac:dyDescent="0.2">
      <c r="A292" s="22">
        <v>41944</v>
      </c>
      <c r="B292" s="85">
        <f>VLOOKUP(A292,Database!$A:$AS,MATCH($B$4,Database!$A$1:$AS$1,0),FALSE)</f>
        <v>96.62</v>
      </c>
      <c r="C292" s="23">
        <f>(Table13456789101112131415161734[[#This Row],[FRA]]-B291)/B291</f>
        <v>-1.044653830397374E-2</v>
      </c>
      <c r="D292" s="24">
        <f>(Table13456789101112131415161734[[#This Row],[FRA]]-B280)/B280</f>
        <v>-4.0992555831265466E-2</v>
      </c>
    </row>
    <row r="293" spans="1:4" x14ac:dyDescent="0.2">
      <c r="A293" s="22">
        <v>41974</v>
      </c>
      <c r="B293" s="85">
        <f>VLOOKUP(A293,Database!$A:$AS,MATCH($B$4,Database!$A$1:$AS$1,0),FALSE)</f>
        <v>99.47</v>
      </c>
      <c r="C293" s="23">
        <f>(Table13456789101112131415161734[[#This Row],[FRA]]-B292)/B292</f>
        <v>2.9496998551024573E-2</v>
      </c>
      <c r="D293" s="24">
        <f>(Table13456789101112131415161734[[#This Row],[FRA]]-B281)/B281</f>
        <v>-4.019696512913903E-4</v>
      </c>
    </row>
    <row r="294" spans="1:4" x14ac:dyDescent="0.2">
      <c r="A294" s="22">
        <v>42005</v>
      </c>
      <c r="B294" s="85">
        <f>VLOOKUP(A294,Database!$A:$AS,MATCH($B$4,Database!$A$1:$AS$1,0),FALSE)</f>
        <v>99.51</v>
      </c>
      <c r="C294" s="23">
        <f>(Table13456789101112131415161734[[#This Row],[FRA]]-B293)/B293</f>
        <v>4.0213129586816381E-4</v>
      </c>
      <c r="D294" s="24">
        <f>(Table13456789101112131415161734[[#This Row],[FRA]]-B282)/B282</f>
        <v>1.5408163265306175E-2</v>
      </c>
    </row>
    <row r="295" spans="1:4" x14ac:dyDescent="0.2">
      <c r="A295" s="22">
        <v>42036</v>
      </c>
      <c r="B295" s="85">
        <f>VLOOKUP(A295,Database!$A:$AS,MATCH($B$4,Database!$A$1:$AS$1,0),FALSE)</f>
        <v>100.09</v>
      </c>
      <c r="C295" s="23">
        <f>(Table13456789101112131415161734[[#This Row],[FRA]]-B294)/B294</f>
        <v>5.8285599437242312E-3</v>
      </c>
      <c r="D295" s="24">
        <f>(Table13456789101112131415161734[[#This Row],[FRA]]-B283)/B283</f>
        <v>6.0307568599860147E-3</v>
      </c>
    </row>
    <row r="296" spans="1:4" x14ac:dyDescent="0.2">
      <c r="A296" s="22">
        <v>42064</v>
      </c>
      <c r="B296" s="85">
        <f>VLOOKUP(A296,Database!$A:$AS,MATCH($B$4,Database!$A$1:$AS$1,0),FALSE)</f>
        <v>99.89</v>
      </c>
      <c r="C296" s="23">
        <f>(Table13456789101112131415161734[[#This Row],[FRA]]-B295)/B295</f>
        <v>-1.9982016185433392E-3</v>
      </c>
      <c r="D296" s="24">
        <f>(Table13456789101112131415161734[[#This Row],[FRA]]-B284)/B284</f>
        <v>1.1339475549255894E-2</v>
      </c>
    </row>
    <row r="297" spans="1:4" x14ac:dyDescent="0.2">
      <c r="A297" s="22">
        <v>42095</v>
      </c>
      <c r="B297" s="85">
        <f>VLOOKUP(A297,Database!$A:$AS,MATCH($B$4,Database!$A$1:$AS$1,0),FALSE)</f>
        <v>99.4</v>
      </c>
      <c r="C297" s="23">
        <f>(Table13456789101112131415161734[[#This Row],[FRA]]-B296)/B296</f>
        <v>-4.9053959355290309E-3</v>
      </c>
      <c r="D297" s="24">
        <f>(Table13456789101112131415161734[[#This Row],[FRA]]-B285)/B285</f>
        <v>2.5214321734745334E-3</v>
      </c>
    </row>
    <row r="298" spans="1:4" x14ac:dyDescent="0.2">
      <c r="A298" s="22">
        <v>42125</v>
      </c>
      <c r="B298" s="85">
        <f>VLOOKUP(A298,Database!$A:$AS,MATCH($B$4,Database!$A$1:$AS$1,0),FALSE)</f>
        <v>100.21</v>
      </c>
      <c r="C298" s="23">
        <f>(Table13456789101112131415161734[[#This Row],[FRA]]-B297)/B297</f>
        <v>8.1488933601608447E-3</v>
      </c>
      <c r="D298" s="24">
        <f>(Table13456789101112131415161734[[#This Row],[FRA]]-B286)/B286</f>
        <v>3.3732205487930642E-2</v>
      </c>
    </row>
    <row r="299" spans="1:4" x14ac:dyDescent="0.2">
      <c r="A299" s="22">
        <v>42156</v>
      </c>
      <c r="B299" s="85">
        <f>VLOOKUP(A299,Database!$A:$AS,MATCH($B$4,Database!$A$1:$AS$1,0),FALSE)</f>
        <v>100.22</v>
      </c>
      <c r="C299" s="23">
        <f>(Table13456789101112131415161734[[#This Row],[FRA]]-B298)/B298</f>
        <v>9.9790440075891789E-5</v>
      </c>
      <c r="D299" s="24">
        <f>(Table13456789101112131415161734[[#This Row],[FRA]]-B287)/B287</f>
        <v>1.2323232323232312E-2</v>
      </c>
    </row>
    <row r="300" spans="1:4" x14ac:dyDescent="0.2">
      <c r="A300" s="22">
        <v>42186</v>
      </c>
      <c r="B300" s="85">
        <f>VLOOKUP(A300,Database!$A:$AS,MATCH($B$4,Database!$A$1:$AS$1,0),FALSE)</f>
        <v>99.11</v>
      </c>
      <c r="C300" s="23">
        <f>(Table13456789101112131415161734[[#This Row],[FRA]]-B299)/B299</f>
        <v>-1.1075633606066648E-2</v>
      </c>
      <c r="D300" s="24">
        <f>(Table13456789101112131415161734[[#This Row],[FRA]]-B288)/B288</f>
        <v>-1.2159872421010654E-2</v>
      </c>
    </row>
    <row r="301" spans="1:4" x14ac:dyDescent="0.2">
      <c r="A301" s="22">
        <v>42217</v>
      </c>
      <c r="B301" s="85">
        <f>VLOOKUP(A301,Database!$A:$AS,MATCH($B$4,Database!$A$1:$AS$1,0),FALSE)</f>
        <v>99.81</v>
      </c>
      <c r="C301" s="23">
        <f>(Table13456789101112131415161734[[#This Row],[FRA]]-B300)/B300</f>
        <v>7.0628594490969917E-3</v>
      </c>
      <c r="D301" s="24">
        <f>(Table13456789101112131415161734[[#This Row],[FRA]]-B289)/B289</f>
        <v>1.7016507030772385E-2</v>
      </c>
    </row>
    <row r="302" spans="1:4" x14ac:dyDescent="0.2">
      <c r="A302" s="22">
        <v>42248</v>
      </c>
      <c r="B302" s="85">
        <f>VLOOKUP(A302,Database!$A:$AS,MATCH($B$4,Database!$A$1:$AS$1,0),FALSE)</f>
        <v>101.2</v>
      </c>
      <c r="C302" s="23">
        <f>(Table13456789101112131415161734[[#This Row],[FRA]]-B301)/B301</f>
        <v>1.3926460274521596E-2</v>
      </c>
      <c r="D302" s="24">
        <f>(Table13456789101112131415161734[[#This Row],[FRA]]-B290)/B290</f>
        <v>2.05728116175878E-2</v>
      </c>
    </row>
    <row r="303" spans="1:4" x14ac:dyDescent="0.2">
      <c r="A303" s="22">
        <v>42278</v>
      </c>
      <c r="B303" s="85">
        <f>VLOOKUP(A303,Database!$A:$AS,MATCH($B$4,Database!$A$1:$AS$1,0),FALSE)</f>
        <v>101.52</v>
      </c>
      <c r="C303" s="23">
        <f>(Table13456789101112131415161734[[#This Row],[FRA]]-B302)/B302</f>
        <v>3.1620553359683118E-3</v>
      </c>
      <c r="D303" s="24">
        <f>(Table13456789101112131415161734[[#This Row],[FRA]]-B291)/B291</f>
        <v>3.9737812371978654E-2</v>
      </c>
    </row>
    <row r="304" spans="1:4" x14ac:dyDescent="0.2">
      <c r="A304" s="22">
        <v>42309</v>
      </c>
      <c r="B304" s="85">
        <f>VLOOKUP(A304,Database!$A:$AS,MATCH($B$4,Database!$A$1:$AS$1,0),FALSE)</f>
        <v>99.3</v>
      </c>
      <c r="C304" s="23">
        <f>(Table13456789101112131415161734[[#This Row],[FRA]]-B303)/B303</f>
        <v>-2.1867612293144198E-2</v>
      </c>
      <c r="D304" s="24">
        <f>(Table13456789101112131415161734[[#This Row],[FRA]]-B292)/B292</f>
        <v>2.7737528462016069E-2</v>
      </c>
    </row>
    <row r="305" spans="1:4" x14ac:dyDescent="0.2">
      <c r="A305" s="22">
        <v>42339</v>
      </c>
      <c r="B305" s="85">
        <f>VLOOKUP(A305,Database!$A:$AS,MATCH($B$4,Database!$A$1:$AS$1,0),FALSE)</f>
        <v>99.75</v>
      </c>
      <c r="C305" s="23">
        <f>(Table13456789101112131415161734[[#This Row],[FRA]]-B304)/B304</f>
        <v>4.5317220543806937E-3</v>
      </c>
      <c r="D305" s="24">
        <f>(Table13456789101112131415161734[[#This Row],[FRA]]-B293)/B293</f>
        <v>2.8149190710767178E-3</v>
      </c>
    </row>
    <row r="306" spans="1:4" s="87" customFormat="1" x14ac:dyDescent="0.2">
      <c r="A306" s="22">
        <v>42370</v>
      </c>
      <c r="B306" s="85">
        <f>VLOOKUP(A306,Database!$A:$AS,MATCH($B$4,Database!$A$1:$AS$1,0),FALSE)</f>
        <v>101.59</v>
      </c>
      <c r="C306" s="23">
        <f>(Table13456789101112131415161734[[#This Row],[FRA]]-B305)/B305</f>
        <v>1.8446115288220585E-2</v>
      </c>
      <c r="D306" s="24">
        <f>(Table13456789101112131415161734[[#This Row],[FRA]]-B294)/B294</f>
        <v>2.0902421867149013E-2</v>
      </c>
    </row>
    <row r="307" spans="1:4" s="87" customFormat="1" x14ac:dyDescent="0.2">
      <c r="A307" s="22">
        <v>42401</v>
      </c>
      <c r="B307" s="85">
        <f>VLOOKUP(A307,Database!$A:$AS,MATCH($B$4,Database!$A$1:$AS$1,0),FALSE)</f>
        <v>100.64</v>
      </c>
      <c r="C307" s="23">
        <f>(Table13456789101112131415161734[[#This Row],[FRA]]-B306)/B306</f>
        <v>-9.3513141057190944E-3</v>
      </c>
      <c r="D307" s="24">
        <f>(Table13456789101112131415161734[[#This Row],[FRA]]-B295)/B295</f>
        <v>5.4950544509940764E-3</v>
      </c>
    </row>
    <row r="308" spans="1:4" s="87" customFormat="1" x14ac:dyDescent="0.2">
      <c r="A308" s="22">
        <v>42430</v>
      </c>
      <c r="B308" s="85">
        <f>VLOOKUP(A308,Database!$A:$AS,MATCH($B$4,Database!$A$1:$AS$1,0),FALSE)</f>
        <v>100.2</v>
      </c>
      <c r="C308" s="23">
        <f>(Table13456789101112131415161734[[#This Row],[FRA]]-B307)/B307</f>
        <v>-4.372019077901408E-3</v>
      </c>
      <c r="D308" s="24">
        <f>(Table13456789101112131415161734[[#This Row],[FRA]]-B296)/B296</f>
        <v>3.1034137551306665E-3</v>
      </c>
    </row>
    <row r="309" spans="1:4" s="87" customFormat="1" x14ac:dyDescent="0.2">
      <c r="A309" s="22">
        <v>42461</v>
      </c>
      <c r="B309" s="85">
        <f>VLOOKUP(A309,Database!$A:$AS,MATCH($B$4,Database!$A$1:$AS$1,0),FALSE)</f>
        <v>101.21</v>
      </c>
      <c r="C309" s="23">
        <f>(Table13456789101112131415161734[[#This Row],[FRA]]-B308)/B308</f>
        <v>1.0079840319361186E-2</v>
      </c>
      <c r="D309" s="24">
        <f>(Table13456789101112131415161734[[#This Row],[FRA]]-B297)/B297</f>
        <v>1.8209255533199076E-2</v>
      </c>
    </row>
    <row r="310" spans="1:4" s="87" customFormat="1" x14ac:dyDescent="0.2">
      <c r="A310" s="22">
        <v>42491</v>
      </c>
      <c r="B310" s="85">
        <f>VLOOKUP(A310,Database!$A:$AS,MATCH($B$4,Database!$A$1:$AS$1,0),FALSE)</f>
        <v>99.6</v>
      </c>
      <c r="C310" s="23">
        <f>(Table13456789101112131415161734[[#This Row],[FRA]]-B309)/B309</f>
        <v>-1.5907519019859692E-2</v>
      </c>
      <c r="D310" s="24">
        <f>(Table13456789101112131415161734[[#This Row],[FRA]]-B298)/B298</f>
        <v>-6.0872168446262798E-3</v>
      </c>
    </row>
    <row r="311" spans="1:4" s="87" customFormat="1" x14ac:dyDescent="0.2">
      <c r="A311" s="22">
        <v>42522</v>
      </c>
      <c r="B311" s="85">
        <f>VLOOKUP(A311,Database!$A:$AS,MATCH($B$4,Database!$A$1:$AS$1,0),FALSE)</f>
        <v>99.31</v>
      </c>
      <c r="C311" s="23">
        <f>(Table13456789101112131415161734[[#This Row],[FRA]]-B310)/B310</f>
        <v>-2.9116465863453017E-3</v>
      </c>
      <c r="D311" s="24">
        <f>(Table13456789101112131415161734[[#This Row],[FRA]]-B299)/B299</f>
        <v>-9.0800239473158711E-3</v>
      </c>
    </row>
    <row r="312" spans="1:4" s="87" customFormat="1" x14ac:dyDescent="0.2">
      <c r="A312" s="22">
        <v>42552</v>
      </c>
      <c r="B312" s="85">
        <f>VLOOKUP(A312,Database!$A:$AS,MATCH($B$4,Database!$A$1:$AS$1,0),FALSE)</f>
        <v>99</v>
      </c>
      <c r="C312" s="23">
        <f>(Table13456789101112131415161734[[#This Row],[FRA]]-B311)/B311</f>
        <v>-3.1215386164535524E-3</v>
      </c>
      <c r="D312" s="24">
        <f>(Table13456789101112131415161734[[#This Row],[FRA]]-B300)/B300</f>
        <v>-1.1098779134295169E-3</v>
      </c>
    </row>
    <row r="313" spans="1:4" s="87" customFormat="1" x14ac:dyDescent="0.2">
      <c r="A313" s="22">
        <v>42583</v>
      </c>
      <c r="B313" s="85">
        <f>VLOOKUP(A313,Database!$A:$AS,MATCH($B$4,Database!$A$1:$AS$1,0),FALSE)</f>
        <v>100.94</v>
      </c>
      <c r="C313" s="23">
        <f>(Table13456789101112131415161734[[#This Row],[FRA]]-B312)/B312</f>
        <v>1.9595959595959573E-2</v>
      </c>
      <c r="D313" s="24">
        <f>(Table13456789101112131415161734[[#This Row],[FRA]]-B301)/B301</f>
        <v>1.1321510870654198E-2</v>
      </c>
    </row>
    <row r="314" spans="1:4" s="87" customFormat="1" x14ac:dyDescent="0.2">
      <c r="A314" s="22">
        <v>42614</v>
      </c>
      <c r="B314" s="85">
        <f>VLOOKUP(A314,Database!$A:$AS,MATCH($B$4,Database!$A$1:$AS$1,0),FALSE)</f>
        <v>100.03</v>
      </c>
      <c r="C314" s="23">
        <f>(Table13456789101112131415161734[[#This Row],[FRA]]-B313)/B313</f>
        <v>-9.0152565880720886E-3</v>
      </c>
      <c r="D314" s="24">
        <f>(Table13456789101112131415161734[[#This Row],[FRA]]-B302)/B302</f>
        <v>-1.1561264822134404E-2</v>
      </c>
    </row>
    <row r="315" spans="1:4" s="87" customFormat="1" x14ac:dyDescent="0.2">
      <c r="A315" s="22">
        <v>42644</v>
      </c>
      <c r="B315" s="85">
        <f>VLOOKUP(A315,Database!$A:$AS,MATCH($B$4,Database!$A$1:$AS$1,0),FALSE)</f>
        <v>99.56</v>
      </c>
      <c r="C315" s="23">
        <f>(Table13456789101112131415161734[[#This Row],[FRA]]-B314)/B314</f>
        <v>-4.698590422873127E-3</v>
      </c>
      <c r="D315" s="24">
        <f>(Table13456789101112131415161734[[#This Row],[FRA]]-B303)/B303</f>
        <v>-1.9306540583136265E-2</v>
      </c>
    </row>
    <row r="316" spans="1:4" s="87" customFormat="1" x14ac:dyDescent="0.2">
      <c r="A316" s="22">
        <v>42675</v>
      </c>
      <c r="B316" s="85">
        <f>VLOOKUP(A316,Database!$A:$AS,MATCH($B$4,Database!$A$1:$AS$1,0),FALSE)</f>
        <v>102.25</v>
      </c>
      <c r="C316" s="23">
        <f>(Table13456789101112131415161734[[#This Row],[FRA]]-B315)/B315</f>
        <v>2.7018883085576512E-2</v>
      </c>
      <c r="D316" s="24">
        <f>(Table13456789101112131415161734[[#This Row],[FRA]]-B304)/B304</f>
        <v>2.9707955689828831E-2</v>
      </c>
    </row>
    <row r="317" spans="1:4" s="87" customFormat="1" x14ac:dyDescent="0.2">
      <c r="A317" s="22">
        <v>42705</v>
      </c>
      <c r="B317" s="85">
        <f>VLOOKUP(A317,Database!$A:$AS,MATCH($B$4,Database!$A$1:$AS$1,0),FALSE)</f>
        <v>100.87</v>
      </c>
      <c r="C317" s="23">
        <f>(Table13456789101112131415161734[[#This Row],[FRA]]-B316)/B316</f>
        <v>-1.3496332518337364E-2</v>
      </c>
      <c r="D317" s="24">
        <f>(Table13456789101112131415161734[[#This Row],[FRA]]-B305)/B305</f>
        <v>1.1228070175438642E-2</v>
      </c>
    </row>
    <row r="318" spans="1:4" s="87" customFormat="1" x14ac:dyDescent="0.2">
      <c r="A318" s="22">
        <v>42736</v>
      </c>
      <c r="B318" s="85">
        <f>VLOOKUP(A318,Database!$A:$AS,MATCH($B$4,Database!$A$1:$AS$1,0),FALSE)</f>
        <v>101.34</v>
      </c>
      <c r="C318" s="23">
        <f>(Table13456789101112131415161734[[#This Row],[FRA]]-B317)/B317</f>
        <v>4.6594626747298385E-3</v>
      </c>
      <c r="D318" s="24">
        <f>(Table13456789101112131415161734[[#This Row],[FRA]]-B306)/B306</f>
        <v>-2.4608721330839651E-3</v>
      </c>
    </row>
    <row r="319" spans="1:4" s="87" customFormat="1" x14ac:dyDescent="0.2">
      <c r="A319" s="22">
        <v>42767</v>
      </c>
      <c r="B319" s="85">
        <f>VLOOKUP(A319,Database!$A:$AS,MATCH($B$4,Database!$A$1:$AS$1,0),FALSE)</f>
        <v>100.15</v>
      </c>
      <c r="C319" s="23">
        <f>(Table13456789101112131415161734[[#This Row],[FRA]]-B318)/B318</f>
        <v>-1.1742648509966426E-2</v>
      </c>
      <c r="D319" s="24">
        <f>(Table13456789101112131415161734[[#This Row],[FRA]]-B307)/B307</f>
        <v>-4.8688394276629066E-3</v>
      </c>
    </row>
    <row r="320" spans="1:4" s="87" customFormat="1" x14ac:dyDescent="0.2">
      <c r="A320" s="22">
        <v>42795</v>
      </c>
      <c r="B320" s="85">
        <f>VLOOKUP(A320,Database!$A:$AS,MATCH($B$4,Database!$A$1:$AS$1,0),FALSE)</f>
        <v>101.39</v>
      </c>
      <c r="C320" s="23">
        <f>(Table13456789101112131415161734[[#This Row],[FRA]]-B319)/B319</f>
        <v>1.238142785821263E-2</v>
      </c>
      <c r="D320" s="24">
        <f>(Table13456789101112131415161734[[#This Row],[FRA]]-B308)/B308</f>
        <v>1.1876247504989997E-2</v>
      </c>
    </row>
    <row r="321" spans="1:4" s="87" customFormat="1" x14ac:dyDescent="0.2">
      <c r="A321" s="22">
        <v>42826</v>
      </c>
      <c r="B321" s="85">
        <f>VLOOKUP(A321,Database!$A:$AS,MATCH($B$4,Database!$A$1:$AS$1,0),FALSE)</f>
        <v>101.07</v>
      </c>
      <c r="C321" s="23">
        <f>(Table13456789101112131415161734[[#This Row],[FRA]]-B320)/B320</f>
        <v>-3.1561297958379265E-3</v>
      </c>
      <c r="D321" s="24">
        <f>(Table13456789101112131415161734[[#This Row],[FRA]]-B309)/B309</f>
        <v>-1.3832625234660664E-3</v>
      </c>
    </row>
    <row r="322" spans="1:4" s="87" customFormat="1" x14ac:dyDescent="0.2">
      <c r="A322" s="22">
        <v>42856</v>
      </c>
      <c r="B322" s="85">
        <f>VLOOKUP(A322,Database!$A:$AS,MATCH($B$4,Database!$A$1:$AS$1,0),FALSE)</f>
        <v>103.22</v>
      </c>
      <c r="C322" s="23">
        <f>(Table13456789101112131415161734[[#This Row],[FRA]]-B321)/B321</f>
        <v>2.1272385475413137E-2</v>
      </c>
      <c r="D322" s="24">
        <f>(Table13456789101112131415161734[[#This Row],[FRA]]-B310)/B310</f>
        <v>3.6345381526104469E-2</v>
      </c>
    </row>
    <row r="323" spans="1:4" s="87" customFormat="1" x14ac:dyDescent="0.2">
      <c r="A323" s="22">
        <v>42887</v>
      </c>
      <c r="B323" s="85">
        <f>VLOOKUP(A323,Database!$A:$AS,MATCH($B$4,Database!$A$1:$AS$1,0),FALSE)</f>
        <v>102.05</v>
      </c>
      <c r="C323" s="23">
        <f>(Table13456789101112131415161734[[#This Row],[FRA]]-B322)/B322</f>
        <v>-1.1335012594458455E-2</v>
      </c>
      <c r="D323" s="24">
        <f>(Table13456789101112131415161734[[#This Row],[FRA]]-B311)/B311</f>
        <v>2.759037357768598E-2</v>
      </c>
    </row>
    <row r="324" spans="1:4" s="87" customFormat="1" x14ac:dyDescent="0.2">
      <c r="A324" s="22">
        <v>42917</v>
      </c>
      <c r="B324" s="85">
        <f>VLOOKUP(A324,Database!$A:$AS,MATCH($B$4,Database!$A$1:$AS$1,0),FALSE)</f>
        <v>102.61</v>
      </c>
      <c r="C324" s="23">
        <f>(Table13456789101112131415161734[[#This Row],[FRA]]-B323)/B323</f>
        <v>5.4875061244488224E-3</v>
      </c>
      <c r="D324" s="24">
        <f>(Table13456789101112131415161734[[#This Row],[FRA]]-B312)/B312</f>
        <v>3.6464646464646457E-2</v>
      </c>
    </row>
    <row r="325" spans="1:4" s="87" customFormat="1" x14ac:dyDescent="0.2">
      <c r="A325" s="22">
        <v>42948</v>
      </c>
      <c r="B325" s="85">
        <f>VLOOKUP(A325,Database!$A:$AS,MATCH($B$4,Database!$A$1:$AS$1,0),FALSE)</f>
        <v>102.81</v>
      </c>
      <c r="C325" s="23">
        <f>(Table13456789101112131415161734[[#This Row],[FRA]]-B324)/B324</f>
        <v>1.9491277653250448E-3</v>
      </c>
      <c r="D325" s="24">
        <f>(Table13456789101112131415161734[[#This Row],[FRA]]-B313)/B313</f>
        <v>1.8525856944719681E-2</v>
      </c>
    </row>
    <row r="326" spans="1:4" s="87" customFormat="1" x14ac:dyDescent="0.2">
      <c r="A326" s="22">
        <v>42979</v>
      </c>
      <c r="B326" s="85">
        <f>VLOOKUP(A326,Database!$A:$AS,MATCH($B$4,Database!$A$1:$AS$1,0),FALSE)</f>
        <v>103.72</v>
      </c>
      <c r="C326" s="23">
        <f>(Table13456789101112131415161734[[#This Row],[FRA]]-B325)/B325</f>
        <v>8.8512790584573155E-3</v>
      </c>
      <c r="D326" s="24">
        <f>(Table13456789101112131415161734[[#This Row],[FRA]]-B314)/B314</f>
        <v>3.6888933320003973E-2</v>
      </c>
    </row>
    <row r="327" spans="1:4" s="87" customFormat="1" x14ac:dyDescent="0.2">
      <c r="A327" s="22">
        <v>43009</v>
      </c>
      <c r="B327" s="85">
        <f>VLOOKUP(A327,Database!$A:$AS,MATCH($B$4,Database!$A$1:$AS$1,0),FALSE)</f>
        <v>104.11</v>
      </c>
      <c r="C327" s="23">
        <f>(Table13456789101112131415161734[[#This Row],[FRA]]-B326)/B326</f>
        <v>3.7601234091785632E-3</v>
      </c>
      <c r="D327" s="24">
        <f>(Table13456789101112131415161734[[#This Row],[FRA]]-B315)/B315</f>
        <v>4.5701084773001173E-2</v>
      </c>
    </row>
    <row r="328" spans="1:4" s="87" customFormat="1" x14ac:dyDescent="0.2">
      <c r="A328" s="22">
        <v>43040</v>
      </c>
      <c r="B328" s="85">
        <f>VLOOKUP(A328,Database!$A:$AS,MATCH($B$4,Database!$A$1:$AS$1,0),FALSE)</f>
        <v>104.69</v>
      </c>
      <c r="C328" s="23">
        <f>(Table13456789101112131415161734[[#This Row],[FRA]]-B327)/B327</f>
        <v>5.5710306406685072E-3</v>
      </c>
      <c r="D328" s="24">
        <f>(Table13456789101112131415161734[[#This Row],[FRA]]-B316)/B316</f>
        <v>2.3863080684596555E-2</v>
      </c>
    </row>
    <row r="329" spans="1:4" s="87" customFormat="1" x14ac:dyDescent="0.2">
      <c r="A329" s="22">
        <v>43070</v>
      </c>
      <c r="B329" s="85">
        <f>VLOOKUP(A329,Database!$A:$AS,MATCH($B$4,Database!$A$1:$AS$1,0),FALSE)</f>
        <v>105.7</v>
      </c>
      <c r="C329" s="23">
        <f>(Table13456789101112131415161734[[#This Row],[FRA]]-B328)/B328</f>
        <v>9.6475308052345506E-3</v>
      </c>
      <c r="D329" s="24">
        <f>(Table13456789101112131415161734[[#This Row],[FRA]]-B317)/B317</f>
        <v>4.7883414295628014E-2</v>
      </c>
    </row>
    <row r="330" spans="1:4" s="87" customFormat="1" x14ac:dyDescent="0.2">
      <c r="A330" s="22">
        <v>43101</v>
      </c>
      <c r="B330" s="85">
        <f>VLOOKUP(A330,Database!$A:$AS,MATCH($B$4,Database!$A$1:$AS$1,0),FALSE)</f>
        <v>102</v>
      </c>
      <c r="C330" s="23">
        <f>(Table13456789101112131415161734[[#This Row],[FRA]]-B329)/B329</f>
        <v>-3.5004730368968805E-2</v>
      </c>
      <c r="D330" s="24">
        <f>(Table13456789101112131415161734[[#This Row],[FRA]]-B318)/B318</f>
        <v>6.5127294256956438E-3</v>
      </c>
    </row>
    <row r="331" spans="1:4" s="87" customFormat="1" x14ac:dyDescent="0.2">
      <c r="A331" s="22">
        <v>43132</v>
      </c>
      <c r="B331" s="85">
        <f>VLOOKUP(A331,Database!$A:$AS,MATCH($B$4,Database!$A$1:$AS$1,0),FALSE)</f>
        <v>103.27</v>
      </c>
      <c r="C331" s="23">
        <f>(Table13456789101112131415161734[[#This Row],[FRA]]-B330)/B330</f>
        <v>1.2450980392156823E-2</v>
      </c>
      <c r="D331" s="24">
        <f>(Table13456789101112131415161734[[#This Row],[FRA]]-B319)/B319</f>
        <v>3.1153270094857615E-2</v>
      </c>
    </row>
    <row r="332" spans="1:4" s="87" customFormat="1" x14ac:dyDescent="0.2">
      <c r="A332" s="22">
        <v>43160</v>
      </c>
      <c r="B332" s="85">
        <f>VLOOKUP(A332,Database!$A:$AS,MATCH($B$4,Database!$A$1:$AS$1,0),FALSE)</f>
        <v>104.28</v>
      </c>
      <c r="C332" s="23">
        <f>(Table13456789101112131415161734[[#This Row],[FRA]]-B331)/B331</f>
        <v>9.7801878570737411E-3</v>
      </c>
      <c r="D332" s="24">
        <f>(Table13456789101112131415161734[[#This Row],[FRA]]-B320)/B320</f>
        <v>2.8503797218660622E-2</v>
      </c>
    </row>
    <row r="333" spans="1:4" s="87" customFormat="1" x14ac:dyDescent="0.2">
      <c r="A333" s="22">
        <v>43191</v>
      </c>
      <c r="B333" s="85">
        <f>VLOOKUP(A333,Database!$A:$AS,MATCH($B$4,Database!$A$1:$AS$1,0),FALSE)</f>
        <v>102.91</v>
      </c>
      <c r="C333" s="23">
        <f>(Table13456789101112131415161734[[#This Row],[FRA]]-B332)/B332</f>
        <v>-1.3137706175680903E-2</v>
      </c>
      <c r="D333" s="24">
        <f>(Table13456789101112131415161734[[#This Row],[FRA]]-B321)/B321</f>
        <v>1.8205204313841927E-2</v>
      </c>
    </row>
    <row r="334" spans="1:4" s="87" customFormat="1" x14ac:dyDescent="0.2">
      <c r="A334" s="22">
        <v>43221</v>
      </c>
      <c r="B334" s="85">
        <f>VLOOKUP(A334,Database!$A:$AS,MATCH($B$4,Database!$A$1:$AS$1,0),FALSE)</f>
        <v>101.89</v>
      </c>
      <c r="C334" s="23">
        <f>(Table13456789101112131415161734[[#This Row],[FRA]]-B333)/B333</f>
        <v>-9.9115732193178121E-3</v>
      </c>
      <c r="D334" s="24">
        <f>(Table13456789101112131415161734[[#This Row],[FRA]]-B322)/B322</f>
        <v>-1.2885099786862995E-2</v>
      </c>
    </row>
    <row r="335" spans="1:4" s="87" customFormat="1" x14ac:dyDescent="0.2">
      <c r="A335" s="22">
        <v>43252</v>
      </c>
      <c r="B335" s="85">
        <f>VLOOKUP(A335,Database!$A:$AS,MATCH($B$4,Database!$A$1:$AS$1,0),FALSE)</f>
        <v>103.8</v>
      </c>
      <c r="C335" s="23">
        <f>(Table13456789101112131415161734[[#This Row],[FRA]]-B334)/B334</f>
        <v>1.8745706153695127E-2</v>
      </c>
      <c r="D335" s="24">
        <f>(Table13456789101112131415161734[[#This Row],[FRA]]-B323)/B323</f>
        <v>1.71484566389025E-2</v>
      </c>
    </row>
    <row r="336" spans="1:4" s="87" customFormat="1" x14ac:dyDescent="0.2">
      <c r="A336" s="22">
        <v>43282</v>
      </c>
      <c r="B336" s="85">
        <f>VLOOKUP(A336,Database!$A:$AS,MATCH($B$4,Database!$A$1:$AS$1,0),FALSE)</f>
        <v>103.6</v>
      </c>
      <c r="C336" s="23">
        <f>(Table13456789101112131415161734[[#This Row],[FRA]]-B335)/B335</f>
        <v>-1.9267822736031104E-3</v>
      </c>
      <c r="D336" s="24">
        <f>(Table13456789101112131415161734[[#This Row],[FRA]]-B324)/B324</f>
        <v>9.648182438358785E-3</v>
      </c>
    </row>
    <row r="337" spans="1:4" s="87" customFormat="1" x14ac:dyDescent="0.2">
      <c r="A337" s="22">
        <v>43313</v>
      </c>
      <c r="B337" s="85">
        <f>VLOOKUP(A337,Database!$A:$AS,MATCH($B$4,Database!$A$1:$AS$1,0),FALSE)</f>
        <v>104.19</v>
      </c>
      <c r="C337" s="23">
        <f>(Table13456789101112131415161734[[#This Row],[FRA]]-B336)/B336</f>
        <v>5.694980694980728E-3</v>
      </c>
      <c r="D337" s="24">
        <f>(Table13456789101112131415161734[[#This Row],[FRA]]-B325)/B325</f>
        <v>1.3422818791946263E-2</v>
      </c>
    </row>
    <row r="338" spans="1:4" s="87" customFormat="1" x14ac:dyDescent="0.2">
      <c r="A338" s="22">
        <v>43344</v>
      </c>
      <c r="B338" s="85">
        <f>VLOOKUP(A338,Database!$A:$AS,MATCH($B$4,Database!$A$1:$AS$1,0),FALSE)</f>
        <v>102.99</v>
      </c>
      <c r="C338" s="23">
        <f>(Table13456789101112131415161734[[#This Row],[FRA]]-B337)/B337</f>
        <v>-1.1517420097898098E-2</v>
      </c>
      <c r="D338" s="24">
        <f>(Table13456789101112131415161734[[#This Row],[FRA]]-B326)/B326</f>
        <v>-7.0381797146163126E-3</v>
      </c>
    </row>
    <row r="339" spans="1:4" s="87" customFormat="1" x14ac:dyDescent="0.2">
      <c r="A339" s="22">
        <v>43374</v>
      </c>
      <c r="B339" s="85">
        <f>VLOOKUP(A339,Database!$A:$AS,MATCH($B$4,Database!$A$1:$AS$1,0),FALSE)</f>
        <v>103.81</v>
      </c>
      <c r="C339" s="23">
        <f>(Table13456789101112131415161734[[#This Row],[FRA]]-B338)/B338</f>
        <v>7.961938052238153E-3</v>
      </c>
      <c r="D339" s="24">
        <f>(Table13456789101112131415161734[[#This Row],[FRA]]-B327)/B327</f>
        <v>-2.881567572759554E-3</v>
      </c>
    </row>
    <row r="340" spans="1:4" s="87" customFormat="1" x14ac:dyDescent="0.2">
      <c r="A340" s="22">
        <v>43405</v>
      </c>
      <c r="B340" s="85">
        <f>VLOOKUP(A340,Database!$A:$AS,MATCH($B$4,Database!$A$1:$AS$1,0),FALSE)</f>
        <v>103.09</v>
      </c>
      <c r="C340" s="23">
        <f>(Table13456789101112131415161734[[#This Row],[FRA]]-B339)/B339</f>
        <v>-6.9357480011559471E-3</v>
      </c>
      <c r="D340" s="24">
        <f>(Table13456789101112131415161734[[#This Row],[FRA]]-B328)/B328</f>
        <v>-1.5283217117203117E-2</v>
      </c>
    </row>
    <row r="341" spans="1:4" s="87" customFormat="1" x14ac:dyDescent="0.2">
      <c r="A341" s="22">
        <v>43435</v>
      </c>
      <c r="B341" s="85">
        <f>VLOOKUP(A341,Database!$A:$AS,MATCH($B$4,Database!$A$1:$AS$1,0),FALSE)</f>
        <v>104.13</v>
      </c>
      <c r="C341" s="23">
        <f>(Table13456789101112131415161734[[#This Row],[FRA]]-B340)/B340</f>
        <v>1.0088272383354272E-2</v>
      </c>
      <c r="D341" s="24">
        <f>(Table13456789101112131415161734[[#This Row],[FRA]]-B329)/B329</f>
        <v>-1.4853358561967903E-2</v>
      </c>
    </row>
    <row r="342" spans="1:4" s="87" customFormat="1" x14ac:dyDescent="0.2">
      <c r="A342" s="22">
        <v>43466</v>
      </c>
      <c r="B342" s="85">
        <f>VLOOKUP(A342,Database!$A:$AS,MATCH($B$4,Database!$A$1:$AS$1,0),FALSE)</f>
        <v>104.69</v>
      </c>
      <c r="C342" s="23">
        <f>(Table13456789101112131415161734[[#This Row],[FRA]]-B341)/B341</f>
        <v>5.3778930183424785E-3</v>
      </c>
      <c r="D342" s="24">
        <f>(Table13456789101112131415161734[[#This Row],[FRA]]-B330)/B330</f>
        <v>2.6372549019607821E-2</v>
      </c>
    </row>
    <row r="343" spans="1:4" s="87" customFormat="1" x14ac:dyDescent="0.2">
      <c r="A343" s="22">
        <v>43497</v>
      </c>
      <c r="B343" s="85">
        <f>VLOOKUP(A343,Database!$A:$AS,MATCH($B$4,Database!$A$1:$AS$1,0),FALSE)</f>
        <v>104.61</v>
      </c>
      <c r="C343" s="23">
        <f>(Table13456789101112131415161734[[#This Row],[FRA]]-B342)/B342</f>
        <v>-7.6416085586014225E-4</v>
      </c>
      <c r="D343" s="24">
        <f>(Table13456789101112131415161734[[#This Row],[FRA]]-B331)/B331</f>
        <v>1.2975694780672058E-2</v>
      </c>
    </row>
    <row r="344" spans="1:4" s="87" customFormat="1" x14ac:dyDescent="0.2">
      <c r="A344" s="22">
        <v>43525</v>
      </c>
      <c r="B344" s="85">
        <f>VLOOKUP(A344,Database!$A:$AS,MATCH($B$4,Database!$A$1:$AS$1,0),FALSE)</f>
        <v>104.36</v>
      </c>
      <c r="C344" s="23">
        <f>(Table13456789101112131415161734[[#This Row],[FRA]]-B343)/B343</f>
        <v>-2.3898288882516013E-3</v>
      </c>
      <c r="D344" s="24">
        <f>(Table13456789101112131415161734[[#This Row],[FRA]]-B332)/B332</f>
        <v>7.6716532412733304E-4</v>
      </c>
    </row>
    <row r="345" spans="1:4" s="87" customFormat="1" x14ac:dyDescent="0.2">
      <c r="A345" s="22">
        <v>43556</v>
      </c>
      <c r="B345" s="85">
        <f>VLOOKUP(A345,Database!$A:$AS,MATCH($B$4,Database!$A$1:$AS$1,0),FALSE)</f>
        <v>104.38</v>
      </c>
      <c r="C345" s="23">
        <f>(Table13456789101112131415161734[[#This Row],[FRA]]-B344)/B344</f>
        <v>1.916443081640094E-4</v>
      </c>
      <c r="D345" s="24">
        <f>(Table13456789101112131415161734[[#This Row],[FRA]]-B333)/B333</f>
        <v>1.4284326110193363E-2</v>
      </c>
    </row>
    <row r="346" spans="1:4" s="87" customFormat="1" x14ac:dyDescent="0.2">
      <c r="A346" s="22">
        <v>43586</v>
      </c>
      <c r="B346" s="85">
        <f>VLOOKUP(A346,Database!$A:$AS,MATCH($B$4,Database!$A$1:$AS$1,0),FALSE)</f>
        <v>105.78</v>
      </c>
      <c r="C346" s="23">
        <f>(Table13456789101112131415161734[[#This Row],[FRA]]-B345)/B345</f>
        <v>1.3412531136233049E-2</v>
      </c>
      <c r="D346" s="24">
        <f>(Table13456789101112131415161734[[#This Row],[FRA]]-B334)/B334</f>
        <v>3.8178427716164497E-2</v>
      </c>
    </row>
    <row r="347" spans="1:4" s="87" customFormat="1" x14ac:dyDescent="0.2">
      <c r="A347" s="22">
        <v>43617</v>
      </c>
      <c r="B347" s="85">
        <f>VLOOKUP(A347,Database!$A:$AS,MATCH($B$4,Database!$A$1:$AS$1,0),FALSE)</f>
        <v>103.45</v>
      </c>
      <c r="C347" s="23">
        <f>(Table13456789101112131415161734[[#This Row],[FRA]]-B346)/B346</f>
        <v>-2.2026848175458483E-2</v>
      </c>
      <c r="D347" s="24">
        <f>(Table13456789101112131415161734[[#This Row],[FRA]]-B335)/B335</f>
        <v>-3.3718689788053403E-3</v>
      </c>
    </row>
    <row r="348" spans="1:4" s="87" customFormat="1" x14ac:dyDescent="0.2">
      <c r="A348" s="22">
        <v>43647</v>
      </c>
      <c r="B348" s="85">
        <f>VLOOKUP(A348,Database!$A:$AS,MATCH($B$4,Database!$A$1:$AS$1,0),FALSE)</f>
        <v>103.98</v>
      </c>
      <c r="C348" s="23">
        <f>(Table13456789101112131415161734[[#This Row],[FRA]]-B347)/B347</f>
        <v>5.1232479458675796E-3</v>
      </c>
      <c r="D348" s="24">
        <f>(Table13456789101112131415161734[[#This Row],[FRA]]-B336)/B336</f>
        <v>3.6679536679537616E-3</v>
      </c>
    </row>
    <row r="349" spans="1:4" s="87" customFormat="1" x14ac:dyDescent="0.2">
      <c r="A349" s="22">
        <v>43678</v>
      </c>
      <c r="B349" s="85">
        <f>VLOOKUP(A349,Database!$A:$AS,MATCH($B$4,Database!$A$1:$AS$1,0),FALSE)</f>
        <v>102.88</v>
      </c>
      <c r="C349" s="23">
        <f>(Table13456789101112131415161734[[#This Row],[FRA]]-B348)/B348</f>
        <v>-1.0578957491825433E-2</v>
      </c>
      <c r="D349" s="24">
        <f>(Table13456789101112131415161734[[#This Row],[FRA]]-B337)/B337</f>
        <v>-1.2573183606872082E-2</v>
      </c>
    </row>
    <row r="350" spans="1:4" s="87" customFormat="1" x14ac:dyDescent="0.2">
      <c r="A350" s="22">
        <v>43709</v>
      </c>
      <c r="B350" s="85">
        <f>VLOOKUP(A350,Database!$A:$AS,MATCH($B$4,Database!$A$1:$AS$1,0),FALSE)</f>
        <v>103.97</v>
      </c>
      <c r="C350" s="23">
        <f>(Table13456789101112131415161734[[#This Row],[FRA]]-B349)/B349</f>
        <v>1.0594867807153999E-2</v>
      </c>
      <c r="D350" s="24">
        <f>(Table13456789101112131415161734[[#This Row],[FRA]]-B338)/B338</f>
        <v>9.5154869404796977E-3</v>
      </c>
    </row>
    <row r="351" spans="1:4" s="87" customFormat="1" x14ac:dyDescent="0.2">
      <c r="A351" s="22">
        <v>43739</v>
      </c>
      <c r="B351" s="85">
        <f>VLOOKUP(A351,Database!$A:$AS,MATCH($B$4,Database!$A$1:$AS$1,0),FALSE)</f>
        <v>103.55</v>
      </c>
      <c r="C351" s="23">
        <f>(Table13456789101112131415161734[[#This Row],[FRA]]-B350)/B350</f>
        <v>-4.0396268154275434E-3</v>
      </c>
      <c r="D351" s="24">
        <f>(Table13456789101112131415161734[[#This Row],[FRA]]-B339)/B339</f>
        <v>-2.5045756670841451E-3</v>
      </c>
    </row>
    <row r="352" spans="1:4" s="87" customFormat="1" x14ac:dyDescent="0.2">
      <c r="A352" s="16"/>
      <c r="C352" s="19"/>
      <c r="D352" s="19"/>
    </row>
    <row r="353" spans="1:4" s="87" customFormat="1" x14ac:dyDescent="0.2">
      <c r="A353" s="16"/>
      <c r="C353" s="19"/>
      <c r="D353" s="19"/>
    </row>
    <row r="354" spans="1:4" s="87" customFormat="1" x14ac:dyDescent="0.2">
      <c r="A354" s="16"/>
      <c r="C354" s="19"/>
      <c r="D354" s="19"/>
    </row>
    <row r="355" spans="1:4" s="87" customFormat="1" x14ac:dyDescent="0.2">
      <c r="A355" s="16"/>
      <c r="C355" s="19"/>
      <c r="D355" s="19"/>
    </row>
    <row r="356" spans="1:4" s="87" customFormat="1" x14ac:dyDescent="0.2">
      <c r="A356" s="16"/>
      <c r="C356" s="19"/>
      <c r="D356" s="19"/>
    </row>
    <row r="357" spans="1:4" s="87" customFormat="1" x14ac:dyDescent="0.2">
      <c r="A357" s="16"/>
      <c r="C357" s="19"/>
      <c r="D357" s="19"/>
    </row>
    <row r="358" spans="1:4" s="87" customFormat="1" x14ac:dyDescent="0.2">
      <c r="A358" s="16"/>
      <c r="C358" s="19"/>
      <c r="D358" s="19"/>
    </row>
    <row r="359" spans="1:4" s="87" customFormat="1" x14ac:dyDescent="0.2">
      <c r="A359" s="16"/>
      <c r="C359" s="19"/>
      <c r="D359" s="19"/>
    </row>
    <row r="360" spans="1:4" s="87" customFormat="1" x14ac:dyDescent="0.2">
      <c r="A360" s="16"/>
      <c r="C360" s="19"/>
      <c r="D360" s="19"/>
    </row>
    <row r="361" spans="1:4" s="87" customFormat="1" x14ac:dyDescent="0.2">
      <c r="A361" s="16"/>
      <c r="C361" s="19"/>
      <c r="D361" s="19"/>
    </row>
    <row r="362" spans="1:4" s="87" customFormat="1" x14ac:dyDescent="0.2">
      <c r="A362" s="16"/>
      <c r="C362" s="19"/>
      <c r="D362" s="19"/>
    </row>
    <row r="363" spans="1:4" s="87" customFormat="1" x14ac:dyDescent="0.2">
      <c r="A363" s="16"/>
      <c r="C363" s="19"/>
      <c r="D363" s="19"/>
    </row>
    <row r="364" spans="1:4" s="87" customFormat="1" x14ac:dyDescent="0.2">
      <c r="A364" s="16"/>
      <c r="C364" s="19"/>
      <c r="D364" s="19"/>
    </row>
    <row r="365" spans="1:4" s="87" customFormat="1" x14ac:dyDescent="0.2">
      <c r="A365" s="16"/>
      <c r="C365" s="19"/>
      <c r="D365" s="19"/>
    </row>
    <row r="366" spans="1:4" s="87" customFormat="1" x14ac:dyDescent="0.2">
      <c r="A366" s="16"/>
      <c r="C366" s="19"/>
      <c r="D366" s="19"/>
    </row>
    <row r="367" spans="1:4" s="87" customFormat="1" x14ac:dyDescent="0.2">
      <c r="A367" s="16"/>
      <c r="C367" s="19"/>
      <c r="D367" s="19"/>
    </row>
    <row r="368" spans="1:4" s="87" customFormat="1" x14ac:dyDescent="0.2">
      <c r="A368" s="16"/>
      <c r="C368" s="19"/>
      <c r="D368" s="19"/>
    </row>
    <row r="369" spans="1:4" s="87" customFormat="1" x14ac:dyDescent="0.2">
      <c r="A369" s="16"/>
      <c r="C369" s="19"/>
      <c r="D369" s="19"/>
    </row>
    <row r="370" spans="1:4" s="87" customFormat="1" x14ac:dyDescent="0.2">
      <c r="A370" s="16"/>
      <c r="C370" s="19"/>
      <c r="D370" s="19"/>
    </row>
    <row r="371" spans="1:4" s="87" customFormat="1" x14ac:dyDescent="0.2">
      <c r="A371" s="16"/>
      <c r="C371" s="19"/>
      <c r="D371" s="19"/>
    </row>
    <row r="372" spans="1:4" s="87" customFormat="1" x14ac:dyDescent="0.2">
      <c r="A372" s="16"/>
      <c r="C372" s="19"/>
      <c r="D372" s="19"/>
    </row>
    <row r="373" spans="1:4" s="87" customFormat="1" x14ac:dyDescent="0.2">
      <c r="A373" s="16"/>
      <c r="C373" s="19"/>
      <c r="D373" s="19"/>
    </row>
    <row r="374" spans="1:4" s="87" customFormat="1" x14ac:dyDescent="0.2">
      <c r="A374" s="16"/>
      <c r="C374" s="19"/>
      <c r="D374" s="19"/>
    </row>
    <row r="375" spans="1:4" s="87" customFormat="1" x14ac:dyDescent="0.2">
      <c r="A375" s="16"/>
      <c r="C375" s="19"/>
      <c r="D375" s="19"/>
    </row>
    <row r="376" spans="1:4" s="87" customFormat="1" x14ac:dyDescent="0.2">
      <c r="A376" s="16"/>
      <c r="C376" s="19"/>
      <c r="D376" s="19"/>
    </row>
    <row r="377" spans="1:4" s="87" customFormat="1" x14ac:dyDescent="0.2">
      <c r="A377" s="16"/>
      <c r="C377" s="19"/>
      <c r="D377" s="19"/>
    </row>
    <row r="378" spans="1:4" s="87" customFormat="1" x14ac:dyDescent="0.2">
      <c r="A378" s="16"/>
      <c r="C378" s="19"/>
      <c r="D378" s="19"/>
    </row>
    <row r="379" spans="1:4" s="87" customFormat="1" x14ac:dyDescent="0.2">
      <c r="A379" s="16"/>
      <c r="C379" s="19"/>
      <c r="D379" s="19"/>
    </row>
    <row r="380" spans="1:4" s="87" customFormat="1" x14ac:dyDescent="0.2">
      <c r="A380" s="16"/>
      <c r="C380" s="19"/>
      <c r="D380" s="19"/>
    </row>
    <row r="381" spans="1:4" s="87" customFormat="1" x14ac:dyDescent="0.2">
      <c r="A381" s="16"/>
      <c r="C381" s="19"/>
      <c r="D381" s="19"/>
    </row>
    <row r="382" spans="1:4" s="87" customFormat="1" x14ac:dyDescent="0.2">
      <c r="A382" s="16"/>
      <c r="C382" s="19"/>
      <c r="D382" s="19"/>
    </row>
    <row r="383" spans="1:4" s="87" customFormat="1" x14ac:dyDescent="0.2">
      <c r="A383" s="16"/>
      <c r="C383" s="19"/>
      <c r="D383" s="19"/>
    </row>
    <row r="384" spans="1:4" s="87" customFormat="1" x14ac:dyDescent="0.2">
      <c r="A384" s="16"/>
      <c r="C384" s="19"/>
      <c r="D384" s="19"/>
    </row>
    <row r="385" spans="1:4" s="87" customFormat="1" x14ac:dyDescent="0.2">
      <c r="A385" s="16"/>
      <c r="C385" s="19"/>
      <c r="D385" s="19"/>
    </row>
    <row r="386" spans="1:4" s="87" customFormat="1" x14ac:dyDescent="0.2">
      <c r="A386" s="16"/>
      <c r="C386" s="19"/>
      <c r="D386" s="19"/>
    </row>
    <row r="387" spans="1:4" s="87" customFormat="1" x14ac:dyDescent="0.2">
      <c r="A387" s="16"/>
      <c r="C387" s="19"/>
      <c r="D387" s="19"/>
    </row>
    <row r="388" spans="1:4" s="87" customFormat="1" x14ac:dyDescent="0.2">
      <c r="A388" s="16"/>
      <c r="C388" s="19"/>
      <c r="D388" s="19"/>
    </row>
    <row r="389" spans="1:4" s="87" customFormat="1" x14ac:dyDescent="0.2">
      <c r="A389" s="16"/>
      <c r="C389" s="19"/>
      <c r="D389" s="19"/>
    </row>
    <row r="390" spans="1:4" s="87" customFormat="1" x14ac:dyDescent="0.2">
      <c r="A390" s="16"/>
      <c r="C390" s="19"/>
      <c r="D390" s="19"/>
    </row>
    <row r="391" spans="1:4" s="87" customFormat="1" x14ac:dyDescent="0.2">
      <c r="A391" s="16"/>
      <c r="C391" s="19"/>
      <c r="D391" s="19"/>
    </row>
    <row r="392" spans="1:4" s="87" customFormat="1" x14ac:dyDescent="0.2">
      <c r="A392" s="16"/>
      <c r="C392" s="19"/>
      <c r="D392" s="19"/>
    </row>
    <row r="393" spans="1:4" s="87" customFormat="1" x14ac:dyDescent="0.2">
      <c r="A393" s="16"/>
      <c r="C393" s="19"/>
      <c r="D393" s="19"/>
    </row>
    <row r="394" spans="1:4" s="87" customFormat="1" x14ac:dyDescent="0.2">
      <c r="A394" s="16"/>
      <c r="C394" s="19"/>
      <c r="D394" s="19"/>
    </row>
    <row r="395" spans="1:4" s="87" customFormat="1" x14ac:dyDescent="0.2">
      <c r="A395" s="16"/>
      <c r="C395" s="19"/>
      <c r="D395" s="19"/>
    </row>
    <row r="396" spans="1:4" s="87" customFormat="1" x14ac:dyDescent="0.2">
      <c r="A396" s="16"/>
      <c r="C396" s="19"/>
      <c r="D396" s="19"/>
    </row>
    <row r="397" spans="1:4" s="87" customFormat="1" x14ac:dyDescent="0.2">
      <c r="A397" s="16"/>
      <c r="C397" s="19"/>
      <c r="D397" s="19"/>
    </row>
    <row r="398" spans="1:4" s="87" customFormat="1" x14ac:dyDescent="0.2">
      <c r="A398" s="16"/>
      <c r="C398" s="19"/>
      <c r="D398" s="19"/>
    </row>
    <row r="399" spans="1:4" s="87" customFormat="1" x14ac:dyDescent="0.2">
      <c r="A399" s="16"/>
      <c r="C399" s="19"/>
      <c r="D399" s="19"/>
    </row>
    <row r="400" spans="1:4" s="87" customFormat="1" x14ac:dyDescent="0.2">
      <c r="A400" s="16"/>
      <c r="C400" s="19"/>
      <c r="D400" s="19"/>
    </row>
    <row r="401" spans="1:4" s="87" customFormat="1" x14ac:dyDescent="0.2">
      <c r="A401" s="16"/>
      <c r="C401" s="19"/>
      <c r="D401" s="19"/>
    </row>
    <row r="402" spans="1:4" s="87" customFormat="1" x14ac:dyDescent="0.2">
      <c r="A402" s="16"/>
      <c r="C402" s="19"/>
      <c r="D402" s="19"/>
    </row>
    <row r="403" spans="1:4" s="87" customFormat="1" x14ac:dyDescent="0.2">
      <c r="A403" s="16"/>
      <c r="C403" s="19"/>
      <c r="D403" s="19"/>
    </row>
    <row r="404" spans="1:4" s="87" customFormat="1" x14ac:dyDescent="0.2">
      <c r="A404" s="16"/>
      <c r="C404" s="19"/>
      <c r="D404" s="19"/>
    </row>
    <row r="405" spans="1:4" s="87" customFormat="1" x14ac:dyDescent="0.2">
      <c r="A405" s="16"/>
      <c r="C405" s="19"/>
      <c r="D405" s="19"/>
    </row>
    <row r="406" spans="1:4" s="87" customFormat="1" x14ac:dyDescent="0.2">
      <c r="A406" s="16"/>
      <c r="C406" s="19"/>
      <c r="D406" s="19"/>
    </row>
    <row r="407" spans="1:4" s="87" customFormat="1" x14ac:dyDescent="0.2">
      <c r="A407" s="16"/>
      <c r="C407" s="19"/>
      <c r="D407" s="19"/>
    </row>
    <row r="408" spans="1:4" s="87" customFormat="1" x14ac:dyDescent="0.2">
      <c r="A408" s="16"/>
      <c r="C408" s="19"/>
      <c r="D408" s="19"/>
    </row>
    <row r="409" spans="1:4" s="87" customFormat="1" x14ac:dyDescent="0.2">
      <c r="A409" s="16"/>
      <c r="C409" s="19"/>
      <c r="D409" s="19"/>
    </row>
    <row r="410" spans="1:4" s="87" customFormat="1" x14ac:dyDescent="0.2">
      <c r="A410" s="16"/>
      <c r="C410" s="19"/>
      <c r="D410" s="19"/>
    </row>
    <row r="411" spans="1:4" s="87" customFormat="1" x14ac:dyDescent="0.2">
      <c r="A411" s="16"/>
      <c r="C411" s="19"/>
      <c r="D411" s="19"/>
    </row>
    <row r="412" spans="1:4" s="87" customFormat="1" x14ac:dyDescent="0.2">
      <c r="A412" s="16"/>
      <c r="C412" s="19"/>
      <c r="D412" s="19"/>
    </row>
    <row r="413" spans="1:4" s="87" customFormat="1" x14ac:dyDescent="0.2">
      <c r="A413" s="16"/>
      <c r="C413" s="19"/>
      <c r="D413" s="19"/>
    </row>
    <row r="414" spans="1:4" s="87" customFormat="1" x14ac:dyDescent="0.2">
      <c r="A414" s="16"/>
      <c r="C414" s="19"/>
      <c r="D414" s="19"/>
    </row>
    <row r="415" spans="1:4" s="87" customFormat="1" x14ac:dyDescent="0.2">
      <c r="A415" s="16"/>
      <c r="C415" s="19"/>
      <c r="D415" s="19"/>
    </row>
    <row r="416" spans="1:4" s="87" customFormat="1" x14ac:dyDescent="0.2">
      <c r="A416" s="16"/>
      <c r="C416" s="19"/>
      <c r="D416" s="19"/>
    </row>
    <row r="417" spans="1:4" s="87" customFormat="1" x14ac:dyDescent="0.2">
      <c r="A417" s="16"/>
      <c r="C417" s="19"/>
      <c r="D417" s="19"/>
    </row>
    <row r="418" spans="1:4" s="87" customFormat="1" x14ac:dyDescent="0.2">
      <c r="A418" s="16"/>
      <c r="C418" s="19"/>
      <c r="D418" s="19"/>
    </row>
    <row r="419" spans="1:4" s="87" customFormat="1" x14ac:dyDescent="0.2">
      <c r="A419" s="16"/>
      <c r="C419" s="19"/>
      <c r="D419" s="19"/>
    </row>
    <row r="420" spans="1:4" s="87" customFormat="1" x14ac:dyDescent="0.2">
      <c r="A420" s="16"/>
      <c r="C420" s="19"/>
      <c r="D420" s="19"/>
    </row>
    <row r="421" spans="1:4" s="87" customFormat="1" x14ac:dyDescent="0.2">
      <c r="A421" s="16"/>
      <c r="C421" s="19"/>
      <c r="D421" s="19"/>
    </row>
    <row r="422" spans="1:4" s="87" customFormat="1" x14ac:dyDescent="0.2">
      <c r="A422" s="16"/>
      <c r="C422" s="19"/>
      <c r="D422" s="19"/>
    </row>
    <row r="423" spans="1:4" s="87" customFormat="1" x14ac:dyDescent="0.2">
      <c r="A423" s="16"/>
      <c r="C423" s="19"/>
      <c r="D423" s="19"/>
    </row>
    <row r="424" spans="1:4" s="87" customFormat="1" x14ac:dyDescent="0.2">
      <c r="A424" s="16"/>
      <c r="C424" s="19"/>
      <c r="D424" s="19"/>
    </row>
    <row r="425" spans="1:4" s="87" customFormat="1" x14ac:dyDescent="0.2">
      <c r="A425" s="16"/>
      <c r="C425" s="19"/>
      <c r="D425" s="19"/>
    </row>
    <row r="426" spans="1:4" s="87" customFormat="1" x14ac:dyDescent="0.2">
      <c r="A426" s="16"/>
      <c r="C426" s="19"/>
      <c r="D426" s="19"/>
    </row>
    <row r="427" spans="1:4" s="87" customFormat="1" x14ac:dyDescent="0.2">
      <c r="A427" s="16"/>
      <c r="C427" s="19"/>
      <c r="D427" s="19"/>
    </row>
    <row r="428" spans="1:4" s="87" customFormat="1" x14ac:dyDescent="0.2">
      <c r="A428" s="16"/>
      <c r="C428" s="19"/>
      <c r="D428" s="19"/>
    </row>
    <row r="429" spans="1:4" s="87" customFormat="1" x14ac:dyDescent="0.2">
      <c r="A429" s="16"/>
      <c r="C429" s="19"/>
      <c r="D429" s="19"/>
    </row>
    <row r="430" spans="1:4" s="87" customFormat="1" x14ac:dyDescent="0.2">
      <c r="A430" s="16"/>
      <c r="C430" s="19"/>
      <c r="D430" s="19"/>
    </row>
    <row r="431" spans="1:4" s="87" customFormat="1" x14ac:dyDescent="0.2">
      <c r="A431" s="16"/>
      <c r="C431" s="19"/>
      <c r="D431" s="19"/>
    </row>
    <row r="432" spans="1:4" s="87" customFormat="1" x14ac:dyDescent="0.2">
      <c r="A432" s="16"/>
      <c r="C432" s="19"/>
      <c r="D432" s="19"/>
    </row>
    <row r="433" spans="1:4" s="87" customFormat="1" x14ac:dyDescent="0.2">
      <c r="A433" s="16"/>
      <c r="C433" s="19"/>
      <c r="D433" s="19"/>
    </row>
    <row r="434" spans="1:4" s="87" customFormat="1" x14ac:dyDescent="0.2">
      <c r="A434" s="16"/>
      <c r="C434" s="19"/>
      <c r="D434" s="19"/>
    </row>
    <row r="435" spans="1:4" s="87" customFormat="1" x14ac:dyDescent="0.2">
      <c r="A435" s="16"/>
      <c r="C435" s="19"/>
      <c r="D435" s="19"/>
    </row>
    <row r="436" spans="1:4" s="87" customFormat="1" x14ac:dyDescent="0.2">
      <c r="A436" s="16"/>
      <c r="C436" s="19"/>
      <c r="D436" s="19"/>
    </row>
    <row r="437" spans="1:4" s="87" customFormat="1" x14ac:dyDescent="0.2">
      <c r="A437" s="16"/>
      <c r="C437" s="19"/>
      <c r="D437" s="19"/>
    </row>
    <row r="438" spans="1:4" s="87" customFormat="1" x14ac:dyDescent="0.2">
      <c r="A438" s="16"/>
      <c r="C438" s="19"/>
      <c r="D438" s="19"/>
    </row>
    <row r="439" spans="1:4" s="87" customFormat="1" x14ac:dyDescent="0.2">
      <c r="A439" s="16"/>
      <c r="C439" s="19"/>
      <c r="D439" s="19"/>
    </row>
    <row r="440" spans="1:4" s="87" customFormat="1" x14ac:dyDescent="0.2">
      <c r="A440" s="16"/>
      <c r="C440" s="19"/>
      <c r="D440" s="19"/>
    </row>
    <row r="441" spans="1:4" s="87" customFormat="1" x14ac:dyDescent="0.2">
      <c r="A441" s="16"/>
      <c r="C441" s="19"/>
      <c r="D441" s="19"/>
    </row>
    <row r="442" spans="1:4" s="87" customFormat="1" x14ac:dyDescent="0.2">
      <c r="A442" s="16"/>
      <c r="C442" s="19"/>
      <c r="D442" s="19"/>
    </row>
    <row r="443" spans="1:4" s="87" customFormat="1" x14ac:dyDescent="0.2">
      <c r="A443" s="16"/>
      <c r="C443" s="19"/>
      <c r="D443" s="19"/>
    </row>
    <row r="444" spans="1:4" s="87" customFormat="1" x14ac:dyDescent="0.2">
      <c r="A444" s="16"/>
      <c r="C444" s="19"/>
      <c r="D444" s="19"/>
    </row>
    <row r="445" spans="1:4" s="87" customFormat="1" x14ac:dyDescent="0.2">
      <c r="A445" s="16"/>
      <c r="C445" s="19"/>
      <c r="D445" s="19"/>
    </row>
    <row r="446" spans="1:4" s="87" customFormat="1" x14ac:dyDescent="0.2">
      <c r="A446" s="16"/>
      <c r="C446" s="19"/>
      <c r="D446" s="19"/>
    </row>
    <row r="447" spans="1:4" s="87" customFormat="1" x14ac:dyDescent="0.2">
      <c r="A447" s="16"/>
      <c r="C447" s="19"/>
      <c r="D447" s="19"/>
    </row>
    <row r="448" spans="1:4" s="87" customFormat="1" x14ac:dyDescent="0.2">
      <c r="A448" s="16"/>
      <c r="C448" s="19"/>
      <c r="D448" s="19"/>
    </row>
    <row r="449" spans="1:4" s="87" customFormat="1" x14ac:dyDescent="0.2">
      <c r="A449" s="16"/>
      <c r="C449" s="19"/>
      <c r="D449" s="19"/>
    </row>
    <row r="450" spans="1:4" s="87" customFormat="1" x14ac:dyDescent="0.2">
      <c r="A450" s="16"/>
      <c r="C450" s="19"/>
      <c r="D450" s="19"/>
    </row>
    <row r="451" spans="1:4" s="87" customFormat="1" x14ac:dyDescent="0.2">
      <c r="A451" s="16"/>
      <c r="C451" s="19"/>
      <c r="D451" s="19"/>
    </row>
    <row r="452" spans="1:4" s="87" customFormat="1" x14ac:dyDescent="0.2">
      <c r="A452" s="16"/>
      <c r="C452" s="19"/>
      <c r="D452" s="19"/>
    </row>
    <row r="453" spans="1:4" s="87" customFormat="1" x14ac:dyDescent="0.2">
      <c r="A453" s="16"/>
      <c r="C453" s="19"/>
      <c r="D453" s="19"/>
    </row>
    <row r="454" spans="1:4" s="87" customFormat="1" x14ac:dyDescent="0.2">
      <c r="A454" s="16"/>
      <c r="C454" s="19"/>
      <c r="D454" s="19"/>
    </row>
    <row r="455" spans="1:4" s="87" customFormat="1" x14ac:dyDescent="0.2">
      <c r="A455" s="16"/>
      <c r="C455" s="19"/>
      <c r="D455" s="19"/>
    </row>
    <row r="456" spans="1:4" s="87" customFormat="1" x14ac:dyDescent="0.2">
      <c r="A456" s="16"/>
      <c r="C456" s="19"/>
      <c r="D456" s="19"/>
    </row>
    <row r="457" spans="1:4" s="87" customFormat="1" x14ac:dyDescent="0.2">
      <c r="A457" s="16"/>
      <c r="C457" s="19"/>
      <c r="D457" s="19"/>
    </row>
    <row r="458" spans="1:4" s="87" customFormat="1" x14ac:dyDescent="0.2">
      <c r="A458" s="16"/>
      <c r="C458" s="19"/>
      <c r="D458" s="19"/>
    </row>
    <row r="459" spans="1:4" s="87" customFormat="1" x14ac:dyDescent="0.2">
      <c r="A459" s="16"/>
      <c r="C459" s="19"/>
      <c r="D459" s="19"/>
    </row>
    <row r="460" spans="1:4" s="87" customFormat="1" x14ac:dyDescent="0.2">
      <c r="A460" s="16"/>
      <c r="C460" s="19"/>
      <c r="D460" s="19"/>
    </row>
    <row r="461" spans="1:4" s="87" customFormat="1" x14ac:dyDescent="0.2">
      <c r="A461" s="16"/>
      <c r="C461" s="19"/>
      <c r="D461" s="19"/>
    </row>
    <row r="462" spans="1:4" s="87" customFormat="1" x14ac:dyDescent="0.2">
      <c r="A462" s="16"/>
      <c r="C462" s="19"/>
      <c r="D462" s="19"/>
    </row>
    <row r="463" spans="1:4" s="87" customFormat="1" x14ac:dyDescent="0.2">
      <c r="A463" s="16"/>
      <c r="C463" s="19"/>
      <c r="D463" s="19"/>
    </row>
    <row r="464" spans="1:4" s="87" customFormat="1" x14ac:dyDescent="0.2">
      <c r="A464" s="16"/>
      <c r="C464" s="19"/>
      <c r="D464" s="19"/>
    </row>
    <row r="465" spans="1:4" s="87" customFormat="1" x14ac:dyDescent="0.2">
      <c r="A465" s="16"/>
      <c r="C465" s="19"/>
      <c r="D465" s="19"/>
    </row>
    <row r="466" spans="1:4" s="87" customFormat="1" x14ac:dyDescent="0.2">
      <c r="A466" s="16"/>
      <c r="C466" s="19"/>
      <c r="D466" s="19"/>
    </row>
    <row r="467" spans="1:4" s="87" customFormat="1" x14ac:dyDescent="0.2">
      <c r="A467" s="16"/>
      <c r="C467" s="19"/>
      <c r="D467" s="19"/>
    </row>
    <row r="468" spans="1:4" s="87" customFormat="1" x14ac:dyDescent="0.2">
      <c r="A468" s="16"/>
      <c r="C468" s="19"/>
      <c r="D468" s="19"/>
    </row>
    <row r="469" spans="1:4" s="87" customFormat="1" x14ac:dyDescent="0.2">
      <c r="A469" s="16"/>
      <c r="C469" s="19"/>
      <c r="D469" s="19"/>
    </row>
    <row r="470" spans="1:4" s="87" customFormat="1" x14ac:dyDescent="0.2">
      <c r="A470" s="16"/>
      <c r="C470" s="19"/>
      <c r="D470" s="19"/>
    </row>
    <row r="471" spans="1:4" s="87" customFormat="1" x14ac:dyDescent="0.2">
      <c r="A471" s="16"/>
      <c r="C471" s="19"/>
      <c r="D471" s="19"/>
    </row>
    <row r="472" spans="1:4" s="87" customFormat="1" x14ac:dyDescent="0.2">
      <c r="A472" s="16"/>
      <c r="C472" s="19"/>
      <c r="D472" s="19"/>
    </row>
    <row r="473" spans="1:4" s="87" customFormat="1" x14ac:dyDescent="0.2">
      <c r="A473" s="16"/>
      <c r="C473" s="19"/>
      <c r="D473" s="19"/>
    </row>
    <row r="474" spans="1:4" s="87" customFormat="1" x14ac:dyDescent="0.2">
      <c r="A474" s="16"/>
      <c r="C474" s="19"/>
      <c r="D474" s="19"/>
    </row>
    <row r="475" spans="1:4" s="87" customFormat="1" x14ac:dyDescent="0.2">
      <c r="A475" s="16"/>
      <c r="C475" s="19"/>
      <c r="D475" s="19"/>
    </row>
    <row r="476" spans="1:4" s="87" customFormat="1" x14ac:dyDescent="0.2">
      <c r="A476" s="16"/>
      <c r="C476" s="19"/>
      <c r="D476" s="19"/>
    </row>
    <row r="477" spans="1:4" s="87" customFormat="1" x14ac:dyDescent="0.2">
      <c r="A477" s="16"/>
      <c r="C477" s="19"/>
      <c r="D477" s="19"/>
    </row>
    <row r="478" spans="1:4" s="87" customFormat="1" x14ac:dyDescent="0.2">
      <c r="A478" s="16"/>
      <c r="C478" s="19"/>
      <c r="D478" s="19"/>
    </row>
    <row r="479" spans="1:4" s="87" customFormat="1" x14ac:dyDescent="0.2">
      <c r="A479" s="16"/>
      <c r="C479" s="19"/>
      <c r="D479" s="19"/>
    </row>
    <row r="480" spans="1:4" s="87" customFormat="1" x14ac:dyDescent="0.2">
      <c r="A480" s="16"/>
      <c r="C480" s="19"/>
      <c r="D480" s="19"/>
    </row>
    <row r="481" spans="1:4" s="87" customFormat="1" x14ac:dyDescent="0.2">
      <c r="A481" s="16"/>
      <c r="C481" s="19"/>
      <c r="D481" s="19"/>
    </row>
    <row r="482" spans="1:4" s="87" customFormat="1" x14ac:dyDescent="0.2">
      <c r="A482" s="16"/>
      <c r="C482" s="19"/>
      <c r="D482" s="19"/>
    </row>
    <row r="483" spans="1:4" s="87" customFormat="1" x14ac:dyDescent="0.2">
      <c r="A483" s="16"/>
      <c r="C483" s="19"/>
      <c r="D483" s="19"/>
    </row>
    <row r="484" spans="1:4" s="87" customFormat="1" x14ac:dyDescent="0.2">
      <c r="A484" s="16"/>
      <c r="C484" s="19"/>
      <c r="D484" s="19"/>
    </row>
    <row r="485" spans="1:4" s="87" customFormat="1" x14ac:dyDescent="0.2">
      <c r="A485" s="16"/>
      <c r="C485" s="19"/>
      <c r="D485" s="19"/>
    </row>
    <row r="486" spans="1:4" s="87" customFormat="1" x14ac:dyDescent="0.2">
      <c r="A486" s="16"/>
      <c r="C486" s="19"/>
      <c r="D486" s="19"/>
    </row>
    <row r="487" spans="1:4" s="87" customFormat="1" x14ac:dyDescent="0.2">
      <c r="A487" s="16"/>
      <c r="C487" s="19"/>
      <c r="D487" s="19"/>
    </row>
    <row r="488" spans="1:4" s="87" customFormat="1" x14ac:dyDescent="0.2">
      <c r="A488" s="16"/>
      <c r="C488" s="19"/>
      <c r="D488" s="19"/>
    </row>
    <row r="489" spans="1:4" s="87" customFormat="1" x14ac:dyDescent="0.2">
      <c r="A489" s="16"/>
      <c r="C489" s="19"/>
      <c r="D489" s="19"/>
    </row>
    <row r="490" spans="1:4" s="87" customFormat="1" x14ac:dyDescent="0.2">
      <c r="A490" s="16"/>
      <c r="C490" s="19"/>
      <c r="D490" s="19"/>
    </row>
    <row r="491" spans="1:4" s="87" customFormat="1" x14ac:dyDescent="0.2">
      <c r="A491" s="16"/>
      <c r="C491" s="19"/>
      <c r="D491" s="19"/>
    </row>
    <row r="492" spans="1:4" s="87" customFormat="1" x14ac:dyDescent="0.2">
      <c r="A492" s="16"/>
      <c r="C492" s="19"/>
      <c r="D492" s="19"/>
    </row>
    <row r="493" spans="1:4" s="87" customFormat="1" x14ac:dyDescent="0.2">
      <c r="A493" s="16"/>
      <c r="C493" s="19"/>
      <c r="D493" s="19"/>
    </row>
    <row r="494" spans="1:4" s="87" customFormat="1" x14ac:dyDescent="0.2">
      <c r="A494" s="16"/>
      <c r="C494" s="19"/>
      <c r="D494" s="19"/>
    </row>
    <row r="495" spans="1:4" s="87" customFormat="1" x14ac:dyDescent="0.2">
      <c r="A495" s="16"/>
      <c r="C495" s="19"/>
      <c r="D495" s="19"/>
    </row>
    <row r="496" spans="1:4" s="87" customFormat="1" x14ac:dyDescent="0.2">
      <c r="A496" s="16"/>
      <c r="C496" s="19"/>
      <c r="D496" s="19"/>
    </row>
    <row r="497" spans="1:4" s="87" customFormat="1" x14ac:dyDescent="0.2">
      <c r="A497" s="16"/>
      <c r="C497" s="19"/>
      <c r="D497" s="19"/>
    </row>
    <row r="498" spans="1:4" s="87" customFormat="1" x14ac:dyDescent="0.2">
      <c r="A498" s="16"/>
      <c r="C498" s="19"/>
      <c r="D498" s="19"/>
    </row>
    <row r="499" spans="1:4" s="87" customFormat="1" x14ac:dyDescent="0.2">
      <c r="A499" s="16"/>
      <c r="C499" s="19"/>
      <c r="D499" s="19"/>
    </row>
    <row r="500" spans="1:4" s="87" customFormat="1" x14ac:dyDescent="0.2">
      <c r="A500" s="16"/>
      <c r="C500" s="19"/>
      <c r="D500" s="19"/>
    </row>
    <row r="501" spans="1:4" s="87" customFormat="1" x14ac:dyDescent="0.2">
      <c r="A501" s="16"/>
      <c r="C501" s="19"/>
      <c r="D501" s="19"/>
    </row>
    <row r="502" spans="1:4" s="87" customFormat="1" x14ac:dyDescent="0.2">
      <c r="A502" s="16"/>
      <c r="C502" s="19"/>
      <c r="D502" s="19"/>
    </row>
    <row r="503" spans="1:4" s="87" customFormat="1" x14ac:dyDescent="0.2">
      <c r="A503" s="16"/>
      <c r="C503" s="19"/>
      <c r="D503" s="19"/>
    </row>
    <row r="504" spans="1:4" s="87" customFormat="1" x14ac:dyDescent="0.2">
      <c r="A504" s="16"/>
      <c r="C504" s="19"/>
      <c r="D504" s="19"/>
    </row>
    <row r="505" spans="1:4" s="87" customFormat="1" x14ac:dyDescent="0.2">
      <c r="A505" s="16"/>
      <c r="C505" s="19"/>
      <c r="D505" s="19"/>
    </row>
    <row r="506" spans="1:4" s="87" customFormat="1" x14ac:dyDescent="0.2">
      <c r="A506" s="16"/>
      <c r="C506" s="19"/>
      <c r="D506" s="19"/>
    </row>
    <row r="507" spans="1:4" s="87" customFormat="1" x14ac:dyDescent="0.2">
      <c r="A507" s="16"/>
      <c r="C507" s="19"/>
      <c r="D507" s="19"/>
    </row>
    <row r="508" spans="1:4" s="87" customFormat="1" x14ac:dyDescent="0.2">
      <c r="A508" s="16"/>
      <c r="C508" s="19"/>
      <c r="D508" s="19"/>
    </row>
    <row r="509" spans="1:4" s="87" customFormat="1" x14ac:dyDescent="0.2">
      <c r="A509" s="16"/>
      <c r="C509" s="19"/>
      <c r="D509" s="19"/>
    </row>
    <row r="510" spans="1:4" s="87" customFormat="1" x14ac:dyDescent="0.2">
      <c r="A510" s="16"/>
      <c r="C510" s="19"/>
      <c r="D510" s="19"/>
    </row>
    <row r="511" spans="1:4" s="87" customFormat="1" x14ac:dyDescent="0.2">
      <c r="A511" s="16"/>
      <c r="C511" s="19"/>
      <c r="D511" s="19"/>
    </row>
    <row r="512" spans="1:4" s="87" customFormat="1" x14ac:dyDescent="0.2">
      <c r="A512" s="16"/>
      <c r="C512" s="19"/>
      <c r="D512" s="19"/>
    </row>
    <row r="513" spans="1:4" s="87" customFormat="1" x14ac:dyDescent="0.2">
      <c r="A513" s="16"/>
      <c r="C513" s="19"/>
      <c r="D513" s="19"/>
    </row>
    <row r="514" spans="1:4" s="87" customFormat="1" x14ac:dyDescent="0.2">
      <c r="A514" s="16"/>
      <c r="C514" s="19"/>
      <c r="D514" s="19"/>
    </row>
    <row r="515" spans="1:4" s="87" customFormat="1" x14ac:dyDescent="0.2">
      <c r="A515" s="16"/>
      <c r="C515" s="19"/>
      <c r="D515" s="19"/>
    </row>
    <row r="516" spans="1:4" s="87" customFormat="1" x14ac:dyDescent="0.2">
      <c r="A516" s="16"/>
      <c r="C516" s="19"/>
      <c r="D516" s="19"/>
    </row>
    <row r="517" spans="1:4" s="87" customFormat="1" x14ac:dyDescent="0.2">
      <c r="A517" s="16"/>
      <c r="C517" s="19"/>
      <c r="D517" s="19"/>
    </row>
    <row r="518" spans="1:4" s="87" customFormat="1" x14ac:dyDescent="0.2">
      <c r="A518" s="16"/>
      <c r="C518" s="19"/>
      <c r="D518" s="19"/>
    </row>
    <row r="519" spans="1:4" s="87" customFormat="1" x14ac:dyDescent="0.2">
      <c r="A519" s="16"/>
      <c r="C519" s="19"/>
      <c r="D519" s="19"/>
    </row>
    <row r="520" spans="1:4" s="87" customFormat="1" x14ac:dyDescent="0.2">
      <c r="A520" s="16"/>
      <c r="C520" s="19"/>
      <c r="D520" s="19"/>
    </row>
    <row r="521" spans="1:4" s="87" customFormat="1" x14ac:dyDescent="0.2">
      <c r="A521" s="16"/>
      <c r="C521" s="19"/>
      <c r="D521" s="19"/>
    </row>
    <row r="522" spans="1:4" s="87" customFormat="1" x14ac:dyDescent="0.2">
      <c r="A522" s="16"/>
      <c r="C522" s="19"/>
      <c r="D522" s="19"/>
    </row>
    <row r="523" spans="1:4" s="87" customFormat="1" x14ac:dyDescent="0.2">
      <c r="A523" s="16"/>
      <c r="C523" s="19"/>
      <c r="D523" s="19"/>
    </row>
    <row r="524" spans="1:4" s="87" customFormat="1" x14ac:dyDescent="0.2">
      <c r="A524" s="16"/>
      <c r="C524" s="19"/>
      <c r="D524" s="19"/>
    </row>
    <row r="525" spans="1:4" s="87" customFormat="1" x14ac:dyDescent="0.2">
      <c r="A525" s="16"/>
      <c r="C525" s="19"/>
      <c r="D525" s="19"/>
    </row>
    <row r="526" spans="1:4" s="87" customFormat="1" x14ac:dyDescent="0.2">
      <c r="A526" s="16"/>
      <c r="C526" s="19"/>
      <c r="D526" s="19"/>
    </row>
    <row r="527" spans="1:4" s="87" customFormat="1" x14ac:dyDescent="0.2">
      <c r="A527" s="16"/>
      <c r="C527" s="19"/>
      <c r="D527" s="19"/>
    </row>
    <row r="528" spans="1:4" s="87" customFormat="1" x14ac:dyDescent="0.2">
      <c r="A528" s="16"/>
      <c r="C528" s="19"/>
      <c r="D528" s="19"/>
    </row>
    <row r="529" spans="1:4" s="87" customFormat="1" x14ac:dyDescent="0.2">
      <c r="A529" s="16"/>
      <c r="C529" s="19"/>
      <c r="D529" s="19"/>
    </row>
    <row r="530" spans="1:4" s="87" customFormat="1" x14ac:dyDescent="0.2">
      <c r="A530" s="16"/>
      <c r="C530" s="19"/>
      <c r="D530" s="19"/>
    </row>
    <row r="531" spans="1:4" s="87" customFormat="1" x14ac:dyDescent="0.2">
      <c r="A531" s="16"/>
      <c r="C531" s="19"/>
      <c r="D531" s="19"/>
    </row>
    <row r="532" spans="1:4" s="87" customFormat="1" x14ac:dyDescent="0.2">
      <c r="A532" s="16"/>
      <c r="C532" s="19"/>
      <c r="D532" s="19"/>
    </row>
    <row r="533" spans="1:4" s="87" customFormat="1" x14ac:dyDescent="0.2">
      <c r="A533" s="16"/>
      <c r="C533" s="19"/>
      <c r="D533" s="19"/>
    </row>
    <row r="534" spans="1:4" s="87" customFormat="1" x14ac:dyDescent="0.2">
      <c r="A534" s="16"/>
      <c r="C534" s="19"/>
      <c r="D534" s="19"/>
    </row>
    <row r="535" spans="1:4" s="87" customFormat="1" x14ac:dyDescent="0.2">
      <c r="A535" s="16"/>
      <c r="C535" s="19"/>
      <c r="D535" s="19"/>
    </row>
    <row r="536" spans="1:4" s="87" customFormat="1" x14ac:dyDescent="0.2">
      <c r="A536" s="16"/>
      <c r="C536" s="19"/>
      <c r="D536" s="19"/>
    </row>
    <row r="537" spans="1:4" s="87" customFormat="1" x14ac:dyDescent="0.2">
      <c r="A537" s="16"/>
      <c r="C537" s="19"/>
      <c r="D537" s="19"/>
    </row>
    <row r="538" spans="1:4" s="87" customFormat="1" x14ac:dyDescent="0.2">
      <c r="A538" s="16"/>
      <c r="C538" s="19"/>
      <c r="D538" s="19"/>
    </row>
    <row r="539" spans="1:4" s="87" customFormat="1" x14ac:dyDescent="0.2">
      <c r="A539" s="16"/>
      <c r="C539" s="19"/>
      <c r="D539" s="19"/>
    </row>
    <row r="540" spans="1:4" s="87" customFormat="1" x14ac:dyDescent="0.2">
      <c r="A540" s="16"/>
      <c r="C540" s="19"/>
      <c r="D540" s="19"/>
    </row>
    <row r="541" spans="1:4" s="87" customFormat="1" x14ac:dyDescent="0.2">
      <c r="A541" s="16"/>
      <c r="C541" s="19"/>
      <c r="D541" s="19"/>
    </row>
    <row r="542" spans="1:4" s="87" customFormat="1" x14ac:dyDescent="0.2">
      <c r="A542" s="16"/>
      <c r="C542" s="19"/>
      <c r="D542" s="19"/>
    </row>
    <row r="543" spans="1:4" s="87" customFormat="1" x14ac:dyDescent="0.2">
      <c r="A543" s="16"/>
      <c r="C543" s="19"/>
      <c r="D543" s="19"/>
    </row>
    <row r="544" spans="1:4" s="87" customFormat="1" x14ac:dyDescent="0.2">
      <c r="A544" s="16"/>
      <c r="C544" s="19"/>
      <c r="D544" s="19"/>
    </row>
    <row r="545" spans="1:4" s="87" customFormat="1" x14ac:dyDescent="0.2">
      <c r="A545" s="16"/>
      <c r="C545" s="19"/>
      <c r="D545" s="19"/>
    </row>
    <row r="546" spans="1:4" s="87" customFormat="1" x14ac:dyDescent="0.2">
      <c r="A546" s="16"/>
      <c r="C546" s="19"/>
      <c r="D546" s="19"/>
    </row>
    <row r="547" spans="1:4" s="87" customFormat="1" x14ac:dyDescent="0.2">
      <c r="A547" s="16"/>
      <c r="C547" s="19"/>
      <c r="D547" s="19"/>
    </row>
    <row r="548" spans="1:4" s="87" customFormat="1" x14ac:dyDescent="0.2">
      <c r="A548" s="16"/>
      <c r="C548" s="19"/>
      <c r="D548" s="19"/>
    </row>
    <row r="549" spans="1:4" s="87" customFormat="1" x14ac:dyDescent="0.2">
      <c r="A549" s="16"/>
      <c r="C549" s="19"/>
      <c r="D549" s="19"/>
    </row>
    <row r="550" spans="1:4" s="87" customFormat="1" x14ac:dyDescent="0.2">
      <c r="A550" s="16"/>
      <c r="C550" s="19"/>
      <c r="D550" s="19"/>
    </row>
    <row r="551" spans="1:4" s="87" customFormat="1" x14ac:dyDescent="0.2">
      <c r="A551" s="16"/>
      <c r="C551" s="19"/>
      <c r="D551" s="19"/>
    </row>
    <row r="552" spans="1:4" s="87" customFormat="1" x14ac:dyDescent="0.2">
      <c r="A552" s="16"/>
      <c r="C552" s="19"/>
      <c r="D552" s="19"/>
    </row>
    <row r="553" spans="1:4" s="87" customFormat="1" x14ac:dyDescent="0.2">
      <c r="A553" s="16"/>
      <c r="C553" s="19"/>
      <c r="D553" s="19"/>
    </row>
    <row r="554" spans="1:4" s="87" customFormat="1" x14ac:dyDescent="0.2">
      <c r="A554" s="16"/>
      <c r="C554" s="19"/>
      <c r="D554" s="19"/>
    </row>
    <row r="555" spans="1:4" s="87" customFormat="1" x14ac:dyDescent="0.2">
      <c r="A555" s="16"/>
      <c r="C555" s="19"/>
      <c r="D555" s="19"/>
    </row>
    <row r="556" spans="1:4" s="87" customFormat="1" x14ac:dyDescent="0.2">
      <c r="A556" s="16"/>
      <c r="C556" s="19"/>
      <c r="D556" s="19"/>
    </row>
    <row r="557" spans="1:4" s="87" customFormat="1" x14ac:dyDescent="0.2">
      <c r="A557" s="16"/>
      <c r="C557" s="19"/>
      <c r="D557" s="19"/>
    </row>
    <row r="558" spans="1:4" s="87" customFormat="1" x14ac:dyDescent="0.2">
      <c r="A558" s="16"/>
      <c r="C558" s="19"/>
      <c r="D558" s="19"/>
    </row>
    <row r="559" spans="1:4" s="87" customFormat="1" x14ac:dyDescent="0.2">
      <c r="A559" s="16"/>
      <c r="C559" s="19"/>
      <c r="D559" s="19"/>
    </row>
    <row r="560" spans="1:4" s="87" customFormat="1" x14ac:dyDescent="0.2">
      <c r="A560" s="16"/>
      <c r="C560" s="19"/>
      <c r="D560" s="19"/>
    </row>
    <row r="561" spans="1:4" s="87" customFormat="1" x14ac:dyDescent="0.2">
      <c r="A561" s="16"/>
      <c r="C561" s="19"/>
      <c r="D561" s="19"/>
    </row>
    <row r="562" spans="1:4" s="87" customFormat="1" x14ac:dyDescent="0.2">
      <c r="A562" s="16"/>
      <c r="C562" s="19"/>
      <c r="D562" s="19"/>
    </row>
    <row r="563" spans="1:4" s="87" customFormat="1" x14ac:dyDescent="0.2">
      <c r="A563" s="16"/>
      <c r="C563" s="19"/>
      <c r="D563" s="19"/>
    </row>
    <row r="564" spans="1:4" s="87" customFormat="1" x14ac:dyDescent="0.2">
      <c r="A564" s="16"/>
      <c r="C564" s="19"/>
      <c r="D564" s="19"/>
    </row>
    <row r="565" spans="1:4" s="87" customFormat="1" x14ac:dyDescent="0.2">
      <c r="A565" s="16"/>
      <c r="C565" s="19"/>
      <c r="D565" s="19"/>
    </row>
    <row r="566" spans="1:4" s="87" customFormat="1" x14ac:dyDescent="0.2">
      <c r="A566" s="16"/>
      <c r="C566" s="19"/>
      <c r="D566" s="19"/>
    </row>
    <row r="567" spans="1:4" s="87" customFormat="1" x14ac:dyDescent="0.2">
      <c r="A567" s="16"/>
      <c r="C567" s="19"/>
      <c r="D567" s="19"/>
    </row>
    <row r="568" spans="1:4" s="87" customFormat="1" x14ac:dyDescent="0.2">
      <c r="A568" s="16"/>
      <c r="C568" s="19"/>
      <c r="D568" s="19"/>
    </row>
    <row r="569" spans="1:4" s="87" customFormat="1" x14ac:dyDescent="0.2">
      <c r="A569" s="16"/>
      <c r="C569" s="19"/>
      <c r="D569" s="19"/>
    </row>
    <row r="570" spans="1:4" s="87" customFormat="1" x14ac:dyDescent="0.2">
      <c r="A570" s="16"/>
      <c r="C570" s="19"/>
      <c r="D570" s="19"/>
    </row>
    <row r="571" spans="1:4" s="87" customFormat="1" x14ac:dyDescent="0.2">
      <c r="A571" s="16"/>
      <c r="C571" s="19"/>
      <c r="D571" s="19"/>
    </row>
    <row r="572" spans="1:4" s="87" customFormat="1" x14ac:dyDescent="0.2">
      <c r="A572" s="16"/>
      <c r="C572" s="19"/>
      <c r="D572" s="19"/>
    </row>
    <row r="573" spans="1:4" s="87" customFormat="1" x14ac:dyDescent="0.2">
      <c r="A573" s="16"/>
      <c r="C573" s="19"/>
      <c r="D573" s="19"/>
    </row>
    <row r="574" spans="1:4" s="87" customFormat="1" x14ac:dyDescent="0.2">
      <c r="A574" s="16"/>
      <c r="C574" s="19"/>
      <c r="D574" s="19"/>
    </row>
    <row r="575" spans="1:4" s="87" customFormat="1" x14ac:dyDescent="0.2">
      <c r="A575" s="16"/>
      <c r="C575" s="19"/>
      <c r="D575" s="19"/>
    </row>
    <row r="576" spans="1:4" s="87" customFormat="1" x14ac:dyDescent="0.2">
      <c r="A576" s="16"/>
      <c r="C576" s="19"/>
      <c r="D576" s="19"/>
    </row>
    <row r="577" spans="1:4" s="87" customFormat="1" x14ac:dyDescent="0.2">
      <c r="A577" s="16"/>
      <c r="C577" s="19"/>
      <c r="D577" s="19"/>
    </row>
    <row r="578" spans="1:4" s="87" customFormat="1" x14ac:dyDescent="0.2">
      <c r="A578" s="16"/>
      <c r="C578" s="19"/>
      <c r="D578" s="19"/>
    </row>
    <row r="579" spans="1:4" s="87" customFormat="1" x14ac:dyDescent="0.2">
      <c r="A579" s="16"/>
      <c r="C579" s="19"/>
      <c r="D579" s="19"/>
    </row>
    <row r="580" spans="1:4" s="87" customFormat="1" x14ac:dyDescent="0.2">
      <c r="A580" s="16"/>
      <c r="C580" s="19"/>
      <c r="D580" s="19"/>
    </row>
    <row r="581" spans="1:4" s="87" customFormat="1" x14ac:dyDescent="0.2">
      <c r="A581" s="16"/>
      <c r="C581" s="19"/>
      <c r="D581" s="19"/>
    </row>
    <row r="582" spans="1:4" s="87" customFormat="1" x14ac:dyDescent="0.2">
      <c r="A582" s="16"/>
      <c r="C582" s="19"/>
      <c r="D582" s="19"/>
    </row>
    <row r="583" spans="1:4" s="87" customFormat="1" x14ac:dyDescent="0.2">
      <c r="A583" s="16"/>
      <c r="C583" s="19"/>
      <c r="D583" s="19"/>
    </row>
    <row r="584" spans="1:4" s="87" customFormat="1" x14ac:dyDescent="0.2">
      <c r="A584" s="16"/>
      <c r="C584" s="19"/>
      <c r="D584" s="19"/>
    </row>
    <row r="585" spans="1:4" s="87" customFormat="1" x14ac:dyDescent="0.2">
      <c r="A585" s="16"/>
      <c r="C585" s="19"/>
      <c r="D585" s="19"/>
    </row>
    <row r="586" spans="1:4" s="87" customFormat="1" x14ac:dyDescent="0.2">
      <c r="A586" s="16"/>
      <c r="C586" s="19"/>
      <c r="D586" s="19"/>
    </row>
    <row r="587" spans="1:4" s="87" customFormat="1" x14ac:dyDescent="0.2">
      <c r="A587" s="16"/>
      <c r="C587" s="19"/>
      <c r="D587" s="19"/>
    </row>
    <row r="588" spans="1:4" s="87" customFormat="1" x14ac:dyDescent="0.2">
      <c r="A588" s="16"/>
      <c r="C588" s="19"/>
      <c r="D588" s="19"/>
    </row>
    <row r="589" spans="1:4" s="87" customFormat="1" x14ac:dyDescent="0.2">
      <c r="A589" s="16"/>
      <c r="C589" s="19"/>
      <c r="D589" s="19"/>
    </row>
    <row r="590" spans="1:4" s="87" customFormat="1" x14ac:dyDescent="0.2">
      <c r="A590" s="16"/>
      <c r="C590" s="19"/>
      <c r="D590" s="19"/>
    </row>
    <row r="591" spans="1:4" s="87" customFormat="1" x14ac:dyDescent="0.2">
      <c r="A591" s="16"/>
      <c r="C591" s="19"/>
      <c r="D591" s="19"/>
    </row>
    <row r="592" spans="1:4" s="87" customFormat="1" x14ac:dyDescent="0.2">
      <c r="A592" s="16"/>
      <c r="C592" s="19"/>
      <c r="D592" s="19"/>
    </row>
    <row r="593" spans="1:4" s="87" customFormat="1" x14ac:dyDescent="0.2">
      <c r="A593" s="16"/>
      <c r="C593" s="19"/>
      <c r="D593" s="19"/>
    </row>
    <row r="594" spans="1:4" s="87" customFormat="1" x14ac:dyDescent="0.2">
      <c r="A594" s="16"/>
      <c r="C594" s="19"/>
      <c r="D594" s="19"/>
    </row>
    <row r="595" spans="1:4" s="87" customFormat="1" x14ac:dyDescent="0.2">
      <c r="A595" s="16"/>
      <c r="C595" s="19"/>
      <c r="D595" s="19"/>
    </row>
    <row r="596" spans="1:4" s="87" customFormat="1" x14ac:dyDescent="0.2">
      <c r="A596" s="16"/>
      <c r="C596" s="19"/>
      <c r="D596" s="19"/>
    </row>
    <row r="597" spans="1:4" s="87" customFormat="1" x14ac:dyDescent="0.2">
      <c r="A597" s="16"/>
      <c r="C597" s="19"/>
      <c r="D597" s="19"/>
    </row>
    <row r="598" spans="1:4" s="87" customFormat="1" x14ac:dyDescent="0.2">
      <c r="A598" s="16"/>
      <c r="C598" s="19"/>
      <c r="D598" s="19"/>
    </row>
    <row r="599" spans="1:4" s="87" customFormat="1" x14ac:dyDescent="0.2">
      <c r="A599" s="16"/>
      <c r="C599" s="19"/>
      <c r="D599" s="19"/>
    </row>
    <row r="600" spans="1:4" s="87" customFormat="1" x14ac:dyDescent="0.2">
      <c r="A600" s="16"/>
      <c r="C600" s="19"/>
      <c r="D600" s="19"/>
    </row>
    <row r="601" spans="1:4" s="87" customFormat="1" x14ac:dyDescent="0.2">
      <c r="A601" s="16"/>
      <c r="C601" s="19"/>
      <c r="D601" s="19"/>
    </row>
    <row r="602" spans="1:4" s="87" customFormat="1" x14ac:dyDescent="0.2">
      <c r="A602" s="16"/>
      <c r="C602" s="19"/>
      <c r="D602" s="19"/>
    </row>
    <row r="603" spans="1:4" s="87" customFormat="1" x14ac:dyDescent="0.2">
      <c r="A603" s="16"/>
      <c r="C603" s="19"/>
      <c r="D603" s="19"/>
    </row>
    <row r="604" spans="1:4" s="87" customFormat="1" x14ac:dyDescent="0.2">
      <c r="A604" s="16"/>
      <c r="C604" s="19"/>
      <c r="D604" s="19"/>
    </row>
    <row r="605" spans="1:4" s="87" customFormat="1" x14ac:dyDescent="0.2">
      <c r="A605" s="16"/>
      <c r="C605" s="19"/>
      <c r="D605" s="19"/>
    </row>
    <row r="606" spans="1:4" s="87" customFormat="1" x14ac:dyDescent="0.2">
      <c r="A606" s="16"/>
      <c r="C606" s="19"/>
      <c r="D606" s="19"/>
    </row>
    <row r="607" spans="1:4" s="87" customFormat="1" x14ac:dyDescent="0.2">
      <c r="A607" s="16"/>
      <c r="C607" s="19"/>
      <c r="D607" s="19"/>
    </row>
    <row r="608" spans="1:4" s="87" customFormat="1" x14ac:dyDescent="0.2">
      <c r="A608" s="16"/>
      <c r="C608" s="19"/>
      <c r="D608" s="19"/>
    </row>
    <row r="609" spans="1:4" s="87" customFormat="1" x14ac:dyDescent="0.2">
      <c r="A609" s="16"/>
      <c r="C609" s="19"/>
      <c r="D609" s="19"/>
    </row>
    <row r="610" spans="1:4" s="87" customFormat="1" x14ac:dyDescent="0.2">
      <c r="A610" s="16"/>
      <c r="C610" s="19"/>
      <c r="D610" s="19"/>
    </row>
    <row r="611" spans="1:4" s="87" customFormat="1" x14ac:dyDescent="0.2">
      <c r="A611" s="16"/>
      <c r="C611" s="19"/>
      <c r="D611" s="19"/>
    </row>
    <row r="612" spans="1:4" s="87" customFormat="1" x14ac:dyDescent="0.2">
      <c r="A612" s="16"/>
      <c r="C612" s="19"/>
      <c r="D612" s="19"/>
    </row>
    <row r="613" spans="1:4" s="87" customFormat="1" x14ac:dyDescent="0.2">
      <c r="A613" s="16"/>
      <c r="C613" s="19"/>
      <c r="D613" s="19"/>
    </row>
    <row r="614" spans="1:4" s="87" customFormat="1" x14ac:dyDescent="0.2">
      <c r="A614" s="16"/>
      <c r="C614" s="19"/>
      <c r="D614" s="19"/>
    </row>
    <row r="615" spans="1:4" s="87" customFormat="1" x14ac:dyDescent="0.2">
      <c r="A615" s="16"/>
      <c r="C615" s="19"/>
      <c r="D615" s="19"/>
    </row>
    <row r="616" spans="1:4" s="87" customFormat="1" x14ac:dyDescent="0.2">
      <c r="A616" s="16"/>
      <c r="C616" s="19"/>
      <c r="D616" s="19"/>
    </row>
    <row r="617" spans="1:4" s="87" customFormat="1" x14ac:dyDescent="0.2">
      <c r="A617" s="16"/>
      <c r="C617" s="19"/>
      <c r="D617" s="19"/>
    </row>
    <row r="618" spans="1:4" s="87" customFormat="1" x14ac:dyDescent="0.2">
      <c r="A618" s="16"/>
      <c r="C618" s="19"/>
      <c r="D618" s="19"/>
    </row>
    <row r="619" spans="1:4" s="87" customFormat="1" x14ac:dyDescent="0.2">
      <c r="A619" s="16"/>
      <c r="C619" s="19"/>
      <c r="D619" s="19"/>
    </row>
    <row r="620" spans="1:4" s="87" customFormat="1" x14ac:dyDescent="0.2">
      <c r="A620" s="16"/>
      <c r="C620" s="19"/>
      <c r="D620" s="19"/>
    </row>
    <row r="621" spans="1:4" s="87" customFormat="1" x14ac:dyDescent="0.2">
      <c r="A621" s="16"/>
      <c r="C621" s="19"/>
      <c r="D621" s="19"/>
    </row>
    <row r="622" spans="1:4" s="87" customFormat="1" x14ac:dyDescent="0.2">
      <c r="A622" s="16"/>
      <c r="C622" s="19"/>
      <c r="D622" s="19"/>
    </row>
    <row r="623" spans="1:4" s="87" customFormat="1" x14ac:dyDescent="0.2">
      <c r="A623" s="16"/>
      <c r="C623" s="19"/>
      <c r="D623" s="19"/>
    </row>
    <row r="624" spans="1:4" s="87" customFormat="1" x14ac:dyDescent="0.2">
      <c r="A624" s="16"/>
      <c r="C624" s="19"/>
      <c r="D624" s="19"/>
    </row>
    <row r="625" spans="1:4" s="87" customFormat="1" x14ac:dyDescent="0.2">
      <c r="A625" s="16"/>
      <c r="C625" s="19"/>
      <c r="D625" s="19"/>
    </row>
    <row r="626" spans="1:4" s="87" customFormat="1" x14ac:dyDescent="0.2">
      <c r="A626" s="16"/>
      <c r="C626" s="19"/>
      <c r="D626" s="19"/>
    </row>
    <row r="627" spans="1:4" s="87" customFormat="1" x14ac:dyDescent="0.2">
      <c r="A627" s="16"/>
      <c r="C627" s="19"/>
      <c r="D627" s="19"/>
    </row>
    <row r="628" spans="1:4" s="87" customFormat="1" x14ac:dyDescent="0.2">
      <c r="A628" s="16"/>
      <c r="C628" s="19"/>
      <c r="D628" s="19"/>
    </row>
    <row r="629" spans="1:4" s="87" customFormat="1" x14ac:dyDescent="0.2">
      <c r="A629" s="16"/>
      <c r="C629" s="19"/>
      <c r="D629" s="19"/>
    </row>
    <row r="630" spans="1:4" s="87" customFormat="1" x14ac:dyDescent="0.2">
      <c r="A630" s="16"/>
      <c r="C630" s="19"/>
      <c r="D630" s="19"/>
    </row>
    <row r="631" spans="1:4" s="87" customFormat="1" x14ac:dyDescent="0.2">
      <c r="A631" s="16"/>
      <c r="C631" s="19"/>
      <c r="D631" s="19"/>
    </row>
    <row r="632" spans="1:4" s="87" customFormat="1" x14ac:dyDescent="0.2">
      <c r="A632" s="16"/>
      <c r="C632" s="19"/>
      <c r="D632" s="19"/>
    </row>
    <row r="633" spans="1:4" s="87" customFormat="1" x14ac:dyDescent="0.2">
      <c r="A633" s="16"/>
      <c r="C633" s="19"/>
      <c r="D633" s="19"/>
    </row>
    <row r="634" spans="1:4" s="87" customFormat="1" x14ac:dyDescent="0.2">
      <c r="A634" s="16"/>
      <c r="C634" s="19"/>
      <c r="D634" s="19"/>
    </row>
    <row r="635" spans="1:4" s="87" customFormat="1" x14ac:dyDescent="0.2">
      <c r="A635" s="16"/>
      <c r="C635" s="19"/>
      <c r="D635" s="19"/>
    </row>
    <row r="636" spans="1:4" s="87" customFormat="1" x14ac:dyDescent="0.2">
      <c r="A636" s="16"/>
      <c r="C636" s="19"/>
      <c r="D636" s="19"/>
    </row>
    <row r="637" spans="1:4" s="87" customFormat="1" x14ac:dyDescent="0.2">
      <c r="A637" s="16"/>
      <c r="C637" s="19"/>
      <c r="D637" s="19"/>
    </row>
    <row r="638" spans="1:4" s="87" customFormat="1" x14ac:dyDescent="0.2">
      <c r="A638" s="16"/>
      <c r="C638" s="19"/>
      <c r="D638" s="19"/>
    </row>
    <row r="639" spans="1:4" s="87" customFormat="1" x14ac:dyDescent="0.2">
      <c r="A639" s="16"/>
      <c r="C639" s="19"/>
      <c r="D639" s="19"/>
    </row>
    <row r="640" spans="1:4" s="87" customFormat="1" x14ac:dyDescent="0.2">
      <c r="A640" s="16"/>
      <c r="C640" s="19"/>
      <c r="D640" s="19"/>
    </row>
    <row r="641" spans="1:4" s="87" customFormat="1" x14ac:dyDescent="0.2">
      <c r="A641" s="16"/>
      <c r="C641" s="19"/>
      <c r="D641" s="19"/>
    </row>
    <row r="642" spans="1:4" s="87" customFormat="1" x14ac:dyDescent="0.2">
      <c r="A642" s="16"/>
      <c r="C642" s="19"/>
      <c r="D642" s="19"/>
    </row>
    <row r="643" spans="1:4" s="87" customFormat="1" x14ac:dyDescent="0.2">
      <c r="A643" s="16"/>
      <c r="C643" s="19"/>
      <c r="D643" s="19"/>
    </row>
    <row r="644" spans="1:4" s="87" customFormat="1" x14ac:dyDescent="0.2">
      <c r="A644" s="16"/>
      <c r="C644" s="19"/>
      <c r="D644" s="19"/>
    </row>
    <row r="645" spans="1:4" s="87" customFormat="1" x14ac:dyDescent="0.2">
      <c r="A645" s="16"/>
      <c r="C645" s="19"/>
      <c r="D645" s="19"/>
    </row>
    <row r="646" spans="1:4" s="87" customFormat="1" x14ac:dyDescent="0.2">
      <c r="A646" s="16"/>
      <c r="C646" s="19"/>
      <c r="D646" s="19"/>
    </row>
    <row r="647" spans="1:4" s="87" customFormat="1" x14ac:dyDescent="0.2">
      <c r="A647" s="16"/>
      <c r="C647" s="19"/>
      <c r="D647" s="19"/>
    </row>
    <row r="648" spans="1:4" s="87" customFormat="1" x14ac:dyDescent="0.2">
      <c r="A648" s="16"/>
      <c r="C648" s="19"/>
      <c r="D648" s="19"/>
    </row>
    <row r="649" spans="1:4" s="87" customFormat="1" x14ac:dyDescent="0.2">
      <c r="A649" s="16"/>
      <c r="C649" s="19"/>
      <c r="D649" s="19"/>
    </row>
    <row r="650" spans="1:4" s="87" customFormat="1" x14ac:dyDescent="0.2">
      <c r="A650" s="16"/>
      <c r="C650" s="19"/>
      <c r="D650" s="19"/>
    </row>
    <row r="651" spans="1:4" s="87" customFormat="1" x14ac:dyDescent="0.2">
      <c r="A651" s="16"/>
      <c r="C651" s="19"/>
      <c r="D651" s="19"/>
    </row>
    <row r="652" spans="1:4" s="87" customFormat="1" x14ac:dyDescent="0.2">
      <c r="A652" s="16"/>
      <c r="C652" s="19"/>
      <c r="D652" s="19"/>
    </row>
    <row r="653" spans="1:4" s="87" customFormat="1" x14ac:dyDescent="0.2">
      <c r="A653" s="16"/>
      <c r="C653" s="19"/>
      <c r="D653" s="19"/>
    </row>
    <row r="654" spans="1:4" s="87" customFormat="1" x14ac:dyDescent="0.2">
      <c r="A654" s="16"/>
      <c r="C654" s="19"/>
      <c r="D654" s="19"/>
    </row>
    <row r="655" spans="1:4" s="87" customFormat="1" x14ac:dyDescent="0.2">
      <c r="A655" s="16"/>
      <c r="C655" s="19"/>
      <c r="D655" s="19"/>
    </row>
    <row r="656" spans="1:4" s="87" customFormat="1" x14ac:dyDescent="0.2">
      <c r="A656" s="16"/>
      <c r="C656" s="19"/>
      <c r="D656" s="19"/>
    </row>
    <row r="657" spans="1:4" s="87" customFormat="1" x14ac:dyDescent="0.2">
      <c r="A657" s="16"/>
      <c r="C657" s="19"/>
      <c r="D657" s="19"/>
    </row>
    <row r="658" spans="1:4" s="87" customFormat="1" x14ac:dyDescent="0.2">
      <c r="A658" s="16"/>
      <c r="C658" s="19"/>
      <c r="D658" s="19"/>
    </row>
    <row r="659" spans="1:4" s="87" customFormat="1" x14ac:dyDescent="0.2">
      <c r="A659" s="16"/>
      <c r="C659" s="19"/>
      <c r="D659" s="19"/>
    </row>
    <row r="660" spans="1:4" s="87" customFormat="1" x14ac:dyDescent="0.2">
      <c r="A660" s="16"/>
      <c r="C660" s="19"/>
      <c r="D660" s="19"/>
    </row>
    <row r="661" spans="1:4" s="87" customFormat="1" x14ac:dyDescent="0.2">
      <c r="A661" s="16"/>
      <c r="C661" s="19"/>
      <c r="D661" s="19"/>
    </row>
    <row r="662" spans="1:4" s="87" customFormat="1" x14ac:dyDescent="0.2">
      <c r="A662" s="16"/>
      <c r="C662" s="19"/>
      <c r="D662" s="19"/>
    </row>
    <row r="663" spans="1:4" s="87" customFormat="1" x14ac:dyDescent="0.2">
      <c r="A663" s="16"/>
      <c r="C663" s="19"/>
      <c r="D663" s="19"/>
    </row>
    <row r="664" spans="1:4" s="87" customFormat="1" x14ac:dyDescent="0.2">
      <c r="A664" s="16"/>
      <c r="C664" s="19"/>
      <c r="D664" s="19"/>
    </row>
    <row r="665" spans="1:4" s="87" customFormat="1" x14ac:dyDescent="0.2">
      <c r="A665" s="16"/>
      <c r="C665" s="19"/>
      <c r="D665" s="19"/>
    </row>
    <row r="666" spans="1:4" s="87" customFormat="1" x14ac:dyDescent="0.2">
      <c r="A666" s="16"/>
      <c r="C666" s="19"/>
      <c r="D666" s="19"/>
    </row>
    <row r="667" spans="1:4" s="87" customFormat="1" x14ac:dyDescent="0.2">
      <c r="A667" s="16"/>
      <c r="C667" s="19"/>
      <c r="D667" s="19"/>
    </row>
    <row r="668" spans="1:4" s="87" customFormat="1" x14ac:dyDescent="0.2">
      <c r="A668" s="16"/>
      <c r="C668" s="19"/>
      <c r="D668" s="19"/>
    </row>
    <row r="669" spans="1:4" s="87" customFormat="1" x14ac:dyDescent="0.2">
      <c r="A669" s="16"/>
      <c r="C669" s="19"/>
      <c r="D669" s="19"/>
    </row>
    <row r="670" spans="1:4" s="87" customFormat="1" x14ac:dyDescent="0.2">
      <c r="A670" s="16"/>
      <c r="C670" s="19"/>
      <c r="D670" s="19"/>
    </row>
    <row r="671" spans="1:4" s="87" customFormat="1" x14ac:dyDescent="0.2">
      <c r="A671" s="16"/>
      <c r="C671" s="19"/>
      <c r="D671" s="19"/>
    </row>
    <row r="672" spans="1:4" s="87" customFormat="1" x14ac:dyDescent="0.2">
      <c r="A672" s="16"/>
      <c r="C672" s="19"/>
      <c r="D672" s="19"/>
    </row>
    <row r="673" spans="1:4" s="87" customFormat="1" x14ac:dyDescent="0.2">
      <c r="A673" s="16"/>
      <c r="C673" s="19"/>
      <c r="D673" s="19"/>
    </row>
    <row r="674" spans="1:4" s="87" customFormat="1" x14ac:dyDescent="0.2">
      <c r="A674" s="16"/>
      <c r="C674" s="19"/>
      <c r="D674" s="19"/>
    </row>
    <row r="675" spans="1:4" s="87" customFormat="1" x14ac:dyDescent="0.2">
      <c r="A675" s="16"/>
      <c r="C675" s="19"/>
      <c r="D675" s="19"/>
    </row>
    <row r="676" spans="1:4" s="87" customFormat="1" x14ac:dyDescent="0.2">
      <c r="A676" s="16"/>
      <c r="C676" s="19"/>
      <c r="D676" s="19"/>
    </row>
    <row r="677" spans="1:4" s="87" customFormat="1" x14ac:dyDescent="0.2">
      <c r="A677" s="16"/>
      <c r="C677" s="19"/>
      <c r="D677" s="19"/>
    </row>
    <row r="678" spans="1:4" s="87" customFormat="1" x14ac:dyDescent="0.2">
      <c r="A678" s="16"/>
      <c r="C678" s="19"/>
      <c r="D678" s="19"/>
    </row>
    <row r="679" spans="1:4" s="87" customFormat="1" x14ac:dyDescent="0.2">
      <c r="A679" s="16"/>
      <c r="C679" s="19"/>
      <c r="D679" s="19"/>
    </row>
    <row r="680" spans="1:4" s="87" customFormat="1" x14ac:dyDescent="0.2">
      <c r="A680" s="16"/>
      <c r="C680" s="19"/>
      <c r="D680" s="19"/>
    </row>
    <row r="681" spans="1:4" s="87" customFormat="1" x14ac:dyDescent="0.2">
      <c r="A681" s="16"/>
      <c r="C681" s="19"/>
      <c r="D681" s="19"/>
    </row>
    <row r="682" spans="1:4" s="87" customFormat="1" x14ac:dyDescent="0.2">
      <c r="A682" s="16"/>
      <c r="C682" s="19"/>
      <c r="D682" s="19"/>
    </row>
    <row r="683" spans="1:4" s="87" customFormat="1" x14ac:dyDescent="0.2">
      <c r="A683" s="16"/>
      <c r="C683" s="19"/>
      <c r="D683" s="19"/>
    </row>
    <row r="684" spans="1:4" s="87" customFormat="1" x14ac:dyDescent="0.2">
      <c r="A684" s="16"/>
      <c r="C684" s="19"/>
      <c r="D684" s="19"/>
    </row>
    <row r="685" spans="1:4" s="87" customFormat="1" x14ac:dyDescent="0.2">
      <c r="A685" s="16"/>
      <c r="C685" s="19"/>
      <c r="D685" s="19"/>
    </row>
    <row r="686" spans="1:4" s="87" customFormat="1" x14ac:dyDescent="0.2">
      <c r="A686" s="16"/>
      <c r="C686" s="19"/>
      <c r="D686" s="19"/>
    </row>
    <row r="687" spans="1:4" s="87" customFormat="1" x14ac:dyDescent="0.2">
      <c r="A687" s="16"/>
      <c r="C687" s="19"/>
      <c r="D687" s="19"/>
    </row>
    <row r="688" spans="1:4" s="87" customFormat="1" x14ac:dyDescent="0.2">
      <c r="A688" s="16"/>
      <c r="C688" s="19"/>
      <c r="D688" s="19"/>
    </row>
    <row r="689" spans="1:4" s="87" customFormat="1" x14ac:dyDescent="0.2">
      <c r="A689" s="16"/>
      <c r="C689" s="19"/>
      <c r="D689" s="19"/>
    </row>
    <row r="690" spans="1:4" s="87" customFormat="1" x14ac:dyDescent="0.2">
      <c r="A690" s="16"/>
      <c r="C690" s="19"/>
      <c r="D690" s="19"/>
    </row>
    <row r="691" spans="1:4" s="87" customFormat="1" x14ac:dyDescent="0.2">
      <c r="A691" s="16"/>
      <c r="C691" s="19"/>
      <c r="D691" s="19"/>
    </row>
    <row r="692" spans="1:4" s="87" customFormat="1" x14ac:dyDescent="0.2">
      <c r="A692" s="16"/>
      <c r="C692" s="19"/>
      <c r="D692" s="19"/>
    </row>
    <row r="693" spans="1:4" s="87" customFormat="1" x14ac:dyDescent="0.2">
      <c r="A693" s="16"/>
      <c r="C693" s="19"/>
      <c r="D693" s="19"/>
    </row>
    <row r="694" spans="1:4" s="87" customFormat="1" x14ac:dyDescent="0.2">
      <c r="A694" s="16"/>
      <c r="C694" s="19"/>
      <c r="D694" s="19"/>
    </row>
    <row r="695" spans="1:4" s="87" customFormat="1" x14ac:dyDescent="0.2">
      <c r="A695" s="16"/>
      <c r="C695" s="19"/>
      <c r="D695" s="19"/>
    </row>
    <row r="696" spans="1:4" s="87" customFormat="1" x14ac:dyDescent="0.2">
      <c r="A696" s="16"/>
      <c r="C696" s="19"/>
      <c r="D696" s="19"/>
    </row>
    <row r="697" spans="1:4" s="87" customFormat="1" x14ac:dyDescent="0.2">
      <c r="A697" s="16"/>
      <c r="C697" s="19"/>
      <c r="D697" s="19"/>
    </row>
    <row r="698" spans="1:4" s="87" customFormat="1" x14ac:dyDescent="0.2">
      <c r="A698" s="16"/>
      <c r="C698" s="19"/>
      <c r="D698" s="19"/>
    </row>
    <row r="699" spans="1:4" s="87" customFormat="1" x14ac:dyDescent="0.2">
      <c r="A699" s="16"/>
      <c r="C699" s="19"/>
      <c r="D699" s="19"/>
    </row>
    <row r="700" spans="1:4" s="87" customFormat="1" x14ac:dyDescent="0.2">
      <c r="A700" s="16"/>
      <c r="C700" s="19"/>
      <c r="D700" s="19"/>
    </row>
    <row r="701" spans="1:4" s="87" customFormat="1" x14ac:dyDescent="0.2">
      <c r="A701" s="16"/>
      <c r="C701" s="19"/>
      <c r="D701" s="19"/>
    </row>
    <row r="702" spans="1:4" s="87" customFormat="1" x14ac:dyDescent="0.2">
      <c r="A702" s="16"/>
      <c r="C702" s="19"/>
      <c r="D702" s="19"/>
    </row>
    <row r="703" spans="1:4" s="87" customFormat="1" x14ac:dyDescent="0.2">
      <c r="A703" s="16"/>
      <c r="C703" s="19"/>
      <c r="D703" s="19"/>
    </row>
    <row r="704" spans="1:4" s="87" customFormat="1" x14ac:dyDescent="0.2">
      <c r="A704" s="16"/>
      <c r="C704" s="19"/>
      <c r="D704" s="19"/>
    </row>
    <row r="705" spans="1:4" s="87" customFormat="1" x14ac:dyDescent="0.2">
      <c r="A705" s="16"/>
      <c r="C705" s="19"/>
      <c r="D705" s="19"/>
    </row>
    <row r="706" spans="1:4" s="87" customFormat="1" x14ac:dyDescent="0.2">
      <c r="A706" s="16"/>
      <c r="C706" s="19"/>
      <c r="D706" s="19"/>
    </row>
    <row r="707" spans="1:4" s="87" customFormat="1" x14ac:dyDescent="0.2">
      <c r="A707" s="16"/>
      <c r="C707" s="19"/>
      <c r="D707" s="19"/>
    </row>
    <row r="708" spans="1:4" s="87" customFormat="1" x14ac:dyDescent="0.2">
      <c r="A708" s="16"/>
      <c r="C708" s="19"/>
      <c r="D708" s="19"/>
    </row>
    <row r="709" spans="1:4" s="87" customFormat="1" x14ac:dyDescent="0.2">
      <c r="A709" s="16"/>
      <c r="C709" s="19"/>
      <c r="D709" s="19"/>
    </row>
    <row r="710" spans="1:4" s="87" customFormat="1" x14ac:dyDescent="0.2">
      <c r="A710" s="16"/>
      <c r="C710" s="19"/>
      <c r="D710" s="19"/>
    </row>
    <row r="711" spans="1:4" s="87" customFormat="1" x14ac:dyDescent="0.2">
      <c r="A711" s="16"/>
      <c r="C711" s="19"/>
      <c r="D711" s="19"/>
    </row>
    <row r="712" spans="1:4" s="87" customFormat="1" x14ac:dyDescent="0.2">
      <c r="A712" s="16"/>
      <c r="C712" s="19"/>
      <c r="D712" s="19"/>
    </row>
    <row r="713" spans="1:4" s="87" customFormat="1" x14ac:dyDescent="0.2">
      <c r="A713" s="16"/>
      <c r="C713" s="19"/>
      <c r="D713" s="19"/>
    </row>
    <row r="714" spans="1:4" s="87" customFormat="1" x14ac:dyDescent="0.2">
      <c r="A714" s="16"/>
      <c r="C714" s="19"/>
      <c r="D714" s="19"/>
    </row>
    <row r="715" spans="1:4" s="87" customFormat="1" x14ac:dyDescent="0.2">
      <c r="A715" s="16"/>
      <c r="C715" s="19"/>
      <c r="D715" s="19"/>
    </row>
    <row r="716" spans="1:4" s="87" customFormat="1" x14ac:dyDescent="0.2">
      <c r="A716" s="16"/>
      <c r="C716" s="19"/>
      <c r="D716" s="19"/>
    </row>
    <row r="717" spans="1:4" s="87" customFormat="1" x14ac:dyDescent="0.2">
      <c r="A717" s="16"/>
      <c r="C717" s="19"/>
      <c r="D717" s="19"/>
    </row>
    <row r="718" spans="1:4" s="87" customFormat="1" x14ac:dyDescent="0.2">
      <c r="A718" s="16"/>
      <c r="C718" s="19"/>
      <c r="D718" s="19"/>
    </row>
    <row r="719" spans="1:4" s="87" customFormat="1" x14ac:dyDescent="0.2">
      <c r="A719" s="16"/>
      <c r="C719" s="19"/>
      <c r="D719" s="19"/>
    </row>
    <row r="720" spans="1:4" s="87" customFormat="1" x14ac:dyDescent="0.2">
      <c r="A720" s="16"/>
      <c r="C720" s="19"/>
      <c r="D720" s="19"/>
    </row>
    <row r="721" spans="1:4" s="87" customFormat="1" x14ac:dyDescent="0.2">
      <c r="A721" s="16"/>
      <c r="C721" s="19"/>
      <c r="D721" s="19"/>
    </row>
    <row r="722" spans="1:4" s="87" customFormat="1" x14ac:dyDescent="0.2">
      <c r="A722" s="16"/>
      <c r="C722" s="19"/>
      <c r="D722" s="19"/>
    </row>
    <row r="723" spans="1:4" s="87" customFormat="1" x14ac:dyDescent="0.2">
      <c r="A723" s="16"/>
      <c r="C723" s="19"/>
      <c r="D723" s="19"/>
    </row>
    <row r="724" spans="1:4" s="87" customFormat="1" x14ac:dyDescent="0.2">
      <c r="A724" s="16"/>
      <c r="C724" s="19"/>
      <c r="D724" s="19"/>
    </row>
    <row r="725" spans="1:4" s="87" customFormat="1" x14ac:dyDescent="0.2">
      <c r="A725" s="16"/>
      <c r="C725" s="19"/>
      <c r="D725" s="19"/>
    </row>
    <row r="726" spans="1:4" s="87" customFormat="1" x14ac:dyDescent="0.2">
      <c r="A726" s="16"/>
      <c r="C726" s="19"/>
      <c r="D726" s="19"/>
    </row>
    <row r="727" spans="1:4" s="87" customFormat="1" x14ac:dyDescent="0.2">
      <c r="A727" s="16"/>
      <c r="C727" s="19"/>
      <c r="D727" s="19"/>
    </row>
    <row r="728" spans="1:4" s="87" customFormat="1" x14ac:dyDescent="0.2">
      <c r="A728" s="16"/>
      <c r="C728" s="19"/>
      <c r="D728" s="19"/>
    </row>
    <row r="729" spans="1:4" s="87" customFormat="1" x14ac:dyDescent="0.2">
      <c r="A729" s="16"/>
      <c r="C729" s="19"/>
      <c r="D729" s="19"/>
    </row>
    <row r="730" spans="1:4" s="87" customFormat="1" x14ac:dyDescent="0.2">
      <c r="A730" s="16"/>
      <c r="C730" s="19"/>
      <c r="D730" s="19"/>
    </row>
    <row r="731" spans="1:4" s="87" customFormat="1" x14ac:dyDescent="0.2">
      <c r="A731" s="16"/>
      <c r="C731" s="19"/>
      <c r="D731" s="19"/>
    </row>
    <row r="732" spans="1:4" s="87" customFormat="1" x14ac:dyDescent="0.2">
      <c r="A732" s="16"/>
      <c r="C732" s="19"/>
      <c r="D732" s="19"/>
    </row>
    <row r="733" spans="1:4" s="87" customFormat="1" x14ac:dyDescent="0.2">
      <c r="A733" s="16"/>
      <c r="C733" s="19"/>
      <c r="D733" s="19"/>
    </row>
    <row r="734" spans="1:4" s="87" customFormat="1" x14ac:dyDescent="0.2">
      <c r="A734" s="16"/>
      <c r="C734" s="19"/>
      <c r="D734" s="19"/>
    </row>
    <row r="735" spans="1:4" s="87" customFormat="1" x14ac:dyDescent="0.2">
      <c r="A735" s="16"/>
      <c r="C735" s="19"/>
      <c r="D735" s="19"/>
    </row>
    <row r="736" spans="1:4" s="87" customFormat="1" x14ac:dyDescent="0.2">
      <c r="A736" s="16"/>
      <c r="C736" s="19"/>
      <c r="D736" s="19"/>
    </row>
    <row r="737" spans="1:4" s="87" customFormat="1" x14ac:dyDescent="0.2">
      <c r="A737" s="16"/>
      <c r="C737" s="19"/>
      <c r="D737" s="19"/>
    </row>
    <row r="738" spans="1:4" s="87" customFormat="1" x14ac:dyDescent="0.2">
      <c r="A738" s="16"/>
      <c r="C738" s="19"/>
      <c r="D738" s="19"/>
    </row>
    <row r="739" spans="1:4" s="87" customFormat="1" x14ac:dyDescent="0.2">
      <c r="A739" s="16"/>
      <c r="C739" s="19"/>
      <c r="D739" s="19"/>
    </row>
    <row r="740" spans="1:4" s="87" customFormat="1" x14ac:dyDescent="0.2">
      <c r="A740" s="16"/>
      <c r="C740" s="19"/>
      <c r="D740" s="19"/>
    </row>
    <row r="741" spans="1:4" s="87" customFormat="1" x14ac:dyDescent="0.2">
      <c r="A741" s="16"/>
      <c r="C741" s="19"/>
      <c r="D741" s="19"/>
    </row>
    <row r="742" spans="1:4" s="87" customFormat="1" x14ac:dyDescent="0.2">
      <c r="A742" s="16"/>
      <c r="C742" s="19"/>
      <c r="D742" s="19"/>
    </row>
    <row r="743" spans="1:4" s="87" customFormat="1" x14ac:dyDescent="0.2">
      <c r="A743" s="16"/>
      <c r="C743" s="19"/>
      <c r="D743" s="19"/>
    </row>
    <row r="744" spans="1:4" s="87" customFormat="1" x14ac:dyDescent="0.2">
      <c r="A744" s="16"/>
      <c r="C744" s="19"/>
      <c r="D744" s="19"/>
    </row>
    <row r="745" spans="1:4" s="87" customFormat="1" x14ac:dyDescent="0.2">
      <c r="A745" s="16"/>
      <c r="C745" s="19"/>
      <c r="D745" s="19"/>
    </row>
    <row r="746" spans="1:4" s="87" customFormat="1" x14ac:dyDescent="0.2">
      <c r="A746" s="16"/>
      <c r="C746" s="19"/>
      <c r="D746" s="19"/>
    </row>
    <row r="747" spans="1:4" s="87" customFormat="1" x14ac:dyDescent="0.2">
      <c r="A747" s="16"/>
      <c r="C747" s="19"/>
      <c r="D747" s="19"/>
    </row>
    <row r="748" spans="1:4" s="87" customFormat="1" x14ac:dyDescent="0.2">
      <c r="A748" s="16"/>
      <c r="C748" s="19"/>
      <c r="D748" s="19"/>
    </row>
    <row r="749" spans="1:4" s="87" customFormat="1" x14ac:dyDescent="0.2">
      <c r="A749" s="16"/>
      <c r="C749" s="19"/>
      <c r="D749" s="19"/>
    </row>
    <row r="750" spans="1:4" s="87" customFormat="1" x14ac:dyDescent="0.2">
      <c r="A750" s="16"/>
      <c r="C750" s="19"/>
      <c r="D750" s="19"/>
    </row>
    <row r="751" spans="1:4" s="87" customFormat="1" x14ac:dyDescent="0.2">
      <c r="A751" s="16"/>
      <c r="C751" s="19"/>
      <c r="D751" s="19"/>
    </row>
    <row r="752" spans="1:4" s="87" customFormat="1" x14ac:dyDescent="0.2">
      <c r="A752" s="16"/>
      <c r="C752" s="19"/>
      <c r="D752" s="19"/>
    </row>
    <row r="753" spans="1:4" s="87" customFormat="1" x14ac:dyDescent="0.2">
      <c r="A753" s="16"/>
      <c r="C753" s="19"/>
      <c r="D753" s="19"/>
    </row>
    <row r="754" spans="1:4" s="87" customFormat="1" x14ac:dyDescent="0.2">
      <c r="A754" s="16"/>
      <c r="C754" s="19"/>
      <c r="D754" s="19"/>
    </row>
    <row r="755" spans="1:4" s="87" customFormat="1" x14ac:dyDescent="0.2">
      <c r="A755" s="16"/>
      <c r="C755" s="19"/>
      <c r="D755" s="19"/>
    </row>
    <row r="756" spans="1:4" s="87" customFormat="1" x14ac:dyDescent="0.2">
      <c r="A756" s="16"/>
      <c r="C756" s="19"/>
      <c r="D756" s="19"/>
    </row>
    <row r="757" spans="1:4" s="87" customFormat="1" x14ac:dyDescent="0.2">
      <c r="A757" s="16"/>
      <c r="C757" s="19"/>
      <c r="D757" s="19"/>
    </row>
    <row r="758" spans="1:4" s="87" customFormat="1" x14ac:dyDescent="0.2">
      <c r="A758" s="16"/>
      <c r="C758" s="19"/>
      <c r="D758" s="19"/>
    </row>
    <row r="759" spans="1:4" s="87" customFormat="1" x14ac:dyDescent="0.2">
      <c r="A759" s="16"/>
      <c r="C759" s="19"/>
      <c r="D759" s="19"/>
    </row>
    <row r="760" spans="1:4" s="87" customFormat="1" x14ac:dyDescent="0.2">
      <c r="A760" s="16"/>
      <c r="C760" s="19"/>
      <c r="D760" s="19"/>
    </row>
    <row r="761" spans="1:4" s="87" customFormat="1" x14ac:dyDescent="0.2">
      <c r="A761" s="16"/>
      <c r="C761" s="19"/>
      <c r="D761" s="19"/>
    </row>
    <row r="762" spans="1:4" s="87" customFormat="1" x14ac:dyDescent="0.2">
      <c r="A762" s="16"/>
      <c r="C762" s="19"/>
      <c r="D762" s="19"/>
    </row>
    <row r="763" spans="1:4" s="87" customFormat="1" x14ac:dyDescent="0.2">
      <c r="A763" s="16"/>
      <c r="C763" s="19"/>
      <c r="D763" s="19"/>
    </row>
    <row r="764" spans="1:4" s="87" customFormat="1" x14ac:dyDescent="0.2">
      <c r="A764" s="16"/>
      <c r="C764" s="19"/>
      <c r="D764" s="19"/>
    </row>
    <row r="765" spans="1:4" s="87" customFormat="1" x14ac:dyDescent="0.2">
      <c r="A765" s="16"/>
      <c r="C765" s="19"/>
      <c r="D765" s="19"/>
    </row>
    <row r="766" spans="1:4" s="87" customFormat="1" x14ac:dyDescent="0.2">
      <c r="A766" s="16"/>
      <c r="C766" s="19"/>
      <c r="D766" s="19"/>
    </row>
    <row r="767" spans="1:4" s="87" customFormat="1" x14ac:dyDescent="0.2">
      <c r="A767" s="16"/>
      <c r="C767" s="19"/>
      <c r="D767" s="19"/>
    </row>
    <row r="768" spans="1:4" s="87" customFormat="1" x14ac:dyDescent="0.2">
      <c r="A768" s="16"/>
      <c r="C768" s="19"/>
      <c r="D768" s="19"/>
    </row>
    <row r="769" spans="1:4" s="87" customFormat="1" x14ac:dyDescent="0.2">
      <c r="A769" s="16"/>
      <c r="C769" s="19"/>
      <c r="D769" s="19"/>
    </row>
    <row r="770" spans="1:4" s="87" customFormat="1" x14ac:dyDescent="0.2">
      <c r="A770" s="16"/>
      <c r="C770" s="19"/>
      <c r="D770" s="19"/>
    </row>
    <row r="771" spans="1:4" s="87" customFormat="1" x14ac:dyDescent="0.2">
      <c r="A771" s="16"/>
      <c r="C771" s="19"/>
      <c r="D771" s="19"/>
    </row>
    <row r="772" spans="1:4" s="87" customFormat="1" x14ac:dyDescent="0.2">
      <c r="A772" s="16"/>
      <c r="C772" s="19"/>
      <c r="D772" s="19"/>
    </row>
    <row r="773" spans="1:4" s="87" customFormat="1" x14ac:dyDescent="0.2">
      <c r="A773" s="16"/>
      <c r="C773" s="19"/>
      <c r="D773" s="19"/>
    </row>
    <row r="774" spans="1:4" s="87" customFormat="1" x14ac:dyDescent="0.2">
      <c r="A774" s="16"/>
      <c r="C774" s="19"/>
      <c r="D774" s="19"/>
    </row>
    <row r="775" spans="1:4" s="87" customFormat="1" x14ac:dyDescent="0.2">
      <c r="A775" s="16"/>
      <c r="C775" s="19"/>
      <c r="D775" s="19"/>
    </row>
    <row r="776" spans="1:4" s="87" customFormat="1" x14ac:dyDescent="0.2">
      <c r="A776" s="16"/>
      <c r="C776" s="19"/>
      <c r="D776" s="19"/>
    </row>
    <row r="777" spans="1:4" s="87" customFormat="1" x14ac:dyDescent="0.2">
      <c r="A777" s="16"/>
      <c r="C777" s="19"/>
      <c r="D777" s="19"/>
    </row>
    <row r="778" spans="1:4" s="87" customFormat="1" x14ac:dyDescent="0.2">
      <c r="A778" s="16"/>
      <c r="C778" s="19"/>
      <c r="D778" s="19"/>
    </row>
    <row r="779" spans="1:4" s="87" customFormat="1" x14ac:dyDescent="0.2">
      <c r="A779" s="16"/>
      <c r="C779" s="19"/>
      <c r="D779" s="19"/>
    </row>
    <row r="780" spans="1:4" s="87" customFormat="1" x14ac:dyDescent="0.2">
      <c r="A780" s="16"/>
      <c r="C780" s="19"/>
      <c r="D780" s="19"/>
    </row>
    <row r="781" spans="1:4" s="87" customFormat="1" x14ac:dyDescent="0.2">
      <c r="A781" s="16"/>
      <c r="C781" s="19"/>
      <c r="D781" s="19"/>
    </row>
    <row r="782" spans="1:4" s="87" customFormat="1" x14ac:dyDescent="0.2">
      <c r="A782" s="16"/>
      <c r="C782" s="19"/>
      <c r="D782" s="19"/>
    </row>
    <row r="783" spans="1:4" s="87" customFormat="1" x14ac:dyDescent="0.2">
      <c r="A783" s="16"/>
      <c r="C783" s="19"/>
      <c r="D783" s="19"/>
    </row>
    <row r="784" spans="1:4" s="87" customFormat="1" x14ac:dyDescent="0.2">
      <c r="A784" s="16"/>
      <c r="C784" s="19"/>
      <c r="D784" s="19"/>
    </row>
    <row r="785" spans="1:4" s="87" customFormat="1" x14ac:dyDescent="0.2">
      <c r="A785" s="16"/>
      <c r="C785" s="19"/>
      <c r="D785" s="19"/>
    </row>
    <row r="786" spans="1:4" s="87" customFormat="1" x14ac:dyDescent="0.2">
      <c r="A786" s="16"/>
      <c r="C786" s="19"/>
      <c r="D786" s="19"/>
    </row>
    <row r="787" spans="1:4" s="87" customFormat="1" x14ac:dyDescent="0.2">
      <c r="A787" s="16"/>
      <c r="C787" s="19"/>
      <c r="D787" s="19"/>
    </row>
    <row r="788" spans="1:4" s="87" customFormat="1" x14ac:dyDescent="0.2">
      <c r="A788" s="16"/>
      <c r="C788" s="19"/>
      <c r="D788" s="19"/>
    </row>
    <row r="789" spans="1:4" s="87" customFormat="1" x14ac:dyDescent="0.2">
      <c r="A789" s="16"/>
      <c r="C789" s="19"/>
      <c r="D789" s="19"/>
    </row>
    <row r="790" spans="1:4" s="87" customFormat="1" x14ac:dyDescent="0.2">
      <c r="A790" s="16"/>
      <c r="C790" s="19"/>
      <c r="D790" s="19"/>
    </row>
    <row r="791" spans="1:4" s="87" customFormat="1" x14ac:dyDescent="0.2">
      <c r="A791" s="16"/>
      <c r="C791" s="19"/>
      <c r="D791" s="19"/>
    </row>
    <row r="792" spans="1:4" s="87" customFormat="1" x14ac:dyDescent="0.2">
      <c r="A792" s="16"/>
      <c r="C792" s="19"/>
      <c r="D792" s="19"/>
    </row>
    <row r="793" spans="1:4" s="87" customFormat="1" x14ac:dyDescent="0.2">
      <c r="A793" s="16"/>
      <c r="C793" s="19"/>
      <c r="D793" s="19"/>
    </row>
    <row r="794" spans="1:4" s="87" customFormat="1" x14ac:dyDescent="0.2">
      <c r="A794" s="16"/>
      <c r="C794" s="19"/>
      <c r="D794" s="19"/>
    </row>
    <row r="795" spans="1:4" s="87" customFormat="1" x14ac:dyDescent="0.2">
      <c r="A795" s="16"/>
      <c r="C795" s="19"/>
      <c r="D795" s="19"/>
    </row>
    <row r="796" spans="1:4" s="87" customFormat="1" x14ac:dyDescent="0.2">
      <c r="A796" s="16"/>
      <c r="C796" s="19"/>
      <c r="D796" s="19"/>
    </row>
    <row r="797" spans="1:4" s="87" customFormat="1" x14ac:dyDescent="0.2">
      <c r="A797" s="16"/>
      <c r="C797" s="19"/>
      <c r="D797" s="19"/>
    </row>
    <row r="798" spans="1:4" s="87" customFormat="1" x14ac:dyDescent="0.2">
      <c r="A798" s="16"/>
      <c r="C798" s="19"/>
      <c r="D798" s="19"/>
    </row>
    <row r="799" spans="1:4" s="87" customFormat="1" x14ac:dyDescent="0.2">
      <c r="A799" s="16"/>
      <c r="C799" s="19"/>
      <c r="D799" s="19"/>
    </row>
    <row r="800" spans="1:4" s="87" customFormat="1" x14ac:dyDescent="0.2">
      <c r="A800" s="16"/>
      <c r="C800" s="19"/>
      <c r="D800" s="19"/>
    </row>
    <row r="801" spans="1:4" s="87" customFormat="1" x14ac:dyDescent="0.2">
      <c r="A801" s="16"/>
      <c r="C801" s="19"/>
      <c r="D801" s="19"/>
    </row>
    <row r="802" spans="1:4" s="87" customFormat="1" x14ac:dyDescent="0.2">
      <c r="A802" s="16"/>
      <c r="C802" s="19"/>
      <c r="D802" s="19"/>
    </row>
    <row r="803" spans="1:4" s="87" customFormat="1" x14ac:dyDescent="0.2">
      <c r="A803" s="16"/>
      <c r="C803" s="19"/>
      <c r="D803" s="19"/>
    </row>
    <row r="804" spans="1:4" s="87" customFormat="1" x14ac:dyDescent="0.2">
      <c r="A804" s="16"/>
      <c r="C804" s="19"/>
      <c r="D804" s="19"/>
    </row>
    <row r="805" spans="1:4" s="87" customFormat="1" x14ac:dyDescent="0.2">
      <c r="A805" s="16"/>
      <c r="C805" s="19"/>
      <c r="D805" s="19"/>
    </row>
    <row r="806" spans="1:4" s="87" customFormat="1" x14ac:dyDescent="0.2">
      <c r="A806" s="16"/>
      <c r="C806" s="19"/>
      <c r="D806" s="19"/>
    </row>
    <row r="807" spans="1:4" s="87" customFormat="1" x14ac:dyDescent="0.2">
      <c r="A807" s="16"/>
      <c r="C807" s="19"/>
      <c r="D807" s="19"/>
    </row>
    <row r="808" spans="1:4" s="87" customFormat="1" x14ac:dyDescent="0.2">
      <c r="A808" s="16"/>
      <c r="C808" s="19"/>
      <c r="D808" s="19"/>
    </row>
    <row r="809" spans="1:4" s="87" customFormat="1" x14ac:dyDescent="0.2">
      <c r="A809" s="16"/>
      <c r="C809" s="19"/>
      <c r="D809" s="19"/>
    </row>
    <row r="810" spans="1:4" s="87" customFormat="1" x14ac:dyDescent="0.2">
      <c r="A810" s="16"/>
      <c r="C810" s="19"/>
      <c r="D810" s="19"/>
    </row>
    <row r="811" spans="1:4" s="87" customFormat="1" x14ac:dyDescent="0.2">
      <c r="A811" s="16"/>
      <c r="C811" s="19"/>
      <c r="D811" s="19"/>
    </row>
    <row r="812" spans="1:4" s="87" customFormat="1" x14ac:dyDescent="0.2">
      <c r="A812" s="16"/>
      <c r="C812" s="19"/>
      <c r="D812" s="19"/>
    </row>
    <row r="813" spans="1:4" s="87" customFormat="1" x14ac:dyDescent="0.2">
      <c r="A813" s="16"/>
      <c r="C813" s="19"/>
      <c r="D813" s="19"/>
    </row>
    <row r="814" spans="1:4" s="87" customFormat="1" x14ac:dyDescent="0.2">
      <c r="A814" s="16"/>
      <c r="C814" s="19"/>
      <c r="D814" s="19"/>
    </row>
    <row r="815" spans="1:4" s="87" customFormat="1" x14ac:dyDescent="0.2">
      <c r="A815" s="16"/>
      <c r="C815" s="19"/>
      <c r="D815" s="19"/>
    </row>
    <row r="816" spans="1:4" s="87" customFormat="1" x14ac:dyDescent="0.2">
      <c r="A816" s="16"/>
      <c r="C816" s="19"/>
      <c r="D816" s="19"/>
    </row>
    <row r="817" spans="1:4" s="87" customFormat="1" x14ac:dyDescent="0.2">
      <c r="A817" s="16"/>
      <c r="C817" s="19"/>
      <c r="D817" s="19"/>
    </row>
    <row r="818" spans="1:4" s="87" customFormat="1" x14ac:dyDescent="0.2">
      <c r="A818" s="16"/>
      <c r="C818" s="19"/>
      <c r="D818" s="19"/>
    </row>
    <row r="819" spans="1:4" s="87" customFormat="1" x14ac:dyDescent="0.2">
      <c r="A819" s="16"/>
      <c r="C819" s="19"/>
      <c r="D819" s="19"/>
    </row>
    <row r="820" spans="1:4" s="87" customFormat="1" x14ac:dyDescent="0.2">
      <c r="A820" s="16"/>
      <c r="C820" s="19"/>
      <c r="D820" s="19"/>
    </row>
    <row r="821" spans="1:4" s="87" customFormat="1" x14ac:dyDescent="0.2">
      <c r="A821" s="16"/>
      <c r="C821" s="19"/>
      <c r="D821" s="19"/>
    </row>
    <row r="822" spans="1:4" s="87" customFormat="1" x14ac:dyDescent="0.2">
      <c r="A822" s="16"/>
      <c r="C822" s="19"/>
      <c r="D822" s="19"/>
    </row>
    <row r="823" spans="1:4" s="87" customFormat="1" x14ac:dyDescent="0.2">
      <c r="A823" s="16"/>
      <c r="C823" s="19"/>
      <c r="D823" s="19"/>
    </row>
    <row r="824" spans="1:4" s="87" customFormat="1" x14ac:dyDescent="0.2">
      <c r="A824" s="16"/>
      <c r="C824" s="19"/>
      <c r="D824" s="19"/>
    </row>
    <row r="825" spans="1:4" s="87" customFormat="1" x14ac:dyDescent="0.2">
      <c r="A825" s="16"/>
      <c r="C825" s="19"/>
      <c r="D825" s="19"/>
    </row>
    <row r="826" spans="1:4" s="87" customFormat="1" x14ac:dyDescent="0.2">
      <c r="A826" s="16"/>
      <c r="C826" s="19"/>
      <c r="D826" s="19"/>
    </row>
    <row r="827" spans="1:4" s="87" customFormat="1" x14ac:dyDescent="0.2">
      <c r="A827" s="16"/>
      <c r="C827" s="19"/>
      <c r="D827" s="19"/>
    </row>
    <row r="828" spans="1:4" s="87" customFormat="1" x14ac:dyDescent="0.2">
      <c r="A828" s="16"/>
      <c r="C828" s="19"/>
      <c r="D828" s="19"/>
    </row>
    <row r="829" spans="1:4" s="87" customFormat="1" x14ac:dyDescent="0.2">
      <c r="A829" s="16"/>
      <c r="C829" s="19"/>
      <c r="D829" s="19"/>
    </row>
    <row r="830" spans="1:4" s="87" customFormat="1" x14ac:dyDescent="0.2">
      <c r="A830" s="16"/>
      <c r="C830" s="19"/>
      <c r="D830" s="19"/>
    </row>
    <row r="831" spans="1:4" s="87" customFormat="1" x14ac:dyDescent="0.2">
      <c r="A831" s="16"/>
      <c r="C831" s="19"/>
      <c r="D831" s="19"/>
    </row>
    <row r="832" spans="1:4" s="87" customFormat="1" x14ac:dyDescent="0.2">
      <c r="A832" s="16"/>
      <c r="C832" s="19"/>
      <c r="D832" s="19"/>
    </row>
    <row r="833" spans="1:4" s="87" customFormat="1" x14ac:dyDescent="0.2">
      <c r="A833" s="16"/>
      <c r="C833" s="19"/>
      <c r="D833" s="19"/>
    </row>
    <row r="834" spans="1:4" s="87" customFormat="1" x14ac:dyDescent="0.2">
      <c r="A834" s="16"/>
      <c r="C834" s="19"/>
      <c r="D834" s="19"/>
    </row>
    <row r="835" spans="1:4" s="87" customFormat="1" x14ac:dyDescent="0.2">
      <c r="A835" s="16"/>
      <c r="C835" s="19"/>
      <c r="D835" s="19"/>
    </row>
    <row r="836" spans="1:4" s="87" customFormat="1" x14ac:dyDescent="0.2">
      <c r="A836" s="16"/>
      <c r="C836" s="19"/>
      <c r="D836" s="19"/>
    </row>
    <row r="837" spans="1:4" s="87" customFormat="1" x14ac:dyDescent="0.2">
      <c r="A837" s="16"/>
      <c r="C837" s="19"/>
      <c r="D837" s="19"/>
    </row>
    <row r="838" spans="1:4" s="87" customFormat="1" x14ac:dyDescent="0.2">
      <c r="A838" s="16"/>
      <c r="C838" s="19"/>
      <c r="D838" s="19"/>
    </row>
    <row r="839" spans="1:4" s="87" customFormat="1" x14ac:dyDescent="0.2">
      <c r="A839" s="16"/>
      <c r="C839" s="19"/>
      <c r="D839" s="19"/>
    </row>
    <row r="840" spans="1:4" s="87" customFormat="1" x14ac:dyDescent="0.2">
      <c r="A840" s="16"/>
      <c r="C840" s="19"/>
      <c r="D840" s="19"/>
    </row>
    <row r="841" spans="1:4" s="87" customFormat="1" x14ac:dyDescent="0.2">
      <c r="A841" s="16"/>
      <c r="C841" s="19"/>
      <c r="D841" s="19"/>
    </row>
    <row r="842" spans="1:4" s="87" customFormat="1" x14ac:dyDescent="0.2">
      <c r="A842" s="16"/>
      <c r="C842" s="19"/>
      <c r="D842" s="19"/>
    </row>
    <row r="843" spans="1:4" s="87" customFormat="1" x14ac:dyDescent="0.2">
      <c r="A843" s="16"/>
      <c r="C843" s="19"/>
      <c r="D843" s="19"/>
    </row>
    <row r="844" spans="1:4" s="87" customFormat="1" x14ac:dyDescent="0.2">
      <c r="A844" s="16"/>
      <c r="C844" s="19"/>
      <c r="D844" s="19"/>
    </row>
    <row r="845" spans="1:4" s="87" customFormat="1" x14ac:dyDescent="0.2">
      <c r="A845" s="16"/>
      <c r="C845" s="19"/>
      <c r="D845" s="19"/>
    </row>
    <row r="846" spans="1:4" s="87" customFormat="1" x14ac:dyDescent="0.2">
      <c r="A846" s="16"/>
      <c r="C846" s="19"/>
      <c r="D846" s="19"/>
    </row>
    <row r="847" spans="1:4" s="87" customFormat="1" x14ac:dyDescent="0.2">
      <c r="A847" s="16"/>
      <c r="C847" s="19"/>
      <c r="D847" s="19"/>
    </row>
    <row r="848" spans="1:4" s="87" customFormat="1" x14ac:dyDescent="0.2">
      <c r="A848" s="16"/>
      <c r="C848" s="19"/>
      <c r="D848" s="19"/>
    </row>
    <row r="849" spans="1:4" s="87" customFormat="1" x14ac:dyDescent="0.2">
      <c r="A849" s="16"/>
      <c r="C849" s="19"/>
      <c r="D849" s="19"/>
    </row>
    <row r="850" spans="1:4" s="87" customFormat="1" x14ac:dyDescent="0.2">
      <c r="A850" s="16"/>
      <c r="C850" s="19"/>
      <c r="D850" s="19"/>
    </row>
    <row r="851" spans="1:4" s="87" customFormat="1" x14ac:dyDescent="0.2">
      <c r="A851" s="16"/>
      <c r="C851" s="19"/>
      <c r="D851" s="19"/>
    </row>
    <row r="852" spans="1:4" s="87" customFormat="1" x14ac:dyDescent="0.2">
      <c r="A852" s="16"/>
      <c r="C852" s="19"/>
      <c r="D852" s="19"/>
    </row>
    <row r="853" spans="1:4" s="87" customFormat="1" x14ac:dyDescent="0.2">
      <c r="A853" s="16"/>
      <c r="C853" s="19"/>
      <c r="D853" s="19"/>
    </row>
    <row r="854" spans="1:4" s="87" customFormat="1" x14ac:dyDescent="0.2">
      <c r="A854" s="16"/>
      <c r="C854" s="19"/>
      <c r="D854" s="19"/>
    </row>
    <row r="855" spans="1:4" s="87" customFormat="1" x14ac:dyDescent="0.2">
      <c r="A855" s="16"/>
      <c r="C855" s="19"/>
      <c r="D855" s="19"/>
    </row>
    <row r="856" spans="1:4" s="87" customFormat="1" x14ac:dyDescent="0.2">
      <c r="A856" s="16"/>
      <c r="C856" s="19"/>
      <c r="D856" s="19"/>
    </row>
    <row r="857" spans="1:4" s="87" customFormat="1" x14ac:dyDescent="0.2">
      <c r="A857" s="16"/>
      <c r="C857" s="19"/>
      <c r="D857" s="19"/>
    </row>
    <row r="858" spans="1:4" s="87" customFormat="1" x14ac:dyDescent="0.2">
      <c r="A858" s="16"/>
      <c r="C858" s="19"/>
      <c r="D858" s="19"/>
    </row>
    <row r="859" spans="1:4" s="87" customFormat="1" x14ac:dyDescent="0.2">
      <c r="A859" s="16"/>
      <c r="C859" s="19"/>
      <c r="D859" s="19"/>
    </row>
    <row r="860" spans="1:4" s="87" customFormat="1" x14ac:dyDescent="0.2">
      <c r="A860" s="16"/>
      <c r="C860" s="19"/>
      <c r="D860" s="19"/>
    </row>
    <row r="861" spans="1:4" s="87" customFormat="1" x14ac:dyDescent="0.2">
      <c r="A861" s="16"/>
      <c r="C861" s="19"/>
      <c r="D861" s="19"/>
    </row>
    <row r="862" spans="1:4" s="87" customFormat="1" x14ac:dyDescent="0.2">
      <c r="A862" s="16"/>
      <c r="C862" s="19"/>
      <c r="D862" s="19"/>
    </row>
    <row r="863" spans="1:4" s="87" customFormat="1" x14ac:dyDescent="0.2">
      <c r="A863" s="16"/>
      <c r="C863" s="19"/>
      <c r="D863" s="19"/>
    </row>
    <row r="864" spans="1:4" s="87" customFormat="1" x14ac:dyDescent="0.2">
      <c r="A864" s="16"/>
      <c r="C864" s="19"/>
      <c r="D864" s="19"/>
    </row>
    <row r="865" spans="1:4" s="87" customFormat="1" x14ac:dyDescent="0.2">
      <c r="A865" s="16"/>
      <c r="C865" s="19"/>
      <c r="D865" s="19"/>
    </row>
    <row r="866" spans="1:4" s="87" customFormat="1" x14ac:dyDescent="0.2">
      <c r="A866" s="16"/>
      <c r="C866" s="19"/>
      <c r="D866" s="19"/>
    </row>
    <row r="867" spans="1:4" s="87" customFormat="1" x14ac:dyDescent="0.2">
      <c r="A867" s="16"/>
      <c r="C867" s="19"/>
      <c r="D867" s="19"/>
    </row>
    <row r="868" spans="1:4" s="87" customFormat="1" x14ac:dyDescent="0.2">
      <c r="A868" s="16"/>
      <c r="C868" s="19"/>
      <c r="D868" s="19"/>
    </row>
    <row r="869" spans="1:4" s="87" customFormat="1" x14ac:dyDescent="0.2">
      <c r="A869" s="16"/>
      <c r="C869" s="19"/>
      <c r="D869" s="19"/>
    </row>
    <row r="870" spans="1:4" s="87" customFormat="1" x14ac:dyDescent="0.2">
      <c r="A870" s="16"/>
      <c r="C870" s="19"/>
      <c r="D870" s="19"/>
    </row>
    <row r="871" spans="1:4" s="87" customFormat="1" x14ac:dyDescent="0.2">
      <c r="A871" s="16"/>
      <c r="C871" s="19"/>
      <c r="D871" s="19"/>
    </row>
    <row r="872" spans="1:4" s="87" customFormat="1" x14ac:dyDescent="0.2">
      <c r="A872" s="16"/>
      <c r="C872" s="19"/>
      <c r="D872" s="19"/>
    </row>
    <row r="873" spans="1:4" s="87" customFormat="1" x14ac:dyDescent="0.2">
      <c r="A873" s="16"/>
      <c r="C873" s="19"/>
      <c r="D873" s="19"/>
    </row>
    <row r="874" spans="1:4" s="87" customFormat="1" x14ac:dyDescent="0.2">
      <c r="A874" s="16"/>
      <c r="C874" s="19"/>
      <c r="D874" s="19"/>
    </row>
    <row r="875" spans="1:4" s="87" customFormat="1" x14ac:dyDescent="0.2">
      <c r="A875" s="16"/>
      <c r="C875" s="19"/>
      <c r="D875" s="19"/>
    </row>
    <row r="876" spans="1:4" s="87" customFormat="1" x14ac:dyDescent="0.2">
      <c r="A876" s="16"/>
      <c r="C876" s="19"/>
      <c r="D876" s="19"/>
    </row>
    <row r="877" spans="1:4" s="87" customFormat="1" x14ac:dyDescent="0.2">
      <c r="A877" s="16"/>
      <c r="C877" s="19"/>
      <c r="D877" s="19"/>
    </row>
    <row r="878" spans="1:4" s="87" customFormat="1" x14ac:dyDescent="0.2">
      <c r="A878" s="16"/>
      <c r="C878" s="19"/>
      <c r="D878" s="19"/>
    </row>
    <row r="879" spans="1:4" s="87" customFormat="1" x14ac:dyDescent="0.2">
      <c r="A879" s="16"/>
      <c r="C879" s="19"/>
      <c r="D879" s="19"/>
    </row>
    <row r="880" spans="1:4" s="87" customFormat="1" x14ac:dyDescent="0.2">
      <c r="A880" s="16"/>
      <c r="C880" s="19"/>
      <c r="D880" s="19"/>
    </row>
    <row r="881" spans="1:4" s="87" customFormat="1" x14ac:dyDescent="0.2">
      <c r="A881" s="16"/>
      <c r="C881" s="19"/>
      <c r="D881" s="19"/>
    </row>
    <row r="882" spans="1:4" s="87" customFormat="1" x14ac:dyDescent="0.2">
      <c r="A882" s="16"/>
      <c r="C882" s="19"/>
      <c r="D882" s="19"/>
    </row>
    <row r="883" spans="1:4" s="87" customFormat="1" x14ac:dyDescent="0.2">
      <c r="A883" s="16"/>
      <c r="C883" s="19"/>
      <c r="D883" s="19"/>
    </row>
    <row r="884" spans="1:4" s="87" customFormat="1" x14ac:dyDescent="0.2">
      <c r="A884" s="16"/>
      <c r="C884" s="19"/>
      <c r="D884" s="19"/>
    </row>
    <row r="885" spans="1:4" s="87" customFormat="1" x14ac:dyDescent="0.2">
      <c r="A885" s="16"/>
      <c r="C885" s="19"/>
      <c r="D885" s="19"/>
    </row>
    <row r="886" spans="1:4" s="87" customFormat="1" x14ac:dyDescent="0.2">
      <c r="A886" s="16"/>
      <c r="C886" s="19"/>
      <c r="D886" s="19"/>
    </row>
    <row r="887" spans="1:4" s="87" customFormat="1" x14ac:dyDescent="0.2">
      <c r="A887" s="16"/>
      <c r="C887" s="19"/>
      <c r="D887" s="19"/>
    </row>
    <row r="888" spans="1:4" s="87" customFormat="1" x14ac:dyDescent="0.2">
      <c r="A888" s="16"/>
      <c r="C888" s="19"/>
      <c r="D888" s="19"/>
    </row>
    <row r="889" spans="1:4" s="87" customFormat="1" x14ac:dyDescent="0.2">
      <c r="A889" s="16"/>
      <c r="C889" s="19"/>
      <c r="D889" s="19"/>
    </row>
    <row r="890" spans="1:4" s="87" customFormat="1" x14ac:dyDescent="0.2">
      <c r="A890" s="16"/>
      <c r="C890" s="19"/>
      <c r="D890" s="19"/>
    </row>
    <row r="891" spans="1:4" s="87" customFormat="1" x14ac:dyDescent="0.2">
      <c r="A891" s="16"/>
      <c r="C891" s="19"/>
      <c r="D891" s="19"/>
    </row>
    <row r="892" spans="1:4" s="87" customFormat="1" x14ac:dyDescent="0.2">
      <c r="A892" s="16"/>
      <c r="C892" s="19"/>
      <c r="D892" s="19"/>
    </row>
    <row r="893" spans="1:4" s="87" customFormat="1" x14ac:dyDescent="0.2">
      <c r="A893" s="16"/>
      <c r="C893" s="19"/>
      <c r="D893" s="19"/>
    </row>
    <row r="894" spans="1:4" s="87" customFormat="1" x14ac:dyDescent="0.2">
      <c r="A894" s="16"/>
      <c r="C894" s="19"/>
      <c r="D894" s="19"/>
    </row>
    <row r="895" spans="1:4" s="87" customFormat="1" x14ac:dyDescent="0.2">
      <c r="A895" s="16"/>
      <c r="C895" s="19"/>
      <c r="D895" s="19"/>
    </row>
    <row r="896" spans="1:4" s="87" customFormat="1" x14ac:dyDescent="0.2">
      <c r="A896" s="16"/>
      <c r="C896" s="19"/>
      <c r="D896" s="19"/>
    </row>
    <row r="897" spans="1:4" s="87" customFormat="1" x14ac:dyDescent="0.2">
      <c r="A897" s="16"/>
      <c r="C897" s="19"/>
      <c r="D897" s="19"/>
    </row>
    <row r="898" spans="1:4" s="87" customFormat="1" x14ac:dyDescent="0.2">
      <c r="A898" s="16"/>
      <c r="C898" s="19"/>
      <c r="D898" s="19"/>
    </row>
    <row r="899" spans="1:4" s="87" customFormat="1" x14ac:dyDescent="0.2">
      <c r="A899" s="16"/>
      <c r="C899" s="19"/>
      <c r="D899" s="19"/>
    </row>
    <row r="900" spans="1:4" s="87" customFormat="1" x14ac:dyDescent="0.2">
      <c r="A900" s="16"/>
      <c r="C900" s="19"/>
      <c r="D900" s="19"/>
    </row>
    <row r="901" spans="1:4" s="87" customFormat="1" x14ac:dyDescent="0.2">
      <c r="A901" s="16"/>
      <c r="C901" s="19"/>
      <c r="D901" s="19"/>
    </row>
    <row r="902" spans="1:4" s="87" customFormat="1" x14ac:dyDescent="0.2">
      <c r="A902" s="16"/>
      <c r="C902" s="19"/>
      <c r="D902" s="19"/>
    </row>
    <row r="903" spans="1:4" s="87" customFormat="1" x14ac:dyDescent="0.2">
      <c r="A903" s="16"/>
      <c r="C903" s="19"/>
      <c r="D903" s="19"/>
    </row>
    <row r="904" spans="1:4" s="87" customFormat="1" x14ac:dyDescent="0.2">
      <c r="A904" s="16"/>
      <c r="C904" s="19"/>
      <c r="D904" s="19"/>
    </row>
    <row r="905" spans="1:4" s="87" customFormat="1" x14ac:dyDescent="0.2">
      <c r="A905" s="16"/>
      <c r="C905" s="19"/>
      <c r="D905" s="19"/>
    </row>
    <row r="906" spans="1:4" s="87" customFormat="1" x14ac:dyDescent="0.2">
      <c r="A906" s="16"/>
      <c r="C906" s="19"/>
      <c r="D906" s="19"/>
    </row>
    <row r="907" spans="1:4" s="87" customFormat="1" x14ac:dyDescent="0.2">
      <c r="A907" s="16"/>
      <c r="C907" s="19"/>
      <c r="D907" s="19"/>
    </row>
    <row r="908" spans="1:4" s="87" customFormat="1" x14ac:dyDescent="0.2">
      <c r="A908" s="16"/>
      <c r="C908" s="19"/>
      <c r="D908" s="19"/>
    </row>
    <row r="909" spans="1:4" s="87" customFormat="1" x14ac:dyDescent="0.2">
      <c r="A909" s="16"/>
      <c r="C909" s="19"/>
      <c r="D909" s="19"/>
    </row>
    <row r="910" spans="1:4" s="87" customFormat="1" x14ac:dyDescent="0.2">
      <c r="A910" s="16"/>
      <c r="C910" s="19"/>
      <c r="D910" s="19"/>
    </row>
    <row r="911" spans="1:4" s="87" customFormat="1" x14ac:dyDescent="0.2">
      <c r="A911" s="16"/>
      <c r="C911" s="19"/>
      <c r="D911" s="19"/>
    </row>
    <row r="912" spans="1:4" s="87" customFormat="1" x14ac:dyDescent="0.2">
      <c r="A912" s="16"/>
      <c r="C912" s="19"/>
      <c r="D912" s="19"/>
    </row>
    <row r="913" spans="1:4" s="87" customFormat="1" x14ac:dyDescent="0.2">
      <c r="A913" s="16"/>
      <c r="C913" s="19"/>
      <c r="D913" s="19"/>
    </row>
    <row r="914" spans="1:4" s="87" customFormat="1" x14ac:dyDescent="0.2">
      <c r="A914" s="16"/>
      <c r="C914" s="19"/>
      <c r="D914" s="19"/>
    </row>
    <row r="915" spans="1:4" s="87" customFormat="1" x14ac:dyDescent="0.2">
      <c r="A915" s="16"/>
      <c r="C915" s="19"/>
      <c r="D915" s="19"/>
    </row>
    <row r="916" spans="1:4" s="87" customFormat="1" x14ac:dyDescent="0.2">
      <c r="A916" s="16"/>
      <c r="C916" s="19"/>
      <c r="D916" s="19"/>
    </row>
    <row r="917" spans="1:4" s="87" customFormat="1" x14ac:dyDescent="0.2">
      <c r="A917" s="16"/>
      <c r="C917" s="19"/>
      <c r="D917" s="19"/>
    </row>
    <row r="918" spans="1:4" s="87" customFormat="1" x14ac:dyDescent="0.2">
      <c r="A918" s="16"/>
      <c r="C918" s="19"/>
      <c r="D918" s="19"/>
    </row>
    <row r="919" spans="1:4" s="87" customFormat="1" x14ac:dyDescent="0.2">
      <c r="A919" s="16"/>
      <c r="C919" s="19"/>
      <c r="D919" s="19"/>
    </row>
    <row r="920" spans="1:4" s="87" customFormat="1" x14ac:dyDescent="0.2">
      <c r="A920" s="16"/>
      <c r="C920" s="19"/>
      <c r="D920" s="19"/>
    </row>
    <row r="921" spans="1:4" s="87" customFormat="1" x14ac:dyDescent="0.2">
      <c r="A921" s="16"/>
      <c r="C921" s="19"/>
      <c r="D921" s="19"/>
    </row>
    <row r="922" spans="1:4" s="87" customFormat="1" x14ac:dyDescent="0.2">
      <c r="A922" s="16"/>
      <c r="C922" s="19"/>
      <c r="D922" s="19"/>
    </row>
    <row r="923" spans="1:4" s="87" customFormat="1" x14ac:dyDescent="0.2">
      <c r="A923" s="16"/>
      <c r="C923" s="19"/>
      <c r="D923" s="19"/>
    </row>
    <row r="924" spans="1:4" s="87" customFormat="1" x14ac:dyDescent="0.2">
      <c r="A924" s="16"/>
      <c r="C924" s="19"/>
      <c r="D924" s="19"/>
    </row>
    <row r="925" spans="1:4" s="87" customFormat="1" x14ac:dyDescent="0.2">
      <c r="A925" s="16"/>
      <c r="C925" s="19"/>
      <c r="D925" s="19"/>
    </row>
    <row r="926" spans="1:4" s="87" customFormat="1" x14ac:dyDescent="0.2">
      <c r="A926" s="16"/>
      <c r="C926" s="19"/>
      <c r="D926" s="19"/>
    </row>
    <row r="927" spans="1:4" s="87" customFormat="1" x14ac:dyDescent="0.2">
      <c r="A927" s="16"/>
      <c r="C927" s="19"/>
      <c r="D927" s="19"/>
    </row>
    <row r="928" spans="1:4" s="87" customFormat="1" x14ac:dyDescent="0.2">
      <c r="A928" s="16"/>
      <c r="C928" s="19"/>
      <c r="D928" s="19"/>
    </row>
    <row r="929" spans="1:4" s="87" customFormat="1" x14ac:dyDescent="0.2">
      <c r="A929" s="16"/>
      <c r="C929" s="19"/>
      <c r="D929" s="19"/>
    </row>
    <row r="930" spans="1:4" s="87" customFormat="1" x14ac:dyDescent="0.2">
      <c r="A930" s="16"/>
      <c r="C930" s="19"/>
      <c r="D930" s="19"/>
    </row>
    <row r="931" spans="1:4" s="87" customFormat="1" x14ac:dyDescent="0.2">
      <c r="A931" s="16"/>
      <c r="C931" s="19"/>
      <c r="D931" s="19"/>
    </row>
    <row r="932" spans="1:4" s="87" customFormat="1" x14ac:dyDescent="0.2">
      <c r="A932" s="16"/>
      <c r="C932" s="19"/>
      <c r="D932" s="19"/>
    </row>
    <row r="933" spans="1:4" s="87" customFormat="1" x14ac:dyDescent="0.2">
      <c r="A933" s="16"/>
      <c r="C933" s="19"/>
      <c r="D933" s="19"/>
    </row>
    <row r="934" spans="1:4" s="87" customFormat="1" x14ac:dyDescent="0.2">
      <c r="A934" s="16"/>
      <c r="C934" s="19"/>
      <c r="D934" s="19"/>
    </row>
    <row r="935" spans="1:4" s="87" customFormat="1" x14ac:dyDescent="0.2">
      <c r="A935" s="16"/>
      <c r="C935" s="19"/>
      <c r="D935" s="19"/>
    </row>
    <row r="936" spans="1:4" s="87" customFormat="1" x14ac:dyDescent="0.2">
      <c r="A936" s="16"/>
      <c r="C936" s="19"/>
      <c r="D936" s="19"/>
    </row>
    <row r="937" spans="1:4" s="87" customFormat="1" x14ac:dyDescent="0.2">
      <c r="A937" s="16"/>
      <c r="C937" s="19"/>
      <c r="D937" s="19"/>
    </row>
    <row r="938" spans="1:4" s="87" customFormat="1" x14ac:dyDescent="0.2">
      <c r="A938" s="16"/>
      <c r="C938" s="19"/>
      <c r="D938" s="19"/>
    </row>
    <row r="939" spans="1:4" s="87" customFormat="1" x14ac:dyDescent="0.2">
      <c r="A939" s="16"/>
      <c r="C939" s="19"/>
      <c r="D939" s="19"/>
    </row>
    <row r="940" spans="1:4" s="87" customFormat="1" x14ac:dyDescent="0.2">
      <c r="A940" s="16"/>
      <c r="C940" s="19"/>
      <c r="D940" s="19"/>
    </row>
    <row r="941" spans="1:4" s="87" customFormat="1" x14ac:dyDescent="0.2">
      <c r="A941" s="16"/>
      <c r="C941" s="19"/>
      <c r="D941" s="19"/>
    </row>
    <row r="942" spans="1:4" s="87" customFormat="1" x14ac:dyDescent="0.2">
      <c r="A942" s="16"/>
      <c r="C942" s="19"/>
      <c r="D942" s="19"/>
    </row>
    <row r="943" spans="1:4" s="87" customFormat="1" x14ac:dyDescent="0.2">
      <c r="A943" s="16"/>
      <c r="C943" s="19"/>
      <c r="D943" s="19"/>
    </row>
    <row r="944" spans="1:4" s="87" customFormat="1" x14ac:dyDescent="0.2">
      <c r="A944" s="16"/>
      <c r="C944" s="19"/>
      <c r="D944" s="19"/>
    </row>
    <row r="945" spans="1:4" s="87" customFormat="1" x14ac:dyDescent="0.2">
      <c r="A945" s="16"/>
      <c r="C945" s="19"/>
      <c r="D945" s="19"/>
    </row>
    <row r="946" spans="1:4" s="87" customFormat="1" x14ac:dyDescent="0.2">
      <c r="A946" s="16"/>
      <c r="C946" s="19"/>
      <c r="D946" s="19"/>
    </row>
    <row r="947" spans="1:4" s="87" customFormat="1" x14ac:dyDescent="0.2">
      <c r="A947" s="16"/>
      <c r="C947" s="19"/>
      <c r="D947" s="19"/>
    </row>
    <row r="948" spans="1:4" s="87" customFormat="1" x14ac:dyDescent="0.2">
      <c r="A948" s="16"/>
      <c r="C948" s="19"/>
      <c r="D948" s="19"/>
    </row>
    <row r="949" spans="1:4" s="87" customFormat="1" x14ac:dyDescent="0.2">
      <c r="A949" s="16"/>
      <c r="C949" s="19"/>
      <c r="D949" s="19"/>
    </row>
    <row r="950" spans="1:4" s="87" customFormat="1" x14ac:dyDescent="0.2">
      <c r="A950" s="16"/>
      <c r="C950" s="19"/>
      <c r="D950" s="19"/>
    </row>
    <row r="951" spans="1:4" s="87" customFormat="1" x14ac:dyDescent="0.2">
      <c r="A951" s="16"/>
      <c r="C951" s="19"/>
      <c r="D951" s="19"/>
    </row>
    <row r="952" spans="1:4" s="87" customFormat="1" x14ac:dyDescent="0.2">
      <c r="A952" s="16"/>
      <c r="C952" s="19"/>
      <c r="D952" s="19"/>
    </row>
    <row r="953" spans="1:4" s="87" customFormat="1" x14ac:dyDescent="0.2">
      <c r="A953" s="16"/>
      <c r="C953" s="19"/>
      <c r="D953" s="19"/>
    </row>
    <row r="954" spans="1:4" s="87" customFormat="1" x14ac:dyDescent="0.2">
      <c r="A954" s="16"/>
      <c r="C954" s="19"/>
      <c r="D954" s="19"/>
    </row>
    <row r="955" spans="1:4" s="87" customFormat="1" x14ac:dyDescent="0.2">
      <c r="A955" s="16"/>
      <c r="C955" s="19"/>
      <c r="D955" s="19"/>
    </row>
    <row r="956" spans="1:4" s="87" customFormat="1" x14ac:dyDescent="0.2">
      <c r="A956" s="16"/>
      <c r="C956" s="19"/>
      <c r="D956" s="19"/>
    </row>
    <row r="957" spans="1:4" s="87" customFormat="1" x14ac:dyDescent="0.2">
      <c r="A957" s="16"/>
      <c r="C957" s="19"/>
      <c r="D957" s="19"/>
    </row>
    <row r="958" spans="1:4" s="87" customFormat="1" x14ac:dyDescent="0.2">
      <c r="A958" s="16"/>
      <c r="C958" s="19"/>
      <c r="D958" s="19"/>
    </row>
    <row r="959" spans="1:4" s="87" customFormat="1" x14ac:dyDescent="0.2">
      <c r="A959" s="16"/>
      <c r="C959" s="19"/>
      <c r="D959" s="19"/>
    </row>
    <row r="960" spans="1:4" s="87" customFormat="1" x14ac:dyDescent="0.2">
      <c r="A960" s="16"/>
      <c r="C960" s="19"/>
      <c r="D960" s="19"/>
    </row>
    <row r="961" spans="1:4" s="87" customFormat="1" x14ac:dyDescent="0.2">
      <c r="A961" s="16"/>
      <c r="C961" s="19"/>
      <c r="D961" s="19"/>
    </row>
    <row r="962" spans="1:4" s="87" customFormat="1" x14ac:dyDescent="0.2">
      <c r="A962" s="16"/>
      <c r="C962" s="19"/>
      <c r="D962" s="19"/>
    </row>
    <row r="963" spans="1:4" s="87" customFormat="1" x14ac:dyDescent="0.2">
      <c r="A963" s="16"/>
      <c r="C963" s="19"/>
      <c r="D963" s="19"/>
    </row>
    <row r="964" spans="1:4" s="87" customFormat="1" x14ac:dyDescent="0.2">
      <c r="A964" s="16"/>
      <c r="C964" s="19"/>
      <c r="D964" s="19"/>
    </row>
    <row r="965" spans="1:4" s="87" customFormat="1" x14ac:dyDescent="0.2">
      <c r="A965" s="16"/>
      <c r="C965" s="19"/>
      <c r="D965" s="19"/>
    </row>
    <row r="966" spans="1:4" s="87" customFormat="1" x14ac:dyDescent="0.2">
      <c r="A966" s="16"/>
      <c r="C966" s="19"/>
      <c r="D966" s="19"/>
    </row>
    <row r="967" spans="1:4" s="87" customFormat="1" x14ac:dyDescent="0.2">
      <c r="A967" s="16"/>
      <c r="C967" s="19"/>
      <c r="D967" s="19"/>
    </row>
    <row r="968" spans="1:4" s="87" customFormat="1" x14ac:dyDescent="0.2">
      <c r="A968" s="16"/>
      <c r="C968" s="19"/>
      <c r="D968" s="19"/>
    </row>
    <row r="969" spans="1:4" s="87" customFormat="1" x14ac:dyDescent="0.2">
      <c r="A969" s="16"/>
      <c r="C969" s="19"/>
      <c r="D969" s="19"/>
    </row>
    <row r="970" spans="1:4" s="87" customFormat="1" x14ac:dyDescent="0.2">
      <c r="A970" s="16"/>
      <c r="C970" s="19"/>
      <c r="D970" s="19"/>
    </row>
    <row r="971" spans="1:4" s="87" customFormat="1" x14ac:dyDescent="0.2">
      <c r="A971" s="16"/>
      <c r="C971" s="19"/>
      <c r="D971" s="19"/>
    </row>
    <row r="972" spans="1:4" s="87" customFormat="1" x14ac:dyDescent="0.2">
      <c r="A972" s="16"/>
      <c r="C972" s="19"/>
      <c r="D972" s="19"/>
    </row>
    <row r="973" spans="1:4" s="87" customFormat="1" x14ac:dyDescent="0.2">
      <c r="A973" s="16"/>
      <c r="C973" s="19"/>
      <c r="D973" s="19"/>
    </row>
    <row r="974" spans="1:4" s="87" customFormat="1" x14ac:dyDescent="0.2">
      <c r="A974" s="16"/>
      <c r="C974" s="19"/>
      <c r="D974" s="19"/>
    </row>
    <row r="975" spans="1:4" s="87" customFormat="1" x14ac:dyDescent="0.2">
      <c r="A975" s="16"/>
      <c r="C975" s="19"/>
      <c r="D975" s="19"/>
    </row>
    <row r="976" spans="1:4" s="87" customFormat="1" x14ac:dyDescent="0.2">
      <c r="A976" s="16"/>
      <c r="C976" s="19"/>
      <c r="D976" s="19"/>
    </row>
    <row r="977" spans="1:4" s="87" customFormat="1" x14ac:dyDescent="0.2">
      <c r="A977" s="16"/>
      <c r="C977" s="19"/>
      <c r="D977" s="19"/>
    </row>
    <row r="978" spans="1:4" s="87" customFormat="1" x14ac:dyDescent="0.2">
      <c r="A978" s="16"/>
      <c r="C978" s="19"/>
      <c r="D978" s="19"/>
    </row>
    <row r="979" spans="1:4" s="87" customFormat="1" x14ac:dyDescent="0.2">
      <c r="A979" s="16"/>
      <c r="C979" s="19"/>
      <c r="D979" s="19"/>
    </row>
    <row r="980" spans="1:4" s="87" customFormat="1" x14ac:dyDescent="0.2">
      <c r="A980" s="16"/>
      <c r="C980" s="19"/>
      <c r="D980" s="19"/>
    </row>
    <row r="981" spans="1:4" s="87" customFormat="1" x14ac:dyDescent="0.2">
      <c r="A981" s="16"/>
      <c r="C981" s="19"/>
      <c r="D981" s="19"/>
    </row>
    <row r="982" spans="1:4" s="87" customFormat="1" x14ac:dyDescent="0.2">
      <c r="A982" s="16"/>
      <c r="C982" s="19"/>
      <c r="D982" s="19"/>
    </row>
    <row r="983" spans="1:4" s="87" customFormat="1" x14ac:dyDescent="0.2">
      <c r="A983" s="16"/>
      <c r="C983" s="19"/>
      <c r="D983" s="19"/>
    </row>
    <row r="984" spans="1:4" s="87" customFormat="1" x14ac:dyDescent="0.2">
      <c r="A984" s="16"/>
      <c r="C984" s="19"/>
      <c r="D984" s="19"/>
    </row>
    <row r="985" spans="1:4" s="87" customFormat="1" x14ac:dyDescent="0.2">
      <c r="A985" s="16"/>
      <c r="C985" s="19"/>
      <c r="D985" s="19"/>
    </row>
    <row r="986" spans="1:4" s="87" customFormat="1" x14ac:dyDescent="0.2">
      <c r="A986" s="16"/>
      <c r="C986" s="19"/>
      <c r="D986" s="19"/>
    </row>
    <row r="987" spans="1:4" s="87" customFormat="1" x14ac:dyDescent="0.2">
      <c r="A987" s="16"/>
      <c r="C987" s="19"/>
      <c r="D987" s="19"/>
    </row>
    <row r="988" spans="1:4" s="87" customFormat="1" x14ac:dyDescent="0.2">
      <c r="A988" s="16"/>
      <c r="C988" s="19"/>
      <c r="D988" s="19"/>
    </row>
    <row r="989" spans="1:4" s="87" customFormat="1" x14ac:dyDescent="0.2">
      <c r="A989" s="16"/>
      <c r="C989" s="19"/>
      <c r="D989" s="19"/>
    </row>
    <row r="990" spans="1:4" s="87" customFormat="1" x14ac:dyDescent="0.2">
      <c r="A990" s="16"/>
      <c r="C990" s="19"/>
      <c r="D990" s="19"/>
    </row>
    <row r="991" spans="1:4" s="87" customFormat="1" x14ac:dyDescent="0.2">
      <c r="A991" s="16"/>
      <c r="C991" s="19"/>
      <c r="D991" s="19"/>
    </row>
    <row r="992" spans="1:4" s="87" customFormat="1" x14ac:dyDescent="0.2">
      <c r="A992" s="16"/>
      <c r="C992" s="19"/>
      <c r="D992" s="19"/>
    </row>
    <row r="993" spans="1:4" s="87" customFormat="1" x14ac:dyDescent="0.2">
      <c r="A993" s="16"/>
      <c r="C993" s="19"/>
      <c r="D993" s="19"/>
    </row>
    <row r="994" spans="1:4" s="87" customFormat="1" x14ac:dyDescent="0.2">
      <c r="A994" s="16"/>
      <c r="C994" s="19"/>
      <c r="D994" s="19"/>
    </row>
    <row r="995" spans="1:4" s="87" customFormat="1" x14ac:dyDescent="0.2">
      <c r="A995" s="16"/>
      <c r="C995" s="19"/>
      <c r="D995" s="19"/>
    </row>
    <row r="996" spans="1:4" s="87" customFormat="1" x14ac:dyDescent="0.2">
      <c r="A996" s="16"/>
      <c r="C996" s="19"/>
      <c r="D996" s="19"/>
    </row>
    <row r="997" spans="1:4" s="87" customFormat="1" x14ac:dyDescent="0.2">
      <c r="A997" s="16"/>
      <c r="C997" s="19"/>
      <c r="D997" s="19"/>
    </row>
    <row r="998" spans="1:4" s="87" customFormat="1" x14ac:dyDescent="0.2">
      <c r="A998" s="16"/>
      <c r="C998" s="19"/>
      <c r="D998" s="19"/>
    </row>
    <row r="999" spans="1:4" s="87" customFormat="1" x14ac:dyDescent="0.2">
      <c r="A999" s="16"/>
      <c r="C999" s="19"/>
      <c r="D999" s="19"/>
    </row>
    <row r="1000" spans="1:4" s="87" customFormat="1" x14ac:dyDescent="0.2">
      <c r="A1000" s="16"/>
      <c r="C1000" s="19"/>
      <c r="D1000" s="19"/>
    </row>
    <row r="1001" spans="1:4" s="87" customFormat="1" x14ac:dyDescent="0.2">
      <c r="A1001" s="16"/>
      <c r="C1001" s="19"/>
      <c r="D1001" s="19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363"/>
  <sheetViews>
    <sheetView zoomScale="150" zoomScaleNormal="150" workbookViewId="0">
      <pane ySplit="7" topLeftCell="A335" activePane="bottomLeft" state="frozen"/>
      <selection pane="bottomLeft" activeCell="S342" sqref="S342"/>
    </sheetView>
  </sheetViews>
  <sheetFormatPr baseColWidth="10" defaultColWidth="9.1640625" defaultRowHeight="15" x14ac:dyDescent="0.2"/>
  <cols>
    <col min="1" max="1" width="11.33203125" style="44" customWidth="1"/>
    <col min="2" max="2" width="23.1640625" style="21" customWidth="1"/>
    <col min="3" max="3" width="15.6640625" style="68" customWidth="1"/>
    <col min="4" max="4" width="10.6640625" style="87" bestFit="1" customWidth="1"/>
    <col min="5" max="18" width="9.1640625" style="87" customWidth="1"/>
    <col min="19" max="16384" width="9.1640625" style="87"/>
  </cols>
  <sheetData>
    <row r="1" spans="1:4" x14ac:dyDescent="0.2">
      <c r="A1" s="80" t="s">
        <v>33</v>
      </c>
    </row>
    <row r="6" spans="1:4" ht="16" customHeight="1" thickBot="1" x14ac:dyDescent="0.25"/>
    <row r="7" spans="1:4" ht="44.25" customHeight="1" thickBot="1" x14ac:dyDescent="0.25">
      <c r="A7" s="47" t="s">
        <v>553</v>
      </c>
      <c r="B7" s="46" t="s">
        <v>581</v>
      </c>
      <c r="C7" s="48" t="s">
        <v>555</v>
      </c>
    </row>
    <row r="8" spans="1:4" x14ac:dyDescent="0.2">
      <c r="A8" s="71">
        <v>32932</v>
      </c>
      <c r="B8" s="72">
        <v>0.05</v>
      </c>
      <c r="D8" s="44">
        <f>EOMONTH(Table3[[#This Row],[Date]],-1)-1</f>
        <v>32903</v>
      </c>
    </row>
    <row r="9" spans="1:4" x14ac:dyDescent="0.2">
      <c r="A9" s="83">
        <v>32963</v>
      </c>
      <c r="B9" s="73">
        <v>8.0000000000000002E-3</v>
      </c>
    </row>
    <row r="10" spans="1:4" x14ac:dyDescent="0.2">
      <c r="A10" s="82">
        <v>32993</v>
      </c>
      <c r="B10" s="74">
        <v>1.7000000000000001E-2</v>
      </c>
    </row>
    <row r="11" spans="1:4" x14ac:dyDescent="0.2">
      <c r="A11" s="83">
        <v>33024</v>
      </c>
      <c r="B11" s="73">
        <v>3.3000000000000002E-2</v>
      </c>
    </row>
    <row r="12" spans="1:4" x14ac:dyDescent="0.2">
      <c r="A12" s="82">
        <v>33054</v>
      </c>
      <c r="B12" s="74">
        <v>0.05</v>
      </c>
    </row>
    <row r="13" spans="1:4" x14ac:dyDescent="0.2">
      <c r="A13" s="83">
        <v>33085</v>
      </c>
      <c r="B13" s="73">
        <v>2.5000000000000001E-2</v>
      </c>
    </row>
    <row r="14" spans="1:4" x14ac:dyDescent="0.2">
      <c r="A14" s="82">
        <v>33116</v>
      </c>
      <c r="B14" s="74">
        <v>4.2000000000000003E-2</v>
      </c>
    </row>
    <row r="15" spans="1:4" x14ac:dyDescent="0.2">
      <c r="A15" s="83">
        <v>33146</v>
      </c>
      <c r="B15" s="73">
        <v>6.7000000000000004E-2</v>
      </c>
    </row>
    <row r="16" spans="1:4" x14ac:dyDescent="0.2">
      <c r="A16" s="82">
        <v>33177</v>
      </c>
      <c r="B16" s="74">
        <v>0.109</v>
      </c>
    </row>
    <row r="17" spans="1:2" x14ac:dyDescent="0.2">
      <c r="A17" s="83">
        <v>33207</v>
      </c>
      <c r="B17" s="73">
        <v>0.126</v>
      </c>
    </row>
    <row r="18" spans="1:2" x14ac:dyDescent="0.2">
      <c r="A18" s="82">
        <v>33238</v>
      </c>
      <c r="B18" s="74">
        <v>0.126</v>
      </c>
    </row>
    <row r="19" spans="1:2" x14ac:dyDescent="0.2">
      <c r="A19" s="83">
        <v>33269</v>
      </c>
      <c r="B19" s="73">
        <v>0.23499999999999999</v>
      </c>
    </row>
    <row r="20" spans="1:2" x14ac:dyDescent="0.2">
      <c r="A20" s="82">
        <v>33297</v>
      </c>
      <c r="B20" s="74">
        <v>9.1999999999999998E-2</v>
      </c>
    </row>
    <row r="21" spans="1:2" x14ac:dyDescent="0.2">
      <c r="A21" s="83">
        <v>33328</v>
      </c>
      <c r="B21" s="73">
        <v>0.109</v>
      </c>
    </row>
    <row r="22" spans="1:2" x14ac:dyDescent="0.2">
      <c r="A22" s="82">
        <v>33358</v>
      </c>
      <c r="B22" s="74">
        <v>0.109</v>
      </c>
    </row>
    <row r="23" spans="1:2" x14ac:dyDescent="0.2">
      <c r="A23" s="83">
        <v>33389</v>
      </c>
      <c r="B23" s="73">
        <v>0.109</v>
      </c>
    </row>
    <row r="24" spans="1:2" x14ac:dyDescent="0.2">
      <c r="A24" s="82">
        <v>33419</v>
      </c>
      <c r="B24" s="74">
        <v>9.1999999999999998E-2</v>
      </c>
    </row>
    <row r="25" spans="1:2" x14ac:dyDescent="0.2">
      <c r="A25" s="83">
        <v>33450</v>
      </c>
      <c r="B25" s="73">
        <v>0.109</v>
      </c>
    </row>
    <row r="26" spans="1:2" x14ac:dyDescent="0.2">
      <c r="A26" s="82">
        <v>33481</v>
      </c>
      <c r="B26" s="74">
        <v>0.11799999999999999</v>
      </c>
    </row>
    <row r="27" spans="1:2" x14ac:dyDescent="0.2">
      <c r="A27" s="83">
        <v>33511</v>
      </c>
      <c r="B27" s="73">
        <v>0.126</v>
      </c>
    </row>
    <row r="28" spans="1:2" x14ac:dyDescent="0.2">
      <c r="A28" s="82">
        <v>33542</v>
      </c>
      <c r="B28" s="74">
        <v>0.11799999999999999</v>
      </c>
    </row>
    <row r="29" spans="1:2" x14ac:dyDescent="0.2">
      <c r="A29" s="83">
        <v>33572</v>
      </c>
      <c r="B29" s="73">
        <v>7.5999999999999998E-2</v>
      </c>
    </row>
    <row r="30" spans="1:2" x14ac:dyDescent="0.2">
      <c r="A30" s="82">
        <v>33603</v>
      </c>
      <c r="B30" s="74">
        <v>0.05</v>
      </c>
    </row>
    <row r="31" spans="1:2" x14ac:dyDescent="0.2">
      <c r="A31" s="83">
        <v>33634</v>
      </c>
      <c r="B31" s="73">
        <v>0.109</v>
      </c>
    </row>
    <row r="32" spans="1:2" x14ac:dyDescent="0.2">
      <c r="A32" s="82">
        <v>33663</v>
      </c>
      <c r="B32" s="74">
        <v>0.185</v>
      </c>
    </row>
    <row r="33" spans="1:2" x14ac:dyDescent="0.2">
      <c r="A33" s="83">
        <v>33694</v>
      </c>
      <c r="B33" s="73">
        <v>0.16800000000000001</v>
      </c>
    </row>
    <row r="34" spans="1:2" x14ac:dyDescent="0.2">
      <c r="A34" s="82">
        <v>33724</v>
      </c>
      <c r="B34" s="74">
        <v>0.151</v>
      </c>
    </row>
    <row r="35" spans="1:2" x14ac:dyDescent="0.2">
      <c r="A35" s="83">
        <v>33755</v>
      </c>
      <c r="B35" s="73">
        <v>0.14299999999999999</v>
      </c>
    </row>
    <row r="36" spans="1:2" x14ac:dyDescent="0.2">
      <c r="A36" s="82">
        <v>33785</v>
      </c>
      <c r="B36" s="74">
        <v>0.16800000000000001</v>
      </c>
    </row>
    <row r="37" spans="1:2" x14ac:dyDescent="0.2">
      <c r="A37" s="83">
        <v>33816</v>
      </c>
      <c r="B37" s="73">
        <v>0.193</v>
      </c>
    </row>
    <row r="38" spans="1:2" x14ac:dyDescent="0.2">
      <c r="A38" s="82">
        <v>33847</v>
      </c>
      <c r="B38" s="74">
        <v>0.17599999999999999</v>
      </c>
    </row>
    <row r="39" spans="1:2" x14ac:dyDescent="0.2">
      <c r="A39" s="83">
        <v>33877</v>
      </c>
      <c r="B39" s="73">
        <v>0.17599999999999999</v>
      </c>
    </row>
    <row r="40" spans="1:2" x14ac:dyDescent="0.2">
      <c r="A40" s="82">
        <v>33908</v>
      </c>
      <c r="B40" s="74">
        <v>0.185</v>
      </c>
    </row>
    <row r="41" spans="1:2" x14ac:dyDescent="0.2">
      <c r="A41" s="83">
        <v>33938</v>
      </c>
      <c r="B41" s="73">
        <v>0.218</v>
      </c>
    </row>
    <row r="42" spans="1:2" x14ac:dyDescent="0.2">
      <c r="A42" s="82">
        <v>33969</v>
      </c>
      <c r="B42" s="74">
        <v>0.26900000000000002</v>
      </c>
    </row>
    <row r="43" spans="1:2" x14ac:dyDescent="0.2">
      <c r="A43" s="83">
        <v>34000</v>
      </c>
      <c r="B43" s="73">
        <v>8.4000000000000005E-2</v>
      </c>
    </row>
    <row r="44" spans="1:2" x14ac:dyDescent="0.2">
      <c r="A44" s="82">
        <v>34028</v>
      </c>
      <c r="B44" s="74">
        <v>0.27700000000000002</v>
      </c>
    </row>
    <row r="45" spans="1:2" x14ac:dyDescent="0.2">
      <c r="A45" s="83">
        <v>34059</v>
      </c>
      <c r="B45" s="73">
        <v>0.218</v>
      </c>
    </row>
    <row r="46" spans="1:2" x14ac:dyDescent="0.2">
      <c r="A46" s="82">
        <v>34089</v>
      </c>
      <c r="B46" s="74">
        <v>0.21</v>
      </c>
    </row>
    <row r="47" spans="1:2" x14ac:dyDescent="0.2">
      <c r="A47" s="83">
        <v>34120</v>
      </c>
      <c r="B47" s="73">
        <v>0.22700000000000001</v>
      </c>
    </row>
    <row r="48" spans="1:2" x14ac:dyDescent="0.2">
      <c r="A48" s="82">
        <v>34150</v>
      </c>
      <c r="B48" s="74">
        <v>0.252</v>
      </c>
    </row>
    <row r="49" spans="1:2" x14ac:dyDescent="0.2">
      <c r="A49" s="83">
        <v>34181</v>
      </c>
      <c r="B49" s="73">
        <v>0.21</v>
      </c>
    </row>
    <row r="50" spans="1:2" x14ac:dyDescent="0.2">
      <c r="A50" s="82">
        <v>34212</v>
      </c>
      <c r="B50" s="74">
        <v>0.193</v>
      </c>
    </row>
    <row r="51" spans="1:2" x14ac:dyDescent="0.2">
      <c r="A51" s="83">
        <v>34242</v>
      </c>
      <c r="B51" s="73">
        <v>0.16</v>
      </c>
    </row>
    <row r="52" spans="1:2" x14ac:dyDescent="0.2">
      <c r="A52" s="82">
        <v>34273</v>
      </c>
      <c r="B52" s="74">
        <v>0.13400000000000001</v>
      </c>
    </row>
    <row r="53" spans="1:2" x14ac:dyDescent="0.2">
      <c r="A53" s="83">
        <v>34303</v>
      </c>
      <c r="B53" s="73">
        <v>0.16</v>
      </c>
    </row>
    <row r="54" spans="1:2" x14ac:dyDescent="0.2">
      <c r="A54" s="82">
        <v>34334</v>
      </c>
      <c r="B54" s="74">
        <v>0.252</v>
      </c>
    </row>
    <row r="55" spans="1:2" x14ac:dyDescent="0.2">
      <c r="A55" s="83">
        <v>34365</v>
      </c>
      <c r="B55" s="73">
        <v>0.27700000000000002</v>
      </c>
    </row>
    <row r="56" spans="1:2" x14ac:dyDescent="0.2">
      <c r="A56" s="82">
        <v>34393</v>
      </c>
      <c r="B56" s="74">
        <v>3.4000000000000002E-2</v>
      </c>
    </row>
    <row r="57" spans="1:2" x14ac:dyDescent="0.2">
      <c r="A57" s="83">
        <v>34424</v>
      </c>
      <c r="B57" s="73">
        <v>0.16</v>
      </c>
    </row>
    <row r="58" spans="1:2" x14ac:dyDescent="0.2">
      <c r="A58" s="82">
        <v>34454</v>
      </c>
      <c r="B58" s="74">
        <v>0.16800000000000001</v>
      </c>
    </row>
    <row r="59" spans="1:2" x14ac:dyDescent="0.2">
      <c r="A59" s="83">
        <v>34485</v>
      </c>
      <c r="B59" s="73">
        <v>0.17599999999999999</v>
      </c>
    </row>
    <row r="60" spans="1:2" x14ac:dyDescent="0.2">
      <c r="A60" s="82">
        <v>34515</v>
      </c>
      <c r="B60" s="74">
        <v>0.151</v>
      </c>
    </row>
    <row r="61" spans="1:2" x14ac:dyDescent="0.2">
      <c r="A61" s="83">
        <v>34546</v>
      </c>
      <c r="B61" s="73">
        <v>0.151</v>
      </c>
    </row>
    <row r="62" spans="1:2" x14ac:dyDescent="0.2">
      <c r="A62" s="82">
        <v>34577</v>
      </c>
      <c r="B62" s="74">
        <v>0.29399999999999998</v>
      </c>
    </row>
    <row r="63" spans="1:2" x14ac:dyDescent="0.2">
      <c r="A63" s="83">
        <v>34607</v>
      </c>
      <c r="B63" s="73">
        <v>0.218</v>
      </c>
    </row>
    <row r="64" spans="1:2" x14ac:dyDescent="0.2">
      <c r="A64" s="82">
        <v>34638</v>
      </c>
      <c r="B64" s="74">
        <v>0.24399999999999999</v>
      </c>
    </row>
    <row r="65" spans="1:2" x14ac:dyDescent="0.2">
      <c r="A65" s="83">
        <v>34668</v>
      </c>
      <c r="B65" s="73">
        <v>0.23499999999999999</v>
      </c>
    </row>
    <row r="66" spans="1:2" x14ac:dyDescent="0.2">
      <c r="A66" s="82">
        <v>34699</v>
      </c>
      <c r="B66" s="74">
        <v>0.185</v>
      </c>
    </row>
    <row r="67" spans="1:2" x14ac:dyDescent="0.2">
      <c r="A67" s="83">
        <v>34730</v>
      </c>
      <c r="B67" s="73">
        <v>0.114</v>
      </c>
    </row>
    <row r="68" spans="1:2" x14ac:dyDescent="0.2">
      <c r="A68" s="82">
        <v>34758</v>
      </c>
      <c r="B68" s="74">
        <v>0.155</v>
      </c>
    </row>
    <row r="69" spans="1:2" x14ac:dyDescent="0.2">
      <c r="A69" s="83">
        <v>34789</v>
      </c>
      <c r="B69" s="73">
        <v>0.16400000000000001</v>
      </c>
    </row>
    <row r="70" spans="1:2" x14ac:dyDescent="0.2">
      <c r="A70" s="82">
        <v>34819</v>
      </c>
      <c r="B70" s="74">
        <v>0.154</v>
      </c>
    </row>
    <row r="71" spans="1:2" x14ac:dyDescent="0.2">
      <c r="A71" s="83">
        <v>34850</v>
      </c>
      <c r="B71" s="73">
        <v>0.13100000000000001</v>
      </c>
    </row>
    <row r="72" spans="1:2" x14ac:dyDescent="0.2">
      <c r="A72" s="82">
        <v>34880</v>
      </c>
      <c r="B72" s="74">
        <v>0.13900000000000001</v>
      </c>
    </row>
    <row r="73" spans="1:2" x14ac:dyDescent="0.2">
      <c r="A73" s="83">
        <v>34911</v>
      </c>
      <c r="B73" s="73">
        <v>0.13600000000000001</v>
      </c>
    </row>
    <row r="74" spans="1:2" x14ac:dyDescent="0.2">
      <c r="A74" s="82">
        <v>34942</v>
      </c>
      <c r="B74" s="74">
        <v>0.11799999999999999</v>
      </c>
    </row>
    <row r="75" spans="1:2" x14ac:dyDescent="0.2">
      <c r="A75" s="83">
        <v>34972</v>
      </c>
      <c r="B75" s="73">
        <v>0.114</v>
      </c>
    </row>
    <row r="76" spans="1:2" x14ac:dyDescent="0.2">
      <c r="A76" s="82">
        <v>35003</v>
      </c>
      <c r="B76" s="74">
        <v>0.129</v>
      </c>
    </row>
    <row r="77" spans="1:2" x14ac:dyDescent="0.2">
      <c r="A77" s="83">
        <v>35033</v>
      </c>
      <c r="B77" s="73">
        <v>0.121</v>
      </c>
    </row>
    <row r="78" spans="1:2" x14ac:dyDescent="0.2">
      <c r="A78" s="82">
        <v>35064</v>
      </c>
      <c r="B78" s="74">
        <v>0.14899999999999999</v>
      </c>
    </row>
    <row r="79" spans="1:2" x14ac:dyDescent="0.2">
      <c r="A79" s="83">
        <v>35095</v>
      </c>
      <c r="B79" s="73">
        <v>0.16900000000000001</v>
      </c>
    </row>
    <row r="80" spans="1:2" x14ac:dyDescent="0.2">
      <c r="A80" s="82">
        <v>35124</v>
      </c>
      <c r="B80" s="74">
        <v>0.122</v>
      </c>
    </row>
    <row r="81" spans="1:2" x14ac:dyDescent="0.2">
      <c r="A81" s="83">
        <v>35155</v>
      </c>
      <c r="B81" s="73">
        <v>0.122</v>
      </c>
    </row>
    <row r="82" spans="1:2" x14ac:dyDescent="0.2">
      <c r="A82" s="82">
        <v>35185</v>
      </c>
      <c r="B82" s="74">
        <v>0.13700000000000001</v>
      </c>
    </row>
    <row r="83" spans="1:2" x14ac:dyDescent="0.2">
      <c r="A83" s="83">
        <v>35216</v>
      </c>
      <c r="B83" s="73">
        <v>0.13100000000000001</v>
      </c>
    </row>
    <row r="84" spans="1:2" x14ac:dyDescent="0.2">
      <c r="A84" s="82">
        <v>35246</v>
      </c>
      <c r="B84" s="74">
        <v>0.13800000000000001</v>
      </c>
    </row>
    <row r="85" spans="1:2" x14ac:dyDescent="0.2">
      <c r="A85" s="83">
        <v>35277</v>
      </c>
      <c r="B85" s="73">
        <v>0.122</v>
      </c>
    </row>
    <row r="86" spans="1:2" x14ac:dyDescent="0.2">
      <c r="A86" s="82">
        <v>35308</v>
      </c>
      <c r="B86" s="74">
        <v>0.106</v>
      </c>
    </row>
    <row r="87" spans="1:2" x14ac:dyDescent="0.2">
      <c r="A87" s="83">
        <v>35338</v>
      </c>
      <c r="B87" s="73">
        <v>0.13700000000000001</v>
      </c>
    </row>
    <row r="88" spans="1:2" x14ac:dyDescent="0.2">
      <c r="A88" s="82">
        <v>35369</v>
      </c>
      <c r="B88" s="74">
        <v>0.13300000000000001</v>
      </c>
    </row>
    <row r="89" spans="1:2" x14ac:dyDescent="0.2">
      <c r="A89" s="83">
        <v>35399</v>
      </c>
      <c r="B89" s="73">
        <v>0.13400000000000001</v>
      </c>
    </row>
    <row r="90" spans="1:2" x14ac:dyDescent="0.2">
      <c r="A90" s="82">
        <v>35430</v>
      </c>
      <c r="B90" s="74">
        <v>0.14000000000000001</v>
      </c>
    </row>
    <row r="91" spans="1:2" x14ac:dyDescent="0.2">
      <c r="A91" s="83">
        <v>35461</v>
      </c>
      <c r="B91" s="73">
        <v>0.10299999999999999</v>
      </c>
    </row>
    <row r="92" spans="1:2" x14ac:dyDescent="0.2">
      <c r="A92" s="82">
        <v>35489</v>
      </c>
      <c r="B92" s="74">
        <v>0.104</v>
      </c>
    </row>
    <row r="93" spans="1:2" x14ac:dyDescent="0.2">
      <c r="A93" s="83">
        <v>35520</v>
      </c>
      <c r="B93" s="73">
        <v>0.13500000000000001</v>
      </c>
    </row>
    <row r="94" spans="1:2" x14ac:dyDescent="0.2">
      <c r="A94" s="82">
        <v>35550</v>
      </c>
      <c r="B94" s="74">
        <v>0.11899999999999999</v>
      </c>
    </row>
    <row r="95" spans="1:2" x14ac:dyDescent="0.2">
      <c r="A95" s="83">
        <v>35581</v>
      </c>
      <c r="B95" s="73">
        <v>0.11899999999999999</v>
      </c>
    </row>
    <row r="96" spans="1:2" x14ac:dyDescent="0.2">
      <c r="A96" s="82">
        <v>35611</v>
      </c>
      <c r="B96" s="74">
        <v>0.121</v>
      </c>
    </row>
    <row r="97" spans="1:2" x14ac:dyDescent="0.2">
      <c r="A97" s="83">
        <v>35642</v>
      </c>
      <c r="B97" s="73">
        <v>8.4000000000000005E-2</v>
      </c>
    </row>
    <row r="98" spans="1:2" x14ac:dyDescent="0.2">
      <c r="A98" s="82">
        <v>35673</v>
      </c>
      <c r="B98" s="74">
        <v>0.109</v>
      </c>
    </row>
    <row r="99" spans="1:2" x14ac:dyDescent="0.2">
      <c r="A99" s="83">
        <v>35703</v>
      </c>
      <c r="B99" s="73">
        <v>0.111</v>
      </c>
    </row>
    <row r="100" spans="1:2" x14ac:dyDescent="0.2">
      <c r="A100" s="82">
        <v>35734</v>
      </c>
      <c r="B100" s="74">
        <v>0.11799999999999999</v>
      </c>
    </row>
    <row r="101" spans="1:2" x14ac:dyDescent="0.2">
      <c r="A101" s="83">
        <v>35764</v>
      </c>
      <c r="B101" s="73">
        <v>0.11600000000000001</v>
      </c>
    </row>
    <row r="102" spans="1:2" x14ac:dyDescent="0.2">
      <c r="A102" s="82">
        <v>35795</v>
      </c>
      <c r="B102" s="74">
        <v>9.1999999999999998E-2</v>
      </c>
    </row>
    <row r="103" spans="1:2" x14ac:dyDescent="0.2">
      <c r="A103" s="83">
        <v>35826</v>
      </c>
      <c r="B103" s="73">
        <v>1.7999999999999999E-2</v>
      </c>
    </row>
    <row r="104" spans="1:2" x14ac:dyDescent="0.2">
      <c r="A104" s="82">
        <v>35854</v>
      </c>
      <c r="B104" s="74">
        <v>9.5000000000000001E-2</v>
      </c>
    </row>
    <row r="105" spans="1:2" x14ac:dyDescent="0.2">
      <c r="A105" s="83">
        <v>35885</v>
      </c>
      <c r="B105" s="73">
        <v>0.09</v>
      </c>
    </row>
    <row r="106" spans="1:2" x14ac:dyDescent="0.2">
      <c r="A106" s="82">
        <v>35915</v>
      </c>
      <c r="B106" s="74">
        <v>7.1999999999999995E-2</v>
      </c>
    </row>
    <row r="107" spans="1:2" x14ac:dyDescent="0.2">
      <c r="A107" s="83">
        <v>35946</v>
      </c>
      <c r="B107" s="73">
        <v>0.08</v>
      </c>
    </row>
    <row r="108" spans="1:2" x14ac:dyDescent="0.2">
      <c r="A108" s="82">
        <v>35976</v>
      </c>
      <c r="B108" s="74">
        <v>7.9000000000000001E-2</v>
      </c>
    </row>
    <row r="109" spans="1:2" x14ac:dyDescent="0.2">
      <c r="A109" s="83">
        <v>36007</v>
      </c>
      <c r="B109" s="73">
        <v>7.5999999999999998E-2</v>
      </c>
    </row>
    <row r="110" spans="1:2" x14ac:dyDescent="0.2">
      <c r="A110" s="82">
        <v>36038</v>
      </c>
      <c r="B110" s="74">
        <v>7.9000000000000001E-2</v>
      </c>
    </row>
    <row r="111" spans="1:2" x14ac:dyDescent="0.2">
      <c r="A111" s="83">
        <v>36068</v>
      </c>
      <c r="B111" s="73">
        <v>0.10199999999999999</v>
      </c>
    </row>
    <row r="112" spans="1:2" x14ac:dyDescent="0.2">
      <c r="A112" s="82">
        <v>36099</v>
      </c>
      <c r="B112" s="74">
        <v>0.106</v>
      </c>
    </row>
    <row r="113" spans="1:2" x14ac:dyDescent="0.2">
      <c r="A113" s="83">
        <v>36129</v>
      </c>
      <c r="B113" s="73">
        <v>0.11</v>
      </c>
    </row>
    <row r="114" spans="1:2" x14ac:dyDescent="0.2">
      <c r="A114" s="82">
        <v>36160</v>
      </c>
      <c r="B114" s="74">
        <v>0.115</v>
      </c>
    </row>
    <row r="115" spans="1:2" x14ac:dyDescent="0.2">
      <c r="A115" s="83">
        <v>36191</v>
      </c>
      <c r="B115" s="73">
        <v>0.17899999999999999</v>
      </c>
    </row>
    <row r="116" spans="1:2" x14ac:dyDescent="0.2">
      <c r="A116" s="82">
        <v>36219</v>
      </c>
      <c r="B116" s="74">
        <v>2.1000000000000001E-2</v>
      </c>
    </row>
    <row r="117" spans="1:2" x14ac:dyDescent="0.2">
      <c r="A117" s="83">
        <v>36250</v>
      </c>
      <c r="B117" s="73">
        <v>0.09</v>
      </c>
    </row>
    <row r="118" spans="1:2" x14ac:dyDescent="0.2">
      <c r="A118" s="82">
        <v>36280</v>
      </c>
      <c r="B118" s="74">
        <v>9.0999999999999998E-2</v>
      </c>
    </row>
    <row r="119" spans="1:2" x14ac:dyDescent="0.2">
      <c r="A119" s="83">
        <v>36311</v>
      </c>
      <c r="B119" s="73">
        <v>8.8999999999999996E-2</v>
      </c>
    </row>
    <row r="120" spans="1:2" x14ac:dyDescent="0.2">
      <c r="A120" s="82">
        <v>36341</v>
      </c>
      <c r="B120" s="74">
        <v>9.0999999999999998E-2</v>
      </c>
    </row>
    <row r="121" spans="1:2" x14ac:dyDescent="0.2">
      <c r="A121" s="83">
        <v>36372</v>
      </c>
      <c r="B121" s="73">
        <v>9.2999999999999999E-2</v>
      </c>
    </row>
    <row r="122" spans="1:2" x14ac:dyDescent="0.2">
      <c r="A122" s="82">
        <v>36403</v>
      </c>
      <c r="B122" s="74">
        <v>9.5000000000000001E-2</v>
      </c>
    </row>
    <row r="123" spans="1:2" x14ac:dyDescent="0.2">
      <c r="A123" s="83">
        <v>36433</v>
      </c>
      <c r="B123" s="73">
        <v>8.2000000000000003E-2</v>
      </c>
    </row>
    <row r="124" spans="1:2" x14ac:dyDescent="0.2">
      <c r="A124" s="82">
        <v>36464</v>
      </c>
      <c r="B124" s="74">
        <v>7.0000000000000007E-2</v>
      </c>
    </row>
    <row r="125" spans="1:2" x14ac:dyDescent="0.2">
      <c r="A125" s="83">
        <v>36494</v>
      </c>
      <c r="B125" s="73">
        <v>7.5999999999999998E-2</v>
      </c>
    </row>
    <row r="126" spans="1:2" x14ac:dyDescent="0.2">
      <c r="A126" s="82">
        <v>36525</v>
      </c>
      <c r="B126" s="74">
        <v>7.3999999999999996E-2</v>
      </c>
    </row>
    <row r="127" spans="1:2" x14ac:dyDescent="0.2">
      <c r="A127" s="83">
        <v>36556</v>
      </c>
      <c r="B127" s="73">
        <v>8.8999999999999996E-2</v>
      </c>
    </row>
    <row r="128" spans="1:2" x14ac:dyDescent="0.2">
      <c r="A128" s="82">
        <v>36585</v>
      </c>
      <c r="B128" s="74">
        <v>0.12</v>
      </c>
    </row>
    <row r="129" spans="1:2" x14ac:dyDescent="0.2">
      <c r="A129" s="83">
        <v>36616</v>
      </c>
      <c r="B129" s="73">
        <v>0.11899999999999999</v>
      </c>
    </row>
    <row r="130" spans="1:2" x14ac:dyDescent="0.2">
      <c r="A130" s="82">
        <v>36646</v>
      </c>
      <c r="B130" s="74">
        <v>0.114</v>
      </c>
    </row>
    <row r="131" spans="1:2" x14ac:dyDescent="0.2">
      <c r="A131" s="83">
        <v>36677</v>
      </c>
      <c r="B131" s="73">
        <v>0.115</v>
      </c>
    </row>
    <row r="132" spans="1:2" x14ac:dyDescent="0.2">
      <c r="A132" s="82">
        <v>36707</v>
      </c>
      <c r="B132" s="74">
        <v>0.122</v>
      </c>
    </row>
    <row r="133" spans="1:2" x14ac:dyDescent="0.2">
      <c r="A133" s="83">
        <v>36738</v>
      </c>
      <c r="B133" s="73">
        <v>0.128</v>
      </c>
    </row>
    <row r="134" spans="1:2" x14ac:dyDescent="0.2">
      <c r="A134" s="82">
        <v>36769</v>
      </c>
      <c r="B134" s="74">
        <v>0.128</v>
      </c>
    </row>
    <row r="135" spans="1:2" x14ac:dyDescent="0.2">
      <c r="A135" s="83">
        <v>36799</v>
      </c>
      <c r="B135" s="73">
        <v>0.12</v>
      </c>
    </row>
    <row r="136" spans="1:2" x14ac:dyDescent="0.2">
      <c r="A136" s="82">
        <v>36830</v>
      </c>
      <c r="B136" s="74">
        <v>0.114</v>
      </c>
    </row>
    <row r="137" spans="1:2" x14ac:dyDescent="0.2">
      <c r="A137" s="83">
        <v>36860</v>
      </c>
      <c r="B137" s="73">
        <v>0.106</v>
      </c>
    </row>
    <row r="138" spans="1:2" x14ac:dyDescent="0.2">
      <c r="A138" s="82">
        <v>36891</v>
      </c>
      <c r="B138" s="74">
        <v>0.104</v>
      </c>
    </row>
    <row r="139" spans="1:2" x14ac:dyDescent="0.2">
      <c r="A139" s="83">
        <v>36922</v>
      </c>
      <c r="B139" s="73">
        <v>2.3E-2</v>
      </c>
    </row>
    <row r="140" spans="1:2" x14ac:dyDescent="0.2">
      <c r="A140" s="82">
        <v>36950</v>
      </c>
      <c r="B140" s="74">
        <v>0.19</v>
      </c>
    </row>
    <row r="141" spans="1:2" x14ac:dyDescent="0.2">
      <c r="A141" s="83">
        <v>36981</v>
      </c>
      <c r="B141" s="73">
        <v>0.121</v>
      </c>
    </row>
    <row r="142" spans="1:2" x14ac:dyDescent="0.2">
      <c r="A142" s="82">
        <v>37011</v>
      </c>
      <c r="B142" s="74">
        <v>0.115</v>
      </c>
    </row>
    <row r="143" spans="1:2" x14ac:dyDescent="0.2">
      <c r="A143" s="83">
        <v>37042</v>
      </c>
      <c r="B143" s="73">
        <v>0.10199999999999999</v>
      </c>
    </row>
    <row r="144" spans="1:2" x14ac:dyDescent="0.2">
      <c r="A144" s="82">
        <v>37072</v>
      </c>
      <c r="B144" s="74">
        <v>0.10100000000000001</v>
      </c>
    </row>
    <row r="145" spans="1:2" x14ac:dyDescent="0.2">
      <c r="A145" s="83">
        <v>37103</v>
      </c>
      <c r="B145" s="73">
        <v>8.1000000000000003E-2</v>
      </c>
    </row>
    <row r="146" spans="1:2" x14ac:dyDescent="0.2">
      <c r="A146" s="82">
        <v>37134</v>
      </c>
      <c r="B146" s="74">
        <v>8.1000000000000003E-2</v>
      </c>
    </row>
    <row r="147" spans="1:2" x14ac:dyDescent="0.2">
      <c r="A147" s="83">
        <v>37164</v>
      </c>
      <c r="B147" s="73">
        <v>9.5000000000000001E-2</v>
      </c>
    </row>
    <row r="148" spans="1:2" x14ac:dyDescent="0.2">
      <c r="A148" s="82">
        <v>37195</v>
      </c>
      <c r="B148" s="74">
        <v>8.7999999999999995E-2</v>
      </c>
    </row>
    <row r="149" spans="1:2" x14ac:dyDescent="0.2">
      <c r="A149" s="83">
        <v>37225</v>
      </c>
      <c r="B149" s="73">
        <v>7.9000000000000001E-2</v>
      </c>
    </row>
    <row r="150" spans="1:2" x14ac:dyDescent="0.2">
      <c r="A150" s="82">
        <v>37256</v>
      </c>
      <c r="B150" s="74">
        <v>8.6999999999999994E-2</v>
      </c>
    </row>
    <row r="151" spans="1:2" x14ac:dyDescent="0.2">
      <c r="A151" s="83">
        <v>37287</v>
      </c>
      <c r="B151" s="73">
        <v>0.186</v>
      </c>
    </row>
    <row r="152" spans="1:2" x14ac:dyDescent="0.2">
      <c r="A152" s="82">
        <v>37315</v>
      </c>
      <c r="B152" s="74">
        <v>2.7E-2</v>
      </c>
    </row>
    <row r="153" spans="1:2" x14ac:dyDescent="0.2">
      <c r="A153" s="83">
        <v>37346</v>
      </c>
      <c r="B153" s="73">
        <v>0.109</v>
      </c>
    </row>
    <row r="154" spans="1:2" x14ac:dyDescent="0.2">
      <c r="A154" s="82">
        <v>37376</v>
      </c>
      <c r="B154" s="74">
        <v>0.121</v>
      </c>
    </row>
    <row r="155" spans="1:2" x14ac:dyDescent="0.2">
      <c r="A155" s="83">
        <v>37407</v>
      </c>
      <c r="B155" s="73">
        <v>0.129</v>
      </c>
    </row>
    <row r="156" spans="1:2" x14ac:dyDescent="0.2">
      <c r="A156" s="82">
        <v>37437</v>
      </c>
      <c r="B156" s="74">
        <v>0.124</v>
      </c>
    </row>
    <row r="157" spans="1:2" x14ac:dyDescent="0.2">
      <c r="A157" s="83">
        <v>37468</v>
      </c>
      <c r="B157" s="73">
        <v>0.128</v>
      </c>
    </row>
    <row r="158" spans="1:2" x14ac:dyDescent="0.2">
      <c r="A158" s="82">
        <v>37499</v>
      </c>
      <c r="B158" s="74">
        <v>0.127</v>
      </c>
    </row>
    <row r="159" spans="1:2" x14ac:dyDescent="0.2">
      <c r="A159" s="83">
        <v>37529</v>
      </c>
      <c r="B159" s="73">
        <v>0.13800000000000001</v>
      </c>
    </row>
    <row r="160" spans="1:2" x14ac:dyDescent="0.2">
      <c r="A160" s="75">
        <v>37560</v>
      </c>
      <c r="B160" s="76">
        <v>0.14199999999999999</v>
      </c>
    </row>
    <row r="161" spans="1:3" x14ac:dyDescent="0.2">
      <c r="A161" s="84">
        <v>37590</v>
      </c>
      <c r="B161" s="23">
        <v>0.14499999999999999</v>
      </c>
      <c r="C161" s="85"/>
    </row>
    <row r="162" spans="1:3" x14ac:dyDescent="0.2">
      <c r="A162" s="86">
        <v>37621</v>
      </c>
      <c r="B162" s="45">
        <v>0.14899999999999999</v>
      </c>
      <c r="C162" s="85"/>
    </row>
    <row r="163" spans="1:3" x14ac:dyDescent="0.2">
      <c r="A163" s="84">
        <v>37652</v>
      </c>
      <c r="B163" s="23">
        <v>0.14799999999999999</v>
      </c>
      <c r="C163" s="85"/>
    </row>
    <row r="164" spans="1:3" x14ac:dyDescent="0.2">
      <c r="A164" s="86">
        <v>37680</v>
      </c>
      <c r="B164" s="45">
        <v>0.19800000000000001</v>
      </c>
      <c r="C164" s="85"/>
    </row>
    <row r="165" spans="1:3" x14ac:dyDescent="0.2">
      <c r="A165" s="84">
        <v>37711</v>
      </c>
      <c r="B165" s="23">
        <v>0.16900000000000001</v>
      </c>
      <c r="C165" s="85"/>
    </row>
    <row r="166" spans="1:3" x14ac:dyDescent="0.2">
      <c r="A166" s="86">
        <v>37741</v>
      </c>
      <c r="B166" s="45">
        <v>0.14899999999999999</v>
      </c>
      <c r="C166" s="85"/>
    </row>
    <row r="167" spans="1:3" x14ac:dyDescent="0.2">
      <c r="A167" s="84">
        <v>37772</v>
      </c>
      <c r="B167" s="23">
        <v>0.13700000000000001</v>
      </c>
      <c r="C167" s="85"/>
    </row>
    <row r="168" spans="1:3" x14ac:dyDescent="0.2">
      <c r="A168" s="86">
        <v>37802</v>
      </c>
      <c r="B168" s="45">
        <v>0.16900000000000001</v>
      </c>
      <c r="C168" s="85"/>
    </row>
    <row r="169" spans="1:3" x14ac:dyDescent="0.2">
      <c r="A169" s="84">
        <v>37833</v>
      </c>
      <c r="B169" s="23">
        <v>0.16500000000000001</v>
      </c>
      <c r="C169" s="85"/>
    </row>
    <row r="170" spans="1:3" x14ac:dyDescent="0.2">
      <c r="A170" s="86">
        <v>37864</v>
      </c>
      <c r="B170" s="45">
        <v>0.17100000000000001</v>
      </c>
      <c r="C170" s="85"/>
    </row>
    <row r="171" spans="1:3" x14ac:dyDescent="0.2">
      <c r="A171" s="84">
        <v>37894</v>
      </c>
      <c r="B171" s="23">
        <v>0.16300000000000001</v>
      </c>
      <c r="C171" s="85"/>
    </row>
    <row r="172" spans="1:3" x14ac:dyDescent="0.2">
      <c r="A172" s="86">
        <v>37925</v>
      </c>
      <c r="B172" s="45">
        <v>0.17199999999999999</v>
      </c>
      <c r="C172" s="85"/>
    </row>
    <row r="173" spans="1:3" x14ac:dyDescent="0.2">
      <c r="A173" s="84">
        <v>37955</v>
      </c>
      <c r="B173" s="23">
        <v>0.17899999999999999</v>
      </c>
      <c r="C173" s="85"/>
    </row>
    <row r="174" spans="1:3" x14ac:dyDescent="0.2">
      <c r="A174" s="86">
        <v>37986</v>
      </c>
      <c r="B174" s="45">
        <v>0.18099999999999999</v>
      </c>
      <c r="C174" s="85"/>
    </row>
    <row r="175" spans="1:3" x14ac:dyDescent="0.2">
      <c r="A175" s="84">
        <v>38017</v>
      </c>
      <c r="B175" s="23">
        <v>7.1999999999999995E-2</v>
      </c>
      <c r="C175" s="85"/>
    </row>
    <row r="176" spans="1:3" x14ac:dyDescent="0.2">
      <c r="A176" s="86">
        <v>38046</v>
      </c>
      <c r="B176" s="45">
        <v>0.23200000000000001</v>
      </c>
      <c r="C176" s="85"/>
    </row>
    <row r="177" spans="1:3" x14ac:dyDescent="0.2">
      <c r="A177" s="84">
        <v>38077</v>
      </c>
      <c r="B177" s="23">
        <v>0.19400000000000001</v>
      </c>
      <c r="C177" s="85"/>
    </row>
    <row r="178" spans="1:3" x14ac:dyDescent="0.2">
      <c r="A178" s="86">
        <v>38107</v>
      </c>
      <c r="B178" s="45">
        <v>0.191</v>
      </c>
      <c r="C178" s="85"/>
    </row>
    <row r="179" spans="1:3" x14ac:dyDescent="0.2">
      <c r="A179" s="84">
        <v>38138</v>
      </c>
      <c r="B179" s="23">
        <v>0.17499999999999999</v>
      </c>
      <c r="C179" s="85"/>
    </row>
    <row r="180" spans="1:3" x14ac:dyDescent="0.2">
      <c r="A180" s="86">
        <v>38168</v>
      </c>
      <c r="B180" s="45">
        <v>0.16200000000000001</v>
      </c>
      <c r="C180" s="85"/>
    </row>
    <row r="181" spans="1:3" x14ac:dyDescent="0.2">
      <c r="A181" s="84">
        <v>38199</v>
      </c>
      <c r="B181" s="23">
        <v>0.155</v>
      </c>
      <c r="C181" s="85"/>
    </row>
    <row r="182" spans="1:3" x14ac:dyDescent="0.2">
      <c r="A182" s="86">
        <v>38230</v>
      </c>
      <c r="B182" s="45">
        <v>0.159</v>
      </c>
      <c r="C182" s="85"/>
    </row>
    <row r="183" spans="1:3" x14ac:dyDescent="0.2">
      <c r="A183" s="84">
        <v>38260</v>
      </c>
      <c r="B183" s="23">
        <v>0.161</v>
      </c>
      <c r="C183" s="85"/>
    </row>
    <row r="184" spans="1:3" x14ac:dyDescent="0.2">
      <c r="A184" s="86">
        <v>38291</v>
      </c>
      <c r="B184" s="45">
        <v>0.157</v>
      </c>
      <c r="C184" s="85"/>
    </row>
    <row r="185" spans="1:3" x14ac:dyDescent="0.2">
      <c r="A185" s="84">
        <v>38321</v>
      </c>
      <c r="B185" s="23">
        <v>0.14799999999999999</v>
      </c>
      <c r="C185" s="85"/>
    </row>
    <row r="186" spans="1:3" x14ac:dyDescent="0.2">
      <c r="A186" s="86">
        <v>38352</v>
      </c>
      <c r="B186" s="45">
        <v>0.14399999999999999</v>
      </c>
      <c r="C186" s="85"/>
    </row>
    <row r="187" spans="1:3" x14ac:dyDescent="0.2">
      <c r="A187" s="84">
        <v>38383</v>
      </c>
      <c r="B187" s="23">
        <v>0.20899999999999999</v>
      </c>
      <c r="C187" s="85">
        <v>52.1</v>
      </c>
    </row>
    <row r="188" spans="1:3" x14ac:dyDescent="0.2">
      <c r="A188" s="84">
        <v>38411</v>
      </c>
      <c r="B188" s="45">
        <v>7.5999999999999998E-2</v>
      </c>
      <c r="C188" s="85">
        <v>52.9</v>
      </c>
    </row>
    <row r="189" spans="1:3" x14ac:dyDescent="0.2">
      <c r="A189" s="86">
        <v>38442</v>
      </c>
      <c r="B189" s="45">
        <v>0.151</v>
      </c>
      <c r="C189" s="85">
        <v>55.2</v>
      </c>
    </row>
    <row r="190" spans="1:3" x14ac:dyDescent="0.2">
      <c r="A190" s="84">
        <v>38472</v>
      </c>
      <c r="B190" s="23">
        <v>0.16</v>
      </c>
      <c r="C190" s="85">
        <v>54.4</v>
      </c>
    </row>
    <row r="191" spans="1:3" x14ac:dyDescent="0.2">
      <c r="A191" s="86">
        <v>38503</v>
      </c>
      <c r="B191" s="45">
        <v>0.16600000000000001</v>
      </c>
      <c r="C191" s="85">
        <v>53.3</v>
      </c>
    </row>
    <row r="192" spans="1:3" x14ac:dyDescent="0.2">
      <c r="A192" s="84">
        <v>38533</v>
      </c>
      <c r="B192" s="23">
        <v>0.16800000000000001</v>
      </c>
      <c r="C192" s="85">
        <v>51</v>
      </c>
    </row>
    <row r="193" spans="1:3" x14ac:dyDescent="0.2">
      <c r="A193" s="86">
        <v>38564</v>
      </c>
      <c r="B193" s="45">
        <v>0.161</v>
      </c>
      <c r="C193" s="85">
        <v>51.5</v>
      </c>
    </row>
    <row r="194" spans="1:3" x14ac:dyDescent="0.2">
      <c r="A194" s="84">
        <v>38595</v>
      </c>
      <c r="B194" s="23">
        <v>0.16</v>
      </c>
      <c r="C194" s="85">
        <v>50.6</v>
      </c>
    </row>
    <row r="195" spans="1:3" x14ac:dyDescent="0.2">
      <c r="A195" s="86">
        <v>38625</v>
      </c>
      <c r="B195" s="45">
        <v>0.16500000000000001</v>
      </c>
      <c r="C195" s="85">
        <v>50.9</v>
      </c>
    </row>
    <row r="196" spans="1:3" x14ac:dyDescent="0.2">
      <c r="A196" s="84">
        <v>38656</v>
      </c>
      <c r="B196" s="23">
        <v>0.161</v>
      </c>
      <c r="C196" s="85">
        <v>50.1</v>
      </c>
    </row>
    <row r="197" spans="1:3" x14ac:dyDescent="0.2">
      <c r="A197" s="86">
        <v>38686</v>
      </c>
      <c r="B197" s="45">
        <v>0.16600000000000001</v>
      </c>
      <c r="C197" s="85">
        <v>49.8</v>
      </c>
    </row>
    <row r="198" spans="1:3" x14ac:dyDescent="0.2">
      <c r="A198" s="84">
        <v>38717</v>
      </c>
      <c r="B198" s="23">
        <v>0.16500000000000001</v>
      </c>
      <c r="C198" s="85">
        <v>50.1</v>
      </c>
    </row>
    <row r="199" spans="1:3" x14ac:dyDescent="0.2">
      <c r="A199" s="84">
        <v>38776</v>
      </c>
      <c r="B199" s="23">
        <v>0.20100000000000001</v>
      </c>
      <c r="C199" s="85">
        <v>50.7</v>
      </c>
    </row>
    <row r="200" spans="1:3" x14ac:dyDescent="0.2">
      <c r="A200" s="86">
        <v>38807</v>
      </c>
      <c r="B200" s="45">
        <v>0.17799999999999999</v>
      </c>
      <c r="C200" s="85">
        <v>51</v>
      </c>
    </row>
    <row r="201" spans="1:3" x14ac:dyDescent="0.2">
      <c r="A201" s="84">
        <v>38837</v>
      </c>
      <c r="B201" s="23">
        <v>0.16600000000000001</v>
      </c>
      <c r="C201" s="85">
        <v>52.7</v>
      </c>
    </row>
    <row r="202" spans="1:3" x14ac:dyDescent="0.2">
      <c r="A202" s="86">
        <v>38868</v>
      </c>
      <c r="B202" s="45">
        <v>0.17899999999999999</v>
      </c>
      <c r="C202" s="85">
        <v>52.8</v>
      </c>
    </row>
    <row r="203" spans="1:3" x14ac:dyDescent="0.2">
      <c r="A203" s="84">
        <v>38898</v>
      </c>
      <c r="B203" s="23">
        <v>0.19500000000000001</v>
      </c>
      <c r="C203" s="85">
        <v>52.9</v>
      </c>
    </row>
    <row r="204" spans="1:3" x14ac:dyDescent="0.2">
      <c r="A204" s="86">
        <v>38929</v>
      </c>
      <c r="B204" s="45">
        <v>0.16700000000000001</v>
      </c>
      <c r="C204" s="85">
        <v>53</v>
      </c>
    </row>
    <row r="205" spans="1:3" x14ac:dyDescent="0.2">
      <c r="A205" s="84">
        <v>38960</v>
      </c>
      <c r="B205" s="23">
        <v>0.157</v>
      </c>
      <c r="C205" s="85">
        <v>52.6</v>
      </c>
    </row>
    <row r="206" spans="1:3" x14ac:dyDescent="0.2">
      <c r="A206" s="86">
        <v>38990</v>
      </c>
      <c r="B206" s="45">
        <v>0.161</v>
      </c>
      <c r="C206" s="85">
        <v>52.4</v>
      </c>
    </row>
    <row r="207" spans="1:3" x14ac:dyDescent="0.2">
      <c r="A207" s="84">
        <v>39021</v>
      </c>
      <c r="B207" s="23">
        <v>0.14699999999999999</v>
      </c>
      <c r="C207" s="85">
        <v>52.1</v>
      </c>
    </row>
    <row r="208" spans="1:3" x14ac:dyDescent="0.2">
      <c r="A208" s="86">
        <v>39051</v>
      </c>
      <c r="B208" s="45">
        <v>0.14899999999999999</v>
      </c>
      <c r="C208" s="85">
        <v>53</v>
      </c>
    </row>
    <row r="209" spans="1:3" x14ac:dyDescent="0.2">
      <c r="A209" s="84">
        <v>39082</v>
      </c>
      <c r="B209" s="23">
        <v>0.14699999999999999</v>
      </c>
      <c r="C209" s="85">
        <v>52.4</v>
      </c>
    </row>
    <row r="210" spans="1:3" x14ac:dyDescent="0.2">
      <c r="A210" s="86">
        <v>39141</v>
      </c>
      <c r="B210" s="45">
        <v>0.126</v>
      </c>
      <c r="C210" s="85">
        <v>53</v>
      </c>
    </row>
    <row r="211" spans="1:3" x14ac:dyDescent="0.2">
      <c r="A211" s="86">
        <v>39172</v>
      </c>
      <c r="B211" s="45">
        <v>0.17599999999999999</v>
      </c>
      <c r="C211" s="85">
        <v>52.3</v>
      </c>
    </row>
    <row r="212" spans="1:3" x14ac:dyDescent="0.2">
      <c r="A212" s="84">
        <v>39202</v>
      </c>
      <c r="B212" s="23">
        <v>0.17399999999999999</v>
      </c>
      <c r="C212" s="85">
        <v>53.3</v>
      </c>
    </row>
    <row r="213" spans="1:3" x14ac:dyDescent="0.2">
      <c r="A213" s="86">
        <v>39233</v>
      </c>
      <c r="B213" s="45">
        <v>0.18099999999999999</v>
      </c>
      <c r="C213" s="85">
        <v>54.1</v>
      </c>
    </row>
    <row r="214" spans="1:3" x14ac:dyDescent="0.2">
      <c r="A214" s="84">
        <v>39263</v>
      </c>
      <c r="B214" s="23">
        <v>0.19400000000000001</v>
      </c>
      <c r="C214" s="85">
        <v>55</v>
      </c>
    </row>
    <row r="215" spans="1:3" x14ac:dyDescent="0.2">
      <c r="A215" s="86">
        <v>39294</v>
      </c>
      <c r="B215" s="45">
        <v>0.18</v>
      </c>
      <c r="C215" s="85">
        <v>53.2</v>
      </c>
    </row>
    <row r="216" spans="1:3" x14ac:dyDescent="0.2">
      <c r="A216" s="84">
        <v>39325</v>
      </c>
      <c r="B216" s="23">
        <v>0.17499999999999999</v>
      </c>
      <c r="C216" s="85">
        <v>53.4</v>
      </c>
    </row>
    <row r="217" spans="1:3" x14ac:dyDescent="0.2">
      <c r="A217" s="86">
        <v>39355</v>
      </c>
      <c r="B217" s="45">
        <v>0.189</v>
      </c>
      <c r="C217" s="85">
        <v>55</v>
      </c>
    </row>
    <row r="218" spans="1:3" x14ac:dyDescent="0.2">
      <c r="A218" s="84">
        <v>39386</v>
      </c>
      <c r="B218" s="23">
        <v>0.17899999999999999</v>
      </c>
      <c r="C218" s="85">
        <v>55.2</v>
      </c>
    </row>
    <row r="219" spans="1:3" x14ac:dyDescent="0.2">
      <c r="A219" s="86">
        <v>39416</v>
      </c>
      <c r="B219" s="45">
        <v>0.17299999999999999</v>
      </c>
      <c r="C219" s="85">
        <v>52.8</v>
      </c>
    </row>
    <row r="220" spans="1:3" x14ac:dyDescent="0.2">
      <c r="A220" s="84">
        <v>39447</v>
      </c>
      <c r="B220" s="23">
        <v>0.17399999999999999</v>
      </c>
      <c r="C220" s="85">
        <v>53.3</v>
      </c>
    </row>
    <row r="221" spans="1:3" x14ac:dyDescent="0.2">
      <c r="A221" s="86">
        <v>39507</v>
      </c>
      <c r="B221" s="45">
        <v>0.154</v>
      </c>
      <c r="C221" s="85">
        <v>52.8</v>
      </c>
    </row>
    <row r="222" spans="1:3" x14ac:dyDescent="0.2">
      <c r="A222" s="84">
        <v>39538</v>
      </c>
      <c r="B222" s="23">
        <v>0.17799999999999999</v>
      </c>
      <c r="C222" s="85">
        <v>54.4</v>
      </c>
    </row>
    <row r="223" spans="1:3" x14ac:dyDescent="0.2">
      <c r="A223" s="86">
        <v>39568</v>
      </c>
      <c r="B223" s="45">
        <v>0.157</v>
      </c>
      <c r="C223" s="85">
        <v>55.4</v>
      </c>
    </row>
    <row r="224" spans="1:3" x14ac:dyDescent="0.2">
      <c r="A224" s="84">
        <v>39599</v>
      </c>
      <c r="B224" s="23">
        <v>0.16</v>
      </c>
      <c r="C224" s="85">
        <v>54.7</v>
      </c>
    </row>
    <row r="225" spans="1:3" x14ac:dyDescent="0.2">
      <c r="A225" s="86">
        <v>39629</v>
      </c>
      <c r="B225" s="45">
        <v>0.16</v>
      </c>
      <c r="C225" s="85">
        <v>53.3</v>
      </c>
    </row>
    <row r="226" spans="1:3" x14ac:dyDescent="0.2">
      <c r="A226" s="84">
        <v>39660</v>
      </c>
      <c r="B226" s="23">
        <v>0.14699999999999999</v>
      </c>
      <c r="C226" s="85">
        <v>53.3</v>
      </c>
    </row>
    <row r="227" spans="1:3" x14ac:dyDescent="0.2">
      <c r="A227" s="86">
        <v>39691</v>
      </c>
      <c r="B227" s="45">
        <v>0.128</v>
      </c>
      <c r="C227" s="85">
        <v>49.2</v>
      </c>
    </row>
    <row r="228" spans="1:3" x14ac:dyDescent="0.2">
      <c r="A228" s="84">
        <v>39721</v>
      </c>
      <c r="B228" s="23">
        <v>0.114</v>
      </c>
      <c r="C228" s="85">
        <v>47.7</v>
      </c>
    </row>
    <row r="229" spans="1:3" x14ac:dyDescent="0.2">
      <c r="A229" s="86">
        <v>39752</v>
      </c>
      <c r="B229" s="45">
        <v>8.2000000000000003E-2</v>
      </c>
      <c r="C229" s="85">
        <v>45.2</v>
      </c>
    </row>
    <row r="230" spans="1:3" x14ac:dyDescent="0.2">
      <c r="A230" s="84">
        <v>39782</v>
      </c>
      <c r="B230" s="23">
        <v>5.3999999999999999E-2</v>
      </c>
      <c r="C230" s="85">
        <v>40.9</v>
      </c>
    </row>
    <row r="231" spans="1:3" x14ac:dyDescent="0.2">
      <c r="A231" s="86">
        <v>39813</v>
      </c>
      <c r="B231" s="45">
        <v>5.7000000000000002E-2</v>
      </c>
      <c r="C231" s="85">
        <v>41.2</v>
      </c>
    </row>
    <row r="232" spans="1:3" x14ac:dyDescent="0.2">
      <c r="A232" s="84">
        <v>39872</v>
      </c>
      <c r="B232" s="23">
        <v>0.11</v>
      </c>
      <c r="C232" s="85">
        <v>45.1</v>
      </c>
    </row>
    <row r="233" spans="1:3" x14ac:dyDescent="0.2">
      <c r="A233" s="84">
        <v>39903</v>
      </c>
      <c r="B233" s="23">
        <v>8.3000000000000004E-2</v>
      </c>
      <c r="C233" s="85">
        <v>44.8</v>
      </c>
    </row>
    <row r="234" spans="1:3" x14ac:dyDescent="0.2">
      <c r="A234" s="86">
        <v>39933</v>
      </c>
      <c r="B234" s="45">
        <v>7.2999999999999995E-2</v>
      </c>
      <c r="C234" s="85">
        <v>50.1</v>
      </c>
    </row>
    <row r="235" spans="1:3" x14ac:dyDescent="0.2">
      <c r="A235" s="84">
        <v>39964</v>
      </c>
      <c r="B235" s="23">
        <v>8.8999999999999996E-2</v>
      </c>
      <c r="C235" s="85">
        <v>51.2</v>
      </c>
    </row>
    <row r="236" spans="1:3" x14ac:dyDescent="0.2">
      <c r="A236" s="86">
        <v>39994</v>
      </c>
      <c r="B236" s="45">
        <v>0.107</v>
      </c>
      <c r="C236" s="85">
        <v>51.8</v>
      </c>
    </row>
    <row r="237" spans="1:3" x14ac:dyDescent="0.2">
      <c r="A237" s="84">
        <v>40025</v>
      </c>
      <c r="B237" s="23">
        <v>0.108</v>
      </c>
      <c r="C237" s="85">
        <v>52.8</v>
      </c>
    </row>
    <row r="238" spans="1:3" x14ac:dyDescent="0.2">
      <c r="A238" s="86">
        <v>40056</v>
      </c>
      <c r="B238" s="45">
        <v>0.123</v>
      </c>
      <c r="C238" s="85">
        <v>55.1</v>
      </c>
    </row>
    <row r="239" spans="1:3" x14ac:dyDescent="0.2">
      <c r="A239" s="84">
        <v>40086</v>
      </c>
      <c r="B239" s="23">
        <v>0.13900000000000001</v>
      </c>
      <c r="C239" s="85">
        <v>55</v>
      </c>
    </row>
    <row r="240" spans="1:3" x14ac:dyDescent="0.2">
      <c r="A240" s="86">
        <v>40117</v>
      </c>
      <c r="B240" s="45">
        <v>0.161</v>
      </c>
      <c r="C240" s="85">
        <v>55.4</v>
      </c>
    </row>
    <row r="241" spans="1:3" x14ac:dyDescent="0.2">
      <c r="A241" s="84">
        <v>40147</v>
      </c>
      <c r="B241" s="23">
        <v>0.192</v>
      </c>
      <c r="C241" s="85">
        <v>55.7</v>
      </c>
    </row>
    <row r="242" spans="1:3" x14ac:dyDescent="0.2">
      <c r="A242" s="86">
        <v>40178</v>
      </c>
      <c r="B242" s="45">
        <v>0.185</v>
      </c>
      <c r="C242" s="85">
        <v>56.1</v>
      </c>
    </row>
    <row r="243" spans="1:3" x14ac:dyDescent="0.2">
      <c r="A243" s="86">
        <v>40237</v>
      </c>
      <c r="B243" s="45">
        <v>0.128</v>
      </c>
      <c r="C243" s="85">
        <v>55.8</v>
      </c>
    </row>
    <row r="244" spans="1:3" x14ac:dyDescent="0.2">
      <c r="A244" s="84">
        <v>40268</v>
      </c>
      <c r="B244" s="23">
        <v>0.18099999999999999</v>
      </c>
      <c r="C244" s="85">
        <v>57</v>
      </c>
    </row>
    <row r="245" spans="1:3" x14ac:dyDescent="0.2">
      <c r="A245" s="86">
        <v>40298</v>
      </c>
      <c r="B245" s="45">
        <v>0.17799999999999999</v>
      </c>
      <c r="C245" s="85">
        <v>55.4</v>
      </c>
    </row>
    <row r="246" spans="1:3" x14ac:dyDescent="0.2">
      <c r="A246" s="84">
        <v>40329</v>
      </c>
      <c r="B246" s="23">
        <v>0.16500000000000001</v>
      </c>
      <c r="C246" s="85">
        <v>52.7</v>
      </c>
    </row>
    <row r="247" spans="1:3" x14ac:dyDescent="0.2">
      <c r="A247" s="86">
        <v>40359</v>
      </c>
      <c r="B247" s="45">
        <v>0.13700000000000001</v>
      </c>
      <c r="C247" s="85">
        <v>50.4</v>
      </c>
    </row>
    <row r="248" spans="1:3" x14ac:dyDescent="0.2">
      <c r="A248" s="84">
        <v>40390</v>
      </c>
      <c r="B248" s="23">
        <v>0.13400000000000001</v>
      </c>
      <c r="C248" s="85">
        <v>49.4</v>
      </c>
    </row>
    <row r="249" spans="1:3" x14ac:dyDescent="0.2">
      <c r="A249" s="86">
        <v>40421</v>
      </c>
      <c r="B249" s="45">
        <v>0.13900000000000001</v>
      </c>
      <c r="C249" s="85">
        <v>51.9</v>
      </c>
    </row>
    <row r="250" spans="1:3" x14ac:dyDescent="0.2">
      <c r="A250" s="84">
        <v>40451</v>
      </c>
      <c r="B250" s="23">
        <v>0.13300000000000001</v>
      </c>
      <c r="C250" s="85">
        <v>52.9</v>
      </c>
    </row>
    <row r="251" spans="1:3" x14ac:dyDescent="0.2">
      <c r="A251" s="86">
        <v>40482</v>
      </c>
      <c r="B251" s="45">
        <v>0.13100000000000001</v>
      </c>
      <c r="C251" s="85">
        <v>54.8</v>
      </c>
    </row>
    <row r="252" spans="1:3" x14ac:dyDescent="0.2">
      <c r="A252" s="84">
        <v>40512</v>
      </c>
      <c r="B252" s="23">
        <v>0.13300000000000001</v>
      </c>
      <c r="C252" s="85">
        <v>55.3</v>
      </c>
    </row>
    <row r="253" spans="1:3" x14ac:dyDescent="0.2">
      <c r="A253" s="86">
        <v>40543</v>
      </c>
      <c r="B253" s="45">
        <v>0.13500000000000001</v>
      </c>
      <c r="C253" s="85">
        <v>54.4</v>
      </c>
    </row>
    <row r="254" spans="1:3" x14ac:dyDescent="0.2">
      <c r="A254" s="84">
        <v>40602</v>
      </c>
      <c r="B254" s="23">
        <v>0.14099999999999999</v>
      </c>
      <c r="C254" s="85">
        <v>51.7</v>
      </c>
    </row>
    <row r="255" spans="1:3" x14ac:dyDescent="0.2">
      <c r="A255" s="84">
        <v>40633</v>
      </c>
      <c r="B255" s="23">
        <v>0.14799999999999999</v>
      </c>
      <c r="C255" s="85">
        <v>51.8</v>
      </c>
    </row>
    <row r="256" spans="1:3" x14ac:dyDescent="0.2">
      <c r="A256" s="86">
        <v>40663</v>
      </c>
      <c r="B256" s="45">
        <v>0.13400000000000001</v>
      </c>
      <c r="C256" s="85">
        <v>51.8</v>
      </c>
    </row>
    <row r="257" spans="1:3" x14ac:dyDescent="0.2">
      <c r="A257" s="84">
        <v>40694</v>
      </c>
      <c r="B257" s="23">
        <v>0.13300000000000001</v>
      </c>
      <c r="C257" s="85">
        <v>51.6</v>
      </c>
    </row>
    <row r="258" spans="1:3" x14ac:dyDescent="0.2">
      <c r="A258" s="86">
        <v>40724</v>
      </c>
      <c r="B258" s="45">
        <v>0.151</v>
      </c>
      <c r="C258" s="85">
        <v>50.1</v>
      </c>
    </row>
    <row r="259" spans="1:3" x14ac:dyDescent="0.2">
      <c r="A259" s="84">
        <v>40755</v>
      </c>
      <c r="B259" s="23">
        <v>0.14000000000000001</v>
      </c>
      <c r="C259" s="85">
        <v>49.3</v>
      </c>
    </row>
    <row r="260" spans="1:3" x14ac:dyDescent="0.2">
      <c r="A260" s="86">
        <v>40786</v>
      </c>
      <c r="B260" s="45">
        <v>0.13500000000000001</v>
      </c>
      <c r="C260" s="85">
        <v>49.9</v>
      </c>
    </row>
    <row r="261" spans="1:3" x14ac:dyDescent="0.2">
      <c r="A261" s="84">
        <v>40816</v>
      </c>
      <c r="B261" s="23">
        <v>0.13800000000000001</v>
      </c>
      <c r="C261" s="85">
        <v>49.9</v>
      </c>
    </row>
    <row r="262" spans="1:3" x14ac:dyDescent="0.2">
      <c r="A262" s="86">
        <v>40847</v>
      </c>
      <c r="B262" s="45">
        <v>0.13200000000000001</v>
      </c>
      <c r="C262" s="85">
        <v>51</v>
      </c>
    </row>
    <row r="263" spans="1:3" x14ac:dyDescent="0.2">
      <c r="A263" s="84">
        <v>40877</v>
      </c>
      <c r="B263" s="23">
        <v>0.124</v>
      </c>
      <c r="C263" s="85">
        <v>47.7</v>
      </c>
    </row>
    <row r="264" spans="1:3" x14ac:dyDescent="0.2">
      <c r="A264" s="86">
        <v>40908</v>
      </c>
      <c r="B264" s="45">
        <v>0.128</v>
      </c>
      <c r="C264" s="85">
        <v>48.7</v>
      </c>
    </row>
    <row r="265" spans="1:3" x14ac:dyDescent="0.2">
      <c r="A265" s="84">
        <v>40968</v>
      </c>
      <c r="B265" s="23">
        <v>0.114</v>
      </c>
      <c r="C265" s="85">
        <v>49.6</v>
      </c>
    </row>
    <row r="266" spans="1:3" x14ac:dyDescent="0.2">
      <c r="A266" s="86">
        <v>40999</v>
      </c>
      <c r="B266" s="45">
        <v>0.11899999999999999</v>
      </c>
      <c r="C266" s="85">
        <v>48.3</v>
      </c>
    </row>
    <row r="267" spans="1:3" x14ac:dyDescent="0.2">
      <c r="A267" s="84">
        <v>41029</v>
      </c>
      <c r="B267" s="23">
        <v>9.2999999999999999E-2</v>
      </c>
      <c r="C267" s="85">
        <v>49.3</v>
      </c>
    </row>
    <row r="268" spans="1:3" x14ac:dyDescent="0.2">
      <c r="A268" s="86">
        <v>41060</v>
      </c>
      <c r="B268" s="45">
        <v>9.6000000000000002E-2</v>
      </c>
      <c r="C268" s="85">
        <v>48.4</v>
      </c>
    </row>
    <row r="269" spans="1:3" x14ac:dyDescent="0.2">
      <c r="A269" s="84">
        <v>41090</v>
      </c>
      <c r="B269" s="23">
        <v>9.5000000000000001E-2</v>
      </c>
      <c r="C269" s="85">
        <v>48.2</v>
      </c>
    </row>
    <row r="270" spans="1:3" x14ac:dyDescent="0.2">
      <c r="A270" s="86">
        <v>41121</v>
      </c>
      <c r="B270" s="45">
        <v>9.1999999999999998E-2</v>
      </c>
      <c r="C270" s="85">
        <v>49.3</v>
      </c>
    </row>
    <row r="271" spans="1:3" x14ac:dyDescent="0.2">
      <c r="A271" s="84">
        <v>41152</v>
      </c>
      <c r="B271" s="23">
        <v>8.8999999999999996E-2</v>
      </c>
      <c r="C271" s="85">
        <v>47.7</v>
      </c>
    </row>
    <row r="272" spans="1:3" x14ac:dyDescent="0.2">
      <c r="A272" s="86">
        <v>41182</v>
      </c>
      <c r="B272" s="45">
        <v>9.1999999999999998E-2</v>
      </c>
      <c r="C272" s="85">
        <v>47.9</v>
      </c>
    </row>
    <row r="273" spans="1:3" x14ac:dyDescent="0.2">
      <c r="A273" s="84">
        <v>41213</v>
      </c>
      <c r="B273" s="23">
        <v>9.6000000000000002E-2</v>
      </c>
      <c r="C273" s="85">
        <v>49.5</v>
      </c>
    </row>
    <row r="274" spans="1:3" x14ac:dyDescent="0.2">
      <c r="A274" s="86">
        <v>41243</v>
      </c>
      <c r="B274" s="45">
        <v>0.10100000000000001</v>
      </c>
      <c r="C274" s="85">
        <v>50.5</v>
      </c>
    </row>
    <row r="275" spans="1:3" x14ac:dyDescent="0.2">
      <c r="A275" s="84">
        <v>41274</v>
      </c>
      <c r="B275" s="23">
        <v>0.10299999999999999</v>
      </c>
      <c r="C275" s="85">
        <v>51.5</v>
      </c>
    </row>
    <row r="276" spans="1:3" x14ac:dyDescent="0.2">
      <c r="A276" s="86">
        <v>41333</v>
      </c>
      <c r="B276" s="45">
        <v>9.9000000000000005E-2</v>
      </c>
      <c r="C276" s="85">
        <v>50.4</v>
      </c>
    </row>
    <row r="277" spans="1:3" x14ac:dyDescent="0.2">
      <c r="A277" s="84">
        <v>41364</v>
      </c>
      <c r="B277" s="23">
        <v>8.8999999999999996E-2</v>
      </c>
      <c r="C277" s="85">
        <v>51.6</v>
      </c>
    </row>
    <row r="278" spans="1:3" x14ac:dyDescent="0.2">
      <c r="A278" s="86">
        <v>41394</v>
      </c>
      <c r="B278" s="45">
        <v>9.2999999999999999E-2</v>
      </c>
      <c r="C278" s="85">
        <v>50.4</v>
      </c>
    </row>
    <row r="279" spans="1:3" x14ac:dyDescent="0.2">
      <c r="A279" s="84">
        <v>41425</v>
      </c>
      <c r="B279" s="23">
        <v>9.1999999999999998E-2</v>
      </c>
      <c r="C279" s="85">
        <v>49.2</v>
      </c>
    </row>
    <row r="280" spans="1:3" x14ac:dyDescent="0.2">
      <c r="A280" s="86">
        <v>41455</v>
      </c>
      <c r="B280" s="45">
        <v>8.8999999999999996E-2</v>
      </c>
      <c r="C280" s="85">
        <v>48.2</v>
      </c>
    </row>
    <row r="281" spans="1:3" x14ac:dyDescent="0.2">
      <c r="A281" s="84">
        <v>41486</v>
      </c>
      <c r="B281" s="23">
        <v>9.7000000000000003E-2</v>
      </c>
      <c r="C281" s="85">
        <v>47.7</v>
      </c>
    </row>
    <row r="282" spans="1:3" x14ac:dyDescent="0.2">
      <c r="A282" s="86">
        <v>41517</v>
      </c>
      <c r="B282" s="45">
        <v>0.104</v>
      </c>
      <c r="C282" s="85">
        <v>50.1</v>
      </c>
    </row>
    <row r="283" spans="1:3" x14ac:dyDescent="0.2">
      <c r="A283" s="84">
        <v>41547</v>
      </c>
      <c r="B283" s="23">
        <v>0.10199999999999999</v>
      </c>
      <c r="C283" s="85">
        <v>50.2</v>
      </c>
    </row>
    <row r="284" spans="1:3" x14ac:dyDescent="0.2">
      <c r="A284" s="86">
        <v>41578</v>
      </c>
      <c r="B284" s="45">
        <v>0.10299999999999999</v>
      </c>
      <c r="C284" s="85">
        <v>50.9</v>
      </c>
    </row>
    <row r="285" spans="1:3" x14ac:dyDescent="0.2">
      <c r="A285" s="84">
        <v>41608</v>
      </c>
      <c r="B285" s="23">
        <v>0.1</v>
      </c>
      <c r="C285" s="85">
        <v>50.8</v>
      </c>
    </row>
    <row r="286" spans="1:3" x14ac:dyDescent="0.2">
      <c r="A286" s="86">
        <v>41639</v>
      </c>
      <c r="B286" s="45">
        <v>9.7000000000000003E-2</v>
      </c>
      <c r="C286" s="85">
        <v>50.5</v>
      </c>
    </row>
    <row r="287" spans="1:3" x14ac:dyDescent="0.2">
      <c r="A287" s="84">
        <v>41698</v>
      </c>
      <c r="B287" s="23">
        <v>8.5999999999999993E-2</v>
      </c>
      <c r="C287" s="85">
        <v>48.5</v>
      </c>
    </row>
    <row r="288" spans="1:3" x14ac:dyDescent="0.2">
      <c r="A288" s="86">
        <v>41729</v>
      </c>
      <c r="B288" s="45">
        <v>8.7999999999999995E-2</v>
      </c>
      <c r="C288" s="85">
        <v>48</v>
      </c>
    </row>
    <row r="289" spans="1:3" x14ac:dyDescent="0.2">
      <c r="A289" s="84">
        <v>41759</v>
      </c>
      <c r="B289" s="23">
        <v>8.6999999999999994E-2</v>
      </c>
      <c r="C289" s="85">
        <v>48.1</v>
      </c>
    </row>
    <row r="290" spans="1:3" x14ac:dyDescent="0.2">
      <c r="A290" s="86">
        <v>41790</v>
      </c>
      <c r="B290" s="45">
        <v>8.7999999999999995E-2</v>
      </c>
      <c r="C290" s="85">
        <v>49.4</v>
      </c>
    </row>
    <row r="291" spans="1:3" x14ac:dyDescent="0.2">
      <c r="A291" s="84">
        <v>41820</v>
      </c>
      <c r="B291" s="23">
        <v>9.1999999999999998E-2</v>
      </c>
      <c r="C291" s="85">
        <v>50.7</v>
      </c>
    </row>
    <row r="292" spans="1:3" x14ac:dyDescent="0.2">
      <c r="A292" s="86">
        <v>41851</v>
      </c>
      <c r="B292" s="45">
        <v>0.09</v>
      </c>
      <c r="C292" s="85">
        <v>51.7</v>
      </c>
    </row>
    <row r="293" spans="1:3" x14ac:dyDescent="0.2">
      <c r="A293" s="84">
        <v>41882</v>
      </c>
      <c r="B293" s="23">
        <v>6.9000000000000006E-2</v>
      </c>
      <c r="C293" s="85">
        <v>50.2</v>
      </c>
    </row>
    <row r="294" spans="1:3" x14ac:dyDescent="0.2">
      <c r="A294" s="86">
        <v>41912</v>
      </c>
      <c r="B294" s="45">
        <v>0.08</v>
      </c>
      <c r="C294" s="85">
        <v>51.1</v>
      </c>
    </row>
    <row r="295" spans="1:3" x14ac:dyDescent="0.2">
      <c r="A295" s="84">
        <v>41943</v>
      </c>
      <c r="B295" s="23">
        <v>7.6999999999999999E-2</v>
      </c>
      <c r="C295" s="85">
        <v>50.8</v>
      </c>
    </row>
    <row r="296" spans="1:3" x14ac:dyDescent="0.2">
      <c r="A296" s="86">
        <v>41973</v>
      </c>
      <c r="B296" s="45">
        <v>7.1999999999999995E-2</v>
      </c>
      <c r="C296" s="85">
        <v>50.3</v>
      </c>
    </row>
    <row r="297" spans="1:3" x14ac:dyDescent="0.2">
      <c r="A297" s="84">
        <v>42004</v>
      </c>
      <c r="B297" s="23">
        <v>7.9000000000000001E-2</v>
      </c>
      <c r="C297" s="85">
        <v>50.1</v>
      </c>
    </row>
    <row r="298" spans="1:3" x14ac:dyDescent="0.2">
      <c r="A298" s="86">
        <v>42063</v>
      </c>
      <c r="B298" s="45">
        <v>6.8000000000000005E-2</v>
      </c>
      <c r="C298" s="85">
        <v>49.9</v>
      </c>
    </row>
    <row r="299" spans="1:3" x14ac:dyDescent="0.2">
      <c r="A299" s="84">
        <v>42094</v>
      </c>
      <c r="B299" s="23">
        <v>5.6000000000000001E-2</v>
      </c>
      <c r="C299" s="85">
        <v>50.1</v>
      </c>
    </row>
    <row r="300" spans="1:3" x14ac:dyDescent="0.2">
      <c r="A300" s="86">
        <v>42124</v>
      </c>
      <c r="B300" s="45">
        <v>5.8999999999999997E-2</v>
      </c>
      <c r="C300" s="85">
        <v>50.1</v>
      </c>
    </row>
    <row r="301" spans="1:3" x14ac:dyDescent="0.2">
      <c r="A301" s="84">
        <v>42155</v>
      </c>
      <c r="B301" s="23">
        <v>6.0999999999999999E-2</v>
      </c>
      <c r="C301" s="85">
        <v>50.2</v>
      </c>
    </row>
    <row r="302" spans="1:3" x14ac:dyDescent="0.2">
      <c r="A302" s="86">
        <v>42185</v>
      </c>
      <c r="B302" s="45">
        <v>6.8000000000000005E-2</v>
      </c>
      <c r="C302" s="85">
        <v>50.2</v>
      </c>
    </row>
    <row r="303" spans="1:3" x14ac:dyDescent="0.2">
      <c r="A303" s="84">
        <v>42216</v>
      </c>
      <c r="B303" s="23">
        <v>0.06</v>
      </c>
      <c r="C303" s="85">
        <v>50</v>
      </c>
    </row>
    <row r="304" spans="1:3" x14ac:dyDescent="0.2">
      <c r="A304" s="86">
        <v>42247</v>
      </c>
      <c r="B304" s="45">
        <v>6.0999999999999999E-2</v>
      </c>
      <c r="C304" s="85">
        <v>47.3</v>
      </c>
    </row>
    <row r="305" spans="1:3" x14ac:dyDescent="0.2">
      <c r="A305" s="84">
        <v>42277</v>
      </c>
      <c r="B305" s="23">
        <v>5.7000000000000002E-2</v>
      </c>
      <c r="C305" s="85">
        <v>47.2</v>
      </c>
    </row>
    <row r="306" spans="1:3" x14ac:dyDescent="0.2">
      <c r="A306" s="86">
        <v>42308</v>
      </c>
      <c r="B306" s="45">
        <v>5.6000000000000001E-2</v>
      </c>
      <c r="C306" s="85">
        <v>48.3</v>
      </c>
    </row>
    <row r="307" spans="1:3" x14ac:dyDescent="0.2">
      <c r="A307" s="84">
        <v>42338</v>
      </c>
      <c r="B307" s="23">
        <v>6.2E-2</v>
      </c>
      <c r="C307" s="85">
        <v>48.6</v>
      </c>
    </row>
    <row r="308" spans="1:3" x14ac:dyDescent="0.2">
      <c r="A308" s="86">
        <v>42369</v>
      </c>
      <c r="B308" s="45">
        <v>5.8999999999999997E-2</v>
      </c>
      <c r="C308" s="85">
        <v>48.2</v>
      </c>
    </row>
    <row r="309" spans="1:3" x14ac:dyDescent="0.2">
      <c r="A309" s="84">
        <v>42400</v>
      </c>
      <c r="B309" s="23">
        <v>5.3999999999999999E-2</v>
      </c>
      <c r="C309" s="85">
        <v>48.4</v>
      </c>
    </row>
    <row r="310" spans="1:3" x14ac:dyDescent="0.2">
      <c r="A310" s="86">
        <v>42460</v>
      </c>
      <c r="B310" s="45">
        <v>6.8000000000000005E-2</v>
      </c>
      <c r="C310" s="85">
        <v>49.7</v>
      </c>
    </row>
    <row r="311" spans="1:3" x14ac:dyDescent="0.2">
      <c r="A311" s="84">
        <v>42490</v>
      </c>
      <c r="B311" s="23">
        <v>0.06</v>
      </c>
      <c r="C311" s="85">
        <v>49.4</v>
      </c>
    </row>
    <row r="312" spans="1:3" x14ac:dyDescent="0.2">
      <c r="A312" s="86">
        <v>42521</v>
      </c>
      <c r="B312" s="45">
        <v>0.06</v>
      </c>
      <c r="C312" s="85">
        <v>49.2</v>
      </c>
    </row>
    <row r="313" spans="1:3" x14ac:dyDescent="0.2">
      <c r="A313" s="84">
        <v>42551</v>
      </c>
      <c r="B313" s="23">
        <v>6.2E-2</v>
      </c>
      <c r="C313" s="85">
        <v>48.6</v>
      </c>
    </row>
    <row r="314" spans="1:3" x14ac:dyDescent="0.2">
      <c r="A314" s="86">
        <v>42582</v>
      </c>
      <c r="B314" s="45">
        <v>0.06</v>
      </c>
      <c r="C314" s="85">
        <v>50.6</v>
      </c>
    </row>
    <row r="315" spans="1:3" x14ac:dyDescent="0.2">
      <c r="A315" s="84">
        <v>42613</v>
      </c>
      <c r="B315" s="23">
        <v>6.3E-2</v>
      </c>
      <c r="C315" s="85">
        <v>50</v>
      </c>
    </row>
    <row r="316" spans="1:3" x14ac:dyDescent="0.2">
      <c r="A316" s="86">
        <v>42643</v>
      </c>
      <c r="B316" s="45">
        <v>6.0999999999999999E-2</v>
      </c>
      <c r="C316" s="85">
        <v>50.1</v>
      </c>
    </row>
    <row r="317" spans="1:3" x14ac:dyDescent="0.2">
      <c r="A317" s="84">
        <v>42674</v>
      </c>
      <c r="B317" s="23">
        <v>6.0999999999999999E-2</v>
      </c>
      <c r="C317" s="85">
        <v>51.2</v>
      </c>
    </row>
    <row r="318" spans="1:3" x14ac:dyDescent="0.2">
      <c r="A318" s="86">
        <v>42704</v>
      </c>
      <c r="B318" s="45">
        <v>6.2E-2</v>
      </c>
      <c r="C318" s="85">
        <v>50.9</v>
      </c>
    </row>
    <row r="319" spans="1:3" x14ac:dyDescent="0.2">
      <c r="A319" s="84">
        <v>42735</v>
      </c>
      <c r="B319" s="23">
        <v>0.06</v>
      </c>
      <c r="C319" s="85">
        <v>51.9</v>
      </c>
    </row>
    <row r="320" spans="1:3" x14ac:dyDescent="0.2">
      <c r="A320" s="86">
        <v>42766</v>
      </c>
      <c r="B320" s="45">
        <v>6.3E-2</v>
      </c>
      <c r="C320" s="85">
        <v>51</v>
      </c>
    </row>
    <row r="321" spans="1:3" x14ac:dyDescent="0.2">
      <c r="A321" s="84">
        <v>42825</v>
      </c>
      <c r="B321" s="23">
        <v>7.5999999999999998E-2</v>
      </c>
      <c r="C321" s="85">
        <v>51.2</v>
      </c>
    </row>
    <row r="322" spans="1:3" x14ac:dyDescent="0.2">
      <c r="A322" s="86">
        <v>42855</v>
      </c>
      <c r="B322" s="45">
        <v>6.5000000000000002E-2</v>
      </c>
      <c r="C322" s="85">
        <v>50.3</v>
      </c>
    </row>
    <row r="323" spans="1:3" x14ac:dyDescent="0.2">
      <c r="A323" s="84">
        <v>42886</v>
      </c>
      <c r="B323" s="23">
        <v>6.5000000000000002E-2</v>
      </c>
      <c r="C323" s="85">
        <v>49.6</v>
      </c>
    </row>
    <row r="324" spans="1:3" x14ac:dyDescent="0.2">
      <c r="A324" s="86">
        <v>42916</v>
      </c>
      <c r="B324" s="45">
        <v>7.5999999999999998E-2</v>
      </c>
      <c r="C324" s="85">
        <v>50.4</v>
      </c>
    </row>
    <row r="325" spans="1:3" x14ac:dyDescent="0.2">
      <c r="A325" s="84">
        <v>42947</v>
      </c>
      <c r="B325" s="23">
        <v>6.4000000000000001E-2</v>
      </c>
      <c r="C325" s="85">
        <v>51.1</v>
      </c>
    </row>
    <row r="326" spans="1:3" x14ac:dyDescent="0.2">
      <c r="A326" s="86">
        <v>42978</v>
      </c>
      <c r="B326" s="45">
        <v>0.06</v>
      </c>
      <c r="C326" s="85">
        <v>51.6</v>
      </c>
    </row>
    <row r="327" spans="1:3" x14ac:dyDescent="0.2">
      <c r="A327" s="84">
        <v>43008</v>
      </c>
      <c r="B327" s="23">
        <v>6.6000000000000003E-2</v>
      </c>
      <c r="C327" s="85">
        <v>51</v>
      </c>
    </row>
    <row r="328" spans="1:3" x14ac:dyDescent="0.2">
      <c r="A328" s="86">
        <v>43039</v>
      </c>
      <c r="B328" s="45">
        <v>6.2E-2</v>
      </c>
      <c r="C328" s="85">
        <v>51</v>
      </c>
    </row>
    <row r="329" spans="1:3" x14ac:dyDescent="0.2">
      <c r="A329" s="84">
        <v>43069</v>
      </c>
      <c r="B329" s="23">
        <v>6.0999999999999999E-2</v>
      </c>
      <c r="C329" s="85">
        <v>50.8</v>
      </c>
    </row>
    <row r="330" spans="1:3" x14ac:dyDescent="0.2">
      <c r="A330" s="86">
        <v>43100</v>
      </c>
      <c r="B330" s="45">
        <v>6.2E-2</v>
      </c>
      <c r="C330" s="85">
        <v>51.5</v>
      </c>
    </row>
    <row r="331" spans="1:3" x14ac:dyDescent="0.2">
      <c r="A331" s="84">
        <v>43159</v>
      </c>
      <c r="B331" s="23">
        <v>7.1999999999999995E-2</v>
      </c>
      <c r="C331" s="85">
        <v>51.5</v>
      </c>
    </row>
    <row r="332" spans="1:3" x14ac:dyDescent="0.2">
      <c r="A332" s="86">
        <v>43190</v>
      </c>
      <c r="B332" s="45">
        <v>0.06</v>
      </c>
      <c r="C332" s="85">
        <v>51</v>
      </c>
    </row>
    <row r="333" spans="1:3" x14ac:dyDescent="0.2">
      <c r="A333" s="84">
        <v>43220</v>
      </c>
      <c r="B333" s="23">
        <v>7.0000000000000007E-2</v>
      </c>
      <c r="C333" s="85">
        <v>51.1</v>
      </c>
    </row>
    <row r="334" spans="1:3" x14ac:dyDescent="0.2">
      <c r="A334" s="86">
        <v>43251</v>
      </c>
      <c r="B334" s="45">
        <v>6.8000000000000005E-2</v>
      </c>
      <c r="C334" s="85">
        <v>51.1</v>
      </c>
    </row>
    <row r="335" spans="1:3" x14ac:dyDescent="0.2">
      <c r="A335" s="84">
        <v>43281</v>
      </c>
      <c r="B335" s="23">
        <v>0.06</v>
      </c>
      <c r="C335" s="85">
        <v>51</v>
      </c>
    </row>
    <row r="336" spans="1:3" x14ac:dyDescent="0.2">
      <c r="A336" s="86">
        <v>43312</v>
      </c>
      <c r="B336" s="45">
        <v>0.06</v>
      </c>
      <c r="C336" s="85">
        <v>50.8</v>
      </c>
    </row>
    <row r="337" spans="1:3" x14ac:dyDescent="0.2">
      <c r="A337" s="84">
        <v>43343</v>
      </c>
      <c r="B337" s="23">
        <v>6.0999999999999999E-2</v>
      </c>
      <c r="C337" s="85">
        <v>50.6</v>
      </c>
    </row>
    <row r="338" spans="1:3" x14ac:dyDescent="0.2">
      <c r="A338" s="86">
        <v>43373</v>
      </c>
      <c r="B338" s="45">
        <v>5.8000000000000003E-2</v>
      </c>
      <c r="C338" s="85">
        <v>50</v>
      </c>
    </row>
    <row r="339" spans="1:3" x14ac:dyDescent="0.2">
      <c r="A339" s="84">
        <v>43404</v>
      </c>
      <c r="B339" s="23">
        <v>5.8999999999999997E-2</v>
      </c>
      <c r="C339" s="85">
        <v>50.1</v>
      </c>
    </row>
    <row r="340" spans="1:3" x14ac:dyDescent="0.2">
      <c r="A340" s="86">
        <v>43434</v>
      </c>
      <c r="B340" s="45">
        <v>5.3999999999999999E-2</v>
      </c>
      <c r="C340" s="85">
        <v>50.2</v>
      </c>
    </row>
    <row r="341" spans="1:3" x14ac:dyDescent="0.2">
      <c r="A341" s="84">
        <v>43465</v>
      </c>
      <c r="B341" s="23">
        <v>5.7000000000000002E-2</v>
      </c>
      <c r="C341" s="85">
        <v>49.7</v>
      </c>
    </row>
    <row r="342" spans="1:3" x14ac:dyDescent="0.2">
      <c r="A342" s="86">
        <v>43496</v>
      </c>
      <c r="B342" s="45">
        <v>5.2999999999999999E-2</v>
      </c>
      <c r="C342" s="85">
        <v>48.3</v>
      </c>
    </row>
    <row r="343" spans="1:3" x14ac:dyDescent="0.2">
      <c r="A343" s="84">
        <v>43524</v>
      </c>
      <c r="B343" s="23">
        <v>8.5000000000000006E-2</v>
      </c>
      <c r="C343" s="85">
        <v>49.9</v>
      </c>
    </row>
    <row r="344" spans="1:3" x14ac:dyDescent="0.2">
      <c r="A344" s="86">
        <v>43555</v>
      </c>
      <c r="B344" s="45">
        <v>5.3999999999999999E-2</v>
      </c>
      <c r="C344" s="85">
        <v>50.8</v>
      </c>
    </row>
    <row r="345" spans="1:3" x14ac:dyDescent="0.2">
      <c r="A345" s="86">
        <v>43585</v>
      </c>
      <c r="B345" s="45">
        <v>5.3999999999999999E-2</v>
      </c>
      <c r="C345" s="85">
        <v>50.2</v>
      </c>
    </row>
    <row r="346" spans="1:3" x14ac:dyDescent="0.2">
      <c r="A346" s="84">
        <v>43616</v>
      </c>
      <c r="B346" s="23">
        <v>0.05</v>
      </c>
      <c r="C346" s="85">
        <v>50.2</v>
      </c>
    </row>
    <row r="347" spans="1:3" x14ac:dyDescent="0.2">
      <c r="A347" s="84">
        <v>43646</v>
      </c>
      <c r="B347" s="23">
        <v>6.3E-2</v>
      </c>
      <c r="C347" s="85">
        <v>49.4</v>
      </c>
    </row>
    <row r="348" spans="1:3" x14ac:dyDescent="0.2">
      <c r="A348" s="86">
        <v>43677</v>
      </c>
      <c r="B348" s="45">
        <v>4.8000000000000001E-2</v>
      </c>
      <c r="C348" s="85">
        <v>49.9</v>
      </c>
    </row>
    <row r="349" spans="1:3" x14ac:dyDescent="0.2">
      <c r="A349" s="84">
        <v>43708</v>
      </c>
      <c r="B349" s="23">
        <v>4.3999999999999997E-2</v>
      </c>
      <c r="C349" s="85">
        <v>50.4</v>
      </c>
    </row>
    <row r="350" spans="1:3" x14ac:dyDescent="0.2">
      <c r="A350" s="86">
        <v>43738</v>
      </c>
      <c r="B350" s="45">
        <v>5.8000000000000003E-2</v>
      </c>
      <c r="C350" s="85">
        <v>51.4</v>
      </c>
    </row>
    <row r="351" spans="1:3" x14ac:dyDescent="0.2">
      <c r="A351" s="84">
        <v>43769</v>
      </c>
      <c r="B351" s="23">
        <v>4.7E-2</v>
      </c>
      <c r="C351" s="85">
        <v>51.7</v>
      </c>
    </row>
    <row r="352" spans="1:3" x14ac:dyDescent="0.2">
      <c r="A352" s="84">
        <v>43799</v>
      </c>
      <c r="B352" s="23">
        <v>6.2E-2</v>
      </c>
      <c r="C352" s="85">
        <v>51.8</v>
      </c>
    </row>
    <row r="353" spans="1:3" x14ac:dyDescent="0.2">
      <c r="A353" s="84">
        <v>43830</v>
      </c>
      <c r="B353" s="23">
        <v>6.9000000000000006E-2</v>
      </c>
      <c r="C353" s="85">
        <v>51.5</v>
      </c>
    </row>
    <row r="354" spans="1:3" x14ac:dyDescent="0.2">
      <c r="A354" s="84">
        <v>43890</v>
      </c>
      <c r="B354" s="23">
        <v>-0.13500000000000001</v>
      </c>
      <c r="C354" s="85">
        <v>51.1</v>
      </c>
    </row>
    <row r="355" spans="1:3" x14ac:dyDescent="0.2">
      <c r="A355" s="84">
        <v>43921</v>
      </c>
      <c r="B355" s="23">
        <v>-1.0999999999999999E-2</v>
      </c>
      <c r="C355" s="85">
        <v>40.299999999999997</v>
      </c>
    </row>
    <row r="356" spans="1:3" x14ac:dyDescent="0.2">
      <c r="A356" s="84">
        <v>43951</v>
      </c>
      <c r="B356" s="23">
        <v>3.9E-2</v>
      </c>
      <c r="C356" s="85">
        <v>50.1</v>
      </c>
    </row>
    <row r="357" spans="1:3" x14ac:dyDescent="0.2">
      <c r="A357" s="84">
        <v>43982</v>
      </c>
      <c r="B357" s="23">
        <v>4.3999999999999997E-2</v>
      </c>
      <c r="C357" s="85">
        <v>49.4</v>
      </c>
    </row>
    <row r="358" spans="1:3" x14ac:dyDescent="0.2">
      <c r="A358" s="84">
        <v>44012</v>
      </c>
      <c r="B358" s="23">
        <v>4.8000000000000001E-2</v>
      </c>
      <c r="C358" s="85">
        <v>50.7</v>
      </c>
    </row>
    <row r="359" spans="1:3" x14ac:dyDescent="0.2">
      <c r="A359" s="84">
        <v>44043</v>
      </c>
      <c r="B359" s="23">
        <v>4.8000000000000001E-2</v>
      </c>
      <c r="C359" s="85">
        <v>51.2</v>
      </c>
    </row>
    <row r="360" spans="1:3" x14ac:dyDescent="0.2">
      <c r="A360" s="84">
        <v>44074</v>
      </c>
      <c r="B360" s="23">
        <v>5.6000000000000001E-2</v>
      </c>
      <c r="C360" s="85">
        <v>52.8</v>
      </c>
    </row>
    <row r="361" spans="1:3" x14ac:dyDescent="0.2">
      <c r="A361" s="84">
        <v>44104</v>
      </c>
      <c r="B361" s="23">
        <v>6.9000000000000006E-2</v>
      </c>
      <c r="C361" s="85">
        <v>53.1</v>
      </c>
    </row>
    <row r="362" spans="1:3" x14ac:dyDescent="0.2">
      <c r="A362" s="84">
        <v>44135</v>
      </c>
      <c r="B362" s="23">
        <v>6.9000000000000006E-2</v>
      </c>
      <c r="C362" s="85">
        <v>53</v>
      </c>
    </row>
    <row r="363" spans="1:3" x14ac:dyDescent="0.2">
      <c r="A363" s="84">
        <v>44165</v>
      </c>
      <c r="B363" s="23">
        <v>7.0000000000000007E-2</v>
      </c>
      <c r="C363" s="85">
        <v>53.6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Big Picture</vt:lpstr>
      <vt:lpstr>World Production data</vt:lpstr>
      <vt:lpstr>Database</vt:lpstr>
      <vt:lpstr>Data World GDP</vt:lpstr>
      <vt:lpstr>China Production data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2021-12-23T17:21:46Z</dcterms:modified>
</cp:coreProperties>
</file>